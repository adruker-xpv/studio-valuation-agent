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Source Data" sheetId="2" state="visible" r:id="rId4"/>
    <sheet name="Valuation" sheetId="3" state="visible" r:id="rId5"/>
    <sheet name="Checks" sheetId="4" state="visible" r:id="rId6"/>
    <sheet name="Lineag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<sst xmlns="http://schemas.openxmlformats.org/spreadsheetml/2006/main" count="142" uniqueCount="91">
  <si>
    <t xml:space="preserve">Input</t>
  </si>
  <si>
    <t xml:space="preserve">Value</t>
  </si>
  <si>
    <t xml:space="preserve">Source</t>
  </si>
  <si>
    <t xml:space="preserve">Company</t>
  </si>
  <si>
    <t xml:space="preserve">Test Co</t>
  </si>
  <si>
    <t xml:space="preserve">analyst (answers.json)</t>
  </si>
  <si>
    <t xml:space="preserve">Period end</t>
  </si>
  <si>
    <t xml:space="preserve">2026-06</t>
  </si>
  <si>
    <t xml:space="preserve">Source units multiplier</t>
  </si>
  <si>
    <t xml:space="preserve">Report units multiplier</t>
  </si>
  <si>
    <t xml:space="preserve">Units factor (source to report)</t>
  </si>
  <si>
    <t xml:space="preserve">formula</t>
  </si>
  <si>
    <t xml:space="preserve">EV/EBITDA multiple</t>
  </si>
  <si>
    <t xml:space="preserve">EV/Revenue multiple</t>
  </si>
  <si>
    <t xml:space="preserve">Weight EV/EBITDA</t>
  </si>
  <si>
    <t xml:space="preserve">Weight EV/Revenue</t>
  </si>
  <si>
    <t xml:space="preserve">EBITDA adjustments (report units)</t>
  </si>
  <si>
    <t xml:space="preserve">Illiquidity discount</t>
  </si>
  <si>
    <t xml:space="preserve">XPV fully diluted ownership</t>
  </si>
  <si>
    <t xml:space="preserve">Claims ahead of common equity (report units)</t>
  </si>
  <si>
    <t xml:space="preserve">Concept</t>
  </si>
  <si>
    <t xml:space="preserve">Source line</t>
  </si>
  <si>
    <t xml:space="preserve">File</t>
  </si>
  <si>
    <t xml:space="preserve">Sheet</t>
  </si>
  <si>
    <t xml:space="preserve">Row</t>
  </si>
  <si>
    <t xml:space="preserve">Frequency</t>
  </si>
  <si>
    <t xml:space="preserve">Values (as in source) -&gt;</t>
  </si>
  <si>
    <t xml:space="preserve">2025-07-01</t>
  </si>
  <si>
    <t xml:space="preserve">2025-08-01</t>
  </si>
  <si>
    <t xml:space="preserve">2025-09-01</t>
  </si>
  <si>
    <t xml:space="preserve">2025-10-01</t>
  </si>
  <si>
    <t xml:space="preserve">2025-11-01</t>
  </si>
  <si>
    <t xml:space="preserve">2025-12-01</t>
  </si>
  <si>
    <t xml:space="preserve">2026-01-01</t>
  </si>
  <si>
    <t xml:space="preserve">2026-02-01</t>
  </si>
  <si>
    <t xml:space="preserve">2026-03-01</t>
  </si>
  <si>
    <t xml:space="preserve">2026-04-01</t>
  </si>
  <si>
    <t xml:space="preserve">2026-05-01</t>
  </si>
  <si>
    <t xml:space="preserve">2026-06-01</t>
  </si>
  <si>
    <t xml:space="preserve">revenue</t>
  </si>
  <si>
    <t xml:space="preserve">Net Sales</t>
  </si>
  <si>
    <t xml:space="preserve">src_q2_statements.xlsx</t>
  </si>
  <si>
    <t xml:space="preserve">Income Statement</t>
  </si>
  <si>
    <t xml:space="preserve">monthly</t>
  </si>
  <si>
    <t xml:space="preserve">cogs</t>
  </si>
  <si>
    <t xml:space="preserve">Cost of goods sold</t>
  </si>
  <si>
    <t xml:space="preserve">opex</t>
  </si>
  <si>
    <t xml:space="preserve">SG&amp;A expense</t>
  </si>
  <si>
    <t xml:space="preserve">net_debt</t>
  </si>
  <si>
    <t xml:space="preserve">Net debt</t>
  </si>
  <si>
    <t xml:space="preserve">Balance Sheet</t>
  </si>
  <si>
    <t xml:space="preserve">period end</t>
  </si>
  <si>
    <t xml:space="preserve">Line</t>
  </si>
  <si>
    <t xml:space="preserve">Formula basis</t>
  </si>
  <si>
    <t xml:space="preserve">LTM revenue</t>
  </si>
  <si>
    <t xml:space="preserve">sum of the LTM window x units factor</t>
  </si>
  <si>
    <t xml:space="preserve">LTM EBITDA (revenue - COGS - opex)</t>
  </si>
  <si>
    <t xml:space="preserve">derived: revenue - COGS - operating expenses</t>
  </si>
  <si>
    <t xml:space="preserve">EBITDA for valuation (incl. adjustments)</t>
  </si>
  <si>
    <t xml:space="preserve">LTM EBITDA + analyst adjustments</t>
  </si>
  <si>
    <t xml:space="preserve">EV from EV/EBITDA</t>
  </si>
  <si>
    <t xml:space="preserve">EBITDA x multiple</t>
  </si>
  <si>
    <t xml:space="preserve">EV from EV/Revenue</t>
  </si>
  <si>
    <t xml:space="preserve">revenue x multiple</t>
  </si>
  <si>
    <t xml:space="preserve">Enterprise value</t>
  </si>
  <si>
    <t xml:space="preserve">weighted</t>
  </si>
  <si>
    <t xml:space="preserve">statement line at period end</t>
  </si>
  <si>
    <t xml:space="preserve">Claims ahead of common equity</t>
  </si>
  <si>
    <t xml:space="preserve">analyst</t>
  </si>
  <si>
    <t xml:space="preserve">Equity value (before discount)</t>
  </si>
  <si>
    <t xml:space="preserve">EV - net debt - claims</t>
  </si>
  <si>
    <t xml:space="preserve">Equity value after discount</t>
  </si>
  <si>
    <t xml:space="preserve">x (1 - discount)</t>
  </si>
  <si>
    <t xml:space="preserve">XPV value</t>
  </si>
  <si>
    <t xml:space="preserve">x ownership</t>
  </si>
  <si>
    <t xml:space="preserve">Check</t>
  </si>
  <si>
    <t xml:space="preserve">Result (TRUE = pass)</t>
  </si>
  <si>
    <t xml:space="preserve">Method weights sum to 1</t>
  </si>
  <si>
    <t xml:space="preserve">revenue: LTM window has 12 values</t>
  </si>
  <si>
    <t xml:space="preserve">cogs: LTM window has 12 values</t>
  </si>
  <si>
    <t xml:space="preserve">opex: LTM window has 12 values</t>
  </si>
  <si>
    <t xml:space="preserve">Periods</t>
  </si>
  <si>
    <t xml:space="preserve">Match</t>
  </si>
  <si>
    <t xml:space="preserve">Source Data range</t>
  </si>
  <si>
    <t xml:space="preserve">2025-07-01..2026-06-01</t>
  </si>
  <si>
    <t xml:space="preserve">exact</t>
  </si>
  <si>
    <t xml:space="preserve">'Source Data'!$H$2:$S$2</t>
  </si>
  <si>
    <t xml:space="preserve">'Source Data'!$H$3:$S$3</t>
  </si>
  <si>
    <t xml:space="preserve">'Source Data'!$H$4:$S$4</t>
  </si>
  <si>
    <t xml:space="preserve">2026-06-30..2026-06-30</t>
  </si>
  <si>
    <t xml:space="preserve">'Source Data'!$H$5:$H$5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</si>
</sst>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2" t="s">
        <v>4</v>
      </c>
      <c r="C2" s="3" t="s">
        <v>5</v>
      </c>
    </row>
    <row r="3" customFormat="false" ht="15" hidden="false" customHeight="false" outlineLevel="0" collapsed="false">
      <c r="A3" s="0" t="s">
        <v>6</v>
      </c>
      <c r="B3" s="2" t="s">
        <v>7</v>
      </c>
      <c r="C3" s="3" t="s">
        <v>5</v>
      </c>
    </row>
    <row r="4" customFormat="false" ht="15" hidden="false" customHeight="false" outlineLevel="0" collapsed="false">
      <c r="A4" s="0" t="s">
        <v>8</v>
      </c>
      <c r="B4" s="2" t="n">
        <v>1</v>
      </c>
      <c r="C4" s="3" t="s">
        <v>5</v>
      </c>
    </row>
    <row r="5" customFormat="false" ht="15" hidden="false" customHeight="false" outlineLevel="0" collapsed="false">
      <c r="A5" s="0" t="s">
        <v>9</v>
      </c>
      <c r="B5" s="2" t="n">
        <v>1000</v>
      </c>
      <c r="C5" s="3" t="s">
        <v>5</v>
      </c>
    </row>
    <row r="6" customFormat="false" ht="15" hidden="false" customHeight="false" outlineLevel="0" collapsed="false">
      <c r="A6" s="0" t="s">
        <v>10</v>
      </c>
      <c r="B6" s="4" t="n">
        <f aca="false">B4/B5</f>
        <v>0.001</v>
      </c>
      <c r="C6" s="3" t="s">
        <v>11</v>
      </c>
    </row>
    <row r="7" customFormat="false" ht="15" hidden="false" customHeight="false" outlineLevel="0" collapsed="false">
      <c r="A7" s="0" t="s">
        <v>12</v>
      </c>
      <c r="B7" s="2" t="n">
        <v>9.5</v>
      </c>
      <c r="C7" s="3" t="s">
        <v>5</v>
      </c>
    </row>
    <row r="8" customFormat="false" ht="15" hidden="false" customHeight="false" outlineLevel="0" collapsed="false">
      <c r="A8" s="0" t="s">
        <v>13</v>
      </c>
      <c r="B8" s="2" t="n">
        <v>0</v>
      </c>
      <c r="C8" s="3" t="s">
        <v>5</v>
      </c>
    </row>
    <row r="9" customFormat="false" ht="15" hidden="false" customHeight="false" outlineLevel="0" collapsed="false">
      <c r="A9" s="0" t="s">
        <v>14</v>
      </c>
      <c r="B9" s="2" t="n">
        <v>1</v>
      </c>
      <c r="C9" s="3" t="s">
        <v>5</v>
      </c>
    </row>
    <row r="10" customFormat="false" ht="15" hidden="false" customHeight="false" outlineLevel="0" collapsed="false">
      <c r="A10" s="0" t="s">
        <v>15</v>
      </c>
      <c r="B10" s="2" t="n">
        <v>0</v>
      </c>
      <c r="C10" s="3" t="s">
        <v>5</v>
      </c>
    </row>
    <row r="11" customFormat="false" ht="15" hidden="false" customHeight="false" outlineLevel="0" collapsed="false">
      <c r="A11" s="0" t="s">
        <v>16</v>
      </c>
      <c r="B11" s="2" t="n">
        <v>120</v>
      </c>
      <c r="C11" s="3" t="s">
        <v>5</v>
      </c>
    </row>
    <row r="12" customFormat="false" ht="15" hidden="false" customHeight="false" outlineLevel="0" collapsed="false">
      <c r="A12" s="0" t="s">
        <v>17</v>
      </c>
      <c r="B12" s="2" t="n">
        <v>0.15</v>
      </c>
      <c r="C12" s="3" t="s">
        <v>5</v>
      </c>
    </row>
    <row r="13" customFormat="false" ht="15" hidden="false" customHeight="false" outlineLevel="0" collapsed="false">
      <c r="A13" s="0" t="s">
        <v>18</v>
      </c>
      <c r="B13" s="2" t="n">
        <v>1</v>
      </c>
      <c r="C13" s="3" t="s">
        <v>5</v>
      </c>
    </row>
    <row r="14" customFormat="false" ht="15" hidden="false" customHeight="false" outlineLevel="0" collapsed="false">
      <c r="A14" s="0" t="s">
        <v>19</v>
      </c>
      <c r="B14" s="2" t="n">
        <v>0</v>
      </c>
      <c r="C14" s="3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0"/>
    <col collapsed="false" customWidth="true" hidden="false" outlineLevel="0" max="3" min="3" style="0" width="28"/>
  </cols>
  <sheetData>
    <row r="1" customFormat="false" ht="15" hidden="false" customHeight="false" outlineLevel="0" collapsed="false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34</v>
      </c>
      <c r="P1" s="3" t="s">
        <v>35</v>
      </c>
      <c r="Q1" s="3" t="s">
        <v>36</v>
      </c>
      <c r="R1" s="3" t="s">
        <v>37</v>
      </c>
      <c r="S1" s="3" t="s">
        <v>38</v>
      </c>
    </row>
    <row r="2" customFormat="false" ht="15" hidden="false" customHeight="false" outlineLevel="0" collapsed="false">
      <c r="A2" s="0" t="s">
        <v>39</v>
      </c>
      <c r="B2" s="0" t="s">
        <v>40</v>
      </c>
      <c r="C2" s="0" t="s">
        <v>41</v>
      </c>
      <c r="D2" s="0" t="s">
        <v>42</v>
      </c>
      <c r="E2" s="0" t="n">
        <v>2</v>
      </c>
      <c r="F2" s="0" t="s">
        <v>43</v>
      </c>
      <c r="H2" s="0" t="n">
        <v>1400000</v>
      </c>
      <c r="I2" s="0" t="n">
        <v>1400000</v>
      </c>
      <c r="J2" s="0" t="n">
        <v>1400000</v>
      </c>
      <c r="K2" s="0" t="n">
        <v>1450000</v>
      </c>
      <c r="L2" s="0" t="n">
        <v>1450000</v>
      </c>
      <c r="M2" s="0" t="n">
        <v>1450000</v>
      </c>
      <c r="N2" s="0" t="n">
        <v>1470000</v>
      </c>
      <c r="O2" s="0" t="n">
        <v>1470000</v>
      </c>
      <c r="P2" s="0" t="n">
        <v>1470000</v>
      </c>
      <c r="Q2" s="0" t="n">
        <v>1533333</v>
      </c>
      <c r="R2" s="0" t="n">
        <v>1533333</v>
      </c>
      <c r="S2" s="0" t="n">
        <v>1533334</v>
      </c>
    </row>
    <row r="3" customFormat="false" ht="15" hidden="false" customHeight="false" outlineLevel="0" collapsed="false">
      <c r="A3" s="0" t="s">
        <v>44</v>
      </c>
      <c r="B3" s="0" t="s">
        <v>45</v>
      </c>
      <c r="C3" s="0" t="s">
        <v>41</v>
      </c>
      <c r="D3" s="0" t="s">
        <v>42</v>
      </c>
      <c r="E3" s="0" t="n">
        <v>3</v>
      </c>
      <c r="F3" s="0" t="s">
        <v>43</v>
      </c>
      <c r="H3" s="0" t="n">
        <v>833333</v>
      </c>
      <c r="I3" s="0" t="n">
        <v>833333</v>
      </c>
      <c r="J3" s="0" t="n">
        <v>833334</v>
      </c>
      <c r="K3" s="0" t="n">
        <v>860000</v>
      </c>
      <c r="L3" s="0" t="n">
        <v>860000</v>
      </c>
      <c r="M3" s="0" t="n">
        <v>860000</v>
      </c>
      <c r="N3" s="0" t="n">
        <v>866667</v>
      </c>
      <c r="O3" s="0" t="n">
        <v>866667</v>
      </c>
      <c r="P3" s="0" t="n">
        <v>866666</v>
      </c>
      <c r="Q3" s="0" t="n">
        <v>900000</v>
      </c>
      <c r="R3" s="0" t="n">
        <v>900000</v>
      </c>
      <c r="S3" s="0" t="n">
        <v>900000</v>
      </c>
    </row>
    <row r="4" customFormat="false" ht="15" hidden="false" customHeight="false" outlineLevel="0" collapsed="false">
      <c r="A4" s="0" t="s">
        <v>46</v>
      </c>
      <c r="B4" s="0" t="s">
        <v>47</v>
      </c>
      <c r="C4" s="0" t="s">
        <v>41</v>
      </c>
      <c r="D4" s="0" t="s">
        <v>42</v>
      </c>
      <c r="E4" s="0" t="n">
        <v>4</v>
      </c>
      <c r="F4" s="0" t="s">
        <v>43</v>
      </c>
      <c r="H4" s="0" t="n">
        <v>300000</v>
      </c>
      <c r="I4" s="0" t="n">
        <v>300000</v>
      </c>
      <c r="J4" s="0" t="n">
        <v>300000</v>
      </c>
      <c r="K4" s="0" t="n">
        <v>306667</v>
      </c>
      <c r="L4" s="0" t="n">
        <v>306667</v>
      </c>
      <c r="M4" s="0" t="n">
        <v>306666</v>
      </c>
      <c r="N4" s="0" t="n">
        <v>316667</v>
      </c>
      <c r="O4" s="0" t="n">
        <v>316667</v>
      </c>
      <c r="P4" s="0" t="n">
        <v>316666</v>
      </c>
      <c r="Q4" s="0" t="n">
        <v>326667</v>
      </c>
      <c r="R4" s="0" t="n">
        <v>326667</v>
      </c>
      <c r="S4" s="0" t="n">
        <v>326666</v>
      </c>
    </row>
    <row r="5" customFormat="false" ht="15" hidden="false" customHeight="false" outlineLevel="0" collapsed="false">
      <c r="A5" s="0" t="s">
        <v>48</v>
      </c>
      <c r="B5" s="0" t="s">
        <v>49</v>
      </c>
      <c r="C5" s="0" t="s">
        <v>41</v>
      </c>
      <c r="D5" s="0" t="s">
        <v>50</v>
      </c>
      <c r="E5" s="0" t="n">
        <v>4</v>
      </c>
      <c r="F5" s="0" t="s">
        <v>51</v>
      </c>
      <c r="H5" s="0" t="n">
        <v>3200000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1" t="s">
        <v>52</v>
      </c>
      <c r="B1" s="1" t="s">
        <v>1</v>
      </c>
      <c r="C1" s="1" t="s">
        <v>53</v>
      </c>
    </row>
    <row r="2" customFormat="false" ht="15" hidden="false" customHeight="false" outlineLevel="0" collapsed="false">
      <c r="A2" s="0" t="s">
        <v>54</v>
      </c>
      <c r="B2" s="0" t="n">
        <f aca="false">(SUM('Source Data'!$H$2:$S$2))*Inputs!$B$6</f>
        <v>17560</v>
      </c>
      <c r="C2" s="0" t="s">
        <v>55</v>
      </c>
    </row>
    <row r="3" customFormat="false" ht="15" hidden="false" customHeight="false" outlineLevel="0" collapsed="false">
      <c r="A3" s="0" t="s">
        <v>56</v>
      </c>
      <c r="B3" s="0" t="n">
        <f aca="false">(SUM('Source Data'!$H$2:$S$2))*Inputs!$B$6-ABS(SUM('Source Data'!$H$3:$S$3))*Inputs!$B$6-ABS(SUM('Source Data'!$H$4:$S$4))*Inputs!$B$6</f>
        <v>3430</v>
      </c>
      <c r="C3" s="0" t="s">
        <v>57</v>
      </c>
    </row>
    <row r="4" customFormat="false" ht="15" hidden="false" customHeight="false" outlineLevel="0" collapsed="false">
      <c r="A4" s="0" t="s">
        <v>58</v>
      </c>
      <c r="B4" s="0" t="n">
        <f aca="false">Valuation!$B$3+Inputs!$B$11</f>
        <v>3550</v>
      </c>
      <c r="C4" s="0" t="s">
        <v>59</v>
      </c>
    </row>
    <row r="5" customFormat="false" ht="15" hidden="false" customHeight="false" outlineLevel="0" collapsed="false">
      <c r="A5" s="0" t="s">
        <v>60</v>
      </c>
      <c r="B5" s="0" t="n">
        <f aca="false">Valuation!$B$4*Inputs!$B$7</f>
        <v>33725</v>
      </c>
      <c r="C5" s="0" t="s">
        <v>61</v>
      </c>
    </row>
    <row r="6" customFormat="false" ht="15" hidden="false" customHeight="false" outlineLevel="0" collapsed="false">
      <c r="A6" s="0" t="s">
        <v>62</v>
      </c>
      <c r="B6" s="0" t="n">
        <f aca="false">Valuation!$B$2*Inputs!$B$8</f>
        <v>0</v>
      </c>
      <c r="C6" s="0" t="s">
        <v>63</v>
      </c>
    </row>
    <row r="7" customFormat="false" ht="15" hidden="false" customHeight="false" outlineLevel="0" collapsed="false">
      <c r="A7" s="0" t="s">
        <v>64</v>
      </c>
      <c r="B7" s="0" t="n">
        <f aca="false">Valuation!$B$5*Inputs!$B$9+Valuation!$B$6*Inputs!$B$10</f>
        <v>33725</v>
      </c>
      <c r="C7" s="0" t="s">
        <v>65</v>
      </c>
    </row>
    <row r="8" customFormat="false" ht="15" hidden="false" customHeight="false" outlineLevel="0" collapsed="false">
      <c r="A8" s="0" t="s">
        <v>49</v>
      </c>
      <c r="B8" s="0" t="n">
        <f aca="false">(SUM('Source Data'!$H$5:$H$5))*Inputs!$B$6</f>
        <v>3200</v>
      </c>
      <c r="C8" s="0" t="s">
        <v>66</v>
      </c>
    </row>
    <row r="9" customFormat="false" ht="15" hidden="false" customHeight="false" outlineLevel="0" collapsed="false">
      <c r="A9" s="0" t="s">
        <v>67</v>
      </c>
      <c r="B9" s="0" t="n">
        <f aca="false">Inputs!$B$14</f>
        <v>0</v>
      </c>
      <c r="C9" s="0" t="s">
        <v>68</v>
      </c>
    </row>
    <row r="10" customFormat="false" ht="15" hidden="false" customHeight="false" outlineLevel="0" collapsed="false">
      <c r="A10" s="0" t="s">
        <v>69</v>
      </c>
      <c r="B10" s="0" t="n">
        <f aca="false">Valuation!$B$7-Valuation!$B$8-Valuation!$B$9</f>
        <v>30525</v>
      </c>
      <c r="C10" s="0" t="s">
        <v>70</v>
      </c>
    </row>
    <row r="11" customFormat="false" ht="15" hidden="false" customHeight="false" outlineLevel="0" collapsed="false">
      <c r="A11" s="0" t="s">
        <v>71</v>
      </c>
      <c r="B11" s="0" t="n">
        <f aca="false">Valuation!$B$10*(1-Inputs!$B$12)</f>
        <v>25946.25</v>
      </c>
      <c r="C11" s="0" t="s">
        <v>72</v>
      </c>
    </row>
    <row r="12" customFormat="false" ht="15" hidden="false" customHeight="false" outlineLevel="0" collapsed="false">
      <c r="A12" s="0" t="s">
        <v>73</v>
      </c>
      <c r="B12" s="0" t="n">
        <f aca="false">Valuation!$B$11*Inputs!$B$13</f>
        <v>25946.25</v>
      </c>
      <c r="C12" s="0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1" t="s">
        <v>75</v>
      </c>
      <c r="B1" s="1" t="s">
        <v>76</v>
      </c>
    </row>
    <row r="2" customFormat="false" ht="15" hidden="false" customHeight="false" outlineLevel="0" collapsed="false">
      <c r="A2" s="0" t="s">
        <v>77</v>
      </c>
      <c r="B2" s="6" t="b">
        <f aca="false">ABS(Inputs!$B$9+Inputs!$B$10-1)&lt;0.000001</f>
        <v>1</v>
      </c>
    </row>
    <row r="3" customFormat="false" ht="15" hidden="false" customHeight="false" outlineLevel="0" collapsed="false">
      <c r="A3" s="0" t="s">
        <v>78</v>
      </c>
      <c r="B3" s="6" t="b">
        <f aca="false">COUNT('Source Data'!$H$2:$S$2)=12</f>
        <v>1</v>
      </c>
    </row>
    <row r="4" customFormat="false" ht="15" hidden="false" customHeight="false" outlineLevel="0" collapsed="false">
      <c r="A4" s="0" t="s">
        <v>79</v>
      </c>
      <c r="B4" s="6" t="b">
        <f aca="false">COUNT('Source Data'!$H$3:$S$3)=12</f>
        <v>1</v>
      </c>
    </row>
    <row r="5" customFormat="false" ht="15" hidden="false" customHeight="false" outlineLevel="0" collapsed="false">
      <c r="A5" s="0" t="s">
        <v>80</v>
      </c>
      <c r="B5" s="6" t="b">
        <f aca="false">COUNT('Source Data'!$H$4:$S$4)=12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81</v>
      </c>
      <c r="H1" s="5" t="s">
        <v>82</v>
      </c>
      <c r="I1" s="5" t="s">
        <v>83</v>
      </c>
    </row>
    <row r="2" customFormat="false" ht="15" hidden="false" customHeight="false" outlineLevel="0" collapsed="false">
      <c r="A2" s="0" t="s">
        <v>39</v>
      </c>
      <c r="B2" s="0" t="s">
        <v>40</v>
      </c>
      <c r="C2" s="0" t="s">
        <v>41</v>
      </c>
      <c r="D2" s="0" t="s">
        <v>42</v>
      </c>
      <c r="E2" s="0" t="n">
        <v>2</v>
      </c>
      <c r="F2" s="0" t="s">
        <v>43</v>
      </c>
      <c r="G2" s="0" t="s">
        <v>84</v>
      </c>
      <c r="H2" s="0" t="s">
        <v>85</v>
      </c>
      <c r="I2" s="0" t="s">
        <v>86</v>
      </c>
    </row>
    <row r="3" customFormat="false" ht="15" hidden="false" customHeight="false" outlineLevel="0" collapsed="false">
      <c r="A3" s="0" t="s">
        <v>44</v>
      </c>
      <c r="B3" s="0" t="s">
        <v>45</v>
      </c>
      <c r="C3" s="0" t="s">
        <v>41</v>
      </c>
      <c r="D3" s="0" t="s">
        <v>42</v>
      </c>
      <c r="E3" s="0" t="n">
        <v>3</v>
      </c>
      <c r="F3" s="0" t="s">
        <v>43</v>
      </c>
      <c r="G3" s="0" t="s">
        <v>84</v>
      </c>
      <c r="H3" s="0" t="s">
        <v>85</v>
      </c>
      <c r="I3" s="0" t="s">
        <v>87</v>
      </c>
    </row>
    <row r="4" customFormat="false" ht="15" hidden="false" customHeight="false" outlineLevel="0" collapsed="false">
      <c r="A4" s="0" t="s">
        <v>46</v>
      </c>
      <c r="B4" s="0" t="s">
        <v>47</v>
      </c>
      <c r="C4" s="0" t="s">
        <v>41</v>
      </c>
      <c r="D4" s="0" t="s">
        <v>42</v>
      </c>
      <c r="E4" s="0" t="n">
        <v>4</v>
      </c>
      <c r="F4" s="0" t="s">
        <v>43</v>
      </c>
      <c r="G4" s="0" t="s">
        <v>84</v>
      </c>
      <c r="H4" s="0" t="s">
        <v>85</v>
      </c>
      <c r="I4" s="0" t="s">
        <v>88</v>
      </c>
    </row>
    <row r="5" customFormat="false" ht="15" hidden="false" customHeight="false" outlineLevel="0" collapsed="false">
      <c r="A5" s="0" t="s">
        <v>48</v>
      </c>
      <c r="B5" s="0" t="s">
        <v>49</v>
      </c>
      <c r="C5" s="0" t="s">
        <v>41</v>
      </c>
      <c r="D5" s="0" t="s">
        <v>50</v>
      </c>
      <c r="E5" s="0" t="n">
        <v>4</v>
      </c>
      <c r="F5" s="0" t="s">
        <v>51</v>
      </c>
      <c r="G5" s="0" t="s">
        <v>89</v>
      </c>
      <c r="H5" s="0" t="s">
        <v>85</v>
      </c>
      <c r="I5" s="0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2026-09-28T20:21:53Z</dcterms:created>
  <dc:creator>openpyxl</dc:creator>
  <dc:description/>
  <dc:language>en-US</dc:language>
  <cp:lastModifiedBy/>
  <dcterms:modified xsi:type="dcterms:W3CDTF">2026-09-28T20:21:53Z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