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<sst xmlns="http://schemas.openxmlformats.org/spreadsheetml/2006/main" count="23" uniqueCount="23">
  <si>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</si>
  <si>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</si>
  <si>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</si>
  <si>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</si>
  <si>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</si>
  <si>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Q3-25</t>
  </si>
  <si>
    <t xml:space="preserve">Q4-25</t>
  </si>
  <si>
    <t xml:space="preserve">Q1-26</t>
  </si>
  <si>
    <t xml:space="preserve">Q2-26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</si>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</sst>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3" customFormat="false" ht="15" hidden="false" customHeight="false" outlineLevel="0" collapsed="false">
      <c r="A3" s="0" t="s">
        <v>2</v>
      </c>
      <c r="B3" s="0" t="n">
        <v>9.5</v>
      </c>
    </row>
    <row r="4" customFormat="false" ht="15" hidden="false" customHeight="false" outlineLevel="0" collapsed="false">
      <c r="A4" s="0" t="s">
        <v>3</v>
      </c>
      <c r="B4" s="0" t="n">
        <v>0.15</v>
      </c>
    </row>
    <row r="6" customFormat="false" ht="15" hidden="false" customHeight="false" outlineLevel="0" collapsed="false">
      <c r="B6" s="0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</row>
    <row r="2" customFormat="false" ht="15" hidden="false" customHeight="false" outlineLevel="0" collapsed="false">
      <c r="A2" s="0" t="s">
        <v>9</v>
      </c>
      <c r="B2" s="0" t="n">
        <v>4200</v>
      </c>
      <c r="C2" s="0" t="n">
        <v>4350</v>
      </c>
      <c r="D2" s="0" t="n">
        <v>4410</v>
      </c>
      <c r="E2" s="0" t="n">
        <v>4600</v>
      </c>
    </row>
    <row r="3" customFormat="false" ht="15" hidden="false" customHeight="false" outlineLevel="0" collapsed="false">
      <c r="A3" s="0" t="s">
        <v>10</v>
      </c>
      <c r="B3" s="0" t="n">
        <v>2500</v>
      </c>
      <c r="C3" s="0" t="n">
        <v>2580</v>
      </c>
      <c r="D3" s="0" t="n">
        <v>2600</v>
      </c>
      <c r="E3" s="0" t="n">
        <v>2700</v>
      </c>
    </row>
    <row r="4" customFormat="false" ht="15" hidden="false" customHeight="false" outlineLevel="0" collapsed="false">
      <c r="A4" s="0" t="s">
        <v>11</v>
      </c>
      <c r="B4" s="0" t="n">
        <v>900</v>
      </c>
      <c r="C4" s="0" t="n">
        <v>920</v>
      </c>
      <c r="D4" s="0" t="n">
        <v>950</v>
      </c>
      <c r="E4" s="0" t="n">
        <v>980</v>
      </c>
    </row>
    <row r="5" customFormat="false" ht="15" hidden="false" customHeight="false" outlineLevel="0" collapsed="false">
      <c r="A5" s="0" t="s">
        <v>12</v>
      </c>
      <c r="B5" s="0" t="n">
        <f aca="false">B2-B3-B4</f>
        <v>800</v>
      </c>
      <c r="C5" s="0" t="n">
        <f aca="false">C2-C3-C4</f>
        <v>850</v>
      </c>
      <c r="D5" s="0" t="n">
        <f aca="false">D2-D3-D4</f>
        <v>860</v>
      </c>
      <c r="E5" s="0" t="n">
        <f aca="false">E2-E3-E4</f>
        <v>920</v>
      </c>
    </row>
    <row r="6" customFormat="false" ht="15" hidden="false" customHeight="false" outlineLevel="0" collapsed="false">
      <c r="A6" s="0" t="s">
        <v>13</v>
      </c>
      <c r="B6" s="0" t="n">
        <f aca="false">B5/B2</f>
        <v>0.19047619047619</v>
      </c>
      <c r="C6" s="0" t="n">
        <f aca="false">C5/C2</f>
        <v>0.195402298850575</v>
      </c>
      <c r="D6" s="0" t="n">
        <f aca="false">D5/D2</f>
        <v>0.195011337868481</v>
      </c>
      <c r="E6" s="0" t="n">
        <f aca="false">E5/E2</f>
        <v>0.2</v>
      </c>
    </row>
    <row r="7" customFormat="false" ht="15" hidden="false" customHeight="false" outlineLevel="0" collapsed="false">
      <c r="A7" s="0" t="s">
        <v>14</v>
      </c>
      <c r="B7" s="0" t="e">
        <f aca="false">B2/0-1</f>
        <v>#DIV/0!</v>
      </c>
      <c r="C7" s="0" t="n">
        <f aca="false">C2/B2-1</f>
        <v>0.0357142857142858</v>
      </c>
      <c r="D7" s="0" t="n">
        <f aca="false">D2/C2-1</f>
        <v>0.0137931034482759</v>
      </c>
      <c r="E7" s="0" t="n">
        <f aca="false">E2/D2-1</f>
        <v>0.0430839002267573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n">
        <v>120</v>
      </c>
    </row>
    <row r="2" customFormat="false" ht="15" hidden="false" customHeight="false" outlineLevel="0" collapsed="false">
      <c r="A2" s="0" t="s">
        <v>16</v>
      </c>
      <c r="B2" s="0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n">
        <f aca="false">SUM(Quarterly!B5:E5)+Adjustments!B1</f>
        <v>3550</v>
      </c>
    </row>
    <row r="2" customFormat="false" ht="15" hidden="false" customHeight="false" outlineLevel="0" collapsed="false">
      <c r="A2" s="0" t="s">
        <v>18</v>
      </c>
      <c r="B2" s="0" t="n">
        <f aca="false">B1*Inputs!B3*Adjustments!B2</f>
        <v>37097.5</v>
      </c>
    </row>
    <row r="3" customFormat="false" ht="15" hidden="false" customHeight="false" outlineLevel="0" collapsed="false">
      <c r="A3" s="0" t="s">
        <v>19</v>
      </c>
      <c r="B3" s="0" t="n">
        <v>3200</v>
      </c>
    </row>
    <row r="4" customFormat="false" ht="15" hidden="false" customHeight="false" outlineLevel="0" collapsed="false">
      <c r="A4" s="0" t="s">
        <v>20</v>
      </c>
      <c r="B4" s="0" t="n">
        <f aca="false">B2-B3</f>
        <v>33897.5</v>
      </c>
    </row>
    <row r="5" customFormat="false" ht="15" hidden="false" customHeight="false" outlineLevel="0" collapsed="false">
      <c r="A5" s="0" t="s">
        <v>21</v>
      </c>
      <c r="B5" s="0" t="n">
        <f aca="false">B4*(1-Inputs!B4)</f>
        <v>28812.875</v>
      </c>
    </row>
    <row r="7" customFormat="false" ht="15" hidden="false" customHeight="false" outlineLevel="0" collapsed="false">
      <c r="A7" s="0" t="s">
        <v>22</v>
      </c>
      <c r="B7" s="0" t="n">
        <f aca="false">AVERAGE(Quarterly!B6:E6)</f>
        <v>0.195222456798811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2026-09-25T20:50:49Z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