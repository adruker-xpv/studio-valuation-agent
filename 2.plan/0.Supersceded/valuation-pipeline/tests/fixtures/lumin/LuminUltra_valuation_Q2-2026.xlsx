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ial Summary" sheetId="1" state="visible" r:id="rId3"/>
    <sheet name="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<sst xmlns="http://schemas.openxmlformats.org/spreadsheetml/2006/main" count="13" uniqueCount="13">
  <si>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Q1-26</t>
  </si>
  <si>
    <t xml:space="preserve">Q2-26</t>
  </si>
  <si>
    <t xml:space="preserve">Revenue</t>
  </si>
  <si>
    <t xml:space="preserve">Adjusted EBITDA</t>
  </si>
  <si>
    <t xml:space="preserve">Cash</t>
  </si>
  <si>
    <t xml:space="preserve">Long-term debt</t>
  </si>
  <si>
    <t xml:space="preserve">EV/EBITDA multiple</t>
  </si>
  <si>
    <t xml:space="preserve">EV/Revenue multiple</t>
  </si>
  <si>
    <t xml:space="preserve">LTM-ish EBITDA (2Q x2)</t>
  </si>
  <si>
    <t xml:space="preserve">LTM-ish revenue</t>
  </si>
  <si>
    <t xml:space="preserve">EV</t>
  </si>
  <si>
    <t xml:space="preserve">Net debt</t>
  </si>
  <si>
    <t xml:space="preserve">Equity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</si>
</sst>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8:A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8" customFormat="false" ht="15" hidden="false" customHeight="false" outlineLevel="0" collapsed="false">
      <c r="AH8" s="0" t="s">
        <v>0</v>
      </c>
      <c r="AI8" s="0" t="s">
        <v>1</v>
      </c>
    </row>
    <row r="9" customFormat="false" ht="15" hidden="false" customHeight="false" outlineLevel="0" collapsed="false">
      <c r="A9" s="0" t="s">
        <v>2</v>
      </c>
      <c r="AH9" s="0" t="n">
        <v>8700</v>
      </c>
      <c r="AI9" s="0" t="n">
        <v>9356.21641</v>
      </c>
    </row>
    <row r="11" customFormat="false" ht="15" hidden="false" customHeight="false" outlineLevel="0" collapsed="false">
      <c r="A11" s="0" t="s">
        <v>3</v>
      </c>
      <c r="AH11" s="0" t="n">
        <v>1230</v>
      </c>
      <c r="AI11" s="0" t="n">
        <v>1325</v>
      </c>
    </row>
    <row r="12" customFormat="false" ht="15" hidden="false" customHeight="false" outlineLevel="0" collapsed="false">
      <c r="A12" s="0" t="s">
        <v>4</v>
      </c>
      <c r="AI12" s="0" t="n">
        <v>1612.345</v>
      </c>
    </row>
    <row r="13" customFormat="false" ht="15" hidden="false" customHeight="false" outlineLevel="0" collapsed="false">
      <c r="A13" s="0" t="s">
        <v>5</v>
      </c>
      <c r="AI13" s="0" t="n">
        <v>4900</v>
      </c>
    </row>
    <row r="15" customFormat="false" ht="15" hidden="false" customHeight="false" outlineLevel="0" collapsed="false">
      <c r="A15" s="0" t="s">
        <v>6</v>
      </c>
      <c r="AI15" s="0" t="n">
        <v>11</v>
      </c>
    </row>
    <row r="16" customFormat="false" ht="15" hidden="false" customHeight="false" outlineLevel="0" collapsed="false">
      <c r="A16" s="0" t="s">
        <v>7</v>
      </c>
      <c r="AI16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</v>
      </c>
      <c r="B1" s="0" t="n">
        <f aca="false">('Financial Summary'!AH11+'Financial Summary'!AI11)*2</f>
        <v>5110</v>
      </c>
    </row>
    <row r="2" customFormat="false" ht="15" hidden="false" customHeight="false" outlineLevel="0" collapsed="false">
      <c r="A2" s="0" t="s">
        <v>9</v>
      </c>
      <c r="B2" s="0" t="n">
        <f aca="false">('Financial Summary'!AH9+'Financial Summary'!AI9)*2</f>
        <v>36112.43282</v>
      </c>
    </row>
    <row r="3" customFormat="false" ht="15" hidden="false" customHeight="false" outlineLevel="0" collapsed="false">
      <c r="A3" s="0" t="s">
        <v>10</v>
      </c>
      <c r="B3" s="0" t="n">
        <f aca="false">0.75*B1*'Financial Summary'!AI15+0.25*B2*'Financial Summary'!AI16</f>
        <v>60213.71641</v>
      </c>
    </row>
    <row r="4" customFormat="false" ht="15" hidden="false" customHeight="false" outlineLevel="0" collapsed="false">
      <c r="A4" s="0" t="s">
        <v>11</v>
      </c>
      <c r="B4" s="0" t="n">
        <f aca="false">'Financial Summary'!AI13-'Financial Summary'!AI12</f>
        <v>3287.655</v>
      </c>
    </row>
    <row r="5" customFormat="false" ht="15" hidden="false" customHeight="false" outlineLevel="0" collapsed="false">
      <c r="A5" s="0" t="s">
        <v>12</v>
      </c>
      <c r="B5" s="0" t="n">
        <f aca="false">B3-B4</f>
        <v>56926.06141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2026-09-29T16:25:57Z</dcterms:created>
  <dc:creator>openpyxl</dc:creator>
  <dc:description/>
  <dc:language>en-US</dc:language>
  <cp:lastModifiedBy/>
  <dcterms:modified xsi:type="dcterms:W3CDTF">2026-09-29T16:25:57Z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