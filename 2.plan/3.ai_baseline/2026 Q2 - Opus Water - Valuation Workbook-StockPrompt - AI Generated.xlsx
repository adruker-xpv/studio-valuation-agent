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comments/comment3.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4.xml" ContentType="application/vnd.openxmlformats-officedocument.spreadsheetml.comments+xml"/>
  <Override PartName="/xl/worksheets/sheet16.xml" ContentType="application/vnd.openxmlformats-officedocument.spreadsheetml.worksheet+xml"/>
  <Override PartName="/xl/comments/comment5.xml" ContentType="application/vnd.openxmlformats-officedocument.spreadsheetml.comments+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omments/comment6.xml" ContentType="application/vnd.openxmlformats-officedocument.spreadsheetml.comments+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comments/comment7.xml" ContentType="application/vnd.openxmlformats-officedocument.spreadsheetml.comments+xml"/>
  <Override PartName="/xl/worksheets/sheet25.xml" ContentType="application/vnd.openxmlformats-officedocument.spreadsheetml.worksheet+xml"/>
  <Override PartName="/xl/comments/comment8.xml" ContentType="application/vnd.openxmlformats-officedocument.spreadsheetml.comments+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7720" yWindow="-120" windowWidth="29040" windowHeight="15720" tabRatio="925" firstSheet="0" activeTab="2" autoFilterDateGrouping="1"/>
  </bookViews>
  <sheets>
    <sheet xmlns:r="http://schemas.openxmlformats.org/officeDocument/2006/relationships" name="I. Cover Page" sheetId="1" state="visible" r:id="rId1"/>
    <sheet xmlns:r="http://schemas.openxmlformats.org/officeDocument/2006/relationships" name="Build Report" sheetId="2" state="visible" r:id="rId2"/>
    <sheet xmlns:r="http://schemas.openxmlformats.org/officeDocument/2006/relationships" name="Source Lineage" sheetId="3" state="visible" r:id="rId3"/>
    <sheet xmlns:r="http://schemas.openxmlformats.org/officeDocument/2006/relationships" name="II. Attribution Summary" sheetId="4" state="visible" r:id="rId4"/>
    <sheet xmlns:r="http://schemas.openxmlformats.org/officeDocument/2006/relationships" name="III. Valuation Summary" sheetId="5" state="visible" r:id="rId5"/>
    <sheet xmlns:r="http://schemas.openxmlformats.org/officeDocument/2006/relationships" name="IV. EBITDA Adjustments" sheetId="6" state="visible" r:id="rId6"/>
    <sheet xmlns:r="http://schemas.openxmlformats.org/officeDocument/2006/relationships" name="V. Comparables" sheetId="7" state="visible" r:id="rId7"/>
    <sheet xmlns:r="http://schemas.openxmlformats.org/officeDocument/2006/relationships" name="VI. Comparables (Description)" sheetId="8" state="visible" r:id="rId8"/>
    <sheet xmlns:r="http://schemas.openxmlformats.org/officeDocument/2006/relationships" name="PB_CACHE" sheetId="9" state="veryHidden" r:id="rId9"/>
    <sheet xmlns:r="http://schemas.openxmlformats.org/officeDocument/2006/relationships" name="LP Report" sheetId="10" state="visible" r:id="rId10"/>
    <sheet xmlns:r="http://schemas.openxmlformats.org/officeDocument/2006/relationships" name="Back up &gt;&gt;" sheetId="11" state="visible" r:id="rId11"/>
    <sheet xmlns:r="http://schemas.openxmlformats.org/officeDocument/2006/relationships" name="Pro Forma Financials (Q1)" sheetId="12" state="visible" r:id="rId12"/>
    <sheet xmlns:r="http://schemas.openxmlformats.org/officeDocument/2006/relationships" name="EBITDA Adjustments 2026" sheetId="13" state="visible" r:id="rId13"/>
    <sheet xmlns:r="http://schemas.openxmlformats.org/officeDocument/2006/relationships" name="ToC" sheetId="14" state="visible" r:id="rId14"/>
    <sheet xmlns:r="http://schemas.openxmlformats.org/officeDocument/2006/relationships" name="Cap Table (Mar 2026)" sheetId="15" state="visible" r:id="rId15"/>
    <sheet xmlns:r="http://schemas.openxmlformats.org/officeDocument/2006/relationships" name="Cap Table (Dec 2025)" sheetId="16" state="visible" r:id="rId16"/>
    <sheet xmlns:r="http://schemas.openxmlformats.org/officeDocument/2006/relationships" name="Cap Table (Dec 2024)" sheetId="17" state="hidden" r:id="rId17"/>
    <sheet xmlns:r="http://schemas.openxmlformats.org/officeDocument/2006/relationships" name="IRR Calculation (Mar 2026)" sheetId="18" state="visible" r:id="rId18"/>
    <sheet xmlns:r="http://schemas.openxmlformats.org/officeDocument/2006/relationships" name="IRR Calculation (Dec 2025)" sheetId="19" state="visible" r:id="rId19"/>
    <sheet xmlns:r="http://schemas.openxmlformats.org/officeDocument/2006/relationships" name="IRR Calculation (Dec 2024)" sheetId="20" state="hidden" r:id="rId20"/>
    <sheet xmlns:r="http://schemas.openxmlformats.org/officeDocument/2006/relationships" name="Financial Summary" sheetId="21" state="visible" r:id="rId21"/>
    <sheet xmlns:r="http://schemas.openxmlformats.org/officeDocument/2006/relationships" name="PB_CACHE_JS" sheetId="22" state="veryHidden" r:id="rId22"/>
    <sheet xmlns:r="http://schemas.openxmlformats.org/officeDocument/2006/relationships" name="CACHE_CHARTS_JS" sheetId="23" state="veryHidden" r:id="rId23"/>
    <sheet xmlns:r="http://schemas.openxmlformats.org/officeDocument/2006/relationships" name="Pro Forma Financials (Q2)" sheetId="24" state="visible" r:id="rId24"/>
    <sheet xmlns:r="http://schemas.openxmlformats.org/officeDocument/2006/relationships" name="Cap Table (Jun 2026)" sheetId="25" state="visible" r:id="rId25"/>
    <sheet xmlns:r="http://schemas.openxmlformats.org/officeDocument/2006/relationships" name="IRR Calculation (Jun 2026)" sheetId="26" state="visible" r:id="rId26"/>
  </sheets>
  <externalReferences>
    <externalReference xmlns:r="http://schemas.openxmlformats.org/officeDocument/2006/relationships" r:id="rId27"/>
    <externalReference xmlns:r="http://schemas.openxmlformats.org/officeDocument/2006/relationships" r:id="rId28"/>
    <externalReference xmlns:r="http://schemas.openxmlformats.org/officeDocument/2006/relationships" r:id="rId29"/>
    <externalReference xmlns:r="http://schemas.openxmlformats.org/officeDocument/2006/relationships" r:id="rId30"/>
    <externalReference xmlns:r="http://schemas.openxmlformats.org/officeDocument/2006/relationships" r:id="rId31"/>
    <externalReference xmlns:r="http://schemas.openxmlformats.org/officeDocument/2006/relationships" r:id="rId32"/>
    <externalReference xmlns:r="http://schemas.openxmlformats.org/officeDocument/2006/relationships" r:id="rId33"/>
    <externalReference xmlns:r="http://schemas.openxmlformats.org/officeDocument/2006/relationships" r:id="rId34"/>
    <externalReference xmlns:r="http://schemas.openxmlformats.org/officeDocument/2006/relationships" r:id="rId35"/>
    <externalReference xmlns:r="http://schemas.openxmlformats.org/officeDocument/2006/relationships" r:id="rId36"/>
    <externalReference xmlns:r="http://schemas.openxmlformats.org/officeDocument/2006/relationships" r:id="rId37"/>
    <externalReference xmlns:r="http://schemas.openxmlformats.org/officeDocument/2006/relationships" r:id="rId38"/>
    <externalReference xmlns:r="http://schemas.openxmlformats.org/officeDocument/2006/relationships" r:id="rId39"/>
    <externalReference xmlns:r="http://schemas.openxmlformats.org/officeDocument/2006/relationships" r:id="rId40"/>
    <externalReference xmlns:r="http://schemas.openxmlformats.org/officeDocument/2006/relationships" r:id="rId41"/>
    <externalReference xmlns:r="http://schemas.openxmlformats.org/officeDocument/2006/relationships" r:id="rId42"/>
    <externalReference xmlns:r="http://schemas.openxmlformats.org/officeDocument/2006/relationships" r:id="rId43"/>
    <externalReference xmlns:r="http://schemas.openxmlformats.org/officeDocument/2006/relationships" r:id="rId44"/>
    <externalReference xmlns:r="http://schemas.openxmlformats.org/officeDocument/2006/relationships" r:id="rId45"/>
    <externalReference xmlns:r="http://schemas.openxmlformats.org/officeDocument/2006/relationships" r:id="rId46"/>
    <externalReference xmlns:r="http://schemas.openxmlformats.org/officeDocument/2006/relationships" r:id="rId47"/>
    <externalReference xmlns:r="http://schemas.openxmlformats.org/officeDocument/2006/relationships" r:id="rId48"/>
    <externalReference xmlns:r="http://schemas.openxmlformats.org/officeDocument/2006/relationships" r:id="rId49"/>
    <externalReference xmlns:r="http://schemas.openxmlformats.org/officeDocument/2006/relationships" r:id="rId50"/>
    <externalReference xmlns:r="http://schemas.openxmlformats.org/officeDocument/2006/relationships" r:id="rId51"/>
    <externalReference xmlns:r="http://schemas.openxmlformats.org/officeDocument/2006/relationships" r:id="rId52"/>
    <externalReference xmlns:r="http://schemas.openxmlformats.org/officeDocument/2006/relationships" r:id="rId53"/>
    <externalReference xmlns:r="http://schemas.openxmlformats.org/officeDocument/2006/relationships" r:id="rId54"/>
    <externalReference xmlns:r="http://schemas.openxmlformats.org/officeDocument/2006/relationships" r:id="rId55"/>
    <externalReference xmlns:r="http://schemas.openxmlformats.org/officeDocument/2006/relationships" r:id="rId56"/>
    <externalReference xmlns:r="http://schemas.openxmlformats.org/officeDocument/2006/relationships" r:id="rId57"/>
    <externalReference xmlns:r="http://schemas.openxmlformats.org/officeDocument/2006/relationships" r:id="rId58"/>
    <externalReference xmlns:r="http://schemas.openxmlformats.org/officeDocument/2006/relationships" r:id="rId59"/>
    <externalReference xmlns:r="http://schemas.openxmlformats.org/officeDocument/2006/relationships" r:id="rId60"/>
    <externalReference xmlns:r="http://schemas.openxmlformats.org/officeDocument/2006/relationships" r:id="rId61"/>
    <externalReference xmlns:r="http://schemas.openxmlformats.org/officeDocument/2006/relationships" r:id="rId62"/>
    <externalReference xmlns:r="http://schemas.openxmlformats.org/officeDocument/2006/relationships" r:id="rId63"/>
    <externalReference xmlns:r="http://schemas.openxmlformats.org/officeDocument/2006/relationships" r:id="rId64"/>
    <externalReference xmlns:r="http://schemas.openxmlformats.org/officeDocument/2006/relationships" r:id="rId65"/>
    <externalReference xmlns:r="http://schemas.openxmlformats.org/officeDocument/2006/relationships" r:id="rId66"/>
    <externalReference xmlns:r="http://schemas.openxmlformats.org/officeDocument/2006/relationships" r:id="rId67"/>
    <externalReference xmlns:r="http://schemas.openxmlformats.org/officeDocument/2006/relationships" r:id="rId68"/>
    <externalReference xmlns:r="http://schemas.openxmlformats.org/officeDocument/2006/relationships" r:id="rId69"/>
    <externalReference xmlns:r="http://schemas.openxmlformats.org/officeDocument/2006/relationships" r:id="rId70"/>
    <externalReference xmlns:r="http://schemas.openxmlformats.org/officeDocument/2006/relationships" r:id="rId71"/>
    <externalReference xmlns:r="http://schemas.openxmlformats.org/officeDocument/2006/relationships" r:id="rId72"/>
    <externalReference xmlns:r="http://schemas.openxmlformats.org/officeDocument/2006/relationships" r:id="rId73"/>
    <externalReference xmlns:r="http://schemas.openxmlformats.org/officeDocument/2006/relationships" r:id="rId74"/>
    <externalReference xmlns:r="http://schemas.openxmlformats.org/officeDocument/2006/relationships" r:id="rId75"/>
    <externalReference xmlns:r="http://schemas.openxmlformats.org/officeDocument/2006/relationships" r:id="rId76"/>
    <externalReference xmlns:r="http://schemas.openxmlformats.org/officeDocument/2006/relationships" r:id="rId77"/>
    <externalReference xmlns:r="http://schemas.openxmlformats.org/officeDocument/2006/relationships" r:id="rId78"/>
    <externalReference xmlns:r="http://schemas.openxmlformats.org/officeDocument/2006/relationships" r:id="rId79"/>
    <externalReference xmlns:r="http://schemas.openxmlformats.org/officeDocument/2006/relationships" r:id="rId80"/>
    <externalReference xmlns:r="http://schemas.openxmlformats.org/officeDocument/2006/relationships" r:id="rId81"/>
    <externalReference xmlns:r="http://schemas.openxmlformats.org/officeDocument/2006/relationships" r:id="rId82"/>
    <externalReference xmlns:r="http://schemas.openxmlformats.org/officeDocument/2006/relationships" r:id="rId83"/>
    <externalReference xmlns:r="http://schemas.openxmlformats.org/officeDocument/2006/relationships" r:id="rId84"/>
    <externalReference xmlns:r="http://schemas.openxmlformats.org/officeDocument/2006/relationships" r:id="rId85"/>
    <externalReference xmlns:r="http://schemas.openxmlformats.org/officeDocument/2006/relationships" r:id="rId86"/>
    <externalReference xmlns:r="http://schemas.openxmlformats.org/officeDocument/2006/relationships" r:id="rId87"/>
    <externalReference xmlns:r="http://schemas.openxmlformats.org/officeDocument/2006/relationships" r:id="rId88"/>
    <externalReference xmlns:r="http://schemas.openxmlformats.org/officeDocument/2006/relationships" r:id="rId89"/>
    <externalReference xmlns:r="http://schemas.openxmlformats.org/officeDocument/2006/relationships" r:id="rId90"/>
  </externalReferences>
  <definedNames>
    <definedName name="\" hidden="1">{"kricash",#N/A,FALSE,"INC";"kriinc",#N/A,FALSE,"INC";"krimiami",#N/A,FALSE,"INC";"kriother",#N/A,FALSE,"INC";"kripapers",#N/A,FALSE,"INC"}</definedName>
    <definedName name="____________________________ww2" hidden="1">{#N/A,#N/A,FALSE,"Admin";#N/A,#N/A,FALSE,"Other"}</definedName>
    <definedName name="______________ww2" hidden="1">{#N/A,#N/A,FALSE,"Admin";#N/A,#N/A,FALSE,"Other"}</definedName>
    <definedName name="_____________t2" hidden="1">{"'Sheet1'!$A$5:$G$42"}</definedName>
    <definedName name="_____________wrn2" hidden="1">{"arpm1995",#N/A,FALSE,"Summary 95-96";"bus_long_distance",#N/A,FALSE,"Summary 95-96";"mins_per_day",#N/A,FALSE,"Summary 95-96";"minutes1995",#N/A,FALSE,"Summary 95-96";"rev_per_day",#N/A,FALSE,"Summary 95-96";"view1995",#N/A,FALSE,"Summary 95-96"}</definedName>
    <definedName name="_____________ww2" hidden="1">{#N/A,#N/A,FALSE,"Admin";#N/A,#N/A,FALSE,"Other"}</definedName>
    <definedName name="____________t2" hidden="1">{"'Sheet1'!$A$5:$G$42"}</definedName>
    <definedName name="____________wrn2" hidden="1">{"arpm1995",#N/A,FALSE,"Summary 95-96";"bus_long_distance",#N/A,FALSE,"Summary 95-96";"mins_per_day",#N/A,FALSE,"Summary 95-96";"minutes1995",#N/A,FALSE,"Summary 95-96";"rev_per_day",#N/A,FALSE,"Summary 95-96";"view1995",#N/A,FALSE,"Summary 95-96"}</definedName>
    <definedName name="____________ww2" hidden="1">{#N/A,#N/A,FALSE,"Admin";#N/A,#N/A,FALSE,"Other"}</definedName>
    <definedName name="___________ww2" hidden="1">{#N/A,#N/A,FALSE,"Admin";#N/A,#N/A,FALSE,"Other"}</definedName>
    <definedName name="__________t2" hidden="1">{"'Sheet1'!$A$5:$G$42"}</definedName>
    <definedName name="__________wrn2" hidden="1">{"arpm1995",#N/A,FALSE,"Summary 95-96";"bus_long_distance",#N/A,FALSE,"Summary 95-96";"mins_per_day",#N/A,FALSE,"Summary 95-96";"minutes1995",#N/A,FALSE,"Summary 95-96";"rev_per_day",#N/A,FALSE,"Summary 95-96";"view1995",#N/A,FALSE,"Summary 95-96"}</definedName>
    <definedName name="__________ww2" hidden="1">{#N/A,#N/A,FALSE,"Admin";#N/A,#N/A,FALSE,"Other"}</definedName>
    <definedName name="_________I2" hidden="1">{"PVGraph2",#N/A,FALSE,"PV Data"}</definedName>
    <definedName name="_________I3" hidden="1">{"PVGraph2",#N/A,FALSE,"PV Data"}</definedName>
    <definedName name="_________t2" hidden="1">{"'Sheet1'!$A$5:$G$42"}</definedName>
    <definedName name="_________w1" hidden="1">{"PVGraph2",#N/A,FALSE,"PV Data"}</definedName>
    <definedName name="_________w2" hidden="1">{"PVGraph2",#N/A,FALSE,"PV Data"}</definedName>
    <definedName name="_________w3" hidden="1">{"PVGraph2",#N/A,FALSE,"PV Data"}</definedName>
    <definedName name="_________wrn2" hidden="1">{"arpm1995",#N/A,FALSE,"Summary 95-96";"bus_long_distance",#N/A,FALSE,"Summary 95-96";"mins_per_day",#N/A,FALSE,"Summary 95-96";"minutes1995",#N/A,FALSE,"Summary 95-96";"rev_per_day",#N/A,FALSE,"Summary 95-96";"view1995",#N/A,FALSE,"Summary 95-96"}</definedName>
    <definedName name="_________ww2" hidden="1">{#N/A,#N/A,FALSE,"Admin";#N/A,#N/A,FALSE,"Other"}</definedName>
    <definedName name="_________y2" hidden="1">{"PVGraph2",#N/A,FALSE,"PV Data"}</definedName>
    <definedName name="________I2" hidden="1">{"PVGraph2",#N/A,FALSE,"PV Data"}</definedName>
    <definedName name="________I3" hidden="1">{"PVGraph2",#N/A,FALSE,"PV Data"}</definedName>
    <definedName name="________t2" hidden="1">{"'Sheet1'!$A$5:$G$42"}</definedName>
    <definedName name="________w1" hidden="1">{"PVGraph2",#N/A,FALSE,"PV Data"}</definedName>
    <definedName name="________w2" hidden="1">{"PVGraph2",#N/A,FALSE,"PV Data"}</definedName>
    <definedName name="________w3" hidden="1">{"PVGraph2",#N/A,FALSE,"PV Data"}</definedName>
    <definedName name="________wrn2" hidden="1">{"arpm1995",#N/A,FALSE,"Summary 95-96";"bus_long_distance",#N/A,FALSE,"Summary 95-96";"mins_per_day",#N/A,FALSE,"Summary 95-96";"minutes1995",#N/A,FALSE,"Summary 95-96";"rev_per_day",#N/A,FALSE,"Summary 95-96";"view1995",#N/A,FALSE,"Summary 95-96"}</definedName>
    <definedName name="________ww2" hidden="1">{#N/A,#N/A,FALSE,"Admin";#N/A,#N/A,FALSE,"Other"}</definedName>
    <definedName name="________y2" hidden="1">{"PVGraph2",#N/A,FALSE,"PV Data"}</definedName>
    <definedName name="_______I2" hidden="1">{"PVGraph2",#N/A,FALSE,"PV Data"}</definedName>
    <definedName name="_______I3" hidden="1">{"PVGraph2",#N/A,FALSE,"PV Data"}</definedName>
    <definedName name="_______t2" hidden="1">{"'Sheet1'!$A$5:$G$42"}</definedName>
    <definedName name="_______w1" hidden="1">{"PVGraph2",#N/A,FALSE,"PV Data"}</definedName>
    <definedName name="_______w2" hidden="1">{"PVGraph2",#N/A,FALSE,"PV Data"}</definedName>
    <definedName name="_______w3" hidden="1">{"PVGraph2",#N/A,FALSE,"PV Data"}</definedName>
    <definedName name="_______wrn2" hidden="1">{"arpm1995",#N/A,FALSE,"Summary 95-96";"bus_long_distance",#N/A,FALSE,"Summary 95-96";"mins_per_day",#N/A,FALSE,"Summary 95-96";"minutes1995",#N/A,FALSE,"Summary 95-96";"rev_per_day",#N/A,FALSE,"Summary 95-96";"view1995",#N/A,FALSE,"Summary 95-96"}</definedName>
    <definedName name="_______ww2" hidden="1">{#N/A,#N/A,FALSE,"Admin";#N/A,#N/A,FALSE,"Other"}</definedName>
    <definedName name="_______y2" hidden="1">{"PVGraph2",#N/A,FALSE,"PV Data"}</definedName>
    <definedName name="______I2" hidden="1">{"PVGraph2",#N/A,FALSE,"PV Data"}</definedName>
    <definedName name="______I3" hidden="1">{"PVGraph2",#N/A,FALSE,"PV Data"}</definedName>
    <definedName name="______t2" hidden="1">{"'Sheet1'!$A$5:$G$42"}</definedName>
    <definedName name="______w1" hidden="1">{"PVGraph2",#N/A,FALSE,"PV Data"}</definedName>
    <definedName name="______w2" hidden="1">{"PVGraph2",#N/A,FALSE,"PV Data"}</definedName>
    <definedName name="______w3" hidden="1">{"PVGraph2",#N/A,FALSE,"PV Data"}</definedName>
    <definedName name="______WHO2" hidden="1">{#N/A,#N/A,FALSE,"SUMMARY";#N/A,#N/A,FALSE,"DETAIL";#N/A,#N/A,FALSE,"VARIANCE"}</definedName>
    <definedName name="______wrn2" hidden="1">{"arpm1995",#N/A,FALSE,"Summary 95-96";"bus_long_distance",#N/A,FALSE,"Summary 95-96";"mins_per_day",#N/A,FALSE,"Summary 95-96";"minutes1995",#N/A,FALSE,"Summary 95-96";"rev_per_day",#N/A,FALSE,"Summary 95-96";"view1995",#N/A,FALSE,"Summary 95-96"}</definedName>
    <definedName name="______ww2" hidden="1">{#N/A,#N/A,FALSE,"Admin";#N/A,#N/A,FALSE,"Other"}</definedName>
    <definedName name="______y2" hidden="1">{"PVGraph2",#N/A,FALSE,"PV Data"}</definedName>
    <definedName name="_____I2" hidden="1">{"PVGraph2",#N/A,FALSE,"PV Data"}</definedName>
    <definedName name="_____I3" hidden="1">{"PVGraph2",#N/A,FALSE,"PV Data"}</definedName>
    <definedName name="_____q3" hidden="1">#REF!</definedName>
    <definedName name="_____t2" hidden="1">{"'Sheet1'!$A$5:$G$42"}</definedName>
    <definedName name="_____w1" hidden="1">{"PVGraph2",#N/A,FALSE,"PV Data"}</definedName>
    <definedName name="_____w2" hidden="1">{"PVGraph2",#N/A,FALSE,"PV Data"}</definedName>
    <definedName name="_____w3" hidden="1">{"PVGraph2",#N/A,FALSE,"PV Data"}</definedName>
    <definedName name="_____wrn2" hidden="1">{#N/A,#N/A,FALSE,"ASSUMPTIONS";#N/A,#N/A,FALSE,"Valuation Summary";"page1",#N/A,FALSE,"PRESENTATION";"page2",#N/A,FALSE,"PRESENTATION";#N/A,#N/A,FALSE,"ORIGINAL_ROLLBACK"}</definedName>
    <definedName name="_____wrn3" hidden="1">{#N/A,#N/A,FALSE,"ASSUMPTIONS";#N/A,#N/A,FALSE,"Valuation Summary";"page1",#N/A,FALSE,"PRESENTATION";"page2",#N/A,FALSE,"PRESENTATION";#N/A,#N/A,FALSE,"ORIGINAL_ROLLBACK"}</definedName>
    <definedName name="_____ww2" hidden="1">{#N/A,#N/A,FALSE,"Admin";#N/A,#N/A,FALSE,"Other"}</definedName>
    <definedName name="_____y2" hidden="1">{"PVGraph2",#N/A,FALSE,"PV Data"}</definedName>
    <definedName name="____age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f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j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kj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I2" hidden="1">{"PVGraph2",#N/A,FALSE,"PV Data"}</definedName>
    <definedName name="____I3" hidden="1">{"PVGraph2",#N/A,FALSE,"PV Data"}</definedName>
    <definedName name="____o1" hidden="1">{#N/A,#N/A,FALSE,"SUMMARY";#N/A,#N/A,FALSE,"mcsh";#N/A,#N/A,FALSE,"vol&amp;rev";#N/A,#N/A,FALSE,"wkgcap";#N/A,#N/A,FALSE,"DEPR&amp;DT";#N/A,#N/A,FALSE,"ASSETS";#N/A,#N/A,FALSE,"NI&amp;OTH&amp;DIV";#N/A,#N/A,FALSE,"CASHFLOW";#N/A,#N/A,FALSE,"CAPEMPL";#N/A,#N/A,FALSE,"ROCE"}</definedName>
    <definedName name="____q3" hidden="1">#REF!</definedName>
    <definedName name="____t2" hidden="1">{"'Sheet1'!$A$5:$G$42"}</definedName>
    <definedName name="____w1" hidden="1">{"PVGraph2",#N/A,FALSE,"PV Data"}</definedName>
    <definedName name="____w2" hidden="1">{"PVGraph2",#N/A,FALSE,"PV Data"}</definedName>
    <definedName name="____w3" hidden="1">{"PVGraph2",#N/A,FALSE,"PV Data"}</definedName>
    <definedName name="____WHO2" hidden="1">{#N/A,#N/A,FALSE,"SUMMARY";#N/A,#N/A,FALSE,"DETAIL";#N/A,#N/A,FALSE,"VARIANCE"}</definedName>
    <definedName name="____wr3" hidden="1">{#N/A,#N/A,FALSE,"ASSUMPTIONS";#N/A,#N/A,FALSE,"Valuation Summary";"page1",#N/A,FALSE,"PRESENTATION";"page2",#N/A,FALSE,"PRESENTATION";#N/A,#N/A,FALSE,"ORIGINAL_ROLLBACK"}</definedName>
    <definedName name="____wrn2" hidden="1">{#N/A,#N/A,FALSE,"ASSUMPTIONS";#N/A,#N/A,FALSE,"Valuation Summary";"page1",#N/A,FALSE,"PRESENTATION";"page2",#N/A,FALSE,"PRESENTATION";#N/A,#N/A,FALSE,"ORIGINAL_ROLLBACK"}</definedName>
    <definedName name="____wrn3" hidden="1">{#N/A,#N/A,FALSE,"ASSUMPTIONS";#N/A,#N/A,FALSE,"Valuation Summary";"page1",#N/A,FALSE,"PRESENTATION";"page2",#N/A,FALSE,"PRESENTATION";#N/A,#N/A,FALSE,"ORIGINAL_ROLLBACK"}</definedName>
    <definedName name="____ww2" hidden="1">{#N/A,#N/A,FALSE,"Admin";#N/A,#N/A,FALSE,"Other"}</definedName>
    <definedName name="____y2" hidden="1">{"PVGraph2",#N/A,FALSE,"PV Data"}</definedName>
    <definedName name="___I2" hidden="1">{"PVGraph2",#N/A,FALSE,"PV Data"}</definedName>
    <definedName name="___I3" hidden="1">{"PVGraph2",#N/A,FALSE,"PV Data"}</definedName>
    <definedName name="___o1" hidden="1">{#N/A,#N/A,FALSE,"SUMMARY";#N/A,#N/A,FALSE,"mcsh";#N/A,#N/A,FALSE,"vol&amp;rev";#N/A,#N/A,FALSE,"wkgcap";#N/A,#N/A,FALSE,"DEPR&amp;DT";#N/A,#N/A,FALSE,"ASSETS";#N/A,#N/A,FALSE,"NI&amp;OTH&amp;DIV";#N/A,#N/A,FALSE,"CASHFLOW";#N/A,#N/A,FALSE,"CAPEMPL";#N/A,#N/A,FALSE,"ROCE"}</definedName>
    <definedName name="___q3" hidden="1">#REF!</definedName>
    <definedName name="___t2" hidden="1">{"'Sheet1'!$A$5:$G$42"}</definedName>
    <definedName name="___w1" hidden="1">{"PVGraph2",#N/A,FALSE,"PV Data"}</definedName>
    <definedName name="___w2" hidden="1">{"PVGraph2",#N/A,FALSE,"PV Data"}</definedName>
    <definedName name="___w3" hidden="1">{"PVGraph2",#N/A,FALSE,"PV Data"}</definedName>
    <definedName name="___wrn2" hidden="1">{#N/A,#N/A,FALSE,"ASSUMPTIONS";#N/A,#N/A,FALSE,"Valuation Summary";"page1",#N/A,FALSE,"PRESENTATION";"page2",#N/A,FALSE,"PRESENTATION";#N/A,#N/A,FALSE,"ORIGINAL_ROLLBACK"}</definedName>
    <definedName name="___wrn3" hidden="1">{#N/A,#N/A,FALSE,"ASSUMPTIONS";#N/A,#N/A,FALSE,"Valuation Summary";"page1",#N/A,FALSE,"PRESENTATION";"page2",#N/A,FALSE,"PRESENTATION";#N/A,#N/A,FALSE,"ORIGINAL_ROLLBACK"}</definedName>
    <definedName name="___ww2" hidden="1">{#N/A,#N/A,FALSE,"Admin";#N/A,#N/A,FALSE,"Other"}</definedName>
    <definedName name="___y2" hidden="1">{"PVGraph2",#N/A,FALSE,"PV Data"}</definedName>
    <definedName name="__123Graph_A" hidden="1">#REF!</definedName>
    <definedName name="__123Graph_AClsCarr" hidden="1">#REF!</definedName>
    <definedName name="__123Graph_AClsCorr" hidden="1">#REF!</definedName>
    <definedName name="__123Graph_AClsCum" hidden="1">#REF!</definedName>
    <definedName name="__123Graph_AClsCust" hidden="1">#REF!</definedName>
    <definedName name="__123Graph_AClsLoft" hidden="1">#REF!</definedName>
    <definedName name="__123Graph_AClsMar" hidden="1">#REF!</definedName>
    <definedName name="__123Graph_ACOMP" hidden="1">#REF!</definedName>
    <definedName name="__123Graph_AGraph1" hidden="1">#REF!</definedName>
    <definedName name="__123Graph_AGraph10" hidden="1">#REF!</definedName>
    <definedName name="__123Graph_AGraph11" hidden="1">#REF!</definedName>
    <definedName name="__123Graph_AGraph2" hidden="1">#REF!</definedName>
    <definedName name="__123Graph_AGraph3" hidden="1">#REF!</definedName>
    <definedName name="__123Graph_AGraph4" hidden="1">#REF!</definedName>
    <definedName name="__123Graph_AGraph5" hidden="1">#REF!</definedName>
    <definedName name="__123Graph_AGraph6" hidden="1">#REF!</definedName>
    <definedName name="__123Graph_AGraph7" hidden="1">#REF!</definedName>
    <definedName name="__123Graph_AGraph8" hidden="1">#REF!</definedName>
    <definedName name="__123Graph_AHISTORY" hidden="1">#REF!</definedName>
    <definedName name="__123Graph_AYTDVar" hidden="1">#REF!</definedName>
    <definedName name="__123Graph_BClsCarr" hidden="1">#REF!</definedName>
    <definedName name="__123Graph_BClsCorr" hidden="1">#REF!</definedName>
    <definedName name="__123Graph_BClsCum" hidden="1">#REF!</definedName>
    <definedName name="__123Graph_BClsCust" hidden="1">#REF!</definedName>
    <definedName name="__123Graph_BClsLoft" hidden="1">#REF!</definedName>
    <definedName name="__123Graph_BClsMar" hidden="1">#REF!</definedName>
    <definedName name="__123Graph_BCOMP" hidden="1">#REF!</definedName>
    <definedName name="__123Graph_BGraph8" hidden="1">#REF!</definedName>
    <definedName name="__123Graph_BYTDVar" hidden="1">#REF!</definedName>
    <definedName name="__123Graph_C" hidden="1">#REF!</definedName>
    <definedName name="__123Graph_CClsCarr" hidden="1">#REF!</definedName>
    <definedName name="__123Graph_CClsCorr" hidden="1">#REF!</definedName>
    <definedName name="__123Graph_CClsCum" hidden="1">#REF!</definedName>
    <definedName name="__123Graph_CClsCust" hidden="1">#REF!</definedName>
    <definedName name="__123Graph_CClsLoft" hidden="1">#REF!</definedName>
    <definedName name="__123Graph_CClsMar" hidden="1">#REF!</definedName>
    <definedName name="__123Graph_CCOMP" hidden="1">#REF!</definedName>
    <definedName name="__123Graph_CGraph8" hidden="1">#REF!</definedName>
    <definedName name="__123Graph_CYTDVar" hidden="1">#REF!</definedName>
    <definedName name="__123Graph_D" hidden="1">#REF!</definedName>
    <definedName name="__123Graph_DCOMP" hidden="1">#REF!</definedName>
    <definedName name="__123Graph_DGraph8" hidden="1">#REF!</definedName>
    <definedName name="__123Graph_DYTDVar" hidden="1">#REF!</definedName>
    <definedName name="__123Graph_E" hidden="1">#REF!</definedName>
    <definedName name="__123Graph_ECOMP" hidden="1">#REF!</definedName>
    <definedName name="__123Graph_EYTDVar" hidden="1">#REF!</definedName>
    <definedName name="__123Graph_F" hidden="1">#REF!</definedName>
    <definedName name="__123Graph_LBL_A" hidden="1">#REF!</definedName>
    <definedName name="__123Graph_LBL_ACOMP" hidden="1">#REF!</definedName>
    <definedName name="__123Graph_LBL_AHISTORY" hidden="1">#REF!</definedName>
    <definedName name="__123Graph_LBL_BCOMP" hidden="1">#REF!</definedName>
    <definedName name="__123Graph_LBL_CCOMP" hidden="1">#REF!</definedName>
    <definedName name="__123Graph_LBL_DCOMP" hidden="1">#REF!</definedName>
    <definedName name="__123Graph_LBL_ECOMP" hidden="1">#REF!</definedName>
    <definedName name="__123Graph_X" hidden="1">#REF!</definedName>
    <definedName name="__123Graph_XClsCarr" hidden="1">#REF!</definedName>
    <definedName name="__123Graph_XClsCorr" hidden="1">#REF!</definedName>
    <definedName name="__123Graph_XClsCum" hidden="1">#REF!</definedName>
    <definedName name="__123Graph_XClsCust" hidden="1">#REF!</definedName>
    <definedName name="__123Graph_XClsLoft" hidden="1">#REF!</definedName>
    <definedName name="__123Graph_XClsMar" hidden="1">#REF!</definedName>
    <definedName name="__123Graph_XCOMP" hidden="1">#REF!</definedName>
    <definedName name="__123Graph_XGraph1" hidden="1">#REF!</definedName>
    <definedName name="__123Graph_XGraph11" hidden="1">#REF!</definedName>
    <definedName name="__123Graph_XGraph2" hidden="1">#REF!</definedName>
    <definedName name="__123Graph_XGraph3" hidden="1">#REF!</definedName>
    <definedName name="__123Graph_XGraph4" hidden="1">#REF!</definedName>
    <definedName name="__123Graph_XGraph5" hidden="1">#REF!</definedName>
    <definedName name="__123Graph_XHISTORY" hidden="1">#REF!</definedName>
    <definedName name="__123Graph_XYTDVar" hidden="1">#REF!</definedName>
    <definedName name="__4__123Graph_ACHART_1" hidden="1">#REF!</definedName>
    <definedName name="__7__123Graph_ACHART_1" hidden="1">#REF!</definedName>
    <definedName name="__a1" hidden="1">{#N/A,#N/A,FALSE,"Pharm";#N/A,#N/A,FALSE,"WWCM"}</definedName>
    <definedName name="__A11" hidden="1">{#N/A,#N/A,FALSE,"Umsatz 99";#N/A,#N/A,FALSE,"ER 99 "}</definedName>
    <definedName name="__aaa1" hidden="1">{#N/A,#N/A,FALSE,"REPORT"}</definedName>
    <definedName name="__aas1" hidden="1">{#N/A,#N/A,FALSE,"REPORT"}</definedName>
    <definedName name="__ACS2000" hidden="1">{#N/A,#N/A,FALSE,"REPORT"}</definedName>
    <definedName name="__APW_RESTORE_DATA1__" hidden="1">#REF!,#REF!,#REF!,#REF!,#REF!</definedName>
    <definedName name="__APW_RESTORE_DATA1050__" hidden="1">#REF!,#REF!</definedName>
    <definedName name="__APW_RESTORE_DATA1111__" hidden="1">#REF!,#REF!</definedName>
    <definedName name="__APW_RESTORE_DATA1172__" hidden="1">#REF!,#REF!</definedName>
    <definedName name="__APW_RESTORE_DATA1233__" hidden="1">#REF!,#REF!</definedName>
    <definedName name="__APW_RESTORE_DATA1294__" hidden="1">#REF!,#REF!</definedName>
    <definedName name="__APW_RESTORE_DATA1355__" hidden="1">#REF!,#REF!</definedName>
    <definedName name="__APW_RESTORE_DATA1409__" hidden="1">#REF!,#REF!,#REF!,#REF!,#REF!,#REF!,#REF!,#REF!,#REF!,#REF!,#REF!,#REF!,#REF!,#REF!</definedName>
    <definedName name="__APW_RESTORE_DATA1410__" hidden="1">#REF!,#REF!,#REF!,#REF!,#REF!,#REF!,#REF!,#REF!,#REF!,#REF!,#REF!,#REF!</definedName>
    <definedName name="__APW_RESTORE_DATA1411__" hidden="1">#REF!,#REF!,#REF!,#REF!,#REF!,#REF!,#REF!,#REF!,#REF!,#REF!,#REF!,#REF!,#REF!</definedName>
    <definedName name="__APW_RESTORE_DATA1412__" hidden="1">#REF!,#REF!,#REF!,#REF!,#REF!,#REF!,#REF!,#REF!,#REF!,#REF!,#REF!,#REF!,#REF!,#REF!</definedName>
    <definedName name="__APW_RESTORE_DATA1413__" hidden="1">#REF!,#REF!,#REF!,#REF!,#REF!,#REF!,#REF!,#REF!,#REF!,#REF!,#REF!,#REF!,#REF!,#REF!</definedName>
    <definedName name="__APW_RESTORE_DATA190__" hidden="1">#REF!,#REF!,#REF!,#REF!,#REF!</definedName>
    <definedName name="__APW_RESTORE_DATA192__" hidden="1">#REF!,#REF!,#REF!,#REF!,#REF!</definedName>
    <definedName name="__APW_RESTORE_DATA194__" hidden="1">#REF!,#REF!,#REF!,#REF!,#REF!</definedName>
    <definedName name="__APW_RESTORE_DATA197__" hidden="1">#REF!,#REF!,#REF!,#REF!,#REF!</definedName>
    <definedName name="__APW_RESTORE_DATA200__" hidden="1">#REF!,#REF!,#REF!,#REF!,#REF!</definedName>
    <definedName name="__APW_RESTORE_DATA205__" hidden="1">#REF!,#REF!,#REF!,#REF!,#REF!</definedName>
    <definedName name="__APW_RESTORE_DATA208__" hidden="1">#REF!,#REF!,#REF!,#REF!,#REF!</definedName>
    <definedName name="__APW_RESTORE_DATA211__" hidden="1">#REF!,#REF!,#REF!,#REF!,#REF!</definedName>
    <definedName name="__APW_RESTORE_DATA213__" hidden="1">#REF!,#REF!</definedName>
    <definedName name="__APW_RESTORE_DATA215__" hidden="1">#REF!,#REF!</definedName>
    <definedName name="__APW_RESTORE_DATA217__" hidden="1">#REF!,#REF!</definedName>
    <definedName name="__APW_RESTORE_DATA219__" hidden="1">#REF!,#REF!</definedName>
    <definedName name="__APW_RESTORE_DATA221__" hidden="1">#REF!,#REF!</definedName>
    <definedName name="__APW_RESTORE_DATA223__" hidden="1">#REF!,#REF!</definedName>
    <definedName name="__APW_RESTORE_DATA225__" hidden="1">#REF!,#REF!</definedName>
    <definedName name="__APW_RESTORE_DATA227__" hidden="1">#REF!,#REF!</definedName>
    <definedName name="__APW_RESTORE_DATA229__" hidden="1">#REF!,#REF!</definedName>
    <definedName name="__APW_RESTORE_DATA231__" hidden="1">#REF!,#REF!</definedName>
    <definedName name="__APW_RESTORE_DATA233__" hidden="1">#REF!,#REF!</definedName>
    <definedName name="__APW_RESTORE_DATA235__" hidden="1">#REF!,#REF!</definedName>
    <definedName name="__APW_RESTORE_DATA237__" hidden="1">#REF!,#REF!</definedName>
    <definedName name="__APW_RESTORE_DATA239__" hidden="1">#REF!,#REF!</definedName>
    <definedName name="__APW_RESTORE_DATA251__" hidden="1">#REF!,#REF!,#REF!,#REF!,#REF!</definedName>
    <definedName name="__APW_RESTORE_DATA253__" hidden="1">#REF!,#REF!,#REF!,#REF!,#REF!</definedName>
    <definedName name="__APW_RESTORE_DATA255__" hidden="1">#REF!,#REF!,#REF!,#REF!,#REF!</definedName>
    <definedName name="__APW_RESTORE_DATA258__" hidden="1">#REF!,#REF!,#REF!,#REF!,#REF!</definedName>
    <definedName name="__APW_RESTORE_DATA261__" hidden="1">#REF!,#REF!,#REF!,#REF!,#REF!</definedName>
    <definedName name="__APW_RESTORE_DATA266__" hidden="1">#REF!,#REF!,#REF!,#REF!,#REF!</definedName>
    <definedName name="__APW_RESTORE_DATA269__" hidden="1">#REF!,#REF!,#REF!,#REF!,#REF!</definedName>
    <definedName name="__APW_RESTORE_DATA272__" hidden="1">#REF!,#REF!,#REF!,#REF!,#REF!</definedName>
    <definedName name="__APW_RESTORE_DATA274__" hidden="1">#REF!,#REF!</definedName>
    <definedName name="__APW_RESTORE_DATA276__" hidden="1">#REF!,#REF!</definedName>
    <definedName name="__APW_RESTORE_DATA278__" hidden="1">#REF!,#REF!</definedName>
    <definedName name="__APW_RESTORE_DATA280__" hidden="1">#REF!,#REF!</definedName>
    <definedName name="__APW_RESTORE_DATA282__" hidden="1">#REF!,#REF!</definedName>
    <definedName name="__APW_RESTORE_DATA284__" hidden="1">#REF!,#REF!</definedName>
    <definedName name="__APW_RESTORE_DATA286__" hidden="1">#REF!,#REF!</definedName>
    <definedName name="__APW_RESTORE_DATA288__" hidden="1">#REF!,#REF!</definedName>
    <definedName name="__APW_RESTORE_DATA290__" hidden="1">#REF!,#REF!</definedName>
    <definedName name="__APW_RESTORE_DATA292__" hidden="1">#REF!,#REF!</definedName>
    <definedName name="__APW_RESTORE_DATA294__" hidden="1">#REF!,#REF!</definedName>
    <definedName name="__APW_RESTORE_DATA296__" hidden="1">#REF!,#REF!</definedName>
    <definedName name="__APW_RESTORE_DATA298__" hidden="1">#REF!,#REF!</definedName>
    <definedName name="__APW_RESTORE_DATA3__" hidden="1">#REF!,#REF!,#REF!,#REF!,#REF!</definedName>
    <definedName name="__APW_RESTORE_DATA300__" hidden="1">#REF!,#REF!</definedName>
    <definedName name="__APW_RESTORE_DATA312__" hidden="1">#REF!,#REF!,#REF!,#REF!,#REF!</definedName>
    <definedName name="__APW_RESTORE_DATA314__" hidden="1">#REF!,#REF!,#REF!,#REF!,#REF!</definedName>
    <definedName name="__APW_RESTORE_DATA316__" hidden="1">#REF!,#REF!,#REF!,#REF!,#REF!</definedName>
    <definedName name="__APW_RESTORE_DATA319__" hidden="1">#REF!,#REF!,#REF!,#REF!,#REF!</definedName>
    <definedName name="__APW_RESTORE_DATA322__" hidden="1">#REF!,#REF!,#REF!,#REF!,#REF!</definedName>
    <definedName name="__APW_RESTORE_DATA327__" hidden="1">#REF!,#REF!,#REF!,#REF!,#REF!</definedName>
    <definedName name="__APW_RESTORE_DATA330__" hidden="1">#REF!,#REF!,#REF!,#REF!,#REF!</definedName>
    <definedName name="__APW_RESTORE_DATA333__" hidden="1">#REF!,#REF!,#REF!,#REF!,#REF!</definedName>
    <definedName name="__APW_RESTORE_DATA335__" hidden="1">#REF!,#REF!</definedName>
    <definedName name="__APW_RESTORE_DATA337__" hidden="1">#REF!,#REF!</definedName>
    <definedName name="__APW_RESTORE_DATA339__" hidden="1">#REF!,#REF!</definedName>
    <definedName name="__APW_RESTORE_DATA341__" hidden="1">#REF!,#REF!</definedName>
    <definedName name="__APW_RESTORE_DATA343__" hidden="1">#REF!,#REF!</definedName>
    <definedName name="__APW_RESTORE_DATA345__" hidden="1">#REF!,#REF!</definedName>
    <definedName name="__APW_RESTORE_DATA347__" hidden="1">#REF!,#REF!</definedName>
    <definedName name="__APW_RESTORE_DATA349__" hidden="1">#REF!,#REF!</definedName>
    <definedName name="__APW_RESTORE_DATA351__" hidden="1">#REF!,#REF!</definedName>
    <definedName name="__APW_RESTORE_DATA353__" hidden="1">#REF!,#REF!</definedName>
    <definedName name="__APW_RESTORE_DATA355__" hidden="1">#REF!,#REF!</definedName>
    <definedName name="__APW_RESTORE_DATA357__" hidden="1">#REF!,#REF!</definedName>
    <definedName name="__APW_RESTORE_DATA359__" hidden="1">#REF!,#REF!</definedName>
    <definedName name="__APW_RESTORE_DATA361__" hidden="1">#REF!,#REF!</definedName>
    <definedName name="__APW_RESTORE_DATA373__" hidden="1">#REF!,#REF!,#REF!,#REF!,#REF!</definedName>
    <definedName name="__APW_RESTORE_DATA375__" hidden="1">#REF!,#REF!,#REF!,#REF!,#REF!</definedName>
    <definedName name="__APW_RESTORE_DATA377__" hidden="1">#REF!,#REF!,#REF!,#REF!,#REF!</definedName>
    <definedName name="__APW_RESTORE_DATA380__" hidden="1">#REF!,#REF!,#REF!,#REF!,#REF!</definedName>
    <definedName name="__APW_RESTORE_DATA383__" hidden="1">#REF!,#REF!,#REF!,#REF!,#REF!</definedName>
    <definedName name="__APW_RESTORE_DATA388__" hidden="1">#REF!,#REF!,#REF!,#REF!,#REF!</definedName>
    <definedName name="__APW_RESTORE_DATA391__" hidden="1">#REF!,#REF!,#REF!,#REF!,#REF!</definedName>
    <definedName name="__APW_RESTORE_DATA394__" hidden="1">#REF!,#REF!,#REF!,#REF!,#REF!</definedName>
    <definedName name="__APW_RESTORE_DATA396__" hidden="1">#REF!,#REF!</definedName>
    <definedName name="__APW_RESTORE_DATA398__" hidden="1">#REF!,#REF!</definedName>
    <definedName name="__APW_RESTORE_DATA400__" hidden="1">#REF!,#REF!</definedName>
    <definedName name="__APW_RESTORE_DATA402__" hidden="1">#REF!,#REF!</definedName>
    <definedName name="__APW_RESTORE_DATA404__" hidden="1">#REF!,#REF!</definedName>
    <definedName name="__APW_RESTORE_DATA406__" hidden="1">#REF!,#REF!</definedName>
    <definedName name="__APW_RESTORE_DATA408__" hidden="1">#REF!,#REF!</definedName>
    <definedName name="__APW_RESTORE_DATA410__" hidden="1">#REF!,#REF!</definedName>
    <definedName name="__APW_RESTORE_DATA412__" hidden="1">#REF!,#REF!</definedName>
    <definedName name="__APW_RESTORE_DATA414__" hidden="1">#REF!,#REF!</definedName>
    <definedName name="__APW_RESTORE_DATA416__" hidden="1">#REF!,#REF!</definedName>
    <definedName name="__APW_RESTORE_DATA418__" hidden="1">#REF!,#REF!</definedName>
    <definedName name="__APW_RESTORE_DATA420__" hidden="1">#REF!,#REF!</definedName>
    <definedName name="__APW_RESTORE_DATA422__" hidden="1">#REF!,#REF!</definedName>
    <definedName name="__APW_RESTORE_DATA434__" hidden="1">#REF!,#REF!,#REF!,#REF!,#REF!</definedName>
    <definedName name="__APW_RESTORE_DATA436__" hidden="1">#REF!,#REF!,#REF!,#REF!,#REF!</definedName>
    <definedName name="__APW_RESTORE_DATA438__" hidden="1">#REF!,#REF!,#REF!,#REF!,#REF!</definedName>
    <definedName name="__APW_RESTORE_DATA441__" hidden="1">#REF!,#REF!,#REF!,#REF!,#REF!</definedName>
    <definedName name="__APW_RESTORE_DATA444__" hidden="1">#REF!,#REF!,#REF!,#REF!,#REF!</definedName>
    <definedName name="__APW_RESTORE_DATA449__" hidden="1">#REF!,#REF!,#REF!,#REF!,#REF!</definedName>
    <definedName name="__APW_RESTORE_DATA452__" hidden="1">#REF!,#REF!,#REF!,#REF!,#REF!</definedName>
    <definedName name="__APW_RESTORE_DATA455__" hidden="1">#REF!,#REF!,#REF!,#REF!,#REF!</definedName>
    <definedName name="__APW_RESTORE_DATA457__" hidden="1">#REF!,#REF!</definedName>
    <definedName name="__APW_RESTORE_DATA459__" hidden="1">#REF!,#REF!</definedName>
    <definedName name="__APW_RESTORE_DATA461__" hidden="1">#REF!,#REF!</definedName>
    <definedName name="__APW_RESTORE_DATA463__" hidden="1">#REF!,#REF!</definedName>
    <definedName name="__APW_RESTORE_DATA465__" hidden="1">#REF!,#REF!</definedName>
    <definedName name="__APW_RESTORE_DATA467__" hidden="1">#REF!,#REF!</definedName>
    <definedName name="__APW_RESTORE_DATA469__" hidden="1">#REF!,#REF!</definedName>
    <definedName name="__APW_RESTORE_DATA471__" hidden="1">#REF!,#REF!</definedName>
    <definedName name="__APW_RESTORE_DATA473__" hidden="1">#REF!,#REF!</definedName>
    <definedName name="__APW_RESTORE_DATA475__" hidden="1">#REF!,#REF!</definedName>
    <definedName name="__APW_RESTORE_DATA477__" hidden="1">#REF!,#REF!</definedName>
    <definedName name="__APW_RESTORE_DATA479__" hidden="1">#REF!,#REF!</definedName>
    <definedName name="__APW_RESTORE_DATA481__" hidden="1">#REF!,#REF!</definedName>
    <definedName name="__APW_RESTORE_DATA483__" hidden="1">#REF!,#REF!</definedName>
    <definedName name="__APW_RESTORE_DATA5__" hidden="1">#REF!,#REF!,#REF!,#REF!,#REF!</definedName>
    <definedName name="__APW_RESTORE_DATA501__" hidden="1">#REF!,#REF!</definedName>
    <definedName name="__APW_RESTORE_DATA562__" hidden="1">#REF!,#REF!</definedName>
    <definedName name="__APW_RESTORE_DATA623__" hidden="1">#REF!,#REF!</definedName>
    <definedName name="__APW_RESTORE_DATA684__" hidden="1">#REF!,#REF!</definedName>
    <definedName name="__APW_RESTORE_DATA7__" hidden="1">#REF!,#REF!,#REF!,#REF!,#REF!</definedName>
    <definedName name="__APW_RESTORE_DATA745__" hidden="1">#REF!,#REF!</definedName>
    <definedName name="__APW_RESTORE_DATA806__" hidden="1">#REF!,#REF!</definedName>
    <definedName name="__APW_RESTORE_DATA867__" hidden="1">#REF!,#REF!</definedName>
    <definedName name="__APW_RESTORE_DATA9__" hidden="1">#REF!,#REF!,#REF!,#REF!,#REF!</definedName>
    <definedName name="__APW_RESTORE_DATA928__" hidden="1">#REF!,#REF!</definedName>
    <definedName name="__APW_RESTORE_DATA989__" hidden="1">#REF!,#REF!</definedName>
    <definedName name="__b111" hidden="1">{#N/A,#N/A,FALSE,"Pharm";#N/A,#N/A,FALSE,"WWCM"}</definedName>
    <definedName name="__bookmark_1">#REF!</definedName>
    <definedName name="__c" hidden="1">{"Fiesta Facer Page",#N/A,FALSE,"Q_C_S";"Fiesta Main Page",#N/A,FALSE,"V_L";"Fiesta 95BP Struct",#N/A,FALSE,"StructBP";"Fiesta Post 95BP Struct",#N/A,FALSE,"AdjStructBP"}</definedName>
    <definedName name="__FDS_HYPERLINK_TOGGLE_STATE__" hidden="1">"ON"</definedName>
    <definedName name="__FDS_UNIQUE_RANGE_ID_GENERATOR_COUNTER" hidden="1">1</definedName>
    <definedName name="__FDS_USED_FOR_REUSING_RANGE_IDS_RECYCLE" hidden="1">{3,6,6,3,3,1,6,4,3}</definedName>
    <definedName name="__I2" hidden="1">{"PVGraph2",#N/A,FALSE,"PV Data"}</definedName>
    <definedName name="__I3" hidden="1">{"PVGraph2",#N/A,FALSE,"PV Data"}</definedName>
    <definedName name="__IntlFixup" hidden="1">TRUE</definedName>
    <definedName name="__IntlFixupTable" hidden="1">#REF!</definedName>
    <definedName name="__na2" hidden="1">"100"</definedName>
    <definedName name="__na3" hidden="1">"50"</definedName>
    <definedName name="__na4" hidden="1">"IQ_LTM_DATE"</definedName>
    <definedName name="__new1" hidden="1">{#N/A,#N/A,FALSE,"Pharm";#N/A,#N/A,FALSE,"WWCM"}</definedName>
    <definedName name="__o1" hidden="1">{#N/A,#N/A,FALSE,"SUMMARY";#N/A,#N/A,FALSE,"mcsh";#N/A,#N/A,FALSE,"vol&amp;rev";#N/A,#N/A,FALSE,"wkgcap";#N/A,#N/A,FALSE,"DEPR&amp;DT";#N/A,#N/A,FALSE,"ASSETS";#N/A,#N/A,FALSE,"NI&amp;OTH&amp;DIV";#N/A,#N/A,FALSE,"CASHFLOW";#N/A,#N/A,FALSE,"CAPEMPL";#N/A,#N/A,FALSE,"ROCE"}</definedName>
    <definedName name="__p1" hidden="1">{"SUM",#N/A,FALSE,"Details (2)"}</definedName>
    <definedName name="__pp2" hidden="1">{"Summary",#N/A,FALSE,"Details (2)"}</definedName>
    <definedName name="__ppp1" hidden="1">{"SUM",#N/A,FALSE,"Details (2)"}</definedName>
    <definedName name="__q2" hidden="1">{"Summary",#N/A,FALSE,"Details (2)"}</definedName>
    <definedName name="__q3" hidden="1">#REF!</definedName>
    <definedName name="__q4" hidden="1">{"Summary",#N/A,FALSE,"Details (2)"}</definedName>
    <definedName name="__q5" hidden="1">{"SUM",#N/A,FALSE,"Details (2)"}</definedName>
    <definedName name="__Qtr4">#REF!</definedName>
    <definedName name="__r" hidden="1">{#N/A,#N/A,FALSE,"Pharm";#N/A,#N/A,FALSE,"WWCM"}</definedName>
    <definedName name="__t2" hidden="1">{"'Sheet1'!$A$5:$G$42"}</definedName>
    <definedName name="__tm1" hidden="1">{#N/A,#N/A,FALSE,"Pharm";#N/A,#N/A,FALSE,"WWCM"}</definedName>
    <definedName name="__v2" hidden="1">{"arpm1995",#N/A,FALSE,"Summary 95-96";"bus_long_distance",#N/A,FALSE,"Summary 95-96";"mins_per_day",#N/A,FALSE,"Summary 95-96";"minutes1995",#N/A,FALSE,"Summary 95-96";"rev_per_day",#N/A,FALSE,"Summary 95-96";"view1995",#N/A,FALSE,"Summary 95-96"}</definedName>
    <definedName name="__w1" hidden="1">{"PVGraph2",#N/A,FALSE,"PV Data"}</definedName>
    <definedName name="__w2" hidden="1">{"PVGraph2",#N/A,FALSE,"PV Data"}</definedName>
    <definedName name="__w3" hidden="1">{"PVGraph2",#N/A,FALSE,"PV Data"}</definedName>
    <definedName name="__WHO2" hidden="1">{#N/A,#N/A,FALSE,"SUMMARY";#N/A,#N/A,FALSE,"DETAIL";#N/A,#N/A,FALSE,"VARIANCE"}</definedName>
    <definedName name="__wrn2" hidden="1">{#N/A,#N/A,FALSE,"ASSUMPTIONS";#N/A,#N/A,FALSE,"Valuation Summary";"page1",#N/A,FALSE,"PRESENTATION";"page2",#N/A,FALSE,"PRESENTATION";#N/A,#N/A,FALSE,"ORIGINAL_ROLLBACK"}</definedName>
    <definedName name="__wrn3" hidden="1">{#N/A,#N/A,FALSE,"ASSUMPTIONS";#N/A,#N/A,FALSE,"Valuation Summary";"page1",#N/A,FALSE,"PRESENTATION";"page2",#N/A,FALSE,"PRESENTATION";#N/A,#N/A,FALSE,"ORIGINAL_ROLLBACK"}</definedName>
    <definedName name="__ww2" hidden="1">{#N/A,#N/A,FALSE,"Admin";#N/A,#N/A,FALSE,"Other"}</definedName>
    <definedName name="__X1" hidden="1">{"Summary",#N/A,FALSE,"Details (2)"}</definedName>
    <definedName name="__X2" hidden="1">{#N/A,#N/A,FALSE,"Other";#N/A,#N/A,FALSE,"Ace";#N/A,#N/A,FALSE,"Derm"}</definedName>
    <definedName name="__xlfn.BAHTTEXT" hidden="1">#NAME?</definedName>
    <definedName name="__y2" hidden="1">{"PVGraph2",#N/A,FALSE,"PV Data"}</definedName>
    <definedName name="_1__123Graph_ACHART_1" hidden="1">#REF!</definedName>
    <definedName name="_1__123Graph_ACHART_4" hidden="1">#REF!</definedName>
    <definedName name="_1__123Graph_AGraphique_1B" hidden="1">#REF!</definedName>
    <definedName name="_1__FDSAUDITLINK__" hidden="1">{"fdsup://Directions/FactSet Auditing Viewer?action=AUDIT_VALUE&amp;DB=129&amp;ID1=610036&amp;VALUEID=05192&amp;SDATE=201101&amp;PERIODTYPE=QTR_STD&amp;SCFT=3&amp;window=popup_no_bar&amp;width=385&amp;height=120&amp;START_MAXIMIZED=FALSE&amp;creator=factset&amp;display_string=Audit"}</definedName>
    <definedName name="_10__123Graph_LBL_ACHART_1" hidden="1">#REF!</definedName>
    <definedName name="_10__123Graph_LBL_ACHART_2" hidden="1">#REF!</definedName>
    <definedName name="_10__123Graph_LBL_ACHART_3" hidden="1">#REF!</definedName>
    <definedName name="_10__123Graph_XGraphique_1B" hidden="1">#REF!</definedName>
    <definedName name="_10__FDSAUDITLINK__" hidden="1">{"fdsup://Directions/FactSet Auditing Viewer?action=AUDIT_VALUE&amp;DB=129&amp;ID1=613566&amp;VALUEID=05192&amp;SDATE=201101&amp;PERIODTYPE=QTR_STD&amp;SCFT=3&amp;window=popup_no_bar&amp;width=385&amp;height=120&amp;START_MAXIMIZED=FALSE&amp;creator=factset&amp;display_string=Audit"}</definedName>
    <definedName name="_10_0__123Graph_ACHAR" hidden="1">#REF!</definedName>
    <definedName name="_104__123Graph_LBL_BCHART_2" hidden="1">#REF!</definedName>
    <definedName name="_108__123Graph_LBL_BCHART_1" hidden="1">#REF!</definedName>
    <definedName name="_109__123Graph_ACHART_4" hidden="1">#REF!</definedName>
    <definedName name="_11__123Graph_LBL_ACHART_2" hidden="1">#REF!</definedName>
    <definedName name="_11__123Graph_LBL_ACHART_3" hidden="1">#REF!</definedName>
    <definedName name="_11__123Graph_LBL_ACHART_4" hidden="1">#REF!</definedName>
    <definedName name="_11__123Graph_XGraphique_2B" hidden="1">#REF!</definedName>
    <definedName name="_11__FDSAUDITLINK__" hidden="1">{"fdsup://Directions/FactSet Auditing Viewer?action=AUDIT_VALUE&amp;DB=129&amp;ID1=B2QKWK&amp;VALUEID=05194&amp;SDATE=201101&amp;PERIODTYPE=QTR_STD&amp;SCFT=3&amp;window=popup_no_bar&amp;width=385&amp;height=120&amp;START_MAXIMIZED=FALSE&amp;creator=factset&amp;display_string=Audit"}</definedName>
    <definedName name="_112__123Graph_LBL_BCHART_3" hidden="1">#REF!</definedName>
    <definedName name="_112__FDSAUDITLINK__"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7__123Graph_LBL_BCHART_2" hidden="1">#REF!</definedName>
    <definedName name="_12__123Graph_ACHART_2" hidden="1">#REF!</definedName>
    <definedName name="_12__123Graph_ACHART_3" hidden="1">#REF!</definedName>
    <definedName name="_12__123Graph_ACHART_4" hidden="1">#REF!</definedName>
    <definedName name="_12__123Graph_LBL_ACHART_3" hidden="1">#REF!</definedName>
    <definedName name="_12__123Graph_LBL_ACHART_4" hidden="1">#REF!</definedName>
    <definedName name="_12__123Graph_LBL_BCHART_1" hidden="1">#REF!</definedName>
    <definedName name="_12__123Graph_XGraphique_3B" hidden="1">#REF!</definedName>
    <definedName name="_12__FDSAUDITLINK__" hidden="1">{"fdsup://Directions/FactSet Auditing Viewer?action=AUDIT_VALUE&amp;DB=129&amp;ID1=613566&amp;VALUEID=05194&amp;SDATE=201101&amp;PERIODTYPE=QTR_STD&amp;SCFT=3&amp;window=popup_no_bar&amp;width=385&amp;height=120&amp;START_MAXIMIZED=FALSE&amp;creator=factset&amp;display_string=Audit"}</definedName>
    <definedName name="_12_0__123Graph_BCHAR" hidden="1">#REF!</definedName>
    <definedName name="_120__123Graph_XCHART_1" hidden="1">#REF!</definedName>
    <definedName name="_120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6__123Graph_LBL_BCHART_3" hidden="1">#REF!</definedName>
    <definedName name="_128__123Graph_XCHART_2" hidden="1">#REF!</definedName>
    <definedName name="_13__123Graph_ACHART_1" hidden="1">#REF!</definedName>
    <definedName name="_13__123Graph_LBL_ACHART_4" hidden="1">#REF!</definedName>
    <definedName name="_13__123Graph_LBL_BCHART_1" hidden="1">#REF!</definedName>
    <definedName name="_13__123Graph_LBL_BCHART_2" hidden="1">#REF!</definedName>
    <definedName name="_13__FDSAUDITLINK__" hidden="1">{"fdsup://Directions/FactSet Auditing Viewer?action=AUDIT_VALUE&amp;DB=129&amp;ID1=B62G7K&amp;VALUEID=05194&amp;SDATE=201101&amp;PERIODTYPE=QTR_STD&amp;SCFT=3&amp;window=popup_no_bar&amp;width=385&amp;height=120&amp;START_MAXIMIZED=FALSE&amp;creator=factset&amp;display_string=Audit"}</definedName>
    <definedName name="_135__123Graph_XCHART_1" hidden="1">#REF!</definedName>
    <definedName name="_136__123Graph_BCHART_1" hidden="1">#REF!</definedName>
    <definedName name="_136__123Graph_XCHART_3" hidden="1">#REF!</definedName>
    <definedName name="_14__123Graph_ACHART_1" hidden="1">#REF!</definedName>
    <definedName name="_14__123Graph_BCHART_1" hidden="1">#REF!</definedName>
    <definedName name="_14__123Graph_LBL_BCHART_1" hidden="1">#REF!</definedName>
    <definedName name="_14__123Graph_LBL_BCHART_2" hidden="1">#REF!</definedName>
    <definedName name="_14__123Graph_LBL_BCHART_3" hidden="1">#REF!</definedName>
    <definedName name="_14__FDSAUDITLINK__" hidden="1">{"fdsup://Directions/FactSet Auditing Viewer?action=AUDIT_VALUE&amp;DB=129&amp;ID1=B01LXY&amp;VALUEID=05194&amp;SDATE=201101&amp;PERIODTYPE=QTR_STD&amp;SCFT=3&amp;window=popup_no_bar&amp;width=385&amp;height=120&amp;START_MAXIMIZED=FALSE&amp;creator=factset&amp;display_string=Audit"}</definedName>
    <definedName name="_14_0__123Graph_CCHAR" hidden="1">#REF!</definedName>
    <definedName name="_144__123Graph_XCHART_2" hidden="1">#REF!</definedName>
    <definedName name="_144__123Graph_XCHART_4" hidden="1">#REF!</definedName>
    <definedName name="_144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5__123Graph_ACHART_3" hidden="1">#REF!</definedName>
    <definedName name="_15__123Graph_BCHART_1" hidden="1">#REF!</definedName>
    <definedName name="_15__123Graph_CCHART_1" hidden="1">#REF!</definedName>
    <definedName name="_15__123Graph_LBL_BCHART_2" hidden="1">#REF!</definedName>
    <definedName name="_15__123Graph_LBL_BCHART_3" hidden="1">#REF!</definedName>
    <definedName name="_15__123Graph_XCHART_1" hidden="1">#REF!</definedName>
    <definedName name="_15__FDSAUDITLINK__" hidden="1">{"fdsup://Directions/FactSet Auditing Viewer?action=AUDIT_VALUE&amp;DB=129&amp;ID1=B12C0T&amp;VALUEID=05194&amp;SDATE=201101&amp;PERIODTYPE=QTR_STD&amp;SCFT=3&amp;window=popup_no_bar&amp;width=385&amp;height=120&amp;START_MAXIMIZED=FALSE&amp;creator=factset&amp;display_string=Audit"}</definedName>
    <definedName name="_153__123Graph_XCHART_3" hidden="1">#REF!</definedName>
    <definedName name="_16__123Graph_ACHART_2" hidden="1">#REF!</definedName>
    <definedName name="_16__123Graph_ACHART_4" hidden="1">#REF!</definedName>
    <definedName name="_16__123Graph_BCHART_1" hidden="1">#REF!</definedName>
    <definedName name="_16__123Graph_LBL_ACHART_1" hidden="1">#REF!</definedName>
    <definedName name="_16__123Graph_LBL_BCHART_3" hidden="1">#REF!</definedName>
    <definedName name="_16__123Graph_XCHART_1" hidden="1">#REF!</definedName>
    <definedName name="_16__123Graph_XCHART_2" hidden="1">#REF!</definedName>
    <definedName name="_16__FDSAUDITLINK__" hidden="1">{"fdsup://Directions/FactSet Auditing Viewer?action=AUDIT_VALUE&amp;DB=129&amp;ID1=615525&amp;VALUEID=05192&amp;SDATE=201101&amp;PERIODTYPE=QTR_STD&amp;SCFT=3&amp;window=popup_no_bar&amp;width=385&amp;height=120&amp;START_MAXIMIZED=FALSE&amp;creator=factset&amp;display_string=Audit"}</definedName>
    <definedName name="_16_0__123Graph_LBL_ACHAR" hidden="1">#REF!</definedName>
    <definedName name="_160__FDSAUDITLINK__"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2__123Graph_XCHART_4" hidden="1">#REF!</definedName>
    <definedName name="_163__123Graph_BCHART_2" hidden="1">#REF!</definedName>
    <definedName name="_17__123Graph_XCHART_1" hidden="1">#REF!</definedName>
    <definedName name="_17__123Graph_XCHART_2" hidden="1">#REF!</definedName>
    <definedName name="_17__123Graph_XCHART_3" hidden="1">#REF!</definedName>
    <definedName name="_17__FDSAUDITLINK__" hidden="1">{"fdsup://Directions/FactSet Auditing Viewer?action=AUDIT_VALUE&amp;DB=129&amp;ID1=651312&amp;VALUEID=05194&amp;SDATE=201101&amp;PERIODTYPE=QTR_STD&amp;SCFT=3&amp;window=popup_no_bar&amp;width=385&amp;height=120&amp;START_MAXIMIZED=FALSE&amp;creator=factset&amp;display_string=Audit"}</definedName>
    <definedName name="_18__123Graph_ACHART_2" hidden="1">#REF!</definedName>
    <definedName name="_18__123Graph_ACHART_4" hidden="1">#REF!</definedName>
    <definedName name="_18__123Graph_BCHART_2" hidden="1">#REF!</definedName>
    <definedName name="_18__123Graph_CCHART_1" hidden="1">#REF!</definedName>
    <definedName name="_18__123Graph_XCHART_2" hidden="1">#REF!</definedName>
    <definedName name="_18__123Graph_XCHART_3" hidden="1">#REF!</definedName>
    <definedName name="_18__123Graph_XCHART_4" hidden="1">#REF!</definedName>
    <definedName name="_18__FDSAUDITLINK__" hidden="1">{"fdsup://Directions/FactSet Auditing Viewer?action=AUDIT_VALUE&amp;DB=129&amp;ID1=610036&amp;VALUEID=05194&amp;SDATE=201101&amp;PERIODTYPE=QTR_STD&amp;SCFT=3&amp;window=popup_no_bar&amp;width=385&amp;height=120&amp;START_MAXIMIZED=FALSE&amp;creator=factset&amp;display_string=Audit"}</definedName>
    <definedName name="_18_0__123Graph_ACHAR" hidden="1">#REF!</definedName>
    <definedName name="_19__123Graph_ACHART_1" hidden="1">#REF!</definedName>
    <definedName name="_19__123Graph_XCHART_3" hidden="1">#REF!</definedName>
    <definedName name="_19__123Graph_XCHART_4" hidden="1">#REF!</definedName>
    <definedName name="_19__FDSAUDITLINK__" hidden="1">{"fdsup://directions/FAT Viewer?action=UPDATE&amp;creator=factset&amp;DYN_ARGS=TRUE&amp;DOC_NAME=FAT:FQL_AUDITING_CLIENT_TEMPLATE.FAT&amp;display_string=Audit&amp;VAR:KEY=RIVODUVABY&amp;VAR:QUERY=RkZfREVCVChRVFIsMCk=&amp;WINDOW=FIRST_POPUP&amp;HEIGHT=450&amp;WIDTH=450&amp;START_MAXIMIZED=FALSE&amp;VA","R:CALENDAR=US&amp;VAR:SYMBOL=B1TJG9&amp;VAR:INDEX=0"}</definedName>
    <definedName name="_19_0__123Graph_ACHAR" hidden="1">#REF!</definedName>
    <definedName name="_19_0__123Graph_BCHAR" hidden="1">#REF!</definedName>
    <definedName name="_190__123Graph_BCHART_3" hidden="1">#REF!</definedName>
    <definedName name="_2__123Graph_ACHART_1" hidden="1">#REF!</definedName>
    <definedName name="_2__123Graph_ACHART_2" hidden="1">#REF!</definedName>
    <definedName name="_2__123Graph_AGraphique_2B" hidden="1">#REF!</definedName>
    <definedName name="_2__123Graph_BCHART_1" hidden="1">#REF!</definedName>
    <definedName name="_2__123Graph_BCHART_4" hidden="1">#REF!</definedName>
    <definedName name="_2__FDSAUDITLINK__" hidden="1">{"fdsup://Directions/FactSet Auditing Viewer?action=AUDIT_VALUE&amp;DB=129&amp;ID1=718981&amp;VALUEID=01004&amp;SDATE=2010&amp;PERIODTYPE=ANN_STD&amp;SCFT=3&amp;window=popup_no_bar&amp;width=385&amp;height=120&amp;START_MAXIMIZED=FALSE&amp;creator=factset&amp;display_string=Audit"}</definedName>
    <definedName name="_20__123Graph_BCHART_1" hidden="1">#REF!</definedName>
    <definedName name="_20__123Graph_LBL_ACHART_1" hidden="1">#REF!</definedName>
    <definedName name="_20__123Graph_XCHART_4" hidden="1">#REF!</definedName>
    <definedName name="_20__FDSAUDITLINK__" hidden="1">{"fdsup://directions/FAT Viewer?action=UPDATE&amp;creator=factset&amp;DYN_ARGS=TRUE&amp;DOC_NAME=FAT:FQL_AUDITING_CLIENT_TEMPLATE.FAT&amp;display_string=Audit&amp;VAR:KEY=NOROXQDYDA&amp;VAR:QUERY=RkZfREVCVChRVFIsMCk=&amp;WINDOW=FIRST_POPUP&amp;HEIGHT=450&amp;WIDTH=450&amp;START_MAXIMIZED=FALSE&amp;VA","R:CALENDAR=US&amp;VAR:SYMBOL=B2QKWK&amp;VAR:INDEX=0"}</definedName>
    <definedName name="_20_0__123Graph_BCHAR" hidden="1">#REF!</definedName>
    <definedName name="_20_0__123Graph_CCHAR" hidden="1">#REF!</definedName>
    <definedName name="_206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1__123Graph_BCHART_1" hidden="1">#REF!</definedName>
    <definedName name="_21__123Graph_BCHART_3" hidden="1">#REF!</definedName>
    <definedName name="_21__FDSAUDITLINK__" hidden="1">{"fdsup://directions/FAT Viewer?action=UPDATE&amp;creator=factset&amp;DYN_ARGS=TRUE&amp;DOC_NAME=FAT:FQL_AUDITING_CLIENT_TEMPLATE.FAT&amp;display_string=Audit&amp;VAR:KEY=BWBYDQBYRG&amp;VAR:QUERY=RkZfREVCVChRVFIsMCk=&amp;WINDOW=FIRST_POPUP&amp;HEIGHT=450&amp;WIDTH=450&amp;START_MAXIMIZED=FALSE&amp;VA","R:CALENDAR=US&amp;VAR:SYMBOL=626404&amp;VAR:INDEX=0"}</definedName>
    <definedName name="_21_0__123Graph_CCHAR" hidden="1">#REF!</definedName>
    <definedName name="_21_0__123Graph_LBL_ACHAR" hidden="1">#REF!</definedName>
    <definedName name="_217__123Graph_LBL_ACHART_1" hidden="1">#REF!</definedName>
    <definedName name="_22__FDSAUDITLINK__" hidden="1">{"fdsup://directions/FAT Viewer?action=UPDATE&amp;creator=factset&amp;DYN_ARGS=TRUE&amp;DOC_NAME=FAT:FQL_AUDITING_CLIENT_TEMPLATE.FAT&amp;display_string=Audit&amp;VAR:KEY=TQLCLGJUJU&amp;VAR:QUERY=RkZfREVCVChRVFIsMCk=&amp;WINDOW=FIRST_POPUP&amp;HEIGHT=450&amp;WIDTH=450&amp;START_MAXIMIZED=FALSE&amp;VA","R:CALENDAR=US&amp;VAR:SYMBOL=613566&amp;VAR:INDEX=0"}</definedName>
    <definedName name="_22_0__123Graph_LBL_ACHAR" hidden="1">#REF!</definedName>
    <definedName name="_23__FDSAUDITLINK__" hidden="1">{"fdsup://directions/FAT Viewer?action=UPDATE&amp;creator=factset&amp;DYN_ARGS=TRUE&amp;DOC_NAME=FAT:FQL_AUDITING_CLIENT_TEMPLATE.FAT&amp;display_string=Audit&amp;VAR:KEY=NYXYJIPEVY&amp;VAR:QUERY=RkZfREVCVChRVFIsMCk=&amp;WINDOW=FIRST_POPUP&amp;HEIGHT=450&amp;WIDTH=450&amp;START_MAXIMIZED=FALSE&amp;VA","R:CALENDAR=US&amp;VAR:SYMBOL=B62G7K&amp;VAR:INDEX=0"}</definedName>
    <definedName name="_24__123Graph_ACHART_3" hidden="1">#REF!</definedName>
    <definedName name="_24__123Graph_BCHART_2" hidden="1">#REF!</definedName>
    <definedName name="_24__123Graph_LBL_ACHART_1" hidden="1">#REF!</definedName>
    <definedName name="_24__FDSAUDITLINK__" hidden="1">{"fdsup://directions/FAT Viewer?action=UPDATE&amp;creator=factset&amp;DYN_ARGS=TRUE&amp;DOC_NAME=FAT:FQL_AUDITING_CLIENT_TEMPLATE.FAT&amp;display_string=Audit&amp;VAR:KEY=NSBMVWPMXC&amp;VAR:QUERY=RkZfREVCVChRVFIsMCk=&amp;WINDOW=FIRST_POPUP&amp;HEIGHT=450&amp;WIDTH=450&amp;START_MAXIMIZED=FALSE&amp;VA","R:CALENDAR=US&amp;VAR:SYMBOL=B601QS&amp;VAR:INDEX=0"}</definedName>
    <definedName name="_24_0__123Graph_ACHAR" hidden="1">#REF!</definedName>
    <definedName name="_244__123Graph_LBL_ACHART_2" hidden="1">#REF!</definedName>
    <definedName name="_25__FDSAUDITLINK__" hidden="1">{"fdsup://directions/FAT Viewer?action=UPDATE&amp;creator=factset&amp;DYN_ARGS=TRUE&amp;DOC_NAME=FAT:FQL_AUDITING_CLIENT_TEMPLATE.FAT&amp;display_string=Audit&amp;VAR:KEY=RGRCNQPWVG&amp;VAR:QUERY=RkZfREVCVChRVFIsMCk=&amp;WINDOW=FIRST_POPUP&amp;HEIGHT=450&amp;WIDTH=450&amp;START_MAXIMIZED=FALSE&amp;VA","R:CALENDAR=US&amp;VAR:SYMBOL=B2Q4CS&amp;VAR:INDEX=0"}</definedName>
    <definedName name="_26__123Graph_ACHART_1" hidden="1">#REF!</definedName>
    <definedName name="_26__FDSAUDITLINK__" hidden="1">{"fdsup://directions/FAT Viewer?action=UPDATE&amp;creator=factset&amp;DYN_ARGS=TRUE&amp;DOC_NAME=FAT:FQL_AUDITING_CLIENT_TEMPLATE.FAT&amp;display_string=Audit&amp;VAR:KEY=LINIDUNITC&amp;VAR:QUERY=RkZfREVCVChRVFIsMCk=&amp;WINDOW=FIRST_POPUP&amp;HEIGHT=450&amp;WIDTH=450&amp;START_MAXIMIZED=FALSE&amp;VA","R:CALENDAR=US&amp;VAR:SYMBOL=670625&amp;VAR:INDEX=0"}</definedName>
    <definedName name="_26_0__123Graph_BCHAR" hidden="1">#REF!</definedName>
    <definedName name="_27__123Graph_ACHART_3" hidden="1">#REF!</definedName>
    <definedName name="_27__123Graph_BCHART_3" hidden="1">#REF!</definedName>
    <definedName name="_27__123Graph_LBL_ACHART_2" hidden="1">#REF!</definedName>
    <definedName name="_27__FDSAUDITLINK__" hidden="1">{"fdsup://directions/FAT Viewer?action=UPDATE&amp;creator=factset&amp;DYN_ARGS=TRUE&amp;DOC_NAME=FAT:FQL_AUDITING_CLIENT_TEMPLATE.FAT&amp;display_string=Audit&amp;VAR:KEY=ZYZAZOHSNG&amp;VAR:QUERY=RkZfREVCVChRVFIsMCk=&amp;WINDOW=FIRST_POPUP&amp;HEIGHT=450&amp;WIDTH=450&amp;START_MAXIMIZED=FALSE&amp;VA","R:CALENDAR=US&amp;VAR:SYMBOL=B01T14&amp;VAR:INDEX=0"}</definedName>
    <definedName name="_271__123Graph_LBL_ACHART_3" hidden="1">#REF!</definedName>
    <definedName name="_28__123Graph_ACHART_1" hidden="1">#REF!</definedName>
    <definedName name="_28__123Graph_BCHART_1" hidden="1">#REF!</definedName>
    <definedName name="_28__123Graph_BCHART_3" hidden="1">#REF!</definedName>
    <definedName name="_28__FDSAUDITLINK__" hidden="1">{"fdsup://directions/FAT Viewer?action=UPDATE&amp;creator=factset&amp;DYN_ARGS=TRUE&amp;DOC_NAME=FAT:FQL_AUDITING_CLIENT_TEMPLATE.FAT&amp;display_string=Audit&amp;VAR:KEY=ZCBIPGHWJS&amp;VAR:QUERY=RkZfREVCVChRVFIsMCk=&amp;WINDOW=FIRST_POPUP&amp;HEIGHT=450&amp;WIDTH=450&amp;START_MAXIMIZED=FALSE&amp;VA","R:CALENDAR=US&amp;VAR:SYMBOL=627137&amp;VAR:INDEX=0"}</definedName>
    <definedName name="_28_0__123Graph_CCHAR" hidden="1">#REF!</definedName>
    <definedName name="_29__FDSAUDITLINK__" hidden="1">{"fdsup://directions/FAT Viewer?action=UPDATE&amp;creator=factset&amp;DYN_ARGS=TRUE&amp;DOC_NAME=FAT:FQL_AUDITING_CLIENT_TEMPLATE.FAT&amp;display_string=Audit&amp;VAR:KEY=CLCRSDAPSX&amp;VAR:QUERY=RkZfREVCVChRVFIsMCk=&amp;WINDOW=FIRST_POPUP&amp;HEIGHT=450&amp;WIDTH=450&amp;START_MAXIMIZED=FALSE&amp;VA","R:CALENDAR=US&amp;VAR:SYMBOL=B4TX8S&amp;VAR:INDEX=0"}</definedName>
    <definedName name="_298__123Graph_LBL_ACHART_4" hidden="1">#REF!</definedName>
    <definedName name="_3__123Graph_ACHART_1" hidden="1">#REF!</definedName>
    <definedName name="_3__123Graph_ACHART_2" hidden="1">#REF!</definedName>
    <definedName name="_3__123Graph_ACHART_3" hidden="1">#REF!</definedName>
    <definedName name="_3__123Graph_AGraphique_3B" hidden="1">#REF!</definedName>
    <definedName name="_3__123Graph_LBL_ACHART_4" hidden="1">#REF!</definedName>
    <definedName name="_3__FDSAUDITLINK__" hidden="1">{"fdsup://directions/FAT Viewer?action=UPDATE&amp;creator=factset&amp;DYN_ARGS=TRUE&amp;DOC_NAME=FAT:FQL_AUDITING_CLIENT_TEMPLATE.FAT&amp;display_string=Audit&amp;VAR:KEY=NYZOXGHULC&amp;VAR:QUERY=RkZfREVCVChRVFIsMCk=&amp;WINDOW=FIRST_POPUP&amp;HEIGHT=450&amp;WIDTH=450&amp;START_MAXIMIZED=FALSE&amp;VA","R:CALENDAR=US&amp;VAR:SYMBOL=615525&amp;VAR:INDEX=0"}</definedName>
    <definedName name="_30__123Graph_CCHART_1" hidden="1">#REF!</definedName>
    <definedName name="_30__123Graph_LBL_ACHART_1" hidden="1">#REF!</definedName>
    <definedName name="_30__123Graph_LBL_ACHART_3" hidden="1">#REF!</definedName>
    <definedName name="_30__FDSAUDITLINK__" hidden="1">{"fdsup://directions/FAT Viewer?action=UPDATE&amp;creator=factset&amp;DYN_ARGS=TRUE&amp;DOC_NAME=FAT:FQL_AUDITING_CLIENT_TEMPLATE.FAT&amp;display_string=Audit&amp;VAR:KEY=FCXYFCHWXA&amp;VAR:QUERY=RkZfREVCVChRVFIsMCk=&amp;WINDOW=FIRST_POPUP&amp;HEIGHT=450&amp;WIDTH=450&amp;START_MAXIMIZED=FALSE&amp;VA","R:CALENDAR=US&amp;VAR:SYMBOL=641167&amp;VAR:INDEX=0"}</definedName>
    <definedName name="_30_0__123Graph_LBL_ACHAR" hidden="1">#REF!</definedName>
    <definedName name="_31__FDSAUDITLINK__" hidden="1">{"fdsup://directions/FAT Viewer?action=UPDATE&amp;creator=factset&amp;DYN_ARGS=TRUE&amp;DOC_NAME=FAT:FQL_AUDITING_CLIENT_TEMPLATE.FAT&amp;display_string=Audit&amp;VAR:KEY=ZWDYLGNOZS&amp;VAR:QUERY=RkZfREVCVChRVFIsMCk=&amp;WINDOW=FIRST_POPUP&amp;HEIGHT=450&amp;WIDTH=450&amp;START_MAXIMIZED=FALSE&amp;VA","R:CALENDAR=US&amp;VAR:SYMBOL=642566&amp;VAR:INDEX=0"}</definedName>
    <definedName name="_32__123Graph_ACHART_4" hidden="1">#REF!</definedName>
    <definedName name="_32__123Graph_LBL_ACHART_1" hidden="1">#REF!</definedName>
    <definedName name="_325__123Graph_LBL_BCHART_1" hidden="1">#REF!</definedName>
    <definedName name="_33__123Graph_LBL_ACHART_2" hidden="1">#REF!</definedName>
    <definedName name="_33__123Graph_LBL_ACHART_4" hidden="1">#REF!</definedName>
    <definedName name="_33__FDSAUDITLINK__" hidden="1">{"fdsup://directions/FAT Viewer?action=UPDATE&amp;creator=factset&amp;DYN_ARGS=TRUE&amp;DOC_NAME=FAT:FQL_AUDITING_CLIENT_TEMPLATE.FAT&amp;display_string=Audit&amp;VAR:KEY=BYZORMPCHQ&amp;VAR:QUERY=RkZfREVCVChRVFIsMCk=&amp;WINDOW=FIRST_POPUP&amp;HEIGHT=450&amp;WIDTH=450&amp;START_MAXIMIZED=FALSE&amp;VA","R:CALENDAR=US&amp;VAR:SYMBOL=649613&amp;VAR:INDEX=0"}</definedName>
    <definedName name="_34__FDSAUDITLINK__" hidden="1">{"fdsup://directions/FAT Viewer?action=UPDATE&amp;creator=factset&amp;DYN_ARGS=TRUE&amp;DOC_NAME=FAT:FQL_AUDITING_CLIENT_TEMPLATE.FAT&amp;display_string=Audit&amp;VAR:KEY=IRGRQDQTWB&amp;VAR:QUERY=RkZfREVCVChRVFIsMCk=&amp;WINDOW=FIRST_POPUP&amp;HEIGHT=450&amp;WIDTH=450&amp;START_MAXIMIZED=FALSE&amp;VA","R:CALENDAR=US&amp;VAR:SYMBOL=680580&amp;VAR:INDEX=0"}</definedName>
    <definedName name="_35__FDSAUDITLINK__" hidden="1">{"fdsup://directions/FAT Viewer?action=UPDATE&amp;creator=factset&amp;DYN_ARGS=TRUE&amp;DOC_NAME=FAT:FQL_AUDITING_CLIENT_TEMPLATE.FAT&amp;display_string=Audit&amp;VAR:KEY=ZYZAZOHSNG&amp;VAR:QUERY=RkZfREVCVChRVFIsMCk=&amp;WINDOW=FIRST_POPUP&amp;HEIGHT=450&amp;WIDTH=450&amp;START_MAXIMIZED=FALSE&amp;VA","R:CALENDAR=US&amp;VAR:SYMBOL=B01T14&amp;VAR:INDEX=0"}</definedName>
    <definedName name="_352__123Graph_LBL_BCHART_2" hidden="1">#REF!</definedName>
    <definedName name="_353__FDSAUDITLINK__"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6__123Graph_ACHART_4" hidden="1">#REF!</definedName>
    <definedName name="_36__123Graph_LBL_ACHART_2" hidden="1">#REF!</definedName>
    <definedName name="_36__123Graph_LBL_ACHART_3" hidden="1">#REF!</definedName>
    <definedName name="_36__123Graph_LBL_BCHART_1" hidden="1">#REF!</definedName>
    <definedName name="_36__FDSAUDITLINK__" hidden="1">{"fdsup://directions/FAT Viewer?action=UPDATE&amp;creator=factset&amp;DYN_ARGS=TRUE&amp;DOC_NAME=FAT:FQL_AUDITING_CLIENT_TEMPLATE.FAT&amp;display_string=Audit&amp;VAR:KEY=BOFAPUNSFW&amp;VAR:QUERY=RkZfREVCVChRVFIsMCk=&amp;WINDOW=FIRST_POPUP&amp;HEIGHT=450&amp;WIDTH=450&amp;START_MAXIMIZED=FALSE&amp;VA","R:CALENDAR=US&amp;VAR:SYMBOL=615593&amp;VAR:INDEX=0"}</definedName>
    <definedName name="_36_0__123Graph_ACHAR" hidden="1">#REF!</definedName>
    <definedName name="_37__FDSAUDITLINK__" hidden="1">{"fdsup://directions/FAT Viewer?action=UPDATE&amp;creator=factset&amp;DYN_ARGS=TRUE&amp;DOC_NAME=FAT:FQL_AUDITING_CLIENT_TEMPLATE.FAT&amp;display_string=Audit&amp;VAR:KEY=NCDWZYHQLY&amp;VAR:QUERY=RkZfREVCVChRVFIsMCk=&amp;WINDOW=FIRST_POPUP&amp;HEIGHT=450&amp;WIDTH=450&amp;START_MAXIMIZED=FALSE&amp;VA","R:CALENDAR=US&amp;VAR:SYMBOL=616216&amp;VAR:INDEX=0"}</definedName>
    <definedName name="_371__FDSAUDITLINK__"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9__123Graph_LBL_BCHART_3" hidden="1">#REF!</definedName>
    <definedName name="_38__FDSAUDITLINK__" hidden="1">{"fdsup://directions/FAT Viewer?action=UPDATE&amp;creator=factset&amp;DYN_ARGS=TRUE&amp;DOC_NAME=FAT:FQL_AUDITING_CLIENT_TEMPLATE.FAT&amp;display_string=Audit&amp;VAR:KEY=LIHILQPEHS&amp;VAR:QUERY=RkZfREVCVChRVFIsMCk=&amp;WINDOW=FIRST_POPUP&amp;HEIGHT=450&amp;WIDTH=450&amp;START_MAXIMIZED=FALSE&amp;VA","R:CALENDAR=US&amp;VAR:SYMBOL=B01LXY&amp;VAR:INDEX=0"}</definedName>
    <definedName name="_38_0__123Graph_BCHAR" hidden="1">#REF!</definedName>
    <definedName name="_39__123Graph_LBL_ACHART_4" hidden="1">#REF!</definedName>
    <definedName name="_39__123Graph_LBL_BCHART_2" hidden="1">#REF!</definedName>
    <definedName name="_39__FDSAUDITLINK__" hidden="1">{"fdsup://directions/FAT Viewer?action=UPDATE&amp;creator=factset&amp;DYN_ARGS=TRUE&amp;DOC_NAME=FAT:FQL_AUDITING_CLIENT_TEMPLATE.FAT&amp;display_string=Audit&amp;VAR:KEY=BKHSXEZQRI&amp;VAR:QUERY=RkZfREVCVChRVFIsMCk=&amp;WINDOW=FIRST_POPUP&amp;HEIGHT=450&amp;WIDTH=450&amp;START_MAXIMIZED=FALSE&amp;VA","R:CALENDAR=US&amp;VAR:SYMBOL=B12C0T&amp;VAR:INDEX=0"}</definedName>
    <definedName name="_4__123Graph_ACHART_1" hidden="1">#REF!</definedName>
    <definedName name="_4__123Graph_ACHART_2" hidden="1">#REF!</definedName>
    <definedName name="_4__123Graph_ACHART_3" hidden="1">#REF!</definedName>
    <definedName name="_4__123Graph_ACHART_4" hidden="1">#REF!</definedName>
    <definedName name="_4__123Graph_BCHART_1" hidden="1">#REF!</definedName>
    <definedName name="_4__123Graph_BGraphique_1B" hidden="1">#REF!</definedName>
    <definedName name="_4__123Graph_LBL_BCHART_4" hidden="1">#REF!</definedName>
    <definedName name="_4__FDSAUDITLINK__" hidden="1">{"fdsup://Directions/FactSet Auditing Viewer?action=AUDIT_VALUE&amp;DB=129&amp;ID1=B01LXY&amp;VALUEID=05192&amp;SDATE=201101&amp;PERIODTYPE=QTR_STD&amp;SCFT=3&amp;window=popup_no_bar&amp;width=385&amp;height=120&amp;START_MAXIMIZED=FALSE&amp;creator=factset&amp;display_string=Audit"}</definedName>
    <definedName name="_40__123Graph_BCHART_1" hidden="1">#REF!</definedName>
    <definedName name="_40__123Graph_LBL_ACHART_3" hidden="1">#REF!</definedName>
    <definedName name="_40__FDSAUDITLINK__" hidden="1">{"fdsup://Directions/FactSet Auditing Viewer?action=AUDIT_VALUE&amp;DB=129&amp;ID1=615525&amp;VALUEID=05194&amp;SDATE=201101&amp;PERIODTYPE=QTR_STD&amp;SCFT=3&amp;window=popup_no_bar&amp;width=385&amp;height=120&amp;START_MAXIMIZED=FALSE&amp;creator=factset&amp;display_string=Audit"}</definedName>
    <definedName name="_40_0__123Graph_CCHAR" hidden="1">#REF!</definedName>
    <definedName name="_406__123Graph_XCHART_1" hidden="1">#REF!</definedName>
    <definedName name="_41__FDSAUDITLINK__" hidden="1">{"fdsup://directions/FAT Viewer?action=UPDATE&amp;creator=factset&amp;DYN_ARGS=TRUE&amp;DOC_NAME=FAT:FQL_AUDITING_CLIENT_TEMPLATE.FAT&amp;display_string=Audit&amp;VAR:KEY=NCPODUVUTY&amp;VAR:QUERY=RkZfREVCVChRVFIsMCk=&amp;WINDOW=FIRST_POPUP&amp;HEIGHT=450&amp;WIDTH=450&amp;START_MAXIMIZED=FALSE&amp;VA","R:CALENDAR=US&amp;VAR:SYMBOL=651312&amp;VAR:INDEX=0"}</definedName>
    <definedName name="_42__123Graph_LBL_BCHART_1" hidden="1">#REF!</definedName>
    <definedName name="_42__123Graph_LBL_BCHART_3" hidden="1">#REF!</definedName>
    <definedName name="_42__FDSAUDITLINK__" hidden="1">{"fdsup://directions/FAT Viewer?action=UPDATE&amp;creator=factset&amp;DYN_ARGS=TRUE&amp;DOC_NAME=FAT:FQL_AUDITING_CLIENT_TEMPLATE.FAT&amp;display_string=Audit&amp;VAR:KEY=TCLSBADEBM&amp;VAR:QUERY=RkZfREVCVChRVFIsMCk=&amp;WINDOW=FIRST_POPUP&amp;HEIGHT=450&amp;WIDTH=450&amp;START_MAXIMIZED=FALSE&amp;VA","R:CALENDAR=US&amp;VAR:SYMBOL=610036&amp;VAR:INDEX=0"}</definedName>
    <definedName name="_42_0__123Graph_LBL_ACHAR" hidden="1">#REF!</definedName>
    <definedName name="_42wrn.²Ä1­Ó¤ë1_Ü20¤H." hidden="1">{#N/A,#N/A,FALSE,"²Ä1­Ó¤ë"}</definedName>
    <definedName name="_43__FDSAUDITLINK__" hidden="1">{"fdsup://directions/FAT Viewer?action=UPDATE&amp;creator=factset&amp;DYN_ARGS=TRUE&amp;DOC_NAME=FAT:FQL_AUDITING_CLIENT_TEMPLATE.FAT&amp;display_string=Audit&amp;VAR:KEY=TCVWVCXSPG&amp;VAR:QUERY=RkZfREVCVChRVFIsMCk=&amp;WINDOW=FIRST_POPUP&amp;HEIGHT=450&amp;WIDTH=450&amp;START_MAXIMIZED=FALSE&amp;VA","R:CALENDAR=US&amp;VAR:SYMBOL=B5Q3JZ&amp;VAR:INDEX=0"}</definedName>
    <definedName name="_433__123Graph_XCHART_2" hidden="1">#REF!</definedName>
    <definedName name="_44__123Graph_LBL_ACHART_4" hidden="1">#REF!</definedName>
    <definedName name="_44__FDSAUDITLINK__" hidden="1">{"fdsup://directions/FAT Viewer?action=UPDATE&amp;creator=factset&amp;DYN_ARGS=TRUE&amp;DOC_NAME=FAT:FQL_AUDITING_CLIENT_TEMPLATE.FAT&amp;display_string=Audit&amp;VAR:KEY=FKRWBWPYJQ&amp;VAR:QUERY=RkZfREVCVChRVFIsMCk=&amp;WINDOW=FIRST_POPUP&amp;HEIGHT=450&amp;WIDTH=450&amp;START_MAXIMIZED=FALSE&amp;VA","R:CALENDAR=US&amp;VAR:SYMBOL=B2Q5H5&amp;VAR:INDEX=0"}</definedName>
    <definedName name="_45__123Graph_BCHART_1" hidden="1">#REF!</definedName>
    <definedName name="_45__123Graph_LBL_BCHART_2" hidden="1">#REF!</definedName>
    <definedName name="_45__123Graph_XCHART_1" hidden="1">#REF!</definedName>
    <definedName name="_45__FDSAUDITLINK__" hidden="1">{"fdsup://directions/FAT Viewer?action=UPDATE&amp;creator=factset&amp;DYN_ARGS=TRUE&amp;DOC_NAME=FAT:FQL_AUDITING_CLIENT_TEMPLATE.FAT&amp;display_string=Audit&amp;VAR:KEY=OPGHWHAPUT&amp;VAR:QUERY=RkZfREVCVChRVFIsMCk=&amp;WINDOW=FIRST_POPUP&amp;HEIGHT=450&amp;WIDTH=450&amp;START_MAXIMIZED=FALSE&amp;VA","R:CALENDAR=US&amp;VAR:SYMBOL=658923&amp;VAR:INDEX=0"}</definedName>
    <definedName name="_46__FDSAUDITLINK__" hidden="1">{"fdsup://directions/FAT Viewer?action=UPDATE&amp;creator=factset&amp;DYN_ARGS=TRUE&amp;DOC_NAME=FAT:FQL_AUDITING_CLIENT_TEMPLATE.FAT&amp;display_string=Audit&amp;VAR:KEY=DUDADIPCVA&amp;VAR:QUERY=RkZfREVCVChRVFIsMCk=&amp;WINDOW=FIRST_POPUP&amp;HEIGHT=450&amp;WIDTH=450&amp;START_MAXIMIZED=FALSE&amp;VA","R:CALENDAR=US&amp;VAR:SYMBOL=B01FLR&amp;VAR:INDEX=0"}</definedName>
    <definedName name="_460__123Graph_XCHART_3" hidden="1">#REF!</definedName>
    <definedName name="_47__FDSAUDITLINK__" hidden="1">{"fdsup://Directions/FactSet Auditing Viewer?action=AUDIT_VALUE&amp;DB=129&amp;ID1=627137&amp;VALUEID=05194&amp;SDATE=201102&amp;PERIODTYPE=QTR_STD&amp;SCFT=3&amp;window=popup_no_bar&amp;width=385&amp;height=120&amp;START_MAXIMIZED=FALSE&amp;creator=factset&amp;display_string=Audit"}</definedName>
    <definedName name="_48__123Graph_BCHART_2" hidden="1">#REF!</definedName>
    <definedName name="_48__123Graph_LBL_BCHART_1" hidden="1">#REF!</definedName>
    <definedName name="_48__123Graph_LBL_BCHART_3" hidden="1">#REF!</definedName>
    <definedName name="_48__123Graph_XCHART_2" hidden="1">#REF!</definedName>
    <definedName name="_48__FDSAUDITLINK__" hidden="1">{"fdsup://Directions/FactSet Auditing Viewer?action=AUDIT_VALUE&amp;DB=129&amp;ID1=627137&amp;VALUEID=05192&amp;SDATE=201102&amp;PERIODTYPE=QTR_STD&amp;SCFT=3&amp;window=popup_no_bar&amp;width=385&amp;height=120&amp;START_MAXIMIZED=FALSE&amp;creator=factset&amp;display_string=Audit"}</definedName>
    <definedName name="_481__FDSAUDITLINK__" hidden="1">{"fdsup://directions/FAT Viewer?action=UPDATE&amp;creator=factset&amp;DYN_ARGS=TRUE&amp;DOC_NAME=FAT:FQL_AUDITING_CLIENT_TEMPLATE.FAT&amp;display_string=Audit&amp;VAR:KEY=FKZMDKTUXA&amp;VAR:QUERY=KEZGX0JQU19UQU5HKFFUUiw0MDE0MylARkZfQlBTX1RBTkcoQU5OLDQwMTQzKSk=&amp;WINDOW=FIRST_POPUP&amp;H","EIGHT=450&amp;WIDTH=450&amp;START_MAXIMIZED=FALSE&amp;VAR:CALENDAR=US&amp;VAR:SYMBOL=002939&amp;VAR:INDEX=0"}</definedName>
    <definedName name="_487__123Graph_XCHART_4" hidden="1">#REF!</definedName>
    <definedName name="_49__FDSAUDITLINK__" hidden="1">{"fdsup://directions/FAT Viewer?action=UPDATE&amp;creator=factset&amp;DYN_ARGS=TRUE&amp;DOC_NAME=FAT:FQL_AUDITING_CLIENT_TEMPLATE.FAT&amp;display_string=Audit&amp;VAR:KEY=YLCVWFIZGL&amp;VAR:QUERY=RkZfREVCVChRVFIsMCk=&amp;WINDOW=FIRST_POPUP&amp;HEIGHT=450&amp;WIDTH=450&amp;START_MAXIMIZED=FALSE&amp;VA","R:CALENDAR=US&amp;VAR:SYMBOL=652766&amp;VAR:INDEX=0"}</definedName>
    <definedName name="_5__123Graph_ACHART_3" hidden="1">#REF!</definedName>
    <definedName name="_5__123Graph_ACHART_4" hidden="1">#REF!</definedName>
    <definedName name="_5__123Graph_BCHART_1" hidden="1">#REF!</definedName>
    <definedName name="_5__123Graph_BGraphique_2B" hidden="1">#REF!</definedName>
    <definedName name="_5__123Graph_XCHART_4" hidden="1">#REF!</definedName>
    <definedName name="_5__FDSAUDITLINK__" hidden="1">{"fdsup://Directions/FactSet Auditing Viewer?action=AUDIT_VALUE&amp;DB=129&amp;ID1=529412&amp;VALUEID=01004&amp;SDATE=2010&amp;PERIODTYPE=ANN_STD&amp;SCFT=3&amp;window=popup_no_bar&amp;width=385&amp;height=120&amp;START_MAXIMIZED=FALSE&amp;creator=factset&amp;display_string=Audit"}</definedName>
    <definedName name="_50__123Graph_ACHART_1" hidden="1">#REF!</definedName>
    <definedName name="_50__FDSAUDITLINK__" hidden="1">{"fdsup://Directions/FactSet Auditing Viewer?action=AUDIT_VALUE&amp;DB=129&amp;ID1=680580&amp;VALUEID=05194&amp;SDATE=201101&amp;PERIODTYPE=QTR_STD&amp;SCFT=3&amp;window=popup_no_bar&amp;width=385&amp;height=120&amp;START_MAXIMIZED=FALSE&amp;creator=factset&amp;display_string=Audit"}</definedName>
    <definedName name="_51__123Graph_XCHART_1" hidden="1">#REF!</definedName>
    <definedName name="_51__123Graph_XCHART_3" hidden="1">#REF!</definedName>
    <definedName name="_51__FDSAUDITLINK__" hidden="1">{"fdsup://Directions/FactSet Auditing Viewer?action=AUDIT_VALUE&amp;DB=129&amp;ID1=616216&amp;VALUEID=05194&amp;SDATE=201101&amp;PERIODTYPE=QTR_STD&amp;SCFT=3&amp;window=popup_no_bar&amp;width=385&amp;height=120&amp;START_MAXIMIZED=FALSE&amp;creator=factset&amp;display_string=Audit"}</definedName>
    <definedName name="_52__123Graph_BCHART_1" hidden="1">#REF!</definedName>
    <definedName name="_52__123Graph_LBL_BCHART_2" hidden="1">#REF!</definedName>
    <definedName name="_52__FDSAUDITLINK__" hidden="1">{"fdsup://Directions/FactSet Auditing Viewer?action=AUDIT_VALUE&amp;DB=129&amp;ID1=B01T14&amp;VALUEID=05194&amp;SDATE=201101&amp;PERIODTYPE=QTR_STD&amp;SCFT=3&amp;window=popup_no_bar&amp;width=385&amp;height=120&amp;START_MAXIMIZED=FALSE&amp;creator=factset&amp;display_string=Audit"}</definedName>
    <definedName name="_53__FDSAUDITLINK__" hidden="1">{"fdsup://Directions/FactSet Auditing Viewer?action=AUDIT_VALUE&amp;DB=129&amp;ID1=B01LXY&amp;VALUEID=05194&amp;SDATE=201101&amp;PERIODTYPE=QTR_STD&amp;SCFT=3&amp;window=popup_no_bar&amp;width=385&amp;height=120&amp;START_MAXIMIZED=FALSE&amp;creator=factset&amp;display_string=Audit"}</definedName>
    <definedName name="_54__123Graph_BCHART_2" hidden="1">#REF!</definedName>
    <definedName name="_54__123Graph_CCHART_1" hidden="1">#REF!</definedName>
    <definedName name="_54__123Graph_XCHART_2" hidden="1">#REF!</definedName>
    <definedName name="_54__123Graph_XCHART_4" hidden="1">#REF!</definedName>
    <definedName name="_54__FDSAUDITLINK__" hidden="1">{"fdsup://Directions/FactSet Auditing Viewer?action=AUDIT_VALUE&amp;DB=129&amp;ID1=616216&amp;VALUEID=05194&amp;SDATE=201101&amp;PERIODTYPE=QTR_STD&amp;SCFT=3&amp;window=popup_no_bar&amp;width=385&amp;height=120&amp;START_MAXIMIZED=FALSE&amp;creator=factset&amp;display_string=Audit"}</definedName>
    <definedName name="_55__123Graph_ACHART_2" hidden="1">#REF!</definedName>
    <definedName name="_55__FDSAUDITLINK__" hidden="1">{"fdsup://Directions/FactSet Auditing Viewer?action=AUDIT_VALUE&amp;DB=129&amp;ID1=649613&amp;VALUEID=05192&amp;SDATE=201101&amp;PERIODTYPE=QTR_STD&amp;SCFT=3&amp;window=popup_no_bar&amp;width=385&amp;height=120&amp;START_MAXIMIZED=FALSE&amp;creator=factset&amp;display_string=Audit"}</definedName>
    <definedName name="_56__123Graph_BCHART_3" hidden="1">#REF!</definedName>
    <definedName name="_56__123Graph_LBL_ACHART_1" hidden="1">#REF!</definedName>
    <definedName name="_56__123Graph_LBL_BCHART_3" hidden="1">#REF!</definedName>
    <definedName name="_56__FDSAUDITLINK__" hidden="1">{"fdsup://Directions/FactSet Auditing Viewer?action=AUDIT_VALUE&amp;DB=129&amp;ID1=680580&amp;VALUEID=05192&amp;SDATE=201101&amp;PERIODTYPE=QTR_STD&amp;SCFT=3&amp;window=popup_no_bar&amp;width=385&amp;height=120&amp;START_MAXIMIZED=FALSE&amp;creator=factset&amp;display_string=Audit"}</definedName>
    <definedName name="_57__123Graph_XCHART_3" hidden="1">#REF!</definedName>
    <definedName name="_57__FDSAUDITLINK__" hidden="1">{"fdsup://Directions/FactSet Auditing Viewer?action=AUDIT_VALUE&amp;DB=129&amp;ID1=616216&amp;VALUEID=05192&amp;SDATE=201101&amp;PERIODTYPE=QTR_STD&amp;SCFT=3&amp;window=popup_no_bar&amp;width=385&amp;height=120&amp;START_MAXIMIZED=FALSE&amp;creator=factset&amp;display_string=Audit"}</definedName>
    <definedName name="_58__FDSAUDITLINK__" hidden="1">{"fdsup://Directions/FactSet Auditing Viewer?action=AUDIT_VALUE&amp;DB=129&amp;ID1=B01T14&amp;VALUEID=05192&amp;SDATE=201101&amp;PERIODTYPE=QTR_STD&amp;SCFT=3&amp;window=popup_no_bar&amp;width=385&amp;height=120&amp;START_MAXIMIZED=FALSE&amp;creator=factset&amp;display_string=Audit"}</definedName>
    <definedName name="_59__FDSAUDITLINK__" hidden="1">{"fdsup://Directions/FactSet Auditing Viewer?action=AUDIT_VALUE&amp;DB=129&amp;ID1=B01LXY&amp;VALUEID=05192&amp;SDATE=201101&amp;PERIODTYPE=QTR_STD&amp;SCFT=3&amp;window=popup_no_bar&amp;width=385&amp;height=120&amp;START_MAXIMIZED=FALSE&amp;creator=factset&amp;display_string=Audit"}</definedName>
    <definedName name="_6__123Graph_ACHART_2" hidden="1">#REF!</definedName>
    <definedName name="_6__123Graph_ACHART_4" hidden="1">#REF!</definedName>
    <definedName name="_6__123Graph_BCHART_1" hidden="1">#REF!</definedName>
    <definedName name="_6__123Graph_BCHART_2" hidden="1">#REF!</definedName>
    <definedName name="_6__123Graph_BGraphique_3B" hidden="1">#REF!</definedName>
    <definedName name="_6__123Graph_CCHART_1" hidden="1">#REF!</definedName>
    <definedName name="_6__FDSAUDITLINK__" hidden="1">{"fdsup://Directions/FactSet Auditing Viewer?action=AUDIT_VALUE&amp;DB=129&amp;ID1=B2Q4CS&amp;VALUEID=05192&amp;SDATE=201101&amp;PERIODTYPE=QTR_STD&amp;SCFT=3&amp;window=popup_no_bar&amp;width=385&amp;height=120&amp;START_MAXIMIZED=FALSE&amp;creator=factset&amp;display_string=Audit"}</definedName>
    <definedName name="_60__123Graph_XCHART_1" hidden="1">#REF!</definedName>
    <definedName name="_60__123Graph_XCHART_4" hidden="1">#REF!</definedName>
    <definedName name="_60__FDSAUDITLINK__" hidden="1">{"fdsup://Directions/FactSet Auditing Viewer?action=AUDIT_VALUE&amp;DB=129&amp;ID1=616216&amp;VALUEID=05192&amp;SDATE=201101&amp;PERIODTYPE=QTR_STD&amp;SCFT=3&amp;window=popup_no_bar&amp;width=385&amp;height=120&amp;START_MAXIMIZED=FALSE&amp;creator=factset&amp;display_string=Audit"}</definedName>
    <definedName name="_60_0__123Graph_ACHAR" hidden="1">#REF!</definedName>
    <definedName name="_61__FDSAUDITLINK__" hidden="1">{"fdsup://directions/FAT Viewer?action=UPDATE&amp;creator=factset&amp;DYN_ARGS=TRUE&amp;DOC_NAME=FAT:FQL_AUDITING_CLIENT_TEMPLATE.FAT&amp;display_string=Audit&amp;VAR:KEY=HOZMZUDYTG&amp;VAR:QUERY=RkZfREVCVChRVFIsMCk=&amp;WINDOW=FIRST_POPUP&amp;HEIGHT=450&amp;WIDTH=450&amp;START_MAXIMIZED=FALSE&amp;VA","R:CALENDAR=US&amp;VAR:SYMBOL=671897&amp;VAR:INDEX=0"}</definedName>
    <definedName name="_62__FDSAUDITLINK__" hidden="1">{"fdsup://directions/FAT Viewer?action=UPDATE&amp;creator=factset&amp;DYN_ARGS=TRUE&amp;DOC_NAME=FAT:FQL_AUDITING_CLIENT_TEMPLATE.FAT&amp;display_string=Audit&amp;VAR:KEY=HOZMZUDYTG&amp;VAR:QUERY=RkZfREVCVChRVFIsMCk=&amp;WINDOW=FIRST_POPUP&amp;HEIGHT=450&amp;WIDTH=450&amp;START_MAXIMIZED=FALSE&amp;VA","R:CALENDAR=US&amp;VAR:SYMBOL=671897&amp;VAR:INDEX=0"}</definedName>
    <definedName name="_62_0__123Graph_BCHAR" hidden="1">#REF!</definedName>
    <definedName name="_63__123Graph_BCHART_3" hidden="1">#REF!</definedName>
    <definedName name="_63__FDSAUDITLINK__" hidden="1">{"fdsup://directions/FAT Viewer?action=UPDATE&amp;creator=factset&amp;DYN_ARGS=TRUE&amp;DOC_NAME=FAT:FQL_AUDITING_CLIENT_TEMPLATE.FAT&amp;display_string=Audit&amp;VAR:KEY=HOZMZUDYTG&amp;VAR:QUERY=RkZfREVCVChRVFIsMCk=&amp;WINDOW=FIRST_POPUP&amp;HEIGHT=450&amp;WIDTH=450&amp;START_MAXIMIZED=FALSE&amp;VA","R:CALENDAR=US&amp;VAR:SYMBOL=671897&amp;VAR:INDEX=0"}</definedName>
    <definedName name="_64__123Graph_LBL_ACHART_1" hidden="1">#REF!</definedName>
    <definedName name="_64__123Graph_XCHART_2" hidden="1">#REF!</definedName>
    <definedName name="_64__FDSAUDITLINK__" hidden="1">{"fdsup://Directions/FactSet Auditing Viewer?action=AUDIT_VALUE&amp;DB=129&amp;ID1=615593&amp;VALUEID=05192&amp;SDATE=201101&amp;PERIODTYPE=QTR_STD&amp;SCFT=3&amp;window=popup_no_bar&amp;width=385&amp;height=120&amp;START_MAXIMIZED=FALSE&amp;creator=factset&amp;display_string=Audit"}</definedName>
    <definedName name="_64_0__123Graph_CCHAR" hidden="1">#REF!</definedName>
    <definedName name="_65__FDSAUDITLINK__" hidden="1">{"fdsup://Directions/FactSet Auditing Viewer?action=AUDIT_VALUE&amp;DB=129&amp;ID1=615593&amp;VALUEID=05194&amp;SDATE=201101&amp;PERIODTYPE=QTR_STD&amp;SCFT=3&amp;window=popup_no_bar&amp;width=385&amp;height=120&amp;START_MAXIMIZED=FALSE&amp;creator=factset&amp;display_string=Audit"}</definedName>
    <definedName name="_66__FDSAUDITLINK__" hidden="1">{"fdsup://Directions/FactSet Auditing Viewer?action=AUDIT_VALUE&amp;DB=129&amp;ID1=B62B9W&amp;VALUEID=05192&amp;SDATE=201101&amp;PERIODTYPE=QTR_STD&amp;SCFT=3&amp;window=popup_no_bar&amp;width=385&amp;height=120&amp;START_MAXIMIZED=FALSE&amp;creator=factset&amp;display_string=Audit"}</definedName>
    <definedName name="_66_0__123Graph_LBL_ACHAR" hidden="1">#REF!</definedName>
    <definedName name="_67__FDSAUDITLINK__" hidden="1">{"fdsup://Directions/FactSet Auditing Viewer?action=AUDIT_VALUE&amp;DB=129&amp;ID1=B62B9W&amp;VALUEID=05194&amp;SDATE=201101&amp;PERIODTYPE=QTR_STD&amp;SCFT=3&amp;window=popup_no_bar&amp;width=385&amp;height=120&amp;START_MAXIMIZED=FALSE&amp;creator=factset&amp;display_string=Audit"}</definedName>
    <definedName name="_68__123Graph_XCHART_3" hidden="1">#REF!</definedName>
    <definedName name="_68__FDSAUDITLINK__" hidden="1">{"fdsup://Directions/FactSet Auditing Viewer?action=AUDIT_VALUE&amp;DB=129&amp;ID1=B12C0T&amp;VALUEID=05192&amp;SDATE=201101&amp;PERIODTYPE=QTR_STD&amp;SCFT=3&amp;window=popup_no_bar&amp;width=385&amp;height=120&amp;START_MAXIMIZED=FALSE&amp;creator=factset&amp;display_string=Audit"}</definedName>
    <definedName name="_69__FDSAUDITLINK__" hidden="1">{"fdsup://Directions/FactSet Auditing Viewer?action=AUDIT_VALUE&amp;DB=129&amp;ID1=B12C0T&amp;VALUEID=05194&amp;SDATE=201101&amp;PERIODTYPE=QTR_STD&amp;SCFT=3&amp;window=popup_no_bar&amp;width=385&amp;height=120&amp;START_MAXIMIZED=FALSE&amp;creator=factset&amp;display_string=Audit"}</definedName>
    <definedName name="_7__123Graph_ACHART_1" hidden="1">#REF!</definedName>
    <definedName name="_7__123Graph_BCHART_1" hidden="1">#REF!</definedName>
    <definedName name="_7__123Graph_BCHART_2" hidden="1">#REF!</definedName>
    <definedName name="_7__123Graph_BCHART_3" hidden="1">#REF!</definedName>
    <definedName name="_7__123Graph_CGraphique_1B" hidden="1">#REF!</definedName>
    <definedName name="_7__FDSAUDITLINK__" hidden="1">{"fdsup://Directions/FactSet Auditing Viewer?action=AUDIT_VALUE&amp;DB=129&amp;ID1=B601QS&amp;VALUEID=05192&amp;SDATE=201101&amp;PERIODTYPE=QTR_STD&amp;SCFT=3&amp;window=popup_no_bar&amp;width=385&amp;height=120&amp;START_MAXIMIZED=FALSE&amp;creator=factset&amp;display_string=Audit"}</definedName>
    <definedName name="_70__FDSAUDITLINK__" hidden="1">{"fdsup://Directions/FactSet Auditing Viewer?action=AUDIT_VALUE&amp;DB=129&amp;ID1=B12C0T&amp;VALUEID=05192&amp;SDATE=201101&amp;PERIODTYPE=QTR_STD&amp;SCFT=3&amp;window=popup_no_bar&amp;width=385&amp;height=120&amp;START_MAXIMIZED=FALSE&amp;creator=factset&amp;display_string=Audit"}</definedName>
    <definedName name="_71__FDSAUDITLINK__" hidden="1">{"fdsup://Directions/FactSet Auditing Viewer?action=AUDIT_VALUE&amp;DB=129&amp;ID1=B12C0T&amp;VALUEID=05194&amp;SDATE=201101&amp;PERIODTYPE=QTR_STD&amp;SCFT=3&amp;window=popup_no_bar&amp;width=385&amp;height=120&amp;START_MAXIMIZED=FALSE&amp;creator=factset&amp;display_string=Audit"}</definedName>
    <definedName name="_72__123Graph_LBL_ACHART_1" hidden="1">#REF!</definedName>
    <definedName name="_72__123Graph_LBL_ACHART_2" hidden="1">#REF!</definedName>
    <definedName name="_72__123Graph_XCHART_4" hidden="1">#REF!</definedName>
    <definedName name="_72__FDSAUDITLINK__" hidden="1">{"fdsup://directions/FAT Viewer?action=UPDATE&amp;creator=factset&amp;DYN_ARGS=TRUE&amp;DOC_NAME=FAT:FQL_AUDITING_CLIENT_TEMPLATE.FAT&amp;display_string=Audit&amp;VAR:KEY=EPKPEBABGZ&amp;VAR:QUERY=RkZfREVCVChRVFIsMCk=&amp;WINDOW=FIRST_POPUP&amp;HEIGHT=450&amp;WIDTH=450&amp;START_MAXIMIZED=FALSE&amp;VA","R:CALENDAR=US&amp;VAR:SYMBOL=B62B9W&amp;VAR:INDEX=0"}</definedName>
    <definedName name="_73__FDSAUDITLINK__" hidden="1">{"fdsup://Directions/FactSet Auditing Viewer?action=AUDIT_VALUE&amp;DB=129&amp;ID1=B0YCFG&amp;VALUEID=05192&amp;SDATE=201101&amp;PERIODTYPE=QTR_STD&amp;SCFT=3&amp;window=popup_no_bar&amp;width=385&amp;height=120&amp;START_MAXIMIZED=FALSE&amp;creator=factset&amp;display_string=Audit"}</definedName>
    <definedName name="_74__FDSAUDITLINK__" hidden="1">{"fdsup://Directions/FactSet Auditing Viewer?action=AUDIT_VALUE&amp;DB=129&amp;ID1=B0YCFG&amp;VALUEID=05194&amp;SDATE=201101&amp;PERIODTYPE=QTR_STD&amp;SCFT=3&amp;window=popup_no_bar&amp;width=385&amp;height=120&amp;START_MAXIMIZED=FALSE&amp;creator=factset&amp;display_string=Audit"}</definedName>
    <definedName name="_75__FDSAUDITLINK__" hidden="1">{"fdsup://Directions/FactSet Auditing Viewer?action=AUDIT_VALUE&amp;DB=129&amp;ID1=649613&amp;VALUEID=05192&amp;SDATE=201101&amp;PERIODTYPE=QTR_STD&amp;SCFT=3&amp;window=popup_no_bar&amp;width=385&amp;height=120&amp;START_MAXIMIZED=FALSE&amp;creator=factset&amp;display_string=Audit"}</definedName>
    <definedName name="_76__FDSAUDITLINK__" hidden="1">{"fdsup://Directions/FactSet Auditing Viewer?action=AUDIT_VALUE&amp;DB=129&amp;ID1=B12C0T&amp;VALUEID=05192&amp;SDATE=201101&amp;PERIODTYPE=QTR_STD&amp;SCFT=3&amp;window=popup_no_bar&amp;width=385&amp;height=120&amp;START_MAXIMIZED=FALSE&amp;creator=factset&amp;display_string=Audit"}</definedName>
    <definedName name="_77__FDSAUDITLINK__" hidden="1">{"fdsup://Directions/FactSet Auditing Viewer?action=AUDIT_VALUE&amp;DB=129&amp;ID1=B12C0T&amp;VALUEID=05192&amp;SDATE=201101&amp;PERIODTYPE=QTR_STD&amp;SCFT=3&amp;window=popup_no_bar&amp;width=385&amp;height=120&amp;START_MAXIMIZED=FALSE&amp;creator=factset&amp;display_string=Audit"}</definedName>
    <definedName name="_78__FDSAUDITLINK__" hidden="1">{"fdsup://Directions/FactSet Auditing Viewer?action=AUDIT_VALUE&amp;DB=129&amp;ID1=B12C0T&amp;VALUEID=05192&amp;SDATE=201101&amp;PERIODTYPE=QTR_STD&amp;SCFT=3&amp;window=popup_no_bar&amp;width=385&amp;height=120&amp;START_MAXIMIZED=FALSE&amp;creator=factset&amp;display_string=Audit"}</definedName>
    <definedName name="_79__FDSAUDITLINK__" hidden="1">{"fdsup://Directions/FactSet Auditing Viewer?action=AUDIT_VALUE&amp;DB=129&amp;ID1=680580&amp;VALUEID=05194&amp;SDATE=201101&amp;PERIODTYPE=QTR_STD&amp;SCFT=3&amp;window=popup_no_bar&amp;width=385&amp;height=120&amp;START_MAXIMIZED=FALSE&amp;creator=factset&amp;display_string=Audit"}</definedName>
    <definedName name="_8__123Graph_ACHART_1" hidden="1">#REF!</definedName>
    <definedName name="_8__123Graph_ACHART_2" hidden="1">#REF!</definedName>
    <definedName name="_8__123Graph_BCHART_2" hidden="1">#REF!</definedName>
    <definedName name="_8__123Graph_BCHART_3" hidden="1">#REF!</definedName>
    <definedName name="_8__123Graph_CGraphique_2B" hidden="1">#REF!</definedName>
    <definedName name="_8__123Graph_LBL_ACHART_1" hidden="1">#REF!</definedName>
    <definedName name="_8__FDSAUDITLINK__" hidden="1">{"fdsup://Directions/FactSet Auditing Viewer?action=AUDIT_VALUE&amp;DB=129&amp;ID1=002939&amp;VALUEID=01004&amp;SDATE=2010&amp;PERIODTYPE=ANN_STD&amp;SCFT=3&amp;window=popup_no_bar&amp;width=385&amp;height=120&amp;START_MAXIMIZED=FALSE&amp;creator=factset&amp;display_string=Audit"}</definedName>
    <definedName name="_80__123Graph_LBL_ACHART_3" hidden="1">#REF!</definedName>
    <definedName name="_80__FDSAUDITLINK__" hidden="1">{"fdsup://Directions/FactSet Auditing Viewer?action=AUDIT_VALUE&amp;DB=129&amp;ID1=680580&amp;VALUEID=05192&amp;SDATE=201101&amp;PERIODTYPE=QTR_STD&amp;SCFT=3&amp;window=popup_no_bar&amp;width=385&amp;height=120&amp;START_MAXIMIZED=FALSE&amp;creator=factset&amp;display_string=Audit"}</definedName>
    <definedName name="_81__123Graph_LBL_ACHART_2" hidden="1">#REF!</definedName>
    <definedName name="_81__FDSAUDITLINK__" hidden="1">{"fdsup://Directions/FactSet Auditing Viewer?action=AUDIT_VALUE&amp;DB=129&amp;ID1=B0YCFG&amp;VALUEID=05192&amp;SDATE=201101&amp;PERIODTYPE=QTR_STD&amp;SCFT=3&amp;window=popup_no_bar&amp;width=385&amp;height=120&amp;START_MAXIMIZED=FALSE&amp;creator=factset&amp;display_string=Audit"}</definedName>
    <definedName name="_82__123Graph_ACHART_3" hidden="1">#REF!</definedName>
    <definedName name="_82__FDSAUDITLINK__" hidden="1">{"fdsup://Directions/FactSet Auditing Viewer?action=AUDIT_VALUE&amp;DB=129&amp;ID1=B62B9W&amp;VALUEID=05192&amp;SDATE=201101&amp;PERIODTYPE=QTR_STD&amp;SCFT=3&amp;window=popup_no_bar&amp;width=385&amp;height=120&amp;START_MAXIMIZED=FALSE&amp;creator=factset&amp;display_string=Audit"}</definedName>
    <definedName name="_83__FDSAUDITLINK__" hidden="1">{"fdsup://directions/FAT Viewer?action=UPDATE&amp;creator=factset&amp;DYN_ARGS=TRUE&amp;DOC_NAME=FAT:FQL_AUDITING_CLIENT_TEMPLATE.FAT&amp;display_string=Audit&amp;VAR:KEY=OPGHWHAPUT&amp;VAR:QUERY=RkZfREVCVChRVFIsMCk=&amp;WINDOW=FIRST_POPUP&amp;HEIGHT=450&amp;WIDTH=450&amp;START_MAXIMIZED=FALSE&amp;VA","R:CALENDAR=US&amp;VAR:SYMBOL=658923&amp;VAR:INDEX=0"}</definedName>
    <definedName name="_84__FDSAUDITLINK__" hidden="1">{"fdsup://directions/FAT Viewer?action=UPDATE&amp;creator=factset&amp;DYN_ARGS=TRUE&amp;DOC_NAME=FAT:FQL_AUDITING_CLIENT_TEMPLATE.FAT&amp;display_string=Audit&amp;VAR:KEY=YZAZOHSNGH&amp;VAR:QUERY=RkZfREVCVChRVFIsMCk=&amp;WINDOW=FIRST_POPUP&amp;HEIGHT=450&amp;WIDTH=450&amp;START_MAXIMIZED=FALSE&amp;VA","R:CALENDAR=US&amp;VAR:SYMBOL=B01T14&amp;VAR:INDEX=0"}</definedName>
    <definedName name="_85__FDSAUDITLINK__" hidden="1">{"fdsup://directions/FAT Viewer?action=UPDATE&amp;creator=factset&amp;DYN_ARGS=TRUE&amp;DOC_NAME=FAT:FQL_AUDITING_CLIENT_TEMPLATE.FAT&amp;display_string=Audit&amp;VAR:KEY=YZAZOHSNGH&amp;VAR:QUERY=RkZfREVCVChRVFIsMCk=&amp;WINDOW=FIRST_POPUP&amp;HEIGHT=450&amp;WIDTH=450&amp;START_MAXIMIZED=FALSE&amp;VA","R:CALENDAR=US&amp;VAR:SYMBOL=B01T14&amp;VAR:INDEX=0"}</definedName>
    <definedName name="_88__123Graph_LBL_ACHART_4" hidden="1">#REF!</definedName>
    <definedName name="_9__123Graph_ACHART_1" hidden="1">#REF!</definedName>
    <definedName name="_9__123Graph_ACHART_3" hidden="1">#REF!</definedName>
    <definedName name="_9__123Graph_BCHART_3" hidden="1">#REF!</definedName>
    <definedName name="_9__123Graph_CGraphique_3B" hidden="1">#REF!</definedName>
    <definedName name="_9__123Graph_LBL_ACHART_1" hidden="1">#REF!</definedName>
    <definedName name="_9__123Graph_LBL_ACHART_2" hidden="1">#REF!</definedName>
    <definedName name="_9__FDSAUDITLINK__" hidden="1">{"fdsup://Directions/FactSet Auditing Viewer?action=AUDIT_VALUE&amp;DB=129&amp;ID1=B2QKWK&amp;VALUEID=05192&amp;SDATE=201101&amp;PERIODTYPE=QTR_STD&amp;SCFT=3&amp;window=popup_no_bar&amp;width=385&amp;height=120&amp;START_MAXIMIZED=FALSE&amp;creator=factset&amp;display_string=Audit"}</definedName>
    <definedName name="_90__123Graph_LBL_ACHART_3" hidden="1">#REF!</definedName>
    <definedName name="_96__123Graph_LBL_BCHART_1" hidden="1">#REF!</definedName>
    <definedName name="_99__123Graph_LBL_ACHART_4" hidden="1">#REF!</definedName>
    <definedName name="_a1" hidden="1">{#N/A,#N/A,FALSE,"Pharm";#N/A,#N/A,FALSE,"WWCM"}</definedName>
    <definedName name="_A11" hidden="1">{#N/A,#N/A,FALSE,"Umsatz 99";#N/A,#N/A,FALSE,"ER 99 "}</definedName>
    <definedName name="_aaa1" hidden="1">{#N/A,#N/A,FALSE,"REPORT"}</definedName>
    <definedName name="_aas1" hidden="1">{#N/A,#N/A,FALSE,"REPORT"}</definedName>
    <definedName name="_ACS2000" hidden="1">{#N/A,#N/A,FALSE,"REPORT"}</definedName>
    <definedName name="_Actual_for_2004_Measure" hidden="1">#REF!</definedName>
    <definedName name="_ADS1" hidden="1">{"FCB_ALL",#N/A,FALSE,"FCB"}</definedName>
    <definedName name="_age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Apr03" hidden="1">{"Statement of Income",#N/A,TRUE,"Mar99";"Balance Sheet",#N/A,TRUE,"Mar99"}</definedName>
    <definedName name="_Apr04" hidden="1">{"Statement of Income",#N/A,TRUE,"Mar99";"Balance Sheet",#N/A,TRUE,"Mar99"}</definedName>
    <definedName name="_as1" hidden="1">{"FCB_ALL",#N/A,FALSE,"FCB"}</definedName>
    <definedName name="_AS2" hidden="1">{"FCB_ALL",#N/A,FALSE,"FCB"}</definedName>
    <definedName name="_as3" hidden="1">{"FCB_ALL",#N/A,FALSE,"FCB"}</definedName>
    <definedName name="_AS4" hidden="1">{"FCB_ALL",#N/A,FALSE,"FCB"}</definedName>
    <definedName name="_as6" hidden="1">{"FCB_ALL",#N/A,FALSE,"FCB"}</definedName>
    <definedName name="_AS7" hidden="1">{"FCB_ALL",#N/A,FALSE,"FCB"}</definedName>
    <definedName name="_AtRisk_SimSetting_AutomaticallyGenerateReports" hidden="1">FALSE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d98">#REF!</definedName>
    <definedName name="_aug04" hidden="1">{"Statement of Income",#N/A,TRUE,"Mar99";"Balance Sheet",#N/A,TRUE,"Mar99"}</definedName>
    <definedName name="_b111" hidden="1">{#N/A,#N/A,FALSE,"Pharm";#N/A,#N/A,FALSE,"WWCM"}</definedName>
    <definedName name="_bdm.009bf12725d4456aa5aaf02394719683.edm" hidden="1">#REF!</definedName>
    <definedName name="_bdm.029F477A667F4689AFD5E05DB8014FE6.edm" hidden="1">#REF!</definedName>
    <definedName name="_bdm.02fd679d145d41ba97140b66ebb9860a.edm" hidden="1">#REF!</definedName>
    <definedName name="_bdm.030d8fea3f6442edbb9937e5d03c81c9.edm" hidden="1">#REF!</definedName>
    <definedName name="_bdm.03945fe231b841a188fbf996e953adad.edm" hidden="1">#REF!</definedName>
    <definedName name="_bdm.0413F0AEEDB94FFEAA78F0BB6420EE08.edm" hidden="1">#REF!</definedName>
    <definedName name="_bdm.0434ED7F2DA14080801A14818BF7D193.edm" hidden="1">#REF!</definedName>
    <definedName name="_bdm.04E336EBC3C344EB89DEFF28F82B1451.edm">#REF!</definedName>
    <definedName name="_bdm.05CFB32EAD7245AABAEE30E3D430E6A4.edm" hidden="1">#REF!</definedName>
    <definedName name="_bdm.05dcfce1f65440a69cd7666001e95dd4.edm" hidden="1">#REF!</definedName>
    <definedName name="_bdm.06aba940d10f4e9891315ec61059704a.edm" hidden="1">#REF!</definedName>
    <definedName name="_bdm.06D7FC0600FB4299A4F7A7EF67A57C61.edm" hidden="1">#REF!</definedName>
    <definedName name="_bdm.09e26870c38b4357a6aea2e373b7c6f1.edm" hidden="1">#REF!</definedName>
    <definedName name="_bdm.0B23A6F00F23427481E0852010C5BB69.edm" hidden="1">#REF!</definedName>
    <definedName name="_bdm.0c27711082264dd6b5cca30486d67157.edm" hidden="1">#REF!</definedName>
    <definedName name="_bdm.0ecff46e37b340048eaa524490633844.edm" hidden="1">#REF!</definedName>
    <definedName name="_bdm.0f344057a599479ea2b6147d4d0e3c5f.edm" hidden="1">#REF!</definedName>
    <definedName name="_bdm.107A9799626E4FC8B49DB037971FCDD2.edm" hidden="1">#REF!</definedName>
    <definedName name="_bdm.110fe0472f1e41cf8edfb7d9fbf72439.edm" hidden="1">#REF!</definedName>
    <definedName name="_bdm.12f0aa224e09430cad2ed60790ffe470.edm" hidden="1">#REF!</definedName>
    <definedName name="_bdm.1420e4c1048149d99f99db2566dfb5b6.edm" hidden="1">#REF!</definedName>
    <definedName name="_bdm.1497adb1f2b54105a4df4bc37a84c6c4.edm" hidden="1">#REF!</definedName>
    <definedName name="_bdm.159c29f033b4443f9b50eb6475401247.edm" hidden="1">#REF!</definedName>
    <definedName name="_bdm.15CB8F8B61894326BAF5755F1DB8D6E8.edm" hidden="1">#REF!</definedName>
    <definedName name="_bdm.17d36935db5d439cabce9c21cdd9bd39.edm">#REF!</definedName>
    <definedName name="_bdm.17e02fe5752445528e7f27708042f0e8.edm" hidden="1">#REF!</definedName>
    <definedName name="_bdm.1965d84e9dac42d2be9d9bf87fe61145.edm" hidden="1">#REF!</definedName>
    <definedName name="_bdm.1a29c1eb2dc64e088b7ad86656a9e874.edm" hidden="1">#REF!</definedName>
    <definedName name="_bdm.1a8de28cc6974690bbf0cff346208b17.edm" hidden="1">#REF!</definedName>
    <definedName name="_bdm.1B0AC81D6080410395D414073E96136E.edm" hidden="1">#REF!</definedName>
    <definedName name="_bdm.1b397b7c00064e61aa76d0144b785fe0.edm" hidden="1">#REF!</definedName>
    <definedName name="_bdm.1c518483f1b34bf589326925c6ad47f2.edm" hidden="1">#REF!</definedName>
    <definedName name="_bdm.1DC17F351AB34245B5F56971E1F47FA8.edm" hidden="1">#REF!</definedName>
    <definedName name="_bdm.214561e77c784af08279f1e267b69e4c.edm" hidden="1">#REF!</definedName>
    <definedName name="_bdm.2238af81b1df48a99cdf3fc2eac364e0.edm" hidden="1">#REF!</definedName>
    <definedName name="_bdm.234f7a16e72f40a0845104532184609f.edm" hidden="1">#REF!</definedName>
    <definedName name="_bdm.261B9C367EB14AC79709F36F4E962FC3.edm" hidden="1">#REF!</definedName>
    <definedName name="_bdm.262179D9127D41818373F18F0EE31BA8.edm" hidden="1">#REF!</definedName>
    <definedName name="_bdm.26445cecadca4d17a13d767e2fdc29fb.edm" hidden="1">#REF!</definedName>
    <definedName name="_bdm.26e841ef35ab4eb6affb63c417cc4c35.edm" hidden="1">#REF!</definedName>
    <definedName name="_bdm.278D71BD09244774BC5320F6181150FB.edm" hidden="1">#REF!</definedName>
    <definedName name="_bdm.28C8AF27783A44AF8E5A97B3E6D3EE04.edm" hidden="1">#REF!</definedName>
    <definedName name="_bdm.29702e413a104ff5a9371b3ec0f1e346.edm" hidden="1">#REF!</definedName>
    <definedName name="_bdm.29A5C21325E2413E8F6A08B169664641.edm" hidden="1">#REF!</definedName>
    <definedName name="_bdm.29E39BA05F6C45A79835CAD704748C13.edm" hidden="1">#REF!</definedName>
    <definedName name="_bdm.2a74673ecafc406ebd20d27a2d20d8db.edm" hidden="1">#REF!</definedName>
    <definedName name="_bdm.2aeb20c3e92449beb4f64a19da293aae.edm" hidden="1">#REF!</definedName>
    <definedName name="_bdm.2AFED83819D54863954B00C62C23DCC7.edm" hidden="1">#REF!</definedName>
    <definedName name="_bdm.3202C8268A64487D9AE4035F30D271B6.edm">#REF!</definedName>
    <definedName name="_bdm.3243e94bedbf4599a63778c5179a9b09.edm" hidden="1">#REF!</definedName>
    <definedName name="_bdm.332938db69b349d08ea559a761998da8.edm" hidden="1">#REF!</definedName>
    <definedName name="_bdm.335E9C9982A049DCBB8269EF5BECC49E.edm" hidden="1">#REF!</definedName>
    <definedName name="_bdm.337d4b73824f4d859b407e98c14cdc2c.edm" hidden="1">#REF!</definedName>
    <definedName name="_bdm.33A64BA268B543E0B71DFD1D88F4B095.edm" hidden="1">#REF!</definedName>
    <definedName name="_bdm.33f753569bdc4b8fae2126d83823e39f.edm" hidden="1">#REF!</definedName>
    <definedName name="_bdm.34148ce3126341a6aeb54118b1f26dec.edm" hidden="1">#REF!</definedName>
    <definedName name="_bdm.3749b8233bd94fbb97c5bf2340186fff.edm" hidden="1">#REF!</definedName>
    <definedName name="_bdm.3A1C9F35FB8B43DC87EB62F4EF5F7AA4.edm" hidden="1">#REF!</definedName>
    <definedName name="_bdm.3b8b6c75df1847e2b4c8054302cc61b8.edm" hidden="1">#REF!</definedName>
    <definedName name="_bdm.3bbbdad2c6ff46689a0c5056d2bca420.edm" hidden="1">#REF!</definedName>
    <definedName name="_bdm.3c099f4a438144519ee34e83d7795e1e.edm">#REF!</definedName>
    <definedName name="_bdm.3c295d39c4ca459f94ea51cb739309b9.edm" hidden="1">#REF!</definedName>
    <definedName name="_bdm.3d44ff302dec418caa121a69637939de.edm" hidden="1">#REF!</definedName>
    <definedName name="_bdm.3DE618B5D8F349AA829DCBB8A53E3C8C.edm" hidden="1">#REF!</definedName>
    <definedName name="_bdm.3F0DA634207D44F7AEC6BDEF9B6622FA.edm" hidden="1">#REF!</definedName>
    <definedName name="_bdm.3ff788f17261479cbec114b2a7e70115.edm" hidden="1">#REF!</definedName>
    <definedName name="_bdm.408188EF72DD49E384BAF06DE88FD162.edm" hidden="1">#REF!</definedName>
    <definedName name="_bdm.40c00a0e24f04b29a9e840764f8bba5c.edm" hidden="1">#REF!</definedName>
    <definedName name="_bdm.41291a97341f414c839ef174f521a6aa.edm" hidden="1">#REF!</definedName>
    <definedName name="_bdm.4181A0E6363949D2AD361C8C0021FE71.edm" hidden="1">#REF!</definedName>
    <definedName name="_bdm.42119588DE344068AC601FDF06C5BA27.edm" hidden="1">#REF!</definedName>
    <definedName name="_bdm.431049536a46430195f38e91376e18c5.edm" hidden="1">#REF!</definedName>
    <definedName name="_bdm.440ce4c88b06424d942f877ea996d545.edm" hidden="1">#REF!</definedName>
    <definedName name="_bdm.4658cca5cdd7473ca15d96df5d621730.edm" hidden="1">#REF!</definedName>
    <definedName name="_bdm.47285f811d0143979ceb9834d0043a8d.edm" hidden="1">#REF!</definedName>
    <definedName name="_bdm.472C3E3C3DE94C299275D4EC088C5875.edm" hidden="1">#REF!</definedName>
    <definedName name="_bdm.4793426885c9444abf823324ab3235cf.edm" hidden="1">#REF!</definedName>
    <definedName name="_bdm.48142732d894412aa759fbdaaf30da81.edm" hidden="1">#REF!</definedName>
    <definedName name="_bdm.4823498195f64b0fa90e1a741418009c.edm" hidden="1">#REF!</definedName>
    <definedName name="_bdm.49565361dbda41eab60069382827a057.edm" hidden="1">#REF!</definedName>
    <definedName name="_bdm.49BF9DB9E6E7487F9C8F73D438B341D2.edm" hidden="1">#REF!</definedName>
    <definedName name="_bdm.4b976145f4354280b5dfdcf53ed4a35d.edm" hidden="1">#REF!</definedName>
    <definedName name="_bdm.4ba32c98de44461182b68f817f541280.edm" hidden="1">#REF!</definedName>
    <definedName name="_bdm.4bc3f84aac74476fb6b30639df9457e6.edm" hidden="1">#REF!</definedName>
    <definedName name="_bdm.4CD1A85FEF874F09A7745E8137FCF12C.edm" hidden="1">#REF!</definedName>
    <definedName name="_bdm.4e117f14a5fb40aca6cc852c0bbbcd68.edm" hidden="1">#REF!</definedName>
    <definedName name="_bdm.4E1CDE3CBC8F4E4C91845310F30D6E74.edm" hidden="1">#REF!</definedName>
    <definedName name="_bdm.4E725E4D9A1C435296C966F923F58687.edm" hidden="1">#REF!</definedName>
    <definedName name="_bdm.4ef2c5541ab64e54a6ad014710ad6d70.edm" hidden="1">#REF!</definedName>
    <definedName name="_bdm.4fd121ca66564828a3b31134ce8761d6.edm" hidden="1">#REF!</definedName>
    <definedName name="_bdm.508D77A282824BCB9D13A8629CA4E968.edm" hidden="1">#REF!</definedName>
    <definedName name="_bdm.50b4ef2a499a462c8df81a25b5f7264e.edm" hidden="1">#REF!</definedName>
    <definedName name="_bdm.5106d6fac1884fc58adde7492ad261f1.edm" hidden="1">#REF!</definedName>
    <definedName name="_bdm.514bf1bf66e044e7aba861d99d7b9e9c.edm" hidden="1">#REF!</definedName>
    <definedName name="_bdm.51a0e3e475cb4a7eae26e5743a8751aa.edm" hidden="1">#REF!</definedName>
    <definedName name="_bdm.5310377F47F545E99A983956070BD75F.edm" hidden="1">#REF!</definedName>
    <definedName name="_bdm.53962b8914a949afb9e140a76fa9e3fd.edm" hidden="1">#REF!</definedName>
    <definedName name="_bdm.53B8588D8BD14BE6A08B7F843367F2E7.edm" hidden="1">#REF!</definedName>
    <definedName name="_bdm.55C6E2682DC14330B930B55C20E999F5.edm" hidden="1">#REF!</definedName>
    <definedName name="_bdm.56759a0aaab9447da1feaf28376f3f18.edm" hidden="1">#REF!</definedName>
    <definedName name="_bdm.573d212a20654bf5ab778dee601afd58.edm" hidden="1">#REF!</definedName>
    <definedName name="_bdm.57d903146e3d4850abdc49aa9f296d63.edm" hidden="1">#REF!</definedName>
    <definedName name="_bdm.5847cc8080794a41857de6938659f571.edm" hidden="1">#REF!</definedName>
    <definedName name="_bdm.585db46637e84fdbb9c96eb7fa844a10.edm" hidden="1">#REF!</definedName>
    <definedName name="_bdm.5a9550d1794142fca9aee1e5d136e99b.edm" hidden="1">#REF!</definedName>
    <definedName name="_bdm.5B55EC15D59D494AA5E3D74BF9AE6CDB.edm" hidden="1">#REF!</definedName>
    <definedName name="_bdm.5c152d30ac0747f79c24f036e6a05020.edm" hidden="1">#REF!</definedName>
    <definedName name="_bdm.5d3c0e326a334d279f76e57f90740956.edm" hidden="1">#REF!</definedName>
    <definedName name="_bdm.5d44ab69fbb040c7bc1f0362425a561d.edm" hidden="1">#REF!</definedName>
    <definedName name="_bdm.5E33D80936FF461DBB0DB84C43F2AEE1.edm" hidden="1">#REF!</definedName>
    <definedName name="_bdm.611D4DDA87EF42AA90F2FA28840BF690.edm" hidden="1">#REF!</definedName>
    <definedName name="_bdm.617c28e3bf3143568adc3a4d9b531865.edm" hidden="1">#REF!</definedName>
    <definedName name="_bdm.61BCC72FEF544305962BC1B8A79A047C.edm" hidden="1">#REF!</definedName>
    <definedName name="_bdm.6345A47B58A343509A5E5CE5AB4B4039.edm" hidden="1">#REF!</definedName>
    <definedName name="_bdm.6474F71561324010A7163BD0F39AC319.edm" hidden="1">#REF!</definedName>
    <definedName name="_bdm.6517d25ae5414d19b53ecc71e4866bb9.edm" hidden="1">#REF!</definedName>
    <definedName name="_bdm.66202a0bdac64c43a5a7f83fd8de7c9f.edm" hidden="1">#REF!</definedName>
    <definedName name="_bdm.6690f7a1b49046cd92e6613dfaef875d.edm" hidden="1">#REF!</definedName>
    <definedName name="_bdm.6744826fa0a84f48a7412377f4d55fba.edm" hidden="1">#REF!</definedName>
    <definedName name="_bdm.68bfd4388f7043ed9321ec5178f77d37.edm" hidden="1">#REF!</definedName>
    <definedName name="_bdm.690DCB2C58A444FB8E19E8172F7551D0.edm" hidden="1">#REF!</definedName>
    <definedName name="_bdm.695146503cea4412b0664012f646045f.edm" hidden="1">#REF!</definedName>
    <definedName name="_bdm.695DE6B52CCF4DAAB9613899D0578510.edm" hidden="1">#REF!</definedName>
    <definedName name="_bdm.69c201d82a644eca8a9fbed036d32601.edm" hidden="1">#REF!</definedName>
    <definedName name="_bdm.69EEF9853B574AF8B35319A5EBA11C1D.edm" hidden="1">#REF!</definedName>
    <definedName name="_bdm.6B4CD3DB9CD04B3280EA75813D4137E7.edm" hidden="1">#REF!</definedName>
    <definedName name="_bdm.6B6478D0EF5E46C895B047C1A6E87B12.edm" hidden="1">#REF!</definedName>
    <definedName name="_bdm.6ba6e74e6eb748d583cd9321429e307b.edm" hidden="1">#REF!</definedName>
    <definedName name="_bdm.6CBF80B59BBA40729DF3118FA294266F.edm" hidden="1">#REF!</definedName>
    <definedName name="_bdm.6d7dc00e546f4af4a97581b467c60e24.edm" hidden="1">#REF!</definedName>
    <definedName name="_bdm.6D80109B25D5424383004604AEA9BDF5.edm" hidden="1">#REF!</definedName>
    <definedName name="_bdm.6eb18a8db4e446b28c802ec87abb9678.edm" hidden="1">#REF!</definedName>
    <definedName name="_bdm.6ef4e8c9112541f6b7d3df8797f5dd48.edm" hidden="1">#REF!</definedName>
    <definedName name="_bdm.705bdc931efa45a38c8e79cc7b403c80.edm" hidden="1">#REF!</definedName>
    <definedName name="_bdm.72599d5820f046f79580d875534f093a.edm" hidden="1">#REF!</definedName>
    <definedName name="_bdm.72733edca7d54cd2b5c4d91c4dca0d87.edm" hidden="1">#REF!</definedName>
    <definedName name="_bdm.72ddd337e3fa4eacaaab8d3cd0a6781c.edm" hidden="1">#REF!</definedName>
    <definedName name="_bdm.740fc54ffb42446ca63ea59791c98f7f.edm" hidden="1">#REF!</definedName>
    <definedName name="_bdm.743876be619f4b52801a576ad0fe44b2.edm" hidden="1">#REF!</definedName>
    <definedName name="_bdm.752f7def96f14bc3accad76e5e3cdd88.edm" hidden="1">#REF!</definedName>
    <definedName name="_bdm.759585e16e7748679500ad71118a6d6e.edm" hidden="1">#REF!</definedName>
    <definedName name="_bdm.768E942FB4B64B6DB799489951C220A4.edm" hidden="1">#REF!</definedName>
    <definedName name="_bdm.76C1CA9AB7C64E4EA9A68027251EF1BC.edm" hidden="1">#REF!</definedName>
    <definedName name="_bdm.77DA9F4C8D624AB194C15C5E3B9031B8.edm" hidden="1">#REF!</definedName>
    <definedName name="_bdm.77e9decbb7fb448aa095208fe0d7e92e.edm" hidden="1">#REF!</definedName>
    <definedName name="_bdm.77eb6f822121492aa3868cae88abcecb.edm" hidden="1">#REF!</definedName>
    <definedName name="_bdm.79048CB2734E42A1813A19AF346D6F3B.edm" hidden="1">#REF!</definedName>
    <definedName name="_bdm.7b3daf2bbd48461a903ceba3efd1f98f.edm" hidden="1">#REF!</definedName>
    <definedName name="_bdm.7BB98D03E505425C86327E32DBC0D055.edm" hidden="1">#REF!</definedName>
    <definedName name="_bdm.7cab456764a843c5a0f973d6cb3d7e6f.edm" hidden="1">#REF!</definedName>
    <definedName name="_bdm.7e2ade1d496b41699589357f401fda88.edm" hidden="1">#REF!</definedName>
    <definedName name="_bdm.80dab799bf934ad89c97157bd37e5ea2.edm" hidden="1">#REF!</definedName>
    <definedName name="_bdm.80de3299fc444467872f9c1f5362b194.edm" hidden="1">#REF!</definedName>
    <definedName name="_bdm.8134ED1DAEB9423CB86DDCC37FBF4B60.edm" hidden="1">#REF!</definedName>
    <definedName name="_bdm.81cf058de8eb44c0968677f4f1b16ca0.edm" hidden="1">#REF!</definedName>
    <definedName name="_bdm.8270c8391a854536a57f9a2ef1f3e700.edm" hidden="1">#REF!</definedName>
    <definedName name="_bdm.84e52997677e4d24b08c10da4c726f80.edm" hidden="1">#REF!</definedName>
    <definedName name="_bdm.8579f21d031b403b887d0d942946dca6.edm" hidden="1">#REF!</definedName>
    <definedName name="_bdm.87829f9add7842d196825301219fd187.edm" hidden="1">#REF!</definedName>
    <definedName name="_bdm.88462335defc4036849a815ca4416c8c.edm" hidden="1">#REF!</definedName>
    <definedName name="_bdm.88DE675B217D4B5AB06EB27234E336DD.edm" hidden="1">#REF!</definedName>
    <definedName name="_bdm.89af515db2d24d9daeefaccc0480a5fd.edm" hidden="1">#REF!</definedName>
    <definedName name="_bdm.8A01BA718DF042DF87A05884A9762F99.edm" hidden="1">#REF!</definedName>
    <definedName name="_bdm.8a3c598aee154ff6931ce6dd468ddaea.edm" hidden="1">#REF!</definedName>
    <definedName name="_bdm.8a44d1c95ac34250b264a3a864fcb86b.edm" hidden="1">#REF!</definedName>
    <definedName name="_bdm.8a55a33b552e451fb03ec997b9731453.edm" hidden="1">#REF!</definedName>
    <definedName name="_bdm.8A74F226BC7E448880491081B5E559C9.edm" hidden="1">#REF!</definedName>
    <definedName name="_bdm.8acce3f26cf3435eadd77bf53e776142.edm" hidden="1">#REF!</definedName>
    <definedName name="_bdm.8b735da0ebee4c2aa21cfc2dd862b1f6.edm" hidden="1">#REF!</definedName>
    <definedName name="_bdm.8c6844f36d254a2e8c83479dd4b5ba66.edm" hidden="1">#REF!</definedName>
    <definedName name="_bdm.8c9a430faa154994a2270cae796eb559.edm" hidden="1">#REF!</definedName>
    <definedName name="_bdm.8cdb7ccd95d74af990906609ea35dfbc.edm" hidden="1">#REF!</definedName>
    <definedName name="_bdm.8dfc430906c342bd882d6a98b39b69f1.edm" hidden="1">#REF!</definedName>
    <definedName name="_bdm.8fee786ed9404fafa730e21479774b05.edm" hidden="1">#REF!</definedName>
    <definedName name="_bdm.9091c479dd1b47ec874324364a5b9ae3.edm" hidden="1">#REF!</definedName>
    <definedName name="_bdm.913e03f58e1f4452963c57a381265ee7.edm" hidden="1">#REF!</definedName>
    <definedName name="_bdm.91bb3967f5ab43638490196a74a3b859.edm" hidden="1">#REF!</definedName>
    <definedName name="_bdm.92951F8D73D34A79841097E747605D72.edm" hidden="1">#REF!</definedName>
    <definedName name="_bdm.9318214132654ABFB4F345AB00ADA197.edm" hidden="1">#REF!</definedName>
    <definedName name="_bdm.933c704ab6a74f50a4375dd8a03e5045.edm" hidden="1">#REF!</definedName>
    <definedName name="_bdm.9347813EDA2D4178B7EB33844EBC3B74.edm" hidden="1">#REF!</definedName>
    <definedName name="_bdm.93ca406dc6834ae69565065edc9c2485.edm" hidden="1">#REF!</definedName>
    <definedName name="_bdm.941d8a5b190745d6a951854dfcf9005b.edm" hidden="1">#REF!</definedName>
    <definedName name="_bdm.959e76887e7543758f2e98344fea62e5.edm" hidden="1">#REF!</definedName>
    <definedName name="_bdm.9686b5ad8e454bdc831589f3096d9a75.edm" hidden="1">#REF!</definedName>
    <definedName name="_bdm.96ee6eb46f9a4d5ca04dbb22b806a387.edm" hidden="1">#REF!</definedName>
    <definedName name="_bdm.9773963F8F664A5BAFFDD14408AE5D5C.edm" hidden="1">#REF!</definedName>
    <definedName name="_bdm.97f1ead495c84670898d6dfa5bee1f4f.edm" hidden="1">#REF!</definedName>
    <definedName name="_bdm.9840CBC8A13246BC9F2D0A3B1EDCC149.edm" hidden="1">#REF!</definedName>
    <definedName name="_bdm.98F9D23E9F254652B910CB0A817702FF.edm" hidden="1">#REF!</definedName>
    <definedName name="_bdm.991A663BE1BA4CE6916986AE15E5C2FE.edm">#REF!</definedName>
    <definedName name="_bdm.9980A307627F4AC2BDBE2115E0B06513.edm" hidden="1">#REF!</definedName>
    <definedName name="_bdm.9A5FF541A7C240C68AA2A760D88F0C96.edm" hidden="1">#REF!</definedName>
    <definedName name="_bdm.9B4F73DE7B9B423F85413D15799929B9.edm" hidden="1">#REF!</definedName>
    <definedName name="_bdm.9B95587AAA0D4529A80972651610B69D.edm" hidden="1">#REF!</definedName>
    <definedName name="_bdm.9B9BED19AB70458AACC0FF0262550307.edm" hidden="1">#REF!</definedName>
    <definedName name="_bdm.9bf3eba9f5f6408b818855474c2e88be.edm" hidden="1">#REF!</definedName>
    <definedName name="_bdm.9C0F22EB991647899C69D3606D8233EA.edm" hidden="1">#REF!</definedName>
    <definedName name="_bdm.9c5955bcfec749a298665d8a8f29553a.edm" hidden="1">#REF!</definedName>
    <definedName name="_bdm.9CDC35CDB7B143079762F320F757C403.edm" hidden="1">#REF!</definedName>
    <definedName name="_bdm.9E7067C4F74F439F9F4DDE68F1BB3D31.edm" hidden="1">#REF!</definedName>
    <definedName name="_bdm.9fb81551161744a787e2a30fecbf0e58.edm" hidden="1">#REF!</definedName>
    <definedName name="_bdm.9FB94BFF469448A39A157D2170F6FAD8.edm" hidden="1">#REF!</definedName>
    <definedName name="_bdm.a0309f58e97b4c6d8322611907706b6a.edm" hidden="1">#REF!</definedName>
    <definedName name="_bdm.A167614B5AB04450BDCC017984F98BD1.edm" hidden="1">#REF!</definedName>
    <definedName name="_bdm.a1e0c8fa41d44456bd3fd7eb5a5d9627.edm" hidden="1">#REF!</definedName>
    <definedName name="_bdm.a2767cf6f5294501949b9f3c21b3776d.edm" hidden="1">#REF!</definedName>
    <definedName name="_bdm.A4287E419D9A42F59525356CCC3AF459.edm" hidden="1">#REF!</definedName>
    <definedName name="_bdm.a4ade6bf31a84e6bacb74a8df69fca58.edm" hidden="1">#REF!</definedName>
    <definedName name="_bdm.a4e32d05834443d8bb3ab6ac58bacc29.edm" hidden="1">#REF!</definedName>
    <definedName name="_bdm.A5E0DCB628F14010BCBA93BC8610F0DD.edm" hidden="1">#REF!</definedName>
    <definedName name="_bdm.a65ba98f020746a282c74583788716a5.edm" hidden="1">#REF!</definedName>
    <definedName name="_bdm.A6926EE733B94CFA91C2CD8D3F46F7DC.edm" hidden="1">#REF!</definedName>
    <definedName name="_bdm.a69419b31f744796b987db38ad0d649e.edm" hidden="1">#REF!</definedName>
    <definedName name="_bdm.a7155ec8dbbd466e9e9760143496bc24.edm" hidden="1">#REF!</definedName>
    <definedName name="_bdm.A7C380F80D0E4138B4E821394D71DD24.edm" hidden="1">#REF!</definedName>
    <definedName name="_bdm.A7FC520B6D5F4AA58CED3112E44F5BC8.edm" hidden="1">#REF!</definedName>
    <definedName name="_bdm.a8e01da119ca4d9c97d0184b931b4420.edm" hidden="1">#REF!</definedName>
    <definedName name="_bdm.A8E4274E81CA43DD81E063DB8E8488B6.edm" hidden="1">#REF!</definedName>
    <definedName name="_bdm.a9bdb66125344bda87e3559b597fcebb.edm" hidden="1">#REF!</definedName>
    <definedName name="_bdm.A9E8F2214015449F99BBFDAC629C22DB.edm" hidden="1">#REF!</definedName>
    <definedName name="_bdm.AAFE9F59F94E4BC99E3DF4D61B8DAC54.edm" hidden="1">#REF!</definedName>
    <definedName name="_bdm.AB6E48CCB79045088666253DA2354094.edm" hidden="1">#REF!</definedName>
    <definedName name="_bdm.ab7b7b42d23245188962b044b04613e6.edm" hidden="1">#REF!</definedName>
    <definedName name="_bdm.acacaaab71bd41e0b29ad58a8364f331.edm" hidden="1">#REF!</definedName>
    <definedName name="_bdm.ace1aaa519c24574890ddd820cc2d91c.edm" hidden="1">#REF!</definedName>
    <definedName name="_bdm.acefef0cf05b4befa5daff43bfd4bb8b.edm" hidden="1">#REF!</definedName>
    <definedName name="_bdm.AE848B48235A4721AB3365027DD50BC3.edm" hidden="1">#REF!</definedName>
    <definedName name="_bdm.b1683122ac6b4606ba091a2d30a53c97.edm" hidden="1">#REF!</definedName>
    <definedName name="_bdm.b1eabde8290f4838b117aaead9446cfd.edm" hidden="1">#REF!</definedName>
    <definedName name="_bdm.B2032367E3D043179A68D93F1AF892F0.edm" hidden="1">#REF!</definedName>
    <definedName name="_bdm.b4d515774e7a423c8064201e48a64c9c.edm" hidden="1">#REF!</definedName>
    <definedName name="_bdm.b5041e810ee848ba875604fcd0842afa.edm" hidden="1">#REF!</definedName>
    <definedName name="_bdm.b5d441b04f98485b9fa2305f394ea693.edm" hidden="1">#REF!</definedName>
    <definedName name="_bdm.B5E1CE290D664EC9908CE120B7DDB7AD.edm" hidden="1">#REF!</definedName>
    <definedName name="_bdm.b6296d9d69be44d3b0ab376cc7a2077d.edm" hidden="1">#REF!</definedName>
    <definedName name="_bdm.b66241962f6f4cf6a41d86d230025c5f.edm" hidden="1">#REF!</definedName>
    <definedName name="_bdm.B78A2F570E0D4F80A27689B75CAACA19.edm" hidden="1">#REF!</definedName>
    <definedName name="_bdm.ba0e971b62974a1f9760da1d7cb28c92.edm" hidden="1">#REF!</definedName>
    <definedName name="_bdm.bae08ec90f6946df8081afc258d047e2.edm" hidden="1">#REF!</definedName>
    <definedName name="_bdm.bb2880eacbfa40f28db22aef1696cb1f.edm" hidden="1">#REF!</definedName>
    <definedName name="_bdm.bc8b6fd2b37a4ce0be52c1d86876776c.edm" hidden="1">#REF!</definedName>
    <definedName name="_bdm.bd64d8e91eb7459492d2479b62de5090.edm" hidden="1">#REF!</definedName>
    <definedName name="_bdm.bf1dc11590534f868048842401151fd0.edm" hidden="1">#REF!</definedName>
    <definedName name="_bdm.bfdbf5fa636b44d9a2044c3bf3f4fce1.edm" hidden="1">#REF!</definedName>
    <definedName name="_bdm.C1C9DB90A90F4EDEADC2020181064055.edm" hidden="1">#REF!</definedName>
    <definedName name="_bdm.C2CAD42D8B56424F8404DD77E85746AB.edm" hidden="1">#REF!</definedName>
    <definedName name="_bdm.C2DEFBCBCB3042BF8F2B1F60A42A8E52.edm" hidden="1">#REF!</definedName>
    <definedName name="_bdm.c337c662ace64983b75f1598939e1ca0.edm" hidden="1">#REF!</definedName>
    <definedName name="_bdm.c82f6d59ab0f4183ab7982284f6ca023.edm" hidden="1">#REF!</definedName>
    <definedName name="_bdm.c8bf4ff180e749a491185ffa426301d6.edm" hidden="1">#REF!</definedName>
    <definedName name="_bdm.C925324C49934A708D2B6700808F8764.edm" hidden="1">#REF!</definedName>
    <definedName name="_bdm.c95f0efb7afc4bddb5661b316a446c20.edm" hidden="1">#REF!</definedName>
    <definedName name="_bdm.c9a47520da6949a2b5aaba1c8d616fa7.edm" hidden="1">#REF!</definedName>
    <definedName name="_bdm.ca0246c24b4a411e9c1357fe5fe0d343.edm" hidden="1">#REF!</definedName>
    <definedName name="_bdm.CAAD75B892744DA7A396804116BF19C2.edm" hidden="1">#REF!</definedName>
    <definedName name="_bdm.CCC9810E33DE4D12B7AF2ADB20F5BEB6.edm" hidden="1">#REF!</definedName>
    <definedName name="_bdm.cd3bb972c60f4b6799bf04a025053b04.edm" hidden="1">#REF!</definedName>
    <definedName name="_bdm.cddae0b36de9441ab74dcccc5f4a8df5.edm" hidden="1">#REF!</definedName>
    <definedName name="_bdm.CE56C342CD3540C5B77D34088A5500BC.edm" hidden="1">#REF!</definedName>
    <definedName name="_bdm.ceef965ab9254e0fb3aeb937de166942.edm" hidden="1">#REF!</definedName>
    <definedName name="_bdm.d1968915ea1d488ba2e70cb188c7112f.edm" hidden="1">#REF!</definedName>
    <definedName name="_bdm.d1ca68b227d84bca98bb89dba783a220.edm" hidden="1">#REF!</definedName>
    <definedName name="_bdm.d267de5bccac46c4a3b6fd653ff128a9.edm" hidden="1">#REF!</definedName>
    <definedName name="_bdm.d46160ba463e4ec58df8f8883b774659.edm" hidden="1">#REF!</definedName>
    <definedName name="_bdm.d53f47b82daf45e4868929e6a4a61b28.edm" hidden="1">#REF!</definedName>
    <definedName name="_bdm.d5905c45accc467d8e0cbecfbdb6d351.edm" hidden="1">#REF!</definedName>
    <definedName name="_bdm.D6F5CF6F8045429480DDCE6E0FB4CF8A.edm">#REF!</definedName>
    <definedName name="_bdm.d7f5d97357e74fae932e40d0c0b10322.edm" hidden="1">#REF!</definedName>
    <definedName name="_bdm.D7FBAE435B60440FB7AFB73A18C067FE.edm" hidden="1">#REF!</definedName>
    <definedName name="_bdm.D8350DF0B3C24E788B6D515073D98D12.edm" hidden="1">#REF!</definedName>
    <definedName name="_bdm.d911c3c28de14a069d6cd867be25ac4f.edm" hidden="1">#REF!</definedName>
    <definedName name="_bdm.da19e4131cb1467a902e377b3a70585c.edm" hidden="1">#REF!</definedName>
    <definedName name="_bdm.DB532E19E1024187875B38658C500AFB.edm" hidden="1">#REF!</definedName>
    <definedName name="_bdm.DBD4088B2FE64EFFBD5763C303FE8098.edm" hidden="1">#REF!</definedName>
    <definedName name="_bdm.dcae2f7028fe4979b995dfb76193bf08.edm" hidden="1">#REF!</definedName>
    <definedName name="_bdm.DEA18FBF194C4A2485C74D2B88DE267C.edm" hidden="1">#REF!</definedName>
    <definedName name="_bdm.df41725d793e46f38e1f8990b163397d.edm" hidden="1">#REF!</definedName>
    <definedName name="_bdm.e0356664aff14693a7cb956860956da6.edm" hidden="1">#REF!</definedName>
    <definedName name="_bdm.E171FA66ABC54C9DADA09CD9F8AB6B0C.edm" hidden="1">#REF!</definedName>
    <definedName name="_bdm.E1B43066DE8649EABD640EA1FB4B4558.edm" hidden="1">#REF!</definedName>
    <definedName name="_bdm.e35c9784e4ad47a7a5c78064174100d9.edm" hidden="1">#REF!</definedName>
    <definedName name="_bdm.e570225ffa854d47a1516065465b8c39.edm" hidden="1">#REF!</definedName>
    <definedName name="_bdm.e6bcf26036b34f4db6695a8b5c33b57a.edm" hidden="1">#REF!</definedName>
    <definedName name="_bdm.e6dccd4ab8d3434685207de9b0e69c8f.edm" hidden="1">#REF!</definedName>
    <definedName name="_bdm.E75DD1A6B0C44EBD81C357A5EFEBEA42.edm" hidden="1">#REF!</definedName>
    <definedName name="_bdm.e804dc798379461fa121860e9b194de2.edm">#REF!</definedName>
    <definedName name="_bdm.E8EC5F4AE1984127A7E99479561C0BEE.edm" hidden="1">#REF!</definedName>
    <definedName name="_bdm.E8F42E99E7AC48AF8331D23001B31873.edm" hidden="1">#REF!</definedName>
    <definedName name="_bdm.ea29e06f9ded4e86b9cbf4762b02bddd.edm" hidden="1">#REF!</definedName>
    <definedName name="_bdm.ea9f24a0f4aa426da34a0155eec39fb9.edm" hidden="1">#REF!</definedName>
    <definedName name="_bdm.EB43500421CE40AEBA0772E36B3472F8.edm" hidden="1">#REF!</definedName>
    <definedName name="_bdm.ebbe593872c146e495157e215b93eeb9.edm" hidden="1">#REF!</definedName>
    <definedName name="_bdm.ec392cdd89b246f6b0eb47f49d8944e6.edm" hidden="1">#REF!</definedName>
    <definedName name="_bdm.ECFB05E813B84D1C8191467E1F071C92.edm" hidden="1">#REF!</definedName>
    <definedName name="_bdm.edcc4b88f07b4d1a888964801b0caace.edm" hidden="1">#REF!</definedName>
    <definedName name="_bdm.EEECE97F698B4FDAB2E1D4AB081730DE.edm" hidden="1">#REF!</definedName>
    <definedName name="_bdm.efcbd69260ea4ab6b13dddaadc5672f1.edm" hidden="1">#REF!</definedName>
    <definedName name="_bdm.EFE077125CF346DCA463019ED213D0F2.edm" hidden="1">#REF!</definedName>
    <definedName name="_bdm.EFE67FEE883045EF9CB98675397B7740.edm" hidden="1">#REF!</definedName>
    <definedName name="_bdm.f0cf77fbe11444718a99346b2348416b.edm" hidden="1">#REF!</definedName>
    <definedName name="_bdm.f482b124e8ea49738352fda7cfb1cf72.edm" hidden="1">#REF!</definedName>
    <definedName name="_bdm.f657bf8812554f2393edb0592314ae5c.edm" hidden="1">#REF!</definedName>
    <definedName name="_bdm.f65f2519a1cc483eb303d30ed9683ea7.edm" hidden="1">#REF!</definedName>
    <definedName name="_bdm.f7b60a177fac4ea7a512e4515a187e3d.edm" hidden="1">#REF!</definedName>
    <definedName name="_bdm.F8F792F9D009453993602DCCA3B5240D.edm" hidden="1">#N/A</definedName>
    <definedName name="_bdm.f98f720359e04de195dafd5feb1f2931.edm" hidden="1">#REF!</definedName>
    <definedName name="_bdm.FA206C7EF05344A1ADB2599D6DDD41D6.edm">#REF!</definedName>
    <definedName name="_bdm.fad79cfd8c724f4fb4fa4bd50bf3e80c.edm" hidden="1">#REF!</definedName>
    <definedName name="_bdm.fae8c1993a0348c6bd3f3f88bca1680b.edm" hidden="1">#REF!</definedName>
    <definedName name="_bdm.faefdaef13054963acdeec03973192fb.edm" hidden="1">#REF!</definedName>
    <definedName name="_bdm.FB8D8AB244B64BB9B4F5F5A4C5205085.edm" hidden="1">#REF!</definedName>
    <definedName name="_bdm.fbf2cf8320134cd6b6acb7e0469adae4.edm" hidden="1">#REF!</definedName>
    <definedName name="_bdm.fbf95f80a8a345a8a68e5f1c32ce5841.edm" hidden="1">#REF!</definedName>
    <definedName name="_bdm.fc1c10be5f384f7f9699c11635fbdb69.edm" hidden="1">#REF!</definedName>
    <definedName name="_bdm.fc61fabc452f40daa3bf7256b8675373.edm" hidden="1">#REF!</definedName>
    <definedName name="_bdm.fcc3c2e62e6a4d5688d33611eff53a3d.edm" hidden="1">#REF!</definedName>
    <definedName name="_bdm.fcf6e00ad80b48a6998240808bbc7a82.edm" hidden="1">#REF!</definedName>
    <definedName name="_bdm.FD487F27E0724F8DAF570580F1DFFFAE.edm" hidden="1">#REF!</definedName>
    <definedName name="_bdm.fe3608643574427ca90d2121c365c41f.edm">#REF!</definedName>
    <definedName name="_bdm.FFC5EF32465945DAA17669510023CD85.edm" hidden="1">#REF!</definedName>
    <definedName name="_Budget_for_Measure" hidden="1">#REF!</definedName>
    <definedName name="_c" hidden="1">{"Fiesta Facer Page",#N/A,FALSE,"Q_C_S";"Fiesta Main Page",#N/A,FALSE,"V_L";"Fiesta 95BP Struct",#N/A,FALSE,"StructBP";"Fiesta Post 95BP Struct",#N/A,FALSE,"AdjStructBP"}</definedName>
    <definedName name="_cd1" hidden="1">{#N/A,#N/A,FALSE,"Job Sched"}</definedName>
    <definedName name="_cd2" hidden="1">{#N/A,#N/A,FALSE,"Job Sched"}</definedName>
    <definedName name="_CD3" hidden="1">{#N/A,#N/A,FALSE,"Job Sched"}</definedName>
    <definedName name="_cd4" hidden="1">{#N/A,#N/A,FALSE,"Job Sched"}</definedName>
    <definedName name="_Cd5" hidden="1">{#N/A,#N/A,FALSE,"A"}</definedName>
    <definedName name="_cd8" hidden="1">{#N/A,#N/A,FALSE,"Job Sched"}</definedName>
    <definedName name="_Dec01" hidden="1">{"Statement of Income",#N/A,TRUE,"Mar99";"Balance Sheet",#N/A,TRUE,"Mar99"}</definedName>
    <definedName name="_df1" hidden="1">{#N/A,#N/A,FALSE,"Calc";#N/A,#N/A,FALSE,"Sensitivity";#N/A,#N/A,FALSE,"LT Earn.Dil.";#N/A,#N/A,FALSE,"Dil. AVP"}</definedName>
    <definedName name="_df2" hidden="1">{#N/A,#N/A,FALSE,"Calc";#N/A,#N/A,FALSE,"Sensitivity";#N/A,#N/A,FALSE,"LT Earn.Dil.";#N/A,#N/A,FALSE,"Dil. AVP"}</definedName>
    <definedName name="_dfd1" hidden="1">{"FCB_ALL",#N/A,FALSE,"FCB";"GREY_ALL",#N/A,FALSE,"GREY"}</definedName>
    <definedName name="_df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ist_Values" hidden="1">#REF!</definedName>
    <definedName name="_dj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kj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ex1">#REF!</definedName>
    <definedName name="_fas123" hidden="1">{"Balance Sheet",#N/A,FALSE,"Annual Summary";"Cashflows",#N/A,FALSE,"Annual Summary";"Summary Earnings",#N/A,FALSE,"Annual Summary"}</definedName>
    <definedName name="_feb01" hidden="1">{"Statement of Income",#N/A,TRUE,"Mar99";"Balance Sheet",#N/A,TRUE,"Mar99"}</definedName>
    <definedName name="_feb02" hidden="1">{"Statement of Income",#N/A,TRUE,"Mar99";"Balance Sheet",#N/A,TRUE,"Mar99"}</definedName>
    <definedName name="_Fill" hidden="1">#REF!</definedName>
    <definedName name="_for_YTD_Year" hidden="1">#REF!</definedName>
    <definedName name="_fy97" hidden="1">{#N/A,#N/A,FALSE,"FY97";#N/A,#N/A,FALSE,"FY98";#N/A,#N/A,FALSE,"FY99";#N/A,#N/A,FALSE,"FY00";#N/A,#N/A,FALSE,"FY01"}</definedName>
    <definedName name="_hd1" hidden="1">{#N/A,#N/A,FALSE,"Calc";#N/A,#N/A,FALSE,"Sensitivity";#N/A,#N/A,FALSE,"LT Earn.Dil.";#N/A,#N/A,FALSE,"Dil. AVP"}</definedName>
    <definedName name="_hd2" hidden="1">{#N/A,#N/A,FALSE,"Calc";#N/A,#N/A,FALSE,"Sensitivity";#N/A,#N/A,FALSE,"LT Earn.Dil.";#N/A,#N/A,FALSE,"Dil. AVP"}</definedName>
    <definedName name="_I2" hidden="1">{"PVGraph2",#N/A,FALSE,"PV Data"}</definedName>
    <definedName name="_I3" hidden="1">{"PVGraph2",#N/A,FALSE,"PV Data"}</definedName>
    <definedName name="_isg2" hidden="1">{#N/A,#N/A,FALSE,"REPORT"}</definedName>
    <definedName name="_Jun02" hidden="1">{"Statement of Income",#N/A,TRUE,"Mar99";"Balance Sheet",#N/A,TRUE,"Mar99"}</definedName>
    <definedName name="_Key1" hidden="1">#REF!</definedName>
    <definedName name="_Key2" hidden="1">#REF!</definedName>
    <definedName name="_Mar03" hidden="1">{"Statement of Income",#N/A,TRUE,"Mar99";"Balance Sheet",#N/A,TRUE,"Mar99"}</definedName>
    <definedName name="_Mar04" hidden="1">{"Statement of Income",#N/A,TRUE,"Mar99";"Balance Sheet",#N/A,TRUE,"Mar99"}</definedName>
    <definedName name="_mfg2" hidden="1">{"PAGE 1",#N/A,FALSE,"WEST_OT"}</definedName>
    <definedName name="_mfg3" hidden="1">{"PAGE 1",#N/A,FALSE,"WEST_OT"}</definedName>
    <definedName name="_mfg4" hidden="1">{"PAGE 1",#N/A,FALSE,"WEST_OT"}</definedName>
    <definedName name="_mfg5" hidden="1">{"PAGE 1",#N/A,FALSE,"WEST_OT"}</definedName>
    <definedName name="_na2" hidden="1">"100"</definedName>
    <definedName name="_na3" hidden="1">"50"</definedName>
    <definedName name="_na4" hidden="1">"IQ_LTM_DATE"</definedName>
    <definedName name="_new1" hidden="1">{#N/A,#N/A,FALSE,"Pharm";#N/A,#N/A,FALSE,"WWCM"}</definedName>
    <definedName name="_new22" hidden="1">{#N/A,#N/A,FALSE,"Income";#N/A,#N/A,FALSE,"Cost of Goods Sold";#N/A,#N/A,FALSE,"Other Costs";#N/A,#N/A,FALSE,"Other Income";#N/A,#N/A,FALSE,"Taxes";#N/A,#N/A,FALSE,"Other Deductions";#N/A,#N/A,FALSE,"Compensation of Officers"}</definedName>
    <definedName name="_nt97">#REF!</definedName>
    <definedName name="_nt98">#REF!</definedName>
    <definedName name="_o1" hidden="1">{#N/A,#N/A,FALSE,"SUMMARY";#N/A,#N/A,FALSE,"mcsh";#N/A,#N/A,FALSE,"vol&amp;rev";#N/A,#N/A,FALSE,"wkgcap";#N/A,#N/A,FALSE,"DEPR&amp;DT";#N/A,#N/A,FALSE,"ASSETS";#N/A,#N/A,FALSE,"NI&amp;OTH&amp;DIV";#N/A,#N/A,FALSE,"CASHFLOW";#N/A,#N/A,FALSE,"CAPEMPL";#N/A,#N/A,FALSE,"ROCE"}</definedName>
    <definedName name="_OCT01" hidden="1">{"Statement of Income",#N/A,TRUE,"Mar99";"Balance Sheet",#N/A,TRUE,"Mar99"}</definedName>
    <definedName name="_OCT03" hidden="1">{"Statement of Income",#N/A,TRUE,"Mar99";"Balance Sheet",#N/A,TRUE,"Mar99"}</definedName>
    <definedName name="_OK2" hidden="1">{#N/A,#N/A,FALSE,"Cover";#N/A,#N/A,FALSE,"LUMI";#N/A,#N/A,FALSE,"COMD";#N/A,#N/A,FALSE,"Valuation";#N/A,#N/A,FALSE,"Assumptions";#N/A,#N/A,FALSE,"Pooling";#N/A,#N/A,FALSE,"BalanceSheet"}</definedName>
    <definedName name="_old2" hidden="1">{#N/A,#N/A,FALSE,"Income";#N/A,#N/A,FALSE,"Cost of Goods Sold";#N/A,#N/A,FALSE,"Other Costs";#N/A,#N/A,FALSE,"Other Income";#N/A,#N/A,FALSE,"Taxes";#N/A,#N/A,FALSE,"Other Deductions";#N/A,#N/A,FALSE,"Compensation of Officers"}</definedName>
    <definedName name="_Order1" hidden="1">255</definedName>
    <definedName name="_Order2" hidden="1">255</definedName>
    <definedName name="_org_H_per_pot_others">#REF!</definedName>
    <definedName name="_p1" hidden="1">{"SUM",#N/A,FALSE,"Details (2)"}</definedName>
    <definedName name="_Parse_In" hidden="1">#REF!</definedName>
    <definedName name="_Parse_Out" hidden="1">#REF!</definedName>
    <definedName name="_php97">#REF!</definedName>
    <definedName name="_php98">#REF!</definedName>
    <definedName name="_PL2"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4" hidden="1">{#N/A,#N/A,FALSE,"Report Data";#N/A,#N/A,FALSE,"COMP POOL";#N/A,#N/A,FALSE,"COMP POOL NB95";#N/A,#N/A,FALSE,"COMP POOL NB94"}</definedName>
    <definedName name="_PL5"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p2" hidden="1">{"Summary",#N/A,FALSE,"Details (2)"}</definedName>
    <definedName name="_ppp1" hidden="1">{"SUM",#N/A,FALSE,"Details (2)"}</definedName>
    <definedName name="_q2" hidden="1">{"Summary",#N/A,FALSE,"Details (2)"}</definedName>
    <definedName name="_q3" hidden="1">#REF!</definedName>
    <definedName name="_q4" hidden="1">{"Summary",#N/A,FALSE,"Details (2)"}</definedName>
    <definedName name="_q5" hidden="1">{"SUM",#N/A,FALSE,"Details (2)"}</definedName>
    <definedName name="_r" hidden="1">{#N/A,#N/A,FALSE,"Pharm";#N/A,#N/A,FALSE,"WWCM"}</definedName>
    <definedName name="_Regression_Int" hidden="1">1</definedName>
    <definedName name="_Regression_Out" hidden="1">#REF!</definedName>
    <definedName name="_Regression_X" hidden="1">#REF!</definedName>
    <definedName name="_Regression_Y" hidden="1">#REF!</definedName>
    <definedName name="_Rf_Feb_Act_for_YTD" hidden="1">#REF!</definedName>
    <definedName name="_Rf_Oct_Act_for_2003_YTD" hidden="1">#REF!</definedName>
    <definedName name="_rm97">#REF!</definedName>
    <definedName name="_rm98">#REF!</definedName>
    <definedName name="_SEP01" hidden="1">{"Statement of Income",#N/A,TRUE,"Mar99";"Balance Sheet",#N/A,TRUE,"Mar99"}</definedName>
    <definedName name="_Sep03" hidden="1">{"Statement of Income",#N/A,TRUE,"Mar99";"Balance Sheet",#N/A,TRUE,"Mar99"}</definedName>
    <definedName name="_sg1">#REF!</definedName>
    <definedName name="_sgd97">#REF!</definedName>
    <definedName name="_sgd98">#REF!</definedName>
    <definedName name="_sop3" hidden="1">{"data",#N/A,FALSE,"client (3)";"margins",#N/A,FALSE,"client (3)";"multiple",#N/A,FALSE,"client (3)"}</definedName>
    <definedName name="_Sort" hidden="1">#REF!</definedName>
    <definedName name="_t2" hidden="1">{"'Sheet1'!$A$5:$G$42"}</definedName>
    <definedName name="_t9"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ble3_In2" hidden="1">#REF!</definedName>
    <definedName name="_tm1" hidden="1">{#N/A,#N/A,FALSE,"Pharm";#N/A,#N/A,FALSE,"WWCM"}</definedName>
    <definedName name="_TMAutoChart1Names" hidden="1">{"Timeline","Chart 6","Timeline Chart 6"}</definedName>
    <definedName name="_TMAutoChart1Refs" hidden="1">{"","","'Timeline'!$F$16","'Timeline'!$F$25","","","","","",""}</definedName>
    <definedName name="_TMAutoChart2Names" hidden="1">{"Timeline","Chart 6","Timeline Chart 6"}</definedName>
    <definedName name="_TMAutoChart2Refs" hidden="1">{"","","'Timeline'!$F$16","'Timeline'!$H$25","","","","","",""}</definedName>
    <definedName name="_TMAutoChartCount" hidden="1">2</definedName>
    <definedName name="_v2" hidden="1">{"arpm1995",#N/A,FALSE,"Summary 95-96";"bus_long_distance",#N/A,FALSE,"Summary 95-96";"mins_per_day",#N/A,FALSE,"Summary 95-96";"minutes1995",#N/A,FALSE,"Summary 95-96";"rev_per_day",#N/A,FALSE,"Summary 95-96";"view1995",#N/A,FALSE,"Summary 95-96"}</definedName>
    <definedName name="_ver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w1" hidden="1">{"PVGraph2",#N/A,FALSE,"PV Data"}</definedName>
    <definedName name="_w2" hidden="1">{"PVGraph2",#N/A,FALSE,"PV Data"}</definedName>
    <definedName name="_w3" hidden="1">{"PVGraph2",#N/A,FALSE,"PV Data"}</definedName>
    <definedName name="_wrn1" hidden="1">{#N/A,#N/A,FALSE,"DCF";#N/A,#N/A,FALSE,"WACC";#N/A,#N/A,FALSE,"Sales_EBIT";#N/A,#N/A,FALSE,"Capex_Depreciation";#N/A,#N/A,FALSE,"WC";#N/A,#N/A,FALSE,"Interest";#N/A,#N/A,FALSE,"Assumptions"}</definedName>
    <definedName name="_wrn2" hidden="1">{#N/A,#N/A,FALSE,"ASSUMPTIONS";#N/A,#N/A,FALSE,"Valuation Summary";"page1",#N/A,FALSE,"PRESENTATION";"page2",#N/A,FALSE,"PRESENTATION";#N/A,#N/A,FALSE,"ORIGINAL_ROLLBACK"}</definedName>
    <definedName name="_wrn3" hidden="1">{#N/A,#N/A,FALSE,"ASSUMPTIONS";#N/A,#N/A,FALSE,"Valuation Summary";"page1",#N/A,FALSE,"PRESENTATION";"page2",#N/A,FALSE,"PRESENTATION";#N/A,#N/A,FALSE,"ORIGINAL_ROLLBACK"}</definedName>
    <definedName name="_wrn9" hidden="1">{"FCB_ALL",#N/A,FALSE,"FCB"}</definedName>
    <definedName name="_ww2" hidden="1">{#N/A,#N/A,FALSE,"Admin";#N/A,#N/A,FALSE,"Other"}</definedName>
    <definedName name="_X1" hidden="1">{"Summary",#N/A,FALSE,"Details (2)"}</definedName>
    <definedName name="_X2" hidden="1">{#N/A,#N/A,FALSE,"Other";#N/A,#N/A,FALSE,"Ace";#N/A,#N/A,FALSE,"Derm"}</definedName>
    <definedName name="_xlcn.LinkedTable_Table11" hidden="1">#REF!</definedName>
    <definedName name="_xlcn.WorksheetConnection_CapexA19F431" hidden="1">#REF!</definedName>
    <definedName name="_xlcn.WorksheetConnection_FES_Direct_Margin_Detail_20160523.xlsxTable_dynamicsslsql01_SLFRANKLIN_xFES_Margin_21" hidden="1">#REF!</definedName>
    <definedName name="_xlcn.WorksheetConnection_FES_Direct_Margin_Detail_20160523.xlsxTable_dynamicsslsql01_SLFRANKLIN_xFES_Program_Listing__21" hidden="1">#REF!</definedName>
    <definedName name="_xlcn.WorksheetConnection_FES_Program_Margin_Analysis.xlsxFES_Margin1" hidden="1">#REF!</definedName>
    <definedName name="_xlcn.WorksheetConnection_FES_Program_Margin_Analysis.xlsxPrograms1" hidden="1">#REF!</definedName>
    <definedName name="_xlcn.WorksheetConnection_newHires1" hidden="1">#REF!</definedName>
    <definedName name="_y2" hidden="1">{"PVGraph2",#N/A,FALSE,"PV Data"}</definedName>
    <definedName name="_Zcomps1" hidden="1">{0,0,0,0,1,-4105,42.5196850393701,42.5196850393701,42.5196850393701,42.5196850393701,2,TRUE,TRUE,FALSE,FALSE,FALSE,#N/A,1,85,1,1,"","","","&amp;""Kennerly,Roman Bold""&amp;14L&amp;12EHMAN &amp;14 B&amp;12ROTHERS","","",FALSE}</definedName>
    <definedName name="_Zcomps2" hidden="1">{0,0,0,0,1,-4105,28.3464566929134,28.3464566929134,28.346456664,28.3464566929134,2,TRUE,TRUE,FALSE,FALSE,FALSE,#N/A,1,85,1,2,"","","","&amp;""Kennerly,Roman Bold""&amp;14L&amp;12EHMAN &amp;14 B&amp;12ROTHERS","","",FALSE}</definedName>
    <definedName name="a">#N/A</definedName>
    <definedName name="aa" hidden="1">{#N/A,#N/A,FALSE,"Pharm";#N/A,#N/A,FALSE,"WWCM"}</definedName>
    <definedName name="aa.2" hidden="1">{#N/A,#N/A,FALSE,"Cashflow Analysis";#N/A,#N/A,FALSE,"Sensitivity Analysis";#N/A,#N/A,FALSE,"PV";#N/A,#N/A,FALSE,"Pro Forma"}</definedName>
    <definedName name="aaa" hidden="1">{"BS",#N/A,FALSE,"USA"}</definedName>
    <definedName name="AAA_DOCTOPS" hidden="1">"AAA_SET"</definedName>
    <definedName name="AAA_duser" hidden="1">"OFF"</definedName>
    <definedName name="AAAA">#N/A</definedName>
    <definedName name="aaaaa" hidden="1">{#N/A,#N/A,TRUE,"BUD VS ACT AUST 96";#N/A,#N/A,TRUE,"96 COMP P&amp;L-AUST";#N/A,#N/A,TRUE,"COMP BS-AUSTRALIA";#N/A,#N/A,TRUE,"B/S - AUSTR."}</definedName>
    <definedName name="aaaaaa" hidden="1">{#N/A,#N/A,FALSE,"REPORT"}</definedName>
    <definedName name="aaaaaaa" hidden="1">{"barlup",#N/A,FALSE,"evabnk97";"gillespey",#N/A,FALSE,"evabnk97";"koon",#N/A,FALSE,"evabnk97";"schreur",#N/A,FALSE,"evabnk97";"stone",#N/A,FALSE,"evabnk97";"wichmann",#N/A,FALSE,"evabnk97";"wright",#N/A,FALSE,"evabnk97"}</definedName>
    <definedName name="aaaaaaaaaa" hidden="1">{"FCB_ALL",#N/A,FALSE,"FCB";"GREY_ALL",#N/A,FALSE,"GREY"}</definedName>
    <definedName name="aaaaaaaaaaa" hidden="1">{#N/A,#N/A,FALSE,"REPORT"}</definedName>
    <definedName name="aaaaaaaaaaaa" hidden="1">{#N/A,#N/A,TRUE,"BUD VS ACT AUST 96";#N/A,#N/A,TRUE,"96 COMP P&amp;L-AUST";#N/A,#N/A,TRUE,"COMP BS-AUSTRALIA";#N/A,#N/A,TRUE,"B/S - AUSTR."}</definedName>
    <definedName name="aaaaaaaaaaaaaaa" hidden="1">{#N/A,#N/A,FALSE,"Pharm";#N/A,#N/A,FALSE,"WWCM"}</definedName>
    <definedName name="aaasb" hidden="1">{#N/A,#N/A,FALSE,"Pharm";#N/A,#N/A,FALSE,"WWCM"}</definedName>
    <definedName name="aab" hidden="1">{#N/A,#N/A,FALSE,"Pharm";#N/A,#N/A,FALSE,"WWCM"}</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ddd" hidden="1">{#N/A,#N/A,FALSE,"REPORT"}</definedName>
    <definedName name="aas" hidden="1">{#N/A,#N/A,FALSE,"1";#N/A,#N/A,FALSE,"2";#N/A,#N/A,FALSE,"16 - 17";#N/A,#N/A,FALSE,"18 - 19";#N/A,#N/A,FALSE,"26";#N/A,#N/A,FALSE,"27";#N/A,#N/A,FALSE,"28"}</definedName>
    <definedName name="aassas" hidden="1">{"PR1","pr1",TRUE,"Sch PR-1"}</definedName>
    <definedName name="ABC" hidden="1">{#N/A,#N/A,TRUE,"BUD VS ACT AUST 96";#N/A,#N/A,TRUE,"96 COMP P&amp;L-AUST";#N/A,#N/A,TRUE,"COMP BS-AUSTRALIA";#N/A,#N/A,TRUE,"B/S - AUSTR."}</definedName>
    <definedName name="abc.abc" hidden="1">{"cash flow - FY02",#N/A,FALSE,"P &amp; L";"cash flow - FY03",#N/A,FALSE,"P &amp; L"}</definedName>
    <definedName name="abc.abc2" hidden="1">{"cash flow - FY02",#N/A,FALSE,"P &amp; L";"cash flow - FY03",#N/A,FALSE,"P &amp; L"}</definedName>
    <definedName name="Abrisa" hidden="1">{"FY04_Assets",#N/A,FALSE,"Fin Stmt Budget";"FY04_Liabilities",#N/A,FALSE,"Fin Stmt Budget";"FY04_Inc_Stmt",#N/A,FALSE,"Fin Stmt Budget";"FY04_SOCF",#N/A,FALSE,"Fin Stmt Budget"}</definedName>
    <definedName name="absfghbtg" hidden="1">#REF!,#REF!,#REF!,#REF!,#REF!,#REF!,#REF!,#REF!,#REF!,#REF!,#REF!,#REF!,#REF!,#REF!,#REF!,#REF!,#REF!,#REF!,#REF!,#REF!,#REF!,#REF!,#REF!,#REF!,#REF!,#REF!,#REF!,#REF!,#REF!,#REF!,#REF!,#REF!,#REF!,#REF!,#REF!,#REF!,#REF!,#REF!,#REF!,#REF!,#REF!,#REF!,#REF!,#REF!,#REF!,#REF!,#REF!,#REF!,#REF!,#REF!,#REF!,#REF!,#REF!,#REF!</definedName>
    <definedName name="acc" hidden="1">{"Accretion",#N/A,FALSE,"Assum"}</definedName>
    <definedName name="Access_Button" hidden="1">"CONSOL_SIM_List"</definedName>
    <definedName name="AccessDatabase" hidden="1">"G:\account\96CONSOL\CONSOL.mdb"</definedName>
    <definedName name="Accessforecast" hidden="1">{"SUM",#N/A,FALSE,"Details (2)"}</definedName>
    <definedName name="actual" hidden="1">#REF!</definedName>
    <definedName name="adasa" hidden="1">{"'Sheet1'!$A$1:$J$121"}</definedName>
    <definedName name="adasdasdasdasd" hidden="1">{"PR1","pr1",TRUE,"Sch PR-1"}</definedName>
    <definedName name="ADBeg">#REF!</definedName>
    <definedName name="adcd" hidden="1">{#N/A,#N/A,FALSE,"Sheet8";#N/A,#N/A,FALSE,"Sheet7"}</definedName>
    <definedName name="ADCurr">#REF!</definedName>
    <definedName name="ADEnd">#REF!</definedName>
    <definedName name="adf"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 hidden="1">{#N/A,#N/A,FALSE,"Aging Summary";#N/A,#N/A,FALSE,"Ratio Analysis";#N/A,#N/A,FALSE,"Test 120 Day Accts";#N/A,#N/A,FALSE,"Tickmarks"}</definedName>
    <definedName name="adfadf" hidden="1">{"'Sheet1'!$A$1:$J$121"}</definedName>
    <definedName name="adfadfasfdadf"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dfda"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sdfasfdasdf"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gasdysty" hidden="1">{#N/A,#N/A,FALSE,"REPORT"}</definedName>
    <definedName name="adfsfjfjky" hidden="1">{#N/A,#N/A,FALSE,"REPORT"}</definedName>
    <definedName name="ADFWAE" hidden="1">{"summary1",#N/A,TRUE,"Comps";"summary2",#N/A,TRUE,"Comps";"summary3",#N/A,TRUE,"Comps"}</definedName>
    <definedName name="adgad"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had" hidden="1">{"'Sheet1'!$A$1:$J$121"}</definedName>
    <definedName name="ADPrior">#REF!</definedName>
    <definedName name="ads" hidden="1">{"inputs raw data",#N/A,TRUE,"INPUT"}</definedName>
    <definedName name="adsew" hidden="1">{"FCB_ALL",#N/A,FALSE,"FCB"}</definedName>
    <definedName name="ADSFA" hidden="1">{"inputs raw data",#N/A,TRUE,"INPUT"}</definedName>
    <definedName name="adsfaw" hidden="1">{"FCB_ALL",#N/A,FALSE,"FCB";"GREY_ALL",#N/A,FALSE,"GREY"}</definedName>
    <definedName name="adsfca" hidden="1">{"FCB_ALL",#N/A,FALSE,"FCB";"GREY_ALL",#N/A,FALSE,"GREY"}</definedName>
    <definedName name="adsfeklj" hidden="1">{"FCB_ALL",#N/A,FALSE,"FCB"}</definedName>
    <definedName name="adsfkl" hidden="1">{"FCB_ALL",#N/A,FALSE,"FCB";"GREY_ALL",#N/A,FALSE,"GREY"}</definedName>
    <definedName name="adsga" hidden="1">{"FCB_ALL",#N/A,FALSE,"FCB"}</definedName>
    <definedName name="adsgawe" hidden="1">{"FCB_ALL",#N/A,FALSE,"FCB"}</definedName>
    <definedName name="adwdlkj" hidden="1">{"FCB_ALL",#N/A,FALSE,"FCB"}</definedName>
    <definedName name="ae" hidden="1">{"'Edit'!$A$1:$V$2277"}</definedName>
    <definedName name="AEWEW" hidden="1">{"inputs raw data",#N/A,TRUE,"INPUT"}</definedName>
    <definedName name="aewfwe" hidden="1">{#N/A,#N/A,FALSE,"Brad_DCFM";#N/A,#N/A,FALSE,"Nick_DCFM";#N/A,#N/A,FALSE,"Mobile_DCFM"}</definedName>
    <definedName name="afd" hidden="1">{#N/A,#N/A,FALSE,"VALSUM";#N/A,#N/A,FALSE,"MKT.COMPS";#N/A,#N/A,FALSE,"ACQ.MULT.";#N/A,#N/A,FALSE,"DCF - LBO"}</definedName>
    <definedName name="AFDADSFDAS" hidden="1">{#N/A,#N/A,FALSE,"REPORT"}</definedName>
    <definedName name="afge" hidden="1">{"FCB_ALL",#N/A,FALSE,"FCB";"GREY_ALL",#N/A,FALSE,"GREY"}</definedName>
    <definedName name="africa" hidden="1">{#N/A,#N/A,FALSE,"CNS";#N/A,#N/A,FALSE,"Serz";#N/A,#N/A,FALSE,"Ace"}</definedName>
    <definedName name="agafdhsdh" hidden="1">{#N/A,#N/A,FALSE,"REPORT"}</definedName>
    <definedName name="age"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1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ne" hidden="1">{"FCB_ALL",#N/A,FALSE,"FCB";"GREY_ALL",#N/A,FALSE,"GREY"}</definedName>
    <definedName name="agng" hidden="1">{#N/A,#N/A,FALSE,"Aging Summary";#N/A,#N/A,FALSE,"Ratio Analysis";#N/A,#N/A,FALSE,"Test 120 Day Accts";#N/A,#N/A,FALSE,"Tickmarks"}</definedName>
    <definedName name="agsgaghgfj" hidden="1">{#N/A,#N/A,FALSE,"Pharm";#N/A,#N/A,FALSE,"WWCM"}</definedName>
    <definedName name="ahge" hidden="1">{"FCB_ALL",#N/A,FALSE,"FCB";"GREY_ALL",#N/A,FALSE,"GREY"}</definedName>
    <definedName name="AJHFkjDGHF" hidden="1">{"Annual_Income",#N/A,FALSE,"Report Page";"Balance_Cash_Flow",#N/A,FALSE,"Report Page";"Quarterly_Income",#N/A,FALSE,"Report Page"}</definedName>
    <definedName name="alb" hidden="1">{#N/A,#N/A,FALSE,"Summary";#N/A,#N/A,FALSE,"Edit";#N/A,#N/A,FALSE,"MedProf";#N/A,#N/A,FALSE,"Proj Mgt";#N/A,#N/A,FALSE,"Creat Svc";#N/A,#N/A,FALSE,"Meet Svc";#N/A,#N/A,FALSE,"Non-OCC";#N/A,#N/A,FALSE,"Client Svc";#N/A,#N/A,FALSE,"Bus Dev";#N/A,#N/A,FALSE,"Indirect"}</definedName>
    <definedName name="alex" hidden="1">{#N/A,#N/A,FALSE,"REPORT"}</definedName>
    <definedName name="alexan" hidden="1">{#N/A,#N/A,FALSE,"REPORT"}</definedName>
    <definedName name="alfredo" hidden="1">{#N/A,#N/A,FALSE,"CNS_ADJ";"Balance Consolidado",#N/A,FALSE,"BCEC_CNS";#N/A,#N/A,FALSE,"USGAAP_ADJ"}</definedName>
    <definedName name="Alignment" hidden="1">"a1"</definedName>
    <definedName name="allchanges1">#REF!</definedName>
    <definedName name="allchanges2">#REF!</definedName>
    <definedName name="alloc">#REF!</definedName>
    <definedName name="amt" hidden="1">{#N/A,#N/A,FALSE,"REPORT"}</definedName>
    <definedName name="ana" hidden="1">{#N/A,#N/A,FALSE,"Sheet1";#N/A,#N/A,FALSE,"Sheet2";#N/A,#N/A,FALSE,"Sheet3";#N/A,#N/A,FALSE,"Sheet4";#N/A,#N/A,FALSE,"Sheet5";#N/A,#N/A,FALSE,"Sheet6"}</definedName>
    <definedName name="andy" hidden="1">{#N/A,#N/A,FALSE,"REPORT"}</definedName>
    <definedName name="annualforc" hidden="1">{#N/A,#N/A,FALSE,"FAB VENDORS";"BUD SUM",#N/A,FALSE,"BUD SUM WO TEX"}</definedName>
    <definedName name="anscount" hidden="1">3</definedName>
    <definedName name="anything" hidden="1">{#N/A,#N/A,FALSE,"Output";#N/A,#N/A,FALSE,"Cover Sheet";#N/A,#N/A,FALSE,"Current Mkt. Projections"}</definedName>
    <definedName name="Apr00" hidden="1">{"Statement of Income",#N/A,TRUE,"Mar99";"Balance Sheet",#N/A,TRUE,"Mar99"}</definedName>
    <definedName name="Apr00TB" hidden="1">{"Statement of Income",#N/A,TRUE,"Mar99";"Balance Sheet",#N/A,TRUE,"Mar99"}</definedName>
    <definedName name="aq" hidden="1">{"'Edit'!$A$1:$V$2277"}</definedName>
    <definedName name="ardoutput"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arew" hidden="1">{"cap_structure",#N/A,FALSE,"Graph-Mkt Cap";"price",#N/A,FALSE,"Graph-Price";"ebit",#N/A,FALSE,"Graph-EBITDA";"ebitda",#N/A,FALSE,"Graph-EBITDA"}</definedName>
    <definedName name="arg" hidden="1">{"inputs raw data",#N/A,TRUE,"INPUT"}</definedName>
    <definedName name="AS"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AS2DocOpenMode" hidden="1">"AS2DocumentEdit"</definedName>
    <definedName name="AS2HasNoAutoHeaderFooter" hidden="1">" "</definedName>
    <definedName name="AS2NamedRange" hidden="1">6</definedName>
    <definedName name="AS2ReportLS" hidden="1">1</definedName>
    <definedName name="AS2SyncStepLS" hidden="1">0</definedName>
    <definedName name="AS2TickmarkLS" hidden="1">#REF!</definedName>
    <definedName name="AS2VersionLS" hidden="1">300</definedName>
    <definedName name="asa" hidden="1">{"FCB_ALL",#N/A,FALSE,"FCB"}</definedName>
    <definedName name="asas" hidden="1">{#N/A,#N/A,FALSE,"Pharm";#N/A,#N/A,FALSE,"WWCM"}</definedName>
    <definedName name="asasasasas" hidden="1">{"PR1","pr1",TRUE,"Sch PR-1"}</definedName>
    <definedName name="asd" hidden="1">{#N/A,#N/A,FALSE,"Pharm";#N/A,#N/A,FALSE,"WWCM"}</definedName>
    <definedName name="asdaw" hidden="1">{"FCB_ALL",#N/A,FALSE,"FCB"}</definedName>
    <definedName name="asdf" hidden="1">#REF!</definedName>
    <definedName name="asdfadg"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sdfadsf" hidden="1">{"'Sheet1'!$A$1:$J$121"}</definedName>
    <definedName name="asdfag" hidden="1">{"DTCONSOASSUMPTIONS1",#N/A,FALSE,"CONSO";"DTCONSOASSUMPTIONS2",#N/A,FALSE,"CONSO";"DTCONSOASSUMPTIONS3",#N/A,FALSE,"CONSO";"DTCONSOINCOME",#N/A,FALSE,"CONSO";"DTCOOSAEBITDA",#N/A,FALSE,"COOSA";"DTCONSOCASHFLOW",#N/A,FALSE,"CONSO";"DTCONSOBALANCESHEET",#N/A,FALSE,"CONSO";"DTCONSOCAPEX1",#N/A,FALSE,"CONSO";"DTCONSOCAPEX2",#N/A,FALSE,"CONSO";"DTCONSOCAPEX3",#N/A,FALSE,"CONSO";"DTDONNAASSUMPTIONS1",#N/A,FALSE,"PAPER DONNACONA";"DTDONNAASSUMPTIONS2",#N/A,FALSE,"PAPER DONNACONA";"DTDONNAASSUMPTIONS3",#N/A,FALSE,"PAPER DONNACONA";"DTDONNAINCOME",#N/A,FALSE,"PAPER DONNACONA";"DTDONNACASHFLOW",#N/A,FALSE,"PAPER DONNACONA";"DTDONNABALANCESHEET",#N/A,FALSE,"PAPER DONNACONA";"DTDONNACAPEX",#N/A,FALSE,"PAPER DONNACONA";"DTDOLBEAUASSUMPTIONS1",#N/A,FALSE,"PAPER DOLBEAU";"DTDOLBEAUASSUMPTIONS2",#N/A,FALSE,"PAPER DOLBEAU";"DTDOLBEAUASSUMPTIONS3",#N/A,FALSE,"PAPER DOLBEAU";"DTDOLBEAUINCOME",#N/A,FALSE,"PAPER DOLBEAU";"DTDOLBEAUCASHFLOW",#N/A,FALSE,"PAPER DOLBEAU";"DTDOLBEAUBALANCESHEET",#N/A,FALSE,"PAPER DOLBEAU";"DTDOLBEAUCAPEX",#N/A,FALSE,"PAPER DOLBEAU";"DTLUMBERASSUMPTIONS1",#N/A,FALSE,"LUMBER";"DTLUMBERASSUMPTIONS2",#N/A,FALSE,"LUMBER";"DTLUMBERASSUMPTIONS3",#N/A,FALSE,"LUMBER";"DTLUMBERINCOME",#N/A,FALSE,"LUMBER";"DTLUMBERCASHFLOW",#N/A,FALSE,"LUMBER";"DTLUMBERBALANCESHEET",#N/A,FALSE,"LUMBER";"DTLUMBERCAPEX",#N/A,FALSE,"LUMBER";"DTCOOSAASSUMPTIONS1",#N/A,FALSE,"COOSA";"DTCOOSAASSUMPTION2",#N/A,FALSE,"COOSA";"DTCOOSAASSUMPTIONS3",#N/A,FALSE,"COOSA";"DTCOOSAINCOME",#N/A,FALSE,"COOSA";"DTCOOSACASHFLOW",#N/A,FALSE,"COOSA";"DTCOOSABALANCESHEET",#N/A,FALSE,"COOSA";"DTCOOSACAPEX",#N/A,FALSE,"COOSA";"DTELIMINATIONINCOME",#N/A,FALSE,"ELIMINATION";"DTELIMINATIONCASHFLOW",#N/A,FALSE,"ELIMINATION";"DTELIMINATIONBALANCESHEET",#N/A,FALSE,"ELIMINATION";"DTHEADOFFICEASSUMPTIONS",#N/A,FALSE,"H.OFFICE";"DTHEADOFFICEINCOME",#N/A,FALSE,"H.OFFICE";"DTHEADOFFICECASHFLOW",#N/A,FALSE,"H.OFFICE";"DTHEADOFFICEBALANCESHEET",#N/A,FALSE,"H.OFFICE";"DTHEADOFFICECAPEX",#N/A,FALSE,"H.OFFICE";"DTSEGMENTED",#N/A,FALSE,"SEGMENTED INFO";"DTTAX1",#N/A,FALSE,"impôt";"DTTAX2",#N/A,FALSE,"impôt"}</definedName>
    <definedName name="asdfasdfas" hidden="1">{#N/A,#N/A,FALSE,"Sheet1";#N/A,#N/A,FALSE,"Sheet2";#N/A,#N/A,FALSE,"Sheet3";#N/A,#N/A,FALSE,"Sheet4";#N/A,#N/A,FALSE,"Sheet5";#N/A,#N/A,FALSE,"Sheet6"}</definedName>
    <definedName name="asdfasf" hidden="1">38939.6653819444</definedName>
    <definedName name="asdfdf">#REF!</definedName>
    <definedName name="asdfe" hidden="1">{"FCB_ALL",#N/A,FALSE,"FCB"}</definedName>
    <definedName name="asdfg" hidden="1">{#N/A,#N/A,FALSE,"Pharm";#N/A,#N/A,FALSE,"WWCM"}</definedName>
    <definedName name="asdfn" hidden="1">{"FCB_ALL",#N/A,FALSE,"FCB";"GREY_ALL",#N/A,FALSE,"GREY"}</definedName>
    <definedName name="asdfSDF" hidden="1">{#N/A,#N/A,FALSE,"Sheet1";#N/A,#N/A,FALSE,"Sheet2";#N/A,#N/A,FALSE,"Sheet3";#N/A,#N/A,FALSE,"Sheet4";#N/A,#N/A,FALSE,"Sheet5";#N/A,#N/A,FALSE,"Sheet6"}</definedName>
    <definedName name="asdgaew" hidden="1">{"FCB_ALL",#N/A,FALSE,"FCB"}</definedName>
    <definedName name="asdgahdfhth" hidden="1">{#N/A,#N/A,FALSE,"REPORT"}</definedName>
    <definedName name="asdgayery" hidden="1">{#N/A,#N/A,FALSE,"Pharm";#N/A,#N/A,FALSE,"WWCM"}</definedName>
    <definedName name="asdgfdytyet" hidden="1">{#N/A,#N/A,FALSE,"REPORT"}</definedName>
    <definedName name="asdgtryukuio" hidden="1">{#N/A,#N/A,FALSE,"REPORT"}</definedName>
    <definedName name="asdjgkl" hidden="1">{#N/A,#N/A,FALSE,"Pharm";#N/A,#N/A,FALSE,"WWCM"}</definedName>
    <definedName name="asdr5" hidden="1">{"FCB_ALL",#N/A,FALSE,"FCB";"GREY_ALL",#N/A,FALSE,"GREY"}</definedName>
    <definedName name="asfasdf" hidden="1">#REF!</definedName>
    <definedName name="asfd" hidden="1">{"FCB_ALL",#N/A,FALSE,"FCB"}</definedName>
    <definedName name="asffghujyki" hidden="1">{#N/A,#N/A,FALSE,"Pharm";#N/A,#N/A,FALSE,"WWCM"}</definedName>
    <definedName name="ASSA" hidden="1">{#N/A,#N/A,FALSE,"1";#N/A,#N/A,FALSE,"2";#N/A,#N/A,FALSE,"16 - 17";#N/A,#N/A,FALSE,"18 - 19";#N/A,#N/A,FALSE,"26";#N/A,#N/A,FALSE,"27";#N/A,#N/A,FALSE,"28"}</definedName>
    <definedName name="assasdafsda" hidden="1">{"PR1","pr1",TRUE,"Sch PR-1"}</definedName>
    <definedName name="ASSIGNED_STATES">#REF!</definedName>
    <definedName name="ASSS" hidden="1">{"FCB_ALL",#N/A,FALSE,"FCB"}</definedName>
    <definedName name="assssss" hidden="1">{"FCB_ALL",#N/A,FALSE,"FCB"}</definedName>
    <definedName name="assum" hidden="1">{"'Sheet1'!$A$5:$G$42"}</definedName>
    <definedName name="att" hidden="1">{#N/A,#N/A,FALSE,"COVER PAGE";#N/A,#N/A,FALSE,"Page 2";#N/A,#N/A,FALSE,"Page 2";#N/A,#N/A,FALSE,"Page 4";#N/A,#N/A,FALSE,"Page5";#N/A,#N/A,FALSE,"Page 6";#N/A,#N/A,FALSE,"Page 7";#N/A,#N/A,FALSE,"Page 8";#N/A,#N/A,FALSE,"Page 10";#N/A,#N/A,FALSE,"Long-Term OCF Mult.";#N/A,#N/A,FALSE,"PCS Comp";#N/A,#N/A,FALSE,"OCS-CAPEX";#N/A,#N/A,FALSE,"Blank"}</definedName>
    <definedName name="aust" hidden="1">{#N/A,#N/A,TRUE,"BUD VS ACT AUST 96";#N/A,#N/A,TRUE,"96 COMP P&amp;L-AUST";#N/A,#N/A,TRUE,"COMP BS-AUSTRALIA";#N/A,#N/A,TRUE,"B/S - AUSTR."}</definedName>
    <definedName name="ave"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we" hidden="1">{#N/A,#N/A,FALSE,"COVER";#N/A,#N/A,FALSE,"Index";#N/A,#N/A,FALSE,"Non-Earning";#N/A,#N/A,FALSE,"Commercial";#N/A,#N/A,FALSE,"Detailed"}</definedName>
    <definedName name="awea" hidden="1">{"FCB_ALL",#N/A,FALSE,"FCB";"GREY_ALL",#N/A,FALSE,"GREY"}</definedName>
    <definedName name="AX" hidden="1">{#N/A,#N/A,FALSE,"Pharm";#N/A,#N/A,FALSE,"WWCM"}</definedName>
    <definedName name="ayman" hidden="1">{#N/A,#N/A,FALSE,"1";#N/A,#N/A,FALSE,"2";#N/A,#N/A,FALSE,"16 - 17";#N/A,#N/A,FALSE,"18 - 19";#N/A,#N/A,FALSE,"26";#N/A,#N/A,FALSE,"27";#N/A,#N/A,FALSE,"28"}</definedName>
    <definedName name="ayman1" hidden="1">{#N/A,#N/A,FALSE,"Pharm";#N/A,#N/A,FALSE,"WWCM"}</definedName>
    <definedName name="ayman2" hidden="1">{#N/A,#N/A,FALSE,"Pharm";#N/A,#N/A,FALSE,"WWCM"}</definedName>
    <definedName name="ayman7" hidden="1">{#N/A,#N/A,FALSE,"REPORT"}</definedName>
    <definedName name="ayman8" hidden="1">{#N/A,#N/A,FALSE,"REPORT"}</definedName>
    <definedName name="az" hidden="1">{#N/A,#N/A,FALSE,"Pharm";#N/A,#N/A,FALSE,"WWCM"}</definedName>
    <definedName name="azeazr" hidden="1">{#N/A,#N/A,FALSE,"Sales Graph";#N/A,#N/A,FALSE,"BUC Graph";#N/A,#N/A,FALSE,"P&amp;L - YTD"}</definedName>
    <definedName name="azerety" hidden="1">{#N/A,#N/A,FALSE,"Pharm";#N/A,#N/A,FALSE,"WWCM"}</definedName>
    <definedName name="b" hidden="1">{"barlup",#N/A,FALSE,"evabnk97";"gillespey",#N/A,FALSE,"evabnk97";"koon",#N/A,FALSE,"evabnk97";"schreur",#N/A,FALSE,"evabnk97";"stone",#N/A,FALSE,"evabnk97";"wichmann",#N/A,FALSE,"evabnk97";"wright",#N/A,FALSE,"evabnk97"}</definedName>
    <definedName name="ba" hidden="1">{"FCB_ALL",#N/A,FALSE,"FCB";"GREY_ALL",#N/A,FALSE,"GREY"}</definedName>
    <definedName name="Bank" hidden="1">{TRUE,TRUE,-1.25,-15.5,456.75,279.75,FALSE,FALSE,TRUE,TRUE,0,1,21,1,127,6,3,4,TRUE,TRUE,3,TRUE,1,TRUE,100,"Swvu.profits.","ACwvu.profits.",1,FALSE,FALSE,0.511811023622047,0.511811023622047,0.511811023622047,0.511811023622047,1,"","",FALSE,FALSE,FALSE,FALSE,1,#N/A,1,1,#DIV/0!,FALSE,"Rwvu.profits.",#N/A,FALSE,FALSE}</definedName>
    <definedName name="barrera" hidden="1">{#N/A,#N/A,FALSE,"RESUMEN ECON.";#N/A,#N/A,FALSE,"Costos de R.H.";#N/A,#N/A,FALSE,"COSTO HW";#N/A,#N/A,FALSE,"CUADROS";#N/A,#N/A,FALSE,"SCADA´s";#N/A,#N/A,FALSE,"PRECIOS EQUIPOS"}</definedName>
    <definedName name="bb" hidden="1">{#N/A,#N/A,FALSE,"Assessment";#N/A,#N/A,FALSE,"Staffing";#N/A,#N/A,FALSE,"Hires";#N/A,#N/A,FALSE,"Assumptions"}</definedName>
    <definedName name="bbb" hidden="1">{#N/A,#N/A,FALSE,"Pharm";#N/A,#N/A,FALSE,"WWCM"}</definedName>
    <definedName name="bbbb" hidden="1">{#N/A,#N/A,FALSE,"REPORT"}</definedName>
    <definedName name="bbbbb" hidden="1">{#N/A,#N/A,TRUE,"BUD VS ACT AUST 96";#N/A,#N/A,TRUE,"96 COMP P&amp;L-AUST";#N/A,#N/A,TRUE,"COMP BS-AUSTRALIA";#N/A,#N/A,TRUE,"B/S - AUSTR."}</definedName>
    <definedName name="BBBBBB" hidden="1">{#N/A,#N/A,FALSE,"REPORT"}</definedName>
    <definedName name="BBBBBBBBB" hidden="1">{#N/A,#N/A,FALSE,"REPORT"}</definedName>
    <definedName name="bbbbbbbbbbbbb" hidden="1">{#N/A,#N/A,FALSE,"Pharm";#N/A,#N/A,FALSE,"WWCM"}</definedName>
    <definedName name="BD" hidden="1">{"EBITDA",#N/A,TRUE,"P&amp;L Net of Disc Ops";"output net of disc ops",#N/A,TRUE,"Revenue";"input",#N/A,TRUE,"Revenue";"output",#N/A,TRUE,"DC";"Input",#N/A,TRUE,"DC";"MTN and MCN",#N/A,TRUE,"Margin";"output detail line items",#N/A,TRUE,"SGA";"personnel by year",#N/A,TRUE,"Payroll";#N/A,#N/A,TRUE,"CapEx"}</definedName>
    <definedName name="Bear" hidden="1">{#N/A,#N/A,FALSE,"TS";#N/A,#N/A,FALSE,"Combo";#N/A,#N/A,FALSE,"FAIR";#N/A,#N/A,FALSE,"RBC";#N/A,#N/A,FALSE,"xxxx";#N/A,#N/A,FALSE,"A_D";#N/A,#N/A,FALSE,"WACC";#N/A,#N/A,FALSE,"DCF";#N/A,#N/A,FALSE,"LBO";#N/A,#N/A,FALSE,"AcqMults";#N/A,#N/A,FALSE,"CompMults"}</definedName>
    <definedName name="Bebefits" hidden="1">{"summary",#N/A,FALSE,"3 yr average";"comps",#N/A,FALSE,"3 yr average"}</definedName>
    <definedName name="Beg_Bal">#REF!</definedName>
    <definedName name="Beginning_Balance">-FV(Interest_Rate/12,#REF!-1,-#REF!,Loan_Amount)</definedName>
    <definedName name="BG_Del" hidden="1">15</definedName>
    <definedName name="BG_Ins" hidden="1">4</definedName>
    <definedName name="BG_Mod" hidden="1">6</definedName>
    <definedName name="bill" hidden="1">{"PAGE 1",#N/A,FALSE,"WEST_OT"}</definedName>
    <definedName name="bill1" hidden="1">{"PAGE 1",#N/A,FALSE,"WEST_OT"}</definedName>
    <definedName name="bill2" hidden="1">{"PAGE 1",#N/A,FALSE,"WEST_OT"}</definedName>
    <definedName name="bill3" hidden="1">{"PAGE 1",#N/A,FALSE,"WEST_OT"}</definedName>
    <definedName name="billrev2" hidden="1">{"PAGE 1",#N/A,FALSE,"WEST_OT"}</definedName>
    <definedName name="bilol" hidden="1">{#N/A,#N/A,FALSE,"VALSUM";#N/A,#N/A,FALSE,"MKT.COMPS";#N/A,#N/A,FALSE,"ACQ.MULT.";#N/A,#N/A,FALSE,"DCF - LBO"}</definedName>
    <definedName name="BL" hidden="1">#REF!</definedName>
    <definedName name="blank">#N/A</definedName>
    <definedName name="BLANKS"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PH1" hidden="1">#REF!</definedName>
    <definedName name="BLPH15" hidden="1">#REF!</definedName>
    <definedName name="BLPH16" hidden="1">#REF!</definedName>
    <definedName name="BLPH176" hidden="1">#REF!</definedName>
    <definedName name="BLPH177" hidden="1">#REF!</definedName>
    <definedName name="BLPH178" hidden="1">#REF!</definedName>
    <definedName name="BLPH179" hidden="1">#REF!</definedName>
    <definedName name="BLPH180" hidden="1">#REF!</definedName>
    <definedName name="BLPH181" hidden="1">#REF!</definedName>
    <definedName name="BLPH182" hidden="1">#REF!</definedName>
    <definedName name="BLPH183" hidden="1">#REF!</definedName>
    <definedName name="BLPH184" hidden="1">#REF!</definedName>
    <definedName name="BLPH195" hidden="1">#REF!</definedName>
    <definedName name="BLPH196" hidden="1">#REF!</definedName>
    <definedName name="BLPH197" hidden="1">#REF!</definedName>
    <definedName name="BLPH198" hidden="1">#REF!</definedName>
    <definedName name="BLPH199" hidden="1">#REF!</definedName>
    <definedName name="BLPH2" hidden="1">#REF!</definedName>
    <definedName name="BLPH200" hidden="1">#REF!</definedName>
    <definedName name="BLPH201" hidden="1">#REF!</definedName>
    <definedName name="BLPH202" hidden="1">#REF!</definedName>
    <definedName name="BLPH203" hidden="1">#REF!</definedName>
    <definedName name="BLPH204" hidden="1">#REF!</definedName>
    <definedName name="BLPH205" hidden="1">#REF!</definedName>
    <definedName name="BLPH206" hidden="1">#REF!</definedName>
    <definedName name="BLPH207" hidden="1">#REF!</definedName>
    <definedName name="BLPH208" hidden="1">#REF!</definedName>
    <definedName name="BLPH209" hidden="1">#REF!</definedName>
    <definedName name="BLPH210" hidden="1">#REF!</definedName>
    <definedName name="BLPH211" hidden="1">#REF!</definedName>
    <definedName name="BLPH212" hidden="1">#REF!</definedName>
    <definedName name="BLPH213" hidden="1">#REF!</definedName>
    <definedName name="BLPH214" hidden="1">#REF!</definedName>
    <definedName name="BLPH215" hidden="1">#REF!</definedName>
    <definedName name="BLPH216" hidden="1">#REF!</definedName>
    <definedName name="BLPH217" hidden="1">#REF!</definedName>
    <definedName name="BLPH218" hidden="1">#REF!</definedName>
    <definedName name="BLPH219" hidden="1">#REF!</definedName>
    <definedName name="BLPH220" hidden="1">#REF!</definedName>
    <definedName name="BLPH221" hidden="1">#REF!</definedName>
    <definedName name="BLPH222" hidden="1">#REF!</definedName>
    <definedName name="BLPH223" hidden="1">#REF!</definedName>
    <definedName name="BLPH224" hidden="1">#REF!</definedName>
    <definedName name="BLPH225" hidden="1">#REF!</definedName>
    <definedName name="BLPH226" hidden="1">#REF!</definedName>
    <definedName name="BLPH227" hidden="1">#REF!</definedName>
    <definedName name="BLPH228" hidden="1">#REF!</definedName>
    <definedName name="BLPH229" hidden="1">#REF!</definedName>
    <definedName name="BLPH230" hidden="1">#REF!</definedName>
    <definedName name="BLPH231" hidden="1">#REF!</definedName>
    <definedName name="BLPH232" hidden="1">#REF!</definedName>
    <definedName name="BLPH233" hidden="1">#REF!</definedName>
    <definedName name="BLPH234" hidden="1">#REF!</definedName>
    <definedName name="BLPH235" hidden="1">#REF!</definedName>
    <definedName name="BLPH236" hidden="1">#REF!</definedName>
    <definedName name="BLPH237" hidden="1">#REF!</definedName>
    <definedName name="BLPH238" hidden="1">#REF!</definedName>
    <definedName name="BLPH239" hidden="1">#REF!</definedName>
    <definedName name="BLPH240" hidden="1">#REF!</definedName>
    <definedName name="BLPH241" hidden="1">#REF!</definedName>
    <definedName name="BLPH242" hidden="1">#REF!</definedName>
    <definedName name="BLPH243" hidden="1">#REF!</definedName>
    <definedName name="BLPH244" hidden="1">#REF!</definedName>
    <definedName name="BLPH245" hidden="1">#REF!</definedName>
    <definedName name="BLPH246" hidden="1">#REF!</definedName>
    <definedName name="BLPH247" hidden="1">#REF!</definedName>
    <definedName name="BLPH248" hidden="1">#REF!</definedName>
    <definedName name="BLPH249" hidden="1">#REF!</definedName>
    <definedName name="BLPH250" hidden="1">#REF!</definedName>
    <definedName name="BLPH251" hidden="1">#REF!</definedName>
    <definedName name="BLPH252" hidden="1">#REF!</definedName>
    <definedName name="BLPH253" hidden="1">#REF!</definedName>
    <definedName name="BLPH254" hidden="1">#REF!</definedName>
    <definedName name="BLPH255" hidden="1">#REF!</definedName>
    <definedName name="BLPH256" hidden="1">#REF!</definedName>
    <definedName name="BLPH257" hidden="1">#REF!</definedName>
    <definedName name="BLPH258" hidden="1">#REF!</definedName>
    <definedName name="BLPH259" hidden="1">#REF!</definedName>
    <definedName name="BLPH260" hidden="1">#REF!</definedName>
    <definedName name="BLPH261" hidden="1">#REF!</definedName>
    <definedName name="BLPH262" hidden="1">#REF!</definedName>
    <definedName name="BLPH263" hidden="1">#REF!</definedName>
    <definedName name="BLPH264" hidden="1">#REF!</definedName>
    <definedName name="BLPH265" hidden="1">#REF!</definedName>
    <definedName name="BLPH266" hidden="1">#REF!</definedName>
    <definedName name="BLPH267" hidden="1">#REF!</definedName>
    <definedName name="BLPH268" hidden="1">#REF!</definedName>
    <definedName name="BLPH269" hidden="1">#REF!</definedName>
    <definedName name="BLPH270" hidden="1">#REF!</definedName>
    <definedName name="BLPH271" hidden="1">#REF!</definedName>
    <definedName name="BLPH272" hidden="1">#REF!</definedName>
    <definedName name="BLPH273" hidden="1">#REF!</definedName>
    <definedName name="BLPH274" hidden="1">#REF!</definedName>
    <definedName name="BLPH275" hidden="1">#REF!</definedName>
    <definedName name="BLPH276" hidden="1">#REF!</definedName>
    <definedName name="BLPH277" hidden="1">#REF!</definedName>
    <definedName name="BLPH278" hidden="1">#REF!</definedName>
    <definedName name="BLPH279" hidden="1">#REF!</definedName>
    <definedName name="BLPH280" hidden="1">#REF!</definedName>
    <definedName name="BLPH281" hidden="1">#REF!</definedName>
    <definedName name="BLPH282" hidden="1">#REF!</definedName>
    <definedName name="BLPH283" hidden="1">#REF!</definedName>
    <definedName name="BLPH284" hidden="1">#REF!</definedName>
    <definedName name="BLPH285" hidden="1">#REF!</definedName>
    <definedName name="BLPH286" hidden="1">#REF!</definedName>
    <definedName name="BLPH287" hidden="1">#REF!</definedName>
    <definedName name="BLPH288" hidden="1">#REF!</definedName>
    <definedName name="BLPH289" hidden="1">#REF!</definedName>
    <definedName name="BLPH290" hidden="1">#REF!</definedName>
    <definedName name="BLPH291" hidden="1">#REF!</definedName>
    <definedName name="BLPH292" hidden="1">#REF!</definedName>
    <definedName name="BLPH293" hidden="1">#REF!</definedName>
    <definedName name="BLPH294" hidden="1">#REF!</definedName>
    <definedName name="BLPH295" hidden="1">#REF!</definedName>
    <definedName name="BLPH296" hidden="1">#REF!</definedName>
    <definedName name="BLPH297" hidden="1">#REF!</definedName>
    <definedName name="BLPH298" hidden="1">#REF!</definedName>
    <definedName name="BLPH299" hidden="1">#REF!</definedName>
    <definedName name="BLPH3" hidden="1">#REF!</definedName>
    <definedName name="BLPH300" hidden="1">#REF!</definedName>
    <definedName name="BLPH301" hidden="1">#REF!</definedName>
    <definedName name="BLPH302" hidden="1">#REF!</definedName>
    <definedName name="BLPH303" hidden="1">#REF!</definedName>
    <definedName name="BLPH304" hidden="1">#REF!</definedName>
    <definedName name="BLPH305" hidden="1">#REF!</definedName>
    <definedName name="BLPH306" hidden="1">#REF!</definedName>
    <definedName name="BLPH307" hidden="1">#REF!</definedName>
    <definedName name="BLPH308" hidden="1">#REF!</definedName>
    <definedName name="BLPH309" hidden="1">#REF!</definedName>
    <definedName name="BLPH310" hidden="1">#REF!</definedName>
    <definedName name="BLPH311" hidden="1">#REF!</definedName>
    <definedName name="BLPH312" hidden="1">#REF!</definedName>
    <definedName name="BLPH313" hidden="1">#REF!</definedName>
    <definedName name="BLPH314" hidden="1">#REF!</definedName>
    <definedName name="BLPH315" hidden="1">#REF!</definedName>
    <definedName name="BLPH316" hidden="1">#REF!</definedName>
    <definedName name="BLPH317" hidden="1">#REF!</definedName>
    <definedName name="BLPH318" hidden="1">#REF!</definedName>
    <definedName name="BLPH319" hidden="1">#REF!</definedName>
    <definedName name="BLPH320" hidden="1">#REF!</definedName>
    <definedName name="BLPH321" hidden="1">#REF!</definedName>
    <definedName name="BLPH322" hidden="1">#REF!</definedName>
    <definedName name="BLPH323" hidden="1">#REF!</definedName>
    <definedName name="BLPH324" hidden="1">#REF!</definedName>
    <definedName name="BLPH325" hidden="1">#REF!</definedName>
    <definedName name="BLPH326" hidden="1">#REF!</definedName>
    <definedName name="BLPH327" hidden="1">#REF!</definedName>
    <definedName name="BLPH328" hidden="1">#REF!</definedName>
    <definedName name="BLPH329" hidden="1">#REF!</definedName>
    <definedName name="BLPH330" hidden="1">#REF!</definedName>
    <definedName name="BLPH331" hidden="1">#REF!</definedName>
    <definedName name="BLPH332" hidden="1">#REF!</definedName>
    <definedName name="BLPH333" hidden="1">#REF!</definedName>
    <definedName name="BLPH334" hidden="1">#REF!</definedName>
    <definedName name="BLPH335" hidden="1">#REF!</definedName>
    <definedName name="BLPH336" hidden="1">#REF!</definedName>
    <definedName name="BLPH337" hidden="1">#REF!</definedName>
    <definedName name="BLPH338" hidden="1">#REF!</definedName>
    <definedName name="BLPH339" hidden="1">#REF!</definedName>
    <definedName name="BLPH340" hidden="1">#REF!</definedName>
    <definedName name="BLPH341" hidden="1">#REF!</definedName>
    <definedName name="BLPH342" hidden="1">#REF!</definedName>
    <definedName name="BLPH343" hidden="1">#REF!</definedName>
    <definedName name="BLPH344" hidden="1">#REF!</definedName>
    <definedName name="BLPH345" hidden="1">#REF!</definedName>
    <definedName name="BLPH346" hidden="1">#REF!</definedName>
    <definedName name="BLPH347" hidden="1">#REF!</definedName>
    <definedName name="BLPH348" hidden="1">#REF!</definedName>
    <definedName name="BLPH349" hidden="1">#REF!</definedName>
    <definedName name="BLPH35" hidden="1">#REF!</definedName>
    <definedName name="BLPH350" hidden="1">#REF!</definedName>
    <definedName name="BLPH351" hidden="1">#REF!</definedName>
    <definedName name="BLPH352" hidden="1">#REF!</definedName>
    <definedName name="BLPH353" hidden="1">#REF!</definedName>
    <definedName name="BLPH354" hidden="1">#REF!</definedName>
    <definedName name="BLPH355" hidden="1">#REF!</definedName>
    <definedName name="BLPH356" hidden="1">#REF!</definedName>
    <definedName name="BLPH357" hidden="1">#REF!</definedName>
    <definedName name="BLPH358" hidden="1">#REF!</definedName>
    <definedName name="BLPH359" hidden="1">#REF!</definedName>
    <definedName name="BLPH36" hidden="1">#REF!</definedName>
    <definedName name="BLPH360" hidden="1">#REF!</definedName>
    <definedName name="BLPH361" hidden="1">#REF!</definedName>
    <definedName name="BLPH362" hidden="1">#REF!</definedName>
    <definedName name="BLPH363" hidden="1">#REF!</definedName>
    <definedName name="BLPH364" hidden="1">#REF!</definedName>
    <definedName name="BLPH365" hidden="1">#REF!</definedName>
    <definedName name="BLPH366" hidden="1">#REF!</definedName>
    <definedName name="BLPH367" hidden="1">#REF!</definedName>
    <definedName name="BLPH368" hidden="1">#REF!</definedName>
    <definedName name="BLPH369" hidden="1">#REF!</definedName>
    <definedName name="BLPH370" hidden="1">#REF!</definedName>
    <definedName name="BLPH371" hidden="1">#REF!</definedName>
    <definedName name="BLPH372" hidden="1">#REF!</definedName>
    <definedName name="BLPH373" hidden="1">#REF!</definedName>
    <definedName name="BLPH374" hidden="1">#REF!</definedName>
    <definedName name="BLPH375" hidden="1">#REF!</definedName>
    <definedName name="BLPH376" hidden="1">#REF!</definedName>
    <definedName name="BLPH377" hidden="1">#REF!</definedName>
    <definedName name="BLPH378" hidden="1">#REF!</definedName>
    <definedName name="BLPH379" hidden="1">#REF!</definedName>
    <definedName name="BLPH380" hidden="1">#REF!</definedName>
    <definedName name="BLPH381" hidden="1">#REF!</definedName>
    <definedName name="BLPH382" hidden="1">#REF!</definedName>
    <definedName name="BLPH383" hidden="1">#REF!</definedName>
    <definedName name="BLPH384" hidden="1">#REF!</definedName>
    <definedName name="BLPH385" hidden="1">#REF!</definedName>
    <definedName name="BLPH386" hidden="1">#REF!</definedName>
    <definedName name="BLPH387" hidden="1">#REF!</definedName>
    <definedName name="BLPH388" hidden="1">#REF!</definedName>
    <definedName name="BLPH389" hidden="1">#REF!</definedName>
    <definedName name="BLPH390" hidden="1">#REF!</definedName>
    <definedName name="BLPH391" hidden="1">#REF!</definedName>
    <definedName name="BLPH392" hidden="1">#REF!</definedName>
    <definedName name="BLPH393" hidden="1">#REF!</definedName>
    <definedName name="BLPH394" hidden="1">#REF!</definedName>
    <definedName name="BLPH395" hidden="1">#REF!</definedName>
    <definedName name="BLPH396" hidden="1">#REF!</definedName>
    <definedName name="BLPH397" hidden="1">#REF!</definedName>
    <definedName name="BLPH398" hidden="1">#REF!</definedName>
    <definedName name="BLPH399" hidden="1">#REF!</definedName>
    <definedName name="BLPH4" hidden="1">#REF!</definedName>
    <definedName name="BLPH400" hidden="1">#REF!</definedName>
    <definedName name="BLPH401" hidden="1">#REF!</definedName>
    <definedName name="BLPH402" hidden="1">#REF!</definedName>
    <definedName name="BLPH403" hidden="1">#REF!</definedName>
    <definedName name="BLPH404" hidden="1">#REF!</definedName>
    <definedName name="BLPH405" hidden="1">#REF!</definedName>
    <definedName name="BLPH406" hidden="1">#REF!</definedName>
    <definedName name="BLPH407" hidden="1">#REF!</definedName>
    <definedName name="BLPH408" hidden="1">#REF!</definedName>
    <definedName name="BLPH409" hidden="1">#REF!</definedName>
    <definedName name="BLPH410" hidden="1">#REF!</definedName>
    <definedName name="BLPH411" hidden="1">#REF!</definedName>
    <definedName name="BLPH412" hidden="1">#REF!</definedName>
    <definedName name="BLPH413" hidden="1">#REF!</definedName>
    <definedName name="BLPH414" hidden="1">#REF!</definedName>
    <definedName name="BLPH415" hidden="1">#REF!</definedName>
    <definedName name="BLPH416" hidden="1">#REF!</definedName>
    <definedName name="BLPH417" hidden="1">#REF!</definedName>
    <definedName name="BLPH418" hidden="1">#REF!</definedName>
    <definedName name="BLPH419" hidden="1">#REF!</definedName>
    <definedName name="BLPH420" hidden="1">#REF!</definedName>
    <definedName name="BLPH421" hidden="1">#REF!</definedName>
    <definedName name="BLPH422" hidden="1">#REF!</definedName>
    <definedName name="BLPH423" hidden="1">#REF!</definedName>
    <definedName name="BLPH424" hidden="1">#REF!</definedName>
    <definedName name="BLPH425" hidden="1">#REF!</definedName>
    <definedName name="BLPH426" hidden="1">#REF!</definedName>
    <definedName name="BLPH427" hidden="1">#REF!</definedName>
    <definedName name="BLPH428" hidden="1">#REF!</definedName>
    <definedName name="BLPH429" hidden="1">#REF!</definedName>
    <definedName name="BLPH430" hidden="1">#REF!</definedName>
    <definedName name="BLPH431" hidden="1">#REF!</definedName>
    <definedName name="BLPH432" hidden="1">#REF!</definedName>
    <definedName name="BLPH433" hidden="1">#REF!</definedName>
    <definedName name="BLPH434" hidden="1">#REF!</definedName>
    <definedName name="BLPH435" hidden="1">#REF!</definedName>
    <definedName name="BLPH436" hidden="1">#REF!</definedName>
    <definedName name="BLPH437" hidden="1">#REF!</definedName>
    <definedName name="BLPH438" hidden="1">#REF!</definedName>
    <definedName name="BLPH439" hidden="1">#REF!</definedName>
    <definedName name="BLPH440" hidden="1">#REF!</definedName>
    <definedName name="BLPH441" hidden="1">#REF!</definedName>
    <definedName name="BLPH442" hidden="1">#REF!</definedName>
    <definedName name="BLPH443" hidden="1">#REF!</definedName>
    <definedName name="BLPH444" hidden="1">#REF!</definedName>
    <definedName name="BLPH445" hidden="1">#REF!</definedName>
    <definedName name="BLPH446" hidden="1">#REF!</definedName>
    <definedName name="BLPH447" hidden="1">#REF!</definedName>
    <definedName name="BLPH448" hidden="1">#REF!</definedName>
    <definedName name="BLPH459" hidden="1">#REF!</definedName>
    <definedName name="BLPH460" hidden="1">#REF!</definedName>
    <definedName name="BLPH461" hidden="1">#REF!</definedName>
    <definedName name="BLPH462" hidden="1">#REF!</definedName>
    <definedName name="BLPH463" hidden="1">#REF!</definedName>
    <definedName name="BLPH464" hidden="1">#REF!</definedName>
    <definedName name="BLPH465" hidden="1">#REF!</definedName>
    <definedName name="BLPH466" hidden="1">#REF!</definedName>
    <definedName name="BLPH467" hidden="1">#REF!</definedName>
    <definedName name="BLPH468" hidden="1">#REF!</definedName>
    <definedName name="BLPH469" hidden="1">#REF!</definedName>
    <definedName name="BLPH470" hidden="1">#REF!</definedName>
    <definedName name="BLPH471" hidden="1">#REF!</definedName>
    <definedName name="BLPH472" hidden="1">#REF!</definedName>
    <definedName name="BLPH473" hidden="1">#REF!</definedName>
    <definedName name="BLPH474" hidden="1">#REF!</definedName>
    <definedName name="BLPH475" hidden="1">#REF!</definedName>
    <definedName name="BLPH476" hidden="1">#REF!</definedName>
    <definedName name="BLPH477" hidden="1">#REF!</definedName>
    <definedName name="BLPH478" hidden="1">#REF!</definedName>
    <definedName name="BLPH479" hidden="1">#REF!</definedName>
    <definedName name="BLPH480" hidden="1">#REF!</definedName>
    <definedName name="BLPH481" hidden="1">#REF!</definedName>
    <definedName name="BLPH482" hidden="1">#REF!</definedName>
    <definedName name="BLPH483" hidden="1">#REF!</definedName>
    <definedName name="BLPH484" hidden="1">#REF!</definedName>
    <definedName name="BLPH485" hidden="1">#REF!</definedName>
    <definedName name="BLPH486" hidden="1">#REF!</definedName>
    <definedName name="BLPH487" hidden="1">#REF!</definedName>
    <definedName name="BLPH488" hidden="1">#REF!</definedName>
    <definedName name="BLPH489" hidden="1">#REF!</definedName>
    <definedName name="BLPH490" hidden="1">#REF!</definedName>
    <definedName name="BLPH491" hidden="1">#REF!</definedName>
    <definedName name="BLPH492" hidden="1">#REF!</definedName>
    <definedName name="BLPH493" hidden="1">#REF!</definedName>
    <definedName name="BLPH494" hidden="1">#REF!</definedName>
    <definedName name="BLPH495" hidden="1">#REF!</definedName>
    <definedName name="BLPH496" hidden="1">#REF!</definedName>
    <definedName name="BLPH497" hidden="1">#REF!</definedName>
    <definedName name="BLPH498" hidden="1">#REF!</definedName>
    <definedName name="BLPH499" hidden="1">#REF!</definedName>
    <definedName name="BLPH50" hidden="1">#REF!</definedName>
    <definedName name="BLPH51" hidden="1">#REF!</definedName>
    <definedName name="BLPH6" hidden="1">#REF!</definedName>
    <definedName name="BLUE" hidden="1">{#N/A,#N/A,FALSE,"Barranca"}</definedName>
    <definedName name="BLUE1" hidden="1">{#N/A,#N/A,FALSE,"Total";#N/A,#N/A,FALSE,"Sew";#N/A,#N/A,FALSE,"Finish";#N/A,#N/A,FALSE,"CUT";#N/A,#N/A,FALSE,"Mill 5";#N/A,#N/A,FALSE,"Mill 6";#N/A,#N/A,FALSE,"Mill 8";#N/A,#N/A,FALSE,"Mill 9";#N/A,#N/A,FALSE,"Mill 10";#N/A,#N/A,FALSE,"Mill 12";#N/A,#N/A,FALSE,"Mill 15";#N/A,#N/A,FALSE,"Mill 17"}</definedName>
    <definedName name="BM" hidden="1">{"EBITDA",#N/A,TRUE,"P&amp;L Net of Disc Ops";"output net of disc ops",#N/A,TRUE,"Revenue";"input",#N/A,TRUE,"Revenue";"output",#N/A,TRUE,"DC";"Input",#N/A,TRUE,"DC";"MTN and MCN",#N/A,TRUE,"Margin";"output detail line items",#N/A,TRUE,"SGA";"personnel by year",#N/A,TRUE,"Payroll";#N/A,#N/A,TRUE,"CapEx"}</definedName>
    <definedName name="BNE_MESSAGES_HIDDEN" hidden="1">#REF!</definedName>
    <definedName name="bnm" hidden="1">{#N/A,#N/A,FALSE,"REPORT"}</definedName>
    <definedName name="bnnn" hidden="1">{"consolidated",#N/A,FALSE,"Sheet1";"cms",#N/A,FALSE,"Sheet1";"fse",#N/A,FALSE,"Sheet1"}</definedName>
    <definedName name="Bracket_0">#REF!</definedName>
    <definedName name="Bracket_1">#REF!</definedName>
    <definedName name="Bracket_2">#REF!</definedName>
    <definedName name="Bracket_3">#REF!</definedName>
    <definedName name="Bracket_4">#REF!</definedName>
    <definedName name="Bracket_5">#REF!</definedName>
    <definedName name="Bracket_6">#REF!</definedName>
    <definedName name="Bracket_7">#REF!</definedName>
    <definedName name="Bracket_8">#REF!</definedName>
    <definedName name="Brightline" hidden="1">{"Curr Month",#N/A,FALSE,"Curr Mo";"Total West",#N/A,FALSE,"Curr Mo";"YTD",#N/A,FALSE,"Curr Mo";"12 Months",#N/A,FALSE,"Curr Mo";"13 Months",#N/A,FALSE,"Curr Mo";"14 Months",#N/A,FALSE,"Curr Mo";"15 Months",#N/A,FALSE,"Curr Mo";"43 Months",#N/A,FALSE,"Curr Mo";"45 Months",#N/A,FALSE,"Curr Mo";"63 Months",#N/A,FALSE,"Curr Mo"}</definedName>
    <definedName name="Briteline" hidden="1">{"Curr Month",#N/A,FALSE,"Curr Mo";"Total West",#N/A,FALSE,"Curr Mo";"YTD",#N/A,FALSE,"Curr Mo";"12 Months",#N/A,FALSE,"Curr Mo";"13 Months",#N/A,FALSE,"Curr Mo";"14 Months",#N/A,FALSE,"Curr Mo";"15 Months",#N/A,FALSE,"Curr Mo";"43 Months",#N/A,FALSE,"Curr Mo";"45 Months",#N/A,FALSE,"Curr Mo";"63 Months",#N/A,FALSE,"Curr Mo"}</definedName>
    <definedName name="briteline___" hidden="1">{"Curr Month",#N/A,FALSE,"Curr Mo";"Total West",#N/A,FALSE,"Curr Mo";"YTD",#N/A,FALSE,"Curr Mo";"12 Months",#N/A,FALSE,"Curr Mo";"13 Months",#N/A,FALSE,"Curr Mo";"14 Months",#N/A,FALSE,"Curr Mo";"15 Months",#N/A,FALSE,"Curr Mo";"43 Months",#N/A,FALSE,"Curr Mo";"45 Months",#N/A,FALSE,"Curr Mo";"63 Months",#N/A,FALSE,"Curr Mo"}</definedName>
    <definedName name="BROKEN_LINK" hidden="1">42122.5559837963</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S">#REF!</definedName>
    <definedName name="BSDate">#REF!</definedName>
    <definedName name="BSSSS" hidden="1">#REF!</definedName>
    <definedName name="budget1" hidden="1">{"Overview",#N/A,TRUE,"Overview";"New Gen",#N/A,TRUE,"New Gen";"cap-ex",#N/A,TRUE,"Consol cap-ex";"cap-ex",#N/A,TRUE,"APC cap-ex";"cap-ex",#N/A,TRUE,"GPC cap-ex";"cap-ex",#N/A,TRUE,"GUL cap-ex";"cap-ex",#N/A,TRUE,"MPC cap-ex";"cap-ex",#N/A,TRUE,"SAV cap-ex";"cap-ex",#N/A,TRUE,"SEGCO cap-ex";"cap-ex",#N/A,TRUE,"SWE cap-ex"}</definedName>
    <definedName name="BudgetSumm" hidden="1">{#N/A,#N/A,FALSE,"Cashflow Analysis";#N/A,#N/A,FALSE,"Sensitivity Analysis";#N/A,#N/A,FALSE,"PV";#N/A,#N/A,FALSE,"Pro Forma"}</definedName>
    <definedName name="BudgetSumm.2" hidden="1">{#N/A,#N/A,FALSE,"Cashflow Analysis";#N/A,#N/A,FALSE,"Sensitivity Analysis";#N/A,#N/A,FALSE,"PV";#N/A,#N/A,FALSE,"Pro Forma"}</definedName>
    <definedName name="c.LTMYear" hidden="1">#REF!</definedName>
    <definedName name="cade" hidden="1">{"FCB_ALL",#N/A,FALSE,"FCB"}</definedName>
    <definedName name="cads" hidden="1">{"FCB_ALL",#N/A,FALSE,"FCB"}</definedName>
    <definedName name="cadsf" hidden="1">{"FCB_ALL",#N/A,FALSE,"FCB"}</definedName>
    <definedName name="caega" hidden="1">{"FCB_ALL",#N/A,FALSE,"FCB"}</definedName>
    <definedName name="caer" hidden="1">{"FCB_ALL",#N/A,FALSE,"FCB"}</definedName>
    <definedName name="cagare" hidden="1">{"FCB_ALL",#N/A,FALSE,"FCB"}</definedName>
    <definedName name="cancel" hidden="1">{"PARTNERS CAPITAL STMT",#N/A,FALSE,"Partners Capital"}</definedName>
    <definedName name="cancel2" hidden="1">{"PNLProjDL",#N/A,FALSE,"PROJCO";"PNLParDL",#N/A,FALSE,"Parent"}</definedName>
    <definedName name="cancel3" hidden="1">{"Summary",#N/A,FALSE,"MICMULT";"Income Statement",#N/A,FALSE,"MICMULT";"Cash Flows",#N/A,FALSE,"MICMULT"}</definedName>
    <definedName name="cap.pos"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apacity" hidden="1">{#N/A,#N/A,FALSE,"IPO";#N/A,#N/A,FALSE,"DCF";#N/A,#N/A,FALSE,"LBO";#N/A,#N/A,FALSE,"MULT_VAL";#N/A,#N/A,FALSE,"Status Quo";#N/A,#N/A,FALSE,"Recap"}</definedName>
    <definedName name="CapCase">#REF!</definedName>
    <definedName name="CapContCurr">#REF!</definedName>
    <definedName name="CapContPrior">#REF!</definedName>
    <definedName name="CapIQ_Broken_Link2" hidden="1">42122.5559837963</definedName>
    <definedName name="Case">#REF!</definedName>
    <definedName name="cash">#REF!</definedName>
    <definedName name="CASH_PRICE">#REF!</definedName>
    <definedName name="cash2">#REF!</definedName>
    <definedName name="CashBeg">#REF!</definedName>
    <definedName name="CashEnd">#REF!</definedName>
    <definedName name="cavde" hidden="1">{"FCB_ALL",#N/A,FALSE,"FCB"}</definedName>
    <definedName name="cb_Add_CalloutChart_24_opts" hidden="1">"1, 9, 1, False, 2, False, False, , 0, False, False, 1, 1"</definedName>
    <definedName name="cb_Add_CalloutChart_25_opts" hidden="1">"1, 10, 1, False, 2, False, False, , 0, False, True, 1, 1"</definedName>
    <definedName name="cb_Add_CalloutChart_26_opts" hidden="1">"1, 9, 1, False, 2, False, False, , 0, False, True, 1, 1"</definedName>
    <definedName name="cb_ALT_STACKED_COLUMNChart_22_opts" hidden="1">"1, 3, 1, False, 2, True, False, , 0, False, True, 1, 2"</definedName>
    <definedName name="cb_ALT_STACKED_COLUMNChart_23_opts" hidden="1">"1, 3, 1, False, 2, True, False, , 0, False, True, 1, 2"</definedName>
    <definedName name="cb_bChart595EC34_opts" hidden="1">"1, 9, 1, False, 2, False, False, , 0, False, True, 1, 1"</definedName>
    <definedName name="cb_bChart9876793_opts" hidden="1">"1, 2, 1, False, 2, False, False, , 0, False, False, 2, 2"</definedName>
    <definedName name="cb_Chart_1_opts" hidden="1">"1, 6, 1, False, 2, False, False, , 0, False, True, 1, 2"</definedName>
    <definedName name="cb_Chart_10_opts" hidden="1">"1, 8, 1, False, 2, False, False, , 0, False, False, 2, 2"</definedName>
    <definedName name="cb_Chart_100032_opts" hidden="1">"1, 10, 1, False, 2, True, False, , 0, False, False, 2, 2"</definedName>
    <definedName name="cb_Chart_10104_opts" hidden="1">"1, 5, 1, False, 2, True, False, , 0, True, False, 2, 1"</definedName>
    <definedName name="cb_Chart_10401_opts" hidden="1">"1, 5, 1, False, 2, False, False, , 0, True, False, 2, 1"</definedName>
    <definedName name="cb_Chart_10736_opts" hidden="1">"1, 10, 1, False, 2, False, False, , 0, False, False, 2, 2"</definedName>
    <definedName name="cb_Chart_11_opts" hidden="1">"1, 1, 1, False, 2, False, False, , 0, False, False, 2, 2"</definedName>
    <definedName name="cb_Chart_12_opts" hidden="1">"1, 8, 1, False, 2, False, False, , 0, False, False, 2, 2"</definedName>
    <definedName name="cb_Chart_13_opts" hidden="1">"1, 8, 1, False, 2, False, False, , 0, False, False, 2, 2"</definedName>
    <definedName name="cb_Chart_14_opts" hidden="1">"1, 8, 1, False, 2, False, False, , 0, False, False, 2, 2"</definedName>
    <definedName name="cb_Chart_15_opts" hidden="1">"2, 1, 2, True, 2, False, False, , 0, False, True, 1, 2"</definedName>
    <definedName name="cb_Chart_1501_opts" hidden="1">"1, 10, 1, False, 2, True, False, , 0, False, False, 2, 2"</definedName>
    <definedName name="cb_Chart_16_opts" hidden="1">"1, 8, 1, False, 2, False, False, , 0, False, False, 2, 2"</definedName>
    <definedName name="cb_Chart_1670_opts" hidden="1">"1, 5, 1, False, 2, True, False, , 0, False, False, 2, 1"</definedName>
    <definedName name="cb_Chart_17_opts" hidden="1">"1, 6, 1, False, 2, False, False, , 0, False, True, 2, 2"</definedName>
    <definedName name="cb_Chart_18_opts" hidden="1">"1, 9, 1, False, 2, False, False, , 0, False, False, 1, 1"</definedName>
    <definedName name="cb_Chart_19_opts" hidden="1">"1, 2, 1, False, 2, True, False, , 0, True, False, 2, 1"</definedName>
    <definedName name="cb_Chart_1opts1" hidden="1">"1, 9, 1, False, 2, False, True, , 1, False, True, 1, 1"</definedName>
    <definedName name="cb_Chart_2_opts" hidden="1">"1, 6, 1, False, 2, False, False, , 0, False, False, 1, 2"</definedName>
    <definedName name="cb_Chart_20_opts" hidden="1">"1, 9, 1, False, 2, False, False, , 0, False, False, 1, 1"</definedName>
    <definedName name="cb_Chart_21_opts" hidden="1">"1, 2, 1, False, 2, False, False, , 0, False, False, 2, 1"</definedName>
    <definedName name="cb_Chart_22_opts" hidden="1">"1, 2, 1, False, 2, True, False, , 0, False, False, 2, 1"</definedName>
    <definedName name="cb_Chart_22784_opts" hidden="1">"1, 9, 1, False, 2, False, False, , 0, False, True, 1, 2"</definedName>
    <definedName name="cb_Chart_23_opts" hidden="1">"1, 9, 1, False, 2, False, False, , 0, False, False, 1, 1"</definedName>
    <definedName name="cb_Chart_24_opts" hidden="1">"1, 2, 1, False, 2, False, False, , 0, False, False, 2, 1"</definedName>
    <definedName name="cb_Chart_24490_opts" hidden="1">"1, 10, 1, False, 2, True, False, , 0, False, False, 2, 2"</definedName>
    <definedName name="cb_Chart_25_opts" hidden="1">"1, 3, 1, False, 2, False, False, , 0, True, True, 1, 2"</definedName>
    <definedName name="cb_Chart_26_opts" hidden="1">"1, 8, 1, False, 2, False, False, , 0, False, False, 2, 2"</definedName>
    <definedName name="cb_Chart_26476_opts" hidden="1">"1, 1, 1, False, 2, True, False, , 0, False, False, 1, 2"</definedName>
    <definedName name="cb_Chart_27_opts" hidden="1">"1, 1, 1, False, 2, True, False, , 0, False, True, 1, 2"</definedName>
    <definedName name="cb_Chart_28_opts" hidden="1">"1, 3, 1, False, 2, True, False, , 0, False, True, 1, 2"</definedName>
    <definedName name="cb_Chart_28031_opts" hidden="1">"1, 1, 1, False, 2, True, False, , 0, False, False, 1, 2"</definedName>
    <definedName name="cb_Chart_28545_opts" hidden="1">"1, 5, 1, False, 2, True, False, , 0, False, True, 2, 1"</definedName>
    <definedName name="cb_Chart_29_opts" hidden="1">"1, 3, 1, False, 2, False, False, , 0, False, False, 1, 1"</definedName>
    <definedName name="cb_Chart_29053_opts" hidden="1">"1, 10, 1, False, 2, True, False, , 0, False, False, 2, 2"</definedName>
    <definedName name="cb_Chart_29913_opts" hidden="1">"1, 1, 1, False, 2, False, False, , 0, False, False, 1, 1"</definedName>
    <definedName name="cb_Chart_3_opts" hidden="1">"1, 1, 1, False, 2, True, False, , 0, False, False, 2, 2"</definedName>
    <definedName name="cb_Chart_30_opts" hidden="1">"1, 3, 1, False, 2, True, False, , 0, False, True, 1, 2"</definedName>
    <definedName name="cb_Chart_30292_opts" hidden="1">"1, 1, 1, False, 2, False, False, , 0, False, False, 1, 2"</definedName>
    <definedName name="cb_Chart_31_opts" hidden="1">"1, 1, 1, False, 2, True, False, , 0, True, True, 2, 2"</definedName>
    <definedName name="cb_Chart_32_opts" hidden="1">"1, 1, 1, False, 2, True, False, , 0, False, False, 2, 2"</definedName>
    <definedName name="cb_Chart_33_opts" hidden="1">"1, 1, 1, False, 2, True, False, , 0, False, True, 3, 2"</definedName>
    <definedName name="cb_Chart_34_opts" hidden="1">"1, 3, 1, False, 2, True, False, , 0, False, True, 2, 1"</definedName>
    <definedName name="cb_Chart_36498_opts" hidden="1">"1, 1, 1, False, 2, True, False, , 0, False, False, 1, 2"</definedName>
    <definedName name="cb_Chart_37450_opts" hidden="1">"1, 10, 1, False, 2, True, False, , 0, False, False, 2, 2"</definedName>
    <definedName name="cb_Chart_4_opts" hidden="1">"1, 7, 1, False, 2, False, False, , 0, False, True, 1, 2"</definedName>
    <definedName name="cb_Chart_40_opts" hidden="1">"1, 1, 1, False, 2, False, False, , 0, False, False, 3, 2"</definedName>
    <definedName name="cb_Chart_41_opts" hidden="1">"1, 10, 1, False, 2, True, False, , 0, False, False, 2, 1"</definedName>
    <definedName name="cb_Chart_41499_opts" hidden="1">"1, 10, 1, False, 2, True, False, , 0, False, False, 2, 2"</definedName>
    <definedName name="cb_Chart_42_opts" hidden="1">"1, 3, 1, False, 2, True, False, , 0, False, True, 1, 2"</definedName>
    <definedName name="cb_Chart_43_opts" hidden="1">"1, 10, 1, False, 2, True, False, , 0, False, False, 2, 1"</definedName>
    <definedName name="cb_Chart_4634_opts" hidden="1">"1, 10, 1, False, 2, True, False, , 0, False, False, 2, 2"</definedName>
    <definedName name="cb_Chart_4664_opts" hidden="1">"1, 5, 1, False, 2, True, False, , 0, False, True, 1, 2"</definedName>
    <definedName name="cb_Chart_46965_opts" hidden="1">"1, 1, 1, False, 2, False, False, , 0, False, False, 1, 1"</definedName>
    <definedName name="cb_Chart_48_opts" hidden="1">"2, 1, 2, True, 2, False, False, , 0, False, True, 1, 1"</definedName>
    <definedName name="cb_Chart_49_opts" hidden="1">"2, 1, 2, True, 2, False, False, , 0, False, True, 1, 1"</definedName>
    <definedName name="cb_Chart_5_opts" hidden="1">"1, 8, 1, False, 2, False, False, , 0, False, False, 1, 2"</definedName>
    <definedName name="cb_Chart_50_opts" hidden="1">"2, 1, 2, True, 2, False, False, , 0, False, True, 1, 1"</definedName>
    <definedName name="cb_Chart_51_opts" hidden="1">"1, 2, 1, False, 2, False, False, , 0, False, False, 2, 1"</definedName>
    <definedName name="cb_Chart_52_opts" hidden="1">"1, 2, 1, False, 2, False, False, , 0, False, False, 2, 1"</definedName>
    <definedName name="cb_Chart_52582_opts" hidden="1">"1, 1, 1, False, 2, False, False, , 0, False, False, 1, 2"</definedName>
    <definedName name="cb_Chart_53_opts" hidden="1">"1, 9, 1, False, 2, False, True, , 3, False, False, 1, 1"</definedName>
    <definedName name="cb_Chart_53437_opts" hidden="1">"1, 10, 1, False, 2, True, False, , 0, False, False, 2, 2"</definedName>
    <definedName name="cb_Chart_53482_opts" hidden="1">"1, 10, 1, False, 2, True, False, , 0, False, False, 2, 2"</definedName>
    <definedName name="cb_Chart_54_opts" hidden="1">"1, 2, 1, False, 2, False, False, , 0, False, False, 2, 1"</definedName>
    <definedName name="cb_Chart_5449_opts" hidden="1">"1, 1, 1, False, 2, False, False, , 0, False, False, 1, 1"</definedName>
    <definedName name="cb_Chart_55_opts" hidden="1">"1, 7, 1, False, 2, False, False, , 0, False, True, 2, 2"</definedName>
    <definedName name="cb_Chart_5723_opts" hidden="1">"1, 1, 1, False, 2, True, False, , 0, False, True, 1, 2"</definedName>
    <definedName name="cb_Chart_57613_opts" hidden="1">"1, 5, 1, False, 2, True, False, , 0, False, True, 2, 1"</definedName>
    <definedName name="cb_Chart_58046_opts" hidden="1">"1, 10, 1, False, 2, True, False, , 0, False, False, 2, 2"</definedName>
    <definedName name="cb_Chart_59010_opts" hidden="1">"1, 2, 1, False, 2, False, False, , 0, False, False, 2, 1"</definedName>
    <definedName name="cb_Chart_59340_opts" hidden="1">"1, 1, 1, False, 2, False, False, , 0, False, False, 1, 1"</definedName>
    <definedName name="cb_Chart_6_opts" hidden="1">"1, 10, 1, False, 2, True, False, , 0, False, False, 2, 2"</definedName>
    <definedName name="cb_Chart_62364_opts" hidden="1">"1, 1, 1, False, 2, True, False, , 0, False, False, 1, 2"</definedName>
    <definedName name="cb_Chart_64876_opts" hidden="1">"1, 1, 1, False, 2, True, False, , 0, False, False, 1, 2"</definedName>
    <definedName name="cb_Chart_66_opts" hidden="1">"1, 1, 1, False, 2, False, False, , 0, False, False, 1, 1"</definedName>
    <definedName name="cb_Chart_67711_opts" hidden="1">"1, 10, 1, False, 2, True, False, , 0, False, False, 2, 2"</definedName>
    <definedName name="cb_Chart_69605_opts" hidden="1">"1, 2, 1, False, 2, False, False, , 0, False, False, 2, 1"</definedName>
    <definedName name="cb_Chart_7_opts" hidden="1">"2, 1, 2, True, 2, False, False, , 0, False, True, 1, 2"</definedName>
    <definedName name="cb_Chart_70_opts" hidden="1">"1, 10, 1, False, 2, True, False, , 0, False, False, 1, 1"</definedName>
    <definedName name="cb_Chart_70648_opts" hidden="1">"1, 1, 1, False, 2, True, False, , 0, False, False, 2, 2"</definedName>
    <definedName name="cb_Chart_70997_opts" hidden="1">"1, 10, 1, False, 2, False, False, , 0, False, False, 1, 1"</definedName>
    <definedName name="cb_Chart_71_opts" hidden="1">"1, 10, 1, False, 2, False, False, , 0, False, False, 1, 1"</definedName>
    <definedName name="cb_Chart_72_opts" hidden="1">"1, 10, 1, False, 2, True, False, , 0, False, False, 1, 1"</definedName>
    <definedName name="cb_Chart_73_opts" hidden="1">"1, 10, 1, False, 2, False, False, , 0, False, False, 1, 1"</definedName>
    <definedName name="cb_Chart_76165_opts" hidden="1">"1, 10, 1, False, 2, True, False, , 0, False, False, 2, 2"</definedName>
    <definedName name="cb_Chart_76804_opts" hidden="1">"1, 1, 1, False, 2, False, False, , 0, False, False, 1, 1"</definedName>
    <definedName name="cb_Chart_77567_opts" hidden="1">"1, 10, 1, False, 2, False, False, , 0, False, False, 1, 1"</definedName>
    <definedName name="cb_Chart_79140_opts" hidden="1">"1, 10, 1, False, 2, True, False, , 0, False, False, 2, 2"</definedName>
    <definedName name="cb_Chart_79981_opts" hidden="1">"1, 5, 1, False, 2, True, False, , 0, True, False, 2, 1"</definedName>
    <definedName name="cb_Chart_8_opts" hidden="1">"1, 7, 1, False, 2, False, False, , 0, False, True, 2, 2"</definedName>
    <definedName name="cb_Chart_81541_opts" hidden="1">"1, 10, 1, False, 2, True, False, , 0, False, False, 2, 2"</definedName>
    <definedName name="cb_Chart_82552_opts" hidden="1">"1, 1, 1, False, 2, True, False, , 0, False, False, 1, 2"</definedName>
    <definedName name="cb_Chart_83072_opts" hidden="1">"1, 1, 1, False, 2, True, False, , 0, False, False, 1, 2"</definedName>
    <definedName name="cb_Chart_86354_opts" hidden="1">"1, 10, 1, False, 2, False, False, , 0, False, False, 1, 1"</definedName>
    <definedName name="cb_Chart_87236_opts" hidden="1">"1, 1, 1, False, 2, True, False, , 0, False, False, 1, 2"</definedName>
    <definedName name="cb_Chart_9_opts" hidden="1">"1, 8, 1, False, 2, False, False, , 0, False, False, 1, 1"</definedName>
    <definedName name="cb_Chart_91188_opts" hidden="1">"1, 8, 1, False, 2, False, False, , 0, False, False, 1, 2"</definedName>
    <definedName name="cb_Chart_95047_opts" hidden="1">"1, 1, 1, False, 2, False, False, , 0, False, False, 1, 2"</definedName>
    <definedName name="cb_Chart_96286_opts" hidden="1">"1, 10, 1, False, 2, True, False, , 0, False, False, 2, 2"</definedName>
    <definedName name="cb_Chart_98091_opts" hidden="1">"1, 2, 1, False, 2, False, False, , 0, False, False, 2, 1"</definedName>
    <definedName name="cb_Chart_98700_opts" hidden="1">"1, 8, 1, False, 2, False, False, , 0, False, False, 1, 2"</definedName>
    <definedName name="cb_Copy_Chart_w_New_DataChart_10_opts" hidden="1">"2, 1, 1, True, 4, False, False, , 0, False, False, 2, 2"</definedName>
    <definedName name="cb_Copy_Chart_w_New_DataChart_7_opts" hidden="1">"2, 1, 1, True, 4, False, False, , 0, False, False, 2, 2"</definedName>
    <definedName name="cb_Copy_Chart_w_New_DataChart_8_opts" hidden="1">"2, 1, 1, True, 4, False, False, , 0, False, False, 2, 2"</definedName>
    <definedName name="cb_Copy_Chart_w_New_DataChart_9_opts" hidden="1">"2, 1, 1, True, 4, False, False, , 0, False, False, 2, 2"</definedName>
    <definedName name="cb_Dimension_Pie_ChartsChart_1_opts" hidden="1">"1, 1, 1, False, 2, True, False, , 0, False, False, 2, 2"</definedName>
    <definedName name="cb_Dimension_Pie_ChartsChart_2_opts" hidden="1">"1, 10, 1, False, 2, True, False, , 0, False, False, 2, 2"</definedName>
    <definedName name="cb_Export_LegendChart_14_opts" hidden="1">"1, 10, 1, False, 2, True, False, , 0, False, False, 2, 2"</definedName>
    <definedName name="cb_Export_LegendChart_15_opts" hidden="1">"1, 10, 1, False, 2, True, False, , 0, False, False, 2, 2"</definedName>
    <definedName name="cb_PieChart_16_opts" hidden="1">"1, 10, 1, False, 2, True, False, , 0, False, False, 2, 2"</definedName>
    <definedName name="cb_sChart_1501_opts" hidden="1">"1, 1, 1, False, 2, True, False, , 0, False, False, 1, 2"</definedName>
    <definedName name="cb_sChart_26476_opts" hidden="1">"1, 4, 1, False, 2, True, False, , 0, False, False, 1, 2"</definedName>
    <definedName name="cb_sChart_28031_opts" hidden="1">"1, 4, 1, False, 2, True, False, , 0, False, False, 1, 1"</definedName>
    <definedName name="cb_sChart_29053_opts" hidden="1">"1, 2, 1, False, 2, False, False, , 0, False, False, 2, 1"</definedName>
    <definedName name="cb_sChart_29913_opts" hidden="1">"1, 3, 1, False, 2, False, False, , 0, False, True, 2, 2"</definedName>
    <definedName name="cb_sChart_30292_opts" hidden="1">"1, 1, 1, False, 2, True, False, , 0, False, False, 1, 2"</definedName>
    <definedName name="cb_sChart_36498_opts" hidden="1">"1, 3, 1, False, 2, False, False, , 0, False, False, 1, 2"</definedName>
    <definedName name="cb_sChart_37450_opts" hidden="1">"1, 5, 1, False, 2, True, False, , 0, False, True, 2, 1"</definedName>
    <definedName name="cb_sChart_41499_opts" hidden="1">"1, 2, 1, False, 2, False, False, , 0, False, False, 2, 1"</definedName>
    <definedName name="cb_sChart_4634_opts" hidden="1">"1, 2, 1, False, 2, False, False, , 0, False, False, 2, 1"</definedName>
    <definedName name="cb_sChart_46965_opts" hidden="1">"1, 1, 1, False, 2, False, False, , 0, False, False, 1, 1"</definedName>
    <definedName name="cb_sChart_52582_opts" hidden="1">"1, 5, 1, False, 2, False, False, , 0, False, True, 1, 2"</definedName>
    <definedName name="cb_sChart_53437_opts" hidden="1">"1, 9, 1, False, 2, False, False, , 0, False, True, 2, 2"</definedName>
    <definedName name="cb_sChart_5449_opts" hidden="1">"1, 3, 1, False, 2, False, False, , 0, False, True, 2, 2"</definedName>
    <definedName name="cb_sChart_5723_opts" hidden="1">"1, 3, 1, False, 2, False, False, , 0, False, True, 2, 2"</definedName>
    <definedName name="cb_sChart_58046_opts" hidden="1">"1, 9, 1, False, 2, False, False, , 0, False, True, 2, 2"</definedName>
    <definedName name="cb_sChart_59010_opts" hidden="1">"1, 5, 1, False, 2, True, False, , 0, False, False, 2, 1"</definedName>
    <definedName name="cb_sChart_59340_opts" hidden="1">"1, 3, 1, False, 2, False, False, , 0, False, True, 2, 2"</definedName>
    <definedName name="cb_sChart_62364_opts" hidden="1">"1, 3, 1, False, 2, False, False, , 0, False, True, 2, 2"</definedName>
    <definedName name="cb_sChart_64876_opts" hidden="1">"1, 5, 1, False, 2, True, False, , 0, False, False, 2, 2"</definedName>
    <definedName name="cb_sChart_70648_opts" hidden="1">"1, 8, 1, False, 2, False, False, , 0, False, False, 2, 2"</definedName>
    <definedName name="cb_sChart_70997_opts" hidden="1">"1, 2, 1, False, 2, False, False, , 0, False, False, 2, 1"</definedName>
    <definedName name="cb_sChart_76165_opts" hidden="1">"1, 2, 1, False, 2, False, False, , 0, False, False, 2, 1"</definedName>
    <definedName name="cb_sChart_76804_opts" hidden="1">"1, 3, 1, False, 2, False, False, , 0, False, True, 2, 2"</definedName>
    <definedName name="cb_sChart_77567_opts" hidden="1">"1, 1, 1, False, 2, True, False, , 0, False, False, 1, 2"</definedName>
    <definedName name="cb_sChart_79140_opts" hidden="1">"1, 5, 1, False, 2, False, False, , 0, False, True, 2, 1"</definedName>
    <definedName name="cb_sChart_81541_opts" hidden="1">"1, 2, 1, False, 2, False, False, , 0, False, False, 2, 1"</definedName>
    <definedName name="cb_sChart_82552_opts" hidden="1">"1, 4, 1, False, 2, True, False, , 0, False, False, 2, 1"</definedName>
    <definedName name="cb_sChart_83072_opts" hidden="1">"1, 4, 1, False, 2, True, False, , 0, False, False, 2, 1"</definedName>
    <definedName name="cb_sChart_86354_opts" hidden="1">"1, 4, 1, False, 2, True, False, , 0, False, False, 1, 1"</definedName>
    <definedName name="cb_sChart_87236_opts" hidden="1">"1, 1, 1, False, 2, False, False, , 0, False, False, 1, 1"</definedName>
    <definedName name="cb_sChart_95047_opts" hidden="1">"1, 6, 1, False, 2, False, False, , 0, False, True, 2, 2"</definedName>
    <definedName name="cb_sChart_96286_opts" hidden="1">"1, 2, 1, False, 2, False, False, , 0, False, False, 2, 1"</definedName>
    <definedName name="cb_sChart105F0196_opts" hidden="1">"1, 2, 1, False, 2, False, False, , 1, False, False, 2, 1"</definedName>
    <definedName name="cb_sChart12595BBC_opts" hidden="1">"1, 1, 1, False, 2, True, False, , 0, False, False, 2, 2"</definedName>
    <definedName name="cb_sChart12595E44_opts" hidden="1">"1, 3, 1, False, 2, True, False, , 0, True, False, 2, 2"</definedName>
    <definedName name="cb_sChart12D83A2_opts" hidden="1">"1, 1, 1, False, 2, False, False, , 0, False, True, 2, 2"</definedName>
    <definedName name="cb_sChart12D852C_opts" hidden="1">"1, 1, 1, False, 2, False, False, , 0, False, True, 2, 2"</definedName>
    <definedName name="cb_sChart12D89EB_opts" hidden="1">"1, 1, 1, False, 2, False, False, , 0, False, True, 2, 2"</definedName>
    <definedName name="cb_sChart12DAD51_opts" hidden="1">"1, 1, 1, False, 2, False, False, , 0, False, True, 2, 2"</definedName>
    <definedName name="cb_sChart12E7B7B_opts" hidden="1">"1, 1, 1, False, 2, True, False, , 0, False, True, 2, 2"</definedName>
    <definedName name="cb_sChart12E83C1_opts" hidden="1">"1, 1, 1, False, 2, False, False, , 0, False, True, 2, 1"</definedName>
    <definedName name="cb_sChart12E85B3_opts" hidden="1">"1, 1, 1, False, 2, False, False, , 0, False, True, 2, 2"</definedName>
    <definedName name="cb_sChart12E8C9E_opts" hidden="1">"1, 2, 1, False, 2, False, False, , 0, False, False, 2, 1"</definedName>
    <definedName name="cb_sChart12EA8E0_opts" hidden="1">"1, 1, 1, False, 2, True, False, , 0, False, False, 2, 2"</definedName>
    <definedName name="cb_sChart12EB078_opts" hidden="1">"1, 1, 1, False, 2, False, False, , 0, False, False, 2, 2"</definedName>
    <definedName name="cb_sChart12EBD15_opts" hidden="1">"1, 1, 1, False, 2, False, False, , 0, False, False, 2, 2"</definedName>
    <definedName name="cb_sChart12FE48A_opts" hidden="1">"1, 2, 1, False, 2, False, False, , 0, False, False, 2, 1"</definedName>
    <definedName name="cb_sChart12FE9EB_opts" hidden="1">"1, 1, 1, False, 2, False, False, , 0, False, False, 1, 2"</definedName>
    <definedName name="cb_sChart12FEDFD_opts" hidden="1">"1, 1, 1, False, 2, False, False, , 0, False, False, 1, 2"</definedName>
    <definedName name="cb_sChart12FF231_opts" hidden="1">"1, 1, 1, False, 2, False, False, , 0, False, False, 1, 2"</definedName>
    <definedName name="cb_sChart12FF8BF_opts" hidden="1">"1, 1, 1, False, 2, False, False, , 0, False, False, 1, 2"</definedName>
    <definedName name="cb_sChart12FF933_opts" hidden="1">"1, 3, 1, False, 2, False, False, , 0, False, False, 1, 2"</definedName>
    <definedName name="cb_sChart12FFC46_opts" hidden="1">"1, 1, 1, False, 2, False, False, , 0, False, False, 1, 2"</definedName>
    <definedName name="cb_sChart14E6EA1E_opts" hidden="1">"1, 9, 1, False, 2, False, False, , 0, False, False, 1, 2"</definedName>
    <definedName name="cb_sChart14E6EB91_opts" hidden="1">"1, 9, 1, False, 2, False, False, , 0, False, False, 1, 1"</definedName>
    <definedName name="cb_sChart14E6ED99_opts" hidden="1">"1, 9, 1, False, 2, False, False, , 0, False, False, 1, 1"</definedName>
    <definedName name="cb_sChart14E6F3EE_opts" hidden="1">"1, 9, 1, False, 2, False, False, , 0, False, False, 1, 1"</definedName>
    <definedName name="cb_sChart14E81502_opts" hidden="1">"1, 9, 1, False, 2, False, False, , 0, False, False, 1, 2"</definedName>
    <definedName name="cb_sChart14E81DF6_opts" hidden="1">"1, 9, 1, False, 2, False, False, , 0, False, False, 1, 2"</definedName>
    <definedName name="cb_sChart14E82800_opts" hidden="1">"1, 9, 1, False, 2, False, False, , 0, False, False, 1, 2"</definedName>
    <definedName name="cb_sChart14E83288_opts" hidden="1">"1, 9, 1, False, 2, False, False, , 0, False, False, 1, 2"</definedName>
    <definedName name="cb_sChart14E8F629_opts" hidden="1">"1, 9, 1, False, 2, False, False, , 0, False, False, 1, 2"</definedName>
    <definedName name="cb_sChart14F787E8_opts" hidden="1">"1, 9, 1, False, 2, False, False, , 0, False, False, 1, 2"</definedName>
    <definedName name="cb_sChart14F7947A_opts" hidden="1">"1, 9, 1, False, 2, False, False, , 0, False, False, 1, 2"</definedName>
    <definedName name="cb_sChart14F79A09_opts" hidden="1">"1, 9, 1, False, 2, False, False, , 0, False, False, 1, 2"</definedName>
    <definedName name="cb_sChart14FA60AB_opts" hidden="1">"1, 9, 1, False, 2, False, False, , 0, False, False, 1, 2"</definedName>
    <definedName name="cb_sChart14FA650D_opts" hidden="1">"1, 9, 1, False, 2, False, False, , 0, False, False, 1, 2"</definedName>
    <definedName name="cb_sChart1501ACE3_opts" hidden="1">"1, 8, 1, False, 2, False, False, , 0, False, False, 1, 2"</definedName>
    <definedName name="cb_sChart1501AEF7_opts" hidden="1">"1, 9, 1, False, 2, False, False, , 0, False, False, 1, 2"</definedName>
    <definedName name="cb_sChart1501DCE6_opts" hidden="1">"1, 9, 1, False, 2, False, False, , 0, False, False, 1, 2"</definedName>
    <definedName name="cb_sChart1501EF92_opts" hidden="1">"1, 9, 1, False, 2, False, False, , 0, False, False, 1, 2"</definedName>
    <definedName name="cb_sChart1501F8CB_opts" hidden="1">"1, 9, 1, False, 2, False, False, , 0, False, False, 1, 2"</definedName>
    <definedName name="cb_sChart150208AA_opts" hidden="1">"1, 9, 1, False, 2, False, False, , 0, False, False, 1, 2"</definedName>
    <definedName name="cb_sChart15020EC4_opts" hidden="1">"1, 9, 1, False, 2, False, False, , 0, False, False, 1, 2"</definedName>
    <definedName name="cb_sChart150212BF_opts" hidden="1">"1, 9, 1, False, 2, False, False, , 0, False, False, 1, 2"</definedName>
    <definedName name="cb_sChart15021F68_opts" hidden="1">"1, 9, 1, False, 2, False, False, , 0, False, False, 1, 1"</definedName>
    <definedName name="cb_sChart15022484_opts" hidden="1">"1, 9, 1, False, 2, False, False, , 0, False, False, 1, 2"</definedName>
    <definedName name="cb_sChart150226F5_opts" hidden="1">"1, 9, 1, False, 2, False, False, , 0, False, False, 1, 2"</definedName>
    <definedName name="cb_sChart15144595_opts" hidden="1">"1, 9, 1, False, 2, False, False, , 0, False, False, 1, 2"</definedName>
    <definedName name="cb_sChart15145615_opts" hidden="1">"1, 9, 1, False, 2, False, False, , 0, False, False, 1, 2"</definedName>
    <definedName name="cb_sChart151464B0_opts" hidden="1">"1, 9, 1, False, 2, False, False, , 0, False, False, 1, 2"</definedName>
    <definedName name="cb_sChart15146FA1_opts" hidden="1">"1, 9, 1, False, 2, False, False, , 0, False, False, 1, 2"</definedName>
    <definedName name="cb_sChart15149A94_opts" hidden="1">"1, 9, 1, False, 2, False, False, , 0, False, False, 1, 2"</definedName>
    <definedName name="cb_sChart1514EEC3_opts" hidden="1">"1, 9, 1, False, 2, False, False, , 0, False, False, 1, 2"</definedName>
    <definedName name="cb_sChart1514F2E0_opts" hidden="1">"1, 9, 1, False, 2, False, False, , 0, False, False, 1, 2"</definedName>
    <definedName name="cb_sChart151510A0_opts" hidden="1">"1, 9, 1, False, 2, False, False, , 0, False, False, 1, 2"</definedName>
    <definedName name="cb_sChart15154C37_opts" hidden="1">"1, 9, 1, False, 2, False, False, , 0, False, False, 1, 2"</definedName>
    <definedName name="cb_sChart15157034_opts" hidden="1">"1, 9, 1, False, 2, False, False, , 0, False, False, 1, 2"</definedName>
    <definedName name="cb_sChart1515F81B_opts" hidden="1">"1, 9, 1, False, 2, False, False, , 0, False, False, 1, 2"</definedName>
    <definedName name="cb_sChart1515F9EA_opts" hidden="1">"1, 9, 1, False, 2, False, False, , 0, False, False, 1, 2"</definedName>
    <definedName name="cb_sChart15161029_opts" hidden="1">"1, 9, 1, False, 2, False, False, , 0, False, False, 1, 2"</definedName>
    <definedName name="cb_sChart15163773_opts" hidden="1">"1, 9, 1, False, 2, False, False, , 0, False, False, 1, 2"</definedName>
    <definedName name="cb_sChart15164F8C_opts" hidden="1">"1, 9, 1, False, 2, False, False, , 0, False, False, 1, 2"</definedName>
    <definedName name="cb_sChart15165265_opts" hidden="1">"1, 9, 1, False, 2, False, False, , 0, False, False, 1, 2"</definedName>
    <definedName name="cb_sChart15166173_opts" hidden="1">"1, 9, 1, False, 2, False, False, , 0, False, False, 1, 2"</definedName>
    <definedName name="cb_sChart1516A84C_opts" hidden="1">"1, 9, 1, False, 2, False, False, , 0, False, False, 1, 2"</definedName>
    <definedName name="cb_sChart181DCCD8_opts" hidden="1">"1, 9, 1, False, 2, False, False, , 0, False, True, 1, 2"</definedName>
    <definedName name="cb_sChart181DCFF7_opts" hidden="1">"1, 3, 1, False, 2, True, False, , 0, True, True, 2, 1"</definedName>
    <definedName name="cb_sChart181DDD93_opts" hidden="1">"1, 3, 1, False, 2, True, False, , 0, True, True, 2, 1"</definedName>
    <definedName name="cb_sChart181DDEEE_opts" hidden="1">"1, 3, 1, False, 2, True, False, , 0, True, True, 2, 1"</definedName>
    <definedName name="cb_sChart181DE1C7_opts" hidden="1">"1, 10, 1, False, 2, True, False, , 0, False, True, 2, 1"</definedName>
    <definedName name="cb_sChart181E8791_opts" hidden="1">"2, 1, 2, True, 2, True, False, , 0, False, True, 1, 2"</definedName>
    <definedName name="cb_sChart181E96D9_opts" hidden="1">"1, 9, 1, False, 2, False, False, , 0, False, True, 1, 2"</definedName>
    <definedName name="cb_sChart19550B88_opts" hidden="1">"1, 1, 1, False, 2, False, False, , 0, False, False, 1, 1"</definedName>
    <definedName name="cb_sChart1955183C_opts" hidden="1">"2, 1, 1, True, 2, False, False, , 0, False, False, 1, 1"</definedName>
    <definedName name="cb_sChart19551C4E_opts" hidden="1">"2, 1, 1, True, 2, True, False, , 0, False, False, 1, 1"</definedName>
    <definedName name="cb_sChart1955C01A_opts" hidden="1">"2, 1, 1, False, 2, False, False, , 0, False, True, 1, 1"</definedName>
    <definedName name="cb_sChart1955C1C7_opts" hidden="1">"2, 1, 1, True, 2, False, False, , 0, False, True, 1, 1"</definedName>
    <definedName name="cb_sChart19EB7A17_opts" hidden="1">"1, 3, 1, False, 2, False, False, , 0, False, True, 1, 1"</definedName>
    <definedName name="cb_sChart19EB7D70_opts" hidden="1">"1, 5, 1, False, 2, False, False, , 0, False, True, 1, 1"</definedName>
    <definedName name="cb_sChart19EB7F61_opts" hidden="1">"1, 3, 1, False, 2, False, False, , 0, False, True, 1, 1"</definedName>
    <definedName name="cb_sChart1B7AB11_opts" hidden="1">"1, 7, 1, False, 2, False, False, , 0, False, True, 1, 1"</definedName>
    <definedName name="cb_sChart1B7ECF0_opts" hidden="1">"1, 9, 1, False, 2, False, False, , 0, False, False, 1, 1"</definedName>
    <definedName name="cb_sChart1B8AF1F_opts" hidden="1">"1, 9, 1, False, 2, False, True, , 0, False, False, 1, 1"</definedName>
    <definedName name="cb_sChart1B99DE1_opts" hidden="1">"1, 7, 1, False, 2, False, False, , 0, False, True, 1, 2"</definedName>
    <definedName name="cb_sChart1B9A4AFE_opts" hidden="1">"1, 9, 1, False, 2, False, False, , 0, False, False, 1, 2"</definedName>
    <definedName name="cb_sChart1BA1DC3F_opts" hidden="1">"1, 9, 1, False, 2, False, False, , 0, False, False, 1, 2"</definedName>
    <definedName name="cb_sChart1BA8AA_opts" hidden="1">"1, 1, 1, False, 2, False, False, , 0, False, False, 1, 2"</definedName>
    <definedName name="cb_sChart1BADD1_opts" hidden="1">"1, 1, 1, False, 2, False, False, , 0, False, False, 2, 2"</definedName>
    <definedName name="cb_sChart1C94B61D_opts" hidden="1">"1, 9, 3, False, 2, False, False, , 0, False, True, 1, 1"</definedName>
    <definedName name="cb_sChart1C94BA0C_opts" hidden="1">"1, 1, 1, False, 2, True, False, , 0, False, True, 1, 1"</definedName>
    <definedName name="cb_sChart1C94BFE1_opts" hidden="1">"1, 9, 1, False, 2, False, False, , 0, False, True, 1, 1"</definedName>
    <definedName name="cb_sChart1CAAAF_opts" hidden="1">"1, 1, 1, False, 2, False, False, , 0, False, False, 3, 2"</definedName>
    <definedName name="cb_sChart1D05BD_opts" hidden="1">"1, 4, 1, False, 2, True, False, , 0, False, False, 2, 1"</definedName>
    <definedName name="cb_sChart1D0E49_opts" hidden="1">"1, 1, 1, False, 2, True, False, , 0, False, True, 2, 1"</definedName>
    <definedName name="cb_sChart1D0EF7_opts" hidden="1">"1, 5, 1, False, 2, True, False, , 0, False, True, 2, 1"</definedName>
    <definedName name="cb_sChart1D3AE8_opts" hidden="1">"1, 6, 1, False, 2, False, False, , 0, False, True, 2, 2"</definedName>
    <definedName name="cb_sChart1D3EEF_opts" hidden="1">"1, 7, 1, False, 2, False, False, , 0, False, True, 2, 2"</definedName>
    <definedName name="cb_sChart1D41EA_opts" hidden="1">"1, 8, 1, False, 2, False, False, , 0, False, False, 2, 2"</definedName>
    <definedName name="cb_sChart1D5891_opts" hidden="1">"1, 9, 1, False, 2, False, False, , 0, False, True, 2, 2"</definedName>
    <definedName name="cb_sChart1D9CE2_opts" hidden="1">"1, 10, 1, False, 2, True, False, , 0, False, False, 2, 2"</definedName>
    <definedName name="cb_sChart1DA03A_opts" hidden="1">"2, 1, 1, True, 3, False, False, , 0, False, True, 1, 2"</definedName>
    <definedName name="cb_sChart1DA590_opts" hidden="1">"2, 1, 1, True, 3, False, False, , 0, False, True, 2, 2"</definedName>
    <definedName name="cb_sChart1DBAAD_opts" hidden="1">"2, 1, 2, True, 2, False, False, , 0, False, True, 1, 2"</definedName>
    <definedName name="cb_sChart1DBB89_opts" hidden="1">"2, 1, 2, True, 2, False, False, , 0, False, True, 1, 1"</definedName>
    <definedName name="cb_sChart1DCA97_opts" hidden="1">"2, 1, 1, True, 2, False, False, , 0, False, True, 2, 1"</definedName>
    <definedName name="cb_sChart1DCCF1_opts" hidden="1">"2, 1, 1, True, 2, False, False, , 0, False, True, 1, 2"</definedName>
    <definedName name="cb_sChart1E1206_opts" hidden="1">"2, 1, 3, False, 2, False, False, , 0, False, True, 2, 2"</definedName>
    <definedName name="cb_sChart1E17F2_opts" hidden="1">"1, 9, 1, False, 2, False, False, , 0, False, True, 1, 1"</definedName>
    <definedName name="cb_sChart1E2D49_opts" hidden="1">"1, 10, 1, False, 2, True, False, , 0, False, False, 3, 2"</definedName>
    <definedName name="cb_sChart1E2DEB_opts" hidden="1">"1, 10, 1, False, 2, True, False, , 0, False, False, 2, 2"</definedName>
    <definedName name="cb_sChart1E3944_opts" hidden="1">"1, 10, 1, False, 2, True, False, , 0, False, False, 2, 2"</definedName>
    <definedName name="cb_sChart1E3BE4_opts" hidden="1">"1, 10, 1, False, 2, True, False, , 0, False, False, 2, 2"</definedName>
    <definedName name="cb_sChart1E3E3D_opts" hidden="1">"1, 10, 1, False, 2, True, False, , 0, False, False, 1, 2"</definedName>
    <definedName name="cb_sChart1E4314_opts" hidden="1">"1, 10, 1, False, 2, True, False, , 0, False, False, 2, 2"</definedName>
    <definedName name="cb_sChart1E4E56_opts" hidden="1">"1, 1, 1, False, 2, False, False, , 0, False, False, 2, 2"</definedName>
    <definedName name="cb_sChart1E5372_opts" hidden="1">"1, 1, 1, False, 2, True, False, , 0, False, True, 2, 2"</definedName>
    <definedName name="cb_sChart1E5975_opts" hidden="1">"2, 1, 2, True, 2, False, False, , 0, False, True, 1, 2"</definedName>
    <definedName name="cb_sChart1E5C43_opts" hidden="1">"2, 1, 2, True, 2, False, False, , 0, False, True, 2, 2"</definedName>
    <definedName name="cb_sChart1E5F4A_opts" hidden="1">"2, 1, 2, True, 2, False, False, , 0, False, True, 1, 2"</definedName>
    <definedName name="cb_sChart23F891A_opts" hidden="1">"1, 9, 1, False, 2, False, False, , 0, False, True, 1, 1"</definedName>
    <definedName name="cb_sChart24ED245_opts" hidden="1">"1, 9, 1, False, 2, False, False, , 0, False, True, 1, 1"</definedName>
    <definedName name="cb_sChart24ED930_opts" hidden="1">"1, 9, 1, False, 2, False, False, , 0, False, False, 1, 1"</definedName>
    <definedName name="cb_sChart26CA498_opts" hidden="1">"1, 9, 1, False, 2, False, False, , 0, False, False, 1, 1"</definedName>
    <definedName name="cb_sChart27D31D5_opts" hidden="1">"1, 9, 1, False, 2, False, False, , 0, False, True, 1, 1"</definedName>
    <definedName name="cb_sChart27D3990_opts" hidden="1">"1, 9, 1, False, 2, False, False, , 0, False, True, 1, 1"</definedName>
    <definedName name="cb_sChart2A64D8F_opts" hidden="1">"1, 8, 1, False, 2, False, False, , 0, False, True, 1, 1"</definedName>
    <definedName name="cb_sChart2A65748_opts" hidden="1">"1, 8, 1, False, 2, False, False, , 0, False, True, 1, 1"</definedName>
    <definedName name="cb_sChart2A667D4_opts" hidden="1">"1, 8, 1, False, 2, False, False, , 0, False, True, 1, 1"</definedName>
    <definedName name="cb_sChart2A66D9D_opts" hidden="1">"1, 8, 1, False, 2, False, False, , 0, False, True, 1, 1"</definedName>
    <definedName name="cb_sChart2A67124_opts" hidden="1">"2, 1, 3, False, 2, False, False, , 0, False, True, 1, 1"</definedName>
    <definedName name="cb_sChart2A673A1_opts" hidden="1">"1, 8, 1, False, 2, False, False, , 0, False, True, 1, 1"</definedName>
    <definedName name="cb_sChart2A67A0C_opts" hidden="1">"1, 8, 1, False, 2, False, False, , 0, False, True, 1, 1"</definedName>
    <definedName name="cb_sChart2A68670_opts" hidden="1">"1, 8, 1, False, 2, False, False, , 0, False, True, 1, 1"</definedName>
    <definedName name="cb_sChart2A6C43D_opts" hidden="1">"1, 9, 1, False, 2, False, False, , 0, False, True, 1, 1"</definedName>
    <definedName name="cb_sChart2A74E8A_opts" hidden="1">"1, 9, 1, False, 2, False, False, , 0, False, True, 1, 1"</definedName>
    <definedName name="cb_sChart2A76BA8_opts" hidden="1">"1, 9, 1, False, 2, False, False, , 0, False, True, 1, 1"</definedName>
    <definedName name="cb_sChart2D6F93B_opts" hidden="1">"1, 9, 1, False, 2, False, False, , 0, False, True, 1, 1"</definedName>
    <definedName name="cb_sChart2D714FE_opts" hidden="1">"1, 9, 1, False, 2, False, False, , 0, False, True, 1, 2"</definedName>
    <definedName name="cb_sChart2D737E5_opts" hidden="1">"1, 9, 1, False, 2, False, False, , 0, False, False, 1, 2"</definedName>
    <definedName name="cb_sChart2D73A28_opts" hidden="1">"1, 9, 1, False, 2, False, False, , 0, False, True, 1, 1"</definedName>
    <definedName name="cb_sChart2D759D9_opts" hidden="1">"1, 10, 1, False, 2, False, False, , 0, False, False, 1, 2"</definedName>
    <definedName name="cb_sChart2D76823_opts" hidden="1">"1, 9, 1, False, 2, False, False, , 0, False, True, 1, 2"</definedName>
    <definedName name="cb_sChart2D76BFA_opts" hidden="1">"1, 9, 1, False, 2, False, False, , 0, False, True, 1, 2"</definedName>
    <definedName name="cb_sChart2D9FB96_opts" hidden="1">"1, 9, 1, False, 2, False, False, , 0, False, True, 1, 2"</definedName>
    <definedName name="cb_sChart2D9FE6F_opts" hidden="1">"1, 9, 1, False, 2, False, False, , 0, False, True, 1, 2"</definedName>
    <definedName name="cb_sChart2DA6F48_opts" hidden="1">"1, 9, 1, False, 2, False, False, , 0, False, True, 1, 2"</definedName>
    <definedName name="cb_sChart2DAB5B8_opts" hidden="1">"1, 7, 1, False, 2, False, False, , 0, False, True, 1, 1"</definedName>
    <definedName name="cb_sChart2DAC2D5_opts" hidden="1">"1, 7, 1, False, 2, False, False, , 0, False, True, 1, 1"</definedName>
    <definedName name="cb_sChart2DADDDE_opts" hidden="1">"1, 7, 1, False, 2, False, False, , 0, False, False, 1, 1"</definedName>
    <definedName name="cb_sChart2DADE5D_opts" hidden="1">"1, 7, 1, False, 2, False, False, , 0, False, True, 1, 1"</definedName>
    <definedName name="cb_sChart2DAF358_opts" hidden="1">"1, 7, 1, False, 2, False, False, , 0, False, True, 1, 1"</definedName>
    <definedName name="cb_sChart2DB05D6_opts" hidden="1">"1, 7, 1, False, 2, False, False, , 0, False, True, 1, 1"</definedName>
    <definedName name="cb_sChart2DBCB46_opts" hidden="1">"1, 7, 1, False, 2, False, False, , 0, False, True, 1, 1"</definedName>
    <definedName name="cb_sChart2E6278B_opts" hidden="1">"1, 9, 1, False, 2, False, False, , 0, False, True, 1, 1"</definedName>
    <definedName name="cb_sChart2EB0678_opts" hidden="1">"1, 1, 1, False, 2, True, False, , 0, False, True, 2, 2"</definedName>
    <definedName name="cb_sChart2F3EBCE_opts" hidden="1">"2, 1, 1, False, 2, False, False, , 0, False, True, 2, 2"</definedName>
    <definedName name="cb_sChart2F3F63F_opts" hidden="1">"1, 5, 1, False, 2, True, False, , 0, False, False, 1, 1"</definedName>
    <definedName name="cb_sChart2F3F90D_opts" hidden="1">"1, 5, 1, False, 2, True, False, , 0, False, False, 2, 2"</definedName>
    <definedName name="cb_sChart2F46DBE_opts" hidden="1">"2, 1, 1, True, 2, False, False, , 0, False, True, 1, 2"</definedName>
    <definedName name="cb_sChart2F470D1_opts" hidden="1">"2, 1, 1, False, 2, True, False, , 0, False, True, 1, 2"</definedName>
    <definedName name="cb_sChart2F4952A_opts" hidden="1">"1, 5, 1, False, 2, False, False, , 0, False, False, 1, 1"</definedName>
    <definedName name="cb_sChart2F49CDA_opts" hidden="1">"1, 5, 1, False, 2, False, False, , 0, False, False, 1, 1"</definedName>
    <definedName name="cb_sChart2F4A3D0_opts" hidden="1">"1, 5, 1, False, 2, False, False, , 0, False, False, 1, 1"</definedName>
    <definedName name="cb_sChart2F4A9B1_opts" hidden="1">"1, 5, 1, False, 2, False, False, , 0, False, False, 1, 1"</definedName>
    <definedName name="cb_sChart2F65E86_opts" hidden="1">"1, 1, 1, False, 2, True, False, , 0, False, False, 2, 2"</definedName>
    <definedName name="cb_sChart2F6A8C2_opts" hidden="1">"1, 1, 1, False, 2, True, False, , 0, False, False, 1, 2"</definedName>
    <definedName name="cb_sChart2F6AAB4_opts" hidden="1">"1, 1, 1, False, 2, True, False, , 0, False, True, 1, 2"</definedName>
    <definedName name="cb_sChart2F6B601_opts" hidden="1">"1, 1, 1, False, 2, False, False, , 0, False, False, 1, 1"</definedName>
    <definedName name="cb_sChart2F730C1_opts" hidden="1">"1, 4, 1, False, 2, False, False, , 0, False, False, 1, 1"</definedName>
    <definedName name="cb_sChart2FA9A3C_opts" hidden="1">"1, 3, 1, False, 2, False, False, , 0, False, True, 1, 2"</definedName>
    <definedName name="cb_sChart2FA9CC4_opts" hidden="1">"1, 3, 1, False, 2, False, False, , 0, False, True, 1, 2"</definedName>
    <definedName name="cb_sChart33FC2FF_opts" hidden="1">"1, 5, 1, False, 2, False, False, , 0, False, False, 1, 2"</definedName>
    <definedName name="cb_sChart33FC8D4_opts" hidden="1">"1, 5, 1, False, 2, False, False, , 0, False, False, 1, 2"</definedName>
    <definedName name="cb_sChart33FE8BF_opts" hidden="1">"1, 5, 1, False, 2, False, False, , 0, False, False, 1, 2"</definedName>
    <definedName name="cb_sChart34010F1_opts" hidden="1">"1, 5, 1, False, 2, False, False, , 0, False, False, 1, 2"</definedName>
    <definedName name="cb_sChart3401AFA_opts" hidden="1">"1, 5, 1, False, 2, False, False, , 0, False, False, 1, 2"</definedName>
    <definedName name="cb_sChart3409186_opts" hidden="1">"1, 5, 1, False, 2, False, False, , 0, False, False, 1, 2"</definedName>
    <definedName name="cb_sChart340A263_opts" hidden="1">"1, 5, 1, False, 2, False, False, , 0, False, False, 1, 1"</definedName>
    <definedName name="cb_sChart340F629_opts" hidden="1">"1, 8, 1, False, 2, False, False, , 0, False, False, 1, 2"</definedName>
    <definedName name="cb_sChart340FD14_opts" hidden="1">"1, 8, 1, False, 2, False, False, , 0, False, False, 1, 2"</definedName>
    <definedName name="cb_sChart34107E2_opts" hidden="1">"1, 8, 1, False, 2, False, False, , 0, False, False, 1, 1"</definedName>
    <definedName name="cb_sChart3434ED7_opts" hidden="1">"1, 5, 1, False, 2, False, False, , 0, False, False, 1, 2"</definedName>
    <definedName name="cb_sChart343DEED_opts" hidden="1">"2, 1, 2, True, 2, False, False, , 0, False, True, 1, 2"</definedName>
    <definedName name="cb_sChart344EE9A_opts" hidden="1">"1, 9, 1, False, 2, False, False, , 0, False, True, 1, 1"</definedName>
    <definedName name="cb_sChart344F24F_opts" hidden="1">"1, 9, 1, False, 2, False, False, , 0, False, True, 1, 2"</definedName>
    <definedName name="cb_sChart3450777_opts" hidden="1">"1, 9, 1, False, 2, False, True, 13, 2, False, False, 1, 1"</definedName>
    <definedName name="cb_sChart3450E85_opts" hidden="1">"1, 9, 1, False, 2, False, False, , 0, False, True, 1, 2"</definedName>
    <definedName name="cb_sChart3452C22_opts" hidden="1">"1, 3, 1, False, 2, False, False, , 0, False, True, 1, 2"</definedName>
    <definedName name="cb_sChart345311B_opts" hidden="1">"1, 3, 1, False, 2, False, False, , 0, False, True, 1, 2"</definedName>
    <definedName name="cb_sChart3453B0D_opts" hidden="1">"2, 1, 1, True, 2, False, False, , 0, False, True, 1, 2"</definedName>
    <definedName name="cb_sChart34647CA_opts" hidden="1">"1, 8, 1, False, 2, False, False, , 0, False, False, 2, 2"</definedName>
    <definedName name="cb_sChart346520D_opts" hidden="1">"1, 8, 1, False, 2, False, False, , 0, False, False, 1, 2"</definedName>
    <definedName name="cb_sChart34654DB_opts" hidden="1">"1, 8, 1, False, 2, False, False, , 0, False, False, 1, 2"</definedName>
    <definedName name="cb_sChart346953C_opts" hidden="1">"2, 1, 1, False, 2, False, False, , 0, False, False, 2, 2"</definedName>
    <definedName name="cb_sChart346A27B_opts" hidden="1">"1, 3, 1, False, 2, False, False, , 0, False, True, 2, 2"</definedName>
    <definedName name="cb_sChart347102A_opts" hidden="1">"2, 1, 1, False, 2, False, False, , 0, False, True, 2, 2"</definedName>
    <definedName name="cb_sChart34E448E_opts" hidden="1">"1, 1, 1, False, 2, False, False, , 0, False, False, 1, 1"</definedName>
    <definedName name="cb_sChart34F5376_opts" hidden="1">"2, 1, 2, True, 2, False, False, , 0, False, True, 1, 2"</definedName>
    <definedName name="cb_sChart34F577C_opts" hidden="1">"2, 1, 2, True, 2, False, False, , 0, False, True, 1, 2"</definedName>
    <definedName name="cb_sChart34F5A05_opts" hidden="1">"2, 1, 2, True, 2, False, False, , 0, False, True, 1, 2"</definedName>
    <definedName name="cb_sChart34F5F2C_opts" hidden="1">"2, 1, 2, True, 2, False, False, , 0, False, True, 1, 2"</definedName>
    <definedName name="cb_sChart34F92FC_opts" hidden="1">"1, 1, 1, False, 2, True, False, , 0, False, False, 1, 2"</definedName>
    <definedName name="cb_sChart34F9B08_opts" hidden="1">"1, 4, 1, False, 2, False, False, , 0, False, False, 1, 1"</definedName>
    <definedName name="cb_sChart34FAEB3_opts" hidden="1">"1, 3, 1, False, 2, False, False, , 0, False, True, 1, 1"</definedName>
    <definedName name="cb_sChart34FB053_opts" hidden="1">"1, 3, 1, False, 2, True, False, , 0, False, False, 1, 1"</definedName>
    <definedName name="cb_sChart352F02B_opts" hidden="1">"1, 5, 1, False, 2, True, False, , 0, False, False, 1, 2"</definedName>
    <definedName name="cb_sChart3532FF6_opts" hidden="1">"2, 1, 1, False, 2, False, False, , 0, False, True, 1, 2"</definedName>
    <definedName name="cb_sChart355BCAD_opts" hidden="1">"2, 1, 1, False, 2, False, False, , 0, False, True, 1, 2"</definedName>
    <definedName name="cb_sChart35FF6A2_opts" hidden="1">"1, 8, 1, False, 2, False, False, , 0, False, False, 1, 2"</definedName>
    <definedName name="cb_sChart3624091_opts" hidden="1">"1, 8, 1, False, 2, False, False, , 0, False, False, 1, 2"</definedName>
    <definedName name="cb_sChart36406CE_opts" hidden="1">"1, 3, 1, False, 2, True, False, , 0, False, True, 1, 1"</definedName>
    <definedName name="cb_sChart3AB73A1_opts" hidden="1">"2, 1, 1, False, 2, True, False, , 0, False, True, 2, 2"</definedName>
    <definedName name="cb_sChart3ABAD51_opts" hidden="1">"1, 5, 1, False, 2, True, False, , 0, False, False, 2, 2"</definedName>
    <definedName name="cb_sChart3AE4A4F_opts" hidden="1">"2, 1, 1, True, 2, False, False, , 0, False, True, 2, 2"</definedName>
    <definedName name="cb_sChart3AEA7B7_opts" hidden="1">"2, 1, 1, True, 2, False, False, , 0, False, True, 1, 1"</definedName>
    <definedName name="cb_sChart3AEAB83_opts" hidden="1">"2, 1, 1, True, 2, False, False, , 0, False, True, 2, 2"</definedName>
    <definedName name="cb_sChart3AF2834_opts" hidden="1">"1, 3, 1, False, 2, False, False, , 0, False, False, 2, 2"</definedName>
    <definedName name="cb_sChart3AF5310_opts" hidden="1">"1, 1, 1, False, 2, False, False, , 0, False, False, 1, 2"</definedName>
    <definedName name="cb_sChart3AF68AD_opts" hidden="1">"1, 1, 1, False, 2, False, False, , 0, False, False, 2, 2"</definedName>
    <definedName name="cb_sChart3AF71DA_opts" hidden="1">"1, 1, 1, False, 2, False, False, , 0, False, False, 1, 1"</definedName>
    <definedName name="cb_sChart3AF76D4_opts" hidden="1">"1, 1, 1, False, 2, False, False, , 0, False, False, 2, 2"</definedName>
    <definedName name="cb_sChart3AF8492_opts" hidden="1">"1, 1, 1, False, 2, False, False, , 0, False, False, 1, 1"</definedName>
    <definedName name="cb_sChart3AFF994_opts" hidden="1">"1, 1, 1, False, 2, False, False, , 0, False, False, 2, 2"</definedName>
    <definedName name="cb_sChart3B004D6_opts" hidden="1">"1, 1, 1, False, 2, False, False, , 0, False, False, 1, 1"</definedName>
    <definedName name="cb_sChart3B03C44_opts" hidden="1">"1, 1, 1, False, 2, False, False, , 0, False, False, 1, 1"</definedName>
    <definedName name="cb_sChart3B08D31_opts" hidden="1">"1, 8, 1, False, 2, False, False, , 0, False, False, 2, 2"</definedName>
    <definedName name="cb_sChart3B09A9F_opts" hidden="1">"1, 8, 1, False, 2, False, False, , 0, False, False, 2, 2"</definedName>
    <definedName name="cb_sChart3B09F8C_opts" hidden="1">"1, 8, 1, False, 2, False, False, , 0, False, False, 2, 2"</definedName>
    <definedName name="cb_sChart3B0ABD8_opts" hidden="1">"1, 8, 1, False, 2, False, False, , 0, False, False, 2, 2"</definedName>
    <definedName name="cb_sChart3B12357_opts" hidden="1">"1, 8, 1, False, 2, False, False, , 0, False, False, 2, 2"</definedName>
    <definedName name="cb_sChart3B12816_opts" hidden="1">"1, 8, 1, False, 2, False, False, , 0, False, False, 2, 2"</definedName>
    <definedName name="cb_sChart3B12D0F_opts" hidden="1">"1, 8, 1, False, 2, False, False, , 0, False, False, 2, 2"</definedName>
    <definedName name="cb_sChart3BA9EF5_opts" hidden="1">"1, 9, 1, False, 2, False, False, , 0, False, True, 1, 1"</definedName>
    <definedName name="cb_sChart3BAA0A1_opts" hidden="1">"1, 9, 1, False, 2, False, False, , 0, False, True, 1, 1"</definedName>
    <definedName name="cb_sChart3BAA29E_opts" hidden="1">"1, 9, 1, False, 2, False, False, , 0, False, True, 1, 1"</definedName>
    <definedName name="cb_sChart3BAACED_opts" hidden="1">"1, 9, 1, False, 2, False, False, , 0, False, True, 1, 1"</definedName>
    <definedName name="cb_sChart3BAD7A6_opts" hidden="1">"2, 1, 2, True, 2, False, False, , 0, False, True, 1, 2"</definedName>
    <definedName name="cb_sChart3BBD972_opts" hidden="1">"1, 1, 1, False, 2, False, False, , 0, False, False, 1, 1"</definedName>
    <definedName name="cb_sChart3BC0E91_opts" hidden="1">"2, 1, 1, False, 2, True, False, , 0, False, True, 1, 1"</definedName>
    <definedName name="cb_sChart3BFC30E_opts" hidden="1">"1, 4, 1, False, 2, False, False, , 0, False, False, 1, 1"</definedName>
    <definedName name="cb_sChart3BFD9FA_opts" hidden="1">"2, 1, 1, True, 2, False, False, , 0, False, True, 2, 2"</definedName>
    <definedName name="cb_sChart3BFEF23_opts" hidden="1">"1, 4, 1, False, 2, False, False, , 0, False, False, 1, 1"</definedName>
    <definedName name="cb_sChart3BFF2E3_opts" hidden="1">"1, 1, 1, False, 2, False, False, , 0, False, False, 1, 1"</definedName>
    <definedName name="cb_sChart41E9A35_opts" hidden="1">"1, 9, 1, False, 2, False, False, , 0, False, True, 1, 1"</definedName>
    <definedName name="cb_sChart463330_opts" hidden="1">"2, 1, 2, True, 2, False, False, , 0, False, True, 1, 2"</definedName>
    <definedName name="cb_sChart4665D3_opts" hidden="1">"1, 9, 1, False, 2, False, False, , 0, False, True, 2, 2"</definedName>
    <definedName name="cb_sChart4680DD_opts" hidden="1">"1, 10, 1, False, 2, True, False, , 0, False, False, 2, 2"</definedName>
    <definedName name="cb_sChart468801_opts" hidden="1">"1, 10, 1, False, 2, True, False, , 0, False, False, 2, 2"</definedName>
    <definedName name="cb_sChart46BC0B_opts" hidden="1">"2, 1, 2, True, 2, False, False, , 0, False, True, 1, 2"</definedName>
    <definedName name="cb_sChart4828C3_opts" hidden="1">"1, 1, 1, False, 2, False, False, , 0, False, False, 1, 2"</definedName>
    <definedName name="cb_sChart482D03_opts" hidden="1">"1, 1, 1, False, 2, False, False, , 0, False, False, 1, 2"</definedName>
    <definedName name="cb_sChart595EE0E_opts" hidden="1">"1, 9, 1, False, 2, False, True, , 3, False, True, 1, 1"</definedName>
    <definedName name="cb_sChart5D0C805_opts" hidden="1">"1, 4, 1, False, 2, False, False, , 0, False, False, 1, 1"</definedName>
    <definedName name="cb_sChart5D375C8_opts" hidden="1">"1, 9, 1, False, 2, False, False, , 0, False, True, 1, 1"</definedName>
    <definedName name="cb_sChart68E08A4_opts" hidden="1">"1, 1, 1, False, 2, True, False, , 0, False, False, 2, 2"</definedName>
    <definedName name="cb_sChart6A2ED7_opts" hidden="1">"1, 10, 1, False, 2, True, False, , 0, False, False, 1, 1"</definedName>
    <definedName name="cb_sChart6A6617_opts" hidden="1">"1, 10, 1, False, 2, True, False, , 0, False, False, 1, 1"</definedName>
    <definedName name="cb_sChart6A66F3_opts" hidden="1">"1, 10, 1, False, 2, True, False, , 0, False, False, 1, 1"</definedName>
    <definedName name="cb_sChart6A7DF6_opts" hidden="1">"1, 3, 1, False, 2, True, False, , 0, False, True, 2, 1"</definedName>
    <definedName name="cb_sChart6F544DD_opts" hidden="1">"1, 3, 1, False, 2, False, False, , 0, False, False, 2, 1"</definedName>
    <definedName name="cb_sChart74E984_opts" hidden="1">"1, 1, 1, False, 2, False, False, , 0, False, False, 2, 2"</definedName>
    <definedName name="cb_sChart74FE4B0_opts" hidden="1">"1, 4, 1, False, 2, True, False, , 0, False, False, 1, 1"</definedName>
    <definedName name="cb_sChart74FE8FC_opts" hidden="1">"1, 4, 1, False, 2, True, False, , 0, False, False, 1, 1"</definedName>
    <definedName name="cb_sChart8CD287E_opts" hidden="1">"1, 1, 1, False, 2, False, False, , 0, False, False, 1, 1"</definedName>
    <definedName name="cb_sChartD086F3E_opts" hidden="1">"1, 1, 1, False, 2, False, False, , 1, False, True, 2, 2"</definedName>
    <definedName name="cb_sChartD0876B3_opts" hidden="1">"2, 2, 2, True, 2, False, False, , 1, False, True, 2, 2"</definedName>
    <definedName name="cb_sChartEB337E1_opts" hidden="1">"1, 10, 1, False, 2, False, False, , 1, False, True, 2, 2"</definedName>
    <definedName name="cb_sChartEB33A80_opts" hidden="1">"1, 10, 1, False, 2, False, False, , 1, False, True, 2, 2"</definedName>
    <definedName name="cb_sChartEB33EA9_opts" hidden="1">"1, 10, 1, False, 2, False, False, , 1, False, True, 2, 2"</definedName>
    <definedName name="cb_sChartEB340BD_opts" hidden="1">"1, 10, 1, False, 2, False, False, , 1, False, True, 2, 2"</definedName>
    <definedName name="cb_sChartEB344DA_opts" hidden="1">"1, 10, 1, False, 2, False, False, , 1, False, False, 2, 2"</definedName>
    <definedName name="cb_sChartEB3479C_opts" hidden="1">"1, 1, 1, False, 2, False, False, , 1, False, True, 2, 1"</definedName>
    <definedName name="cb_sChartEB34833_opts" hidden="1">"1, 10, 1, False, 2, False, False, , 1, False, True, 2, 1"</definedName>
    <definedName name="cb_sChartEB34DCE_opts" hidden="1">"1, 10, 1, False, 2, False, False, , 1, False, True, 2, 1"</definedName>
    <definedName name="cb_sChartEB36CAF_opts" hidden="1">"1, 9, 1, False, 2, False, False, , 1, False, True, 1, 2"</definedName>
    <definedName name="cb_sChartEB38838_opts" hidden="1">"1, 9, 1, False, 2, False, False, , 1, False, True, 2, 2"</definedName>
    <definedName name="cb_sChartEB38E8C_opts" hidden="1">"1, 10, 1, False, 2, False, False, , 1, False, True, 2, 2"</definedName>
    <definedName name="cb_sChartEB3980B_opts" hidden="1">"1, 2, 1, False, 2, False, False, , 1, False, False, 2, 1"</definedName>
    <definedName name="cb_sChartEB39C1C_opts" hidden="1">"1, 2, 1, False, 2, False, False, , 1, False, False, 2, 1"</definedName>
    <definedName name="cb_sChartF046D89_opts" hidden="1">"1, 1, 1, False, 2, True, False, , 1, False, False, 1, 1"</definedName>
    <definedName name="cb_sChartF048B26_opts" hidden="1">"1, 5, 1, False, 2, False, False, , 1, False, False, 1, 2"</definedName>
    <definedName name="cb_sChartF0FF3D7_opts" hidden="1">"1, 8, 1, False, 2, False, False, , 1, False, True, 1, 2"</definedName>
    <definedName name="cb_sChartF1BF8C8_opts" hidden="1">"1, 8, 1, False, 2, False, False, , 1, False, True, 1, 2"</definedName>
    <definedName name="cb_sChartF1C057C_opts" hidden="1">"1, 2, 1, False, 2, False, False, , 1, False, False, 2, 1"</definedName>
    <definedName name="cb_sChartF1C0A0D_opts" hidden="1">"1, 8, 1, False, 2, False, False, , 1, False, True, 1, 1"</definedName>
    <definedName name="cb_sChartF1C9DF0_opts" hidden="1">"1, 8, 1, False, 2, False, False, , 1, False, True, 1, 2"</definedName>
    <definedName name="cb_sChartF1F24F5_opts" hidden="1">"1, 8, 1, False, 2, False, False, , 1, False, True, 1, 2"</definedName>
    <definedName name="cb_sChartF2B7B01_opts" hidden="1">"1, 1, 1, False, 2, True, False, , 1, False, False, 1, 1"</definedName>
    <definedName name="cb_Size_by_height_and_widthChart_16_opts" hidden="1">"1, 4, 1, False, 2, False, False, , 0, False, False, 1, 1"</definedName>
    <definedName name="cb_Size_by_height_and_widthChart_7_opts" hidden="1">"1, 4, 1, False, 2, False, False, , 0, False, False, 1, 1"</definedName>
    <definedName name="cb_Size_by_height_and_widthChart_8_opts" hidden="1">"1, 4, 1, False, 2, False, False, , 0, False, False, 1, 1"</definedName>
    <definedName name="CBWorkbookPriority" hidden="1">-703460413</definedName>
    <definedName name="CBWorkbookPriority1" hidden="1">-1222926411</definedName>
    <definedName name="cc" hidden="1">{"bs",#N/A,FALSE,"SCF"}</definedName>
    <definedName name="ccc" hidden="1">{#N/A,#N/A,TRUE,"Summary";#N/A,#N/A,TRUE,"Assumptions";#N/A,#N/A,TRUE,"Comparison";#N/A,#N/A,TRUE,"Financials";#N/A,#N/A,TRUE,"Plan v. Act"}</definedName>
    <definedName name="cccc" hidden="1">{#N/A,#N/A,FALSE,"Assessment";#N/A,#N/A,FALSE,"Staffing";#N/A,#N/A,FALSE,"Hires";#N/A,#N/A,FALSE,"Assumptions"}</definedName>
    <definedName name="CCOmps" hidden="1">{"page1",#N/A,TRUE,"PRICING";"page2",#N/A,TRUE,"PRICING"}</definedName>
    <definedName name="cd0" hidden="1">{#N/A,#N/A,FALSE,"Job Sched"}</definedName>
    <definedName name="cdsds" hidden="1">{#N/A,#N/A,TRUE,"BUD VS ACT AUST 96";#N/A,#N/A,TRUE,"96 COMP P&amp;L-AUST";#N/A,#N/A,TRUE,"COMP BS-AUSTRALIA";#N/A,#N/A,TRUE,"B/S - AUSTR."}</definedName>
    <definedName name="CDW" hidden="1">{#N/A,#N/A,FALSE,"Job Sched"}</definedName>
    <definedName name="CFFleet" hidden="1">{#N/A,#N/A,FALSE,"Cover";#N/A,#N/A,FALSE,"TOC";#N/A,#N/A,FALSE,"IS";#N/A,#N/A,FALSE,"Mo. IS";#N/A,#N/A,FALSE,"Cont By Div";#N/A,#N/A,FALSE,"BS";#N/A,#N/A,FALSE,"CF";#N/A,#N/A,FALSE,"Inventory"}</definedName>
    <definedName name="cgaf" hidden="1">{"FCB_ALL",#N/A,FALSE,"FCB"}</definedName>
    <definedName name="cgafde" hidden="1">{"FCB_ALL",#N/A,FALSE,"FCB"}</definedName>
    <definedName name="ChangeRange" hidden="1">#REF!</definedName>
    <definedName name="Chart" hidden="1">{#N/A,#N/A,FALSE,"Pharm";#N/A,#N/A,FALSE,"WWCM"}</definedName>
    <definedName name="chartNew" hidden="1">{#N/A,#N/A,FALSE,"SUMMARY";#N/A,#N/A,FALSE,"mcsh";#N/A,#N/A,FALSE,"vol&amp;rev";#N/A,#N/A,FALSE,"wkgcap";#N/A,#N/A,FALSE,"DEPR&amp;DT";#N/A,#N/A,FALSE,"ASSETS";#N/A,#N/A,FALSE,"NI&amp;OTH&amp;DIV";#N/A,#N/A,FALSE,"CASHFLOW";#N/A,#N/A,FALSE,"CAPEMPL";#N/A,#N/A,FALSE,"ROCE"}</definedName>
    <definedName name="check2" hidden="1">{#N/A,#N/A,FALSE,"Cashflow Analysis";#N/A,#N/A,FALSE,"Sensitivity Analysis";#N/A,#N/A,FALSE,"PV";#N/A,#N/A,FALSE,"Pro Forma"}</definedName>
    <definedName name="cheryl" hidden="1">{#N/A,#N/A,FALSE,"Barranca"}</definedName>
    <definedName name="chgeas" hidden="1">{"FCB_ALL",#N/A,FALSE,"FCB"}</definedName>
    <definedName name="chosie" hidden="1">{#N/A,#N/A,FALSE,"Pharm";#N/A,#N/A,FALSE,"WWCM"}</definedName>
    <definedName name="CIQANR_01a7cecbfd214495904699a5c11916a6" hidden="1">#REF!</definedName>
    <definedName name="CIQANR_13a80e60b0854509a2f63c71534b92b8" hidden="1">#REF!</definedName>
    <definedName name="CIQANR_147f2cd0dc8f4e11822d613cc9a62d00" hidden="1">#REF!</definedName>
    <definedName name="CIQANR_1c60ca33d12d4925a388bfa41be66b9c" hidden="1">#REF!</definedName>
    <definedName name="CIQANR_22d08fcfe5564f18986fa4d5614cac0a" hidden="1">#REF!</definedName>
    <definedName name="CIQANR_338ebf63df1c435ba12b8c7b8d18a1b5" hidden="1">#REF!</definedName>
    <definedName name="CIQANR_473135513d7742f9ab0f7fb69629567a" hidden="1">#REF!</definedName>
    <definedName name="CIQANR_4c527b687fe0405bb7fb238f3bfaa8af" hidden="1">#REF!</definedName>
    <definedName name="CIQANR_560d9caa769d455691f09c4af1ca4138" hidden="1">#REF!</definedName>
    <definedName name="CIQANR_618ba232ad644d87bd6555e2fb452f21" hidden="1">#REF!</definedName>
    <definedName name="CIQANR_65d0a3c0ca3043c593f2711ee14dbc3b" hidden="1">#REF!</definedName>
    <definedName name="CIQANR_6d1cc198b7524e688864ad50a703f452" hidden="1">#REF!</definedName>
    <definedName name="CIQANR_773b17cdd30e473ca6a9d0116dbcc711" hidden="1">#REF!</definedName>
    <definedName name="CIQANR_78ce45be2dae409a8b54262ae20189d7" hidden="1">#REF!</definedName>
    <definedName name="CIQANR_7c105d8105b241bebf7b6e6255d65ad0" hidden="1">#REF!</definedName>
    <definedName name="CIQANR_9f557b324ae645169d5f7c95a30e50c4" hidden="1">#REF!</definedName>
    <definedName name="CIQANR_a93c2231796345198453723e8bbb4994" hidden="1">#REF!</definedName>
    <definedName name="CIQANR_aaee5cfe66574987bc82da4973d5e5e8" hidden="1">#REF!</definedName>
    <definedName name="CIQANR_b1bfcf9354174a968e8ba31242bfffac" hidden="1">#REF!</definedName>
    <definedName name="CIQANR_b594479410e844dcb30cc0cb3e897b5a" hidden="1">#REF!</definedName>
    <definedName name="CIQANR_bd8f0346007e4c6c8649fae391e68670" hidden="1">#REF!</definedName>
    <definedName name="CIQANR_c6c257723fb444f7b8e9db41977b7b39" hidden="1">#REF!</definedName>
    <definedName name="CIQANR_d37d241771e84f2d93c62ec1dbddf0de" hidden="1">#REF!</definedName>
    <definedName name="CIQANR_d68f1752971d4c1db9b3fae98aa43092" hidden="1">#REF!</definedName>
    <definedName name="CIQANR_d6c0bcfaaf114f298c2ced7cb4fa9c3c" hidden="1">#REF!</definedName>
    <definedName name="CIQANR_e31a5f60f417438d92f80163c5178377" hidden="1">#REF!</definedName>
    <definedName name="CIQANR_eb8c190743c645a7b4cce9a76854d615" hidden="1">#REF!</definedName>
    <definedName name="CIQANR_ed7d4ad3bcb843ebab7a7f21da32b2fa" hidden="1">#REF!</definedName>
    <definedName name="CIQANR_fd3bcf4e9cbd4acdbf162e69e99f5d88" hidden="1">#REF!</definedName>
    <definedName name="CIQWBGuid" hidden="1">"1869515b-2ebb-45a5-a673-ca1112c5987b"</definedName>
    <definedName name="Circ">#REF!</definedName>
    <definedName name="CIRCABBA">#REF!</definedName>
    <definedName name="CircAcq4">#REF!</definedName>
    <definedName name="CircAcq5">#REF!</definedName>
    <definedName name="CircFBE">#REF!</definedName>
    <definedName name="CircHP">#REF!</definedName>
    <definedName name="CircMaster">#REF!</definedName>
    <definedName name="CircPrecision">#REF!</definedName>
    <definedName name="ClientMatter" hidden="1">"b1"</definedName>
    <definedName name="cmmt">#REF!</definedName>
    <definedName name="cmmts">#REF!</definedName>
    <definedName name="CO2out">#REF!</definedName>
    <definedName name="CoalHV">#REF!</definedName>
    <definedName name="Coalout">#REF!</definedName>
    <definedName name="code">#REF!</definedName>
    <definedName name="COGstandard" hidden="1">{#N/A,#N/A,FALSE,"Pharm";#N/A,#N/A,FALSE,"WWCM"}</definedName>
    <definedName name="comm" hidden="1">{"PAGE 1",#N/A,FALSE,"WEST_OT"}</definedName>
    <definedName name="comm2" hidden="1">{"PAGE 1",#N/A,FALSE,"WEST_OT"}</definedName>
    <definedName name="comm3" hidden="1">{"PAGE 1",#N/A,FALSE,"WEST_OT"}</definedName>
    <definedName name="common_size">#N/A</definedName>
    <definedName name="commrev2" hidden="1">{"PAGE 1",#N/A,FALSE,"WEST_OT"}</definedName>
    <definedName name="Company">#REF!</definedName>
    <definedName name="CompanyFilter">#REF!</definedName>
    <definedName name="Compco1" hidden="1">{"Page1",#N/A,FALSE,"CompCo";"Page2",#N/A,FALSE,"CompCo"}</definedName>
    <definedName name="Compco2" hidden="1">{"Page1",#N/A,FALSE,"CompCo";"Page2",#N/A,FALSE,"CompCo"}</definedName>
    <definedName name="compound_period">INDEX({2,12,4,1},MATCH(#REF!,compound_periods,0))</definedName>
    <definedName name="compound_periods">{"Semi-Annually";"Monthly";"Quarterly";"Annually"}</definedName>
    <definedName name="CompRange1" hidden="1">#N/A</definedName>
    <definedName name="CompRange2" hidden="1">#N/A</definedName>
    <definedName name="CompRange3" hidden="1">#N/A</definedName>
    <definedName name="conflict" hidden="1">{"arpm1995",#N/A,FALSE,"Summary 95-96";"bus_long_distance",#N/A,FALSE,"Summary 95-96";"mins_per_day",#N/A,FALSE,"Summary 95-96";"minutes1995",#N/A,FALSE,"Summary 95-96";"rev_per_day",#N/A,FALSE,"Summary 95-96";"view1995",#N/A,FALSE,"Summary 95-96"}</definedName>
    <definedName name="consumer" hidden="1">{"'Sheet1'!$A$5:$G$42"}</definedName>
    <definedName name="ContentsHelp" hidden="1">#REF!</definedName>
    <definedName name="copin" hidden="1">{#N/A,#N/A,TRUE,"RESUMEN ECON.";#N/A,#N/A,TRUE,"Costos de R.H.";#N/A,#N/A,TRUE,"COSTO HW";#N/A,#N/A,TRUE,"CUADROS";#N/A,#N/A,TRUE,"SCADA´s";#N/A,#N/A,TRUE,"PRECIOS EQUIPOS"}</definedName>
    <definedName name="copon" hidden="1">{#N/A,#N/A,FALSE,"RESUMEN ECON.";#N/A,#N/A,FALSE,"Costos de R.H.";#N/A,#N/A,FALSE,"COSTO HW";#N/A,#N/A,FALSE,"CUADROS";#N/A,#N/A,FALSE,"SCADA´s";#N/A,#N/A,FALSE,"PRECIOS EQUIPOS"}</definedName>
    <definedName name="COPY" hidden="1">{#N/A,#N/A,FALSE,"Pharm";#N/A,#N/A,FALSE,"WWCM"}</definedName>
    <definedName name="copy1" hidden="1">{#N/A,#N/A,FALSE,"Pharm";#N/A,#N/A,FALSE,"WWCM"}</definedName>
    <definedName name="COPY2" hidden="1">{#N/A,#N/A,FALSE,"Pharm";#N/A,#N/A,FALSE,"WWCM"}</definedName>
    <definedName name="copy233" hidden="1">{#N/A,#N/A,FALSE,"Pharm";#N/A,#N/A,FALSE,"WWCM"}</definedName>
    <definedName name="copy33" hidden="1">{#N/A,#N/A,FALSE,"Pharm";#N/A,#N/A,FALSE,"WWCM"}</definedName>
    <definedName name="copy38" hidden="1">{#N/A,#N/A,FALSE,"Pharm";#N/A,#N/A,FALSE,"WWCM"}</definedName>
    <definedName name="corp" hidden="1">{#N/A,#N/A,TRUE,"BUD VS ACT AUST 96";#N/A,#N/A,TRUE,"96 COMP P&amp;L-AUST";#N/A,#N/A,TRUE,"COMP BS-AUSTRALIA";#N/A,#N/A,TRUE,"B/S - AUSTR."}</definedName>
    <definedName name="Costes" hidden="1">{#N/A,#N/A,TRUE,"RESUMEN ECON.";#N/A,#N/A,TRUE,"Costos de R.H.";#N/A,#N/A,TRUE,"COSTO HW";#N/A,#N/A,TRUE,"CUADROS";#N/A,#N/A,TRUE,"SCADA´s";#N/A,#N/A,TRUE,"PRECIOS EQUIPOS"}</definedName>
    <definedName name="costofrev" hidden="1">{"qtrly summ-FY01",#N/A,FALSE,"P &amp; L";"monthly P&amp;L-FY01",#N/A,FALSE,"P &amp; L";"cash flow - FY01",#N/A,FALSE,"P &amp; L";"P&amp;L FY01",#N/A,FALSE,"P &amp; L";"BS FY01",#N/A,FALSE,"P &amp; L";"staffing - FY01",#N/A,FALSE,"P &amp; L"}</definedName>
    <definedName name="coun" hidden="1">{#N/A,#N/A,FALSE,"Assessment";#N/A,#N/A,FALSE,"Staffing";#N/A,#N/A,FALSE,"Hires";#N/A,#N/A,FALSE,"Assumptions"}</definedName>
    <definedName name="COUNTRY" hidden="1">{#N/A,#N/A,FALSE,"Assessment";#N/A,#N/A,FALSE,"Staffing";#N/A,#N/A,FALSE,"Hires";#N/A,#N/A,FALSE,"Assumptions"}</definedName>
    <definedName name="cpvs"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reateTable" hidden="1">#REF!</definedName>
    <definedName name="credit1" hidden="1">{#N/A,#N/A,TRUE,"Overview";#N/A,#N/A,TRUE,"New Gen"}</definedName>
    <definedName name="CSG" hidden="1">{"cap_structure",#N/A,FALSE,"Graph-Mkt Cap";"price",#N/A,FALSE,"Graph-Price";"ebit",#N/A,FALSE,"Graph-EBITDA";"ebitda",#N/A,FALSE,"Graph-EBITDA"}</definedName>
    <definedName name="Cur_Month_Actual">#REF!</definedName>
    <definedName name="CurrentLoan">(#REF!*#REF!*#REF!*#REF!)&gt;0</definedName>
    <definedName name="cv" hidden="1">#REF!</definedName>
    <definedName name="cvade" hidden="1">{"FCB_ALL",#N/A,FALSE,"FCB"}</definedName>
    <definedName name="cvb" hidden="1">{#N/A,#N/A,FALSE,"TABLE_1 YTD";#N/A,#N/A,FALSE,"TABLE_1A QTD";#N/A,#N/A,FALSE,"NORMAL_SPREAD_QTD";#N/A,#N/A,FALSE,"NORMAL_SPREAD_YTD";#N/A,#N/A,FALSE,"TAX_EQV";#N/A,#N/A,FALSE,"TAX EQUIV_INPUT";#N/A,#N/A,FALSE,"NET FROM FER";#N/A,#N/A,FALSE,"COVER"}</definedName>
    <definedName name="Cwvu.GREY_ALL." hidden="1">#REF!</definedName>
    <definedName name="cxgxgfgfs" hidden="1">{#N/A,#N/A,FALSE,"Cashflow Analysis";#N/A,#N/A,FALSE,"Sensitivity Analysis";#N/A,#N/A,FALSE,"PV";#N/A,#N/A,FALSE,"Pro Forma"}</definedName>
    <definedName name="cxgxgfgfs.2" hidden="1">{#N/A,#N/A,FALSE,"Cashflow Analysis";#N/A,#N/A,FALSE,"Sensitivity Analysis";#N/A,#N/A,FALSE,"PV";#N/A,#N/A,FALSE,"Pro Forma"}</definedName>
    <definedName name="d" hidden="1">{#N/A,#N/A,FALSE,"Job Sched"}</definedName>
    <definedName name="DAD" hidden="1">{#N/A,#N/A,FALSE,"REPORT"}</definedName>
    <definedName name="DADF" hidden="1">{#N/A,#N/A,FALSE,"REPORT"}</definedName>
    <definedName name="dad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aeklj" hidden="1">{"FCB_ALL",#N/A,FALSE,"FCB"}</definedName>
    <definedName name="daewkl" hidden="1">{"FCB_ALL",#N/A,FALSE,"FCB";"GREY_ALL",#N/A,FALSE,"GREY"}</definedName>
    <definedName name="daf" hidden="1">{#N/A,#N/A,FALSE,"1";#N/A,#N/A,FALSE,"2";#N/A,#N/A,FALSE,"16 - 17";#N/A,#N/A,FALSE,"18 - 19";#N/A,#N/A,FALSE,"26";#N/A,#N/A,FALSE,"27";#N/A,#N/A,FALSE,"28"}</definedName>
    <definedName name="da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AFAD" hidden="1">{"cap_structure",#N/A,FALSE,"Graph-Mkt Cap";"price",#N/A,FALSE,"Graph-Price";"ebit",#N/A,FALSE,"Graph-EBITDA";"ebitda",#N/A,FALSE,"Graph-EBITDA"}</definedName>
    <definedName name="dakfkjafgkeaj" hidden="1">{#N/A,#N/A,FALSE,"Pharm";#N/A,#N/A,FALSE,"WWCM"}</definedName>
    <definedName name="das" hidden="1">{"FCB_ALL",#N/A,FALSE,"FCB";"GREY_ALL",#N/A,FALSE,"GREY"}</definedName>
    <definedName name="dasfdsa" hidden="1">{"SUM",#N/A,FALSE,"Details (2)"}</definedName>
    <definedName name="dasgfdag" hidden="1">{"FCB_ALL",#N/A,FALSE,"FCB"}</definedName>
    <definedName name="dasklej" hidden="1">{"FCB_ALL",#N/A,FALSE,"FCB"}</definedName>
    <definedName name="Data">#REF!</definedName>
    <definedName name="_xlnm.Database">#REF!</definedName>
    <definedName name="DateRangeComp" hidden="1">#N/A</definedName>
    <definedName name="DateRangePrice" hidden="1">#N/A</definedName>
    <definedName name="david" hidden="1">{#N/A,#N/A,FALSE,"ACQ_GRAPHS";#N/A,#N/A,FALSE,"T_1 GRAPHS";#N/A,#N/A,FALSE,"T_2 GRAPHS";#N/A,#N/A,FALSE,"COMB_GRAPHS"}</definedName>
    <definedName name="DCF_"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d" hidden="1">{#N/A,#N/A,FALSE,"Pharm";#N/A,#N/A,FALSE,"WWCM"}</definedName>
    <definedName name="ddd" hidden="1">{"'ATP'!$E$6"}</definedName>
    <definedName name="ddd_1" hidden="1">{"'ATP'!$E$6"}</definedName>
    <definedName name="ddd_11" hidden="1">{"'ATP'!$E$6"}</definedName>
    <definedName name="dddaz" hidden="1">{#N/A,#N/A,FALSE,"Pharm";#N/A,#N/A,FALSE,"WWCM"}</definedName>
    <definedName name="dddd" hidden="1">{"'ATP'!$E$6"}</definedName>
    <definedName name="dddddd" hidden="1">{#N/A,#N/A,FALSE,"Pharm";#N/A,#N/A,FALSE,"WWCM"}</definedName>
    <definedName name="ddddddd" hidden="1">{"Income Statement",#N/A,FALSE,"Income Statement";"Balance Sheet",#N/A,FALSE,"Balance Sheet";"Cash Flow",#N/A,FALSE,"Cash Flow";"Ratios",#N/A,FALSE,"Ratios"}</definedName>
    <definedName name="DE"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bbie" hidden="1">{"FY03_Assets",#N/A,FALSE,"Fin Stmt Budget";"FY03_Liabilities",#N/A,FALSE,"Fin Stmt Budget";"FY03_Inc_Stmt",#N/A,FALSE,"Fin Stmt Budget";"FY03_SOCF",#N/A,FALSE,"Fin Stmt Budget"}</definedName>
    <definedName name="Dec95JobSched" hidden="1">{#N/A,#N/A,FALSE,"Job Sched"}</definedName>
    <definedName name="dede" hidden="1">{#N/A,#N/A,FALSE,"Pharm";#N/A,#N/A,FALSE,"WWCM"}</definedName>
    <definedName name="DEDED" hidden="1">{#N/A,#N/A,FALSE,"Card";#N/A,#N/A,FALSE,"Prav";#N/A,#N/A,FALSE,"Irbe";#N/A,#N/A,FALSE,"Plavix";#N/A,#N/A,FALSE,"Capt";#N/A,#N/A,FALSE,"Fosi"}</definedName>
    <definedName name="DEDEDZE" hidden="1">{#N/A,#N/A,FALSE,"Pharm";#N/A,#N/A,FALSE,"WWCM"}</definedName>
    <definedName name="DEDZD" hidden="1">{#N/A,#N/A,FALSE,"Pharm";#N/A,#N/A,FALSE,"WWCM"}</definedName>
    <definedName name="DEE" hidden="1">{#N/A,#N/A,FALSE,"Pharm";#N/A,#N/A,FALSE,"WWCM"}</definedName>
    <definedName name="def"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delete" hidden="1">{"STMT OF CASH FLOWS",#N/A,FALSE,"Cash Flows Indirect"}</definedName>
    <definedName name="delete2" hidden="1">{"BALANCE SHEET ACCTS",#N/A,TRUE,"Working Trial Balance";"INCOME STMT ACCTS",#N/A,TRUE,"Working Trial Balance"}</definedName>
    <definedName name="DeleteRange" hidden="1">#REF!</definedName>
    <definedName name="DeleteTable" hidden="1">#REF!</definedName>
    <definedName name="depn" hidden="1">{#N/A,#N/A,FALSE,"P&amp;L";#N/A,#N/A,FALSE,"fund";#N/A,#N/A,FALSE,"B.S.";#N/A,#N/A,FALSE,"tax-P&amp;L";#N/A,#N/A,FALSE,"tax-tarif1"}</definedName>
    <definedName name="depn2" hidden="1">{#N/A,#N/A,FALSE,"P&amp;L";#N/A,#N/A,FALSE,"fund";#N/A,#N/A,FALSE,"B.S.";#N/A,#N/A,FALSE,"tax-P&amp;L";#N/A,#N/A,FALSE,"tax-tarif1"}</definedName>
    <definedName name="Depr_Method">#REF!</definedName>
    <definedName name="DeptIS">#REF!</definedName>
    <definedName name="dev_tech" hidden="1">#REF!</definedName>
    <definedName name="DEZLFEZKLHF" hidden="1">{#N/A,#N/A,FALSE,"Pharm";#N/A,#N/A,FALSE,"WWCM"}</definedName>
    <definedName name="df" hidden="1">{#N/A,#N/A,TRUE,"A";#N/A,#N/A,TRUE,"B";#N/A,#N/A,TRUE,"C";#N/A,#N/A,TRUE,"D";#N/A,#N/A,TRUE,"E"}</definedName>
    <definedName name="dfa" hidden="1">{"Annual_Income",#N/A,FALSE,"Report Page";"Balance_Cash_Flow",#N/A,FALSE,"Report Page";"Quarterly_Income",#N/A,FALSE,"Report Page"}</definedName>
    <definedName name="dfasdf" hidden="1">#REF!</definedName>
    <definedName name="dfd" hidden="1">{"BS",#N/A,FALSE,"USA"}</definedName>
    <definedName name="dfdas" hidden="1">{"FCB_ALL",#N/A,FALSE,"FCB";"GREY_ALL",#N/A,FALSE,"GREY"}</definedName>
    <definedName name="dfdas1" hidden="1">{"FCB_ALL",#N/A,FALSE,"FCB";"GREY_ALL",#N/A,FALSE,"GREY"}</definedName>
    <definedName name="DFDD" hidden="1">{#N/A,#N/A,FALSE,"REPORT"}</definedName>
    <definedName name="df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dfd" hidden="1">{"FCB_ALL",#N/A,FALSE,"FCB";"GREY_ALL",#N/A,FALSE,"GREY"}</definedName>
    <definedName name="dfdfdd" hidden="1">{"FCB_ALL",#N/A,FALSE,"FCB";"GREY_ALL",#N/A,FALSE,"GREY"}</definedName>
    <definedName name="dfdfdfd" hidden="1">{"FCB_ALL",#N/A,FALSE,"FCB"}</definedName>
    <definedName name="dfdfdfd1" hidden="1">{"FCB_ALL",#N/A,FALSE,"FCB"}</definedName>
    <definedName name="dfdsf" hidden="1">{"FCB_ALL",#N/A,FALSE,"FCB";"GREY_ALL",#N/A,FALSE,"GREY"}</definedName>
    <definedName name="dfg">#REF!</definedName>
    <definedName name="dfgd" hidden="1">{#N/A,#N/A,FALSE,"Cashflow Analysis";#N/A,#N/A,FALSE,"Sensitivity Analysis";#N/A,#N/A,FALSE,"PV";#N/A,#N/A,FALSE,"Pro Forma"}</definedName>
    <definedName name="dfgdgd" hidden="1">{"FCB_ALL",#N/A,FALSE,"FCB"}</definedName>
    <definedName name="dfgdxfv" hidden="1">{"FCB_ALL",#N/A,FALSE,"FCB"}</definedName>
    <definedName name="dfgsdf" hidden="1">{"FCB_ALL",#N/A,FALSE,"FCB"}</definedName>
    <definedName name="dfhzfd" hidden="1">{"'Sheet1'!$A$5:$G$42"}</definedName>
    <definedName name="dfk"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1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r" hidden="1">{#N/A,#N/A,FALSE,"Pharm";#N/A,#N/A,FALSE,"WWCM"}</definedName>
    <definedName name="dfs" hidden="1">{#N/A,#N/A,FALSE,"Cover";#N/A,#N/A,FALSE,"TOC";#N/A,#N/A,FALSE,"IS";#N/A,#N/A,FALSE,"Mo. IS";#N/A,#N/A,FALSE,"Cont By Div";#N/A,#N/A,FALSE,"BS";#N/A,#N/A,FALSE,"CF";#N/A,#N/A,FALSE,"Inventory"}</definedName>
    <definedName name="dfsa" hidden="1">#REF!</definedName>
    <definedName name="df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sa" hidden="1">#REF!</definedName>
    <definedName name="dfsaf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gsdfg" hidden="1">{#N/A,#N/A,FALSE,"Cover";#N/A,#N/A,FALSE,"TOC";#N/A,#N/A,FALSE,"IS";#N/A,#N/A,FALSE,"Mo. IS";#N/A,#N/A,FALSE,"Cont By Div";#N/A,#N/A,FALSE,"BS";#N/A,#N/A,FALSE,"CF";#N/A,#N/A,FALSE,"Inventory"}</definedName>
    <definedName name="dg"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gdg" hidden="1">{#N/A,#N/A,FALSE,"Calc";#N/A,#N/A,FALSE,"Sensitivity";#N/A,#N/A,FALSE,"LT Earn.Dil.";#N/A,#N/A,FALSE,"Dil. AVP"}</definedName>
    <definedName name="dgdgss" hidden="1">{"consolidated",#N/A,FALSE,"Sheet1";"cms",#N/A,FALSE,"Sheet1";"fse",#N/A,FALSE,"Sheet1"}</definedName>
    <definedName name="dgh" hidden="1">{"summary",#N/A,FALSE,"3 yr average";"comps",#N/A,FALSE,"3 yr average"}</definedName>
    <definedName name="dgtdf" hidden="1">{"FCB_ALL",#N/A,FALSE,"FCB"}</definedName>
    <definedName name="DHG" hidden="1">{"cap_structure",#N/A,FALSE,"Graph-Mkt Cap";"price",#N/A,FALSE,"Graph-Price";"ebit",#N/A,FALSE,"Graph-EBITDA";"ebitda",#N/A,FALSE,"Graph-EBITDA"}</definedName>
    <definedName name="dis" hidden="1">{#N/A,#N/A,FALSE,"Cashflow Analysis";#N/A,#N/A,FALSE,"Sensitivity Analysis";#N/A,#N/A,FALSE,"PV";#N/A,#N/A,FALSE,"Pro Forma"}</definedName>
    <definedName name="dis.2" hidden="1">{#N/A,#N/A,FALSE,"Cashflow Analysis";#N/A,#N/A,FALSE,"Sensitivity Analysis";#N/A,#N/A,FALSE,"PV";#N/A,#N/A,FALSE,"Pro Forma"}</definedName>
    <definedName name="Disclosure_FooterType" hidden="1">"INTERNAL"</definedName>
    <definedName name="Discout">#REF!</definedName>
    <definedName name="DistCurr">#REF!</definedName>
    <definedName name="DistPrior">#REF!</definedName>
    <definedName name="djd"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1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jdjd" hidden="1">{#N/A,#N/A,TRUE,"BUD VS ACT AUST 96";#N/A,#N/A,TRUE,"96 COMP P&amp;L-AUST";#N/A,#N/A,TRUE,"COMP BS-AUSTRALIA";#N/A,#N/A,TRUE,"B/S - AUSTR."}</definedName>
    <definedName name="djd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ksljd" hidden="1">{#N/A,#N/A,FALSE,"Other";#N/A,#N/A,FALSE,"Ace";#N/A,#N/A,FALSE,"Derm"}</definedName>
    <definedName name="dkfjdf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gahirghigf" hidden="1">{#N/A,#N/A,FALSE,"Pharm";#N/A,#N/A,FALSE,"WWCM"}</definedName>
    <definedName name="dkj"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ocumentName" hidden="1">"b1"</definedName>
    <definedName name="DocumentNum" hidden="1">"a1"</definedName>
    <definedName name="dreyer" hidden="1">{"FCB_ALL",#N/A,FALSE,"FCB"}</definedName>
    <definedName name="drgd" hidden="1">{"FCB_ALL",#N/A,FALSE,"FCB"}</definedName>
    <definedName name="drtd" hidden="1">{"FCB_ALL",#N/A,FALSE,"FCB"}</definedName>
    <definedName name="drtg" hidden="1">{"FCB_ALL",#N/A,FALSE,"FCB"}</definedName>
    <definedName name="drtgdg" hidden="1">{"FCB_ALL",#N/A,FALSE,"FCB"}</definedName>
    <definedName name="ds" hidden="1">#REF!</definedName>
    <definedName name="d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lkj" hidden="1">{"FCB_ALL",#N/A,FALSE,"FCB";"GREY_ALL",#N/A,FALSE,"GREY"}</definedName>
    <definedName name="dsaflkje" hidden="1">{"FCB_ALL",#N/A,FALSE,"FCB"}</definedName>
    <definedName name="dsafwlekj" hidden="1">{"FCB_ALL",#N/A,FALSE,"FCB";"GREY_ALL",#N/A,FALSE,"GREY"}</definedName>
    <definedName name="dsd" hidden="1">#REF!</definedName>
    <definedName name="dsea" hidden="1">{"FCB_ALL",#N/A,FALSE,"FCB"}</definedName>
    <definedName name="dsfgr" hidden="1">{"FCB_ALL",#N/A,FALSE,"FCB"}</definedName>
    <definedName name="dsfsd" hidden="1">{"Total",#N/A,FALSE,"Six Fields";"PDP",#N/A,FALSE,"Six Fields";"PNP",#N/A,FALSE,"Six Fields";"PUD",#N/A,FALSE,"Six Fields";"Prob",#N/A,FALSE,"Six Fields"}</definedName>
    <definedName name="dsfsffss" hidden="1">{#N/A,#N/A,FALSE,"Pharm";#N/A,#N/A,FALSE,"WWCM"}</definedName>
    <definedName name="dsg" hidden="1">{#N/A,#N/A,FALSE,"Calc";#N/A,#N/A,FALSE,"Sensitivity";#N/A,#N/A,FALSE,"LT Earn.Dil.";#N/A,#N/A,FALSE,"Dil. AVP"}</definedName>
    <definedName name="dtjhj" hidden="1">{#N/A,#N/A,FALSE,"Phase I";#N/A,#N/A,FALSE,"Phase II";#N/A,#N/A,FALSE,"Phase III"}</definedName>
    <definedName name="dtmm"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due" hidden="1">{#N/A,#N/A,FALSE,"INPUTS";#N/A,#N/A,FALSE,"PROFORMA BSHEET";#N/A,#N/A,FALSE,"COMBINED";#N/A,#N/A,FALSE,"ACQUIROR";#N/A,#N/A,FALSE,"TARGET 1";#N/A,#N/A,FALSE,"TARGET 2";#N/A,#N/A,FALSE,"HIGH YIELD";#N/A,#N/A,FALSE,"OVERFUND"}</definedName>
    <definedName name="Dummy" hidden="1">{"Summary",#N/A,FALSE,"Summary"}</definedName>
    <definedName name="Dummy_1" hidden="1">{"Summary",#N/A,FALSE,"Summary"}</definedName>
    <definedName name="Dummy_1_1" hidden="1">{"Summary",#N/A,FALSE,"Summary"}</definedName>
    <definedName name="Dummy_1_2" hidden="1">{"Summary",#N/A,FALSE,"Summary"}</definedName>
    <definedName name="Dummy_1_3" hidden="1">{"Summary",#N/A,FALSE,"Summary"}</definedName>
    <definedName name="Dummy_1_4" hidden="1">{"Summary",#N/A,FALSE,"Summary"}</definedName>
    <definedName name="Dummy_2" hidden="1">{"Summary",#N/A,FALSE,"Summary"}</definedName>
    <definedName name="Dummy_3" hidden="1">{"Summary",#N/A,FALSE,"Summary"}</definedName>
    <definedName name="Dummy_4" hidden="1">{"Summary",#N/A,FALSE,"Summary"}</definedName>
    <definedName name="Dummy_5" hidden="1">{"Summary",#N/A,FALSE,"Summary"}</definedName>
    <definedName name="Dummy1" hidden="1">{"Summary",#N/A,FALSE,"Summary"}</definedName>
    <definedName name="Dummy1_1" hidden="1">{"Summary",#N/A,FALSE,"Summary"}</definedName>
    <definedName name="Dummy1_1_1" hidden="1">{"Summary",#N/A,FALSE,"Summary"}</definedName>
    <definedName name="Dummy1_1_2" hidden="1">{"Summary",#N/A,FALSE,"Summary"}</definedName>
    <definedName name="Dummy1_1_3" hidden="1">{"Summary",#N/A,FALSE,"Summary"}</definedName>
    <definedName name="Dummy1_1_4" hidden="1">{"Summary",#N/A,FALSE,"Summary"}</definedName>
    <definedName name="Dummy1_2" hidden="1">{"Summary",#N/A,FALSE,"Summary"}</definedName>
    <definedName name="Dummy1_3" hidden="1">{"Summary",#N/A,FALSE,"Summary"}</definedName>
    <definedName name="Dummy1_4" hidden="1">{"Summary",#N/A,FALSE,"Summary"}</definedName>
    <definedName name="Dummy1_5" hidden="1">{"Summary",#N/A,FALSE,"Summary"}</definedName>
    <definedName name="dvv" hidden="1">{#N/A,#N/A,TRUE,"NIE_C";#N/A,#N/A,TRUE,"NIE";#N/A,#N/A,TRUE,"NIE_D";#N/A,#N/A,TRUE,"NIE_D_CC";#N/A,#N/A,TRUE,"HEA -- EXP"}</definedName>
    <definedName name="e" hidden="1">{"Summary",#N/A,FALSE,"Details (2)"}</definedName>
    <definedName name="East"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Eastcoast" hidden="1">{"FY04_Assets",#N/A,FALSE,"Fin Stmt Budget";"FY04_Liabilities",#N/A,FALSE,"Fin Stmt Budget";"FY04_Inc_Stmt",#N/A,FALSE,"Fin Stmt Budget";"FY04_SOCF",#N/A,FALSE,"Fin Stmt Budget"}</definedName>
    <definedName name="Eastern" hidden="1">{"FY03_Assets",#N/A,FALSE,"Fin Stmt Budget";"FY03_Liabilities",#N/A,FALSE,"Fin Stmt Budget";"FY03_Inc_Stmt",#N/A,FALSE,"Fin Stmt Budget";"FY03_SOCF",#N/A,FALSE,"Fin Stmt Budget"}</definedName>
    <definedName name="EBIT_Analysis">#N/A</definedName>
    <definedName name="EBITDA" hidden="1">{#N/A,#N/A,FALSE,"Admin";#N/A,#N/A,FALSE,"Other"}</definedName>
    <definedName name="EBITDA_Analysis">#N/A</definedName>
    <definedName name="Econscen">#REF!</definedName>
    <definedName name="ed"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edr"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ee">#REF!</definedName>
    <definedName name="EEE" hidden="1">{#N/A,#N/A,FALSE,"Pharm";#N/A,#N/A,FALSE,"WWCM"}</definedName>
    <definedName name="eeeee" hidden="1">{#N/A,#N/A,FALSE,"Pharm";#N/A,#N/A,FALSE,"WWCM"}</definedName>
    <definedName name="eeeeeeeeeeee" hidden="1">#REF!</definedName>
    <definedName name="eerr" hidden="1">{"Alle Perioden",#N/A,FALSE,"Erf";"Alle Perioden",#N/A,FALSE,"Ang";"Alle Perioden",#N/A,FALSE,"BV";"Alle Perioden",#N/A,FALSE,"BE";"Alle Perioden",#N/A,FALSE,"Re";"Alle Perioden",#N/A,FALSE,"Vol"}</definedName>
    <definedName name="ef"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eferferfge"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in" hidden="1">{#N/A,#N/A,FALSE,"Output";#N/A,#N/A,FALSE,"Cover Sheet";#N/A,#N/A,FALSE,"Current Mkt. Projections"}</definedName>
    <definedName name="efn" hidden="1">{#N/A,#N/A,TRUE,"DCF Summary";#N/A,#N/A,TRUE,"Casema";#N/A,#N/A,TRUE,"UK";#N/A,#N/A,TRUE,"RCF";#N/A,#N/A,TRUE,"Intercable CZ";#N/A,#N/A,TRUE,"Interkabel P";#N/A,#N/A,TRUE,"LBO-Total";#N/A,#N/A,TRUE,"LBO-Casema"}</definedName>
    <definedName name="ejejejej"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ejkfgkjze" hidden="1">{#N/A,#N/A,FALSE,"Pharm";#N/A,#N/A,FALSE,"WWCM"}</definedName>
    <definedName name="Elecout">#REF!</definedName>
    <definedName name="elo">#REF!</definedName>
    <definedName name="eloCS">#REF!</definedName>
    <definedName name="eloFMV">#REF!</definedName>
    <definedName name="eloNR">#REF!</definedName>
    <definedName name="eloPref">#REF!</definedName>
    <definedName name="eloWarr">#REF!</definedName>
    <definedName name="emily" hidden="1">{#N/A,#N/A,FALSE,"Calc";#N/A,#N/A,FALSE,"Sensitivity";#N/A,#N/A,FALSE,"LT Earn.Dil.";#N/A,#N/A,FALSE,"Dil. AVP"}</definedName>
    <definedName name="EndDate1">#REF!</definedName>
    <definedName name="EndDate2">#REF!</definedName>
    <definedName name="EndDate3">#REF!</definedName>
    <definedName name="Eng" hidden="1">{"PAGE 1",#N/A,FALSE,"WEST_OT"}</definedName>
    <definedName name="ENG_BI_EXE_NAME" hidden="1">"BICORE.EXE"</definedName>
    <definedName name="ENG_BI_EXEC_CMD_ARGS" hidden="1">"03304607807808310008509207808203605007003304907412708906908707207908410406808007306906512505112706312512707306708509308007306605313413009611212310611910211610507306609207808209007408306207908308607006708409809609510206906705304909609305109506312512710"</definedName>
    <definedName name="ENG_BI_EXEC_CMD_ARGS_10" hidden="1">"11203803704806303601006407211111811909811013007406903708610111311711007003407007807803503604706603701006905408410112411610611611006601506009310611511106701106108809711911207307703908709711711810206603405305304905705904905205304905103803205106703201906"</definedName>
    <definedName name="ENG_BI_EXEC_CMD_ARGS_11" hidden="1">"7048084106116108067010064052069119127105118116111110105110120067125132086083068078083070073080069087065086092061053130"</definedName>
    <definedName name="ENG_BI_EXEC_CMD_ARGS_2" hidden="1">"01131151091181011211010770730680650930660770840710651250511270631251271001131151091181011211010770730860830780830620850820830731251321041121181101190981201010720710800740900840870880830690660830710870650860670510520640510500520590590570590590600490590"</definedName>
    <definedName name="ENG_BI_EXEC_CMD_ARGS_3" hidden="1">"58053056064050060064049057065059053055060050057057063054051061066050056064060051058049063054051059068053060064050049057059053060054068056052052068050057055059053055051068060055063054055049063053059064049064062060049060050126128095116122098117114099080"</definedName>
    <definedName name="ENG_BI_EXEC_CMD_ARGS_4" hidden="1">"070079072071079072074061110117126123088083069074082073073080074091065081088062050129"</definedName>
    <definedName name="ENG_BI_EXEC_CMD_ARGS_5" hidden="1">"00570500541301230991171171071171051030750740790930690690870690870750690650930700620560490360731011081101091021061150330540480530581251321021131171071091061040700770830890780740820730830690620540480530581251321021131171071091061040700770830890780740820"</definedName>
    <definedName name="ENG_BI_EXEC_CMD_ARGS_6" hidden="1">"87089066083088061054053049062132124095121118099113105103072085091091077083083085073073078072073065093076062051058033066122103121120116041059048053058126124099112121103108114106068085091083078084078088077083093074082088073066085073061052054032074124104"</definedName>
    <definedName name="ENG_BI_EXEC_CMD_ARGS_7" hidden="1">"11712411703305504805305812513210411211811011909812010108107008307608607807707407906908906909208906106907811012211011511211410910511511607101706108311011611611011111406701006909411510511906301106408511910611408207503308610610911810606103810311411011910"</definedName>
    <definedName name="ENG_BI_EXEC_CMD_ARGS_8" hidden="1">"01011130350480660100640741101081211221121250810981201151231161141090410861011131181020650340881191171100410480620190610811021151191241111231090320901021091181050610380390470710170610841231181161211011040721111191191011031211061121140320901021081261080"</definedName>
    <definedName name="ENG_BI_EXEC_CMD_ARGS_9" hidden="1">"62034093115118106034036052062019069047089120102115066010064088081085090102114127102115083097113106032095106108121106062035081065087088069091093070082043033048067010064073066087106109105037087098112117105066034124104104101062049049100066077082095106121"</definedName>
    <definedName name="ENG_BI_GEN_LIC" hidden="1">"1"</definedName>
    <definedName name="ENG_BI_GEN_LIC_WS" hidden="1">"True"</definedName>
    <definedName name="ENG_BI_LANG_CODE" hidden="1">"en"</definedName>
    <definedName name="ENG_BI_LBI" hidden="1">"P3WQZ6VVMD"</definedName>
    <definedName name="ENG_BI_PROFILE_PATH" hidden="1">"C:\ProgramData\Alchemex\AlchemexSmartReporting\MetaData\MAS\Report Designer Add-In S500 Demo 1-0-2\BICORE_profiler_20130111_145418.csv"</definedName>
    <definedName name="ENG_BI_REPOS_FILE" hidden="1">"\\KSRACK-DB01\SAGEINTELLIGENCE\alchemex.svd"</definedName>
    <definedName name="ENG_BI_REPOS_PATH" hidden="1">"\\KSRACK-DB01\SAGEINTELLIGENCE"</definedName>
    <definedName name="ENG_BI_TLA" hidden="1">"247;133;253;172;254;120;208;260;253;197;102;76;86;138;87;163;151;261;25;262;171;244;46;240;245;136;214;222;40;106;199;194"</definedName>
    <definedName name="ENG_BI_TLA2" hidden="1">"224;3;240;199;110;174;183;213;61;95;164;252;190;79;176;194;106;242;24;161;222;165;102;127;51;222;83;93;238;205;126;15"</definedName>
    <definedName name="EPC" hidden="1">{#N/A,#N/A,FALSE,"RESUMEN ECON.";#N/A,#N/A,FALSE,"Costos de R.H.";#N/A,#N/A,FALSE,"COSTO HW";#N/A,#N/A,FALSE,"CUADROS";#N/A,#N/A,FALSE,"SCADA´s";#N/A,#N/A,FALSE,"PRECIOS EQUIPOS"}</definedName>
    <definedName name="equity" hidden="1">{"Balance Sheet",#N/A,FALSE,"Annual Summary";"Cashflows",#N/A,FALSE,"Annual Summary";"Summary Earnings",#N/A,FALSE,"Annual Summary"}</definedName>
    <definedName name="er"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raseMe" hidden="1">{#N/A,#N/A,FALSE,"Job Sched"}</definedName>
    <definedName name="erd" hidden="1">{#N/A,#N/A,FALSE,"Pharm";#N/A,#N/A,FALSE,"WWCM"}</definedName>
    <definedName name="erer" hidden="1">{"FCB_ALL",#N/A,FALSE,"FCB";"GREY_ALL",#N/A,FALSE,"GREY"}</definedName>
    <definedName name="erere" hidden="1">{"arpm1995",#N/A,FALSE,"Summary 95-96";"bus_long_distance",#N/A,FALSE,"Summary 95-96";"mins_per_day",#N/A,FALSE,"Summary 95-96";"minutes1995",#N/A,FALSE,"Summary 95-96";"rev_per_day",#N/A,FALSE,"Summary 95-96";"view1995",#N/A,FALSE,"Summary 95-96"}</definedName>
    <definedName name="ererer" hidden="1">{"arpm1995",#N/A,FALSE,"Summary 95-96";"bus_long_distance",#N/A,FALSE,"Summary 95-96";"mins_per_day",#N/A,FALSE,"Summary 95-96";"minutes1995",#N/A,FALSE,"Summary 95-96";"rev_per_day",#N/A,FALSE,"Summary 95-96";"view1995",#N/A,FALSE,"Summary 95-96"}</definedName>
    <definedName name="erewre" hidden="1">{"arpm1995",#N/A,FALSE,"Summary 95-96";"bus_long_distance",#N/A,FALSE,"Summary 95-96";"mins_per_day",#N/A,FALSE,"Summary 95-96";"minutes1995",#N/A,FALSE,"Summary 95-96";"rev_per_day",#N/A,FALSE,"Summary 95-96";"view1995",#N/A,FALSE,"Summary 95-96"}</definedName>
    <definedName name="erg" hidden="1">{#N/A,#N/A,FALSE,"ACQ_GRAPHS";#N/A,#N/A,FALSE,"T_1 GRAPHS";#N/A,#N/A,FALSE,"T_2 GRAPHS";#N/A,#N/A,FALSE,"COMB_GRAPHS"}</definedName>
    <definedName name="erryeyetyuu" hidden="1">{#N/A,#N/A,FALSE,"Pharm";#N/A,#N/A,FALSE,"WWCM"}</definedName>
    <definedName name="ers" hidden="1">{"FCB_ALL",#N/A,FALSE,"FCB";"GREY_ALL",#N/A,FALSE,"GREY"}</definedName>
    <definedName name="ersdf" hidden="1">{"FCB_ALL",#N/A,FALSE,"FCB";"GREY_ALL",#N/A,FALSE,"GREY"}</definedName>
    <definedName name="erser" hidden="1">{"FCB_ALL",#N/A,FALSE,"FCB"}</definedName>
    <definedName name="ery" hidden="1">#REF!</definedName>
    <definedName name="es" hidden="1">{"FCB_ALL",#N/A,FALSE,"FCB"}</definedName>
    <definedName name="esr" hidden="1">{"FCB_ALL",#N/A,FALSE,"FCB"}</definedName>
    <definedName name="esrs" hidden="1">{"FCB_ALL",#N/A,FALSE,"FCB"}</definedName>
    <definedName name="ESSAI" hidden="1">{#N/A,#N/A,FALSE,"Pharm";#N/A,#N/A,FALSE,"WWCM"}</definedName>
    <definedName name="esw" hidden="1">{#N/A,#N/A,FALSE,"TABLE_1 YTD- VALUES LAST YR(2)"}</definedName>
    <definedName name="etet" hidden="1">{#N/A,#N/A,FALSE,"Calc";#N/A,#N/A,FALSE,"Sensitivity";#N/A,#N/A,FALSE,"LT Earn.Dil.";#N/A,#N/A,FALSE,"Dil. AVP"}</definedName>
    <definedName name="ev.Calculation" hidden="1">-4105</definedName>
    <definedName name="ev.Initialized" hidden="1">FALSE</definedName>
    <definedName name="EV__CVPARAMS__" hidden="1">"Trend!$B$17:$C$38;"</definedName>
    <definedName name="EV__DECIMALSYMBOL__" hidden="1">"."</definedName>
    <definedName name="EV__EVCOM_OPTIONS__" hidden="1">8</definedName>
    <definedName name="EV__EXPOPTIONS__" hidden="1">1</definedName>
    <definedName name="EV__LASTREFTIME__" hidden="1">40113.6717361111</definedName>
    <definedName name="EV__LOCKEDCVW__" hidden="1">#VALUE!</definedName>
    <definedName name="EV__LOCKEDCVW__FINANCE" hidden="1">"INCOME_STATEMENT,ACTUAL,TOTWITHALLOC,Madras_Chem_BU,All_Interco,USD,2012.MAR,ALL_VENDORS,PERIODIC,"</definedName>
    <definedName name="EV__LOCKSTATUS__" hidden="1">2</definedName>
    <definedName name="EV__MAXEXPCOLS__" hidden="1">100</definedName>
    <definedName name="EV__MAXEXPROWS__" hidden="1">1000</definedName>
    <definedName name="EV__MEMORYCVW__" hidden="1">0</definedName>
    <definedName name="EV__WBEVMODE__" hidden="1">0</definedName>
    <definedName name="EV__WBREFOPTIONS__" hidden="1">134217735</definedName>
    <definedName name="EV__WBVERSION__" hidden="1">0</definedName>
    <definedName name="EV__WSINFO__" hidden="1">"osoft"</definedName>
    <definedName name="EV_LASTREFTIME" hidden="1">38943.6463310185</definedName>
    <definedName name="ewr" hidden="1">#REF!</definedName>
    <definedName name="ewwe" hidden="1">{#N/A,#N/A,FALSE,"REPORT"}</definedName>
    <definedName name="ExactAddinConnection.050" hidden="1">"TMN_EXACT;002;6124;1"</definedName>
    <definedName name="ExactAddinReports" hidden="1">1</definedName>
    <definedName name="excel" hidden="1">{"cash flow - FY00",#N/A,FALSE,"P &amp; L";"cash flow - FY01",#N/A,FALSE,"P &amp; L"}</definedName>
    <definedName name="excel2" hidden="1">{"cash flow - FY00",#N/A,FALSE,"P &amp; L";"cash flow - FY01",#N/A,FALSE,"P &amp; L"}</definedName>
    <definedName name="EXEC_DATE">#REF!</definedName>
    <definedName name="ExitYr">#REF!</definedName>
    <definedName name="Expenses" hidden="1">{"SUM",#N/A,FALSE,"Details (2)"}</definedName>
    <definedName name="Extra_Pay">#REF!</definedName>
    <definedName name="extra_payment_interval">#REF!</definedName>
    <definedName name="_xlnm.Extract">#REF!</definedName>
    <definedName name="ExtraPayments">#REF!</definedName>
    <definedName name="ExtraPayments2014">#REF!</definedName>
    <definedName name="ExtraPayments2016">#REF!</definedName>
    <definedName name="ExtraPayments2017">#REF!</definedName>
    <definedName name="ExtraPayments2018">#REF!</definedName>
    <definedName name="ExtraPaymentsCurrent">#REF!</definedName>
    <definedName name="ExtraPaymentsRealEstate">#REF!</definedName>
    <definedName name="eyh" hidden="1">{#N/A,#N/A,FALSE,"BS";#N/A,#N/A,FALSE,"PL";#N/A,#N/A,FALSE,"SOE";#N/A,#N/A,FALSE,"SCF"}</definedName>
    <definedName name="f" hidden="1">#REF!</definedName>
    <definedName name="fadsf"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adsfsd" hidden="1">{#N/A,#N/A,FALSE,"MKT.COMPS";#N/A,#N/A,FALSE,"DCF - LBO"}</definedName>
    <definedName name="fafs" hidden="1">{#N/A,#N/A,FALSE,"Brad BANM_S";#N/A,#N/A,FALSE,"Brad SAM_BANM";#N/A,#N/A,FALSE,"Brad_LD";#N/A,#N/A,FALSE,"BANM-&gt;S";#N/A,#N/A,FALSE,"BANM_S";#N/A,#N/A,FALSE,"S-&gt;BANM";#N/A,#N/A,FALSE,"SAM_BANM";#N/A,#N/A,FALSE,"BANM";#N/A,#N/A,FALSE,"Sam"}</definedName>
    <definedName name="FarrellWitchita" hidden="1">{"FCB_ALL",#N/A,FALSE,"FCB"}</definedName>
    <definedName name="fasdfs" hidden="1">{#N/A,#N/A,FALSE,"Aging Summary";#N/A,#N/A,FALSE,"Ratio Analysis";#N/A,#N/A,FALSE,"Test 120 Day Accts";#N/A,#N/A,FALSE,"Tickmarks"}</definedName>
    <definedName name="f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FDFD" hidden="1">{#N/A,#N/A,FALSE,"Pharm";#N/A,#N/A,FALSE,"WWCM"}</definedName>
    <definedName name="fdg">#REF!</definedName>
    <definedName name="fdgad" hidden="1">{"inputs raw data",#N/A,TRUE,"INPUT"}</definedName>
    <definedName name="fdgfdg" hidden="1">{"FCB_ALL",#N/A,FALSE,"FCB";"GREY_ALL",#N/A,FALSE,"GREY"}</definedName>
    <definedName name="fds" hidden="1">{#N/A,#N/A,FALSE,"Pharm";#N/A,#N/A,FALSE,"WWCM"}</definedName>
    <definedName name="fdsafdas" hidden="1">{"Summary",#N/A,FALSE,"Details (2)"}</definedName>
    <definedName name="fdsag" hidden="1">{"FCB_ALL",#N/A,FALSE,"FCB"}</definedName>
    <definedName name="fdsakfjds" hidden="1">{"FCB_ALL",#N/A,FALSE,"FCB";"GREY_ALL",#N/A,FALSE,"GREY"}</definedName>
    <definedName name="fdsg" hidden="1">{"FCB_ALL",#N/A,FALSE,"FCB"}</definedName>
    <definedName name="feb02tb" hidden="1">{"Statement of Income",#N/A,TRUE,"Mar99";"Balance Sheet",#N/A,TRUE,"Mar99"}</definedName>
    <definedName name="fees">#REF!</definedName>
    <definedName name="ff" hidden="1">{#N/A,#N/A,FALSE,"Pharm";#N/A,#N/A,FALSE,"WWCM"}</definedName>
    <definedName name="fff" hidden="1">{#N/A,#N/A,FALSE,"Pharm";#N/A,#N/A,FALSE,"WWCM"}</definedName>
    <definedName name="ffff" hidden="1">{#N/A,#N/A,TRUE,"BUD VS ACT AUST 96";#N/A,#N/A,TRUE,"96 COMP P&amp;L-AUST";#N/A,#N/A,TRUE,"COMP BS-AUSTRALIA";#N/A,#N/A,TRUE,"B/S - AUSTR."}</definedName>
    <definedName name="ffffff.2" hidden="1">{#N/A,#N/A,FALSE,"Cashflow Analysis";#N/A,#N/A,FALSE,"Sensitivity Analysis";#N/A,#N/A,FALSE,"PV";#N/A,#N/A,FALSE,"Pro Forma"}</definedName>
    <definedName name="fffffff" hidden="1">{#N/A,#N/A,FALSE,"Pharm";#N/A,#N/A,FALSE,"WWCM"}</definedName>
    <definedName name="ffffffffff"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fg"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fgf" hidden="1">{#N/A,#N/A,FALSE,"COVER";#N/A,#N/A,FALSE,"RATIOS";#N/A,#N/A,FALSE,"LEVERAGE";#N/A,#N/A,FALSE,"TIER-1";#N/A,#N/A,FALSE,"RISK BASED ASSETS";#N/A,#N/A,FALSE,"TIER-2"}</definedName>
    <definedName name="fgfdg" hidden="1">{"FCB_ALL",#N/A,FALSE,"FCB";"GREY_ALL",#N/A,FALSE,"GREY"}</definedName>
    <definedName name="fgh" hidden="1">#REF!</definedName>
    <definedName name="fgj" hidden="1">{#N/A,#N/A,FALSE,"ACQ_GRAPHS";#N/A,#N/A,FALSE,"T_1 GRAPHS";#N/A,#N/A,FALSE,"T_2 GRAPHS";#N/A,#N/A,FALSE,"COMB_GRAPHS"}</definedName>
    <definedName name="fgkjkh" hidden="1">{#N/A,#N/A,FALSE,"REPORT"}</definedName>
    <definedName name="fgr" hidden="1">{#N/A,#N/A,FALSE,"BS";#N/A,#N/A,FALSE,"PL_10Q";#N/A,#N/A,FALSE,"SOE";#N/A,#N/A,FALSE,"SCF";#N/A,#N/A,FALSE,"Sel Fn Data QTD 10Q";#N/A,#N/A,FALSE,"Table 1 YTD 10Q";#N/A,#N/A,FALSE,"Table 1 QTD 10Q";#N/A,#N/A,FALSE,"Tables 2 to 3 PL";#N/A,#N/A,FALSE,"Tables 4 and 5ALLL";#N/A,#N/A,FALSE,"Tables 6 to 8 ALLL ";#N/A,#N/A,FALSE,"Table 9 to 12 - Balance Sheet"}</definedName>
    <definedName name="fgsg" hidden="1">{"consolidated",#N/A,FALSE,"Sheet1";"cms",#N/A,FALSE,"Sheet1";"fse",#N/A,FALSE,"Sheet1"}</definedName>
    <definedName name="fhg"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j" hidden="1">{TRUE,TRUE,-1.25,-15.5,604.5,369,FALSE,FALSE,TRUE,TRUE,0,1,83,1,38,4,5,4,TRUE,TRUE,3,TRUE,1,TRUE,75,"Swvu.inputs._.raw._.data.","ACwvu.inputs._.raw._.data.",#N/A,FALSE,FALSE,0.5,0.5,0.5,0.5,2,"&amp;F","&amp;A&amp;RPage &amp;P",FALSE,FALSE,FALSE,FALSE,1,60,#N/A,#N/A,"=R1C61:R53C89","=C1:C5",#N/A,#N/A,FALSE,FALSE,FALSE,1,600,600,FALSE,FALSE,TRUE,TRUE,TRUE}</definedName>
    <definedName name="ficha" hidden="1">{#N/A,#N/A,FALSE,"RESUMEN ECON.";#N/A,#N/A,FALSE,"Costos de R.H.";#N/A,#N/A,FALSE,"COSTO HW";#N/A,#N/A,FALSE,"CUADROS";#N/A,#N/A,FALSE,"SCADA´s";#N/A,#N/A,FALSE,"PRECIOS EQUIPOS"}</definedName>
    <definedName name="Final_Summary"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inancial" hidden="1">{#N/A,#N/A,FALSE,"1996 Monthly Detail";#N/A,#N/A,FALSE,"1996 CashFlow";#N/A,#N/A,FALSE,"PNL By Dept";#N/A,#N/A,FALSE,"1997 Quarterly Detail";#N/A,#N/A,FALSE,"1998 Quarterly Detail";#N/A,#N/A,FALSE,"1997 Cash Flow";#N/A,#N/A,FALSE,"1998 Cash Flow"}</definedName>
    <definedName name="financials" hidden="1">{"PAGE1",#N/A,FALSE,"BID (3)";"PAGE2",#N/A,FALSE,"BID (3)"}</definedName>
    <definedName name="fine" hidden="1">{#N/A,#N/A,FALSE,"RESUMEN ECON.";#N/A,#N/A,FALSE,"Costos de R.H.";#N/A,#N/A,FALSE,"COSTO HW";#N/A,#N/A,FALSE,"CUADROS";#N/A,#N/A,FALSE,"SCADA´s";#N/A,#N/A,FALSE,"PRECIOS EQUIPOS"}</definedName>
    <definedName name="fish" hidden="1">{#N/A,#N/A,FALSE,"VALSUM";#N/A,#N/A,FALSE,"MKT.COMPS";#N/A,#N/A,FALSE,"ACQ.MULT.";#N/A,#N/A,FALSE,"DCF - LBO"}</definedName>
    <definedName name="FJEZK" hidden="1">{#N/A,#N/A,FALSE,"Pharm";#N/A,#N/A,FALSE,"WWCM"}</definedName>
    <definedName name="fm" hidden="1">{"summary1",#N/A,TRUE,"Comps";"summary2",#N/A,TRUE,"Comps";"summary3",#N/A,TRUE,"Comps"}</definedName>
    <definedName name="FMVRATE">#REF!</definedName>
    <definedName name="FOHV">#REF!</definedName>
    <definedName name="FootnoteDefaults" hidden="1">{1;TRUE;5;"Times New Roman";FALSE;FALSE;TRUE;18;8;-4.5;-4;1;2;2;1;TRUE;5}</definedName>
    <definedName name="fpdate">#REF!</definedName>
    <definedName name="france" hidden="1">{#N/A,#N/A,FALSE,"COMP BS-FRANCE";#N/A,#N/A,FALSE,"96 COMP P&amp;L-FRANCE";#N/A,#N/A,FALSE,"BUD VS ACT FRAN 96";#N/A,#N/A,FALSE,"B/S - FRANCE"}</definedName>
    <definedName name="FRANCE1" hidden="1">{#N/A,#N/A,FALSE,"COMP BS-FRANCE";#N/A,#N/A,FALSE,"96 COMP P&amp;L-FRANCE";#N/A,#N/A,FALSE,"BUD VS ACT FRAN 96";#N/A,#N/A,FALSE,"B/S - FRANCE"}</definedName>
    <definedName name="frequency">{"Annually";"Semi-Annually";"Quarterly";"Bi-Monthly";"Monthly";"Semi-Monthly";"Bi-Weekly";"Weekly"}</definedName>
    <definedName name="FRF" hidden="1">{#N/A,#N/A,FALSE,"1";#N/A,#N/A,FALSE,"2";#N/A,#N/A,FALSE,"16 - 17";#N/A,#N/A,FALSE,"18 - 19";#N/A,#N/A,FALSE,"26";#N/A,#N/A,FALSE,"27";#N/A,#N/A,FALSE,"28"}</definedName>
    <definedName name="FRFERFE" hidden="1">{#N/A,#N/A,FALSE,"Pharm";#N/A,#N/A,FALSE,"WWCM"}</definedName>
    <definedName name="Frght_Discnt">#REF!</definedName>
    <definedName name="fsdafdsa" hidden="1">{"SUM",#N/A,FALSE,"Details (2)"}</definedName>
    <definedName name="fsdg">#REF!</definedName>
    <definedName name="fsdsfafd" hidden="1">{"CSheet",#N/A,FALSE,"C";"SmCap",#N/A,FALSE,"VAL1";"GulfCoast",#N/A,FALSE,"VAL1";"nav",#N/A,FALSE,"NAV";"Summary",#N/A,FALSE,"NAV"}</definedName>
    <definedName name="fsfs" hidden="1">{#N/A,#N/A,FALSE,"Calc";#N/A,#N/A,FALSE,"Sensitivity";#N/A,#N/A,FALSE,"LT Earn.Dil.";#N/A,#N/A,FALSE,"Dil. AVP"}</definedName>
    <definedName name="fsfsd" hidden="1">{#N/A,#N/A,TRUE,"RESUMEN ECON.";#N/A,#N/A,TRUE,"Costos de R.H.";#N/A,#N/A,TRUE,"COSTO HW";#N/A,#N/A,TRUE,"CUADROS";#N/A,#N/A,TRUE,"SCADA´s";#N/A,#N/A,TRUE,"PRECIOS EQUIPOS"}</definedName>
    <definedName name="fsgdr" hidden="1">{"FCB_ALL",#N/A,FALSE,"FCB"}</definedName>
    <definedName name="FSLine">#REF!</definedName>
    <definedName name="FSoPacific" hidden="1">{"BS",#N/A,FALSE,"USA"}</definedName>
    <definedName name="fsr" hidden="1">{"FCB_ALL",#N/A,FALSE,"FCB"}</definedName>
    <definedName name="fsv" hidden="1">{"FCB_ALL",#N/A,FALSE,"FCB";"GREY_ALL",#N/A,FALSE,"GREY"}</definedName>
    <definedName name="ftyf" hidden="1">{"FCB_ALL",#N/A,FALSE,"FCB";"GREY_ALL",#N/A,FALSE,"GREY"}</definedName>
    <definedName name="Fuckoff" hidden="1">{"Input Sheet",#N/A,FALSE,"Input";"New Co",#N/A,FALSE,"NEWCO";"Acq Cash Flow",#N/A,FALSE,"Acq. CF";"Target Cash Flow",#N/A,FALSE,"Tgt. CF";"Operational Merger",#N/A,FALSE,"OP Merger";"Acq Balance Sheet",#N/A,FALSE,"Acq. BS";"Target Balance Sheet",#N/A,FALSE,"Tgt. BS";"BOE Comp",#N/A,FALSE,"BOEComp"}</definedName>
    <definedName name="fuelco_wrn.test1." hidden="1">{"Income Statement",#N/A,FALSE,"CFMODEL";"Balance Sheet",#N/A,FALSE,"CFMODEL"}</definedName>
    <definedName name="fuelco_wrn.test2." hidden="1">{"SourcesUses",#N/A,TRUE,"CFMODEL";"TransOverview",#N/A,TRUE,"CFMODEL"}</definedName>
    <definedName name="fuelco_wrn.test3." hidden="1">{"SourcesUses",#N/A,TRUE,#N/A;"TransOverview",#N/A,TRUE,"CFMODEL"}</definedName>
    <definedName name="fuelco_wrn.test4." hidden="1">{"SourcesUses",#N/A,TRUE,"FundsFlow";"TransOverview",#N/A,TRUE,"FundsFlow"}</definedName>
    <definedName name="fundIV"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VG" hidden="1">{#N/A,#N/A,FALSE,"Pharm";#N/A,#N/A,FALSE,"WWCM"}</definedName>
    <definedName name="fyCoverDate">#REF!</definedName>
    <definedName name="g" hidden="1">{#N/A,#N/A,FALSE,"Pharm";#N/A,#N/A,FALSE,"WWCM"}</definedName>
    <definedName name="GA" hidden="1">{#N/A,#N/A,FALSE,"Job Sched"}</definedName>
    <definedName name="GAAP">#REF!</definedName>
    <definedName name="gadew" hidden="1">{"FCB_ALL",#N/A,FALSE,"FCB"}</definedName>
    <definedName name="gadfsh" hidden="1">{"FCB_ALL",#N/A,FALSE,"FCB"}</definedName>
    <definedName name="gads" hidden="1">{"FCB_ALL",#N/A,FALSE,"FCB"}</definedName>
    <definedName name="gadse" hidden="1">{"FCB_ALL",#N/A,FALSE,"FCB"}</definedName>
    <definedName name="Gasout">#REF!</definedName>
    <definedName name="Gatewayforecast" hidden="1">{"SUM",#N/A,FALSE,"Details (2)"}</definedName>
    <definedName name="gawea" hidden="1">{"FCB_ALL",#N/A,FALSE,"FCB"}</definedName>
    <definedName name="gawen" hidden="1">{"FCB_ALL",#N/A,FALSE,"FCB"}</definedName>
    <definedName name="gdfgdf" hidden="1">{#N/A,#N/A,FALSE,"Pharm";#N/A,#N/A,FALSE,"WWCM"}</definedName>
    <definedName name="GeelCapexFcst" hidden="1">{#N/A,#N/A,FALSE,"SUMMARY";#N/A,#N/A,FALSE,"mcsh";#N/A,#N/A,FALSE,"vol&amp;rev";#N/A,#N/A,FALSE,"wkgcap";#N/A,#N/A,FALSE,"DEPR&amp;DT";#N/A,#N/A,FALSE,"ASSETS";#N/A,#N/A,FALSE,"NI&amp;OTH&amp;DIV";#N/A,#N/A,FALSE,"CASHFLOW";#N/A,#N/A,FALSE,"CAPEMPL";#N/A,#N/A,FALSE,"ROCE"}</definedName>
    <definedName name="gegeg" hidden="1">{#N/A,#N/A,FALSE,"Cashflow Analysis";#N/A,#N/A,FALSE,"Sensitivity Analysis";#N/A,#N/A,FALSE,"PV";#N/A,#N/A,FALSE,"Pro Forma"}</definedName>
    <definedName name="gegeg.2" hidden="1">{#N/A,#N/A,FALSE,"Cashflow Analysis";#N/A,#N/A,FALSE,"Sensitivity Analysis";#N/A,#N/A,FALSE,"PV";#N/A,#N/A,FALSE,"Pro Forma"}</definedName>
    <definedName name="gfasd" hidden="1">{"FCB_ALL",#N/A,FALSE,"FCB"}</definedName>
    <definedName name="gfdjhjh" hidden="1">{#N/A,#N/A,FALSE,"Pharm";#N/A,#N/A,FALSE,"WWCM"}</definedName>
    <definedName name="gfhs" hidden="1">{"summary1",#N/A,TRUE,"Comps";"summary2",#N/A,TRUE,"Comps";"summary3",#N/A,TRUE,"Comps"}</definedName>
    <definedName name="gfsdn" hidden="1">{"FCB_ALL",#N/A,FALSE,"FCB";"GREY_ALL",#N/A,FALSE,"GREY"}</definedName>
    <definedName name="GG" hidden="1">{#N/A,#N/A,FALSE,"PL-FS";#N/A,#N/A,FALSE,"PL"}</definedName>
    <definedName name="gg.2" hidden="1">{#N/A,#N/A,FALSE,"Cashflow Analysis";#N/A,#N/A,FALSE,"Sensitivity Analysis";#N/A,#N/A,FALSE,"PV";#N/A,#N/A,FALSE,"Pro Forma"}</definedName>
    <definedName name="ggg" hidden="1">"c1023"</definedName>
    <definedName name="ghjfg" hidden="1">{#N/A,#N/A,TRUE,"ALLL";#N/A,#N/A,TRUE,"DEL";#N/A,#N/A,TRUE,"Reserve Analysis";#N/A,#N/A,TRUE,"C_OFF HISTORY";#N/A,#N/A,TRUE,"ALLL_QTR";#N/A,#N/A,TRUE,"HEA_M";#N/A,#N/A,TRUE,"BL_DET";#N/A,#N/A,TRUE,"3YRS+";#N/A,#N/A,TRUE,"CONSTR_DET"}</definedName>
    <definedName name="ghjggjh" hidden="1">{#N/A,#N/A,FALSE,"Pharm";#N/A,#N/A,FALSE,"WWCM"}</definedName>
    <definedName name="ghmtymk" hidden="1">{#N/A,#N/A,FALSE,"INPUTS";#N/A,#N/A,FALSE,"PROFORMA BSHEET";#N/A,#N/A,FALSE,"COMBINED";#N/A,#N/A,FALSE,"ACQUIROR";#N/A,#N/A,FALSE,"TARGET 1";#N/A,#N/A,FALSE,"TARGET 2";#N/A,#N/A,FALSE,"HIGH YIELD";#N/A,#N/A,FALSE,"OVERFUND"}</definedName>
    <definedName name="ghtj" hidden="1">{#N/A,#N/A,FALSE,"ACQ_GRAPHS";#N/A,#N/A,FALSE,"T_1 GRAPHS";#N/A,#N/A,FALSE,"T_2 GRAPHS";#N/A,#N/A,FALSE,"COMB_GRAPHS"}</definedName>
    <definedName name="gilb.wrn.test2." hidden="1">{"SourcesUses",#N/A,TRUE,"CFMODEL";"TransOverview",#N/A,TRUE,"CFMODEL"}</definedName>
    <definedName name="gilb.wrn.test3." hidden="1">{"SourcesUses",#N/A,TRUE,#N/A;"TransOverview",#N/A,TRUE,"CFMODEL"}</definedName>
    <definedName name="gilb.wrn.test4." hidden="1">{"SourcesUses",#N/A,TRUE,"FundsFlow";"TransOverview",#N/A,TRUE,"FundsFlow"}</definedName>
    <definedName name="gilb_wrn.test1" hidden="1">{"Income Statement",#N/A,FALSE,"CFMODEL";"Balance Sheet",#N/A,FALSE,"CFMODEL"}</definedName>
    <definedName name="gkn" hidden="1">{#N/A,#N/A,FALSE,"COVER PAGE";#N/A,#N/A,FALSE,"Page 2";#N/A,#N/A,FALSE,"Page 2";#N/A,#N/A,FALSE,"Page 4";#N/A,#N/A,FALSE,"Page5";#N/A,#N/A,FALSE,"Page 6";#N/A,#N/A,FALSE,"Page 7";#N/A,#N/A,FALSE,"Page 8";#N/A,#N/A,FALSE,"Page 10";#N/A,#N/A,FALSE,"Long-Term OCF Mult.";#N/A,#N/A,FALSE,"PCS Comp";#N/A,#N/A,FALSE,"OCS-CAPEX";#N/A,#N/A,FALSE,"Blank"}</definedName>
    <definedName name="GKUY"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lobal1" hidden="1">{#N/A,#N/A,FALSE,"Pharm";#N/A,#N/A,FALSE,"WWCM"}</definedName>
    <definedName name="gmghm"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gnr"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o" hidden="1">{"TOTAL",#N/A,FALSE,"A";"FISCAL94",#N/A,FALSE,"A";"FISCAL95",#N/A,FALSE,"A";"FISCAL96",#N/A,FALSE,"A";"misc page",#N/A,FALSE,"A"}</definedName>
    <definedName name="graph" hidden="1">{#N/A,#N/A,FALSE,"REPORT"}</definedName>
    <definedName name="gt" hidden="1">{#N/A,#N/A,FALSE,"COVER";#N/A,#N/A,FALSE,"Index";#N/A,#N/A,FALSE,"Non-Earning";#N/A,#N/A,FALSE,"Commercial";#N/A,#N/A,FALSE,"Detailed"}</definedName>
    <definedName name="gtrwegrwegw" hidden="1">{"Summary",#N/A,FALSE,"Details (2)"}</definedName>
    <definedName name="gty" hidden="1">{"arpm1995",#N/A,FALSE,"Summary 95-96";"bus_long_distance",#N/A,FALSE,"Summary 95-96";"mins_per_day",#N/A,FALSE,"Summary 95-96";"minutes1995",#N/A,FALSE,"Summary 95-96";"rev_per_day",#N/A,FALSE,"Summary 95-96";"view1995",#N/A,FALSE,"Summary 95-96"}</definedName>
    <definedName name="h" hidden="1">{#N/A,#N/A,FALSE,"REPORT"}</definedName>
    <definedName name="hbkg" hidden="1">{#N/A,#N/A,FALSE,"COVER";#N/A,#N/A,FALSE,"Index";#N/A,#N/A,FALSE,"Non-Earning";#N/A,#N/A,FALSE,"Non-Earning-Recovery";#N/A,#N/A,FALSE,"Leasing_Equipo";#N/A,#N/A,FALSE,"Leasing_Auto";#N/A,#N/A,FALSE,"Leasing_Legal"}</definedName>
    <definedName name="HD" hidden="1">{TRUE,TRUE,-1.25,-15.5,604.5,369,FALSE,FALSE,TRUE,TRUE,0,1,83,1,38,4,5,4,TRUE,TRUE,3,TRUE,1,TRUE,75,"Swvu.inputs._.raw._.data.","ACwvu.inputs._.raw._.data.",#N/A,FALSE,FALSE,0.5,0.5,0.5,0.5,2,"&amp;F","&amp;A&amp;RPage &amp;P",FALSE,FALSE,FALSE,FALSE,1,60,#N/A,#N/A,"=R1C61:R53C89","=C1:C5",#N/A,#N/A,FALSE,FALSE,FALSE,1,600,600,FALSE,FALSE,TRUE,TRUE,TRUE}</definedName>
    <definedName name="Header">#REF!</definedName>
    <definedName name="Header1" hidden="1">IF(COUNTA(#REF!)=0,0,INDEX(#REF!,MATCH(ROW(#REF!),#REF!,TRUE)))+1</definedName>
    <definedName name="Header2" hidden="1">#REF!-1 &amp; "." &amp; MAX(1,COUNTA(INDEX(#REF!,MATCH(#REF!-1,#REF!,FALSE)):#REF!))</definedName>
    <definedName name="HEI" hidden="1">{"AQUIRORDCF",#N/A,FALSE,"Merger consequences";"Acquirorassns",#N/A,FALSE,"Merger consequences"}</definedName>
    <definedName name="hello2" hidden="1">{#N/A,#N/A,FALSE,"Index";"Stmts_Qtrs",#N/A,FALSE,"Summary";"Stmts_24 mo",#N/A,FALSE,"Summary";"Summary_24",#N/A,FALSE,"Revenue";"Month_24",#N/A,FALSE,"Engineering";"Month_24",#N/A,FALSE,"Marketing";"Month_24",#N/A,FALSE,"G &amp; A";"Month_24",#N/A,FALSE,"Manufacturing"}</definedName>
    <definedName name="Help" hidden="1">{#N/A,#N/A,FALSE,"COVER PAGE";#N/A,#N/A,FALSE,"Page 2";#N/A,#N/A,FALSE,"Page 2";#N/A,#N/A,FALSE,"Page 4";#N/A,#N/A,FALSE,"Page5";#N/A,#N/A,FALSE,"Page 6";#N/A,#N/A,FALSE,"Page 7";#N/A,#N/A,FALSE,"Page 8";#N/A,#N/A,FALSE,"Page 10";#N/A,#N/A,FALSE,"Long-Term OCF Mult.";#N/A,#N/A,FALSE,"PCS Comp";#N/A,#N/A,FALSE,"OCS-CAPEX";#N/A,#N/A,FALSE,"Blank"}</definedName>
    <definedName name="help1" hidden="1">{#N/A,#N/A,FALSE,"Total";#N/A,#N/A,FALSE,"Sew";#N/A,#N/A,FALSE,"Finish";#N/A,#N/A,FALSE,"CUT";#N/A,#N/A,FALSE,"Mill 5";#N/A,#N/A,FALSE,"Mill 6";#N/A,#N/A,FALSE,"Mill 8";#N/A,#N/A,FALSE,"Mill 9";#N/A,#N/A,FALSE,"Mill 10";#N/A,#N/A,FALSE,"Mill 12";#N/A,#N/A,FALSE,"Mill 15";#N/A,#N/A,FALSE,"Mill 17"}</definedName>
    <definedName name="hfd" hidden="1">{"FCB_ALL",#N/A,FALSE,"FCB";"GREY_ALL",#N/A,FALSE,"GREY"}</definedName>
    <definedName name="HFinGraph" hidden="1">{#N/A,#N/A,FALSE,"Pharm";#N/A,#N/A,FALSE,"WWCM"}</definedName>
    <definedName name="hfydf" hidden="1">{"FCB_ALL",#N/A,FALSE,"FCB"}</definedName>
    <definedName name="hgsrt" hidden="1">{"FCB_ALL",#N/A,FALSE,"FCB";"GREY_ALL",#N/A,FALSE,"GREY"}</definedName>
    <definedName name="hh" hidden="1">{#N/A,#N/A,TRUE,"DCF Summary";#N/A,#N/A,TRUE,"Casema";#N/A,#N/A,TRUE,"UK";#N/A,#N/A,TRUE,"RCF";#N/A,#N/A,TRUE,"Intercable CZ";#N/A,#N/A,TRUE,"Interkabel P";#N/A,#N/A,TRUE,"LBO-Total";#N/A,#N/A,TRUE,"LBO-Casema"}</definedName>
    <definedName name="hhh" hidden="1">{#N/A,#N/A,FALSE,"Job Sched"}</definedName>
    <definedName name="hhhh" hidden="1">{"SUM",#N/A,FALSE,"Details (2)"}</definedName>
    <definedName name="Hi" hidden="1">{#N/A,#N/A,FALSE,"FAB VENDORS";"BUD SUM",#N/A,FALSE,"BUD SUM WO TEX"}</definedName>
    <definedName name="Hibh" hidden="1">{#N/A,#N/A,FALSE,"Pharm";#N/A,#N/A,FALSE,"WWCM"}</definedName>
    <definedName name="High" hidden="1">{#N/A,#N/A,FALSE,"Pharm";#N/A,#N/A,FALSE,"WWCM"}</definedName>
    <definedName name="hjf"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jh" hidden="1">{#N/A,#N/A,FALSE,"Page 1";#N/A,#N/A,FALSE,"Page 2";#N/A,#N/A,FALSE,"Page 3";#N/A,#N/A,FALSE,"Page 4";#N/A,#N/A,FALSE,"Page 5"}</definedName>
    <definedName name="hjhjffukfuk" hidden="1">{#N/A,#N/A,FALSE,"Pharm";#N/A,#N/A,FALSE,"WWCM"}</definedName>
    <definedName name="hjhjfkfukywrte" hidden="1">{#N/A,#N/A,FALSE,"Pharm";#N/A,#N/A,FALSE,"WWCM"}</definedName>
    <definedName name="hjhjhj" hidden="1">{#N/A,#N/A,FALSE,"Index";"Stmts_Qtrs",#N/A,FALSE,"Summary";"Stmts_24 mo",#N/A,FALSE,"Summary";"Summary_24",#N/A,FALSE,"Revenue";"Month_24",#N/A,FALSE,"Engineering";"Month_24",#N/A,FALSE,"Marketing";"Month_24",#N/A,FALSE,"G &amp; A";"Month_24",#N/A,FALSE,"Manufacturing"}</definedName>
    <definedName name="hjhjhj2" hidden="1">{#N/A,#N/A,FALSE,"Index";"Stmts_Qtrs",#N/A,FALSE,"Summary";"Stmts_24 mo",#N/A,FALSE,"Summary";"Summary_24",#N/A,FALSE,"Revenue";"Month_24",#N/A,FALSE,"Engineering";"Month_24",#N/A,FALSE,"Marketing";"Month_24",#N/A,FALSE,"G &amp; A";"Month_24",#N/A,FALSE,"Manufacturing"}</definedName>
    <definedName name="hjhkjkl" hidden="1">{#N/A,#N/A,FALSE,"Pharm";#N/A,#N/A,FALSE,"WWCM"}</definedName>
    <definedName name="hjjjkk" hidden="1">{#N/A,#N/A,FALSE,"REPORT"}</definedName>
    <definedName name="hjjkk" hidden="1">{#N/A,#N/A,FALSE,"Pharm";#N/A,#N/A,FALSE,"WWCM"}</definedName>
    <definedName name="hjkk" hidden="1">{#N/A,#N/A,FALSE,"Pharm";#N/A,#N/A,FALSE,"WWCM"}</definedName>
    <definedName name="HKSH" hidden="1">{#N/A,#N/A,FALSE,"REPORT"}</definedName>
    <definedName name="HMG" hidden="1">{#N/A,#N/A,FALSE,"REPORT"}</definedName>
    <definedName name="hn._I006" hidden="1">#REF!</definedName>
    <definedName name="hn._I018" hidden="1">#REF!</definedName>
    <definedName name="hn._I024" hidden="1">#REF!</definedName>
    <definedName name="hn._I028" hidden="1">#REF!</definedName>
    <definedName name="hn._I029" hidden="1">#REF!</definedName>
    <definedName name="hn._I030" hidden="1">#REF!</definedName>
    <definedName name="hn._I031" hidden="1">#REF!</definedName>
    <definedName name="hn._I059" hidden="1">#REF!</definedName>
    <definedName name="hn._I071" hidden="1">#REF!</definedName>
    <definedName name="hn._I075" hidden="1">#REF!</definedName>
    <definedName name="hn._I083" hidden="1">#REF!</definedName>
    <definedName name="hn._I085" hidden="1">#REF!</definedName>
    <definedName name="hn._P001" hidden="1">#REF!</definedName>
    <definedName name="hn._P004" hidden="1">#REF!</definedName>
    <definedName name="hn._P014" hidden="1">#REF!</definedName>
    <definedName name="hn._P016" hidden="1">#REF!</definedName>
    <definedName name="hn._P021" hidden="1">#REF!</definedName>
    <definedName name="hn._P024" hidden="1">#REF!</definedName>
    <definedName name="hn.Add015" hidden="1">#REF!</definedName>
    <definedName name="hn.Delete015" hidden="1">#REF!,#REF!,#REF!,#REF!,#REF!</definedName>
    <definedName name="hn.ExtDb" hidden="1">FALSE</definedName>
    <definedName name="hn.ModelType" hidden="1">"DEAL"</definedName>
    <definedName name="hn.ModelVersion" hidden="1">1</definedName>
    <definedName name="hn.NoUpload" hidden="1">0</definedName>
    <definedName name="hn.PrivateLTMYear" hidden="1">#REF!</definedName>
    <definedName name="hod" hidden="1">{#N/A,#N/A,FALSE,"TS";#N/A,#N/A,FALSE,"Combo";#N/A,#N/A,FALSE,"FAIR";#N/A,#N/A,FALSE,"RBC";#N/A,#N/A,FALSE,"xxxx";#N/A,#N/A,FALSE,"A_D";#N/A,#N/A,FALSE,"WACC";#N/A,#N/A,FALSE,"DCF";#N/A,#N/A,FALSE,"LBO";#N/A,#N/A,FALSE,"AcqMults";#N/A,#N/A,FALSE,"CompMults"}</definedName>
    <definedName name="home" hidden="1">{"WACC_filecopy",#N/A,FALSE,"Inputs";"Beta_filecopy",#N/A,FALSE,"Inputs";"SCF_filecopy",#N/A,FALSE,"Inputs";"ProBS_filecopy",#N/A,FALSE,"Inputs";"BS_filecopy",#N/A,FALSE,"Inputs";"ProIS_filecopy",#N/A,FALSE,"Inputs";"IS_filecopy",#N/A,FALSE,"Inputs"}</definedName>
    <definedName name="HOMFE" hidden="1">{#N/A,#N/A,FALSE,"Assessment";#N/A,#N/A,FALSE,"Staffing";#N/A,#N/A,FALSE,"Hires";#N/A,#N/A,FALSE,"Assumptions"}</definedName>
    <definedName name="houy" hidden="1">{#N/A,#N/A,FALSE,"AD_Purchase";#N/A,#N/A,FALSE,"Credit";#N/A,#N/A,FALSE,"PF Acquisition";#N/A,#N/A,FALSE,"PF Offering"}</definedName>
    <definedName name="HQ" hidden="1">{#N/A,#N/A,FALSE,"6405";#N/A,#N/A,FALSE,"6406";#N/A,#N/A,FALSE,"6409";#N/A,#N/A,FALSE,"6425";#N/A,#N/A,FALSE,"6426";#N/A,#N/A,FALSE,"6427";#N/A,#N/A,FALSE,"6440";#N/A,#N/A,FALSE,"6441";#N/A,#N/A,FALSE,"6442";#N/A,#N/A,FALSE,"6443"}</definedName>
    <definedName name="HTML_CodePage" hidden="1">1252</definedName>
    <definedName name="HTML_Control" hidden="1">{"'ATP'!$E$6"}</definedName>
    <definedName name="HTML_Control_1" hidden="1">{"'ATP'!$E$6"}</definedName>
    <definedName name="HTML_Control_BS" hidden="1">{"'Sheet1'!$A$1:$L$21"}</definedName>
    <definedName name="HTML_Description" hidden="1">""</definedName>
    <definedName name="HTML_Email" hidden="1">""</definedName>
    <definedName name="HTML_Header" hidden="1">""</definedName>
    <definedName name="HTML_LastUpdate" hidden="1">"2/4/99"</definedName>
    <definedName name="HTML_LineAfter" hidden="1">FALSE</definedName>
    <definedName name="HTML_LineBefore" hidden="1">FALSE</definedName>
    <definedName name="HTML_Name" hidden="1">"Marianne Kim"</definedName>
    <definedName name="HTML_OBDlg2" hidden="1">TRUE</definedName>
    <definedName name="HTML_OBDlg3" hidden="1">TRUE</definedName>
    <definedName name="HTML_OBDlg4" hidden="1">TRUE</definedName>
    <definedName name="HTML_OS" hidden="1">0</definedName>
    <definedName name="HTML_PathFile" hidden="1">"h:\home\MJK\atp.htm"</definedName>
    <definedName name="HTML_PathFileMac" hidden="1">"Macintosh HD:HomePageStuff:pc:datasets:implprem.html"</definedName>
    <definedName name="HTML_PathTemplate" hidden="1">"H:\Intranet\exchrate.htm"</definedName>
    <definedName name="HTML_Title" hidden="1">"atp"</definedName>
    <definedName name="HTML1_1" hidden="1">"[SUMFIN.XLS]IncStmt!$A$1:$AB$116"</definedName>
    <definedName name="HTML1_10" hidden="1">""</definedName>
    <definedName name="HTML1_11" hidden="1">1</definedName>
    <definedName name="HTML1_12" hidden="1">"C:\My Documents\MyHTML.htm"</definedName>
    <definedName name="HTML1_2" hidden="1">1</definedName>
    <definedName name="HTML1_3" hidden="1">"SUMFIN"</definedName>
    <definedName name="HTML1_4" hidden="1">"IncStmt"</definedName>
    <definedName name="HTML1_5" hidden="1">""</definedName>
    <definedName name="HTML1_6" hidden="1">1</definedName>
    <definedName name="HTML1_7" hidden="1">1</definedName>
    <definedName name="HTML1_8" hidden="1">"3/4/97"</definedName>
    <definedName name="HTML1_9" hidden="1">"Brad Olsen"</definedName>
    <definedName name="HTML2_10" hidden="1">""</definedName>
    <definedName name="HTML2_11" hidden="1">1</definedName>
    <definedName name="HTML2_12" hidden="1">"F:\USERS\ECON\Census95\Int\T9ST.htm"</definedName>
    <definedName name="HTML2_2" hidden="1">1</definedName>
    <definedName name="HTML2_3" hidden="1">""</definedName>
    <definedName name="HTML2_4" hidden="1">""</definedName>
    <definedName name="HTML2_5" hidden="1">""</definedName>
    <definedName name="HTML2_6" hidden="1">-4146</definedName>
    <definedName name="HTML2_7" hidden="1">-4146</definedName>
    <definedName name="HTML2_8" hidden="1">"2/17/98"</definedName>
    <definedName name="HTML2_9" hidden="1">"BPH"</definedName>
    <definedName name="HTML3_1" hidden="1">"[TB9.XLS]St_tot_94_95!$A$1:$H$427"</definedName>
    <definedName name="HTML3_10" hidden="1">""</definedName>
    <definedName name="HTML3_11" hidden="1">1</definedName>
    <definedName name="HTML3_12" hidden="1">"F:\USERS\ECON\Census95\Int\T9st.htm"</definedName>
    <definedName name="HTML3_2" hidden="1">1</definedName>
    <definedName name="HTML3_3" hidden="1">""</definedName>
    <definedName name="HTML3_4" hidden="1">""</definedName>
    <definedName name="HTML3_5" hidden="1">""</definedName>
    <definedName name="HTML3_6" hidden="1">-4146</definedName>
    <definedName name="HTML3_7" hidden="1">-4146</definedName>
    <definedName name="HTML3_8" hidden="1">"2/17/98"</definedName>
    <definedName name="HTML3_9" hidden="1">"BPH"</definedName>
    <definedName name="HTML4_10" hidden="1">"Emil.Asistores@crtc.x400.gc.ca"</definedName>
    <definedName name="HTML4_11" hidden="1">1</definedName>
    <definedName name="HTML4_12" hidden="1">"O:\ENG\PROC_REP\TELECOM\1997\PART7\QS_REP98\BCTEL\BCTEL.HTM"</definedName>
    <definedName name="HTML4_2" hidden="1">1</definedName>
    <definedName name="HTML4_3" hidden="1">"BC Tel 1998 Quality Of Service Report"</definedName>
    <definedName name="HTML4_4" hidden="1">"BC Tel 1998 Quality Of Service Report"</definedName>
    <definedName name="HTML4_5" hidden="1">""</definedName>
    <definedName name="HTML4_6" hidden="1">-4146</definedName>
    <definedName name="HTML4_7" hidden="1">-4146</definedName>
    <definedName name="HTML4_8" hidden="1">"1997/10/24"</definedName>
    <definedName name="HTML4_9" hidden="1">"Emil Asistores"</definedName>
    <definedName name="HTML5_10" hidden="1">"Emil.Asistores@crtc.x400.gc.ca"</definedName>
    <definedName name="HTML5_11" hidden="1">1</definedName>
    <definedName name="HTML5_12" hidden="1">"O:\ENG\PROC_REP\TELECOM\1997\PART7\QS_REP98\TCI\TCI.HTM"</definedName>
    <definedName name="HTML5_2" hidden="1">1</definedName>
    <definedName name="HTML5_3" hidden="1">"TCI 1998 Quality Of Service Report"</definedName>
    <definedName name="HTML5_4" hidden="1">"TCI 1998 Quality Of Service Report"</definedName>
    <definedName name="HTML5_5" hidden="1">""</definedName>
    <definedName name="HTML5_6" hidden="1">-4146</definedName>
    <definedName name="HTML5_7" hidden="1">-4146</definedName>
    <definedName name="HTML5_8" hidden="1">"1997/10/30"</definedName>
    <definedName name="HTML5_9" hidden="1">"Emil Asistores"</definedName>
    <definedName name="HTMLControl" hidden="1">{"'Edit'!$A$1:$V$2277"}</definedName>
    <definedName name="HTMLCount" hidden="1">1</definedName>
    <definedName name="htyuityuiotio" hidden="1">{#N/A,#N/A,FALSE,"REPORT"}</definedName>
    <definedName name="hu"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Hypertention" hidden="1">{#N/A,#N/A,FALSE,"Pharm";#N/A,#N/A,FALSE,"WWCM"}</definedName>
    <definedName name="hypo" hidden="1">{#N/A,#N/A,FALSE,"Pharm";#N/A,#N/A,FALSE,"WWCM"}</definedName>
    <definedName name="i" hidden="1">{#N/A,#N/A,TRUE,"DCF Summary";#N/A,#N/A,TRUE,"Casema";#N/A,#N/A,TRUE,"UK";#N/A,#N/A,TRUE,"RCF";#N/A,#N/A,TRUE,"Intercable CZ";#N/A,#N/A,TRUE,"Interkabel P";#N/A,#N/A,TRUE,"LBO-Total";#N/A,#N/A,TRUE,"LBO-Casema"}</definedName>
    <definedName name="iiiii"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iiiiiiiiiiiiiiiiiiii"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NFO_BI_EXE_NAME" hidden="1">"BICORE.EXE"</definedName>
    <definedName name="INFO_EXE_SERVER_PATH" hidden="1">"C:\SageIntelligence\BICORE.EXE"</definedName>
    <definedName name="INFO_INSTANCE_ID" hidden="1">"0"</definedName>
    <definedName name="INFO_INSTANCE_NAME" hidden="1">"Top 20 by Customer_20140407_16_03_29_033.xls"</definedName>
    <definedName name="INFO_REPORT_CODE" hidden="1">"X3v6-XL05-2-1-CUSTOM"</definedName>
    <definedName name="INFO_REPORT_ID" hidden="1">"45"</definedName>
    <definedName name="INFO_REPORT_NAME" hidden="1">"Top 20 by Customer"</definedName>
    <definedName name="INFO_RUN_USER" hidden="1">""</definedName>
    <definedName name="INFO_RUN_WORKSTATION" hidden="1">"KS1021326"</definedName>
    <definedName name="Inmovilizado2" hidden="1">{#N/A,#N/A,FALSE,"CNS_ADJ";"Balance Consolidado",#N/A,FALSE,"BCEC_CNS";#N/A,#N/A,FALSE,"USGAAP_ADJ"}</definedName>
    <definedName name="Int">#REF!</definedName>
    <definedName name="Interco2" hidden="1">{#N/A,#N/A,FALSE,"Job Sched"}</definedName>
    <definedName name="Interest_Methods">#REF!</definedName>
    <definedName name="InterestRate">#REF!</definedName>
    <definedName name="InterestRate2014">#REF!</definedName>
    <definedName name="InterestRate2016">#REF!</definedName>
    <definedName name="InterestRate2017">#REF!</definedName>
    <definedName name="InterestRate2018">#REF!</definedName>
    <definedName name="InterestRateCurrent">#REF!</definedName>
    <definedName name="InterestRateRealEstate">#REF!</definedName>
    <definedName name="IntroPrintArea" hidden="1">#REF!</definedName>
    <definedName name="investment">#REF!</definedName>
    <definedName name="InvFootnote">#REF!</definedName>
    <definedName name="Invout">#REF!</definedName>
    <definedName name="IP" hidden="1">{#N/A,#N/A,FALSE,"Pharm";#N/A,#N/A,FALSE,"WWCM"}</definedName>
    <definedName name="IPRD_mites" hidden="1">{"bs",#N/A,FALSE,"SCF"}</definedName>
    <definedName name="IPRD_Pollen" hidden="1">{"bs",#N/A,FALSE,"SCF"}</definedName>
    <definedName name="IQ_1_4_CONSTRUCTION_GROSS_LOANS_FFIEC" hidden="1">"c13402"</definedName>
    <definedName name="IQ_1_4_CONSTRUCTION_LL_REC_DOM_FFIEC" hidden="1">"c12899"</definedName>
    <definedName name="IQ_1_4_CONSTRUCTION_LOAN_COMMITMENTS_UNUSED_FFIEC" hidden="1">"c13244"</definedName>
    <definedName name="IQ_1_4_CONSTRUCTION_LOANS_DUE_30_89_FFIEC" hidden="1">"c13257"</definedName>
    <definedName name="IQ_1_4_CONSTRUCTION_LOANS_DUE_90_FFIEC" hidden="1">"c13285"</definedName>
    <definedName name="IQ_1_4_CONSTRUCTION_LOANS_NON_ACCRUAL_FFIEC" hidden="1">"c13311"</definedName>
    <definedName name="IQ_1_4_CONSTRUCTION_RISK_BASED_FFIEC" hidden="1">"c13423"</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RES_DOM_FFIEC" hidden="1">"c15269"</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BS_AVAIL_SALE_FFIEC" hidden="1">"c12802"</definedName>
    <definedName name="IQ_ABS_FFIEC" hidden="1">"c12788"</definedName>
    <definedName name="IQ_ABS_INVEST_SECURITIES_FFIEC" hidden="1">"c13461"</definedName>
    <definedName name="IQ_ABS_PERIOD" hidden="1">"c13823"</definedName>
    <definedName name="IQ_ACCEPTANCES_OTHER_FOREIGN_BANKS_LL_REC_FFIEC" hidden="1">"c15293"</definedName>
    <definedName name="IQ_ACCEPTANCES_OTHER_US_BANKS_LL_REC_FFIEC" hidden="1">"c15292"</definedName>
    <definedName name="IQ_ACCOUNT_CHANGE" hidden="1">"c1449"</definedName>
    <definedName name="IQ_ACCOUNTING_FFIEC" hidden="1">"c13054"</definedName>
    <definedName name="IQ_ACCOUNTING_STANDARD" hidden="1">"c4539"</definedName>
    <definedName name="IQ_ACCOUNTING_STANDARD_CIQ" hidden="1">"c5092"</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RUED_INTEREST_RECEIVABLE_FFIEC" hidden="1">"c12842"</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IN" hidden="1">"AUTO"</definedName>
    <definedName name="IQ_ADDITIONAL_NON_INT_INC_FDIC" hidden="1">"c6574"</definedName>
    <definedName name="IQ_ADDITIONS_NON_ACCRUAL_ASSET_DURING_QTR_FFIEC" hidden="1">"c15349"</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DVERTISING_MARKETING_EXPENSES_FFIEC" hidden="1">"c13048"</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S_INVEST_SECURITIES_FFIEC" hidden="1">"c13456"</definedName>
    <definedName name="IQ_AFS_SECURITIES_TIER_1_FFIEC" hidden="1">"c13343"</definedName>
    <definedName name="IQ_AFTER_TAX_INCOME_FDIC" hidden="1">"c6583"</definedName>
    <definedName name="IQ_AG_PROD_FARM_LOANS_DOM_QUARTERLY_AVG_FFIEC" hidden="1">"c15477"</definedName>
    <definedName name="IQ_AGENCY" hidden="1">"c8960"</definedName>
    <definedName name="IQ_AGENCY_INVEST_SECURITIES_FFIEC" hidden="1">"c13458"</definedName>
    <definedName name="IQ_AGG_CORPORATE_SHARES" hidden="1">"c13781"</definedName>
    <definedName name="IQ_AGG_CORPORATE_VALUE" hidden="1">"c13774"</definedName>
    <definedName name="IQ_AGG_ESOP_SHARES" hidden="1">"c13782"</definedName>
    <definedName name="IQ_AGG_ESOP_VALUE" hidden="1">"c13775"</definedName>
    <definedName name="IQ_AGG_FOUNDATION_SHARES" hidden="1">"c13783"</definedName>
    <definedName name="IQ_AGG_FOUNDATION_VALUE" hidden="1">"c13776"</definedName>
    <definedName name="IQ_AGG_HEDGEFUND_SHARES" hidden="1">"c13785"</definedName>
    <definedName name="IQ_AGG_HEDGEFUND_VALUE" hidden="1">"c13778"</definedName>
    <definedName name="IQ_AGG_INSIDER_SHARES" hidden="1">"c13780"</definedName>
    <definedName name="IQ_AGG_INSIDER_VALUE" hidden="1">"c13773"</definedName>
    <definedName name="IQ_AGG_INSTITUTIONAL_SHARES" hidden="1">"c13779"</definedName>
    <definedName name="IQ_AGG_INSTITUTIONAL_VALUE" hidden="1">"c13772"</definedName>
    <definedName name="IQ_AGG_OTHER_SHARES" hidden="1">"c13784"</definedName>
    <definedName name="IQ_AGG_OTHER_VALUE" hidden="1">"c13777"</definedName>
    <definedName name="IQ_AGRICULTURAL_GROSS_LOANS_FFIEC" hidden="1">"c13413"</definedName>
    <definedName name="IQ_AGRICULTURAL_LOANS_FOREIGN_FFIEC" hidden="1">"c13481"</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GRICULTURAL_RISK_BASED_FFIEC" hidden="1">"c13434"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_OTHER_DEPOSITS_FOREIGN_DEP_FFIEC" hidden="1">"c15347"</definedName>
    <definedName name="IQ_ALL_OTHER_INVEST_UNCONSOL_SUBS_FFIEC" hidden="1">"c15275"</definedName>
    <definedName name="IQ_ALL_OTHER_LEASES_CHARGE_OFFS_FFIEC" hidden="1">"c13185"</definedName>
    <definedName name="IQ_ALL_OTHER_LEASES_RECOV_FFIEC" hidden="1">"c13207"</definedName>
    <definedName name="IQ_ALL_OTHER_LOANS_CHARGE_OFFS_FFIEC" hidden="1">"c13183"</definedName>
    <definedName name="IQ_ALL_OTHER_LOANS_RECOV_FFIEC" hidden="1">"c13205"</definedName>
    <definedName name="IQ_ALL_OTHER_TRADING_LIABILITIES_DOM_FFIEC" hidden="1">"c12942"</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_LL_LOSSES_FFIEC" hidden="1">"c12810"</definedName>
    <definedName name="IQ_ALLOWABLE_T2_CAPITAL_FFIEC" hidden="1">"c13150"</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CREDIT_LOSSES_OFF_BS_FFIEC" hidden="1">"c12871"</definedName>
    <definedName name="IQ_ALLOWANCE_LL_LOSSES_T2_FFIEC" hidden="1">"c13146"</definedName>
    <definedName name="IQ_ALLOWANCE_NON_PERF_LOANS" hidden="1">"c25"</definedName>
    <definedName name="IQ_ALLOWANCE_TOTAL_LOANS" hidden="1">"c26"</definedName>
    <definedName name="IQ_AMENDED_BALANCE_PREVIOUS_YR_FDIC" hidden="1">"c6499"</definedName>
    <definedName name="IQ_AMORT_EXP_IMPAIRMENT_OTHER_INTANGIBLE_ASSETS_FFIEC" hidden="1">"c13026"</definedName>
    <definedName name="IQ_AMORT_EXPENSE_FDIC" hidden="1">"c6677"</definedName>
    <definedName name="IQ_AMORTIZATION" hidden="1">"c1591"</definedName>
    <definedName name="IQ_AMORTIZED_COST_FDIC" hidden="1">"c6426"</definedName>
    <definedName name="IQ_AMOUNT_FINANCIAL_LOC_CONVEYED_FFIEC" hidden="1">"c13250"</definedName>
    <definedName name="IQ_AMOUNT_PERFORMANCE_LOC_CONVEYED_FFIEC" hidden="1">"c13252"</definedName>
    <definedName name="IQ_AMT_OUT" hidden="1">"c2145"</definedName>
    <definedName name="IQ_ANALYST_EMAIL" hidden="1">"c13738"</definedName>
    <definedName name="IQ_ANALYST_NAME" hidden="1">"c13736"</definedName>
    <definedName name="IQ_ANALYST_PHONE" hidden="1">"c13737"</definedName>
    <definedName name="IQ_ANALYST_START_DATE" hidden="1">"c13740"</definedName>
    <definedName name="IQ_ANNU_DISTRIBUTION_UNIT" hidden="1">"c3004"</definedName>
    <definedName name="IQ_ANNUAL_DIVIDEND" hidden="1">"c229"</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 hidden="1">"c13007"</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PPLICABLE_INCOME_TAXES_FTE_FFIEC" hidden="1">"c13853"</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SUPPLE" hidden="1">"c13812"</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FAIR_VALUE" hidden="1">"c13843"</definedName>
    <definedName name="IQ_ASSETS_HELD_FDIC" hidden="1">"c6305"</definedName>
    <definedName name="IQ_ASSETS_LEVEL_1" hidden="1">"c13839"</definedName>
    <definedName name="IQ_ASSETS_LEVEL_2" hidden="1">"c13840"</definedName>
    <definedName name="IQ_ASSETS_LEVEL_3" hidden="1">"c13841"</definedName>
    <definedName name="IQ_ASSETS_NAME_AP" hidden="1">"c8921"</definedName>
    <definedName name="IQ_ASSETS_NAME_AP_ABS" hidden="1">"c8940"</definedName>
    <definedName name="IQ_ASSETS_NETTING_OTHER_ADJUSTMENTS" hidden="1">"c13842"</definedName>
    <definedName name="IQ_ASSETS_OPER_LEASE_DEPR" hidden="1">"c2070"</definedName>
    <definedName name="IQ_ASSETS_OPER_LEASE_GROSS" hidden="1">"c2071"</definedName>
    <definedName name="IQ_ASSETS_PER_EMPLOYEE_FDIC" hidden="1">"c6737"</definedName>
    <definedName name="IQ_ASSETS_REPRICE_ASSETS_TOT_FFIEC" hidden="1">"c13454"</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TM_FEES_FFIEC" hidden="1">"c13042"</definedName>
    <definedName name="IQ_ATM_INTERCHANGE_EXPENSES_FFIEC" hidden="1">"c13056"</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_FOR_SALE_FAIR_VALUE_TOT_FFIEC" hidden="1">"c15399"</definedName>
    <definedName name="IQ_AVAIL_FOR_SALE_LEVEL_1_FFIEC" hidden="1">"c15421"</definedName>
    <definedName name="IQ_AVAIL_FOR_SALE_LEVEL_2_FFIEC" hidden="1">"c15434"</definedName>
    <definedName name="IQ_AVAIL_FOR_SALE_LEVEL_3_FFIEC" hidden="1">"c15447"</definedName>
    <definedName name="IQ_AVAILABLE_FOR_SALE_FDIC" hidden="1">"c6409"</definedName>
    <definedName name="IQ_AVAILABLE_SALE_SEC_FFIEC" hidden="1">"c12791"</definedName>
    <definedName name="IQ_AVERAGE_ASSETS_FDIC" hidden="1">"c6362"</definedName>
    <definedName name="IQ_AVERAGE_ASSETS_QUART_FDIC" hidden="1">"c6363"</definedName>
    <definedName name="IQ_AVERAGE_DEPOSITS" hidden="1">"c15256"</definedName>
    <definedName name="IQ_AVERAGE_EARNING_ASSETS_FDIC" hidden="1">"c6748"</definedName>
    <definedName name="IQ_AVERAGE_EQUITY_FDIC" hidden="1">"c6749"</definedName>
    <definedName name="IQ_AVERAGE_INTEREST_BEARING_DEPOSITS" hidden="1">"c15254"</definedName>
    <definedName name="IQ_AVERAGE_LOANS_FDIC" hidden="1">"c6750"</definedName>
    <definedName name="IQ_AVERAGE_LOANS_HFI" hidden="1">"c15251"</definedName>
    <definedName name="IQ_AVERAGE_LOANS_HFS" hidden="1">"c15252"</definedName>
    <definedName name="IQ_AVERAGE_NON_INTEREST_BEARING_DEPOSITS" hidden="1">"c15255"</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NO_THOM" hidden="1">"c5094"</definedName>
    <definedName name="IQ_AVG_BROKER_REC_REUT" hidden="1">"c3630"</definedName>
    <definedName name="IQ_AVG_BROKER_REC_THOM" hidden="1">"c3648"</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DUSTRY_REC_NO" hidden="1">"c4454"</definedName>
    <definedName name="IQ_AVG_INDUSTRY_REC_NO_CIQ" hidden="1">"c4983"</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TOTAL_ASSETS_LEVERAGE_CAPITAL_FFIEC" hidden="1">"c13159"</definedName>
    <definedName name="IQ_AVG_TOTAL_ASSETS_LEVERAGE_RATIO_FFIEC" hidden="1">"c13154"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FC_UNUSED_UNUSED_UNUSED" hidden="1">"c8353"</definedName>
    <definedName name="IQ_BALANCE_GOODS_APR_UNUSED" hidden="1">"c7473"</definedName>
    <definedName name="IQ_BALANCE_GOODS_APR_UNUSED_UNUSED_UNUSED" hidden="1">"c7473"</definedName>
    <definedName name="IQ_BALANCE_GOODS_FC_UNUSED" hidden="1">"c7693"</definedName>
    <definedName name="IQ_BALANCE_GOODS_FC_UNUSED_UNUSED_UNUSED" hidden="1">"c7693"</definedName>
    <definedName name="IQ_BALANCE_GOODS_POP_FC_UNUSED" hidden="1">"c7913"</definedName>
    <definedName name="IQ_BALANCE_GOODS_POP_FC_UNUSED_UNUSED_UNUSED" hidden="1">"c7913"</definedName>
    <definedName name="IQ_BALANCE_GOODS_POP_UNUSED" hidden="1">"c7033"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FC_UNUSED_UNUSED_UNUSED" hidden="1">"c8133"</definedName>
    <definedName name="IQ_BALANCE_GOODS_YOY_UNUSED" hidden="1">"c7253"</definedName>
    <definedName name="IQ_BALANCE_GOODS_YOY_UNUSED_UNUSED_UNUSED" hidden="1">"c7253"</definedName>
    <definedName name="IQ_BALANCE_SERV_APR_FC_UNUSED" hidden="1">"c8355"</definedName>
    <definedName name="IQ_BALANCE_SERV_APR_FC_UNUSED_UNUSED_UNUSED" hidden="1">"c8355"</definedName>
    <definedName name="IQ_BALANCE_SERV_APR_UNUSED" hidden="1">"c7475"</definedName>
    <definedName name="IQ_BALANCE_SERV_APR_UNUSED_UNUSED_UNUSED" hidden="1">"c7475"</definedName>
    <definedName name="IQ_BALANCE_SERV_FC_UNUSED" hidden="1">"c7695"</definedName>
    <definedName name="IQ_BALANCE_SERV_FC_UNUSED_UNUSED_UNUSED" hidden="1">"c7695"</definedName>
    <definedName name="IQ_BALANCE_SERV_POP_FC_UNUSED" hidden="1">"c7915"</definedName>
    <definedName name="IQ_BALANCE_SERV_POP_FC_UNUSED_UNUSED_UNUSED" hidden="1">"c7915"</definedName>
    <definedName name="IQ_BALANCE_SERV_POP_UNUSED" hidden="1">"c7035"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FC_UNUSED_UNUSED_UNUSED" hidden="1">"c8135"</definedName>
    <definedName name="IQ_BALANCE_SERV_YOY_UNUSED" hidden="1">"c7255"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FC_UNUSED_UNUSED_UNUSED" hidden="1">"c8357"</definedName>
    <definedName name="IQ_BALANCE_TRADE_APR_UNUSED" hidden="1">"c7477"</definedName>
    <definedName name="IQ_BALANCE_TRADE_APR_UNUSED_UNUSED_UNUSED" hidden="1">"c7477"</definedName>
    <definedName name="IQ_BALANCE_TRADE_FC_UNUSED" hidden="1">"c7697"</definedName>
    <definedName name="IQ_BALANCE_TRADE_FC_UNUSED_UNUSED_UNUSED" hidden="1">"c7697"</definedName>
    <definedName name="IQ_BALANCE_TRADE_POP_FC_UNUSED" hidden="1">"c7917"</definedName>
    <definedName name="IQ_BALANCE_TRADE_POP_FC_UNUSED_UNUSED_UNUSED" hidden="1">"c7917"</definedName>
    <definedName name="IQ_BALANCE_TRADE_POP_UNUSED" hidden="1">"c7037"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FC_UNUSED_UNUSED_UNUSED" hidden="1">"c8137"</definedName>
    <definedName name="IQ_BALANCE_TRADE_YOY_UNUSED" hidden="1">"c7257"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LOAN_LIST" hidden="1">"c13507"</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ING_FEES_OPERATING_INC_FFIEC" hidden="1">"c13386"</definedName>
    <definedName name="IQ_BANKS_FOREIGN_COUNTRIES_NON_TRANS_ACCTS_FFIEC" hidden="1">"c15326"</definedName>
    <definedName name="IQ_BANKS_FOREIGN_COUNTRIES_TOTAL_DEPOSITS_FDIC" hidden="1">"c6475"</definedName>
    <definedName name="IQ_BANKS_FOREIGN_COUNTRIES_TRANS_ACCTS_FFIEC" hidden="1">"c15318"</definedName>
    <definedName name="IQ_BASIC_EPS_EXCL" hidden="1">"c85"</definedName>
    <definedName name="IQ_BASIC_EPS_INCL" hidden="1">"c86"</definedName>
    <definedName name="IQ_BASIC_NORMAL_EPS" hidden="1">"c1592"</definedName>
    <definedName name="IQ_BASIC_OUTSTANDING_CURRENT_EST" hidden="1">"c4128"</definedName>
    <definedName name="IQ_BASIC_OUTSTANDING_CURRENT_EST_CIQ" hidden="1">"c4541"</definedName>
    <definedName name="IQ_BASIC_OUTSTANDING_CURRENT_HIGH_EST" hidden="1">"c4129"</definedName>
    <definedName name="IQ_BASIC_OUTSTANDING_CURRENT_HIGH_EST_CIQ" hidden="1">"c4542"</definedName>
    <definedName name="IQ_BASIC_OUTSTANDING_CURRENT_LOW_EST" hidden="1">"c4130"</definedName>
    <definedName name="IQ_BASIC_OUTSTANDING_CURRENT_LOW_EST_CIQ" hidden="1">"c4543"</definedName>
    <definedName name="IQ_BASIC_OUTSTANDING_CURRENT_MEDIAN_EST" hidden="1">"c4131"</definedName>
    <definedName name="IQ_BASIC_OUTSTANDING_CURRENT_MEDIAN_EST_CIQ" hidden="1">"c4544"</definedName>
    <definedName name="IQ_BASIC_OUTSTANDING_CURRENT_NUM_EST" hidden="1">"c4132"</definedName>
    <definedName name="IQ_BASIC_OUTSTANDING_CURRENT_NUM_EST_CIQ" hidden="1">"c4545"</definedName>
    <definedName name="IQ_BASIC_OUTSTANDING_CURRENT_STDDEV_EST" hidden="1">"c4133"</definedName>
    <definedName name="IQ_BASIC_OUTSTANDING_CURRENT_STDDEV_EST_CIQ" hidden="1">"c4546"</definedName>
    <definedName name="IQ_BASIC_OUTSTANDING_EST" hidden="1">"c4134"</definedName>
    <definedName name="IQ_BASIC_OUTSTANDING_EST_CIQ" hidden="1">"c4547"</definedName>
    <definedName name="IQ_BASIC_OUTSTANDING_HIGH_EST" hidden="1">"c4135"</definedName>
    <definedName name="IQ_BASIC_OUTSTANDING_HIGH_EST_CIQ" hidden="1">"c4548"</definedName>
    <definedName name="IQ_BASIC_OUTSTANDING_LOW_EST" hidden="1">"c4136"</definedName>
    <definedName name="IQ_BASIC_OUTSTANDING_LOW_EST_CIQ" hidden="1">"c4549"</definedName>
    <definedName name="IQ_BASIC_OUTSTANDING_MEDIAN_EST" hidden="1">"c4137"</definedName>
    <definedName name="IQ_BASIC_OUTSTANDING_MEDIAN_EST_CIQ" hidden="1">"c4550"</definedName>
    <definedName name="IQ_BASIC_OUTSTANDING_NUM_EST" hidden="1">"c4138"</definedName>
    <definedName name="IQ_BASIC_OUTSTANDING_NUM_EST_CIQ" hidden="1">"c4551"</definedName>
    <definedName name="IQ_BASIC_OUTSTANDING_STDDEV_EST" hidden="1">"c4139"</definedName>
    <definedName name="IQ_BASIC_OUTSTANDING_STDDEV_EST_CIQ" hidden="1">"c4552"</definedName>
    <definedName name="IQ_BASIC_WEIGHT" hidden="1">"c87"</definedName>
    <definedName name="IQ_BASIC_WEIGHT_EST" hidden="1">"c4140"</definedName>
    <definedName name="IQ_BASIC_WEIGHT_EST_CIQ" hidden="1">"c4553"</definedName>
    <definedName name="IQ_BASIC_WEIGHT_GUIDANCE" hidden="1">"c4141"</definedName>
    <definedName name="IQ_BASIC_WEIGHT_HIGH_EST" hidden="1">"c4142"</definedName>
    <definedName name="IQ_BASIC_WEIGHT_HIGH_EST_CIQ" hidden="1">"c4554"</definedName>
    <definedName name="IQ_BASIC_WEIGHT_LOW_EST" hidden="1">"c4143"</definedName>
    <definedName name="IQ_BASIC_WEIGHT_LOW_EST_CIQ" hidden="1">"c4555"</definedName>
    <definedName name="IQ_BASIC_WEIGHT_MEDIAN_EST" hidden="1">"c4144"</definedName>
    <definedName name="IQ_BASIC_WEIGHT_MEDIAN_EST_CIQ" hidden="1">"c4556"</definedName>
    <definedName name="IQ_BASIC_WEIGHT_NUM_EST" hidden="1">"c4145"</definedName>
    <definedName name="IQ_BASIC_WEIGHT_NUM_EST_CIQ" hidden="1">"c4557"</definedName>
    <definedName name="IQ_BASIC_WEIGHT_STDDEV_EST" hidden="1">"c4146"</definedName>
    <definedName name="IQ_BASIC_WEIGHT_STDDEV_EST_CIQ" hidden="1">"c4558"</definedName>
    <definedName name="IQ_BENCHMARK_SECURITY" hidden="1">"c2154"</definedName>
    <definedName name="IQ_BENCHMARK_SPRD" hidden="1">"c2153"</definedName>
    <definedName name="IQ_BENCHMARK_YIELD" hidden="1">"c8955"</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"c11749"</definedName>
    <definedName name="IQ_BOARD_MEMBER" hidden="1">"c96"</definedName>
    <definedName name="IQ_BOARD_MEMBER_ASSISTANT_EMAIL" hidden="1">"c15179"</definedName>
    <definedName name="IQ_BOARD_MEMBER_ASSISTANT_FAX" hidden="1">"c15181"</definedName>
    <definedName name="IQ_BOARD_MEMBER_ASSISTANT_NAME" hidden="1">"c15178"</definedName>
    <definedName name="IQ_BOARD_MEMBER_ASSISTANT_PHONE" hidden="1">"c15180"</definedName>
    <definedName name="IQ_BOARD_MEMBER_BACKGROUND" hidden="1">"c2101"</definedName>
    <definedName name="IQ_BOARD_MEMBER_DIRECT_FAX" hidden="1">"c15176"</definedName>
    <definedName name="IQ_BOARD_MEMBER_DIRECT_PHONE" hidden="1">"c15175"</definedName>
    <definedName name="IQ_BOARD_MEMBER_EMAIL" hidden="1">"c15177"</definedName>
    <definedName name="IQ_BOARD_MEMBER_ID" hidden="1">"c13756"</definedName>
    <definedName name="IQ_BOARD_MEMBER_MAIN_FAX" hidden="1">"c15174"</definedName>
    <definedName name="IQ_BOARD_MEMBER_MAIN_PHONE" hidden="1">"c15173"</definedName>
    <definedName name="IQ_BOARD_MEMBER_OFFICE_ADDRESS" hidden="1">"c15172"</definedName>
    <definedName name="IQ_BOARD_MEMBER_TITLE" hidden="1">"c97"</definedName>
    <definedName name="IQ_BOND_COUPON" hidden="1">"c2183"</definedName>
    <definedName name="IQ_BOND_COUPON_TYPE" hidden="1">"c2184"</definedName>
    <definedName name="IQ_BOND_LIST" hidden="1">"c13505"</definedName>
    <definedName name="IQ_BOND_PRICE" hidden="1">"c2162"</definedName>
    <definedName name="IQ_BONDRATING_FITCH" hidden="1">"IQ_BONDRATING_FITCH"</definedName>
    <definedName name="IQ_BONDRATING_FITCH_DATE" hidden="1">"c241"</definedName>
    <definedName name="IQ_BONDRATING_MOODYS" hidden="1">"IQ_BONDRATING_MOODYS"</definedName>
    <definedName name="IQ_BONDRATING_SP" hidden="1">"IQ_BONDRATING_SP"</definedName>
    <definedName name="IQ_BONDRATING_SP_DATE" hidden="1">"c242"</definedName>
    <definedName name="IQ_BOOK_VALUE" hidden="1">"IQ_BOOK_VALUE"</definedName>
    <definedName name="IQ_BORROWED_MONEY_QUARTERLY_AVG_FFIEC" hidden="1">"c13091"</definedName>
    <definedName name="IQ_BORROWINGS_LESS_1YR_ASSETS_TOT_FFIEC" hidden="1">"c13450"</definedName>
    <definedName name="IQ_BROK_COMISSION" hidden="1">"c98"</definedName>
    <definedName name="IQ_BROK_COMMISSION" hidden="1">"c3514"</definedName>
    <definedName name="IQ_BROKER_DEPOSIT_LESS_THAN_100000_1_YR_LESS_FFIEC" hidden="1">"c15307"</definedName>
    <definedName name="IQ_BROKER_DEPOSIT_LESS_THAN_100000_1_YR_MORE_FFIEC" hidden="1">"c15308"</definedName>
    <definedName name="IQ_BROKER_DEPOSIT_LESS_THAN_100000_FFIEC" hidden="1">"c15306"</definedName>
    <definedName name="IQ_BROKER_DEPOSIT_MORE_THAN_100000_1_YR_LESS_FFIEC" hidden="1">"c15310"</definedName>
    <definedName name="IQ_BROKER_DEPOSIT_MORE_THAN_100000_1_YR_MORE_FFIEC" hidden="1">"c15311"</definedName>
    <definedName name="IQ_BROKER_DEPOSIT_MORE_THAN_100000_FFIEC" hidden="1">"c15309"</definedName>
    <definedName name="IQ_BROKERED_DEPOSITS_FDIC" hidden="1">"c6486"</definedName>
    <definedName name="IQ_BUDGET_BALANCE_APR_FC_UNUSED" hidden="1">"c8359"</definedName>
    <definedName name="IQ_BUDGET_BALANCE_APR_FC_UNUSED_UNUSED_UNUSED" hidden="1">"c8359"</definedName>
    <definedName name="IQ_BUDGET_BALANCE_APR_UNUSED" hidden="1">"c7479"</definedName>
    <definedName name="IQ_BUDGET_BALANCE_APR_UNUSED_UNUSED_UNUSED" hidden="1">"c7479"</definedName>
    <definedName name="IQ_BUDGET_BALANCE_FC_UNUSED" hidden="1">"c7699"</definedName>
    <definedName name="IQ_BUDGET_BALANCE_FC_UNUSED_UNUSED_UNUSED" hidden="1">"c7699"</definedName>
    <definedName name="IQ_BUDGET_BALANCE_POP_FC_UNUSED" hidden="1">"c7919"</definedName>
    <definedName name="IQ_BUDGET_BALANCE_POP_FC_UNUSED_UNUSED_UNUSED" hidden="1">"c7919"</definedName>
    <definedName name="IQ_BUDGET_BALANCE_POP_UNUSED" hidden="1">"c7039"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UNUSED_UNUSED_UNUSED" hidden="1">"c6819"</definedName>
    <definedName name="IQ_BUDGET_BALANCE_YOY_FC_UNUSED" hidden="1">"c8139"</definedName>
    <definedName name="IQ_BUDGET_BALANCE_YOY_FC_UNUSED_UNUSED_UNUSED" hidden="1">"c8139"</definedName>
    <definedName name="IQ_BUDGET_BALANCE_YOY_UNUSED" hidden="1">"c7259"</definedName>
    <definedName name="IQ_BUDGET_BALANCE_YOY_UNUSED_UNUSED_UNUSED" hidden="1">"c7259"</definedName>
    <definedName name="IQ_BUDGET_RECEIPTS_APR_FC_UNUSED" hidden="1">"c8361"</definedName>
    <definedName name="IQ_BUDGET_RECEIPTS_APR_FC_UNUSED_UNUSED_UNUSED" hidden="1">"c8361"</definedName>
    <definedName name="IQ_BUDGET_RECEIPTS_APR_UNUSED" hidden="1">"c7481"</definedName>
    <definedName name="IQ_BUDGET_RECEIPTS_APR_UNUSED_UNUSED_UNUSED" hidden="1">"c7481"</definedName>
    <definedName name="IQ_BUDGET_RECEIPTS_FC_UNUSED" hidden="1">"c7701"</definedName>
    <definedName name="IQ_BUDGET_RECEIPTS_FC_UNUSED_UNUSED_UNUSED" hidden="1">"c7701"</definedName>
    <definedName name="IQ_BUDGET_RECEIPTS_POP_FC_UNUSED" hidden="1">"c7921"</definedName>
    <definedName name="IQ_BUDGET_RECEIPTS_POP_FC_UNUSED_UNUSED_UNUSED" hidden="1">"c7921"</definedName>
    <definedName name="IQ_BUDGET_RECEIPTS_POP_UNUSED" hidden="1">"c7041"</definedName>
    <definedName name="IQ_BUDGET_RECEIPTS_POP_UNUSED_UNUSED_UNUSED" hidden="1">"c7041"</definedName>
    <definedName name="IQ_BUDGET_RECEIPTS_UNUSED" hidden="1">"c6821"</definedName>
    <definedName name="IQ_BUDGET_RECEIPTS_UNUSED_UNUSED_UNUSED" hidden="1">"c6821"</definedName>
    <definedName name="IQ_BUDGET_RECEIPTS_YOY_FC_UNUSED" hidden="1">"c8141"</definedName>
    <definedName name="IQ_BUDGET_RECEIPTS_YOY_FC_UNUSED_UNUSED_UNUSED" hidden="1">"c8141"</definedName>
    <definedName name="IQ_BUDGET_RECEIPTS_YOY_UNUSED" hidden="1">"c7261"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COMBINATIONS_FFIEC" hidden="1">"c12967"</definedName>
    <definedName name="IQ_BUSINESS_DESCRIPTION" hidden="1">"c322"</definedName>
    <definedName name="IQ_BV_ACT_OR_EST_CIQ" hidden="1">"c5068"</definedName>
    <definedName name="IQ_BV_ACT_OR_EST_REUT" hidden="1">"c5471"</definedName>
    <definedName name="IQ_BV_ACT_OR_EST_THOM" hidden="1">"c5308"</definedName>
    <definedName name="IQ_BV_EST" hidden="1">"c5624"</definedName>
    <definedName name="IQ_BV_EST_CIQ" hidden="1">"c4737"</definedName>
    <definedName name="IQ_BV_EST_REUT" hidden="1">"c5403"</definedName>
    <definedName name="IQ_BV_EST_THOM" hidden="1">"c5147"</definedName>
    <definedName name="IQ_BV_HIGH_EST" hidden="1">"c5626"</definedName>
    <definedName name="IQ_BV_HIGH_EST_CIQ" hidden="1">"c4739"</definedName>
    <definedName name="IQ_BV_HIGH_EST_REUT" hidden="1">"c5405"</definedName>
    <definedName name="IQ_BV_HIGH_EST_THOM" hidden="1">"c5149"</definedName>
    <definedName name="IQ_BV_LOW_EST" hidden="1">"c5627"</definedName>
    <definedName name="IQ_BV_LOW_EST_CIQ" hidden="1">"c4740"</definedName>
    <definedName name="IQ_BV_LOW_EST_REUT" hidden="1">"c5406"</definedName>
    <definedName name="IQ_BV_LOW_EST_THOM" hidden="1">"c5150"</definedName>
    <definedName name="IQ_BV_MEDIAN_EST" hidden="1">"c5625"</definedName>
    <definedName name="IQ_BV_MEDIAN_EST_CIQ" hidden="1">"c4738"</definedName>
    <definedName name="IQ_BV_MEDIAN_EST_REUT" hidden="1">"c5404"</definedName>
    <definedName name="IQ_BV_MEDIAN_EST_THOM" hidden="1">"c5148"</definedName>
    <definedName name="IQ_BV_NUM_EST" hidden="1">"c5628"</definedName>
    <definedName name="IQ_BV_NUM_EST_CIQ" hidden="1">"c4741"</definedName>
    <definedName name="IQ_BV_NUM_EST_REUT" hidden="1">"c5407"</definedName>
    <definedName name="IQ_BV_NUM_EST_THOM" hidden="1">"c5151"</definedName>
    <definedName name="IQ_BV_OVER_SHARES" hidden="1">"c1349"</definedName>
    <definedName name="IQ_BV_SHARE" hidden="1">"c100"</definedName>
    <definedName name="IQ_BV_SHARE_ACT_OR_EST" hidden="1">"c3587"</definedName>
    <definedName name="IQ_BV_SHARE_ACT_OR_EST_CIQ" hidden="1">"c5072"</definedName>
    <definedName name="IQ_BV_SHARE_ACT_OR_EST_REUT" hidden="1">"c5477"</definedName>
    <definedName name="IQ_BV_SHARE_ACT_OR_EST_THOM" hidden="1">"c5312"</definedName>
    <definedName name="IQ_BV_SHARE_EST" hidden="1">"c3541"</definedName>
    <definedName name="IQ_BV_SHARE_EST_CIQ" hidden="1">"c3800"</definedName>
    <definedName name="IQ_BV_SHARE_EST_REUT" hidden="1">"c5439"</definedName>
    <definedName name="IQ_BV_SHARE_EST_THOM" hidden="1">"c4020"</definedName>
    <definedName name="IQ_BV_SHARE_HIGH_EST" hidden="1">"c3542"</definedName>
    <definedName name="IQ_BV_SHARE_HIGH_EST_CIQ" hidden="1">"c3802"</definedName>
    <definedName name="IQ_BV_SHARE_HIGH_EST_REUT" hidden="1">"c5441"</definedName>
    <definedName name="IQ_BV_SHARE_HIGH_EST_THOM" hidden="1">"c4022"</definedName>
    <definedName name="IQ_BV_SHARE_LOW_EST" hidden="1">"c3543"</definedName>
    <definedName name="IQ_BV_SHARE_LOW_EST_CIQ" hidden="1">"c3803"</definedName>
    <definedName name="IQ_BV_SHARE_LOW_EST_REUT" hidden="1">"c5442"</definedName>
    <definedName name="IQ_BV_SHARE_LOW_EST_THOM" hidden="1">"c4023"</definedName>
    <definedName name="IQ_BV_SHARE_MEDIAN_EST" hidden="1">"c3544"</definedName>
    <definedName name="IQ_BV_SHARE_MEDIAN_EST_CIQ" hidden="1">"c3801"</definedName>
    <definedName name="IQ_BV_SHARE_MEDIAN_EST_REUT" hidden="1">"c5440"</definedName>
    <definedName name="IQ_BV_SHARE_MEDIAN_EST_THOM" hidden="1">"c4021"</definedName>
    <definedName name="IQ_BV_SHARE_NUM_EST" hidden="1">"c3539"</definedName>
    <definedName name="IQ_BV_SHARE_NUM_EST_CIQ" hidden="1">"c3804"</definedName>
    <definedName name="IQ_BV_SHARE_NUM_EST_REUT" hidden="1">"c5443"</definedName>
    <definedName name="IQ_BV_SHARE_NUM_EST_THOM" hidden="1">"c4024"</definedName>
    <definedName name="IQ_BV_SHARE_STDDEV_EST" hidden="1">"c3540"</definedName>
    <definedName name="IQ_BV_SHARE_STDDEV_EST_CIQ" hidden="1">"c3805"</definedName>
    <definedName name="IQ_BV_SHARE_STDDEV_EST_REUT" hidden="1">"c5444"</definedName>
    <definedName name="IQ_BV_SHARE_STDDEV_EST_THOM" hidden="1">"c4025"</definedName>
    <definedName name="IQ_BV_STDDEV_EST" hidden="1">"c5629"</definedName>
    <definedName name="IQ_BV_STDDEV_EST_CIQ" hidden="1">"c4742"</definedName>
    <definedName name="IQ_BV_STDDEV_EST_REUT" hidden="1">"c5408"</definedName>
    <definedName name="IQ_BV_STDDEV_EST_THOM" hidden="1">"c5152"</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REUT" hidden="1">"c6800"</definedName>
    <definedName name="IQ_CAL_Y" hidden="1">"c102"</definedName>
    <definedName name="IQ_CAL_Y_EST" hidden="1">"c6797"</definedName>
    <definedName name="IQ_CAL_Y_EST_CIQ" hidden="1">"c6809"</definedName>
    <definedName name="IQ_CAL_Y_EST_REUT" hidden="1">"c6801"</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CIQ" hidden="1">"c5071"</definedName>
    <definedName name="IQ_CAPEX_ACT_OR_EST_REUT" hidden="1">"c5474"</definedName>
    <definedName name="IQ_CAPEX_ACT_OR_EST_THOM" hidden="1">"c5546"</definedName>
    <definedName name="IQ_CAPEX_BNK" hidden="1">"c110"</definedName>
    <definedName name="IQ_CAPEX_BR" hidden="1">"c111"</definedName>
    <definedName name="IQ_CAPEX_EST" hidden="1">"c3523"</definedName>
    <definedName name="IQ_CAPEX_EST_CIQ" hidden="1">"c3807"</definedName>
    <definedName name="IQ_CAPEX_EST_REUT" hidden="1">"c3969"</definedName>
    <definedName name="IQ_CAPEX_EST_THOM" hidden="1">"c5535"</definedName>
    <definedName name="IQ_CAPEX_FIN" hidden="1">"c112"</definedName>
    <definedName name="IQ_CAPEX_GUIDANCE" hidden="1">"c4150"</definedName>
    <definedName name="IQ_CAPEX_GUIDANCE_CIQ" hidden="1">"c4562"</definedName>
    <definedName name="IQ_CAPEX_HIGH_EST" hidden="1">"c3524"</definedName>
    <definedName name="IQ_CAPEX_HIGH_EST_CIQ" hidden="1">"c3809"</definedName>
    <definedName name="IQ_CAPEX_HIGH_EST_REUT" hidden="1">"c3971"</definedName>
    <definedName name="IQ_CAPEX_HIGH_EST_THOM" hidden="1">"c5537"</definedName>
    <definedName name="IQ_CAPEX_HIGH_GUIDANCE" hidden="1">"c4180"</definedName>
    <definedName name="IQ_CAPEX_HIGH_GUIDANCE_CIQ" hidden="1">"c4592"</definedName>
    <definedName name="IQ_CAPEX_INS" hidden="1">"c113"</definedName>
    <definedName name="IQ_CAPEX_LOW_EST" hidden="1">"c3525"</definedName>
    <definedName name="IQ_CAPEX_LOW_EST_CIQ" hidden="1">"c3810"</definedName>
    <definedName name="IQ_CAPEX_LOW_EST_REUT" hidden="1">"c3972"</definedName>
    <definedName name="IQ_CAPEX_LOW_EST_THOM" hidden="1">"c5538"</definedName>
    <definedName name="IQ_CAPEX_LOW_GUIDANCE" hidden="1">"c4220"</definedName>
    <definedName name="IQ_CAPEX_LOW_GUIDANCE_CIQ" hidden="1">"c4632"</definedName>
    <definedName name="IQ_CAPEX_MEDIAN_EST" hidden="1">"c3526"</definedName>
    <definedName name="IQ_CAPEX_MEDIAN_EST_CIQ" hidden="1">"c3808"</definedName>
    <definedName name="IQ_CAPEX_MEDIAN_EST_REUT" hidden="1">"c3970"</definedName>
    <definedName name="IQ_CAPEX_MEDIAN_EST_THOM" hidden="1">"c5536"</definedName>
    <definedName name="IQ_CAPEX_NUM_EST" hidden="1">"c3521"</definedName>
    <definedName name="IQ_CAPEX_NUM_EST_CIQ" hidden="1">"c3811"</definedName>
    <definedName name="IQ_CAPEX_NUM_EST_REUT" hidden="1">"c3973"</definedName>
    <definedName name="IQ_CAPEX_NUM_EST_THOM" hidden="1">"c5539"</definedName>
    <definedName name="IQ_CAPEX_STDDEV_EST" hidden="1">"c3522"</definedName>
    <definedName name="IQ_CAPEX_STDDEV_EST_CIQ" hidden="1">"c3812"</definedName>
    <definedName name="IQ_CAPEX_STDDEV_EST_REUT" hidden="1">"c3974"</definedName>
    <definedName name="IQ_CAPEX_STDDEV_EST_THOM" hidden="1">"c5540"</definedName>
    <definedName name="IQ_CAPEX_UTI" hidden="1">"c114"</definedName>
    <definedName name="IQ_CAPITAL_ALLOCATION_ADJUSTMENT_FOREIGN_FFIEC" hidden="1">"c15389"</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BALANCES_DUE_FFIEC" hidden="1">"c12773"</definedName>
    <definedName name="IQ_CASH_BANKS_FOREIGN_COUNTRIES_DOM_FFIEC" hidden="1">"c15289"</definedName>
    <definedName name="IQ_CASH_COLLECTION_UNPOSTED_DEBITS_CURRENCY_FFIEC" hidden="1">"c15279"</definedName>
    <definedName name="IQ_CASH_COLLECTION_UNPOSTED_DEBITS_DOM_FFIEC" hidden="1">"c15286"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EPOSITORY_INSTIT_US_DOM_FFIEC" hidden="1">"c15288"</definedName>
    <definedName name="IQ_CASH_DIVIDENDS_NET_INCOME_FDIC" hidden="1">"c6738"</definedName>
    <definedName name="IQ_CASH_DUE_BANKS" hidden="1">"c1351"</definedName>
    <definedName name="IQ_CASH_DUE_OTHER_FED_RESERVE_BANKS_DOM_FFIEC" hidden="1">"c15290"</definedName>
    <definedName name="IQ_CASH_DUE_OTHER_FED_RESERVE_BANKS_FFIEC" hidden="1">"c15284"</definedName>
    <definedName name="IQ_CASH_DUE_US_BRANCH_FOREIGN_BANK_FFIEC" hidden="1">"c15280"</definedName>
    <definedName name="IQ_CASH_EPS_ACT_OR_EST" hidden="1">"c5638"</definedName>
    <definedName name="IQ_CASH_EPS_ACT_OR_EST_THOM" hidden="1">"c5646"</definedName>
    <definedName name="IQ_CASH_EPS_EST" hidden="1">"c5631"</definedName>
    <definedName name="IQ_CASH_EPS_EST_THOM" hidden="1">"c5639"</definedName>
    <definedName name="IQ_CASH_EPS_HIGH_EST" hidden="1">"c5633"</definedName>
    <definedName name="IQ_CASH_EPS_HIGH_EST_THOM" hidden="1">"c5641"</definedName>
    <definedName name="IQ_CASH_EPS_LOW_EST" hidden="1">"c5634"</definedName>
    <definedName name="IQ_CASH_EPS_LOW_EST_THOM" hidden="1">"c5642"</definedName>
    <definedName name="IQ_CASH_EPS_MEDIAN_EST" hidden="1">"c5632"</definedName>
    <definedName name="IQ_CASH_EPS_MEDIAN_EST_THOM" hidden="1">"c5640"</definedName>
    <definedName name="IQ_CASH_EPS_NUM_EST" hidden="1">"c5635"</definedName>
    <definedName name="IQ_CASH_EPS_NUM_EST_THOM" hidden="1">"c5643"</definedName>
    <definedName name="IQ_CASH_EPS_STDDEV_EST" hidden="1">"c5636"</definedName>
    <definedName name="IQ_CASH_EPS_STDDEV_EST_THOM" hidden="1">"c5644"</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FLOW_EST" hidden="1">"c4153"</definedName>
    <definedName name="IQ_CASH_FLOW_EST_CIQ" hidden="1">"c4565"</definedName>
    <definedName name="IQ_CASH_FLOW_GUIDANCE" hidden="1">"c4155"</definedName>
    <definedName name="IQ_CASH_FLOW_GUIDANCE_CIQ" hidden="1">"c4567"</definedName>
    <definedName name="IQ_CASH_FLOW_HIGH_EST" hidden="1">"c4156"</definedName>
    <definedName name="IQ_CASH_FLOW_HIGH_EST_CIQ" hidden="1">"c4568"</definedName>
    <definedName name="IQ_CASH_FLOW_HIGH_GUIDANCE" hidden="1">"c4201"</definedName>
    <definedName name="IQ_CASH_FLOW_HIGH_GUIDANCE_CIQ" hidden="1">"c4613"</definedName>
    <definedName name="IQ_CASH_FLOW_LOW_EST" hidden="1">"c4157"</definedName>
    <definedName name="IQ_CASH_FLOW_LOW_EST_CIQ" hidden="1">"c4569"</definedName>
    <definedName name="IQ_CASH_FLOW_LOW_GUIDANCE" hidden="1">"c4241"</definedName>
    <definedName name="IQ_CASH_FLOW_LOW_GUIDANCE_CIQ" hidden="1">"c4653"</definedName>
    <definedName name="IQ_CASH_FLOW_MEDIAN_EST" hidden="1">"c4158"</definedName>
    <definedName name="IQ_CASH_FLOW_MEDIAN_EST_CIQ" hidden="1">"c4570"</definedName>
    <definedName name="IQ_CASH_FLOW_NUM_EST" hidden="1">"c4159"</definedName>
    <definedName name="IQ_CASH_FLOW_NUM_EST_CIQ" hidden="1">"c4571"</definedName>
    <definedName name="IQ_CASH_FLOW_STDDEV_EST" hidden="1">"c4160"</definedName>
    <definedName name="IQ_CASH_FLOW_STDDEV_EST_CIQ" hidden="1">"c4572"</definedName>
    <definedName name="IQ_CASH_FOREIGN_BRANCH_OTHER_US_BANKS_FFIEC" hidden="1">"c15282"</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P" hidden="1">"c8888"</definedName>
    <definedName name="IQ_CASH_OPER_AP_ABS" hidden="1">"c8907"</definedName>
    <definedName name="IQ_CASH_OPER_EST" hidden="1">"c4163"</definedName>
    <definedName name="IQ_CASH_OPER_EST_CIQ" hidden="1">"c4575"</definedName>
    <definedName name="IQ_CASH_OPER_GUIDANCE" hidden="1">"c4165"</definedName>
    <definedName name="IQ_CASH_OPER_GUIDANCE_CIQ" hidden="1">"c4577"</definedName>
    <definedName name="IQ_CASH_OPER_HIGH_EST" hidden="1">"c4166"</definedName>
    <definedName name="IQ_CASH_OPER_HIGH_EST_CIQ" hidden="1">"c4578"</definedName>
    <definedName name="IQ_CASH_OPER_HIGH_GUIDANCE" hidden="1">"c4185"</definedName>
    <definedName name="IQ_CASH_OPER_HIGH_GUIDANCE_CIQ" hidden="1">"c4597"</definedName>
    <definedName name="IQ_CASH_OPER_LOW_EST" hidden="1">"c4244"</definedName>
    <definedName name="IQ_CASH_OPER_LOW_EST_CIQ" hidden="1">"c4768"</definedName>
    <definedName name="IQ_CASH_OPER_LOW_GUIDANCE" hidden="1">"c4225"</definedName>
    <definedName name="IQ_CASH_OPER_LOW_GUIDANCE_CIQ" hidden="1">"c4637"</definedName>
    <definedName name="IQ_CASH_OPER_MEDIAN_EST" hidden="1">"c4245"</definedName>
    <definedName name="IQ_CASH_OPER_MEDIAN_EST_CIQ" hidden="1">"c4771"</definedName>
    <definedName name="IQ_CASH_OPER_NAME_AP" hidden="1">"c8926"</definedName>
    <definedName name="IQ_CASH_OPER_NAME_AP_ABS" hidden="1">"c8945"</definedName>
    <definedName name="IQ_CASH_OPER_NUM_EST" hidden="1">"c4246"</definedName>
    <definedName name="IQ_CASH_OPER_NUM_EST_CIQ" hidden="1">"c4772"</definedName>
    <definedName name="IQ_CASH_OPER_STDDEV_EST" hidden="1">"c4247"</definedName>
    <definedName name="IQ_CASH_OPER_STDDEV_EST_CIQ" hidden="1">"c4773"</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OTHER_BANKS_FOREIGN_COUNTRIES_FFIEC" hidden="1">"c15283"</definedName>
    <definedName name="IQ_CASH_OTHER_US_COMM_BANK_DEP_INSTIT_FFIEC" hidden="1">"c15281"</definedName>
    <definedName name="IQ_CASH_SEGREG" hidden="1">"c123"</definedName>
    <definedName name="IQ_CASH_SHARE" hidden="1">"c1911"</definedName>
    <definedName name="IQ_CASH_ST" hidden="1">"c1355"</definedName>
    <definedName name="IQ_CASH_ST_INVEST" hidden="1">"c124"</definedName>
    <definedName name="IQ_CASH_ST_INVEST_EST" hidden="1">"c4249"</definedName>
    <definedName name="IQ_CASH_ST_INVEST_EST_CIQ" hidden="1">"c4775"</definedName>
    <definedName name="IQ_CASH_ST_INVEST_GUIDANCE" hidden="1">"c4250"</definedName>
    <definedName name="IQ_CASH_ST_INVEST_GUIDANCE_CIQ" hidden="1">"c4776"</definedName>
    <definedName name="IQ_CASH_ST_INVEST_HIGH_EST" hidden="1">"c4251"</definedName>
    <definedName name="IQ_CASH_ST_INVEST_HIGH_EST_CIQ" hidden="1">"c4777"</definedName>
    <definedName name="IQ_CASH_ST_INVEST_HIGH_GUIDANCE" hidden="1">"c4195"</definedName>
    <definedName name="IQ_CASH_ST_INVEST_HIGH_GUIDANCE_CIQ" hidden="1">"c4607"</definedName>
    <definedName name="IQ_CASH_ST_INVEST_LOW_EST" hidden="1">"c4252"</definedName>
    <definedName name="IQ_CASH_ST_INVEST_LOW_EST_CIQ" hidden="1">"c4778"</definedName>
    <definedName name="IQ_CASH_ST_INVEST_LOW_GUIDANCE" hidden="1">"c4235"</definedName>
    <definedName name="IQ_CASH_ST_INVEST_LOW_GUIDANCE_CIQ" hidden="1">"c4647"</definedName>
    <definedName name="IQ_CASH_ST_INVEST_MEDIAN_EST" hidden="1">"c4253"</definedName>
    <definedName name="IQ_CASH_ST_INVEST_MEDIAN_EST_CIQ" hidden="1">"c4779"</definedName>
    <definedName name="IQ_CASH_ST_INVEST_NUM_EST" hidden="1">"c4254"</definedName>
    <definedName name="IQ_CASH_ST_INVEST_NUM_EST_CIQ" hidden="1">"c4780"</definedName>
    <definedName name="IQ_CASH_ST_INVEST_STDDEV_EST" hidden="1">"c4255"</definedName>
    <definedName name="IQ_CASH_ST_INVEST_STDDEV_EST_CIQ" hidden="1">"c4781"</definedName>
    <definedName name="IQ_CASH_STRUCTURED_PRODUCTS_AVAIL_SALE_FFIEC" hidden="1">"c15263"</definedName>
    <definedName name="IQ_CASH_STRUCTURED_PRODUCTS_FFIEC" hidden="1">"c15260"</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5YR_CIQID" hidden="1">"c11751"</definedName>
    <definedName name="IQ_CDS_ASK" hidden="1">"c6027"</definedName>
    <definedName name="IQ_CDS_BID" hidden="1">"c6026"</definedName>
    <definedName name="IQ_CDS_COUPON" hidden="1">"c15234"</definedName>
    <definedName name="IQ_CDS_CURRENCY" hidden="1">"c6031"</definedName>
    <definedName name="IQ_CDS_DERIVATIVES_BENEFICIARY_FFIEC" hidden="1">"c13119"</definedName>
    <definedName name="IQ_CDS_DERIVATIVES_GUARANTOR_FFIEC" hidden="1">"c13112"</definedName>
    <definedName name="IQ_CDS_EVAL_DATE" hidden="1">"c6029"</definedName>
    <definedName name="IQ_CDS_LIST" hidden="1">"c13510"</definedName>
    <definedName name="IQ_CDS_LOAN_LIST" hidden="1">"c13518"</definedName>
    <definedName name="IQ_CDS_MID" hidden="1">"c6028"</definedName>
    <definedName name="IQ_CDS_NAME" hidden="1">"c6034"</definedName>
    <definedName name="IQ_CDS_NEXT_SERIES_ID" hidden="1">"c15231"</definedName>
    <definedName name="IQ_CDS_PREV_SERIES_ID" hidden="1">"c15232"</definedName>
    <definedName name="IQ_CDS_PRICE_TYPE" hidden="1">"c15233"</definedName>
    <definedName name="IQ_CDS_SENIOR_LIST" hidden="1">"c13508"</definedName>
    <definedName name="IQ_CDS_SUB_LIST" hidden="1">"c13509"</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EO_ID" hidden="1">"c15210"</definedName>
    <definedName name="IQ_CEO_NAME" hidden="1">"c15209"</definedName>
    <definedName name="IQ_CERTIFIED_OFFICIAL_CHECKS_TRANS_ACCTS_FFIEC" hidden="1">"c15320"</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O_ID" hidden="1">"c15212"</definedName>
    <definedName name="IQ_CFO_NAME" hidden="1">"c15211"</definedName>
    <definedName name="IQ_CFPS_ACT_OR_EST" hidden="1">"c2217"</definedName>
    <definedName name="IQ_CFPS_ACT_OR_EST_CIQ" hidden="1">"c5061"</definedName>
    <definedName name="IQ_CFPS_ACT_OR_EST_REUT" hidden="1">"c5463"</definedName>
    <definedName name="IQ_CFPS_ACT_OR_EST_THOM" hidden="1">"c5301"</definedName>
    <definedName name="IQ_CFPS_EST" hidden="1">"c1667"</definedName>
    <definedName name="IQ_CFPS_EST_CIQ" hidden="1">"c3675"</definedName>
    <definedName name="IQ_CFPS_EST_REUT" hidden="1">"c3844"</definedName>
    <definedName name="IQ_CFPS_EST_THOM" hidden="1">"c4006"</definedName>
    <definedName name="IQ_CFPS_GUIDANCE" hidden="1">"c4256"</definedName>
    <definedName name="IQ_CFPS_GUIDANCE_CIQ" hidden="1">"c4782"</definedName>
    <definedName name="IQ_CFPS_HIGH_EST" hidden="1">"c1669"</definedName>
    <definedName name="IQ_CFPS_HIGH_EST_CIQ" hidden="1">"c3677"</definedName>
    <definedName name="IQ_CFPS_HIGH_EST_REUT" hidden="1">"c3846"</definedName>
    <definedName name="IQ_CFPS_HIGH_EST_THOM" hidden="1">"c4008"</definedName>
    <definedName name="IQ_CFPS_HIGH_GUIDANCE" hidden="1">"c4167"</definedName>
    <definedName name="IQ_CFPS_HIGH_GUIDANCE_CIQ" hidden="1">"c4579"</definedName>
    <definedName name="IQ_CFPS_LOW_EST" hidden="1">"c1670"</definedName>
    <definedName name="IQ_CFPS_LOW_EST_CIQ" hidden="1">"c3678"</definedName>
    <definedName name="IQ_CFPS_LOW_EST_REUT" hidden="1">"c3847"</definedName>
    <definedName name="IQ_CFPS_LOW_EST_THOM" hidden="1">"c4009"</definedName>
    <definedName name="IQ_CFPS_LOW_GUIDANCE" hidden="1">"c4207"</definedName>
    <definedName name="IQ_CFPS_LOW_GUIDANCE_CIQ" hidden="1">"c4619"</definedName>
    <definedName name="IQ_CFPS_MEDIAN_EST" hidden="1">"c1668"</definedName>
    <definedName name="IQ_CFPS_MEDIAN_EST_CIQ" hidden="1">"c3676"</definedName>
    <definedName name="IQ_CFPS_MEDIAN_EST_REUT" hidden="1">"c3845"</definedName>
    <definedName name="IQ_CFPS_MEDIAN_EST_THOM" hidden="1">"c4007"</definedName>
    <definedName name="IQ_CFPS_NUM_EST" hidden="1">"c1671"</definedName>
    <definedName name="IQ_CFPS_NUM_EST_CIQ" hidden="1">"c3679"</definedName>
    <definedName name="IQ_CFPS_NUM_EST_REUT" hidden="1">"c3848"</definedName>
    <definedName name="IQ_CFPS_NUM_EST_THOM" hidden="1">"c4010"</definedName>
    <definedName name="IQ_CFPS_STDDEV_EST" hidden="1">"c1672"</definedName>
    <definedName name="IQ_CFPS_STDDEV_EST_CIQ" hidden="1">"c3680"</definedName>
    <definedName name="IQ_CFPS_STDDEV_EST_REUT" hidden="1">"c3849"</definedName>
    <definedName name="IQ_CFPS_STDDEV_EST_THOM" hidden="1">"c4011"</definedName>
    <definedName name="IQ_CH" hidden="1">110000</definedName>
    <definedName name="IQ_CHAIRMAN_ID" hidden="1">"c15218"</definedName>
    <definedName name="IQ_CHAIRMAN_NAME" hidden="1">"c15217"</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F_TAX_TOTAL" hidden="1">"c15557"</definedName>
    <definedName name="IQ_CHANGE_DEPOSIT_ACCT" hidden="1">"c148"</definedName>
    <definedName name="IQ_CHANGE_FAIR_VALUE_FINANCIAL_LIAB_T1_FFIEC" hidden="1">"c13138"</definedName>
    <definedName name="IQ_CHANGE_FAIR_VALUE_OPTIONS_FFIEC" hidden="1">"c13045"</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FC_UNUSED_UNUSED_UNUSED" hidden="1">"c8500"</definedName>
    <definedName name="IQ_CHANGE_INVENT_REAL_APR_UNUSED" hidden="1">"c7620"</definedName>
    <definedName name="IQ_CHANGE_INVENT_REAL_APR_UNUSED_UNUSED_UNUSED" hidden="1">"c7620"</definedName>
    <definedName name="IQ_CHANGE_INVENT_REAL_FC_UNUSED" hidden="1">"c7840"</definedName>
    <definedName name="IQ_CHANGE_INVENT_REAL_FC_UNUSED_UNUSED_UNUSED" hidden="1">"c7840"</definedName>
    <definedName name="IQ_CHANGE_INVENT_REAL_POP_FC_UNUSED" hidden="1">"c8060"</definedName>
    <definedName name="IQ_CHANGE_INVENT_REAL_POP_FC_UNUSED_UNUSED_UNUSED" hidden="1">"c8060"</definedName>
    <definedName name="IQ_CHANGE_INVENT_REAL_POP_UNUSED" hidden="1">"c7180"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FC_UNUSED_UNUSED_UNUSED" hidden="1">"c8280"</definedName>
    <definedName name="IQ_CHANGE_INVENT_REAL_YOY_UNUSED" hidden="1">"c7400"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IMS_ADJUSTMENT_EXP_PC_FFIEC" hidden="1">"c13100"</definedName>
    <definedName name="IQ_CLASS_MARKETCAP" hidden="1">"c13512"</definedName>
    <definedName name="IQ_CLASS_SHARESOUTSTANDING" hidden="1">"c13513"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D_END_1_4_FAM_LOANS_TOT_LOANS_FFIEC" hidden="1">"c13866"</definedName>
    <definedName name="IQ_CLOSED_END_1_4_FIRST_LIENS_TRADING_DOM_FFIEC" hidden="1">"c12928"</definedName>
    <definedName name="IQ_CLOSED_END_1_4_JR_LIENS_LL_REC_DOM_FFIEC" hidden="1">"c12904"</definedName>
    <definedName name="IQ_CLOSED_END_1_4_JUNIOR_LIENS_TRADING_DOM_FFIEC" hidden="1">"c12929"</definedName>
    <definedName name="IQ_CLOSED_END_SEC_1_4_1ST_LIENS_CHARGE_OFFS_FFIEC" hidden="1">"c13169"</definedName>
    <definedName name="IQ_CLOSED_END_SEC_1_4_1ST_LIENS_DUE_30_89_FFIEC" hidden="1">"c13261"</definedName>
    <definedName name="IQ_CLOSED_END_SEC_1_4_1ST_LIENS_DUE_90_FFIEC" hidden="1">"c13289"</definedName>
    <definedName name="IQ_CLOSED_END_SEC_1_4_1ST_LIENS_NON_ACCRUAL_FFIEC" hidden="1">"c13315"</definedName>
    <definedName name="IQ_CLOSED_END_SEC_1_4_1ST_LIENS_RECOV_FFIEC" hidden="1">"c13191"</definedName>
    <definedName name="IQ_CLOSED_END_SEC_1_4_JR_LIENS_CHARGE_OFFS_FFIEC" hidden="1">"c13170"</definedName>
    <definedName name="IQ_CLOSED_END_SEC_1_4_JR_LIENS_DUE_30_89_FFIEC" hidden="1">"c13262"</definedName>
    <definedName name="IQ_CLOSED_END_SEC_1_4_JR_LIENS_DUE_90_FFIEC" hidden="1">"c13290"</definedName>
    <definedName name="IQ_CLOSED_END_SEC_1_4_JR_LIENS_NON_ACCRUAL_FFIEC" hidden="1">"c13316"</definedName>
    <definedName name="IQ_CLOSED_END_SEC_1_4_JR_LIENS_RECOV_FFIEC" hidden="1">"c13192"</definedName>
    <definedName name="IQ_CLOSED_END_SEC_1_4_RESIDENT_CHARGE_OFFS_FFIEC" hidden="1">"c15397"</definedName>
    <definedName name="IQ_CLOSED_END_SEC_1_4_RESIDENT_DUE_30_89_FFIEC" hidden="1">"c15413"</definedName>
    <definedName name="IQ_CLOSED_END_SEC_1_4_RESIDENT_DUE_90_FFIEC" hidden="1">"c15417"</definedName>
    <definedName name="IQ_CLOSED_END_SEC_1_4_RESIDENT_NON_ACCRUAL_FFIEC" hidden="1">"c15460"</definedName>
    <definedName name="IQ_CLOSED_END_SEC_1_4_RESIDENT_RECOV_FFIEC" hidden="1">"c15398"</definedName>
    <definedName name="IQ_CLOSED_END_SECURED_1_4_FIRST_LIENS_LL_REC_DOM_FFIEC" hidden="1">"c12903"</definedName>
    <definedName name="IQ_CLOSED_LOANS_GROSS_LOANS_FFIEC" hidden="1">"c13399"</definedName>
    <definedName name="IQ_CLOSED_LOANS_RISK_BASED_FFIEC" hidden="1">"c13420"</definedName>
    <definedName name="IQ_CLOSEPRICE" hidden="1">"c174"</definedName>
    <definedName name="IQ_CLOSEPRICE_ADJ" hidden="1">"c2115"</definedName>
    <definedName name="IQ_CMBS_ISSUED_AVAIL_SALE_FFIEC" hidden="1">"c12800"</definedName>
    <definedName name="IQ_CMBS_ISSUED_FFIEC" hidden="1">"c12786"</definedName>
    <definedName name="IQ_CMO_FDIC" hidden="1">"c6406"</definedName>
    <definedName name="IQ_COGS" hidden="1">"c175"</definedName>
    <definedName name="IQ_COLLATERAL_TYPE" hidden="1">"c8954"</definedName>
    <definedName name="IQ_COLLECTION_DOMESTIC_FDIC" hidden="1">"c6387"</definedName>
    <definedName name="IQ_COM_TARGET_PRICE" hidden="1">"c13606"</definedName>
    <definedName name="IQ_COM_TARGET_PRICE_CIQ" hidden="1">"c13599"</definedName>
    <definedName name="IQ_COM_TARGET_PRICE_HIGH" hidden="1">"c13607"</definedName>
    <definedName name="IQ_COM_TARGET_PRICE_HIGH_CIQ" hidden="1">"c13600"</definedName>
    <definedName name="IQ_COM_TARGET_PRICE_LOW" hidden="1">"c13608"</definedName>
    <definedName name="IQ_COM_TARGET_PRICE_LOW_CIQ" hidden="1">"c13601"</definedName>
    <definedName name="IQ_COM_TARGET_PRICE_MEDIAN" hidden="1">"c13609"</definedName>
    <definedName name="IQ_COM_TARGET_PRICE_MEDIAN_CIQ" hidden="1">"c13602"</definedName>
    <definedName name="IQ_COM_TARGET_PRICE_NUM" hidden="1">"c13604"</definedName>
    <definedName name="IQ_COM_TARGET_PRICE_NUM_CIQ" hidden="1">"c13597"</definedName>
    <definedName name="IQ_COM_TARGET_PRICE_STDDEV" hidden="1">"c13605"</definedName>
    <definedName name="IQ_COM_TARGET_PRICE_STDDEV_CIQ" hidden="1">"c13598"</definedName>
    <definedName name="IQ_COMBINED_RATIO" hidden="1">"c176"</definedName>
    <definedName name="IQ_COMM_BANKS_OTHER_DEP_INST_US_TRANS_ACCTS_FFIEC" hidden="1">"c15317"</definedName>
    <definedName name="IQ_COMM_BANKS_OTHER_INST_US_NON_TRANS_ACCTS_FFIEC" hidden="1">"c15325"</definedName>
    <definedName name="IQ_COMM_IND_LOANS_TOT_LOANS_FFIEC" hidden="1">"c13874"</definedName>
    <definedName name="IQ_COMM_INDUSTRIAL_LOANS_FFIEC" hidden="1">"c12821"</definedName>
    <definedName name="IQ_COMM_INDUSTRIAL_NON_US_LL_REC_FFIEC" hidden="1">"c12888"</definedName>
    <definedName name="IQ_COMM_INDUSTRIAL_US_LL_REC_FFIEC" hidden="1">"c12887"</definedName>
    <definedName name="IQ_COMM_RE_FARM_LOANS_TOT_LOANS_FFIEC" hidden="1">"c13872"</definedName>
    <definedName name="IQ_COMM_RE_NONFARM_NONRES_TOT_LOANS_FFIEC" hidden="1">"c13871"</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DOM_QUARTERLY_AVG_FFIEC" hidden="1">"c15478"</definedName>
    <definedName name="IQ_COMMERCIAL_INDUSTRIAL_GROSS_LOANS_FFIEC" hidden="1">"c13410"</definedName>
    <definedName name="IQ_COMMERCIAL_INDUSTRIAL_LOANS_DUE_30_89_FFIEC" hidden="1">"c13271"</definedName>
    <definedName name="IQ_COMMERCIAL_INDUSTRIAL_LOANS_DUE_90_FFIEC" hidden="1">"c13297"</definedName>
    <definedName name="IQ_COMMERCIAL_INDUSTRIAL_LOANS_LL_REC_DOM_FFIEC" hidden="1">"c12910"</definedName>
    <definedName name="IQ_COMMERCIAL_INDUSTRIAL_LOANS_NET_FDIC" hidden="1">"c6317"</definedName>
    <definedName name="IQ_COMMERCIAL_INDUSTRIAL_LOANS_NON_ACCRUAL_FFIEC" hidden="1">"c13323"</definedName>
    <definedName name="IQ_COMMERCIAL_INDUSTRIAL_NET_CHARGE_OFFS_FDIC" hidden="1">"c6636"</definedName>
    <definedName name="IQ_COMMERCIAL_INDUSTRIAL_NON_US_CHARGE_OFFS_FFIEC" hidden="1">"c13179"</definedName>
    <definedName name="IQ_COMMERCIAL_INDUSTRIAL_NON_US_DUE_30_89_FFIEC" hidden="1">"c15415"</definedName>
    <definedName name="IQ_COMMERCIAL_INDUSTRIAL_NON_US_DUE_90_FFIEC" hidden="1">"c15419"</definedName>
    <definedName name="IQ_COMMERCIAL_INDUSTRIAL_NON_US_NON_ACCRUAL_FFIEC" hidden="1">"c15464"</definedName>
    <definedName name="IQ_COMMERCIAL_INDUSTRIAL_NON_US_RECOV_FFIEC" hidden="1">"c13201"</definedName>
    <definedName name="IQ_COMMERCIAL_INDUSTRIAL_RECOVERIES_FDIC" hidden="1">"c6617"</definedName>
    <definedName name="IQ_COMMERCIAL_INDUSTRIAL_RISK_BASED_FFIEC" hidden="1">"c13431"</definedName>
    <definedName name="IQ_COMMERCIAL_INDUSTRIAL_TOTAL_LOANS_FOREIGN_FDIC" hidden="1">"c6451"</definedName>
    <definedName name="IQ_COMMERCIAL_INDUSTRIAL_TRADING_DOM_FFIEC" hidden="1">"c12932"</definedName>
    <definedName name="IQ_COMMERCIAL_INDUSTRIAL_US_CHARGE_OFFS_FFIEC" hidden="1">"c13178"</definedName>
    <definedName name="IQ_COMMERCIAL_INDUSTRIAL_US_DUE_30_89_FFIEC" hidden="1">"c15414"</definedName>
    <definedName name="IQ_COMMERCIAL_INDUSTRIAL_US_DUE_90_FFIEC" hidden="1">"c15418"</definedName>
    <definedName name="IQ_COMMERCIAL_INDUSTRIAL_US_NON_ACCRUAL_FFIEC" hidden="1">"c15463"</definedName>
    <definedName name="IQ_COMMERCIAL_INDUSTRIAL_US_RECOV_FFIEC" hidden="1">"c13200"</definedName>
    <definedName name="IQ_COMMERCIAL_MORT" hidden="1">"c179"</definedName>
    <definedName name="IQ_COMMERCIAL_OTHER_LOC_FFIEC" hidden="1">"c13253"</definedName>
    <definedName name="IQ_COMMERCIAL_PAPER_ASSETS_TOT_FFIEC" hidden="1">"c13449"</definedName>
    <definedName name="IQ_COMMERCIAL_PAPER_FFIEC" hidden="1">"c12863"</definedName>
    <definedName name="IQ_COMMERCIAL_RE_CONSTRUCTION_LAND_DEV_FDIC" hidden="1">"c6526"</definedName>
    <definedName name="IQ_COMMERCIAL_RE_GROSS_LOANS_FFIEC" hidden="1">"c13400"</definedName>
    <definedName name="IQ_COMMERCIAL_RE_LOANS_FDIC" hidden="1">"c6312"</definedName>
    <definedName name="IQ_COMMERCIAL_RE_RISK_BASED_FFIEC" hidden="1">"c13421"</definedName>
    <definedName name="IQ_COMMISS_FEES" hidden="1">"c180"</definedName>
    <definedName name="IQ_COMMISSION_DEF" hidden="1">"c181"</definedName>
    <definedName name="IQ_COMMITMENTS_BUY_SEC_OTHER_OFF_BS_FFIEC" hidden="1">"c13128"</definedName>
    <definedName name="IQ_COMMITMENTS_COMMERCIAL_RE_UNUSED_FFIEC" hidden="1">"c13243"</definedName>
    <definedName name="IQ_COMMITMENTS_MATURITY_EXCEEDING_1YR_FDIC" hidden="1">"c6531"</definedName>
    <definedName name="IQ_COMMITMENTS_NOT_SECURED_RE_FDIC" hidden="1">"c6528"</definedName>
    <definedName name="IQ_COMMITMENTS_SECURED_RE_FDIC" hidden="1">"c6527"</definedName>
    <definedName name="IQ_COMMITMENTS_SELL_SEC_OTHER_OFF_BS_FFIEC" hidden="1">"c13129"</definedName>
    <definedName name="IQ_COMMODITY_EXPOSURE_FFIEC" hidden="1">"c13061"</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MON_STOCK_FFIEC" hidden="1">"c12876"</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ICKER_NO_EXCH" hidden="1">"c15490"</definedName>
    <definedName name="IQ_COMPANY_TYPE" hidden="1">"c2096"</definedName>
    <definedName name="IQ_COMPANY_WEBSITE" hidden="1">"c220"</definedName>
    <definedName name="IQ_COMPANY_ZIP" hidden="1">"c221"</definedName>
    <definedName name="IQ_COMPETITOR_ALL" hidden="1">"c13754"</definedName>
    <definedName name="IQ_COMPETITOR_NAMED_BY_COMPANY" hidden="1">"c13751"</definedName>
    <definedName name="IQ_COMPETITOR_NAMED_BY_COMPETITOR" hidden="1">"c13752"</definedName>
    <definedName name="IQ_COMPETITOR_NAMED_BY_THIRDPARTY" hidden="1">"c13753"</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OLIDATED_ASSETS_QUARTERLY_AVG_FFIEC" hidden="1">"c13087"</definedName>
    <definedName name="IQ_CONSOLIDATED_NI_FOREIGN_FFIEC" hidden="1">"c15396"</definedName>
    <definedName name="IQ_CONST_LAND_DEV_LOANS_TOT_LOANS_FFIEC" hidden="1">"c13865"</definedName>
    <definedName name="IQ_CONST_LAND_DEVELOP_OTHER_DOM_CHARGE_OFFS_FFIEC" hidden="1">"c13628"</definedName>
    <definedName name="IQ_CONST_LAND_DEVELOP_OTHER_DOM_RECOV_FFIEC" hidden="1">"c13632"</definedName>
    <definedName name="IQ_CONSTRUCTION_DEV_LOANS_FDIC" hidden="1">"c6313"</definedName>
    <definedName name="IQ_CONSTRUCTION_LAND_DEV_DOM_FFIEC" hidden="1">"c15267"</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L_REC_DOM_FFIEC" hidden="1">"c12900"</definedName>
    <definedName name="IQ_CONSTRUCTION_LOANS" hidden="1">"c222"</definedName>
    <definedName name="IQ_CONSTRUCTION_LOANS_DOM_DUE_30_89_FFIEC" hidden="1">"c13256"</definedName>
    <definedName name="IQ_CONSTRUCTION_LOANS_DOM_DUE_90_FFIEC" hidden="1">"c13284"</definedName>
    <definedName name="IQ_CONSTRUCTION_LOANS_DOM_NON_ACCRUAL_FFIEC" hidden="1">"c13310"</definedName>
    <definedName name="IQ_CONSTRUCTION_LOANS_GROSS_LOANS_FFIEC" hidden="1">"c13401"</definedName>
    <definedName name="IQ_CONSTRUCTION_RISK_BASED_FFIEC" hidden="1">"c13422"</definedName>
    <definedName name="IQ_CONSULTING_FFIEC" hidden="1">"c13055"</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ASES_LL_REC_FFIEC" hidden="1">"c12895"</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LOANS_LL_REC_DOM_FFIEC" hidden="1">"c12911"</definedName>
    <definedName name="IQ_CONSUMER_LOANS_TOT_LOANS_FFIEC" hidden="1">"c13875"</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 hidden="1">"c6522"</definedName>
    <definedName name="IQ_CONTRACTS_OTHER_COMMODITIES_EQUITIES_FDIC" hidden="1">"c6522"</definedName>
    <definedName name="IQ_CONTRIBUTOR_CIQID" hidden="1">"c13742"</definedName>
    <definedName name="IQ_CONTRIBUTOR_NAME" hidden="1">"c13735"</definedName>
    <definedName name="IQ_CONTRIBUTOR_START_DATE" hidden="1">"c13741"</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SION_COMMON_FFIEC" hidden="1">"c12964"</definedName>
    <definedName name="IQ_CONVERSION_PREF_FFIEC" hidden="1">"c12962"</definedName>
    <definedName name="IQ_CONVERT" hidden="1">"c2536"</definedName>
    <definedName name="IQ_CONVERT_DEBT" hidden="1">"c224"</definedName>
    <definedName name="IQ_CONVERT_PCT" hidden="1">"c2537"</definedName>
    <definedName name="IQ_CONVEXITY" hidden="1">"c2182"</definedName>
    <definedName name="IQ_CONVEYED_TO_OTHERS_FDIC" hidden="1">"c6534"</definedName>
    <definedName name="IQ_COO_ID" hidden="1">"c15222"</definedName>
    <definedName name="IQ_COO_NAME" hidden="1">"c15221"</definedName>
    <definedName name="IQ_CORE_CAPITAL_RATIO_FDIC" hidden="1">"c6745"</definedName>
    <definedName name="IQ_CORE_DEPOSITS_ASSETS_TOT_FFIEC" hidden="1">"c13442"</definedName>
    <definedName name="IQ_CORE_DEPOSITS_FFIEC" hidden="1">"c13862"</definedName>
    <definedName name="IQ_CORE_DEPOSITS_TOT_DEPOSITS_FFIEC" hidden="1">"c13911"</definedName>
    <definedName name="IQ_CORE_TIER_ONE_CAPITAL" hidden="1">"c15244"</definedName>
    <definedName name="IQ_CORE_TIER_ONE_CAPITAL_RATIO" hidden="1">"c15240"</definedName>
    <definedName name="IQ_CORP_GOODS_PRICE_INDEX_APR_FC_UNUSED" hidden="1">"c8381"</definedName>
    <definedName name="IQ_CORP_GOODS_PRICE_INDEX_APR_FC_UNUSED_UNUSED_UNUSED" hidden="1">"c8381"</definedName>
    <definedName name="IQ_CORP_GOODS_PRICE_INDEX_APR_UNUSED" hidden="1">"c7501"</definedName>
    <definedName name="IQ_CORP_GOODS_PRICE_INDEX_APR_UNUSED_UNUSED_UNUSED" hidden="1">"c7501"</definedName>
    <definedName name="IQ_CORP_GOODS_PRICE_INDEX_FC_UNUSED" hidden="1">"c7721"</definedName>
    <definedName name="IQ_CORP_GOODS_PRICE_INDEX_FC_UNUSED_UNUSED_UNUSED" hidden="1">"c7721"</definedName>
    <definedName name="IQ_CORP_GOODS_PRICE_INDEX_POP_FC_UNUSED" hidden="1">"c7941"</definedName>
    <definedName name="IQ_CORP_GOODS_PRICE_INDEX_POP_FC_UNUSED_UNUSED_UNUSED" hidden="1">"c7941"</definedName>
    <definedName name="IQ_CORP_GOODS_PRICE_INDEX_POP_UNUSED" hidden="1">"c7061"</definedName>
    <definedName name="IQ_CORP_GOODS_PRICE_INDEX_POP_UNUSED_UNUSED_UNUSED" hidden="1">"c7061"</definedName>
    <definedName name="IQ_CORP_GOODS_PRICE_INDEX_UNUSED" hidden="1">"c6841"</definedName>
    <definedName name="IQ_CORP_GOODS_PRICE_INDEX_UNUSED_UNUSED_UNUSED" hidden="1">"c6841"</definedName>
    <definedName name="IQ_CORP_GOODS_PRICE_INDEX_YOY_FC_UNUSED" hidden="1">"c8161"</definedName>
    <definedName name="IQ_CORP_GOODS_PRICE_INDEX_YOY_FC_UNUSED_UNUSED_UNUSED" hidden="1">"c8161"</definedName>
    <definedName name="IQ_CORP_GOODS_PRICE_INDEX_YOY_UNUSED" hidden="1">"c7281"</definedName>
    <definedName name="IQ_CORP_GOODS_PRICE_INDEX_YOY_UNUSED_UNUSED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RPORATE_OVER_TOTAL" hidden="1">"c13767"</definedName>
    <definedName name="IQ_COST_BORROWED_FUNDS_FFIEC" hidden="1">"c13492"</definedName>
    <definedName name="IQ_COST_BORROWING" hidden="1">"c2936"</definedName>
    <definedName name="IQ_COST_BORROWINGS" hidden="1">"c225"</definedName>
    <definedName name="IQ_COST_CAPITAL_NEW_BUSINESS" hidden="1">"c9968"</definedName>
    <definedName name="IQ_COST_FOREIGN_DEPOSITS_FFIEC" hidden="1">"c13490"</definedName>
    <definedName name="IQ_COST_FUNDS_PURCHASED_FFIEC" hidden="1">"c13491"</definedName>
    <definedName name="IQ_COST_INT_DEPOSITS_FFIEC" hidden="1">"c13489"</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AGE_RATIO" hidden="1">"c15243"</definedName>
    <definedName name="IQ_COVERED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 hidden="1">5000</definedName>
    <definedName name="IQ_CREDIT_CARD_CHARGE_OFFS_FDIC" hidden="1">"c6652"</definedName>
    <definedName name="IQ_CREDIT_CARD_FEE" hidden="1">"c231"</definedName>
    <definedName name="IQ_CREDIT_CARD_FEE_BNK" hidden="1">"c231"</definedName>
    <definedName name="IQ_CREDIT_CARD_FEE_FIN" hidden="1">"c1583"</definedName>
    <definedName name="IQ_CREDIT_CARD_GROSS_LOANS_FFIEC" hidden="1">"c13412"</definedName>
    <definedName name="IQ_CREDIT_CARD_INTERCHANGE_FEES_FFIEC" hidden="1">"c13046"</definedName>
    <definedName name="IQ_CREDIT_CARD_LINES_FDIC" hidden="1">"c6525"</definedName>
    <definedName name="IQ_CREDIT_CARD_LINES_UNUSED_FFIEC" hidden="1">"c13242"</definedName>
    <definedName name="IQ_CREDIT_CARD_LOANS_CHARGE_OFFS_FFIEC" hidden="1">"c13180"</definedName>
    <definedName name="IQ_CREDIT_CARD_LOANS_DOM_QUARTERLY_AVG_FFIEC" hidden="1">"c15480"</definedName>
    <definedName name="IQ_CREDIT_CARD_LOANS_DUE_30_89_FFIEC" hidden="1">"c13272"</definedName>
    <definedName name="IQ_CREDIT_CARD_LOANS_DUE_90_FFIEC" hidden="1">"c13298"</definedName>
    <definedName name="IQ_CREDIT_CARD_LOANS_FDIC" hidden="1">"c6319"</definedName>
    <definedName name="IQ_CREDIT_CARD_LOANS_NON_ACCRUAL_FFIEC" hidden="1">"c13324"</definedName>
    <definedName name="IQ_CREDIT_CARD_LOANS_RECOV_FFIEC" hidden="1">"c13202"</definedName>
    <definedName name="IQ_CREDIT_CARD_NET_CHARGE_OFFS_FDIC" hidden="1">"c6654"</definedName>
    <definedName name="IQ_CREDIT_CARD_RECOVERIES_FDIC" hidden="1">"c6653"</definedName>
    <definedName name="IQ_CREDIT_CARD_RISK_BASED_FFIEC" hidden="1">"c13433"</definedName>
    <definedName name="IQ_CREDIT_CARDS_CONSUMER_LOANS_FFIEC" hidden="1">"c12822"</definedName>
    <definedName name="IQ_CREDIT_CARDS_LL_REC_FFIEC" hidden="1">"c12889"</definedName>
    <definedName name="IQ_CREDIT_CARDS_LOANS_TRADING_DOM_FFIEC" hidden="1">"c12933"</definedName>
    <definedName name="IQ_CREDIT_EXPOSURE" hidden="1">"c10038"</definedName>
    <definedName name="IQ_CREDIT_EXPOSURE_FFIEC" hidden="1">"c13062"</definedName>
    <definedName name="IQ_CREDIT_LOSS_CF" hidden="1">"c232"</definedName>
    <definedName name="IQ_CREDIT_LOSS_PROVISION_NET_CHARGE_OFFS_FDIC" hidden="1">"c6734"</definedName>
    <definedName name="IQ_CREDIT_LOSSES_DERIVATIVES_FFIEC" hidden="1">"c13068"</definedName>
    <definedName name="IQ_CREDIT_OPTIONS_DERIVATIVES_BENEFICIARY_FFIEC" hidden="1">"c13121"</definedName>
    <definedName name="IQ_CREDIT_OPTIONS_DERIVATIVES_GUARANTOR_FFIEC" hidden="1">"c13114"</definedName>
    <definedName name="IQ_CUMULATIVE_PREFERREDS_T2_FFIEC" hidden="1">"c13145"</definedName>
    <definedName name="IQ_CUMULATIVE_SPLIT_FACTOR" hidden="1">"c2094"</definedName>
    <definedName name="IQ_CURR_ACCT_BALANCE_APR_FC_UNUSED" hidden="1">"c8387"</definedName>
    <definedName name="IQ_CURR_ACCT_BALANCE_APR_FC_UNUSED_UNUSED_UNUSED" hidden="1">"c8387"</definedName>
    <definedName name="IQ_CURR_ACCT_BALANCE_APR_UNUSED" hidden="1">"c7507"</definedName>
    <definedName name="IQ_CURR_ACCT_BALANCE_APR_UNUSED_UNUSED_UNUSED" hidden="1">"c7507"</definedName>
    <definedName name="IQ_CURR_ACCT_BALANCE_FC_UNUSED" hidden="1">"c7727"</definedName>
    <definedName name="IQ_CURR_ACCT_BALANCE_FC_UNUSED_UNUSED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FC_UNUSED_UNUSED_UNUSED" hidden="1">"c7947"</definedName>
    <definedName name="IQ_CURR_ACCT_BALANCE_POP_UNUSED" hidden="1">"c7067"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FC_UNUSED_UNUSED_UNUSED" hidden="1">"c8167"</definedName>
    <definedName name="IQ_CURR_ACCT_BALANCE_YOY_UNUSED" hidden="1">"c7287"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_FFIEC" hidden="1">"c15287"</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USTOMER_LIAB_ACCEPTANCES_OUT_FFIEC" hidden="1">"c12835"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A_PROCESSING_EXP_FFIEC" hidden="1">"c13047"</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1_5_INVEST_SECURITIES_FFIEC" hidden="1">"c13465"</definedName>
    <definedName name="IQ_DEBT_ADJ" hidden="1">"c2515"</definedName>
    <definedName name="IQ_DEBT_ADJ_PCT" hidden="1">"c2516"</definedName>
    <definedName name="IQ_DEBT_EQUITY_EST" hidden="1">"c4257"</definedName>
    <definedName name="IQ_DEBT_EQUITY_EST_CIQ" hidden="1">"c4783"</definedName>
    <definedName name="IQ_DEBT_EQUITY_HIGH_EST" hidden="1">"c4258"</definedName>
    <definedName name="IQ_DEBT_EQUITY_HIGH_EST_CIQ" hidden="1">"c4784"</definedName>
    <definedName name="IQ_DEBT_EQUITY_LOW_EST" hidden="1">"c4259"</definedName>
    <definedName name="IQ_DEBT_EQUITY_LOW_EST_CIQ" hidden="1">"c4785"</definedName>
    <definedName name="IQ_DEBT_EQUITY_MEDIAN_EST" hidden="1">"c4260"</definedName>
    <definedName name="IQ_DEBT_EQUITY_MEDIAN_EST_CIQ" hidden="1">"c4786"</definedName>
    <definedName name="IQ_DEBT_EQUITY_NUM_EST" hidden="1">"c4261"</definedName>
    <definedName name="IQ_DEBT_EQUITY_NUM_EST_CIQ" hidden="1">"c4787"</definedName>
    <definedName name="IQ_DEBT_EQUITY_STDDEV_EST" hidden="1">"c4262"</definedName>
    <definedName name="IQ_DEBT_EQUITY_STDDEV_EST_CIQ" hidden="1">"c4788"</definedName>
    <definedName name="IQ_DEBT_EQUIV_NET_PBO" hidden="1">"c2938"</definedName>
    <definedName name="IQ_DEBT_EQUIV_OPER_LEASE" hidden="1">"c2935"</definedName>
    <definedName name="IQ_DEBT_LESS_1YR_INVEST_SECURITIES_FFIEC" hidden="1">"c13464"</definedName>
    <definedName name="IQ_DEBT_MATURING_MORE_THAN_ONE_YEAR_FFIEC" hidden="1">"c13164"</definedName>
    <definedName name="IQ_DEBT_MATURING_WITHIN_ONE_YEAR_FFIEC" hidden="1">"c13163"</definedName>
    <definedName name="IQ_DEBT_SEC_OVER_5YR_INVEST_SECURITIES_FFIEC" hidden="1">"c13466"</definedName>
    <definedName name="IQ_DEBT_SECURITIES_FOREIGN_FFIEC" hidden="1">"c13484"</definedName>
    <definedName name="IQ_DEBT_SECURITIES_OTHER_ASSETS_DUE_30_89_FFIEC" hidden="1">"c13279"</definedName>
    <definedName name="IQ_DEBT_SECURITIES_OTHER_ASSETS_DUE_90_FFIEC" hidden="1">"c13305"</definedName>
    <definedName name="IQ_DEBT_SECURITIES_OTHER_ASSETS_NON_ACCRUAL_FFIEC" hidden="1">"c13331"</definedName>
    <definedName name="IQ_DECREASE_INT_EXPENSE_FFIEC" hidden="1">"c13064"</definedName>
    <definedName name="IQ_DEDUCTIONS_TOTAL_RISK_BASED_CAPITAL_FFIEC" hidden="1">"c13152"</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_ASSETS_FFIEC" hidden="1">"c12843"</definedName>
    <definedName name="IQ_DEFERRED_TAX_ASSETS_T1_FFIEC" hidden="1">"c13141"</definedName>
    <definedName name="IQ_DEFERRED_TAX_LIAB_FFIEC" hidden="1">"c12870"</definedName>
    <definedName name="IQ_DEFERRED_TAXES" hidden="1">"c1356"</definedName>
    <definedName name="IQ_DEMAND_DEP" hidden="1">"c320"</definedName>
    <definedName name="IQ_DEMAND_DEPOSITS_COMMERCIAL_BANK_SUBS_FFIEC" hidden="1">"c12945"</definedName>
    <definedName name="IQ_DEMAND_DEPOSITS_FDIC" hidden="1">"c6489"</definedName>
    <definedName name="IQ_DEMAND_DEPOSITS_TOT_DEPOSITS_FFIEC" hidden="1">"c13902"</definedName>
    <definedName name="IQ_DEPOSIT_ACCOUNTS_LESS_THAN_100K_FDIC" hidden="1">"c6494"</definedName>
    <definedName name="IQ_DEPOSIT_ACCOUNTS_MORE_THAN_100K_FDIC" hidden="1">"c6492"</definedName>
    <definedName name="IQ_DEPOSITORY_INST_ACCEPTANCES_LL_REC_DOM_FFIEC" hidden="1">"c12908"</definedName>
    <definedName name="IQ_DEPOSITORY_INST_GROSS_LOANS_FFIEC" hidden="1">"c13409"</definedName>
    <definedName name="IQ_DEPOSITORY_INST_RISK_BASED_FFIEC" hidden="1">"c13430"</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100K_MORE_ASSETS_TOT_FFIEC" hidden="1">"c13444"</definedName>
    <definedName name="IQ_DEPOSITS_DOM_FFIEC" hidden="1">"c12850"</definedName>
    <definedName name="IQ_DEPOSITS_FAIR_VALUE_TOT_FFIEC" hidden="1">"c13213"</definedName>
    <definedName name="IQ_DEPOSITS_FIN" hidden="1">"c321"</definedName>
    <definedName name="IQ_DEPOSITS_FOREIGN_BANKS_FOREIGN_AGENCIES_FFIEC" hidden="1">"c15344"</definedName>
    <definedName name="IQ_DEPOSITS_FOREIGN_FFIEC" hidden="1">"c12853"</definedName>
    <definedName name="IQ_DEPOSITS_HELD_DOMESTIC_FDIC" hidden="1">"c6340"</definedName>
    <definedName name="IQ_DEPOSITS_HELD_FOREIGN_FDIC" hidden="1">"c6341"</definedName>
    <definedName name="IQ_DEPOSITS_INTEREST_SECURITIES" hidden="1">"c5509"</definedName>
    <definedName name="IQ_DEPOSITS_LESS_100K_COMMERCIAL_BANK_SUBS_FFIEC" hidden="1">"c12948"</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LEVEL_1_FFIEC" hidden="1">"c13221"</definedName>
    <definedName name="IQ_DEPOSITS_LEVEL_2_FFIEC" hidden="1">"c13229"</definedName>
    <definedName name="IQ_DEPOSITS_LEVEL_3_FFIEC" hidden="1">"c13237"</definedName>
    <definedName name="IQ_DEPOSITS_MORE_100K_COMMERCIAL_BANK_SUBS_FFIEC" hidden="1">"c12949"</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_ASSETS_FAIR_VALUE_TOT_FFIEC" hidden="1">"c15403"</definedName>
    <definedName name="IQ_DERIVATIVE_ASSETS_LEVEL_1_FFIEC" hidden="1">"c15425"</definedName>
    <definedName name="IQ_DERIVATIVE_ASSETS_LEVEL_2_FFIEC" hidden="1">"c15438"</definedName>
    <definedName name="IQ_DERIVATIVE_ASSETS_LEVEL_3_FFIEC" hidden="1">"c15451"</definedName>
    <definedName name="IQ_DERIVATIVE_LIABILITIES_FAIR_VALUE_TOT_FFIEC" hidden="1">"c15407"</definedName>
    <definedName name="IQ_DERIVATIVE_LIABILITIES_LEVEL_1_FFIEC" hidden="1">"c15429"</definedName>
    <definedName name="IQ_DERIVATIVE_LIABILITIES_LEVEL_2_FFIEC" hidden="1">"c15442"</definedName>
    <definedName name="IQ_DERIVATIVE_LIABILITIES_LEVEL_3_FFIEC" hidden="1">"c15455"</definedName>
    <definedName name="IQ_DERIVATIVES_FDIC" hidden="1">"c6523"</definedName>
    <definedName name="IQ_DERIVATIVES_NEGATIVE_FAIR_VALUE_DOM_FFIEC" hidden="1">"c12943"</definedName>
    <definedName name="IQ_DERIVATIVES_NEGATIVE_VALUE_FFIEC" hidden="1">"c12861"</definedName>
    <definedName name="IQ_DERIVATIVES_POS_FAIR_VALUE_FFIEC" hidden="1">"c12827"</definedName>
    <definedName name="IQ_DERIVATIVES_POSITIVE_FAIR_VALUE_TRADING_DOM_FFIEC" hidden="1">"c12938"</definedName>
    <definedName name="IQ_DESCRIPTION_LONG" hidden="1">"c1520"</definedName>
    <definedName name="IQ_DEVELOP_LAND" hidden="1">"c323"</definedName>
    <definedName name="IQ_DIC" hidden="1">"c13834"</definedName>
    <definedName name="IQ_DIFF_LASTCLOSE_TARGET_PRICE" hidden="1">"c1854"</definedName>
    <definedName name="IQ_DIFF_LASTCLOSE_TARGET_PRICE_CIQ" hidden="1">"c4767"</definedName>
    <definedName name="IQ_DIFF_LASTCLOSE_TARGET_PRICE_REUT" hidden="1">"c5436"</definedName>
    <definedName name="IQ_DIFF_LASTCLOSE_TARGET_PRICE_THOM" hidden="1">"c5278"</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EST_CIQ" hidden="1">"c4789"</definedName>
    <definedName name="IQ_DILUT_OUTSTANDING_CURRENT_HIGH_EST" hidden="1">"c4264"</definedName>
    <definedName name="IQ_DILUT_OUTSTANDING_CURRENT_HIGH_EST_CIQ" hidden="1">"c4790"</definedName>
    <definedName name="IQ_DILUT_OUTSTANDING_CURRENT_LOW_EST" hidden="1">"c4265"</definedName>
    <definedName name="IQ_DILUT_OUTSTANDING_CURRENT_LOW_EST_CIQ" hidden="1">"c4791"</definedName>
    <definedName name="IQ_DILUT_OUTSTANDING_CURRENT_MEDIAN_EST" hidden="1">"c4266"</definedName>
    <definedName name="IQ_DILUT_OUTSTANDING_CURRENT_MEDIAN_EST_CIQ" hidden="1">"c4792"</definedName>
    <definedName name="IQ_DILUT_OUTSTANDING_CURRENT_NUM_EST" hidden="1">"c4267"</definedName>
    <definedName name="IQ_DILUT_OUTSTANDING_CURRENT_NUM_EST_CIQ" hidden="1">"c4793"</definedName>
    <definedName name="IQ_DILUT_OUTSTANDING_CURRENT_STDDEV_EST" hidden="1">"c4268"</definedName>
    <definedName name="IQ_DILUT_OUTSTANDING_CURRENT_STDDEV_EST_CIQ" hidden="1">"c4794"</definedName>
    <definedName name="IQ_DILUT_WEIGHT" hidden="1">"c326"</definedName>
    <definedName name="IQ_DILUT_WEIGHT_EST" hidden="1">"c4269"</definedName>
    <definedName name="IQ_DILUT_WEIGHT_EST_CIQ" hidden="1">"c4795"</definedName>
    <definedName name="IQ_DILUT_WEIGHT_GUIDANCE" hidden="1">"c4270"</definedName>
    <definedName name="IQ_DILUT_WEIGHT_HIGH_EST" hidden="1">"c4271"</definedName>
    <definedName name="IQ_DILUT_WEIGHT_HIGH_EST_CIQ" hidden="1">"c4796"</definedName>
    <definedName name="IQ_DILUT_WEIGHT_LOW_EST" hidden="1">"c4272"</definedName>
    <definedName name="IQ_DILUT_WEIGHT_LOW_EST_CIQ" hidden="1">"c4797"</definedName>
    <definedName name="IQ_DILUT_WEIGHT_MEDIAN_EST" hidden="1">"c4273"</definedName>
    <definedName name="IQ_DILUT_WEIGHT_MEDIAN_EST_CIQ" hidden="1">"c4798"</definedName>
    <definedName name="IQ_DILUT_WEIGHT_NUM_EST" hidden="1">"c4274"</definedName>
    <definedName name="IQ_DILUT_WEIGHT_NUM_EST_CIQ" hidden="1">"c4799"</definedName>
    <definedName name="IQ_DILUT_WEIGHT_STDDEV_EST" hidden="1">"c4275"</definedName>
    <definedName name="IQ_DILUT_WEIGHT_STDDEV_EST_CIQ" hidden="1">"c4800"</definedName>
    <definedName name="IQ_DIRECT_AH_EARNED" hidden="1">"c2740"</definedName>
    <definedName name="IQ_DIRECT_EARNED" hidden="1">"c2730"</definedName>
    <definedName name="IQ_DIRECT_INDIRECT_RE_VENTURES_FFIEC" hidden="1">"c15266"</definedName>
    <definedName name="IQ_DIRECT_INDIRECT_RE_VENTURES_UNCONSOL_FFIEC" hidden="1">"c15274"</definedName>
    <definedName name="IQ_DIRECT_LIFE_EARNED" hidden="1">"c2735"</definedName>
    <definedName name="IQ_DIRECT_LIFE_IN_FORCE" hidden="1">"c2765"</definedName>
    <definedName name="IQ_DIRECT_PC_EARNED" hidden="1">"c2745"</definedName>
    <definedName name="IQ_DIRECT_WRITTEN" hidden="1">"c2724"</definedName>
    <definedName name="IQ_DIRECTORS_FEES_FFIEC" hidden="1">"c13049"</definedName>
    <definedName name="IQ_DISALLOWED_DEFERRED_TAX_ASSETS_FFIEC" hidden="1">"c13157"</definedName>
    <definedName name="IQ_DISALLOWED_GOODWILL_INTANGIBLE_ASSETS_FFIEC" hidden="1">"c13155"</definedName>
    <definedName name="IQ_DISALLOWED_GOODWILL_INTANGIBLES_T1_FFIEC" hidden="1">"c13137"</definedName>
    <definedName name="IQ_DISALLOWED_SERVICING_ASSETS_FFIEC" hidden="1">"c13156"</definedName>
    <definedName name="IQ_DISALLOWED_SERVICING_ASSETS_T1_FFIEC" hidden="1">"c13140"</definedName>
    <definedName name="IQ_DISCONT_OPER" hidden="1">"c1367"</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EST" hidden="1">"c4277"</definedName>
    <definedName name="IQ_DISTRIBUTABLE_CASH_EST_CIQ" hidden="1">"c4802"</definedName>
    <definedName name="IQ_DISTRIBUTABLE_CASH_GUIDANCE" hidden="1">"c4279"</definedName>
    <definedName name="IQ_DISTRIBUTABLE_CASH_GUIDANCE_CIQ" hidden="1">"c4804"</definedName>
    <definedName name="IQ_DISTRIBUTABLE_CASH_HIGH_EST" hidden="1">"c4280"</definedName>
    <definedName name="IQ_DISTRIBUTABLE_CASH_HIGH_EST_CIQ" hidden="1">"c4805"</definedName>
    <definedName name="IQ_DISTRIBUTABLE_CASH_HIGH_GUIDANCE" hidden="1">"c4198"</definedName>
    <definedName name="IQ_DISTRIBUTABLE_CASH_HIGH_GUIDANCE_CIQ" hidden="1">"c4610"</definedName>
    <definedName name="IQ_DISTRIBUTABLE_CASH_LOW_EST" hidden="1">"c4281"</definedName>
    <definedName name="IQ_DISTRIBUTABLE_CASH_LOW_EST_CIQ" hidden="1">"c4806"</definedName>
    <definedName name="IQ_DISTRIBUTABLE_CASH_LOW_GUIDANCE" hidden="1">"c4238"</definedName>
    <definedName name="IQ_DISTRIBUTABLE_CASH_LOW_GUIDANCE_CIQ" hidden="1">"c4650"</definedName>
    <definedName name="IQ_DISTRIBUTABLE_CASH_MEDIAN_EST" hidden="1">"c4282"</definedName>
    <definedName name="IQ_DISTRIBUTABLE_CASH_MEDIAN_EST_CIQ" hidden="1">"c4807"</definedName>
    <definedName name="IQ_DISTRIBUTABLE_CASH_NUM_EST" hidden="1">"c4283"</definedName>
    <definedName name="IQ_DISTRIBUTABLE_CASH_NUM_EST_CIQ" hidden="1">"c4808"</definedName>
    <definedName name="IQ_DISTRIBUTABLE_CASH_PAYOUT" hidden="1">"c3005"</definedName>
    <definedName name="IQ_DISTRIBUTABLE_CASH_SHARE" hidden="1">"c3003"</definedName>
    <definedName name="IQ_DISTRIBUTABLE_CASH_SHARE_ACT_OR_EST" hidden="1">"c4286"</definedName>
    <definedName name="IQ_DISTRIBUTABLE_CASH_SHARE_ACT_OR_EST_CIQ" hidden="1">"c4811"</definedName>
    <definedName name="IQ_DISTRIBUTABLE_CASH_SHARE_EST" hidden="1">"c4285"</definedName>
    <definedName name="IQ_DISTRIBUTABLE_CASH_SHARE_EST_CIQ" hidden="1">"c4810"</definedName>
    <definedName name="IQ_DISTRIBUTABLE_CASH_SHARE_GUIDANCE" hidden="1">"c4287"</definedName>
    <definedName name="IQ_DISTRIBUTABLE_CASH_SHARE_GUIDANCE_CIQ" hidden="1">"c4812"</definedName>
    <definedName name="IQ_DISTRIBUTABLE_CASH_SHARE_HIGH_EST" hidden="1">"c4288"</definedName>
    <definedName name="IQ_DISTRIBUTABLE_CASH_SHARE_HIGH_EST_CIQ" hidden="1">"c4813"</definedName>
    <definedName name="IQ_DISTRIBUTABLE_CASH_SHARE_HIGH_GUIDANCE" hidden="1">"c4199"</definedName>
    <definedName name="IQ_DISTRIBUTABLE_CASH_SHARE_HIGH_GUIDANCE_CIQ" hidden="1">"c4611"</definedName>
    <definedName name="IQ_DISTRIBUTABLE_CASH_SHARE_LOW_EST" hidden="1">"c4289"</definedName>
    <definedName name="IQ_DISTRIBUTABLE_CASH_SHARE_LOW_EST_CIQ" hidden="1">"c4814"</definedName>
    <definedName name="IQ_DISTRIBUTABLE_CASH_SHARE_LOW_GUIDANCE" hidden="1">"c4239"</definedName>
    <definedName name="IQ_DISTRIBUTABLE_CASH_SHARE_LOW_GUIDANCE_CIQ" hidden="1">"c4651"</definedName>
    <definedName name="IQ_DISTRIBUTABLE_CASH_SHARE_MEDIAN_EST" hidden="1">"c4290"</definedName>
    <definedName name="IQ_DISTRIBUTABLE_CASH_SHARE_MEDIAN_EST_CIQ" hidden="1">"c4815"</definedName>
    <definedName name="IQ_DISTRIBUTABLE_CASH_SHARE_NUM_EST" hidden="1">"c4291"</definedName>
    <definedName name="IQ_DISTRIBUTABLE_CASH_SHARE_NUM_EST_CIQ" hidden="1">"c4816"</definedName>
    <definedName name="IQ_DISTRIBUTABLE_CASH_SHARE_STDDEV_EST" hidden="1">"c4292"</definedName>
    <definedName name="IQ_DISTRIBUTABLE_CASH_SHARE_STDDEV_EST_CIQ" hidden="1">"c4817"</definedName>
    <definedName name="IQ_DISTRIBUTABLE_CASH_STDDEV_EST" hidden="1">"c4294"</definedName>
    <definedName name="IQ_DISTRIBUTABLE_CASH_STDDEV_EST_CIQ" hidden="1">"c4819"</definedName>
    <definedName name="IQ_DIV_AMOUNT" hidden="1">"c3041"</definedName>
    <definedName name="IQ_DIV_PAYMENT_DATE" hidden="1">"c2205"</definedName>
    <definedName name="IQ_DIV_PAYMENT_TYPE" hidden="1">"c12752"</definedName>
    <definedName name="IQ_DIV_RECORD_DATE" hidden="1">"c2204"</definedName>
    <definedName name="IQ_DIV_SHARE" hidden="1">"c330"</definedName>
    <definedName name="IQ_DIVEST_CF" hidden="1">"c331"</definedName>
    <definedName name="IQ_DIVID_SHARE" hidden="1">"c1366"</definedName>
    <definedName name="IQ_DIVIDEND_EST" hidden="1">"c4296"</definedName>
    <definedName name="IQ_DIVIDEND_EST_CIQ" hidden="1">"c4821"</definedName>
    <definedName name="IQ_DIVIDEND_HIGH_EST" hidden="1">"c4297"</definedName>
    <definedName name="IQ_DIVIDEND_HIGH_EST_CIQ" hidden="1">"c4822"</definedName>
    <definedName name="IQ_DIVIDEND_LOW_EST" hidden="1">"c4298"</definedName>
    <definedName name="IQ_DIVIDEND_LOW_EST_CIQ" hidden="1">"c4823"</definedName>
    <definedName name="IQ_DIVIDEND_MEDIAN_EST" hidden="1">"c4299"</definedName>
    <definedName name="IQ_DIVIDEND_MEDIAN_EST_CIQ" hidden="1">"c4824"</definedName>
    <definedName name="IQ_DIVIDEND_NUM_EST" hidden="1">"c4300"</definedName>
    <definedName name="IQ_DIVIDEND_NUM_EST_CIQ" hidden="1">"c4825"</definedName>
    <definedName name="IQ_DIVIDEND_STDDEV_EST" hidden="1">"c4301"</definedName>
    <definedName name="IQ_DIVIDEND_STDDEV_EST_CIQ" hidden="1">"c4826"</definedName>
    <definedName name="IQ_DIVIDEND_YIELD" hidden="1">"c332"</definedName>
    <definedName name="IQ_DIVIDENDS_DECLARED_COMMON_FDIC" hidden="1">"c6659"</definedName>
    <definedName name="IQ_DIVIDENDS_DECLARED_COMMON_FFIEC" hidden="1">"c12969"</definedName>
    <definedName name="IQ_DIVIDENDS_DECLARED_PREFERRED_FDIC" hidden="1">"c6658"</definedName>
    <definedName name="IQ_DIVIDENDS_DECLARED_PREFERRED_FFIEC" hidden="1">"c12968"</definedName>
    <definedName name="IQ_DIVIDENDS_FDIC" hidden="1">"c6660"</definedName>
    <definedName name="IQ_DIVIDENDS_NET_INCOME_FFIEC" hidden="1">"c13349"</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OM_OFFICE_DEPOSITS_TOT_DEPOSITS_FFIEC" hidden="1">"c13910"</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CIQ" hidden="1">"c5062"</definedName>
    <definedName name="IQ_DPS_ACT_OR_EST_REUT" hidden="1">"c5464"</definedName>
    <definedName name="IQ_DPS_ACT_OR_EST_THOM" hidden="1">"c5302"</definedName>
    <definedName name="IQ_DPS_EST" hidden="1">"c1674"</definedName>
    <definedName name="IQ_DPS_EST_BOTTOM_UP" hidden="1">"c5493"</definedName>
    <definedName name="IQ_DPS_EST_BOTTOM_UP_REUT" hidden="1">"c5501"</definedName>
    <definedName name="IQ_DPS_EST_CIQ" hidden="1">"c3682"</definedName>
    <definedName name="IQ_DPS_EST_REUT" hidden="1">"c3851"</definedName>
    <definedName name="IQ_DPS_EST_THOM" hidden="1">"c4013"</definedName>
    <definedName name="IQ_DPS_GUIDANCE" hidden="1">"c4302"</definedName>
    <definedName name="IQ_DPS_GUIDANCE_CIQ" hidden="1">"c4827"</definedName>
    <definedName name="IQ_DPS_HIGH_EST" hidden="1">"c1676"</definedName>
    <definedName name="IQ_DPS_HIGH_EST_CIQ" hidden="1">"c3684"</definedName>
    <definedName name="IQ_DPS_HIGH_EST_REUT" hidden="1">"c3853"</definedName>
    <definedName name="IQ_DPS_HIGH_EST_THOM" hidden="1">"c4015"</definedName>
    <definedName name="IQ_DPS_HIGH_GUIDANCE" hidden="1">"c4168"</definedName>
    <definedName name="IQ_DPS_HIGH_GUIDANCE_CIQ" hidden="1">"c4580"</definedName>
    <definedName name="IQ_DPS_LOW_EST" hidden="1">"c1677"</definedName>
    <definedName name="IQ_DPS_LOW_EST_CIQ" hidden="1">"c3685"</definedName>
    <definedName name="IQ_DPS_LOW_EST_REUT" hidden="1">"c3854"</definedName>
    <definedName name="IQ_DPS_LOW_EST_THOM" hidden="1">"c4016"</definedName>
    <definedName name="IQ_DPS_LOW_GUIDANCE" hidden="1">"c4208"</definedName>
    <definedName name="IQ_DPS_LOW_GUIDANCE_CIQ" hidden="1">"c4620"</definedName>
    <definedName name="IQ_DPS_MEDIAN_EST" hidden="1">"c1675"</definedName>
    <definedName name="IQ_DPS_MEDIAN_EST_CIQ" hidden="1">"c3683"</definedName>
    <definedName name="IQ_DPS_MEDIAN_EST_REUT" hidden="1">"c3852"</definedName>
    <definedName name="IQ_DPS_MEDIAN_EST_THOM" hidden="1">"c4014"</definedName>
    <definedName name="IQ_DPS_NUM_EST" hidden="1">"c1678"</definedName>
    <definedName name="IQ_DPS_NUM_EST_CIQ" hidden="1">"c3686"</definedName>
    <definedName name="IQ_DPS_NUM_EST_REUT" hidden="1">"c3855"</definedName>
    <definedName name="IQ_DPS_NUM_EST_THOM" hidden="1">"c4017"</definedName>
    <definedName name="IQ_DPS_STDDEV_EST" hidden="1">"c1679"</definedName>
    <definedName name="IQ_DPS_STDDEV_EST_CIQ" hidden="1">"c3687"</definedName>
    <definedName name="IQ_DPS_STDDEV_EST_REUT" hidden="1">"c3856"</definedName>
    <definedName name="IQ_DPS_STDDEV_EST_THOM" hidden="1">"c4018"</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YIELD" hidden="1">"c343"</definedName>
    <definedName name="IQ_EARNING_ASSETS_AVG_ASSETS_FFIEC" hidden="1">"c13354"</definedName>
    <definedName name="IQ_EARNING_ASSETS_FDIC" hidden="1">"c6360"</definedName>
    <definedName name="IQ_EARNING_ASSETS_QUARTERLY_AVG_FFIEC" hidden="1">"c13086"</definedName>
    <definedName name="IQ_EARNING_ASSETS_REPRICE_ASSETS_TOT_FFIEC" hidden="1">"c13451"</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ANNOUNCE_DATE_THOM" hidden="1">"c5093"</definedName>
    <definedName name="IQ_EARNINGS_CO_FFIEC" hidden="1">"c13032"</definedName>
    <definedName name="IQ_EARNINGS_COVERAGE_LOSSES_FFIEC" hidden="1">"c13351"</definedName>
    <definedName name="IQ_EARNINGS_COVERAGE_NET_CHARGE_OFFS_FDIC" hidden="1">"c6735"</definedName>
    <definedName name="IQ_EARNINGS_LIFE_INSURANCE_FFIEC" hidden="1">"c13041"</definedName>
    <definedName name="IQ_EARNINGS_PERIOD_COVERED" hidden="1">"c9958"</definedName>
    <definedName name="IQ_EARNINGS_PERIOD_GROUP" hidden="1">"c9944"</definedName>
    <definedName name="IQ_EBIT" hidden="1">"c352"</definedName>
    <definedName name="IQ_EBIT_10K" hidden="1">"EBIT_10K"</definedName>
    <definedName name="IQ_EBIT_10Q" hidden="1">"EBIT_10Q"</definedName>
    <definedName name="IQ_EBIT_10Q1" hidden="1">"EBIT_10Q1"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CIQ" hidden="1">"c5063"</definedName>
    <definedName name="IQ_EBIT_ACT_OR_EST_REUT" hidden="1">"c5465"</definedName>
    <definedName name="IQ_EBIT_ACT_OR_EST_THOM" hidden="1">"c5303"</definedName>
    <definedName name="IQ_EBIT_EQ_INC" hidden="1">"c3498"</definedName>
    <definedName name="IQ_EBIT_EQ_INC_EXCL_SBC" hidden="1">"c3502"</definedName>
    <definedName name="IQ_EBIT_EST" hidden="1">"c1681"</definedName>
    <definedName name="IQ_EBIT_EST_CIQ" hidden="1">"c4674"</definedName>
    <definedName name="IQ_EBIT_EST_REUT" hidden="1">"c5333"</definedName>
    <definedName name="IQ_EBIT_EST_THOM" hidden="1">"c5105"</definedName>
    <definedName name="IQ_EBIT_EXCL_SBC" hidden="1">"c3082"</definedName>
    <definedName name="IQ_EBIT_GROWTH_1" hidden="1">"IQ_EBIT_GROWTH_1"</definedName>
    <definedName name="IQ_EBIT_GROWTH_2" hidden="1">"IQ_EBIT_GROWTH_2"</definedName>
    <definedName name="IQ_EBIT_GUIDANCE" hidden="1">"c4303"</definedName>
    <definedName name="IQ_EBIT_GUIDANCE_CIQ" hidden="1">"c4828"</definedName>
    <definedName name="IQ_EBIT_GW_ACT_OR_EST" hidden="1">"c4306"</definedName>
    <definedName name="IQ_EBIT_GW_ACT_OR_EST_CIQ" hidden="1">"c4831"</definedName>
    <definedName name="IQ_EBIT_GW_EST" hidden="1">"c4305"</definedName>
    <definedName name="IQ_EBIT_GW_EST_CIQ" hidden="1">"c4830"</definedName>
    <definedName name="IQ_EBIT_GW_GUIDANCE" hidden="1">"c4307"</definedName>
    <definedName name="IQ_EBIT_GW_GUIDANCE_CIQ" hidden="1">"c4832"</definedName>
    <definedName name="IQ_EBIT_GW_HIGH_EST" hidden="1">"c4308"</definedName>
    <definedName name="IQ_EBIT_GW_HIGH_EST_CIQ" hidden="1">"c4833"</definedName>
    <definedName name="IQ_EBIT_GW_HIGH_GUIDANCE" hidden="1">"c4171"</definedName>
    <definedName name="IQ_EBIT_GW_HIGH_GUIDANCE_CIQ" hidden="1">"c4583"</definedName>
    <definedName name="IQ_EBIT_GW_LOW_EST" hidden="1">"c4309"</definedName>
    <definedName name="IQ_EBIT_GW_LOW_EST_CIQ" hidden="1">"c4834"</definedName>
    <definedName name="IQ_EBIT_GW_LOW_GUIDANCE" hidden="1">"c4211"</definedName>
    <definedName name="IQ_EBIT_GW_LOW_GUIDANCE_CIQ" hidden="1">"c4623"</definedName>
    <definedName name="IQ_EBIT_GW_MEDIAN_EST" hidden="1">"c4310"</definedName>
    <definedName name="IQ_EBIT_GW_MEDIAN_EST_CIQ" hidden="1">"c4835"</definedName>
    <definedName name="IQ_EBIT_GW_NUM_EST" hidden="1">"c4311"</definedName>
    <definedName name="IQ_EBIT_GW_NUM_EST_CIQ" hidden="1">"c4836"</definedName>
    <definedName name="IQ_EBIT_GW_STDDEV_EST" hidden="1">"c4312"</definedName>
    <definedName name="IQ_EBIT_GW_STDDEV_EST_CIQ" hidden="1">"c4837"</definedName>
    <definedName name="IQ_EBIT_HIGH_EST" hidden="1">"c1683"</definedName>
    <definedName name="IQ_EBIT_HIGH_EST_CIQ" hidden="1">"c4676"</definedName>
    <definedName name="IQ_EBIT_HIGH_EST_REUT" hidden="1">"c5335"</definedName>
    <definedName name="IQ_EBIT_HIGH_EST_THOM" hidden="1">"c5107"</definedName>
    <definedName name="IQ_EBIT_HIGH_GUIDANCE" hidden="1">"c4172"</definedName>
    <definedName name="IQ_EBIT_HIGH_GUIDANCE_CIQ" hidden="1">"c4584"</definedName>
    <definedName name="IQ_EBIT_INT" hidden="1">"c360"</definedName>
    <definedName name="IQ_EBIT_LOW_EST" hidden="1">"c1684"</definedName>
    <definedName name="IQ_EBIT_LOW_EST_CIQ" hidden="1">"c4677"</definedName>
    <definedName name="IQ_EBIT_LOW_EST_REUT" hidden="1">"c5336"</definedName>
    <definedName name="IQ_EBIT_LOW_EST_THOM" hidden="1">"c5108"</definedName>
    <definedName name="IQ_EBIT_LOW_GUIDANCE" hidden="1">"c4212"</definedName>
    <definedName name="IQ_EBIT_LOW_GUIDANCE_CIQ" hidden="1">"c4624"</definedName>
    <definedName name="IQ_EBIT_MARGIN" hidden="1">"c359"</definedName>
    <definedName name="IQ_EBIT_MEDIAN_EST" hidden="1">"c1682"</definedName>
    <definedName name="IQ_EBIT_MEDIAN_EST_CIQ" hidden="1">"c4675"</definedName>
    <definedName name="IQ_EBIT_MEDIAN_EST_REUT" hidden="1">"c5334"</definedName>
    <definedName name="IQ_EBIT_MEDIAN_EST_THOM" hidden="1">"c5106"</definedName>
    <definedName name="IQ_EBIT_NUM_EST" hidden="1">"c1685"</definedName>
    <definedName name="IQ_EBIT_NUM_EST_CIQ" hidden="1">"c4678"</definedName>
    <definedName name="IQ_EBIT_NUM_EST_REUT" hidden="1">"c5337"</definedName>
    <definedName name="IQ_EBIT_NUM_EST_THOM" hidden="1">"c5109"</definedName>
    <definedName name="IQ_EBIT_OVER_IE" hidden="1">"c1369"</definedName>
    <definedName name="IQ_EBIT_SBC_ACT_OR_EST" hidden="1">"c4316"</definedName>
    <definedName name="IQ_EBIT_SBC_ACT_OR_EST_CIQ" hidden="1">"c4841"</definedName>
    <definedName name="IQ_EBIT_SBC_EST" hidden="1">"c4315"</definedName>
    <definedName name="IQ_EBIT_SBC_EST_CIQ" hidden="1">"c4840"</definedName>
    <definedName name="IQ_EBIT_SBC_GUIDANCE" hidden="1">"c4317"</definedName>
    <definedName name="IQ_EBIT_SBC_GUIDANCE_CIQ" hidden="1">"c4842"</definedName>
    <definedName name="IQ_EBIT_SBC_GW_ACT_OR_EST" hidden="1">"c4320"</definedName>
    <definedName name="IQ_EBIT_SBC_GW_ACT_OR_EST_CIQ" hidden="1">"c4845"</definedName>
    <definedName name="IQ_EBIT_SBC_GW_EST" hidden="1">"c4319"</definedName>
    <definedName name="IQ_EBIT_SBC_GW_EST_CIQ" hidden="1">"c4844"</definedName>
    <definedName name="IQ_EBIT_SBC_GW_GUIDANCE" hidden="1">"c4321"</definedName>
    <definedName name="IQ_EBIT_SBC_GW_GUIDANCE_CIQ" hidden="1">"c4846"</definedName>
    <definedName name="IQ_EBIT_SBC_GW_HIGH_EST" hidden="1">"c4322"</definedName>
    <definedName name="IQ_EBIT_SBC_GW_HIGH_EST_CIQ" hidden="1">"c4847"</definedName>
    <definedName name="IQ_EBIT_SBC_GW_HIGH_GUIDANCE" hidden="1">"c4193"</definedName>
    <definedName name="IQ_EBIT_SBC_GW_HIGH_GUIDANCE_CIQ" hidden="1">"c4605"</definedName>
    <definedName name="IQ_EBIT_SBC_GW_LOW_EST" hidden="1">"c4323"</definedName>
    <definedName name="IQ_EBIT_SBC_GW_LOW_EST_CIQ" hidden="1">"c4848"</definedName>
    <definedName name="IQ_EBIT_SBC_GW_LOW_GUIDANCE" hidden="1">"c4233"</definedName>
    <definedName name="IQ_EBIT_SBC_GW_LOW_GUIDANCE_CIQ" hidden="1">"c4645"</definedName>
    <definedName name="IQ_EBIT_SBC_GW_MEDIAN_EST" hidden="1">"c4324"</definedName>
    <definedName name="IQ_EBIT_SBC_GW_MEDIAN_EST_CIQ" hidden="1">"c4849"</definedName>
    <definedName name="IQ_EBIT_SBC_GW_NUM_EST" hidden="1">"c4325"</definedName>
    <definedName name="IQ_EBIT_SBC_GW_NUM_EST_CIQ" hidden="1">"c4850"</definedName>
    <definedName name="IQ_EBIT_SBC_GW_STDDEV_EST" hidden="1">"c4326"</definedName>
    <definedName name="IQ_EBIT_SBC_GW_STDDEV_EST_CIQ" hidden="1">"c4851"</definedName>
    <definedName name="IQ_EBIT_SBC_HIGH_EST" hidden="1">"c4328"</definedName>
    <definedName name="IQ_EBIT_SBC_HIGH_EST_CIQ" hidden="1">"c4853"</definedName>
    <definedName name="IQ_EBIT_SBC_HIGH_GUIDANCE" hidden="1">"c4192"</definedName>
    <definedName name="IQ_EBIT_SBC_HIGH_GUIDANCE_CIQ" hidden="1">"c4604"</definedName>
    <definedName name="IQ_EBIT_SBC_LOW_EST" hidden="1">"c4329"</definedName>
    <definedName name="IQ_EBIT_SBC_LOW_EST_CIQ" hidden="1">"c4854"</definedName>
    <definedName name="IQ_EBIT_SBC_LOW_GUIDANCE" hidden="1">"c4232"</definedName>
    <definedName name="IQ_EBIT_SBC_LOW_GUIDANCE_CIQ" hidden="1">"c4644"</definedName>
    <definedName name="IQ_EBIT_SBC_MEDIAN_EST" hidden="1">"c4330"</definedName>
    <definedName name="IQ_EBIT_SBC_MEDIAN_EST_CIQ" hidden="1">"c4855"</definedName>
    <definedName name="IQ_EBIT_SBC_NUM_EST" hidden="1">"c4331"</definedName>
    <definedName name="IQ_EBIT_SBC_NUM_EST_CIQ" hidden="1">"c4856"</definedName>
    <definedName name="IQ_EBIT_SBC_STDDEV_EST" hidden="1">"c4332"</definedName>
    <definedName name="IQ_EBIT_SBC_STDDEV_EST_CIQ" hidden="1">"c4857"</definedName>
    <definedName name="IQ_EBIT_STDDEV_EST" hidden="1">"c1686"</definedName>
    <definedName name="IQ_EBIT_STDDEV_EST_CIQ" hidden="1">"c4679"</definedName>
    <definedName name="IQ_EBIT_STDDEV_EST_REUT" hidden="1">"c5338"</definedName>
    <definedName name="IQ_EBIT_STDDEV_EST_THOM" hidden="1">"c5110"</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"EBITDA_10K"</definedName>
    <definedName name="IQ_EBITDA_10Q" hidden="1">"EBITDA_10Q"</definedName>
    <definedName name="IQ_EBITDA_10Q1" hidden="1">"EBITDA_10Q1"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ACT_OR_EST_REUT" hidden="1">"c5462"</definedName>
    <definedName name="IQ_EBITDA_ACT_OR_EST_THOM" hidden="1">"c5300"</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CIQ" hidden="1">"c3622"</definedName>
    <definedName name="IQ_EBITDA_EST_REUT" hidden="1">"c3640"</definedName>
    <definedName name="IQ_EBITDA_EST_THOM" hidden="1">"c3658"</definedName>
    <definedName name="IQ_EBITDA_EXCL_SBC" hidden="1">"c3081"</definedName>
    <definedName name="IQ_EBITDA_GROWTH_1" hidden="1">"IQ_EBITDA_GROWTH_1"</definedName>
    <definedName name="IQ_EBITDA_GROWTH_2" hidden="1">"IQ_EBITDA_GROWTH_2"</definedName>
    <definedName name="IQ_EBITDA_GUIDANCE" hidden="1">"c4334"</definedName>
    <definedName name="IQ_EBITDA_GUIDANCE_CIQ" hidden="1">"c4859"</definedName>
    <definedName name="IQ_EBITDA_HIGH_EST" hidden="1">"c370"</definedName>
    <definedName name="IQ_EBITDA_HIGH_EST_CIQ" hidden="1">"c3624"</definedName>
    <definedName name="IQ_EBITDA_HIGH_EST_REUT" hidden="1">"c3642"</definedName>
    <definedName name="IQ_EBITDA_HIGH_EST_THOM" hidden="1">"c3660"</definedName>
    <definedName name="IQ_EBITDA_HIGH_GUIDANCE" hidden="1">"c4170"</definedName>
    <definedName name="IQ_EBITDA_HIGH_GUIDANCE_CIQ" hidden="1">"c4582"</definedName>
    <definedName name="IQ_EBITDA_INT" hidden="1">"c373"</definedName>
    <definedName name="IQ_EBITDA_LOW_EST" hidden="1">"c371"</definedName>
    <definedName name="IQ_EBITDA_LOW_EST_CIQ" hidden="1">"c3625"</definedName>
    <definedName name="IQ_EBITDA_LOW_EST_REUT" hidden="1">"c3643"</definedName>
    <definedName name="IQ_EBITDA_LOW_EST_THOM" hidden="1">"c3661"</definedName>
    <definedName name="IQ_EBITDA_LOW_GUIDANCE" hidden="1">"c4210"</definedName>
    <definedName name="IQ_EBITDA_LOW_GUIDANCE_CIQ" hidden="1">"c4622"</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MEDIAN_EST_THOM" hidden="1">"c3659"</definedName>
    <definedName name="IQ_EBITDA_NO_EST" hidden="1">"c267"</definedName>
    <definedName name="IQ_EBITDA_NUM_EST" hidden="1">"c374"</definedName>
    <definedName name="IQ_EBITDA_NUM_EST_CIQ" hidden="1">"c3626"</definedName>
    <definedName name="IQ_EBITDA_NUM_EST_REUT" hidden="1">"c3644"</definedName>
    <definedName name="IQ_EBITDA_NUM_EST_THOM" hidden="1">"c3662"</definedName>
    <definedName name="IQ_EBITDA_OVER_TOTAL_IE" hidden="1">"c1371"</definedName>
    <definedName name="IQ_EBITDA_SBC_ACT_OR_EST" hidden="1">"c4337"</definedName>
    <definedName name="IQ_EBITDA_SBC_ACT_OR_EST_CIQ" hidden="1">"c4862"</definedName>
    <definedName name="IQ_EBITDA_SBC_EST" hidden="1">"c4336"</definedName>
    <definedName name="IQ_EBITDA_SBC_EST_CIQ" hidden="1">"c4861"</definedName>
    <definedName name="IQ_EBITDA_SBC_GUIDANCE" hidden="1">"c4338"</definedName>
    <definedName name="IQ_EBITDA_SBC_GUIDANCE_CIQ" hidden="1">"c4863"</definedName>
    <definedName name="IQ_EBITDA_SBC_HIGH_EST" hidden="1">"c4339"</definedName>
    <definedName name="IQ_EBITDA_SBC_HIGH_EST_CIQ" hidden="1">"c4864"</definedName>
    <definedName name="IQ_EBITDA_SBC_HIGH_GUIDANCE" hidden="1">"c4194"</definedName>
    <definedName name="IQ_EBITDA_SBC_HIGH_GUIDANCE_CIQ" hidden="1">"c4606"</definedName>
    <definedName name="IQ_EBITDA_SBC_LOW_EST" hidden="1">"c4340"</definedName>
    <definedName name="IQ_EBITDA_SBC_LOW_EST_CIQ" hidden="1">"c4865"</definedName>
    <definedName name="IQ_EBITDA_SBC_LOW_GUIDANCE" hidden="1">"c4234"</definedName>
    <definedName name="IQ_EBITDA_SBC_LOW_GUIDANCE_CIQ" hidden="1">"c4646"</definedName>
    <definedName name="IQ_EBITDA_SBC_MEDIAN_EST" hidden="1">"c4341"</definedName>
    <definedName name="IQ_EBITDA_SBC_MEDIAN_EST_CIQ" hidden="1">"c4866"</definedName>
    <definedName name="IQ_EBITDA_SBC_NUM_EST" hidden="1">"c4342"</definedName>
    <definedName name="IQ_EBITDA_SBC_NUM_EST_CIQ" hidden="1">"c4867"</definedName>
    <definedName name="IQ_EBITDA_SBC_STDDEV_EST" hidden="1">"c4343"</definedName>
    <definedName name="IQ_EBITDA_SBC_STDDEV_EST_CIQ" hidden="1">"c4868"</definedName>
    <definedName name="IQ_EBITDA_STDDEV_EST" hidden="1">"c375"</definedName>
    <definedName name="IQ_EBITDA_STDDEV_EST_CIQ" hidden="1">"c3627"</definedName>
    <definedName name="IQ_EBITDA_STDDEV_EST_REUT" hidden="1">"c3645"</definedName>
    <definedName name="IQ_EBITDA_STDDEV_EST_THOM" hidden="1">"c3663"</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 hidden="1">"c13029"</definedName>
    <definedName name="IQ_EBT_FIN" hidden="1">"c386"</definedName>
    <definedName name="IQ_EBT_FTE_FFIEC" hidden="1">"c13037"</definedName>
    <definedName name="IQ_EBT_GAAP_GUIDANCE" hidden="1">"c4345"</definedName>
    <definedName name="IQ_EBT_GAAP_GUIDANCE_CIQ" hidden="1">"c4870"</definedName>
    <definedName name="IQ_EBT_GAAP_HIGH_GUIDANCE" hidden="1">"c4174"</definedName>
    <definedName name="IQ_EBT_GAAP_HIGH_GUIDANCE_CIQ" hidden="1">"c4586"</definedName>
    <definedName name="IQ_EBT_GAAP_LOW_GUIDANCE" hidden="1">"c4214"</definedName>
    <definedName name="IQ_EBT_GAAP_LOW_GUIDANCE_CIQ" hidden="1">"c4626"</definedName>
    <definedName name="IQ_EBT_GUIDANCE" hidden="1">"c4346"</definedName>
    <definedName name="IQ_EBT_GUIDANCE_CIQ" hidden="1">"c4871"</definedName>
    <definedName name="IQ_EBT_GW_GUIDANCE" hidden="1">"c4347"</definedName>
    <definedName name="IQ_EBT_GW_GUIDANCE_CIQ" hidden="1">"c4872"</definedName>
    <definedName name="IQ_EBT_GW_HIGH_GUIDANCE" hidden="1">"c4175"</definedName>
    <definedName name="IQ_EBT_GW_HIGH_GUIDANCE_CIQ" hidden="1">"c4587"</definedName>
    <definedName name="IQ_EBT_GW_LOW_GUIDANCE" hidden="1">"c4215"</definedName>
    <definedName name="IQ_EBT_GW_LOW_GUIDANCE_CIQ" hidden="1">"c4627"</definedName>
    <definedName name="IQ_EBT_HIGH_GUIDANCE" hidden="1">"c4173"</definedName>
    <definedName name="IQ_EBT_HIGH_GUIDANCE_CIQ" hidden="1">"c4585"</definedName>
    <definedName name="IQ_EBT_INCL_MARGIN" hidden="1">"c387"</definedName>
    <definedName name="IQ_EBT_INS" hidden="1">"c388"</definedName>
    <definedName name="IQ_EBT_LOW_GUIDANCE" hidden="1">"c4213"</definedName>
    <definedName name="IQ_EBT_LOW_GUIDANCE_CIQ" hidden="1">"c4625"</definedName>
    <definedName name="IQ_EBT_RE" hidden="1">"c6215"</definedName>
    <definedName name="IQ_EBT_REIT" hidden="1">"c389"</definedName>
    <definedName name="IQ_EBT_SBC_ACT_OR_EST" hidden="1">"c4350"</definedName>
    <definedName name="IQ_EBT_SBC_ACT_OR_EST_CIQ" hidden="1">"c4875"</definedName>
    <definedName name="IQ_EBT_SBC_EST" hidden="1">"c4349"</definedName>
    <definedName name="IQ_EBT_SBC_EST_CIQ" hidden="1">"c4874"</definedName>
    <definedName name="IQ_EBT_SBC_GUIDANCE" hidden="1">"c4351"</definedName>
    <definedName name="IQ_EBT_SBC_GUIDANCE_CIQ" hidden="1">"c4876"</definedName>
    <definedName name="IQ_EBT_SBC_GW_ACT_OR_EST" hidden="1">"c4354"</definedName>
    <definedName name="IQ_EBT_SBC_GW_ACT_OR_EST_CIQ" hidden="1">"c4879"</definedName>
    <definedName name="IQ_EBT_SBC_GW_EST" hidden="1">"c4353"</definedName>
    <definedName name="IQ_EBT_SBC_GW_EST_CIQ" hidden="1">"c4878"</definedName>
    <definedName name="IQ_EBT_SBC_GW_GUIDANCE" hidden="1">"c4355"</definedName>
    <definedName name="IQ_EBT_SBC_GW_GUIDANCE_CIQ" hidden="1">"c4880"</definedName>
    <definedName name="IQ_EBT_SBC_GW_HIGH_EST" hidden="1">"c4356"</definedName>
    <definedName name="IQ_EBT_SBC_GW_HIGH_EST_CIQ" hidden="1">"c4881"</definedName>
    <definedName name="IQ_EBT_SBC_GW_HIGH_GUIDANCE" hidden="1">"c4191"</definedName>
    <definedName name="IQ_EBT_SBC_GW_HIGH_GUIDANCE_CIQ" hidden="1">"c4603"</definedName>
    <definedName name="IQ_EBT_SBC_GW_LOW_EST" hidden="1">"c4357"</definedName>
    <definedName name="IQ_EBT_SBC_GW_LOW_EST_CIQ" hidden="1">"c4882"</definedName>
    <definedName name="IQ_EBT_SBC_GW_LOW_GUIDANCE" hidden="1">"c4231"</definedName>
    <definedName name="IQ_EBT_SBC_GW_LOW_GUIDANCE_CIQ" hidden="1">"c4643"</definedName>
    <definedName name="IQ_EBT_SBC_GW_MEDIAN_EST" hidden="1">"c4358"</definedName>
    <definedName name="IQ_EBT_SBC_GW_MEDIAN_EST_CIQ" hidden="1">"c4883"</definedName>
    <definedName name="IQ_EBT_SBC_GW_NUM_EST" hidden="1">"c4359"</definedName>
    <definedName name="IQ_EBT_SBC_GW_NUM_EST_CIQ" hidden="1">"c4884"</definedName>
    <definedName name="IQ_EBT_SBC_GW_STDDEV_EST" hidden="1">"c4360"</definedName>
    <definedName name="IQ_EBT_SBC_GW_STDDEV_EST_CIQ" hidden="1">"c4885"</definedName>
    <definedName name="IQ_EBT_SBC_HIGH_EST" hidden="1">"c4362"</definedName>
    <definedName name="IQ_EBT_SBC_HIGH_EST_CIQ" hidden="1">"c4887"</definedName>
    <definedName name="IQ_EBT_SBC_HIGH_GUIDANCE" hidden="1">"c4190"</definedName>
    <definedName name="IQ_EBT_SBC_HIGH_GUIDANCE_CIQ" hidden="1">"c4602"</definedName>
    <definedName name="IQ_EBT_SBC_LOW_EST" hidden="1">"c4363"</definedName>
    <definedName name="IQ_EBT_SBC_LOW_EST_CIQ" hidden="1">"c4888"</definedName>
    <definedName name="IQ_EBT_SBC_LOW_GUIDANCE" hidden="1">"c4230"</definedName>
    <definedName name="IQ_EBT_SBC_LOW_GUIDANCE_CIQ" hidden="1">"c4642"</definedName>
    <definedName name="IQ_EBT_SBC_MEDIAN_EST" hidden="1">"c4364"</definedName>
    <definedName name="IQ_EBT_SBC_MEDIAN_EST_CIQ" hidden="1">"c4889"</definedName>
    <definedName name="IQ_EBT_SBC_NUM_EST" hidden="1">"c4365"</definedName>
    <definedName name="IQ_EBT_SBC_NUM_EST_CIQ" hidden="1">"c4890"</definedName>
    <definedName name="IQ_EBT_SBC_STDDEV_EST" hidden="1">"c4366"</definedName>
    <definedName name="IQ_EBT_SBC_STDDEV_EST_CIQ" hidden="1">"c4891"</definedName>
    <definedName name="IQ_EBT_SUBTOTAL_AP" hidden="1">"c8982"</definedName>
    <definedName name="IQ_EBT_UTI" hidden="1">"c390"</definedName>
    <definedName name="IQ_ECO_METRIC_6810" hidden="1">"c6810"</definedName>
    <definedName name="IQ_ECO_METRIC_6811" hidden="1">"c6811"</definedName>
    <definedName name="IQ_ECO_METRIC_6812" hidden="1">"c6812"</definedName>
    <definedName name="IQ_ECO_METRIC_6813" hidden="1">"c6813"</definedName>
    <definedName name="IQ_ECO_METRIC_6814" hidden="1">"c6814"</definedName>
    <definedName name="IQ_ECO_METRIC_6815" hidden="1">"c6815"</definedName>
    <definedName name="IQ_ECO_METRIC_6816" hidden="1">"c6816"</definedName>
    <definedName name="IQ_ECO_METRIC_6817" hidden="1">"c6817"</definedName>
    <definedName name="IQ_ECO_METRIC_6818" hidden="1">"c6818"</definedName>
    <definedName name="IQ_ECO_METRIC_6819" hidden="1">"c6819"</definedName>
    <definedName name="IQ_ECO_METRIC_6820" hidden="1">"c6820"</definedName>
    <definedName name="IQ_ECO_METRIC_6821" hidden="1">"c6821"</definedName>
    <definedName name="IQ_ECO_METRIC_6822" hidden="1">"c6822"</definedName>
    <definedName name="IQ_ECO_METRIC_6823" hidden="1">"c6823"</definedName>
    <definedName name="IQ_ECO_METRIC_6824" hidden="1">"c6824"</definedName>
    <definedName name="IQ_ECO_METRIC_6825" hidden="1">"c6825"</definedName>
    <definedName name="IQ_ECO_METRIC_6825_UNUSED" hidden="1">"c6825"</definedName>
    <definedName name="IQ_ECO_METRIC_6825_UNUSED_UNUSED_UNUSED" hidden="1">"c6825"</definedName>
    <definedName name="IQ_ECO_METRIC_6826" hidden="1">"c6826"</definedName>
    <definedName name="IQ_ECO_METRIC_6827" hidden="1">"c6827"</definedName>
    <definedName name="IQ_ECO_METRIC_6828" hidden="1">"c6828"</definedName>
    <definedName name="IQ_ECO_METRIC_6829" hidden="1">"c6829"</definedName>
    <definedName name="IQ_ECO_METRIC_6830" hidden="1">"c6830"</definedName>
    <definedName name="IQ_ECO_METRIC_6831" hidden="1">"c6831"</definedName>
    <definedName name="IQ_ECO_METRIC_6832" hidden="1">"c6832"</definedName>
    <definedName name="IQ_ECO_METRIC_6833" hidden="1">"c6833"</definedName>
    <definedName name="IQ_ECO_METRIC_6834" hidden="1">"c6834"</definedName>
    <definedName name="IQ_ECO_METRIC_6835" hidden="1">"c6835"</definedName>
    <definedName name="IQ_ECO_METRIC_6836" hidden="1">"c6836"</definedName>
    <definedName name="IQ_ECO_METRIC_6837" hidden="1">"c6837"</definedName>
    <definedName name="IQ_ECO_METRIC_6838" hidden="1">"c6838"</definedName>
    <definedName name="IQ_ECO_METRIC_6839" hidden="1">"c6839"</definedName>
    <definedName name="IQ_ECO_METRIC_6839_UNUSED" hidden="1">"c6839"</definedName>
    <definedName name="IQ_ECO_METRIC_6839_UNUSED_UNUSED_UNUSED" hidden="1">"c6839"</definedName>
    <definedName name="IQ_ECO_METRIC_6840" hidden="1">"c6840"</definedName>
    <definedName name="IQ_ECO_METRIC_6841" hidden="1">"c6841"</definedName>
    <definedName name="IQ_ECO_METRIC_6842" hidden="1">"c6842"</definedName>
    <definedName name="IQ_ECO_METRIC_6843" hidden="1">"c6843"</definedName>
    <definedName name="IQ_ECO_METRIC_6844" hidden="1">"c6844"</definedName>
    <definedName name="IQ_ECO_METRIC_6845" hidden="1">"c6845"</definedName>
    <definedName name="IQ_ECO_METRIC_6846" hidden="1">"c6846"</definedName>
    <definedName name="IQ_ECO_METRIC_6847" hidden="1">"c6847"</definedName>
    <definedName name="IQ_ECO_METRIC_6848" hidden="1">"c6848"</definedName>
    <definedName name="IQ_ECO_METRIC_6849" hidden="1">"c6849"</definedName>
    <definedName name="IQ_ECO_METRIC_6850" hidden="1">"c6850"</definedName>
    <definedName name="IQ_ECO_METRIC_6851" hidden="1">"c6851"</definedName>
    <definedName name="IQ_ECO_METRIC_6852" hidden="1">"c6852"</definedName>
    <definedName name="IQ_ECO_METRIC_6853" hidden="1">"c6853"</definedName>
    <definedName name="IQ_ECO_METRIC_6854" hidden="1">"c6854"</definedName>
    <definedName name="IQ_ECO_METRIC_6855" hidden="1">"c6855"</definedName>
    <definedName name="IQ_ECO_METRIC_6856" hidden="1">"c6856"</definedName>
    <definedName name="IQ_ECO_METRIC_6857" hidden="1">"c6857"</definedName>
    <definedName name="IQ_ECO_METRIC_6858" hidden="1">"c6858"</definedName>
    <definedName name="IQ_ECO_METRIC_6859" hidden="1">"c6859"</definedName>
    <definedName name="IQ_ECO_METRIC_6860" hidden="1">"c6860"</definedName>
    <definedName name="IQ_ECO_METRIC_6861" hidden="1">"c6861"</definedName>
    <definedName name="IQ_ECO_METRIC_6862" hidden="1">"c6862"</definedName>
    <definedName name="IQ_ECO_METRIC_6863" hidden="1">"c6863"</definedName>
    <definedName name="IQ_ECO_METRIC_6864" hidden="1">"c6864"</definedName>
    <definedName name="IQ_ECO_METRIC_6865" hidden="1">"c6865"</definedName>
    <definedName name="IQ_ECO_METRIC_6866" hidden="1">"c6866"</definedName>
    <definedName name="IQ_ECO_METRIC_6867" hidden="1">"c6867"</definedName>
    <definedName name="IQ_ECO_METRIC_6868" hidden="1">"c6868"</definedName>
    <definedName name="IQ_ECO_METRIC_6869" hidden="1">"c6869"</definedName>
    <definedName name="IQ_ECO_METRIC_6870" hidden="1">"c6870"</definedName>
    <definedName name="IQ_ECO_METRIC_6871" hidden="1">"c6871"</definedName>
    <definedName name="IQ_ECO_METRIC_6872" hidden="1">"c6872"</definedName>
    <definedName name="IQ_ECO_METRIC_6873" hidden="1">"c6873"</definedName>
    <definedName name="IQ_ECO_METRIC_6874" hidden="1">"c6874"</definedName>
    <definedName name="IQ_ECO_METRIC_6875" hidden="1">"c6875"</definedName>
    <definedName name="IQ_ECO_METRIC_6876" hidden="1">"c6876"</definedName>
    <definedName name="IQ_ECO_METRIC_6877" hidden="1">"c6877"</definedName>
    <definedName name="IQ_ECO_METRIC_6878" hidden="1">"c6878"</definedName>
    <definedName name="IQ_ECO_METRIC_6879" hidden="1">"c6879"</definedName>
    <definedName name="IQ_ECO_METRIC_6880" hidden="1">"c6880"</definedName>
    <definedName name="IQ_ECO_METRIC_6881" hidden="1">"c6881"</definedName>
    <definedName name="IQ_ECO_METRIC_6882" hidden="1">"c6882"</definedName>
    <definedName name="IQ_ECO_METRIC_6883" hidden="1">"c6883"</definedName>
    <definedName name="IQ_ECO_METRIC_6884" hidden="1">"c6884"</definedName>
    <definedName name="IQ_ECO_METRIC_6885" hidden="1">"c6885"</definedName>
    <definedName name="IQ_ECO_METRIC_6886" hidden="1">"c6886"</definedName>
    <definedName name="IQ_ECO_METRIC_6887" hidden="1">"c6887"</definedName>
    <definedName name="IQ_ECO_METRIC_6888" hidden="1">"c6888"</definedName>
    <definedName name="IQ_ECO_METRIC_6889" hidden="1">"c6889"</definedName>
    <definedName name="IQ_ECO_METRIC_6890" hidden="1">"c6890"</definedName>
    <definedName name="IQ_ECO_METRIC_6891" hidden="1">"c6891"</definedName>
    <definedName name="IQ_ECO_METRIC_6892" hidden="1">"c6892"</definedName>
    <definedName name="IQ_ECO_METRIC_6893" hidden="1">"c6893"</definedName>
    <definedName name="IQ_ECO_METRIC_6894" hidden="1">"c6894"</definedName>
    <definedName name="IQ_ECO_METRIC_6895" hidden="1">"c6895"</definedName>
    <definedName name="IQ_ECO_METRIC_6896" hidden="1">"c6896"</definedName>
    <definedName name="IQ_ECO_METRIC_6896_UNUSED" hidden="1">"c6896"</definedName>
    <definedName name="IQ_ECO_METRIC_6896_UNUSED_UNUSED_UNUSED" hidden="1">"c6896"</definedName>
    <definedName name="IQ_ECO_METRIC_6897" hidden="1">"c6897"</definedName>
    <definedName name="IQ_ECO_METRIC_6897_UNUSED" hidden="1">"c6897"</definedName>
    <definedName name="IQ_ECO_METRIC_6897_UNUSED_UNUSED_UNUSED" hidden="1">"c6897"</definedName>
    <definedName name="IQ_ECO_METRIC_6899" hidden="1">"c6899"</definedName>
    <definedName name="IQ_ECO_METRIC_6900" hidden="1">"c6900"</definedName>
    <definedName name="IQ_ECO_METRIC_6901" hidden="1">"c6901"</definedName>
    <definedName name="IQ_ECO_METRIC_6902" hidden="1">"c6902"</definedName>
    <definedName name="IQ_ECO_METRIC_6903" hidden="1">"c6903"</definedName>
    <definedName name="IQ_ECO_METRIC_6904" hidden="1">"c6904"</definedName>
    <definedName name="IQ_ECO_METRIC_6905" hidden="1">"c6905"</definedName>
    <definedName name="IQ_ECO_METRIC_6906" hidden="1">"c6906"</definedName>
    <definedName name="IQ_ECO_METRIC_6907" hidden="1">"c6907"</definedName>
    <definedName name="IQ_ECO_METRIC_6908" hidden="1">"c6908"</definedName>
    <definedName name="IQ_ECO_METRIC_6909" hidden="1">"c6909"</definedName>
    <definedName name="IQ_ECO_METRIC_6910" hidden="1">"c6910"</definedName>
    <definedName name="IQ_ECO_METRIC_6911" hidden="1">"c6911"</definedName>
    <definedName name="IQ_ECO_METRIC_6912" hidden="1">"c6912"</definedName>
    <definedName name="IQ_ECO_METRIC_6913" hidden="1">"c6913"</definedName>
    <definedName name="IQ_ECO_METRIC_6914" hidden="1">"c6914"</definedName>
    <definedName name="IQ_ECO_METRIC_6915" hidden="1">"c6915"</definedName>
    <definedName name="IQ_ECO_METRIC_6916" hidden="1">"c6916"</definedName>
    <definedName name="IQ_ECO_METRIC_6917" hidden="1">"c6917"</definedName>
    <definedName name="IQ_ECO_METRIC_6918" hidden="1">"c6918"</definedName>
    <definedName name="IQ_ECO_METRIC_6919" hidden="1">"c6919"</definedName>
    <definedName name="IQ_ECO_METRIC_6920" hidden="1">"c6920"</definedName>
    <definedName name="IQ_ECO_METRIC_6921" hidden="1">"c6921"</definedName>
    <definedName name="IQ_ECO_METRIC_6922" hidden="1">"c6922"</definedName>
    <definedName name="IQ_ECO_METRIC_6923" hidden="1">"c6923"</definedName>
    <definedName name="IQ_ECO_METRIC_6924" hidden="1">"c6924"</definedName>
    <definedName name="IQ_ECO_METRIC_6925" hidden="1">"c6925"</definedName>
    <definedName name="IQ_ECO_METRIC_6926" hidden="1">"c6926"</definedName>
    <definedName name="IQ_ECO_METRIC_6927" hidden="1">"c6927"</definedName>
    <definedName name="IQ_ECO_METRIC_6928" hidden="1">"c6928"</definedName>
    <definedName name="IQ_ECO_METRIC_6929" hidden="1">"c6929"</definedName>
    <definedName name="IQ_ECO_METRIC_6930" hidden="1">"c6930"</definedName>
    <definedName name="IQ_ECO_METRIC_6931" hidden="1">"c6931"</definedName>
    <definedName name="IQ_ECO_METRIC_6932" hidden="1">"c6932"</definedName>
    <definedName name="IQ_ECO_METRIC_6933" hidden="1">"c6933"</definedName>
    <definedName name="IQ_ECO_METRIC_6934" hidden="1">"c6934"</definedName>
    <definedName name="IQ_ECO_METRIC_6935" hidden="1">"c6935"</definedName>
    <definedName name="IQ_ECO_METRIC_6936" hidden="1">"c6936"</definedName>
    <definedName name="IQ_ECO_METRIC_6937" hidden="1">"c6937"</definedName>
    <definedName name="IQ_ECO_METRIC_6938" hidden="1">"c6938"</definedName>
    <definedName name="IQ_ECO_METRIC_6939" hidden="1">"c6939"</definedName>
    <definedName name="IQ_ECO_METRIC_6940" hidden="1">"c6940"</definedName>
    <definedName name="IQ_ECO_METRIC_6941" hidden="1">"c6941"</definedName>
    <definedName name="IQ_ECO_METRIC_6942" hidden="1">"c6942"</definedName>
    <definedName name="IQ_ECO_METRIC_6943" hidden="1">"c6943"</definedName>
    <definedName name="IQ_ECO_METRIC_6944" hidden="1">"c6944"</definedName>
    <definedName name="IQ_ECO_METRIC_6945" hidden="1">"c6945"</definedName>
    <definedName name="IQ_ECO_METRIC_6946" hidden="1">"c6946"</definedName>
    <definedName name="IQ_ECO_METRIC_6947" hidden="1">"c6947"</definedName>
    <definedName name="IQ_ECO_METRIC_6948" hidden="1">"c6948"</definedName>
    <definedName name="IQ_ECO_METRIC_6949" hidden="1">"c6949"</definedName>
    <definedName name="IQ_ECO_METRIC_6950" hidden="1">"c6950"</definedName>
    <definedName name="IQ_ECO_METRIC_6951" hidden="1">"c6951"</definedName>
    <definedName name="IQ_ECO_METRIC_6952" hidden="1">"c6952"</definedName>
    <definedName name="IQ_ECO_METRIC_6953" hidden="1">"c6953"</definedName>
    <definedName name="IQ_ECO_METRIC_6954" hidden="1">"c6954"</definedName>
    <definedName name="IQ_ECO_METRIC_6955" hidden="1">"c6955"</definedName>
    <definedName name="IQ_ECO_METRIC_6956" hidden="1">"c6956"</definedName>
    <definedName name="IQ_ECO_METRIC_6957" hidden="1">"c6957"</definedName>
    <definedName name="IQ_ECO_METRIC_6958" hidden="1">"c6958"</definedName>
    <definedName name="IQ_ECO_METRIC_6959" hidden="1">"c6959"</definedName>
    <definedName name="IQ_ECO_METRIC_6960" hidden="1">"c6960"</definedName>
    <definedName name="IQ_ECO_METRIC_6962" hidden="1">"c6962"</definedName>
    <definedName name="IQ_ECO_METRIC_6963" hidden="1">"c6963"</definedName>
    <definedName name="IQ_ECO_METRIC_6964" hidden="1">"c6964"</definedName>
    <definedName name="IQ_ECO_METRIC_6965" hidden="1">"c6965"</definedName>
    <definedName name="IQ_ECO_METRIC_6966" hidden="1">"c6966"</definedName>
    <definedName name="IQ_ECO_METRIC_6967" hidden="1">"c6967"</definedName>
    <definedName name="IQ_ECO_METRIC_6968" hidden="1">"c6968"</definedName>
    <definedName name="IQ_ECO_METRIC_6969" hidden="1">"c6969"</definedName>
    <definedName name="IQ_ECO_METRIC_6970" hidden="1">"c6970"</definedName>
    <definedName name="IQ_ECO_METRIC_6971" hidden="1">"c6971"</definedName>
    <definedName name="IQ_ECO_METRIC_6972" hidden="1">"c6972"</definedName>
    <definedName name="IQ_ECO_METRIC_6973" hidden="1">"c6973"</definedName>
    <definedName name="IQ_ECO_METRIC_6974" hidden="1">"c6974"</definedName>
    <definedName name="IQ_ECO_METRIC_6975" hidden="1">"c6975"</definedName>
    <definedName name="IQ_ECO_METRIC_6976" hidden="1">"c6976"</definedName>
    <definedName name="IQ_ECO_METRIC_6977" hidden="1">"c6977"</definedName>
    <definedName name="IQ_ECO_METRIC_6978" hidden="1">"c6978"</definedName>
    <definedName name="IQ_ECO_METRIC_6979" hidden="1">"c6979"</definedName>
    <definedName name="IQ_ECO_METRIC_6980" hidden="1">"c6980"</definedName>
    <definedName name="IQ_ECO_METRIC_6981" hidden="1">"c6981"</definedName>
    <definedName name="IQ_ECO_METRIC_6982" hidden="1">"c6982"</definedName>
    <definedName name="IQ_ECO_METRIC_6983" hidden="1">"c6983"</definedName>
    <definedName name="IQ_ECO_METRIC_6984" hidden="1">"c6984"</definedName>
    <definedName name="IQ_ECO_METRIC_6985" hidden="1">"c6985"</definedName>
    <definedName name="IQ_ECO_METRIC_6986" hidden="1">"c6986"</definedName>
    <definedName name="IQ_ECO_METRIC_6987" hidden="1">"c6987"</definedName>
    <definedName name="IQ_ECO_METRIC_6988" hidden="1">"c6988"</definedName>
    <definedName name="IQ_ECO_METRIC_6988_UNUSED" hidden="1">"c6988"</definedName>
    <definedName name="IQ_ECO_METRIC_6988_UNUSED_UNUSED_UNUSED" hidden="1">"c6988"</definedName>
    <definedName name="IQ_ECO_METRIC_6989" hidden="1">"c6989"</definedName>
    <definedName name="IQ_ECO_METRIC_6990" hidden="1">"c6990"</definedName>
    <definedName name="IQ_ECO_METRIC_6991" hidden="1">"c6991"</definedName>
    <definedName name="IQ_ECO_METRIC_6992" hidden="1">"c6992"</definedName>
    <definedName name="IQ_ECO_METRIC_6993" hidden="1">"c6993"</definedName>
    <definedName name="IQ_ECO_METRIC_6994" hidden="1">"c6994"</definedName>
    <definedName name="IQ_ECO_METRIC_6995" hidden="1">"c6995"</definedName>
    <definedName name="IQ_ECO_METRIC_6996" hidden="1">"c6996"</definedName>
    <definedName name="IQ_ECO_METRIC_6997" hidden="1">"c6997"</definedName>
    <definedName name="IQ_ECO_METRIC_6998" hidden="1">"c6998"</definedName>
    <definedName name="IQ_ECO_METRIC_7000" hidden="1">"c7000"</definedName>
    <definedName name="IQ_ECO_METRIC_7001" hidden="1">"c7001"</definedName>
    <definedName name="IQ_ECO_METRIC_7002" hidden="1">"c7002"</definedName>
    <definedName name="IQ_ECO_METRIC_7003" hidden="1">"c7003"</definedName>
    <definedName name="IQ_ECO_METRIC_7004" hidden="1">"c7004"</definedName>
    <definedName name="IQ_ECO_METRIC_7005" hidden="1">"c7005"</definedName>
    <definedName name="IQ_ECO_METRIC_7006" hidden="1">"c7006"</definedName>
    <definedName name="IQ_ECO_METRIC_7007" hidden="1">"c7007"</definedName>
    <definedName name="IQ_ECO_METRIC_7008" hidden="1">"c7008"</definedName>
    <definedName name="IQ_ECO_METRIC_7009" hidden="1">"c7009"</definedName>
    <definedName name="IQ_ECO_METRIC_7010" hidden="1">"c7010"</definedName>
    <definedName name="IQ_ECO_METRIC_7011" hidden="1">"c7011"</definedName>
    <definedName name="IQ_ECO_METRIC_7012" hidden="1">"c7012"</definedName>
    <definedName name="IQ_ECO_METRIC_7013" hidden="1">"c7013"</definedName>
    <definedName name="IQ_ECO_METRIC_7015" hidden="1">"c7015"</definedName>
    <definedName name="IQ_ECO_METRIC_7016" hidden="1">"c7016"</definedName>
    <definedName name="IQ_ECO_METRIC_7017" hidden="1">"c7017"</definedName>
    <definedName name="IQ_ECO_METRIC_7018" hidden="1">"c7018"</definedName>
    <definedName name="IQ_ECO_METRIC_7019" hidden="1">"c7019"</definedName>
    <definedName name="IQ_ECO_METRIC_7020" hidden="1">"c7020"</definedName>
    <definedName name="IQ_ECO_METRIC_7021" hidden="1">"c7021"</definedName>
    <definedName name="IQ_ECO_METRIC_7023" hidden="1">"c7023"</definedName>
    <definedName name="IQ_ECO_METRIC_7024" hidden="1">"c7024"</definedName>
    <definedName name="IQ_ECO_METRIC_7025" hidden="1">"c7025"</definedName>
    <definedName name="IQ_ECO_METRIC_7026" hidden="1">"c7026"</definedName>
    <definedName name="IQ_ECO_METRIC_7027" hidden="1">"c7027"</definedName>
    <definedName name="IQ_ECO_METRIC_7028" hidden="1">"c7028"</definedName>
    <definedName name="IQ_ECO_METRIC_7029" hidden="1">"c7029"</definedName>
    <definedName name="IQ_ECO_METRIC_7030" hidden="1">"c7030"</definedName>
    <definedName name="IQ_ECO_METRIC_7031" hidden="1">"c7031"</definedName>
    <definedName name="IQ_ECO_METRIC_7032" hidden="1">"c7032"</definedName>
    <definedName name="IQ_ECO_METRIC_7033" hidden="1">"c7033"</definedName>
    <definedName name="IQ_ECO_METRIC_7034" hidden="1">"c7034"</definedName>
    <definedName name="IQ_ECO_METRIC_7035" hidden="1">"c7035"</definedName>
    <definedName name="IQ_ECO_METRIC_7036" hidden="1">"c7036"</definedName>
    <definedName name="IQ_ECO_METRIC_7037" hidden="1">"c7037"</definedName>
    <definedName name="IQ_ECO_METRIC_7038" hidden="1">"c7038"</definedName>
    <definedName name="IQ_ECO_METRIC_7039" hidden="1">"c7039"</definedName>
    <definedName name="IQ_ECO_METRIC_7040" hidden="1">"c7040"</definedName>
    <definedName name="IQ_ECO_METRIC_7041" hidden="1">"c7041"</definedName>
    <definedName name="IQ_ECO_METRIC_7042" hidden="1">"c7042"</definedName>
    <definedName name="IQ_ECO_METRIC_7043" hidden="1">"c7043"</definedName>
    <definedName name="IQ_ECO_METRIC_7044" hidden="1">"c7044"</definedName>
    <definedName name="IQ_ECO_METRIC_7045" hidden="1">"c7045"</definedName>
    <definedName name="IQ_ECO_METRIC_7045_UNUSED" hidden="1">"c7045"</definedName>
    <definedName name="IQ_ECO_METRIC_7045_UNUSED_UNUSED_UNUSED" hidden="1">"c7045"</definedName>
    <definedName name="IQ_ECO_METRIC_7046" hidden="1">"c7046"</definedName>
    <definedName name="IQ_ECO_METRIC_7047" hidden="1">"c7047"</definedName>
    <definedName name="IQ_ECO_METRIC_7048" hidden="1">"c7048"</definedName>
    <definedName name="IQ_ECO_METRIC_7049" hidden="1">"c7049"</definedName>
    <definedName name="IQ_ECO_METRIC_7050" hidden="1">"c7050"</definedName>
    <definedName name="IQ_ECO_METRIC_7051" hidden="1">"c7051"</definedName>
    <definedName name="IQ_ECO_METRIC_7052" hidden="1">"c7052"</definedName>
    <definedName name="IQ_ECO_METRIC_7053" hidden="1">"c7053"</definedName>
    <definedName name="IQ_ECO_METRIC_7054" hidden="1">"c7054"</definedName>
    <definedName name="IQ_ECO_METRIC_7055" hidden="1">"c7055"</definedName>
    <definedName name="IQ_ECO_METRIC_7056" hidden="1">"c7056"</definedName>
    <definedName name="IQ_ECO_METRIC_7057" hidden="1">"c7057"</definedName>
    <definedName name="IQ_ECO_METRIC_7058" hidden="1">"c7058"</definedName>
    <definedName name="IQ_ECO_METRIC_7059" hidden="1">"c7059"</definedName>
    <definedName name="IQ_ECO_METRIC_7059_UNUSED" hidden="1">"c7059"</definedName>
    <definedName name="IQ_ECO_METRIC_7059_UNUSED_UNUSED_UNUSED" hidden="1">"c7059"</definedName>
    <definedName name="IQ_ECO_METRIC_7060" hidden="1">"c7060"</definedName>
    <definedName name="IQ_ECO_METRIC_7061" hidden="1">"c7061"</definedName>
    <definedName name="IQ_ECO_METRIC_7062" hidden="1">"c7062"</definedName>
    <definedName name="IQ_ECO_METRIC_7063" hidden="1">"c7063"</definedName>
    <definedName name="IQ_ECO_METRIC_7064" hidden="1">"c7064"</definedName>
    <definedName name="IQ_ECO_METRIC_7065" hidden="1">"c7065"</definedName>
    <definedName name="IQ_ECO_METRIC_7066" hidden="1">"c7066"</definedName>
    <definedName name="IQ_ECO_METRIC_7067" hidden="1">"c7067"</definedName>
    <definedName name="IQ_ECO_METRIC_7068" hidden="1">"c7068"</definedName>
    <definedName name="IQ_ECO_METRIC_7069" hidden="1">"c7069"</definedName>
    <definedName name="IQ_ECO_METRIC_7070" hidden="1">"c7070"</definedName>
    <definedName name="IQ_ECO_METRIC_7071" hidden="1">"c7071"</definedName>
    <definedName name="IQ_ECO_METRIC_7072" hidden="1">"c7072"</definedName>
    <definedName name="IQ_ECO_METRIC_7073" hidden="1">"c7073"</definedName>
    <definedName name="IQ_ECO_METRIC_7074" hidden="1">"c7074"</definedName>
    <definedName name="IQ_ECO_METRIC_7075" hidden="1">"c7075"</definedName>
    <definedName name="IQ_ECO_METRIC_7076" hidden="1">"c7076"</definedName>
    <definedName name="IQ_ECO_METRIC_7077" hidden="1">"c7077"</definedName>
    <definedName name="IQ_ECO_METRIC_7078" hidden="1">"c7078"</definedName>
    <definedName name="IQ_ECO_METRIC_7079" hidden="1">"c7079"</definedName>
    <definedName name="IQ_ECO_METRIC_7080" hidden="1">"c7080"</definedName>
    <definedName name="IQ_ECO_METRIC_7081" hidden="1">"c7081"</definedName>
    <definedName name="IQ_ECO_METRIC_7082" hidden="1">"c7082"</definedName>
    <definedName name="IQ_ECO_METRIC_7083" hidden="1">"c7083"</definedName>
    <definedName name="IQ_ECO_METRIC_7084" hidden="1">"c7084"</definedName>
    <definedName name="IQ_ECO_METRIC_7085" hidden="1">"c7085"</definedName>
    <definedName name="IQ_ECO_METRIC_7086" hidden="1">"c7086"</definedName>
    <definedName name="IQ_ECO_METRIC_7087" hidden="1">"c7087"</definedName>
    <definedName name="IQ_ECO_METRIC_7088" hidden="1">"c7088"</definedName>
    <definedName name="IQ_ECO_METRIC_7089" hidden="1">"c7089"</definedName>
    <definedName name="IQ_ECO_METRIC_7090" hidden="1">"c7090"</definedName>
    <definedName name="IQ_ECO_METRIC_7091" hidden="1">"c7091"</definedName>
    <definedName name="IQ_ECO_METRIC_7092" hidden="1">"c7092"</definedName>
    <definedName name="IQ_ECO_METRIC_7093" hidden="1">"c7093"</definedName>
    <definedName name="IQ_ECO_METRIC_7094" hidden="1">"c7094"</definedName>
    <definedName name="IQ_ECO_METRIC_7095" hidden="1">"c7095"</definedName>
    <definedName name="IQ_ECO_METRIC_7096" hidden="1">"c7096"</definedName>
    <definedName name="IQ_ECO_METRIC_7097" hidden="1">"c7097"</definedName>
    <definedName name="IQ_ECO_METRIC_7098" hidden="1">"c7098"</definedName>
    <definedName name="IQ_ECO_METRIC_7099" hidden="1">"c7099"</definedName>
    <definedName name="IQ_ECO_METRIC_7100" hidden="1">"c7100"</definedName>
    <definedName name="IQ_ECO_METRIC_7101" hidden="1">"c7101"</definedName>
    <definedName name="IQ_ECO_METRIC_7102" hidden="1">"c7102"</definedName>
    <definedName name="IQ_ECO_METRIC_7103" hidden="1">"c7103"</definedName>
    <definedName name="IQ_ECO_METRIC_7104" hidden="1">"c7104"</definedName>
    <definedName name="IQ_ECO_METRIC_7105" hidden="1">"c7105"</definedName>
    <definedName name="IQ_ECO_METRIC_7106" hidden="1">"c7106"</definedName>
    <definedName name="IQ_ECO_METRIC_7107" hidden="1">"c7107"</definedName>
    <definedName name="IQ_ECO_METRIC_7108" hidden="1">"c7108"</definedName>
    <definedName name="IQ_ECO_METRIC_7109" hidden="1">"c7109"</definedName>
    <definedName name="IQ_ECO_METRIC_7110" hidden="1">"c7110"</definedName>
    <definedName name="IQ_ECO_METRIC_7111" hidden="1">"c7111"</definedName>
    <definedName name="IQ_ECO_METRIC_7112" hidden="1">"c7112"</definedName>
    <definedName name="IQ_ECO_METRIC_7113" hidden="1">"c7113"</definedName>
    <definedName name="IQ_ECO_METRIC_7114" hidden="1">"c7114"</definedName>
    <definedName name="IQ_ECO_METRIC_7115" hidden="1">"c7115"</definedName>
    <definedName name="IQ_ECO_METRIC_7116" hidden="1">"c7116"</definedName>
    <definedName name="IQ_ECO_METRIC_7116_UNUSED" hidden="1">"c7116"</definedName>
    <definedName name="IQ_ECO_METRIC_7116_UNUSED_UNUSED_UNUSED" hidden="1">"c7116"</definedName>
    <definedName name="IQ_ECO_METRIC_7117" hidden="1">"c7117"</definedName>
    <definedName name="IQ_ECO_METRIC_7117_UNUSED" hidden="1">"c7117"</definedName>
    <definedName name="IQ_ECO_METRIC_7117_UNUSED_UNUSED_UNUSED" hidden="1">"c7117"</definedName>
    <definedName name="IQ_ECO_METRIC_7119" hidden="1">"c7119"</definedName>
    <definedName name="IQ_ECO_METRIC_7120" hidden="1">"c7120"</definedName>
    <definedName name="IQ_ECO_METRIC_7121" hidden="1">"c7121"</definedName>
    <definedName name="IQ_ECO_METRIC_7122" hidden="1">"c7122"</definedName>
    <definedName name="IQ_ECO_METRIC_7123" hidden="1">"c7123"</definedName>
    <definedName name="IQ_ECO_METRIC_7124" hidden="1">"c7124"</definedName>
    <definedName name="IQ_ECO_METRIC_7125" hidden="1">"c7125"</definedName>
    <definedName name="IQ_ECO_METRIC_7126" hidden="1">"c7126"</definedName>
    <definedName name="IQ_ECO_METRIC_7127" hidden="1">"c7127"</definedName>
    <definedName name="IQ_ECO_METRIC_7128" hidden="1">"c7128"</definedName>
    <definedName name="IQ_ECO_METRIC_7129" hidden="1">"c7129"</definedName>
    <definedName name="IQ_ECO_METRIC_7130" hidden="1">"c7130"</definedName>
    <definedName name="IQ_ECO_METRIC_7131" hidden="1">"c7131"</definedName>
    <definedName name="IQ_ECO_METRIC_7132" hidden="1">"c7132"</definedName>
    <definedName name="IQ_ECO_METRIC_7133" hidden="1">"c7133"</definedName>
    <definedName name="IQ_ECO_METRIC_7134" hidden="1">"c7134"</definedName>
    <definedName name="IQ_ECO_METRIC_7135" hidden="1">"c7135"</definedName>
    <definedName name="IQ_ECO_METRIC_7136" hidden="1">"c7136"</definedName>
    <definedName name="IQ_ECO_METRIC_7137" hidden="1">"c7137"</definedName>
    <definedName name="IQ_ECO_METRIC_7138" hidden="1">"c7138"</definedName>
    <definedName name="IQ_ECO_METRIC_7139" hidden="1">"c7139"</definedName>
    <definedName name="IQ_ECO_METRIC_7140" hidden="1">"c7140"</definedName>
    <definedName name="IQ_ECO_METRIC_7141" hidden="1">"c7141"</definedName>
    <definedName name="IQ_ECO_METRIC_7142" hidden="1">"c7142"</definedName>
    <definedName name="IQ_ECO_METRIC_7143" hidden="1">"c7143"</definedName>
    <definedName name="IQ_ECO_METRIC_7144" hidden="1">"c7144"</definedName>
    <definedName name="IQ_ECO_METRIC_7145" hidden="1">"c7145"</definedName>
    <definedName name="IQ_ECO_METRIC_7146" hidden="1">"c7146"</definedName>
    <definedName name="IQ_ECO_METRIC_7147" hidden="1">"c7147"</definedName>
    <definedName name="IQ_ECO_METRIC_7148" hidden="1">"c7148"</definedName>
    <definedName name="IQ_ECO_METRIC_7149" hidden="1">"c7149"</definedName>
    <definedName name="IQ_ECO_METRIC_7150" hidden="1">"c7150"</definedName>
    <definedName name="IQ_ECO_METRIC_7151" hidden="1">"c7151"</definedName>
    <definedName name="IQ_ECO_METRIC_7152" hidden="1">"c7152"</definedName>
    <definedName name="IQ_ECO_METRIC_7153" hidden="1">"c7153"</definedName>
    <definedName name="IQ_ECO_METRIC_7154" hidden="1">"c7154"</definedName>
    <definedName name="IQ_ECO_METRIC_7155" hidden="1">"c7155"</definedName>
    <definedName name="IQ_ECO_METRIC_7156" hidden="1">"c7156"</definedName>
    <definedName name="IQ_ECO_METRIC_7157" hidden="1">"c7157"</definedName>
    <definedName name="IQ_ECO_METRIC_7158" hidden="1">"c7158"</definedName>
    <definedName name="IQ_ECO_METRIC_7159" hidden="1">"c7159"</definedName>
    <definedName name="IQ_ECO_METRIC_7160" hidden="1">"c7160"</definedName>
    <definedName name="IQ_ECO_METRIC_7161" hidden="1">"c7161"</definedName>
    <definedName name="IQ_ECO_METRIC_7162" hidden="1">"c7162"</definedName>
    <definedName name="IQ_ECO_METRIC_7163" hidden="1">"c7163"</definedName>
    <definedName name="IQ_ECO_METRIC_7164" hidden="1">"c7164"</definedName>
    <definedName name="IQ_ECO_METRIC_7165" hidden="1">"c7165"</definedName>
    <definedName name="IQ_ECO_METRIC_7166" hidden="1">"c7166"</definedName>
    <definedName name="IQ_ECO_METRIC_7167" hidden="1">"c7167"</definedName>
    <definedName name="IQ_ECO_METRIC_7168" hidden="1">"c7168"</definedName>
    <definedName name="IQ_ECO_METRIC_7169" hidden="1">"c7169"</definedName>
    <definedName name="IQ_ECO_METRIC_7170" hidden="1">"c7170"</definedName>
    <definedName name="IQ_ECO_METRIC_7171" hidden="1">"c7171"</definedName>
    <definedName name="IQ_ECO_METRIC_7172" hidden="1">"c7172"</definedName>
    <definedName name="IQ_ECO_METRIC_7173" hidden="1">"c7173"</definedName>
    <definedName name="IQ_ECO_METRIC_7174" hidden="1">"c7174"</definedName>
    <definedName name="IQ_ECO_METRIC_7175" hidden="1">"c7175"</definedName>
    <definedName name="IQ_ECO_METRIC_7176" hidden="1">"c7176"</definedName>
    <definedName name="IQ_ECO_METRIC_7177" hidden="1">"c7177"</definedName>
    <definedName name="IQ_ECO_METRIC_7178" hidden="1">"c7178"</definedName>
    <definedName name="IQ_ECO_METRIC_7179" hidden="1">"c7179"</definedName>
    <definedName name="IQ_ECO_METRIC_7180" hidden="1">"c7180"</definedName>
    <definedName name="IQ_ECO_METRIC_7182" hidden="1">"c7182"</definedName>
    <definedName name="IQ_ECO_METRIC_7183" hidden="1">"c7183"</definedName>
    <definedName name="IQ_ECO_METRIC_7184" hidden="1">"c7184"</definedName>
    <definedName name="IQ_ECO_METRIC_7185" hidden="1">"c7185"</definedName>
    <definedName name="IQ_ECO_METRIC_7186" hidden="1">"c7186"</definedName>
    <definedName name="IQ_ECO_METRIC_7187" hidden="1">"c7187"</definedName>
    <definedName name="IQ_ECO_METRIC_7188" hidden="1">"c7188"</definedName>
    <definedName name="IQ_ECO_METRIC_7189" hidden="1">"c7189"</definedName>
    <definedName name="IQ_ECO_METRIC_7190" hidden="1">"c7190"</definedName>
    <definedName name="IQ_ECO_METRIC_7191" hidden="1">"c7191"</definedName>
    <definedName name="IQ_ECO_METRIC_7192" hidden="1">"c7192"</definedName>
    <definedName name="IQ_ECO_METRIC_7193" hidden="1">"c7193"</definedName>
    <definedName name="IQ_ECO_METRIC_7194" hidden="1">"c7194"</definedName>
    <definedName name="IQ_ECO_METRIC_7195" hidden="1">"c7195"</definedName>
    <definedName name="IQ_ECO_METRIC_7196" hidden="1">"c7196"</definedName>
    <definedName name="IQ_ECO_METRIC_7197" hidden="1">"c7197"</definedName>
    <definedName name="IQ_ECO_METRIC_7198" hidden="1">"c7198"</definedName>
    <definedName name="IQ_ECO_METRIC_7199" hidden="1">"c7199"</definedName>
    <definedName name="IQ_ECO_METRIC_7200" hidden="1">"c7200"</definedName>
    <definedName name="IQ_ECO_METRIC_7201" hidden="1">"c7201"</definedName>
    <definedName name="IQ_ECO_METRIC_7202" hidden="1">"c7202"</definedName>
    <definedName name="IQ_ECO_METRIC_7203" hidden="1">"c7203"</definedName>
    <definedName name="IQ_ECO_METRIC_7204" hidden="1">"c7204"</definedName>
    <definedName name="IQ_ECO_METRIC_7205" hidden="1">"c7205"</definedName>
    <definedName name="IQ_ECO_METRIC_7206" hidden="1">"c7206"</definedName>
    <definedName name="IQ_ECO_METRIC_7207" hidden="1">"c7207"</definedName>
    <definedName name="IQ_ECO_METRIC_7208" hidden="1">"c7208"</definedName>
    <definedName name="IQ_ECO_METRIC_7208_UNUSED" hidden="1">"c7208"</definedName>
    <definedName name="IQ_ECO_METRIC_7208_UNUSED_UNUSED_UNUSED" hidden="1">"c7208"</definedName>
    <definedName name="IQ_ECO_METRIC_7209" hidden="1">"c7209"</definedName>
    <definedName name="IQ_ECO_METRIC_7210" hidden="1">"c7210"</definedName>
    <definedName name="IQ_ECO_METRIC_7211" hidden="1">"c7211"</definedName>
    <definedName name="IQ_ECO_METRIC_7212" hidden="1">"c7212"</definedName>
    <definedName name="IQ_ECO_METRIC_7213" hidden="1">"c7213"</definedName>
    <definedName name="IQ_ECO_METRIC_7214" hidden="1">"c7214"</definedName>
    <definedName name="IQ_ECO_METRIC_7215" hidden="1">"c7215"</definedName>
    <definedName name="IQ_ECO_METRIC_7216" hidden="1">"c7216"</definedName>
    <definedName name="IQ_ECO_METRIC_7217" hidden="1">"c7217"</definedName>
    <definedName name="IQ_ECO_METRIC_7218" hidden="1">"c7218"</definedName>
    <definedName name="IQ_ECO_METRIC_7220" hidden="1">"c7220"</definedName>
    <definedName name="IQ_ECO_METRIC_7221" hidden="1">"c7221"</definedName>
    <definedName name="IQ_ECO_METRIC_7222" hidden="1">"c7222"</definedName>
    <definedName name="IQ_ECO_METRIC_7223" hidden="1">"c7223"</definedName>
    <definedName name="IQ_ECO_METRIC_7224" hidden="1">"c7224"</definedName>
    <definedName name="IQ_ECO_METRIC_7225" hidden="1">"c7225"</definedName>
    <definedName name="IQ_ECO_METRIC_7226" hidden="1">"c7226"</definedName>
    <definedName name="IQ_ECO_METRIC_7227" hidden="1">"c7227"</definedName>
    <definedName name="IQ_ECO_METRIC_7228" hidden="1">"c7228"</definedName>
    <definedName name="IQ_ECO_METRIC_7229" hidden="1">"c7229"</definedName>
    <definedName name="IQ_ECO_METRIC_7230" hidden="1">"c7230"</definedName>
    <definedName name="IQ_ECO_METRIC_7231" hidden="1">"c7231"</definedName>
    <definedName name="IQ_ECO_METRIC_7232" hidden="1">"c7232"</definedName>
    <definedName name="IQ_ECO_METRIC_7233" hidden="1">"c7233"</definedName>
    <definedName name="IQ_ECO_METRIC_7235" hidden="1">"c7235"</definedName>
    <definedName name="IQ_ECO_METRIC_7236" hidden="1">"c7236"</definedName>
    <definedName name="IQ_ECO_METRIC_7237" hidden="1">"c7237"</definedName>
    <definedName name="IQ_ECO_METRIC_7238" hidden="1">"c7238"</definedName>
    <definedName name="IQ_ECO_METRIC_7239" hidden="1">"c7239"</definedName>
    <definedName name="IQ_ECO_METRIC_7240" hidden="1">"c7240"</definedName>
    <definedName name="IQ_ECO_METRIC_7241" hidden="1">"c7241"</definedName>
    <definedName name="IQ_ECO_METRIC_7243" hidden="1">"c7243"</definedName>
    <definedName name="IQ_ECO_METRIC_7244" hidden="1">"c7244"</definedName>
    <definedName name="IQ_ECO_METRIC_7245" hidden="1">"c7245"</definedName>
    <definedName name="IQ_ECO_METRIC_7246" hidden="1">"c7246"</definedName>
    <definedName name="IQ_ECO_METRIC_7247" hidden="1">"c7247"</definedName>
    <definedName name="IQ_ECO_METRIC_7248" hidden="1">"c7248"</definedName>
    <definedName name="IQ_ECO_METRIC_7249" hidden="1">"c7249"</definedName>
    <definedName name="IQ_ECO_METRIC_7250" hidden="1">"c7250"</definedName>
    <definedName name="IQ_ECO_METRIC_7251" hidden="1">"c7251"</definedName>
    <definedName name="IQ_ECO_METRIC_7252" hidden="1">"c7252"</definedName>
    <definedName name="IQ_ECO_METRIC_7253" hidden="1">"c7253"</definedName>
    <definedName name="IQ_ECO_METRIC_7254" hidden="1">"c7254"</definedName>
    <definedName name="IQ_ECO_METRIC_7255" hidden="1">"c7255"</definedName>
    <definedName name="IQ_ECO_METRIC_7256" hidden="1">"c7256"</definedName>
    <definedName name="IQ_ECO_METRIC_7257" hidden="1">"c7257"</definedName>
    <definedName name="IQ_ECO_METRIC_7258" hidden="1">"c7258"</definedName>
    <definedName name="IQ_ECO_METRIC_7259" hidden="1">"c7259"</definedName>
    <definedName name="IQ_ECO_METRIC_7260" hidden="1">"c7260"</definedName>
    <definedName name="IQ_ECO_METRIC_7261" hidden="1">"c7261"</definedName>
    <definedName name="IQ_ECO_METRIC_7262" hidden="1">"c7262"</definedName>
    <definedName name="IQ_ECO_METRIC_7263" hidden="1">"c7263"</definedName>
    <definedName name="IQ_ECO_METRIC_7264" hidden="1">"c7264"</definedName>
    <definedName name="IQ_ECO_METRIC_7265" hidden="1">"c7265"</definedName>
    <definedName name="IQ_ECO_METRIC_7265_UNUSED" hidden="1">"c7265"</definedName>
    <definedName name="IQ_ECO_METRIC_7265_UNUSED_UNUSED_UNUSED" hidden="1">"c7265"</definedName>
    <definedName name="IQ_ECO_METRIC_7266" hidden="1">"c7266"</definedName>
    <definedName name="IQ_ECO_METRIC_7267" hidden="1">"c7267"</definedName>
    <definedName name="IQ_ECO_METRIC_7268" hidden="1">"c7268"</definedName>
    <definedName name="IQ_ECO_METRIC_7269" hidden="1">"c7269"</definedName>
    <definedName name="IQ_ECO_METRIC_7270" hidden="1">"c7270"</definedName>
    <definedName name="IQ_ECO_METRIC_7272" hidden="1">"c7272"</definedName>
    <definedName name="IQ_ECO_METRIC_7273" hidden="1">"c7273"</definedName>
    <definedName name="IQ_ECO_METRIC_7274" hidden="1">"c7274"</definedName>
    <definedName name="IQ_ECO_METRIC_7275" hidden="1">"c7275"</definedName>
    <definedName name="IQ_ECO_METRIC_7276" hidden="1">"c7276"</definedName>
    <definedName name="IQ_ECO_METRIC_7277" hidden="1">"c7277"</definedName>
    <definedName name="IQ_ECO_METRIC_7278" hidden="1">"c7278"</definedName>
    <definedName name="IQ_ECO_METRIC_7279" hidden="1">"c7279"</definedName>
    <definedName name="IQ_ECO_METRIC_7279_UNUSED" hidden="1">"c7279"</definedName>
    <definedName name="IQ_ECO_METRIC_7279_UNUSED_UNUSED_UNUSED" hidden="1">"c7279"</definedName>
    <definedName name="IQ_ECO_METRIC_7280" hidden="1">"c7280"</definedName>
    <definedName name="IQ_ECO_METRIC_7281" hidden="1">"c7281"</definedName>
    <definedName name="IQ_ECO_METRIC_7282" hidden="1">"c7282"</definedName>
    <definedName name="IQ_ECO_METRIC_7283" hidden="1">"c7283"</definedName>
    <definedName name="IQ_ECO_METRIC_7284" hidden="1">"c7284"</definedName>
    <definedName name="IQ_ECO_METRIC_7285" hidden="1">"c7285"</definedName>
    <definedName name="IQ_ECO_METRIC_7286" hidden="1">"c7286"</definedName>
    <definedName name="IQ_ECO_METRIC_7287" hidden="1">"c7287"</definedName>
    <definedName name="IQ_ECO_METRIC_7288" hidden="1">"c7288"</definedName>
    <definedName name="IQ_ECO_METRIC_7289" hidden="1">"c7289"</definedName>
    <definedName name="IQ_ECO_METRIC_7290" hidden="1">"c7290"</definedName>
    <definedName name="IQ_ECO_METRIC_7291" hidden="1">"c7291"</definedName>
    <definedName name="IQ_ECO_METRIC_7292" hidden="1">"c7292"</definedName>
    <definedName name="IQ_ECO_METRIC_7293" hidden="1">"c7293"</definedName>
    <definedName name="IQ_ECO_METRIC_7294" hidden="1">"c7294"</definedName>
    <definedName name="IQ_ECO_METRIC_7295" hidden="1">"c7295"</definedName>
    <definedName name="IQ_ECO_METRIC_7296" hidden="1">"c7296"</definedName>
    <definedName name="IQ_ECO_METRIC_7297" hidden="1">"c7297"</definedName>
    <definedName name="IQ_ECO_METRIC_7298" hidden="1">"c7298"</definedName>
    <definedName name="IQ_ECO_METRIC_7299" hidden="1">"c7299"</definedName>
    <definedName name="IQ_ECO_METRIC_7300" hidden="1">"c7300"</definedName>
    <definedName name="IQ_ECO_METRIC_7301" hidden="1">"c7301"</definedName>
    <definedName name="IQ_ECO_METRIC_7302" hidden="1">"c7302"</definedName>
    <definedName name="IQ_ECO_METRIC_7303" hidden="1">"c7303"</definedName>
    <definedName name="IQ_ECO_METRIC_7304" hidden="1">"c7304"</definedName>
    <definedName name="IQ_ECO_METRIC_7305" hidden="1">"c7305"</definedName>
    <definedName name="IQ_ECO_METRIC_7306" hidden="1">"c7306"</definedName>
    <definedName name="IQ_ECO_METRIC_7307" hidden="1">"c7307"</definedName>
    <definedName name="IQ_ECO_METRIC_7308" hidden="1">"c7308"</definedName>
    <definedName name="IQ_ECO_METRIC_7309" hidden="1">"c7309"</definedName>
    <definedName name="IQ_ECO_METRIC_7310" hidden="1">"c7310"</definedName>
    <definedName name="IQ_ECO_METRIC_7311" hidden="1">"c7311"</definedName>
    <definedName name="IQ_ECO_METRIC_7312" hidden="1">"c7312"</definedName>
    <definedName name="IQ_ECO_METRIC_7313" hidden="1">"c7313"</definedName>
    <definedName name="IQ_ECO_METRIC_7314" hidden="1">"c7314"</definedName>
    <definedName name="IQ_ECO_METRIC_7315" hidden="1">"c7315"</definedName>
    <definedName name="IQ_ECO_METRIC_7316" hidden="1">"c7316"</definedName>
    <definedName name="IQ_ECO_METRIC_7317" hidden="1">"c7317"</definedName>
    <definedName name="IQ_ECO_METRIC_7318" hidden="1">"c7318"</definedName>
    <definedName name="IQ_ECO_METRIC_7319" hidden="1">"c7319"</definedName>
    <definedName name="IQ_ECO_METRIC_7320" hidden="1">"c7320"</definedName>
    <definedName name="IQ_ECO_METRIC_7321" hidden="1">"c7321"</definedName>
    <definedName name="IQ_ECO_METRIC_7322" hidden="1">"c7322"</definedName>
    <definedName name="IQ_ECO_METRIC_7323" hidden="1">"c7323"</definedName>
    <definedName name="IQ_ECO_METRIC_7324" hidden="1">"c7324"</definedName>
    <definedName name="IQ_ECO_METRIC_7325" hidden="1">"c7325"</definedName>
    <definedName name="IQ_ECO_METRIC_7326" hidden="1">"c7326"</definedName>
    <definedName name="IQ_ECO_METRIC_7327" hidden="1">"c7327"</definedName>
    <definedName name="IQ_ECO_METRIC_7328" hidden="1">"c7328"</definedName>
    <definedName name="IQ_ECO_METRIC_7329" hidden="1">"c7329"</definedName>
    <definedName name="IQ_ECO_METRIC_7330" hidden="1">"c7330"</definedName>
    <definedName name="IQ_ECO_METRIC_7331" hidden="1">"c7331"</definedName>
    <definedName name="IQ_ECO_METRIC_7332" hidden="1">"c7332"</definedName>
    <definedName name="IQ_ECO_METRIC_7333" hidden="1">"c7333"</definedName>
    <definedName name="IQ_ECO_METRIC_7334" hidden="1">"c7334"</definedName>
    <definedName name="IQ_ECO_METRIC_7335" hidden="1">"c7335"</definedName>
    <definedName name="IQ_ECO_METRIC_7336" hidden="1">"c7336"</definedName>
    <definedName name="IQ_ECO_METRIC_7336_UNUSED" hidden="1">"c7336"</definedName>
    <definedName name="IQ_ECO_METRIC_7336_UNUSED_UNUSED_UNUSED" hidden="1">"c7336"</definedName>
    <definedName name="IQ_ECO_METRIC_7337" hidden="1">"c7337"</definedName>
    <definedName name="IQ_ECO_METRIC_7337_UNUSED" hidden="1">"c7337"</definedName>
    <definedName name="IQ_ECO_METRIC_7337_UNUSED_UNUSED_UNUSED" hidden="1">"c7337"</definedName>
    <definedName name="IQ_ECO_METRIC_7339" hidden="1">"c7339"</definedName>
    <definedName name="IQ_ECO_METRIC_7341" hidden="1">"c7341"</definedName>
    <definedName name="IQ_ECO_METRIC_7342" hidden="1">"c7342"</definedName>
    <definedName name="IQ_ECO_METRIC_7343" hidden="1">"c7343"</definedName>
    <definedName name="IQ_ECO_METRIC_7344" hidden="1">"c7344"</definedName>
    <definedName name="IQ_ECO_METRIC_7345" hidden="1">"c7345"</definedName>
    <definedName name="IQ_ECO_METRIC_7346" hidden="1">"c7346"</definedName>
    <definedName name="IQ_ECO_METRIC_7347" hidden="1">"c7347"</definedName>
    <definedName name="IQ_ECO_METRIC_7348" hidden="1">"c7348"</definedName>
    <definedName name="IQ_ECO_METRIC_7349" hidden="1">"c7349"</definedName>
    <definedName name="IQ_ECO_METRIC_7350" hidden="1">"c7350"</definedName>
    <definedName name="IQ_ECO_METRIC_7351" hidden="1">"c7351"</definedName>
    <definedName name="IQ_ECO_METRIC_7352" hidden="1">"c7352"</definedName>
    <definedName name="IQ_ECO_METRIC_7353" hidden="1">"c7353"</definedName>
    <definedName name="IQ_ECO_METRIC_7354" hidden="1">"c7354"</definedName>
    <definedName name="IQ_ECO_METRIC_7355" hidden="1">"c7355"</definedName>
    <definedName name="IQ_ECO_METRIC_7356" hidden="1">"c7356"</definedName>
    <definedName name="IQ_ECO_METRIC_7357" hidden="1">"c7357"</definedName>
    <definedName name="IQ_ECO_METRIC_7358" hidden="1">"c7358"</definedName>
    <definedName name="IQ_ECO_METRIC_7359" hidden="1">"c7359"</definedName>
    <definedName name="IQ_ECO_METRIC_7360" hidden="1">"c7360"</definedName>
    <definedName name="IQ_ECO_METRIC_7361" hidden="1">"c7361"</definedName>
    <definedName name="IQ_ECO_METRIC_7362" hidden="1">"c7362"</definedName>
    <definedName name="IQ_ECO_METRIC_7363" hidden="1">"c7363"</definedName>
    <definedName name="IQ_ECO_METRIC_7364" hidden="1">"c7364"</definedName>
    <definedName name="IQ_ECO_METRIC_7365" hidden="1">"c7365"</definedName>
    <definedName name="IQ_ECO_METRIC_7366" hidden="1">"c7366"</definedName>
    <definedName name="IQ_ECO_METRIC_7367" hidden="1">"c7367"</definedName>
    <definedName name="IQ_ECO_METRIC_7368" hidden="1">"c7368"</definedName>
    <definedName name="IQ_ECO_METRIC_7369" hidden="1">"c7369"</definedName>
    <definedName name="IQ_ECO_METRIC_7370" hidden="1">"c7370"</definedName>
    <definedName name="IQ_ECO_METRIC_7371" hidden="1">"c7371"</definedName>
    <definedName name="IQ_ECO_METRIC_7372" hidden="1">"c7372"</definedName>
    <definedName name="IQ_ECO_METRIC_7373" hidden="1">"c7373"</definedName>
    <definedName name="IQ_ECO_METRIC_7374" hidden="1">"c7374"</definedName>
    <definedName name="IQ_ECO_METRIC_7375" hidden="1">"c7375"</definedName>
    <definedName name="IQ_ECO_METRIC_7376" hidden="1">"c7376"</definedName>
    <definedName name="IQ_ECO_METRIC_7377" hidden="1">"c7377"</definedName>
    <definedName name="IQ_ECO_METRIC_7378" hidden="1">"c7378"</definedName>
    <definedName name="IQ_ECO_METRIC_7379" hidden="1">"c7379"</definedName>
    <definedName name="IQ_ECO_METRIC_7380" hidden="1">"c7380"</definedName>
    <definedName name="IQ_ECO_METRIC_7381" hidden="1">"c7381"</definedName>
    <definedName name="IQ_ECO_METRIC_7382" hidden="1">"c7382"</definedName>
    <definedName name="IQ_ECO_METRIC_7383" hidden="1">"c7383"</definedName>
    <definedName name="IQ_ECO_METRIC_7384" hidden="1">"c7384"</definedName>
    <definedName name="IQ_ECO_METRIC_7385" hidden="1">"c7385"</definedName>
    <definedName name="IQ_ECO_METRIC_7386" hidden="1">"c7386"</definedName>
    <definedName name="IQ_ECO_METRIC_7387" hidden="1">"c7387"</definedName>
    <definedName name="IQ_ECO_METRIC_7388" hidden="1">"c7388"</definedName>
    <definedName name="IQ_ECO_METRIC_7389" hidden="1">"c7389"</definedName>
    <definedName name="IQ_ECO_METRIC_7390" hidden="1">"c7390"</definedName>
    <definedName name="IQ_ECO_METRIC_7391" hidden="1">"c7391"</definedName>
    <definedName name="IQ_ECO_METRIC_7392" hidden="1">"c7392"</definedName>
    <definedName name="IQ_ECO_METRIC_7393" hidden="1">"c7393"</definedName>
    <definedName name="IQ_ECO_METRIC_7394" hidden="1">"c7394"</definedName>
    <definedName name="IQ_ECO_METRIC_7395" hidden="1">"c7395"</definedName>
    <definedName name="IQ_ECO_METRIC_7396" hidden="1">"c7396"</definedName>
    <definedName name="IQ_ECO_METRIC_7397" hidden="1">"c7397"</definedName>
    <definedName name="IQ_ECO_METRIC_7398" hidden="1">"c7398"</definedName>
    <definedName name="IQ_ECO_METRIC_7399" hidden="1">"c7399"</definedName>
    <definedName name="IQ_ECO_METRIC_7400" hidden="1">"c7400"</definedName>
    <definedName name="IQ_ECO_METRIC_7402" hidden="1">"c7402"</definedName>
    <definedName name="IQ_ECO_METRIC_7403" hidden="1">"c7403"</definedName>
    <definedName name="IQ_ECO_METRIC_7404" hidden="1">"c7404"</definedName>
    <definedName name="IQ_ECO_METRIC_7405" hidden="1">"c7405"</definedName>
    <definedName name="IQ_ECO_METRIC_7406" hidden="1">"c7406"</definedName>
    <definedName name="IQ_ECO_METRIC_7407" hidden="1">"c7407"</definedName>
    <definedName name="IQ_ECO_METRIC_7408" hidden="1">"c7408"</definedName>
    <definedName name="IQ_ECO_METRIC_7409" hidden="1">"c7409"</definedName>
    <definedName name="IQ_ECO_METRIC_7410" hidden="1">"c7410"</definedName>
    <definedName name="IQ_ECO_METRIC_7411" hidden="1">"c7411"</definedName>
    <definedName name="IQ_ECO_METRIC_7412" hidden="1">"c7412"</definedName>
    <definedName name="IQ_ECO_METRIC_7413" hidden="1">"c7413"</definedName>
    <definedName name="IQ_ECO_METRIC_7414" hidden="1">"c7414"</definedName>
    <definedName name="IQ_ECO_METRIC_7415" hidden="1">"c7415"</definedName>
    <definedName name="IQ_ECO_METRIC_7416" hidden="1">"c7416"</definedName>
    <definedName name="IQ_ECO_METRIC_7417" hidden="1">"c7417"</definedName>
    <definedName name="IQ_ECO_METRIC_7418" hidden="1">"c7418"</definedName>
    <definedName name="IQ_ECO_METRIC_7419" hidden="1">"c7419"</definedName>
    <definedName name="IQ_ECO_METRIC_7420" hidden="1">"c7420"</definedName>
    <definedName name="IQ_ECO_METRIC_7421" hidden="1">"c7421"</definedName>
    <definedName name="IQ_ECO_METRIC_7422" hidden="1">"c7422"</definedName>
    <definedName name="IQ_ECO_METRIC_7423" hidden="1">"c7423"</definedName>
    <definedName name="IQ_ECO_METRIC_7424" hidden="1">"c7424"</definedName>
    <definedName name="IQ_ECO_METRIC_7425" hidden="1">"c7425"</definedName>
    <definedName name="IQ_ECO_METRIC_7426" hidden="1">"c7426"</definedName>
    <definedName name="IQ_ECO_METRIC_7427" hidden="1">"c7427"</definedName>
    <definedName name="IQ_ECO_METRIC_7428" hidden="1">"c7428"</definedName>
    <definedName name="IQ_ECO_METRIC_7428_UNUSED" hidden="1">"c7428"</definedName>
    <definedName name="IQ_ECO_METRIC_7428_UNUSED_UNUSED_UNUSED" hidden="1">"c7428"</definedName>
    <definedName name="IQ_ECO_METRIC_7429" hidden="1">"c7429"</definedName>
    <definedName name="IQ_ECO_METRIC_7430" hidden="1">"c7430"</definedName>
    <definedName name="IQ_ECO_METRIC_7431" hidden="1">"c7431"</definedName>
    <definedName name="IQ_ECO_METRIC_7432" hidden="1">"c7432"</definedName>
    <definedName name="IQ_ECO_METRIC_7433" hidden="1">"c7433"</definedName>
    <definedName name="IQ_ECO_METRIC_7434" hidden="1">"c7434"</definedName>
    <definedName name="IQ_ECO_METRIC_7435" hidden="1">"c7435"</definedName>
    <definedName name="IQ_ECO_METRIC_7436" hidden="1">"c7436"</definedName>
    <definedName name="IQ_ECO_METRIC_7437" hidden="1">"c7437"</definedName>
    <definedName name="IQ_ECO_METRIC_7438" hidden="1">"c7438"</definedName>
    <definedName name="IQ_ECO_METRIC_7440" hidden="1">"c7440"</definedName>
    <definedName name="IQ_ECO_METRIC_7441" hidden="1">"c7441"</definedName>
    <definedName name="IQ_ECO_METRIC_7442" hidden="1">"c7442"</definedName>
    <definedName name="IQ_ECO_METRIC_7443" hidden="1">"c7443"</definedName>
    <definedName name="IQ_ECO_METRIC_7444" hidden="1">"c7444"</definedName>
    <definedName name="IQ_ECO_METRIC_7445" hidden="1">"c7445"</definedName>
    <definedName name="IQ_ECO_METRIC_7446" hidden="1">"c7446"</definedName>
    <definedName name="IQ_ECO_METRIC_7447" hidden="1">"c7447"</definedName>
    <definedName name="IQ_ECO_METRIC_7448" hidden="1">"c7448"</definedName>
    <definedName name="IQ_ECO_METRIC_7449" hidden="1">"c7449"</definedName>
    <definedName name="IQ_ECO_METRIC_7450" hidden="1">"c7450"</definedName>
    <definedName name="IQ_ECO_METRIC_7451" hidden="1">"c7451"</definedName>
    <definedName name="IQ_ECO_METRIC_7452" hidden="1">"c7452"</definedName>
    <definedName name="IQ_ECO_METRIC_7453" hidden="1">"c7453"</definedName>
    <definedName name="IQ_ECO_METRIC_7455" hidden="1">"c7455"</definedName>
    <definedName name="IQ_ECO_METRIC_7456" hidden="1">"c7456"</definedName>
    <definedName name="IQ_ECO_METRIC_7457" hidden="1">"c7457"</definedName>
    <definedName name="IQ_ECO_METRIC_7458" hidden="1">"c7458"</definedName>
    <definedName name="IQ_ECO_METRIC_7459" hidden="1">"c7459"</definedName>
    <definedName name="IQ_ECO_METRIC_7460" hidden="1">"c7460"</definedName>
    <definedName name="IQ_ECO_METRIC_7461" hidden="1">"c7461"</definedName>
    <definedName name="IQ_ECO_METRIC_7463" hidden="1">"c7463"</definedName>
    <definedName name="IQ_ECO_METRIC_7464" hidden="1">"c7464"</definedName>
    <definedName name="IQ_ECO_METRIC_7465" hidden="1">"c7465"</definedName>
    <definedName name="IQ_ECO_METRIC_7466" hidden="1">"c7466"</definedName>
    <definedName name="IQ_ECO_METRIC_7467" hidden="1">"c7467"</definedName>
    <definedName name="IQ_ECO_METRIC_7468" hidden="1">"c7468"</definedName>
    <definedName name="IQ_ECO_METRIC_7469" hidden="1">"c7469"</definedName>
    <definedName name="IQ_ECO_METRIC_7470" hidden="1">"c7470"</definedName>
    <definedName name="IQ_ECO_METRIC_7472" hidden="1">"c7472"</definedName>
    <definedName name="IQ_ECO_METRIC_7473" hidden="1">"c7473"</definedName>
    <definedName name="IQ_ECO_METRIC_7474" hidden="1">"c7474"</definedName>
    <definedName name="IQ_ECO_METRIC_7475" hidden="1">"c7475"</definedName>
    <definedName name="IQ_ECO_METRIC_7476" hidden="1">"c7476"</definedName>
    <definedName name="IQ_ECO_METRIC_7477" hidden="1">"c7477"</definedName>
    <definedName name="IQ_ECO_METRIC_7478" hidden="1">"c7478"</definedName>
    <definedName name="IQ_ECO_METRIC_7479" hidden="1">"c7479"</definedName>
    <definedName name="IQ_ECO_METRIC_7480" hidden="1">"c7480"</definedName>
    <definedName name="IQ_ECO_METRIC_7481" hidden="1">"c7481"</definedName>
    <definedName name="IQ_ECO_METRIC_7482" hidden="1">"c7482"</definedName>
    <definedName name="IQ_ECO_METRIC_7483" hidden="1">"c7483"</definedName>
    <definedName name="IQ_ECO_METRIC_7486" hidden="1">"c7486"</definedName>
    <definedName name="IQ_ECO_METRIC_7487" hidden="1">"c7487"</definedName>
    <definedName name="IQ_ECO_METRIC_7488" hidden="1">"c7488"</definedName>
    <definedName name="IQ_ECO_METRIC_7489" hidden="1">"c7489"</definedName>
    <definedName name="IQ_ECO_METRIC_7490" hidden="1">"c7490"</definedName>
    <definedName name="IQ_ECO_METRIC_7491" hidden="1">"c7491"</definedName>
    <definedName name="IQ_ECO_METRIC_7492" hidden="1">"c7492"</definedName>
    <definedName name="IQ_ECO_METRIC_7493" hidden="1">"c7493"</definedName>
    <definedName name="IQ_ECO_METRIC_7494" hidden="1">"c7494"</definedName>
    <definedName name="IQ_ECO_METRIC_7495" hidden="1">"c7495"</definedName>
    <definedName name="IQ_ECO_METRIC_7496" hidden="1">"c7496"</definedName>
    <definedName name="IQ_ECO_METRIC_7497" hidden="1">"c7497"</definedName>
    <definedName name="IQ_ECO_METRIC_7498" hidden="1">"c7498"</definedName>
    <definedName name="IQ_ECO_METRIC_7500" hidden="1">"c7500"</definedName>
    <definedName name="IQ_ECO_METRIC_7501" hidden="1">"c7501"</definedName>
    <definedName name="IQ_ECO_METRIC_7502" hidden="1">"c7502"</definedName>
    <definedName name="IQ_ECO_METRIC_7503" hidden="1">"c7503"</definedName>
    <definedName name="IQ_ECO_METRIC_7504" hidden="1">"c7504"</definedName>
    <definedName name="IQ_ECO_METRIC_7505" hidden="1">"c7505"</definedName>
    <definedName name="IQ_ECO_METRIC_7507" hidden="1">"c7507"</definedName>
    <definedName name="IQ_ECO_METRIC_7508" hidden="1">"c7508"</definedName>
    <definedName name="IQ_ECO_METRIC_7509" hidden="1">"c7509"</definedName>
    <definedName name="IQ_ECO_METRIC_7510" hidden="1">"c7510"</definedName>
    <definedName name="IQ_ECO_METRIC_7511" hidden="1">"c7511"</definedName>
    <definedName name="IQ_ECO_METRIC_7512" hidden="1">"c7512"</definedName>
    <definedName name="IQ_ECO_METRIC_7513" hidden="1">"c7513"</definedName>
    <definedName name="IQ_ECO_METRIC_7514" hidden="1">"c7514"</definedName>
    <definedName name="IQ_ECO_METRIC_7515" hidden="1">"c7515"</definedName>
    <definedName name="IQ_ECO_METRIC_7516" hidden="1">"c7516"</definedName>
    <definedName name="IQ_ECO_METRIC_7517" hidden="1">"c7517"</definedName>
    <definedName name="IQ_ECO_METRIC_7518" hidden="1">"c7518"</definedName>
    <definedName name="IQ_ECO_METRIC_7519" hidden="1">"c7519"</definedName>
    <definedName name="IQ_ECO_METRIC_7520" hidden="1">"c7520"</definedName>
    <definedName name="IQ_ECO_METRIC_7521" hidden="1">"c7521"</definedName>
    <definedName name="IQ_ECO_METRIC_7522" hidden="1">"c7522"</definedName>
    <definedName name="IQ_ECO_METRIC_7523" hidden="1">"c7523"</definedName>
    <definedName name="IQ_ECO_METRIC_7524" hidden="1">"c7524"</definedName>
    <definedName name="IQ_ECO_METRIC_7525" hidden="1">"c7525"</definedName>
    <definedName name="IQ_ECO_METRIC_7526" hidden="1">"c7526"</definedName>
    <definedName name="IQ_ECO_METRIC_7527" hidden="1">"c7527"</definedName>
    <definedName name="IQ_ECO_METRIC_7528" hidden="1">"c7528"</definedName>
    <definedName name="IQ_ECO_METRIC_7529" hidden="1">"c7529"</definedName>
    <definedName name="IQ_ECO_METRIC_7530" hidden="1">"c7530"</definedName>
    <definedName name="IQ_ECO_METRIC_7531" hidden="1">"c7531"</definedName>
    <definedName name="IQ_ECO_METRIC_7532" hidden="1">"c7532"</definedName>
    <definedName name="IQ_ECO_METRIC_7533" hidden="1">"c7533"</definedName>
    <definedName name="IQ_ECO_METRIC_7534" hidden="1">"c7534"</definedName>
    <definedName name="IQ_ECO_METRIC_7535" hidden="1">"c7535"</definedName>
    <definedName name="IQ_ECO_METRIC_7536" hidden="1">"c7536"</definedName>
    <definedName name="IQ_ECO_METRIC_7537" hidden="1">"c7537"</definedName>
    <definedName name="IQ_ECO_METRIC_7538" hidden="1">"c7538"</definedName>
    <definedName name="IQ_ECO_METRIC_7539" hidden="1">"c7539"</definedName>
    <definedName name="IQ_ECO_METRIC_7540" hidden="1">"c7540"</definedName>
    <definedName name="IQ_ECO_METRIC_7541" hidden="1">"c7541"</definedName>
    <definedName name="IQ_ECO_METRIC_7542" hidden="1">"c7542"</definedName>
    <definedName name="IQ_ECO_METRIC_7543" hidden="1">"c7543"</definedName>
    <definedName name="IQ_ECO_METRIC_7544" hidden="1">"c7544"</definedName>
    <definedName name="IQ_ECO_METRIC_7545" hidden="1">"c7545"</definedName>
    <definedName name="IQ_ECO_METRIC_7546" hidden="1">"c7546"</definedName>
    <definedName name="IQ_ECO_METRIC_7547" hidden="1">"c7547"</definedName>
    <definedName name="IQ_ECO_METRIC_7548" hidden="1">"c7548"</definedName>
    <definedName name="IQ_ECO_METRIC_7549" hidden="1">"c7549"</definedName>
    <definedName name="IQ_ECO_METRIC_7550" hidden="1">"c7550"</definedName>
    <definedName name="IQ_ECO_METRIC_7551" hidden="1">"c7551"</definedName>
    <definedName name="IQ_ECO_METRIC_7552" hidden="1">"c7552"</definedName>
    <definedName name="IQ_ECO_METRIC_7553" hidden="1">"c7553"</definedName>
    <definedName name="IQ_ECO_METRIC_7554" hidden="1">"c7554"</definedName>
    <definedName name="IQ_ECO_METRIC_7555" hidden="1">"c7555"</definedName>
    <definedName name="IQ_ECO_METRIC_7556" hidden="1">"c7556"</definedName>
    <definedName name="IQ_ECO_METRIC_7556_UNUSED" hidden="1">"c7556"</definedName>
    <definedName name="IQ_ECO_METRIC_7556_UNUSED_UNUSED_UNUSED" hidden="1">"c7556"</definedName>
    <definedName name="IQ_ECO_METRIC_7557" hidden="1">"c7557"</definedName>
    <definedName name="IQ_ECO_METRIC_7557_UNUSED" hidden="1">"c7557"</definedName>
    <definedName name="IQ_ECO_METRIC_7557_UNUSED_UNUSED_UNUSED" hidden="1">"c7557"</definedName>
    <definedName name="IQ_ECO_METRIC_7560" hidden="1">"c7560"</definedName>
    <definedName name="IQ_ECO_METRIC_7561" hidden="1">"c7561"</definedName>
    <definedName name="IQ_ECO_METRIC_7562" hidden="1">"c7562"</definedName>
    <definedName name="IQ_ECO_METRIC_7563" hidden="1">"c7563"</definedName>
    <definedName name="IQ_ECO_METRIC_7564" hidden="1">"c7564"</definedName>
    <definedName name="IQ_ECO_METRIC_7565" hidden="1">"c7565"</definedName>
    <definedName name="IQ_ECO_METRIC_7566" hidden="1">"c7566"</definedName>
    <definedName name="IQ_ECO_METRIC_7567" hidden="1">"c7567"</definedName>
    <definedName name="IQ_ECO_METRIC_7568" hidden="1">"c7568"</definedName>
    <definedName name="IQ_ECO_METRIC_7570" hidden="1">"c7570"</definedName>
    <definedName name="IQ_ECO_METRIC_7571" hidden="1">"c7571"</definedName>
    <definedName name="IQ_ECO_METRIC_7572" hidden="1">"c7572"</definedName>
    <definedName name="IQ_ECO_METRIC_7573" hidden="1">"c7573"</definedName>
    <definedName name="IQ_ECO_METRIC_7574" hidden="1">"c7574"</definedName>
    <definedName name="IQ_ECO_METRIC_7575" hidden="1">"c7575"</definedName>
    <definedName name="IQ_ECO_METRIC_7576" hidden="1">"c7576"</definedName>
    <definedName name="IQ_ECO_METRIC_7577" hidden="1">"c7577"</definedName>
    <definedName name="IQ_ECO_METRIC_7578" hidden="1">"c7578"</definedName>
    <definedName name="IQ_ECO_METRIC_7579" hidden="1">"c7579"</definedName>
    <definedName name="IQ_ECO_METRIC_7580" hidden="1">"c7580"</definedName>
    <definedName name="IQ_ECO_METRIC_7581" hidden="1">"c7581"</definedName>
    <definedName name="IQ_ECO_METRIC_7582" hidden="1">"c7582"</definedName>
    <definedName name="IQ_ECO_METRIC_7583" hidden="1">"c7583"</definedName>
    <definedName name="IQ_ECO_METRIC_7584" hidden="1">"c7584"</definedName>
    <definedName name="IQ_ECO_METRIC_7585" hidden="1">"c7585"</definedName>
    <definedName name="IQ_ECO_METRIC_7586" hidden="1">"c7586"</definedName>
    <definedName name="IQ_ECO_METRIC_7587" hidden="1">"c7587"</definedName>
    <definedName name="IQ_ECO_METRIC_7588" hidden="1">"c7588"</definedName>
    <definedName name="IQ_ECO_METRIC_7589" hidden="1">"c7589"</definedName>
    <definedName name="IQ_ECO_METRIC_7590" hidden="1">"c7590"</definedName>
    <definedName name="IQ_ECO_METRIC_7591" hidden="1">"c7591"</definedName>
    <definedName name="IQ_ECO_METRIC_7592" hidden="1">"c7592"</definedName>
    <definedName name="IQ_ECO_METRIC_7593" hidden="1">"c7593"</definedName>
    <definedName name="IQ_ECO_METRIC_7594" hidden="1">"c7594"</definedName>
    <definedName name="IQ_ECO_METRIC_7596" hidden="1">"c7596"</definedName>
    <definedName name="IQ_ECO_METRIC_7597" hidden="1">"c7597"</definedName>
    <definedName name="IQ_ECO_METRIC_7598" hidden="1">"c7598"</definedName>
    <definedName name="IQ_ECO_METRIC_7599" hidden="1">"c7599"</definedName>
    <definedName name="IQ_ECO_METRIC_7600" hidden="1">"c7600"</definedName>
    <definedName name="IQ_ECO_METRIC_7601" hidden="1">"c7601"</definedName>
    <definedName name="IQ_ECO_METRIC_7602" hidden="1">"c7602"</definedName>
    <definedName name="IQ_ECO_METRIC_7603" hidden="1">"c7603"</definedName>
    <definedName name="IQ_ECO_METRIC_7604" hidden="1">"c7604"</definedName>
    <definedName name="IQ_ECO_METRIC_7605" hidden="1">"c7605"</definedName>
    <definedName name="IQ_ECO_METRIC_7606" hidden="1">"c7606"</definedName>
    <definedName name="IQ_ECO_METRIC_7607" hidden="1">"c7607"</definedName>
    <definedName name="IQ_ECO_METRIC_7608" hidden="1">"c7608"</definedName>
    <definedName name="IQ_ECO_METRIC_7609" hidden="1">"c7609"</definedName>
    <definedName name="IQ_ECO_METRIC_7610" hidden="1">"c7610"</definedName>
    <definedName name="IQ_ECO_METRIC_7611" hidden="1">"c7611"</definedName>
    <definedName name="IQ_ECO_METRIC_7612" hidden="1">"c7612"</definedName>
    <definedName name="IQ_ECO_METRIC_7613" hidden="1">"c7613"</definedName>
    <definedName name="IQ_ECO_METRIC_7614" hidden="1">"c7614"</definedName>
    <definedName name="IQ_ECO_METRIC_7615" hidden="1">"c7615"</definedName>
    <definedName name="IQ_ECO_METRIC_7616" hidden="1">"c7616"</definedName>
    <definedName name="IQ_ECO_METRIC_7617" hidden="1">"c7617"</definedName>
    <definedName name="IQ_ECO_METRIC_7618" hidden="1">"c7618"</definedName>
    <definedName name="IQ_ECO_METRIC_7619" hidden="1">"c7619"</definedName>
    <definedName name="IQ_ECO_METRIC_7620" hidden="1">"c7620"</definedName>
    <definedName name="IQ_ECO_METRIC_7622" hidden="1">"c7622"</definedName>
    <definedName name="IQ_ECO_METRIC_7623" hidden="1">"c7623"</definedName>
    <definedName name="IQ_ECO_METRIC_7624" hidden="1">"c7624"</definedName>
    <definedName name="IQ_ECO_METRIC_7625" hidden="1">"c7625"</definedName>
    <definedName name="IQ_ECO_METRIC_7626" hidden="1">"c7626"</definedName>
    <definedName name="IQ_ECO_METRIC_7627" hidden="1">"c7627"</definedName>
    <definedName name="IQ_ECO_METRIC_7628" hidden="1">"c7628"</definedName>
    <definedName name="IQ_ECO_METRIC_7629" hidden="1">"c7629"</definedName>
    <definedName name="IQ_ECO_METRIC_7630" hidden="1">"c7630"</definedName>
    <definedName name="IQ_ECO_METRIC_7631" hidden="1">"c7631"</definedName>
    <definedName name="IQ_ECO_METRIC_7632" hidden="1">"c7632"</definedName>
    <definedName name="IQ_ECO_METRIC_7633" hidden="1">"c7633"</definedName>
    <definedName name="IQ_ECO_METRIC_7634" hidden="1">"c7634"</definedName>
    <definedName name="IQ_ECO_METRIC_7635" hidden="1">"c7635"</definedName>
    <definedName name="IQ_ECO_METRIC_7636" hidden="1">"c7636"</definedName>
    <definedName name="IQ_ECO_METRIC_7637" hidden="1">"c7637"</definedName>
    <definedName name="IQ_ECO_METRIC_7638" hidden="1">"c7638"</definedName>
    <definedName name="IQ_ECO_METRIC_7639" hidden="1">"c7639"</definedName>
    <definedName name="IQ_ECO_METRIC_7640" hidden="1">"c7640"</definedName>
    <definedName name="IQ_ECO_METRIC_7641" hidden="1">"c7641"</definedName>
    <definedName name="IQ_ECO_METRIC_7642" hidden="1">"c7642"</definedName>
    <definedName name="IQ_ECO_METRIC_7643" hidden="1">"c7643"</definedName>
    <definedName name="IQ_ECO_METRIC_7644" hidden="1">"c7644"</definedName>
    <definedName name="IQ_ECO_METRIC_7645" hidden="1">"c7645"</definedName>
    <definedName name="IQ_ECO_METRIC_7646" hidden="1">"c7646"</definedName>
    <definedName name="IQ_ECO_METRIC_7647" hidden="1">"c7647"</definedName>
    <definedName name="IQ_ECO_METRIC_7648" hidden="1">"c7648"</definedName>
    <definedName name="IQ_ECO_METRIC_7648_UNUSED" hidden="1">"c7648"</definedName>
    <definedName name="IQ_ECO_METRIC_7648_UNUSED_UNUSED_UNUSED" hidden="1">"c7648"</definedName>
    <definedName name="IQ_ECO_METRIC_7649" hidden="1">"c7649"</definedName>
    <definedName name="IQ_ECO_METRIC_7650" hidden="1">"c7650"</definedName>
    <definedName name="IQ_ECO_METRIC_7651" hidden="1">"c7651"</definedName>
    <definedName name="IQ_ECO_METRIC_7652" hidden="1">"c7652"</definedName>
    <definedName name="IQ_ECO_METRIC_7653" hidden="1">"c7653"</definedName>
    <definedName name="IQ_ECO_METRIC_7654" hidden="1">"c7654"</definedName>
    <definedName name="IQ_ECO_METRIC_7655" hidden="1">"c7655"</definedName>
    <definedName name="IQ_ECO_METRIC_7656" hidden="1">"c7656"</definedName>
    <definedName name="IQ_ECO_METRIC_7657" hidden="1">"c7657"</definedName>
    <definedName name="IQ_ECO_METRIC_7658" hidden="1">"c7658"</definedName>
    <definedName name="IQ_ECO_METRIC_7660" hidden="1">"c7660"</definedName>
    <definedName name="IQ_ECO_METRIC_7661" hidden="1">"c7661"</definedName>
    <definedName name="IQ_ECO_METRIC_7663" hidden="1">"c7663"</definedName>
    <definedName name="IQ_ECO_METRIC_7664" hidden="1">"c7664"</definedName>
    <definedName name="IQ_ECO_METRIC_7665" hidden="1">"c7665"</definedName>
    <definedName name="IQ_ECO_METRIC_7666" hidden="1">"c7666"</definedName>
    <definedName name="IQ_ECO_METRIC_7667" hidden="1">"c7667"</definedName>
    <definedName name="IQ_ECO_METRIC_7668" hidden="1">"c7668"</definedName>
    <definedName name="IQ_ECO_METRIC_7669" hidden="1">"c7669"</definedName>
    <definedName name="IQ_ECO_METRIC_7670" hidden="1">"c7670"</definedName>
    <definedName name="IQ_ECO_METRIC_7675" hidden="1">"c7675"</definedName>
    <definedName name="IQ_ECO_METRIC_7676" hidden="1">"c7676"</definedName>
    <definedName name="IQ_ECO_METRIC_7677" hidden="1">"c7677"</definedName>
    <definedName name="IQ_ECO_METRIC_7678" hidden="1">"c7678"</definedName>
    <definedName name="IQ_ECO_METRIC_7679" hidden="1">"c7679"</definedName>
    <definedName name="IQ_ECO_METRIC_7680" hidden="1">"c7680"</definedName>
    <definedName name="IQ_ECO_METRIC_7681" hidden="1">"c7681"</definedName>
    <definedName name="IQ_ECO_METRIC_7685" hidden="1">"c7685"</definedName>
    <definedName name="IQ_ECO_METRIC_7687" hidden="1">"c7687"</definedName>
    <definedName name="IQ_ECO_METRIC_7688" hidden="1">"c7688"</definedName>
    <definedName name="IQ_ECO_METRIC_7689" hidden="1">"c7689"</definedName>
    <definedName name="IQ_ECO_METRIC_7690" hidden="1">"c7690"</definedName>
    <definedName name="IQ_ECO_METRIC_7691" hidden="1">"c7691"</definedName>
    <definedName name="IQ_ECO_METRIC_7692" hidden="1">"c7692"</definedName>
    <definedName name="IQ_ECO_METRIC_7693" hidden="1">"c7693"</definedName>
    <definedName name="IQ_ECO_METRIC_7694" hidden="1">"c7694"</definedName>
    <definedName name="IQ_ECO_METRIC_7695" hidden="1">"c7695"</definedName>
    <definedName name="IQ_ECO_METRIC_7696" hidden="1">"c7696"</definedName>
    <definedName name="IQ_ECO_METRIC_7697" hidden="1">"c7697"</definedName>
    <definedName name="IQ_ECO_METRIC_7698" hidden="1">"c7698"</definedName>
    <definedName name="IQ_ECO_METRIC_7699" hidden="1">"c7699"</definedName>
    <definedName name="IQ_ECO_METRIC_7700" hidden="1">"c7700"</definedName>
    <definedName name="IQ_ECO_METRIC_7701" hidden="1">"c7701"</definedName>
    <definedName name="IQ_ECO_METRIC_7702" hidden="1">"c7702"</definedName>
    <definedName name="IQ_ECO_METRIC_7703" hidden="1">"c7703"</definedName>
    <definedName name="IQ_ECO_METRIC_7704" hidden="1">"c7704"</definedName>
    <definedName name="IQ_ECO_METRIC_7705" hidden="1">"c7705"</definedName>
    <definedName name="IQ_ECO_METRIC_7705_UNUSED" hidden="1">"c7705"</definedName>
    <definedName name="IQ_ECO_METRIC_7705_UNUSED_UNUSED_UNUSED" hidden="1">"c7705"</definedName>
    <definedName name="IQ_ECO_METRIC_7706" hidden="1">"c7706"</definedName>
    <definedName name="IQ_ECO_METRIC_7707" hidden="1">"c7707"</definedName>
    <definedName name="IQ_ECO_METRIC_7708" hidden="1">"c7708"</definedName>
    <definedName name="IQ_ECO_METRIC_7709" hidden="1">"c7709"</definedName>
    <definedName name="IQ_ECO_METRIC_7710" hidden="1">"c7710"</definedName>
    <definedName name="IQ_ECO_METRIC_7711" hidden="1">"c7711"</definedName>
    <definedName name="IQ_ECO_METRIC_7712" hidden="1">"c7712"</definedName>
    <definedName name="IQ_ECO_METRIC_7713" hidden="1">"c7713"</definedName>
    <definedName name="IQ_ECO_METRIC_7714" hidden="1">"c7714"</definedName>
    <definedName name="IQ_ECO_METRIC_7715" hidden="1">"c7715"</definedName>
    <definedName name="IQ_ECO_METRIC_7716" hidden="1">"c7716"</definedName>
    <definedName name="IQ_ECO_METRIC_7717" hidden="1">"c7717"</definedName>
    <definedName name="IQ_ECO_METRIC_7718" hidden="1">"c7718"</definedName>
    <definedName name="IQ_ECO_METRIC_7719" hidden="1">"c7719"</definedName>
    <definedName name="IQ_ECO_METRIC_7719_UNUSED" hidden="1">"c7719"</definedName>
    <definedName name="IQ_ECO_METRIC_7719_UNUSED_UNUSED_UNUSED" hidden="1">"c7719"</definedName>
    <definedName name="IQ_ECO_METRIC_7720" hidden="1">"c7720"</definedName>
    <definedName name="IQ_ECO_METRIC_7721" hidden="1">"c7721"</definedName>
    <definedName name="IQ_ECO_METRIC_7722" hidden="1">"c7722"</definedName>
    <definedName name="IQ_ECO_METRIC_7723" hidden="1">"c7723"</definedName>
    <definedName name="IQ_ECO_METRIC_7724" hidden="1">"c7724"</definedName>
    <definedName name="IQ_ECO_METRIC_7725" hidden="1">"c7725"</definedName>
    <definedName name="IQ_ECO_METRIC_7726" hidden="1">"c7726"</definedName>
    <definedName name="IQ_ECO_METRIC_7727" hidden="1">"c7727"</definedName>
    <definedName name="IQ_ECO_METRIC_7728" hidden="1">"c7728"</definedName>
    <definedName name="IQ_ECO_METRIC_7729" hidden="1">"c7729"</definedName>
    <definedName name="IQ_ECO_METRIC_7730" hidden="1">"c7730"</definedName>
    <definedName name="IQ_ECO_METRIC_7731" hidden="1">"c7731"</definedName>
    <definedName name="IQ_ECO_METRIC_7732" hidden="1">"c7732"</definedName>
    <definedName name="IQ_ECO_METRIC_7733" hidden="1">"c7733"</definedName>
    <definedName name="IQ_ECO_METRIC_7734" hidden="1">"c7734"</definedName>
    <definedName name="IQ_ECO_METRIC_7735" hidden="1">"c7735"</definedName>
    <definedName name="IQ_ECO_METRIC_7736" hidden="1">"c7736"</definedName>
    <definedName name="IQ_ECO_METRIC_7737" hidden="1">"c7737"</definedName>
    <definedName name="IQ_ECO_METRIC_7738" hidden="1">"c7738"</definedName>
    <definedName name="IQ_ECO_METRIC_7739" hidden="1">"c7739"</definedName>
    <definedName name="IQ_ECO_METRIC_7740" hidden="1">"c7740"</definedName>
    <definedName name="IQ_ECO_METRIC_7741" hidden="1">"c7741"</definedName>
    <definedName name="IQ_ECO_METRIC_7742" hidden="1">"c7742"</definedName>
    <definedName name="IQ_ECO_METRIC_7743" hidden="1">"c7743"</definedName>
    <definedName name="IQ_ECO_METRIC_7744" hidden="1">"c7744"</definedName>
    <definedName name="IQ_ECO_METRIC_7745" hidden="1">"c7745"</definedName>
    <definedName name="IQ_ECO_METRIC_7746" hidden="1">"c7746"</definedName>
    <definedName name="IQ_ECO_METRIC_7747" hidden="1">"c7747"</definedName>
    <definedName name="IQ_ECO_METRIC_7748" hidden="1">"c7748"</definedName>
    <definedName name="IQ_ECO_METRIC_7749" hidden="1">"c7749"</definedName>
    <definedName name="IQ_ECO_METRIC_7750" hidden="1">"c7750"</definedName>
    <definedName name="IQ_ECO_METRIC_7751" hidden="1">"c7751"</definedName>
    <definedName name="IQ_ECO_METRIC_7752" hidden="1">"c7752"</definedName>
    <definedName name="IQ_ECO_METRIC_7753" hidden="1">"c7753"</definedName>
    <definedName name="IQ_ECO_METRIC_7754" hidden="1">"c7754"</definedName>
    <definedName name="IQ_ECO_METRIC_7755" hidden="1">"c7755"</definedName>
    <definedName name="IQ_ECO_METRIC_7756" hidden="1">"c7756"</definedName>
    <definedName name="IQ_ECO_METRIC_7757" hidden="1">"c7757"</definedName>
    <definedName name="IQ_ECO_METRIC_7758" hidden="1">"c7758"</definedName>
    <definedName name="IQ_ECO_METRIC_7759" hidden="1">"c7759"</definedName>
    <definedName name="IQ_ECO_METRIC_7760" hidden="1">"c7760"</definedName>
    <definedName name="IQ_ECO_METRIC_7761" hidden="1">"c7761"</definedName>
    <definedName name="IQ_ECO_METRIC_7762" hidden="1">"c7762"</definedName>
    <definedName name="IQ_ECO_METRIC_7763" hidden="1">"c7763"</definedName>
    <definedName name="IQ_ECO_METRIC_7764" hidden="1">"c7764"</definedName>
    <definedName name="IQ_ECO_METRIC_7765" hidden="1">"c7765"</definedName>
    <definedName name="IQ_ECO_METRIC_7766" hidden="1">"c7766"</definedName>
    <definedName name="IQ_ECO_METRIC_7767" hidden="1">"c7767"</definedName>
    <definedName name="IQ_ECO_METRIC_7768" hidden="1">"c7768"</definedName>
    <definedName name="IQ_ECO_METRIC_7769" hidden="1">"c7769"</definedName>
    <definedName name="IQ_ECO_METRIC_7770" hidden="1">"c7770"</definedName>
    <definedName name="IQ_ECO_METRIC_7771" hidden="1">"c7771"</definedName>
    <definedName name="IQ_ECO_METRIC_7772" hidden="1">"c7772"</definedName>
    <definedName name="IQ_ECO_METRIC_7773" hidden="1">"c7773"</definedName>
    <definedName name="IQ_ECO_METRIC_7774" hidden="1">"c7774"</definedName>
    <definedName name="IQ_ECO_METRIC_7775" hidden="1">"c7775"</definedName>
    <definedName name="IQ_ECO_METRIC_7776" hidden="1">"c7776"</definedName>
    <definedName name="IQ_ECO_METRIC_7776_UNUSED" hidden="1">"c7776"</definedName>
    <definedName name="IQ_ECO_METRIC_7776_UNUSED_UNUSED_UNUSED" hidden="1">"c7776"</definedName>
    <definedName name="IQ_ECO_METRIC_7777" hidden="1">"c7777"</definedName>
    <definedName name="IQ_ECO_METRIC_7777_UNUSED" hidden="1">"c7777"</definedName>
    <definedName name="IQ_ECO_METRIC_7777_UNUSED_UNUSED_UNUSED" hidden="1">"c7777"</definedName>
    <definedName name="IQ_ECO_METRIC_7779" hidden="1">"c7779"</definedName>
    <definedName name="IQ_ECO_METRIC_7780" hidden="1">"c7780"</definedName>
    <definedName name="IQ_ECO_METRIC_7781" hidden="1">"c7781"</definedName>
    <definedName name="IQ_ECO_METRIC_7782" hidden="1">"c7782"</definedName>
    <definedName name="IQ_ECO_METRIC_7783" hidden="1">"c7783"</definedName>
    <definedName name="IQ_ECO_METRIC_7784" hidden="1">"c7784"</definedName>
    <definedName name="IQ_ECO_METRIC_7785" hidden="1">"c7785"</definedName>
    <definedName name="IQ_ECO_METRIC_7786" hidden="1">"c7786"</definedName>
    <definedName name="IQ_ECO_METRIC_7787" hidden="1">"c7787"</definedName>
    <definedName name="IQ_ECO_METRIC_7788" hidden="1">"c7788"</definedName>
    <definedName name="IQ_ECO_METRIC_7789" hidden="1">"c7789"</definedName>
    <definedName name="IQ_ECO_METRIC_7790" hidden="1">"c7790"</definedName>
    <definedName name="IQ_ECO_METRIC_7791" hidden="1">"c7791"</definedName>
    <definedName name="IQ_ECO_METRIC_7792" hidden="1">"c7792"</definedName>
    <definedName name="IQ_ECO_METRIC_7793" hidden="1">"c7793"</definedName>
    <definedName name="IQ_ECO_METRIC_7794" hidden="1">"c7794"</definedName>
    <definedName name="IQ_ECO_METRIC_7795" hidden="1">"c7795"</definedName>
    <definedName name="IQ_ECO_METRIC_7796" hidden="1">"c7796"</definedName>
    <definedName name="IQ_ECO_METRIC_7797" hidden="1">"c7797"</definedName>
    <definedName name="IQ_ECO_METRIC_7798" hidden="1">"c7798"</definedName>
    <definedName name="IQ_ECO_METRIC_7799" hidden="1">"c7799"</definedName>
    <definedName name="IQ_ECO_METRIC_7800" hidden="1">"c7800"</definedName>
    <definedName name="IQ_ECO_METRIC_7801" hidden="1">"c7801"</definedName>
    <definedName name="IQ_ECO_METRIC_7802" hidden="1">"c7802"</definedName>
    <definedName name="IQ_ECO_METRIC_7803" hidden="1">"c7803"</definedName>
    <definedName name="IQ_ECO_METRIC_7804" hidden="1">"c7804"</definedName>
    <definedName name="IQ_ECO_METRIC_7805" hidden="1">"c7805"</definedName>
    <definedName name="IQ_ECO_METRIC_7806" hidden="1">"c7806"</definedName>
    <definedName name="IQ_ECO_METRIC_7807" hidden="1">"c7807"</definedName>
    <definedName name="IQ_ECO_METRIC_7808" hidden="1">"c7808"</definedName>
    <definedName name="IQ_ECO_METRIC_7809" hidden="1">"c7809"</definedName>
    <definedName name="IQ_ECO_METRIC_7810" hidden="1">"c7810"</definedName>
    <definedName name="IQ_ECO_METRIC_7811" hidden="1">"c7811"</definedName>
    <definedName name="IQ_ECO_METRIC_7812" hidden="1">"c7812"</definedName>
    <definedName name="IQ_ECO_METRIC_7813" hidden="1">"c7813"</definedName>
    <definedName name="IQ_ECO_METRIC_7814" hidden="1">"c7814"</definedName>
    <definedName name="IQ_ECO_METRIC_7815" hidden="1">"c7815"</definedName>
    <definedName name="IQ_ECO_METRIC_7816" hidden="1">"c7816"</definedName>
    <definedName name="IQ_ECO_METRIC_7817" hidden="1">"c7817"</definedName>
    <definedName name="IQ_ECO_METRIC_7818" hidden="1">"c7818"</definedName>
    <definedName name="IQ_ECO_METRIC_7819" hidden="1">"c7819"</definedName>
    <definedName name="IQ_ECO_METRIC_7820" hidden="1">"c7820"</definedName>
    <definedName name="IQ_ECO_METRIC_7821" hidden="1">"c7821"</definedName>
    <definedName name="IQ_ECO_METRIC_7822" hidden="1">"c7822"</definedName>
    <definedName name="IQ_ECO_METRIC_7823" hidden="1">"c7823"</definedName>
    <definedName name="IQ_ECO_METRIC_7824" hidden="1">"c7824"</definedName>
    <definedName name="IQ_ECO_METRIC_7825" hidden="1">"c7825"</definedName>
    <definedName name="IQ_ECO_METRIC_7826" hidden="1">"c7826"</definedName>
    <definedName name="IQ_ECO_METRIC_7827" hidden="1">"c7827"</definedName>
    <definedName name="IQ_ECO_METRIC_7828" hidden="1">"c7828"</definedName>
    <definedName name="IQ_ECO_METRIC_7829" hidden="1">"c7829"</definedName>
    <definedName name="IQ_ECO_METRIC_7830" hidden="1">"c7830"</definedName>
    <definedName name="IQ_ECO_METRIC_7831" hidden="1">"c7831"</definedName>
    <definedName name="IQ_ECO_METRIC_7832" hidden="1">"c7832"</definedName>
    <definedName name="IQ_ECO_METRIC_7833" hidden="1">"c7833"</definedName>
    <definedName name="IQ_ECO_METRIC_7834" hidden="1">"c7834"</definedName>
    <definedName name="IQ_ECO_METRIC_7835" hidden="1">"c7835"</definedName>
    <definedName name="IQ_ECO_METRIC_7836" hidden="1">"c7836"</definedName>
    <definedName name="IQ_ECO_METRIC_7837" hidden="1">"c7837"</definedName>
    <definedName name="IQ_ECO_METRIC_7838" hidden="1">"c7838"</definedName>
    <definedName name="IQ_ECO_METRIC_7839" hidden="1">"c7839"</definedName>
    <definedName name="IQ_ECO_METRIC_7840" hidden="1">"c7840"</definedName>
    <definedName name="IQ_ECO_METRIC_7842" hidden="1">"c7842"</definedName>
    <definedName name="IQ_ECO_METRIC_7843" hidden="1">"c7843"</definedName>
    <definedName name="IQ_ECO_METRIC_7844" hidden="1">"c7844"</definedName>
    <definedName name="IQ_ECO_METRIC_7845" hidden="1">"c7845"</definedName>
    <definedName name="IQ_ECO_METRIC_7846" hidden="1">"c7846"</definedName>
    <definedName name="IQ_ECO_METRIC_7847" hidden="1">"c7847"</definedName>
    <definedName name="IQ_ECO_METRIC_7848" hidden="1">"c7848"</definedName>
    <definedName name="IQ_ECO_METRIC_7849" hidden="1">"c7849"</definedName>
    <definedName name="IQ_ECO_METRIC_7850" hidden="1">"c7850"</definedName>
    <definedName name="IQ_ECO_METRIC_7851" hidden="1">"c7851"</definedName>
    <definedName name="IQ_ECO_METRIC_7852" hidden="1">"c7852"</definedName>
    <definedName name="IQ_ECO_METRIC_7853" hidden="1">"c7853"</definedName>
    <definedName name="IQ_ECO_METRIC_7854" hidden="1">"c7854"</definedName>
    <definedName name="IQ_ECO_METRIC_7855" hidden="1">"c7855"</definedName>
    <definedName name="IQ_ECO_METRIC_7856" hidden="1">"c7856"</definedName>
    <definedName name="IQ_ECO_METRIC_7857" hidden="1">"c7857"</definedName>
    <definedName name="IQ_ECO_METRIC_7858" hidden="1">"c7858"</definedName>
    <definedName name="IQ_ECO_METRIC_7859" hidden="1">"c7859"</definedName>
    <definedName name="IQ_ECO_METRIC_7860" hidden="1">"c7860"</definedName>
    <definedName name="IQ_ECO_METRIC_7861" hidden="1">"c7861"</definedName>
    <definedName name="IQ_ECO_METRIC_7862" hidden="1">"c7862"</definedName>
    <definedName name="IQ_ECO_METRIC_7863" hidden="1">"c7863"</definedName>
    <definedName name="IQ_ECO_METRIC_7864" hidden="1">"c7864"</definedName>
    <definedName name="IQ_ECO_METRIC_7865" hidden="1">"c7865"</definedName>
    <definedName name="IQ_ECO_METRIC_7866" hidden="1">"c7866"</definedName>
    <definedName name="IQ_ECO_METRIC_7867" hidden="1">"c7867"</definedName>
    <definedName name="IQ_ECO_METRIC_7868" hidden="1">"c7868"</definedName>
    <definedName name="IQ_ECO_METRIC_7868_UNUSED" hidden="1">"c7868"</definedName>
    <definedName name="IQ_ECO_METRIC_7868_UNUSED_UNUSED_UNUSED" hidden="1">"c7868"</definedName>
    <definedName name="IQ_ECO_METRIC_7869" hidden="1">"c7869"</definedName>
    <definedName name="IQ_ECO_METRIC_7870" hidden="1">"c7870"</definedName>
    <definedName name="IQ_ECO_METRIC_7871" hidden="1">"c7871"</definedName>
    <definedName name="IQ_ECO_METRIC_7872" hidden="1">"c7872"</definedName>
    <definedName name="IQ_ECO_METRIC_7873" hidden="1">"c7873"</definedName>
    <definedName name="IQ_ECO_METRIC_7874" hidden="1">"c7874"</definedName>
    <definedName name="IQ_ECO_METRIC_7875" hidden="1">"c7875"</definedName>
    <definedName name="IQ_ECO_METRIC_7876" hidden="1">"c7876"</definedName>
    <definedName name="IQ_ECO_METRIC_7877" hidden="1">"c7877"</definedName>
    <definedName name="IQ_ECO_METRIC_7878" hidden="1">"c7878"</definedName>
    <definedName name="IQ_ECO_METRIC_7880" hidden="1">"c7880"</definedName>
    <definedName name="IQ_ECO_METRIC_7881" hidden="1">"c7881"</definedName>
    <definedName name="IQ_ECO_METRIC_7882" hidden="1">"c7882"</definedName>
    <definedName name="IQ_ECO_METRIC_7883" hidden="1">"c7883"</definedName>
    <definedName name="IQ_ECO_METRIC_7884" hidden="1">"c7884"</definedName>
    <definedName name="IQ_ECO_METRIC_7885" hidden="1">"c7885"</definedName>
    <definedName name="IQ_ECO_METRIC_7886" hidden="1">"c7886"</definedName>
    <definedName name="IQ_ECO_METRIC_7887" hidden="1">"c7887"</definedName>
    <definedName name="IQ_ECO_METRIC_7888" hidden="1">"c7888"</definedName>
    <definedName name="IQ_ECO_METRIC_7889" hidden="1">"c7889"</definedName>
    <definedName name="IQ_ECO_METRIC_7890" hidden="1">"c7890"</definedName>
    <definedName name="IQ_ECO_METRIC_7891" hidden="1">"c7891"</definedName>
    <definedName name="IQ_ECO_METRIC_7892" hidden="1">"c7892"</definedName>
    <definedName name="IQ_ECO_METRIC_7893" hidden="1">"c7893"</definedName>
    <definedName name="IQ_ECO_METRIC_7895" hidden="1">"c7895"</definedName>
    <definedName name="IQ_ECO_METRIC_7896" hidden="1">"c7896"</definedName>
    <definedName name="IQ_ECO_METRIC_7897" hidden="1">"c7897"</definedName>
    <definedName name="IQ_ECO_METRIC_7898" hidden="1">"c7898"</definedName>
    <definedName name="IQ_ECO_METRIC_7899" hidden="1">"c7899"</definedName>
    <definedName name="IQ_ECO_METRIC_7900" hidden="1">"c7900"</definedName>
    <definedName name="IQ_ECO_METRIC_7901" hidden="1">"c7901"</definedName>
    <definedName name="IQ_ECO_METRIC_7903" hidden="1">"c7903"</definedName>
    <definedName name="IQ_ECO_METRIC_7904" hidden="1">"c7904"</definedName>
    <definedName name="IQ_ECO_METRIC_7905" hidden="1">"c7905"</definedName>
    <definedName name="IQ_ECO_METRIC_7906" hidden="1">"c7906"</definedName>
    <definedName name="IQ_ECO_METRIC_7907" hidden="1">"c7907"</definedName>
    <definedName name="IQ_ECO_METRIC_7908" hidden="1">"c7908"</definedName>
    <definedName name="IQ_ECO_METRIC_7909" hidden="1">"c7909"</definedName>
    <definedName name="IQ_ECO_METRIC_7910" hidden="1">"c7910"</definedName>
    <definedName name="IQ_ECO_METRIC_7911" hidden="1">"c7911"</definedName>
    <definedName name="IQ_ECO_METRIC_7912" hidden="1">"c7912"</definedName>
    <definedName name="IQ_ECO_METRIC_7913" hidden="1">"c7913"</definedName>
    <definedName name="IQ_ECO_METRIC_7914" hidden="1">"c7914"</definedName>
    <definedName name="IQ_ECO_METRIC_7915" hidden="1">"c7915"</definedName>
    <definedName name="IQ_ECO_METRIC_7916" hidden="1">"c7916"</definedName>
    <definedName name="IQ_ECO_METRIC_7917" hidden="1">"c7917"</definedName>
    <definedName name="IQ_ECO_METRIC_7918" hidden="1">"c7918"</definedName>
    <definedName name="IQ_ECO_METRIC_7919" hidden="1">"c7919"</definedName>
    <definedName name="IQ_ECO_METRIC_7920" hidden="1">"c7920"</definedName>
    <definedName name="IQ_ECO_METRIC_7921" hidden="1">"c7921"</definedName>
    <definedName name="IQ_ECO_METRIC_7922" hidden="1">"c7922"</definedName>
    <definedName name="IQ_ECO_METRIC_7923" hidden="1">"c7923"</definedName>
    <definedName name="IQ_ECO_METRIC_7924" hidden="1">"c7924"</definedName>
    <definedName name="IQ_ECO_METRIC_7925" hidden="1">"c7925"</definedName>
    <definedName name="IQ_ECO_METRIC_7925_UNUSED" hidden="1">"c7925"</definedName>
    <definedName name="IQ_ECO_METRIC_7925_UNUSED_UNUSED_UNUSED" hidden="1">"c7925"</definedName>
    <definedName name="IQ_ECO_METRIC_7926" hidden="1">"c7926"</definedName>
    <definedName name="IQ_ECO_METRIC_7927" hidden="1">"c7927"</definedName>
    <definedName name="IQ_ECO_METRIC_7928" hidden="1">"c7928"</definedName>
    <definedName name="IQ_ECO_METRIC_7929" hidden="1">"c7929"</definedName>
    <definedName name="IQ_ECO_METRIC_7930" hidden="1">"c7930"</definedName>
    <definedName name="IQ_ECO_METRIC_7931" hidden="1">"c7931"</definedName>
    <definedName name="IQ_ECO_METRIC_7932" hidden="1">"c7932"</definedName>
    <definedName name="IQ_ECO_METRIC_7933" hidden="1">"c7933"</definedName>
    <definedName name="IQ_ECO_METRIC_7934" hidden="1">"c7934"</definedName>
    <definedName name="IQ_ECO_METRIC_7935" hidden="1">"c7935"</definedName>
    <definedName name="IQ_ECO_METRIC_7936" hidden="1">"c7936"</definedName>
    <definedName name="IQ_ECO_METRIC_7937" hidden="1">"c7937"</definedName>
    <definedName name="IQ_ECO_METRIC_7938" hidden="1">"c7938"</definedName>
    <definedName name="IQ_ECO_METRIC_7939" hidden="1">"c7939"</definedName>
    <definedName name="IQ_ECO_METRIC_7939_UNUSED" hidden="1">"c7939"</definedName>
    <definedName name="IQ_ECO_METRIC_7939_UNUSED_UNUSED_UNUSED" hidden="1">"c7939"</definedName>
    <definedName name="IQ_ECO_METRIC_7940" hidden="1">"c7940"</definedName>
    <definedName name="IQ_ECO_METRIC_7941" hidden="1">"c7941"</definedName>
    <definedName name="IQ_ECO_METRIC_7942" hidden="1">"c7942"</definedName>
    <definedName name="IQ_ECO_METRIC_7943" hidden="1">"c7943"</definedName>
    <definedName name="IQ_ECO_METRIC_7944" hidden="1">"c7944"</definedName>
    <definedName name="IQ_ECO_METRIC_7945" hidden="1">"c7945"</definedName>
    <definedName name="IQ_ECO_METRIC_7946" hidden="1">"c7946"</definedName>
    <definedName name="IQ_ECO_METRIC_7947" hidden="1">"c7947"</definedName>
    <definedName name="IQ_ECO_METRIC_7948" hidden="1">"c7948"</definedName>
    <definedName name="IQ_ECO_METRIC_7949" hidden="1">"c7949"</definedName>
    <definedName name="IQ_ECO_METRIC_7950" hidden="1">"c7950"</definedName>
    <definedName name="IQ_ECO_METRIC_7951" hidden="1">"c7951"</definedName>
    <definedName name="IQ_ECO_METRIC_7952" hidden="1">"c7952"</definedName>
    <definedName name="IQ_ECO_METRIC_7953" hidden="1">"c7953"</definedName>
    <definedName name="IQ_ECO_METRIC_7954" hidden="1">"c7954"</definedName>
    <definedName name="IQ_ECO_METRIC_7955" hidden="1">"c7955"</definedName>
    <definedName name="IQ_ECO_METRIC_7956" hidden="1">"c7956"</definedName>
    <definedName name="IQ_ECO_METRIC_7957" hidden="1">"c7957"</definedName>
    <definedName name="IQ_ECO_METRIC_7958" hidden="1">"c7958"</definedName>
    <definedName name="IQ_ECO_METRIC_7959" hidden="1">"c7959"</definedName>
    <definedName name="IQ_ECO_METRIC_7960" hidden="1">"c7960"</definedName>
    <definedName name="IQ_ECO_METRIC_7961" hidden="1">"c7961"</definedName>
    <definedName name="IQ_ECO_METRIC_7962" hidden="1">"c7962"</definedName>
    <definedName name="IQ_ECO_METRIC_7963" hidden="1">"c7963"</definedName>
    <definedName name="IQ_ECO_METRIC_7964" hidden="1">"c7964"</definedName>
    <definedName name="IQ_ECO_METRIC_7965" hidden="1">"c7965"</definedName>
    <definedName name="IQ_ECO_METRIC_7966" hidden="1">"c7966"</definedName>
    <definedName name="IQ_ECO_METRIC_7967" hidden="1">"c7967"</definedName>
    <definedName name="IQ_ECO_METRIC_7968" hidden="1">"c7968"</definedName>
    <definedName name="IQ_ECO_METRIC_7969" hidden="1">"c7969"</definedName>
    <definedName name="IQ_ECO_METRIC_7970" hidden="1">"c7970"</definedName>
    <definedName name="IQ_ECO_METRIC_7971" hidden="1">"c7971"</definedName>
    <definedName name="IQ_ECO_METRIC_7972" hidden="1">"c7972"</definedName>
    <definedName name="IQ_ECO_METRIC_7973" hidden="1">"c7973"</definedName>
    <definedName name="IQ_ECO_METRIC_7974" hidden="1">"c7974"</definedName>
    <definedName name="IQ_ECO_METRIC_7975" hidden="1">"c7975"</definedName>
    <definedName name="IQ_ECO_METRIC_7976" hidden="1">"c7976"</definedName>
    <definedName name="IQ_ECO_METRIC_7977" hidden="1">"c7977"</definedName>
    <definedName name="IQ_ECO_METRIC_7978" hidden="1">"c7978"</definedName>
    <definedName name="IQ_ECO_METRIC_7979" hidden="1">"c7979"</definedName>
    <definedName name="IQ_ECO_METRIC_7980" hidden="1">"c7980"</definedName>
    <definedName name="IQ_ECO_METRIC_7981" hidden="1">"c7981"</definedName>
    <definedName name="IQ_ECO_METRIC_7982" hidden="1">"c7982"</definedName>
    <definedName name="IQ_ECO_METRIC_7983" hidden="1">"c7983"</definedName>
    <definedName name="IQ_ECO_METRIC_7984" hidden="1">"c7984"</definedName>
    <definedName name="IQ_ECO_METRIC_7985" hidden="1">"c7985"</definedName>
    <definedName name="IQ_ECO_METRIC_7986" hidden="1">"c7986"</definedName>
    <definedName name="IQ_ECO_METRIC_7987" hidden="1">"c7987"</definedName>
    <definedName name="IQ_ECO_METRIC_7988" hidden="1">"c7988"</definedName>
    <definedName name="IQ_ECO_METRIC_7989" hidden="1">"c7989"</definedName>
    <definedName name="IQ_ECO_METRIC_7990" hidden="1">"c7990"</definedName>
    <definedName name="IQ_ECO_METRIC_7991" hidden="1">"c7991"</definedName>
    <definedName name="IQ_ECO_METRIC_7992" hidden="1">"c7992"</definedName>
    <definedName name="IQ_ECO_METRIC_7993" hidden="1">"c7993"</definedName>
    <definedName name="IQ_ECO_METRIC_7994" hidden="1">"c7994"</definedName>
    <definedName name="IQ_ECO_METRIC_7995" hidden="1">"c7995"</definedName>
    <definedName name="IQ_ECO_METRIC_7996" hidden="1">"c7996"</definedName>
    <definedName name="IQ_ECO_METRIC_7996_UNUSED" hidden="1">"c7996"</definedName>
    <definedName name="IQ_ECO_METRIC_7996_UNUSED_UNUSED_UNUSED" hidden="1">"c7996"</definedName>
    <definedName name="IQ_ECO_METRIC_7997" hidden="1">"c7997"</definedName>
    <definedName name="IQ_ECO_METRIC_7997_UNUSED" hidden="1">"c7997"</definedName>
    <definedName name="IQ_ECO_METRIC_7997_UNUSED_UNUSED_UNUSED" hidden="1">"c7997"</definedName>
    <definedName name="IQ_ECO_METRIC_7999" hidden="1">"c7999"</definedName>
    <definedName name="IQ_ECO_METRIC_8000" hidden="1">"c8000"</definedName>
    <definedName name="IQ_ECO_METRIC_8001" hidden="1">"c8001"</definedName>
    <definedName name="IQ_ECO_METRIC_8002" hidden="1">"c8002"</definedName>
    <definedName name="IQ_ECO_METRIC_8003" hidden="1">"c8003"</definedName>
    <definedName name="IQ_ECO_METRIC_8004" hidden="1">"c8004"</definedName>
    <definedName name="IQ_ECO_METRIC_8005" hidden="1">"c8005"</definedName>
    <definedName name="IQ_ECO_METRIC_8006" hidden="1">"c8006"</definedName>
    <definedName name="IQ_ECO_METRIC_8007" hidden="1">"c8007"</definedName>
    <definedName name="IQ_ECO_METRIC_8008" hidden="1">"c8008"</definedName>
    <definedName name="IQ_ECO_METRIC_8009" hidden="1">"c8009"</definedName>
    <definedName name="IQ_ECO_METRIC_8010" hidden="1">"c8010"</definedName>
    <definedName name="IQ_ECO_METRIC_8011" hidden="1">"c8011"</definedName>
    <definedName name="IQ_ECO_METRIC_8012" hidden="1">"c8012"</definedName>
    <definedName name="IQ_ECO_METRIC_8013" hidden="1">"c8013"</definedName>
    <definedName name="IQ_ECO_METRIC_8014" hidden="1">"c8014"</definedName>
    <definedName name="IQ_ECO_METRIC_8015" hidden="1">"c8015"</definedName>
    <definedName name="IQ_ECO_METRIC_8016" hidden="1">"c8016"</definedName>
    <definedName name="IQ_ECO_METRIC_8017" hidden="1">"c8017"</definedName>
    <definedName name="IQ_ECO_METRIC_8018" hidden="1">"c8018"</definedName>
    <definedName name="IQ_ECO_METRIC_8019" hidden="1">"c8019"</definedName>
    <definedName name="IQ_ECO_METRIC_8020" hidden="1">"c8020"</definedName>
    <definedName name="IQ_ECO_METRIC_8021" hidden="1">"c8021"</definedName>
    <definedName name="IQ_ECO_METRIC_8022" hidden="1">"c8022"</definedName>
    <definedName name="IQ_ECO_METRIC_8023" hidden="1">"c8023"</definedName>
    <definedName name="IQ_ECO_METRIC_8024" hidden="1">"c8024"</definedName>
    <definedName name="IQ_ECO_METRIC_8025" hidden="1">"c8025"</definedName>
    <definedName name="IQ_ECO_METRIC_8026" hidden="1">"c8026"</definedName>
    <definedName name="IQ_ECO_METRIC_8027" hidden="1">"c8027"</definedName>
    <definedName name="IQ_ECO_METRIC_8028" hidden="1">"c8028"</definedName>
    <definedName name="IQ_ECO_METRIC_8029" hidden="1">"c8029"</definedName>
    <definedName name="IQ_ECO_METRIC_8030" hidden="1">"c8030"</definedName>
    <definedName name="IQ_ECO_METRIC_8031" hidden="1">"c8031"</definedName>
    <definedName name="IQ_ECO_METRIC_8032" hidden="1">"c8032"</definedName>
    <definedName name="IQ_ECO_METRIC_8033" hidden="1">"c8033"</definedName>
    <definedName name="IQ_ECO_METRIC_8034" hidden="1">"c8034"</definedName>
    <definedName name="IQ_ECO_METRIC_8035" hidden="1">"c8035"</definedName>
    <definedName name="IQ_ECO_METRIC_8036" hidden="1">"c8036"</definedName>
    <definedName name="IQ_ECO_METRIC_8037" hidden="1">"c8037"</definedName>
    <definedName name="IQ_ECO_METRIC_8038" hidden="1">"c8038"</definedName>
    <definedName name="IQ_ECO_METRIC_8039" hidden="1">"c8039"</definedName>
    <definedName name="IQ_ECO_METRIC_8040" hidden="1">"c8040"</definedName>
    <definedName name="IQ_ECO_METRIC_8041" hidden="1">"c8041"</definedName>
    <definedName name="IQ_ECO_METRIC_8042" hidden="1">"c8042"</definedName>
    <definedName name="IQ_ECO_METRIC_8043" hidden="1">"c8043"</definedName>
    <definedName name="IQ_ECO_METRIC_8044" hidden="1">"c8044"</definedName>
    <definedName name="IQ_ECO_METRIC_8045" hidden="1">"c8045"</definedName>
    <definedName name="IQ_ECO_METRIC_8046" hidden="1">"c8046"</definedName>
    <definedName name="IQ_ECO_METRIC_8047" hidden="1">"c8047"</definedName>
    <definedName name="IQ_ECO_METRIC_8048" hidden="1">"c8048"</definedName>
    <definedName name="IQ_ECO_METRIC_8049" hidden="1">"c8049"</definedName>
    <definedName name="IQ_ECO_METRIC_8050" hidden="1">"c8050"</definedName>
    <definedName name="IQ_ECO_METRIC_8051" hidden="1">"c8051"</definedName>
    <definedName name="IQ_ECO_METRIC_8052" hidden="1">"c8052"</definedName>
    <definedName name="IQ_ECO_METRIC_8053" hidden="1">"c8053"</definedName>
    <definedName name="IQ_ECO_METRIC_8054" hidden="1">"c8054"</definedName>
    <definedName name="IQ_ECO_METRIC_8055" hidden="1">"c8055"</definedName>
    <definedName name="IQ_ECO_METRIC_8056" hidden="1">"c8056"</definedName>
    <definedName name="IQ_ECO_METRIC_8057" hidden="1">"c8057"</definedName>
    <definedName name="IQ_ECO_METRIC_8058" hidden="1">"c8058"</definedName>
    <definedName name="IQ_ECO_METRIC_8059" hidden="1">"c8059"</definedName>
    <definedName name="IQ_ECO_METRIC_8060" hidden="1">"c8060"</definedName>
    <definedName name="IQ_ECO_METRIC_8062" hidden="1">"c8062"</definedName>
    <definedName name="IQ_ECO_METRIC_8063" hidden="1">"c8063"</definedName>
    <definedName name="IQ_ECO_METRIC_8064" hidden="1">"c8064"</definedName>
    <definedName name="IQ_ECO_METRIC_8065" hidden="1">"c8065"</definedName>
    <definedName name="IQ_ECO_METRIC_8066" hidden="1">"c8066"</definedName>
    <definedName name="IQ_ECO_METRIC_8067" hidden="1">"c8067"</definedName>
    <definedName name="IQ_ECO_METRIC_8068" hidden="1">"c8068"</definedName>
    <definedName name="IQ_ECO_METRIC_8069" hidden="1">"c8069"</definedName>
    <definedName name="IQ_ECO_METRIC_8070" hidden="1">"c8070"</definedName>
    <definedName name="IQ_ECO_METRIC_8071" hidden="1">"c8071"</definedName>
    <definedName name="IQ_ECO_METRIC_8072" hidden="1">"c8072"</definedName>
    <definedName name="IQ_ECO_METRIC_8073" hidden="1">"c8073"</definedName>
    <definedName name="IQ_ECO_METRIC_8074" hidden="1">"c8074"</definedName>
    <definedName name="IQ_ECO_METRIC_8075" hidden="1">"c8075"</definedName>
    <definedName name="IQ_ECO_METRIC_8076" hidden="1">"c8076"</definedName>
    <definedName name="IQ_ECO_METRIC_8077" hidden="1">"c8077"</definedName>
    <definedName name="IQ_ECO_METRIC_8078" hidden="1">"c8078"</definedName>
    <definedName name="IQ_ECO_METRIC_8079" hidden="1">"c8079"</definedName>
    <definedName name="IQ_ECO_METRIC_8080" hidden="1">"c8080"</definedName>
    <definedName name="IQ_ECO_METRIC_8081" hidden="1">"c8081"</definedName>
    <definedName name="IQ_ECO_METRIC_8082" hidden="1">"c8082"</definedName>
    <definedName name="IQ_ECO_METRIC_8083" hidden="1">"c8083"</definedName>
    <definedName name="IQ_ECO_METRIC_8084" hidden="1">"c8084"</definedName>
    <definedName name="IQ_ECO_METRIC_8085" hidden="1">"c8085"</definedName>
    <definedName name="IQ_ECO_METRIC_8086" hidden="1">"c8086"</definedName>
    <definedName name="IQ_ECO_METRIC_8087" hidden="1">"c8087"</definedName>
    <definedName name="IQ_ECO_METRIC_8088" hidden="1">"c8088"</definedName>
    <definedName name="IQ_ECO_METRIC_8088_UNUSED" hidden="1">"c8088"</definedName>
    <definedName name="IQ_ECO_METRIC_8088_UNUSED_UNUSED_UNUSED" hidden="1">"c8088"</definedName>
    <definedName name="IQ_ECO_METRIC_8089" hidden="1">"c8089"</definedName>
    <definedName name="IQ_ECO_METRIC_8090" hidden="1">"c8090"</definedName>
    <definedName name="IQ_ECO_METRIC_8091" hidden="1">"c8091"</definedName>
    <definedName name="IQ_ECO_METRIC_8092" hidden="1">"c8092"</definedName>
    <definedName name="IQ_ECO_METRIC_8093" hidden="1">"c8093"</definedName>
    <definedName name="IQ_ECO_METRIC_8094" hidden="1">"c8094"</definedName>
    <definedName name="IQ_ECO_METRIC_8095" hidden="1">"c8095"</definedName>
    <definedName name="IQ_ECO_METRIC_8096" hidden="1">"c8096"</definedName>
    <definedName name="IQ_ECO_METRIC_8097" hidden="1">"c8097"</definedName>
    <definedName name="IQ_ECO_METRIC_8098" hidden="1">"c8098"</definedName>
    <definedName name="IQ_ECO_METRIC_8100" hidden="1">"c8100"</definedName>
    <definedName name="IQ_ECO_METRIC_8101" hidden="1">"c8101"</definedName>
    <definedName name="IQ_ECO_METRIC_8102" hidden="1">"c8102"</definedName>
    <definedName name="IQ_ECO_METRIC_8103" hidden="1">"c8103"</definedName>
    <definedName name="IQ_ECO_METRIC_8104" hidden="1">"c8104"</definedName>
    <definedName name="IQ_ECO_METRIC_8105" hidden="1">"c8105"</definedName>
    <definedName name="IQ_ECO_METRIC_8106" hidden="1">"c8106"</definedName>
    <definedName name="IQ_ECO_METRIC_8107" hidden="1">"c8107"</definedName>
    <definedName name="IQ_ECO_METRIC_8108" hidden="1">"c8108"</definedName>
    <definedName name="IQ_ECO_METRIC_8109" hidden="1">"c8109"</definedName>
    <definedName name="IQ_ECO_METRIC_8110" hidden="1">"c8110"</definedName>
    <definedName name="IQ_ECO_METRIC_8111" hidden="1">"c8111"</definedName>
    <definedName name="IQ_ECO_METRIC_8112" hidden="1">"c8112"</definedName>
    <definedName name="IQ_ECO_METRIC_8113" hidden="1">"c8113"</definedName>
    <definedName name="IQ_ECO_METRIC_8115" hidden="1">"c8115"</definedName>
    <definedName name="IQ_ECO_METRIC_8116" hidden="1">"c8116"</definedName>
    <definedName name="IQ_ECO_METRIC_8117" hidden="1">"c8117"</definedName>
    <definedName name="IQ_ECO_METRIC_8118" hidden="1">"c8118"</definedName>
    <definedName name="IQ_ECO_METRIC_8119" hidden="1">"c8119"</definedName>
    <definedName name="IQ_ECO_METRIC_8120" hidden="1">"c8120"</definedName>
    <definedName name="IQ_ECO_METRIC_8121" hidden="1">"c8121"</definedName>
    <definedName name="IQ_ECO_METRIC_8123" hidden="1">"c8123"</definedName>
    <definedName name="IQ_ECO_METRIC_8124" hidden="1">"c8124"</definedName>
    <definedName name="IQ_ECO_METRIC_8125" hidden="1">"c8125"</definedName>
    <definedName name="IQ_ECO_METRIC_8126" hidden="1">"c8126"</definedName>
    <definedName name="IQ_ECO_METRIC_8127" hidden="1">"c8127"</definedName>
    <definedName name="IQ_ECO_METRIC_8128" hidden="1">"c8128"</definedName>
    <definedName name="IQ_ECO_METRIC_8129" hidden="1">"c8129"</definedName>
    <definedName name="IQ_ECO_METRIC_8130" hidden="1">"c8130"</definedName>
    <definedName name="IQ_ECO_METRIC_8131" hidden="1">"c8131"</definedName>
    <definedName name="IQ_ECO_METRIC_8132" hidden="1">"c8132"</definedName>
    <definedName name="IQ_ECO_METRIC_8133" hidden="1">"c8133"</definedName>
    <definedName name="IQ_ECO_METRIC_8134" hidden="1">"c8134"</definedName>
    <definedName name="IQ_ECO_METRIC_8135" hidden="1">"c8135"</definedName>
    <definedName name="IQ_ECO_METRIC_8136" hidden="1">"c8136"</definedName>
    <definedName name="IQ_ECO_METRIC_8137" hidden="1">"c8137"</definedName>
    <definedName name="IQ_ECO_METRIC_8138" hidden="1">"c8138"</definedName>
    <definedName name="IQ_ECO_METRIC_8139" hidden="1">"c8139"</definedName>
    <definedName name="IQ_ECO_METRIC_8140" hidden="1">"c8140"</definedName>
    <definedName name="IQ_ECO_METRIC_8141" hidden="1">"c8141"</definedName>
    <definedName name="IQ_ECO_METRIC_8142" hidden="1">"c8142"</definedName>
    <definedName name="IQ_ECO_METRIC_8143" hidden="1">"c8143"</definedName>
    <definedName name="IQ_ECO_METRIC_8144" hidden="1">"c8144"</definedName>
    <definedName name="IQ_ECO_METRIC_8145" hidden="1">"c8145"</definedName>
    <definedName name="IQ_ECO_METRIC_8145_UNUSED" hidden="1">"c8145"</definedName>
    <definedName name="IQ_ECO_METRIC_8145_UNUSED_UNUSED_UNUSED" hidden="1">"c8145"</definedName>
    <definedName name="IQ_ECO_METRIC_8146" hidden="1">"c8146"</definedName>
    <definedName name="IQ_ECO_METRIC_8147" hidden="1">"c8147"</definedName>
    <definedName name="IQ_ECO_METRIC_8148" hidden="1">"c8148"</definedName>
    <definedName name="IQ_ECO_METRIC_8149" hidden="1">"c8149"</definedName>
    <definedName name="IQ_ECO_METRIC_8150" hidden="1">"c8150"</definedName>
    <definedName name="IQ_ECO_METRIC_8152" hidden="1">"c8152"</definedName>
    <definedName name="IQ_ECO_METRIC_8153" hidden="1">"c8153"</definedName>
    <definedName name="IQ_ECO_METRIC_8154" hidden="1">"c8154"</definedName>
    <definedName name="IQ_ECO_METRIC_8155" hidden="1">"c8155"</definedName>
    <definedName name="IQ_ECO_METRIC_8156" hidden="1">"c8156"</definedName>
    <definedName name="IQ_ECO_METRIC_8157" hidden="1">"c8157"</definedName>
    <definedName name="IQ_ECO_METRIC_8158" hidden="1">"c8158"</definedName>
    <definedName name="IQ_ECO_METRIC_8159" hidden="1">"c8159"</definedName>
    <definedName name="IQ_ECO_METRIC_8159_UNUSED" hidden="1">"c8159"</definedName>
    <definedName name="IQ_ECO_METRIC_8159_UNUSED_UNUSED_UNUSED" hidden="1">"c8159"</definedName>
    <definedName name="IQ_ECO_METRIC_8160" hidden="1">"c8160"</definedName>
    <definedName name="IQ_ECO_METRIC_8161" hidden="1">"c8161"</definedName>
    <definedName name="IQ_ECO_METRIC_8162" hidden="1">"c8162"</definedName>
    <definedName name="IQ_ECO_METRIC_8163" hidden="1">"c8163"</definedName>
    <definedName name="IQ_ECO_METRIC_8164" hidden="1">"c8164"</definedName>
    <definedName name="IQ_ECO_METRIC_8165" hidden="1">"c8165"</definedName>
    <definedName name="IQ_ECO_METRIC_8166" hidden="1">"c8166"</definedName>
    <definedName name="IQ_ECO_METRIC_8167" hidden="1">"c8167"</definedName>
    <definedName name="IQ_ECO_METRIC_8168" hidden="1">"c8168"</definedName>
    <definedName name="IQ_ECO_METRIC_8169" hidden="1">"c8169"</definedName>
    <definedName name="IQ_ECO_METRIC_8170" hidden="1">"c8170"</definedName>
    <definedName name="IQ_ECO_METRIC_8171" hidden="1">"c8171"</definedName>
    <definedName name="IQ_ECO_METRIC_8172" hidden="1">"c8172"</definedName>
    <definedName name="IQ_ECO_METRIC_8173" hidden="1">"c8173"</definedName>
    <definedName name="IQ_ECO_METRIC_8174" hidden="1">"c8174"</definedName>
    <definedName name="IQ_ECO_METRIC_8175" hidden="1">"c8175"</definedName>
    <definedName name="IQ_ECO_METRIC_8176" hidden="1">"c8176"</definedName>
    <definedName name="IQ_ECO_METRIC_8177" hidden="1">"c8177"</definedName>
    <definedName name="IQ_ECO_METRIC_8178" hidden="1">"c8178"</definedName>
    <definedName name="IQ_ECO_METRIC_8179" hidden="1">"c8179"</definedName>
    <definedName name="IQ_ECO_METRIC_8180" hidden="1">"c8180"</definedName>
    <definedName name="IQ_ECO_METRIC_8181" hidden="1">"c8181"</definedName>
    <definedName name="IQ_ECO_METRIC_8182" hidden="1">"c8182"</definedName>
    <definedName name="IQ_ECO_METRIC_8183" hidden="1">"c8183"</definedName>
    <definedName name="IQ_ECO_METRIC_8184" hidden="1">"c8184"</definedName>
    <definedName name="IQ_ECO_METRIC_8185" hidden="1">"c8185"</definedName>
    <definedName name="IQ_ECO_METRIC_8186" hidden="1">"c8186"</definedName>
    <definedName name="IQ_ECO_METRIC_8187" hidden="1">"c8187"</definedName>
    <definedName name="IQ_ECO_METRIC_8188" hidden="1">"c8188"</definedName>
    <definedName name="IQ_ECO_METRIC_8189" hidden="1">"c8189"</definedName>
    <definedName name="IQ_ECO_METRIC_8190" hidden="1">"c8190"</definedName>
    <definedName name="IQ_ECO_METRIC_8191" hidden="1">"c8191"</definedName>
    <definedName name="IQ_ECO_METRIC_8192" hidden="1">"c8192"</definedName>
    <definedName name="IQ_ECO_METRIC_8193" hidden="1">"c8193"</definedName>
    <definedName name="IQ_ECO_METRIC_8194" hidden="1">"c8194"</definedName>
    <definedName name="IQ_ECO_METRIC_8195" hidden="1">"c8195"</definedName>
    <definedName name="IQ_ECO_METRIC_8196" hidden="1">"c8196"</definedName>
    <definedName name="IQ_ECO_METRIC_8197" hidden="1">"c8197"</definedName>
    <definedName name="IQ_ECO_METRIC_8198" hidden="1">"c8198"</definedName>
    <definedName name="IQ_ECO_METRIC_8199" hidden="1">"c8199"</definedName>
    <definedName name="IQ_ECO_METRIC_8200" hidden="1">"c8200"</definedName>
    <definedName name="IQ_ECO_METRIC_8201" hidden="1">"c8201"</definedName>
    <definedName name="IQ_ECO_METRIC_8202" hidden="1">"c8202"</definedName>
    <definedName name="IQ_ECO_METRIC_8203" hidden="1">"c8203"</definedName>
    <definedName name="IQ_ECO_METRIC_8204" hidden="1">"c8204"</definedName>
    <definedName name="IQ_ECO_METRIC_8205" hidden="1">"c8205"</definedName>
    <definedName name="IQ_ECO_METRIC_8206" hidden="1">"c8206"</definedName>
    <definedName name="IQ_ECO_METRIC_8207" hidden="1">"c8207"</definedName>
    <definedName name="IQ_ECO_METRIC_8208" hidden="1">"c8208"</definedName>
    <definedName name="IQ_ECO_METRIC_8209" hidden="1">"c8209"</definedName>
    <definedName name="IQ_ECO_METRIC_8210" hidden="1">"c8210"</definedName>
    <definedName name="IQ_ECO_METRIC_8211" hidden="1">"c8211"</definedName>
    <definedName name="IQ_ECO_METRIC_8212" hidden="1">"c8212"</definedName>
    <definedName name="IQ_ECO_METRIC_8213" hidden="1">"c8213"</definedName>
    <definedName name="IQ_ECO_METRIC_8214" hidden="1">"c8214"</definedName>
    <definedName name="IQ_ECO_METRIC_8215" hidden="1">"c8215"</definedName>
    <definedName name="IQ_ECO_METRIC_8216" hidden="1">"c8216"</definedName>
    <definedName name="IQ_ECO_METRIC_8216_UNUSED" hidden="1">"c8216"</definedName>
    <definedName name="IQ_ECO_METRIC_8216_UNUSED_UNUSED_UNUSED" hidden="1">"c8216"</definedName>
    <definedName name="IQ_ECO_METRIC_8217" hidden="1">"c8217"</definedName>
    <definedName name="IQ_ECO_METRIC_8217_UNUSED" hidden="1">"c8217"</definedName>
    <definedName name="IQ_ECO_METRIC_8217_UNUSED_UNUSED_UNUSED" hidden="1">"c8217"</definedName>
    <definedName name="IQ_ECO_METRIC_8219" hidden="1">"c8219"</definedName>
    <definedName name="IQ_ECO_METRIC_8221" hidden="1">"c8221"</definedName>
    <definedName name="IQ_ECO_METRIC_8222" hidden="1">"c8222"</definedName>
    <definedName name="IQ_ECO_METRIC_8223" hidden="1">"c8223"</definedName>
    <definedName name="IQ_ECO_METRIC_8224" hidden="1">"c8224"</definedName>
    <definedName name="IQ_ECO_METRIC_8225" hidden="1">"c8225"</definedName>
    <definedName name="IQ_ECO_METRIC_8226" hidden="1">"c8226"</definedName>
    <definedName name="IQ_ECO_METRIC_8227" hidden="1">"c8227"</definedName>
    <definedName name="IQ_ECO_METRIC_8228" hidden="1">"c8228"</definedName>
    <definedName name="IQ_ECO_METRIC_8229" hidden="1">"c8229"</definedName>
    <definedName name="IQ_ECO_METRIC_8230" hidden="1">"c8230"</definedName>
    <definedName name="IQ_ECO_METRIC_8231" hidden="1">"c8231"</definedName>
    <definedName name="IQ_ECO_METRIC_8232" hidden="1">"c8232"</definedName>
    <definedName name="IQ_ECO_METRIC_8233" hidden="1">"c8233"</definedName>
    <definedName name="IQ_ECO_METRIC_8234" hidden="1">"c8234"</definedName>
    <definedName name="IQ_ECO_METRIC_8235" hidden="1">"c8235"</definedName>
    <definedName name="IQ_ECO_METRIC_8236" hidden="1">"c8236"</definedName>
    <definedName name="IQ_ECO_METRIC_8237" hidden="1">"c8237"</definedName>
    <definedName name="IQ_ECO_METRIC_8238" hidden="1">"c8238"</definedName>
    <definedName name="IQ_ECO_METRIC_8239" hidden="1">"c8239"</definedName>
    <definedName name="IQ_ECO_METRIC_8240" hidden="1">"c8240"</definedName>
    <definedName name="IQ_ECO_METRIC_8241" hidden="1">"c8241"</definedName>
    <definedName name="IQ_ECO_METRIC_8242" hidden="1">"c8242"</definedName>
    <definedName name="IQ_ECO_METRIC_8243" hidden="1">"c8243"</definedName>
    <definedName name="IQ_ECO_METRIC_8244" hidden="1">"c8244"</definedName>
    <definedName name="IQ_ECO_METRIC_8245" hidden="1">"c8245"</definedName>
    <definedName name="IQ_ECO_METRIC_8246" hidden="1">"c8246"</definedName>
    <definedName name="IQ_ECO_METRIC_8247" hidden="1">"c8247"</definedName>
    <definedName name="IQ_ECO_METRIC_8248" hidden="1">"c8248"</definedName>
    <definedName name="IQ_ECO_METRIC_8249" hidden="1">"c8249"</definedName>
    <definedName name="IQ_ECO_METRIC_8250" hidden="1">"c8250"</definedName>
    <definedName name="IQ_ECO_METRIC_8251" hidden="1">"c8251"</definedName>
    <definedName name="IQ_ECO_METRIC_8252" hidden="1">"c8252"</definedName>
    <definedName name="IQ_ECO_METRIC_8253" hidden="1">"c8253"</definedName>
    <definedName name="IQ_ECO_METRIC_8254" hidden="1">"c8254"</definedName>
    <definedName name="IQ_ECO_METRIC_8255" hidden="1">"c8255"</definedName>
    <definedName name="IQ_ECO_METRIC_8256" hidden="1">"c8256"</definedName>
    <definedName name="IQ_ECO_METRIC_8257" hidden="1">"c8257"</definedName>
    <definedName name="IQ_ECO_METRIC_8258" hidden="1">"c8258"</definedName>
    <definedName name="IQ_ECO_METRIC_8259" hidden="1">"c8259"</definedName>
    <definedName name="IQ_ECO_METRIC_8260" hidden="1">"c8260"</definedName>
    <definedName name="IQ_ECO_METRIC_8261" hidden="1">"c8261"</definedName>
    <definedName name="IQ_ECO_METRIC_8262" hidden="1">"c8262"</definedName>
    <definedName name="IQ_ECO_METRIC_8263" hidden="1">"c8263"</definedName>
    <definedName name="IQ_ECO_METRIC_8264" hidden="1">"c8264"</definedName>
    <definedName name="IQ_ECO_METRIC_8265" hidden="1">"c8265"</definedName>
    <definedName name="IQ_ECO_METRIC_8266" hidden="1">"c8266"</definedName>
    <definedName name="IQ_ECO_METRIC_8267" hidden="1">"c8267"</definedName>
    <definedName name="IQ_ECO_METRIC_8268" hidden="1">"c8268"</definedName>
    <definedName name="IQ_ECO_METRIC_8269" hidden="1">"c8269"</definedName>
    <definedName name="IQ_ECO_METRIC_8270" hidden="1">"c8270"</definedName>
    <definedName name="IQ_ECO_METRIC_8271" hidden="1">"c8271"</definedName>
    <definedName name="IQ_ECO_METRIC_8272" hidden="1">"c8272"</definedName>
    <definedName name="IQ_ECO_METRIC_8273" hidden="1">"c8273"</definedName>
    <definedName name="IQ_ECO_METRIC_8274" hidden="1">"c8274"</definedName>
    <definedName name="IQ_ECO_METRIC_8275" hidden="1">"c8275"</definedName>
    <definedName name="IQ_ECO_METRIC_8276" hidden="1">"c8276"</definedName>
    <definedName name="IQ_ECO_METRIC_8277" hidden="1">"c8277"</definedName>
    <definedName name="IQ_ECO_METRIC_8278" hidden="1">"c8278"</definedName>
    <definedName name="IQ_ECO_METRIC_8279" hidden="1">"c8279"</definedName>
    <definedName name="IQ_ECO_METRIC_8280" hidden="1">"c8280"</definedName>
    <definedName name="IQ_ECO_METRIC_8282" hidden="1">"c8282"</definedName>
    <definedName name="IQ_ECO_METRIC_8283" hidden="1">"c8283"</definedName>
    <definedName name="IQ_ECO_METRIC_8284" hidden="1">"c8284"</definedName>
    <definedName name="IQ_ECO_METRIC_8285" hidden="1">"c8285"</definedName>
    <definedName name="IQ_ECO_METRIC_8286" hidden="1">"c8286"</definedName>
    <definedName name="IQ_ECO_METRIC_8287" hidden="1">"c8287"</definedName>
    <definedName name="IQ_ECO_METRIC_8288" hidden="1">"c8288"</definedName>
    <definedName name="IQ_ECO_METRIC_8289" hidden="1">"c8289"</definedName>
    <definedName name="IQ_ECO_METRIC_8290" hidden="1">"c8290"</definedName>
    <definedName name="IQ_ECO_METRIC_8291" hidden="1">"c8291"</definedName>
    <definedName name="IQ_ECO_METRIC_8292" hidden="1">"c8292"</definedName>
    <definedName name="IQ_ECO_METRIC_8293" hidden="1">"c8293"</definedName>
    <definedName name="IQ_ECO_METRIC_8294" hidden="1">"c8294"</definedName>
    <definedName name="IQ_ECO_METRIC_8295" hidden="1">"c8295"</definedName>
    <definedName name="IQ_ECO_METRIC_8296" hidden="1">"c8296"</definedName>
    <definedName name="IQ_ECO_METRIC_8297" hidden="1">"c8297"</definedName>
    <definedName name="IQ_ECO_METRIC_8298" hidden="1">"c8298"</definedName>
    <definedName name="IQ_ECO_METRIC_8299" hidden="1">"c8299"</definedName>
    <definedName name="IQ_ECO_METRIC_8300" hidden="1">"c8300"</definedName>
    <definedName name="IQ_ECO_METRIC_8301" hidden="1">"c8301"</definedName>
    <definedName name="IQ_ECO_METRIC_8302" hidden="1">"c8302"</definedName>
    <definedName name="IQ_ECO_METRIC_8303" hidden="1">"c8303"</definedName>
    <definedName name="IQ_ECO_METRIC_8304" hidden="1">"c8304"</definedName>
    <definedName name="IQ_ECO_METRIC_8305" hidden="1">"c8305"</definedName>
    <definedName name="IQ_ECO_METRIC_8306" hidden="1">"c8306"</definedName>
    <definedName name="IQ_ECO_METRIC_8307" hidden="1">"c8307"</definedName>
    <definedName name="IQ_ECO_METRIC_8308" hidden="1">"c8308"</definedName>
    <definedName name="IQ_ECO_METRIC_8308_UNUSED" hidden="1">"c8308"</definedName>
    <definedName name="IQ_ECO_METRIC_8308_UNUSED_UNUSED_UNUSED" hidden="1">"c8308"</definedName>
    <definedName name="IQ_ECO_METRIC_8309" hidden="1">"c8309"</definedName>
    <definedName name="IQ_ECO_METRIC_8310" hidden="1">"c8310"</definedName>
    <definedName name="IQ_ECO_METRIC_8311" hidden="1">"c8311"</definedName>
    <definedName name="IQ_ECO_METRIC_8312" hidden="1">"c8312"</definedName>
    <definedName name="IQ_ECO_METRIC_8313" hidden="1">"c8313"</definedName>
    <definedName name="IQ_ECO_METRIC_8314" hidden="1">"c8314"</definedName>
    <definedName name="IQ_ECO_METRIC_8315" hidden="1">"c8315"</definedName>
    <definedName name="IQ_ECO_METRIC_8316" hidden="1">"c8316"</definedName>
    <definedName name="IQ_ECO_METRIC_8317" hidden="1">"c8317"</definedName>
    <definedName name="IQ_ECO_METRIC_8318" hidden="1">"c8318"</definedName>
    <definedName name="IQ_ECO_METRIC_8320" hidden="1">"c8320"</definedName>
    <definedName name="IQ_ECO_METRIC_8321" hidden="1">"c8321"</definedName>
    <definedName name="IQ_ECO_METRIC_8322" hidden="1">"c8322"</definedName>
    <definedName name="IQ_ECO_METRIC_8323" hidden="1">"c8323"</definedName>
    <definedName name="IQ_ECO_METRIC_8324" hidden="1">"c8324"</definedName>
    <definedName name="IQ_ECO_METRIC_8325" hidden="1">"c8325"</definedName>
    <definedName name="IQ_ECO_METRIC_8326" hidden="1">"c8326"</definedName>
    <definedName name="IQ_ECO_METRIC_8327" hidden="1">"c8327"</definedName>
    <definedName name="IQ_ECO_METRIC_8328" hidden="1">"c8328"</definedName>
    <definedName name="IQ_ECO_METRIC_8329" hidden="1">"c8329"</definedName>
    <definedName name="IQ_ECO_METRIC_8330" hidden="1">"c8330"</definedName>
    <definedName name="IQ_ECO_METRIC_8331" hidden="1">"c8331"</definedName>
    <definedName name="IQ_ECO_METRIC_8332" hidden="1">"c8332"</definedName>
    <definedName name="IQ_ECO_METRIC_8333" hidden="1">"c8333"</definedName>
    <definedName name="IQ_ECO_METRIC_8335" hidden="1">"c8335"</definedName>
    <definedName name="IQ_ECO_METRIC_8336" hidden="1">"c8336"</definedName>
    <definedName name="IQ_ECO_METRIC_8337" hidden="1">"c8337"</definedName>
    <definedName name="IQ_ECO_METRIC_8338" hidden="1">"c8338"</definedName>
    <definedName name="IQ_ECO_METRIC_8339" hidden="1">"c8339"</definedName>
    <definedName name="IQ_ECO_METRIC_8340" hidden="1">"c8340"</definedName>
    <definedName name="IQ_ECO_METRIC_8341" hidden="1">"c8341"</definedName>
    <definedName name="IQ_ECO_METRIC_8343" hidden="1">"c8343"</definedName>
    <definedName name="IQ_ECO_METRIC_8344" hidden="1">"c8344"</definedName>
    <definedName name="IQ_ECO_METRIC_8345" hidden="1">"c8345"</definedName>
    <definedName name="IQ_ECO_METRIC_8346" hidden="1">"c8346"</definedName>
    <definedName name="IQ_ECO_METRIC_8347" hidden="1">"c8347"</definedName>
    <definedName name="IQ_ECO_METRIC_8348" hidden="1">"c8348"</definedName>
    <definedName name="IQ_ECO_METRIC_8349" hidden="1">"c8349"</definedName>
    <definedName name="IQ_ECO_METRIC_8350" hidden="1">"c8350"</definedName>
    <definedName name="IQ_ECO_METRIC_8352" hidden="1">"c8352"</definedName>
    <definedName name="IQ_ECO_METRIC_8353" hidden="1">"c8353"</definedName>
    <definedName name="IQ_ECO_METRIC_8354" hidden="1">"c8354"</definedName>
    <definedName name="IQ_ECO_METRIC_8355" hidden="1">"c8355"</definedName>
    <definedName name="IQ_ECO_METRIC_8356" hidden="1">"c8356"</definedName>
    <definedName name="IQ_ECO_METRIC_8357" hidden="1">"c8357"</definedName>
    <definedName name="IQ_ECO_METRIC_8358" hidden="1">"c8358"</definedName>
    <definedName name="IQ_ECO_METRIC_8359" hidden="1">"c8359"</definedName>
    <definedName name="IQ_ECO_METRIC_8360" hidden="1">"c8360"</definedName>
    <definedName name="IQ_ECO_METRIC_8361" hidden="1">"c8361"</definedName>
    <definedName name="IQ_ECO_METRIC_8362" hidden="1">"c8362"</definedName>
    <definedName name="IQ_ECO_METRIC_8363" hidden="1">"c8363"</definedName>
    <definedName name="IQ_ECO_METRIC_8366" hidden="1">"c8366"</definedName>
    <definedName name="IQ_ECO_METRIC_8367" hidden="1">"c8367"</definedName>
    <definedName name="IQ_ECO_METRIC_8368" hidden="1">"c8368"</definedName>
    <definedName name="IQ_ECO_METRIC_8369" hidden="1">"c8369"</definedName>
    <definedName name="IQ_ECO_METRIC_8370" hidden="1">"c8370"</definedName>
    <definedName name="IQ_ECO_METRIC_8371" hidden="1">"c8371"</definedName>
    <definedName name="IQ_ECO_METRIC_8372" hidden="1">"c8372"</definedName>
    <definedName name="IQ_ECO_METRIC_8373" hidden="1">"c8373"</definedName>
    <definedName name="IQ_ECO_METRIC_8374" hidden="1">"c8374"</definedName>
    <definedName name="IQ_ECO_METRIC_8375" hidden="1">"c8375"</definedName>
    <definedName name="IQ_ECO_METRIC_8376" hidden="1">"c8376"</definedName>
    <definedName name="IQ_ECO_METRIC_8377" hidden="1">"c8377"</definedName>
    <definedName name="IQ_ECO_METRIC_8378" hidden="1">"c8378"</definedName>
    <definedName name="IQ_ECO_METRIC_8380" hidden="1">"c8380"</definedName>
    <definedName name="IQ_ECO_METRIC_8381" hidden="1">"c8381"</definedName>
    <definedName name="IQ_ECO_METRIC_8382" hidden="1">"c8382"</definedName>
    <definedName name="IQ_ECO_METRIC_8383" hidden="1">"c8383"</definedName>
    <definedName name="IQ_ECO_METRIC_8384" hidden="1">"c8384"</definedName>
    <definedName name="IQ_ECO_METRIC_8385" hidden="1">"c8385"</definedName>
    <definedName name="IQ_ECO_METRIC_8387" hidden="1">"c8387"</definedName>
    <definedName name="IQ_ECO_METRIC_8388" hidden="1">"c8388"</definedName>
    <definedName name="IQ_ECO_METRIC_8389" hidden="1">"c8389"</definedName>
    <definedName name="IQ_ECO_METRIC_8390" hidden="1">"c8390"</definedName>
    <definedName name="IQ_ECO_METRIC_8391" hidden="1">"c8391"</definedName>
    <definedName name="IQ_ECO_METRIC_8392" hidden="1">"c8392"</definedName>
    <definedName name="IQ_ECO_METRIC_8393" hidden="1">"c8393"</definedName>
    <definedName name="IQ_ECO_METRIC_8394" hidden="1">"c8394"</definedName>
    <definedName name="IQ_ECO_METRIC_8395" hidden="1">"c8395"</definedName>
    <definedName name="IQ_ECO_METRIC_8396" hidden="1">"c8396"</definedName>
    <definedName name="IQ_ECO_METRIC_8397" hidden="1">"c8397"</definedName>
    <definedName name="IQ_ECO_METRIC_8398" hidden="1">"c8398"</definedName>
    <definedName name="IQ_ECO_METRIC_8399" hidden="1">"c8399"</definedName>
    <definedName name="IQ_ECO_METRIC_8400" hidden="1">"c8400"</definedName>
    <definedName name="IQ_ECO_METRIC_8401" hidden="1">"c8401"</definedName>
    <definedName name="IQ_ECO_METRIC_8402" hidden="1">"c8402"</definedName>
    <definedName name="IQ_ECO_METRIC_8403" hidden="1">"c8403"</definedName>
    <definedName name="IQ_ECO_METRIC_8404" hidden="1">"c8404"</definedName>
    <definedName name="IQ_ECO_METRIC_8405" hidden="1">"c8405"</definedName>
    <definedName name="IQ_ECO_METRIC_8406" hidden="1">"c8406"</definedName>
    <definedName name="IQ_ECO_METRIC_8407" hidden="1">"c8407"</definedName>
    <definedName name="IQ_ECO_METRIC_8408" hidden="1">"c8408"</definedName>
    <definedName name="IQ_ECO_METRIC_8409" hidden="1">"c8409"</definedName>
    <definedName name="IQ_ECO_METRIC_8410" hidden="1">"c8410"</definedName>
    <definedName name="IQ_ECO_METRIC_8411" hidden="1">"c8411"</definedName>
    <definedName name="IQ_ECO_METRIC_8412" hidden="1">"c8412"</definedName>
    <definedName name="IQ_ECO_METRIC_8413" hidden="1">"c8413"</definedName>
    <definedName name="IQ_ECO_METRIC_8414" hidden="1">"c8414"</definedName>
    <definedName name="IQ_ECO_METRIC_8415" hidden="1">"c8415"</definedName>
    <definedName name="IQ_ECO_METRIC_8416" hidden="1">"c8416"</definedName>
    <definedName name="IQ_ECO_METRIC_8417" hidden="1">"c8417"</definedName>
    <definedName name="IQ_ECO_METRIC_8418" hidden="1">"c8418"</definedName>
    <definedName name="IQ_ECO_METRIC_8419" hidden="1">"c8419"</definedName>
    <definedName name="IQ_ECO_METRIC_8420" hidden="1">"c8420"</definedName>
    <definedName name="IQ_ECO_METRIC_8421" hidden="1">"c8421"</definedName>
    <definedName name="IQ_ECO_METRIC_8422" hidden="1">"c8422"</definedName>
    <definedName name="IQ_ECO_METRIC_8423" hidden="1">"c8423"</definedName>
    <definedName name="IQ_ECO_METRIC_8424" hidden="1">"c8424"</definedName>
    <definedName name="IQ_ECO_METRIC_8425" hidden="1">"c8425"</definedName>
    <definedName name="IQ_ECO_METRIC_8426" hidden="1">"c8426"</definedName>
    <definedName name="IQ_ECO_METRIC_8427" hidden="1">"c8427"</definedName>
    <definedName name="IQ_ECO_METRIC_8428" hidden="1">"c8428"</definedName>
    <definedName name="IQ_ECO_METRIC_8429" hidden="1">"c8429"</definedName>
    <definedName name="IQ_ECO_METRIC_8430" hidden="1">"c8430"</definedName>
    <definedName name="IQ_ECO_METRIC_8431" hidden="1">"c8431"</definedName>
    <definedName name="IQ_ECO_METRIC_8432" hidden="1">"c8432"</definedName>
    <definedName name="IQ_ECO_METRIC_8433" hidden="1">"c8433"</definedName>
    <definedName name="IQ_ECO_METRIC_8434" hidden="1">"c8434"</definedName>
    <definedName name="IQ_ECO_METRIC_8435" hidden="1">"c8435"</definedName>
    <definedName name="IQ_ECO_METRIC_8436" hidden="1">"c8436"</definedName>
    <definedName name="IQ_ECO_METRIC_8436_UNUSED" hidden="1">"c8436"</definedName>
    <definedName name="IQ_ECO_METRIC_8436_UNUSED_UNUSED_UNUSED" hidden="1">"c8436"</definedName>
    <definedName name="IQ_ECO_METRIC_8437" hidden="1">"c8437"</definedName>
    <definedName name="IQ_ECO_METRIC_8437_UNUSED" hidden="1">"c8437"</definedName>
    <definedName name="IQ_ECO_METRIC_8437_UNUSED_UNUSED_UNUSED" hidden="1">"c8437"</definedName>
    <definedName name="IQ_ECO_METRIC_8440" hidden="1">"c8440"</definedName>
    <definedName name="IQ_ECO_METRIC_8441" hidden="1">"c8441"</definedName>
    <definedName name="IQ_ECO_METRIC_8442" hidden="1">"c8442"</definedName>
    <definedName name="IQ_ECO_METRIC_8443" hidden="1">"c8443"</definedName>
    <definedName name="IQ_ECO_METRIC_8444" hidden="1">"c8444"</definedName>
    <definedName name="IQ_ECO_METRIC_8445" hidden="1">"c8445"</definedName>
    <definedName name="IQ_ECO_METRIC_8446" hidden="1">"c8446"</definedName>
    <definedName name="IQ_ECO_METRIC_8447" hidden="1">"c8447"</definedName>
    <definedName name="IQ_ECO_METRIC_8448" hidden="1">"c8448"</definedName>
    <definedName name="IQ_ECO_METRIC_8450" hidden="1">"c8450"</definedName>
    <definedName name="IQ_ECO_METRIC_8451" hidden="1">"c8451"</definedName>
    <definedName name="IQ_ECO_METRIC_8452" hidden="1">"c8452"</definedName>
    <definedName name="IQ_ECO_METRIC_8453" hidden="1">"c8453"</definedName>
    <definedName name="IQ_ECO_METRIC_8454" hidden="1">"c8454"</definedName>
    <definedName name="IQ_ECO_METRIC_8455" hidden="1">"c8455"</definedName>
    <definedName name="IQ_ECO_METRIC_8456" hidden="1">"c8456"</definedName>
    <definedName name="IQ_ECO_METRIC_8457" hidden="1">"c8457"</definedName>
    <definedName name="IQ_ECO_METRIC_8458" hidden="1">"c8458"</definedName>
    <definedName name="IQ_ECO_METRIC_8459" hidden="1">"c8459"</definedName>
    <definedName name="IQ_ECO_METRIC_8460" hidden="1">"c8460"</definedName>
    <definedName name="IQ_ECO_METRIC_8461" hidden="1">"c8461"</definedName>
    <definedName name="IQ_ECO_METRIC_8462" hidden="1">"c8462"</definedName>
    <definedName name="IQ_ECO_METRIC_8463" hidden="1">"c8463"</definedName>
    <definedName name="IQ_ECO_METRIC_8464" hidden="1">"c8464"</definedName>
    <definedName name="IQ_ECO_METRIC_8465" hidden="1">"c8465"</definedName>
    <definedName name="IQ_ECO_METRIC_8466" hidden="1">"c8466"</definedName>
    <definedName name="IQ_ECO_METRIC_8467" hidden="1">"c8467"</definedName>
    <definedName name="IQ_ECO_METRIC_8468" hidden="1">"c8468"</definedName>
    <definedName name="IQ_ECO_METRIC_8469" hidden="1">"c8469"</definedName>
    <definedName name="IQ_ECO_METRIC_8470" hidden="1">"c8470"</definedName>
    <definedName name="IQ_ECO_METRIC_8471" hidden="1">"c8471"</definedName>
    <definedName name="IQ_ECO_METRIC_8472" hidden="1">"c8472"</definedName>
    <definedName name="IQ_ECO_METRIC_8473" hidden="1">"c8473"</definedName>
    <definedName name="IQ_ECO_METRIC_8474" hidden="1">"c8474"</definedName>
    <definedName name="IQ_ECO_METRIC_8476" hidden="1">"c8476"</definedName>
    <definedName name="IQ_ECO_METRIC_8477" hidden="1">"c8477"</definedName>
    <definedName name="IQ_ECO_METRIC_8478" hidden="1">"c8478"</definedName>
    <definedName name="IQ_ECO_METRIC_8479" hidden="1">"c8479"</definedName>
    <definedName name="IQ_ECO_METRIC_8480" hidden="1">"c8480"</definedName>
    <definedName name="IQ_ECO_METRIC_8481" hidden="1">"c8481"</definedName>
    <definedName name="IQ_ECO_METRIC_8482" hidden="1">"c8482"</definedName>
    <definedName name="IQ_ECO_METRIC_8483" hidden="1">"c8483"</definedName>
    <definedName name="IQ_ECO_METRIC_8484" hidden="1">"c8484"</definedName>
    <definedName name="IQ_ECO_METRIC_8485" hidden="1">"c8485"</definedName>
    <definedName name="IQ_ECO_METRIC_8486" hidden="1">"c8486"</definedName>
    <definedName name="IQ_ECO_METRIC_8487" hidden="1">"c8487"</definedName>
    <definedName name="IQ_ECO_METRIC_8488" hidden="1">"c8488"</definedName>
    <definedName name="IQ_ECO_METRIC_8489" hidden="1">"c8489"</definedName>
    <definedName name="IQ_ECO_METRIC_8490" hidden="1">"c8490"</definedName>
    <definedName name="IQ_ECO_METRIC_8491" hidden="1">"c8491"</definedName>
    <definedName name="IQ_ECO_METRIC_8492" hidden="1">"c8492"</definedName>
    <definedName name="IQ_ECO_METRIC_8493" hidden="1">"c8493"</definedName>
    <definedName name="IQ_ECO_METRIC_8494" hidden="1">"c8494"</definedName>
    <definedName name="IQ_ECO_METRIC_8495" hidden="1">"c8495"</definedName>
    <definedName name="IQ_ECO_METRIC_8496" hidden="1">"c8496"</definedName>
    <definedName name="IQ_ECO_METRIC_8497" hidden="1">"c8497"</definedName>
    <definedName name="IQ_ECO_METRIC_8498" hidden="1">"c8498"</definedName>
    <definedName name="IQ_ECO_METRIC_8499" hidden="1">"c8499"</definedName>
    <definedName name="IQ_ECO_METRIC_8500" hidden="1">"c8500"</definedName>
    <definedName name="IQ_ECO_METRIC_8502" hidden="1">"c8502"</definedName>
    <definedName name="IQ_ECO_METRIC_8503" hidden="1">"c8503"</definedName>
    <definedName name="IQ_ECO_METRIC_8504" hidden="1">"c8504"</definedName>
    <definedName name="IQ_ECO_METRIC_8505" hidden="1">"c8505"</definedName>
    <definedName name="IQ_ECO_METRIC_8506" hidden="1">"c8506"</definedName>
    <definedName name="IQ_ECO_METRIC_8507" hidden="1">"c8507"</definedName>
    <definedName name="IQ_ECO_METRIC_8508" hidden="1">"c8508"</definedName>
    <definedName name="IQ_ECO_METRIC_8509" hidden="1">"c8509"</definedName>
    <definedName name="IQ_ECO_METRIC_8510" hidden="1">"c8510"</definedName>
    <definedName name="IQ_ECO_METRIC_8511" hidden="1">"c8511"</definedName>
    <definedName name="IQ_ECO_METRIC_8512" hidden="1">"c8512"</definedName>
    <definedName name="IQ_ECO_METRIC_8513" hidden="1">"c8513"</definedName>
    <definedName name="IQ_ECO_METRIC_8514" hidden="1">"c8514"</definedName>
    <definedName name="IQ_ECO_METRIC_8515" hidden="1">"c8515"</definedName>
    <definedName name="IQ_ECO_METRIC_8516" hidden="1">"c8516"</definedName>
    <definedName name="IQ_ECO_METRIC_8517" hidden="1">"c8517"</definedName>
    <definedName name="IQ_ECO_METRIC_8518" hidden="1">"c8518"</definedName>
    <definedName name="IQ_ECO_METRIC_8519" hidden="1">"c8519"</definedName>
    <definedName name="IQ_ECO_METRIC_8520" hidden="1">"c8520"</definedName>
    <definedName name="IQ_ECO_METRIC_8521" hidden="1">"c8521"</definedName>
    <definedName name="IQ_ECO_METRIC_8522" hidden="1">"c8522"</definedName>
    <definedName name="IQ_ECO_METRIC_8523" hidden="1">"c8523"</definedName>
    <definedName name="IQ_ECO_METRIC_8524" hidden="1">"c8524"</definedName>
    <definedName name="IQ_ECO_METRIC_8525" hidden="1">"c8525"</definedName>
    <definedName name="IQ_ECO_METRIC_8526" hidden="1">"c8526"</definedName>
    <definedName name="IQ_ECO_METRIC_8527" hidden="1">"c8527"</definedName>
    <definedName name="IQ_ECO_METRIC_8528" hidden="1">"c8528"</definedName>
    <definedName name="IQ_ECO_METRIC_8528_UNUSED" hidden="1">"c8528"</definedName>
    <definedName name="IQ_ECO_METRIC_8528_UNUSED_UNUSED_UNUSED" hidden="1">"c8528"</definedName>
    <definedName name="IQ_ECO_METRIC_8529" hidden="1">"c8529"</definedName>
    <definedName name="IQ_ECO_METRIC_8530" hidden="1">"c8530"</definedName>
    <definedName name="IQ_ECO_METRIC_8531" hidden="1">"c8531"</definedName>
    <definedName name="IQ_ECO_METRIC_8532" hidden="1">"c8532"</definedName>
    <definedName name="IQ_ECO_METRIC_8533" hidden="1">"c8533"</definedName>
    <definedName name="IQ_ECO_METRIC_8534" hidden="1">"c8534"</definedName>
    <definedName name="IQ_ECO_METRIC_8535" hidden="1">"c8535"</definedName>
    <definedName name="IQ_ECO_METRIC_8536" hidden="1">"c8536"</definedName>
    <definedName name="IQ_ECO_METRIC_8537" hidden="1">"c8537"</definedName>
    <definedName name="IQ_ECO_METRIC_8538" hidden="1">"c8538"</definedName>
    <definedName name="IQ_ECO_METRIC_8540" hidden="1">"c8540"</definedName>
    <definedName name="IQ_ECO_METRIC_8541" hidden="1">"c8541"</definedName>
    <definedName name="IQ_ECO_METRIC_8543" hidden="1">"c8543"</definedName>
    <definedName name="IQ_ECO_METRIC_8544" hidden="1">"c8544"</definedName>
    <definedName name="IQ_ECO_METRIC_8545" hidden="1">"c8545"</definedName>
    <definedName name="IQ_ECO_METRIC_8546" hidden="1">"c8546"</definedName>
    <definedName name="IQ_ECO_METRIC_8547" hidden="1">"c8547"</definedName>
    <definedName name="IQ_ECO_METRIC_8548" hidden="1">"c8548"</definedName>
    <definedName name="IQ_ECO_METRIC_8549" hidden="1">"c8549"</definedName>
    <definedName name="IQ_ECO_METRIC_8550" hidden="1">"c8550"</definedName>
    <definedName name="IQ_ECO_METRIC_8555" hidden="1">"c8555"</definedName>
    <definedName name="IQ_ECO_METRIC_8556" hidden="1">"c8556"</definedName>
    <definedName name="IQ_ECO_METRIC_8557" hidden="1">"c8557"</definedName>
    <definedName name="IQ_ECO_METRIC_8558" hidden="1">"c8558"</definedName>
    <definedName name="IQ_ECO_METRIC_8559" hidden="1">"c8559"</definedName>
    <definedName name="IQ_ECO_METRIC_8560" hidden="1">"c8560"</definedName>
    <definedName name="IQ_ECO_METRIC_8561" hidden="1">"c8561"</definedName>
    <definedName name="IQ_ECO_METRIC_8565" hidden="1">"c8565"</definedName>
    <definedName name="IQ_ECO_METRIC_8567" hidden="1">"c8567"</definedName>
    <definedName name="IQ_ECO_METRIC_8568" hidden="1">"c8568"</definedName>
    <definedName name="IQ_ECO_METRIC_8569" hidden="1">"c8569"</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LIMINATIONS_CONSOL_OFFICES_FOREIGN_FFIEC" hidden="1">"c15395"</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MPLOYEES_FFIEC" hidden="1">"c13035"</definedName>
    <definedName name="IQ_ENTERPRISE_VALUE" hidden="1">"c1348"</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 hidden="1">"IQ_EPS"</definedName>
    <definedName name="IQ_EPS_10K" hidden="1">"EPS_10K"</definedName>
    <definedName name="IQ_EPS_10Q" hidden="1">"EPS_10Q"</definedName>
    <definedName name="IQ_EPS_10Q1" hidden="1">"EPS_10Q1"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CT_OR_EST_REUT" hidden="1">"c5460"</definedName>
    <definedName name="IQ_EPS_ACT_OR_EST_THOM" hidden="1">"c5298"</definedName>
    <definedName name="IQ_EPS_AP" hidden="1">"c8880"</definedName>
    <definedName name="IQ_EPS_AP_ABS" hidden="1">"c8899"</definedName>
    <definedName name="IQ_EPS_EST" hidden="1">"c399"</definedName>
    <definedName name="IQ_EPS_EST_1" hidden="1">"IQ_EPS_EST_1"</definedName>
    <definedName name="IQ_EPS_EST_BOTTOM_UP" hidden="1">"c5489"</definedName>
    <definedName name="IQ_EPS_EST_BOTTOM_UP_CIQ" hidden="1">"c12026"</definedName>
    <definedName name="IQ_EPS_EST_BOTTOM_UP_REUT" hidden="1">"c5497"</definedName>
    <definedName name="IQ_EPS_EST_BOTTOM_UP_THOM" hidden="1">"c5647"</definedName>
    <definedName name="IQ_EPS_EST_CIQ" hidden="1">"c4994"</definedName>
    <definedName name="IQ_EPS_EST_REUT" hidden="1">"c5453"</definedName>
    <definedName name="IQ_EPS_EST_THOM" hidden="1">"c5290"</definedName>
    <definedName name="IQ_EPS_EXCL_GUIDANCE" hidden="1">"c4368"</definedName>
    <definedName name="IQ_EPS_EXCL_GUIDANCE_CIQ" hidden="1">"c4893"</definedName>
    <definedName name="IQ_EPS_EXCL_HIGH_GUIDANCE" hidden="1">"c4369"</definedName>
    <definedName name="IQ_EPS_EXCL_HIGH_GUIDANCE_CIQ" hidden="1">"c4894"</definedName>
    <definedName name="IQ_EPS_EXCL_LOW_GUIDANCE" hidden="1">"c4204"</definedName>
    <definedName name="IQ_EPS_EXCL_LOW_GUIDANCE_CIQ" hidden="1">"c4616"</definedName>
    <definedName name="IQ_EPS_GAAP_GUIDANCE" hidden="1">"c4370"</definedName>
    <definedName name="IQ_EPS_GAAP_GUIDANCE_CIQ" hidden="1">"c4895"</definedName>
    <definedName name="IQ_EPS_GAAP_HIGH_GUIDANCE" hidden="1">"c4371"</definedName>
    <definedName name="IQ_EPS_GAAP_HIGH_GUIDANCE_CIQ" hidden="1">"c4896"</definedName>
    <definedName name="IQ_EPS_GAAP_LOW_GUIDANCE" hidden="1">"c4205"</definedName>
    <definedName name="IQ_EPS_GAAP_LOW_GUIDANCE_CIQ" hidden="1">"c4617"</definedName>
    <definedName name="IQ_EPS_GW_ACT_OR_EST" hidden="1">"c2223"</definedName>
    <definedName name="IQ_EPS_GW_ACT_OR_EST_CIQ" hidden="1">"c5066"</definedName>
    <definedName name="IQ_EPS_GW_ACT_OR_EST_REUT" hidden="1">"c5469"</definedName>
    <definedName name="IQ_EPS_GW_EST" hidden="1">"c1737"</definedName>
    <definedName name="IQ_EPS_GW_EST_BOTTOM_UP" hidden="1">"c5491"</definedName>
    <definedName name="IQ_EPS_GW_EST_BOTTOM_UP_CIQ" hidden="1">"c12028"</definedName>
    <definedName name="IQ_EPS_GW_EST_BOTTOM_UP_REUT" hidden="1">"c5499"</definedName>
    <definedName name="IQ_EPS_GW_EST_CIQ" hidden="1">"c4723"</definedName>
    <definedName name="IQ_EPS_GW_EST_REUT" hidden="1">"c5389"</definedName>
    <definedName name="IQ_EPS_GW_EST_THOM" hidden="1">"c5133"</definedName>
    <definedName name="IQ_EPS_GW_GUIDANCE" hidden="1">"c4372"</definedName>
    <definedName name="IQ_EPS_GW_GUIDANCE_CIQ" hidden="1">"c4897"</definedName>
    <definedName name="IQ_EPS_GW_HIGH_EST" hidden="1">"c1739"</definedName>
    <definedName name="IQ_EPS_GW_HIGH_EST_CIQ" hidden="1">"c4725"</definedName>
    <definedName name="IQ_EPS_GW_HIGH_EST_REUT" hidden="1">"c5391"</definedName>
    <definedName name="IQ_EPS_GW_HIGH_EST_THOM" hidden="1">"c5135"</definedName>
    <definedName name="IQ_EPS_GW_HIGH_GUIDANCE" hidden="1">"c4373"</definedName>
    <definedName name="IQ_EPS_GW_HIGH_GUIDANCE_CIQ" hidden="1">"c4898"</definedName>
    <definedName name="IQ_EPS_GW_LOW_EST" hidden="1">"c1740"</definedName>
    <definedName name="IQ_EPS_GW_LOW_EST_CIQ" hidden="1">"c4726"</definedName>
    <definedName name="IQ_EPS_GW_LOW_EST_REUT" hidden="1">"c5392"</definedName>
    <definedName name="IQ_EPS_GW_LOW_EST_THOM" hidden="1">"c5136"</definedName>
    <definedName name="IQ_EPS_GW_LOW_GUIDANCE" hidden="1">"c4206"</definedName>
    <definedName name="IQ_EPS_GW_LOW_GUIDANCE_CIQ" hidden="1">"c4618"</definedName>
    <definedName name="IQ_EPS_GW_MEDIAN_EST" hidden="1">"c1738"</definedName>
    <definedName name="IQ_EPS_GW_MEDIAN_EST_CIQ" hidden="1">"c4724"</definedName>
    <definedName name="IQ_EPS_GW_MEDIAN_EST_REUT" hidden="1">"c5390"</definedName>
    <definedName name="IQ_EPS_GW_MEDIAN_EST_THOM" hidden="1">"c5134"</definedName>
    <definedName name="IQ_EPS_GW_NUM_EST" hidden="1">"c1741"</definedName>
    <definedName name="IQ_EPS_GW_NUM_EST_CIQ" hidden="1">"c4727"</definedName>
    <definedName name="IQ_EPS_GW_NUM_EST_REUT" hidden="1">"c5393"</definedName>
    <definedName name="IQ_EPS_GW_NUM_EST_THOM" hidden="1">"c5137"</definedName>
    <definedName name="IQ_EPS_GW_STDDEV_EST" hidden="1">"c1742"</definedName>
    <definedName name="IQ_EPS_GW_STDDEV_EST_CIQ" hidden="1">"c4728"</definedName>
    <definedName name="IQ_EPS_GW_STDDEV_EST_REUT" hidden="1">"c5394"</definedName>
    <definedName name="IQ_EPS_GW_STDDEV_EST_THOM" hidden="1">"c5138"</definedName>
    <definedName name="IQ_EPS_HIGH_EST" hidden="1">"c400"</definedName>
    <definedName name="IQ_EPS_HIGH_EST_CIQ" hidden="1">"c4995"</definedName>
    <definedName name="IQ_EPS_HIGH_EST_REUT" hidden="1">"c5454"</definedName>
    <definedName name="IQ_EPS_HIGH_EST_THOM" hidden="1">"c5291"</definedName>
    <definedName name="IQ_EPS_LOW_EST" hidden="1">"c401"</definedName>
    <definedName name="IQ_EPS_LOW_EST_CIQ" hidden="1">"c4996"</definedName>
    <definedName name="IQ_EPS_LOW_EST_REUT" hidden="1">"c5455"</definedName>
    <definedName name="IQ_EPS_LOW_EST_THOM" hidden="1">"c5292"</definedName>
    <definedName name="IQ_EPS_MEDIAN_EST" hidden="1">"c1661"</definedName>
    <definedName name="IQ_EPS_MEDIAN_EST_CIQ" hidden="1">"c4997"</definedName>
    <definedName name="IQ_EPS_MEDIAN_EST_REUT" hidden="1">"c5456"</definedName>
    <definedName name="IQ_EPS_MEDIAN_EST_THOM" hidden="1">"c5293"</definedName>
    <definedName name="IQ_EPS_NAME_AP" hidden="1">"c8918"</definedName>
    <definedName name="IQ_EPS_NAME_AP_ABS" hidden="1">"c8937"</definedName>
    <definedName name="IQ_EPS_NO_EST" hidden="1">"c271"</definedName>
    <definedName name="IQ_EPS_NORM" hidden="1">"c1902"</definedName>
    <definedName name="IQ_EPS_NORM_EST" hidden="1">"c2226"</definedName>
    <definedName name="IQ_EPS_NORM_EST_BOTTOM_UP" hidden="1">"c5490"</definedName>
    <definedName name="IQ_EPS_NORM_EST_BOTTOM_UP_CIQ" hidden="1">"c12027"</definedName>
    <definedName name="IQ_EPS_NORM_EST_BOTTOM_UP_REUT" hidden="1">"c5498"</definedName>
    <definedName name="IQ_EPS_NORM_EST_CIQ" hidden="1">"c4667"</definedName>
    <definedName name="IQ_EPS_NORM_EST_REUT" hidden="1">"c5326"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NUM_EST_THOM" hidden="1">"c5288"</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 hidden="1">"c2224"</definedName>
    <definedName name="IQ_EPS_REPORT_ACT_OR_EST_CIQ" hidden="1">"c5067"</definedName>
    <definedName name="IQ_EPS_REPORT_ACT_OR_EST_REUT" hidden="1">"c5470"</definedName>
    <definedName name="IQ_EPS_REPORT_ACT_OR_EST_THOM" hidden="1">"c5307"</definedName>
    <definedName name="IQ_EPS_REPORTED_EST" hidden="1">"c1744"</definedName>
    <definedName name="IQ_EPS_REPORTED_EST_BOTTOM_UP" hidden="1">"c5492"</definedName>
    <definedName name="IQ_EPS_REPORTED_EST_BOTTOM_UP_CIQ" hidden="1">"c12029"</definedName>
    <definedName name="IQ_EPS_REPORTED_EST_BOTTOM_UP_REUT" hidden="1">"c5500"</definedName>
    <definedName name="IQ_EPS_REPORTED_EST_CIQ" hidden="1">"c4730"</definedName>
    <definedName name="IQ_EPS_REPORTED_EST_REUT" hidden="1">"c5396"</definedName>
    <definedName name="IQ_EPS_REPORTED_EST_THOM" hidden="1">"c5140"</definedName>
    <definedName name="IQ_EPS_REPORTED_HIGH_EST" hidden="1">"c1746"</definedName>
    <definedName name="IQ_EPS_REPORTED_HIGH_EST_CIQ" hidden="1">"c4732"</definedName>
    <definedName name="IQ_EPS_REPORTED_HIGH_EST_REUT" hidden="1">"c5398"</definedName>
    <definedName name="IQ_EPS_REPORTED_HIGH_EST_THOM" hidden="1">"c5142"</definedName>
    <definedName name="IQ_EPS_REPORTED_LOW_EST" hidden="1">"c1747"</definedName>
    <definedName name="IQ_EPS_REPORTED_LOW_EST_CIQ" hidden="1">"c4733"</definedName>
    <definedName name="IQ_EPS_REPORTED_LOW_EST_REUT" hidden="1">"c5399"</definedName>
    <definedName name="IQ_EPS_REPORTED_LOW_EST_THOM" hidden="1">"c5143"</definedName>
    <definedName name="IQ_EPS_REPORTED_MEDIAN_EST" hidden="1">"c1745"</definedName>
    <definedName name="IQ_EPS_REPORTED_MEDIAN_EST_CIQ" hidden="1">"c4731"</definedName>
    <definedName name="IQ_EPS_REPORTED_MEDIAN_EST_REUT" hidden="1">"c5397"</definedName>
    <definedName name="IQ_EPS_REPORTED_MEDIAN_EST_THOM" hidden="1">"c5141"</definedName>
    <definedName name="IQ_EPS_REPORTED_NUM_EST" hidden="1">"c1748"</definedName>
    <definedName name="IQ_EPS_REPORTED_NUM_EST_CIQ" hidden="1">"c4734"</definedName>
    <definedName name="IQ_EPS_REPORTED_NUM_EST_REUT" hidden="1">"c5400"</definedName>
    <definedName name="IQ_EPS_REPORTED_NUM_EST_THOM" hidden="1">"c5144"</definedName>
    <definedName name="IQ_EPS_REPORTED_STDDEV_EST" hidden="1">"c1749"</definedName>
    <definedName name="IQ_EPS_REPORTED_STDDEV_EST_CIQ" hidden="1">"c4735"</definedName>
    <definedName name="IQ_EPS_REPORTED_STDDEV_EST_REUT" hidden="1">"c5401"</definedName>
    <definedName name="IQ_EPS_REPORTED_STDDEV_EST_THOM" hidden="1">"c5145"</definedName>
    <definedName name="IQ_EPS_SBC_ACT_OR_EST" hidden="1">"c4376"</definedName>
    <definedName name="IQ_EPS_SBC_ACT_OR_EST_CIQ" hidden="1">"c4901"</definedName>
    <definedName name="IQ_EPS_SBC_EST" hidden="1">"c4375"</definedName>
    <definedName name="IQ_EPS_SBC_EST_CIQ" hidden="1">"c4900"</definedName>
    <definedName name="IQ_EPS_SBC_GUIDANCE" hidden="1">"c4377"</definedName>
    <definedName name="IQ_EPS_SBC_GUIDANCE_CIQ" hidden="1">"c4902"</definedName>
    <definedName name="IQ_EPS_SBC_GW_ACT_OR_EST" hidden="1">"c4380"</definedName>
    <definedName name="IQ_EPS_SBC_GW_ACT_OR_EST_CIQ" hidden="1">"c4905"</definedName>
    <definedName name="IQ_EPS_SBC_GW_EST" hidden="1">"c4379"</definedName>
    <definedName name="IQ_EPS_SBC_GW_EST_CIQ" hidden="1">"c4904"</definedName>
    <definedName name="IQ_EPS_SBC_GW_GUIDANCE" hidden="1">"c4381"</definedName>
    <definedName name="IQ_EPS_SBC_GW_GUIDANCE_CIQ" hidden="1">"c4906"</definedName>
    <definedName name="IQ_EPS_SBC_GW_HIGH_EST" hidden="1">"c4382"</definedName>
    <definedName name="IQ_EPS_SBC_GW_HIGH_EST_CIQ" hidden="1">"c4907"</definedName>
    <definedName name="IQ_EPS_SBC_GW_HIGH_GUIDANCE" hidden="1">"c4189"</definedName>
    <definedName name="IQ_EPS_SBC_GW_HIGH_GUIDANCE_CIQ" hidden="1">"c4601"</definedName>
    <definedName name="IQ_EPS_SBC_GW_LOW_EST" hidden="1">"c4383"</definedName>
    <definedName name="IQ_EPS_SBC_GW_LOW_EST_CIQ" hidden="1">"c4908"</definedName>
    <definedName name="IQ_EPS_SBC_GW_LOW_GUIDANCE" hidden="1">"c4229"</definedName>
    <definedName name="IQ_EPS_SBC_GW_LOW_GUIDANCE_CIQ" hidden="1">"c4641"</definedName>
    <definedName name="IQ_EPS_SBC_GW_MEDIAN_EST" hidden="1">"c4384"</definedName>
    <definedName name="IQ_EPS_SBC_GW_MEDIAN_EST_CIQ" hidden="1">"c4909"</definedName>
    <definedName name="IQ_EPS_SBC_GW_NUM_EST" hidden="1">"c4385"</definedName>
    <definedName name="IQ_EPS_SBC_GW_NUM_EST_CIQ" hidden="1">"c4910"</definedName>
    <definedName name="IQ_EPS_SBC_GW_STDDEV_EST" hidden="1">"c4386"</definedName>
    <definedName name="IQ_EPS_SBC_GW_STDDEV_EST_CIQ" hidden="1">"c4911"</definedName>
    <definedName name="IQ_EPS_SBC_HIGH_EST" hidden="1">"c4388"</definedName>
    <definedName name="IQ_EPS_SBC_HIGH_EST_CIQ" hidden="1">"c4913"</definedName>
    <definedName name="IQ_EPS_SBC_HIGH_GUIDANCE" hidden="1">"c4188"</definedName>
    <definedName name="IQ_EPS_SBC_HIGH_GUIDANCE_CIQ" hidden="1">"c4600"</definedName>
    <definedName name="IQ_EPS_SBC_LOW_EST" hidden="1">"c4389"</definedName>
    <definedName name="IQ_EPS_SBC_LOW_EST_CIQ" hidden="1">"c4914"</definedName>
    <definedName name="IQ_EPS_SBC_LOW_GUIDANCE" hidden="1">"c4228"</definedName>
    <definedName name="IQ_EPS_SBC_LOW_GUIDANCE_CIQ" hidden="1">"c4640"</definedName>
    <definedName name="IQ_EPS_SBC_MEDIAN_EST" hidden="1">"c4390"</definedName>
    <definedName name="IQ_EPS_SBC_MEDIAN_EST_CIQ" hidden="1">"c4915"</definedName>
    <definedName name="IQ_EPS_SBC_NUM_EST" hidden="1">"c4391"</definedName>
    <definedName name="IQ_EPS_SBC_NUM_EST_CIQ" hidden="1">"c4916"</definedName>
    <definedName name="IQ_EPS_SBC_STDDEV_EST" hidden="1">"c4392"</definedName>
    <definedName name="IQ_EPS_SBC_STDDEV_EST_CIQ" hidden="1">"c4917"</definedName>
    <definedName name="IQ_EPS_STDDEV_EST" hidden="1">"c403"</definedName>
    <definedName name="IQ_EPS_STDDEV_EST_CIQ" hidden="1">"c4993"</definedName>
    <definedName name="IQ_EPS_STDDEV_EST_REUT" hidden="1">"c5452"</definedName>
    <definedName name="IQ_EPS_STDDEV_EST_THOM" hidden="1">"c5289"</definedName>
    <definedName name="IQ_EQUITY_AFFIL" hidden="1">"c1451"</definedName>
    <definedName name="IQ_EQUITY_AP" hidden="1">"c8887"</definedName>
    <definedName name="IQ_EQUITY_AP_ABS" hidden="1">"c8906"</definedName>
    <definedName name="IQ_EQUITY_ASSETS_TOT_FFIEC" hidden="1">"c13436"</definedName>
    <definedName name="IQ_EQUITY_BEG_EXCL_FFIEC" hidden="1">"c12957"</definedName>
    <definedName name="IQ_EQUITY_BEG_FFIEC" hidden="1">"c12959"</definedName>
    <definedName name="IQ_EQUITY_CAPITAL_ASSETS_FDIC" hidden="1">"c6744"</definedName>
    <definedName name="IQ_EQUITY_CAPITAL_QUARTERLY_AVG_FFIEC" hidden="1">"c13092"</definedName>
    <definedName name="IQ_EQUITY_ENDING_FFIEC" hidden="1">"c12973"</definedName>
    <definedName name="IQ_EQUITY_FDIC" hidden="1">"c6353"</definedName>
    <definedName name="IQ_EQUITY_INDEX_EXPOSURE_FFIEC" hidden="1">"c13060"</definedName>
    <definedName name="IQ_EQUITY_LIST" hidden="1">"c15158"</definedName>
    <definedName name="IQ_EQUITY_METHOD" hidden="1">"c404"</definedName>
    <definedName name="IQ_EQUITY_NAME_AP" hidden="1">"c8925"</definedName>
    <definedName name="IQ_EQUITY_NAME_AP_ABS" hidden="1">"c8944"</definedName>
    <definedName name="IQ_EQUITY_SEC_FAIR_VALUE_FFIEC" hidden="1">"c12805"</definedName>
    <definedName name="IQ_EQUITY_SEC_INVEST_SECURITIES_FFIEC" hidden="1">"c13463"</definedName>
    <definedName name="IQ_EQUITY_SECURITIES_FDIC" hidden="1">"c6304"</definedName>
    <definedName name="IQ_EQUITY_SECURITIES_QUARTERLY_AVG_FFIEC" hidden="1">"c15474"</definedName>
    <definedName name="IQ_EQUITY_SECURITIES_WITHOUT_FAIR_VALUES_FFIEC" hidden="1">"c12846"</definedName>
    <definedName name="IQ_EQUITY_SECURITY_EXPOSURES_FDIC" hidden="1">"c6664"</definedName>
    <definedName name="IQ_EQUITY_TIER_ONE_CAPITAL" hidden="1">"c15246"</definedName>
    <definedName name="IQ_EQUITY_TIER_ONE_CAPITAL_RATIO" hidden="1">"c15242"</definedName>
    <definedName name="IQ_EQV_OVER_BV" hidden="1">"c1596"</definedName>
    <definedName name="IQ_EQV_OVER_LTM_PRETAX_INC" hidden="1">"c1390"</definedName>
    <definedName name="IQ_ESOP_DEBT" hidden="1">"c1597"</definedName>
    <definedName name="IQ_ESOP_DEBT_GUARANTEED_FFIEC" hidden="1">"c12971"</definedName>
    <definedName name="IQ_ESOP_OVER_TOTAL" hidden="1">"c13768"</definedName>
    <definedName name="IQ_EST_ACT_BV" hidden="1">"c5630"</definedName>
    <definedName name="IQ_EST_ACT_BV_CIQ" hidden="1">"c4743"</definedName>
    <definedName name="IQ_EST_ACT_BV_REUT" hidden="1">"c5409"</definedName>
    <definedName name="IQ_EST_ACT_BV_SHARE" hidden="1">"c3549"</definedName>
    <definedName name="IQ_EST_ACT_BV_SHARE_CIQ" hidden="1">"c3806"</definedName>
    <definedName name="IQ_EST_ACT_BV_SHARE_REUT" hidden="1">"c5445"</definedName>
    <definedName name="IQ_EST_ACT_BV_SHARE_THOM" hidden="1">"c4026"</definedName>
    <definedName name="IQ_EST_ACT_BV_THOM" hidden="1">"c5153"</definedName>
    <definedName name="IQ_EST_ACT_CAPEX" hidden="1">"c3546"</definedName>
    <definedName name="IQ_EST_ACT_CAPEX_CIQ" hidden="1">"c3813"</definedName>
    <definedName name="IQ_EST_ACT_CAPEX_REUT" hidden="1">"c3975"</definedName>
    <definedName name="IQ_EST_ACT_CAPEX_THOM" hidden="1">"c5541"</definedName>
    <definedName name="IQ_EST_ACT_CASH_EPS" hidden="1">"c5637"</definedName>
    <definedName name="IQ_EST_ACT_CASH_EPS_THOM" hidden="1">"c5645"</definedName>
    <definedName name="IQ_EST_ACT_CASH_FLOW" hidden="1">"c4394"</definedName>
    <definedName name="IQ_EST_ACT_CASH_FLOW_CIQ" hidden="1">"c4919"</definedName>
    <definedName name="IQ_EST_ACT_CASH_OPER" hidden="1">"c4395"</definedName>
    <definedName name="IQ_EST_ACT_CASH_OPER_CIQ" hidden="1">"c4920"</definedName>
    <definedName name="IQ_EST_ACT_CFPS" hidden="1">"c1673"</definedName>
    <definedName name="IQ_EST_ACT_CFPS_CIQ" hidden="1">"c3681"</definedName>
    <definedName name="IQ_EST_ACT_CFPS_REUT" hidden="1">"c3850"</definedName>
    <definedName name="IQ_EST_ACT_CFPS_THOM" hidden="1">"c4012"</definedName>
    <definedName name="IQ_EST_ACT_DISTRIBUTABLE_CASH" hidden="1">"c4396"</definedName>
    <definedName name="IQ_EST_ACT_DISTRIBUTABLE_CASH_CIQ" hidden="1">"c4921"</definedName>
    <definedName name="IQ_EST_ACT_DISTRIBUTABLE_CASH_SHARE" hidden="1">"c4397"</definedName>
    <definedName name="IQ_EST_ACT_DISTRIBUTABLE_CASH_SHARE_CIQ" hidden="1">"c4922"</definedName>
    <definedName name="IQ_EST_ACT_DPS" hidden="1">"c1680"</definedName>
    <definedName name="IQ_EST_ACT_DPS_CIQ" hidden="1">"c3688"</definedName>
    <definedName name="IQ_EST_ACT_DPS_REUT" hidden="1">"c3857"</definedName>
    <definedName name="IQ_EST_ACT_DPS_THOM" hidden="1">"c4019"</definedName>
    <definedName name="IQ_EST_ACT_EBIT" hidden="1">"c1687"</definedName>
    <definedName name="IQ_EST_ACT_EBIT_CIQ" hidden="1">"c4680"</definedName>
    <definedName name="IQ_EST_ACT_EBIT_GW" hidden="1">"c4398"</definedName>
    <definedName name="IQ_EST_ACT_EBIT_GW_CIQ" hidden="1">"c4923"</definedName>
    <definedName name="IQ_EST_ACT_EBIT_REUT" hidden="1">"c5339"</definedName>
    <definedName name="IQ_EST_ACT_EBIT_SBC" hidden="1">"c4399"</definedName>
    <definedName name="IQ_EST_ACT_EBIT_SBC_CIQ" hidden="1">"c4924"</definedName>
    <definedName name="IQ_EST_ACT_EBIT_SBC_GW" hidden="1">"c4400"</definedName>
    <definedName name="IQ_EST_ACT_EBIT_SBC_GW_CIQ" hidden="1">"c4925"</definedName>
    <definedName name="IQ_EST_ACT_EBIT_THOM" hidden="1">"c5111"</definedName>
    <definedName name="IQ_EST_ACT_EBITDA" hidden="1">"c1664"</definedName>
    <definedName name="IQ_EST_ACT_EBITDA_CIQ" hidden="1">"c3667"</definedName>
    <definedName name="IQ_EST_ACT_EBITDA_REUT" hidden="1">"c3836"</definedName>
    <definedName name="IQ_EST_ACT_EBITDA_SBC" hidden="1">"c4401"</definedName>
    <definedName name="IQ_EST_ACT_EBITDA_SBC_CIQ" hidden="1">"c4926"</definedName>
    <definedName name="IQ_EST_ACT_EBITDA_THOM" hidden="1">"c3998"</definedName>
    <definedName name="IQ_EST_ACT_EBT_SBC" hidden="1">"c4402"</definedName>
    <definedName name="IQ_EST_ACT_EBT_SBC_CIQ" hidden="1">"c4927"</definedName>
    <definedName name="IQ_EST_ACT_EBT_SBC_GW" hidden="1">"c4403"</definedName>
    <definedName name="IQ_EST_ACT_EBT_SBC_GW_CIQ" hidden="1">"c4928"</definedName>
    <definedName name="IQ_EST_ACT_EPS" hidden="1">"c1648"</definedName>
    <definedName name="IQ_EST_ACT_EPS_CIQ" hidden="1">"c4998"</definedName>
    <definedName name="IQ_EST_ACT_EPS_GW" hidden="1">"c1743"</definedName>
    <definedName name="IQ_EST_ACT_EPS_GW_CIQ" hidden="1">"c4729"</definedName>
    <definedName name="IQ_EST_ACT_EPS_GW_REUT" hidden="1">"c5395"</definedName>
    <definedName name="IQ_EST_ACT_EPS_GW_THOM" hidden="1">"c5139"</definedName>
    <definedName name="IQ_EST_ACT_EPS_NORM" hidden="1">"c2232"</definedName>
    <definedName name="IQ_EST_ACT_EPS_NORM_CIQ" hidden="1">"c4673"</definedName>
    <definedName name="IQ_EST_ACT_EPS_NORM_REUT" hidden="1">"c5332"</definedName>
    <definedName name="IQ_EST_ACT_EPS_PRIMARY" hidden="1">"c2232"</definedName>
    <definedName name="IQ_EST_ACT_EPS_REPORTED" hidden="1">"c1750"</definedName>
    <definedName name="IQ_EST_ACT_EPS_REPORTED_CIQ" hidden="1">"c4736"</definedName>
    <definedName name="IQ_EST_ACT_EPS_REPORTED_REUT" hidden="1">"c5402"</definedName>
    <definedName name="IQ_EST_ACT_EPS_REPORTED_THOM" hidden="1">"c5146"</definedName>
    <definedName name="IQ_EST_ACT_EPS_REUT" hidden="1">"c5457"</definedName>
    <definedName name="IQ_EST_ACT_EPS_SBC" hidden="1">"c4404"</definedName>
    <definedName name="IQ_EST_ACT_EPS_SBC_CIQ" hidden="1">"c4929"</definedName>
    <definedName name="IQ_EST_ACT_EPS_SBC_GW" hidden="1">"c4405"</definedName>
    <definedName name="IQ_EST_ACT_EPS_SBC_GW_CIQ" hidden="1">"c4930"</definedName>
    <definedName name="IQ_EST_ACT_EPS_THOM" hidden="1">"c5294"</definedName>
    <definedName name="IQ_EST_ACT_FFO" hidden="1">"c1666"</definedName>
    <definedName name="IQ_EST_ACT_FFO_ADJ" hidden="1">"c4406"</definedName>
    <definedName name="IQ_EST_ACT_FFO_ADJ_CIQ" hidden="1">"c4931"</definedName>
    <definedName name="IQ_EST_ACT_FFO_CIQ" hidden="1">"c3674"</definedName>
    <definedName name="IQ_EST_ACT_FFO_REUT" hidden="1">"c3843"</definedName>
    <definedName name="IQ_EST_ACT_FFO_SHARE" hidden="1">"c4407"</definedName>
    <definedName name="IQ_EST_ACT_FFO_SHARE_CIQ" hidden="1">"c4932"</definedName>
    <definedName name="IQ_EST_ACT_FFO_SHARE_REUT" hidden="1">"c3843"</definedName>
    <definedName name="IQ_EST_ACT_FFO_SHARE_SHARE_REUT" hidden="1">"c3843"</definedName>
    <definedName name="IQ_EST_ACT_FFO_THOM" hidden="1">"c4005"</definedName>
    <definedName name="IQ_EST_ACT_GROSS_MARGIN" hidden="1">"c5553"</definedName>
    <definedName name="IQ_EST_ACT_GROSS_MARGIN_THOM" hidden="1">"c5561"</definedName>
    <definedName name="IQ_EST_ACT_MAINT_CAPEX" hidden="1">"c4408"</definedName>
    <definedName name="IQ_EST_ACT_MAINT_CAPEX_CIQ" hidden="1">"c4933"</definedName>
    <definedName name="IQ_EST_ACT_NAV" hidden="1">"c1757"</definedName>
    <definedName name="IQ_EST_ACT_NAV_SHARE" hidden="1">"c5608"</definedName>
    <definedName name="IQ_EST_ACT_NAV_SHARE_REUT" hidden="1">"c5616"</definedName>
    <definedName name="IQ_EST_ACT_NAV_THOM" hidden="1">"c5600"</definedName>
    <definedName name="IQ_EST_ACT_NET_DEBT" hidden="1">"c3545"</definedName>
    <definedName name="IQ_EST_ACT_NET_DEBT_CIQ" hidden="1">"c3820"</definedName>
    <definedName name="IQ_EST_ACT_NET_DEBT_REUT" hidden="1">"c5446"</definedName>
    <definedName name="IQ_EST_ACT_NET_DEBT_THOM" hidden="1">"c4033"</definedName>
    <definedName name="IQ_EST_ACT_NI" hidden="1">"c1722"</definedName>
    <definedName name="IQ_EST_ACT_NI_CIQ" hidden="1">"c4708"</definedName>
    <definedName name="IQ_EST_ACT_NI_GW" hidden="1">"c1729"</definedName>
    <definedName name="IQ_EST_ACT_NI_GW_CIQ" hidden="1">"c4715"</definedName>
    <definedName name="IQ_EST_ACT_NI_GW_REUT" hidden="1">"c5381"</definedName>
    <definedName name="IQ_EST_ACT_NI_REPORTED" hidden="1">"c1736"</definedName>
    <definedName name="IQ_EST_ACT_NI_REPORTED_CIQ" hidden="1">"c4722"</definedName>
    <definedName name="IQ_EST_ACT_NI_REPORTED_REUT" hidden="1">"c5388"</definedName>
    <definedName name="IQ_EST_ACT_NI_REUT" hidden="1">"c5374"</definedName>
    <definedName name="IQ_EST_ACT_NI_SBC" hidden="1">"c4409"</definedName>
    <definedName name="IQ_EST_ACT_NI_SBC_CIQ" hidden="1">"c4934"</definedName>
    <definedName name="IQ_EST_ACT_NI_SBC_GW" hidden="1">"c4410"</definedName>
    <definedName name="IQ_EST_ACT_NI_SBC_GW_CIQ" hidden="1">"c4935"</definedName>
    <definedName name="IQ_EST_ACT_NI_THOM" hidden="1">"c5132"</definedName>
    <definedName name="IQ_EST_ACT_OPER_INC" hidden="1">"c1694"</definedName>
    <definedName name="IQ_EST_ACT_OPER_INC_REUT" hidden="1">"c5346"</definedName>
    <definedName name="IQ_EST_ACT_OPER_INC_THOM" hidden="1">"c5118"</definedName>
    <definedName name="IQ_EST_ACT_PRETAX_GW_INC" hidden="1">"c1708"</definedName>
    <definedName name="IQ_EST_ACT_PRETAX_GW_INC_CIQ" hidden="1">"c4694"</definedName>
    <definedName name="IQ_EST_ACT_PRETAX_GW_INC_REUT" hidden="1">"c5360"</definedName>
    <definedName name="IQ_EST_ACT_PRETAX_INC" hidden="1">"c1701"</definedName>
    <definedName name="IQ_EST_ACT_PRETAX_INC_CIQ" hidden="1">"c4687"</definedName>
    <definedName name="IQ_EST_ACT_PRETAX_INC_REUT" hidden="1">"c5353"</definedName>
    <definedName name="IQ_EST_ACT_PRETAX_INC_THOM" hidden="1">"c5125"</definedName>
    <definedName name="IQ_EST_ACT_PRETAX_REPORT_INC" hidden="1">"c1715"</definedName>
    <definedName name="IQ_EST_ACT_PRETAX_REPORT_INC_CIQ" hidden="1">"c4701"</definedName>
    <definedName name="IQ_EST_ACT_PRETAX_REPORT_INC_REUT" hidden="1">"c5367"</definedName>
    <definedName name="IQ_EST_ACT_RECURRING_PROFIT" hidden="1">"c4411"</definedName>
    <definedName name="IQ_EST_ACT_RECURRING_PROFIT_CIQ" hidden="1">"c4936"</definedName>
    <definedName name="IQ_EST_ACT_RECURRING_PROFIT_SHARE" hidden="1">"c4412"</definedName>
    <definedName name="IQ_EST_ACT_RECURRING_PROFIT_SHARE_CIQ" hidden="1">"c4937"</definedName>
    <definedName name="IQ_EST_ACT_RETURN_ASSETS" hidden="1">"c3547"</definedName>
    <definedName name="IQ_EST_ACT_RETURN_ASSETS_REUT" hidden="1">"c3996"</definedName>
    <definedName name="IQ_EST_ACT_RETURN_ASSETS_THOM" hidden="1">"c4040"</definedName>
    <definedName name="IQ_EST_ACT_RETURN_EQUITY" hidden="1">"c3548"</definedName>
    <definedName name="IQ_EST_ACT_RETURN_EQUITY_REUT" hidden="1">"c3989"</definedName>
    <definedName name="IQ_EST_ACT_RETURN_EQUITY_THOM" hidden="1">"c5287"</definedName>
    <definedName name="IQ_EST_ACT_REV" hidden="1">"c2113"</definedName>
    <definedName name="IQ_EST_ACT_REV_CIQ" hidden="1">"c3666"</definedName>
    <definedName name="IQ_EST_ACT_REV_REUT" hidden="1">"c3835"</definedName>
    <definedName name="IQ_EST_ACT_REV_THOM" hidden="1">"c3997"</definedName>
    <definedName name="IQ_EST_BV_DIFF_CIQ" hidden="1">"c4765"</definedName>
    <definedName name="IQ_EST_BV_DIFF_REUT" hidden="1">"c5433"</definedName>
    <definedName name="IQ_EST_BV_DIFF_THOM" hidden="1">"c5204"</definedName>
    <definedName name="IQ_EST_BV_SHARE_DIFF" hidden="1">"c4147"</definedName>
    <definedName name="IQ_EST_BV_SHARE_DIFF_CIQ" hidden="1">"c4559"</definedName>
    <definedName name="IQ_EST_BV_SHARE_SURPRISE_PERCENT" hidden="1">"c4148"</definedName>
    <definedName name="IQ_EST_BV_SHARE_SURPRISE_PERCENT_CIQ" hidden="1">"c4560"</definedName>
    <definedName name="IQ_EST_BV_SURPRISE_PERCENT_CIQ" hidden="1">"c4766"</definedName>
    <definedName name="IQ_EST_BV_SURPRISE_PERCENT_REUT" hidden="1">"c5434"</definedName>
    <definedName name="IQ_EST_BV_SURPRISE_PERCENT_THOM" hidden="1">"c5205"</definedName>
    <definedName name="IQ_EST_CAPEX_DIFF" hidden="1">"c4149"</definedName>
    <definedName name="IQ_EST_CAPEX_DIFF_CIQ" hidden="1">"c4561"</definedName>
    <definedName name="IQ_EST_CAPEX_GROWTH_1YR" hidden="1">"c3588"</definedName>
    <definedName name="IQ_EST_CAPEX_GROWTH_1YR_CIQ" hidden="1">"c4972"</definedName>
    <definedName name="IQ_EST_CAPEX_GROWTH_1YR_REUT" hidden="1">"c5447"</definedName>
    <definedName name="IQ_EST_CAPEX_GROWTH_1YR_THOM" hidden="1">"c5542"</definedName>
    <definedName name="IQ_EST_CAPEX_GROWTH_2YR" hidden="1">"c3589"</definedName>
    <definedName name="IQ_EST_CAPEX_GROWTH_2YR_CIQ" hidden="1">"c4973"</definedName>
    <definedName name="IQ_EST_CAPEX_GROWTH_2YR_REUT" hidden="1">"c5448"</definedName>
    <definedName name="IQ_EST_CAPEX_GROWTH_2YR_THOM" hidden="1">"c5543"</definedName>
    <definedName name="IQ_EST_CAPEX_GROWTH_Q_1YR" hidden="1">"c3590"</definedName>
    <definedName name="IQ_EST_CAPEX_GROWTH_Q_1YR_CIQ" hidden="1">"c4974"</definedName>
    <definedName name="IQ_EST_CAPEX_GROWTH_Q_1YR_REUT" hidden="1">"c5449"</definedName>
    <definedName name="IQ_EST_CAPEX_GROWTH_Q_1YR_THOM" hidden="1">"c5544"</definedName>
    <definedName name="IQ_EST_CAPEX_SEQ_GROWTH_Q" hidden="1">"c3591"</definedName>
    <definedName name="IQ_EST_CAPEX_SEQ_GROWTH_Q_CIQ" hidden="1">"c4975"</definedName>
    <definedName name="IQ_EST_CAPEX_SEQ_GROWTH_Q_REUT" hidden="1">"c5450"</definedName>
    <definedName name="IQ_EST_CAPEX_SEQ_GROWTH_Q_THOM" hidden="1">"c5545"</definedName>
    <definedName name="IQ_EST_CAPEX_SURPRISE_PERCENT" hidden="1">"c4151"</definedName>
    <definedName name="IQ_EST_CAPEX_SURPRISE_PERCENT_CIQ" hidden="1">"c4563"</definedName>
    <definedName name="IQ_EST_CASH_FLOW_DIFF" hidden="1">"c4152"</definedName>
    <definedName name="IQ_EST_CASH_FLOW_DIFF_CIQ" hidden="1">"c4564"</definedName>
    <definedName name="IQ_EST_CASH_FLOW_SURPRISE_PERCENT" hidden="1">"c4161"</definedName>
    <definedName name="IQ_EST_CASH_FLOW_SURPRISE_PERCENT_CIQ" hidden="1">"c4573"</definedName>
    <definedName name="IQ_EST_CASH_OPER_DIFF" hidden="1">"c4162"</definedName>
    <definedName name="IQ_EST_CASH_OPER_DIFF_CIQ" hidden="1">"c4574"</definedName>
    <definedName name="IQ_EST_CASH_OPER_SURPRISE_PERCENT" hidden="1">"c4248"</definedName>
    <definedName name="IQ_EST_CASH_OPER_SURPRISE_PERCENT_CIQ" hidden="1">"c4774"</definedName>
    <definedName name="IQ_EST_CFPS_DIFF" hidden="1">"c1871"</definedName>
    <definedName name="IQ_EST_CFPS_DIFF_CIQ" hidden="1">"c3723"</definedName>
    <definedName name="IQ_EST_CFPS_DIFF_REUT" hidden="1">"c3892"</definedName>
    <definedName name="IQ_EST_CFPS_DIFF_THOM" hidden="1">"c5188"</definedName>
    <definedName name="IQ_EST_CFPS_GROWTH_1YR" hidden="1">"c1774"</definedName>
    <definedName name="IQ_EST_CFPS_GROWTH_1YR_CIQ" hidden="1">"c3709"</definedName>
    <definedName name="IQ_EST_CFPS_GROWTH_1YR_REUT" hidden="1">"c3878"</definedName>
    <definedName name="IQ_EST_CFPS_GROWTH_1YR_THOM" hidden="1">"c5174"</definedName>
    <definedName name="IQ_EST_CFPS_GROWTH_2YR" hidden="1">"c1775"</definedName>
    <definedName name="IQ_EST_CFPS_GROWTH_2YR_CIQ" hidden="1">"c3710"</definedName>
    <definedName name="IQ_EST_CFPS_GROWTH_2YR_REUT" hidden="1">"c3879"</definedName>
    <definedName name="IQ_EST_CFPS_GROWTH_2YR_THOM" hidden="1">"c5175"</definedName>
    <definedName name="IQ_EST_CFPS_GROWTH_Q_1YR" hidden="1">"c1776"</definedName>
    <definedName name="IQ_EST_CFPS_GROWTH_Q_1YR_CIQ" hidden="1">"c3711"</definedName>
    <definedName name="IQ_EST_CFPS_GROWTH_Q_1YR_REUT" hidden="1">"c3880"</definedName>
    <definedName name="IQ_EST_CFPS_GROWTH_Q_1YR_THOM" hidden="1">"c5176"</definedName>
    <definedName name="IQ_EST_CFPS_SEQ_GROWTH_Q" hidden="1">"c1777"</definedName>
    <definedName name="IQ_EST_CFPS_SEQ_GROWTH_Q_CIQ" hidden="1">"c3712"</definedName>
    <definedName name="IQ_EST_CFPS_SEQ_GROWTH_Q_REUT" hidden="1">"c3881"</definedName>
    <definedName name="IQ_EST_CFPS_SEQ_GROWTH_Q_THOM" hidden="1">"c5177"</definedName>
    <definedName name="IQ_EST_CFPS_SURPRISE_PERCENT" hidden="1">"c1872"</definedName>
    <definedName name="IQ_EST_CFPS_SURPRISE_PERCENT_CIQ" hidden="1">"c3724"</definedName>
    <definedName name="IQ_EST_CFPS_SURPRISE_PERCENT_REUT" hidden="1">"c3893"</definedName>
    <definedName name="IQ_EST_CFPS_SURPRISE_PERCENT_THOM" hidden="1">"c5189"</definedName>
    <definedName name="IQ_EST_CURRENCY" hidden="1">"c2140"</definedName>
    <definedName name="IQ_EST_CURRENCY_CIQ" hidden="1">"c4769"</definedName>
    <definedName name="IQ_EST_CURRENCY_REUT" hidden="1">"c5437"</definedName>
    <definedName name="IQ_EST_CURRENCY_THOM" hidden="1">"c5280"</definedName>
    <definedName name="IQ_EST_DATE" hidden="1">"c1634"</definedName>
    <definedName name="IQ_EST_DATE_CIQ" hidden="1">"c4770"</definedName>
    <definedName name="IQ_EST_DATE_REUT" hidden="1">"c5438"</definedName>
    <definedName name="IQ_EST_DATE_THOM" hidden="1">"c5281"</definedName>
    <definedName name="IQ_EST_DISTRIBUTABLE_CASH_DIFF" hidden="1">"c4276"</definedName>
    <definedName name="IQ_EST_DISTRIBUTABLE_CASH_DIFF_CIQ" hidden="1">"c4801"</definedName>
    <definedName name="IQ_EST_DISTRIBUTABLE_CASH_GROWTH_1YR" hidden="1">"c4413"</definedName>
    <definedName name="IQ_EST_DISTRIBUTABLE_CASH_GROWTH_1YR_CIQ" hidden="1">"c4938"</definedName>
    <definedName name="IQ_EST_DISTRIBUTABLE_CASH_GROWTH_2YR" hidden="1">"c4414"</definedName>
    <definedName name="IQ_EST_DISTRIBUTABLE_CASH_GROWTH_2YR_CIQ" hidden="1">"c4939"</definedName>
    <definedName name="IQ_EST_DISTRIBUTABLE_CASH_GROWTH_Q_1YR" hidden="1">"c4415"</definedName>
    <definedName name="IQ_EST_DISTRIBUTABLE_CASH_GROWTH_Q_1YR_CIQ" hidden="1">"c4940"</definedName>
    <definedName name="IQ_EST_DISTRIBUTABLE_CASH_SEQ_GROWTH_Q" hidden="1">"c4416"</definedName>
    <definedName name="IQ_EST_DISTRIBUTABLE_CASH_SEQ_GROWTH_Q_CIQ" hidden="1">"c4941"</definedName>
    <definedName name="IQ_EST_DISTRIBUTABLE_CASH_SHARE_DIFF" hidden="1">"c4284"</definedName>
    <definedName name="IQ_EST_DISTRIBUTABLE_CASH_SHARE_DIFF_CIQ" hidden="1">"c4809"</definedName>
    <definedName name="IQ_EST_DISTRIBUTABLE_CASH_SHARE_GROWTH_1YR" hidden="1">"c4417"</definedName>
    <definedName name="IQ_EST_DISTRIBUTABLE_CASH_SHARE_GROWTH_1YR_CIQ" hidden="1">"c4942"</definedName>
    <definedName name="IQ_EST_DISTRIBUTABLE_CASH_SHARE_GROWTH_2YR" hidden="1">"c4418"</definedName>
    <definedName name="IQ_EST_DISTRIBUTABLE_CASH_SHARE_GROWTH_2YR_CIQ" hidden="1">"c4943"</definedName>
    <definedName name="IQ_EST_DISTRIBUTABLE_CASH_SHARE_GROWTH_Q_1YR" hidden="1">"c4419"</definedName>
    <definedName name="IQ_EST_DISTRIBUTABLE_CASH_SHARE_GROWTH_Q_1YR_CIQ" hidden="1">"c4944"</definedName>
    <definedName name="IQ_EST_DISTRIBUTABLE_CASH_SHARE_SEQ_GROWTH_Q" hidden="1">"c4420"</definedName>
    <definedName name="IQ_EST_DISTRIBUTABLE_CASH_SHARE_SEQ_GROWTH_Q_CIQ" hidden="1">"c4945"</definedName>
    <definedName name="IQ_EST_DISTRIBUTABLE_CASH_SHARE_SURPRISE_PERCENT" hidden="1">"c4293"</definedName>
    <definedName name="IQ_EST_DISTRIBUTABLE_CASH_SHARE_SURPRISE_PERCENT_CIQ" hidden="1">"c4818"</definedName>
    <definedName name="IQ_EST_DISTRIBUTABLE_CASH_SURPRISE_PERCENT" hidden="1">"c4295"</definedName>
    <definedName name="IQ_EST_DISTRIBUTABLE_CASH_SURPRISE_PERCENT_CIQ" hidden="1">"c4820"</definedName>
    <definedName name="IQ_EST_DPS_DIFF" hidden="1">"c1873"</definedName>
    <definedName name="IQ_EST_DPS_DIFF_CIQ" hidden="1">"c3725"</definedName>
    <definedName name="IQ_EST_DPS_DIFF_REUT" hidden="1">"c3894"</definedName>
    <definedName name="IQ_EST_DPS_DIFF_THOM" hidden="1">"c5190"</definedName>
    <definedName name="IQ_EST_DPS_GROWTH_1YR" hidden="1">"c1778"</definedName>
    <definedName name="IQ_EST_DPS_GROWTH_1YR_CIQ" hidden="1">"c3713"</definedName>
    <definedName name="IQ_EST_DPS_GROWTH_1YR_REUT" hidden="1">"c3882"</definedName>
    <definedName name="IQ_EST_DPS_GROWTH_1YR_THOM" hidden="1">"c5178"</definedName>
    <definedName name="IQ_EST_DPS_GROWTH_2YR" hidden="1">"c1779"</definedName>
    <definedName name="IQ_EST_DPS_GROWTH_2YR_CIQ" hidden="1">"c3714"</definedName>
    <definedName name="IQ_EST_DPS_GROWTH_2YR_REUT" hidden="1">"c3883"</definedName>
    <definedName name="IQ_EST_DPS_GROWTH_2YR_THOM" hidden="1">"c5179"</definedName>
    <definedName name="IQ_EST_DPS_GROWTH_Q_1YR" hidden="1">"c1780"</definedName>
    <definedName name="IQ_EST_DPS_GROWTH_Q_1YR_CIQ" hidden="1">"c3715"</definedName>
    <definedName name="IQ_EST_DPS_GROWTH_Q_1YR_REUT" hidden="1">"c3884"</definedName>
    <definedName name="IQ_EST_DPS_GROWTH_Q_1YR_THOM" hidden="1">"c5180"</definedName>
    <definedName name="IQ_EST_DPS_SEQ_GROWTH_Q" hidden="1">"c1781"</definedName>
    <definedName name="IQ_EST_DPS_SEQ_GROWTH_Q_CIQ" hidden="1">"c3716"</definedName>
    <definedName name="IQ_EST_DPS_SEQ_GROWTH_Q_REUT" hidden="1">"c3885"</definedName>
    <definedName name="IQ_EST_DPS_SEQ_GROWTH_Q_THOM" hidden="1">"c5181"</definedName>
    <definedName name="IQ_EST_DPS_SURPRISE_PERCENT" hidden="1">"c1874"</definedName>
    <definedName name="IQ_EST_DPS_SURPRISE_PERCENT_CIQ" hidden="1">"c3726"</definedName>
    <definedName name="IQ_EST_DPS_SURPRISE_PERCENT_REUT" hidden="1">"c3895"</definedName>
    <definedName name="IQ_EST_DPS_SURPRISE_PERCENT_THOM" hidden="1">"c5191"</definedName>
    <definedName name="IQ_EST_EBIT_DIFF" hidden="1">"c1875"</definedName>
    <definedName name="IQ_EST_EBIT_DIFF_CIQ" hidden="1">"c4747"</definedName>
    <definedName name="IQ_EST_EBIT_DIFF_REUT" hidden="1">"c5413"</definedName>
    <definedName name="IQ_EST_EBIT_DIFF_THOM" hidden="1">"c5192"</definedName>
    <definedName name="IQ_EST_EBIT_GW_DIFF" hidden="1">"c4304"</definedName>
    <definedName name="IQ_EST_EBIT_GW_DIFF_CIQ" hidden="1">"c4829"</definedName>
    <definedName name="IQ_EST_EBIT_GW_SURPRISE_PERCENT" hidden="1">"c4313"</definedName>
    <definedName name="IQ_EST_EBIT_GW_SURPRISE_PERCENT_CIQ" hidden="1">"c4838"</definedName>
    <definedName name="IQ_EST_EBIT_SBC_DIFF" hidden="1">"c4314"</definedName>
    <definedName name="IQ_EST_EBIT_SBC_DIFF_CIQ" hidden="1">"c4839"</definedName>
    <definedName name="IQ_EST_EBIT_SBC_GW_DIFF" hidden="1">"c4318"</definedName>
    <definedName name="IQ_EST_EBIT_SBC_GW_DIFF_CIQ" hidden="1">"c4843"</definedName>
    <definedName name="IQ_EST_EBIT_SBC_GW_SURPRISE_PERCENT" hidden="1">"c4327"</definedName>
    <definedName name="IQ_EST_EBIT_SBC_GW_SURPRISE_PERCENT_CIQ" hidden="1">"c4852"</definedName>
    <definedName name="IQ_EST_EBIT_SBC_SURPRISE_PERCENT" hidden="1">"c4333"</definedName>
    <definedName name="IQ_EST_EBIT_SBC_SURPRISE_PERCENT_CIQ" hidden="1">"c4858"</definedName>
    <definedName name="IQ_EST_EBIT_SURPRISE_PERCENT" hidden="1">"c1876"</definedName>
    <definedName name="IQ_EST_EBIT_SURPRISE_PERCENT_CIQ" hidden="1">"c4748"</definedName>
    <definedName name="IQ_EST_EBIT_SURPRISE_PERCENT_REUT" hidden="1">"c5414"</definedName>
    <definedName name="IQ_EST_EBIT_SURPRISE_PERCENT_THOM" hidden="1">"c5193"</definedName>
    <definedName name="IQ_EST_EBITDA_DIFF" hidden="1">"c1867"</definedName>
    <definedName name="IQ_EST_EBITDA_DIFF_CIQ" hidden="1">"c3719"</definedName>
    <definedName name="IQ_EST_EBITDA_DIFF_REUT" hidden="1">"c3888"</definedName>
    <definedName name="IQ_EST_EBITDA_DIFF_THOM" hidden="1">"c5184"</definedName>
    <definedName name="IQ_EST_EBITDA_GROWTH_1YR" hidden="1">"c1766"</definedName>
    <definedName name="IQ_EST_EBITDA_GROWTH_1YR_CIQ" hidden="1">"c3695"</definedName>
    <definedName name="IQ_EST_EBITDA_GROWTH_1YR_REUT" hidden="1">"c3864"</definedName>
    <definedName name="IQ_EST_EBITDA_GROWTH_1YR_THOM" hidden="1">"c5161"</definedName>
    <definedName name="IQ_EST_EBITDA_GROWTH_2YR" hidden="1">"c1767"</definedName>
    <definedName name="IQ_EST_EBITDA_GROWTH_2YR_CIQ" hidden="1">"c3696"</definedName>
    <definedName name="IQ_EST_EBITDA_GROWTH_2YR_REUT" hidden="1">"c3865"</definedName>
    <definedName name="IQ_EST_EBITDA_GROWTH_2YR_THOM" hidden="1">"c5162"</definedName>
    <definedName name="IQ_EST_EBITDA_GROWTH_Q_1YR" hidden="1">"c1768"</definedName>
    <definedName name="IQ_EST_EBITDA_GROWTH_Q_1YR_CIQ" hidden="1">"c3697"</definedName>
    <definedName name="IQ_EST_EBITDA_GROWTH_Q_1YR_REUT" hidden="1">"c3866"</definedName>
    <definedName name="IQ_EST_EBITDA_GROWTH_Q_1YR_THOM" hidden="1">"c5163"</definedName>
    <definedName name="IQ_EST_EBITDA_SBC_DIFF" hidden="1">"c4335"</definedName>
    <definedName name="IQ_EST_EBITDA_SBC_DIFF_CIQ" hidden="1">"c4860"</definedName>
    <definedName name="IQ_EST_EBITDA_SBC_SURPRISE_PERCENT" hidden="1">"c4344"</definedName>
    <definedName name="IQ_EST_EBITDA_SBC_SURPRISE_PERCENT_CIQ" hidden="1">"c4869"</definedName>
    <definedName name="IQ_EST_EBITDA_SEQ_GROWTH_Q" hidden="1">"c1769"</definedName>
    <definedName name="IQ_EST_EBITDA_SEQ_GROWTH_Q_CIQ" hidden="1">"c3698"</definedName>
    <definedName name="IQ_EST_EBITDA_SEQ_GROWTH_Q_REUT" hidden="1">"c3867"</definedName>
    <definedName name="IQ_EST_EBITDA_SEQ_GROWTH_Q_THOM" hidden="1">"c5164"</definedName>
    <definedName name="IQ_EST_EBITDA_SURPRISE_PERCENT" hidden="1">"c1868"</definedName>
    <definedName name="IQ_EST_EBITDA_SURPRISE_PERCENT_CIQ" hidden="1">"c3720"</definedName>
    <definedName name="IQ_EST_EBITDA_SURPRISE_PERCENT_REUT" hidden="1">"c3889"</definedName>
    <definedName name="IQ_EST_EBITDA_SURPRISE_PERCENT_THOM" hidden="1">"c5185"</definedName>
    <definedName name="IQ_EST_EBT_SBC_DIFF" hidden="1">"c4348"</definedName>
    <definedName name="IQ_EST_EBT_SBC_DIFF_CIQ" hidden="1">"c4873"</definedName>
    <definedName name="IQ_EST_EBT_SBC_GW_DIFF" hidden="1">"c4352"</definedName>
    <definedName name="IQ_EST_EBT_SBC_GW_DIFF_CIQ" hidden="1">"c4877"</definedName>
    <definedName name="IQ_EST_EBT_SBC_GW_SURPRISE_PERCENT" hidden="1">"c4361"</definedName>
    <definedName name="IQ_EST_EBT_SBC_GW_SURPRISE_PERCENT_CIQ" hidden="1">"c4886"</definedName>
    <definedName name="IQ_EST_EBT_SBC_SURPRISE_PERCENT" hidden="1">"c4367"</definedName>
    <definedName name="IQ_EST_EBT_SBC_SURPRISE_PERCENT_CIQ" hidden="1">"c4892"</definedName>
    <definedName name="IQ_EST_EPS_DIFF" hidden="1">"c1864"</definedName>
    <definedName name="IQ_EST_EPS_DIFF_CIQ" hidden="1">"c4999"</definedName>
    <definedName name="IQ_EST_EPS_DIFF_REUT" hidden="1">"c5458"</definedName>
    <definedName name="IQ_EST_EPS_DIFF_THOM" hidden="1">"c5295"</definedName>
    <definedName name="IQ_EST_EPS_GROWTH_1YR" hidden="1">"c1636"</definedName>
    <definedName name="IQ_EST_EPS_GROWTH_1YR_CIQ" hidden="1">"c3628"</definedName>
    <definedName name="IQ_EST_EPS_GROWTH_1YR_REUT" hidden="1">"c3646"</definedName>
    <definedName name="IQ_EST_EPS_GROWTH_1YR_THOM" hidden="1">"c3664"</definedName>
    <definedName name="IQ_EST_EPS_GROWTH_2YR" hidden="1">"c1637"</definedName>
    <definedName name="IQ_EST_EPS_GROWTH_2YR_CIQ" hidden="1">"c3689"</definedName>
    <definedName name="IQ_EST_EPS_GROWTH_2YR_REUT" hidden="1">"c3858"</definedName>
    <definedName name="IQ_EST_EPS_GROWTH_2YR_THOM" hidden="1">"c5154"</definedName>
    <definedName name="IQ_EST_EPS_GROWTH_5YR" hidden="1">"c1655"</definedName>
    <definedName name="IQ_EST_EPS_GROWTH_5YR_BOTTOM_UP" hidden="1">"c5487"</definedName>
    <definedName name="IQ_EST_EPS_GROWTH_5YR_BOTTOM_UP_CIQ" hidden="1">"c12024"</definedName>
    <definedName name="IQ_EST_EPS_GROWTH_5YR_BOTTOM_UP_REUT" hidden="1">"c5495"</definedName>
    <definedName name="IQ_EST_EPS_GROWTH_5YR_CIQ" hidden="1">"c3615"</definedName>
    <definedName name="IQ_EST_EPS_GROWTH_5YR_HIGH" hidden="1">"c1657"</definedName>
    <definedName name="IQ_EST_EPS_GROWTH_5YR_HIGH_CIQ" hidden="1">"c4663"</definedName>
    <definedName name="IQ_EST_EPS_GROWTH_5YR_HIGH_REUT" hidden="1">"c5322"</definedName>
    <definedName name="IQ_EST_EPS_GROWTH_5YR_HIGH_THOM" hidden="1">"c5101"</definedName>
    <definedName name="IQ_EST_EPS_GROWTH_5YR_LOW" hidden="1">"c1658"</definedName>
    <definedName name="IQ_EST_EPS_GROWTH_5YR_LOW_CIQ" hidden="1">"c4664"</definedName>
    <definedName name="IQ_EST_EPS_GROWTH_5YR_LOW_REUT" hidden="1">"c5323"</definedName>
    <definedName name="IQ_EST_EPS_GROWTH_5YR_LOW_THOM" hidden="1">"c5102"</definedName>
    <definedName name="IQ_EST_EPS_GROWTH_5YR_MEDIAN" hidden="1">"c1656"</definedName>
    <definedName name="IQ_EST_EPS_GROWTH_5YR_MEDIAN_CIQ" hidden="1">"c5480"</definedName>
    <definedName name="IQ_EST_EPS_GROWTH_5YR_MEDIAN_REUT" hidden="1">"c5321"</definedName>
    <definedName name="IQ_EST_EPS_GROWTH_5YR_MEDIAN_THOM" hidden="1">"c5100"</definedName>
    <definedName name="IQ_EST_EPS_GROWTH_5YR_NUM" hidden="1">"c1659"</definedName>
    <definedName name="IQ_EST_EPS_GROWTH_5YR_NUM_CIQ" hidden="1">"c4665"</definedName>
    <definedName name="IQ_EST_EPS_GROWTH_5YR_NUM_REUT" hidden="1">"c5324"</definedName>
    <definedName name="IQ_EST_EPS_GROWTH_5YR_NUM_THOM" hidden="1">"c5103"</definedName>
    <definedName name="IQ_EST_EPS_GROWTH_5YR_REUT" hidden="1">"c3633"</definedName>
    <definedName name="IQ_EST_EPS_GROWTH_5YR_STDDEV" hidden="1">"c1660"</definedName>
    <definedName name="IQ_EST_EPS_GROWTH_5YR_STDDEV_CIQ" hidden="1">"c4666"</definedName>
    <definedName name="IQ_EST_EPS_GROWTH_5YR_STDDEV_REUT" hidden="1">"c5325"</definedName>
    <definedName name="IQ_EST_EPS_GROWTH_5YR_STDDEV_THOM" hidden="1">"c5104"</definedName>
    <definedName name="IQ_EST_EPS_GROWTH_5YR_THOM" hidden="1">"c3651"</definedName>
    <definedName name="IQ_EST_EPS_GROWTH_Q_1YR" hidden="1">"c1641"</definedName>
    <definedName name="IQ_EST_EPS_GROWTH_Q_1YR_CIQ" hidden="1">"c4744"</definedName>
    <definedName name="IQ_EST_EPS_GROWTH_Q_1YR_REUT" hidden="1">"c5410"</definedName>
    <definedName name="IQ_EST_EPS_GROWTH_Q_1YR_THOM" hidden="1">"c5155"</definedName>
    <definedName name="IQ_EST_EPS_GW_DIFF" hidden="1">"c1891"</definedName>
    <definedName name="IQ_EST_EPS_GW_DIFF_CIQ" hidden="1">"c4761"</definedName>
    <definedName name="IQ_EST_EPS_GW_DIFF_REUT" hidden="1">"c5429"</definedName>
    <definedName name="IQ_EST_EPS_GW_DIFF_THOM" hidden="1">"c5200"</definedName>
    <definedName name="IQ_EST_EPS_GW_SURPRISE_PERCENT" hidden="1">"c1892"</definedName>
    <definedName name="IQ_EST_EPS_GW_SURPRISE_PERCENT_CIQ" hidden="1">"c4762"</definedName>
    <definedName name="IQ_EST_EPS_GW_SURPRISE_PERCENT_REUT" hidden="1">"c5430"</definedName>
    <definedName name="IQ_EST_EPS_GW_SURPRISE_PERCENT_THOM" hidden="1">"c5201"</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DIFF_THOM" hidden="1">"c5202"</definedName>
    <definedName name="IQ_EST_EPS_REPORT_SURPRISE_PERCENT" hidden="1">"c1894"</definedName>
    <definedName name="IQ_EST_EPS_REPORT_SURPRISE_PERCENT_CIQ" hidden="1">"c4764"</definedName>
    <definedName name="IQ_EST_EPS_REPORT_SURPRISE_PERCENT_REUT" hidden="1">"c5432"</definedName>
    <definedName name="IQ_EST_EPS_REPORT_SURPRISE_PERCENT_THOM" hidden="1">"c5203"</definedName>
    <definedName name="IQ_EST_EPS_SBC_DIFF" hidden="1">"c4374"</definedName>
    <definedName name="IQ_EST_EPS_SBC_DIFF_CIQ" hidden="1">"c4899"</definedName>
    <definedName name="IQ_EST_EPS_SBC_GW_DIFF" hidden="1">"c4378"</definedName>
    <definedName name="IQ_EST_EPS_SBC_GW_DIFF_CIQ" hidden="1">"c4903"</definedName>
    <definedName name="IQ_EST_EPS_SBC_GW_SURPRISE_PERCENT" hidden="1">"c4387"</definedName>
    <definedName name="IQ_EST_EPS_SBC_GW_SURPRISE_PERCENT_CIQ" hidden="1">"c4912"</definedName>
    <definedName name="IQ_EST_EPS_SBC_SURPRISE_PERCENT" hidden="1">"c4393"</definedName>
    <definedName name="IQ_EST_EPS_SBC_SURPRISE_PERCENT_CIQ" hidden="1">"c4918"</definedName>
    <definedName name="IQ_EST_EPS_SEQ_GROWTH_Q" hidden="1">"c1764"</definedName>
    <definedName name="IQ_EST_EPS_SEQ_GROWTH_Q_CIQ" hidden="1">"c3690"</definedName>
    <definedName name="IQ_EST_EPS_SEQ_GROWTH_Q_REUT" hidden="1">"c3859"</definedName>
    <definedName name="IQ_EST_EPS_SEQ_GROWTH_Q_THOM" hidden="1">"c5156"</definedName>
    <definedName name="IQ_EST_EPS_SURPRISE" hidden="1">"c1635"</definedName>
    <definedName name="IQ_EST_EPS_SURPRISE_PERCENT" hidden="1">"c1635"</definedName>
    <definedName name="IQ_EST_EPS_SURPRISE_PERCENT_CIQ" hidden="1">"c5000"</definedName>
    <definedName name="IQ_EST_EPS_SURPRISE_PERCENT_REUT" hidden="1">"c5459"</definedName>
    <definedName name="IQ_EST_EPS_SURPRISE_PERCENT_THOM" hidden="1">"c5296"</definedName>
    <definedName name="IQ_EST_FAIR_VALUE_MORT_SERVICING_ASSETS_FFIEC" hidden="1">"c12956"</definedName>
    <definedName name="IQ_EST_FFO_ADJ_DIFF" hidden="1">"c4433"</definedName>
    <definedName name="IQ_EST_FFO_ADJ_DIFF_CIQ" hidden="1">"c4958"</definedName>
    <definedName name="IQ_EST_FFO_ADJ_GROWTH_1YR" hidden="1">"c4421"</definedName>
    <definedName name="IQ_EST_FFO_ADJ_GROWTH_1YR_CIQ" hidden="1">"c4946"</definedName>
    <definedName name="IQ_EST_FFO_ADJ_GROWTH_2YR" hidden="1">"c4422"</definedName>
    <definedName name="IQ_EST_FFO_ADJ_GROWTH_2YR_CIQ" hidden="1">"c4947"</definedName>
    <definedName name="IQ_EST_FFO_ADJ_GROWTH_Q_1YR" hidden="1">"c4423"</definedName>
    <definedName name="IQ_EST_FFO_ADJ_GROWTH_Q_1YR_CIQ" hidden="1">"c4948"</definedName>
    <definedName name="IQ_EST_FFO_ADJ_SEQ_GROWTH_Q" hidden="1">"c4424"</definedName>
    <definedName name="IQ_EST_FFO_ADJ_SEQ_GROWTH_Q_CIQ" hidden="1">"c4949"</definedName>
    <definedName name="IQ_EST_FFO_ADJ_SURPRISE_PERCENT" hidden="1">"c4442"</definedName>
    <definedName name="IQ_EST_FFO_ADJ_SURPRISE_PERCENT_CIQ" hidden="1">"c4967"</definedName>
    <definedName name="IQ_EST_FFO_DIFF" hidden="1">"c1869"</definedName>
    <definedName name="IQ_EST_FFO_DIFF_CIQ" hidden="1">"c3721"</definedName>
    <definedName name="IQ_EST_FFO_DIFF_REUT" hidden="1">"c3890"</definedName>
    <definedName name="IQ_EST_FFO_DIFF_THOM" hidden="1">"c5186"</definedName>
    <definedName name="IQ_EST_FFO_GROWTH_1YR" hidden="1">"c1770"</definedName>
    <definedName name="IQ_EST_FFO_GROWTH_1YR_CIQ" hidden="1">"c3705"</definedName>
    <definedName name="IQ_EST_FFO_GROWTH_1YR_REUT" hidden="1">"c3874"</definedName>
    <definedName name="IQ_EST_FFO_GROWTH_1YR_THOM" hidden="1">"c5170"</definedName>
    <definedName name="IQ_EST_FFO_GROWTH_2YR" hidden="1">"c1771"</definedName>
    <definedName name="IQ_EST_FFO_GROWTH_2YR_CIQ" hidden="1">"c3706"</definedName>
    <definedName name="IQ_EST_FFO_GROWTH_2YR_REUT" hidden="1">"c3875"</definedName>
    <definedName name="IQ_EST_FFO_GROWTH_2YR_THOM" hidden="1">"c5171"</definedName>
    <definedName name="IQ_EST_FFO_GROWTH_Q_1YR" hidden="1">"c1772"</definedName>
    <definedName name="IQ_EST_FFO_GROWTH_Q_1YR_CIQ" hidden="1">"c3707"</definedName>
    <definedName name="IQ_EST_FFO_GROWTH_Q_1YR_REUT" hidden="1">"c3876"</definedName>
    <definedName name="IQ_EST_FFO_GROWTH_Q_1YR_THOM" hidden="1">"c5172"</definedName>
    <definedName name="IQ_EST_FFO_SEQ_GROWTH_Q" hidden="1">"c1773"</definedName>
    <definedName name="IQ_EST_FFO_SEQ_GROWTH_Q_CIQ" hidden="1">"c3708"</definedName>
    <definedName name="IQ_EST_FFO_SEQ_GROWTH_Q_REUT" hidden="1">"c3877"</definedName>
    <definedName name="IQ_EST_FFO_SEQ_GROWTH_Q_THOM" hidden="1">"c5173"</definedName>
    <definedName name="IQ_EST_FFO_SHARE_DIFF" hidden="1">"c4444"</definedName>
    <definedName name="IQ_EST_FFO_SHARE_DIFF_CIQ" hidden="1">"c4969"</definedName>
    <definedName name="IQ_EST_FFO_SHARE_DIFF_REUT" hidden="1">"c3890"</definedName>
    <definedName name="IQ_EST_FFO_SHARE_GROWTH_1YR" hidden="1">"c4425"</definedName>
    <definedName name="IQ_EST_FFO_SHARE_GROWTH_1YR_CIQ" hidden="1">"c4950"</definedName>
    <definedName name="IQ_EST_FFO_SHARE_GROWTH_2YR" hidden="1">"c4426"</definedName>
    <definedName name="IQ_EST_FFO_SHARE_GROWTH_2YR_CIQ" hidden="1">"c4951"</definedName>
    <definedName name="IQ_EST_FFO_SHARE_GROWTH_Q_1YR" hidden="1">"c4427"</definedName>
    <definedName name="IQ_EST_FFO_SHARE_GROWTH_Q_1YR_CIQ" hidden="1">"c4952"</definedName>
    <definedName name="IQ_EST_FFO_SHARE_SEQ_GROWTH_Q" hidden="1">"c4428"</definedName>
    <definedName name="IQ_EST_FFO_SHARE_SEQ_GROWTH_Q_CIQ" hidden="1">"c4953"</definedName>
    <definedName name="IQ_EST_FFO_SHARE_SHARE_DIFF_REUT" hidden="1">"c3890"</definedName>
    <definedName name="IQ_EST_FFO_SHARE_SHARE_SURPRISE_PERCENT_REUT" hidden="1">"c3891"</definedName>
    <definedName name="IQ_EST_FFO_SHARE_SURPRISE_PERCENT" hidden="1">"c4453"</definedName>
    <definedName name="IQ_EST_FFO_SHARE_SURPRISE_PERCENT_CIQ" hidden="1">"c4982"</definedName>
    <definedName name="IQ_EST_FFO_SHARE_SURPRISE_PERCENT_REUT" hidden="1">"c3891"</definedName>
    <definedName name="IQ_EST_FFO_SURPRISE_PERCENT" hidden="1">"c1870"</definedName>
    <definedName name="IQ_EST_FFO_SURPRISE_PERCENT_CIQ" hidden="1">"c3722"</definedName>
    <definedName name="IQ_EST_FFO_SURPRISE_PERCENT_REUT" hidden="1">"c3891"</definedName>
    <definedName name="IQ_EST_FFO_SURPRISE_PERCENT_THOM" hidden="1">"c5187"</definedName>
    <definedName name="IQ_EST_FOOTNOTE" hidden="1">"c4540"</definedName>
    <definedName name="IQ_EST_FOOTNOTE_CIQ" hidden="1">"c12022"</definedName>
    <definedName name="IQ_EST_FOOTNOTE_REUT" hidden="1">"c5478"</definedName>
    <definedName name="IQ_EST_FOOTNOTE_THOM" hidden="1">"c5313"</definedName>
    <definedName name="IQ_EST_MAINT_CAPEX_DIFF" hidden="1">"c4456"</definedName>
    <definedName name="IQ_EST_MAINT_CAPEX_DIFF_CIQ" hidden="1">"c4985"</definedName>
    <definedName name="IQ_EST_MAINT_CAPEX_GROWTH_1YR" hidden="1">"c4429"</definedName>
    <definedName name="IQ_EST_MAINT_CAPEX_GROWTH_1YR_CIQ" hidden="1">"c4954"</definedName>
    <definedName name="IQ_EST_MAINT_CAPEX_GROWTH_2YR" hidden="1">"c4430"</definedName>
    <definedName name="IQ_EST_MAINT_CAPEX_GROWTH_2YR_CIQ" hidden="1">"c4955"</definedName>
    <definedName name="IQ_EST_MAINT_CAPEX_GROWTH_Q_1YR" hidden="1">"c4431"</definedName>
    <definedName name="IQ_EST_MAINT_CAPEX_GROWTH_Q_1YR_CIQ" hidden="1">"c4956"</definedName>
    <definedName name="IQ_EST_MAINT_CAPEX_SEQ_GROWTH_Q" hidden="1">"c4432"</definedName>
    <definedName name="IQ_EST_MAINT_CAPEX_SEQ_GROWTH_Q_CIQ" hidden="1">"c4957"</definedName>
    <definedName name="IQ_EST_MAINT_CAPEX_SURPRISE_PERCENT" hidden="1">"c4465"</definedName>
    <definedName name="IQ_EST_MAINT_CAPEX_SURPRISE_PERCENT_CIQ" hidden="1">"c5003"</definedName>
    <definedName name="IQ_EST_NAV_DIFF" hidden="1">"c1895"</definedName>
    <definedName name="IQ_EST_NAV_SHARE_SURPRISE_PERCENT" hidden="1">"c1896"</definedName>
    <definedName name="IQ_EST_NAV_SURPRISE_PERCENT" hidden="1">"c1896"</definedName>
    <definedName name="IQ_EST_NET_DEBT_DIFF" hidden="1">"c4466"</definedName>
    <definedName name="IQ_EST_NET_DEBT_DIFF_CIQ" hidden="1">"c5004"</definedName>
    <definedName name="IQ_EST_NET_DEBT_SURPRISE_PERCENT" hidden="1">"c4468"</definedName>
    <definedName name="IQ_EST_NET_DEBT_SURPRISE_PERCENT_CIQ" hidden="1">"c5006"</definedName>
    <definedName name="IQ_EST_NEXT_EARNINGS_DATE" hidden="1">"c13591"</definedName>
    <definedName name="IQ_EST_NI_DIFF" hidden="1">"c1885"</definedName>
    <definedName name="IQ_EST_NI_DIFF_CIQ" hidden="1">"c4755"</definedName>
    <definedName name="IQ_EST_NI_DIFF_REUT" hidden="1">"c5423"</definedName>
    <definedName name="IQ_EST_NI_DIFF_THOM" hidden="1">"c5198"</definedName>
    <definedName name="IQ_EST_NI_GW_DIFF" hidden="1">"c1887"</definedName>
    <definedName name="IQ_EST_NI_GW_DIFF_CIQ" hidden="1">"c4757"</definedName>
    <definedName name="IQ_EST_NI_GW_DIFF_REUT" hidden="1">"c5425"</definedName>
    <definedName name="IQ_EST_NI_GW_SURPRISE_PERCENT" hidden="1">"c1888"</definedName>
    <definedName name="IQ_EST_NI_GW_SURPRISE_PERCENT_CIQ" hidden="1">"c4758"</definedName>
    <definedName name="IQ_EST_NI_GW_SURPRISE_PERCENT_REUT" hidden="1">"c5426"</definedName>
    <definedName name="IQ_EST_NI_REPORT_DIFF" hidden="1">"c1889"</definedName>
    <definedName name="IQ_EST_NI_REPORT_DIFF_CIQ" hidden="1">"c4759"</definedName>
    <definedName name="IQ_EST_NI_REPORT_DIFF_REUT" hidden="1">"c5427"</definedName>
    <definedName name="IQ_EST_NI_REPORT_SURPRISE_PERCENT" hidden="1">"c1890"</definedName>
    <definedName name="IQ_EST_NI_REPORT_SURPRISE_PERCENT_CIQ" hidden="1">"c4760"</definedName>
    <definedName name="IQ_EST_NI_REPORT_SURPRISE_PERCENT_REUT" hidden="1">"c5428"</definedName>
    <definedName name="IQ_EST_NI_SBC_DIFF" hidden="1">"c4472"</definedName>
    <definedName name="IQ_EST_NI_SBC_DIFF_CIQ" hidden="1">"c5010"</definedName>
    <definedName name="IQ_EST_NI_SBC_GW_DIFF" hidden="1">"c4476"</definedName>
    <definedName name="IQ_EST_NI_SBC_GW_DIFF_CIQ" hidden="1">"c5014"</definedName>
    <definedName name="IQ_EST_NI_SBC_GW_SURPRISE_PERCENT" hidden="1">"c4485"</definedName>
    <definedName name="IQ_EST_NI_SBC_GW_SURPRISE_PERCENT_CIQ" hidden="1">"c5023"</definedName>
    <definedName name="IQ_EST_NI_SBC_SURPRISE_PERCENT" hidden="1">"c4491"</definedName>
    <definedName name="IQ_EST_NI_SBC_SURPRISE_PERCENT_CIQ" hidden="1">"c5029"</definedName>
    <definedName name="IQ_EST_NI_SURPRISE_PERCENT" hidden="1">"c1886"</definedName>
    <definedName name="IQ_EST_NI_SURPRISE_PERCENT_CIQ" hidden="1">"c4756"</definedName>
    <definedName name="IQ_EST_NI_SURPRISE_PERCENT_REUT" hidden="1">"c5424"</definedName>
    <definedName name="IQ_EST_NI_SURPRISE_PERCENT_THOM" hidden="1">"c5199"</definedName>
    <definedName name="IQ_EST_NUM_BUY" hidden="1">"c1759"</definedName>
    <definedName name="IQ_EST_NUM_BUY_CIQ" hidden="1">"c3700"</definedName>
    <definedName name="IQ_EST_NUM_BUY_REUT" hidden="1">"c3869"</definedName>
    <definedName name="IQ_EST_NUM_BUY_THOM" hidden="1">"c5165"</definedName>
    <definedName name="IQ_EST_NUM_HIGH_REC" hidden="1">"c5649"</definedName>
    <definedName name="IQ_EST_NUM_HIGH_REC_CIQ" hidden="1">"c3701"</definedName>
    <definedName name="IQ_EST_NUM_HIGH_REC_REUT" hidden="1">"c3870"</definedName>
    <definedName name="IQ_EST_NUM_HIGH_REC_THOM" hidden="1">"c5166"</definedName>
    <definedName name="IQ_EST_NUM_HIGHEST_REC" hidden="1">"c5648"</definedName>
    <definedName name="IQ_EST_NUM_HIGHEST_REC_CIQ" hidden="1">"c3700"</definedName>
    <definedName name="IQ_EST_NUM_HIGHEST_REC_REUT" hidden="1">"c3869"</definedName>
    <definedName name="IQ_EST_NUM_HIGHEST_REC_THOM" hidden="1">"c5165"</definedName>
    <definedName name="IQ_EST_NUM_HOLD" hidden="1">"c1761"</definedName>
    <definedName name="IQ_EST_NUM_HOLD_CIQ" hidden="1">"c3702"</definedName>
    <definedName name="IQ_EST_NUM_HOLD_REUT" hidden="1">"c3871"</definedName>
    <definedName name="IQ_EST_NUM_HOLD_THOM" hidden="1">"c5167"</definedName>
    <definedName name="IQ_EST_NUM_LOW_REC" hidden="1">"c5651"</definedName>
    <definedName name="IQ_EST_NUM_LOW_REC_CIQ" hidden="1">"c3703"</definedName>
    <definedName name="IQ_EST_NUM_LOW_REC_REUT" hidden="1">"c3872"</definedName>
    <definedName name="IQ_EST_NUM_LOW_REC_THOM" hidden="1">"c5168"</definedName>
    <definedName name="IQ_EST_NUM_LOWEST_REC" hidden="1">"c5652"</definedName>
    <definedName name="IQ_EST_NUM_LOWEST_REC_CIQ" hidden="1">"c3704"</definedName>
    <definedName name="IQ_EST_NUM_LOWEST_REC_REUT" hidden="1">"c3873"</definedName>
    <definedName name="IQ_EST_NUM_LOWEST_REC_THOM" hidden="1">"c5169"</definedName>
    <definedName name="IQ_EST_NUM_NEUTRAL_REC" hidden="1">"c5650"</definedName>
    <definedName name="IQ_EST_NUM_NEUTRAL_REC_CIQ" hidden="1">"c3702"</definedName>
    <definedName name="IQ_EST_NUM_NEUTRAL_REC_REUT" hidden="1">"c3871"</definedName>
    <definedName name="IQ_EST_NUM_NEUTRAL_REC_THOM" hidden="1">"c5167"</definedName>
    <definedName name="IQ_EST_NUM_NO_OPINION" hidden="1">"c1758"</definedName>
    <definedName name="IQ_EST_NUM_NO_OPINION_CIQ" hidden="1">"c3699"</definedName>
    <definedName name="IQ_EST_NUM_NO_OPINION_REUT" hidden="1">"c3868"</definedName>
    <definedName name="IQ_EST_NUM_OUTPERFORM" hidden="1">"c1760"</definedName>
    <definedName name="IQ_EST_NUM_OUTPERFORM_CIQ" hidden="1">"c3701"</definedName>
    <definedName name="IQ_EST_NUM_OUTPERFORM_REUT" hidden="1">"c3870"</definedName>
    <definedName name="IQ_EST_NUM_OUTPERFORM_THOM" hidden="1">"c5166"</definedName>
    <definedName name="IQ_EST_NUM_SELL" hidden="1">"c1763"</definedName>
    <definedName name="IQ_EST_NUM_SELL_CIQ" hidden="1">"c3704"</definedName>
    <definedName name="IQ_EST_NUM_SELL_REUT" hidden="1">"c3873"</definedName>
    <definedName name="IQ_EST_NUM_SELL_THOM" hidden="1">"c5169"</definedName>
    <definedName name="IQ_EST_NUM_UNDERPERFORM" hidden="1">"c1762"</definedName>
    <definedName name="IQ_EST_NUM_UNDERPERFORM_CIQ" hidden="1">"c3703"</definedName>
    <definedName name="IQ_EST_NUM_UNDERPERFORM_REUT" hidden="1">"c3872"</definedName>
    <definedName name="IQ_EST_NUM_UNDERPERFORM_THOM" hidden="1">"c5168"</definedName>
    <definedName name="IQ_EST_OPER_INC_DIFF" hidden="1">"c1877"</definedName>
    <definedName name="IQ_EST_OPER_INC_DIFF_REUT" hidden="1">"c5415"</definedName>
    <definedName name="IQ_EST_OPER_INC_DIFF_THOM" hidden="1">"c5194"</definedName>
    <definedName name="IQ_EST_OPER_INC_SURPRISE_PERCENT" hidden="1">"c1878"</definedName>
    <definedName name="IQ_EST_OPER_INC_SURPRISE_PERCENT_REUT" hidden="1">"c5416"</definedName>
    <definedName name="IQ_EST_OPER_INC_SURPRISE_PERCENT_THOM" hidden="1">"c5195"</definedName>
    <definedName name="IQ_EST_PRE_TAX_DIFF" hidden="1">"c1879"</definedName>
    <definedName name="IQ_EST_PRE_TAX_DIFF_CIQ" hidden="1">"c4749"</definedName>
    <definedName name="IQ_EST_PRE_TAX_DIFF_REUT" hidden="1">"c5417"</definedName>
    <definedName name="IQ_EST_PRE_TAX_DIFF_THOM" hidden="1">"c5196"</definedName>
    <definedName name="IQ_EST_PRE_TAX_GW_DIFF" hidden="1">"c1881"</definedName>
    <definedName name="IQ_EST_PRE_TAX_GW_DIFF_CIQ" hidden="1">"c4751"</definedName>
    <definedName name="IQ_EST_PRE_TAX_GW_DIFF_REUT" hidden="1">"c5419"</definedName>
    <definedName name="IQ_EST_PRE_TAX_GW_SURPRISE_PERCENT" hidden="1">"c1882"</definedName>
    <definedName name="IQ_EST_PRE_TAX_GW_SURPRISE_PERCENT_CIQ" hidden="1">"c4752"</definedName>
    <definedName name="IQ_EST_PRE_TAX_GW_SURPRISE_PERCENT_REUT" hidden="1">"c5420"</definedName>
    <definedName name="IQ_EST_PRE_TAX_REPORT_DIFF" hidden="1">"c1883"</definedName>
    <definedName name="IQ_EST_PRE_TAX_REPORT_DIFF_CIQ" hidden="1">"c4753"</definedName>
    <definedName name="IQ_EST_PRE_TAX_REPORT_DIFF_REUT" hidden="1">"c5421"</definedName>
    <definedName name="IQ_EST_PRE_TAX_REPORT_SURPRISE_PERCENT" hidden="1">"c1884"</definedName>
    <definedName name="IQ_EST_PRE_TAX_REPORT_SURPRISE_PERCENT_CIQ" hidden="1">"c4754"</definedName>
    <definedName name="IQ_EST_PRE_TAX_REPORT_SURPRISE_PERCENT_REUT" hidden="1">"c5422"</definedName>
    <definedName name="IQ_EST_PRE_TAX_SURPRISE_PERCENT" hidden="1">"c1880"</definedName>
    <definedName name="IQ_EST_PRE_TAX_SURPRISE_PERCENT_CIQ" hidden="1">"c4750"</definedName>
    <definedName name="IQ_EST_PRE_TAX_SURPRISE_PERCENT_REUT" hidden="1">"c5418"</definedName>
    <definedName name="IQ_EST_PRE_TAX_SURPRISE_PERCENT_THOM" hidden="1">"c5197"</definedName>
    <definedName name="IQ_EST_RECURRING_PROFIT_SHARE_DIFF" hidden="1">"c4505"</definedName>
    <definedName name="IQ_EST_RECURRING_PROFIT_SHARE_DIFF_CIQ" hidden="1">"c5043"</definedName>
    <definedName name="IQ_EST_RECURRING_PROFIT_SHARE_SURPRISE_PERCENT" hidden="1">"c4515"</definedName>
    <definedName name="IQ_EST_RECURRING_PROFIT_SHARE_SURPRISE_PERCENT_CIQ" hidden="1">"c5053"</definedName>
    <definedName name="IQ_EST_REV_DIFF" hidden="1">"c1865"</definedName>
    <definedName name="IQ_EST_REV_DIFF_CIQ" hidden="1">"c3717"</definedName>
    <definedName name="IQ_EST_REV_DIFF_REUT" hidden="1">"c3886"</definedName>
    <definedName name="IQ_EST_REV_DIFF_THOM" hidden="1">"c5182"</definedName>
    <definedName name="IQ_EST_REV_GROWTH_1YR" hidden="1">"c1638"</definedName>
    <definedName name="IQ_EST_REV_GROWTH_1YR_CIQ" hidden="1">"c3691"</definedName>
    <definedName name="IQ_EST_REV_GROWTH_1YR_REUT" hidden="1">"c3860"</definedName>
    <definedName name="IQ_EST_REV_GROWTH_1YR_THOM" hidden="1">"c5157"</definedName>
    <definedName name="IQ_EST_REV_GROWTH_2YR" hidden="1">"c1639"</definedName>
    <definedName name="IQ_EST_REV_GROWTH_2YR_CIQ" hidden="1">"c3692"</definedName>
    <definedName name="IQ_EST_REV_GROWTH_2YR_REUT" hidden="1">"c3861"</definedName>
    <definedName name="IQ_EST_REV_GROWTH_2YR_THOM" hidden="1">"c5158"</definedName>
    <definedName name="IQ_EST_REV_GROWTH_Q_1YR" hidden="1">"c1640"</definedName>
    <definedName name="IQ_EST_REV_GROWTH_Q_1YR_CIQ" hidden="1">"c3693"</definedName>
    <definedName name="IQ_EST_REV_GROWTH_Q_1YR_REUT" hidden="1">"c3862"</definedName>
    <definedName name="IQ_EST_REV_GROWTH_Q_1YR_THOM" hidden="1">"c5159"</definedName>
    <definedName name="IQ_EST_REV_SEQ_GROWTH_Q" hidden="1">"c1765"</definedName>
    <definedName name="IQ_EST_REV_SEQ_GROWTH_Q_CIQ" hidden="1">"c3694"</definedName>
    <definedName name="IQ_EST_REV_SEQ_GROWTH_Q_REUT" hidden="1">"c3863"</definedName>
    <definedName name="IQ_EST_REV_SEQ_GROWTH_Q_THOM" hidden="1">"c5160"</definedName>
    <definedName name="IQ_EST_REV_SURPRISE_PERCENT" hidden="1">"c1866"</definedName>
    <definedName name="IQ_EST_REV_SURPRISE_PERCENT_CIQ" hidden="1">"c3718"</definedName>
    <definedName name="IQ_EST_REV_SURPRISE_PERCENT_REUT" hidden="1">"c3887"</definedName>
    <definedName name="IQ_EST_REV_SURPRISE_PERCENT_THOM" hidden="1">"c5183"</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"IQ_EV_OVER_REVENUE_EST"</definedName>
    <definedName name="IQ_EV_OVER_REVENUE_EST_1" hidden="1">"IQ_EV_OVER_REVENUE_EST_1"</definedName>
    <definedName name="IQ_EVAL_DATE" hidden="1">"c2180"</definedName>
    <definedName name="IQ_EVENT_DATE" hidden="1">"c13819"</definedName>
    <definedName name="IQ_EVENT_ID" hidden="1">"c13818"</definedName>
    <definedName name="IQ_EVENT_TIME" hidden="1">"c13820"</definedName>
    <definedName name="IQ_EVENT_TYPE" hidden="1">"c13821"</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"General Advisory"</definedName>
    <definedName name="IQ_EXPENSES_AP" hidden="1">"c8875"</definedName>
    <definedName name="IQ_EXPENSES_AP_ABS" hidden="1">"c8894"</definedName>
    <definedName name="IQ_EXPENSES_FIXED_ASSETS_FFIEC" hidden="1">"c13024"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LORE_DRILL_EXP_TOTAL" hidden="1">"c13850"</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FC_UNUSED_UNUSED_UNUSED" hidden="1">"c8401"</definedName>
    <definedName name="IQ_EXPORTS_APR_UNUSED" hidden="1">"c7521"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FC_UNUSED_UNUSED_UNUSED" hidden="1">"c8512"</definedName>
    <definedName name="IQ_EXPORTS_GOODS_REAL_SAAR_APR_UNUSED" hidden="1">"c7632"</definedName>
    <definedName name="IQ_EXPORTS_GOODS_REAL_SAAR_APR_UNUSED_UNUSED_UNUSED" hidden="1">"c7632"</definedName>
    <definedName name="IQ_EXPORTS_GOODS_REAL_SAAR_FC_UNUSED" hidden="1">"c7852"</definedName>
    <definedName name="IQ_EXPORTS_GOODS_REAL_SAAR_FC_UNUSED_UNUSED_UNUSED" hidden="1">"c7852"</definedName>
    <definedName name="IQ_EXPORTS_GOODS_REAL_SAAR_POP" hidden="1">"c11931"</definedName>
    <definedName name="IQ_EXPORTS_GOODS_REAL_SAAR_POP_FC_UNUSED" hidden="1">"c8072"</definedName>
    <definedName name="IQ_EXPORTS_GOODS_REAL_SAAR_POP_FC_UNUSED_UNUSED_UNUSED" hidden="1">"c8072"</definedName>
    <definedName name="IQ_EXPORTS_GOODS_REAL_SAAR_POP_UNUSED" hidden="1">"c7192"</definedName>
    <definedName name="IQ_EXPORTS_GOODS_REAL_SAAR_POP_UNUSED_UNUSED_UNUSED" hidden="1">"c7192"</definedName>
    <definedName name="IQ_EXPORTS_GOODS_REAL_SAAR_UNUSED" hidden="1">"c6972"</definedName>
    <definedName name="IQ_EXPORTS_GOODS_REAL_SAAR_UNUSED_UNUSED_UNUSED" hidden="1">"c6972"</definedName>
    <definedName name="IQ_EXPORTS_GOODS_REAL_SAAR_YOY" hidden="1">"c11932"</definedName>
    <definedName name="IQ_EXPORTS_GOODS_REAL_SAAR_YOY_FC_UNUSED" hidden="1">"c8292"</definedName>
    <definedName name="IQ_EXPORTS_GOODS_REAL_SAAR_YOY_FC_UNUSED_UNUSED_UNUSED" hidden="1">"c8292"</definedName>
    <definedName name="IQ_EXPORTS_GOODS_REAL_SAAR_YOY_UNUSED" hidden="1">"c7412"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FC_UNUSED_UNUSED_UNUSED" hidden="1">"c7961"</definedName>
    <definedName name="IQ_EXPORTS_POP_UNUSED" hidden="1">"c7081"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FC_UNUSED_UNUSED_UNUSED" hidden="1">"c8516"</definedName>
    <definedName name="IQ_EXPORTS_SERVICES_REAL_SAAR_APR_UNUSED" hidden="1">"c7636"</definedName>
    <definedName name="IQ_EXPORTS_SERVICES_REAL_SAAR_APR_UNUSED_UNUSED_UNUSED" hidden="1">"c7636"</definedName>
    <definedName name="IQ_EXPORTS_SERVICES_REAL_SAAR_FC_UNUSED" hidden="1">"c7856"</definedName>
    <definedName name="IQ_EXPORTS_SERVICES_REAL_SAAR_FC_UNUSED_UNUSED_UNUSED" hidden="1">"c7856"</definedName>
    <definedName name="IQ_EXPORTS_SERVICES_REAL_SAAR_POP" hidden="1">"c11935"</definedName>
    <definedName name="IQ_EXPORTS_SERVICES_REAL_SAAR_POP_FC_UNUSED" hidden="1">"c8076"</definedName>
    <definedName name="IQ_EXPORTS_SERVICES_REAL_SAAR_POP_FC_UNUSED_UNUSED_UNUSED" hidden="1">"c8076"</definedName>
    <definedName name="IQ_EXPORTS_SERVICES_REAL_SAAR_POP_UNUSED" hidden="1">"c7196"</definedName>
    <definedName name="IQ_EXPORTS_SERVICES_REAL_SAAR_POP_UNUSED_UNUSED_UNUSED" hidden="1">"c7196"</definedName>
    <definedName name="IQ_EXPORTS_SERVICES_REAL_SAAR_UNUSED" hidden="1">"c6976"</definedName>
    <definedName name="IQ_EXPORTS_SERVICES_REAL_SAAR_UNUSED_UNUSED_UNUSED" hidden="1">"c6976"</definedName>
    <definedName name="IQ_EXPORTS_SERVICES_REAL_SAAR_YOY" hidden="1">"c11936"</definedName>
    <definedName name="IQ_EXPORTS_SERVICES_REAL_SAAR_YOY_FC_UNUSED" hidden="1">"c8296"</definedName>
    <definedName name="IQ_EXPORTS_SERVICES_REAL_SAAR_YOY_FC_UNUSED_UNUSED_UNUSED" hidden="1">"c8296"</definedName>
    <definedName name="IQ_EXPORTS_SERVICES_REAL_SAAR_YOY_UNUSED" hidden="1">"c7416"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 hidden="1">"c6861"</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FC_UNUSED_UNUSED_UNUSED" hidden="1">"c8181"</definedName>
    <definedName name="IQ_EXPORTS_YOY_UNUSED" hidden="1">"c7301"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 hidden="1">"c13369"</definedName>
    <definedName name="IQ_EXTRA_ITEMS" hidden="1">"c1459"</definedName>
    <definedName name="IQ_EXTRA_ITEMS_OTHER_ADJUSTMENTS_FOREIGN_FFIEC" hidden="1">"c15392"</definedName>
    <definedName name="IQ_EXTRAORDINARY_GAINS_FDIC" hidden="1">"c6586"</definedName>
    <definedName name="IQ_EXTRAORDINARY_ITEMS_FFIEC" hidden="1">"c13033"</definedName>
    <definedName name="IQ_FAD" hidden="1">"c8757"</definedName>
    <definedName name="IQ_FAD_PAYOUT_RATIO" hidden="1">"c8872"</definedName>
    <definedName name="IQ_FAIR_VALUE_CHANGE_INCL_EARNINGS" hidden="1">"c13849"</definedName>
    <definedName name="IQ_FAIR_VALUE_FDIC" hidden="1">"c6427"</definedName>
    <definedName name="IQ_FARM_LOANS_NET_FDIC" hidden="1">"c6316"</definedName>
    <definedName name="IQ_FARM_LOANS_TOT_LOANS_FFIEC" hidden="1">"c13870"</definedName>
    <definedName name="IQ_FARM_LOANS_TOTAL_LOANS_FOREIGN_FDIC" hidden="1">"c6450"</definedName>
    <definedName name="IQ_FARMLAND_DOM_FFIEC" hidden="1">"c15268"</definedName>
    <definedName name="IQ_FARMLAND_LOANS_FDIC" hidden="1">"c6314"</definedName>
    <definedName name="IQ_FDIC" hidden="1">"c417"</definedName>
    <definedName name="IQ_FDIC_DEPOSIT_INSURANCE_FFIEC" hidden="1">"c13053"</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_PURCHASED_SEC_SOLD_REPURCHASE_FFIEC" hidden="1">"c15489"</definedName>
    <definedName name="IQ_FED_FUND_SOLD_SEC_PURCHASED_RESELL_FFIEC" hidden="1">"c15488"</definedName>
    <definedName name="IQ_FED_FUNDS_PURCH_SEC_SOLD_FAIR_VALUE_TOT_FFIEC" hidden="1">"c15406"</definedName>
    <definedName name="IQ_FED_FUNDS_PURCH_SEC_SOLD_LEVEL_1_FFIEC" hidden="1">"c15428"</definedName>
    <definedName name="IQ_FED_FUNDS_PURCH_SEC_SOLD_LEVEL_2_FFIEC" hidden="1">"c15441"</definedName>
    <definedName name="IQ_FED_FUNDS_PURCH_SEC_SOLD_LEVEL_3_FFIEC" hidden="1">"c15454"</definedName>
    <definedName name="IQ_FED_FUNDS_PURCHASED_DOM_FFIEC" hidden="1">"c12856"</definedName>
    <definedName name="IQ_FED_FUNDS_PURCHASED_FDIC" hidden="1">"c6343"</definedName>
    <definedName name="IQ_FED_FUNDS_PURCHASED_QUARTERLY_AVG_FFIEC" hidden="1">"c13090"</definedName>
    <definedName name="IQ_FED_FUNDS_SOLD_DOM_FFIEC" hidden="1">"c12806"</definedName>
    <definedName name="IQ_FED_FUNDS_SOLD_FDIC" hidden="1">"c6307"</definedName>
    <definedName name="IQ_FED_FUNDS_SOLD_QUARTERLY_AVG_FFIEC" hidden="1">"c13080"</definedName>
    <definedName name="IQ_FED_FUNDS_SOLD_SEC_PURCH_FAIR_VALUE_TOT_FFIEC" hidden="1">"c15402"</definedName>
    <definedName name="IQ_FED_FUNDS_SOLD_SEC_PURCH_LEVEL_1_FFIEC" hidden="1">"c15424"</definedName>
    <definedName name="IQ_FED_FUNDS_SOLD_SEC_PURCH_LEVEL_2_FFIEC" hidden="1">"c15437"</definedName>
    <definedName name="IQ_FED_FUNDS_SOLD_SEC_PURCH_LEVEL_3_FFIEC" hidden="1">"c15450"</definedName>
    <definedName name="IQ_FEDFUNDS_SOLD" hidden="1">"c2256"</definedName>
    <definedName name="IQ_FEES_COMMISSIONS_BROKERAGE_FFIEC" hidden="1">"c13005"</definedName>
    <definedName name="IQ_FEES_OTHER_INCOME" hidden="1">"c15257"</definedName>
    <definedName name="IQ_FFO" hidden="1">"c1574"</definedName>
    <definedName name="IQ_FFO_ACT_OR_EST" hidden="1">"c2216"</definedName>
    <definedName name="IQ_FFO_ADJ_ACT_OR_EST" hidden="1">"c4435"</definedName>
    <definedName name="IQ_FFO_ADJ_ACT_OR_EST_CIQ" hidden="1">"c4960"</definedName>
    <definedName name="IQ_FFO_ADJ_EST" hidden="1">"c4434"</definedName>
    <definedName name="IQ_FFO_ADJ_EST_CIQ" hidden="1">"c4959"</definedName>
    <definedName name="IQ_FFO_ADJ_GUIDANCE" hidden="1">"c4436"</definedName>
    <definedName name="IQ_FFO_ADJ_GUIDANCE_CIQ" hidden="1">"c4961"</definedName>
    <definedName name="IQ_FFO_ADJ_HIGH_EST" hidden="1">"c4437"</definedName>
    <definedName name="IQ_FFO_ADJ_HIGH_EST_CIQ" hidden="1">"c4962"</definedName>
    <definedName name="IQ_FFO_ADJ_HIGH_GUIDANCE" hidden="1">"c4202"</definedName>
    <definedName name="IQ_FFO_ADJ_HIGH_GUIDANCE_CIQ" hidden="1">"c4614"</definedName>
    <definedName name="IQ_FFO_ADJ_LOW_EST" hidden="1">"c4438"</definedName>
    <definedName name="IQ_FFO_ADJ_LOW_EST_CIQ" hidden="1">"c4963"</definedName>
    <definedName name="IQ_FFO_ADJ_LOW_GUIDANCE" hidden="1">"c4242"</definedName>
    <definedName name="IQ_FFO_ADJ_LOW_GUIDANCE_CIQ" hidden="1">"c4654"</definedName>
    <definedName name="IQ_FFO_ADJ_MEDIAN_EST" hidden="1">"c4439"</definedName>
    <definedName name="IQ_FFO_ADJ_MEDIAN_EST_CIQ" hidden="1">"c4964"</definedName>
    <definedName name="IQ_FFO_ADJ_NUM_EST" hidden="1">"c4440"</definedName>
    <definedName name="IQ_FFO_ADJ_NUM_EST_CIQ" hidden="1">"c4965"</definedName>
    <definedName name="IQ_FFO_ADJ_STDDEV_EST" hidden="1">"c4441"</definedName>
    <definedName name="IQ_FFO_ADJ_STDDEV_EST_CIQ" hidden="1">"c4966"</definedName>
    <definedName name="IQ_FFO_EST" hidden="1">"c418"</definedName>
    <definedName name="IQ_FFO_EST_CIQ" hidden="1">"c3668"</definedName>
    <definedName name="IQ_FFO_EST_REUT" hidden="1">"c3837"</definedName>
    <definedName name="IQ_FFO_EST_THOM" hidden="1">"c3999"</definedName>
    <definedName name="IQ_FFO_GUIDANCE" hidden="1">"c4443"</definedName>
    <definedName name="IQ_FFO_GUIDANCE_CIQ" hidden="1">"c4968"</definedName>
    <definedName name="IQ_FFO_HIGH_EST" hidden="1">"c419"</definedName>
    <definedName name="IQ_FFO_HIGH_EST_CIQ" hidden="1">"c3670"</definedName>
    <definedName name="IQ_FFO_HIGH_EST_REUT" hidden="1">"c3839"</definedName>
    <definedName name="IQ_FFO_HIGH_EST_THOM" hidden="1">"c4001"</definedName>
    <definedName name="IQ_FFO_HIGH_GUIDANCE" hidden="1">"c4184"</definedName>
    <definedName name="IQ_FFO_HIGH_GUIDANCE_CIQ" hidden="1">"c4596"</definedName>
    <definedName name="IQ_FFO_LOW_EST" hidden="1">"c420"</definedName>
    <definedName name="IQ_FFO_LOW_EST_CIQ" hidden="1">"c3671"</definedName>
    <definedName name="IQ_FFO_LOW_EST_REUT" hidden="1">"c3840"</definedName>
    <definedName name="IQ_FFO_LOW_EST_THOM" hidden="1">"c4002"</definedName>
    <definedName name="IQ_FFO_LOW_GUIDANCE" hidden="1">"c4224"</definedName>
    <definedName name="IQ_FFO_LOW_GUIDANCE_CIQ" hidden="1">"c4636"</definedName>
    <definedName name="IQ_FFO_MEDIAN_EST" hidden="1">"c1665"</definedName>
    <definedName name="IQ_FFO_MEDIAN_EST_CIQ" hidden="1">"c3669"</definedName>
    <definedName name="IQ_FFO_MEDIAN_EST_REUT" hidden="1">"c3838"</definedName>
    <definedName name="IQ_FFO_MEDIAN_EST_THOM" hidden="1">"c4000"</definedName>
    <definedName name="IQ_FFO_NO_EST" hidden="1">"c276"</definedName>
    <definedName name="IQ_FFO_NUM_EST" hidden="1">"c421"</definedName>
    <definedName name="IQ_FFO_NUM_EST_CIQ" hidden="1">"c3672"</definedName>
    <definedName name="IQ_FFO_NUM_EST_REUT" hidden="1">"c3841"</definedName>
    <definedName name="IQ_FFO_NUM_EST_THOM" hidden="1">"c4003"</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ACT_OR_EST_CIQ" hidden="1">"c4971"</definedName>
    <definedName name="IQ_FFO_SHARE_EST" hidden="1">"c4445"</definedName>
    <definedName name="IQ_FFO_SHARE_EST_CIQ" hidden="1">"c4970"</definedName>
    <definedName name="IQ_FFO_SHARE_EST_REUT" hidden="1">"c3837"</definedName>
    <definedName name="IQ_FFO_SHARE_GUIDANCE" hidden="1">"c4447"</definedName>
    <definedName name="IQ_FFO_SHARE_GUIDANCE_CIQ" hidden="1">"c4976"</definedName>
    <definedName name="IQ_FFO_SHARE_HIGH_EST" hidden="1">"c4448"</definedName>
    <definedName name="IQ_FFO_SHARE_HIGH_EST_CIQ" hidden="1">"c4977"</definedName>
    <definedName name="IQ_FFO_SHARE_HIGH_EST_REUT" hidden="1">"c3839"</definedName>
    <definedName name="IQ_FFO_SHARE_HIGH_GUIDANCE" hidden="1">"c4203"</definedName>
    <definedName name="IQ_FFO_SHARE_HIGH_GUIDANCE_CIQ" hidden="1">"c4615"</definedName>
    <definedName name="IQ_FFO_SHARE_LOW_EST" hidden="1">"c4449"</definedName>
    <definedName name="IQ_FFO_SHARE_LOW_EST_CIQ" hidden="1">"c4978"</definedName>
    <definedName name="IQ_FFO_SHARE_LOW_EST_REUT" hidden="1">"c3840"</definedName>
    <definedName name="IQ_FFO_SHARE_LOW_GUIDANCE" hidden="1">"c4243"</definedName>
    <definedName name="IQ_FFO_SHARE_LOW_GUIDANCE_CIQ" hidden="1">"c4655"</definedName>
    <definedName name="IQ_FFO_SHARE_MEDIAN_EST" hidden="1">"c4450"</definedName>
    <definedName name="IQ_FFO_SHARE_MEDIAN_EST_CIQ" hidden="1">"c4979"</definedName>
    <definedName name="IQ_FFO_SHARE_MEDIAN_EST_REUT" hidden="1">"c3838"</definedName>
    <definedName name="IQ_FFO_SHARE_NUM_EST" hidden="1">"c4451"</definedName>
    <definedName name="IQ_FFO_SHARE_NUM_EST_CIQ" hidden="1">"c4980"</definedName>
    <definedName name="IQ_FFO_SHARE_NUM_EST_REUT" hidden="1">"c3841"</definedName>
    <definedName name="IQ_FFO_SHARE_SHARE_EST_REUT" hidden="1">"c3837"</definedName>
    <definedName name="IQ_FFO_SHARE_SHARE_HIGH_EST_REUT" hidden="1">"c3839"</definedName>
    <definedName name="IQ_FFO_SHARE_SHARE_LOW_EST_REUT" hidden="1">"c3840"</definedName>
    <definedName name="IQ_FFO_SHARE_SHARE_MEDIAN_EST_REUT" hidden="1">"c3838"</definedName>
    <definedName name="IQ_FFO_SHARE_SHARE_NUM_EST_REUT" hidden="1">"c3841"</definedName>
    <definedName name="IQ_FFO_SHARE_SHARE_STDDEV_EST_REUT" hidden="1">"c3842"</definedName>
    <definedName name="IQ_FFO_SHARE_STDDEV_EST" hidden="1">"c4452"</definedName>
    <definedName name="IQ_FFO_SHARE_STDDEV_EST_CIQ" hidden="1">"c4981"</definedName>
    <definedName name="IQ_FFO_SHARE_STDDEV_EST_REUT" hidden="1">"c3842"</definedName>
    <definedName name="IQ_FFO_STDDEV_EST" hidden="1">"c422"</definedName>
    <definedName name="IQ_FFO_STDDEV_EST_CIQ" hidden="1">"c3673"</definedName>
    <definedName name="IQ_FFO_STDDEV_EST_REUT" hidden="1">"c3842"</definedName>
    <definedName name="IQ_FFO_STDDEV_EST_THOM" hidden="1">"c4004"</definedName>
    <definedName name="IQ_FH" hidden="1">100000</definedName>
    <definedName name="IQ_FHLB_ADVANCES_FDIC" hidden="1">"c6366"</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DUCIARY_INCOME_OPERATING_INC_FFIEC" hidden="1">"c13383"</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AL_LOC_FOREIGN_GUARANTEES_FFIEC" hidden="1">"c13249"</definedName>
    <definedName name="IQ_FINANCIAL_SERVICING_ASSETS_FAIR_VALUE_TOT_FFIEC" hidden="1">"c13212"</definedName>
    <definedName name="IQ_FINANCIAL_SERVICING_ASSETS_LEVEL_1_FFIEC" hidden="1">"c13220"</definedName>
    <definedName name="IQ_FINANCIAL_SERVICING_ASSETS_LEVEL_2_FFIEC" hidden="1">"c13228"</definedName>
    <definedName name="IQ_FINANCIAL_SERVICING_ASSETS_LEVEL_3_FFIEC" hidden="1">"c13236"</definedName>
    <definedName name="IQ_FINANCIAL_SERVICING_LIAB_FAIR_VALUE_TOT_FFIEC" hidden="1">"c13215"</definedName>
    <definedName name="IQ_FINANCIAL_SERVICING_LIAB_LEVEL_1_FFIEC" hidden="1">"c13223"</definedName>
    <definedName name="IQ_FINANCIAL_SERVICING_LIAB_LEVEL_2_FFIEC" hidden="1">"c13231"</definedName>
    <definedName name="IQ_FINANCIAL_SERVICING_LIAB_LEVEL_3_FFIEC" hidden="1">"c13239"</definedName>
    <definedName name="IQ_FINANCING_CASH" hidden="1">"c1405"</definedName>
    <definedName name="IQ_FINANCING_CASH_SUPPL" hidden="1">"c1406"</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REUT" hidden="1">"c6798"</definedName>
    <definedName name="IQ_FISCAL_Y" hidden="1">"c441"</definedName>
    <definedName name="IQ_FISCAL_Y_EST" hidden="1">"c6795"</definedName>
    <definedName name="IQ_FISCAL_Y_EST_CIQ" hidden="1">"c6807"</definedName>
    <definedName name="IQ_FISCAL_Y_EST_REUT" hidden="1">"c6799"</definedName>
    <definedName name="IQ_FIVE_PERCENT_AMOUNT" hidden="1">"c240"</definedName>
    <definedName name="IQ_FIVE_PERCENT_OWNER" hidden="1">"c442"</definedName>
    <definedName name="IQ_FIVE_YEAR_FIXED_AND_FLOATING_RATE_FDIC" hidden="1">"c6422"</definedName>
    <definedName name="IQ_FIVE_YEAR_MORTGAGE_PASS_THROUGHS_FDIC" hidden="1">"c6414"</definedName>
    <definedName name="IQ_FIVEPERCENT_OWNER" hidden="1">"c239"</definedName>
    <definedName name="IQ_FIVEPERCENT_PERCENT" hidden="1">"c443"</definedName>
    <definedName name="IQ_FIVEPERCENT_SHARES" hidden="1">"c444"</definedName>
    <definedName name="IQ_FIX_FREQUENCY" hidden="1">"c8964"</definedName>
    <definedName name="IQ_FIXED_ASSET_TURNS" hidden="1">"c445"</definedName>
    <definedName name="IQ_FIXED_INCOME_LIST" hidden="1">"c13504"</definedName>
    <definedName name="IQ_FIXED_INVEST_APR_FC_UNUSED" hidden="1">"c8410"</definedName>
    <definedName name="IQ_FIXED_INVEST_APR_FC_UNUSED_UNUSED_UNUSED" hidden="1">"c8410"</definedName>
    <definedName name="IQ_FIXED_INVEST_APR_UNUSED" hidden="1">"c7530"</definedName>
    <definedName name="IQ_FIXED_INVEST_APR_UNUSED_UNUSED_UNUSED" hidden="1">"c7530"</definedName>
    <definedName name="IQ_FIXED_INVEST_FC_UNUSED" hidden="1">"c7750"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FC_UNUSED_UNUSED_UNUSED" hidden="1">"c7970"</definedName>
    <definedName name="IQ_FIXED_INVEST_POP_UNUSED" hidden="1">"c7090"</definedName>
    <definedName name="IQ_FIXED_INVEST_POP_UNUSED_UNUSED_UNUSED" hidden="1">"c7090"</definedName>
    <definedName name="IQ_FIXED_INVEST_REAL_APR_FC_UNUSED" hidden="1">"c8518"</definedName>
    <definedName name="IQ_FIXED_INVEST_REAL_APR_FC_UNUSED_UNUSED_UNUSED" hidden="1">"c8518"</definedName>
    <definedName name="IQ_FIXED_INVEST_REAL_APR_UNUSED" hidden="1">"c7638"</definedName>
    <definedName name="IQ_FIXED_INVEST_REAL_APR_UNUSED_UNUSED_UNUSED" hidden="1">"c7638"</definedName>
    <definedName name="IQ_FIXED_INVEST_REAL_FC_UNUSED" hidden="1">"c7858"</definedName>
    <definedName name="IQ_FIXED_INVEST_REAL_FC_UNUSED_UNUSED_UNUSED" hidden="1">"c7858"</definedName>
    <definedName name="IQ_FIXED_INVEST_REAL_POP_FC_UNUSED" hidden="1">"c8078"</definedName>
    <definedName name="IQ_FIXED_INVEST_REAL_POP_FC_UNUSED_UNUSED_UNUSED" hidden="1">"c8078"</definedName>
    <definedName name="IQ_FIXED_INVEST_REAL_POP_UNUSED" hidden="1">"c7198"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FC_UNUSED_UNUSED_UNUSED" hidden="1">"c8298"</definedName>
    <definedName name="IQ_FIXED_INVEST_REAL_YOY_UNUSED" hidden="1">"c7418"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FC_UNUSED_UNUSED_UNUSED" hidden="1">"c8190"</definedName>
    <definedName name="IQ_FIXED_INVEST_YOY_UNUSED" hidden="1">"c7310"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_GNMA_LOANS_FFIEC" hidden="1">"c15272"</definedName>
    <definedName name="IQ_FORECLOSED_PROPERTIES_FDIC" hidden="1">"c6459"</definedName>
    <definedName name="IQ_FOREIGN_BANK_LOANS_FDIC" hidden="1">"c6437"</definedName>
    <definedName name="IQ_FOREIGN_BANKS_DEPOSITS_FOREIGN_FDIC" hidden="1">"c6481"</definedName>
    <definedName name="IQ_FOREIGN_BANKS_DUE_30_89_FFIEC" hidden="1">"c13269"</definedName>
    <definedName name="IQ_FOREIGN_BANKS_DUE_90_FFIEC" hidden="1">"c13295"</definedName>
    <definedName name="IQ_FOREIGN_BANKS_LOAN_CHARG_OFFS_FDIC" hidden="1">"c6645"</definedName>
    <definedName name="IQ_FOREIGN_BANKS_NET_CHARGE_OFFS_FDIC" hidden="1">"c6647"</definedName>
    <definedName name="IQ_FOREIGN_BANKS_NON_ACCRUAL_FFIEC" hidden="1">"c13321"</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ASSETS_TOT_FFIEC" hidden="1">"c13445"</definedName>
    <definedName name="IQ_FOREIGN_DEPOSITS_NONTRANSACTION_ACCOUNTS_FDIC" hidden="1">"c6549"</definedName>
    <definedName name="IQ_FOREIGN_DEPOSITS_TOT_FFIEC" hidden="1">"c13486"</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GOVT_OFFICIAL_INST_FOREIGN_DEP_FFIEC" hidden="1">"c15345"</definedName>
    <definedName name="IQ_FOREIGN_GOVT_OFFICIAL_INST_NON_TRANS_ACCTS_FFIEC" hidden="1">"c15327"</definedName>
    <definedName name="IQ_FOREIGN_GOVT_OFFICIAL_INST_TRANS_ACCTS_FFIEC" hidden="1">"c15319"</definedName>
    <definedName name="IQ_FOREIGN_LL_REC_FFIEC" hidden="1">"c12892"</definedName>
    <definedName name="IQ_FOREIGN_LOANS" hidden="1">"c448"</definedName>
    <definedName name="IQ_FOREIGN_LOANS_LEASES_FOREIGN_FFIEC" hidden="1">"c13478"</definedName>
    <definedName name="IQ_FOUNDATION_OVER_TOTAL" hidden="1">"c13769"</definedName>
    <definedName name="IQ_FQ" hidden="1">500</definedName>
    <definedName name="IQ_FUEL" hidden="1">"c449"</definedName>
    <definedName name="IQ_FULL_TIME" hidden="1">"c450"</definedName>
    <definedName name="IQ_FULLY_INSURED_BROKERED_DEPOSITS_FFIEC" hidden="1">"c15305"</definedName>
    <definedName name="IQ_FULLY_INSURED_DEPOSITS_FDIC" hidden="1">"c6487"</definedName>
    <definedName name="IQ_FUND_FEE_INC_NON_INT_INC_FFIEC" hidden="1">"c13493"</definedName>
    <definedName name="IQ_FUND_NAV" hidden="1">"c15225"</definedName>
    <definedName name="IQ_FUNDING_DEPENDENCE_FFIEC" hidden="1">"c13336"</definedName>
    <definedName name="IQ_FUNDING_DEPENDENCE_ST_FFIEC" hidden="1">"c13337"</definedName>
    <definedName name="IQ_FUNDS_PURCHASED_ASSETS_TOT_FFIEC" hidden="1">"c13446"</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FFIEC" hidden="1">"c13125"</definedName>
    <definedName name="IQ_FX_CONTRACTS_SPOT_FDIC" hidden="1">"c6356"</definedName>
    <definedName name="IQ_FX_EXPOSURE_FFIEC" hidden="1">"c13059"</definedName>
    <definedName name="IQ_FY" hidden="1">1000</definedName>
    <definedName name="IQ_FY_DATE" hidden="1">"FY_DATE"</definedName>
    <definedName name="IQ_GA_EXP" hidden="1">"c2241"</definedName>
    <definedName name="IQ_GAAP_BS" hidden="1">"c6789"</definedName>
    <definedName name="IQ_GAAP_CF" hidden="1">"c6790"</definedName>
    <definedName name="IQ_GAAP_EST_CIQ" hidden="1">"c13924"</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 hidden="1">"c13066"</definedName>
    <definedName name="IQ_GAIN_CREDIT_DERIVATIVES_NON_TRADING_FFIEC" hidden="1">"c13067"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C_BNK" hidden="1">"c488"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LOSS_HTM_AFS_SECURITIES_FOREIGN_FFIEC" hidden="1">"c15384"</definedName>
    <definedName name="IQ_GAIN_SALE_ASSETS" hidden="1">"c1377"</definedName>
    <definedName name="IQ_GAIN_SALE_LOANS_FDIC" hidden="1">"c6673"</definedName>
    <definedName name="IQ_GAIN_SALE_RE_FDIC" hidden="1">"c6674"</definedName>
    <definedName name="IQ_GAINS_AFS_AVG_ASSETS_FFIEC" hidden="1">"c13364"</definedName>
    <definedName name="IQ_GAINS_ASSETS_TOT_FFIEC" hidden="1">"c13073"</definedName>
    <definedName name="IQ_GAINS_AVAIL_SALE_EQUITY_SEC_T2_FFIEC" hidden="1">"c13147"</definedName>
    <definedName name="IQ_GAINS_AVAIL_SALE_SEC_T1_FFIEC" hidden="1">"c13131"</definedName>
    <definedName name="IQ_GAINS_CASH_FLOW_HEDGES_T1_FFIEC" hidden="1">"c13133"</definedName>
    <definedName name="IQ_GAINS_HTM_AVG_ASSETS_FFIEC" hidden="1">"c13363"</definedName>
    <definedName name="IQ_GAINS_INSTRUMENT_SPECIFIC_CREDIT_RISK_LIAB_FFIEC" hidden="1">"c13076"</definedName>
    <definedName name="IQ_GAINS_INSTRUMENT_SPECIFIC_RISK_FFIEC" hidden="1">"c13074"</definedName>
    <definedName name="IQ_GAINS_INSURANCE_ACTIVITIES_FFIEC" hidden="1">"c13072"</definedName>
    <definedName name="IQ_GAINS_LIABILITIES_FFIEC" hidden="1">"c13075"</definedName>
    <definedName name="IQ_GAINS_SALE_ASSETS_FDIC" hidden="1">"c6675"</definedName>
    <definedName name="IQ_GAINS_SALE_LOANS_LEASES_FFIEC" hidden="1">"c13013"</definedName>
    <definedName name="IQ_GAINS_SALE_OTHER_ASSETS_FFIEC" hidden="1">"c13015"</definedName>
    <definedName name="IQ_GAINS_SALE_OTHER_RE_OWNED_FFIEC" hidden="1">"c13014"</definedName>
    <definedName name="IQ_GAINS_SECURITIZATION_OPERATING_INC_FFIEC" hidden="1">"c13391"</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NERAL_ALLOWANCE" hidden="1">"c15248"</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FFIEC" hidden="1">"c12836"</definedName>
    <definedName name="IQ_GOODWILL_IMPAIRMENT_FDIC" hidden="1">"c6678"</definedName>
    <definedName name="IQ_GOODWILL_IMPAIRMENT_FFIEC" hidden="1">"c13025"</definedName>
    <definedName name="IQ_GOODWILL_INTAN_FDIC" hidden="1">"c6333"</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GW" hidden="1">"c519"</definedName>
    <definedName name="IQ_GROSS_INTAN" hidden="1">"c520"</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_AVG_LOANS_FFIEC" hidden="1">"c13475"</definedName>
    <definedName name="IQ_GROSS_MARGIN" hidden="1">"c529"</definedName>
    <definedName name="IQ_GROSS_MARGIN_ACT_OR_EST" hidden="1">"c5554"</definedName>
    <definedName name="IQ_GROSS_MARGIN_ACT_OR_EST_THOM" hidden="1">"c5562"</definedName>
    <definedName name="IQ_GROSS_MARGIN_EST" hidden="1">"c5547"</definedName>
    <definedName name="IQ_GROSS_MARGIN_EST_THOM" hidden="1">"c5555"</definedName>
    <definedName name="IQ_GROSS_MARGIN_HIGH_EST" hidden="1">"c5549"</definedName>
    <definedName name="IQ_GROSS_MARGIN_HIGH_EST_THOM" hidden="1">"c5557"</definedName>
    <definedName name="IQ_GROSS_MARGIN_LOW_EST" hidden="1">"c5550"</definedName>
    <definedName name="IQ_GROSS_MARGIN_LOW_EST_THOM" hidden="1">"c5558"</definedName>
    <definedName name="IQ_GROSS_MARGIN_MEDIAN_EST" hidden="1">"c5548"</definedName>
    <definedName name="IQ_GROSS_MARGIN_MEDIAN_EST_THOM" hidden="1">"c5556"</definedName>
    <definedName name="IQ_GROSS_MARGIN_NUM_EST" hidden="1">"c5551"</definedName>
    <definedName name="IQ_GROSS_MARGIN_NUM_EST_THOM" hidden="1">"c5559"</definedName>
    <definedName name="IQ_GROSS_MARGIN_STDDEV_EST" hidden="1">"c5552"</definedName>
    <definedName name="IQ_GROSS_MARGIN_STDDEV_EST_THOM" hidden="1">"c5560"</definedName>
    <definedName name="IQ_GROSS_PC_EARNED" hidden="1">"c2747"</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DGEFUND_OVER_TOTAL" hidden="1">"c13771"</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HOTEL_MOTEL" hidden="1">"c8731"</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CASINO_GAMING" hidden="1">"c8723"</definedName>
    <definedName name="IQ_HG_REV_TOTAL_HOTEL_MOTEL" hidden="1">"c8732"</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LOW_CLOSEPRICE_DATE" hidden="1">"c1204"</definedName>
    <definedName name="IQ_HIGH_TARGET_PRICE" hidden="1">"c1651"</definedName>
    <definedName name="IQ_HIGH_TARGET_PRICE_CIQ" hidden="1">"c4659"</definedName>
    <definedName name="IQ_HIGH_TARGET_PRICE_REUT" hidden="1">"c5317"</definedName>
    <definedName name="IQ_HIGH_TARGET_PRICE_THOM" hidden="1">"c5096"</definedName>
    <definedName name="IQ_HIGHPRICE" hidden="1">"c545"</definedName>
    <definedName name="IQ_HOLDER_CIQID" hidden="1">"c13787"</definedName>
    <definedName name="IQ_HOLDER_CIQID_SECURITY" hidden="1">"c13794"</definedName>
    <definedName name="IQ_HOLDER_DERIVATIVES" hidden="1">"c13789"</definedName>
    <definedName name="IQ_HOLDER_DERIVATIVES_SECURITY" hidden="1">"c13796"</definedName>
    <definedName name="IQ_HOLDER_NAME" hidden="1">"c13786"</definedName>
    <definedName name="IQ_HOLDER_NAME_SECURITY" hidden="1">"c13793"</definedName>
    <definedName name="IQ_HOLDER_PERCENT" hidden="1">"c13790"</definedName>
    <definedName name="IQ_HOLDER_PERCENT_SECURITY" hidden="1">"c13831"</definedName>
    <definedName name="IQ_HOLDER_POSITION_DATE" hidden="1">"c13792"</definedName>
    <definedName name="IQ_HOLDER_POSITION_DATE_SECURITY" hidden="1">"c13798"</definedName>
    <definedName name="IQ_HOLDER_SHARES" hidden="1">"c13788"</definedName>
    <definedName name="IQ_HOLDER_SHARES_SECURITY" hidden="1">"c13795"</definedName>
    <definedName name="IQ_HOLDER_VALUE" hidden="1">"c13791"</definedName>
    <definedName name="IQ_HOLDER_VALUE_SECURITY" hidden="1">"c13797"</definedName>
    <definedName name="IQ_HOLDING_CIQID" hidden="1">"c13802"</definedName>
    <definedName name="IQ_HOLDING_NAME" hidden="1">"c13799"</definedName>
    <definedName name="IQ_HOLDING_PERCENT" hidden="1">"c13805"</definedName>
    <definedName name="IQ_HOLDING_PERCENT_PORTFOLIO" hidden="1">"c13806"</definedName>
    <definedName name="IQ_HOLDING_POSITION_DATE" hidden="1">"c13808"</definedName>
    <definedName name="IQ_HOLDING_SECURITY_TYPE" hidden="1">"c13803"</definedName>
    <definedName name="IQ_HOLDING_SHARES" hidden="1">"c13804"</definedName>
    <definedName name="IQ_HOLDING_TICKER" hidden="1">"c13800"</definedName>
    <definedName name="IQ_HOLDING_TRADING_ITEM_CIQID" hidden="1">"c13801"</definedName>
    <definedName name="IQ_HOLDING_VALUE" hidden="1">"c13807"</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ANS_TOT_LOANS_FFIEC" hidden="1">"c13867"</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FC_UNUSED_UNUSED_UNUSED" hidden="1">"c8422"</definedName>
    <definedName name="IQ_HOUSING_COMPLETIONS_SINGLE_FAM_APR_UNUSED" hidden="1">"c7542"</definedName>
    <definedName name="IQ_HOUSING_COMPLETIONS_SINGLE_FAM_APR_UNUSED_UNUSED_UNUSED" hidden="1">"c7542"</definedName>
    <definedName name="IQ_HOUSING_COMPLETIONS_SINGLE_FAM_FC_UNUSED" hidden="1">"c7762"</definedName>
    <definedName name="IQ_HOUSING_COMPLETIONS_SINGLE_FAM_FC_UNUSED_UNUSED_UNUSED" hidden="1">"c7762"</definedName>
    <definedName name="IQ_HOUSING_COMPLETIONS_SINGLE_FAM_POP_FC_UNUSED" hidden="1">"c7982"</definedName>
    <definedName name="IQ_HOUSING_COMPLETIONS_SINGLE_FAM_POP_FC_UNUSED_UNUSED_UNUSED" hidden="1">"c7982"</definedName>
    <definedName name="IQ_HOUSING_COMPLETIONS_SINGLE_FAM_POP_UNUSED" hidden="1">"c7102"</definedName>
    <definedName name="IQ_HOUSING_COMPLETIONS_SINGLE_FAM_POP_UNUSED_UNUSED_UNUSED" hidden="1">"c7102"</definedName>
    <definedName name="IQ_HOUSING_COMPLETIONS_SINGLE_FAM_UNUSED" hidden="1">"c6882"</definedName>
    <definedName name="IQ_HOUSING_COMPLETIONS_SINGLE_FAM_UNUSED_UNUSED_UNUSED" hidden="1">"c6882"</definedName>
    <definedName name="IQ_HOUSING_COMPLETIONS_SINGLE_FAM_YOY_FC_UNUSED" hidden="1">"c8202"</definedName>
    <definedName name="IQ_HOUSING_COMPLETIONS_SINGLE_FAM_YOY_FC_UNUSED_UNUSED_UNUSED" hidden="1">"c8202"</definedName>
    <definedName name="IQ_HOUSING_COMPLETIONS_SINGLE_FAM_YOY_UNUSED" hidden="1">"c7322"</definedName>
    <definedName name="IQ_HOUSING_COMPLETIONS_SINGLE_FAM_YOY_UNUSED_UNUSED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HTM_INVEST_SECURITIES_FFIEC" hidden="1">"c13455"</definedName>
    <definedName name="IQ_HTM_SECURITIES_TIER_1_FFIEC" hidden="1">"c13342"</definedName>
    <definedName name="IQ_HYBRID_CAPITAL" hidden="1">"c15245"</definedName>
    <definedName name="IQ_HYBRID_STRUCTURED_PRODUCTS_AVAIL_SALE_FFIEC" hidden="1">"c15265"</definedName>
    <definedName name="IQ_HYBRID_STRUCTURED_PRODUCTS_FFIEC" hidden="1">"c15262"</definedName>
    <definedName name="IQ_IB_ADVISORY_UNDERWRITING_FEES_FOREIGN_FFIEC" hidden="1">"c15378"</definedName>
    <definedName name="IQ_IBF_COMM_INDUST_LOANS_FFIEC" hidden="1">"c15298"</definedName>
    <definedName name="IQ_IBF_DEPOSIT_LIABILITIES_DUE_TO_BANKS_FFIEC" hidden="1">"c15300"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ED_LOANS" hidden="1">"c15250"</definedName>
    <definedName name="IQ_IMPAIRMENT_GW" hidden="1">"c548"</definedName>
    <definedName name="IQ_IMPAIRMENT_GW_SUPPLE" hidden="1">"c13811"</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FC_UNUSED_UNUSED_UNUSED" hidden="1">"c8523"</definedName>
    <definedName name="IQ_IMPORTS_GOODS_REAL_SAAR_APR_UNUSED" hidden="1">"c7643"</definedName>
    <definedName name="IQ_IMPORTS_GOODS_REAL_SAAR_APR_UNUSED_UNUSED_UNUSED" hidden="1">"c7643"</definedName>
    <definedName name="IQ_IMPORTS_GOODS_REAL_SAAR_FC_UNUSED" hidden="1">"c7863"</definedName>
    <definedName name="IQ_IMPORTS_GOODS_REAL_SAAR_FC_UNUSED_UNUSED_UNUSED" hidden="1">"c7863"</definedName>
    <definedName name="IQ_IMPORTS_GOODS_REAL_SAAR_POP_FC_UNUSED" hidden="1">"c8083"</definedName>
    <definedName name="IQ_IMPORTS_GOODS_REAL_SAAR_POP_FC_UNUSED_UNUSED_UNUSED" hidden="1">"c8083"</definedName>
    <definedName name="IQ_IMPORTS_GOODS_REAL_SAAR_POP_UNUSED" hidden="1">"c7203"</definedName>
    <definedName name="IQ_IMPORTS_GOODS_REAL_SAAR_POP_UNUSED_UNUSED_UNUSED" hidden="1">"c7203"</definedName>
    <definedName name="IQ_IMPORTS_GOODS_REAL_SAAR_UNUSED" hidden="1">"c6983"</definedName>
    <definedName name="IQ_IMPORTS_GOODS_REAL_SAAR_UNUSED_UNUSED_UNUSED" hidden="1">"c6983"</definedName>
    <definedName name="IQ_IMPORTS_GOODS_REAL_SAAR_YOY_FC_UNUSED" hidden="1">"c8303"</definedName>
    <definedName name="IQ_IMPORTS_GOODS_REAL_SAAR_YOY_FC_UNUSED_UNUSED_UNUSED" hidden="1">"c8303"</definedName>
    <definedName name="IQ_IMPORTS_GOODS_REAL_SAAR_YOY_UNUSED" hidden="1">"c7423"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FC_UNUSED_UNUSED_UNUSED" hidden="1">"c8429"</definedName>
    <definedName name="IQ_IMPORTS_GOODS_SERVICES_APR_UNUSED" hidden="1">"c7549"</definedName>
    <definedName name="IQ_IMPORTS_GOODS_SERVICES_APR_UNUSED_UNUSED_UNUSED" hidden="1">"c7549"</definedName>
    <definedName name="IQ_IMPORTS_GOODS_SERVICES_FC_UNUSED" hidden="1">"c7769"</definedName>
    <definedName name="IQ_IMPORTS_GOODS_SERVICES_FC_UNUSED_UNUSED_UNUSED" hidden="1">"c7769"</definedName>
    <definedName name="IQ_IMPORTS_GOODS_SERVICES_POP_FC_UNUSED" hidden="1">"c7989"</definedName>
    <definedName name="IQ_IMPORTS_GOODS_SERVICES_POP_FC_UNUSED_UNUSED_UNUSED" hidden="1">"c7989"</definedName>
    <definedName name="IQ_IMPORTS_GOODS_SERVICES_POP_UNUSED" hidden="1">"c7109"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FC_UNUSED_UNUSED_UNUSED" hidden="1">"c8524"</definedName>
    <definedName name="IQ_IMPORTS_GOODS_SERVICES_REAL_SAAR_APR_UNUSED" hidden="1">"c7644"</definedName>
    <definedName name="IQ_IMPORTS_GOODS_SERVICES_REAL_SAAR_APR_UNUSED_UNUSED_UNUSED" hidden="1">"c7644"</definedName>
    <definedName name="IQ_IMPORTS_GOODS_SERVICES_REAL_SAAR_FC_UNUSED" hidden="1">"c7864"</definedName>
    <definedName name="IQ_IMPORTS_GOODS_SERVICES_REAL_SAAR_FC_UNUSED_UNUSED_UNUSED" hidden="1">"c7864"</definedName>
    <definedName name="IQ_IMPORTS_GOODS_SERVICES_REAL_SAAR_POP" hidden="1">"c11959"</definedName>
    <definedName name="IQ_IMPORTS_GOODS_SERVICES_REAL_SAAR_POP_FC_UNUSED" hidden="1">"c8084"</definedName>
    <definedName name="IQ_IMPORTS_GOODS_SERVICES_REAL_SAAR_POP_FC_UNUSED_UNUSED_UNUSED" hidden="1">"c8084"</definedName>
    <definedName name="IQ_IMPORTS_GOODS_SERVICES_REAL_SAAR_POP_UNUSED" hidden="1">"c7204"</definedName>
    <definedName name="IQ_IMPORTS_GOODS_SERVICES_REAL_SAAR_POP_UNUSED_UNUSED_UNUSED" hidden="1">"c7204"</definedName>
    <definedName name="IQ_IMPORTS_GOODS_SERVICES_REAL_SAAR_UNUSED" hidden="1">"c6984"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FC_UNUSED_UNUSED_UNUSED" hidden="1">"c8304"</definedName>
    <definedName name="IQ_IMPORTS_GOODS_SERVICES_REAL_SAAR_YOY_UNUSED" hidden="1">"c7424"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FC_UNUSED_UNUSED_UNUSED" hidden="1">"c8209"</definedName>
    <definedName name="IQ_IMPORTS_GOODS_SERVICES_YOY_UNUSED" hidden="1">"c7329"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DOM_LOANS_FFIEC" hidden="1">"c12975"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CHECKS_FFIEC" hidden="1">"c13040"</definedName>
    <definedName name="IQ_INCOME_EARNED_FDIC" hidden="1">"c6359"</definedName>
    <definedName name="IQ_INCOME_FIDUCIARY_ACTIVITIES_FFIEC" hidden="1">"c13002"</definedName>
    <definedName name="IQ_INCOME_LEASE_FINANCING_REC_FFIEC" hidden="1">"c12980"</definedName>
    <definedName name="IQ_INCOME_LOANS_LEASES_TAX_EXEMPT_FFIEC" hidden="1">"c13038"</definedName>
    <definedName name="IQ_INCOME_OTHER_INSURANCE_ACTIVITIES_FFIEC" hidden="1">"c13009"</definedName>
    <definedName name="IQ_INCOME_SALE_MUTUAL_FUNDS_DOM_FFIEC" hidden="1">"c13069"</definedName>
    <definedName name="IQ_INCOME_SECURITIES_TAX_EXEMPT_FFIEC" hidden="1">"c13039"</definedName>
    <definedName name="IQ_INCOME_TAX_FOREIGN_FFIEC" hidden="1">"c15391"</definedName>
    <definedName name="IQ_INCOME_TAXES_FDIC" hidden="1">"c6582"</definedName>
    <definedName name="IQ_INCOME_TAXES_FFIEC" hidden="1">"c13030"</definedName>
    <definedName name="IQ_INCREASE_INT_INCOME_FFIEC" hidden="1">"c13063"</definedName>
    <definedName name="IQ_INDEX_CURRENCY" hidden="1">"c15224"</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EX_TYPE" hidden="1">"c15223"</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 hidden="1">"c15182"</definedName>
    <definedName name="IQ_INDIVIDUAL_ACTIVE_BOARD_MEMBERSHIPS" hidden="1">"c15201"</definedName>
    <definedName name="IQ_INDIVIDUAL_ACTIVE_PRO_AFFILIATIONS" hidden="1">"c15199"</definedName>
    <definedName name="IQ_INDIVIDUAL_AGE" hidden="1">"c15191"</definedName>
    <definedName name="IQ_INDIVIDUAL_ASSISTANT_EMAIL" hidden="1">"c15206"</definedName>
    <definedName name="IQ_INDIVIDUAL_ASSISTANT_FAX" hidden="1">"c15208"</definedName>
    <definedName name="IQ_INDIVIDUAL_ASSISTANT_NAME" hidden="1">"c15205"</definedName>
    <definedName name="IQ_INDIVIDUAL_ASSISTANT_PHONE" hidden="1">"c15207"</definedName>
    <definedName name="IQ_INDIVIDUAL_BACKGROUND" hidden="1">"c15184"</definedName>
    <definedName name="IQ_INDIVIDUAL_DIRECT_FAX" hidden="1">"c15189"</definedName>
    <definedName name="IQ_INDIVIDUAL_DIRECT_PHONE" hidden="1">"c15188"</definedName>
    <definedName name="IQ_INDIVIDUAL_EDUCATION" hidden="1">"c15203"</definedName>
    <definedName name="IQ_INDIVIDUAL_EMAIL" hidden="1">"c15193"</definedName>
    <definedName name="IQ_INDIVIDUAL_FAMILY_LOAN_DOM_QUARTERLY_AVG_FFIEC" hidden="1">"c15479"</definedName>
    <definedName name="IQ_INDIVIDUAL_HOME_ADDRESS" hidden="1">"c15194"</definedName>
    <definedName name="IQ_INDIVIDUAL_HOME_FAX" hidden="1">"c15196"</definedName>
    <definedName name="IQ_INDIVIDUAL_HOME_PHONE" hidden="1">"c15195"</definedName>
    <definedName name="IQ_INDIVIDUAL_MAIN_FAX" hidden="1">"c15187"</definedName>
    <definedName name="IQ_INDIVIDUAL_MAIN_PHONE" hidden="1">"c15186"</definedName>
    <definedName name="IQ_INDIVIDUAL_MOBILE" hidden="1">"c15198"</definedName>
    <definedName name="IQ_INDIVIDUAL_NICKNAME" hidden="1">"c15192"</definedName>
    <definedName name="IQ_INDIVIDUAL_NOTES" hidden="1">"c15204"</definedName>
    <definedName name="IQ_INDIVIDUAL_OFFICE_ADDRESS" hidden="1">"c15185"</definedName>
    <definedName name="IQ_INDIVIDUAL_OTHER_PHONE" hidden="1">"c15197"</definedName>
    <definedName name="IQ_INDIVIDUAL_PARTNER_CORP_NON_TRANS_ACCTS_FFIEC" hidden="1">"c15322"</definedName>
    <definedName name="IQ_INDIVIDUAL_PARTNER_CORP_TRANS_ACCTS_FFIEC" hidden="1">"c15314"</definedName>
    <definedName name="IQ_INDIVIDUAL_PARTNER_CORPS_FOREIGN_DEP_FFIEC" hidden="1">"c15342"</definedName>
    <definedName name="IQ_INDIVIDUAL_PRIOR_BOARD_MEMBERSHIPS" hidden="1">"c15202"</definedName>
    <definedName name="IQ_INDIVIDUAL_PRIOR_PRO_AFFILIATIONS" hidden="1">"c15200"</definedName>
    <definedName name="IQ_INDIVIDUAL_SPECIALTY" hidden="1">"c15190"</definedName>
    <definedName name="IQ_INDIVIDUAL_TITLE" hidden="1">"c15183"</definedName>
    <definedName name="IQ_INDIVIDUALS_CHARGE_OFFS_FDIC" hidden="1">"c6599"</definedName>
    <definedName name="IQ_INDIVIDUALS_GROSS_LOANS_FFIEC" hidden="1">"c13411"</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IVIDUALS_RISK_BASED_FFIEC" hidden="1">"c13432"</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SUPPLE" hidden="1">"c13814"</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AMOUNT" hidden="1">"c238"</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AMOUNT" hidden="1">"c236"</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REINSURANCE_UNDERWRITING_INCOME_FFIEC" hidden="1">"c13008"</definedName>
    <definedName name="IQ_INSURANCE_REV_OPERATING_INC_FFIEC" hidden="1">"c13387"</definedName>
    <definedName name="IQ_INSURANCE_UNDERWRITING_INCOME_FDIC" hidden="1">"c6671"</definedName>
    <definedName name="IQ_INT_BEARING_DEPOSITS" hidden="1">"c1166"</definedName>
    <definedName name="IQ_INT_BEARING_FUNDS_AVG_ASSETS_FFIEC" hidden="1">"c13355"</definedName>
    <definedName name="IQ_INT_BEARING_LIABILITIES_REPRICE_ASSETS_TOT_FFIEC" hidden="1">"c13452"</definedName>
    <definedName name="IQ_INT_BORROW" hidden="1">"c583"</definedName>
    <definedName name="IQ_INT_DEMAND_NOTES_FDIC" hidden="1">"c6567"</definedName>
    <definedName name="IQ_INT_DEPOSITS" hidden="1">"c584"</definedName>
    <definedName name="IQ_INT_DEPOSITS_DOM_FFIEC" hidden="1">"c12852"</definedName>
    <definedName name="IQ_INT_DEPOSITS_DOM_QUARTERLY_AVG_FFIEC" hidden="1">"c13088"</definedName>
    <definedName name="IQ_INT_DEPOSITS_FOREIGN_FFIEC" hidden="1">"c12855"</definedName>
    <definedName name="IQ_INT_DEPOSITS_FOREIGN_QUARTERLY_AVG_FFIEC" hidden="1">"c13089"</definedName>
    <definedName name="IQ_INT_DIV_INC" hidden="1">"c585"</definedName>
    <definedName name="IQ_INT_DIV_INC_MBS_FFIEC" hidden="1">"c12984"</definedName>
    <definedName name="IQ_INT_DIV_INC_SECURITIES_FFIEC" hidden="1">"c12982"</definedName>
    <definedName name="IQ_INT_DIV_INC_SECURITIES_OTHER_FFIEC" hidden="1">"c12985"</definedName>
    <definedName name="IQ_INT_DIV_INC_TREASURY_SECURITIES_FFIEC" hidden="1">"c12983"</definedName>
    <definedName name="IQ_INT_DOMESTIC_DEPOSITS_FDIC" hidden="1">"c6564"</definedName>
    <definedName name="IQ_INT_EXP_AVG_ASSETS_FFIEC" hidden="1">"c13357"</definedName>
    <definedName name="IQ_INT_EXP_BR" hidden="1">"c586"</definedName>
    <definedName name="IQ_INT_EXP_COVERAGE" hidden="1">"c587"</definedName>
    <definedName name="IQ_INT_EXP_EARNING_ASSETS_FFIEC" hidden="1">"c13376"</definedName>
    <definedName name="IQ_INT_EXP_FED_FUNDS_PURCHASED_FFIEC" hidden="1">"c12996"</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EE_INC_ACCEPTANCE_OTHER_BANKS_DOM_FFIEC" hidden="1">"c15357"</definedName>
    <definedName name="IQ_INT_FEE_INC_AGRICULTURE_LOANS_FARMERS_DOM_FFIEC" hidden="1">"c15355"</definedName>
    <definedName name="IQ_INT_FEE_INC_COMM_IND_LOANS_DOM_FFIEC" hidden="1">"c15356"</definedName>
    <definedName name="IQ_INT_FEE_INC_CREDIT_CARDS_DOM_FFIEC" hidden="1">"c15358"</definedName>
    <definedName name="IQ_INT_FEE_INC_DEPOSITORY_LOANS_DOM_FFIEC" hidden="1">"c15354"</definedName>
    <definedName name="IQ_INT_FEE_INC_FOREIGN_GOVT_LOANS_DOM_FFIEC" hidden="1">"c15360"</definedName>
    <definedName name="IQ_INT_FEE_INC_INDIVIDUAL_LOANS_DOM_FFIEC" hidden="1">"c15359"</definedName>
    <definedName name="IQ_INT_FEE_INC_LOANS_1_4_DOM_FFIEC" hidden="1">"c12976"</definedName>
    <definedName name="IQ_INT_FEE_INC_LOANS_DOM_FFIEC" hidden="1">"c13335"</definedName>
    <definedName name="IQ_INT_FEE_INC_LOANS_FOREIGN_FFIEC" hidden="1">"c12979"</definedName>
    <definedName name="IQ_INT_FEE_INC_LOANS_OTHER_DOM_FFIEC" hidden="1">"c12978"</definedName>
    <definedName name="IQ_INT_FEE_INC_RE_LOANS_DOM_FFIEC" hidden="1">"c15353"</definedName>
    <definedName name="IQ_INT_FEE_INC_SECURED_RE_DOM_FFIEC" hidden="1">"c12977"</definedName>
    <definedName name="IQ_INT_FEE_INC_TAX_EXEMPT_OBLIGATIONS_DOM_FFIEC" hidden="1">"c15362"</definedName>
    <definedName name="IQ_INT_FEE_INC_TAXABLE_OBLIGATIONS_DOM_FFIEC" hidden="1">"c15361"</definedName>
    <definedName name="IQ_INT_FEE_INCOME_FFIEC" hidden="1">"c12974"</definedName>
    <definedName name="IQ_INT_FOREIGN_DEPOSITS_FDIC" hidden="1">"c6565"</definedName>
    <definedName name="IQ_INT_INC_AVG_ASSETS_FFIEC" hidden="1">"c13356"</definedName>
    <definedName name="IQ_INT_INC_BR" hidden="1">"c593"</definedName>
    <definedName name="IQ_INT_INC_DEPOSITORY_INST_FDIC" hidden="1">"c6558"</definedName>
    <definedName name="IQ_INT_INC_DOM_LOANS_FDIC" hidden="1">"c6555"</definedName>
    <definedName name="IQ_INT_INC_DUE_DEPOSITORY_INSTITUTIONS_FFIEC" hidden="1">"c12981"</definedName>
    <definedName name="IQ_INT_INC_EARNING_ASSETS_FFIEC" hidden="1">"c13375"</definedName>
    <definedName name="IQ_INT_INC_FED_FUNDS_FDIC" hidden="1">"c6561"</definedName>
    <definedName name="IQ_INT_INC_FED_FUNDS_SOLD_FFIEC" hidden="1">"c12987"</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E_AVG_ASSETS_FFIEC" hidden="1">"c13358"</definedName>
    <definedName name="IQ_INT_INC_TE_EARNING_ASSETS_FFIEC" hidden="1">"c13377"</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TRADING_ASSETS_FFIEC" hidden="1">"c12986"</definedName>
    <definedName name="IQ_INT_INC_UTI" hidden="1">"c599"</definedName>
    <definedName name="IQ_INT_INCOME_FTE_AVG_ASSETS_FFIEC" hidden="1">"c13856"</definedName>
    <definedName name="IQ_INT_INCOME_FTE_AVG_EARNING_ASSETS_FFIEC" hidden="1">"c13857"</definedName>
    <definedName name="IQ_INT_INCOME_FTE_FFIEC" hidden="1">"c13852"</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ON_DEPOSITS_DOM_FFIEC" hidden="1">"c12991"</definedName>
    <definedName name="IQ_INT_ON_DEPOSITS_FFIEC" hidden="1">"c12990"</definedName>
    <definedName name="IQ_INT_ON_DEPOSITS_FOREIGN_FFIEC" hidden="1">"c12995"</definedName>
    <definedName name="IQ_INT_RATE_EXPOSURE_FFIEC" hidden="1">"c13058"</definedName>
    <definedName name="IQ_INT_RATE_SPREAD" hidden="1">"c604"</definedName>
    <definedName name="IQ_INT_SAVINGS_DEPOSITS_MMDA_DOM_FFIEC" hidden="1">"c15364"</definedName>
    <definedName name="IQ_INT_SUB_NOTES_FDIC" hidden="1">"c6568"</definedName>
    <definedName name="IQ_INT_SUB_NOTES_FFIEC" hidden="1">"c12998"</definedName>
    <definedName name="IQ_INT_TIME_DEPOSITS_LESS_THAN_100K_DOM_FFIEC" hidden="1">"c12993"</definedName>
    <definedName name="IQ_INT_TIME_DEPOSITS_MORE_THAN_100K_DOM_FFIEC" hidden="1">"c12992"</definedName>
    <definedName name="IQ_INT_TRADING_LIABILITIES_FFIEC" hidden="1">"c12997"</definedName>
    <definedName name="IQ_INT_TRANSACTION_ACCOUNTS_DOM_FFIEC" hidden="1">"c15363"</definedName>
    <definedName name="IQ_INTANGIBLES_NET" hidden="1">"c1407"</definedName>
    <definedName name="IQ_INTEL_EPS_EST" hidden="1">"c24729"</definedName>
    <definedName name="IQ_INTEREST_ACCRUED_ON_DEPOSITS_DOM_FFIEC" hidden="1">"c15277"</definedName>
    <definedName name="IQ_INTEREST_BEARING_BALANCES_FDIC" hidden="1">"c6371"</definedName>
    <definedName name="IQ_INTEREST_BEARING_BALANCES_QUARTERLY_AVG_FFIEC" hidden="1">"c15467"</definedName>
    <definedName name="IQ_INTEREST_BEARING_CASH_FFIEC" hidden="1">"c15259"</definedName>
    <definedName name="IQ_INTEREST_BEARING_CASH_FOREIGN_FFIEC" hidden="1">"c12776"</definedName>
    <definedName name="IQ_INTEREST_BEARING_CASH_US_FFIEC" hidden="1">"c12775"</definedName>
    <definedName name="IQ_INTEREST_BEARING_DEPOSITS_DOMESTIC_FDIC" hidden="1">"c6478"</definedName>
    <definedName name="IQ_INTEREST_BEARING_DEPOSITS_FDIC" hidden="1">"c6373"</definedName>
    <definedName name="IQ_INTEREST_BEARING_DEPOSITS_FOREIGN_FDIC" hidden="1">"c6485"</definedName>
    <definedName name="IQ_INTEREST_BEARING_TRANS_DOM_QUARTERLY_AVG_FFIEC" hidden="1">"c15484"</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"INTEREST_INC_10K"</definedName>
    <definedName name="IQ_INTEREST_INC_10Q" hidden="1">"INTEREST_INC_10Q"</definedName>
    <definedName name="IQ_INTEREST_INC_10Q1" hidden="1">"INTEREST_INC_10Q1"</definedName>
    <definedName name="IQ_INTEREST_INC_NON" hidden="1">"c1384"</definedName>
    <definedName name="IQ_INTEREST_INVEST_INC" hidden="1">"c619"</definedName>
    <definedName name="IQ_INTEREST_LT_DEBT" hidden="1">"c2086"</definedName>
    <definedName name="IQ_INTEREST_RATE_CONTRACTS_FDIC" hidden="1">"c6512"</definedName>
    <definedName name="IQ_INTEREST_RATE_EXPOSURES_FDIC" hidden="1">"c6662"</definedName>
    <definedName name="IQ_INTERNAL_ALLOCATIONS_INC_EXP_FOREIGN_FFIEC" hidden="1">"c15394"</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_REL_ID" hidden="1">"c15220"</definedName>
    <definedName name="IQ_INV_REL_NAME" hidden="1">"c15219"</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IES_ASSETS_TOT_FFIEC" hidden="1">"c13440"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IDATED_SUBS_FFIEC" hidden="1">"c12834"</definedName>
    <definedName name="IQ_INVESTMENT_BANKING_BROKERAGE_FEES_FFIEC" hidden="1">"c13627"</definedName>
    <definedName name="IQ_INVESTMENT_BANKING_FEES_COMMISSIONS_FFIEC" hidden="1">"c13006"</definedName>
    <definedName name="IQ_INVESTMENT_BANKING_OTHER_FEES_FDIC" hidden="1">"c6666"</definedName>
    <definedName name="IQ_IPRD" hidden="1">"c644"</definedName>
    <definedName name="IQ_IPRD_SUPPLE" hidden="1">"c13813"</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FC_UNUSED_UNUSED_UNUSED" hidden="1">"c8443"</definedName>
    <definedName name="IQ_ISM_SERVICES_APR_UNUSED" hidden="1">"c7563"</definedName>
    <definedName name="IQ_ISM_SERVICES_APR_UNUSED_UNUSED_UNUSED" hidden="1">"c7563"</definedName>
    <definedName name="IQ_ISM_SERVICES_FC_UNUSED" hidden="1">"c7783"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FC_UNUSED_UNUSED_UNUSED" hidden="1">"c8003"</definedName>
    <definedName name="IQ_ISM_SERVICES_POP_UNUSED" hidden="1">"c7123"</definedName>
    <definedName name="IQ_ISM_SERVICES_POP_UNUSED_UNUSED_UNUSED" hidden="1">"c7123"</definedName>
    <definedName name="IQ_ISM_SERVICES_UNUSED" hidden="1">"c6903"</definedName>
    <definedName name="IQ_ISM_SERVICES_UNUSED_UNUSED_UNUSED" hidden="1">"c6903"</definedName>
    <definedName name="IQ_ISM_SERVICES_YOY_FC_UNUSED" hidden="1">"c8223"</definedName>
    <definedName name="IQ_ISM_SERVICES_YOY_FC_UNUSED_UNUSED_UNUSED" hidden="1">"c8223"</definedName>
    <definedName name="IQ_ISM_SERVICES_YOY_UNUSED" hidden="1">"c7343"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KEY_DEV_COMPANY_ID" hidden="1">"c13830"</definedName>
    <definedName name="IQ_KEY_DEV_COMPANY_NAME" hidden="1">"c13829"</definedName>
    <definedName name="IQ_KEY_DEV_DATE" hidden="1">"c13763"</definedName>
    <definedName name="IQ_KEY_DEV_HEADLINE" hidden="1">"c13761"</definedName>
    <definedName name="IQ_KEY_DEV_ID" hidden="1">"c13760"</definedName>
    <definedName name="IQ_KEY_DEV_ID_INCL_SUBS" hidden="1">"c13832"</definedName>
    <definedName name="IQ_KEY_DEV_SITUATION" hidden="1">"c13762"</definedName>
    <definedName name="IQ_KEY_DEV_SOURCE" hidden="1">"c13765"</definedName>
    <definedName name="IQ_KEY_DEV_TIME" hidden="1">"c13833"</definedName>
    <definedName name="IQ_KEY_DEV_TRANSACTION_ID" hidden="1">"c13766"</definedName>
    <definedName name="IQ_KEY_DEV_TYPE" hidden="1">"c13764"</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_MONTHLY_FACTOR" hidden="1">"c8971"</definedName>
    <definedName name="IQ_LATEST_MONTHLY_FACTOR_DATE" hidden="1">"c8972"</definedName>
    <definedName name="IQ_LATESTK" hidden="1">1000</definedName>
    <definedName name="IQ_LATESTKFR" hidden="1">"50"</definedName>
    <definedName name="IQ_LATESTQ" hidden="1">500</definedName>
    <definedName name="IQ_LATESTQFR" hidden="1">"100"</definedName>
    <definedName name="IQ_LEAD_UNDERWRITER" hidden="1">"c8957"</definedName>
    <definedName name="IQ_LEASE_FIN_RECEIVABLES_NON_US_CHARGE_OFFS_FFIEC" hidden="1">"c13631"</definedName>
    <definedName name="IQ_LEASE_FIN_RECEIVABLES_NON_US_RECOV_FFIEC" hidden="1">"c13635"</definedName>
    <definedName name="IQ_LEASE_FIN_RECEIVABLES_US_CHARGE_OFFS_FFIEC" hidden="1">"c13630"</definedName>
    <definedName name="IQ_LEASE_FIN_RECEIVABLES_US_RECOV_FFIEC" hidden="1">"c13634"</definedName>
    <definedName name="IQ_LEASE_FINANCE" hidden="1">"c5654"</definedName>
    <definedName name="IQ_LEASE_FINANCING_REC_DUE_30_89_FFIEC" hidden="1">"c13276"</definedName>
    <definedName name="IQ_LEASE_FINANCING_REC_DUE_90_FFIEC" hidden="1">"c13302"</definedName>
    <definedName name="IQ_LEASE_FINANCING_REC_NON_ACCRUAL_FFIEC" hidden="1">"c13328"</definedName>
    <definedName name="IQ_LEASE_FINANCING_RECEIVABLES_CHARGE_OFFS_FDIC" hidden="1">"c6602"</definedName>
    <definedName name="IQ_LEASE_FINANCING_RECEIVABLES_DOM_FFIEC" hidden="1">"c12915"</definedName>
    <definedName name="IQ_LEASE_FINANCING_RECEIVABLES_FDIC" hidden="1">"c6433"</definedName>
    <definedName name="IQ_LEASE_FINANCING_RECEIVABLES_NET_CHARGE_OFFS_FDIC" hidden="1">"c6640"</definedName>
    <definedName name="IQ_LEASE_FINANCING_RECEIVABLES_QUARTERLY_AVG_FFIEC" hidden="1">"c15483"</definedName>
    <definedName name="IQ_LEASE_FINANCING_RECEIVABLES_RECOVERIES_FDIC" hidden="1">"c6621"</definedName>
    <definedName name="IQ_LEASE_FINANCING_RECEIVABLES_TOTAL_LOANS_FOREIGN_FDIC" hidden="1">"c6449"</definedName>
    <definedName name="IQ_LEASE_RECEIVABLES_FOREIGN_FFIEC" hidden="1">"c13483"</definedName>
    <definedName name="IQ_LEASES_INDIVIDUALS_CHARGE_OFFS_FFIEC" hidden="1">"c13184"</definedName>
    <definedName name="IQ_LEASES_INDIVIDUALS_RECOV_FFIEC" hidden="1">"c13206"</definedName>
    <definedName name="IQ_LEASES_PERSONAL_EXP_DUE_30_89_FFIEC" hidden="1">"c13277"</definedName>
    <definedName name="IQ_LEASES_PERSONAL_EXP_DUE_90_FFIEC" hidden="1">"c13303"</definedName>
    <definedName name="IQ_LEASES_PERSONAL_EXP_NON_ACCRUAL_FFIEC" hidden="1">"c13329"</definedName>
    <definedName name="IQ_LEGAL_FEES_FFIEC" hidden="1">"c13052"</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SUPPLE" hidden="1">"c13815"</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ABILITIES_FAIR_VALUE" hidden="1">"c13848"</definedName>
    <definedName name="IQ_LIABILITIES_LEVEL_1" hidden="1">"c13844"</definedName>
    <definedName name="IQ_LIABILITIES_LEVEL_2" hidden="1">"c13845"</definedName>
    <definedName name="IQ_LIABILITIES_LEVEL_3" hidden="1">"c13846"</definedName>
    <definedName name="IQ_LIABILITIES_NETTING_OTHER_ADJUSTMENTS" hidden="1">"c13847"</definedName>
    <definedName name="IQ_LIABILITY_ACCEPTANCES_OUT_FFIEC" hidden="1">"c12866"</definedName>
    <definedName name="IQ_LIABILITY_SHORT_POSITIONS_DOM_FFIEC" hidden="1">"c12941"</definedName>
    <definedName name="IQ_LICENSED_POPS" hidden="1">"c2123"</definedName>
    <definedName name="IQ_LIFE_EARNED" hidden="1">"c2739"</definedName>
    <definedName name="IQ_LIFE_INSURANCE_ASSETS_FDIC" hidden="1">"c6372"</definedName>
    <definedName name="IQ_LIFE_INSURANCE_ASSETS_FFIEC" hidden="1">"c12847"</definedName>
    <definedName name="IQ_LIFOR" hidden="1">"c655"</definedName>
    <definedName name="IQ_LIQUID_ASSETS_ASSETS_TOT_FFIEC" hidden="1">"c13439"</definedName>
    <definedName name="IQ_LIQUID_ASSETS_NONCORE_FUNDING_FFIEC" hidden="1">"c13339"</definedName>
    <definedName name="IQ_LIQUIDATION_VALUE_PREFERRED_CONVERT" hidden="1">"c13835"</definedName>
    <definedName name="IQ_LIQUIDATION_VALUE_PREFERRED_NON_REDEEM" hidden="1">"c13836"</definedName>
    <definedName name="IQ_LIQUIDATION_VALUE_PREFERRED_REDEEM" hidden="1">"c13837"</definedName>
    <definedName name="IQ_LISTING_CURRENCY" hidden="1">"c2127"</definedName>
    <definedName name="IQ_LL" hidden="1">"c656"</definedName>
    <definedName name="IQ_LOAN_ALLOW_GROSS_LOANS_FFIEC" hidden="1">"c13415"</definedName>
    <definedName name="IQ_LOAN_ALLOWANCE_GROSS_LOSSES_FFIEC" hidden="1">"c13352"</definedName>
    <definedName name="IQ_LOAN_ALLOWANCE_NET_LOANS_FFIEC" hidden="1">"c13472"</definedName>
    <definedName name="IQ_LOAN_ALLOWANCE_NONACCRUAL_ASSETS_FFIEC" hidden="1">"c13473"</definedName>
    <definedName name="IQ_LOAN_ALLOWANCE_PAST_DUE_NONACCRUAL_FFIEC" hidden="1">"c13474"</definedName>
    <definedName name="IQ_LOAN_COMMITMENTS_FAIR_VALUE_TOT_FFIEC" hidden="1">"c13216"</definedName>
    <definedName name="IQ_LOAN_COMMITMENTS_LEVEL_1_FFIEC" hidden="1">"c13224"</definedName>
    <definedName name="IQ_LOAN_COMMITMENTS_LEVEL_2_FFIEC" hidden="1">"c13232"</definedName>
    <definedName name="IQ_LOAN_COMMITMENTS_LEVEL_3_FFIEC" hidden="1">"c13240"</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_PERF_ASSETS_FFIEC" hidden="1">"c13912"</definedName>
    <definedName name="IQ_LOAN_LOSS_ALLOWANCE_NONCURRENT_LOANS_FDIC" hidden="1">"c6740"</definedName>
    <definedName name="IQ_LOAN_LOSS_PROVISION_FOREIGN_FFIEC" hidden="1">"c15382"</definedName>
    <definedName name="IQ_LOAN_LOSSES_AVERAGE_LOANS_FFIEC" hidden="1">"c13350"</definedName>
    <definedName name="IQ_LOAN_LOSSES_FDIC" hidden="1">"c6580"</definedName>
    <definedName name="IQ_LOAN_SERVICE_REV" hidden="1">"c658"</definedName>
    <definedName name="IQ_LOANS_AGRICULTURAL_PROD_LL_REC_FFIEC" hidden="1">"c12886"</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_US_LL_REC_FFIEC" hidden="1">"c12884"</definedName>
    <definedName name="IQ_LOANS_DEPOSITORY_INSTITUTIONS_FDIC" hidden="1">"c6382"</definedName>
    <definedName name="IQ_LOANS_DOM_QUARTERLY_AVG_FFIEC" hidden="1">"c13084"</definedName>
    <definedName name="IQ_LOANS_FARMERS_CHARGE_OFFS_FFIEC" hidden="1">"c13177"</definedName>
    <definedName name="IQ_LOANS_FARMERS_RECOV_FFIEC" hidden="1">"c13199"</definedName>
    <definedName name="IQ_LOANS_FINANCE_AGRICULTURAL_DUE_30_89_FFIEC" hidden="1">"c13270"</definedName>
    <definedName name="IQ_LOANS_FINANCE_AGRICULTURAL_DUE_90_FFIEC" hidden="1">"c13296"</definedName>
    <definedName name="IQ_LOANS_FINANCE_AGRICULTURAL_NON_ACCRUAL_FFIEC" hidden="1">"c13322"</definedName>
    <definedName name="IQ_LOANS_FINANCE_AGRICULTURAL_PROD_LL_REC_DOM_FFIEC" hidden="1">"c12909"</definedName>
    <definedName name="IQ_LOANS_FOR_SALE" hidden="1">"c666"</definedName>
    <definedName name="IQ_LOANS_FOREIGN_GOV_CHARGE_OFFS_FFIEC" hidden="1">"c13182"</definedName>
    <definedName name="IQ_LOANS_FOREIGN_GOV_DUE_30_89_FFIEC" hidden="1">"c13274"</definedName>
    <definedName name="IQ_LOANS_FOREIGN_GOV_DUE_90_FFIEC" hidden="1">"c13300"</definedName>
    <definedName name="IQ_LOANS_FOREIGN_GOV_LL_REC_DOM_FFIEC" hidden="1">"c12912"</definedName>
    <definedName name="IQ_LOANS_FOREIGN_GOV_NON_ACCRUAL_FFIEC" hidden="1">"c13326"</definedName>
    <definedName name="IQ_LOANS_FOREIGN_GOV_RECOV_FFIEC" hidden="1">"c13204"</definedName>
    <definedName name="IQ_LOANS_FOREIGN_INST_CHARGE_OFFS_FFIEC" hidden="1">"c13176"</definedName>
    <definedName name="IQ_LOANS_FOREIGN_INST_RECOV_FFIEC" hidden="1">"c13198"</definedName>
    <definedName name="IQ_LOANS_FOREIGN_LL_REC_FFIEC" hidden="1">"c12885"</definedName>
    <definedName name="IQ_LOANS_GOV_GUARANTEED_DUE_30_89_FFIEC" hidden="1">"c13281"</definedName>
    <definedName name="IQ_LOANS_GOV_GUARANTEED_DUE_90_FFIEC" hidden="1">"c13307"</definedName>
    <definedName name="IQ_LOANS_GOV_GUARANTEED_EXCL_GNMA_DUE_30_89_FFIEC" hidden="1">"c13282"</definedName>
    <definedName name="IQ_LOANS_GOV_GUARANTEED_EXCL_GNMA_DUE_90_FFIEC" hidden="1">"c13308"</definedName>
    <definedName name="IQ_LOANS_GOV_GUARANTEED_EXCL_GNMA_NON_ACCRUAL_FFIEC" hidden="1">"c13333"</definedName>
    <definedName name="IQ_LOANS_GOV_GUARANTEED_NON_ACCRUAL_FFIEC" hidden="1">"c13332"</definedName>
    <definedName name="IQ_LOANS_HELD_FOREIGN_FDIC" hidden="1">"c6315"</definedName>
    <definedName name="IQ_LOANS_INDIVIDUALS_FOREIGN_FFIEC" hidden="1">"c13480"</definedName>
    <definedName name="IQ_LOANS_LEASES_ASSETS_TOT_FFIEC" hidden="1">"c13437"</definedName>
    <definedName name="IQ_LOANS_LEASES_FAIR_VALUE_TOT_FFIEC" hidden="1">"c13209"</definedName>
    <definedName name="IQ_LOANS_LEASES_FOREIGN_FDIC" hidden="1">"c6383"</definedName>
    <definedName name="IQ_LOANS_LEASES_GROSS_FDIC" hidden="1">"c6323"</definedName>
    <definedName name="IQ_LOANS_LEASES_GROSS_FOREIGN_FDIC" hidden="1">"c6384"</definedName>
    <definedName name="IQ_LOANS_LEASES_HELD_SALE_FFIEC" hidden="1">"c12808"</definedName>
    <definedName name="IQ_LOANS_LEASES_HFI_FAIR_VALUE_TOT_FFIEC" hidden="1">"c15401"</definedName>
    <definedName name="IQ_LOANS_LEASES_HFI_LEVEL_1_FFIEC" hidden="1">"c15423"</definedName>
    <definedName name="IQ_LOANS_LEASES_HFI_LEVEL_2_FFIEC" hidden="1">"c15436"</definedName>
    <definedName name="IQ_LOANS_LEASES_HFI_LEVEL_3_FFIEC" hidden="1">"c15449"</definedName>
    <definedName name="IQ_LOANS_LEASES_HFS_FAIR_VALUE_TOT_FFIEC" hidden="1">"c15400"</definedName>
    <definedName name="IQ_LOANS_LEASES_HFS_LEVEL_1_FFIEC" hidden="1">"c15422"</definedName>
    <definedName name="IQ_LOANS_LEASES_HFS_LEVEL_2_FFIEC" hidden="1">"c15435"</definedName>
    <definedName name="IQ_LOANS_LEASES_HFS_LEVEL_3_FFIEC" hidden="1">"c15448"</definedName>
    <definedName name="IQ_LOANS_LEASES_LEVEL_1_FFIEC" hidden="1">"c13217"</definedName>
    <definedName name="IQ_LOANS_LEASES_LEVEL_2_FFIEC" hidden="1">"c13225"</definedName>
    <definedName name="IQ_LOANS_LEASES_LEVEL_3_FFIEC" hidden="1">"c13233"</definedName>
    <definedName name="IQ_LOANS_LEASES_NET_FDIC" hidden="1">"c6327"</definedName>
    <definedName name="IQ_LOANS_LEASES_NET_UNEARNED_FDIC" hidden="1">"c6325"</definedName>
    <definedName name="IQ_LOANS_LEASES_NET_UNEARNED_INC_ALLOWANCE_FFIEC" hidden="1">"c12811"</definedName>
    <definedName name="IQ_LOANS_LEASES_NET_UNEARNED_INCOME_FFIEC" hidden="1">"c12809"</definedName>
    <definedName name="IQ_LOANS_LEASES_QUARTERLY_AVG_FFIEC" hidden="1">"c13081"</definedName>
    <definedName name="IQ_LOANS_LOC_ASSETS_TOT_FFIEC" hidden="1">"c13441"</definedName>
    <definedName name="IQ_LOANS_NOT_SECURED_RE_FDIC" hidden="1">"c6381"</definedName>
    <definedName name="IQ_LOANS_PAST_DUE" hidden="1">"c667"</definedName>
    <definedName name="IQ_LOANS_PURCHASING_CARRYING_SECURITIES_LL_REC_DOM_FFIEC" hidden="1">"c12913"</definedName>
    <definedName name="IQ_LOANS_RECEIV_CURRENT" hidden="1">"c668"</definedName>
    <definedName name="IQ_LOANS_RECEIV_LT" hidden="1">"c669"</definedName>
    <definedName name="IQ_LOANS_RECEIV_LT_UTI" hidden="1">"c670"</definedName>
    <definedName name="IQ_LOANS_SEC_RE_FOREIGN_CHARGE_OFFS_FFIEC" hidden="1">"c13174"</definedName>
    <definedName name="IQ_LOANS_SEC_RE_FOREIGN_RECOV_FFIEC" hidden="1">"c13196"</definedName>
    <definedName name="IQ_LOANS_SECURED_1_4_DOM_QUARTERLY_AVG_FFIEC" hidden="1">"c13082"</definedName>
    <definedName name="IQ_LOANS_SECURED_BY_RE_CHARGE_OFFS_FDIC" hidden="1">"c6588"</definedName>
    <definedName name="IQ_LOANS_SECURED_BY_RE_RECOVERIES_FDIC" hidden="1">"c6607"</definedName>
    <definedName name="IQ_LOANS_SECURED_CONSTRUCTION_TRADING_DOM_FFIEC" hidden="1">"c12925"</definedName>
    <definedName name="IQ_LOANS_SECURED_FARMLAND_TRADING_DOM_FFIEC" hidden="1">"c12926"</definedName>
    <definedName name="IQ_LOANS_SECURED_NON_US_FDIC" hidden="1">"c6380"</definedName>
    <definedName name="IQ_LOANS_SECURED_RE_DOM_QUARTERLY_AVG_FFIEC" hidden="1">"c13083"</definedName>
    <definedName name="IQ_LOANS_SECURED_RE_FFIEC" hidden="1">"c12820"</definedName>
    <definedName name="IQ_LOANS_SECURED_RE_LL_REC_FFIEC" hidden="1">"c12883"</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ANS_US_INST_CHARGE_OFFS_FFIEC" hidden="1">"c13175"</definedName>
    <definedName name="IQ_LOANS_US_INST_RECOV_FFIEC" hidden="1">"c13197"</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AVAIL_SALE_EQUITY_SEC_T1_FFIEC" hidden="1">"c13132"</definedName>
    <definedName name="IQ_LOSS_LOSS_EXP" hidden="1">"c672"</definedName>
    <definedName name="IQ_LOSS_TO_NET_EARNED" hidden="1">"c2751"</definedName>
    <definedName name="IQ_LOW_TARGET_PRICE" hidden="1">"c1652"</definedName>
    <definedName name="IQ_LOW_TARGET_PRICE_CIQ" hidden="1">"c4660"</definedName>
    <definedName name="IQ_LOW_TARGET_PRICE_REUT" hidden="1">"c5318"</definedName>
    <definedName name="IQ_LOW_TARGET_PRICE_THOM" hidden="1">"c5097"</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 hidden="1">"c13097"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 hidden="1">"c13453"</definedName>
    <definedName name="IQ_LT_DEBT_REPRICING_WITHIN_1_YR_INT_SENSITIVITY_FFIEC" hidden="1">"c13095"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_SENIOR_DEBT" hidden="1">"c702"</definedName>
    <definedName name="IQ_LT_SUB_DEBT" hidden="1">"c703"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"LTM_DATE"</definedName>
    <definedName name="IQ_LTM_REVENUE_OVER_EMPLOYEES"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CRO_SURVEY_CONSUMER_SENTIMENT" hidden="1">"c20808"</definedName>
    <definedName name="IQ_MAINT_CAPEX" hidden="1">"c2947"</definedName>
    <definedName name="IQ_MAINT_CAPEX_ACT_OR_EST" hidden="1">"c4458"</definedName>
    <definedName name="IQ_MAINT_CAPEX_ACT_OR_EST_CIQ" hidden="1">"c4987"</definedName>
    <definedName name="IQ_MAINT_CAPEX_EST" hidden="1">"c4457"</definedName>
    <definedName name="IQ_MAINT_CAPEX_EST_CIQ" hidden="1">"c4986"</definedName>
    <definedName name="IQ_MAINT_CAPEX_GUIDANCE" hidden="1">"c4459"</definedName>
    <definedName name="IQ_MAINT_CAPEX_GUIDANCE_CIQ" hidden="1">"c4988"</definedName>
    <definedName name="IQ_MAINT_CAPEX_HIGH_EST" hidden="1">"c4460"</definedName>
    <definedName name="IQ_MAINT_CAPEX_HIGH_EST_CIQ" hidden="1">"c4989"</definedName>
    <definedName name="IQ_MAINT_CAPEX_HIGH_GUIDANCE" hidden="1">"c4197"</definedName>
    <definedName name="IQ_MAINT_CAPEX_HIGH_GUIDANCE_CIQ" hidden="1">"c4609"</definedName>
    <definedName name="IQ_MAINT_CAPEX_LOW_EST" hidden="1">"c4461"</definedName>
    <definedName name="IQ_MAINT_CAPEX_LOW_EST_CIQ" hidden="1">"c4990"</definedName>
    <definedName name="IQ_MAINT_CAPEX_LOW_GUIDANCE" hidden="1">"c4237"</definedName>
    <definedName name="IQ_MAINT_CAPEX_LOW_GUIDANCE_CIQ" hidden="1">"c4649"</definedName>
    <definedName name="IQ_MAINT_CAPEX_MEDIAN_EST" hidden="1">"c4462"</definedName>
    <definedName name="IQ_MAINT_CAPEX_MEDIAN_EST_CIQ" hidden="1">"c4991"</definedName>
    <definedName name="IQ_MAINT_CAPEX_NUM_EST" hidden="1">"c4463"</definedName>
    <definedName name="IQ_MAINT_CAPEX_NUM_EST_CIQ" hidden="1">"c5001"</definedName>
    <definedName name="IQ_MAINT_CAPEX_STDDEV_EST" hidden="1">"c4464"</definedName>
    <definedName name="IQ_MAINT_CAPEX_STDDEV_EST_CIQ" hidden="1">"c5002"</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RKTCAP" hidden="1">"c258"</definedName>
    <definedName name="IQ_MATURITY_DATE" hidden="1">"c2146"</definedName>
    <definedName name="IQ_MATURITY_ONE_YEAR_LESS_FDIC" hidden="1">"c6425"</definedName>
    <definedName name="IQ_MBS_INVEST_SECURITIES_FFIEC" hidden="1">"c13460"</definedName>
    <definedName name="IQ_MBS_OTHER_ISSUED_FNMA_OTHERS_AVAIL_SALE_FFIEC" hidden="1">"c12799"</definedName>
    <definedName name="IQ_MBS_OTHER_ISSUED_FNMA_OTHERS_FFIEC" hidden="1">"c12785"</definedName>
    <definedName name="IQ_MBS_PASS_THROUGH_FNMA_AVAIL_SALE_FFIEC" hidden="1">"c12797"</definedName>
    <definedName name="IQ_MBS_PASS_THROUGH_FNMA_FFIEC" hidden="1">"c12783"</definedName>
    <definedName name="IQ_MBS_PASS_THROUGH_GNMA_AVAIL_SALE_FFIEC" hidden="1">"c12796"</definedName>
    <definedName name="IQ_MBS_PASS_THROUGH_GNMA_FFIEC" hidden="1">"c12782"</definedName>
    <definedName name="IQ_MBS_PASS_THROUGH_ISSUED_FNMA_GNMA_TRADING_DOM_FFIEC" hidden="1">"c12921"</definedName>
    <definedName name="IQ_MBS_PASS_THROUGH_OTHER_AVAIL_SALE_FFIEC" hidden="1">"c12798"</definedName>
    <definedName name="IQ_MBS_PASS_THROUGH_OTHER_FFIEC" hidden="1">"c12784"</definedName>
    <definedName name="IQ_MBS_QUARTERLY_AVG_FFIEC" hidden="1">"c15471"</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GA_MARGIN" hidden="1">"c9930"</definedName>
    <definedName name="IQ_MC_GA_OPERATING_REV" hidden="1">"c9929"</definedName>
    <definedName name="IQ_MC_MEDICAL_COSTS_PMPM" hidden="1">"c9925"</definedName>
    <definedName name="IQ_MC_MEDICAL_EXPENSE_RATIO" hidden="1">"c9927"</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MARGIN" hidden="1">"c9932"</definedName>
    <definedName name="IQ_MC_SGA_OPERATING_REV" hidden="1">"c9931"</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FC_UNUSED_UNUSED_UNUSED" hidden="1">"c8460"</definedName>
    <definedName name="IQ_MEDIAN_NEW_HOME_SALES_APR_UNUSED" hidden="1">"c7580"</definedName>
    <definedName name="IQ_MEDIAN_NEW_HOME_SALES_APR_UNUSED_UNUSED_UNUSED" hidden="1">"c7580"</definedName>
    <definedName name="IQ_MEDIAN_NEW_HOME_SALES_FC_UNUSED" hidden="1">"c7800"</definedName>
    <definedName name="IQ_MEDIAN_NEW_HOME_SALES_FC_UNUSED_UNUSED_UNUSED" hidden="1">"c7800"</definedName>
    <definedName name="IQ_MEDIAN_NEW_HOME_SALES_POP_FC_UNUSED" hidden="1">"c8020"</definedName>
    <definedName name="IQ_MEDIAN_NEW_HOME_SALES_POP_FC_UNUSED_UNUSED_UNUSED" hidden="1">"c8020"</definedName>
    <definedName name="IQ_MEDIAN_NEW_HOME_SALES_POP_UNUSED" hidden="1">"c7140"</definedName>
    <definedName name="IQ_MEDIAN_NEW_HOME_SALES_POP_UNUSED_UNUSED_UNUSED" hidden="1">"c7140"</definedName>
    <definedName name="IQ_MEDIAN_NEW_HOME_SALES_UNUSED" hidden="1">"c6920"</definedName>
    <definedName name="IQ_MEDIAN_NEW_HOME_SALES_UNUSED_UNUSED_UNUSED" hidden="1">"c6920"</definedName>
    <definedName name="IQ_MEDIAN_NEW_HOME_SALES_YOY_FC_UNUSED" hidden="1">"c8240"</definedName>
    <definedName name="IQ_MEDIAN_NEW_HOME_SALES_YOY_FC_UNUSED_UNUSED_UNUSED" hidden="1">"c8240"</definedName>
    <definedName name="IQ_MEDIAN_NEW_HOME_SALES_YOY_UNUSED" hidden="1">"c7360"</definedName>
    <definedName name="IQ_MEDIAN_NEW_HOME_SALES_YOY_UNUSED_UNUSED_UNUSED" hidden="1">"c7360"</definedName>
    <definedName name="IQ_MEDIAN_TARGET_PRICE" hidden="1">"c1650"</definedName>
    <definedName name="IQ_MEDIAN_TARGET_PRICE_CIQ" hidden="1">"c4658"</definedName>
    <definedName name="IQ_MEDIAN_TARGET_PRICE_REUT" hidden="1">"c5316"</definedName>
    <definedName name="IQ_MEDIAN_TARGET_PRICE_THOM" hidden="1">"c5095"</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SUPPLE" hidden="1">"c13810"</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_AVG_ASSETS_FFIEC" hidden="1">"c13367"</definedName>
    <definedName name="IQ_MINORITY_INT_BS_FFIEC" hidden="1">"c12874"</definedName>
    <definedName name="IQ_MINORITY_INT_FFIEC" hidden="1">"c13031"</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KTCAP_TOTAL_REV_FWD_THOM" hidden="1">"c4055"</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MDA_NON_TRANS_ACCTS_FFIEC" hidden="1">"c15330"</definedName>
    <definedName name="IQ_MMDA_SAVINGS_TOT_DEPOSITS_FFIEC" hidden="1">"c13905"</definedName>
    <definedName name="IQ_MONEY_MARKET_ACCOUNTS_COMMERCIAL_BANK_SUBS_FFIEC" hidden="1">"c12947"</definedName>
    <definedName name="IQ_MONEY_MARKET_ACCOUNTS_OTHER_INSTITUTIONS_FFIEC" hidden="1">"c12952"</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DEBT_UNDER_CAPITAL_LEASES_FFIEC" hidden="1">"c15276"</definedName>
    <definedName name="IQ_MORTGAGE_SERV_RIGHTS" hidden="1">"c2242"</definedName>
    <definedName name="IQ_MORTGAGE_SERVICING_ASSETS_FFIEC" hidden="1">"c12838"</definedName>
    <definedName name="IQ_MORTGAGE_SERVICING_FDIC" hidden="1">"c6335"</definedName>
    <definedName name="IQ_MTD" hidden="1">800000</definedName>
    <definedName name="IQ_MULTI_RES_PROPERTIES_TRADING_DOM_FFIEC" hidden="1">"c12930"</definedName>
    <definedName name="IQ_MULTIFAM_5_LOANS_TOT_LOANS_FFIEC" hidden="1">"c13869"</definedName>
    <definedName name="IQ_MULTIFAMILY_LOANS_GROSS_LOANS_FFIEC" hidden="1">"c13404"</definedName>
    <definedName name="IQ_MULTIFAMILY_LOANS_RISK_BASED_FFIEC" hidden="1">"c13425"</definedName>
    <definedName name="IQ_MULTIFAMILY_RES_DOM_FFIEC" hidden="1">"c15270"</definedName>
    <definedName name="IQ_MULTIFAMILY_RESIDENTIAL_LOANS_FDIC" hidden="1">"c6311"</definedName>
    <definedName name="IQ_MUNI_ADVALOREM_TAX" hidden="1">"c15144"</definedName>
    <definedName name="IQ_MUNI_AMT_TAX" hidden="1">"c15146"</definedName>
    <definedName name="IQ_MUNI_BANK_QUALIFIED" hidden="1">"c15148"</definedName>
    <definedName name="IQ_MUNI_DEP_TRUST_ELIGIBLE" hidden="1">"c15149"</definedName>
    <definedName name="IQ_MUNI_ECONOMIC_DEFEASANCE" hidden="1">"c15151"</definedName>
    <definedName name="IQ_MUNI_ESCROW" hidden="1">"c15228"</definedName>
    <definedName name="IQ_MUNI_FED_TAX" hidden="1">"c15147"</definedName>
    <definedName name="IQ_MUNI_LEGAL_DEFEASANCE" hidden="1">"c15150"</definedName>
    <definedName name="IQ_MUNI_OFFERING_TYPE" hidden="1">"c15143"</definedName>
    <definedName name="IQ_MUNI_OPTIONAL_REDEMPTION_DEFEASANCE" hidden="1">"c15152"</definedName>
    <definedName name="IQ_MUNI_PRE_REFUNDED_DATE" hidden="1">"c15154"</definedName>
    <definedName name="IQ_MUNI_PRE_REFUNDED_DATED_DATE" hidden="1">"c15156"</definedName>
    <definedName name="IQ_MUNI_PRE_REFUNDED_PRICE" hidden="1">"c15155"</definedName>
    <definedName name="IQ_MUNI_PRE_REFUNDED_TYPE" hidden="1">"c15153"</definedName>
    <definedName name="IQ_MUNI_PURPOSE" hidden="1">"c15226"</definedName>
    <definedName name="IQ_MUNI_STATE_TAX" hidden="1">"c15145"</definedName>
    <definedName name="IQ_MUNI_TERRITORY" hidden="1">"c15142"</definedName>
    <definedName name="IQ_MUNI_TYPE" hidden="1">"c15227"</definedName>
    <definedName name="IQ_MUNICIPAL_INVEST_SECURITIES_FFIEC" hidden="1">"c13459"</definedName>
    <definedName name="IQ_NAMES_REVISION_DATE_" hidden="1">40449.4288773148</definedName>
    <definedName name="IQ_NAMES_REVISION_DATE_1" hidden="1">40582.5256712963</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TIVE_COMPANY_NAME" hidden="1">"c13822"</definedName>
    <definedName name="IQ_NAV_ACT_OR_EST" hidden="1">"c2225"</definedName>
    <definedName name="IQ_NAV_ACT_OR_EST_THOM" hidden="1">"c5607"</definedName>
    <definedName name="IQ_NAV_EST" hidden="1">"c1751"</definedName>
    <definedName name="IQ_NAV_EST_THOM" hidden="1">"c5601"</definedName>
    <definedName name="IQ_NAV_HIGH_EST" hidden="1">"c1753"</definedName>
    <definedName name="IQ_NAV_HIGH_EST_THOM" hidden="1">"c5604"</definedName>
    <definedName name="IQ_NAV_LOW_EST" hidden="1">"c1754"</definedName>
    <definedName name="IQ_NAV_LOW_EST_THOM" hidden="1">"c5605"</definedName>
    <definedName name="IQ_NAV_MEDIAN_EST" hidden="1">"c1752"</definedName>
    <definedName name="IQ_NAV_MEDIAN_EST_THOM" hidden="1">"c5602"</definedName>
    <definedName name="IQ_NAV_NUM_EST" hidden="1">"c1755"</definedName>
    <definedName name="IQ_NAV_NUM_EST_THOM" hidden="1">"c5606"</definedName>
    <definedName name="IQ_NAV_SHARE_ACT_OR_EST" hidden="1">"c2225"</definedName>
    <definedName name="IQ_NAV_SHARE_ACT_OR_EST_REUT" hidden="1">"c5623"</definedName>
    <definedName name="IQ_NAV_SHARE_EST" hidden="1">"c5609"</definedName>
    <definedName name="IQ_NAV_SHARE_EST_REUT" hidden="1">"c5617"</definedName>
    <definedName name="IQ_NAV_SHARE_HIGH_EST" hidden="1">"c5612"</definedName>
    <definedName name="IQ_NAV_SHARE_HIGH_EST_REUT" hidden="1">"c5620"</definedName>
    <definedName name="IQ_NAV_SHARE_LOW_EST" hidden="1">"c5613"</definedName>
    <definedName name="IQ_NAV_SHARE_LOW_EST_REUT" hidden="1">"c5621"</definedName>
    <definedName name="IQ_NAV_SHARE_MEDIAN_EST" hidden="1">"c5610"</definedName>
    <definedName name="IQ_NAV_SHARE_MEDIAN_EST_REUT" hidden="1">"c5618"</definedName>
    <definedName name="IQ_NAV_SHARE_NUM_EST" hidden="1">"c5614"</definedName>
    <definedName name="IQ_NAV_SHARE_NUM_EST_REUT" hidden="1">"c5622"</definedName>
    <definedName name="IQ_NAV_SHARE_STDDEV_EST" hidden="1">"c5611"</definedName>
    <definedName name="IQ_NAV_SHARE_STDDEV_EST_REUT" hidden="1">"c5619"</definedName>
    <definedName name="IQ_NAV_STDDEV_EST" hidden="1">"c1756"</definedName>
    <definedName name="IQ_NAV_STDDEV_EST_THOM" hidden="1">"c5603"</definedName>
    <definedName name="IQ_NCLS_CLOSED_END_1_4_FAM_LOANS_TOT_LOANS_FFIEC" hidden="1">"c13891"</definedName>
    <definedName name="IQ_NCLS_COMM_IND_LOANS_TOT_LOANS_FFIEC" hidden="1">"c13898"</definedName>
    <definedName name="IQ_NCLS_COMM_RE_FARM_LOANS_TOT_LOANS_FFIEC" hidden="1">"c13897"</definedName>
    <definedName name="IQ_NCLS_COMM_RE_NONFARM_NONRES_TOT_LOANS_FFIEC" hidden="1">"c13896"</definedName>
    <definedName name="IQ_NCLS_CONST_LAND_DEV_LOANS_TOT_LOANS_FFIEC" hidden="1">"c13890"</definedName>
    <definedName name="IQ_NCLS_CONSUMER_LOANS_TOT_LOANS_FFIEC" hidden="1">"c13899"</definedName>
    <definedName name="IQ_NCLS_FARM_LOANS_TOT_LOANS_FFIEC" hidden="1">"c13895"</definedName>
    <definedName name="IQ_NCLS_HOME_EQUITY_LOANS_TOT_LOANS_FFIEC" hidden="1">"c13892"</definedName>
    <definedName name="IQ_NCLS_MULTIFAM_5_LOANS_TOT_LOANS_FFIEC" hidden="1">"c13894"</definedName>
    <definedName name="IQ_NCLS_TOT_1_4_FAM_LOANS_TOT_LOANS_FFIEC" hidden="1">"c13893"</definedName>
    <definedName name="IQ_NCLS_TOT_LEASES_TOT_LOANS_FFIEC" hidden="1">"c13900"</definedName>
    <definedName name="IQ_NCLS_TOT_LOANS_TOT_LOANS_FFIEC" hidden="1">"c13901"</definedName>
    <definedName name="IQ_NCOS_CLOSED_END_1_4_FAM_LOANS_TOT_LOANS_FFIEC" hidden="1">"c13879"</definedName>
    <definedName name="IQ_NCOS_COMM_IND_LOANS_TOT_LOANS_FFIEC" hidden="1">"c13886"</definedName>
    <definedName name="IQ_NCOS_COMM_RE_FARM_LOANS_TOT_LOANS_FFIEC" hidden="1">"c13885"</definedName>
    <definedName name="IQ_NCOS_COMM_RE_NONFARM_NONRES_TOT_LOANS_FFIEC" hidden="1">"c13884"</definedName>
    <definedName name="IQ_NCOS_CONST_LAND_DEV_LOANS_TOT_LOANS_FFIEC" hidden="1">"c13878"</definedName>
    <definedName name="IQ_NCOS_CONSUMER_LOANS_TOT_LOANS_FFIEC" hidden="1">"c13887"</definedName>
    <definedName name="IQ_NCOS_FARM_LOANS_TOT_LOANS_FFIEC" hidden="1">"c13883"</definedName>
    <definedName name="IQ_NCOS_HOME_EQUITY_LOANS_TOT_LOANS_FFIEC" hidden="1">"c13880"</definedName>
    <definedName name="IQ_NCOS_MULTIFAM_5_LOANS_TOT_LOANS_FFIEC" hidden="1">"c13882"</definedName>
    <definedName name="IQ_NCOS_TOT_1_4_FAM_LOANS_TOT_LOANS_FFIEC" hidden="1">"c13881"</definedName>
    <definedName name="IQ_NCOS_TOT_LEASES_TOT_LOANS_FFIEC" hidden="1">"c13888"</definedName>
    <definedName name="IQ_NCOS_TOT_LOANS_TOT_LOANS_FFIEC" hidden="1">"c13889"</definedName>
    <definedName name="IQ_NEGATIVE_FAIR_VALUE_DERIVATIVES_BENEFICIARY_FFIEC" hidden="1">"c13124"</definedName>
    <definedName name="IQ_NEGATIVE_FAIR_VALUE_DERIVATIVES_GUARANTOR_FFIEC" hidden="1">"c13117"</definedName>
    <definedName name="IQ_NET_BOOKING_LOCATION_ADJUSTMENT_FOREIGN_FFIEC" hidden="1">"c15385"</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CIQ" hidden="1">"c5070"</definedName>
    <definedName name="IQ_NET_DEBT_ACT_OR_EST_REUT" hidden="1">"c5473"</definedName>
    <definedName name="IQ_NET_DEBT_ACT_OR_EST_THOM" hidden="1">"c5309"</definedName>
    <definedName name="IQ_NET_DEBT_EBITDA" hidden="1">"c750"</definedName>
    <definedName name="IQ_NET_DEBT_EBITDA_CAPEX" hidden="1">"c2949"</definedName>
    <definedName name="IQ_NET_DEBT_EST" hidden="1">"c3517"</definedName>
    <definedName name="IQ_NET_DEBT_EST_CIQ" hidden="1">"c3814"</definedName>
    <definedName name="IQ_NET_DEBT_EST_REUT" hidden="1">"c3976"</definedName>
    <definedName name="IQ_NET_DEBT_EST_THOM" hidden="1">"c4027"</definedName>
    <definedName name="IQ_NET_DEBT_GUIDANCE" hidden="1">"c4467"</definedName>
    <definedName name="IQ_NET_DEBT_GUIDANCE_CIQ" hidden="1">"c5005"</definedName>
    <definedName name="IQ_NET_DEBT_HIGH_EST" hidden="1">"c3518"</definedName>
    <definedName name="IQ_NET_DEBT_HIGH_EST_CIQ" hidden="1">"c3816"</definedName>
    <definedName name="IQ_NET_DEBT_HIGH_EST_REUT" hidden="1">"c3978"</definedName>
    <definedName name="IQ_NET_DEBT_HIGH_EST_THOM" hidden="1">"c4029"</definedName>
    <definedName name="IQ_NET_DEBT_HIGH_GUIDANCE" hidden="1">"c4181"</definedName>
    <definedName name="IQ_NET_DEBT_HIGH_GUIDANCE_CIQ" hidden="1">"c4593"</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CIQ" hidden="1">"c3817"</definedName>
    <definedName name="IQ_NET_DEBT_LOW_EST_REUT" hidden="1">"c3979"</definedName>
    <definedName name="IQ_NET_DEBT_LOW_EST_THOM" hidden="1">"c4030"</definedName>
    <definedName name="IQ_NET_DEBT_LOW_GUIDANCE" hidden="1">"c4221"</definedName>
    <definedName name="IQ_NET_DEBT_LOW_GUIDANCE_CIQ" hidden="1">"c4633"</definedName>
    <definedName name="IQ_NET_DEBT_MEDIAN_EST" hidden="1">"c3520"</definedName>
    <definedName name="IQ_NET_DEBT_MEDIAN_EST_CIQ" hidden="1">"c3815"</definedName>
    <definedName name="IQ_NET_DEBT_MEDIAN_EST_REUT" hidden="1">"c3977"</definedName>
    <definedName name="IQ_NET_DEBT_MEDIAN_EST_THOM" hidden="1">"c4028"</definedName>
    <definedName name="IQ_NET_DEBT_NUM_EST" hidden="1">"c3515"</definedName>
    <definedName name="IQ_NET_DEBT_NUM_EST_CIQ" hidden="1">"c3818"</definedName>
    <definedName name="IQ_NET_DEBT_NUM_EST_REUT" hidden="1">"c3980"</definedName>
    <definedName name="IQ_NET_DEBT_NUM_EST_THOM" hidden="1">"c4031"</definedName>
    <definedName name="IQ_NET_DEBT_STDDEV_EST" hidden="1">"c3516"</definedName>
    <definedName name="IQ_NET_DEBT_STDDEV_EST_CIQ" hidden="1">"c3819"</definedName>
    <definedName name="IQ_NET_DEBT_STDDEV_EST_REUT" hidden="1">"c3981"</definedName>
    <definedName name="IQ_NET_DEBT_STDDEV_EST_THOM" hidden="1">"c4032"</definedName>
    <definedName name="IQ_NET_EARNED" hidden="1">"c2734"</definedName>
    <definedName name="IQ_NET_FUNDS_PURCHASED_ASSETS_TOT_FFIEC" hidden="1">"c13448"</definedName>
    <definedName name="IQ_NET_GAIN_LOSS_OREO_EXP_FFIEC" hidden="1">"c15370"</definedName>
    <definedName name="IQ_NET_GAIN_LOSS_OREO_INC_FFIEC" hidden="1">"c15367"</definedName>
    <definedName name="IQ_NET_GAIN_LOSS_SALES_LOANS_EXP_FFIEC" hidden="1">"c15371"</definedName>
    <definedName name="IQ_NET_GAIN_LOSS_SALES_LOANS_INC_FFIEC" hidden="1">"c15368"</definedName>
    <definedName name="IQ_NET_GAIN_SALE_PREMISES_FIXED_ASSETS_EXP_FFIEC" hidden="1">"c15372"</definedName>
    <definedName name="IQ_NET_GAIN_SALE_PREMISES_FIXED_ASSETS_INC_FFIEC" hidden="1">"c15369"</definedName>
    <definedName name="IQ_NET_INC" hidden="1">"c1394"</definedName>
    <definedName name="IQ_NET_INC_10K" hidden="1">"NET_INC_10K"</definedName>
    <definedName name="IQ_NET_INC_10Q" hidden="1">"NET_INC_10Q"</definedName>
    <definedName name="IQ_NET_INC_10Q1" hidden="1">"NET_INC_10Q1"</definedName>
    <definedName name="IQ_NET_INC_BEFORE" hidden="1">"c1368"</definedName>
    <definedName name="IQ_NET_INC_CF" hidden="1">"c1397"</definedName>
    <definedName name="IQ_NET_INC_GROWTH_1" hidden="1">"IQ_NET_INC_GROWTH_1"</definedName>
    <definedName name="IQ_NET_INC_GROWTH_2" hidden="1">"IQ_NET_INC_GROWTH_2"</definedName>
    <definedName name="IQ_NET_INC_MARGIN" hidden="1">"c1398"</definedName>
    <definedName name="IQ_NET_INCOME_FDIC" hidden="1">"c6587"</definedName>
    <definedName name="IQ_NET_INCOME_LH_FFIEC" hidden="1">"c13110"</definedName>
    <definedName name="IQ_NET_INCOME_PC_FFIEC" hidden="1">"c13103"</definedName>
    <definedName name="IQ_NET_INCOME_SHE_FFIEC" hidden="1">"c12960"</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INCOME_FFIEC" hidden="1">"c13001"</definedName>
    <definedName name="IQ_NET_INT_INCOME_FTE_FFIEC" hidden="1">"c13036"</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INC_INTERNATIONAL_OPS_FFIEC" hidden="1">"c15375"</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 hidden="1">"c13341"</definedName>
    <definedName name="IQ_NET_LOANS_DEPOSITS_FFIEC" hidden="1">"c13340"</definedName>
    <definedName name="IQ_NET_LOANS_EQUITY_FFIEC" hidden="1">"c13347"</definedName>
    <definedName name="IQ_NET_LOANS_LEASES_CORE_DEPOSITS_FDIC" hidden="1">"c6743"</definedName>
    <definedName name="IQ_NET_LOANS_LEASES_DEPOSITS_FDIC" hidden="1">"c6742"</definedName>
    <definedName name="IQ_NET_LOANS_TOTAL_DEPOSITS" hidden="1">"c779"</definedName>
    <definedName name="IQ_NET_NONINTEREST_INC_EXP_INTERNATIONAL_OPS_FFIEC" hidden="1">"c15387"</definedName>
    <definedName name="IQ_NET_OPERATING_INCOME_ASSETS_FDIC" hidden="1">"c6729"</definedName>
    <definedName name="IQ_NET_RENTAL_EXP_FN" hidden="1">"c780"</definedName>
    <definedName name="IQ_NET_SECURITIZATION_INC_FOREIGN_FFIEC" hidden="1">"c15379"</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WS" hidden="1">"c13743"</definedName>
    <definedName name="IQ_NEWS_DATE" hidden="1">"c13746"</definedName>
    <definedName name="IQ_NEWS_SOURCE" hidden="1">"c13745"</definedName>
    <definedName name="IQ_NEWS_TIME" hidden="1">"c13759"</definedName>
    <definedName name="IQ_NEWS_URL" hidden="1">"c13744"</definedName>
    <definedName name="IQ_NEXT_CALL_DATE" hidden="1">"c2198"</definedName>
    <definedName name="IQ_NEXT_CALL_PRICE" hidden="1">"c2199"</definedName>
    <definedName name="IQ_NEXT_EARNINGS_DATE" hidden="1">"c13592"</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CIQ" hidden="1">"c5065"</definedName>
    <definedName name="IQ_NI_ACT_OR_EST_REUT" hidden="1">"c5468"</definedName>
    <definedName name="IQ_NI_ACT_OR_EST_THOM" hidden="1">"c5306"</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AVG_ASSETS_FFIEC" hidden="1">"c13370"</definedName>
    <definedName name="IQ_NI_BANK_AND_NONCONTROLLING_INTEREST_FFIEC" hidden="1">"c15365"</definedName>
    <definedName name="IQ_NI_BEFORE_CAPITALIZED" hidden="1">"c792"</definedName>
    <definedName name="IQ_NI_BEFORE_INTERNAL_ALLOCATIONS_FOREIGN_FFIEC" hidden="1">"c15393"</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EST" hidden="1">"c1716"</definedName>
    <definedName name="IQ_NI_EST_CIQ" hidden="1">"c4702"</definedName>
    <definedName name="IQ_NI_EST_REUT" hidden="1">"c5368"</definedName>
    <definedName name="IQ_NI_EST_THOM" hidden="1">"c5126"</definedName>
    <definedName name="IQ_NI_FFIEC" hidden="1">"c13034"</definedName>
    <definedName name="IQ_NI_GAAP_GUIDANCE" hidden="1">"c4470"</definedName>
    <definedName name="IQ_NI_GAAP_GUIDANCE_CIQ" hidden="1">"c5008"</definedName>
    <definedName name="IQ_NI_GAAP_HIGH_GUIDANCE" hidden="1">"c4177"</definedName>
    <definedName name="IQ_NI_GAAP_HIGH_GUIDANCE_CIQ" hidden="1">"c4589"</definedName>
    <definedName name="IQ_NI_GAAP_LOW_GUIDANCE" hidden="1">"c4217"</definedName>
    <definedName name="IQ_NI_GAAP_LOW_GUIDANCE_CIQ" hidden="1">"c4629"</definedName>
    <definedName name="IQ_NI_GUIDANCE" hidden="1">"c4469"</definedName>
    <definedName name="IQ_NI_GUIDANCE_CIQ" hidden="1">"c5007"</definedName>
    <definedName name="IQ_NI_GW_EST" hidden="1">"c1723"</definedName>
    <definedName name="IQ_NI_GW_EST_CIQ" hidden="1">"c4709"</definedName>
    <definedName name="IQ_NI_GW_EST_REUT" hidden="1">"c5375"</definedName>
    <definedName name="IQ_NI_GW_GUIDANCE" hidden="1">"c4471"</definedName>
    <definedName name="IQ_NI_GW_GUIDANCE_CIQ" hidden="1">"c5009"</definedName>
    <definedName name="IQ_NI_GW_HIGH_EST" hidden="1">"c1725"</definedName>
    <definedName name="IQ_NI_GW_HIGH_EST_CIQ" hidden="1">"c4711"</definedName>
    <definedName name="IQ_NI_GW_HIGH_EST_REUT" hidden="1">"c5377"</definedName>
    <definedName name="IQ_NI_GW_HIGH_GUIDANCE" hidden="1">"c4178"</definedName>
    <definedName name="IQ_NI_GW_HIGH_GUIDANCE_CIQ" hidden="1">"c4590"</definedName>
    <definedName name="IQ_NI_GW_LOW_EST" hidden="1">"c1726"</definedName>
    <definedName name="IQ_NI_GW_LOW_EST_CIQ" hidden="1">"c4712"</definedName>
    <definedName name="IQ_NI_GW_LOW_EST_REUT" hidden="1">"c5378"</definedName>
    <definedName name="IQ_NI_GW_LOW_GUIDANCE" hidden="1">"c4218"</definedName>
    <definedName name="IQ_NI_GW_LOW_GUIDANCE_CIQ" hidden="1">"c4630"</definedName>
    <definedName name="IQ_NI_GW_MEDIAN_EST" hidden="1">"c1724"</definedName>
    <definedName name="IQ_NI_GW_MEDIAN_EST_CIQ" hidden="1">"c4710"</definedName>
    <definedName name="IQ_NI_GW_MEDIAN_EST_REUT" hidden="1">"c5376"</definedName>
    <definedName name="IQ_NI_GW_NUM_EST" hidden="1">"c1727"</definedName>
    <definedName name="IQ_NI_GW_NUM_EST_CIQ" hidden="1">"c4713"</definedName>
    <definedName name="IQ_NI_GW_NUM_EST_REUT" hidden="1">"c5379"</definedName>
    <definedName name="IQ_NI_GW_STDDEV_EST" hidden="1">"c1728"</definedName>
    <definedName name="IQ_NI_GW_STDDEV_EST_CIQ" hidden="1">"c4714"</definedName>
    <definedName name="IQ_NI_GW_STDDEV_EST_REUT" hidden="1">"c5380"</definedName>
    <definedName name="IQ_NI_HIGH_EST" hidden="1">"c1718"</definedName>
    <definedName name="IQ_NI_HIGH_EST_CIQ" hidden="1">"c4704"</definedName>
    <definedName name="IQ_NI_HIGH_EST_REUT" hidden="1">"c5370"</definedName>
    <definedName name="IQ_NI_HIGH_EST_THOM" hidden="1">"c5128"</definedName>
    <definedName name="IQ_NI_HIGH_GUIDANCE" hidden="1">"c4176"</definedName>
    <definedName name="IQ_NI_HIGH_GUIDANCE_CIQ" hidden="1">"c4588"</definedName>
    <definedName name="IQ_NI_LOW_EST" hidden="1">"c1719"</definedName>
    <definedName name="IQ_NI_LOW_EST_CIQ" hidden="1">"c4705"</definedName>
    <definedName name="IQ_NI_LOW_EST_REUT" hidden="1">"c5371"</definedName>
    <definedName name="IQ_NI_LOW_EST_THOM" hidden="1">"c5129"</definedName>
    <definedName name="IQ_NI_LOW_GUIDANCE" hidden="1">"c4216"</definedName>
    <definedName name="IQ_NI_LOW_GUIDANCE_CIQ" hidden="1">"c4628"</definedName>
    <definedName name="IQ_NI_MARGIN" hidden="1">"c794"</definedName>
    <definedName name="IQ_NI_MEDIAN_EST" hidden="1">"c1717"</definedName>
    <definedName name="IQ_NI_MEDIAN_EST_CIQ" hidden="1">"c4703"</definedName>
    <definedName name="IQ_NI_MEDIAN_EST_REUT" hidden="1">"c5369"</definedName>
    <definedName name="IQ_NI_MEDIAN_EST_THOM" hidden="1">"c5127"</definedName>
    <definedName name="IQ_NI_NON_CONTROLLING_INTERESTS_FFIEC" hidden="1">"c15366"</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CIQ" hidden="1">"c4706"</definedName>
    <definedName name="IQ_NI_NUM_EST_REUT" hidden="1">"c5372"</definedName>
    <definedName name="IQ_NI_NUM_EST_THOM" hidden="1">"c5130"</definedName>
    <definedName name="IQ_NI_REPORTED_EST" hidden="1">"c1730"</definedName>
    <definedName name="IQ_NI_REPORTED_EST_CIQ" hidden="1">"c4716"</definedName>
    <definedName name="IQ_NI_REPORTED_EST_REUT" hidden="1">"c5382"</definedName>
    <definedName name="IQ_NI_REPORTED_HIGH_EST" hidden="1">"c1732"</definedName>
    <definedName name="IQ_NI_REPORTED_HIGH_EST_CIQ" hidden="1">"c4718"</definedName>
    <definedName name="IQ_NI_REPORTED_HIGH_EST_REUT" hidden="1">"c5384"</definedName>
    <definedName name="IQ_NI_REPORTED_LOW_EST" hidden="1">"c1733"</definedName>
    <definedName name="IQ_NI_REPORTED_LOW_EST_CIQ" hidden="1">"c4719"</definedName>
    <definedName name="IQ_NI_REPORTED_LOW_EST_REUT" hidden="1">"c5385"</definedName>
    <definedName name="IQ_NI_REPORTED_MEDIAN_EST" hidden="1">"c1731"</definedName>
    <definedName name="IQ_NI_REPORTED_MEDIAN_EST_CIQ" hidden="1">"c4717"</definedName>
    <definedName name="IQ_NI_REPORTED_MEDIAN_EST_REUT" hidden="1">"c5383"</definedName>
    <definedName name="IQ_NI_REPORTED_NUM_EST" hidden="1">"c1734"</definedName>
    <definedName name="IQ_NI_REPORTED_NUM_EST_CIQ" hidden="1">"c4720"</definedName>
    <definedName name="IQ_NI_REPORTED_NUM_EST_REUT" hidden="1">"c5386"</definedName>
    <definedName name="IQ_NI_REPORTED_STDDEV_EST" hidden="1">"c1735"</definedName>
    <definedName name="IQ_NI_REPORTED_STDDEV_EST_CIQ" hidden="1">"c4721"</definedName>
    <definedName name="IQ_NI_REPORTED_STDDEV_EST_REUT" hidden="1">"c5387"</definedName>
    <definedName name="IQ_NI_SBC_ACT_OR_EST" hidden="1">"c4474"</definedName>
    <definedName name="IQ_NI_SBC_ACT_OR_EST_CIQ" hidden="1">"c5012"</definedName>
    <definedName name="IQ_NI_SBC_EST" hidden="1">"c4473"</definedName>
    <definedName name="IQ_NI_SBC_EST_CIQ" hidden="1">"c5011"</definedName>
    <definedName name="IQ_NI_SBC_GUIDANCE" hidden="1">"c4475"</definedName>
    <definedName name="IQ_NI_SBC_GUIDANCE_CIQ" hidden="1">"c5013"</definedName>
    <definedName name="IQ_NI_SBC_GW_ACT_OR_EST" hidden="1">"c4478"</definedName>
    <definedName name="IQ_NI_SBC_GW_ACT_OR_EST_CIQ" hidden="1">"c5016"</definedName>
    <definedName name="IQ_NI_SBC_GW_EST" hidden="1">"c4477"</definedName>
    <definedName name="IQ_NI_SBC_GW_EST_CIQ" hidden="1">"c5015"</definedName>
    <definedName name="IQ_NI_SBC_GW_GUIDANCE" hidden="1">"c4479"</definedName>
    <definedName name="IQ_NI_SBC_GW_GUIDANCE_CIQ" hidden="1">"c5017"</definedName>
    <definedName name="IQ_NI_SBC_GW_HIGH_EST" hidden="1">"c4480"</definedName>
    <definedName name="IQ_NI_SBC_GW_HIGH_EST_CIQ" hidden="1">"c5018"</definedName>
    <definedName name="IQ_NI_SBC_GW_HIGH_GUIDANCE" hidden="1">"c4187"</definedName>
    <definedName name="IQ_NI_SBC_GW_HIGH_GUIDANCE_CIQ" hidden="1">"c4599"</definedName>
    <definedName name="IQ_NI_SBC_GW_LOW_EST" hidden="1">"c4481"</definedName>
    <definedName name="IQ_NI_SBC_GW_LOW_EST_CIQ" hidden="1">"c5019"</definedName>
    <definedName name="IQ_NI_SBC_GW_LOW_GUIDANCE" hidden="1">"c4227"</definedName>
    <definedName name="IQ_NI_SBC_GW_LOW_GUIDANCE_CIQ" hidden="1">"c4639"</definedName>
    <definedName name="IQ_NI_SBC_GW_MEDIAN_EST" hidden="1">"c4482"</definedName>
    <definedName name="IQ_NI_SBC_GW_MEDIAN_EST_CIQ" hidden="1">"c5020"</definedName>
    <definedName name="IQ_NI_SBC_GW_NUM_EST" hidden="1">"c4483"</definedName>
    <definedName name="IQ_NI_SBC_GW_NUM_EST_CIQ" hidden="1">"c5021"</definedName>
    <definedName name="IQ_NI_SBC_GW_STDDEV_EST" hidden="1">"c4484"</definedName>
    <definedName name="IQ_NI_SBC_GW_STDDEV_EST_CIQ" hidden="1">"c5022"</definedName>
    <definedName name="IQ_NI_SBC_HIGH_EST" hidden="1">"c4486"</definedName>
    <definedName name="IQ_NI_SBC_HIGH_EST_CIQ" hidden="1">"c5024"</definedName>
    <definedName name="IQ_NI_SBC_HIGH_GUIDANCE" hidden="1">"c4186"</definedName>
    <definedName name="IQ_NI_SBC_HIGH_GUIDANCE_CIQ" hidden="1">"c4598"</definedName>
    <definedName name="IQ_NI_SBC_LOW_EST" hidden="1">"c4487"</definedName>
    <definedName name="IQ_NI_SBC_LOW_EST_CIQ" hidden="1">"c5025"</definedName>
    <definedName name="IQ_NI_SBC_LOW_GUIDANCE" hidden="1">"c4226"</definedName>
    <definedName name="IQ_NI_SBC_LOW_GUIDANCE_CIQ" hidden="1">"c4638"</definedName>
    <definedName name="IQ_NI_SBC_MEDIAN_EST" hidden="1">"c4488"</definedName>
    <definedName name="IQ_NI_SBC_MEDIAN_EST_CIQ" hidden="1">"c5026"</definedName>
    <definedName name="IQ_NI_SBC_NUM_EST" hidden="1">"c4489"</definedName>
    <definedName name="IQ_NI_SBC_NUM_EST_CIQ" hidden="1">"c5027"</definedName>
    <definedName name="IQ_NI_SBC_STDDEV_EST" hidden="1">"c4490"</definedName>
    <definedName name="IQ_NI_SBC_STDDEV_EST_CIQ" hidden="1">"c5028"</definedName>
    <definedName name="IQ_NI_SFAS" hidden="1">"c795"</definedName>
    <definedName name="IQ_NI_STDDEV_EST" hidden="1">"c1721"</definedName>
    <definedName name="IQ_NI_STDDEV_EST_CIQ" hidden="1">"c4707"</definedName>
    <definedName name="IQ_NI_STDDEV_EST_REUT" hidden="1">"c5373"</definedName>
    <definedName name="IQ_NI_STDDEV_EST_THOM" hidden="1">"c5131"</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_ALLOW_RECEIVABLES_FFIEC" hidden="1">"c13353"</definedName>
    <definedName name="IQ_NON_ACCRUAL_ASSET_SOLD_DURING_QTR_FFIEC" hidden="1">"c15350"</definedName>
    <definedName name="IQ_NON_ACCRUAL_LOANS" hidden="1">"c796"</definedName>
    <definedName name="IQ_NON_CASH" hidden="1">"c1399"</definedName>
    <definedName name="IQ_NON_CASH_ITEMS" hidden="1">"c797"</definedName>
    <definedName name="IQ_NON_CURRENT_LOANS_FFIEC" hidden="1">"c13860"</definedName>
    <definedName name="IQ_NON_FARM_NONRES_PROPERTIES_TRADING_DOM_FFIEC" hidden="1">"c12931"</definedName>
    <definedName name="IQ_NON_INS_EXP" hidden="1">"c798"</definedName>
    <definedName name="IQ_NON_INS_REV" hidden="1">"c799"</definedName>
    <definedName name="IQ_NON_INT_BAL_OTHER_INSTITUTIONS_FFIEC" hidden="1">"c12950"</definedName>
    <definedName name="IQ_NON_INT_BEAR_CD" hidden="1">"c11750"</definedName>
    <definedName name="IQ_NON_INT_BEARING_DEPOSITS" hidden="1">"c800"</definedName>
    <definedName name="IQ_NON_INT_DEPOSITS_DOM_FFIEC" hidden="1">"c12851"</definedName>
    <definedName name="IQ_NON_INT_DEPOSITS_FOREIGN_FFIEC" hidden="1">"c12854"</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EXPENSE_FFIEC" hidden="1">"c13028"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 hidden="1">"c13359"</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_INC_OPERATING_INC_FFIEC" hidden="1">"c13382"</definedName>
    <definedName name="IQ_NON_INT_INCOME_FFIEC" hidden="1">"c13017"</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ASSETS_FFIEC" hidden="1">"c13859"</definedName>
    <definedName name="IQ_NON_PERFORMING_LOANS" hidden="1">"c827"</definedName>
    <definedName name="IQ_NON_PERFORMING_LOANS_FFIEC" hidden="1">"c13861"</definedName>
    <definedName name="IQ_NON_US_ADDRESS_LEASE_FIN_REC_FFIEC" hidden="1">"c13625"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INCOME_AMORT_CLOSED_END_LOANS_FFIEC" hidden="1">"c13078"</definedName>
    <definedName name="IQ_NONCASH_PENSION_EXP" hidden="1">"c3000"</definedName>
    <definedName name="IQ_NONCORE_ASSETS_TOT_FFIEC" hidden="1">"c13443"</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NONRES_DOM_FFIEC" hidden="1">"c15271"</definedName>
    <definedName name="IQ_NONFARM_NONRES_GROSS_LOANS_FFIEC" hidden="1">"c13405"</definedName>
    <definedName name="IQ_NONFARM_NONRES_LL_REC_DOM_FFIEC" hidden="1">"c13626"</definedName>
    <definedName name="IQ_NONFARM_NONRES_RISK_BASED_FFIEC" hidden="1">"c13426"</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CASH_FFIEC" hidden="1">"c12774"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_FOREIGN_FFIEC" hidden="1">"c15376"</definedName>
    <definedName name="IQ_NONINTEREST_INCOME_EARNING_ASSETS_FDIC" hidden="1">"c6727"</definedName>
    <definedName name="IQ_NONMORTGAGE_SERVICING_FDIC" hidden="1">"c6336"</definedName>
    <definedName name="IQ_NONQUALIFYING_PREFERRED_T1_FFIEC" hidden="1">"c13134"</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FC_UNUSED_UNUSED_UNUSED" hidden="1">"c8468"</definedName>
    <definedName name="IQ_NONRES_FIXED_INVEST_PRIV_APR_UNUSED" hidden="1">"c7588"</definedName>
    <definedName name="IQ_NONRES_FIXED_INVEST_PRIV_APR_UNUSED_UNUSED_UNUSED" hidden="1">"c7588"</definedName>
    <definedName name="IQ_NONRES_FIXED_INVEST_PRIV_FC_UNUSED" hidden="1">"c7808"</definedName>
    <definedName name="IQ_NONRES_FIXED_INVEST_PRIV_FC_UNUSED_UNUSED_UNUSED" hidden="1">"c7808"</definedName>
    <definedName name="IQ_NONRES_FIXED_INVEST_PRIV_POP_FC_UNUSED" hidden="1">"c8028"</definedName>
    <definedName name="IQ_NONRES_FIXED_INVEST_PRIV_POP_FC_UNUSED_UNUSED_UNUSED" hidden="1">"c8028"</definedName>
    <definedName name="IQ_NONRES_FIXED_INVEST_PRIV_POP_UNUSED" hidden="1">"c7148"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FC_UNUSED_UNUSED_UNUSED" hidden="1">"c8248"</definedName>
    <definedName name="IQ_NONRES_FIXED_INVEST_PRIV_YOY_UNUSED" hidden="1">"c7368"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DING_SECURITIES_FAIR_VALUE_TOT_FFIEC" hidden="1">"c13211"</definedName>
    <definedName name="IQ_NONTRADING_SECURITIES_LEVEL_1_FFIEC" hidden="1">"c13219"</definedName>
    <definedName name="IQ_NONTRADING_SECURITIES_LEVEL_2_FFIEC" hidden="1">"c13227"</definedName>
    <definedName name="IQ_NONTRADING_SECURITIES_LEVEL_3_FFIEC" hidden="1">"c13235"</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AMT_DERIVATIVES_BENEFICIARY_FFIEC" hidden="1">"c13118"</definedName>
    <definedName name="IQ_NOTIONAL_AMT_DERIVATIVES_GUARANTOR_FFIEC" hidden="1">"c13111"</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OW_ATS_ACCOUNTS_COMMERCIAL_BANK_SUBS_FFIEC" hidden="1">"c12946"</definedName>
    <definedName name="IQ_NOW_ATS_ACCOUNTS_OTHER_INSTITUTIONS_FFIEC" hidden="1">"c12951"</definedName>
    <definedName name="IQ_NOW_OTHER_TRANS_ACCTS_TOT_DEPOSITS_FFIEC" hidden="1">"c13903"</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CONTRIBUTORS" hidden="1">"c13739"</definedName>
    <definedName name="IQ_NUM_OFFIC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OBLIGATION_STATES_POLI_SUBD_US_LL_REC_DOM_FFIEC" hidden="1">"c15295"</definedName>
    <definedName name="IQ_OBLIGATION_STATES_POLI_SUBD_US_LL_REC_FFIEC" hidden="1">"c15294"</definedName>
    <definedName name="IQ_OBLIGATIONS_OF_STATES_TOTAL_LOANS_FOREIGN_FDIC" hidden="1">"c6447"</definedName>
    <definedName name="IQ_OBLIGATIONS_STATES_FDIC" hidden="1">"c6431"</definedName>
    <definedName name="IQ_OCCUPANCY_CONSOL" hidden="1">"c8840"</definedName>
    <definedName name="IQ_OCCUPANCY_EXP_AVG_ASSETS_FFIEC" hidden="1">"c13372"</definedName>
    <definedName name="IQ_OCCUPANCY_EXP_OPERATING_INC_FFIEC" hidden="1">"c13380"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"c10073"</definedName>
    <definedName name="IQ_OG_DAILY_PRDUCTION_GROWTH_GAS_EQUIVALENT" hidden="1">"c10076"</definedName>
    <definedName name="IQ_OG_DAILY_PRDUCTION_GROWTH_NGL" hidden="1">"c10074"</definedName>
    <definedName name="IQ_OG_DAILY_PRDUCTION_GROWTH_OIL" hidden="1">"c10072"</definedName>
    <definedName name="IQ_OG_DAILY_PRDUCTION_GROWTH_OIL_EQUIVALENT" hidden="1">"c10075"</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"c10067"</definedName>
    <definedName name="IQ_OG_PRDUCTION_GROWTH_GAS_EQUIVALENT" hidden="1">"c10070"</definedName>
    <definedName name="IQ_OG_PRDUCTION_GROWTH_NGL" hidden="1">"c10068"</definedName>
    <definedName name="IQ_OG_PRDUCTION_GROWTH_OIL" hidden="1">"c10066"</definedName>
    <definedName name="IQ_OG_PRDUCTION_GROWTH_OIL_EQUIVALENT" hidden="1">"c10069"</definedName>
    <definedName name="IQ_OG_PRDUCTION_GROWTH_TOAL" hidden="1">"c10071"</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ACT_OR_EST_REUT" hidden="1">"c5466"</definedName>
    <definedName name="IQ_OPER_INC_ACT_OR_EST_THOM" hidden="1">"c5304"</definedName>
    <definedName name="IQ_OPER_INC_BR" hidden="1">"c850"</definedName>
    <definedName name="IQ_OPER_INC_EST" hidden="1">"c1688"</definedName>
    <definedName name="IQ_OPER_INC_EST_REUT" hidden="1">"c5340"</definedName>
    <definedName name="IQ_OPER_INC_EST_THOM" hidden="1">"c5112"</definedName>
    <definedName name="IQ_OPER_INC_FIN" hidden="1">"c851"</definedName>
    <definedName name="IQ_OPER_INC_HIGH_EST" hidden="1">"c1690"</definedName>
    <definedName name="IQ_OPER_INC_HIGH_EST_REUT" hidden="1">"c5342"</definedName>
    <definedName name="IQ_OPER_INC_HIGH_EST_THOM" hidden="1">"c5114"</definedName>
    <definedName name="IQ_OPER_INC_INS" hidden="1">"c852"</definedName>
    <definedName name="IQ_OPER_INC_LOW_EST" hidden="1">"c1691"</definedName>
    <definedName name="IQ_OPER_INC_LOW_EST_REUT" hidden="1">"c5343"</definedName>
    <definedName name="IQ_OPER_INC_LOW_EST_THOM" hidden="1">"c5115"</definedName>
    <definedName name="IQ_OPER_INC_MARGIN" hidden="1">"c1448"</definedName>
    <definedName name="IQ_OPER_INC_MEDIAN_EST" hidden="1">"c1689"</definedName>
    <definedName name="IQ_OPER_INC_MEDIAN_EST_REUT" hidden="1">"c5341"</definedName>
    <definedName name="IQ_OPER_INC_MEDIAN_EST_THOM" hidden="1">"c5113"</definedName>
    <definedName name="IQ_OPER_INC_NUM_EST" hidden="1">"c1692"</definedName>
    <definedName name="IQ_OPER_INC_NUM_EST_REUT" hidden="1">"c5344"</definedName>
    <definedName name="IQ_OPER_INC_NUM_EST_THOM" hidden="1">"c5116"</definedName>
    <definedName name="IQ_OPER_INC_RE" hidden="1">"c6240"</definedName>
    <definedName name="IQ_OPER_INC_REIT" hidden="1">"c853"</definedName>
    <definedName name="IQ_OPER_INC_STDDEV_EST" hidden="1">"c1693"</definedName>
    <definedName name="IQ_OPER_INC_STDDEV_EST_REUT" hidden="1">"c5345"</definedName>
    <definedName name="IQ_OPER_INC_STDDEV_EST_THOM" hidden="1">"c5117"</definedName>
    <definedName name="IQ_OPER_INC_UTI" hidden="1">"c854"</definedName>
    <definedName name="IQ_OPERATING_EXP_AVG_ASSETS_FFIEC" hidden="1">"c13373"</definedName>
    <definedName name="IQ_OPERATING_INC_AVG_ASSETS_FFIEC" hidden="1">"c13368"</definedName>
    <definedName name="IQ_OPERATING_INC_TE_AVG_ASSETS_FFIEC" hidden="1">"c13360"</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OS" hidden="1">"c858"</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FIEC" hidden="1">"c12831"</definedName>
    <definedName name="IQ_OREO_FOREIGN_FDIC" hidden="1">"c6460"</definedName>
    <definedName name="IQ_OREO_FOREIGN_FFIEC" hidden="1">"c15273"</definedName>
    <definedName name="IQ_OREO_MULTI_FAMILY_RESIDENTIAL_FDIC" hidden="1">"c6455"</definedName>
    <definedName name="IQ_OREO_OTHER_FFIEC" hidden="1">"c12833"</definedName>
    <definedName name="IQ_OTHER_ADDITIONS_T1_FFIEC" hidden="1">"c13142"</definedName>
    <definedName name="IQ_OTHER_ADDITIONS_T2_FFIEC" hidden="1">"c13148"</definedName>
    <definedName name="IQ_OTHER_ADJUST_GROSS_LOANS" hidden="1">"c859"</definedName>
    <definedName name="IQ_OTHER_ADJUSTMENTS_COVERED" hidden="1">"c9961"</definedName>
    <definedName name="IQ_OTHER_ADJUSTMENTS_FFIEC" hidden="1">"c12972"</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FIEC" hidden="1">"c12848"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TOTAL_FFIEC" hidden="1">"c12841"</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BORROWED_MONEY_FAIR_VALUE_TOT_FFIEC" hidden="1">"c15409"</definedName>
    <definedName name="IQ_OTHER_BORROWED_MONEY_FFIEC" hidden="1">"c12862"</definedName>
    <definedName name="IQ_OTHER_BORROWED_MONEY_LEVEL_1_FFIEC" hidden="1">"c15431"</definedName>
    <definedName name="IQ_OTHER_BORROWED_MONEY_LEVEL_2_FFIEC" hidden="1">"c15444"</definedName>
    <definedName name="IQ_OTHER_BORROWED_MONEY_LEVEL_3_FFIEC" hidden="1">"c15457"</definedName>
    <definedName name="IQ_OTHER_BORROWED_MONEY_LT_FFIEC" hidden="1">"c12865"</definedName>
    <definedName name="IQ_OTHER_BORROWED_MONEY_ST_FFIEC" hidden="1">"c12864"</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OMPREHENSIVE_INCOME_FFIEC" hidden="1">"c12970"</definedName>
    <definedName name="IQ_OTHER_CONSTRUCTION_GROSS_LOANS_FFIEC" hidden="1">"c13403"</definedName>
    <definedName name="IQ_OTHER_CONSTRUCTION_LOANS_DUE_30_89_FFIEC" hidden="1">"c13258"</definedName>
    <definedName name="IQ_OTHER_CONSTRUCTION_LOANS_DUE_90_FFIEC" hidden="1">"c13286"</definedName>
    <definedName name="IQ_OTHER_CONSTRUCTION_LOANS_NON_ACCRUAL_FFIEC" hidden="1">"c13312"</definedName>
    <definedName name="IQ_OTHER_CONSTRUCTION_LOANS_UNUSED_FFIEC" hidden="1">"c13245"</definedName>
    <definedName name="IQ_OTHER_CONSTRUCTION_RISK_BASED_FFIEC" hidden="1">"c13424"</definedName>
    <definedName name="IQ_OTHER_CONSUMER_LL_REC_FFIEC" hidden="1">"c12891"</definedName>
    <definedName name="IQ_OTHER_CONSUMER_LOANS_FFIEC" hidden="1">"c12824"</definedName>
    <definedName name="IQ_OTHER_CONSUMER_LOANS_TRADING_DOM_FFIEC" hidden="1">"c12935"</definedName>
    <definedName name="IQ_OTHER_CURRENT_ASSETS" hidden="1">"c1403"</definedName>
    <definedName name="IQ_OTHER_CURRENT_LIAB" hidden="1">"c1404"</definedName>
    <definedName name="IQ_OTHER_DEBT" hidden="1">"c2507"</definedName>
    <definedName name="IQ_OTHER_DEBT_PCT" hidden="1">"c2508"</definedName>
    <definedName name="IQ_OTHER_DEBT_SEC_DOM_AVAIL_SALE_FFIEC" hidden="1">"c12803"</definedName>
    <definedName name="IQ_OTHER_DEBT_SEC_FOREIGN_AVAIL_SALE_FFIEC" hidden="1">"c12804"</definedName>
    <definedName name="IQ_OTHER_DEBT_SEC_INVEST_SECURITIES_FFIEC" hidden="1">"c13462"</definedName>
    <definedName name="IQ_OTHER_DEBT_SEC_TRADING_DOM_FFIEC" hidden="1">"c12924"</definedName>
    <definedName name="IQ_OTHER_DEBT_SEC_TRADING_FFIEC" hidden="1">"c12819"</definedName>
    <definedName name="IQ_OTHER_DEBT_SECURITIES_DOM_FFIEC" hidden="1">"c12789"</definedName>
    <definedName name="IQ_OTHER_DEBT_SECURITIES_FOREIGN_FFIEC" hidden="1">"c12790"</definedName>
    <definedName name="IQ_OTHER_DEBT_SECURITIES_QUARTERLY_AVG_FFIEC" hidden="1">"c15473"</definedName>
    <definedName name="IQ_OTHER_DEDUCTIONS_LEVERAGE_RATIO_FFIEC" hidden="1">"c13158"</definedName>
    <definedName name="IQ_OTHER_DEP" hidden="1">"c885"</definedName>
    <definedName name="IQ_OTHER_DEPOSITORY_INSTITUTIONS_LOANS_FDIC" hidden="1">"c6436"</definedName>
    <definedName name="IQ_OTHER_DEPOSITORY_INSTITUTIONS_TOTAL_LOANS_FOREIGN_FDIC" hidden="1">"c6442"</definedName>
    <definedName name="IQ_OTHER_DEPOSITS_FFIEC" hidden="1">"c12994"</definedName>
    <definedName name="IQ_OTHER_DERIVATIVES_BENEFICIARY_FFIEC" hidden="1">"c13122"</definedName>
    <definedName name="IQ_OTHER_DERIVATIVES_GUARANTOR_FFIEC" hidden="1">"c13115"</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CAPITAL_COMPS_FFIEC" hidden="1">"c12880"</definedName>
    <definedName name="IQ_OTHER_EQUITY_FFIEC" hidden="1">"c12879"</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EXP_OPERATING_INC_FFIEC" hidden="1">"c13381"</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OREIGN_LOANS_FOREIGN_FFIEC" hidden="1">"c13482"</definedName>
    <definedName name="IQ_OTHER_IBF_DEPOSIT_LIABILITIES_FFIEC" hidden="1">"c15301"</definedName>
    <definedName name="IQ_OTHER_INDIVIDUAL_FAMILY_DOM_QUARTERLY_AVG_FFIEC" hidden="1">"c15481"</definedName>
    <definedName name="IQ_OTHER_INSURANCE_FEES_FDIC" hidden="1">"c6672"</definedName>
    <definedName name="IQ_OTHER_INSURANCE_PREMIUMS_FFIEC" hidden="1">"c13071"</definedName>
    <definedName name="IQ_OTHER_INT_EXPENSE_FFIEC" hidden="1">"c12999"</definedName>
    <definedName name="IQ_OTHER_INT_INCOME_FFIEC" hidden="1">"c12988"</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 hidden="1">"c12837"</definedName>
    <definedName name="IQ_OTHER_INTANGIBLE_ASSETS_TOT_FFIEC" hidden="1">"c12840"</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EASES_DUE_30_89_FFIEC" hidden="1">"c13278"</definedName>
    <definedName name="IQ_OTHER_LEASES_DUE_90_FFIEC" hidden="1">"c13304"</definedName>
    <definedName name="IQ_OTHER_LEASES_LL_REC_FFIEC" hidden="1">"c12896"</definedName>
    <definedName name="IQ_OTHER_LEASES_NON_ACCRUAL_FFIEC" hidden="1">"c13330"</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IABILITIES_FFIEC" hidden="1">"c12872"</definedName>
    <definedName name="IQ_OTHER_LIABILITIES_TOTAL_FFIEC" hidden="1">"c12869"</definedName>
    <definedName name="IQ_OTHER_LL_REC_FFIEC" hidden="1">"c12894"</definedName>
    <definedName name="IQ_OTHER_LOANS" hidden="1">"c945"</definedName>
    <definedName name="IQ_OTHER_LOANS_CHARGE_OFFS_FDIC" hidden="1">"c6601"</definedName>
    <definedName name="IQ_OTHER_LOANS_DUE_30_89_FFIEC" hidden="1">"c13275"</definedName>
    <definedName name="IQ_OTHER_LOANS_DUE_90_FFIEC" hidden="1">"c13301"</definedName>
    <definedName name="IQ_OTHER_LOANS_FFIEC" hidden="1">"c12825"</definedName>
    <definedName name="IQ_OTHER_LOANS_FOREIGN_FDIC" hidden="1">"c6446"</definedName>
    <definedName name="IQ_OTHER_LOANS_GROSS_LOANS_FFIEC" hidden="1">"c13414"</definedName>
    <definedName name="IQ_OTHER_LOANS_INDIVIDUALS_CHARGE_OFFS_FFIEC" hidden="1">"c13181"</definedName>
    <definedName name="IQ_OTHER_LOANS_INDIVIDUALS_DUE_30_89_FFIEC" hidden="1">"c13273"</definedName>
    <definedName name="IQ_OTHER_LOANS_INDIVIDUALS_DUE_90_FFIEC" hidden="1">"c13299"</definedName>
    <definedName name="IQ_OTHER_LOANS_INDIVIDUALS_NON_ACCRUAL_FFIEC" hidden="1">"c13325"</definedName>
    <definedName name="IQ_OTHER_LOANS_INDIVIDUALS_RECOV_FFIEC" hidden="1">"c13203"</definedName>
    <definedName name="IQ_OTHER_LOANS_LEASES_FDIC" hidden="1">"c6322"</definedName>
    <definedName name="IQ_OTHER_LOANS_LL_REC_DOM_FFIEC" hidden="1">"c12914"</definedName>
    <definedName name="IQ_OTHER_LOANS_NET_CHARGE_OFFS_FDIC" hidden="1">"c6639"</definedName>
    <definedName name="IQ_OTHER_LOANS_NON_ACCRUAL_FFIEC" hidden="1">"c13327"</definedName>
    <definedName name="IQ_OTHER_LOANS_RECOVERIES_FDIC" hidden="1">"c6620"</definedName>
    <definedName name="IQ_OTHER_LOANS_RISK_BASED_FFIEC" hidden="1">"c13435"</definedName>
    <definedName name="IQ_OTHER_LOANS_TOTAL_FDIC" hidden="1">"c6432"</definedName>
    <definedName name="IQ_OTHER_LOANS_TRADING_DOM_FFIEC" hidden="1">"c12936"</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BS_AVAIL_SALE_FFIEC" hidden="1">"c12801"</definedName>
    <definedName name="IQ_OTHER_MBS_FFIEC" hidden="1">"c12787"</definedName>
    <definedName name="IQ_OTHER_MBS_ISSUED_FNMA_GNMA_TRADING_DOM_FFIEC" hidden="1">"c12922"</definedName>
    <definedName name="IQ_OTHER_MBS_ISSUED_FNMA_GNMA_TRADING_FFIEC" hidden="1">"c12817"</definedName>
    <definedName name="IQ_OTHER_MBS_TRADING_DOM_FFIEC" hidden="1">"c12923"</definedName>
    <definedName name="IQ_OTHER_MBS_TRADING_FFIEC" hidden="1">"c12818"</definedName>
    <definedName name="IQ_OTHER_MINING_REVENUE_COAL" hidden="1">"c15931"</definedName>
    <definedName name="IQ_OTHER_NET" hidden="1">"c1453"</definedName>
    <definedName name="IQ_OTHER_NON_INT_ALLOCATIONS_FFIEC" hidden="1">"c13065"</definedName>
    <definedName name="IQ_OTHER_NON_INT_EXP" hidden="1">"c953"</definedName>
    <definedName name="IQ_OTHER_NON_INT_EXP_FDIC" hidden="1">"c6578"</definedName>
    <definedName name="IQ_OTHER_NON_INT_EXP_FFIEC" hidden="1">"c13027"</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INT_INC_OPERATING_INC_FFIEC" hidden="1">"c13392"</definedName>
    <definedName name="IQ_OTHER_NON_INT_INCOME_FFIEC" hidden="1">"c13016"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FARM_NONRES_GROSS_LOANS_FFIEC" hidden="1">"c13407"</definedName>
    <definedName name="IQ_OTHER_NONFARM_NONRES_LL_REC_DOM_FFIEC" hidden="1">"c12907"</definedName>
    <definedName name="IQ_OTHER_NONFARM_NONRES_RISK_BASED_FFIEC" hidden="1">"c13428"</definedName>
    <definedName name="IQ_OTHER_NONINTEREST_INC_FOREIGN_FFIEC" hidden="1">"c15380"</definedName>
    <definedName name="IQ_OTHER_OFF_BS_ITEMS_FFIEC" hidden="1">"c13126"</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OVER_TOTAL" hidden="1">"c13770"</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EVOL_CREDIT_CONSUMER_LOANS_FFIEC" hidden="1">"c12823"</definedName>
    <definedName name="IQ_OTHER_REVOLVING_CREDIT_LL_REC_FFIEC" hidden="1">"c12890"</definedName>
    <definedName name="IQ_OTHER_REVOLVING_CREDIT_LOANS_TRADING_DOM_FFIEC" hidden="1">"c12934"</definedName>
    <definedName name="IQ_OTHER_ROOMS" hidden="1">"c8788"</definedName>
    <definedName name="IQ_OTHER_SAVINGS_DEPOSITS_FDIC" hidden="1">"c6554"</definedName>
    <definedName name="IQ_OTHER_SAVINGS_DEPOSITS_NON_TRANS_ACCTS_FFIEC" hidden="1">"c15331"</definedName>
    <definedName name="IQ_OTHER_SECURITIES_QUARTERLY_AVG_FFIEC" hidden="1">"c15472"</definedName>
    <definedName name="IQ_OTHER_SQ_FT" hidden="1">"c8780"</definedName>
    <definedName name="IQ_OTHER_STRIKE_PRICE_GRANTED" hidden="1">"c2692"</definedName>
    <definedName name="IQ_OTHER_TAX_EQUIVALENT_ADJUSTMENTS_FFIEC" hidden="1">"c13855"</definedName>
    <definedName name="IQ_OTHER_TRADING_ASSETS_FAIR_VALUE_TOT_FFIEC" hidden="1">"c15404"</definedName>
    <definedName name="IQ_OTHER_TRADING_ASSETS_FFIEC" hidden="1">"c12826"</definedName>
    <definedName name="IQ_OTHER_TRADING_ASSETS_LEVEL_1_FFIEC" hidden="1">"c15426"</definedName>
    <definedName name="IQ_OTHER_TRADING_ASSETS_LEVEL_2_FFIEC" hidden="1">"c15439"</definedName>
    <definedName name="IQ_OTHER_TRADING_ASSETS_LEVEL_3_FFIEC" hidden="1">"c15452"</definedName>
    <definedName name="IQ_OTHER_TRADING_ASSETS_TOTAL_FFIEC" hidden="1">"c12937"</definedName>
    <definedName name="IQ_OTHER_TRADING_LIABILITIES_FAIR_VALUE_TOT_FFIEC" hidden="1">"c15408"</definedName>
    <definedName name="IQ_OTHER_TRADING_LIABILITIES_FFIEC" hidden="1">"c12860"</definedName>
    <definedName name="IQ_OTHER_TRADING_LIABILITIES_LEVEL_1_FFIEC" hidden="1">"c15430"</definedName>
    <definedName name="IQ_OTHER_TRADING_LIABILITIES_LEVEL_2_FFIEC" hidden="1">"c15443"</definedName>
    <definedName name="IQ_OTHER_TRADING_LIABILITIES_LEVEL_3_FFIEC" hidden="1">"c15456"</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ED_FFIEC" hidden="1">"c13248"</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SUPPLE" hidden="1">"c13816"</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OVERHEAD_EXP_AVG_ASSETS_FFIEC" hidden="1">"c13361"</definedName>
    <definedName name="IQ_OVERHEAD_EXP_REV_FFIEC" hidden="1">"c13494"</definedName>
    <definedName name="IQ_OVERHEAD_NON_INT_INC_AVG_ASSETS_FFIEC" hidden="1">"c13374"</definedName>
    <definedName name="IQ_OVERHEAD_NON_INT_OPERATING_INC_FFIEC" hidden="1">"c13393"</definedName>
    <definedName name="IQ_OVERHEAD_OPERATING_INC_FFIEC" hidden="1">"c13378"</definedName>
    <definedName name="IQ_OWNER_OCCUPIED_GROSS_LOANS_FFIEC" hidden="1">"c13406"</definedName>
    <definedName name="IQ_OWNER_OCCUPIED_LOANS_RISK_BASED_FFIEC" hidden="1">"c13427"</definedName>
    <definedName name="IQ_OWNER_OCCUPIED_NONFARM_NONRES_LL_REC_DOM_FFIEC" hidden="1">"c12906"</definedName>
    <definedName name="IQ_OWNERSHIP" hidden="1">"c2160"</definedName>
    <definedName name="IQ_PART_TIME" hidden="1">"c1024"</definedName>
    <definedName name="IQ_PARTICIPATION_POOLS_RESIDENTIAL_MORTGAGES_FDIC" hidden="1">"c6403"</definedName>
    <definedName name="IQ_PARTICIPATIONS_ACCEPTANCES_FFIEC" hidden="1">"c13254"</definedName>
    <definedName name="IQ_PARTNERSHIP_INC_RE" hidden="1">"c12039"</definedName>
    <definedName name="IQ_PASS_THROUGH_FNMA_GNMA_TRADING_FFIEC" hidden="1">"c12816"</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ST_DUE_ALLOW_GROSS_LOANS_FFIEC" hidden="1">"c13416"</definedName>
    <definedName name="IQ_PAY_ACCRUED" hidden="1">"c1457"</definedName>
    <definedName name="IQ_PAYOUT_RATIO" hidden="1">"c1900"</definedName>
    <definedName name="IQ_PBV" hidden="1">"c1025"</definedName>
    <definedName name="IQ_PBV_AVG" hidden="1">"c1026"</definedName>
    <definedName name="IQ_PBV_FWD" hidden="1">"c15235"</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EXCL_FWD_THOM" hidden="1">"c4056"</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G_FWD_THOM" hidden="1">"c4059"</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2MONTHS_REUT" hidden="1">"c3959"</definedName>
    <definedName name="IQ_PERCENT_CHANGE_EST_5YR_GROWTH_RATE_12MONTHS_THOM" hidden="1">"c5269"</definedName>
    <definedName name="IQ_PERCENT_CHANGE_EST_5YR_GROWTH_RATE_18MONTHS" hidden="1">"c1853"</definedName>
    <definedName name="IQ_PERCENT_CHANGE_EST_5YR_GROWTH_RATE_18MONTHS_CIQ" hidden="1">"c3791"</definedName>
    <definedName name="IQ_PERCENT_CHANGE_EST_5YR_GROWTH_RATE_18MONTHS_REUT" hidden="1">"c3960"</definedName>
    <definedName name="IQ_PERCENT_CHANGE_EST_5YR_GROWTH_RATE_18MONTHS_THOM" hidden="1">"c5270"</definedName>
    <definedName name="IQ_PERCENT_CHANGE_EST_5YR_GROWTH_RATE_3MONTHS" hidden="1">"c1849"</definedName>
    <definedName name="IQ_PERCENT_CHANGE_EST_5YR_GROWTH_RATE_3MONTHS_CIQ" hidden="1">"c3787"</definedName>
    <definedName name="IQ_PERCENT_CHANGE_EST_5YR_GROWTH_RATE_3MONTHS_REUT" hidden="1">"c3956"</definedName>
    <definedName name="IQ_PERCENT_CHANGE_EST_5YR_GROWTH_RATE_3MONTHS_THOM" hidden="1">"c5266"</definedName>
    <definedName name="IQ_PERCENT_CHANGE_EST_5YR_GROWTH_RATE_6MONTHS" hidden="1">"c1850"</definedName>
    <definedName name="IQ_PERCENT_CHANGE_EST_5YR_GROWTH_RATE_6MONTHS_CIQ" hidden="1">"c3788"</definedName>
    <definedName name="IQ_PERCENT_CHANGE_EST_5YR_GROWTH_RATE_6MONTHS_REUT" hidden="1">"c3957"</definedName>
    <definedName name="IQ_PERCENT_CHANGE_EST_5YR_GROWTH_RATE_6MONTHS_THOM" hidden="1">"c5267"</definedName>
    <definedName name="IQ_PERCENT_CHANGE_EST_5YR_GROWTH_RATE_9MONTHS" hidden="1">"c1851"</definedName>
    <definedName name="IQ_PERCENT_CHANGE_EST_5YR_GROWTH_RATE_9MONTHS_CIQ" hidden="1">"c3789"</definedName>
    <definedName name="IQ_PERCENT_CHANGE_EST_5YR_GROWTH_RATE_9MONTHS_REUT" hidden="1">"c3958"</definedName>
    <definedName name="IQ_PERCENT_CHANGE_EST_5YR_GROWTH_RATE_9MONTHS_THOM" hidden="1">"c5268"</definedName>
    <definedName name="IQ_PERCENT_CHANGE_EST_5YR_GROWTH_RATE_DAY" hidden="1">"c1846"</definedName>
    <definedName name="IQ_PERCENT_CHANGE_EST_5YR_GROWTH_RATE_DAY_CIQ" hidden="1">"c3785"</definedName>
    <definedName name="IQ_PERCENT_CHANGE_EST_5YR_GROWTH_RATE_DAY_REUT" hidden="1">"c3954"</definedName>
    <definedName name="IQ_PERCENT_CHANGE_EST_5YR_GROWTH_RATE_DAY_THOM" hidden="1">"c5264"</definedName>
    <definedName name="IQ_PERCENT_CHANGE_EST_5YR_GROWTH_RATE_MONTH" hidden="1">"c1848"</definedName>
    <definedName name="IQ_PERCENT_CHANGE_EST_5YR_GROWTH_RATE_MONTH_CIQ" hidden="1">"c3786"</definedName>
    <definedName name="IQ_PERCENT_CHANGE_EST_5YR_GROWTH_RATE_MONTH_REUT" hidden="1">"c3955"</definedName>
    <definedName name="IQ_PERCENT_CHANGE_EST_5YR_GROWTH_RATE_MONTH_THOM" hidden="1">"c5265"</definedName>
    <definedName name="IQ_PERCENT_CHANGE_EST_5YR_GROWTH_RATE_WEEK" hidden="1">"c1847"</definedName>
    <definedName name="IQ_PERCENT_CHANGE_EST_5YR_GROWTH_RATE_WEEK_CIQ" hidden="1">"c3797"</definedName>
    <definedName name="IQ_PERCENT_CHANGE_EST_5YR_GROWTH_RATE_WEEK_REUT" hidden="1">"c5435"</definedName>
    <definedName name="IQ_PERCENT_CHANGE_EST_5YR_GROWTH_RATE_WEEK_THOM" hidden="1">"c5277"</definedName>
    <definedName name="IQ_PERCENT_CHANGE_EST_CFPS_12MONTHS" hidden="1">"c1812"</definedName>
    <definedName name="IQ_PERCENT_CHANGE_EST_CFPS_12MONTHS_CIQ" hidden="1">"c3755"</definedName>
    <definedName name="IQ_PERCENT_CHANGE_EST_CFPS_12MONTHS_REUT" hidden="1">"c3924"</definedName>
    <definedName name="IQ_PERCENT_CHANGE_EST_CFPS_12MONTHS_THOM" hidden="1">"c5234"</definedName>
    <definedName name="IQ_PERCENT_CHANGE_EST_CFPS_18MONTHS" hidden="1">"c1813"</definedName>
    <definedName name="IQ_PERCENT_CHANGE_EST_CFPS_18MONTHS_CIQ" hidden="1">"c3756"</definedName>
    <definedName name="IQ_PERCENT_CHANGE_EST_CFPS_18MONTHS_REUT" hidden="1">"c3925"</definedName>
    <definedName name="IQ_PERCENT_CHANGE_EST_CFPS_18MONTHS_THOM" hidden="1">"c5235"</definedName>
    <definedName name="IQ_PERCENT_CHANGE_EST_CFPS_3MONTHS" hidden="1">"c1809"</definedName>
    <definedName name="IQ_PERCENT_CHANGE_EST_CFPS_3MONTHS_CIQ" hidden="1">"c3752"</definedName>
    <definedName name="IQ_PERCENT_CHANGE_EST_CFPS_3MONTHS_REUT" hidden="1">"c3921"</definedName>
    <definedName name="IQ_PERCENT_CHANGE_EST_CFPS_3MONTHS_THOM" hidden="1">"c5231"</definedName>
    <definedName name="IQ_PERCENT_CHANGE_EST_CFPS_6MONTHS" hidden="1">"c1810"</definedName>
    <definedName name="IQ_PERCENT_CHANGE_EST_CFPS_6MONTHS_CIQ" hidden="1">"c3753"</definedName>
    <definedName name="IQ_PERCENT_CHANGE_EST_CFPS_6MONTHS_REUT" hidden="1">"c3922"</definedName>
    <definedName name="IQ_PERCENT_CHANGE_EST_CFPS_6MONTHS_THOM" hidden="1">"c5232"</definedName>
    <definedName name="IQ_PERCENT_CHANGE_EST_CFPS_9MONTHS" hidden="1">"c1811"</definedName>
    <definedName name="IQ_PERCENT_CHANGE_EST_CFPS_9MONTHS_CIQ" hidden="1">"c3754"</definedName>
    <definedName name="IQ_PERCENT_CHANGE_EST_CFPS_9MONTHS_REUT" hidden="1">"c3923"</definedName>
    <definedName name="IQ_PERCENT_CHANGE_EST_CFPS_9MONTHS_THOM" hidden="1">"c5233"</definedName>
    <definedName name="IQ_PERCENT_CHANGE_EST_CFPS_DAY" hidden="1">"c1806"</definedName>
    <definedName name="IQ_PERCENT_CHANGE_EST_CFPS_DAY_CIQ" hidden="1">"c3750"</definedName>
    <definedName name="IQ_PERCENT_CHANGE_EST_CFPS_DAY_REUT" hidden="1">"c3919"</definedName>
    <definedName name="IQ_PERCENT_CHANGE_EST_CFPS_DAY_THOM" hidden="1">"c5229"</definedName>
    <definedName name="IQ_PERCENT_CHANGE_EST_CFPS_MONTH" hidden="1">"c1808"</definedName>
    <definedName name="IQ_PERCENT_CHANGE_EST_CFPS_MONTH_CIQ" hidden="1">"c3751"</definedName>
    <definedName name="IQ_PERCENT_CHANGE_EST_CFPS_MONTH_REUT" hidden="1">"c3920"</definedName>
    <definedName name="IQ_PERCENT_CHANGE_EST_CFPS_MONTH_THOM" hidden="1">"c5230"</definedName>
    <definedName name="IQ_PERCENT_CHANGE_EST_CFPS_WEEK" hidden="1">"c1807"</definedName>
    <definedName name="IQ_PERCENT_CHANGE_EST_CFPS_WEEK_CIQ" hidden="1">"c3793"</definedName>
    <definedName name="IQ_PERCENT_CHANGE_EST_CFPS_WEEK_REUT" hidden="1">"c3962"</definedName>
    <definedName name="IQ_PERCENT_CHANGE_EST_CFPS_WEEK_THOM" hidden="1">"c5272"</definedName>
    <definedName name="IQ_PERCENT_CHANGE_EST_DPS_12MONTHS" hidden="1">"c1820"</definedName>
    <definedName name="IQ_PERCENT_CHANGE_EST_DPS_12MONTHS_CIQ" hidden="1">"c3762"</definedName>
    <definedName name="IQ_PERCENT_CHANGE_EST_DPS_12MONTHS_REUT" hidden="1">"c3931"</definedName>
    <definedName name="IQ_PERCENT_CHANGE_EST_DPS_12MONTHS_THOM" hidden="1">"c5241"</definedName>
    <definedName name="IQ_PERCENT_CHANGE_EST_DPS_18MONTHS" hidden="1">"c1821"</definedName>
    <definedName name="IQ_PERCENT_CHANGE_EST_DPS_18MONTHS_CIQ" hidden="1">"c3763"</definedName>
    <definedName name="IQ_PERCENT_CHANGE_EST_DPS_18MONTHS_REUT" hidden="1">"c3932"</definedName>
    <definedName name="IQ_PERCENT_CHANGE_EST_DPS_18MONTHS_THOM" hidden="1">"c5242"</definedName>
    <definedName name="IQ_PERCENT_CHANGE_EST_DPS_3MONTHS" hidden="1">"c1817"</definedName>
    <definedName name="IQ_PERCENT_CHANGE_EST_DPS_3MONTHS_CIQ" hidden="1">"c3759"</definedName>
    <definedName name="IQ_PERCENT_CHANGE_EST_DPS_3MONTHS_REUT" hidden="1">"c3928"</definedName>
    <definedName name="IQ_PERCENT_CHANGE_EST_DPS_3MONTHS_THOM" hidden="1">"c5238"</definedName>
    <definedName name="IQ_PERCENT_CHANGE_EST_DPS_6MONTHS" hidden="1">"c1818"</definedName>
    <definedName name="IQ_PERCENT_CHANGE_EST_DPS_6MONTHS_CIQ" hidden="1">"c3760"</definedName>
    <definedName name="IQ_PERCENT_CHANGE_EST_DPS_6MONTHS_REUT" hidden="1">"c3929"</definedName>
    <definedName name="IQ_PERCENT_CHANGE_EST_DPS_6MONTHS_THOM" hidden="1">"c5239"</definedName>
    <definedName name="IQ_PERCENT_CHANGE_EST_DPS_9MONTHS" hidden="1">"c1819"</definedName>
    <definedName name="IQ_PERCENT_CHANGE_EST_DPS_9MONTHS_CIQ" hidden="1">"c3761"</definedName>
    <definedName name="IQ_PERCENT_CHANGE_EST_DPS_9MONTHS_REUT" hidden="1">"c3930"</definedName>
    <definedName name="IQ_PERCENT_CHANGE_EST_DPS_9MONTHS_THOM" hidden="1">"c5240"</definedName>
    <definedName name="IQ_PERCENT_CHANGE_EST_DPS_DAY" hidden="1">"c1814"</definedName>
    <definedName name="IQ_PERCENT_CHANGE_EST_DPS_DAY_CIQ" hidden="1">"c3757"</definedName>
    <definedName name="IQ_PERCENT_CHANGE_EST_DPS_DAY_REUT" hidden="1">"c3926"</definedName>
    <definedName name="IQ_PERCENT_CHANGE_EST_DPS_DAY_THOM" hidden="1">"c5236"</definedName>
    <definedName name="IQ_PERCENT_CHANGE_EST_DPS_MONTH" hidden="1">"c1816"</definedName>
    <definedName name="IQ_PERCENT_CHANGE_EST_DPS_MONTH_CIQ" hidden="1">"c3758"</definedName>
    <definedName name="IQ_PERCENT_CHANGE_EST_DPS_MONTH_REUT" hidden="1">"c3927"</definedName>
    <definedName name="IQ_PERCENT_CHANGE_EST_DPS_MONTH_THOM" hidden="1">"c5237"</definedName>
    <definedName name="IQ_PERCENT_CHANGE_EST_DPS_WEEK" hidden="1">"c1815"</definedName>
    <definedName name="IQ_PERCENT_CHANGE_EST_DPS_WEEK_CIQ" hidden="1">"c3794"</definedName>
    <definedName name="IQ_PERCENT_CHANGE_EST_DPS_WEEK_REUT" hidden="1">"c3963"</definedName>
    <definedName name="IQ_PERCENT_CHANGE_EST_DPS_WEEK_THOM" hidden="1">"c5273"</definedName>
    <definedName name="IQ_PERCENT_CHANGE_EST_EBITDA_12MONTHS" hidden="1">"c1804"</definedName>
    <definedName name="IQ_PERCENT_CHANGE_EST_EBITDA_12MONTHS_CIQ" hidden="1">"c3748"</definedName>
    <definedName name="IQ_PERCENT_CHANGE_EST_EBITDA_12MONTHS_REUT" hidden="1">"c3917"</definedName>
    <definedName name="IQ_PERCENT_CHANGE_EST_EBITDA_12MONTHS_THOM" hidden="1">"c5227"</definedName>
    <definedName name="IQ_PERCENT_CHANGE_EST_EBITDA_18MONTHS" hidden="1">"c1805"</definedName>
    <definedName name="IQ_PERCENT_CHANGE_EST_EBITDA_18MONTHS_CIQ" hidden="1">"c3749"</definedName>
    <definedName name="IQ_PERCENT_CHANGE_EST_EBITDA_18MONTHS_REUT" hidden="1">"c3918"</definedName>
    <definedName name="IQ_PERCENT_CHANGE_EST_EBITDA_18MONTHS_THOM" hidden="1">"c5228"</definedName>
    <definedName name="IQ_PERCENT_CHANGE_EST_EBITDA_3MONTHS" hidden="1">"c1801"</definedName>
    <definedName name="IQ_PERCENT_CHANGE_EST_EBITDA_3MONTHS_CIQ" hidden="1">"c3745"</definedName>
    <definedName name="IQ_PERCENT_CHANGE_EST_EBITDA_3MONTHS_REUT" hidden="1">"c3914"</definedName>
    <definedName name="IQ_PERCENT_CHANGE_EST_EBITDA_3MONTHS_THOM" hidden="1">"c5224"</definedName>
    <definedName name="IQ_PERCENT_CHANGE_EST_EBITDA_6MONTHS" hidden="1">"c1802"</definedName>
    <definedName name="IQ_PERCENT_CHANGE_EST_EBITDA_6MONTHS_CIQ" hidden="1">"c3746"</definedName>
    <definedName name="IQ_PERCENT_CHANGE_EST_EBITDA_6MONTHS_REUT" hidden="1">"c3915"</definedName>
    <definedName name="IQ_PERCENT_CHANGE_EST_EBITDA_6MONTHS_THOM" hidden="1">"c5225"</definedName>
    <definedName name="IQ_PERCENT_CHANGE_EST_EBITDA_9MONTHS" hidden="1">"c1803"</definedName>
    <definedName name="IQ_PERCENT_CHANGE_EST_EBITDA_9MONTHS_CIQ" hidden="1">"c3747"</definedName>
    <definedName name="IQ_PERCENT_CHANGE_EST_EBITDA_9MONTHS_REUT" hidden="1">"c3916"</definedName>
    <definedName name="IQ_PERCENT_CHANGE_EST_EBITDA_9MONTHS_THOM" hidden="1">"c5226"</definedName>
    <definedName name="IQ_PERCENT_CHANGE_EST_EBITDA_DAY" hidden="1">"c1798"</definedName>
    <definedName name="IQ_PERCENT_CHANGE_EST_EBITDA_DAY_CIQ" hidden="1">"c3743"</definedName>
    <definedName name="IQ_PERCENT_CHANGE_EST_EBITDA_DAY_REUT" hidden="1">"c3912"</definedName>
    <definedName name="IQ_PERCENT_CHANGE_EST_EBITDA_DAY_THOM" hidden="1">"c5222"</definedName>
    <definedName name="IQ_PERCENT_CHANGE_EST_EBITDA_MONTH" hidden="1">"c1800"</definedName>
    <definedName name="IQ_PERCENT_CHANGE_EST_EBITDA_MONTH_CIQ" hidden="1">"c3744"</definedName>
    <definedName name="IQ_PERCENT_CHANGE_EST_EBITDA_MONTH_REUT" hidden="1">"c3913"</definedName>
    <definedName name="IQ_PERCENT_CHANGE_EST_EBITDA_MONTH_THOM" hidden="1">"c5223"</definedName>
    <definedName name="IQ_PERCENT_CHANGE_EST_EBITDA_WEEK" hidden="1">"c1799"</definedName>
    <definedName name="IQ_PERCENT_CHANGE_EST_EBITDA_WEEK_CIQ" hidden="1">"c3792"</definedName>
    <definedName name="IQ_PERCENT_CHANGE_EST_EBITDA_WEEK_REUT" hidden="1">"c3961"</definedName>
    <definedName name="IQ_PERCENT_CHANGE_EST_EBITDA_WEEK_THOM" hidden="1">"c5271"</definedName>
    <definedName name="IQ_PERCENT_CHANGE_EST_EPS_12MONTHS" hidden="1">"c1788"</definedName>
    <definedName name="IQ_PERCENT_CHANGE_EST_EPS_12MONTHS_CIQ" hidden="1">"c3733"</definedName>
    <definedName name="IQ_PERCENT_CHANGE_EST_EPS_12MONTHS_REUT" hidden="1">"c3902"</definedName>
    <definedName name="IQ_PERCENT_CHANGE_EST_EPS_12MONTHS_THOM" hidden="1">"c5212"</definedName>
    <definedName name="IQ_PERCENT_CHANGE_EST_EPS_18MONTHS" hidden="1">"c1789"</definedName>
    <definedName name="IQ_PERCENT_CHANGE_EST_EPS_18MONTHS_CIQ" hidden="1">"c3734"</definedName>
    <definedName name="IQ_PERCENT_CHANGE_EST_EPS_18MONTHS_REUT" hidden="1">"c3903"</definedName>
    <definedName name="IQ_PERCENT_CHANGE_EST_EPS_18MONTHS_THOM" hidden="1">"c5213"</definedName>
    <definedName name="IQ_PERCENT_CHANGE_EST_EPS_3MONTHS" hidden="1">"c1785"</definedName>
    <definedName name="IQ_PERCENT_CHANGE_EST_EPS_3MONTHS_CIQ" hidden="1">"c3730"</definedName>
    <definedName name="IQ_PERCENT_CHANGE_EST_EPS_3MONTHS_REUT" hidden="1">"c3899"</definedName>
    <definedName name="IQ_PERCENT_CHANGE_EST_EPS_3MONTHS_THOM" hidden="1">"c5209"</definedName>
    <definedName name="IQ_PERCENT_CHANGE_EST_EPS_6MONTHS" hidden="1">"c1786"</definedName>
    <definedName name="IQ_PERCENT_CHANGE_EST_EPS_6MONTHS_CIQ" hidden="1">"c3731"</definedName>
    <definedName name="IQ_PERCENT_CHANGE_EST_EPS_6MONTHS_REUT" hidden="1">"c3900"</definedName>
    <definedName name="IQ_PERCENT_CHANGE_EST_EPS_6MONTHS_THOM" hidden="1">"c5210"</definedName>
    <definedName name="IQ_PERCENT_CHANGE_EST_EPS_9MONTHS" hidden="1">"c1787"</definedName>
    <definedName name="IQ_PERCENT_CHANGE_EST_EPS_9MONTHS_CIQ" hidden="1">"c3732"</definedName>
    <definedName name="IQ_PERCENT_CHANGE_EST_EPS_9MONTHS_REUT" hidden="1">"c3901"</definedName>
    <definedName name="IQ_PERCENT_CHANGE_EST_EPS_9MONTHS_THOM" hidden="1">"c5211"</definedName>
    <definedName name="IQ_PERCENT_CHANGE_EST_EPS_DAY" hidden="1">"c1782"</definedName>
    <definedName name="IQ_PERCENT_CHANGE_EST_EPS_DAY_CIQ" hidden="1">"c3727"</definedName>
    <definedName name="IQ_PERCENT_CHANGE_EST_EPS_DAY_REUT" hidden="1">"c3896"</definedName>
    <definedName name="IQ_PERCENT_CHANGE_EST_EPS_DAY_THOM" hidden="1">"c5206"</definedName>
    <definedName name="IQ_PERCENT_CHANGE_EST_EPS_MONTH" hidden="1">"c1784"</definedName>
    <definedName name="IQ_PERCENT_CHANGE_EST_EPS_MONTH_CIQ" hidden="1">"c3729"</definedName>
    <definedName name="IQ_PERCENT_CHANGE_EST_EPS_MONTH_REUT" hidden="1">"c3898"</definedName>
    <definedName name="IQ_PERCENT_CHANGE_EST_EPS_MONTH_THOM" hidden="1">"c5208"</definedName>
    <definedName name="IQ_PERCENT_CHANGE_EST_EPS_WEEK" hidden="1">"c1783"</definedName>
    <definedName name="IQ_PERCENT_CHANGE_EST_EPS_WEEK_CIQ" hidden="1">"c3728"</definedName>
    <definedName name="IQ_PERCENT_CHANGE_EST_EPS_WEEK_REUT" hidden="1">"c3897"</definedName>
    <definedName name="IQ_PERCENT_CHANGE_EST_EPS_WEEK_THOM" hidden="1">"c5207"</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CIQ" hidden="1">"c3764"</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MONTH_THOM" hidden="1">"c5244"</definedName>
    <definedName name="IQ_PERCENT_CHANGE_EST_FFO_SHARE_12MONTHS_REUT" hidden="1">"c3938"</definedName>
    <definedName name="IQ_PERCENT_CHANGE_EST_FFO_SHARE_18MONTHS_REUT" hidden="1">"c3939"</definedName>
    <definedName name="IQ_PERCENT_CHANGE_EST_FFO_SHARE_3MONTHS_REUT" hidden="1">"c3935"</definedName>
    <definedName name="IQ_PERCENT_CHANGE_EST_FFO_SHARE_6MONTHS_REUT" hidden="1">"c3936"</definedName>
    <definedName name="IQ_PERCENT_CHANGE_EST_FFO_SHARE_9MONTHS_REUT" hidden="1">"c3937"</definedName>
    <definedName name="IQ_PERCENT_CHANGE_EST_FFO_SHARE_DAY_REUT" hidden="1">"c3933"</definedName>
    <definedName name="IQ_PERCENT_CHANGE_EST_FFO_SHARE_MONTH_REUT" hidden="1">"c3934"</definedName>
    <definedName name="IQ_PERCENT_CHANGE_EST_FFO_SHARE_SHARE_12MONTHS" hidden="1">"c1828"</definedName>
    <definedName name="IQ_PERCENT_CHANGE_EST_FFO_SHARE_SHARE_12MONTHS_REUT" hidden="1">"c3938"</definedName>
    <definedName name="IQ_PERCENT_CHANGE_EST_FFO_SHARE_SHARE_18MONTHS" hidden="1">"c1829"</definedName>
    <definedName name="IQ_PERCENT_CHANGE_EST_FFO_SHARE_SHARE_18MONTHS_REUT" hidden="1">"c3939"</definedName>
    <definedName name="IQ_PERCENT_CHANGE_EST_FFO_SHARE_SHARE_3MONTHS" hidden="1">"c1825"</definedName>
    <definedName name="IQ_PERCENT_CHANGE_EST_FFO_SHARE_SHARE_3MONTHS_REUT" hidden="1">"c3935"</definedName>
    <definedName name="IQ_PERCENT_CHANGE_EST_FFO_SHARE_SHARE_6MONTHS" hidden="1">"c1826"</definedName>
    <definedName name="IQ_PERCENT_CHANGE_EST_FFO_SHARE_SHARE_6MONTHS_REUT" hidden="1">"c3936"</definedName>
    <definedName name="IQ_PERCENT_CHANGE_EST_FFO_SHARE_SHARE_9MONTHS" hidden="1">"c1827"</definedName>
    <definedName name="IQ_PERCENT_CHANGE_EST_FFO_SHARE_SHARE_9MONTHS_REUT" hidden="1">"c3937"</definedName>
    <definedName name="IQ_PERCENT_CHANGE_EST_FFO_SHARE_SHARE_DAY" hidden="1">"c1822"</definedName>
    <definedName name="IQ_PERCENT_CHANGE_EST_FFO_SHARE_SHARE_DAY_REUT" hidden="1">"c3933"</definedName>
    <definedName name="IQ_PERCENT_CHANGE_EST_FFO_SHARE_SHARE_MONTH" hidden="1">"c1824"</definedName>
    <definedName name="IQ_PERCENT_CHANGE_EST_FFO_SHARE_SHARE_MONTH_REUT" hidden="1">"c3934"</definedName>
    <definedName name="IQ_PERCENT_CHANGE_EST_FFO_SHARE_SHARE_WEEK" hidden="1">"c1823"</definedName>
    <definedName name="IQ_PERCENT_CHANGE_EST_FFO_SHARE_SHARE_WEEK_REUT" hidden="1">"c3964"</definedName>
    <definedName name="IQ_PERCENT_CHANGE_EST_FFO_SHARE_WEEK_REUT" hidden="1">"c3964"</definedName>
    <definedName name="IQ_PERCENT_CHANGE_EST_FFO_WEEK" hidden="1">"c1823"</definedName>
    <definedName name="IQ_PERCENT_CHANGE_EST_FFO_WEEK_CIQ" hidden="1">"c3795"</definedName>
    <definedName name="IQ_PERCENT_CHANGE_EST_FFO_WEEK_REUT" hidden="1">"c3964"</definedName>
    <definedName name="IQ_PERCENT_CHANGE_EST_FFO_WEEK_THOM" hidden="1">"c5274"</definedName>
    <definedName name="IQ_PERCENT_CHANGE_EST_PRICE_TARGET_12MONTHS" hidden="1">"c1844"</definedName>
    <definedName name="IQ_PERCENT_CHANGE_EST_PRICE_TARGET_12MONTHS_CIQ" hidden="1">"c3783"</definedName>
    <definedName name="IQ_PERCENT_CHANGE_EST_PRICE_TARGET_12MONTHS_REUT" hidden="1">"c3952"</definedName>
    <definedName name="IQ_PERCENT_CHANGE_EST_PRICE_TARGET_12MONTHS_THOM" hidden="1">"c5262"</definedName>
    <definedName name="IQ_PERCENT_CHANGE_EST_PRICE_TARGET_18MONTHS" hidden="1">"c1845"</definedName>
    <definedName name="IQ_PERCENT_CHANGE_EST_PRICE_TARGET_18MONTHS_CIQ" hidden="1">"c3784"</definedName>
    <definedName name="IQ_PERCENT_CHANGE_EST_PRICE_TARGET_18MONTHS_REUT" hidden="1">"c3953"</definedName>
    <definedName name="IQ_PERCENT_CHANGE_EST_PRICE_TARGET_18MONTHS_THOM" hidden="1">"c5263"</definedName>
    <definedName name="IQ_PERCENT_CHANGE_EST_PRICE_TARGET_3MONTHS" hidden="1">"c1841"</definedName>
    <definedName name="IQ_PERCENT_CHANGE_EST_PRICE_TARGET_3MONTHS_CIQ" hidden="1">"c3780"</definedName>
    <definedName name="IQ_PERCENT_CHANGE_EST_PRICE_TARGET_3MONTHS_REUT" hidden="1">"c3949"</definedName>
    <definedName name="IQ_PERCENT_CHANGE_EST_PRICE_TARGET_3MONTHS_THOM" hidden="1">"c5259"</definedName>
    <definedName name="IQ_PERCENT_CHANGE_EST_PRICE_TARGET_6MONTHS" hidden="1">"c1842"</definedName>
    <definedName name="IQ_PERCENT_CHANGE_EST_PRICE_TARGET_6MONTHS_CIQ" hidden="1">"c3781"</definedName>
    <definedName name="IQ_PERCENT_CHANGE_EST_PRICE_TARGET_6MONTHS_REUT" hidden="1">"c3950"</definedName>
    <definedName name="IQ_PERCENT_CHANGE_EST_PRICE_TARGET_6MONTHS_THOM" hidden="1">"c5260"</definedName>
    <definedName name="IQ_PERCENT_CHANGE_EST_PRICE_TARGET_9MONTHS" hidden="1">"c1843"</definedName>
    <definedName name="IQ_PERCENT_CHANGE_EST_PRICE_TARGET_9MONTHS_CIQ" hidden="1">"c3782"</definedName>
    <definedName name="IQ_PERCENT_CHANGE_EST_PRICE_TARGET_9MONTHS_REUT" hidden="1">"c3951"</definedName>
    <definedName name="IQ_PERCENT_CHANGE_EST_PRICE_TARGET_9MONTHS_THOM" hidden="1">"c5261"</definedName>
    <definedName name="IQ_PERCENT_CHANGE_EST_PRICE_TARGET_DAY" hidden="1">"c1838"</definedName>
    <definedName name="IQ_PERCENT_CHANGE_EST_PRICE_TARGET_DAY_CIQ" hidden="1">"c3778"</definedName>
    <definedName name="IQ_PERCENT_CHANGE_EST_PRICE_TARGET_DAY_REUT" hidden="1">"c3947"</definedName>
    <definedName name="IQ_PERCENT_CHANGE_EST_PRICE_TARGET_DAY_THOM" hidden="1">"c5257"</definedName>
    <definedName name="IQ_PERCENT_CHANGE_EST_PRICE_TARGET_MONTH" hidden="1">"c1840"</definedName>
    <definedName name="IQ_PERCENT_CHANGE_EST_PRICE_TARGET_MONTH_CIQ" hidden="1">"c3779"</definedName>
    <definedName name="IQ_PERCENT_CHANGE_EST_PRICE_TARGET_MONTH_REUT" hidden="1">"c3948"</definedName>
    <definedName name="IQ_PERCENT_CHANGE_EST_PRICE_TARGET_MONTH_THOM" hidden="1">"c5258"</definedName>
    <definedName name="IQ_PERCENT_CHANGE_EST_PRICE_TARGET_WEEK" hidden="1">"c1839"</definedName>
    <definedName name="IQ_PERCENT_CHANGE_EST_PRICE_TARGET_WEEK_CIQ" hidden="1">"c3798"</definedName>
    <definedName name="IQ_PERCENT_CHANGE_EST_PRICE_TARGET_WEEK_REUT" hidden="1">"c3967"</definedName>
    <definedName name="IQ_PERCENT_CHANGE_EST_PRICE_TARGET_WEEK_THOM" hidden="1">"c5276"</definedName>
    <definedName name="IQ_PERCENT_CHANGE_EST_RECO_12MONTHS" hidden="1">"c1836"</definedName>
    <definedName name="IQ_PERCENT_CHANGE_EST_RECO_12MONTHS_CIQ" hidden="1">"c3776"</definedName>
    <definedName name="IQ_PERCENT_CHANGE_EST_RECO_12MONTHS_REUT" hidden="1">"c3945"</definedName>
    <definedName name="IQ_PERCENT_CHANGE_EST_RECO_12MONTHS_THOM" hidden="1">"c5255"</definedName>
    <definedName name="IQ_PERCENT_CHANGE_EST_RECO_18MONTHS" hidden="1">"c1837"</definedName>
    <definedName name="IQ_PERCENT_CHANGE_EST_RECO_18MONTHS_CIQ" hidden="1">"c3777"</definedName>
    <definedName name="IQ_PERCENT_CHANGE_EST_RECO_18MONTHS_REUT" hidden="1">"c3946"</definedName>
    <definedName name="IQ_PERCENT_CHANGE_EST_RECO_18MONTHS_THOM" hidden="1">"c5256"</definedName>
    <definedName name="IQ_PERCENT_CHANGE_EST_RECO_3MONTHS" hidden="1">"c1833"</definedName>
    <definedName name="IQ_PERCENT_CHANGE_EST_RECO_3MONTHS_CIQ" hidden="1">"c3773"</definedName>
    <definedName name="IQ_PERCENT_CHANGE_EST_RECO_3MONTHS_REUT" hidden="1">"c3942"</definedName>
    <definedName name="IQ_PERCENT_CHANGE_EST_RECO_3MONTHS_THOM" hidden="1">"c5252"</definedName>
    <definedName name="IQ_PERCENT_CHANGE_EST_RECO_6MONTHS" hidden="1">"c1834"</definedName>
    <definedName name="IQ_PERCENT_CHANGE_EST_RECO_6MONTHS_CIQ" hidden="1">"c3774"</definedName>
    <definedName name="IQ_PERCENT_CHANGE_EST_RECO_6MONTHS_REUT" hidden="1">"c3943"</definedName>
    <definedName name="IQ_PERCENT_CHANGE_EST_RECO_6MONTHS_THOM" hidden="1">"c5253"</definedName>
    <definedName name="IQ_PERCENT_CHANGE_EST_RECO_9MONTHS" hidden="1">"c1835"</definedName>
    <definedName name="IQ_PERCENT_CHANGE_EST_RECO_9MONTHS_CIQ" hidden="1">"c3775"</definedName>
    <definedName name="IQ_PERCENT_CHANGE_EST_RECO_9MONTHS_REUT" hidden="1">"c3944"</definedName>
    <definedName name="IQ_PERCENT_CHANGE_EST_RECO_9MONTHS_THOM" hidden="1">"c5254"</definedName>
    <definedName name="IQ_PERCENT_CHANGE_EST_RECO_DAY" hidden="1">"c1830"</definedName>
    <definedName name="IQ_PERCENT_CHANGE_EST_RECO_DAY_CIQ" hidden="1">"c3771"</definedName>
    <definedName name="IQ_PERCENT_CHANGE_EST_RECO_DAY_REUT" hidden="1">"c3940"</definedName>
    <definedName name="IQ_PERCENT_CHANGE_EST_RECO_DAY_THOM" hidden="1">"c5250"</definedName>
    <definedName name="IQ_PERCENT_CHANGE_EST_RECO_MONTH" hidden="1">"c1832"</definedName>
    <definedName name="IQ_PERCENT_CHANGE_EST_RECO_MONTH_CIQ" hidden="1">"c3772"</definedName>
    <definedName name="IQ_PERCENT_CHANGE_EST_RECO_MONTH_REUT" hidden="1">"c3941"</definedName>
    <definedName name="IQ_PERCENT_CHANGE_EST_RECO_MONTH_THOM" hidden="1">"c5251"</definedName>
    <definedName name="IQ_PERCENT_CHANGE_EST_RECO_WEEK" hidden="1">"c1831"</definedName>
    <definedName name="IQ_PERCENT_CHANGE_EST_RECO_WEEK_CIQ" hidden="1">"c3796"</definedName>
    <definedName name="IQ_PERCENT_CHANGE_EST_RECO_WEEK_REUT" hidden="1">"c3966"</definedName>
    <definedName name="IQ_PERCENT_CHANGE_EST_RECO_WEEK_THOM" hidden="1">"c5275"</definedName>
    <definedName name="IQ_PERCENT_CHANGE_EST_REV_12MONTHS" hidden="1">"c1796"</definedName>
    <definedName name="IQ_PERCENT_CHANGE_EST_REV_12MONTHS_CIQ" hidden="1">"c3741"</definedName>
    <definedName name="IQ_PERCENT_CHANGE_EST_REV_12MONTHS_REUT" hidden="1">"c3910"</definedName>
    <definedName name="IQ_PERCENT_CHANGE_EST_REV_12MONTHS_THOM" hidden="1">"c5220"</definedName>
    <definedName name="IQ_PERCENT_CHANGE_EST_REV_18MONTHS" hidden="1">"c1797"</definedName>
    <definedName name="IQ_PERCENT_CHANGE_EST_REV_18MONTHS_CIQ" hidden="1">"c3742"</definedName>
    <definedName name="IQ_PERCENT_CHANGE_EST_REV_18MONTHS_REUT" hidden="1">"c3911"</definedName>
    <definedName name="IQ_PERCENT_CHANGE_EST_REV_18MONTHS_THOM" hidden="1">"c5221"</definedName>
    <definedName name="IQ_PERCENT_CHANGE_EST_REV_3MONTHS" hidden="1">"c1793"</definedName>
    <definedName name="IQ_PERCENT_CHANGE_EST_REV_3MONTHS_CIQ" hidden="1">"c3738"</definedName>
    <definedName name="IQ_PERCENT_CHANGE_EST_REV_3MONTHS_REUT" hidden="1">"c3907"</definedName>
    <definedName name="IQ_PERCENT_CHANGE_EST_REV_3MONTHS_THOM" hidden="1">"c5217"</definedName>
    <definedName name="IQ_PERCENT_CHANGE_EST_REV_6MONTHS" hidden="1">"c1794"</definedName>
    <definedName name="IQ_PERCENT_CHANGE_EST_REV_6MONTHS_CIQ" hidden="1">"c3739"</definedName>
    <definedName name="IQ_PERCENT_CHANGE_EST_REV_6MONTHS_REUT" hidden="1">"c3908"</definedName>
    <definedName name="IQ_PERCENT_CHANGE_EST_REV_6MONTHS_THOM" hidden="1">"c5218"</definedName>
    <definedName name="IQ_PERCENT_CHANGE_EST_REV_9MONTHS" hidden="1">"c1795"</definedName>
    <definedName name="IQ_PERCENT_CHANGE_EST_REV_9MONTHS_CIQ" hidden="1">"c3740"</definedName>
    <definedName name="IQ_PERCENT_CHANGE_EST_REV_9MONTHS_REUT" hidden="1">"c3909"</definedName>
    <definedName name="IQ_PERCENT_CHANGE_EST_REV_9MONTHS_THOM" hidden="1">"c5219"</definedName>
    <definedName name="IQ_PERCENT_CHANGE_EST_REV_DAY" hidden="1">"c1790"</definedName>
    <definedName name="IQ_PERCENT_CHANGE_EST_REV_DAY_CIQ" hidden="1">"c3735"</definedName>
    <definedName name="IQ_PERCENT_CHANGE_EST_REV_DAY_REUT" hidden="1">"c3904"</definedName>
    <definedName name="IQ_PERCENT_CHANGE_EST_REV_DAY_THOM" hidden="1">"c5214"</definedName>
    <definedName name="IQ_PERCENT_CHANGE_EST_REV_MONTH" hidden="1">"c1792"</definedName>
    <definedName name="IQ_PERCENT_CHANGE_EST_REV_MONTH_CIQ" hidden="1">"c3737"</definedName>
    <definedName name="IQ_PERCENT_CHANGE_EST_REV_MONTH_REUT" hidden="1">"c3906"</definedName>
    <definedName name="IQ_PERCENT_CHANGE_EST_REV_MONTH_THOM" hidden="1">"c5216"</definedName>
    <definedName name="IQ_PERCENT_CHANGE_EST_REV_WEEK" hidden="1">"c1791"</definedName>
    <definedName name="IQ_PERCENT_CHANGE_EST_REV_WEEK_CIQ" hidden="1">"c3736"</definedName>
    <definedName name="IQ_PERCENT_CHANGE_EST_REV_WEEK_REUT" hidden="1">"c3905"</definedName>
    <definedName name="IQ_PERCENT_CHANGE_EST_REV_WEEK_THOM" hidden="1">"c5215"</definedName>
    <definedName name="IQ_PERCENT_FLOAT" hidden="1">"c227"</definedName>
    <definedName name="IQ_PERCENT_INSURED_FDIC" hidden="1">"c6374"</definedName>
    <definedName name="IQ_PERFORMANCE_LOC_FOREIGN_GUARANTEES_FFIEC" hidden="1">"c13251"</definedName>
    <definedName name="IQ_PERIODDATE" hidden="1">"c1414"</definedName>
    <definedName name="IQ_PERIODDATE_AP" hidden="1">"c11745"</definedName>
    <definedName name="IQ_PERIODDATE_BS" hidden="1">"c1032"</definedName>
    <definedName name="IQ_PERIODDATE_CF" hidden="1">"c1033"</definedName>
    <definedName name="IQ_PERIODDATE_FDIC" hidden="1">"c13646"</definedName>
    <definedName name="IQ_PERIODDATE_FFIEC" hidden="1">"c13645"</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SONNEL_EXP_AVG_ASSETS_FFIEC" hidden="1">"c13371"</definedName>
    <definedName name="IQ_PERSONNEL_EXP_OPERATING_INC_FFIEC" hidden="1">"c13379"</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"c10027"</definedName>
    <definedName name="IQ_PHARMBIO_NUMBER_PROD__CLINICAL_DEV" hidden="1">"c10022"</definedName>
    <definedName name="IQ_PHARMBIO_NUMBER_PROD__LAUNCHED_DURING_PERIOD" hidden="1">"c10028"</definedName>
    <definedName name="IQ_PHARMBIO_NUMBER_PROD__PHASE_I" hidden="1">"c10023"</definedName>
    <definedName name="IQ_PHARMBIO_NUMBER_PROD__PHASE_II" hidden="1">"c10024"</definedName>
    <definedName name="IQ_PHARMBIO_NUMBER_PROD__PHASE_III" hidden="1">"c10025"</definedName>
    <definedName name="IQ_PHARMBIO_NUMBER_PROD__PRE_CLINICAL_TRIALS" hidden="1">"c10021"</definedName>
    <definedName name="IQ_PHARMBIO_NUMBER_PROD__PRE_REGISTRATION" hidden="1">"c10026"</definedName>
    <definedName name="IQ_PHARMBIO_NUMBER_PROD__RESEARCH_DEV" hidden="1">"c10020"</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_INVEST_SECURITIES_FFIEC" hidden="1">"c13467"</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 hidden="1">"c13107"</definedName>
    <definedName name="IQ_POOL_AMT_ORIGINAL" hidden="1">"c8970"</definedName>
    <definedName name="IQ_POOL_NAME" hidden="1">"c8967"</definedName>
    <definedName name="IQ_POOL_NUMBER" hidden="1">"c8968"</definedName>
    <definedName name="IQ_POOL_TYPE" hidden="1">"c8969"</definedName>
    <definedName name="IQ_POSITIVE_FAIR_VALUE_DERIVATIVES_BENEFICIARY_FFIEC" hidden="1">"c13123"</definedName>
    <definedName name="IQ_POSITIVE_FAIR_VALUE_DERIVATIVES_GUARANTOR_FFIEC" hidden="1">"c13116"</definedName>
    <definedName name="IQ_POST_RETIRE_EXP" hidden="1">"c1039"</definedName>
    <definedName name="IQ_POSTAGE_FFIEC" hidden="1">"c13051"</definedName>
    <definedName name="IQ_POSTPAID_CHURN" hidden="1">"c2121"</definedName>
    <definedName name="IQ_POSTPAID_SUBS" hidden="1">"c2118"</definedName>
    <definedName name="IQ_POTENTIAL_UPSIDE" hidden="1">"c1855"</definedName>
    <definedName name="IQ_POTENTIAL_UPSIDE_CIQ" hidden="1">"c3799"</definedName>
    <definedName name="IQ_POTENTIAL_UPSIDE_REUT" hidden="1">"c3968"</definedName>
    <definedName name="IQ_POTENTIAL_UPSIDE_THOM" hidden="1">"c5279"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 hidden="1">"c2221"</definedName>
    <definedName name="IQ_PRE_TAX_ACT_OR_EST_CIQ" hidden="1">"c5064"</definedName>
    <definedName name="IQ_PRE_TAX_ACT_OR_EST_REUT" hidden="1">"c5467"</definedName>
    <definedName name="IQ_PRE_TAX_ACT_OR_EST_THOM" hidden="1">"c5305"</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STOCK_FFIEC" hidden="1">"c12875"</definedName>
    <definedName name="IQ_PREF_TOT" hidden="1">"c1415"</definedName>
    <definedName name="IQ_PREFERRED_DEPOSITS_FFIEC" hidden="1">"c15312"</definedName>
    <definedName name="IQ_PREFERRED_FDIC" hidden="1">"c6349"</definedName>
    <definedName name="IQ_PREFERRED_LIST" hidden="1">"c13506"</definedName>
    <definedName name="IQ_PREMISES_EQUIPMENT_FDIC" hidden="1">"c6577"</definedName>
    <definedName name="IQ_PREMISES_FIXED_ASSETS_CAP_LEASES_FFIEC" hidden="1">"c12830"</definedName>
    <definedName name="IQ_PREMIUM_INSURANCE_CREDIT_FFIEC" hidden="1">"c13070"</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SIDENT_ID" hidden="1">"c15216"</definedName>
    <definedName name="IQ_PRESIDENT_NAME" hidden="1">"c15215"</definedName>
    <definedName name="IQ_PRETAX_GW_INC_EST" hidden="1">"c1702"</definedName>
    <definedName name="IQ_PRETAX_GW_INC_EST_CIQ" hidden="1">"c4688"</definedName>
    <definedName name="IQ_PRETAX_GW_INC_EST_REUT" hidden="1">"c5354"</definedName>
    <definedName name="IQ_PRETAX_GW_INC_HIGH_EST" hidden="1">"c1704"</definedName>
    <definedName name="IQ_PRETAX_GW_INC_HIGH_EST_CIQ" hidden="1">"c4690"</definedName>
    <definedName name="IQ_PRETAX_GW_INC_HIGH_EST_REUT" hidden="1">"c5356"</definedName>
    <definedName name="IQ_PRETAX_GW_INC_LOW_EST" hidden="1">"c1705"</definedName>
    <definedName name="IQ_PRETAX_GW_INC_LOW_EST_CIQ" hidden="1">"c4691"</definedName>
    <definedName name="IQ_PRETAX_GW_INC_LOW_EST_REUT" hidden="1">"c5357"</definedName>
    <definedName name="IQ_PRETAX_GW_INC_MEDIAN_EST" hidden="1">"c1703"</definedName>
    <definedName name="IQ_PRETAX_GW_INC_MEDIAN_EST_CIQ" hidden="1">"c4689"</definedName>
    <definedName name="IQ_PRETAX_GW_INC_MEDIAN_EST_REUT" hidden="1">"c5355"</definedName>
    <definedName name="IQ_PRETAX_GW_INC_NUM_EST" hidden="1">"c1706"</definedName>
    <definedName name="IQ_PRETAX_GW_INC_NUM_EST_CIQ" hidden="1">"c4692"</definedName>
    <definedName name="IQ_PRETAX_GW_INC_NUM_EST_REUT" hidden="1">"c5358"</definedName>
    <definedName name="IQ_PRETAX_GW_INC_STDDEV_EST" hidden="1">"c1707"</definedName>
    <definedName name="IQ_PRETAX_GW_INC_STDDEV_EST_CIQ" hidden="1">"c4693"</definedName>
    <definedName name="IQ_PRETAX_GW_INC_STDDEV_EST_REUT" hidden="1">"c5359"</definedName>
    <definedName name="IQ_PRETAX_INC" hidden="1">"IQ_PRETAX_INC"</definedName>
    <definedName name="IQ_PRETAX_INC_10K" hidden="1">"PRETAX_INC_10K"</definedName>
    <definedName name="IQ_PRETAX_INC_10Q" hidden="1">"PRETAX_INC_10Q"</definedName>
    <definedName name="IQ_PRETAX_INC_10Q1" hidden="1">"PRETAX_INC_10Q1"</definedName>
    <definedName name="IQ_PRETAX_INC_AFTER_CAP_ALLOCATION_FOREIGN_FFIEC" hidden="1">"c15390"</definedName>
    <definedName name="IQ_PRETAX_INC_BEFORE_CAP_ALLOCATION_FOREIGN_FFIEC" hidden="1">"c15388"</definedName>
    <definedName name="IQ_PRETAX_INC_EST" hidden="1">"c1695"</definedName>
    <definedName name="IQ_PRETAX_INC_EST_CIQ" hidden="1">"c4681"</definedName>
    <definedName name="IQ_PRETAX_INC_EST_REUT" hidden="1">"c5347"</definedName>
    <definedName name="IQ_PRETAX_INC_EST_THOM" hidden="1">"c5119"</definedName>
    <definedName name="IQ_PRETAX_INC_HIGH_EST" hidden="1">"c1697"</definedName>
    <definedName name="IQ_PRETAX_INC_HIGH_EST_CIQ" hidden="1">"c4683"</definedName>
    <definedName name="IQ_PRETAX_INC_HIGH_EST_REUT" hidden="1">"c5349"</definedName>
    <definedName name="IQ_PRETAX_INC_HIGH_EST_THOM" hidden="1">"c5121"</definedName>
    <definedName name="IQ_PRETAX_INC_LOW_EST" hidden="1">"c1698"</definedName>
    <definedName name="IQ_PRETAX_INC_LOW_EST_CIQ" hidden="1">"c4684"</definedName>
    <definedName name="IQ_PRETAX_INC_LOW_EST_REUT" hidden="1">"c5350"</definedName>
    <definedName name="IQ_PRETAX_INC_LOW_EST_THOM" hidden="1">"c5122"</definedName>
    <definedName name="IQ_PRETAX_INC_MEDIAN_EST" hidden="1">"c1696"</definedName>
    <definedName name="IQ_PRETAX_INC_MEDIAN_EST_CIQ" hidden="1">"c4682"</definedName>
    <definedName name="IQ_PRETAX_INC_MEDIAN_EST_REUT" hidden="1">"c5348"</definedName>
    <definedName name="IQ_PRETAX_INC_MEDIAN_EST_THOM" hidden="1">"c5120"</definedName>
    <definedName name="IQ_PRETAX_INC_NUM_EST" hidden="1">"c1699"</definedName>
    <definedName name="IQ_PRETAX_INC_NUM_EST_CIQ" hidden="1">"c4685"</definedName>
    <definedName name="IQ_PRETAX_INC_NUM_EST_REUT" hidden="1">"c5351"</definedName>
    <definedName name="IQ_PRETAX_INC_NUM_EST_THOM" hidden="1">"c5123"</definedName>
    <definedName name="IQ_PRETAX_INC_STDDEV_EST" hidden="1">"c1700"</definedName>
    <definedName name="IQ_PRETAX_INC_STDDEV_EST_CIQ" hidden="1">"c4686"</definedName>
    <definedName name="IQ_PRETAX_INC_STDDEV_EST_REUT" hidden="1">"c5352"</definedName>
    <definedName name="IQ_PRETAX_INC_STDDEV_EST_THOM" hidden="1">"c5124"</definedName>
    <definedName name="IQ_PRETAX_OPERATING_INC_AVG_ASSETS_FFIEC" hidden="1">"c13365"</definedName>
    <definedName name="IQ_PRETAX_REPORT_INC_EST" hidden="1">"c1709"</definedName>
    <definedName name="IQ_PRETAX_REPORT_INC_EST_CIQ" hidden="1">"c4695"</definedName>
    <definedName name="IQ_PRETAX_REPORT_INC_EST_REUT" hidden="1">"c5361"</definedName>
    <definedName name="IQ_PRETAX_REPORT_INC_HIGH_EST" hidden="1">"c1711"</definedName>
    <definedName name="IQ_PRETAX_REPORT_INC_HIGH_EST_CIQ" hidden="1">"c4697"</definedName>
    <definedName name="IQ_PRETAX_REPORT_INC_HIGH_EST_REUT" hidden="1">"c5363"</definedName>
    <definedName name="IQ_PRETAX_REPORT_INC_LOW_EST" hidden="1">"c1712"</definedName>
    <definedName name="IQ_PRETAX_REPORT_INC_LOW_EST_CIQ" hidden="1">"c4698"</definedName>
    <definedName name="IQ_PRETAX_REPORT_INC_LOW_EST_REUT" hidden="1">"c5364"</definedName>
    <definedName name="IQ_PRETAX_REPORT_INC_MEDIAN_EST" hidden="1">"c1710"</definedName>
    <definedName name="IQ_PRETAX_REPORT_INC_MEDIAN_EST_CIQ" hidden="1">"c4696"</definedName>
    <definedName name="IQ_PRETAX_REPORT_INC_MEDIAN_EST_REUT" hidden="1">"c5362"</definedName>
    <definedName name="IQ_PRETAX_REPORT_INC_NUM_EST" hidden="1">"c1713"</definedName>
    <definedName name="IQ_PRETAX_REPORT_INC_NUM_EST_CIQ" hidden="1">"c4699"</definedName>
    <definedName name="IQ_PRETAX_REPORT_INC_NUM_EST_REUT" hidden="1">"c5365"</definedName>
    <definedName name="IQ_PRETAX_REPORT_INC_STDDEV_EST" hidden="1">"c1714"</definedName>
    <definedName name="IQ_PRETAX_REPORT_INC_STDDEV_EST_CIQ" hidden="1">"c4700"</definedName>
    <definedName name="IQ_PRETAX_REPORT_INC_STDDEV_EST_REUT" hidden="1">"c5366"</definedName>
    <definedName name="IQ_PRETAX_RETURN_ASSETS_FDIC" hidden="1">"c6731"</definedName>
    <definedName name="IQ_PREV_MONTHLY_FACTOR" hidden="1">"c8973"</definedName>
    <definedName name="IQ_PREV_MONTHLY_FACTOR_DATE" hidden="1">"c8974"</definedName>
    <definedName name="IQ_PRICE_CFPS_FWD" hidden="1">"c2237"</definedName>
    <definedName name="IQ_PRICE_CFPS_FWD_CIQ" hidden="1">"c4046"</definedName>
    <definedName name="IQ_PRICE_CFPS_FWD_REUT" hidden="1">"c4053"</definedName>
    <definedName name="IQ_PRICE_CFPS_FWD_THOM" hidden="1">"c4060"</definedName>
    <definedName name="IQ_PRICE_OVER_BVPS" hidden="1">"c1412"</definedName>
    <definedName name="IQ_PRICE_OVER_EPS_EST" hidden="1">"IQ_PRICE_OVER_EPS_EST"</definedName>
    <definedName name="IQ_PRICE_OVER_EPS_EST_1" hidden="1">"IQ_PRICE_OVER_EPS_EST_1"</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BOTTOM_UP" hidden="1">"c5486"</definedName>
    <definedName name="IQ_PRICE_TARGET_BOTTOM_UP_CIQ" hidden="1">"c12023"</definedName>
    <definedName name="IQ_PRICE_TARGET_BOTTOM_UP_REUT" hidden="1">"c5494"</definedName>
    <definedName name="IQ_PRICE_TARGET_CIQ" hidden="1">"c3613"</definedName>
    <definedName name="IQ_PRICE_TARGET_REUT" hidden="1">"c3631"</definedName>
    <definedName name="IQ_PRICE_TARGET_THOM" hidden="1">"c3649"</definedName>
    <definedName name="IQ_PRICE_VOLATILITY_EST" hidden="1">"c4492"</definedName>
    <definedName name="IQ_PRICE_VOLATILITY_EST_CIQ" hidden="1">"c5030"</definedName>
    <definedName name="IQ_PRICE_VOLATILITY_HIGH" hidden="1">"c4493"</definedName>
    <definedName name="IQ_PRICE_VOLATILITY_HIGH_CIQ" hidden="1">"c5031"</definedName>
    <definedName name="IQ_PRICE_VOLATILITY_LOW" hidden="1">"c4494"</definedName>
    <definedName name="IQ_PRICE_VOLATILITY_LOW_CIQ" hidden="1">"c5032"</definedName>
    <definedName name="IQ_PRICE_VOLATILITY_MEDIAN" hidden="1">"c4495"</definedName>
    <definedName name="IQ_PRICE_VOLATILITY_MEDIAN_CIQ" hidden="1">"c5033"</definedName>
    <definedName name="IQ_PRICE_VOLATILITY_NUM" hidden="1">"c4496"</definedName>
    <definedName name="IQ_PRICE_VOLATILITY_NUM_CIQ" hidden="1">"c5034"</definedName>
    <definedName name="IQ_PRICE_VOLATILITY_STDDEV" hidden="1">"c4497"</definedName>
    <definedName name="IQ_PRICE_VOLATILITY_STDDEV_CIQ" hidden="1">"c5035"</definedName>
    <definedName name="IQ_PRICEDATE" hidden="1">"c1069"</definedName>
    <definedName name="IQ_PRICEDATETIME" hidden="1">"IQ_PRICEDATETIME"</definedName>
    <definedName name="IQ_PRICING_DATE" hidden="1">"c1613"</definedName>
    <definedName name="IQ_PRIMARY_EPS_TYPE" hidden="1">"c4498"</definedName>
    <definedName name="IQ_PRIMARY_EPS_TYPE_CIQ" hidden="1">"c5036"</definedName>
    <definedName name="IQ_PRIMARY_EPS_TYPE_REUT" hidden="1">"c5481"</definedName>
    <definedName name="IQ_PRIMARY_EPS_TYPE_THOM" hidden="1">"c5297"</definedName>
    <definedName name="IQ_PRIMARY_INDUSTRY" hidden="1">"c1070"</definedName>
    <definedName name="IQ_PRINCIPAL_AMT" hidden="1">"c2157"</definedName>
    <definedName name="IQ_PRIVATE_CONST_TOTAL_APR_FC_UNUSED" hidden="1">"c8559"</definedName>
    <definedName name="IQ_PRIVATE_CONST_TOTAL_APR_FC_UNUSED_UNUSED_UNUSED" hidden="1">"c8559"</definedName>
    <definedName name="IQ_PRIVATE_CONST_TOTAL_APR_UNUSED" hidden="1">"c7679"</definedName>
    <definedName name="IQ_PRIVATE_CONST_TOTAL_APR_UNUSED_UNUSED_UNUSED" hidden="1">"c7679"</definedName>
    <definedName name="IQ_PRIVATE_CONST_TOTAL_FC_UNUSED" hidden="1">"c7899"</definedName>
    <definedName name="IQ_PRIVATE_CONST_TOTAL_FC_UNUSED_UNUSED_UNUSED" hidden="1">"c7899"</definedName>
    <definedName name="IQ_PRIVATE_CONST_TOTAL_POP_FC_UNUSED" hidden="1">"c8119"</definedName>
    <definedName name="IQ_PRIVATE_CONST_TOTAL_POP_FC_UNUSED_UNUSED_UNUSED" hidden="1">"c8119"</definedName>
    <definedName name="IQ_PRIVATE_CONST_TOTAL_POP_UNUSED" hidden="1">"c7239"</definedName>
    <definedName name="IQ_PRIVATE_CONST_TOTAL_POP_UNUSED_UNUSED_UNUSED" hidden="1">"c7239"</definedName>
    <definedName name="IQ_PRIVATE_CONST_TOTAL_UNUSED" hidden="1">"c7019"</definedName>
    <definedName name="IQ_PRIVATE_CONST_TOTAL_UNUSED_UNUSED_UNUSED" hidden="1">"c7019"</definedName>
    <definedName name="IQ_PRIVATE_CONST_TOTAL_YOY_FC_UNUSED" hidden="1">"c8339"</definedName>
    <definedName name="IQ_PRIVATE_CONST_TOTAL_YOY_FC_UNUSED_UNUSED_UNUSED" hidden="1">"c8339"</definedName>
    <definedName name="IQ_PRIVATE_CONST_TOTAL_YOY_UNUSED" hidden="1">"c7459"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FC_UNUSED_UNUSED_UNUSED" hidden="1">"c8535"</definedName>
    <definedName name="IQ_PRIVATE_RES_CONST_REAL_APR_UNUSED" hidden="1">"c7655"</definedName>
    <definedName name="IQ_PRIVATE_RES_CONST_REAL_APR_UNUSED_UNUSED_UNUSED" hidden="1">"c7655"</definedName>
    <definedName name="IQ_PRIVATE_RES_CONST_REAL_FC_UNUSED" hidden="1">"c7875"</definedName>
    <definedName name="IQ_PRIVATE_RES_CONST_REAL_FC_UNUSED_UNUSED_UNUSED" hidden="1">"c7875"</definedName>
    <definedName name="IQ_PRIVATE_RES_CONST_REAL_POP_FC_UNUSED" hidden="1">"c8095"</definedName>
    <definedName name="IQ_PRIVATE_RES_CONST_REAL_POP_FC_UNUSED_UNUSED_UNUSED" hidden="1">"c8095"</definedName>
    <definedName name="IQ_PRIVATE_RES_CONST_REAL_POP_UNUSED" hidden="1">"c7215"</definedName>
    <definedName name="IQ_PRIVATE_RES_CONST_REAL_POP_UNUSED_UNUSED_UNUSED" hidden="1">"c7215"</definedName>
    <definedName name="IQ_PRIVATE_RES_CONST_REAL_UNUSED" hidden="1">"c6995"</definedName>
    <definedName name="IQ_PRIVATE_RES_CONST_REAL_UNUSED_UNUSED_UNUSED" hidden="1">"c6995"</definedName>
    <definedName name="IQ_PRIVATE_RES_CONST_REAL_YOY_FC_UNUSED" hidden="1">"c8315"</definedName>
    <definedName name="IQ_PRIVATE_RES_CONST_REAL_YOY_FC_UNUSED_UNUSED_UNUSED" hidden="1">"c8315"</definedName>
    <definedName name="IQ_PRIVATE_RES_CONST_REAL_YOY_UNUSED" hidden="1">"c7435"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ASSISTANT_EMAIL" hidden="1">"c15169"</definedName>
    <definedName name="IQ_PROFESSIONAL_ASSISTANT_FAX" hidden="1">"c15171"</definedName>
    <definedName name="IQ_PROFESSIONAL_ASSISTANT_NAME" hidden="1">"c15168"</definedName>
    <definedName name="IQ_PROFESSIONAL_ASSISTANT_PHONE" hidden="1">"c15170"</definedName>
    <definedName name="IQ_PROFESSIONAL_BACKGROUND" hidden="1">"c15161"</definedName>
    <definedName name="IQ_PROFESSIONAL_DIRECT_FAX" hidden="1">"c15166"</definedName>
    <definedName name="IQ_PROFESSIONAL_DIRECT_PHONE" hidden="1">"c15165"</definedName>
    <definedName name="IQ_PROFESSIONAL_EMAIL" hidden="1">"c15167"</definedName>
    <definedName name="IQ_PROFESSIONAL_ID" hidden="1">"c13755"</definedName>
    <definedName name="IQ_PROFESSIONAL_MAIN_FAX" hidden="1">"c15164"</definedName>
    <definedName name="IQ_PROFESSIONAL_MAIN_PHONE" hidden="1">"c15163"</definedName>
    <definedName name="IQ_PROFESSIONAL_OFFICE_ADDRESS" hidden="1">"c15162"</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ROVISION_LL_FFIEC" hidden="1">"c13019"</definedName>
    <definedName name="IQ_PROVISION_LOSSES_AVG_ASSETS_FFIEC" hidden="1">"c13362"</definedName>
    <definedName name="IQ_PROVISION_LOSSES_AVG_LOANS_FFIEC" hidden="1">"c13470"</definedName>
    <definedName name="IQ_PROVISION_LOSSES_NET_LOSSES_FFIEC" hidden="1">"c13471"</definedName>
    <definedName name="IQ_PTBV" hidden="1">"c1084"</definedName>
    <definedName name="IQ_PTBV_AVG" hidden="1">"c1085"</definedName>
    <definedName name="IQ_PURCHASE_FOREIGN_CURRENCIES_FDIC" hidden="1">"c6513"</definedName>
    <definedName name="IQ_PURCHASE_TREASURY_FFIEC" hidden="1">"c12966"</definedName>
    <definedName name="IQ_PURCHASED_CREDIT_RELS_SERVICING_ASSETS_FFIEC" hidden="1">"c12839"</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 hidden="1">"c8491"</definedName>
    <definedName name="IQ_PURCHASES_EQUIP_NONRES_SAAR_APR_FC_UNUSED_UNUSED_UNUSED" hidden="1">"c8491"</definedName>
    <definedName name="IQ_PURCHASES_EQUIP_NONRES_SAAR_APR_UNUSED" hidden="1">"c7611"</definedName>
    <definedName name="IQ_PURCHASES_EQUIP_NONRES_SAAR_APR_UNUSED_UNUSED_UNUSED" hidden="1">"c7611"</definedName>
    <definedName name="IQ_PURCHASES_EQUIP_NONRES_SAAR_FC_UNUSED" hidden="1">"c7831"</definedName>
    <definedName name="IQ_PURCHASES_EQUIP_NONRES_SAAR_FC_UNUSED_UNUSED_UNUSED" hidden="1">"c7831"</definedName>
    <definedName name="IQ_PURCHASES_EQUIP_NONRES_SAAR_POP_FC_UNUSED" hidden="1">"c8051"</definedName>
    <definedName name="IQ_PURCHASES_EQUIP_NONRES_SAAR_POP_FC_UNUSED_UNUSED_UNUSED" hidden="1">"c8051"</definedName>
    <definedName name="IQ_PURCHASES_EQUIP_NONRES_SAAR_POP_UNUSED" hidden="1">"c7171"</definedName>
    <definedName name="IQ_PURCHASES_EQUIP_NONRES_SAAR_POP_UNUSED_UNUSED_UNUSED" hidden="1">"c7171"</definedName>
    <definedName name="IQ_PURCHASES_EQUIP_NONRES_SAAR_UNUSED" hidden="1">"c6951"</definedName>
    <definedName name="IQ_PURCHASES_EQUIP_NONRES_SAAR_UNUSED_UNUSED_UNUSED" hidden="1">"c6951"</definedName>
    <definedName name="IQ_PURCHASES_EQUIP_NONRES_SAAR_YOY_FC_UNUSED" hidden="1">"c8271"</definedName>
    <definedName name="IQ_PURCHASES_EQUIP_NONRES_SAAR_YOY_FC_UNUSED_UNUSED_UNUSED" hidden="1">"c8271"</definedName>
    <definedName name="IQ_PURCHASES_EQUIP_NONRES_SAAR_YOY_UNUSED" hidden="1">"c7391"</definedName>
    <definedName name="IQ_PURCHASES_EQUIP_NONRES_SAAR_YOY_UNUSED_UNUSED_UNUSED" hidden="1">"c7391"</definedName>
    <definedName name="IQ_PURCHASING_SECURITIES_LL_REC_FFIEC" hidden="1">"c12893"</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ALIFYING_MINORITY_INT_T1_FFIEC" hidden="1">"c13135"</definedName>
    <definedName name="IQ_QUALIFYING_SUB_DEBT_REDEEM_PREF_T2_FFIEC" hidden="1">"c13144"</definedName>
    <definedName name="IQ_QUALIFYING_TRUST_PREFERRED_T1_FFIEC" hidden="1">"c13136"</definedName>
    <definedName name="IQ_QUICK_COMP" hidden="1">"c13750"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1_4_RISK_BASED_FFIEC" hidden="1">"c13418"</definedName>
    <definedName name="IQ_RE_ACQ_SATISFACTION_DEBTS_FFIEC" hidden="1">"c12832"</definedName>
    <definedName name="IQ_RE_DEPR_AMORT" hidden="1">"c8750"</definedName>
    <definedName name="IQ_RE_FARMLAND_GROSS_LOANS_FFIEC" hidden="1">"c13408"</definedName>
    <definedName name="IQ_RE_FARMLAND_RISK_BASED_FFIEC" hidden="1">"c13429"</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FOREIGN_FFIEC" hidden="1">"c13479"</definedName>
    <definedName name="IQ_RE_GAIN_LOSS_SALE_ASSETS" hidden="1">"c8751"</definedName>
    <definedName name="IQ_RE_INVEST_FDIC" hidden="1">"c6331"</definedName>
    <definedName name="IQ_RE_LOANS_1_4_GROSS_LOANS_FFIEC" hidden="1">"c13397"</definedName>
    <definedName name="IQ_RE_LOANS_DOM_QUARTERLY_AVG_FFIEC" hidden="1">"c15476"</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LOANS_GROSS_LOANS_FFIEC" hidden="1">"c13396"</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_RISK_BASED_FFIEC" hidden="1">"c13417"</definedName>
    <definedName name="IQ_REAL_ESTATE" hidden="1">"c1093"</definedName>
    <definedName name="IQ_REAL_ESTATE_ASSETS" hidden="1">"c1094"</definedName>
    <definedName name="IQ_REALIZED_GAINS_AVAIL_SALE_SEC_FFIEC" hidden="1">"c13022"</definedName>
    <definedName name="IQ_REALIZED_GAINS_HELD_MATURITY_SEC_FFIEC" hidden="1">"c13021"</definedName>
    <definedName name="IQ_REALIZED_GAINS_SEC_TOT_FFIEC" hidden="1">"c13517"</definedName>
    <definedName name="IQ_RECOVERIES_1_4_FAMILY_LOANS_FDIC" hidden="1">"c6707"</definedName>
    <definedName name="IQ_RECOVERIES_AUTO_LOANS_FDIC" hidden="1">"c6701"</definedName>
    <definedName name="IQ_RECOVERIES_AVG_LOANS_FFIEC" hidden="1">"c13476"</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EST" hidden="1">"c4499"</definedName>
    <definedName name="IQ_RECURRING_PROFIT_EST_CIQ" hidden="1">"c5037"</definedName>
    <definedName name="IQ_RECURRING_PROFIT_GUIDANCE" hidden="1">"c4500"</definedName>
    <definedName name="IQ_RECURRING_PROFIT_GUIDANCE_CIQ" hidden="1">"c5038"</definedName>
    <definedName name="IQ_RECURRING_PROFIT_HIGH_EST" hidden="1">"c4501"</definedName>
    <definedName name="IQ_RECURRING_PROFIT_HIGH_EST_CIQ" hidden="1">"c5039"</definedName>
    <definedName name="IQ_RECURRING_PROFIT_HIGH_GUIDANCE" hidden="1">"c4179"</definedName>
    <definedName name="IQ_RECURRING_PROFIT_HIGH_GUIDANCE_CIQ" hidden="1">"c4591"</definedName>
    <definedName name="IQ_RECURRING_PROFIT_LOW_EST" hidden="1">"c4502"</definedName>
    <definedName name="IQ_RECURRING_PROFIT_LOW_EST_CIQ" hidden="1">"c5040"</definedName>
    <definedName name="IQ_RECURRING_PROFIT_LOW_GUIDANCE" hidden="1">"c4219"</definedName>
    <definedName name="IQ_RECURRING_PROFIT_LOW_GUIDANCE_CIQ" hidden="1">"c4631"</definedName>
    <definedName name="IQ_RECURRING_PROFIT_MEDIAN_EST" hidden="1">"c4503"</definedName>
    <definedName name="IQ_RECURRING_PROFIT_MEDIAN_EST_CIQ" hidden="1">"c5041"</definedName>
    <definedName name="IQ_RECURRING_PROFIT_NUM_EST" hidden="1">"c4504"</definedName>
    <definedName name="IQ_RECURRING_PROFIT_NUM_EST_CIQ" hidden="1">"c5042"</definedName>
    <definedName name="IQ_RECURRING_PROFIT_SHARE_ACT_OR_EST" hidden="1">"c4508"</definedName>
    <definedName name="IQ_RECURRING_PROFIT_SHARE_ACT_OR_EST_CIQ" hidden="1">"c5046"</definedName>
    <definedName name="IQ_RECURRING_PROFIT_SHARE_EST" hidden="1">"c4506"</definedName>
    <definedName name="IQ_RECURRING_PROFIT_SHARE_EST_CIQ" hidden="1">"c5044"</definedName>
    <definedName name="IQ_RECURRING_PROFIT_SHARE_GUIDANCE" hidden="1">"c4509"</definedName>
    <definedName name="IQ_RECURRING_PROFIT_SHARE_GUIDANCE_CIQ" hidden="1">"c5047"</definedName>
    <definedName name="IQ_RECURRING_PROFIT_SHARE_HIGH_EST" hidden="1">"c4510"</definedName>
    <definedName name="IQ_RECURRING_PROFIT_SHARE_HIGH_EST_CIQ" hidden="1">"c5048"</definedName>
    <definedName name="IQ_RECURRING_PROFIT_SHARE_HIGH_GUIDANCE" hidden="1">"c4200"</definedName>
    <definedName name="IQ_RECURRING_PROFIT_SHARE_HIGH_GUIDANCE_CIQ" hidden="1">"c4612"</definedName>
    <definedName name="IQ_RECURRING_PROFIT_SHARE_LOW_EST" hidden="1">"c4511"</definedName>
    <definedName name="IQ_RECURRING_PROFIT_SHARE_LOW_EST_CIQ" hidden="1">"c5049"</definedName>
    <definedName name="IQ_RECURRING_PROFIT_SHARE_LOW_GUIDANCE" hidden="1">"c4240"</definedName>
    <definedName name="IQ_RECURRING_PROFIT_SHARE_LOW_GUIDANCE_CIQ" hidden="1">"c4652"</definedName>
    <definedName name="IQ_RECURRING_PROFIT_SHARE_MEDIAN_EST" hidden="1">"c4512"</definedName>
    <definedName name="IQ_RECURRING_PROFIT_SHARE_MEDIAN_EST_CIQ" hidden="1">"c5050"</definedName>
    <definedName name="IQ_RECURRING_PROFIT_SHARE_NUM_EST" hidden="1">"c4513"</definedName>
    <definedName name="IQ_RECURRING_PROFIT_SHARE_NUM_EST_CIQ" hidden="1">"c5051"</definedName>
    <definedName name="IQ_RECURRING_PROFIT_SHARE_STDDEV_EST" hidden="1">"c4514"</definedName>
    <definedName name="IQ_RECURRING_PROFIT_SHARE_STDDEV_EST_CIQ" hidden="1">"c5052"</definedName>
    <definedName name="IQ_RECURRING_PROFIT_STDDEV_EST" hidden="1">"c4516"</definedName>
    <definedName name="IQ_RECURRING_PROFIT_STDDEV_EST_CIQ" hidden="1">"c5054"</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 hidden="1">"c13104"</definedName>
    <definedName name="IQ_REINSURANCE_RECOVERABLE_ASSETS_PC_FFIEC" hidden="1">"c13098"</definedName>
    <definedName name="IQ_RELATED_PLANS_FDIC" hidden="1">"c6320"</definedName>
    <definedName name="IQ_RENT_OTHER_INC_FROM_OREO_FFIEC" hidden="1">"c13043"</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_SAFE_DEPOSIT_FFIEC" hidden="1">"c13044"</definedName>
    <definedName name="IQ_RENTAL_REV" hidden="1">"c1101"</definedName>
    <definedName name="IQ_REPRICEABLE_EARNING_ASSETS_INT_SENSITIVITY_FFIEC" hidden="1">"c13093"</definedName>
    <definedName name="IQ_REPRICEABLE_INT_DEPOSITS_INT_SENSITIVITY_FFIEC" hidden="1">"c13094"</definedName>
    <definedName name="IQ_REPURCHASED_REBOOKED_GNMA_DUE_30_89_FFIEC" hidden="1">"c13283"</definedName>
    <definedName name="IQ_REPURCHASED_REBOOKED_GNMA_DUE_90_FFIEC" hidden="1">"c13309"</definedName>
    <definedName name="IQ_REPURCHASED_REBOOKED_GNMA_NON_ACCRUAL_FFIEC" hidden="1">"c13334"</definedName>
    <definedName name="IQ_RES_CONST_REAL_APR_FC_UNUSED" hidden="1">"c8536"</definedName>
    <definedName name="IQ_RES_CONST_REAL_APR_FC_UNUSED_UNUSED_UNUSED" hidden="1">"c8536"</definedName>
    <definedName name="IQ_RES_CONST_REAL_APR_UNUSED" hidden="1">"c7656"</definedName>
    <definedName name="IQ_RES_CONST_REAL_APR_UNUSED_UNUSED_UNUSED" hidden="1">"c7656"</definedName>
    <definedName name="IQ_RES_CONST_REAL_FC_UNUSED" hidden="1">"c7876"</definedName>
    <definedName name="IQ_RES_CONST_REAL_FC_UNUSED_UNUSED_UNUSED" hidden="1">"c7876"</definedName>
    <definedName name="IQ_RES_CONST_REAL_POP_FC_UNUSED" hidden="1">"c8096"</definedName>
    <definedName name="IQ_RES_CONST_REAL_POP_FC_UNUSED_UNUSED_UNUSED" hidden="1">"c8096"</definedName>
    <definedName name="IQ_RES_CONST_REAL_POP_UNUSED" hidden="1">"c7216"</definedName>
    <definedName name="IQ_RES_CONST_REAL_POP_UNUSED_UNUSED_UNUSED" hidden="1">"c7216"</definedName>
    <definedName name="IQ_RES_CONST_REAL_SAAR_APR_FC_UNUSED" hidden="1">"c8537"</definedName>
    <definedName name="IQ_RES_CONST_REAL_SAAR_APR_FC_UNUSED_UNUSED_UNUSED" hidden="1">"c8537"</definedName>
    <definedName name="IQ_RES_CONST_REAL_SAAR_APR_UNUSED" hidden="1">"c7657"</definedName>
    <definedName name="IQ_RES_CONST_REAL_SAAR_APR_UNUSED_UNUSED_UNUSED" hidden="1">"c7657"</definedName>
    <definedName name="IQ_RES_CONST_REAL_SAAR_FC_UNUSED" hidden="1">"c7877"</definedName>
    <definedName name="IQ_RES_CONST_REAL_SAAR_FC_UNUSED_UNUSED_UNUSED" hidden="1">"c7877"</definedName>
    <definedName name="IQ_RES_CONST_REAL_SAAR_POP_FC_UNUSED" hidden="1">"c8097"</definedName>
    <definedName name="IQ_RES_CONST_REAL_SAAR_POP_FC_UNUSED_UNUSED_UNUSED" hidden="1">"c8097"</definedName>
    <definedName name="IQ_RES_CONST_REAL_SAAR_POP_UNUSED" hidden="1">"c7217"</definedName>
    <definedName name="IQ_RES_CONST_REAL_SAAR_POP_UNUSED_UNUSED_UNUSED" hidden="1">"c7217"</definedName>
    <definedName name="IQ_RES_CONST_REAL_SAAR_UNUSED" hidden="1">"c6997"</definedName>
    <definedName name="IQ_RES_CONST_REAL_SAAR_UNUSED_UNUSED_UNUSED" hidden="1">"c6997"</definedName>
    <definedName name="IQ_RES_CONST_REAL_SAAR_YOY_FC_UNUSED" hidden="1">"c8317"</definedName>
    <definedName name="IQ_RES_CONST_REAL_SAAR_YOY_FC_UNUSED_UNUSED_UNUSED" hidden="1">"c8317"</definedName>
    <definedName name="IQ_RES_CONST_REAL_SAAR_YOY_UNUSED" hidden="1">"c7437"</definedName>
    <definedName name="IQ_RES_CONST_REAL_SAAR_YOY_UNUSED_UNUSED_UNUSED" hidden="1">"c7437"</definedName>
    <definedName name="IQ_RES_CONST_REAL_UNUSED" hidden="1">"c6996"</definedName>
    <definedName name="IQ_RES_CONST_REAL_UNUSED_UNUSED_UNUSED" hidden="1">"c6996"</definedName>
    <definedName name="IQ_RES_CONST_REAL_YOY_FC_UNUSED" hidden="1">"c8316"</definedName>
    <definedName name="IQ_RES_CONST_REAL_YOY_FC_UNUSED_UNUSED_UNUSED" hidden="1">"c8316"</definedName>
    <definedName name="IQ_RES_CONST_REAL_YOY_UNUSED" hidden="1">"c7436"</definedName>
    <definedName name="IQ_RES_CONST_REAL_YOY_UNUSED_UNUSED_UNUSED" hidden="1">"c7436"</definedName>
    <definedName name="IQ_RES_CONST_SAAR_APR_FC_UNUSED" hidden="1">"c8540"</definedName>
    <definedName name="IQ_RES_CONST_SAAR_APR_FC_UNUSED_UNUSED_UNUSED" hidden="1">"c8540"</definedName>
    <definedName name="IQ_RES_CONST_SAAR_APR_UNUSED" hidden="1">"c7660"</definedName>
    <definedName name="IQ_RES_CONST_SAAR_APR_UNUSED_UNUSED_UNUSED" hidden="1">"c7660"</definedName>
    <definedName name="IQ_RES_CONST_SAAR_FC_UNUSED" hidden="1">"c7880"</definedName>
    <definedName name="IQ_RES_CONST_SAAR_FC_UNUSED_UNUSED_UNUSED" hidden="1">"c7880"</definedName>
    <definedName name="IQ_RES_CONST_SAAR_POP_FC_UNUSED" hidden="1">"c8100"</definedName>
    <definedName name="IQ_RES_CONST_SAAR_POP_FC_UNUSED_UNUSED_UNUSED" hidden="1">"c8100"</definedName>
    <definedName name="IQ_RES_CONST_SAAR_POP_UNUSED" hidden="1">"c7220"</definedName>
    <definedName name="IQ_RES_CONST_SAAR_POP_UNUSED_UNUSED_UNUSED" hidden="1">"c7220"</definedName>
    <definedName name="IQ_RES_CONST_SAAR_UNUSED" hidden="1">"c7000"</definedName>
    <definedName name="IQ_RES_CONST_SAAR_UNUSED_UNUSED_UNUSED" hidden="1">"c7000"</definedName>
    <definedName name="IQ_RES_CONST_SAAR_YOY_FC_UNUSED" hidden="1">"c8320"</definedName>
    <definedName name="IQ_RES_CONST_SAAR_YOY_FC_UNUSED_UNUSED_UNUSED" hidden="1">"c8320"</definedName>
    <definedName name="IQ_RES_CONST_SAAR_YOY_UNUSED" hidden="1">"c7440"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FFIEC" hidden="1">"c12958"</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SUPPLE" hidden="1">"c13809"</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hidden="1">"c1420"</definedName>
    <definedName name="IQ_RETAINED_EARNINGS_AVERAGE_EQUITY_FDIC" hidden="1">"c6733"</definedName>
    <definedName name="IQ_RETAINED_EARNINGS_EQUITY_FFIEC" hidden="1">"c13348"</definedName>
    <definedName name="IQ_RETAINED_EARNINGS_FFIEC" hidden="1">"c12878"</definedName>
    <definedName name="IQ_RETURN_ASSETS" hidden="1">"c1113"</definedName>
    <definedName name="IQ_RETURN_ASSETS_ACT_OR_EST" hidden="1">"c3585"</definedName>
    <definedName name="IQ_RETURN_ASSETS_ACT_OR_EST_REUT" hidden="1">"c5475"</definedName>
    <definedName name="IQ_RETURN_ASSETS_ACT_OR_EST_THOM" hidden="1">"c5310"</definedName>
    <definedName name="IQ_RETURN_ASSETS_BANK" hidden="1">"c1114"</definedName>
    <definedName name="IQ_RETURN_ASSETS_BROK" hidden="1">"c1115"</definedName>
    <definedName name="IQ_RETURN_ASSETS_EST" hidden="1">"c3529"</definedName>
    <definedName name="IQ_RETURN_ASSETS_EST_CIQ" hidden="1">"c3828"</definedName>
    <definedName name="IQ_RETURN_ASSETS_EST_REUT" hidden="1">"c3990"</definedName>
    <definedName name="IQ_RETURN_ASSETS_EST_THOM" hidden="1">"c4034"</definedName>
    <definedName name="IQ_RETURN_ASSETS_FDIC" hidden="1">"c6730"</definedName>
    <definedName name="IQ_RETURN_ASSETS_FS" hidden="1">"c1116"</definedName>
    <definedName name="IQ_RETURN_ASSETS_GUIDANCE" hidden="1">"c4517"</definedName>
    <definedName name="IQ_RETURN_ASSETS_GUIDANCE_CIQ" hidden="1">"c5055"</definedName>
    <definedName name="IQ_RETURN_ASSETS_HIGH_EST" hidden="1">"c3530"</definedName>
    <definedName name="IQ_RETURN_ASSETS_HIGH_EST_CIQ" hidden="1">"c3830"</definedName>
    <definedName name="IQ_RETURN_ASSETS_HIGH_EST_REUT" hidden="1">"c3992"</definedName>
    <definedName name="IQ_RETURN_ASSETS_HIGH_EST_THOM" hidden="1">"c4036"</definedName>
    <definedName name="IQ_RETURN_ASSETS_HIGH_GUIDANCE" hidden="1">"c4183"</definedName>
    <definedName name="IQ_RETURN_ASSETS_HIGH_GUIDANCE_CIQ" hidden="1">"c4595"</definedName>
    <definedName name="IQ_RETURN_ASSETS_LOW_EST" hidden="1">"c3531"</definedName>
    <definedName name="IQ_RETURN_ASSETS_LOW_EST_CIQ" hidden="1">"c3831"</definedName>
    <definedName name="IQ_RETURN_ASSETS_LOW_EST_REUT" hidden="1">"c3993"</definedName>
    <definedName name="IQ_RETURN_ASSETS_LOW_EST_THOM" hidden="1">"c4037"</definedName>
    <definedName name="IQ_RETURN_ASSETS_LOW_GUIDANCE" hidden="1">"c4223"</definedName>
    <definedName name="IQ_RETURN_ASSETS_LOW_GUIDANCE_CIQ" hidden="1">"c4635"</definedName>
    <definedName name="IQ_RETURN_ASSETS_MEDIAN_EST" hidden="1">"c3532"</definedName>
    <definedName name="IQ_RETURN_ASSETS_MEDIAN_EST_CIQ" hidden="1">"c3829"</definedName>
    <definedName name="IQ_RETURN_ASSETS_MEDIAN_EST_REUT" hidden="1">"c3991"</definedName>
    <definedName name="IQ_RETURN_ASSETS_MEDIAN_EST_THOM" hidden="1">"c4035"</definedName>
    <definedName name="IQ_RETURN_ASSETS_NUM_EST" hidden="1">"c3527"</definedName>
    <definedName name="IQ_RETURN_ASSETS_NUM_EST_CIQ" hidden="1">"c3832"</definedName>
    <definedName name="IQ_RETURN_ASSETS_NUM_EST_REUT" hidden="1">"c3994"</definedName>
    <definedName name="IQ_RETURN_ASSETS_NUM_EST_THOM" hidden="1">"c4038"</definedName>
    <definedName name="IQ_RETURN_ASSETS_STDDEV_EST" hidden="1">"c3528"</definedName>
    <definedName name="IQ_RETURN_ASSETS_STDDEV_EST_CIQ" hidden="1">"c3833"</definedName>
    <definedName name="IQ_RETURN_ASSETS_STDDEV_EST_REUT" hidden="1">"c3995"</definedName>
    <definedName name="IQ_RETURN_ASSETS_STDDEV_EST_THOM" hidden="1">"c4039"</definedName>
    <definedName name="IQ_RETURN_CAPITAL" hidden="1">"c1117"</definedName>
    <definedName name="IQ_RETURN_COMMON_EQUITY" hidden="1">"c13838"</definedName>
    <definedName name="IQ_RETURN_EMBEDDED_VALUE" hidden="1">"c9974"</definedName>
    <definedName name="IQ_RETURN_EQUITY" hidden="1">"c1118"</definedName>
    <definedName name="IQ_RETURN_EQUITY_ACT_OR_EST" hidden="1">"c3586"</definedName>
    <definedName name="IQ_RETURN_EQUITY_ACT_OR_EST_REUT" hidden="1">"c5476"</definedName>
    <definedName name="IQ_RETURN_EQUITY_ACT_OR_EST_THOM" hidden="1">"c5311"</definedName>
    <definedName name="IQ_RETURN_EQUITY_BANK" hidden="1">"c1119"</definedName>
    <definedName name="IQ_RETURN_EQUITY_BROK" hidden="1">"c1120"</definedName>
    <definedName name="IQ_RETURN_EQUITY_EST" hidden="1">"c3535"</definedName>
    <definedName name="IQ_RETURN_EQUITY_EST_CIQ" hidden="1">"c3821"</definedName>
    <definedName name="IQ_RETURN_EQUITY_EST_REUT" hidden="1">"c3983"</definedName>
    <definedName name="IQ_RETURN_EQUITY_EST_THOM" hidden="1">"c5479"</definedName>
    <definedName name="IQ_RETURN_EQUITY_FDIC" hidden="1">"c6732"</definedName>
    <definedName name="IQ_RETURN_EQUITY_FS" hidden="1">"c1121"</definedName>
    <definedName name="IQ_RETURN_EQUITY_GUIDANCE" hidden="1">"c4518"</definedName>
    <definedName name="IQ_RETURN_EQUITY_GUIDANCE_CIQ" hidden="1">"c5056"</definedName>
    <definedName name="IQ_RETURN_EQUITY_HIGH_EST" hidden="1">"c3536"</definedName>
    <definedName name="IQ_RETURN_EQUITY_HIGH_EST_CIQ" hidden="1">"c3823"</definedName>
    <definedName name="IQ_RETURN_EQUITY_HIGH_EST_REUT" hidden="1">"c3985"</definedName>
    <definedName name="IQ_RETURN_EQUITY_HIGH_EST_THOM" hidden="1">"c5283"</definedName>
    <definedName name="IQ_RETURN_EQUITY_HIGH_GUIDANCE" hidden="1">"c4182"</definedName>
    <definedName name="IQ_RETURN_EQUITY_HIGH_GUIDANCE_CIQ" hidden="1">"c4594"</definedName>
    <definedName name="IQ_RETURN_EQUITY_LOW_EST" hidden="1">"c3537"</definedName>
    <definedName name="IQ_RETURN_EQUITY_LOW_EST_CIQ" hidden="1">"c3824"</definedName>
    <definedName name="IQ_RETURN_EQUITY_LOW_EST_REUT" hidden="1">"c3986"</definedName>
    <definedName name="IQ_RETURN_EQUITY_LOW_EST_THOM" hidden="1">"c5284"</definedName>
    <definedName name="IQ_RETURN_EQUITY_LOW_GUIDANCE" hidden="1">"c4222"</definedName>
    <definedName name="IQ_RETURN_EQUITY_LOW_GUIDANCE_CIQ" hidden="1">"c4634"</definedName>
    <definedName name="IQ_RETURN_EQUITY_MEDIAN_EST" hidden="1">"c3538"</definedName>
    <definedName name="IQ_RETURN_EQUITY_MEDIAN_EST_CIQ" hidden="1">"c3822"</definedName>
    <definedName name="IQ_RETURN_EQUITY_MEDIAN_EST_REUT" hidden="1">"c3984"</definedName>
    <definedName name="IQ_RETURN_EQUITY_MEDIAN_EST_THOM" hidden="1">"c5282"</definedName>
    <definedName name="IQ_RETURN_EQUITY_NUM_EST" hidden="1">"c3533"</definedName>
    <definedName name="IQ_RETURN_EQUITY_NUM_EST_CIQ" hidden="1">"c3825"</definedName>
    <definedName name="IQ_RETURN_EQUITY_NUM_EST_REUT" hidden="1">"c3987"</definedName>
    <definedName name="IQ_RETURN_EQUITY_NUM_EST_THOM" hidden="1">"c5285"</definedName>
    <definedName name="IQ_RETURN_EQUITY_STDDEV_EST" hidden="1">"c3534"</definedName>
    <definedName name="IQ_RETURN_EQUITY_STDDEV_EST_CIQ" hidden="1">"c3826"</definedName>
    <definedName name="IQ_RETURN_EQUITY_STDDEV_EST_REUT" hidden="1">"c3988"</definedName>
    <definedName name="IQ_RETURN_EQUITY_STDDEV_EST_THOM" hidden="1">"c5286"</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BEFORE_LOAN_LOSS_FOREIGN_FFIEC" hidden="1">"c15381"</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STDDEV_EST_THOM" hidden="1">"c3657"</definedName>
    <definedName name="IQ_REV_UTI" hidden="1">"c1125"</definedName>
    <definedName name="IQ_REVALUATION_GAINS_DERIVATIVE_DOM_FFIEC" hidden="1">"c12828"</definedName>
    <definedName name="IQ_REVALUATION_GAINS_DERIVATIVE_FOREIGN_FFIEC" hidden="1">"c12829"</definedName>
    <definedName name="IQ_REVALUATION_GAINS_FDIC" hidden="1">"c6428"</definedName>
    <definedName name="IQ_REVALUATION_LOSSES_FDIC" hidden="1">"c6429"</definedName>
    <definedName name="IQ_REVENUE" hidden="1">"c1422"</definedName>
    <definedName name="IQ_REVENUE_10K" hidden="1">"REVENUE_10K"</definedName>
    <definedName name="IQ_REVENUE_10Q" hidden="1">"REVENUE_10Q"</definedName>
    <definedName name="IQ_REVENUE_10Q1" hidden="1">"REVENUE_10Q1"</definedName>
    <definedName name="IQ_REVENUE_ACT_OR_EST" hidden="1">"c2214"</definedName>
    <definedName name="IQ_REVENUE_ACT_OR_EST_CIQ" hidden="1">"c5059"</definedName>
    <definedName name="IQ_REVENUE_ACT_OR_EST_REUT" hidden="1">"c5461"</definedName>
    <definedName name="IQ_REVENUE_ACT_OR_EST_THOM" hidden="1">"c5299"</definedName>
    <definedName name="IQ_REVENUE_BEFORE_LL_FFIEC" hidden="1">"c13018"</definedName>
    <definedName name="IQ_REVENUE_EST" hidden="1">"c1126"</definedName>
    <definedName name="IQ_REVENUE_EST_1" hidden="1">"IQ_REVENUE_EST_1"</definedName>
    <definedName name="IQ_REVENUE_EST_BOTTOM_UP" hidden="1">"c5488"</definedName>
    <definedName name="IQ_REVENUE_EST_BOTTOM_UP_CIQ" hidden="1">"c12025"</definedName>
    <definedName name="IQ_REVENUE_EST_BOTTOM_UP_REUT" hidden="1">"c5496"</definedName>
    <definedName name="IQ_REVENUE_EST_CIQ" hidden="1">"c3616"</definedName>
    <definedName name="IQ_REVENUE_EST_REUT" hidden="1">"c3634"</definedName>
    <definedName name="IQ_REVENUE_EST_THOM" hidden="1">"c3652"</definedName>
    <definedName name="IQ_REVENUE_GROWTH_1" hidden="1">"IQ_REVENUE_GROWTH_1"</definedName>
    <definedName name="IQ_REVENUE_GROWTH_2" hidden="1">"IQ_REVENUE_GROWTH_2"</definedName>
    <definedName name="IQ_REVENUE_GUIDANCE" hidden="1">"c4519"</definedName>
    <definedName name="IQ_REVENUE_GUIDANCE_CIQ" hidden="1">"c5057"</definedName>
    <definedName name="IQ_REVENUE_HIGH_EST" hidden="1">"c1127"</definedName>
    <definedName name="IQ_REVENUE_HIGH_EST_CIQ" hidden="1">"c3618"</definedName>
    <definedName name="IQ_REVENUE_HIGH_EST_REUT" hidden="1">"c3636"</definedName>
    <definedName name="IQ_REVENUE_HIGH_EST_THOM" hidden="1">"c3654"</definedName>
    <definedName name="IQ_REVENUE_HIGH_GUIDANCE" hidden="1">"c4169"</definedName>
    <definedName name="IQ_REVENUE_HIGH_GUIDANCE_CIQ" hidden="1">"c4581"</definedName>
    <definedName name="IQ_REVENUE_LOW_EST" hidden="1">"c1128"</definedName>
    <definedName name="IQ_REVENUE_LOW_EST_CIQ" hidden="1">"c3619"</definedName>
    <definedName name="IQ_REVENUE_LOW_EST_REUT" hidden="1">"c3637"</definedName>
    <definedName name="IQ_REVENUE_LOW_EST_THOM" hidden="1">"c3655"</definedName>
    <definedName name="IQ_REVENUE_LOW_GUIDANCE" hidden="1">"c4209"</definedName>
    <definedName name="IQ_REVENUE_LOW_GUIDANCE_CIQ" hidden="1">"c4621"</definedName>
    <definedName name="IQ_REVENUE_MEDIAN_EST" hidden="1">"c1662"</definedName>
    <definedName name="IQ_REVENUE_MEDIAN_EST_CIQ" hidden="1">"c3617"</definedName>
    <definedName name="IQ_REVENUE_MEDIAN_EST_REUT" hidden="1">"c3635"</definedName>
    <definedName name="IQ_REVENUE_MEDIAN_EST_THOM" hidden="1">"c3653"</definedName>
    <definedName name="IQ_REVENUE_NO_EST" hidden="1">"c263"</definedName>
    <definedName name="IQ_REVENUE_NUM_EST" hidden="1">"c1129"</definedName>
    <definedName name="IQ_REVENUE_NUM_EST_CIQ" hidden="1">"c3620"</definedName>
    <definedName name="IQ_REVENUE_NUM_EST_REUT" hidden="1">"c3638"</definedName>
    <definedName name="IQ_REVENUE_NUM_EST_THOM" hidden="1">"c3656"</definedName>
    <definedName name="IQ_REVISION_DATE_" hidden="1">39777.4465277778</definedName>
    <definedName name="IQ_Revision_date_2" hidden="1">38961.5214814815</definedName>
    <definedName name="IQ_REVOLV_OPEN_SECURED_1_4_LL_REC_DOM_FFIEC" hidden="1">"c12902"</definedName>
    <definedName name="IQ_REVOLVING_HOME_EQUITY_LINES_UNUSED_FFIEC" hidden="1">"c13241"</definedName>
    <definedName name="IQ_REVOLVING_LOANS_GROSS_LOANS_FFIEC" hidden="1">"c13398"</definedName>
    <definedName name="IQ_REVOLVING_LOANS_RISK_BASED_FFIEC" hidden="1">"c13419"</definedName>
    <definedName name="IQ_REVOLVING_LOANS_SEC_1_4_DOM_CHARGE_OFFS_FFIEC" hidden="1">"c13168"</definedName>
    <definedName name="IQ_REVOLVING_LOANS_SEC_1_4_DOM_RECOV_FFIEC" hidden="1">"c13190"</definedName>
    <definedName name="IQ_REVOLVING_OPEN_END_1_4_TRADING_DOM_FFIEC" hidden="1">"c12927"</definedName>
    <definedName name="IQ_REVOLVING_SECURED_1_4_DUE_30_89_FFIEC" hidden="1">"c13260"</definedName>
    <definedName name="IQ_REVOLVING_SECURED_1_4_DUE_90_FFIEC" hidden="1">"c13288"</definedName>
    <definedName name="IQ_REVOLVING_SECURED_1_4_NON_ACCRUAL_FFIEC" hidden="1">"c13314"</definedName>
    <definedName name="IQ_REVOLVING_SECURED_1_–4_NON_ACCRUAL_FFIEC" hidden="1">"c13314"</definedName>
    <definedName name="IQ_RISK_ADJ_BANK_ASSETS" hidden="1">"c2670"</definedName>
    <definedName name="IQ_RISK_WEIGHTED_ASSETS_FDIC" hidden="1">"c6370"</definedName>
    <definedName name="IQ_ROYALTY_REVENUE_COAL" hidden="1">"c15932"</definedName>
    <definedName name="IQ_RSI" hidden="1">"c12704"</definedName>
    <definedName name="IQ_RSI_ADJ" hidden="1">"c12705"</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IES_EMPLOYEE_BENEFITS_FFIEC" hidden="1">"c13023"</definedName>
    <definedName name="IQ_SALARY" hidden="1">"c1130"</definedName>
    <definedName name="IQ_SALARY_FDIC" hidden="1">"c6576"</definedName>
    <definedName name="IQ_SALE_COMMON_GROSS_FFIEC" hidden="1">"c12963"</definedName>
    <definedName name="IQ_SALE_CONVERSION_ACQUISITION_NET_COMMON_FFIEC" hidden="1">"c15351"</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PREF_FFIEC" hidden="1">"c12961"</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_TREASURY_FFIEC" hidden="1">"c12965"</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DEPOSITS_NON_TRANS_ACCTS_FFIEC" hidden="1">"c15329"</definedName>
    <definedName name="IQ_SAVINGS_DEPOSITS_QUARTERLY_AVG_FFIEC" hidden="1">"c15485"</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BC_EXPENSE_FFIEC" hidden="1">"c13077"</definedName>
    <definedName name="IQ_SEC_1_4_CONSTRUCTION_DOM_CHARGE_OFFS_FFIEC" hidden="1">"c13165"</definedName>
    <definedName name="IQ_SEC_1_4_CONSTRUCTION_DOM_RECOV_FFIEC" hidden="1">"c13187"</definedName>
    <definedName name="IQ_SEC_BORROWED_OFF_BS_FFIEC" hidden="1">"c13127"</definedName>
    <definedName name="IQ_SEC_FARMLAND_DOM_CHARGE_OFFS_FFIEC" hidden="1">"c13167"</definedName>
    <definedName name="IQ_SEC_FARMLAND_DOM_RECOV_FFIEC" hidden="1">"c13189"</definedName>
    <definedName name="IQ_SEC_FUNDS_PURCHASED_ASSETS_TOT_FFIEC" hidden="1">"c13447"</definedName>
    <definedName name="IQ_SEC_ISSUED_US_AVAIL_SALE_FFIEC" hidden="1">"c12795"</definedName>
    <definedName name="IQ_SEC_ISSUED_US_TRADING_DOM_FFIEC" hidden="1">"c12920"</definedName>
    <definedName name="IQ_SEC_ISSUED_US_TRADING_FFIEC" hidden="1">"c12815"</definedName>
    <definedName name="IQ_SEC_MULTIFAM_DOM_CHARGE_OFFS_FFIEC" hidden="1">"c13171"</definedName>
    <definedName name="IQ_SEC_MULTIFAM_DOM_DUE_30_89_FFIEC" hidden="1">"c13263"</definedName>
    <definedName name="IQ_SEC_MULTIFAM_DOM_DUE_90_FFIEC" hidden="1">"c13291"</definedName>
    <definedName name="IQ_SEC_MULTIFAM_DOM_NON_ACCRUAL_FFIEC" hidden="1">"c13317"</definedName>
    <definedName name="IQ_SEC_MULTIFAM_DOM_RECOV_FFIEC" hidden="1">"c13193"</definedName>
    <definedName name="IQ_SEC_NONFARM_NONRES_CHARGE_OFFS_FFIEC" hidden="1">"c13629"</definedName>
    <definedName name="IQ_SEC_NONFARM_NONRES_DOM_OFFICES_DUE_30_89_FFIEC" hidden="1">"c13264"</definedName>
    <definedName name="IQ_SEC_NONFARM_NONRES_DOM_OFFICES_DUE_90_FFIEC" hidden="1">"c13292"</definedName>
    <definedName name="IQ_SEC_NONFARM_NONRES_DOM_OFFICES_NON_ACCRUAL_FFIEC" hidden="1">"c13318"</definedName>
    <definedName name="IQ_SEC_NONFARM_NONRES_RECOV_FFIEC" hidden="1">"c13633"</definedName>
    <definedName name="IQ_SEC_OTHER_CONSTRUCTION_DOM_CHARGE_OFFS_FFIEC" hidden="1">"c13166"</definedName>
    <definedName name="IQ_SEC_OTHER_CONSTRUCTION_DOM_RECOV_FFIEC" hidden="1">"c13188"</definedName>
    <definedName name="IQ_SEC_OTHER_NONFARM_NONRES_CHARGE_OFFS_FFIEC" hidden="1">"c13173"</definedName>
    <definedName name="IQ_SEC_OTHER_NONFARM_NONRES_DUE_30_89_FFIEC" hidden="1">"c13266"</definedName>
    <definedName name="IQ_SEC_OTHER_NONFARM_NONRES_DUE_90_FFIEC" hidden="1">"c13637"</definedName>
    <definedName name="IQ_SEC_OTHER_NONFARM_NONRES_NON_ACCRUAL_FFIEC" hidden="1">"c15462"</definedName>
    <definedName name="IQ_SEC_OTHER_NONFARM_NONRES_RECOV_FFIEC" hidden="1">"c13195"</definedName>
    <definedName name="IQ_SEC_OWNER_NONFARM_NONRES_CHARGE_OFFS_FFIEC" hidden="1">"c13172"</definedName>
    <definedName name="IQ_SEC_OWNER_NONFARM_NONRES_DUE_30_89_FFIEC" hidden="1">"c13265"</definedName>
    <definedName name="IQ_SEC_OWNER_NONFARM_NONRES_DUE_90_FFIEC" hidden="1">"c13636"</definedName>
    <definedName name="IQ_SEC_OWNER_NONFARM_NONRES_NON_ACCRUAL_FFIEC" hidden="1">"c15461"</definedName>
    <definedName name="IQ_SEC_OWNER_NONFARM_NONRES_RECOV_FFIEC" hidden="1">"c13194"</definedName>
    <definedName name="IQ_SEC_PURCHASED_RESELL" hidden="1">"c5513"</definedName>
    <definedName name="IQ_SEC_PURCHASED_RESELL_FFIEC" hidden="1">"c12807"</definedName>
    <definedName name="IQ_SEC_RE_FOREIGN_DUE_30_89_FFIEC" hidden="1">"c13267"</definedName>
    <definedName name="IQ_SEC_RE_FOREIGN_DUE_90_FFIEC" hidden="1">"c13293"</definedName>
    <definedName name="IQ_SEC_RE_FOREIGN_NON_ACCRUAL_FFIEC" hidden="1">"c13319"</definedName>
    <definedName name="IQ_SEC_SOLD_REPURCHASE_FFIEC" hidden="1">"c12857"</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DOM_DUE_30_89_FFIEC" hidden="1">"c13259"</definedName>
    <definedName name="IQ_SECURED_FARMLAND_DOM_DUE_90_FFIEC" hidden="1">"c13287"</definedName>
    <definedName name="IQ_SECURED_FARMLAND_DOM_NON_ACCRUAL_FFIEC" hidden="1">"c13313"</definedName>
    <definedName name="IQ_SECURED_FARMLAND_LL_REC_DOM_FFIEC" hidden="1">"c12901"</definedName>
    <definedName name="IQ_SECURED_FARMLAND_NET_CHARGE_OFFS_FDIC" hidden="1">"c6631"</definedName>
    <definedName name="IQ_SECURED_FARMLAND_RECOVERIES_FDIC" hidden="1">"c6612"</definedName>
    <definedName name="IQ_SECURED_MULTI_RES_LL_REC_DOM_FFIEC" hidden="1">"c12905"</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HELD_MATURITY_FFIEC" hidden="1">"c12777"</definedName>
    <definedName name="IQ_SECURITIES_ISSUED_STATES_FDIC" hidden="1">"c6300"</definedName>
    <definedName name="IQ_SECURITIES_ISSUED_US_FFIEC" hidden="1">"c12781"</definedName>
    <definedName name="IQ_SECURITIES_LENT_FDIC" hidden="1">"c6532"</definedName>
    <definedName name="IQ_SECURITIES_LENT_FFIEC" hidden="1">"c13255"</definedName>
    <definedName name="IQ_SECURITIES_QUARTERLY_AVG_FFIEC" hidden="1">"c13079"</definedName>
    <definedName name="IQ_SECURITIES_STATE_POLI_SUBD_QUARTERLY_AVG_FFIEC" hidden="1">"c15470"</definedName>
    <definedName name="IQ_SECURITIES_UNDERWRITING_FDIC" hidden="1">"c6529"</definedName>
    <definedName name="IQ_SECURITIES_UNDERWRITING_UNUSED_FFIEC" hidden="1">"c13247"</definedName>
    <definedName name="IQ_SECURITIZATION_INC_OPERATING_INC_FFIEC" hidden="1">"c13390"</definedName>
    <definedName name="IQ_SECURITIZATION_INCOME_FFIEC" hidden="1">"c13012"</definedName>
    <definedName name="IQ_SECURITY_ACTIVE_STATUS" hidden="1">"c15160"</definedName>
    <definedName name="IQ_SECURITY_BORROW" hidden="1">"c1152"</definedName>
    <definedName name="IQ_SECURITY_LEVEL" hidden="1">"c2159"</definedName>
    <definedName name="IQ_SECURITY_NAME" hidden="1">"c15159"</definedName>
    <definedName name="IQ_SECURITY_NOTES" hidden="1">"c2202"</definedName>
    <definedName name="IQ_SECURITY_OWN" hidden="1">"c1153"</definedName>
    <definedName name="IQ_SECURITY_RESELL" hidden="1">"c1154"</definedName>
    <definedName name="IQ_SECURITY_TYPE" hidden="1">"c2158"</definedName>
    <definedName name="IQ_SELECTED_FOREIGN_ASSETS_FFIEC" hidden="1">"c13485"</definedName>
    <definedName name="IQ_SEMI_BACKLOG" hidden="1">"c10005"</definedName>
    <definedName name="IQ_SEMI_BACKLOG_AVG_PRICE" hidden="1">"c10006"</definedName>
    <definedName name="IQ_SEMI_BACKLOG_UNITS" hidden="1">"c10005"</definedName>
    <definedName name="IQ_SEMI_BACKLOG_VALUE" hidden="1">"c10007"</definedName>
    <definedName name="IQ_SEMI_BOOK_TO_BILL_RATIO" hidden="1">"c10008"</definedName>
    <definedName name="IQ_SEMI_BOOKINGS_AVG_PRICE" hidden="1">"c10002"</definedName>
    <definedName name="IQ_SEMI_BOOKINGS_UNITS" hidden="1">"c10001"</definedName>
    <definedName name="IQ_SEMI_BOOKINGS_VALUE" hidden="1">"c10003"</definedName>
    <definedName name="IQ_SEMI_BOOKINGS_VALUE_CHANGE" hidden="1">"c10004"</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_ACCOUNT_ASSETS_LH_FFIEC" hidden="1">"c13105"</definedName>
    <definedName name="IQ_SEPARATE_ACCOUNT_LIAB_LH_FFIEC" hidden="1">"c13108"</definedName>
    <definedName name="IQ_SEPARATE_ACCT_ASSETS" hidden="1">"c1155"</definedName>
    <definedName name="IQ_SEPARATE_ACCT_LIAB" hidden="1">"c1156"</definedName>
    <definedName name="IQ_SERV_CHARGE_DEPOSITS" hidden="1">"c1157"</definedName>
    <definedName name="IQ_SERVICE_CHARGES_DEPOSIT_ACCOUNTS_DOM_FFIEC" hidden="1">"c13003"</definedName>
    <definedName name="IQ_SERVICE_CHARGES_FDIC" hidden="1">"c6572"</definedName>
    <definedName name="IQ_SERVICE_CHARGES_OPERATING_INC_FFIEC" hidden="1">"c13384"</definedName>
    <definedName name="IQ_SERVICE_FEE" hidden="1">"c8951"</definedName>
    <definedName name="IQ_SERVICING_FEES_FFIEC" hidden="1">"c13011"</definedName>
    <definedName name="IQ_SERVICING_FEES_OPERATING_INC_FFIEC" hidden="1">"c13389"</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ER_DR" hidden="1">"c204"</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INTEREST_VOLUME" hidden="1">"c228"</definedName>
    <definedName name="IQ_SHORT_POSITIONS_FFIEC" hidden="1">"c12859"</definedName>
    <definedName name="IQ_SHORT_TERM_INVEST" hidden="1">"c1425"</definedName>
    <definedName name="IQ_SMALL_INT_BEAR_CD" hidden="1">"c11748"</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C_ACTION" hidden="1">"c2644"</definedName>
    <definedName name="IQ_SP_ISSUE_LC_DATE" hidden="1">"c2643"</definedName>
    <definedName name="IQ_SP_ISSUE_LC_LT" hidden="1">"c2645"</definedName>
    <definedName name="IQ_SP_ISSUE_LT" hidden="1">"c2645"</definedName>
    <definedName name="IQ_SP_ISSUE_NSR_ACTION_LT" hidden="1">"c13616"</definedName>
    <definedName name="IQ_SP_ISSUE_NSR_ACTION_ST" hidden="1">"c13622"</definedName>
    <definedName name="IQ_SP_ISSUE_NSR_DATE_LT" hidden="1">"c13615"</definedName>
    <definedName name="IQ_SP_ISSUE_NSR_DATE_ST" hidden="1">"c13621"</definedName>
    <definedName name="IQ_SP_ISSUE_NSR_LT" hidden="1">"c13614"</definedName>
    <definedName name="IQ_SP_ISSUE_NSR_ST" hidden="1">"c13620"</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NSR_ACTION_LT" hidden="1">"c13613"</definedName>
    <definedName name="IQ_SP_NSR_ACTION_ST" hidden="1">"c13619"</definedName>
    <definedName name="IQ_SP_NSR_DATE_LT" hidden="1">"c13612"</definedName>
    <definedName name="IQ_SP_NSR_DATE_ST" hidden="1">"c13618"</definedName>
    <definedName name="IQ_SP_NSR_LT" hidden="1">"c13611"</definedName>
    <definedName name="IQ_SP_NSR_ST" hidden="1">"c13617"</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PECIFIC_ALLOWANCE" hidden="1">"c15247"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 hidden="1">"c13438"</definedName>
    <definedName name="IQ_ST_INVEST_ST_NONCORE_FUNDING_FFIEC" hidden="1">"c13338"</definedName>
    <definedName name="IQ_ST_INVEST_UTI" hidden="1">"c1198"</definedName>
    <definedName name="IQ_ST_NOTE_RECEIV" hidden="1">"c1199"</definedName>
    <definedName name="IQ_STANDBY_LOC_FHLB_BANK_BEHALF_OFF_BS_FFIEC" hidden="1">"c15412"</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POLI_SUBD_US_NON_TRANS_ACCTS_FFIEC" hidden="1">"c15324"</definedName>
    <definedName name="IQ_STATES_POLI_SUBD_US_TRANS_ACCTS_FFIEC" hidden="1">"c15316"</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GS_FIN" hidden="1">"c2998"</definedName>
    <definedName name="IQ_STOCK_BASED_COGS_UTIL" hidden="1">"c2997"</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EST_CIQ" hidden="1">"c5073"</definedName>
    <definedName name="IQ_STOCK_BASED_EXPLORE_DRILL" hidden="1">"c13851"</definedName>
    <definedName name="IQ_STOCK_BASED_GA" hidden="1">"c2993"</definedName>
    <definedName name="IQ_STOCK_BASED_HIGH_EST" hidden="1">"c4521"</definedName>
    <definedName name="IQ_STOCK_BASED_HIGH_EST_CIQ" hidden="1">"c5074"</definedName>
    <definedName name="IQ_STOCK_BASED_LOW_EST" hidden="1">"c4522"</definedName>
    <definedName name="IQ_STOCK_BASED_LOW_EST_CIQ" hidden="1">"c5075"</definedName>
    <definedName name="IQ_STOCK_BASED_MEDIAN_EST" hidden="1">"c4523"</definedName>
    <definedName name="IQ_STOCK_BASED_MEDIAN_EST_CIQ" hidden="1">"c5076"</definedName>
    <definedName name="IQ_STOCK_BASED_NUM_EST" hidden="1">"c4524"</definedName>
    <definedName name="IQ_STOCK_BASED_NUM_EST_CIQ" hidden="1">"c5077"</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STDDEV_EST_CIQ" hidden="1">"c5078"</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RIPS_RECEIVABLE_MORTGAGE_LOANS_FFIEC" hidden="1">"c12844"</definedName>
    <definedName name="IQ_STRIPS_RECEIVABLE_OTHER_FFIEC" hidden="1">"c12845"</definedName>
    <definedName name="IQ_STRUCT_FIN_CLASS" hidden="1">"c8950"</definedName>
    <definedName name="IQ_STRUCT_FIN_SERIES" hidden="1">"c8956"</definedName>
    <definedName name="IQ_STRUCTURED_NOTES_INVEST_SECURITIES_FFIEC" hidden="1">"c13468"</definedName>
    <definedName name="IQ_STRUCTURING_NOTES_TIER_1_FFIEC" hidden="1">"c13344"</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AIR_VALUE_TOT_FFIEC" hidden="1">"c15410"</definedName>
    <definedName name="IQ_SUB_NOTES_DEBENTURES_FFIEC" hidden="1">"c12867"</definedName>
    <definedName name="IQ_SUB_NOTES_DEBENTURES_LEVEL_1_FFIEC" hidden="1">"c15432"</definedName>
    <definedName name="IQ_SUB_NOTES_DEBENTURES_LEVEL_2_FFIEC" hidden="1">"c15445"</definedName>
    <definedName name="IQ_SUB_NOTES_DEBENTURES_LEVEL_3_FFIEC" hidden="1">"c15458"</definedName>
    <definedName name="IQ_SUB_NOTES_PAYABLE_UNCONSOLIDATED_TRUSTS_FFIEC" hidden="1">"c12868"</definedName>
    <definedName name="IQ_SUPPLIES_FFIEC" hidden="1">"c13050"</definedName>
    <definedName name="IQ_SURPLUS_FDIC" hidden="1">"c6351"</definedName>
    <definedName name="IQ_SURPLUS_FFIEC" hidden="1">"c12877"</definedName>
    <definedName name="IQ_SVA" hidden="1">"c1214"</definedName>
    <definedName name="IQ_SYNTHETIC_STRUCTURED_PRODUCTS_AVAIL_SALE_FFIEC" hidden="1">"c15264"</definedName>
    <definedName name="IQ_SYNTHETIC_STRUCTURED_PRODUCTS_FFIEC" hidden="1">"c15261"</definedName>
    <definedName name="IQ_TANGIBLE_ASSETS_FFIEC" hidden="1">"c13916"</definedName>
    <definedName name="IQ_TANGIBLE_COMMON_EQUITY_FFIEC" hidden="1">"c13914"</definedName>
    <definedName name="IQ_TANGIBLE_EQUITY_ASSETS_FFIEC" hidden="1">"c13346"</definedName>
    <definedName name="IQ_TANGIBLE_EQUITY_FFIEC" hidden="1">"c13915"</definedName>
    <definedName name="IQ_TANGIBLE_TIER_1_LEVERAGE_FFIEC" hidden="1">"c13345"</definedName>
    <definedName name="IQ_TARGET_PRICE_LASTCLOSE" hidden="1">"c1855"</definedName>
    <definedName name="IQ_TARGET_PRICE_NUM" hidden="1">"c1653"</definedName>
    <definedName name="IQ_TARGET_PRICE_NUM_CIQ" hidden="1">"c4661"</definedName>
    <definedName name="IQ_TARGET_PRICE_NUM_REUT" hidden="1">"c5319"</definedName>
    <definedName name="IQ_TARGET_PRICE_NUM_THOM" hidden="1">"c5098"</definedName>
    <definedName name="IQ_TARGET_PRICE_STDDEV" hidden="1">"c1654"</definedName>
    <definedName name="IQ_TARGET_PRICE_STDDEV_CIQ" hidden="1">"c4662"</definedName>
    <definedName name="IQ_TARGET_PRICE_STDDEV_REUT" hidden="1">"c5320"</definedName>
    <definedName name="IQ_TARGET_PRICE_STDDEV_THOM" hidden="1">"c5099"</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EQUIVALENT_ADJUSTMENTS_FFIEC" hidden="1">"c13854"</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AXES_ADJ_NOI_FFIEC" hidden="1">"c13395"</definedName>
    <definedName name="IQ_TAXES_NOI_FFIEC" hidden="1">"c13394"</definedName>
    <definedName name="IQ_TAXES_TE_AVG_ASSETS_FFIEC" hidden="1">"c13366"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 hidden="1">"c13516"</definedName>
    <definedName name="IQ_TBV_SHARE" hidden="1">"c1217"</definedName>
    <definedName name="IQ_TELECOM_FFIEC" hidden="1">"c13057"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CIQ" hidden="1">"c4047"</definedName>
    <definedName name="IQ_TEV_EBIT_FWD_REUT" hidden="1">"c4054"</definedName>
    <definedName name="IQ_TEV_EBIT_FWD_THOM" hidden="1">"c4061"</definedName>
    <definedName name="IQ_TEV_EBITDA" hidden="1">"c1222"</definedName>
    <definedName name="IQ_TEV_EBITDA_AVG" hidden="1">"c1223"</definedName>
    <definedName name="IQ_TEV_EBITDA_FWD" hidden="1">"c1224"</definedName>
    <definedName name="IQ_TEV_EBITDA_FWD_CIQ" hidden="1">"c4043"</definedName>
    <definedName name="IQ_TEV_EBITDA_FWD_REUT" hidden="1">"c4050"</definedName>
    <definedName name="IQ_TEV_EBITDA_FWD_THOM" hidden="1">"c4057"</definedName>
    <definedName name="IQ_TEV_EMPLOYEE_AVG" hidden="1">"c1225"</definedName>
    <definedName name="IQ_TEV_EST" hidden="1">"c4526"</definedName>
    <definedName name="IQ_TEV_EST_CIQ" hidden="1">"c5079"</definedName>
    <definedName name="IQ_TEV_EST_THOM" hidden="1">"c5529"</definedName>
    <definedName name="IQ_TEV_HIGH_EST" hidden="1">"c4527"</definedName>
    <definedName name="IQ_TEV_HIGH_EST_CIQ" hidden="1">"c5080"</definedName>
    <definedName name="IQ_TEV_HIGH_EST_THOM" hidden="1">"c5530"</definedName>
    <definedName name="IQ_TEV_LOW_EST" hidden="1">"c4528"</definedName>
    <definedName name="IQ_TEV_LOW_EST_CIQ" hidden="1">"c5081"</definedName>
    <definedName name="IQ_TEV_LOW_EST_THOM" hidden="1">"c5531"</definedName>
    <definedName name="IQ_TEV_MEDIAN_EST" hidden="1">"c4529"</definedName>
    <definedName name="IQ_TEV_MEDIAN_EST_CIQ" hidden="1">"c5082"</definedName>
    <definedName name="IQ_TEV_MEDIAN_EST_THOM" hidden="1">"c5532"</definedName>
    <definedName name="IQ_TEV_NUM_EST" hidden="1">"c4530"</definedName>
    <definedName name="IQ_TEV_NUM_EST_CIQ" hidden="1">"c5083"</definedName>
    <definedName name="IQ_TEV_NUM_EST_THOM" hidden="1">"c5533"</definedName>
    <definedName name="IQ_TEV_STDDEV_EST" hidden="1">"c4531"</definedName>
    <definedName name="IQ_TEV_STDDEV_EST_CIQ" hidden="1">"c5084"</definedName>
    <definedName name="IQ_TEV_STDDEV_EST_THOM" hidden="1">"c5534"</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TOTAL_REV_FWD_THOM" hidden="1">"c4058"</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CAPITAL_BEFORE_CHARGES_T1_FFIEC" hidden="1">"c13139"</definedName>
    <definedName name="IQ_TIER_1_CAPITAL_FFIEC" hidden="1">"c13143"</definedName>
    <definedName name="IQ_TIER_1_LEVERAGE_RATIO_FFIEC" hidden="1">"c13160"</definedName>
    <definedName name="IQ_TIER_1_RISK_BASED_CAPITAL_RATIO_FDIC" hidden="1">"c6746"</definedName>
    <definedName name="IQ_TIER_1_RISK_BASED_CAPITAL_RATIO_FFIEC" hidden="1">"c13161"</definedName>
    <definedName name="IQ_TIER_2_CAPITAL_FFIEC" hidden="1">"c13149"</definedName>
    <definedName name="IQ_TIER_3_CAPITAL_ALLOCATED_MARKET_RISK_FFIEC" hidden="1">"c13151"</definedName>
    <definedName name="IQ_TIER_ONE_CAPITAL" hidden="1">"c2667"</definedName>
    <definedName name="IQ_TIER_ONE_FDIC" hidden="1">"c6369"</definedName>
    <definedName name="IQ_TIER_ONE_RATIO" hidden="1">"c1229"</definedName>
    <definedName name="IQ_TIER_TWO_CAPITAL" hidden="1">"c2669"</definedName>
    <definedName name="IQ_TIER_TWO_CAPITAL_RATIO" hidden="1">"c15241"</definedName>
    <definedName name="IQ_TIME_DEP" hidden="1">"c1230"</definedName>
    <definedName name="IQ_TIME_DEPOSIT_LESS_100000_QUARTERLY_AVG_FFIEC" hidden="1">"c15487"</definedName>
    <definedName name="IQ_TIME_DEPOSIT_MORE_100000_QUARTERLY_AVG_FFIEC" hidden="1">"c15486"</definedName>
    <definedName name="IQ_TIME_DEPOSITS_LESS_100K_OTHER_INSTITUTIONS_FFIEC" hidden="1">"c12953"</definedName>
    <definedName name="IQ_TIME_DEPOSITS_LESS_100K_TOT_DEPOSITS_FFIEC" hidden="1">"c13907"</definedName>
    <definedName name="IQ_TIME_DEPOSITS_LESS_THAN_100K_FDIC" hidden="1">"c6465"</definedName>
    <definedName name="IQ_TIME_DEPOSITS_MORE_100K_OTHER_INSTITUTIONS_FFIEC" hidden="1">"c12954"</definedName>
    <definedName name="IQ_TIME_DEPOSITS_MORE_100K_TOT_DEPOSITS_FFIEC" hidden="1">"c13906"</definedName>
    <definedName name="IQ_TIME_DEPOSITS_MORE_THAN_100K_FDIC" hidden="1">"c6470"</definedName>
    <definedName name="IQ_TODAY" hidden="1">0</definedName>
    <definedName name="IQ_TOT_1_4_FAM_LOANS_TOT_LOANS_FFIEC" hidden="1">"c13868"</definedName>
    <definedName name="IQ_TOT_ADJ_INC" hidden="1">"c1616"</definedName>
    <definedName name="IQ_TOT_LEASES_TOT_LOANS_FFIEC" hidden="1">"c13876"</definedName>
    <definedName name="IQ_TOT_NON_RE_LOANS_TOT_LOANS_FFIEC" hidden="1">"c13877"</definedName>
    <definedName name="IQ_TOT_NONTRANS_ACCTS_TOT_DEPOSITS_FFIEC" hidden="1">"c13909"</definedName>
    <definedName name="IQ_TOT_RE_LOANS_TOT_LOANS_FFIEC" hidden="1">"c13873"</definedName>
    <definedName name="IQ_TOT_TIME_DEPOSITS_TOT_DEPOSITS_FFIEC" hidden="1">"c13908"</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BNK_SUBTOTAL_AP" hidden="1">"c13644"</definedName>
    <definedName name="IQ_TOTAL_ASSETS_FAIR_VALUE_TOT_FFIEC" hidden="1">"c15405"</definedName>
    <definedName name="IQ_TOTAL_ASSETS_FDIC" hidden="1">"c6339"</definedName>
    <definedName name="IQ_TOTAL_ASSETS_FFIEC" hidden="1">"c12849"</definedName>
    <definedName name="IQ_TOTAL_ASSETS_LEVEL_1_FFIEC" hidden="1">"c15427"</definedName>
    <definedName name="IQ_TOTAL_ASSETS_LEVEL_2_FFIEC" hidden="1">"c15440"</definedName>
    <definedName name="IQ_TOTAL_ASSETS_LEVEL_3_FFIEC" hidden="1">"c15453"</definedName>
    <definedName name="IQ_TOTAL_ASSETS_LH_FFIEC" hidden="1">"c13106"</definedName>
    <definedName name="IQ_TOTAL_ASSETS_PC_FFIEC" hidden="1">"c13099"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BROKERED_DEPOSIT_FFIEC" hidden="1">"c15304"</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DUE_DEPOSITORY_INSTIT_DOM_FFIEC" hidden="1">"c15291"</definedName>
    <definedName name="IQ_TOTAL_CASH_DUE_DEPOSITORY_INSTIT_FFIEC" hidden="1">"c15285"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OMMON_EQUITY_FFIEC" hidden="1">"c13913"</definedName>
    <definedName name="IQ_TOTAL_COMMON_EQUITY_TOTAL_ASSETS_FFIEC" hidden="1">"c13864"</definedName>
    <definedName name="IQ_TOTAL_COMMON_SHARES_OUT_FFIEC" hidden="1">"c12955"</definedName>
    <definedName name="IQ_TOTAL_CONSTRUCTION_LL_REC_DOM_FFIEC" hidden="1">"c13515"</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DUE" hidden="1">"c2509"</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ST_CIQ" hidden="1">"c5085"</definedName>
    <definedName name="IQ_TOTAL_DEBT_EXCL_FIN" hidden="1">"c2937"</definedName>
    <definedName name="IQ_TOTAL_DEBT_GUIDANCE" hidden="1">"c4533"</definedName>
    <definedName name="IQ_TOTAL_DEBT_GUIDANCE_CIQ" hidden="1">"c5086"</definedName>
    <definedName name="IQ_TOTAL_DEBT_HIGH_EST" hidden="1">"c4534"</definedName>
    <definedName name="IQ_TOTAL_DEBT_HIGH_EST_CIQ" hidden="1">"c5087"</definedName>
    <definedName name="IQ_TOTAL_DEBT_HIGH_GUIDANCE" hidden="1">"c4196"</definedName>
    <definedName name="IQ_TOTAL_DEBT_HIGH_GUIDANCE_CIQ" hidden="1">"c4608"</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EST_CIQ" hidden="1">"c5088"</definedName>
    <definedName name="IQ_TOTAL_DEBT_LOW_GUIDANCE" hidden="1">"c4236"</definedName>
    <definedName name="IQ_TOTAL_DEBT_LOW_GUIDANCE_CIQ" hidden="1">"c4648"</definedName>
    <definedName name="IQ_TOTAL_DEBT_MEDIAN_EST" hidden="1">"c4536"</definedName>
    <definedName name="IQ_TOTAL_DEBT_MEDIAN_EST_CIQ" hidden="1">"c5089"</definedName>
    <definedName name="IQ_TOTAL_DEBT_NON_CURRENT" hidden="1">"c6191"</definedName>
    <definedName name="IQ_TOTAL_DEBT_NUM_EST" hidden="1">"c4537"</definedName>
    <definedName name="IQ_TOTAL_DEBT_NUM_EST_CIQ" hidden="1">"c5090"</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 hidden="1">"c4538"</definedName>
    <definedName name="IQ_TOTAL_DEBT_STDDEV_EST_CIQ" hidden="1">"c5091"</definedName>
    <definedName name="IQ_TOTAL_DEPOSITS" hidden="1">"c1265"</definedName>
    <definedName name="IQ_TOTAL_DEPOSITS_DOM_FFIEC" hidden="1">"c15313"</definedName>
    <definedName name="IQ_TOTAL_DEPOSITS_FDIC" hidden="1">"c6342"</definedName>
    <definedName name="IQ_TOTAL_DEPOSITS_FFIEC" hidden="1">"c13623"</definedName>
    <definedName name="IQ_TOTAL_DEPOSITS_SUPPLE" hidden="1">"c15253"</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T1_FFIEC" hidden="1">"c13130"</definedName>
    <definedName name="IQ_TOTAL_EQUITY_FFIEC" hidden="1">"c12881"</definedName>
    <definedName name="IQ_TOTAL_EQUITY_INCL_MINORITY_INTEREST_FFIEC" hidden="1">"c15278"</definedName>
    <definedName name="IQ_TOTAL_EQUITY_LH_FFIEC" hidden="1">"c13109"</definedName>
    <definedName name="IQ_TOTAL_EQUITY_PC_FFIEC" hidden="1">"c13102"</definedName>
    <definedName name="IQ_TOTAL_EQUITY_SUBTOTAL_AP" hidden="1">"c8989"</definedName>
    <definedName name="IQ_TOTAL_EQUITY_TOTAL_ASSETS_FFIEC" hidden="1">"c13863"</definedName>
    <definedName name="IQ_TOTAL_FOREIGN_DEPOSITS_FFIEC" hidden="1">"c15348"</definedName>
    <definedName name="IQ_TOTAL_FOREIGN_LOANS_QUARTERLY_AVG_FFIEC" hidden="1">"c15482"</definedName>
    <definedName name="IQ_TOTAL_IBF_ASSETS_CONSOL_BANK_FFIEC" hidden="1">"c15299"</definedName>
    <definedName name="IQ_TOTAL_IBF_LIABILITIES_FFIEC" hidden="1">"c15302"</definedName>
    <definedName name="IQ_TOTAL_IBF_LL_REC_FFIEC" hidden="1">"c15297"</definedName>
    <definedName name="IQ_TOTAL_INT_EXPENSE_FFIEC" hidden="1">"c13000"</definedName>
    <definedName name="IQ_TOTAL_INT_INCOME_FFIEC" hidden="1">"c12989"</definedName>
    <definedName name="IQ_TOTAL_INTEREST_EXP" hidden="1">"c1382"</definedName>
    <definedName name="IQ_TOTAL_INTEREST_EXP_FOREIGN_FFIEC" hidden="1">"c15374"</definedName>
    <definedName name="IQ_TOTAL_INTEREST_INC_FOREIGN_FFIEC" hidden="1">"c15373"</definedName>
    <definedName name="IQ_TOTAL_INVENTORY" hidden="1">"c1385"</definedName>
    <definedName name="IQ_TOTAL_INVEST" hidden="1">"c1275"</definedName>
    <definedName name="IQ_TOTAL_IRA_KEOGH_PLAN_ACCOUNTS_FFIEC" hidden="1">"c15303"</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EQUITY_FFIEC" hidden="1">"c12882"</definedName>
    <definedName name="IQ_TOTAL_LIABILITIES_FAIR_VALUE_TOT_FFIEC" hidden="1">"c15411"</definedName>
    <definedName name="IQ_TOTAL_LIABILITIES_FDIC" hidden="1">"c6348"</definedName>
    <definedName name="IQ_TOTAL_LIABILITIES_FFIEC" hidden="1">"c12873"</definedName>
    <definedName name="IQ_TOTAL_LIABILITIES_LEVEL_1_FFIEC" hidden="1">"c15433"</definedName>
    <definedName name="IQ_TOTAL_LIABILITIES_LEVEL_2_FFIEC" hidden="1">"c15446"</definedName>
    <definedName name="IQ_TOTAL_LIABILITIES_LEVEL_3_FFIEC" hidden="1">"c15459"</definedName>
    <definedName name="IQ_TOTAL_LL_REC_DOM_FFIEC" hidden="1">"c12917"</definedName>
    <definedName name="IQ_TOTAL_LL_REC_FFIEC" hidden="1">"c12898"</definedName>
    <definedName name="IQ_TOTAL_LOANS" hidden="1">"c5653"</definedName>
    <definedName name="IQ_TOTAL_LOANS_DOM_QUARTERLY_AVG_FFIEC" hidden="1">"c15475"</definedName>
    <definedName name="IQ_TOTAL_LOANS_LEASES_AND_OTHER_DUE_30_89_FFIEC" hidden="1">"c15416"</definedName>
    <definedName name="IQ_TOTAL_LOANS_LEASES_AND_OTHER_DUE_90_FFIEC" hidden="1">"c15420"</definedName>
    <definedName name="IQ_TOTAL_LOANS_LEASES_AND_OTHER_NON_ACCRUAL_FFIEC" hidden="1">"c15466"</definedName>
    <definedName name="IQ_TOTAL_LOANS_LEASES_CHARGE_OFFS_FFIEC" hidden="1">"c13186"</definedName>
    <definedName name="IQ_TOTAL_LOANS_LEASES_DUE_30_89_FFIEC" hidden="1">"c13280"</definedName>
    <definedName name="IQ_TOTAL_LOANS_LEASES_DUE_90_FFIEC" hidden="1">"c13306"</definedName>
    <definedName name="IQ_TOTAL_LOANS_LEASES_NON_ACCRUAL_FFIEC" hidden="1">"c13757"</definedName>
    <definedName name="IQ_TOTAL_LOANS_LEASES_RECOV_FFIEC" hidden="1">"c13208"</definedName>
    <definedName name="IQ_TOTAL_LONG_DEBT" hidden="1">"c1617"</definedName>
    <definedName name="IQ_TOTAL_NON_REC" hidden="1">"c1444"</definedName>
    <definedName name="IQ_TOTAL_NON_TRANS_ACCTS_FFIEC" hidden="1">"c15328"</definedName>
    <definedName name="IQ_TOTAL_NONINTEREST_EXPENSE_FOREIGN_FFIEC" hidden="1">"c15386"</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TURN_SWAPS_DERIVATIVES_BENEFICIARY_FFIEC" hidden="1">"c13120"</definedName>
    <definedName name="IQ_TOTAL_RETURN_SWAPS_DERIVATIVES_GUARANTOR_FFIEC" hidden="1">"c13113"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EVENUE_FFIEC" hidden="1">"c13020"</definedName>
    <definedName name="IQ_TOTAL_REVENUE_FOREIGN_FFIEC" hidden="1">"c15383"</definedName>
    <definedName name="IQ_TOTAL_RISK_BASED_CAPITAL_FFIEC" hidden="1">"c13153"</definedName>
    <definedName name="IQ_TOTAL_RISK_BASED_CAPITAL_RATIO_FDIC" hidden="1">"c6747"</definedName>
    <definedName name="IQ_TOTAL_RISK_BASED_CAPITAL_RATIO_FFIEC" hidden="1">"c13162"</definedName>
    <definedName name="IQ_TOTAL_RISK_WEIGHTED_ASSETS_FFIEC" hidden="1">"c13858"</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LESS_100000_1_TO_3_YEARS_FFIEC" hidden="1">"c15335"</definedName>
    <definedName name="IQ_TOTAL_TIME_LESS_100000_3_MONTHS_LESS_FFIEC" hidden="1">"c15333"</definedName>
    <definedName name="IQ_TOTAL_TIME_LESS_100000_3_TO_12_MONTHS_FFIEC" hidden="1">"c15334"</definedName>
    <definedName name="IQ_TOTAL_TIME_LESS_100000_FFIEC" hidden="1">"c15332"</definedName>
    <definedName name="IQ_TOTAL_TIME_LESS_100000_OVER_3_YEARS_FFIEC" hidden="1">"c15336"</definedName>
    <definedName name="IQ_TOTAL_TIME_MORE_100000_1_TO_3_YEARS_FFIEC" hidden="1">"c15340"</definedName>
    <definedName name="IQ_TOTAL_TIME_MORE_100000_3_MONTHS_LESS_FFIEC" hidden="1">"c15338"</definedName>
    <definedName name="IQ_TOTAL_TIME_MORE_100000_3_TO_12_MONTHS_FFIEC" hidden="1">"c15339"</definedName>
    <definedName name="IQ_TOTAL_TIME_MORE_100000_FFIEC" hidden="1">"c15337"</definedName>
    <definedName name="IQ_TOTAL_TIME_MORE_100000_OVER_3_YEARS_FFIEC" hidden="1">"c15341"</definedName>
    <definedName name="IQ_TOTAL_TIME_SAVINGS_DEPOSITS_FDIC" hidden="1">"c6498"</definedName>
    <definedName name="IQ_TOTAL_TRADING_ASSETS_FFIEC" hidden="1">"c12939"</definedName>
    <definedName name="IQ_TOTAL_TRADING_LIAB_DOM_FFIEC" hidden="1">"c12944"</definedName>
    <definedName name="IQ_TOTAL_TRADING_LIAB_FOREIGN_FFIEC" hidden="1">"c15296"</definedName>
    <definedName name="IQ_TOTAL_TRANS_ACCTS_FFIEC" hidden="1">"c15321"</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SUPPLE" hidden="1">"c13817"</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_TERM_FEE" hidden="1">"c13638"</definedName>
    <definedName name="IQ_TR_BUY_TERM_FEE_PCT" hidden="1">"c13639"</definedName>
    <definedName name="IQ_TR_BUYBACK_TO_CLOSE" hidden="1">"c13919"</definedName>
    <definedName name="IQ_TR_BUYBACK_TO_HIGH" hidden="1">"c13917"</definedName>
    <definedName name="IQ_TR_BUYBACK_TO_LOW" hidden="1">"c13918"</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GISTRATION_FEES" hidden="1">"c2274"</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_TERM_FEE" hidden="1">"c2298"</definedName>
    <definedName name="IQ_TR_SELL_TERM_FEE_PCT" hidden="1">"c2297"</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AIR_VALUE_TOT_FFIEC" hidden="1">"c13210"</definedName>
    <definedName name="IQ_TRADING_ASSETS_FDIC" hidden="1">"c6328"</definedName>
    <definedName name="IQ_TRADING_ASSETS_FFIEC" hidden="1">"c12812"</definedName>
    <definedName name="IQ_TRADING_ASSETS_FOREIGN_FFIEC" hidden="1">"c12940"</definedName>
    <definedName name="IQ_TRADING_ASSETS_LEVEL_1_FFIEC" hidden="1">"c13218"</definedName>
    <definedName name="IQ_TRADING_ASSETS_LEVEL_2_FFIEC" hidden="1">"c13226"</definedName>
    <definedName name="IQ_TRADING_ASSETS_LEVEL_3_FFIEC" hidden="1">"c13234"</definedName>
    <definedName name="IQ_TRADING_ASSETS_QUARTERLY_AVG_FFIEC" hidden="1">"c13085"</definedName>
    <definedName name="IQ_TRADING_CURRENCY" hidden="1">"c2212"</definedName>
    <definedName name="IQ_TRADING_ITEM_CIQID" hidden="1">"c8949"</definedName>
    <definedName name="IQ_TRADING_LIABILITIES_FAIR_VALUE_TOT_FFIEC" hidden="1">"c13214"</definedName>
    <definedName name="IQ_TRADING_LIABILITIES_FDIC" hidden="1">"c6344"</definedName>
    <definedName name="IQ_TRADING_LIABILITIES_FFIEC" hidden="1">"c12858"</definedName>
    <definedName name="IQ_TRADING_LIABILITIES_LEVEL_1_FFIEC" hidden="1">"c13222"</definedName>
    <definedName name="IQ_TRADING_LIABILITIES_LEVEL_2_FFIEC" hidden="1">"c13230"</definedName>
    <definedName name="IQ_TRADING_LIABILITIES_LEVEL_3_FFIEC" hidden="1">"c13238"</definedName>
    <definedName name="IQ_TRADING_REV_FOREIGN_FFIEC" hidden="1">"c15377"</definedName>
    <definedName name="IQ_TRADING_REV_OPERATING_INC_FFIEC" hidden="1">"c13385"</definedName>
    <definedName name="IQ_TRADING_REVENUE_FFIEC" hidden="1">"c13004"</definedName>
    <definedName name="IQ_TRANS_ACCTS_TOT_DEPOSITS_FFIEC" hidden="1">"c13904"</definedName>
    <definedName name="IQ_TRANSACTION_ACCOUNTS_FDIC" hidden="1">"c6544"</definedName>
    <definedName name="IQ_TRANSACTION_LIST" hidden="1">"c15126"</definedName>
    <definedName name="IQ_TRANSACTION_LIST_BANKRUPTCY" hidden="1">"c15131"</definedName>
    <definedName name="IQ_TRANSACTION_LIST_BUYBACK" hidden="1">"c15129"</definedName>
    <definedName name="IQ_TRANSACTION_LIST_INCL_SUBS" hidden="1">"c15132"</definedName>
    <definedName name="IQ_TRANSACTION_LIST_INCL_SUBS_BANKRUPTCY" hidden="1">"c15137"</definedName>
    <definedName name="IQ_TRANSACTION_LIST_INCL_SUBS_BUYBACK" hidden="1">"c15135"</definedName>
    <definedName name="IQ_TRANSACTION_LIST_INCL_SUBS_MA" hidden="1">"c15133"</definedName>
    <definedName name="IQ_TRANSACTION_LIST_INCL_SUBS_PO" hidden="1">"c15136"</definedName>
    <definedName name="IQ_TRANSACTION_LIST_INCL_SUBS_PP" hidden="1">"c15134"</definedName>
    <definedName name="IQ_TRANSACTION_LIST_MA" hidden="1">"c15127"</definedName>
    <definedName name="IQ_TRANSACTION_LIST_PO" hidden="1">"c15130"</definedName>
    <definedName name="IQ_TRANSACTION_LIST_PP" hidden="1">"c15128"</definedName>
    <definedName name="IQ_TREASURER_ID" hidden="1">"c15214"</definedName>
    <definedName name="IQ_TREASURER_NAME" hidden="1">"c15213"</definedName>
    <definedName name="IQ_TREASURY" hidden="1">"c1311"</definedName>
    <definedName name="IQ_TREASURY_INVEST_SECURITIES_FFIEC" hidden="1">"c13457"</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EASURY_STOCK_TRANSACTIONS_FFIEC" hidden="1">"c15352"</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ARNED_INCOME_LL_REC_DOM_FFIEC" hidden="1">"c12916"</definedName>
    <definedName name="IQ_UNEARNED_INCOME_LL_REC_FFIEC" hidden="1">"c12897"</definedName>
    <definedName name="IQ_UNEARNED_PREMIUMS_PC_FFIEC" hidden="1">"c13101"</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COMMITMENTS_COMMERCIAL_RE_UNUSED_FFIEC" hidden="1">"c13246"</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ADDRESS_LEASE_FIN_REC_FFIEC" hidden="1">"c13624"</definedName>
    <definedName name="IQ_US_AGENCY_OBLIG_FFIEC" hidden="1">"c12779"</definedName>
    <definedName name="IQ_US_AGENCY_OBLIG_TRADING_DOM_FFIEC" hidden="1">"c12919"</definedName>
    <definedName name="IQ_US_AGENCY_OBLIG_TRADING_FFIEC" hidden="1">"c12814"</definedName>
    <definedName name="IQ_US_AGENCY_OBLIGATIONS_AVAIL_SALE_FFIEC" hidden="1">"c12793"</definedName>
    <definedName name="IQ_US_BANKS_OTHER_INST_FOREIGN_DEP_FFIEC" hidden="1">"c15343"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NON_TRANS_ACCTS_FFIEC" hidden="1">"c15323"</definedName>
    <definedName name="IQ_US_GOVT_STATE_POLI_SUBD_IN_US_FOREIGN_DEP_FFIEC" hidden="1">"c15346"</definedName>
    <definedName name="IQ_US_GOVT_TRANS_ACCTS_FFIEC" hidden="1">"c15315"</definedName>
    <definedName name="IQ_US_INST_DUE_30_89_FFIEC" hidden="1">"c13268"</definedName>
    <definedName name="IQ_US_INST_DUE_90_FFIEC" hidden="1">"c13294"</definedName>
    <definedName name="IQ_US_INST_NON_ACCRUAL_FFIEC" hidden="1">"c13320"</definedName>
    <definedName name="IQ_US_SPONSORED_AGENCY_OBLIG_AVAIL_SALE_FFIEC" hidden="1">"c12794"</definedName>
    <definedName name="IQ_US_SPONSORED_AGENCY_OBLIG_FFIEC" hidden="1">"c12780"</definedName>
    <definedName name="IQ_US_TREASURY_SEC_AVAIL_SALE_FFIEC" hidden="1">"c12792"</definedName>
    <definedName name="IQ_US_TREASURY_SEC_TRADING_DOM_FFIEC" hidden="1">"c12918"</definedName>
    <definedName name="IQ_US_TREASURY_SEC_TRADING_FFIEC" hidden="1">"c12813"</definedName>
    <definedName name="IQ_US_TREASURY_SECURITIES_FDIC" hidden="1">"c6298"</definedName>
    <definedName name="IQ_US_TREASURY_SECURITIES_FFIEC" hidden="1">"c12778"</definedName>
    <definedName name="IQ_UST_SEC_GOVT_AGENCY_CORP_QUARTERLY_AVG_FFIEC" hidden="1">"c15469"</definedName>
    <definedName name="IQ_UST_SECURITIES_GOVT_AGENCY_QUARTERLY_AVG_FFIEC" hidden="1">"c15468"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PREFERREDS_INT_SENSITIVITY_FFIEC" hidden="1">"c13096"</definedName>
    <definedName name="IQ_VC_REV_OPERATING_INC_FFIEC" hidden="1">"c13388"</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EHICLE_LOANS" hidden="1">"c15249"</definedName>
    <definedName name="IQ_VENTURE_CAPITAL_REVENUE_FFIEC" hidden="1">"c13010"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VWAP" hidden="1">"c13514"</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IELD_FED_FUNDS_SOLD_FFIEC" hidden="1">"c13487"</definedName>
    <definedName name="IQ_YIELD_TRADING_ASSETS_FFIEC" hidden="1">"c13488"</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 hidden="1">1</definedName>
    <definedName name="IQB_BOOKMARK_LOCATION_0" hidden="1">#REF!</definedName>
    <definedName name="IQR111711P10" hidden="1">#REF!</definedName>
    <definedName name="IQR111711P101" hidden="1">#REF!</definedName>
    <definedName name="IQR111711P102" hidden="1">#REF!</definedName>
    <definedName name="IQR111711P103" hidden="1">#REF!</definedName>
    <definedName name="IQR111711P104" hidden="1">#REF!</definedName>
    <definedName name="IQR111711P106" hidden="1">#REF!</definedName>
    <definedName name="IQR111711P107" hidden="1">#REF!</definedName>
    <definedName name="IQR111711P110" hidden="1">#REF!</definedName>
    <definedName name="IQR111711P111" hidden="1">#REF!</definedName>
    <definedName name="IQR111711P112" hidden="1">#REF!</definedName>
    <definedName name="IQR111711P113" hidden="1">#REF!</definedName>
    <definedName name="IQR111711P114" hidden="1">#REF!</definedName>
    <definedName name="IQR111711P117" hidden="1">#REF!</definedName>
    <definedName name="IQR111711P119" hidden="1">#REF!</definedName>
    <definedName name="IQR111711P120" hidden="1">#REF!</definedName>
    <definedName name="IQR111711P122" hidden="1">#REF!</definedName>
    <definedName name="IQR111711P123" hidden="1">#REF!</definedName>
    <definedName name="IQR111711P124" hidden="1">#REF!</definedName>
    <definedName name="IQR111711P127" hidden="1">#REF!</definedName>
    <definedName name="IQR111711P128" hidden="1">#REF!</definedName>
    <definedName name="IQR111711P13" hidden="1">#REF!</definedName>
    <definedName name="IQR111711P131" hidden="1">#REF!</definedName>
    <definedName name="IQR111711P132" hidden="1">#REF!</definedName>
    <definedName name="IQR111711P134" hidden="1">#REF!</definedName>
    <definedName name="IQR111711P135" hidden="1">#REF!</definedName>
    <definedName name="IQR111711P136" hidden="1">#REF!</definedName>
    <definedName name="IQR111711P138" hidden="1">#REF!</definedName>
    <definedName name="IQR111711P139" hidden="1">#REF!</definedName>
    <definedName name="IQR111711P14" hidden="1">#REF!</definedName>
    <definedName name="IQR111711P140" hidden="1">#REF!</definedName>
    <definedName name="IQR111711P141" hidden="1">#REF!</definedName>
    <definedName name="IQR111711P142" hidden="1">#REF!</definedName>
    <definedName name="IQR111711P143" hidden="1">#REF!</definedName>
    <definedName name="IQR111711P144" hidden="1">#REF!</definedName>
    <definedName name="IQR111711P145" hidden="1">#REF!</definedName>
    <definedName name="IQR111711P148" hidden="1">#REF!</definedName>
    <definedName name="IQR111711P149" hidden="1">#REF!</definedName>
    <definedName name="IQR111711P150" hidden="1">#REF!</definedName>
    <definedName name="IQR111711P153" hidden="1">#REF!</definedName>
    <definedName name="IQR111711P155" hidden="1">#REF!</definedName>
    <definedName name="IQR111711P156" hidden="1">#REF!</definedName>
    <definedName name="IQR111711P161" hidden="1">#REF!</definedName>
    <definedName name="IQR111711P163" hidden="1">#REF!</definedName>
    <definedName name="IQR111711P167" hidden="1">#REF!</definedName>
    <definedName name="IQR111711P168" hidden="1">#REF!</definedName>
    <definedName name="IQR111711P169" hidden="1">#REF!</definedName>
    <definedName name="IQR111711P17" hidden="1">#REF!</definedName>
    <definedName name="IQR111711P170" hidden="1">#REF!</definedName>
    <definedName name="IQR111711P172" hidden="1">#REF!</definedName>
    <definedName name="IQR111711P174" hidden="1">#REF!</definedName>
    <definedName name="IQR111711P175" hidden="1">#REF!</definedName>
    <definedName name="IQR111711P179" hidden="1">#REF!</definedName>
    <definedName name="IQR111711P18" hidden="1">#REF!</definedName>
    <definedName name="IQR111711P182" hidden="1">#REF!</definedName>
    <definedName name="IQR111711P183" hidden="1">#REF!</definedName>
    <definedName name="IQR111711P187" hidden="1">#REF!</definedName>
    <definedName name="IQR111711P188" hidden="1">#REF!</definedName>
    <definedName name="IQR111711P190" hidden="1">#REF!</definedName>
    <definedName name="IQR111711P192" hidden="1">#REF!</definedName>
    <definedName name="IQR111711P193" hidden="1">#REF!</definedName>
    <definedName name="IQR111711P195" hidden="1">#REF!</definedName>
    <definedName name="IQR111711P196" hidden="1">#REF!</definedName>
    <definedName name="IQR111711P198" hidden="1">#REF!</definedName>
    <definedName name="IQR111711P199" hidden="1">#REF!</definedName>
    <definedName name="IQR111711P200" hidden="1">#REF!</definedName>
    <definedName name="IQR111711P202" hidden="1">#REF!</definedName>
    <definedName name="IQR111711P205" hidden="1">#REF!</definedName>
    <definedName name="IQR111711P206" hidden="1">#REF!</definedName>
    <definedName name="IQR111711P207" hidden="1">#REF!</definedName>
    <definedName name="IQR111711P208" hidden="1">#REF!</definedName>
    <definedName name="IQR111711P21" hidden="1">#REF!</definedName>
    <definedName name="IQR111711P210" hidden="1">#REF!</definedName>
    <definedName name="IQR111711P211" hidden="1">#REF!</definedName>
    <definedName name="IQR111711P212" hidden="1">#REF!</definedName>
    <definedName name="IQR111711P213" hidden="1">#REF!</definedName>
    <definedName name="IQR111711P214" hidden="1">#REF!</definedName>
    <definedName name="IQR111711P215" hidden="1">#REF!</definedName>
    <definedName name="IQR111711P216" hidden="1">#REF!</definedName>
    <definedName name="IQR111711P218" hidden="1">#REF!</definedName>
    <definedName name="IQR111711P219" hidden="1">#REF!</definedName>
    <definedName name="IQR111711P222" hidden="1">#REF!</definedName>
    <definedName name="IQR111711P223" hidden="1">#REF!</definedName>
    <definedName name="IQR111711P224" hidden="1">#REF!</definedName>
    <definedName name="IQR111711P225" hidden="1">#REF!</definedName>
    <definedName name="IQR111711P227" hidden="1">#REF!</definedName>
    <definedName name="IQR111711P229" hidden="1">#REF!</definedName>
    <definedName name="IQR111711P23" hidden="1">#REF!</definedName>
    <definedName name="IQR111711P230" hidden="1">#REF!</definedName>
    <definedName name="IQR111711P232" hidden="1">#REF!</definedName>
    <definedName name="IQR111711P233" hidden="1">#REF!</definedName>
    <definedName name="IQR111711P234" hidden="1">#REF!</definedName>
    <definedName name="IQR111711P237" hidden="1">#REF!</definedName>
    <definedName name="IQR111711P238" hidden="1">#REF!</definedName>
    <definedName name="IQR111711P239" hidden="1">#REF!</definedName>
    <definedName name="IQR111711P24" hidden="1">#REF!</definedName>
    <definedName name="IQR111711P240" hidden="1">#REF!</definedName>
    <definedName name="IQR111711P242" hidden="1">#REF!</definedName>
    <definedName name="IQR111711P243" hidden="1">#REF!</definedName>
    <definedName name="IQR111711P245" hidden="1">#REF!</definedName>
    <definedName name="IQR111711P247" hidden="1">#REF!</definedName>
    <definedName name="IQR111711P248" hidden="1">#REF!</definedName>
    <definedName name="IQR111711P249" hidden="1">#REF!</definedName>
    <definedName name="IQR111711P25" hidden="1">#REF!</definedName>
    <definedName name="IQR111711P252" hidden="1">#REF!</definedName>
    <definedName name="IQR111711P253" hidden="1">#REF!</definedName>
    <definedName name="IQR111711P254" hidden="1">#REF!</definedName>
    <definedName name="IQR111711P255" hidden="1">#REF!</definedName>
    <definedName name="IQR111711P256" hidden="1">#REF!</definedName>
    <definedName name="IQR111711P257" hidden="1">#REF!</definedName>
    <definedName name="IQR111711P258" hidden="1">#REF!</definedName>
    <definedName name="IQR111711P259" hidden="1">#REF!</definedName>
    <definedName name="IQR111711P26" hidden="1">#REF!</definedName>
    <definedName name="IQR111711P260" hidden="1">#REF!</definedName>
    <definedName name="IQR111711P261" hidden="1">#REF!</definedName>
    <definedName name="IQR111711P263" hidden="1">#REF!</definedName>
    <definedName name="IQR111711P264" hidden="1">#REF!</definedName>
    <definedName name="IQR111711P265" hidden="1">#REF!</definedName>
    <definedName name="IQR111711P266" hidden="1">#REF!</definedName>
    <definedName name="IQR111711P267" hidden="1">#REF!</definedName>
    <definedName name="IQR111711P269" hidden="1">#REF!</definedName>
    <definedName name="IQR111711P27" hidden="1">#REF!</definedName>
    <definedName name="IQR111711P270" hidden="1">#REF!</definedName>
    <definedName name="IQR111711P271" hidden="1">#REF!</definedName>
    <definedName name="IQR111711P275" hidden="1">#REF!</definedName>
    <definedName name="IQR111711P276" hidden="1">#REF!</definedName>
    <definedName name="IQR111711P278" hidden="1">#REF!</definedName>
    <definedName name="IQR111711P279" hidden="1">#REF!</definedName>
    <definedName name="IQR111711P28" hidden="1">#REF!</definedName>
    <definedName name="IQR111711P280" hidden="1">#REF!</definedName>
    <definedName name="IQR111711P281" hidden="1">#REF!</definedName>
    <definedName name="IQR111711P282" hidden="1">#REF!</definedName>
    <definedName name="IQR111711P284" hidden="1">#REF!</definedName>
    <definedName name="IQR111711P285" hidden="1">#REF!</definedName>
    <definedName name="IQR111711P286" hidden="1">#REF!</definedName>
    <definedName name="IQR111711P289" hidden="1">#REF!</definedName>
    <definedName name="IQR111711P29" hidden="1">#REF!</definedName>
    <definedName name="IQR111711P290" hidden="1">#REF!</definedName>
    <definedName name="IQR111711P292" hidden="1">#REF!</definedName>
    <definedName name="IQR111711P294" hidden="1">#REF!</definedName>
    <definedName name="IQR111711P295" hidden="1">#REF!</definedName>
    <definedName name="IQR111711P297" hidden="1">#REF!</definedName>
    <definedName name="IQR111711P299" hidden="1">#REF!</definedName>
    <definedName name="IQR111711P30" hidden="1">#REF!</definedName>
    <definedName name="IQR111711P300" hidden="1">#REF!</definedName>
    <definedName name="IQR111711P301" hidden="1">#REF!</definedName>
    <definedName name="IQR111711P303" hidden="1">#REF!</definedName>
    <definedName name="IQR111711P304" hidden="1">#REF!</definedName>
    <definedName name="IQR111711P306" hidden="1">#REF!</definedName>
    <definedName name="IQR111711P307" hidden="1">#REF!</definedName>
    <definedName name="IQR111711P308" hidden="1">#REF!</definedName>
    <definedName name="IQR111711P309" hidden="1">#REF!</definedName>
    <definedName name="IQR111711P31" hidden="1">#REF!</definedName>
    <definedName name="IQR111711P311" hidden="1">#REF!</definedName>
    <definedName name="IQR111711P312" hidden="1">#REF!</definedName>
    <definedName name="IQR111711P313" hidden="1">#REF!</definedName>
    <definedName name="IQR111711P314" hidden="1">#REF!</definedName>
    <definedName name="IQR111711P315" hidden="1">#REF!</definedName>
    <definedName name="IQR111711P318" hidden="1">#REF!</definedName>
    <definedName name="IQR111711P319" hidden="1">#REF!</definedName>
    <definedName name="IQR111711P32" hidden="1">#REF!</definedName>
    <definedName name="IQR111711P320" hidden="1">#REF!</definedName>
    <definedName name="IQR111711P321" hidden="1">#REF!</definedName>
    <definedName name="IQR111711P322" hidden="1">#REF!</definedName>
    <definedName name="IQR111711P323" hidden="1">#REF!</definedName>
    <definedName name="IQR111711P324" hidden="1">#REF!</definedName>
    <definedName name="IQR111711P325" hidden="1">#REF!</definedName>
    <definedName name="IQR111711P327" hidden="1">#REF!</definedName>
    <definedName name="IQR111711P328" hidden="1">#REF!</definedName>
    <definedName name="IQR111711P329" hidden="1">#REF!</definedName>
    <definedName name="IQR111711P33" hidden="1">#REF!</definedName>
    <definedName name="IQR111711P330" hidden="1">#REF!</definedName>
    <definedName name="IQR111711P331" hidden="1">#REF!</definedName>
    <definedName name="IQR111711P333" hidden="1">#REF!</definedName>
    <definedName name="IQR111711P335" hidden="1">#REF!</definedName>
    <definedName name="IQR111711P336" hidden="1">#REF!</definedName>
    <definedName name="IQR111711P337" hidden="1">#REF!</definedName>
    <definedName name="IQR111711P338" hidden="1">#REF!</definedName>
    <definedName name="IQR111711P339" hidden="1">#REF!</definedName>
    <definedName name="IQR111711P34" hidden="1">#REF!</definedName>
    <definedName name="IQR111711P340" hidden="1">#REF!</definedName>
    <definedName name="IQR111711P341" hidden="1">#REF!</definedName>
    <definedName name="IQR111711P343" hidden="1">#REF!</definedName>
    <definedName name="IQR111711P345" hidden="1">#REF!</definedName>
    <definedName name="IQR111711P346" hidden="1">#REF!</definedName>
    <definedName name="IQR111711P347" hidden="1">#REF!</definedName>
    <definedName name="IQR111711P348" hidden="1">#REF!</definedName>
    <definedName name="IQR111711P349" hidden="1">#REF!</definedName>
    <definedName name="IQR111711P350" hidden="1">#REF!</definedName>
    <definedName name="IQR111711P352" hidden="1">#REF!</definedName>
    <definedName name="IQR111711P353" hidden="1">#REF!</definedName>
    <definedName name="IQR111711P354" hidden="1">#REF!</definedName>
    <definedName name="IQR111711P355" hidden="1">#REF!</definedName>
    <definedName name="IQR111711P356" hidden="1">#REF!</definedName>
    <definedName name="IQR111711P358" hidden="1">#REF!</definedName>
    <definedName name="IQR111711P36" hidden="1">#REF!</definedName>
    <definedName name="IQR111711P361" hidden="1">#REF!</definedName>
    <definedName name="IQR111711P362" hidden="1">#REF!</definedName>
    <definedName name="IQR111711P364" hidden="1">#REF!</definedName>
    <definedName name="IQR111711P367" hidden="1">#REF!</definedName>
    <definedName name="IQR111711P368" hidden="1">#REF!</definedName>
    <definedName name="IQR111711P369" hidden="1">#REF!</definedName>
    <definedName name="IQR111711P37" hidden="1">#REF!</definedName>
    <definedName name="IQR111711P370" hidden="1">#REF!</definedName>
    <definedName name="IQR111711P372" hidden="1">#REF!</definedName>
    <definedName name="IQR111711P374" hidden="1">#REF!</definedName>
    <definedName name="IQR111711P375" hidden="1">#REF!</definedName>
    <definedName name="IQR111711P378" hidden="1">#REF!</definedName>
    <definedName name="IQR111711P379" hidden="1">#REF!</definedName>
    <definedName name="IQR111711P38" hidden="1">#REF!</definedName>
    <definedName name="IQR111711P380" hidden="1">#REF!</definedName>
    <definedName name="IQR111711P381" hidden="1">#REF!</definedName>
    <definedName name="IQR111711P41" hidden="1">#REF!</definedName>
    <definedName name="IQR111711P42" hidden="1">#REF!</definedName>
    <definedName name="IQR111711P43" hidden="1">#REF!</definedName>
    <definedName name="IQR111711P44" hidden="1">#REF!</definedName>
    <definedName name="IQR111711P46" hidden="1">#REF!</definedName>
    <definedName name="IQR111711P48" hidden="1">#REF!</definedName>
    <definedName name="IQR111711P50" hidden="1">#REF!</definedName>
    <definedName name="IQR111711P51" hidden="1">#REF!</definedName>
    <definedName name="IQR111711P55" hidden="1">#REF!</definedName>
    <definedName name="IQR111711P56" hidden="1">#REF!</definedName>
    <definedName name="IQR111711P57" hidden="1">#REF!</definedName>
    <definedName name="IQR111711P58" hidden="1">#REF!</definedName>
    <definedName name="IQR111711P59" hidden="1">#REF!</definedName>
    <definedName name="IQR111711P62" hidden="1">#REF!</definedName>
    <definedName name="IQR111711P64" hidden="1">#REF!</definedName>
    <definedName name="IQR111711P65" hidden="1">#REF!</definedName>
    <definedName name="IQR111711P66" hidden="1">#REF!</definedName>
    <definedName name="IQR111711P67" hidden="1">#REF!</definedName>
    <definedName name="IQR111711P69" hidden="1">#REF!</definedName>
    <definedName name="IQR111711P70" hidden="1">#REF!</definedName>
    <definedName name="IQR111711P71" hidden="1">#REF!</definedName>
    <definedName name="IQR111711P74" hidden="1">#REF!</definedName>
    <definedName name="IQR111711P75" hidden="1">#REF!</definedName>
    <definedName name="IQR111711P76" hidden="1">#REF!</definedName>
    <definedName name="IQR111711P77" hidden="1">#REF!</definedName>
    <definedName name="IQR111711P79" hidden="1">#REF!</definedName>
    <definedName name="IQR111711P81" hidden="1">#REF!</definedName>
    <definedName name="IQR111711P83" hidden="1">#REF!</definedName>
    <definedName name="IQR111711P87" hidden="1">#REF!</definedName>
    <definedName name="IQR111711P88" hidden="1">#REF!</definedName>
    <definedName name="IQR111711P9" hidden="1">#REF!</definedName>
    <definedName name="IQR111711P91" hidden="1">#REF!</definedName>
    <definedName name="IQR111711P92" hidden="1">#REF!</definedName>
    <definedName name="IQR111711P93" hidden="1">#REF!</definedName>
    <definedName name="IQR111711P94" hidden="1">#REF!</definedName>
    <definedName name="IQR111711P95" hidden="1">#REF!</definedName>
    <definedName name="IQR111711P96" hidden="1">#REF!</definedName>
    <definedName name="IQR111711P98" hidden="1">#REF!</definedName>
    <definedName name="IQR111711Q112" hidden="1">#REF!</definedName>
    <definedName name="IQR111711Q113" hidden="1">#REF!</definedName>
    <definedName name="IQR111711Q14" hidden="1">#REF!</definedName>
    <definedName name="IQR111711Q148" hidden="1">#REF!</definedName>
    <definedName name="IQR111711Q149" hidden="1">#REF!</definedName>
    <definedName name="IQR111711Q17" hidden="1">#REF!</definedName>
    <definedName name="IQR111711Q174" hidden="1">#REF!</definedName>
    <definedName name="IQR111711Q175" hidden="1">#REF!</definedName>
    <definedName name="IQR111711Q187" hidden="1">#REF!</definedName>
    <definedName name="IQR111711Q188" hidden="1">#REF!</definedName>
    <definedName name="IQR111711Q224" hidden="1">#REF!</definedName>
    <definedName name="IQR111711Q225" hidden="1">#REF!</definedName>
    <definedName name="IQR111711Q242" hidden="1">#REF!</definedName>
    <definedName name="IQR111711Q243" hidden="1">#REF!</definedName>
    <definedName name="IQR111711Q270" hidden="1">#REF!</definedName>
    <definedName name="IQR111711Q271" hidden="1">#REF!</definedName>
    <definedName name="IQR111711Q289" hidden="1">#REF!</definedName>
    <definedName name="IQR111711Q290" hidden="1">#REF!</definedName>
    <definedName name="IQR111711Q313" hidden="1">#REF!</definedName>
    <definedName name="IQR111711Q314" hidden="1">#REF!</definedName>
    <definedName name="IQR111711Q330" hidden="1">#REF!</definedName>
    <definedName name="IQR111711Q331" hidden="1">#REF!</definedName>
    <definedName name="IQR111711Q43" hidden="1">#REF!</definedName>
    <definedName name="IQR111711Q44" hidden="1">#REF!</definedName>
    <definedName name="IQR111711Q69" hidden="1">#REF!</definedName>
    <definedName name="IQR111711Q70" hidden="1">#REF!</definedName>
    <definedName name="IQR111711Q74" hidden="1">#REF!</definedName>
    <definedName name="IQR111711Q75" hidden="1">#REF!</definedName>
    <definedName name="IQR111711Q76" hidden="1">#REF!</definedName>
    <definedName name="IQR111711Q77" hidden="1">#REF!</definedName>
    <definedName name="IQR111711Q9" hidden="1">#REF!</definedName>
    <definedName name="IQRA10" hidden="1">"$A$11:$A$262"</definedName>
    <definedName name="IQRA12" hidden="1">"$A$13:$A$76"</definedName>
    <definedName name="IQRA2" hidden="1">"$A$3:$A$1306"</definedName>
    <definedName name="IQRA3" hidden="1">"$A$4:$A$1307"</definedName>
    <definedName name="IQRA8" hidden="1">"$A$9"</definedName>
    <definedName name="IQRAB12" hidden="1">"$AB$13:$AB$76"</definedName>
    <definedName name="IQRAB7" hidden="1">"$AB$8:$AB$164"</definedName>
    <definedName name="IQRAD7" hidden="1">"$AD$8:$AD$179"</definedName>
    <definedName name="IQRAE12" hidden="1">"$AE$13:$AE$76"</definedName>
    <definedName name="IQRAF107" hidden="1">"$AF$108:$AF$168"</definedName>
    <definedName name="IQRAF17" hidden="1">"$AF$18:$AF$78"</definedName>
    <definedName name="IQRAF211" hidden="1">"$AF$212:$AF$369"</definedName>
    <definedName name="IQRAF27" hidden="1">"$AF$28:$AF$184"</definedName>
    <definedName name="IQRAF45" hidden="1">"$AF$46:$AF$549"</definedName>
    <definedName name="IQRAF577" hidden="1">"$AF$578:$AF$1079"</definedName>
    <definedName name="IQRAF578" hidden="1">"$AF$579:$AF$1080"</definedName>
    <definedName name="IQRAF7" hidden="1">"$AF$8:$AF$165"</definedName>
    <definedName name="IQRAH12" hidden="1">"$AH$13:$AH$76"</definedName>
    <definedName name="IQRAH7" hidden="1">"$AH$8:$AH$179"</definedName>
    <definedName name="IQRAJ7" hidden="1">"$AJ$8:$AJ$164"</definedName>
    <definedName name="IQRAK12" hidden="1">"$AK$13:$AK$76"</definedName>
    <definedName name="IQRAL107" hidden="1">"$AL$108:$AL$168"</definedName>
    <definedName name="IQRAL17" hidden="1">"$AL$18:$AL$51"</definedName>
    <definedName name="IQRAL211" hidden="1">"$AL$212:$AL$369"</definedName>
    <definedName name="IQRAL27" hidden="1">"$AL$28:$AL$171"</definedName>
    <definedName name="IQRAL45" hidden="1">"$AL$46:$AL$549"</definedName>
    <definedName name="IQRAL577" hidden="1">"$AL$578:$AL$1079"</definedName>
    <definedName name="IQRAL578" hidden="1">"$AL$579:$AL$1080"</definedName>
    <definedName name="IQRAL7" hidden="1">"$AL$8:$AL$165"</definedName>
    <definedName name="IQRAN12" hidden="1">"$AN$13:$AN$76"</definedName>
    <definedName name="IQRAN7" hidden="1">"$AN$8:$AN$164"</definedName>
    <definedName name="IQRAP7" hidden="1">"$AP$8:$AP$164"</definedName>
    <definedName name="IQRAP89" hidden="1">"$AP$90:$AP$91"</definedName>
    <definedName name="IQRAQ12" hidden="1">"$AQ$13:$AQ$76"</definedName>
    <definedName name="IQRAR107" hidden="1">"$AR$108:$AR$168"</definedName>
    <definedName name="IQRAR17" hidden="1">"$AR$18:$AR$78"</definedName>
    <definedName name="IQRAR211" hidden="1">"$AR$212:$AR$369"</definedName>
    <definedName name="IQRAR27" hidden="1">"$AR$28:$AR$184"</definedName>
    <definedName name="IQRAR45" hidden="1">"$AR$46:$AR$549"</definedName>
    <definedName name="IQRAR577" hidden="1">"$AR$578:$AR$1079"</definedName>
    <definedName name="IQRAR578" hidden="1">"$AR$579:$AR$1080"</definedName>
    <definedName name="IQRAR7" hidden="1">"$AR$8:$AR$165"</definedName>
    <definedName name="IQRAR89" hidden="1">"$AR$90:$AR$91"</definedName>
    <definedName name="IQRAT7" hidden="1">"$AT$8:$AT$164"</definedName>
    <definedName name="IQRAT89" hidden="1">"$AT$90:$AT$91"</definedName>
    <definedName name="IQRAV7" hidden="1">"$AV$8:$AV$164"</definedName>
    <definedName name="IQRAV89" hidden="1">"$AV$90:$AV$91"</definedName>
    <definedName name="IQRAX107" hidden="1">"$AX$108:$AX$168"</definedName>
    <definedName name="IQRAX17" hidden="1">"$AX$18:$AX$78"</definedName>
    <definedName name="IQRAX211" hidden="1">"$AX$212:$AX$369"</definedName>
    <definedName name="IQRAX27" hidden="1">"$AX$28:$AX$184"</definedName>
    <definedName name="IQRAX45" hidden="1">"$AX$46:$AX$549"</definedName>
    <definedName name="IQRAX577" hidden="1">"$AX$578:$AX$1079"</definedName>
    <definedName name="IQRAX578" hidden="1">"$AX$579:$AX$1080"</definedName>
    <definedName name="IQRAX7" hidden="1">"$AX$8:$AX$165"</definedName>
    <definedName name="IQRAX89" hidden="1">"$AX$90:$AX$91"</definedName>
    <definedName name="IQRB107" hidden="1">"$B$108:$B$168"</definedName>
    <definedName name="IQRB15" hidden="1">"$B$16:$B$17"</definedName>
    <definedName name="IQRB17" hidden="1">"$B$18:$B$77"</definedName>
    <definedName name="IQRB18" hidden="1">"$B$19:$B$23"</definedName>
    <definedName name="IQRB19" hidden="1">"$B$20:$B$24"</definedName>
    <definedName name="IQRB2" hidden="1">"$B$3:$B$1306"</definedName>
    <definedName name="IQRB20" hidden="1">"$B$21:$B$25"</definedName>
    <definedName name="IQRB21" hidden="1">"$B$22:$B$26"</definedName>
    <definedName name="IQRB211" hidden="1">"$B$212:$B$369"</definedName>
    <definedName name="IQRB22" hidden="1">"$B$23:$B$27"</definedName>
    <definedName name="IQRB23" hidden="1">"$B$24:$B$28"</definedName>
    <definedName name="IQRB24" hidden="1">"$B$25:$B$29"</definedName>
    <definedName name="IQRB27" hidden="1">"$B$28:$B$184"</definedName>
    <definedName name="IQRB32" hidden="1">"$B$33:$B$37"</definedName>
    <definedName name="IQRB33" hidden="1">"$B$34:$B$38"</definedName>
    <definedName name="IQRB34" hidden="1">"$B$35:$B$39"</definedName>
    <definedName name="IQRB45" hidden="1">"$B$46:$B$549"</definedName>
    <definedName name="IQRB577" hidden="1">"$B$578:$B$1079"</definedName>
    <definedName name="IQRB578" hidden="1">"$B$579:$B$1080"</definedName>
    <definedName name="IQRB6" hidden="1">"$B$7:$B$54"</definedName>
    <definedName name="IQRB7" hidden="1">"$B$8:$B$165"</definedName>
    <definedName name="IQRB8" hidden="1">"$B$9:$B$254"</definedName>
    <definedName name="IQRBB7" hidden="1">"$BB$8:$BB$164"</definedName>
    <definedName name="IQRBD107" hidden="1">"$BD$108:$BD$168"</definedName>
    <definedName name="IQRBD17" hidden="1">"$BD$18:$BD$73"</definedName>
    <definedName name="IQRBD211" hidden="1">"$BD$212:$BD$369"</definedName>
    <definedName name="IQRBD27" hidden="1">"$BD$28:$BD$184"</definedName>
    <definedName name="IQRBD45" hidden="1">"$BD$46:$BD$549"</definedName>
    <definedName name="IQRBD577" hidden="1">"$BD$578:$BD$1079"</definedName>
    <definedName name="IQRBD578" hidden="1">"$BD$579:$BD$1080"</definedName>
    <definedName name="IQRBD7" hidden="1">"$BD$8:$BD$165"</definedName>
    <definedName name="IQRC15" hidden="1">"$C$16:$C$20"</definedName>
    <definedName name="IQRC2" hidden="1">"$C$3:$C$1306"</definedName>
    <definedName name="IQRC24" hidden="1">"$C$25:$C$29"</definedName>
    <definedName name="IQRC8" hidden="1">"$C$9"</definedName>
    <definedName name="IQRCompaniesH12" hidden="1">#REF!</definedName>
    <definedName name="IQRCompaniesH13" hidden="1">#REF!</definedName>
    <definedName name="IQRCompaniesH14" hidden="1">#REF!</definedName>
    <definedName name="IQRCompaniesH15" hidden="1">#REF!</definedName>
    <definedName name="IQRCompaniesH16" hidden="1">#REF!</definedName>
    <definedName name="IQRCompaniesH17" hidden="1">#REF!</definedName>
    <definedName name="IQRCompaniesH18" hidden="1">#REF!</definedName>
    <definedName name="IQRCompaniesH19" hidden="1">#REF!</definedName>
    <definedName name="IQRCompaniesH22" hidden="1">#REF!</definedName>
    <definedName name="IQRCompaniesH23" hidden="1">#REF!</definedName>
    <definedName name="IQRCompaniesH24" hidden="1">#REF!</definedName>
    <definedName name="IQRCompaniesH25" hidden="1">#REF!</definedName>
    <definedName name="IQRCompaniesH26" hidden="1">#REF!</definedName>
    <definedName name="IQRCompaniesH27" hidden="1">#REF!</definedName>
    <definedName name="IQRCompaniesH28" hidden="1">#REF!</definedName>
    <definedName name="IQRCompaniesH29" hidden="1">#REF!</definedName>
    <definedName name="IQRCompaniesH30" hidden="1">#REF!</definedName>
    <definedName name="IQRCompaniesH31" hidden="1">#REF!</definedName>
    <definedName name="IQRCompaniesH32" hidden="1">#REF!</definedName>
    <definedName name="IQRCompaniesH33" hidden="1">#REF!</definedName>
    <definedName name="IQRCompaniesH34" hidden="1">#REF!</definedName>
    <definedName name="IQRCompaniesH35" hidden="1">#REF!</definedName>
    <definedName name="IQRCompaniesH36" hidden="1">#REF!</definedName>
    <definedName name="IQRCompaniesH38" hidden="1">#REF!</definedName>
    <definedName name="IQRCompaniesH39" hidden="1">#REF!</definedName>
    <definedName name="IQRCompaniesH40" hidden="1">#REF!</definedName>
    <definedName name="IQRCompaniesH41" hidden="1">#REF!</definedName>
    <definedName name="IQRCompaniesH42" hidden="1">#REF!</definedName>
    <definedName name="IQRCompaniesH43" hidden="1">#REF!</definedName>
    <definedName name="IQRCompaniesH44" hidden="1">#REF!</definedName>
    <definedName name="IQRCompaniesH46" hidden="1">#REF!</definedName>
    <definedName name="IQRCompaniesH47" hidden="1">#REF!</definedName>
    <definedName name="IQRCompaniesH48" hidden="1">#REF!</definedName>
    <definedName name="IQRCompaniesH49" hidden="1">#REF!</definedName>
    <definedName name="IQRCompaniesH50" hidden="1">#REF!</definedName>
    <definedName name="IQRCompaniesH51" hidden="1">#REF!</definedName>
    <definedName name="IQRCompaniesH52" hidden="1">#REF!</definedName>
    <definedName name="IQRCompaniesH54" hidden="1">#REF!</definedName>
    <definedName name="IQRCompaniesH55" hidden="1">#REF!</definedName>
    <definedName name="IQRCompaniesH56" hidden="1">#REF!</definedName>
    <definedName name="IQRCompaniesH57" hidden="1">#REF!</definedName>
    <definedName name="IQRCompaniesH58" hidden="1">#REF!</definedName>
    <definedName name="IQRCompaniesH59" hidden="1">#REF!</definedName>
    <definedName name="IQRCompaniesN12" hidden="1">#REF!</definedName>
    <definedName name="IQRCompaniesN13" hidden="1">#REF!</definedName>
    <definedName name="IQRCompaniesN14" hidden="1">#REF!</definedName>
    <definedName name="IQRCompaniesN15" hidden="1">#REF!</definedName>
    <definedName name="IQRCompaniesN16" hidden="1">#REF!</definedName>
    <definedName name="IQRCompaniesN17" hidden="1">#REF!</definedName>
    <definedName name="IQRCompaniesN18" hidden="1">#REF!</definedName>
    <definedName name="IQRCompaniesN19" hidden="1">#REF!</definedName>
    <definedName name="IQRCompaniesN22" hidden="1">#REF!</definedName>
    <definedName name="IQRCompaniesN23" hidden="1">#REF!</definedName>
    <definedName name="IQRCompaniesN24" hidden="1">#REF!</definedName>
    <definedName name="IQRCompaniesN25" hidden="1">#REF!</definedName>
    <definedName name="IQRCompaniesN26" hidden="1">#REF!</definedName>
    <definedName name="IQRCompaniesN27" hidden="1">#REF!</definedName>
    <definedName name="IQRCompaniesN28" hidden="1">#REF!</definedName>
    <definedName name="IQRCompaniesN29" hidden="1">#REF!</definedName>
    <definedName name="IQRCompaniesN30" hidden="1">#REF!</definedName>
    <definedName name="IQRCompaniesN31" hidden="1">#REF!</definedName>
    <definedName name="IQRCompaniesN32" hidden="1">#REF!</definedName>
    <definedName name="IQRCompaniesN33" hidden="1">#REF!</definedName>
    <definedName name="IQRCompaniesN34" hidden="1">#REF!</definedName>
    <definedName name="IQRCompaniesN35" hidden="1">#REF!</definedName>
    <definedName name="IQRCompaniesN36" hidden="1">#REF!</definedName>
    <definedName name="IQRCompaniesN38" hidden="1">#REF!</definedName>
    <definedName name="IQRCompaniesN39" hidden="1">#REF!</definedName>
    <definedName name="IQRCompaniesN40" hidden="1">#REF!</definedName>
    <definedName name="IQRCompaniesN41" hidden="1">#REF!</definedName>
    <definedName name="IQRCompaniesN42" hidden="1">#REF!</definedName>
    <definedName name="IQRCompaniesN43" hidden="1">#REF!</definedName>
    <definedName name="IQRCompaniesN44" hidden="1">#REF!</definedName>
    <definedName name="IQRCompaniesN46" hidden="1">#REF!</definedName>
    <definedName name="IQRCompaniesN47" hidden="1">#REF!</definedName>
    <definedName name="IQRCompaniesN48" hidden="1">#REF!</definedName>
    <definedName name="IQRCompaniesN49" hidden="1">#REF!</definedName>
    <definedName name="IQRCompaniesN50" hidden="1">#REF!</definedName>
    <definedName name="IQRCompaniesN51" hidden="1">#REF!</definedName>
    <definedName name="IQRCompaniesN52" hidden="1">#REF!</definedName>
    <definedName name="IQRCompaniesN54" hidden="1">#REF!</definedName>
    <definedName name="IQRCompaniesN55" hidden="1">#REF!</definedName>
    <definedName name="IQRCompaniesN56" hidden="1">#REF!</definedName>
    <definedName name="IQRCompaniesN57" hidden="1">#REF!</definedName>
    <definedName name="IQRCompaniesN58" hidden="1">#REF!</definedName>
    <definedName name="IQRCompaniesN59" hidden="1">#REF!</definedName>
    <definedName name="IQRCustomIndexX10" hidden="1">#REF!</definedName>
    <definedName name="IQRD12" hidden="1">"$D$13:$D$77"</definedName>
    <definedName name="IQRD15" hidden="1">"$D$16:$D$17"</definedName>
    <definedName name="IQRF7" hidden="1">"$F$8:$F$179"</definedName>
    <definedName name="IQRG12" hidden="1">"$G$13:$G$76"</definedName>
    <definedName name="IQRH107" hidden="1">"$H$108:$H$168"</definedName>
    <definedName name="IQRH17" hidden="1">"$H$18:$H$78"</definedName>
    <definedName name="IQRH211" hidden="1">"$H$212:$H$369"</definedName>
    <definedName name="IQRH27" hidden="1">"$H$28:$H$184"</definedName>
    <definedName name="IQRH45" hidden="1">"$H$46:$H$549"</definedName>
    <definedName name="IQRH577" hidden="1">"$H$578:$H$1079"</definedName>
    <definedName name="IQRH578" hidden="1">"$H$579:$H$1080"</definedName>
    <definedName name="IQRH7" hidden="1">"$H$8:$H$165"</definedName>
    <definedName name="IQRJ12" hidden="1">"$J$13:$J$76"</definedName>
    <definedName name="IQRJ7" hidden="1">"$J$8:$J$179"</definedName>
    <definedName name="IQRL7" hidden="1">"$L$8:$L$164"</definedName>
    <definedName name="IQRM12" hidden="1">"$M$13:$M$76"</definedName>
    <definedName name="IQRN107" hidden="1">"$N$108:$N$168"</definedName>
    <definedName name="IQRN17" hidden="1">"$N$18:$N$78"</definedName>
    <definedName name="IQRN211" hidden="1">"$N$212:$N$369"</definedName>
    <definedName name="IQRN27" hidden="1">"$N$28:$N$184"</definedName>
    <definedName name="IQRN45" hidden="1">"$N$46:$N$549"</definedName>
    <definedName name="IQRN577" hidden="1">"$N$578:$N$1079"</definedName>
    <definedName name="IQRN578" hidden="1">"$N$579:$N$1080"</definedName>
    <definedName name="IQRN7" hidden="1">"$N$8:$N$165"</definedName>
    <definedName name="IQRP12" hidden="1">"$P$13:$P$76"</definedName>
    <definedName name="IQRPeopleH12" hidden="1">#REF!</definedName>
    <definedName name="IQRPeopleH13" hidden="1">#REF!</definedName>
    <definedName name="IQRPeopleH14" hidden="1">#REF!</definedName>
    <definedName name="IQRPeopleH15" hidden="1">#REF!</definedName>
    <definedName name="IQRPeopleN12" hidden="1">#REF!</definedName>
    <definedName name="IQRPeopleN13" hidden="1">#REF!</definedName>
    <definedName name="IQRPeopleN14" hidden="1">#REF!</definedName>
    <definedName name="IQRPeopleN15" hidden="1">#REF!</definedName>
    <definedName name="IQRR43" hidden="1">"$R$44:$R$296"</definedName>
    <definedName name="IQRR44" hidden="1">"$R$45:$R$297"</definedName>
    <definedName name="IQRR45" hidden="1">"$R$46:$R$298"</definedName>
    <definedName name="IQRR46" hidden="1">"$R$47:$R$299"</definedName>
    <definedName name="IQRR47" hidden="1">"$R$48:$R$300"</definedName>
    <definedName name="IQRR48" hidden="1">"$R$49:$R$301"</definedName>
    <definedName name="IQRR55" hidden="1">"$R$56:$R$308"</definedName>
    <definedName name="IQRR56" hidden="1">"$R$57:$R$309"</definedName>
    <definedName name="IQRR7" hidden="1">"$R$8:$R$179"</definedName>
    <definedName name="IQRS12" hidden="1">"$S$13:$S$76"</definedName>
    <definedName name="IQRT107" hidden="1">"$T$108:$T$168"</definedName>
    <definedName name="IQRT17" hidden="1">"$T$18:$T$78"</definedName>
    <definedName name="IQRT211" hidden="1">"$T$212:$T$369"</definedName>
    <definedName name="IQRT27" hidden="1">"$T$28:$T$184"</definedName>
    <definedName name="IQRT45" hidden="1">"$T$46:$T$549"</definedName>
    <definedName name="IQRT577" hidden="1">"$T$578:$T$1079"</definedName>
    <definedName name="IQRT578" hidden="1">"$T$579:$T$1080"</definedName>
    <definedName name="IQRT7" hidden="1">"$T$8:$T$165"</definedName>
    <definedName name="IQRV12" hidden="1">"$V$13:$V$76"</definedName>
    <definedName name="IQRV7" hidden="1">"$V$8:$V$179"</definedName>
    <definedName name="IQRVolatilityC26" hidden="1">#REF!</definedName>
    <definedName name="IQRVolatilityD26" hidden="1">#REF!</definedName>
    <definedName name="IQRVolatilityH26" hidden="1">#REF!</definedName>
    <definedName name="IQRVolatilityI26" hidden="1">#REF!</definedName>
    <definedName name="IQRVolatilityM26" hidden="1">#REF!</definedName>
    <definedName name="IQRVolatilityN26" hidden="1">#REF!</definedName>
    <definedName name="IQRX10" hidden="1">"$X$11:$X$114"</definedName>
    <definedName name="IQRX7" hidden="1">"$X$8:$X$164"</definedName>
    <definedName name="IQRY12" hidden="1">"$Y$13:$Y$76"</definedName>
    <definedName name="IQRZ107" hidden="1">"$Z$108:$Z$168"</definedName>
    <definedName name="IQRZ17" hidden="1">"$Z$18:$Z$78"</definedName>
    <definedName name="IQRZ211" hidden="1">"$Z$212:$Z$369"</definedName>
    <definedName name="IQRZ27" hidden="1">"$Z$28:$Z$184"</definedName>
    <definedName name="IQRZ45" hidden="1">"$Z$46:$Z$483"</definedName>
    <definedName name="IQRZ577" hidden="1">"$Z$578:$Z$1079"</definedName>
    <definedName name="IQRZ578" hidden="1">"$Z$579:$Z$1080"</definedName>
    <definedName name="IQRZ7" hidden="1">"$Z$8:$Z$165"</definedName>
    <definedName name="iQShowHideColumns" hidden="1">"iQShowAll"</definedName>
    <definedName name="Irbe" hidden="1">{#N/A,#N/A,FALSE,"Pharm";#N/A,#N/A,FALSE,"WWCM"}</definedName>
    <definedName name="IRI_WorkspaceId" hidden="1">"2b9eb8a331bc4a55be5bcc8095c931a0"</definedName>
    <definedName name="ISCaseName">#REF!</definedName>
    <definedName name="IsColHidden" hidden="1">FALSE</definedName>
    <definedName name="ISG" hidden="1">{#N/A,#N/A,FALSE,"REPORT"}</definedName>
    <definedName name="IsLTMColHidden" hidden="1">FALSE</definedName>
    <definedName name="IT" hidden="1">#REF!</definedName>
    <definedName name="iv"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iyrt" hidden="1">{#N/A,#N/A,TRUE,"A";#N/A,#N/A,TRUE,"B";#N/A,#N/A,TRUE,"C";#N/A,#N/A,TRUE,"D";#N/A,#N/A,TRUE,"E"}</definedName>
    <definedName name="j">#REF!</definedName>
    <definedName name="jb" hidden="1">{"summary1",#N/A,TRUE,"Comps";"summary2",#N/A,TRUE,"Comps";"summary3",#N/A,TRUE,"Comps"}</definedName>
    <definedName name="jde" hidden="1">{#N/A,#N/A,TRUE,"BUD VS ACT AUST 96";#N/A,#N/A,TRUE,"96 COMP P&amp;L-AUST";#N/A,#N/A,TRUE,"COMP BS-AUSTRALIA";#N/A,#N/A,TRUE,"B/S - AUSTR."}</definedName>
    <definedName name="jdfjesjds" hidden="1">{#N/A,#N/A,TRUE,"BUD VS ACT AUST 96";#N/A,#N/A,TRUE,"96 COMP P&amp;L-AUST";#N/A,#N/A,TRUE,"COMP BS-AUSTRALIA";#N/A,#N/A,TRUE,"B/S - AUSTR."}</definedName>
    <definedName name="jen" hidden="1">{TRUE,TRUE,-1.25,-15.5,456.75,279.75,FALSE,FALSE,TRUE,TRUE,0,1,8,1,4,6,3,4,TRUE,TRUE,3,TRUE,1,TRUE,100,"Swvu.turnover.","ACwvu.turnover.",1,FALSE,FALSE,0.511811023622047,0.511811023622047,0.511811023622047,0.511811023622047,1,"","",FALSE,FALSE,FALSE,FALSE,1,#N/A,1,1,#DIV/0!,FALSE,"Rwvu.turnover.",#N/A,FALSE,FALSE}</definedName>
    <definedName name="jgjgfjgfjf" hidden="1">{#N/A,#N/A,FALSE,"COMP BS-FRANCE";#N/A,#N/A,FALSE,"96 COMP P&amp;L-FRANCE";#N/A,#N/A,FALSE,"BUD VS ACT FRAN 96";#N/A,#N/A,FALSE,"B/S - FRANCE"}</definedName>
    <definedName name="jhy" hidden="1">{#N/A,#N/A,TRUE,"Sel Fn Data QTD";#N/A,#N/A,TRUE,"TABLE_1 SPREAD ANALYSIS";#N/A,#N/A,TRUE,"Tables 2 to 3 PL";#N/A,#N/A,TRUE,"Tables 4 and 5 ALLL";#N/A,#N/A,TRUE,"Tables 6 to 8 ALLL NPA";#N/A,#N/A,TRUE,"Table 9 to 10 - Balance Sheet";#N/A,#N/A,TRUE,"Table 11 to 12 - Equity"}</definedName>
    <definedName name="jj" hidden="1">#N/A</definedName>
    <definedName name="jjj" hidden="1">{#N/A,#N/A,FALSE,"REPORT"}</definedName>
    <definedName name="jjjjjjjj" hidden="1">#N/A</definedName>
    <definedName name="jk" hidden="1">#REF!</definedName>
    <definedName name="jkl" hidden="1">{#N/A,#N/A,FALSE,"REPORT"}</definedName>
    <definedName name="JMBM" hidden="1">{#N/A,#N/A,TRUE,"RESUMEN ECON.";#N/A,#N/A,TRUE,"Costos de R.H.";#N/A,#N/A,TRUE,"COSTO HW";#N/A,#N/A,TRUE,"CUADROS";#N/A,#N/A,TRUE,"SCADA´s";#N/A,#N/A,TRUE,"PRECIOS EQUIPOS"}</definedName>
    <definedName name="JMBMI" hidden="1">{#N/A,#N/A,TRUE,"RESUMEN ECON.";#N/A,#N/A,TRUE,"Costos de R.H.";#N/A,#N/A,TRUE,"COSTO HW";#N/A,#N/A,TRUE,"CUADROS";#N/A,#N/A,TRUE,"SCADA´s";#N/A,#N/A,TRUE,"PRECIOS EQUIPOS"}</definedName>
    <definedName name="jnhkjk" hidden="1">{#N/A,#N/A,TRUE,"BUD VS ACT AUST 96";#N/A,#N/A,TRUE,"96 COMP P&amp;L-AUST";#N/A,#N/A,TRUE,"COMP BS-AUSTRALIA";#N/A,#N/A,TRUE,"B/S - AUSTR."}</definedName>
    <definedName name="jnjnhjn" hidden="1">{#N/A,#N/A,TRUE,"BUD VS ACT AUST 96";#N/A,#N/A,TRUE,"96 COMP P&amp;L-AUST";#N/A,#N/A,TRUE,"COMP BS-AUSTRALIA";#N/A,#N/A,TRUE,"B/S - AUSTR."}</definedName>
    <definedName name="JNPRpublish" hidden="1">{#N/A,#N/A,FALSE,"Index";"Stmts_Qtrs",#N/A,FALSE,"Summary";"Stmts_24 mo",#N/A,FALSE,"Summary";"Summary_24",#N/A,FALSE,"Revenue";"Month_24",#N/A,FALSE,"Engineering";"Month_24",#N/A,FALSE,"Marketing";"Month_24",#N/A,FALSE,"G &amp; A";"Month_24",#N/A,FALSE,"Manufacturing"}</definedName>
    <definedName name="Joe" hidden="1">{"FY04_Assets",#N/A,FALSE,"Fin Stmt Budget";"FY04_Liabilities",#N/A,FALSE,"Fin Stmt Budget";"FY04_Inc_Stmt",#N/A,FALSE,"Fin Stmt Budget";"FY04_SOCF",#N/A,FALSE,"Fin Stmt Budget"}</definedName>
    <definedName name="Joost"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JUAN" hidden="1">{#N/A,#N/A,FALSE,"RESUMEN ECON.";#N/A,#N/A,FALSE,"Costos de R.H.";#N/A,#N/A,FALSE,"COSTO HW";#N/A,#N/A,FALSE,"CUADROS";#N/A,#N/A,FALSE,"SCADA´s";#N/A,#N/A,FALSE,"PRECIOS EQUIPOS"}</definedName>
    <definedName name="judy" hidden="1">{#N/A,#N/A,FALSE,"Pharm";#N/A,#N/A,FALSE,"WWCM"}</definedName>
    <definedName name="judy1" hidden="1">{#N/A,#N/A,FALSE,"Pharm";#N/A,#N/A,FALSE,"WWCM"}</definedName>
    <definedName name="JUMABA" hidden="1">{#N/A,#N/A,TRUE,"RESUMEN ECON.";#N/A,#N/A,TRUE,"Costos de R.H.";#N/A,#N/A,TRUE,"COSTO HW";#N/A,#N/A,TRUE,"CUADROS";#N/A,#N/A,TRUE,"SCADA´s";#N/A,#N/A,TRUE,"PRECIOS EQUIPOS"}</definedName>
    <definedName name="junk" hidden="1">#REF!</definedName>
    <definedName name="junk2" hidden="1">#REF!</definedName>
    <definedName name="junk3" hidden="1">{"BS",#N/A,FALSE,"USA"}</definedName>
    <definedName name="junkme" hidden="1">{#N/A,#N/A,TRUE,"Status Report";#N/A,#N/A,TRUE,"Current Forecast";#N/A,#N/A,TRUE,"Last Forecast";#N/A,#N/A,TRUE,"BP";#N/A,#N/A,TRUE,"LY"}</definedName>
    <definedName name="k" hidden="1">{#N/A,#N/A,FALSE,"BS";#N/A,#N/A,FALSE,"PL";#N/A,#N/A,FALSE,"SOE";#N/A,#N/A,FALSE,"SCF"}</definedName>
    <definedName name="K2__CVPARAMS__" hidden="1">"Any by Any!$B$17:$C$38;"</definedName>
    <definedName name="K2__LOCKEDCVW__" hidden="1">#VALUE!</definedName>
    <definedName name="K2__LOCKSTATUS__" hidden="1">1</definedName>
    <definedName name="K2__MAXEXPCOLS__" hidden="1">100</definedName>
    <definedName name="K2__MAXEXPROWS__" hidden="1">1000</definedName>
    <definedName name="K2__WBEVMODE__" hidden="1">0</definedName>
    <definedName name="K2__WBREFOPTIONS__" hidden="1">39</definedName>
    <definedName name="K2__WSINFO__" hidden="1">"osoft"</definedName>
    <definedName name="K2_WBEVMODE" hidden="1">0</definedName>
    <definedName name="ka" hidden="1">{"TOTAL",#N/A,FALSE,"A";"FISCAL94",#N/A,FALSE,"A";"FISCAL95",#N/A,FALSE,"A";"FISCAL96",#N/A,FALSE,"A";"misc page",#N/A,FALSE,"A"}</definedName>
    <definedName name="kas" hidden="1">{"TOTAL",#N/A,FALSE,"A";"FISCAL94",#N/A,FALSE,"A";"FISCAL95",#N/A,FALSE,"A";"FISCAL96",#N/A,FALSE,"A";"misc page",#N/A,FALSE,"A"}</definedName>
    <definedName name="KDJD"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Kfw" hidden="1">{"coversht",#N/A,TRUE,"TOC";"assmp1",#N/A,TRUE,"ASS";"assmp2",#N/A,TRUE,"ASS";"cashfl1",#N/A,TRUE,"CF";"return1",#N/A,TRUE,"Return";"return2",#N/A,TRUE,"Return";"EIncome",#N/A,TRUE,"EINC";"rev1",#N/A,TRUE,"Rev";"rev2",#N/A,TRUE,"Rev";"exp1",#N/A,TRUE,"Exp";"exp2",#N/A,TRUE,"Exp";"exp3",#N/A,TRUE,"Exp";"exp4",#N/A,TRUE,"Exp";"MaintRes",#N/A,TRUE,"MRES";"drwdn1",#N/A,TRUE,"Drwdn";"drwdn2",#N/A,TRUE,"Drwdn";"drwdn3",#N/A,TRUE,"Drwdn";"debt1",#N/A,TRUE,"Fin";"debt2",#N/A,TRUE,"Fin";"tax1",#N/A,TRUE,"TAXES";"tax2",#N/A,TRUE,"TAXES";"Deprec",#N/A,TRUE,"DEPR";"Balsht1",#N/A,TRUE,"BS_IS";"Balsht2",#N/A,TRUE,"BS_IS";"Ref1",#N/A,TRUE,"REF1";"Ref2",#N/A,TRUE,"REF2";"Ref3",#N/A,TRUE,"REF3";"Ref4",#N/A,TRUE,"REF4"}</definedName>
    <definedName name="kgkg" hidden="1">{#N/A,#N/A,FALSE,"COVER";#N/A,#N/A,FALSE,"Index";#N/A,#N/A,FALSE,"Non-Earning";#N/A,#N/A,FALSE,"Non-Earning_Recovery"}</definedName>
    <definedName name="KGKHJ"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j" hidden="1">{"CASHFLOW",#N/A,FALSE,"Northpointe"}</definedName>
    <definedName name="kjo" hidden="1">{#N/A,#N/A,FALSE,"SUMMARY";#N/A,#N/A,FALSE,"mcsh";#N/A,#N/A,FALSE,"vol&amp;rev";#N/A,#N/A,FALSE,"wkgcap";#N/A,#N/A,FALSE,"DEPR&amp;DT";#N/A,#N/A,FALSE,"ASSETS";#N/A,#N/A,FALSE,"NI&amp;OTH&amp;DIV";#N/A,#N/A,FALSE,"CASHFLOW";#N/A,#N/A,FALSE,"CAPEMPL";#N/A,#N/A,FALSE,"ROCE"}</definedName>
    <definedName name="kk" hidden="1">{#N/A,#N/A,TRUE,"Sel Fn Data QTD";#N/A,#N/A,TRUE,"Table 1 YTD";#N/A,#N/A,TRUE,"Tables 2 to 4 PL";#N/A,#N/A,TRUE,"Tables 5 to 9 ALLL";#N/A,#N/A,TRUE,"Table 10 to 13 - Balance Sheet"}</definedName>
    <definedName name="kkk" hidden="1">{#N/A,#N/A,TRUE,"BUD VS ACT AUST 96";#N/A,#N/A,TRUE,"96 COMP P&amp;L-AUST";#N/A,#N/A,TRUE,"COMP BS-AUSTRALIA";#N/A,#N/A,TRUE,"B/S - AUSTR."}</definedName>
    <definedName name="kkkk" hidden="1">{#N/A,#N/A,TRUE,"BUD VS ACT AUST 96";#N/A,#N/A,TRUE,"96 COMP P&amp;L-AUST";#N/A,#N/A,TRUE,"COMP BS-AUSTRALIA";#N/A,#N/A,TRUE,"B/S - AUSTR."}</definedName>
    <definedName name="kkkkkkk" hidden="1">{#N/A,#N/A,TRUE,"BUD VS ACT AUST 96";#N/A,#N/A,TRUE,"96 COMP P&amp;L-AUST";#N/A,#N/A,TRUE,"COMP BS-AUSTRALIA";#N/A,#N/A,TRUE,"B/S - AUSTR."}</definedName>
    <definedName name="klklkl" hidden="1">{#N/A,#N/A,TRUE,"BUD VS ACT AUST 96";#N/A,#N/A,TRUE,"96 COMP P&amp;L-AUST";#N/A,#N/A,TRUE,"COMP BS-AUSTRALIA";#N/A,#N/A,TRUE,"B/S - AUSTR."}</definedName>
    <definedName name="klklklkl" hidden="1">{#N/A,#N/A,FALSE,"Index";"Stmts_Qtrs",#N/A,FALSE,"Summary";"Stmts_24 mo",#N/A,FALSE,"Summary";"Summary_24",#N/A,FALSE,"Revenue";"Month_24",#N/A,FALSE,"Engineering";"Month_24",#N/A,FALSE,"Marketing";"Month_24",#N/A,FALSE,"G &amp; A";"Month_24",#N/A,FALSE,"Manufacturing"}</definedName>
    <definedName name="kslkjkjlkjd" hidden="1">{#N/A,#N/A,FALSE,"REPORT"}</definedName>
    <definedName name="ku" hidden="1">{#N/A,#N/A,TRUE,"BUD VS ACT AUST 96";#N/A,#N/A,TRUE,"96 COMP P&amp;L-AUST";#N/A,#N/A,TRUE,"COMP BS-AUSTRALIA";#N/A,#N/A,TRUE,"B/S - AUSTR."}</definedName>
    <definedName name="kyd.CounterLimitCell.01." hidden="1">"x"</definedName>
    <definedName name="kyd.CounterLimitCell.02." hidden="1">"x"</definedName>
    <definedName name="kyd.Dim.01." hidden="1">"chandept"</definedName>
    <definedName name="kyd.Dim.02." hidden="1">"chandep#"</definedName>
    <definedName name="kyd.ElementList.01." hidden="1">"x"</definedName>
    <definedName name="kyd.ElementType.01." hidden="1">1</definedName>
    <definedName name="kyd.ElementType.02." hidden="1">1</definedName>
    <definedName name="kyd.ItemType.01." hidden="1">1</definedName>
    <definedName name="kyd.ItemType.02." hidden="1">2</definedName>
    <definedName name="kyd.MacroAfterMemoRow." hidden="1">""</definedName>
    <definedName name="kyd.MacroAfterZap." hidden="1">""</definedName>
    <definedName name="kyd.MacroStartOfProc." hidden="1">""</definedName>
    <definedName name="kyd.NumLevels.01." hidden="1">999</definedName>
    <definedName name="kyd.NumLevels.02." hidden="1">999</definedName>
    <definedName name="kyd.ParentName.01." hidden="1">"TOTAL PRODUCTION"</definedName>
    <definedName name="kyd.ParentName.02." hidden="1">""</definedName>
    <definedName name="kyd.PrintParent.01." hidden="1">FALSE</definedName>
    <definedName name="kyd.PrintParent.02." hidden="1">TRUE</definedName>
    <definedName name="kyd.PrintToWbk." hidden="1">FALSE</definedName>
    <definedName name="kyd.SelectString.01." hidden="1">"*"</definedName>
    <definedName name="kyd.SelectString.02." hidden="1">"*"</definedName>
    <definedName name="kyd.Shortcut." hidden="1">FALSE</definedName>
    <definedName name="kyd.UsePrintCtrlRange." hidden="1">TRUE</definedName>
    <definedName name="l" hidden="1">{#N/A,#N/A,FALSE,"Comp Balance";#N/A,#N/A,FALSE,"Sum Balance ";#N/A,#N/A,FALSE,"Balance Trend";#N/A,#N/A,FALSE,"Comp PL";#N/A,#N/A,FALSE,"PL";#N/A,#N/A,FALSE,"Sum PL";#N/A,#N/A,FALSE,"PL Trend";#N/A,#N/A,FALSE,"Change"}</definedName>
    <definedName name="Labourcost__h">#REF!</definedName>
    <definedName name="LaonPeriodCurrent">#REF!</definedName>
    <definedName name="Last_Row">#N/A</definedName>
    <definedName name="LBOAnalysis2" hidden="1">{"WACC_clientcopy",#N/A,FALSE,"Inputs";"Beta_clientcopy",#N/A,FALSE,"Inputs";"SCF_clientcopy",#N/A,FALSE,"Inputs";"ProBS_clientcopy",#N/A,FALSE,"Inputs";"BS_clientcopy",#N/A,FALSE,"Inputs";"ProIS_clientcopy",#N/A,FALSE,"Inputs";"IS_clientcopy",#N/A,FALSE,"Inputs";"Ratios_clientcopy",#N/A,FALSE,"Ratios"}</definedName>
    <definedName name="LBOCreditConsol" hidden="1">{"FCB_ALL",#N/A,FALSE,"FCB"}</definedName>
    <definedName name="lee" hidden="1">{#N/A,#N/A,FALSE,"Pharm";#N/A,#N/A,FALSE,"WWCM"}</definedName>
    <definedName name="lfj" hidden="1">{#N/A,#N/A,FALSE,"TABLE_1 YTD";#N/A,#N/A,FALSE,"TABLE_1A QTD";#N/A,#N/A,FALSE,"NORMAL_SPREAD_QTD";#N/A,#N/A,FALSE,"NORMAL_SPREAD_YTD";#N/A,#N/A,FALSE,"TAX_EQV";#N/A,#N/A,FALSE,"TAX EQUIV_INPUT";#N/A,#N/A,FALSE,"NET FROM FER";#N/A,#N/A,FALSE,"COVER"}</definedName>
    <definedName name="Library" hidden="1">"a1"</definedName>
    <definedName name="Lifeguard">#REF!</definedName>
    <definedName name="limcount" hidden="1">1</definedName>
    <definedName name="ListOffset" hidden="1">1</definedName>
    <definedName name="lkj" hidden="1">#REF!</definedName>
    <definedName name="lklkl" hidden="1">{"consolidated",#N/A,FALSE,"Sheet1";"cms",#N/A,FALSE,"Sheet1";"fse",#N/A,FALSE,"Sheet1"}</definedName>
    <definedName name="ll" hidden="1">{#N/A,#N/A,FALSE,"PL-FS";#N/A,#N/A,FALSE,"PL"}</definedName>
    <definedName name="LLCP" hidden="1">{"PAGE1",#N/A,FALSE,"BID (3)";"PAGE2",#N/A,FALSE,"BID (3)"}</definedName>
    <definedName name="LLL" hidden="1">{#N/A,#N/A,FALSE,"ACQ_GRAPHS";#N/A,#N/A,FALSE,"T_1 GRAPHS";#N/A,#N/A,FALSE,"T_2 GRAPHS";#N/A,#N/A,FALSE,"COMB_GRAPHS"}</definedName>
    <definedName name="lllll" hidden="1">{"Summary",#N/A,FALSE,"Details (2)"}</definedName>
    <definedName name="lllllllll" hidden="1">{"SUM",#N/A,FALSE,"Details (2)"}</definedName>
    <definedName name="lllllllllllllllllll" hidden="1">{"Summary",#N/A,FALSE,"Details (2)"}</definedName>
    <definedName name="lnk_Print_Area" hidden="1">#REF!</definedName>
    <definedName name="Loan_Amount">#REF!</definedName>
    <definedName name="Loan_Not_Paid">IF(#REF!&lt;=Number_of_Payments,1,0)</definedName>
    <definedName name="Loan2016">(#REF!*#REF!*#REF!*#REF!)&gt;0</definedName>
    <definedName name="Loan2017">(#REF!*#REF!*#REF!*#REF!)&gt;0</definedName>
    <definedName name="Loan2018">(#REF!*#REF!*#REF!*#REF!)&gt;0</definedName>
    <definedName name="LoanAmount">#REF!</definedName>
    <definedName name="LoanAmount2014">#REF!</definedName>
    <definedName name="LoanAmount2016">#REF!</definedName>
    <definedName name="LoanAmount2017">#REF!</definedName>
    <definedName name="LoanAmount2018">#REF!</definedName>
    <definedName name="LoanAmountCurrent">#REF!</definedName>
    <definedName name="LoanAmountRealEstate">#REF!</definedName>
    <definedName name="LoanIsGood">(#REF!*#REF!*#REF!*#REF!)&gt;0</definedName>
    <definedName name="LoanPeriod">#REF!</definedName>
    <definedName name="LoanPeriod2014">#REF!</definedName>
    <definedName name="LoanPeriod2016">#REF!</definedName>
    <definedName name="LoanPeriod2017">#REF!</definedName>
    <definedName name="LoanPeriod2018">#REF!</definedName>
    <definedName name="LoanPeriodRealEstate">#REF!</definedName>
    <definedName name="LoanRealEstate">(#REF!*#REF!*#REF!*#REF!)&gt;0</definedName>
    <definedName name="LoanStartDate">#REF!</definedName>
    <definedName name="LoanStartDate2014">#REF!</definedName>
    <definedName name="LoanStartDate2016">#REF!</definedName>
    <definedName name="LoanStartDate2017">#REF!</definedName>
    <definedName name="LoanStartDate2018">#REF!</definedName>
    <definedName name="LoanStartDateCurrent">#REF!</definedName>
    <definedName name="LoanStartDateRealEstate">#REF!</definedName>
    <definedName name="Local" hidden="1">{"arpm1995",#N/A,FALSE,"Summary 95-96";"bus_long_distance",#N/A,FALSE,"Summary 95-96";"mins_per_day",#N/A,FALSE,"Summary 95-96";"minutes1995",#N/A,FALSE,"Summary 95-96";"rev_per_day",#N/A,FALSE,"Summary 95-96";"view1995",#N/A,FALSE,"Summary 95-96"}</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tion">#REF!</definedName>
    <definedName name="LOI" hidden="1">{#N/A,#N/A,FALSE,"TABLE_1 YTD";#N/A,#N/A,FALSE,"TABLE_1A QTD";#N/A,#N/A,FALSE,"NORMAL_SPREAD_QTD";#N/A,#N/A,FALSE,"NORMAL_SPREAD_YTD";#N/A,#N/A,FALSE,"TAX_EQV";#N/A,#N/A,FALSE,"TAX EQUIV_INPUT";#N/A,#N/A,FALSE,"NET FROM FER";#N/A,#N/A,FALSE,"COVER"}</definedName>
    <definedName name="LookupIndex">#REF!</definedName>
    <definedName name="m" hidden="1">{#N/A,#N/A,FALSE,"COVER";#N/A,#N/A,FALSE,"Index";#N/A,#N/A,FALSE,"Non-Earning";#N/A,#N/A,FALSE,"Commercial";#N/A,#N/A,FALSE,"Detailed"}</definedName>
    <definedName name="M_A" hidden="1">{#N/A,#N/A,FALSE,"Rev Grwth";#N/A,#N/A,FALSE,"Op Inc Grwth";#N/A,#N/A,FALSE,"Net Grwth";#N/A,#N/A,FALSE,"EPS Growth"}</definedName>
    <definedName name="M_PlaceofPath" hidden="1">"G:\blabla"</definedName>
    <definedName name="MACTCostout">#REF!</definedName>
    <definedName name="MACTInvout">#REF!</definedName>
    <definedName name="Management" hidden="1">{#N/A,"Faber45",FALSE,"LBPROFOR";#N/A,"Faber50",FALSE,"LBPROFOR";#N/A,"Faber55",FALSE,"LBPROFOR";#N/A,"Faber60",FALSE,"LBPROFOR"}</definedName>
    <definedName name="Managemnt" hidden="1">{#N/A,"Faber45",FALSE,"LBPROFOR";#N/A,"Faber50",FALSE,"LBPROFOR";#N/A,"Faber55",FALSE,"LBPROFOR";#N/A,"Faber60",FALSE,"LBPROFOR"}</definedName>
    <definedName name="Mar00" hidden="1">{"Statement of Income",#N/A,TRUE,"Mar99";"Balance Sheet",#N/A,TRUE,"Mar99"}</definedName>
    <definedName name="Mar00TB" hidden="1">{"Statement of Income",#N/A,TRUE,"Mar99";"Balance Sheet",#N/A,TRUE,"Mar99"}</definedName>
    <definedName name="mar00tb1" hidden="1">{"Statement of Income",#N/A,TRUE,"Mar99";"Balance Sheet",#N/A,TRUE,"Mar99"}</definedName>
    <definedName name="Mark" hidden="1">{"WACC_clientcopy",#N/A,FALSE,"Inputs";"Beta_clientcopy",#N/A,FALSE,"Inputs";"SCF_clientcopy",#N/A,FALSE,"Inputs";"ProBS_clientcopy",#N/A,FALSE,"Inputs";"BS_clientcopy",#N/A,FALSE,"Inputs";"ProIS_clientcopy",#N/A,FALSE,"Inputs";"IS_clientcopy",#N/A,FALSE,"Inputs";"Ratios_clientcopy",#N/A,FALSE,"Ratios"}</definedName>
    <definedName name="mason?" hidden="1">{#N/A,#N/A,FALSE,"Data &amp; Key Results";#N/A,#N/A,FALSE,"Summary Template";#N/A,#N/A,FALSE,"Budget";#N/A,#N/A,FALSE,"Present Value Comparison";#N/A,#N/A,FALSE,"Cashflow";#N/A,#N/A,FALSE,"Income";#N/A,#N/A,FALSE,"Inputs"}</definedName>
    <definedName name="mason2" hidden="1">{#N/A,#N/A,FALSE,"Data &amp; Key Results";#N/A,#N/A,FALSE,"Summary Template";#N/A,#N/A,FALSE,"Budget";#N/A,#N/A,FALSE,"Present Value Comparison";#N/A,#N/A,FALSE,"Cashflow";#N/A,#N/A,FALSE,"Income";#N/A,#N/A,FALSE,"Inputs"}</definedName>
    <definedName name="mason3" hidden="1">{#N/A,#N/A,FALSE,"Data &amp; Key Results";#N/A,#N/A,FALSE,"Summary Template";#N/A,#N/A,FALSE,"Budget";#N/A,#N/A,FALSE,"Present Value Comparison";#N/A,#N/A,FALSE,"Cashflow";#N/A,#N/A,FALSE,"Income";#N/A,#N/A,FALSE,"Inputs"}</definedName>
    <definedName name="mason4" hidden="1">{#N/A,#N/A,FALSE,"Data &amp; Key Results";#N/A,#N/A,FALSE,"Summary Template";#N/A,#N/A,FALSE,"Budget";#N/A,#N/A,FALSE,"Present Value Comparison";#N/A,#N/A,FALSE,"Cashflow";#N/A,#N/A,FALSE,"Income";#N/A,#N/A,FALSE,"Inputs"}</definedName>
    <definedName name="mason5" hidden="1">{#N/A,#N/A,FALSE,"Data &amp; Key Results";#N/A,#N/A,FALSE,"Summary Template";#N/A,#N/A,FALSE,"Budget";#N/A,#N/A,FALSE,"Present Value Comparison";#N/A,#N/A,FALSE,"Cashflow";#N/A,#N/A,FALSE,"Income";#N/A,#N/A,FALSE,"Inputs"}</definedName>
    <definedName name="masonII" hidden="1">{#N/A,#N/A,FALSE,"Data &amp; Key Results";#N/A,#N/A,FALSE,"Summary Template";#N/A,#N/A,FALSE,"Budget";#N/A,#N/A,FALSE,"Present Value Comparison";#N/A,#N/A,FALSE,"Cashflow";#N/A,#N/A,FALSE,"Income";#N/A,#N/A,FALSE,"Inputs"}</definedName>
    <definedName name="matrix"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MDI" hidden="1">{#N/A,#N/A,FALSE,"SUMMARY";#N/A,#N/A,FALSE,"mcsh";#N/A,#N/A,FALSE,"vol&amp;rev";#N/A,#N/A,FALSE,"wkgcap";#N/A,#N/A,FALSE,"DEPR&amp;DT";#N/A,#N/A,FALSE,"ASSETS";#N/A,#N/A,FALSE,"NI&amp;OTH&amp;DIV";#N/A,#N/A,FALSE,"CASHFLOW";#N/A,#N/A,FALSE,"CAPEMPL";#N/A,#N/A,FALSE,"ROCE"}</definedName>
    <definedName name="MerrillPrintIt" hidden="1">#REF!</definedName>
    <definedName name="Method_abbrev">#REF!</definedName>
    <definedName name="MEWarning" hidden="1">1</definedName>
    <definedName name="mfgr" hidden="1">{"PAGE 1",#N/A,FALSE,"WEST_OT"}</definedName>
    <definedName name="mfgtest" hidden="1">{"PAGE 1",#N/A,FALSE,"WEST_OT"}</definedName>
    <definedName name="MGHM"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gmt" hidden="1">{#N/A,"Faber45",FALSE,"LBPROFOR";#N/A,"Faber50",FALSE,"LBPROFOR";#N/A,"Faber55",FALSE,"LBPROFOR";#N/A,"Faber60",FALSE,"LBPROFOR"}</definedName>
    <definedName name="Mgmt." hidden="1">{#N/A,"Faber45",FALSE,"LBPROFOR";#N/A,"Faber50",FALSE,"LBPROFOR";#N/A,"Faber55",FALSE,"LBPROFOR";#N/A,"Faber60",FALSE,"LBPROFOR"}</definedName>
    <definedName name="mgmtfee">#REF!</definedName>
    <definedName name="mgmtfees">#REF!</definedName>
    <definedName name="mhj"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idwest" hidden="1">{"FY02_Assets",#N/A,FALSE,"Fin Stmt Budget";"FY02_Liabilities",#N/A,FALSE,"Fin Stmt Budget";"FY02_Inc_Stmt",#N/A,FALSE,"Fin Stmt Budget";"FY02_SOCF",#N/A,FALSE,"Fin Stmt Budget"}</definedName>
    <definedName name="Mie" hidden="1">#REF!</definedName>
    <definedName name="min" hidden="1">{#N/A,#N/A,FALSE,"REPORT"}</definedName>
    <definedName name="mina" hidden="1">{#N/A,#N/A,FALSE,"REPORT"}</definedName>
    <definedName name="misc"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mj" hidden="1">{#N/A,#N/A,FALSE,"FY97";#N/A,#N/A,FALSE,"FY98";#N/A,#N/A,FALSE,"FY99";#N/A,#N/A,FALSE,"FY00";#N/A,#N/A,FALSE,"FY01"}</definedName>
    <definedName name="mkj" hidden="1">{#N/A,#N/A,TRUE,"A";#N/A,#N/A,TRUE,"B";#N/A,#N/A,TRUE,"C";#N/A,#N/A,TRUE,"D";#N/A,#N/A,TRUE,"E"}</definedName>
    <definedName name="mkting_adv" hidden="1">{#N/A,#N/A,FALSE,"ASSUMPTIONS";#N/A,#N/A,FALSE,"Valuation Summary";"page1",#N/A,FALSE,"PRESENTATION";"page2",#N/A,FALSE,"PRESENTATION";#N/A,#N/A,FALSE,"ORIGINAL_ROLLBACK"}</definedName>
    <definedName name="mkting_adver" hidden="1">{#N/A,#N/A,FALSE,"ASSUMPTIONS";#N/A,#N/A,FALSE,"Valuation Summary";"page1",#N/A,FALSE,"PRESENTATION";"page2",#N/A,FALSE,"PRESENTATION";#N/A,#N/A,FALSE,"ORIGINAL_ROLLBACK"}</definedName>
    <definedName name="MLNK00d48aea1172490e8970884bfd0bc5ab" hidden="1">#REF!</definedName>
    <definedName name="MLNK00d8e64d840b46bea261783566ad72fd" hidden="1">#REF!</definedName>
    <definedName name="MLNK010e3d03325640fbbfa78190084e5e55" hidden="1">#REF!</definedName>
    <definedName name="MLNK018bfad56a014b6f84cfc7fb40567079" hidden="1">#REF!</definedName>
    <definedName name="MLNK01c3f180173548f9b3518767c367e255" hidden="1">#REF!</definedName>
    <definedName name="MLNK02152b7ac4cf43e68ef13bfa3f5e34b5" hidden="1">#REF!</definedName>
    <definedName name="MLNK02a642675097453c99726ed1eadfc982" hidden="1">#REF!</definedName>
    <definedName name="MLNK02aea829eba74d478a4d07f5e53d1edd" hidden="1">#REF!</definedName>
    <definedName name="MLNK02b436c54d1d4f1fb7ece854589ebc3b" hidden="1">#REF!</definedName>
    <definedName name="MLNK02ddb7e50a9a4088ad89faf3155f305e" hidden="1">#REF!</definedName>
    <definedName name="MLNK0365e2134fd54e1c8a59696978fd7f3d" hidden="1">#REF!</definedName>
    <definedName name="MLNK037a70f6dc4c4ccc86d3bc951b2599a8" hidden="1">#REF!</definedName>
    <definedName name="MLNK03d895c600f84237af0a9f6d50dde8ed" hidden="1">#REF!</definedName>
    <definedName name="MLNK04075ac9c75d447c8a0ebdbdc9a54c65" hidden="1">#REF!</definedName>
    <definedName name="MLNK041eecdb09db42f2b1830deb0adcca97" hidden="1">#REF!</definedName>
    <definedName name="MLNK043d7124ab0442d0a39b403197c01402" hidden="1">#REF!</definedName>
    <definedName name="MLNK044a71679f47458eaf36d10fdaae790f" hidden="1">#REF!</definedName>
    <definedName name="MLNK049def977a854a32b6d9fae794c51186" hidden="1">#REF!</definedName>
    <definedName name="MLNK04b34d7237ff4693803d53b078679e77" hidden="1">#REF!</definedName>
    <definedName name="MLNK04b6c35a0af34609870338b319dc73c6" hidden="1">#REF!</definedName>
    <definedName name="MLNK04baecedd8f843f7b8ab7f1e046494dc" hidden="1">#REF!</definedName>
    <definedName name="MLNK04c12b15290e4102b331188b33f480a5" hidden="1">#REF!</definedName>
    <definedName name="MLNK04e5a28d84a040ef8f83d3c026042dad" hidden="1">#REF!</definedName>
    <definedName name="MLNK04ed437773d6468f978a880d6fea840e" hidden="1">#REF!</definedName>
    <definedName name="MLNK052f3789d18e4da4b8a206db6d662f8c" hidden="1">#REF!</definedName>
    <definedName name="MLNK055891053a474c2da6a013d17eafcd56" hidden="1">#REF!</definedName>
    <definedName name="MLNK055957a194f74f8e9bafb258f3f928dc" hidden="1">#REF!</definedName>
    <definedName name="MLNK05e6e043f65a4369a35a8eca3ec1cd81" hidden="1">#REF!</definedName>
    <definedName name="MLNK060e2b647fc847038ccaa50e705b32b2" hidden="1">#REF!</definedName>
    <definedName name="MLNK064c2e8abed14178b8e9385f23e95e0f" hidden="1">#REF!</definedName>
    <definedName name="MLNK067b24e2d36045bcad70be643c35de32" hidden="1">#REF!</definedName>
    <definedName name="MLNK070510d453cb48d1938cdcf099afbdfc" hidden="1">#REF!</definedName>
    <definedName name="MLNK077f2649cfa54691bf98644e2b70ea32" hidden="1">#REF!</definedName>
    <definedName name="MLNK07a48200f15c4498a1034433e59fb9ee" hidden="1">#REF!</definedName>
    <definedName name="MLNK07be263f2fcd4d15883e60ea0124e0f8" hidden="1">#REF!</definedName>
    <definedName name="MLNK0810a7425db84fdbafb57121a4c1bdc7" hidden="1">#REF!</definedName>
    <definedName name="MLNK082f62a9898f4a6ebf0892b9a8dee313" hidden="1">#REF!</definedName>
    <definedName name="MLNK0837b19ae8b44ca0afd72e4ea716841d" hidden="1">#REF!</definedName>
    <definedName name="MLNK089379dd25fc469a8b451627548465a0" hidden="1">#REF!</definedName>
    <definedName name="MLNK08b0d9ab9b7f4a019f01558fa42f52cc" hidden="1">#REF!</definedName>
    <definedName name="MLNK0912ba9e3fb34f3481c5166500565f98" hidden="1">#REF!</definedName>
    <definedName name="MLNK0932a8a0f6734900b5db162af6d4008b" hidden="1">#REF!</definedName>
    <definedName name="MLNK09676ee764e448008376f2bfff9e384d" hidden="1">#REF!</definedName>
    <definedName name="MLNK09ca8a4d426f43c6957f64d21c1ea6f2" hidden="1">#REF!</definedName>
    <definedName name="MLNK0a25e559e0ca40d3b117c10dde841c8d" hidden="1">#REF!</definedName>
    <definedName name="MLNK0a4500987a0d44bea968f35f842414e7" hidden="1">#REF!</definedName>
    <definedName name="MLNK0b0460e4acf542378be2a3d79b7df220" hidden="1">#REF!</definedName>
    <definedName name="MLNK0b4b5f3a99ce4b28b1cca53ba01bc3c8" hidden="1">#REF!</definedName>
    <definedName name="MLNK0b60f77ace8b4dd786fd1017a509d59f" hidden="1">#REF!</definedName>
    <definedName name="MLNK0b6138e25adf4209b99f73f49521a659" hidden="1">#REF!</definedName>
    <definedName name="MLNK0b6d7acf1537445c8df3df619eeadc70" hidden="1">#REF!</definedName>
    <definedName name="MLNK0ba6122f99414cc7a645ceac1926563b" hidden="1">#REF!</definedName>
    <definedName name="MLNK0c19dec1a7144650b526abd40fd3e1c9" hidden="1">#REF!</definedName>
    <definedName name="MLNK0c29236af04547d8895347a76fdbff29" hidden="1">#REF!</definedName>
    <definedName name="MLNK0c5c90a12de446c89616d37cadb8f863" hidden="1">#REF!</definedName>
    <definedName name="MLNK0ca8413a6a4e48109c00e972f8591f15" hidden="1">#REF!</definedName>
    <definedName name="MLNK0d71dc310fad49ec85da7434597cd6be" hidden="1">'II. Attribution Summary'!$1:$1048576</definedName>
    <definedName name="MLNK0db0f33ed0324031b6b3ea38ff41c6b3" hidden="1">#REF!</definedName>
    <definedName name="MLNK0e30595ea35a4b91a9f0400f7da90810" hidden="1">#REF!</definedName>
    <definedName name="MLNK0ebc8ed7c46c46d58e01b3a65cc25bad" hidden="1">#REF!</definedName>
    <definedName name="MLNK0ec975729a544ee48ecaa4993f759464" hidden="1">#REF!</definedName>
    <definedName name="MLNK0f4d9d09d85b4de0b9b261242c3c6f1c" hidden="1">#REF!</definedName>
    <definedName name="MLNK0f79f0b17a0c4338ba2c447b8558f837" hidden="1">#REF!</definedName>
    <definedName name="MLNK0fa679e88a084677a1120db6a61735ad" hidden="1">#REF!</definedName>
    <definedName name="MLNK1024adbc06ef4afc80af92796cef5eb2" hidden="1">#REF!</definedName>
    <definedName name="MLNK102a6a0da87b49bd8c869ffdcb8f6a5c" hidden="1">#REF!</definedName>
    <definedName name="MLNK107e4e6ac1144bfaa2bc2084e05a38b1" hidden="1">#REF!</definedName>
    <definedName name="MLNK109a5f09a9564408889aa0ff076188fd" hidden="1">#REF!</definedName>
    <definedName name="MLNK11662eaef76e4b34a9367a4acb7fe680" hidden="1">#REF!</definedName>
    <definedName name="MLNK11ad7f67537f4d04b5b5e34d17a1dfe7" hidden="1">#REF!</definedName>
    <definedName name="MLNK11e2a30c9b564beeb398ac3e535a96de" hidden="1">#REF!</definedName>
    <definedName name="MLNK127813a1a6254a548e091fd36e1fbb47" hidden="1">#REF!</definedName>
    <definedName name="MLNK12defab03df94ea382b71e4a83c23c96" hidden="1">#REF!</definedName>
    <definedName name="MLNK12ed6ce69f62416b95961c29a9028b88" hidden="1">#REF!</definedName>
    <definedName name="MLNK12f7145ce43446359e563854d28497d8" hidden="1">#REF!</definedName>
    <definedName name="MLNK130ff3045ac04ccfa29018a9af525d40" hidden="1">#REF!</definedName>
    <definedName name="MLNK134f38e34bcd4dbc84982cc9d8fa79cc" hidden="1">#REF!</definedName>
    <definedName name="MLNK1352b7f45b1d412299a3ad4b5f3b89fc" hidden="1">#REF!</definedName>
    <definedName name="MLNK136a8efde5d14d7880780cb4288214c8" hidden="1">#REF!</definedName>
    <definedName name="MLNK13ddbac3ec9a4aa09442d2baa6c598cb" hidden="1">#REF!</definedName>
    <definedName name="MLNK1487ebd7dc5c4b63894d68c0c881662c" hidden="1">#REF!</definedName>
    <definedName name="MLNK14e06d7cc4024f199e311d3b65bbb63c" hidden="1">#REF!</definedName>
    <definedName name="MLNK14f348b8868749d6a8a95c58ed0ab190" hidden="1">#REF!</definedName>
    <definedName name="MLNK1502445670b740809babbf80893a2fc6" hidden="1">#REF!</definedName>
    <definedName name="MLNK152443f4dc284530ae9feab3cf399049" hidden="1">#REF!</definedName>
    <definedName name="MLNK15426febeea146dbb161891fa048bd4e" hidden="1">#REF!</definedName>
    <definedName name="MLNK155ed824d11e499683ac57119c33dda9" hidden="1">#REF!</definedName>
    <definedName name="MLNK15b7ef3db664462fa849976ff9d7981c" hidden="1">#REF!</definedName>
    <definedName name="MLNK15ce2520bab04a56a1b91f68d2bb2193" hidden="1">#REF!</definedName>
    <definedName name="MLNK162f966938f04101b98c78f158531e27" hidden="1">#REF!</definedName>
    <definedName name="MLNK1640758764ae42f58854a84587013ad5" hidden="1">#REF!</definedName>
    <definedName name="MLNK1667141e14db4dddafe801602f6dbbe4" hidden="1">#REF!</definedName>
    <definedName name="MLNK168568dec16c423ea55308759534aead" hidden="1">#REF!</definedName>
    <definedName name="MLNK16a713e7610a41beb1e604353d934383" hidden="1">#REF!</definedName>
    <definedName name="MLNK16bb90555bb549c4a8cb4cd97a93e068" hidden="1">#REF!</definedName>
    <definedName name="MLNK173613cafaad44b1b7af50510084e82e" hidden="1">#REF!</definedName>
    <definedName name="MLNK17543382e2bf4b3eaa92152d6f293baf" hidden="1">#REF!</definedName>
    <definedName name="MLNK17737a11b2a24bba8bb01c3ec1f7ae7a" hidden="1">#REF!</definedName>
    <definedName name="MLNK178577e9bca54e9fac9c3c155834084c" hidden="1">#REF!</definedName>
    <definedName name="MLNK17a250ca7ad54c63996c6439aaeaf61d" hidden="1">#REF!</definedName>
    <definedName name="MLNK182f57a86eca4d9b85a1b9529ba04b7b" hidden="1">#REF!</definedName>
    <definedName name="MLNK1858fd774bb344e7a103e6664db66667" hidden="1">#REF!</definedName>
    <definedName name="MLNK1878ac2ef4984cf88c7f6be575c72b35" hidden="1">#REF!</definedName>
    <definedName name="MLNK187aae0e1b444d2daa05f7fc058c71f3" hidden="1">#REF!</definedName>
    <definedName name="MLNK18c91ea14fe44af7b5151b4160cd85ee" hidden="1">#REF!</definedName>
    <definedName name="MLNK18d67e4ee034443ba5648d0dda6747bc" hidden="1">#REF!</definedName>
    <definedName name="MLNK18d7e2cdfe3c4b23bb4430da28ad21ed" hidden="1">#REF!</definedName>
    <definedName name="MLNK18ea120670984a17b7a93b6d9eb58e17" hidden="1">#REF!</definedName>
    <definedName name="MLNK18eb0f4412cb40a4ae711508efd03722" hidden="1">#REF!</definedName>
    <definedName name="MLNK1942f939dd30413084b5900bc3a48e91" hidden="1">#REF!</definedName>
    <definedName name="MLNK197a4e305f8e4a28923e9685bfe5755d" hidden="1">#REF!</definedName>
    <definedName name="MLNK19b612f645ba40d487eea870da703c63" hidden="1">#REF!</definedName>
    <definedName name="MLNK19da6caece2e4a0da0e0510020408a9f" hidden="1">#REF!</definedName>
    <definedName name="MLNK19e4b88b136243d6893d84d396dd2bd5" hidden="1">#REF!</definedName>
    <definedName name="MLNK1a0a6c0613af42ea92a854056e359225" hidden="1">#REF!</definedName>
    <definedName name="MLNK1a54210510d0478faa44db0489c964ab" hidden="1">#REF!</definedName>
    <definedName name="MLNK1ae0caeeb3404a96b18ca5f13d361dff" hidden="1">#REF!</definedName>
    <definedName name="MLNK1b25ef79157c4ecc86be17ec702147dd" hidden="1">#REF!</definedName>
    <definedName name="MLNK1b323a4c2490472c854bc05124ef80d4" hidden="1">#REF!</definedName>
    <definedName name="MLNK1b3e86fde2dd4141aabb68ae999a4618" hidden="1">#REF!</definedName>
    <definedName name="MLNK1b6576db0d4a4ecb9a3ceeef2c00a40c" hidden="1">#REF!</definedName>
    <definedName name="MLNK1bbde4f19d314fb39c326d95e637a7ce" hidden="1">#REF!</definedName>
    <definedName name="MLNK1bd17cb664b04a428b34b4b1a0645b8c" hidden="1">#REF!</definedName>
    <definedName name="MLNK1bde29be2bb04b7dba98a0a15c3656f7" hidden="1">#REF!</definedName>
    <definedName name="MLNK1c5a2340dcf14e12be7f6bb726377d0e" hidden="1">#REF!</definedName>
    <definedName name="MLNK1c83a07ed2a14eb297a3aafd495ea8f8" hidden="1">#REF!</definedName>
    <definedName name="MLNK1cbe96a220924eddb8390adadf496f4d" hidden="1">#REF!</definedName>
    <definedName name="MLNK1ccc525d461f4385af0cd2b35871489f" hidden="1">#REF!</definedName>
    <definedName name="MLNK1ce918b7705549a0afa18a494254a124" hidden="1">#REF!</definedName>
    <definedName name="MLNK1d1e5a3b1a924e08b4662e46be3f2d38" hidden="1">#REF!</definedName>
    <definedName name="MLNK1d5c895f4eea41f2b718762490aa5e5b" hidden="1">#REF!</definedName>
    <definedName name="MLNK1d87f7352fcc4050afa51b0b23b6df7b" hidden="1">#REF!</definedName>
    <definedName name="MLNK1db60897d9174faa80ff6d287eeac8b8" hidden="1">#REF!</definedName>
    <definedName name="MLNK1dd499f1d55b466eb23c641e6a6136f8" hidden="1">#REF!</definedName>
    <definedName name="MLNK1de8cf250711483ba35281509ce426a3" hidden="1">#REF!</definedName>
    <definedName name="MLNK1df26a80b42a42b6a78fc14adb776be2" hidden="1">#REF!</definedName>
    <definedName name="MLNK1e3416f91afd4c7e8ea5b27fda52ad61" hidden="1">#REF!</definedName>
    <definedName name="MLNK1eb887c9286a439a884bc331ae8bd4c8" hidden="1">#REF!</definedName>
    <definedName name="MLNK1ebde96b05674a958c11f4ff3ffec652" hidden="1">#REF!</definedName>
    <definedName name="MLNK1ec749ccabbf4bccb4158cf9db8fa5a8" hidden="1">#REF!</definedName>
    <definedName name="MLNK1ed9a9c015714d9884c43ad771630ae0" hidden="1">#REF!</definedName>
    <definedName name="MLNK1fd1a613b4e042338ae9b944d7c75226" hidden="1">#REF!</definedName>
    <definedName name="MLNK2001e30c2e79462fb212bee2d523546c" hidden="1">#REF!</definedName>
    <definedName name="MLNK2004611481114fd7836a787ce7cbc787" hidden="1">#REF!</definedName>
    <definedName name="MLNK200f8b4ac20f454f8d2e8d1e53220a6e" hidden="1">#REF!</definedName>
    <definedName name="MLNK205684d319924bf28951b6697b190691" hidden="1">#REF!</definedName>
    <definedName name="MLNK2070a8a62489433ea2ef832a7b27ce8e" hidden="1">#REF!</definedName>
    <definedName name="MLNK20c0223ce6734d50a8190d7880163c4a" hidden="1">#REF!</definedName>
    <definedName name="MLNK20db4d3c94964f3a8f93dbbc366d2cfd" hidden="1">#REF!</definedName>
    <definedName name="MLNK20dfbb85d3b7401c99660bb1244ed3a9" hidden="1">#REF!</definedName>
    <definedName name="MLNK20ec3ff50f064852adb8fd689f113130" hidden="1">#REF!</definedName>
    <definedName name="MLNK21060abefe22464881ffa9dc4087f34a" hidden="1">#REF!</definedName>
    <definedName name="MLNK21407499ba784667b4908f9c47c07ba0" hidden="1">#REF!</definedName>
    <definedName name="MLNK215d6ec32f3f4db6a3d798cc5297a671" hidden="1">#REF!</definedName>
    <definedName name="MLNK216741f5dafc4782a31735a1bbf0c00b" hidden="1">#REF!</definedName>
    <definedName name="MLNK21819cd4be3747afaafe7fd6af1a80dd" hidden="1">#REF!</definedName>
    <definedName name="MLNK229a2b2b0c4a440a8dbf3b003bd22daf" hidden="1">#REF!</definedName>
    <definedName name="MLNK22c1dd1486eb4d0bbe8b6967d445e8fa" hidden="1">#REF!</definedName>
    <definedName name="MLNK22ce0c9beddd4f4da71913428d79398c" hidden="1">#REF!</definedName>
    <definedName name="MLNK22e9426a49e8430ba371851947a600ab" hidden="1">#REF!</definedName>
    <definedName name="MLNK22f9babadad14fe69bfb139dcfe3e073" hidden="1">#REF!</definedName>
    <definedName name="MLNK233feeaa85db4459a7b9b00424fa2ff8" hidden="1">#REF!</definedName>
    <definedName name="MLNK234aa67dc8194cb7b84c69195c2a78e7" hidden="1">#REF!</definedName>
    <definedName name="MLNK23a22acb0ce643cfab0c7c09267827be" hidden="1">#REF!</definedName>
    <definedName name="MLNK23aa398038ca4900a96aa29fa7fbdd3c" hidden="1">#REF!</definedName>
    <definedName name="MLNK23e7d64cf91849bf971cdd0e2506b3b9" hidden="1">#REF!</definedName>
    <definedName name="MLNK242f346894804e1886d2cf64cec38165" hidden="1">#REF!</definedName>
    <definedName name="MLNK246384bbcf194625b2933d5f1c38b570" hidden="1">#REF!</definedName>
    <definedName name="MLNK2474a500bbc54ae7929db86934bc6273" hidden="1">#REF!</definedName>
    <definedName name="MLNK248d278871b84e2792eedd558fb1f21a" hidden="1">#REF!</definedName>
    <definedName name="MLNK24a3535198864783b147b6db4dfd1e1e" hidden="1">'V. Comparables'!$B$8:$U$37</definedName>
    <definedName name="MLNK24cd202804cc4c9ab3044945bd3e3713" hidden="1">#REF!</definedName>
    <definedName name="MLNK2573f5f2b0a147228dcc43cff2d4ac48" hidden="1">#REF!</definedName>
    <definedName name="MLNK25774000f4c845548c231c7e9e2d28e9" hidden="1">#REF!</definedName>
    <definedName name="MLNK259ca339584144f5926618d12b15da3e" hidden="1">#REF!</definedName>
    <definedName name="MLNK25a89f60adf6498fb802aaec26c25d00" hidden="1">#REF!</definedName>
    <definedName name="MLNK25f9e2e8d5514c5489f2b23bea37f935" hidden="1">#REF!</definedName>
    <definedName name="MLNK266463e15e3f4d399b527a36514bf327" hidden="1">#REF!</definedName>
    <definedName name="MLNK26c398595c9545efbd82dca4a520047a" hidden="1">#REF!</definedName>
    <definedName name="MLNK26cda75b65fd41048c6f187517f0d6ba" hidden="1">#REF!</definedName>
    <definedName name="MLNK27b413fbc3074fa8a7204f0e322ac122" hidden="1">#REF!</definedName>
    <definedName name="MLNK27be72fe1eb749d3b5e9b01be33dfce4" hidden="1">#REF!</definedName>
    <definedName name="MLNK27f4b8570bad4ba0ad262108ff4c0490" hidden="1">#REF!</definedName>
    <definedName name="MLNK283fb3755a3949cf8c116f069e7c1f26" hidden="1">#REF!</definedName>
    <definedName name="MLNK28a0b1aa20c6443e83b6ef12d5d06102" hidden="1">#REF!</definedName>
    <definedName name="MLNK28d3e9b39a374a92b8582fe6c1b20cff" hidden="1">#REF!</definedName>
    <definedName name="MLNK291cdfb6f516442784c0baf3b12fde25" hidden="1">#REF!</definedName>
    <definedName name="MLNK29814a5538324abfbbc2da617e73d6f7" hidden="1">#REF!</definedName>
    <definedName name="MLNK299ae3da7f4f4b678de7f52a7f43c2db" hidden="1">#REF!</definedName>
    <definedName name="MLNK29c57d71f4d746e7898935907da19e0c" hidden="1">#REF!</definedName>
    <definedName name="MLNK29ddfe4369a14c9fbcc6eadd5635ac97" hidden="1">#REF!</definedName>
    <definedName name="MLNK29e39640eaab48838edc89ddf6129fad" hidden="1">#REF!</definedName>
    <definedName name="MLNK29e84db5458b45658bb97db4ee5141fa" hidden="1">#REF!</definedName>
    <definedName name="MLNK2a3ee11a92fa4dcda90e91c5ac75f4b8" hidden="1">#REF!</definedName>
    <definedName name="MLNK2a66a9a6067d41c4b732299fbf08c3ff" hidden="1">#REF!</definedName>
    <definedName name="MLNK2abee68d748f43408f3c78ff1aab5cd8" hidden="1">#REF!</definedName>
    <definedName name="MLNK2af37a8c5716436c80480d24bfdfebf5" hidden="1">#REF!</definedName>
    <definedName name="MLNK2b2c36ff82434559965b4adeae9bae8e" hidden="1">#REF!</definedName>
    <definedName name="MLNK2b452caa83434d14a5a8bf95fbfefdb4" hidden="1">#REF!</definedName>
    <definedName name="MLNK2b85baa9501840b6827700471c774d80" hidden="1">#REF!</definedName>
    <definedName name="MLNK2b9b059d0a2a4ffeafce19ba06c9cdb7" hidden="1">#REF!</definedName>
    <definedName name="MLNK2c18432822ef4f83a820c2daed1e8bc0" hidden="1">#REF!</definedName>
    <definedName name="MLNK2c1d34afd9114e0cb98026253739a18c" hidden="1">#REF!</definedName>
    <definedName name="MLNK2c9088fbcd634d40b09e37e4e2d3a7c4" hidden="1">#REF!</definedName>
    <definedName name="MLNK2cdcb8c0da344338857917f8e6cf0ea9" hidden="1">#REF!</definedName>
    <definedName name="MLNK2db7e1032d8c4d67a7116fb19fe6fa4a" hidden="1">#REF!</definedName>
    <definedName name="MLNK2dde9e6c41854b1e9663e48deaceee5a" hidden="1">#REF!</definedName>
    <definedName name="MLNK2e0e82da538e46ce9ca37e55f7f8e7f6" hidden="1">#REF!</definedName>
    <definedName name="MLNK2e229c7e6c1a4a3eb10431ebf4b8170e" hidden="1">#REF!</definedName>
    <definedName name="MLNK2e460db3c1dc4d9696b0d3ab336335e7" hidden="1">#REF!</definedName>
    <definedName name="MLNK2e74d86902b44d1fb46c4e137bcb62a8" hidden="1">#REF!</definedName>
    <definedName name="MLNK2e82277e5cfc441690b7a45bea95cbd7" hidden="1">#REF!</definedName>
    <definedName name="MLNK2e90962703ad48c792ea668d84149920" hidden="1">#REF!</definedName>
    <definedName name="MLNK2f0b5324375b449b94bf8a49a9cb7754" hidden="1">#REF!</definedName>
    <definedName name="MLNK2f4a112b947843ec96ec0f617edea6b0" hidden="1">#REF!</definedName>
    <definedName name="MLNK2fcc315946d0479abaaccbea735dcd40" hidden="1">#REF!</definedName>
    <definedName name="MLNK2fdab45756db44ec9d00cc9a3ff181d6" hidden="1">#REF!</definedName>
    <definedName name="MLNK300a116a290b4ed4b3002b11ff01efdb" hidden="1">#REF!</definedName>
    <definedName name="MLNK3023dd2be278431c949d5f4b2ac68deb" hidden="1">#REF!</definedName>
    <definedName name="MLNK303b4d13bf9d4ab6b918ec321bc7d36d" hidden="1">#REF!</definedName>
    <definedName name="MLNK30b27c2cda9f470faea966f90bdec659" hidden="1">#REF!</definedName>
    <definedName name="MLNK3183f1eaa02944f8af9a4551bab49622" hidden="1">#REF!</definedName>
    <definedName name="MLNK3191c7771c5c4908bde70ad7e0523638" hidden="1">#REF!</definedName>
    <definedName name="MLNK31c437e513bd43708561c0a56b16836b" hidden="1">#REF!</definedName>
    <definedName name="MLNK32306623c2454cb5ab9187ccf45e85bd" hidden="1">#REF!</definedName>
    <definedName name="MLNK32fd0f86f0a34afdaee1f5a585a58c2c" hidden="1">#REF!</definedName>
    <definedName name="MLNK32fedbfa15dc4117823fbf9e82354c14" hidden="1">#REF!</definedName>
    <definedName name="MLNK330402a1548a4d9db672e63636a88dba" hidden="1">#REF!</definedName>
    <definedName name="MLNK33217662758946f9a7f766d1fe4702be" hidden="1">#REF!</definedName>
    <definedName name="MLNK3368011a33ba4a689529c8f0245ec003" hidden="1">#REF!</definedName>
    <definedName name="MLNK33aa50c1f4864f5f92625202d233ad79" hidden="1">#REF!</definedName>
    <definedName name="MLNK3407049f52d24608aa04c9e1dae82693" hidden="1">#REF!</definedName>
    <definedName name="MLNK3444215ad6674dc19fab8268343d3ee7" hidden="1">#REF!</definedName>
    <definedName name="MLNK34ea0417da44458e98269b90c5445c1b" hidden="1">#REF!</definedName>
    <definedName name="MLNK35525a34df824ef08bc71bc6c1025b5e" hidden="1">#REF!</definedName>
    <definedName name="MLNK355f5c4e8de5414fa6caf0579afc5a94" hidden="1">#REF!</definedName>
    <definedName name="MLNK357f0b181d6a4cbbac71d014a5a8f524" hidden="1">#REF!</definedName>
    <definedName name="MLNK35912bca35884e638463d146863134bb" hidden="1">#REF!</definedName>
    <definedName name="MLNK35b610b967514c518799192b3a025611" hidden="1">#REF!</definedName>
    <definedName name="MLNK35bcc842081945b9a4877e95b7f82936" hidden="1">#REF!</definedName>
    <definedName name="MLNK36d2e358aee44ad3a469ecc7f1efc28f" hidden="1">#REF!</definedName>
    <definedName name="MLNK374c68b7739746d4a370cfaacf277aa1" hidden="1">#REF!</definedName>
    <definedName name="MLNK374f82a5445c4b98becfe7b5d76f959a" hidden="1">#REF!</definedName>
    <definedName name="MLNK377cc58e48c24bb3914f519d36986e16" hidden="1">#REF!</definedName>
    <definedName name="MLNK379663da8d494ce2963dbe58a65c43a1" hidden="1">#REF!</definedName>
    <definedName name="MLNK3818a537fd50435c8443f12af0070f8a" hidden="1">#REF!</definedName>
    <definedName name="MLNK3841ed7b84fe495094681d8873f2c710" hidden="1">#REF!</definedName>
    <definedName name="MLNK3894a42fcffc46fa83b48f2f455a1892" hidden="1">#REF!</definedName>
    <definedName name="MLNK38a93eff606b42d3964eda691fb0138d" hidden="1">#REF!</definedName>
    <definedName name="MLNK38ca0951e89f4f1d8ade9594aad915ad" hidden="1">'V. Comparables'!$B$8:$R$56</definedName>
    <definedName name="MLNK3933a2df57e34583986032bdeb424b65" hidden="1">#REF!</definedName>
    <definedName name="MLNK3995b3421bea4957ab58a57e281927c9" hidden="1">#REF!</definedName>
    <definedName name="MLNK39c8079a2bfc484bbd9a6c6b4d07de1d" hidden="1">#REF!</definedName>
    <definedName name="MLNK39ed8c9a242a490181548740f180a9c9" hidden="1">#REF!</definedName>
    <definedName name="MLNK3a756cbdc0c6474a83ad9659a5ffb5d6" hidden="1">#REF!</definedName>
    <definedName name="MLNK3a7d26cf39d04e13a1e0f59b3cf1ac34" hidden="1">#REF!</definedName>
    <definedName name="MLNK3aee124db8a44e39804dcd74f89a6664" hidden="1">#REF!</definedName>
    <definedName name="MLNK3afd6ec422124a4280bd560d99a5eba9" hidden="1">#REF!</definedName>
    <definedName name="MLNK3b06213fb1014de39d7f7c54431d5b09" hidden="1">#REF!</definedName>
    <definedName name="MLNK3b42315a9d964ea4ba34b4278796ab20" hidden="1">#REF!</definedName>
    <definedName name="MLNK3b490f78d86c43a4ba5da5a64039855e" hidden="1">#REF!</definedName>
    <definedName name="MLNK3b524faec4ae4e4bb7710c9aa7bb1e5f" hidden="1">#REF!</definedName>
    <definedName name="MLNK3b541a2e3a954b89b9cd12b0eb03591c" hidden="1">#REF!</definedName>
    <definedName name="MLNK3b95ca2726664ee2b57b97a4c60f7da9" hidden="1">#REF!</definedName>
    <definedName name="MLNK3be619b7dc0d402782f00edc05ab351c" hidden="1">#REF!</definedName>
    <definedName name="MLNK3c627e7ee5f448969942c7a9faa6081b" hidden="1">#REF!</definedName>
    <definedName name="MLNK3cb3fb700bc44cc9837e39daf9249550" hidden="1">#REF!</definedName>
    <definedName name="MLNK3cd376d99e2b4eeda28f2f45624a5c45" hidden="1">#REF!</definedName>
    <definedName name="MLNK3ce12ae9f8b347e1b969b8686bfdfe72" hidden="1">#REF!</definedName>
    <definedName name="MLNK3d6b9da14f26447aaab74747ab31ec87" hidden="1">#REF!</definedName>
    <definedName name="MLNK3d93ff247b44478fad5e45e535c9514e" hidden="1">#REF!</definedName>
    <definedName name="MLNK3dc94b45582847b3ab6c30e6db918a4b" hidden="1">#REF!</definedName>
    <definedName name="MLNK3e136b76f6f0458d807d686e90e781c2" hidden="1">#REF!</definedName>
    <definedName name="MLNK3e48ddba77ba4516923752efec075f15" hidden="1">#REF!</definedName>
    <definedName name="MLNK3e53ca36e1e74f2b9c3887f1a57e2dd3" hidden="1">#REF!</definedName>
    <definedName name="MLNK3e6b5949989744febe30c0ce950b887b" hidden="1">#REF!</definedName>
    <definedName name="MLNK3e6e7c981264403f91bb706c64b4e1cc" hidden="1">#REF!</definedName>
    <definedName name="MLNK3e76f131abb041509d7aac5ad4e4f4da" hidden="1">#REF!</definedName>
    <definedName name="MLNK3f20583318934e1a985b3fb218f6cf2f" hidden="1">#REF!</definedName>
    <definedName name="MLNK3f343bad37a9439397dbd6fcde7d8de4" hidden="1">#REF!</definedName>
    <definedName name="MLNK3fa800fc53604c9fa4c169076c942124" hidden="1">#REF!</definedName>
    <definedName name="MLNK401f5f02698d4243848666f8a851e686" hidden="1">#REF!</definedName>
    <definedName name="MLNK4087003224b14ff29dc20d806f658a35" hidden="1">#REF!</definedName>
    <definedName name="MLNK40b9f550cd2d40e1a23c9d58b10442b6" hidden="1">#REF!</definedName>
    <definedName name="MLNK40d2191e823c4da2911e21ab3af4da2b" hidden="1">#REF!</definedName>
    <definedName name="MLNK40de5072625a45d0b118893f9b406066" hidden="1">#REF!</definedName>
    <definedName name="MLNK40ffd2860f5d4d15957a9c31ea485f92" hidden="1">#REF!</definedName>
    <definedName name="MLNK4119008fa8f04941acb729f1d48f780c" hidden="1">#REF!</definedName>
    <definedName name="MLNK41afdd2cee2c4e369431eaaaa672d917" hidden="1">#REF!</definedName>
    <definedName name="MLNK41b6a8a780fe4352b1c67caf098d9c81" hidden="1">#REF!</definedName>
    <definedName name="MLNK4202544caf9e4c90ab80923f1214781e" hidden="1">#REF!</definedName>
    <definedName name="MLNK421e897f741d4952aa632d335e71ed1c" hidden="1">#REF!</definedName>
    <definedName name="MLNK42b4cb02d65643168912e34a2a4d7f2e" hidden="1">#REF!</definedName>
    <definedName name="MLNK430cf43e8a734ab98b65790d0ec28b85" hidden="1">#REF!</definedName>
    <definedName name="MLNK43461bee059d480b89b6cd675b36ccb5" hidden="1">#REF!</definedName>
    <definedName name="MLNK43b4ade77b1b480587ab3b6070bdaf61" hidden="1">#REF!</definedName>
    <definedName name="MLNK43f1a5f6b89847a58b6fdae96b57e2dd" hidden="1">#REF!</definedName>
    <definedName name="MLNK43f4fd00cbce4f15849d903369f771dc" hidden="1">#REF!</definedName>
    <definedName name="MLNK442a5197cad145db945ab21b9c8b200c" hidden="1">#REF!</definedName>
    <definedName name="MLNK4469f5e72f9644ebb4fb728553ea8b7f" hidden="1">#REF!</definedName>
    <definedName name="MLNK448cf67a0a33444fb7741e08a9b2165f" hidden="1">#REF!</definedName>
    <definedName name="MLNK44fa9436e93345839dd30ae91074203f" hidden="1">#REF!</definedName>
    <definedName name="MLNK453cab05e6a44c15b72976e09a9831ae" hidden="1">#REF!</definedName>
    <definedName name="MLNK454cea6ef9f8417a9c84129b9df206cc" hidden="1">#REF!</definedName>
    <definedName name="MLNK45b880241b084b94acbe546cc47dafb4" hidden="1">#REF!</definedName>
    <definedName name="MLNK45bbf27d25e64bd09dba6cd078e73b55" hidden="1">#REF!</definedName>
    <definedName name="MLNK460dc94c4f3242dda7f460196f9e1836" hidden="1">#REF!</definedName>
    <definedName name="MLNK468781f1a56c4f7b9056af3f150c3d01" hidden="1">#REF!</definedName>
    <definedName name="MLNK4698963d1cd64c3cbb3c00339b2715ab" hidden="1">#REF!</definedName>
    <definedName name="MLNK46ac64f69e41430dbae711c8a31227b2" hidden="1">#REF!</definedName>
    <definedName name="MLNK46c2d3a36bf2488490292708b8f9feb5" hidden="1">#REF!</definedName>
    <definedName name="MLNK46cd212686fd4aff871cbe473595c1f4" hidden="1">#REF!</definedName>
    <definedName name="MLNK470a094db47f45bd86aa09e2eec85f94" hidden="1">#REF!</definedName>
    <definedName name="MLNK480ec09c0d4f4d57bacf8af14ff93e40" hidden="1">#REF!</definedName>
    <definedName name="MLNK482a72a757504185abeb196b4c2e8eac" hidden="1">#REF!</definedName>
    <definedName name="MLNK4879f7a0100442f19df60debe3894898" hidden="1">#REF!</definedName>
    <definedName name="MLNK48930a108bbc4d1e9bd50497dd86deb4" hidden="1">#REF!</definedName>
    <definedName name="MLNK48d1ea6d6ccd4a85b72f194cf7a6f271" hidden="1">#REF!</definedName>
    <definedName name="MLNK48e61342d81b4a01bdca4ce46a298839" hidden="1">#REF!</definedName>
    <definedName name="MLNK496a65f951294504bd0cc429c0620946" hidden="1">#REF!</definedName>
    <definedName name="MLNK497b1f6578814ea499f2045816063c56" hidden="1">#REF!</definedName>
    <definedName name="MLNK49db4a5128f84b5a944ba5c6aa4f2e5e" hidden="1">#REF!</definedName>
    <definedName name="MLNK4a0aaaa4ade34633a6f39809db59ce93" hidden="1">#REF!</definedName>
    <definedName name="MLNK4a4f1de30419440b9e6fce86c1c3ea6d" hidden="1">#REF!</definedName>
    <definedName name="MLNK4a5be1ff9d6d417494e78d1077939115" hidden="1">#REF!</definedName>
    <definedName name="MLNK4a82332111354264ba7c54403cfab047" hidden="1">#REF!</definedName>
    <definedName name="MLNK4ab70dc2735b42f2aa8726b707794056" hidden="1">#REF!</definedName>
    <definedName name="MLNK4ae1162da6924edbb77eb864286b52ec" hidden="1">'V. Comparables'!$B$8:$R$56</definedName>
    <definedName name="MLNK4afa9175c2a44f87b0416e8f4fa9153d" hidden="1">#REF!</definedName>
    <definedName name="MLNK4b3b9b2c509a49709ab64ea8279021ed" hidden="1">#REF!</definedName>
    <definedName name="MLNK4b3eacc50b834c62abf0ab00d4e07c7f" hidden="1">#REF!</definedName>
    <definedName name="MLNK4b40bbbaef344de0ab2a1c4c1549a012" hidden="1">#REF!</definedName>
    <definedName name="MLNK4b56ec77d2ba4c15942829c5ff584433" hidden="1">#REF!</definedName>
    <definedName name="MLNK4b869de81adf428db1532acf496b0194" hidden="1">#REF!</definedName>
    <definedName name="MLNK4b8c43bd0f2d489388c97469ffb92dc2" hidden="1">#REF!</definedName>
    <definedName name="MLNK4b94666561864b68b487863d6d2c00ee" hidden="1">#REF!</definedName>
    <definedName name="MLNK4ba48b82125544feb54b63a50d2993a1" hidden="1">#REF!</definedName>
    <definedName name="MLNK4bf9ca0a4035470ab9854379328e9681" hidden="1">#REF!</definedName>
    <definedName name="MLNK4c2708c39781424aa5add011985b25a2" hidden="1">#REF!</definedName>
    <definedName name="MLNK4c724cf6bfd64d28bbd8ce74243815c2" hidden="1">#REF!</definedName>
    <definedName name="MLNK4cea7123f087461caaba1948592ef750" hidden="1">#REF!</definedName>
    <definedName name="MLNK4cfbe0e23a354f0bacc5ad2f5da4c4ad" hidden="1">#REF!</definedName>
    <definedName name="MLNK4d2809775cd446e6a90014faac5dd8f5" hidden="1">#REF!</definedName>
    <definedName name="MLNK4d47096029b64b53b114e1f22b3b0f38" hidden="1">#REF!</definedName>
    <definedName name="MLNK4d7fda9b12f74ae49bf48ef6c5fd5340" hidden="1">#REF!</definedName>
    <definedName name="MLNK4d9e0f11ae5e428c937ce9be516b6a99" hidden="1">#REF!</definedName>
    <definedName name="MLNK4db1020c5d1346419402ca67cf26479c" hidden="1">#REF!</definedName>
    <definedName name="MLNK4dfd8bb2b1b14ccea2701f57b93d553e" hidden="1">#REF!</definedName>
    <definedName name="MLNK4e30f0d9bfd44f2dbf9e38ee71a57e77" hidden="1">#REF!</definedName>
    <definedName name="MLNK4e3e032ebe97403cb7ac1878b9b13549" hidden="1">#REF!</definedName>
    <definedName name="MLNK4e425536579c4453a655d9d556d31476" hidden="1">#REF!</definedName>
    <definedName name="MLNK4e9bdae243794a8daf62540f83c5aa10" hidden="1">#REF!</definedName>
    <definedName name="MLNK4f073a15c1c24d208e8dfdb08ee6d013" hidden="1">#REF!</definedName>
    <definedName name="MLNK4f20d2d4b620405a80207905474c0026" hidden="1">#REF!</definedName>
    <definedName name="MLNK4f9a486bc37347b29fe27af8480deb4e" hidden="1">#REF!</definedName>
    <definedName name="MLNK4f9b62606f434037bf8ee8f446547579" hidden="1">#REF!</definedName>
    <definedName name="MLNK4fb339189826401080c6579bbdb2860a" hidden="1">#REF!</definedName>
    <definedName name="MLNK501d597a47804366b59908f2aefe82f9" hidden="1">#REF!</definedName>
    <definedName name="MLNK5066a176457140b4ab8fef34359475b7" hidden="1">#REF!</definedName>
    <definedName name="MLNK509c50b0f30e41d2861594506e9a5b3d" hidden="1">#REF!</definedName>
    <definedName name="MLNK511a685c54b44dd0b4c40d4291f00c35" hidden="1">#REF!</definedName>
    <definedName name="MLNK51237db6785d4bbaacf9f6889f6cfabc" hidden="1">#REF!</definedName>
    <definedName name="MLNK5147170441994c8481cf8227dd3a195d" hidden="1">#REF!</definedName>
    <definedName name="MLNK51d3be7e8f4c44fa944705c24ac7c692" hidden="1">#REF!</definedName>
    <definedName name="MLNK5223518531274ba9b8944e931c5091f4" hidden="1">#REF!</definedName>
    <definedName name="MLNK5273f113756f4c699300085097bea1ac" hidden="1">#REF!</definedName>
    <definedName name="MLNK52a3c800b810441686324242468860af" hidden="1">#REF!</definedName>
    <definedName name="MLNK52b773a93c594b90828c2297469b7d75" hidden="1">#REF!</definedName>
    <definedName name="MLNK530a9e4d4663448eab3b6c97dcffbca7" hidden="1">#REF!</definedName>
    <definedName name="MLNK539da7e8b6df4b1ba62b9857d1c8b428" hidden="1">#REF!</definedName>
    <definedName name="MLNK53f4f99dd75b45668a7dbec1b7261904" hidden="1">#REF!</definedName>
    <definedName name="MLNK540e04f20112459aa5ef5755b541825e" hidden="1">#REF!</definedName>
    <definedName name="MLNK5419c38a82504718a60b37b75c6058c5" hidden="1">#REF!</definedName>
    <definedName name="MLNK546b60d4cec643f6b1f022d2fd84673e" hidden="1">#REF!</definedName>
    <definedName name="MLNK549b1164492642239189c8432acac595" hidden="1">#REF!</definedName>
    <definedName name="MLNK54aa1b85a6384b7e8738b9f361971039" hidden="1">#REF!</definedName>
    <definedName name="MLNK556a00d4e50b484d9794c0d6ad3d751a" hidden="1">#REF!</definedName>
    <definedName name="MLNK558089d3077d4fdc8ad112fbee95b79f" hidden="1">#REF!</definedName>
    <definedName name="MLNK558420cb2c3f4942b970d972a1f4004b" hidden="1">#REF!</definedName>
    <definedName name="MLNK55a655decbf6419eb2c91cf936552e1a" hidden="1">#REF!</definedName>
    <definedName name="MLNK55b544fbbb9f458cbe95286ff80bd221" hidden="1">#REF!</definedName>
    <definedName name="MLNK55b7396a5c5a4d428b86a86e0c9af448" hidden="1">#REF!</definedName>
    <definedName name="MLNK55e46825f9514c48852aa1b226b92cfc" hidden="1">#REF!</definedName>
    <definedName name="MLNK564779ce4b57458fae9e72aa61a4f78d" hidden="1">#REF!</definedName>
    <definedName name="MLNK5662e450df734a6bbd33a33ee472c231" hidden="1">#REF!</definedName>
    <definedName name="MLNK56784cfee8224356b96f48647bfb4487" hidden="1">#REF!</definedName>
    <definedName name="MLNK56818b66a82348ce99c0452d8f653c3f" hidden="1">#REF!</definedName>
    <definedName name="MLNK568a34b1bbca4bb8b7a63fe030bea332" hidden="1">#REF!</definedName>
    <definedName name="MLNK568ef48cd24247c9ba996982414db3d5" hidden="1">#REF!</definedName>
    <definedName name="MLNK56c96016bd5e4d99bb7a035622aac533" hidden="1">#REF!</definedName>
    <definedName name="MLNK56c97d0b00a9420f86ab98f9461c3369" hidden="1">#REF!</definedName>
    <definedName name="MLNK5712d7caec4d4e1284cfaab2fc1b2380" hidden="1">#REF!</definedName>
    <definedName name="MLNK572500526c264b7b95065377003ddae5" hidden="1">#REF!</definedName>
    <definedName name="MLNK5790592d66964954b49e1e6a2cdff298" hidden="1">#REF!</definedName>
    <definedName name="MLNK57ba1a57437c45af8dca541162dd478f" hidden="1">#REF!</definedName>
    <definedName name="MLNK58053737ae524582b77cbd888ce85d75" hidden="1">#REF!</definedName>
    <definedName name="MLNK58227a099e774037a2c4ee46ba51169b" hidden="1">#REF!</definedName>
    <definedName name="MLNK5868995cab8141f58d146ceb5ab8e064" hidden="1">#REF!</definedName>
    <definedName name="MLNK5897b17acdef449b9498edd1c872e49b" hidden="1">#REF!</definedName>
    <definedName name="MLNK589b4b4e9d114498b6438732af4079c6" hidden="1">#REF!</definedName>
    <definedName name="MLNK589cb7b6aecd4b118ee3f2109753f3f3" hidden="1">#REF!</definedName>
    <definedName name="MLNK58cc0fc20f5f40bfabbdb8766eb0af9c" hidden="1">#REF!</definedName>
    <definedName name="MLNK58d4fc78b4664492bb3fa144423113d2" hidden="1">#REF!</definedName>
    <definedName name="MLNK58f9115d080d4d92853e40c2f2eb0758" hidden="1">#REF!</definedName>
    <definedName name="MLNK59309990db734d9c8a821e2b8d52b8dd" hidden="1">#REF!</definedName>
    <definedName name="MLNK59edf6cf43784dc6aad3c55e4e5ad2b4" hidden="1">#REF!</definedName>
    <definedName name="MLNK5a29ce186d6741829000c9e915ae9c66" hidden="1">#REF!</definedName>
    <definedName name="MLNK5a30477d5f394fd987d059cef3f42405" hidden="1">#REF!</definedName>
    <definedName name="MLNK5a37a43bf2834901840d23cbb0abc044" hidden="1">#REF!</definedName>
    <definedName name="MLNK5a5cc9398b0e4a1490756fe52cdfdf29" hidden="1">#REF!</definedName>
    <definedName name="MLNK5a93b74cbd5647d885cfab58ef64c068" hidden="1">#REF!</definedName>
    <definedName name="MLNK5b82a77114d14c758b65f9d6c625f0e6" hidden="1">#REF!</definedName>
    <definedName name="MLNK5bb2c057790241afa9be0bea799d3060" hidden="1">#REF!</definedName>
    <definedName name="MLNK5bc72c653a64456ca35790155aeeb15c" hidden="1">#REF!</definedName>
    <definedName name="MLNK5bd8f2fa23a449f68bf9122fc9634158" hidden="1">#REF!</definedName>
    <definedName name="MLNK5c118afdb7424a12984646f92bdb0baf" hidden="1">#REF!</definedName>
    <definedName name="MLNK5c2fdb53616843338a76ee87fba723a1" hidden="1">#REF!</definedName>
    <definedName name="MLNK5c93849b1c694866a7fdca906433d872" hidden="1">#REF!</definedName>
    <definedName name="MLNK5cb6067cb22d4404a352867a368c4dd3" hidden="1">#REF!</definedName>
    <definedName name="MLNK5cc120250dba49fc954ce969f59c29e4" hidden="1">#REF!</definedName>
    <definedName name="MLNK5d504a170b0b424b845a2fbdf8ae212e" hidden="1">#REF!</definedName>
    <definedName name="MLNK5d9cc9b2b2fd4b2799819c19126f0e1b" hidden="1">#REF!</definedName>
    <definedName name="MLNK5da25abf8c7240d3abe03aca35d0450c" hidden="1">#REF!</definedName>
    <definedName name="MLNK5de520c386f4498e87cf292a9422b147" hidden="1">#REF!</definedName>
    <definedName name="MLNK5e56288a2d444a9ebdffbc6047357d41" hidden="1">#REF!</definedName>
    <definedName name="MLNK5e66d0e5e0504f83b21a28b2ed859d4a" hidden="1">#REF!</definedName>
    <definedName name="MLNK5e8dd6ee2dc24c0eb99cc80145bc853f" hidden="1">#REF!</definedName>
    <definedName name="MLNK5f035044afad4ac69ff0cf10ce95cacb" hidden="1">#REF!</definedName>
    <definedName name="MLNK5f489b36a3dd4ffca654ca893fdc01e1" hidden="1">#REF!</definedName>
    <definedName name="MLNK60d659c3c8bc4afb8091990511f37424" hidden="1">#REF!</definedName>
    <definedName name="MLNK6123d0abbf994e4fb5de81b47ecc7ff0" hidden="1">#REF!</definedName>
    <definedName name="MLNK612c822e116041a1be89ae4a415e8374" hidden="1">#REF!</definedName>
    <definedName name="MLNK6210b0a7eff74c16936439a65bb1d85a" hidden="1">#REF!</definedName>
    <definedName name="MLNK625fe00e4639425ba812d96c8e9ceea9" hidden="1">#REF!</definedName>
    <definedName name="MLNK62d6df4b67ea4430a943d6097b968d39" hidden="1">#REF!</definedName>
    <definedName name="MLNK6305bc950df74e6a89faf0e38f7282b2" hidden="1">#REF!</definedName>
    <definedName name="MLNK631f5f318f32460cb70ce1837416f6f6" hidden="1">#REF!</definedName>
    <definedName name="MLNK635bdcff8c174f7e86b3b1ac491aabe9" hidden="1">#REF!</definedName>
    <definedName name="MLNK6383911c3c664c0887824cfe4ea1f93b" hidden="1">#REF!</definedName>
    <definedName name="MLNK63ac4582cfe047bbb516377b722c0c61" hidden="1">#REF!</definedName>
    <definedName name="MLNK64f506610b0549d0bf994f29c91e01eb" hidden="1">#REF!</definedName>
    <definedName name="MLNK65147e5669204c5bb84032ff50f02a7e" hidden="1">#REF!</definedName>
    <definedName name="MLNK652441e2374d4a8fae70b563e0916718" hidden="1">#REF!</definedName>
    <definedName name="MLNK655665b4820d4dc3b01557425e02aa4b" hidden="1">#REF!</definedName>
    <definedName name="MLNK65839af1b13744b0a4faaeb49d4fe140" hidden="1">#REF!</definedName>
    <definedName name="MLNK6593c6ab73264e69b4374330ab13c8e1" hidden="1">#REF!</definedName>
    <definedName name="MLNK6595a9ddf18748bfaeb58c67223bfc33" hidden="1">#REF!</definedName>
    <definedName name="MLNK65a6ee50c38f4a1787e6ee66d8745808" hidden="1">#REF!</definedName>
    <definedName name="MLNK65e75eb4a985451a9cb2467efa5a31db" hidden="1">#REF!</definedName>
    <definedName name="MLNK66055e341c5c4761b946d1445a420c6b" hidden="1">#REF!</definedName>
    <definedName name="MLNK66416141c4ce46b0a586f7ee596245db" hidden="1">#REF!</definedName>
    <definedName name="MLNK66624990299547b2b64d531ab9be5b30" hidden="1">#REF!</definedName>
    <definedName name="MLNK66fe63e2714d498394dcacd64546234b" hidden="1">#REF!</definedName>
    <definedName name="MLNK678d9ffd405846fabeb219bf563b4a86" hidden="1">#REF!</definedName>
    <definedName name="MLNK679e121181984bc4926c0389f80b9c90" hidden="1">#REF!</definedName>
    <definedName name="MLNK68871f2145af4dca900f0d21af672263" hidden="1">#REF!</definedName>
    <definedName name="MLNK68aecd16316b4ec5a6fee43a0404a643" hidden="1">#REF!</definedName>
    <definedName name="MLNK6903e22c8a4146488153f7a43fa6c9fc" hidden="1">#REF!</definedName>
    <definedName name="MLNK692e486811bc41418e7571e3bb5c8bbb" hidden="1">#REF!</definedName>
    <definedName name="MLNK697f5a9c8f2342c6bb10c87ac65ebd4a" hidden="1">#REF!</definedName>
    <definedName name="MLNK6a265b582ea3449ba161933f47d6ad8a" hidden="1">#REF!</definedName>
    <definedName name="MLNK6a86925f37504091894ed814236c34fa" hidden="1">#REF!</definedName>
    <definedName name="MLNK6a8780fdd56f48d393f32ab99d587db6" hidden="1">#REF!</definedName>
    <definedName name="MLNK6aa03d44785e4ed68239ea75127de48e" hidden="1">#REF!</definedName>
    <definedName name="MLNK6b16945314434b04a97d34c9050e2320" hidden="1">#REF!</definedName>
    <definedName name="MLNK6b5ce047d68b41dcaede68d1e499e9d9" hidden="1">#REF!</definedName>
    <definedName name="MLNK6b5e31c5a8134a35aa3b61e6a3c34f1c" hidden="1">#REF!</definedName>
    <definedName name="MLNK6b80abdc8fe740cfac848fac6ef04b6f" hidden="1">'V. Comparables'!$1:$1048576</definedName>
    <definedName name="MLNK6b92bb4e16d6422caedcf892b957e8dc" hidden="1">#REF!</definedName>
    <definedName name="MLNK6c1636abd84647b28396267a19f2a16a" hidden="1">#REF!</definedName>
    <definedName name="MLNK6ca7e7164c8c49318c0a92737f4ed103" hidden="1">#REF!</definedName>
    <definedName name="MLNK6d68e9d61ca0416884aa1cfee1a494eb" hidden="1">#REF!</definedName>
    <definedName name="MLNK6d94a81eaf0143b5be6d1ba1c9c84842" hidden="1">#REF!</definedName>
    <definedName name="MLNK6dd4af24b7e94c07a8617def0a556fe0" hidden="1">#REF!</definedName>
    <definedName name="MLNK6e486e2d5a334a39b4877bea72d7eb92" hidden="1">#REF!</definedName>
    <definedName name="MLNK6e727159858a4f6fa12f1184ada87026" hidden="1">#REF!</definedName>
    <definedName name="MLNK6e72f843939c45e6ad1bb202d76f95fd" hidden="1">#REF!</definedName>
    <definedName name="MLNK6e783f0d518148e08e2aaef094f77e6b" hidden="1">#REF!</definedName>
    <definedName name="MLNK6fed978a0f5a4a4cbe4ee5d4155e5ec5" hidden="1">#REF!</definedName>
    <definedName name="MLNK6fee5b8d69cd417686506d354a9250d0" hidden="1">#REF!</definedName>
    <definedName name="MLNK7019e39e85c246f1ae9e0ef6fc958370" hidden="1">#REF!</definedName>
    <definedName name="MLNK7021f5ebbdd84a45ba6a7ba23cb30771" hidden="1">#REF!</definedName>
    <definedName name="MLNK7057dc7973694314b60de6b163b24838" hidden="1">#REF!</definedName>
    <definedName name="MLNK70646e4a8e034cd78f431f91898c66c0" hidden="1">#REF!</definedName>
    <definedName name="MLNK70a58cfbfa8f452e814ded09c65137f4" hidden="1">#REF!</definedName>
    <definedName name="MLNK70a874c7f368487cbe704d484fc1af16" hidden="1">#REF!</definedName>
    <definedName name="MLNK70c624b08d0d414b9b3e07cb7658af95" hidden="1">#REF!</definedName>
    <definedName name="MLNK70d038176d214bb3be6757c4606f55b5" hidden="1">#REF!</definedName>
    <definedName name="MLNK70e7b92d37f9456792e67a07f03cfc7d" hidden="1">#REF!</definedName>
    <definedName name="MLNK711e7c92b77c4bdba0a8fd967f51d09a" hidden="1">#REF!</definedName>
    <definedName name="MLNK713d8596e8df4275ab2d2f003c345043" hidden="1">#REF!</definedName>
    <definedName name="MLNK7165b3d004ff4cdb8cf06f37aad03417" hidden="1">#REF!</definedName>
    <definedName name="MLNK7190e0b0ca724135b422646f09ee97eb" hidden="1">#REF!</definedName>
    <definedName name="MLNK71b4daf60a6b45208f07199ac429da30" hidden="1">#REF!</definedName>
    <definedName name="MLNK71b5bf4bc0224e8981e090b52946baaf" hidden="1">#REF!</definedName>
    <definedName name="MLNK71c0b0997c344b909a6256f3f9e7b2f4" hidden="1">#REF!</definedName>
    <definedName name="MLNK729c511e6fb8406388008eaec1c014b6" hidden="1">#REF!</definedName>
    <definedName name="MLNK72c7159a0c3649da8f62d8214a86a035" hidden="1">#REF!</definedName>
    <definedName name="MLNK73535d6b26d34f28bcc1383ca23ae898" hidden="1">#REF!</definedName>
    <definedName name="MLNK7390ef6b69464b07902bf436ab3f0c81" hidden="1">#REF!</definedName>
    <definedName name="MLNK739e1434b02c46f6bdc88efd2f1ba994" hidden="1">#REF!</definedName>
    <definedName name="MLNK73bdb994b87f4972a5708ca53b7466f0" hidden="1">#REF!</definedName>
    <definedName name="MLNK73ca829c394b452098090ce23a806c68" hidden="1">#REF!</definedName>
    <definedName name="MLNK73d1a15bdc8b4cb7a1eba62c68ef7775" hidden="1">#REF!</definedName>
    <definedName name="MLNK742224d381f2494b857b969c2e07aa13" hidden="1">#REF!</definedName>
    <definedName name="MLNK7426aa94cca74acfad9415b05d5b7ff4" hidden="1">#REF!</definedName>
    <definedName name="MLNK74aaf3c2da574df69615013232ece008" hidden="1">#REF!</definedName>
    <definedName name="MLNK74ac2ebf8f2a4931b8cde3dabac0a546" hidden="1">#REF!</definedName>
    <definedName name="MLNK74ccbb3c852644f5a46f80e4df6ed55c" hidden="1">#REF!</definedName>
    <definedName name="MLNK74cd5027c16842ca83676db6bf8ade6b" hidden="1">#REF!</definedName>
    <definedName name="MLNK74e35ae32fbd45038a8ca8786ddc5481" hidden="1">#REF!</definedName>
    <definedName name="MLNK74e85bd6385d4993b531d38f2f3836c0" hidden="1">#REF!</definedName>
    <definedName name="MLNK74f8fb9fd04744b0826b8e01af33e003" hidden="1">#REF!</definedName>
    <definedName name="MLNK7575c400d762409d9d7d3f247f474ee7" hidden="1">#REF!</definedName>
    <definedName name="MLNK758fdcdb07a04274a7c7bedbf4c52f8d" hidden="1">#REF!</definedName>
    <definedName name="MLNK759a8f014d2945aba9553db2fee209c0" hidden="1">#REF!</definedName>
    <definedName name="MLNK75db4195e5d141d3a7eec873d4cc3a5e" hidden="1">#REF!</definedName>
    <definedName name="MLNK763a9f01ebb64e43939b2276d58ab053" hidden="1">#REF!</definedName>
    <definedName name="MLNK76a07ad73c6943b0b9490c28c2773a72" hidden="1">#REF!</definedName>
    <definedName name="MLNK78474ea8ccc645299e21f8fb8f2831bb" hidden="1">#REF!</definedName>
    <definedName name="MLNK784d795970424f398fc3fdd199378fee" hidden="1">#REF!</definedName>
    <definedName name="MLNK786446f9adf44b9c8e69153a249119f0" hidden="1">#REF!</definedName>
    <definedName name="MLNK7887505795504f1da6c968aa806eab0b" hidden="1">#REF!</definedName>
    <definedName name="MLNK78cdf337446c4c4fa061d0ca0ea856da" hidden="1">#REF!</definedName>
    <definedName name="MLNK79c13ef1d63e4c229d6c7ca926e964b0" hidden="1">#REF!</definedName>
    <definedName name="MLNK79f1f52cffc2440d893df1536bc81db2" hidden="1">#REF!</definedName>
    <definedName name="MLNK7a261d36437c4a978a819df4ce0f5c46" hidden="1">#REF!</definedName>
    <definedName name="MLNK7a38c2826a99439c9e40971bcc5ad261" hidden="1">#REF!</definedName>
    <definedName name="MLNK7b118c2e2a8f476fbe19f397f0a5dbd2" hidden="1">#REF!</definedName>
    <definedName name="MLNK7b537a5989264eddabc292d4476e8379" hidden="1">#REF!</definedName>
    <definedName name="MLNK7b7b0f44588f4b009d65026d66428372" hidden="1">#REF!</definedName>
    <definedName name="MLNK7bd30f6b03154f80b4ece3b807f67f53" hidden="1">#REF!</definedName>
    <definedName name="MLNK7bec44c0ba524dd5968ece36d71dd645" hidden="1">#REF!</definedName>
    <definedName name="MLNK7c2d7cae1ba24e14af55455df7615e04" hidden="1">#REF!</definedName>
    <definedName name="MLNK7c5f539d49fd45b29663fcc382404a18" hidden="1">#REF!</definedName>
    <definedName name="MLNK7c6376d3e24e49f68f4a6c8210e18b82" hidden="1">#REF!</definedName>
    <definedName name="MLNK7c808528906245c8bc83cd2434e1f4a3" hidden="1">#REF!</definedName>
    <definedName name="MLNK7c8b44994a5b434f8af642c9c7bd1904" hidden="1">#REF!</definedName>
    <definedName name="MLNK7ccb8304142d4079b335f546155f0e48" hidden="1">#REF!</definedName>
    <definedName name="MLNK7cdcd9ff45e94baa8c22f1bbb7a0756c" hidden="1">#REF!</definedName>
    <definedName name="MLNK7ce7df4de2444df2ae72af9f72d99cf3" hidden="1">#REF!</definedName>
    <definedName name="MLNK7d792593e60b4a4cbb48428d4a2a5258" hidden="1">#REF!</definedName>
    <definedName name="MLNK7d839fb3a2534df1af4fe0c1fb45f03b" hidden="1">#REF!</definedName>
    <definedName name="MLNK7dde91cd40a0482ca0661c225c13de3c" hidden="1">#REF!</definedName>
    <definedName name="MLNK7dfeefbfedf84d17b41a6bc802339b65" hidden="1">#REF!</definedName>
    <definedName name="MLNK7e047f1118dd4395a6c630f7eaa3ba64" hidden="1">#REF!</definedName>
    <definedName name="MLNK7e722a65711d41bbb1f89dac8f1d179f" hidden="1">#REF!</definedName>
    <definedName name="MLNK7f00420c94b84d218a5ffd741e2618a4" hidden="1">#REF!</definedName>
    <definedName name="MLNK7f2c3c66c11243eeb8b566267a70ab25" hidden="1">#REF!</definedName>
    <definedName name="MLNK7f381db745e745038123354ce5695f85" hidden="1">#REF!</definedName>
    <definedName name="MLNK7f3a5242886546ca971d4b3fd26e0d39" hidden="1">#REF!</definedName>
    <definedName name="MLNK7f5760153f9c46e7a6ae314adcdddfd8" hidden="1">#REF!</definedName>
    <definedName name="MLNK7f9b2a8b4c6e4ee79f750e916a643062" hidden="1">#REF!</definedName>
    <definedName name="MLNK7fc6fd2848a84b0d90d2448805483aef" hidden="1">#REF!</definedName>
    <definedName name="MLNK800cb0f5988f4232abce7d0d36762cc8" hidden="1">#REF!</definedName>
    <definedName name="MLNK80c806ee2fb84b6f95cb413fb747a5d7" hidden="1">#REF!</definedName>
    <definedName name="MLNK81acc8d3750443c9b6b2f7184ca1a239" hidden="1">#REF!</definedName>
    <definedName name="MLNK81d991a8444b423ba181c00b1581fd58" hidden="1">#REF!</definedName>
    <definedName name="MLNK81fccb728da14368923894d777f9d6c1" hidden="1">#REF!</definedName>
    <definedName name="MLNK822c71a676b44b90a0ae9ee8e8922351" hidden="1">#REF!</definedName>
    <definedName name="MLNK82a32cd08bcd424db6b53342a4ef2b53" hidden="1">#REF!</definedName>
    <definedName name="MLNK8389a0e593704536bf47bf8d77e09b85" hidden="1">#REF!</definedName>
    <definedName name="MLNK849be104a79e4e71843072e3fc579178" hidden="1">#REF!</definedName>
    <definedName name="MLNK8519166dded446979824141450c07732" hidden="1">#REF!</definedName>
    <definedName name="MLNK85403b3597204849bd36188b4216facb" hidden="1">#REF!</definedName>
    <definedName name="MLNK856b4359b1474ad6be49d46fd39e07d3" hidden="1">#REF!</definedName>
    <definedName name="MLNK85d104ed1abd4ee8b2b7b9e36d1a40a0" hidden="1">#REF!</definedName>
    <definedName name="MLNK86084a0d926c4d1c99f2a4ed620b0d92" hidden="1">#REF!</definedName>
    <definedName name="MLNK863d7154b90b4ff58eb8073dda6f1db2" hidden="1">#REF!</definedName>
    <definedName name="MLNK864586187871466fbdc98181e8196c2a" hidden="1">#REF!</definedName>
    <definedName name="MLNK86835e6557634107b3385a807945651d" hidden="1">#REF!</definedName>
    <definedName name="MLNK86a67f44935b46d39bd52fc31318d3e4" hidden="1">#REF!</definedName>
    <definedName name="MLNK86b0faed08ae4756b1f81b4c70bd37cf" hidden="1">#REF!</definedName>
    <definedName name="MLNK86d18c4991324b9fafd6c780bbc49371" hidden="1">#REF!</definedName>
    <definedName name="MLNK8733ce93fc7b45fb8d93f409f9f654dd" hidden="1">#REF!</definedName>
    <definedName name="MLNK877cb6f8fcc047d1b67176552108ecaa" hidden="1">#REF!</definedName>
    <definedName name="MLNK87b6ef3680c1458098edca561c2b518e" hidden="1">#REF!</definedName>
    <definedName name="MLNK87bdc6b5081740989afaa8649fe51684" hidden="1">#REF!</definedName>
    <definedName name="MLNK881676dd88434d38bc231dee73778ff4" hidden="1">#REF!</definedName>
    <definedName name="MLNK882742a4574d4c398317209f734ccdee" hidden="1">#REF!</definedName>
    <definedName name="MLNK88545d5be9e044c59846f9198223107a" hidden="1">#REF!</definedName>
    <definedName name="MLNK88bff6d610804cce9a482ca53b2475a0" hidden="1">#REF!</definedName>
    <definedName name="MLNK88e70c518ed8483ebc887df4719632e4" hidden="1">#REF!</definedName>
    <definedName name="MLNK88f32ac2f3294394b8e9f43317d7102f" hidden="1">#REF!</definedName>
    <definedName name="MLNK88f6c9c50f6a42c18f38f2c69d3c79c5" hidden="1">#REF!</definedName>
    <definedName name="MLNK8933050fa3184006bc16fa96753bd521" hidden="1">#REF!</definedName>
    <definedName name="MLNK893be7aee6af45089f821ffc6ae622f7" hidden="1">#REF!</definedName>
    <definedName name="MLNK8940cbfbd55a452991b13e1c94d646f7" hidden="1">#REF!</definedName>
    <definedName name="MLNK89953e64f7ca478889eab0480ca166d9" hidden="1">#REF!</definedName>
    <definedName name="MLNK89c0b552293b465cb0488b0a6351a521" hidden="1">#REF!</definedName>
    <definedName name="MLNK8a2ff150aff945afbc20a79562761a81" hidden="1">#REF!</definedName>
    <definedName name="MLNK8a4b37d8c34843689209c16083a16b7c" hidden="1">#REF!</definedName>
    <definedName name="MLNK8a981875db4a4df2b0ed552232b8345b" hidden="1">#REF!</definedName>
    <definedName name="MLNK8ac46e84006242f594877756c7f92d2a" hidden="1">#REF!</definedName>
    <definedName name="MLNK8acbb2a77cd04fcdb24d3585bb94e8e9" hidden="1">#REF!</definedName>
    <definedName name="MLNK8b131d72e5df48faa6c8c6406e26e418" hidden="1">#REF!</definedName>
    <definedName name="MLNK8b17f146ac5a48cd8e81eb109aeee3ae" hidden="1">#REF!</definedName>
    <definedName name="MLNK8b1c0c139e9b4073820ad2a10e7f1051" hidden="1">#REF!</definedName>
    <definedName name="MLNK8c682d93591c4c73845ba2c1082c48d3" hidden="1">#REF!</definedName>
    <definedName name="MLNK8ca39cedf68a4e92b18af441f524f826" hidden="1">#REF!</definedName>
    <definedName name="MLNK8cb9383616ab421389484efab64178dd" hidden="1">#REF!</definedName>
    <definedName name="MLNK8cc4d9c3c3bb4594bacc7495cfcfc50e" hidden="1">#REF!</definedName>
    <definedName name="MLNK8cd52f4b903543658de827aa52acf74e" hidden="1">#REF!</definedName>
    <definedName name="MLNK8cd7576df60d45e4ab0d7685e326e025" hidden="1">#REF!</definedName>
    <definedName name="MLNK8ce6ecbf737e488693deed1af93ced57" hidden="1">#REF!</definedName>
    <definedName name="MLNK8d141d7d47ad4fc987d59f39088ad916" hidden="1">#REF!</definedName>
    <definedName name="MLNK8d5b78eefde24124bc22e5eb2b874604" hidden="1">#REF!</definedName>
    <definedName name="MLNK8d9df6cfe2df4e9d9a85e67b518205c5" hidden="1">#REF!</definedName>
    <definedName name="MLNK8e8302d4806d4976b250563630d06974" hidden="1">#REF!</definedName>
    <definedName name="MLNK8e9b770ba4eb41da82ee651f9a564109" hidden="1">#REF!</definedName>
    <definedName name="MLNK8eb9e48b9b3943249f666798d00edc23" hidden="1">#REF!</definedName>
    <definedName name="MLNK8ee0b1d9a7224f788d9779b3dc0499e0" hidden="1">#REF!</definedName>
    <definedName name="MLNK8f43595c2bb847f381669b6e34f63668" hidden="1">#REF!</definedName>
    <definedName name="MLNK8f76434663af42e390fdbde44d3710ec" hidden="1">#REF!</definedName>
    <definedName name="MLNK8fbbfa99afb24b5b9f5f0a743e480b73" hidden="1">#REF!</definedName>
    <definedName name="MLNK8fef85be699b43f9993faf4c05a317f2" hidden="1">#REF!</definedName>
    <definedName name="MLNK9004dc033f374e6a928f9b0ebb5d8196" hidden="1">#REF!</definedName>
    <definedName name="MLNK9024ad5805bb4d6a82cd3805822ddab1" hidden="1">#REF!</definedName>
    <definedName name="MLNK907ffb3c3f914b5ea9e24fe283c6cb99" hidden="1">#REF!</definedName>
    <definedName name="MLNK908d72b886094b4498d660dcd99709e7" hidden="1">#REF!</definedName>
    <definedName name="MLNK90beff11f56747c88ac582cc252e174d" hidden="1">#REF!</definedName>
    <definedName name="MLNK90c4ba7186d54322a67fb04486a8cbf3" hidden="1">#REF!</definedName>
    <definedName name="MLNK90c8fccee84a4a48a0b07e6aaa673094" hidden="1">#REF!</definedName>
    <definedName name="MLNK90d278ce8aa74ed184c2e90850f321dc" hidden="1">#REF!</definedName>
    <definedName name="MLNK90e25c2ecaa64d57bb26958b4d223428" hidden="1">#REF!</definedName>
    <definedName name="MLNK9110823f14ea42ec8690146557817cd4" hidden="1">#REF!</definedName>
    <definedName name="MLNK913274e26d0b40a5a0c25c58b5a6b52f" hidden="1">#REF!</definedName>
    <definedName name="MLNK91662700859a4b5887ea4b2f311dfaa8" hidden="1">#REF!</definedName>
    <definedName name="MLNK91bae33c68f54070a9d0dc2c0bf12ef3" hidden="1">#REF!</definedName>
    <definedName name="MLNK920e55f9c749413d8ea87ac117500e67" hidden="1">#REF!</definedName>
    <definedName name="MLNK928b582d16334ef39533249c3737cef4" hidden="1">#REF!</definedName>
    <definedName name="MLNK92b34a62a6d14ef89b1524b2f96b0efd" hidden="1">#REF!</definedName>
    <definedName name="MLNK931ada81d5e14682a22519de3a1c3814" hidden="1">#REF!</definedName>
    <definedName name="MLNK9345a567a3bf4c0b9f86177bd2d75271" hidden="1">#REF!</definedName>
    <definedName name="MLNK935339d4ac524564b97af65f9a80c75b" hidden="1">#REF!</definedName>
    <definedName name="MLNK936d3bc27d9c4e9e91d566d1f8df6d3b" hidden="1">#REF!</definedName>
    <definedName name="MLNK9373c201fc874efd9a1cb6673dae1a5d" hidden="1">#REF!</definedName>
    <definedName name="MLNK93a6b4cbf6b64733bce6c55ea49a34a4" hidden="1">#REF!</definedName>
    <definedName name="MLNK93dc54b8a75d41609138168388503de4" hidden="1">#REF!</definedName>
    <definedName name="MLNK93e5daee684d41bcb8fcce607e193642" hidden="1">#REF!</definedName>
    <definedName name="MLNK93efc9b05acc4e65ba52a3a8e903e6ca" hidden="1">#REF!</definedName>
    <definedName name="MLNK94310670c6d2415c829c955b74e492b7" hidden="1">#REF!</definedName>
    <definedName name="MLNK94328738fd3c4600af18be2154210e21" hidden="1">#REF!</definedName>
    <definedName name="MLNK945d6f39e1f24984b04097fbaf17eeea" hidden="1">#REF!</definedName>
    <definedName name="MLNK94b55fba97ec4630a7caaf0fae7c13fc" hidden="1">#REF!</definedName>
    <definedName name="MLNK94c72ece7a1f4a7ebecf1f9109589a25" hidden="1">#REF!</definedName>
    <definedName name="MLNK94c8f34044884100bcf948b78a560f70" hidden="1">#REF!</definedName>
    <definedName name="MLNK95932116894047fbb7ba2ac12a3c06e3" hidden="1">#REF!</definedName>
    <definedName name="MLNK95cbac09c2c54a92a067bf01cebec7fa" hidden="1">#REF!</definedName>
    <definedName name="MLNK9637ccf249e443078a50f7c2eb385852" hidden="1">#REF!</definedName>
    <definedName name="MLNK966e51b421e543fa85b22020f4b131f7" hidden="1">#REF!</definedName>
    <definedName name="MLNK9682ca475ff54cbfb2f968b54a63e991" hidden="1">#REF!</definedName>
    <definedName name="MLNK970f77a437ad4eba93f82bc0a2c68793" hidden="1">#REF!</definedName>
    <definedName name="MLNK97272fb83d9a4d15ab6e0d44b4c2c8f5" hidden="1">#REF!</definedName>
    <definedName name="MLNK97df538a2fdf490296fd305add5f1023" hidden="1">#REF!</definedName>
    <definedName name="MLNK97e64800be9a4f7e916bf03b564bb072" hidden="1">#REF!</definedName>
    <definedName name="MLNK989f57e8510f47dbaa3cc373df919c03" hidden="1">#REF!</definedName>
    <definedName name="MLNK98a6c15f962b4187b171c0206fa504c1" hidden="1">#REF!</definedName>
    <definedName name="MLNK98db6856c4d2485bb082192eb338e7ec" hidden="1">#REF!</definedName>
    <definedName name="MLNK98f7f2b7a3444132ab2e3711160705fd" hidden="1">#REF!</definedName>
    <definedName name="MLNK99884a61cb7c464b8eb2f906689e119c" hidden="1">#REF!</definedName>
    <definedName name="MLNK99a873284b354cc99f3774743c4cbac9" hidden="1">#REF!</definedName>
    <definedName name="MLNK99b9d957895544fda8e9670506643b77" hidden="1">#REF!</definedName>
    <definedName name="MLNK99bfb5c3951b44f481d1626f7cba5805" hidden="1">#REF!</definedName>
    <definedName name="MLNK99de40bd629144c7ba32aae377c57f70" hidden="1">#REF!</definedName>
    <definedName name="MLNK9a4f673c06ec41419cc6dcbbb88e0dea" hidden="1">#REF!</definedName>
    <definedName name="MLNK9ab5b092e0124e1fb5be58e7bfd4270d" hidden="1">#REF!</definedName>
    <definedName name="MLNK9b2728c6c65a4ed1bdce5cd1b8f5f78f" hidden="1">#REF!</definedName>
    <definedName name="MLNK9b41319e0b864c8e96fa51ea09d8f5dc" hidden="1">#REF!</definedName>
    <definedName name="MLNK9b602bb3a148468d93703438712d1977" hidden="1">#REF!</definedName>
    <definedName name="MLNK9bf4240de0604471b0871b323169dcca" hidden="1">#REF!</definedName>
    <definedName name="MLNK9bf7c40dc1ea40a1b552234224cb0d1b" hidden="1">#REF!</definedName>
    <definedName name="MLNK9cc9ec6cfadc402784ccfed2781546e1" hidden="1">#REF!</definedName>
    <definedName name="MLNK9d5456df45ea4a2d97ff84c61b665b12" hidden="1">#REF!</definedName>
    <definedName name="MLNK9d772ca29969447bb894388d70fa9a5f" hidden="1">#REF!</definedName>
    <definedName name="MLNK9de036e8882b498dbe33869f5e40398b" hidden="1">#REF!</definedName>
    <definedName name="MLNK9de5e20a27e5484e8caf6c4a9f1e8125" hidden="1">#REF!</definedName>
    <definedName name="MLNK9de94afa6cb64d6d82d505cd22d199e8" hidden="1">#REF!</definedName>
    <definedName name="MLNK9df90ae49f6a429a93387ed77e0be2b2" hidden="1">#REF!</definedName>
    <definedName name="MLNK9e19c8d3111642829419adbd0d8a5b18" hidden="1">#REF!</definedName>
    <definedName name="MLNK9e49aa41542f4b3c85f3ee6589fc1063" hidden="1">#REF!</definedName>
    <definedName name="MLNK9e7f8dc99eff4dbd87d347cb01f0c5da" hidden="1">#REF!</definedName>
    <definedName name="MLNK9ebe236e0bfa4b38a43cb0df73b9ee8f" hidden="1">#REF!</definedName>
    <definedName name="MLNK9ec928e25a7346ee9e4798135a8b5762" hidden="1">#REF!</definedName>
    <definedName name="MLNK9f020ac1a5274c5d9ef891b85fdf676a" hidden="1">#REF!</definedName>
    <definedName name="MLNK9f2762af21cb4bddb176751640ceebfe" hidden="1">'II. Attribution Summary'!$B$5:$H$20</definedName>
    <definedName name="MLNK9f2cc9d5eedf40d9be4150e48c60c1dd" hidden="1">#REF!</definedName>
    <definedName name="MLNK9f5e9f25b1b94a1c81bdc28b15d167c0" hidden="1">#REF!</definedName>
    <definedName name="MLNK9f725d2247114d82b0a748016fb73ccf" hidden="1">#REF!</definedName>
    <definedName name="MLNK9f9c1ebd4e6a4e589df75a77d68c31d2" hidden="1">#REF!</definedName>
    <definedName name="MLNK9fa7fdd6b58347fc9b2a237257153f2f" hidden="1">#REF!</definedName>
    <definedName name="MLNK9fb16ef3f8724c15939d445b614c75a4" hidden="1">#REF!</definedName>
    <definedName name="MLNK9fb8406726c54571934f80236f646acb" hidden="1">#REF!</definedName>
    <definedName name="MLNKa0e1c73a782b4e988b284826c372ba12" hidden="1">#REF!</definedName>
    <definedName name="MLNKa117dc0d16c24ef4bc030284d2153e7a" hidden="1">#REF!</definedName>
    <definedName name="MLNKa16884e8fb5f45d2a0a160ca8a46e3b9" hidden="1">#REF!</definedName>
    <definedName name="MLNKa17b9728e1df4c528069f48e91263d0c" hidden="1">#REF!</definedName>
    <definedName name="MLNKa18110aa36d84ef6948a9cc0e38dc468" hidden="1">#REF!</definedName>
    <definedName name="MLNKa19683994634422fb5b8f4ea6112e3d3" hidden="1">#REF!</definedName>
    <definedName name="MLNKa1b5fc7caf74424b8bbf75e731066ab0" hidden="1">#REF!</definedName>
    <definedName name="MLNKa25cae9dc8c74628915f296fa982e1fb" hidden="1">#REF!</definedName>
    <definedName name="MLNKa25dac6dae19404dabf4485a3b9d91d0" hidden="1">#REF!</definedName>
    <definedName name="MLNKa2c1fb78a2914539b4823238e6e8f523" hidden="1">#REF!</definedName>
    <definedName name="MLNKa33f5b922c52401198b5e559799f8eef" hidden="1">#REF!</definedName>
    <definedName name="MLNKa3757b762c2e45c2b706f345388b4016" hidden="1">#REF!</definedName>
    <definedName name="MLNKa45576fee98240168d709e07360f099b" hidden="1">#REF!</definedName>
    <definedName name="MLNKa4a3bb217ffb407d831632a03d1537c6" hidden="1">#REF!</definedName>
    <definedName name="MLNKa4bfc61416724e8488baa1e1bf692f7c" hidden="1">#REF!</definedName>
    <definedName name="MLNKa4e5105d657d4972a79e03058f83813b" hidden="1">#REF!</definedName>
    <definedName name="MLNKa53b01afe9d84156971b84c816278a45" hidden="1">#REF!</definedName>
    <definedName name="MLNKa5ec9fd3c1204d3ab4000afcd26c7311" hidden="1">#REF!</definedName>
    <definedName name="MLNKa656af2eb98d41f8b623b0adad01435c" hidden="1">#REF!</definedName>
    <definedName name="MLNKa673c0a3d6bb45a7a16c3391a9561fb9" hidden="1">#REF!</definedName>
    <definedName name="MLNKa6ae049d8b9c49eaa8e69518f6bae458" hidden="1">#REF!</definedName>
    <definedName name="MLNKa6dd1b101c6a4ddb975ed96014483413" hidden="1">#REF!</definedName>
    <definedName name="MLNKa6fb886c6532415487930914f9a76842" hidden="1">#REF!</definedName>
    <definedName name="MLNKa7219183ccd0431194753052ff289c50" hidden="1">#REF!</definedName>
    <definedName name="MLNKa7379d2dd0484806ada1cae1032f59aa" hidden="1">#REF!</definedName>
    <definedName name="MLNKa76777c1fd664175a68de0c9bd407f60" hidden="1">#REF!</definedName>
    <definedName name="MLNKa77db0f4971f4e9fadc9a15aca25114d" hidden="1">#REF!</definedName>
    <definedName name="MLNKa7817aa319db4731a9e2c933aca0719c" hidden="1">#REF!</definedName>
    <definedName name="MLNKa79f5b516b0c4aeda36380d76754f2e0" hidden="1">#REF!</definedName>
    <definedName name="MLNKa7a3d6f9d11a4a809ee5ff79e0c8ad5c" hidden="1">#REF!</definedName>
    <definedName name="MLNKa7b98c7307644bba8c90bc9645775b57" hidden="1">#REF!</definedName>
    <definedName name="MLNKa7cbd9564e6a4d41a87053734022f2d1" hidden="1">#REF!</definedName>
    <definedName name="MLNKa809189b6c7e4fa2b3ae96d51831f9ea" hidden="1">#REF!</definedName>
    <definedName name="MLNKa82355c2dc8a40d18ae14c0e7773cd80" hidden="1">#REF!</definedName>
    <definedName name="MLNKa82dec760367413abef062bc8720b820" hidden="1">#REF!</definedName>
    <definedName name="MLNKa880b52119f24168b7a1e28ca812d64f" hidden="1">#REF!</definedName>
    <definedName name="MLNKa89b4ee9c2de4f7eaf93310b35832ee5" hidden="1">#REF!</definedName>
    <definedName name="MLNKa8b293b93f654bd187a9e3ddd2b53ab3" hidden="1">#REF!</definedName>
    <definedName name="MLNKa8c37bf10f834510876329f05782f34d" hidden="1">#REF!</definedName>
    <definedName name="MLNKa8f3d4c184744dae8769be0444935a46" hidden="1">#REF!</definedName>
    <definedName name="MLNKa95e6c6ba069403f8a62b2744d732b98" hidden="1">#REF!</definedName>
    <definedName name="MLNKa9794711f38949aa948bde62ec7bc634" hidden="1">#REF!</definedName>
    <definedName name="MLNKa97d26cd09d849ab9bdeca389fa24805" hidden="1">#REF!</definedName>
    <definedName name="MLNKa99d23553c9945fdac7282c4bcddb259" hidden="1">#REF!</definedName>
    <definedName name="MLNKa9c6a2eac37843b79a417978ef62ae8e" hidden="1">#REF!</definedName>
    <definedName name="MLNKa9dacf3b84954d858cb79e60187c0379" hidden="1">#REF!</definedName>
    <definedName name="MLNKaa5c2fdc8f1d49cf8ff90275219dd9bb" hidden="1">#REF!</definedName>
    <definedName name="MLNKaa67f20dd8a94b71ac72a5a448c66d86" hidden="1">#REF!</definedName>
    <definedName name="MLNKaa74c66e7c434db5af69edf87207fc75" hidden="1">#REF!</definedName>
    <definedName name="MLNKaac54f9086364e06b9f0e92e608e48e7" hidden="1">#REF!</definedName>
    <definedName name="MLNKab02c2991b6b431a8d270be0189e9571" hidden="1">#REF!</definedName>
    <definedName name="MLNKab08adf1a1274a4696b4712b8acce079" hidden="1">#REF!</definedName>
    <definedName name="MLNKabaeabebce454dbca8b71cbff7d1cff9" hidden="1">#REF!</definedName>
    <definedName name="MLNKabd116d5eb4e4f30891777cbe2c1269d" hidden="1">#REF!</definedName>
    <definedName name="MLNKac086cabe5fa4e69ba8eb0262dea9354" hidden="1">#REF!</definedName>
    <definedName name="MLNKac1a14571d9b4a148bd3859b6b0e020b" hidden="1">#REF!</definedName>
    <definedName name="MLNKac312bb407d440dbbb97222f7388dabc" hidden="1">#REF!</definedName>
    <definedName name="MLNKac42ad8b02784fb2b0c9f96bd99bb08a" hidden="1">#REF!</definedName>
    <definedName name="MLNKac5f4b1d989d4b56818962099fe7afb2" hidden="1">#REF!</definedName>
    <definedName name="MLNKac716c0503d44271adc268c475933c7b" hidden="1">#REF!</definedName>
    <definedName name="MLNKacc1cf085d6a4867ad74b38c132c6894" hidden="1">#REF!</definedName>
    <definedName name="MLNKad14749d5f984baa9b7886bdde649cf3" hidden="1">#REF!</definedName>
    <definedName name="MLNKadac72d252524717ae096004ff1f7a24" hidden="1">#REF!</definedName>
    <definedName name="MLNKae2bd731278143659ca73b7e3c820374" hidden="1">#REF!</definedName>
    <definedName name="MLNKae41783982f24be194658702fb8f0cac" hidden="1">#REF!</definedName>
    <definedName name="MLNKaea5c256d3804e37a62ac031b17c2a94" hidden="1">#REF!</definedName>
    <definedName name="MLNKaf0cbd3c6eb94c84b3215a78955725ce" hidden="1">#REF!</definedName>
    <definedName name="MLNKaf0dac759b4745cb803ecfc7dac9891a" hidden="1">#REF!</definedName>
    <definedName name="MLNKaf147c40d8394d2ab23b5751d90c86c5" hidden="1">#REF!</definedName>
    <definedName name="MLNKaf4053b80ea64fcf8f78ae61be88485c" hidden="1">#REF!</definedName>
    <definedName name="MLNKaf626229050142c985bfa4f75083b541" hidden="1">#REF!</definedName>
    <definedName name="MLNKaf64d7a53ca34796b30f55a715bb0be0" hidden="1">#REF!</definedName>
    <definedName name="MLNKafa1320afb9a46daa9a610fc04863ebd" hidden="1">#REF!</definedName>
    <definedName name="MLNKafddd8d8e0da494eb5e80f923f68e3d7" hidden="1">#REF!</definedName>
    <definedName name="MLNKafefbe6104aa47c6b2421ad86fe83664" hidden="1">#REF!</definedName>
    <definedName name="MLNKb016ba4ea42f4ab9a46441c8afd6fd0b" hidden="1">#REF!</definedName>
    <definedName name="MLNKb026e7e791854d31b7bb7758362b4c54" hidden="1">#REF!</definedName>
    <definedName name="MLNKb02de38dd13d495d8a2f90addc300534" hidden="1">#REF!</definedName>
    <definedName name="MLNKb0a22b8da9e349b0a219bcb103ca5e26" hidden="1">#REF!</definedName>
    <definedName name="MLNKb0b7baf2c9da4ebb925fcd533e96f887" hidden="1">#REF!</definedName>
    <definedName name="MLNKb14798519cfb416ba703507ddbf71d07" hidden="1">#REF!</definedName>
    <definedName name="MLNKb1f4aa7639a64f0bb4faf48bcfffa77e" hidden="1">#REF!</definedName>
    <definedName name="MLNKb1f744c776484ca18efc7c1044adf418" hidden="1">#REF!</definedName>
    <definedName name="MLNKb210f6399051471c85a0b1d471ae6b4a" hidden="1">#REF!</definedName>
    <definedName name="MLNKb261eaaffa0c4dce86de3c724754f93e" hidden="1">#REF!</definedName>
    <definedName name="MLNKb277a11827bb4cd4ba5526b2f9840a44" hidden="1">#REF!</definedName>
    <definedName name="MLNKb2901e1f50a84f918b6ead78ee99678a" hidden="1">#REF!</definedName>
    <definedName name="MLNKb29e0fcf93894e6f8bec10d6d37c13a0" hidden="1">#REF!</definedName>
    <definedName name="MLNKb2a351d967304760884468cb0fe785c1" hidden="1">#REF!</definedName>
    <definedName name="MLNKb2b99e6a58ac4865b2554ef3d1971577" hidden="1">#REF!</definedName>
    <definedName name="MLNKb2c15ca540cc43de87cb92d3c45b905e" hidden="1">#REF!</definedName>
    <definedName name="MLNKb2e67786ce8c46e8bb7037cef548e34c" hidden="1">#REF!</definedName>
    <definedName name="MLNKb30365b9692843388d1fd11a48afb7de" hidden="1">#REF!</definedName>
    <definedName name="MLNKb34eced05fc4474da889379a0eeab0c8" hidden="1">#REF!</definedName>
    <definedName name="MLNKb359d3fb47314fe2954621c0d9a0460e" hidden="1">#REF!</definedName>
    <definedName name="MLNKb394646e412b46e4bd36ca82f51a7ef4" hidden="1">#REF!</definedName>
    <definedName name="MLNKb3e9e939720a489d89545e7d7d680f08" hidden="1">#REF!</definedName>
    <definedName name="MLNKb443b133892445138634845abdcc3e84" hidden="1">#REF!</definedName>
    <definedName name="MLNKb4bc7e3573744fbd9426e78684dcc3ab" hidden="1">#REF!</definedName>
    <definedName name="MLNKb4dd3fcc101940d492434368874f4bb3" hidden="1">#REF!</definedName>
    <definedName name="MLNKb4fefb641131421ebfc67aca9dcd48b0" hidden="1">#REF!</definedName>
    <definedName name="MLNKb5282d98527f4904ba52287e9cb5399b" hidden="1">#REF!</definedName>
    <definedName name="MLNKb56d95f79c694ba18d515de86ff406ad" hidden="1">#REF!</definedName>
    <definedName name="MLNKb5c891d151b145b786e0f50677531611" hidden="1">#REF!</definedName>
    <definedName name="MLNKb60c585591ff435499adcbcedc787ee9" hidden="1">#REF!</definedName>
    <definedName name="MLNKb62f70a233c04d8ab7ba5cbf108488fc" hidden="1">#REF!</definedName>
    <definedName name="MLNKb6556ccd10c3418db2c4901ebf5ff5fe" hidden="1">#REF!</definedName>
    <definedName name="MLNKb6713b1b149a4c879d681efbc82fb638" hidden="1">#REF!</definedName>
    <definedName name="MLNKb6e9ea0573d54364b197d79fbac7c402" hidden="1">#REF!</definedName>
    <definedName name="MLNKb70e0287e1c84373ae29e8b329df47f8" hidden="1">#REF!</definedName>
    <definedName name="MLNKb721f99c3bd5494da0bbba9b39253294" hidden="1">#REF!</definedName>
    <definedName name="MLNKb7a2ed4b67ce44b4bab411afb5e42649" hidden="1">#REF!</definedName>
    <definedName name="MLNKb7d31e1e2081409396b6285609a8a1c5" hidden="1">#REF!</definedName>
    <definedName name="MLNKb80123ad714847a49302cb5808ce1193" hidden="1">#REF!</definedName>
    <definedName name="MLNKb858ba554cba45c2b1e6497959577cb6" hidden="1">#REF!</definedName>
    <definedName name="MLNKb8722e61aedf45c099f26b49822127bb" hidden="1">#REF!</definedName>
    <definedName name="MLNKb8793bbdc4cd4502a30b4e9de8fa112e" hidden="1">#REF!</definedName>
    <definedName name="MLNKb9256d417c6c4e1385e06c667fe8b931" hidden="1">#REF!</definedName>
    <definedName name="MLNKb962f77597134701a87ab3689de2ade2" hidden="1">#REF!</definedName>
    <definedName name="MLNKb96c898e66e64db6be18f3516577e540" hidden="1">#REF!</definedName>
    <definedName name="MLNKb9d8b3738506449f8b18eddc44e701a7" hidden="1">#REF!</definedName>
    <definedName name="MLNKb9dc16a2f02e4193b0c9daf0b4dc531d" hidden="1">#REF!</definedName>
    <definedName name="MLNKba58d7acb80a45f3840363bd2a9cf564" hidden="1">#REF!</definedName>
    <definedName name="MLNKbac738279cee41aea131d98d02bb4919" hidden="1">#REF!</definedName>
    <definedName name="MLNKbb02b748687641bc809fdb4b8b3361a4" hidden="1">#REF!</definedName>
    <definedName name="MLNKbb0818788be947d5849c08d5af71dccc" hidden="1">#REF!</definedName>
    <definedName name="MLNKbb5357eb56b4420ea6d73a7234b157c0" hidden="1">#REF!</definedName>
    <definedName name="MLNKbb6fbd47bf084dbc9553f91d139a05a9" hidden="1">#REF!</definedName>
    <definedName name="MLNKbb86d3d2a0f24dd2bbc238b0e1bc07d0" hidden="1">#REF!</definedName>
    <definedName name="MLNKbb88464955b04e74890527baf9dc3dca" hidden="1">#REF!</definedName>
    <definedName name="MLNKbc061df9fe0246f589d6e8f30e7ba972" hidden="1">#REF!</definedName>
    <definedName name="MLNKbc1fe6c37f4d4ab5bd8ff0e9ab1e3940" hidden="1">#REF!</definedName>
    <definedName name="MLNKbc46897c4edd49a3b339f17c312cec25" hidden="1">#REF!</definedName>
    <definedName name="MLNKbc9384b6216847feb02bc9296c7eedb4" hidden="1">#REF!</definedName>
    <definedName name="MLNKbc972375684f448ea4ab451e8958fea8" hidden="1">#REF!</definedName>
    <definedName name="MLNKbd76be2c1b68486a83af5de8bdbcfe39" hidden="1">#REF!</definedName>
    <definedName name="MLNKbddc92dbcd424513a26fec3a36608c07" hidden="1">#REF!</definedName>
    <definedName name="MLNKbdeb57301d144646ab6218b74785ea4e" hidden="1">#REF!</definedName>
    <definedName name="MLNKbdf0d6ac940b4635a9cad45d4ae0a2cd" hidden="1">#REF!</definedName>
    <definedName name="MLNKbe8a9067fdd943ef81522cfc5fa7313f" hidden="1">#REF!</definedName>
    <definedName name="MLNKbe8c0371e2f4475bbef96d2aed55eff3" hidden="1">#REF!</definedName>
    <definedName name="MLNKbeb2a85a7d5e4ac58ab6701f6b711fbb" hidden="1">#REF!</definedName>
    <definedName name="MLNKbefbd14f401445f6b6822f51bdc13266" hidden="1">#REF!</definedName>
    <definedName name="MLNKbf21327ddbcb442f916bf84b5556d861" hidden="1">#REF!</definedName>
    <definedName name="MLNKbf3a3943d82246bf95c2b9d4a31c3293" hidden="1">#REF!</definedName>
    <definedName name="MLNKbf583d266635420eb7c19219c08883e0" hidden="1">#REF!</definedName>
    <definedName name="MLNKbf7494994f6b4d10ab745a90ae65c079" hidden="1">#REF!</definedName>
    <definedName name="MLNKbf8530991c7842458de3c4951292490e" hidden="1">#REF!</definedName>
    <definedName name="MLNKbf9802cd3cc24b93b0e5cdc8298b13dd" hidden="1">#REF!</definedName>
    <definedName name="MLNKbfc259e67d194e33929daf85cda46659" hidden="1">#REF!</definedName>
    <definedName name="MLNKbfe3b2005f2742068b1031a3e3f8a2c6" hidden="1">#REF!</definedName>
    <definedName name="MLNKbff35fb8eb26465cb4693afd8d8fb756" hidden="1">#REF!</definedName>
    <definedName name="MLNKc02265f4aed844c3ae62791e09b09b4c" hidden="1">#REF!</definedName>
    <definedName name="MLNKc028b05ec1474697ae0f46d24ddade90" hidden="1">#REF!</definedName>
    <definedName name="MLNKc068bc95c85b4cad94c1afcc3efc523e" hidden="1">#REF!</definedName>
    <definedName name="MLNKc06d473cc53e493ba7441c705e9ad9c0" hidden="1">#REF!</definedName>
    <definedName name="MLNKc0c4d37d92a04564baea50424d14fdf5" hidden="1">#REF!</definedName>
    <definedName name="MLNKc0c74393ba7a4aa7aeea817b549967ff" hidden="1">#REF!</definedName>
    <definedName name="MLNKc1293af2908b44d9b422f15938ca8c44" hidden="1">#REF!</definedName>
    <definedName name="MLNKc15800ad3ce64a799cbdf8cb51764dd3" hidden="1">#REF!</definedName>
    <definedName name="MLNKc15a042a1cbc44198e3f9d1f75834286" hidden="1">#REF!</definedName>
    <definedName name="MLNKc162c015d35146d1b78e079093f33a77" hidden="1">#REF!</definedName>
    <definedName name="MLNKc1d5f6f75cbb4c8298db59ea1fc3b41a" hidden="1">#REF!</definedName>
    <definedName name="MLNKc1dc26d0f03a46858e757bd1d4377f75" hidden="1">#REF!</definedName>
    <definedName name="MLNKc2253feafb7f4fffbad2c16fe7a3916b" hidden="1">#REF!</definedName>
    <definedName name="MLNKc26338d459b741348648c7ac47c31ac0" hidden="1">#REF!</definedName>
    <definedName name="MLNKc2efd8ffcaa34e59b60518bbb305fc63" hidden="1">#REF!</definedName>
    <definedName name="MLNKc3c336515a70492995ab6aca70041fcd" hidden="1">#REF!</definedName>
    <definedName name="MLNKc41080187ee240b3a67ecf6f0308555a" hidden="1">#REF!</definedName>
    <definedName name="MLNKc46028cf5e4d492d9dea2018869aaaed" hidden="1">#REF!</definedName>
    <definedName name="MLNKc4793f350dca4664921b6dcbcbf53581" hidden="1">#REF!</definedName>
    <definedName name="MLNKc49aa80d5b814474aab88331745b7c97" hidden="1">#REF!</definedName>
    <definedName name="MLNKc50218c9156a467781e411dbd3d48136" hidden="1">#REF!</definedName>
    <definedName name="MLNKc5130a94ec1244b7a7361d362b309207" hidden="1">#REF!</definedName>
    <definedName name="MLNKc52f5a42071748faace2c1e249d2015f" hidden="1">#REF!</definedName>
    <definedName name="MLNKc5917d86d84245a19e71228e902d9570" hidden="1">#REF!</definedName>
    <definedName name="MLNKc59c2c879bb947b281e7464f5d9cc03a" hidden="1">#REF!</definedName>
    <definedName name="MLNKc5a2959bebff4f91b09362097725d98e" hidden="1">#REF!</definedName>
    <definedName name="MLNKc5a7812eb2af4fadb44bbda7b9929a72" hidden="1">#REF!</definedName>
    <definedName name="MLNKc5e456f02ef14641ab6d200a8799727b" hidden="1">#REF!</definedName>
    <definedName name="MLNKc63f950ad18249aa861fef09073db1d6" hidden="1">#REF!</definedName>
    <definedName name="MLNKc659f995effe4b579c38ff91fa57e987" hidden="1">#REF!</definedName>
    <definedName name="MLNKc6a3adf58cc34cca8ac50a6e121510b0" hidden="1">#REF!</definedName>
    <definedName name="MLNKc6aefbd14cfb45458e4c047f71737189" hidden="1">#REF!</definedName>
    <definedName name="MLNKc704294fb3b1488bb0ba0585a590b398" hidden="1">#REF!</definedName>
    <definedName name="MLNKc74e60fbf854453db17e8684ea5bce66" hidden="1">#REF!</definedName>
    <definedName name="MLNKc78948282baa424d84a9383779c84fd8" hidden="1">#REF!</definedName>
    <definedName name="MLNKc7bd4a1a060f4aaa8c20cc94cfe1d136" hidden="1">#REF!</definedName>
    <definedName name="MLNKc7cf56759fe7450b8fae1f2e22385088" hidden="1">#REF!</definedName>
    <definedName name="MLNKc7f38e5cfeaf42f9988e20e95383f2db" hidden="1">#REF!</definedName>
    <definedName name="MLNKc8303a74a6da4384a3461c33aa32d167" hidden="1">#REF!</definedName>
    <definedName name="MLNKc84748cc10dd4256933f02e2c927b5a9" hidden="1">#REF!</definedName>
    <definedName name="MLNKc8b6fbc053ad4a09b0fc6be79636d8a0" hidden="1">#REF!</definedName>
    <definedName name="MLNKc8b73752472f48b2bccfdaba1c6b6f7b" hidden="1">#REF!</definedName>
    <definedName name="MLNKc8c13711c8f146a2bed6a2a829026a3a" hidden="1">#REF!</definedName>
    <definedName name="MLNKc96440fe196b463188ebf018d89175e5" hidden="1">#REF!</definedName>
    <definedName name="MLNKc9c57b72996149a49a1298c36e44b823" hidden="1">#REF!</definedName>
    <definedName name="MLNKca1a1b8dbfbd452ba55a0e395ea793b3" hidden="1">#REF!</definedName>
    <definedName name="MLNKca6ff9cfcc2342938b8d0d06d521994a" hidden="1">#REF!</definedName>
    <definedName name="MLNKca9483f47aa24b93a01c0247a19983f1" hidden="1">#REF!</definedName>
    <definedName name="MLNKcb6504988142428b9321b1171667d1b6" hidden="1">#REF!</definedName>
    <definedName name="MLNKcbc35652dd604c5399c23d2cf3fc6c75" hidden="1">#REF!</definedName>
    <definedName name="MLNKcbd71f619082476689d69b3dbeedeac6" hidden="1">#REF!</definedName>
    <definedName name="MLNKcbef1b6aba174d3d8d2a156f2bc0bb7a" hidden="1">#REF!</definedName>
    <definedName name="MLNKcc72a4973dcc430e98fda17b11fce969" hidden="1">#REF!</definedName>
    <definedName name="MLNKcc96c218311c4662b164636e42f56ff7" hidden="1">#REF!</definedName>
    <definedName name="MLNKccfdce20570e4e79814e7f1193be9a80" hidden="1">#REF!</definedName>
    <definedName name="MLNKcd99621c65174ed2ada3f53847230fd8" hidden="1">#REF!</definedName>
    <definedName name="MLNKcdb7df57995c48968b72a48a62e8fda5" hidden="1">#REF!</definedName>
    <definedName name="MLNKce77c2f032d04ee79c255f6e39b36c47" hidden="1">#REF!</definedName>
    <definedName name="MLNKcec893d18ba74351a83a8b40b0d5efd9" hidden="1">#REF!</definedName>
    <definedName name="MLNKceee71bebd05435ba38663e3f636b7bb" hidden="1">#REF!</definedName>
    <definedName name="MLNKcfda49d4838e4081a1e44ac95a0dc186" hidden="1">#REF!</definedName>
    <definedName name="MLNKcffe7ff91f8047d7a7cdf3ca51ff1bbf" hidden="1">#REF!</definedName>
    <definedName name="MLNKd0545dd1a5434d3f9970307092995492" hidden="1">#REF!</definedName>
    <definedName name="MLNKd0acfc2eb6a54c42914a931ced4f1d48" hidden="1">#REF!</definedName>
    <definedName name="MLNKd0fe1099bbf4459088b43f18d16a11f1" hidden="1">#REF!</definedName>
    <definedName name="MLNKd1a73aa7a5624f9e8a8c5ab9b419c185" hidden="1">#REF!</definedName>
    <definedName name="MLNKd1b79e4e7aef43368318ed1e172c8dbd" hidden="1">#REF!</definedName>
    <definedName name="MLNKd1bfe69c1e284d6fba0c9353cc855643" hidden="1">#REF!</definedName>
    <definedName name="MLNKd1c69d0883884061b336aab57325eb3d" hidden="1">#REF!</definedName>
    <definedName name="MLNKd1e91ca61c1d4db08628df8a82893192" hidden="1">#REF!</definedName>
    <definedName name="MLNKd1eb0891b31448f6a2a42787308f57d0" hidden="1">#REF!</definedName>
    <definedName name="MLNKd25edf542942433c8b7b8a7ffaa24bec" hidden="1">#REF!</definedName>
    <definedName name="MLNKd30907edbba3423cb347492441fee011" hidden="1">#REF!</definedName>
    <definedName name="MLNKd36364ccf3554d17be4e90cf90af8fff" hidden="1">#REF!</definedName>
    <definedName name="MLNKd39ac37ab737442ca2d9b1b6321f0bc6" hidden="1">#REF!</definedName>
    <definedName name="MLNKd3dc24d4ddd940eea846c20a184293ad" hidden="1">#REF!</definedName>
    <definedName name="MLNKd4318cd5f5444700b610edf92c08ff61" hidden="1">#REF!</definedName>
    <definedName name="MLNKd4a131a086eb4e34a82a03221c7ee0cd" hidden="1">#REF!</definedName>
    <definedName name="MLNKd4caca0d68e14854ba184d3cb6571648" hidden="1">#REF!</definedName>
    <definedName name="MLNKd4da8cf3a71e4aa5ae3faf4df95402c0" hidden="1">#REF!</definedName>
    <definedName name="MLNKd4ece25b0836456690f432756db42070" hidden="1">#REF!</definedName>
    <definedName name="MLNKd4ee53c7dd364f0285ddf36588313749" hidden="1">#REF!</definedName>
    <definedName name="MLNKd5331428b6a8460799e1af1965ef25b1" hidden="1">#REF!</definedName>
    <definedName name="MLNKd5dcff4e626442cca81691cce7c3df31" hidden="1">#REF!</definedName>
    <definedName name="MLNKd6ad96b7f16647ecbf8b5eb4cb525e9a" hidden="1">#REF!</definedName>
    <definedName name="MLNKd6b82239b64548989b79a51dc8935db6" hidden="1">#REF!</definedName>
    <definedName name="MLNKd73ad899cda541a8982e3f2d5aa1956e" hidden="1">#REF!</definedName>
    <definedName name="MLNKd8d24d9706354d54a8737ff792d1c649" hidden="1">#REF!</definedName>
    <definedName name="MLNKd8e056c4de3e4a3b863d5b0fe931d713" hidden="1">#REF!</definedName>
    <definedName name="MLNKd8f4c3b0fd084f6ba73e89ad0a9afd0a" hidden="1">#REF!</definedName>
    <definedName name="MLNKd98a6631865c40838e2bd40a4ed891f0" hidden="1">#REF!</definedName>
    <definedName name="MLNKda1152c4cc0c422f84e177462720e4e9" hidden="1">#REF!</definedName>
    <definedName name="MLNKdad976f7fd5f4e2b8d5894157ebede88" hidden="1">#REF!</definedName>
    <definedName name="MLNKdaf6c5baad5440ac9bc69ff1570d9d9a" hidden="1">#REF!</definedName>
    <definedName name="MLNKdb299d51f2f34ecb8bd62f12bf0a4b9f" hidden="1">#REF!</definedName>
    <definedName name="MLNKdb3202f698c541ba9ac5aaafa0a40b7c" hidden="1">#REF!</definedName>
    <definedName name="MLNKdb682b6a3d82445cac4ef9141ab8b3eb" hidden="1">#REF!</definedName>
    <definedName name="MLNKdb820b3d009f40ce8e422db2741d580f" hidden="1">#REF!</definedName>
    <definedName name="MLNKdb864bfe86424f5e87f6b1bb724e6820" hidden="1">#REF!</definedName>
    <definedName name="MLNKdbcdd2701ff140beb988f8d81263cfb6" hidden="1">#REF!</definedName>
    <definedName name="MLNKdbf5ffa69fb145d38b68f2930b8783c8" hidden="1">#REF!</definedName>
    <definedName name="MLNKdc10587df1364384b7698f37a398df57" hidden="1">#REF!</definedName>
    <definedName name="MLNKdc4c588ea844422d85350eaf38e7d7f4" hidden="1">#REF!</definedName>
    <definedName name="MLNKdc921760362b49f09e4e76d8b6a7b69d" hidden="1">#REF!</definedName>
    <definedName name="MLNKdca86110a7d74aafb81444faffbea7dc" hidden="1">#REF!</definedName>
    <definedName name="MLNKdcc1ef51c49e470a9212dd480f00d5c5" hidden="1">#REF!</definedName>
    <definedName name="MLNKdce35bbf22604ffa92e90dfce593145a" hidden="1">#REF!</definedName>
    <definedName name="MLNKdcfa7180c18943a0898fa020b54f44e5" hidden="1">#REF!</definedName>
    <definedName name="MLNKdd16275dc64b4808b13920b3578e8113" hidden="1">#REF!</definedName>
    <definedName name="MLNKdd2f530a9a264852b24622a11e3f1b7d" hidden="1">#REF!</definedName>
    <definedName name="MLNKdd36a7854d414eb6b4c775afa248a0ac" hidden="1">#REF!</definedName>
    <definedName name="MLNKdd6d5e906e544999adafc1c995f9de12" hidden="1">#REF!</definedName>
    <definedName name="MLNKdd80ddbbaa7c428dbef178217ed5c495" hidden="1">#REF!</definedName>
    <definedName name="MLNKde8006bacfc346d6b4df8727d916822c" hidden="1">#REF!</definedName>
    <definedName name="MLNKded61ea6701f47b787ab31230f494da4" hidden="1">#REF!</definedName>
    <definedName name="MLNKdeefa2bfaa414bce9e904db535a538f9" hidden="1">'V. Comparables'!$B$8:$R$56</definedName>
    <definedName name="MLNKdf07d88462fd4bfd9dc7f95442e82542" hidden="1">#REF!</definedName>
    <definedName name="MLNKdf2238e63cba47398e2681a8c2bfaa54" hidden="1">#REF!</definedName>
    <definedName name="MLNKdf654a64333a494fa6e088e037163da8" hidden="1">#REF!</definedName>
    <definedName name="MLNKdfa802fe092a4977907fea92b409c1e1" hidden="1">#REF!</definedName>
    <definedName name="MLNKdfb4ba7c52e647f4a074b2c2f375cbcc" hidden="1">#REF!</definedName>
    <definedName name="MLNKe04bf971879347c7982b1173e2d29a2a" hidden="1">#REF!</definedName>
    <definedName name="MLNKe090e26510014cdeb8e67a5d5a96ba13" hidden="1">#REF!</definedName>
    <definedName name="MLNKe09293ca8bf645f5ac49304a5e99835a" hidden="1">#REF!</definedName>
    <definedName name="MLNKe097181bd7e94b59b0bf560b50f4a59a" hidden="1">#REF!</definedName>
    <definedName name="MLNKe0c53436419d42a685619d07b8f478b9" hidden="1">#REF!</definedName>
    <definedName name="MLNKe0e0cfd6df4745e9ad359e10947fe8c7" hidden="1">#REF!</definedName>
    <definedName name="MLNKe0eeb9a76c784235a587a54c6d6bf77f" hidden="1">#REF!</definedName>
    <definedName name="MLNKe11e2d59fb984a0ba22671c02a2fa156" hidden="1">#REF!</definedName>
    <definedName name="MLNKe1645ce7b3f14a81835ab110636a0d5e" hidden="1">#REF!</definedName>
    <definedName name="MLNKe1896678be7e490ca4a3a6a4e8b66469" hidden="1">#REF!</definedName>
    <definedName name="MLNKe1ac4738cbfe4e66ab2c077b0dc4db99" hidden="1">#REF!</definedName>
    <definedName name="MLNKe1cf75a7a5894c31ab0f4382a0d6f1b5" hidden="1">#REF!</definedName>
    <definedName name="MLNKe1dc33bbbf3240bdbcf7d611be0084b0" hidden="1">#REF!</definedName>
    <definedName name="MLNKe21a8c84c9ff4be8b8cf445853d6fcec" hidden="1">#REF!</definedName>
    <definedName name="MLNKe2a086a7b5c14ff5800311a557761726" hidden="1">#REF!</definedName>
    <definedName name="MLNKe2b28c59c20b4889b245155e6c10512a" hidden="1">#REF!</definedName>
    <definedName name="MLNKe2eb1cfb3a68470b9c8fea946d494a0a" hidden="1">#REF!</definedName>
    <definedName name="MLNKe301b7ee170d422480db09afd5555b9d" hidden="1">#REF!</definedName>
    <definedName name="MLNKe32a5ae092c14a708b0d4aacce87e161" hidden="1">#REF!</definedName>
    <definedName name="MLNKe35ef9b20e8c4b09a97c3424b90a59ab" hidden="1">#REF!</definedName>
    <definedName name="MLNKe3741771fafe452fbc166f1b31abb306" hidden="1">#REF!</definedName>
    <definedName name="MLNKe3aafe139b4c4da5b49582c83a2ca89e" hidden="1">#REF!</definedName>
    <definedName name="MLNKe3e4123999434a0dbf6ee6dd2e2e74c2" hidden="1">#REF!</definedName>
    <definedName name="MLNKe3f36a4ea9db4eb689b19d62c08f43eb" hidden="1">#REF!</definedName>
    <definedName name="MLNKe419df6c3bac4cd5a289cd1919df434c" hidden="1">#REF!</definedName>
    <definedName name="MLNKe46d45e2188d48f4864afc164943f2a4" hidden="1">#REF!</definedName>
    <definedName name="MLNKe4afc91282184093a934ea945b892c20" hidden="1">#REF!</definedName>
    <definedName name="MLNKe58b4f9954594a68919adf5d39ec4f38" hidden="1">#REF!</definedName>
    <definedName name="MLNKe5f7520d114649c68b8a2a9313d7a076" hidden="1">#REF!</definedName>
    <definedName name="MLNKe6017dab58bc41efb29a306689344160" hidden="1">#REF!</definedName>
    <definedName name="MLNKe66072ea21e24018887760cc3bc56187" hidden="1">#REF!</definedName>
    <definedName name="MLNKe67783f9386045fab4a95e47d8eed990" hidden="1">#REF!</definedName>
    <definedName name="MLNKe695c665be334e03b8dbb3226f06b070" hidden="1">#REF!</definedName>
    <definedName name="MLNKe69c7e47ace84fdabba07cd9364eb119" hidden="1">#REF!</definedName>
    <definedName name="MLNKe6acb0e24b0d4721896077e31c09a598" hidden="1">#REF!</definedName>
    <definedName name="MLNKe6d44b7eb7494a3ebb638bf1b41fb3c8" hidden="1">#REF!</definedName>
    <definedName name="MLNKe714491b1f6a4ca1815ea51cdc0d9809" hidden="1">#REF!</definedName>
    <definedName name="MLNKe718831ad10d4537b33e4eb72d3f42c8" hidden="1">#REF!</definedName>
    <definedName name="MLNKe754afffd77a4d84aa91d88468789915" hidden="1">#REF!</definedName>
    <definedName name="MLNKe75b05fb183c4a99b36e3ee9052825c3" hidden="1">#REF!</definedName>
    <definedName name="MLNKe75bfc86c5c340b58c80decac0c459df" hidden="1">#REF!</definedName>
    <definedName name="MLNKe769863fb62b471a91f08c34c6aa0fe8" hidden="1">#REF!</definedName>
    <definedName name="MLNKe7b2e230834f442ab919ab2ecb1d014e" hidden="1">#REF!</definedName>
    <definedName name="MLNKe7d255d2ea4045708a682a35478c4a53" hidden="1">#REF!</definedName>
    <definedName name="MLNKe7f13861e6d2486aaed4a2efd709d77f" hidden="1">#REF!</definedName>
    <definedName name="MLNKe81326c08cbd4af5aca80814f87f4e2d" hidden="1">#REF!</definedName>
    <definedName name="MLNKe81814586d854858aad8987dc9d39618" hidden="1">#REF!</definedName>
    <definedName name="MLNKe8606b21ad0646a883f1e4e117985e38" hidden="1">#REF!</definedName>
    <definedName name="MLNKe87eba5671a54589ba2b3005504069f5" hidden="1">#REF!</definedName>
    <definedName name="MLNKe882e6930c9d4facbc5ea027ed00bd00" hidden="1">#REF!</definedName>
    <definedName name="MLNKe8bbf428f7b741fda970875cb350ca06" hidden="1">#REF!</definedName>
    <definedName name="MLNKe93d21e8b1e9487ab407552124823362" hidden="1">#REF!</definedName>
    <definedName name="MLNKe9691c94eb924535b492835020e075c4" hidden="1">#REF!</definedName>
    <definedName name="MLNKe9c9c3aa2da84cef841b702098ff2c1b" hidden="1">#REF!</definedName>
    <definedName name="MLNKea15f6d358e7409d912b7bd4dea3a161" hidden="1">#REF!</definedName>
    <definedName name="MLNKea75e391dd194d1aa3ca8ad47d767efd" hidden="1">#REF!</definedName>
    <definedName name="MLNKeabbe4aeee6047609b732161a9b667c5" hidden="1">#REF!</definedName>
    <definedName name="MLNKeb416d5891b249bcb35e643344093a57" hidden="1">#REF!</definedName>
    <definedName name="MLNKeb80b5cd4cd44fbba7a7bfb840cd3cdd" hidden="1">#REF!</definedName>
    <definedName name="MLNKeb94e17874554a428430ccc272790bb9" hidden="1">#REF!</definedName>
    <definedName name="MLNKebe9a349e0f9446c99a03332b6951f2f" hidden="1">#REF!</definedName>
    <definedName name="MLNKec2315a17f1e44d4b305b28d5364f8ca" hidden="1">#REF!</definedName>
    <definedName name="MLNKec2e06f2daf8473e9eb2730d329d99f6" hidden="1">#REF!</definedName>
    <definedName name="MLNKec9eca812169465a8fa174402115bbe5" hidden="1">#REF!</definedName>
    <definedName name="MLNKece6d007c0f24cbb975070e5fd99dd6a" hidden="1">#REF!</definedName>
    <definedName name="MLNKed18dbb41b634a2ea88edfc27ac7f977" hidden="1">#REF!</definedName>
    <definedName name="MLNKed63a1a3f60d4cb9a6eea667a88f3bae" hidden="1">#REF!</definedName>
    <definedName name="MLNKed88ef6ad04f47a8afae5d53b67933e0" hidden="1">#REF!</definedName>
    <definedName name="MLNKedad7bc6cf7c48458c71bbdca16f9636" hidden="1">#REF!</definedName>
    <definedName name="MLNKedf41ed864b04234a4ba254b23ff76a3" hidden="1">#REF!</definedName>
    <definedName name="MLNKee3a74249ae848caabbc83e007ef01b0" hidden="1">#REF!</definedName>
    <definedName name="MLNKee560b513f474eb28eac354d60ec6a21" hidden="1">#REF!</definedName>
    <definedName name="MLNKeecdb8d7190e4f8c808622a7226be5e5" hidden="1">#REF!</definedName>
    <definedName name="MLNKef1358c8ef6144f58a770a230439ef3e" hidden="1">#REF!</definedName>
    <definedName name="MLNKef1b927cfe704d81a46a8bc2f477a2fa" hidden="1">#REF!</definedName>
    <definedName name="MLNKef3db0272bf647529f6e7f2390fffd88" hidden="1">#REF!</definedName>
    <definedName name="MLNKef65e7171ed04845a0e5c901f7dbaa01" hidden="1">#REF!</definedName>
    <definedName name="MLNKeffcf5b54c15412f81f36dd9c606a529" hidden="1">#REF!</definedName>
    <definedName name="MLNKf026ec19a29e4e81a40d0f3d93f4b72a" hidden="1">#REF!</definedName>
    <definedName name="MLNKf043457bc28e4f86ad787013e0eaf10f" hidden="1">#REF!</definedName>
    <definedName name="MLNKf05580bcd2874e4ea76da70598d259c5" hidden="1">#REF!</definedName>
    <definedName name="MLNKf092f36ff0f74b25a58d312b2ebc9377" hidden="1">#REF!</definedName>
    <definedName name="MLNKf0bcc9f4176d4a49ab0f9727901687cc" hidden="1">#REF!</definedName>
    <definedName name="MLNKf14b49f683294b4cbdb258986588af23" hidden="1">#REF!</definedName>
    <definedName name="MLNKf187bf23ebf6455abeeb8dcfe68f1a02" hidden="1">#REF!</definedName>
    <definedName name="MLNKf1ce7c1f71ca4b5dbd297a8314c35f0d" hidden="1">#REF!</definedName>
    <definedName name="MLNKf1d741c373f34620ba9db75e559d6492" hidden="1">#REF!</definedName>
    <definedName name="MLNKf1e1e702f443436db370aefe1af4b4af" hidden="1">#REF!</definedName>
    <definedName name="MLNKf1f9642b8d95448c83157665365c64cb" hidden="1">#REF!</definedName>
    <definedName name="MLNKf1fc313dfb8c49c9ad656524cf038dd4" hidden="1">#REF!</definedName>
    <definedName name="MLNKf22d86e83dc74649878809d6d5084ff5" hidden="1">#REF!</definedName>
    <definedName name="MLNKf253c29f66594a42a013a647cc4348d4" hidden="1">#REF!</definedName>
    <definedName name="MLNKf31aad2c3ffa4de3a9ecc2984218c1a2" hidden="1">#REF!</definedName>
    <definedName name="MLNKf34374e0248843038ab5daf7c14052b3" hidden="1">#REF!</definedName>
    <definedName name="MLNKf344c94dee6743acb54f67936df14787" hidden="1">#REF!</definedName>
    <definedName name="MLNKf3ea2223b5ec4d16a60dea61e33ff172" hidden="1">#REF!</definedName>
    <definedName name="MLNKf49077d8fce6408495d3e0d6d993dd80" hidden="1">#REF!</definedName>
    <definedName name="MLNKf4c706ec50fc4f89a88d8e3dd66e6443" hidden="1">#REF!</definedName>
    <definedName name="MLNKf589f5d4860d4c168e084a35ada47455" hidden="1">#REF!</definedName>
    <definedName name="MLNKf5d530e37ea3487f8215dece0e743f02" hidden="1">#REF!</definedName>
    <definedName name="MLNKf62372b10e7546899a27aba86588940f" hidden="1">#REF!</definedName>
    <definedName name="MLNKf655751cc8844c7f812a2493aeecffe0" hidden="1">#REF!</definedName>
    <definedName name="MLNKf65576a79529435e96ea56a9f989a6c1" hidden="1">#REF!</definedName>
    <definedName name="MLNKf66035223f4444779699efe602c3bb34" hidden="1">#REF!</definedName>
    <definedName name="MLNKf6be7ea148f343f7b5092a15eaa08df9" hidden="1">#REF!</definedName>
    <definedName name="MLNKf7ac723cff9943a5988d414dbabff1fa" hidden="1">#REF!</definedName>
    <definedName name="MLNKf7b5854165ea4f1ca3154d614dbd1ec5" hidden="1">#REF!</definedName>
    <definedName name="MLNKf7e8acfd8b604c459d0a277eec871150" hidden="1">#REF!</definedName>
    <definedName name="MLNKf8373b71f8f04deb98bc961f11b3339a" hidden="1">#REF!</definedName>
    <definedName name="MLNKf83b8907730540f7ad62729b856f69cd" hidden="1">#REF!</definedName>
    <definedName name="MLNKf864eed95e984ae99caedb517dee0d9a" hidden="1">#REF!</definedName>
    <definedName name="MLNKf8965499dbe140ae94eaca5543729810" hidden="1">#REF!</definedName>
    <definedName name="MLNKf8e3a1f924af457f9b8e9eb2627b2e2d" hidden="1">#REF!</definedName>
    <definedName name="MLNKf8f37e5ba04b4a2b9dacd71d668832f0" hidden="1">#REF!</definedName>
    <definedName name="MLNKf97dea5cae574753b91c7d04c01a1b4e" hidden="1">#REF!</definedName>
    <definedName name="MLNKfa135e4b2a87433b99cd7a85d3aa7ace" hidden="1">#REF!</definedName>
    <definedName name="MLNKfa3e27c8c53342ceaacbb15388eb3dd1" hidden="1">#REF!</definedName>
    <definedName name="MLNKfa69040b92f44ab7a12d42ec9357499d" hidden="1">#REF!</definedName>
    <definedName name="MLNKfa6c316471364176bcbbefc6830ef829" hidden="1">#REF!</definedName>
    <definedName name="MLNKfaa67a026dd9454f9e7abfa18fd2ea98" hidden="1">#REF!</definedName>
    <definedName name="MLNKfad519013a3047d98d58233a55d1b524" hidden="1">#REF!</definedName>
    <definedName name="MLNKfb30cc3b31544b5faf150bb880655370" hidden="1">#REF!</definedName>
    <definedName name="MLNKfb5a28e2d52642d8ae374a24aa2f515b" hidden="1">#REF!</definedName>
    <definedName name="MLNKfbd34e9c5e9a46d68b7d7c6b4ac63d0c" hidden="1">#REF!</definedName>
    <definedName name="MLNKfc3b92d24c004f3fb5fb80573593aba6" hidden="1">#REF!</definedName>
    <definedName name="MLNKfc5606f237434fc18abf8ce6d3503626" hidden="1">#REF!</definedName>
    <definedName name="MLNKfc65f694760547b99ecbf623bd883e7a" hidden="1">#REF!</definedName>
    <definedName name="MLNKfca07d14109c400d95b9eb8da58225aa" hidden="1">#REF!</definedName>
    <definedName name="MLNKfd0d9b768299437b92b717f7f627c62c" hidden="1">#REF!</definedName>
    <definedName name="MLNKfd23cff0e25d4fe99dc556f422f0ed97" hidden="1">#REF!</definedName>
    <definedName name="MLNKfd5d209ad5e74b14990c5e6a54b9f9db" hidden="1">#REF!</definedName>
    <definedName name="MLNKfd9082fc4c98457d8cbbef8a12aceedc" hidden="1">#REF!</definedName>
    <definedName name="MLNKfebe3ae174e74e728322fa727b235f1f" hidden="1">#REF!</definedName>
    <definedName name="MLNKff4adabb732d44049edfd0fbf054b234" hidden="1">#REF!</definedName>
    <definedName name="MLNKff5ecd00ef6847669fb191968d8809a5" hidden="1">#REF!</definedName>
    <definedName name="MLNKffa830e55d954992a7bc24b31840c35a" hidden="1">#REF!</definedName>
    <definedName name="MLNKffb594f36bc542278515f6018b380411" hidden="1">#REF!</definedName>
    <definedName name="mlw" hidden="1">{#N/A,#N/A,FALSE,"Pharm";#N/A,#N/A,FALSE,"WWCM"}</definedName>
    <definedName name="mmmmm" hidden="1">{#N/A,#N/A,FALSE,"Calc";#N/A,#N/A,FALSE,"Sensitivity";#N/A,#N/A,FALSE,"LT Earn.Dil.";#N/A,#N/A,FALSE,"Dil. AVP"}</definedName>
    <definedName name="mnkj" hidden="1">{#N/A,#N/A,TRUE,"BUD VS ACT AUST 96";#N/A,#N/A,TRUE,"96 COMP P&amp;L-AUST";#N/A,#N/A,TRUE,"COMP BS-AUSTRALIA";#N/A,#N/A,TRUE,"B/S - AUSTR."}</definedName>
    <definedName name="model" hidden="1">{#N/A,#N/A,FALSE,"Rev Grwth";#N/A,#N/A,FALSE,"Op Inc Grwth";#N/A,#N/A,FALSE,"Net Grwth";#N/A,#N/A,FALSE,"EPS Growth"}</definedName>
    <definedName name="model2" hidden="1">{#N/A,#N/A,FALSE,"Rev Grwth";#N/A,#N/A,FALSE,"Op Inc Grwth";#N/A,#N/A,FALSE,"Net Grwth";#N/A,#N/A,FALSE,"EPS Growth"}</definedName>
    <definedName name="Module23.Macro3">#N/A</definedName>
    <definedName name="Module27.homee">#N/A</definedName>
    <definedName name="Month">#REF!</definedName>
    <definedName name="Monthly_Payment">-PMT(Interest_Rate/12,Number_of_Payments,Loan_Amount)</definedName>
    <definedName name="months_per_period">INDEX({12,6,3,2,1,0.5,0.5,0.25},MATCH(#REF!,frequency,0))</definedName>
    <definedName name="MPO" hidden="1">{#N/A,#N/A,TRUE,"BS_A";#N/A,#N/A,TRUE,"BS_L";#N/A,#N/A,TRUE,"PL";#N/A,#N/A,TRUE,"NET";#N/A,#N/A,TRUE,"MAR_2";#N/A,#N/A,TRUE,"MAR";#N/A,#N/A,TRUE,"NII";#N/A,#N/A,TRUE,"NIE";#N/A,#N/A,TRUE,"FS_BS";#N/A,#N/A,TRUE,"FS_PL";#N/A,#N/A,TRUE,"HEA"}</definedName>
    <definedName name="mw" hidden="1">{#N/A,#N/A,FALSE,"Pharm";#N/A,#N/A,FALSE,"WWCM"}</definedName>
    <definedName name="na" hidden="1">"IQ_FY_DATE"</definedName>
    <definedName name="Name">#REF!</definedName>
    <definedName name="nameconf1" hidden="1">{#N/A,#N/A,TRUE,"Sch-1a";#N/A,#N/A,TRUE,"Sch-1b";#N/A,#N/A,TRUE,"Sch-1c";#N/A,#N/A,TRUE,"Sch-1d";#N/A,#N/A,TRUE,"Sch-2a";#N/A,#N/A,TRUE,"Sch-2b";#N/A,#N/A,TRUE,"Sch-2c";#N/A,#N/A,TRUE,"Sch-3a";#N/A,#N/A,TRUE,"Sch-3b";#N/A,#N/A,TRUE,"Sch-3c";#N/A,#N/A,TRUE,"Sch-3d";#N/A,#N/A,TRUE,"Sch-3e"}</definedName>
    <definedName name="naveeds" hidden="1">{"CSheet",#N/A,FALSE,"C";"SmCap",#N/A,FALSE,"VAL1";"GulfCoast",#N/A,FALSE,"VAL1";"nav",#N/A,FALSE,"NAV";"Summary",#N/A,FALSE,"NAV"}</definedName>
    <definedName name="ncas" hidden="1">{"FCB_ALL",#N/A,FALSE,"FCB";"GREY_ALL",#N/A,FALSE,"GREY"}</definedName>
    <definedName name="NCBN" hidden="1">{#N/A,#N/A,FALSE,"BS";#N/A,#N/A,FALSE,"PL_10Q";#N/A,#N/A,FALSE,"SOE";#N/A,#N/A,FALSE,"SCF";#N/A,#N/A,FALSE,"Sel Fn Data QTD 10Q";#N/A,#N/A,FALSE,"Table 1 YTD 10Q";#N/A,#N/A,FALSE,"Table 1 QTD 10Q";#N/A,#N/A,FALSE,"Tables 2 to 3 PL";#N/A,#N/A,FALSE,"Tables 4 and 5ALLL";#N/A,#N/A,FALSE,"Tables 6 to 8 ALLL ";#N/A,#N/A,FALSE,"Table 9 to 12 - Balance Sheet"}</definedName>
    <definedName name="nc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SUSD">#REF!</definedName>
    <definedName name="NetIncCurr">#REF!</definedName>
    <definedName name="NetIncPrior">#REF!</definedName>
    <definedName name="new" hidden="1">{"SourcesUses",#N/A,TRUE,"CFMODEL";"TransOverview",#N/A,TRUE,"CFMODEL"}</definedName>
    <definedName name="Newco_Tax">#REF!</definedName>
    <definedName name="newdata" hidden="1">{"PAGE 1",#N/A,FALSE,"WEST_OT"}</definedName>
    <definedName name="newdata2" hidden="1">{"PAGE 1",#N/A,FALSE,"WEST_OT"}</definedName>
    <definedName name="NewLoan2014">(#REF!*#REF!*#REF!*#REF!)&gt;0</definedName>
    <definedName name="NewMaster">#REF!</definedName>
    <definedName name="newnewnew" hidden="1">{#N/A,#N/A,FALSE,"Pharm";#N/A,#N/A,FALSE,"WWCM"}</definedName>
    <definedName name="NewRange" hidden="1">#REF!</definedName>
    <definedName name="Newsprint.summary" hidden="1">{#N/A,#N/A,FALSE,"Furnish";#N/A,#N/A,FALSE,"Labor Productivity";#N/A,#N/A,FALSE,"Producer";#N/A,#N/A,FALSE,"PM Productivity";#N/A,#N/A,FALSE,"Regions &amp; Delivered";#N/A,#N/A,FALSE,"Product &amp; Delivered";#N/A,#N/A,FALSE,"Delivered Cost";#N/A,#N/A,FALSE,"Cash Cost"}</definedName>
    <definedName name="NI_Analysis">#N/A</definedName>
    <definedName name="NICHOLE" hidden="1">{#N/A,#N/A,FALSE,"Total";#N/A,#N/A,FALSE,"Sew";#N/A,#N/A,FALSE,"Finish";#N/A,#N/A,FALSE,"CUT";#N/A,#N/A,FALSE,"Mill 5";#N/A,#N/A,FALSE,"Mill 6";#N/A,#N/A,FALSE,"Mill 8";#N/A,#N/A,FALSE,"Mill 9";#N/A,#N/A,FALSE,"Mill 10";#N/A,#N/A,FALSE,"Mill 12";#N/A,#N/A,FALSE,"Mill 15";#N/A,#N/A,FALSE,"Mill 17"}</definedName>
    <definedName name="NMCVM" hidden="1">{#N/A,#N/A,FALSE,"TABLE_1 YTD- VALUES LAST YR(2)"}</definedName>
    <definedName name="nmnmm" hidden="1">{#N/A,#N/A,FALSE,"Index";"Stmts_Qtrs",#N/A,FALSE,"Summary";"Stmts_24 mo",#N/A,FALSE,"Summary";"Summary_24",#N/A,FALSE,"Revenue";"Month_24",#N/A,FALSE,"Engineering";"Month_24",#N/A,FALSE,"Marketing";"Month_24",#N/A,FALSE,"G &amp; A";"Month_24",#N/A,FALSE,"Manufacturing"}</definedName>
    <definedName name="nn" hidden="1">{#N/A,#N/A,FALSE,"Sheet1";#N/A,#N/A,FALSE,"Sheet2";#N/A,#N/A,FALSE,"Sheet3";#N/A,#N/A,FALSE,"Sheet4";#N/A,#N/A,FALSE,"Sheet5";#N/A,#N/A,FALSE,"Sheet6"}</definedName>
    <definedName name="nnn" hidden="1">{#N/A,#N/A,FALSE,"Assessment";#N/A,#N/A,FALSE,"Staffing";#N/A,#N/A,FALSE,"Hires";#N/A,#N/A,FALSE,"Assumptions"}</definedName>
    <definedName name="nnnn" hidden="1">{#N/A,#N/A,FALSE,"Job Sched"}</definedName>
    <definedName name="no" hidden="1">{"'Sheet1'!$A$5:$G$42"}</definedName>
    <definedName name="no_1" hidden="1">{"'Sheet1'!$A$5:$G$42"}</definedName>
    <definedName name="NOBL" hidden="1">{"AQUIRORDCF",#N/A,FALSE,"Merger consequences";"Acquirorassns",#N/A,FALSE,"Merger consequences"}</definedName>
    <definedName name="noidea" hidden="1">{#N/A,#N/A,FALSE,"Calc";#N/A,#N/A,FALSE,"Sensitivity";#N/A,#N/A,FALSE,"LT Earn.Dil.";#N/A,#N/A,FALSE,"Dil. AVP"}</definedName>
    <definedName name="nono" hidden="1">{#N/A,#N/A,FALSE,"Objectives"}</definedName>
    <definedName name="normal" hidden="1">{"arpm1995",#N/A,FALSE,"Summary 95-96";"bus_long_distance",#N/A,FALSE,"Summary 95-96";"mins_per_day",#N/A,FALSE,"Summary 95-96";"minutes1995",#N/A,FALSE,"Summary 95-96";"rev_per_day",#N/A,FALSE,"Summary 95-96";"view1995",#N/A,FALSE,"Summary 95-96"}</definedName>
    <definedName name="Notes_FooterType" hidden="1">"INTERNAL"</definedName>
    <definedName name="NoteTextNames" hidden="1">{"Text 9";"Text 10";"Text 11";"Text 12"}</definedName>
    <definedName name="nothegsd" hidden="1">{"Summary",#N/A,FALSE,"Details (2)"}</definedName>
    <definedName name="nouv" hidden="1">{#N/A,#N/A,FALSE,"Pharm";#N/A,#N/A,FALSE,"WWCM"}</definedName>
    <definedName name="Nov00" hidden="1">{"Statement of Income",#N/A,TRUE,"Mar99";"Balance Sheet",#N/A,TRUE,"Mar99"}</definedName>
    <definedName name="Nov00TB" hidden="1">{"Statement of Income",#N/A,TRUE,"Mar99";"Balance Sheet",#N/A,TRUE,"Mar99"}</definedName>
    <definedName name="nper">term*periods_per_year</definedName>
    <definedName name="Num_Pmt_Per_Year">#REF!</definedName>
    <definedName name="Number_of_Payments">MATCH(0.01,End_Bal,-1)+1</definedName>
    <definedName name="NumberArea">#REF!</definedName>
    <definedName name="o" hidden="1">{#N/A,#N/A,FALSE,"New Depr Sch-150% DB";#N/A,#N/A,FALSE,"Cash Flows RLP";#N/A,#N/A,FALSE,"IRR";#N/A,#N/A,FALSE,"Proforma IS";#N/A,#N/A,FALSE,"Assumptions"}</definedName>
    <definedName name="Oct00" hidden="1">{"Statement of Income",#N/A,TRUE,"Mar99";"Balance Sheet",#N/A,TRUE,"Mar99"}</definedName>
    <definedName name="Oct00TB" hidden="1">{"Statement of Income",#N/A,TRUE,"Mar99";"Balance Sheet",#N/A,TRUE,"Mar99"}</definedName>
    <definedName name="Octob00" hidden="1">{"Statement of Income",#N/A,TRUE,"Mar99";"Balance Sheet",#N/A,TRUE,"Mar99"}</definedName>
    <definedName name="Octob00TB" hidden="1">{"Statement of Income",#N/A,TRUE,"Mar99";"Balance Sheet",#N/A,TRUE,"Mar99"}</definedName>
    <definedName name="OI" hidden="1">{#N/A,#N/A,FALSE,"COVER";#N/A,#N/A,FALSE,"Index";#N/A,#N/A,FALSE,"Non-Earning";#N/A,#N/A,FALSE,"Non-Earning_Recovery"}</definedName>
    <definedName name="oiu" hidden="1">{#N/A,#N/A,FALSE,"COVER";#N/A,#N/A,FALSE,"RATIOS";#N/A,#N/A,FALSE,"LEVERAGE";#N/A,#N/A,FALSE,"TIER-1";#N/A,#N/A,FALSE,"RISK BASED ASSETS";#N/A,#N/A,FALSE,"TIER-2"}</definedName>
    <definedName name="oiwea" hidden="1">{"FCB_ALL",#N/A,FALSE,"FCB";"GREY_ALL",#N/A,FALSE,"GREY"}</definedName>
    <definedName name="OK" hidden="1">{#N/A,#N/A,FALSE,"REPORT"}</definedName>
    <definedName name="okay" hidden="1">{#N/A,#N/A,FALSE,"Admin";#N/A,#N/A,FALSE,"Other"}</definedName>
    <definedName name="old">#REF!</definedName>
    <definedName name="olddata" hidden="1">{"PAGE 1",#N/A,FALSE,"WEST_OT"}</definedName>
    <definedName name="olddata1" hidden="1">{"PAGE 1",#N/A,FALSE,"WEST_OT"}</definedName>
    <definedName name="olddata2" hidden="1">{"PAGE 1",#N/A,FALSE,"WEST_OT"}</definedName>
    <definedName name="olddata3" hidden="1">{"PAGE 1",#N/A,FALSE,"WEST_OT"}</definedName>
    <definedName name="oldkey1" hidden="1">#REF!</definedName>
    <definedName name="oldsort" hidden="1">#REF!</definedName>
    <definedName name="on" hidden="1">{"TOTAL",#N/A,FALSE,"A";"FISCAL94",#N/A,FALSE,"A";"FISCAL95",#N/A,FALSE,"A";"FISCAL96",#N/A,FALSE,"A";"misc page",#N/A,FALSE,"A"}</definedName>
    <definedName name="ookok" hidden="1">{#N/A,#N/A,TRUE,"BUD VS ACT AUST 96";#N/A,#N/A,TRUE,"96 COMP P&amp;L-AUST";#N/A,#N/A,TRUE,"COMP BS-AUSTRALIA";#N/A,#N/A,TRUE,"B/S - AUSTR."}</definedName>
    <definedName name="ooo" hidden="1">{#N/A,#N/A,FALSE,"REPORT"}</definedName>
    <definedName name="ooooo" hidden="1">{#N/A,#N/A,FALSE,"Calc";#N/A,#N/A,FALSE,"Sensitivity";#N/A,#N/A,FALSE,"LT Earn.Dil.";#N/A,#N/A,FALSE,"Dil. AVP"}</definedName>
    <definedName name="OOU" hidden="1">{#N/A,#N/A,FALSE,"BS";#N/A,#N/A,FALSE,"PL_10Q";#N/A,#N/A,FALSE,"SOE";#N/A,#N/A,FALSE,"SCF"}</definedName>
    <definedName name="OPER" hidden="1">{"SUM",#N/A,FALSE,"Details (2)"}</definedName>
    <definedName name="OperatorServicesFi" hidden="1">{"SUM",#N/A,FALSE,"Details (2)"}</definedName>
    <definedName name="Opscen">#REF!</definedName>
    <definedName name="org_H_per_pot_cleaning">#REF!</definedName>
    <definedName name="org_H_per_pot_harvest">#REF!</definedName>
    <definedName name="org_H_per_pot_maintenance">#REF!</definedName>
    <definedName name="org_H_per_pot_nursery">#REF!</definedName>
    <definedName name="org_H_per_pot_others">#REF!</definedName>
    <definedName name="org_H_per_pot_packing">#REF!</definedName>
    <definedName name="org_H_per_pot_planting">#REF!</definedName>
    <definedName name="org_H_per_pot_sowing">#REF!</definedName>
    <definedName name="org_H_per_pot_wastehandl">#REF!</definedName>
    <definedName name="org_pots_per_h">#REF!</definedName>
    <definedName name="org_proc_time_cleaning">#REF!</definedName>
    <definedName name="org_proc_time_harvest">#REF!</definedName>
    <definedName name="org_proc_time_maint">#REF!</definedName>
    <definedName name="org_proc_time_nursery">#REF!</definedName>
    <definedName name="org_proc_time_others">#REF!</definedName>
    <definedName name="org_proc_time_packing">#REF!</definedName>
    <definedName name="org_proc_time_planting">#REF!</definedName>
    <definedName name="org_proc_time_sowing">#REF!</definedName>
    <definedName name="org_proc_time_wastehandl">#REF!</definedName>
    <definedName name="OrgCostCurr">#REF!</definedName>
    <definedName name="OrgCostPrior">#REF!</definedName>
    <definedName name="Other" hidden="1">{#N/A,#N/A,FALSE,"Page 1";#N/A,#N/A,FALSE,"Page 2";#N/A,#N/A,FALSE,"Page 3";#N/A,#N/A,FALSE,"Page 4";#N/A,#N/A,FALSE,"Page 5"}</definedName>
    <definedName name="other33" hidden="1">{#N/A,#N/A,FALSE,"Pharm";#N/A,#N/A,FALSE,"WWCM"}</definedName>
    <definedName name="othermar" hidden="1">{#N/A,#N/A,FALSE,"Pharm";#N/A,#N/A,FALSE,"WWCM"}</definedName>
    <definedName name="ouhio" hidden="1">{"Summary",#N/A,FALSE,"Details (2)"}</definedName>
    <definedName name="ouououiouopupo" hidden="1">{#N/A,#N/A,FALSE,"BS";#N/A,#N/A,FALSE,"PL";#N/A,#N/A,FALSE,"SOE";#N/A,#N/A,FALSE,"SCF"}</definedName>
    <definedName name="ououp0" hidden="1">{#N/A,#N/A,FALSE,"TABLE_1 YTD- VALUES LAST YR(2)"}</definedName>
    <definedName name="Outlook" hidden="1">{"arpm1995",#N/A,FALSE,"Summary 95-96";"bus_long_distance",#N/A,FALSE,"Summary 95-96";"mins_per_day",#N/A,FALSE,"Summary 95-96";"minutes1995",#N/A,FALSE,"Summary 95-96";"rev_per_day",#N/A,FALSE,"Summary 95-96";"view1995",#N/A,FALSE,"Summary 95-96"}</definedName>
    <definedName name="p"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Page1">#REF!</definedName>
    <definedName name="Page2">#REF!</definedName>
    <definedName name="Page3">#REF!</definedName>
    <definedName name="Page4">#REF!</definedName>
    <definedName name="Page5">#REF!</definedName>
    <definedName name="Page6">#REF!</definedName>
    <definedName name="panther_wrn.test1." hidden="1">{"Income Statement",#N/A,FALSE,"CFMODEL";"Balance Sheet",#N/A,FALSE,"CFMODEL"}</definedName>
    <definedName name="panther_wrn.test2." hidden="1">{"SourcesUses",#N/A,TRUE,"CFMODEL";"TransOverview",#N/A,TRUE,"CFMODEL"}</definedName>
    <definedName name="panther_wrn.test3." hidden="1">{"SourcesUses",#N/A,TRUE,#N/A;"TransOverview",#N/A,TRUE,"CFMODEL"}</definedName>
    <definedName name="panther_wrn.test4." hidden="1">{"SourcesUses",#N/A,TRUE,"FundsFlow";"TransOverview",#N/A,TRUE,"FundsFlow"}</definedName>
    <definedName name="PartnerList" comment="List of partners for drop down">#REF!</definedName>
    <definedName name="PassWord" hidden="1">"clean1"</definedName>
    <definedName name="PassWord2" hidden="1">"DELETE"</definedName>
    <definedName name="patty" hidden="1">{"PAGE 1",#N/A,FALSE,"WEST_OT"}</definedName>
    <definedName name="Pay_Date">#REF!</definedName>
    <definedName name="Pay_Num">#REF!</definedName>
    <definedName name="payment">#REF!</definedName>
    <definedName name="Payment_Date">DATE(YEAR(Loan_Start),MONTH(Loan_Start)+#REF!,DAY(Loan_Start))</definedName>
    <definedName name="Payment_Number">ROW()-Header_Row</definedName>
    <definedName name="PaymentPerYear2016">#REF!</definedName>
    <definedName name="PaymentsPerYear">#REF!</definedName>
    <definedName name="PaymentsPerYear2014">#REF!</definedName>
    <definedName name="PaymentsPerYear2017">#REF!</definedName>
    <definedName name="PaymentsPerYear2018">#REF!</definedName>
    <definedName name="PaymentsPerYearCurrent">#REF!</definedName>
    <definedName name="PaymentsPerYearRealEstate">#REF!</definedName>
    <definedName name="PBInvout">#REF!</definedName>
    <definedName name="PDI">#REF!</definedName>
    <definedName name="PDICS">#REF!</definedName>
    <definedName name="PDIFMV">#REF!</definedName>
    <definedName name="PDINR">#REF!</definedName>
    <definedName name="PDIPref">#REF!</definedName>
    <definedName name="PDIWarr">#REF!</definedName>
    <definedName name="PDM" hidden="1">{#N/A,#N/A,FALSE,"Summary";#N/A,#N/A,FALSE,"Signatures";#N/A,#N/A,FALSE,"FL Current";#N/A,#N/A,FALSE,"Assumptions";#N/A,#N/A,FALSE,"Assumptions";#N/A,#N/A,FALSE,"Assumptions";#N/A,#N/A,FALSE,"FL Last";#N/A,#N/A,FALSE,"FL Orig";#N/A,#N/A,FALSE,"C to G Explain"}</definedName>
    <definedName name="Pechous" hidden="1">{"FY01_Assets",#N/A,FALSE,"Fin Stmt Budget";"FY01_Liabilities",#N/A,FALSE,"Fin Stmt Budget";"FY01_Inc_Stmt",#N/A,FALSE,"Fin Stmt Budget";"FY01_SOCF",#N/A,FALSE,"Fin Stmt Budget"}</definedName>
    <definedName name="Pecos"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x"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pe" hidden="1">{#N/A,#N/A,FALSE,"Pharm";#N/A,#N/A,FALSE,"WWCM"}</definedName>
    <definedName name="PEPE4" hidden="1">{#N/A,#N/A,FALSE,"Pharm";#N/A,#N/A,FALSE,"WWCM"}</definedName>
    <definedName name="PEPE5" hidden="1">{#N/A,#N/A,FALSE,"Pharm";#N/A,#N/A,FALSE,"WWCM"}</definedName>
    <definedName name="period_names">#REF!</definedName>
    <definedName name="PERIOD2">#REF!</definedName>
    <definedName name="periods_per_year">INDEX({1,2,4,6,12,24,26,52},MATCH(#REF!,frequency,0))</definedName>
    <definedName name="perm" hidden="1">{"PAGE 1",#N/A,FALSE,"WEST_OT"}</definedName>
    <definedName name="perm1" hidden="1">{"PAGE 1",#N/A,FALSE,"WEST_OT"}</definedName>
    <definedName name="perm3" hidden="1">{"PAGE 1",#N/A,FALSE,"WEST_OT"}</definedName>
    <definedName name="perm4" hidden="1">{"PAGE 1",#N/A,FALSE,"WEST_OT"}</definedName>
    <definedName name="perm5" hidden="1">{"PAGE 2",#N/A,FALSE,"WEST_OT"}</definedName>
    <definedName name="perm6" hidden="1">{"PAGE 2",#N/A,FALSE,"WEST_OT"}</definedName>
    <definedName name="perm7" hidden="1">{"PAGE 1",#N/A,FALSE,"WEST_OT"}</definedName>
    <definedName name="PeterTEST" hidden="1">{#N/A,#N/A,TRUE,"Acq-Ass";#N/A,#N/A,TRUE,"Acq-IS";#N/A,#N/A,TRUE,"Acq-BS";#N/A,#N/A,TRUE,"Acq-CF"}</definedName>
    <definedName name="pharma" hidden="1">{#N/A,#N/A,FALSE,"Sales Graph";#N/A,#N/A,FALSE,"PSBM";#N/A,#N/A,FALSE,"BUC Graph";#N/A,#N/A,FALSE,"P&amp;L - YTD"}</definedName>
    <definedName name="Pitchbook" hidden="1">{#N/A,#N/A,TRUE,"Sheet16"}</definedName>
    <definedName name="pkg.gom" hidden="1">{"2000PPE",#N/A,FALSE,"PPE 2000";"2000DD",#N/A,FALSE,"DrydocksOther"}</definedName>
    <definedName name="PL">#REF!</definedName>
    <definedName name="plan2" hidden="1">{"'Sheet1'!$A$5:$G$42"}</definedName>
    <definedName name="PlanVLE" hidden="1">{#N/A,#N/A,FALSE,"SUMMARY";#N/A,#N/A,FALSE,"mcsh";#N/A,#N/A,FALSE,"vol&amp;rev";#N/A,#N/A,FALSE,"wkgcap";#N/A,#N/A,FALSE,"DEPR&amp;DT";#N/A,#N/A,FALSE,"ASSETS";#N/A,#N/A,FALSE,"NI&amp;OTH&amp;DIV";#N/A,#N/A,FALSE,"CASHFLOW";#N/A,#N/A,FALSE,"CAPEMPL";#N/A,#N/A,FALSE,"ROCE"}</definedName>
    <definedName name="Plastics" hidden="1">{"Curr Month",#N/A,FALSE,"Months";"All Months",#N/A,FALSE,"Months";"YTD",#N/A,FALSE,"Months";"01 Months",#N/A,FALSE,"01";"03 Months",#N/A,FALSE,"Months";"05 Months",#N/A,FALSE,"Months";"06 Months",#N/A,FALSE,"Months";"08 Months",#N/A,FALSE,"Months";"09 Months",#N/A,FALSE,"Months";"10 Months",#N/A,FALSE,"Months";"11 Months",#N/A,FALSE,"Months";"12 Months",#N/A,FALSE,"Months";"13 Months",#N/A,FALSE,"Months";"14 Months",#N/A,FALSE,"Months";"15 Months",#N/A,FALSE,"Months";"23 Months",#N/A,FALSE,"Months";"24 Months",#N/A,FALSE,"Months";"25 Months",#N/A,FALSE,"Months";"43 Months",#N/A,FALSE,"Months";"45 Months",#N/A,FALSE,"Months";"50 Months",#N/A,FALSE,"Months"}</definedName>
    <definedName name="plbudget04" hidden="1">{#N/A,#N/A,FALSE,"INPUTS";#N/A,#N/A,FALSE,"PROFORMA BSHEET";#N/A,#N/A,FALSE,"COMBINED";#N/A,#N/A,FALSE,"ACQUIROR";#N/A,#N/A,FALSE,"TARGET 1";#N/A,#N/A,FALSE,"TARGET 2";#N/A,#N/A,FALSE,"HIGH YIELD";#N/A,#N/A,FALSE,"OVERFUND"}</definedName>
    <definedName name="PLCepi" hidden="1">{#N/A,#N/A,FALSE,"REPORT"}</definedName>
    <definedName name="PLDate">#REF!</definedName>
    <definedName name="PLProcef" hidden="1">{#N/A,#N/A,FALSE,"REPORT"}</definedName>
    <definedName name="PLTaxol" hidden="1">{#N/A,#N/A,FALSE,"REPORT"}</definedName>
    <definedName name="pmtType">IF(#REF!="End of Period",0,1)</definedName>
    <definedName name="Pnl" hidden="1">{#N/A,#N/A,FALSE,"Pharm";#N/A,#N/A,FALSE,"WWCM"}</definedName>
    <definedName name="po" hidden="1">{#N/A,#N/A,FALSE,"BS";#N/A,#N/A,FALSE,"PL_10Q";#N/A,#N/A,FALSE,"SOE";#N/A,#N/A,FALSE,"SCF";#N/A,#N/A,FALSE,"Sel Fn Data QTD 10Q";#N/A,#N/A,FALSE,"Table 1 YTD 10Q";#N/A,#N/A,FALSE,"Table 1 QTD 10Q";#N/A,#N/A,FALSE,"Tables 2 to 3 PL";#N/A,#N/A,FALSE,"Tables 4 and 5ALLL";#N/A,#N/A,FALSE,"Tables 6 to 8 ALLL ";#N/A,#N/A,FALSE,"Table 9 to 12 - Balance Sheet"}</definedName>
    <definedName name="poi" hidden="1">{#N/A,#N/A,FALSE,"PL-FS";#N/A,#N/A,FALSE,"PL"}</definedName>
    <definedName name="Poolmgr">#REF!</definedName>
    <definedName name="port29" hidden="1">{#N/A,#N/A,FALSE,"Pharm";#N/A,#N/A,FALSE,"WWCM"}</definedName>
    <definedName name="poso_wrn.test1." hidden="1">{"Income Statement",#N/A,FALSE,"CFMODEL";"Balance Sheet",#N/A,FALSE,"CFMODEL"}</definedName>
    <definedName name="poso_wrn.test2." hidden="1">{"SourcesUses",#N/A,TRUE,"CFMODEL";"TransOverview",#N/A,TRUE,"CFMODEL"}</definedName>
    <definedName name="poso_wrn.test3." hidden="1">{"SourcesUses",#N/A,TRUE,#N/A;"TransOverview",#N/A,TRUE,"CFMODEL"}</definedName>
    <definedName name="poso_wrn.test4." hidden="1">{"SourcesUses",#N/A,TRUE,"FundsFlow";"TransOverview",#N/A,TRUE,"FundsFlow"}</definedName>
    <definedName name="Powerop">#REF!</definedName>
    <definedName name="Powerop3">#REF!</definedName>
    <definedName name="pp">#REF!</definedName>
    <definedName name="ppp" hidden="1">{"SUM",#N/A,FALSE,"Details (2)"}</definedName>
    <definedName name="pppp" hidden="1">{"Summary",#N/A,FALSE,"Details (2)"}</definedName>
    <definedName name="pppp2" hidden="1">{"Summary",#N/A,FALSE,"Details (2)"}</definedName>
    <definedName name="ppppp" hidden="1">{"SUM",#N/A,FALSE,"Details (2)"}</definedName>
    <definedName name="pppppp" hidden="1">{"Summary",#N/A,FALSE,"Details (2)"}</definedName>
    <definedName name="ppppppp" hidden="1">{"SUM",#N/A,FALSE,"Details (2)"}</definedName>
    <definedName name="pppppppp" hidden="1">{"Summary",#N/A,FALSE,"Details (2)"}</definedName>
    <definedName name="ppppppppp" hidden="1">{"SUM",#N/A,FALSE,"Details (2)"}</definedName>
    <definedName name="pppppppppp" hidden="1">{"Summary",#N/A,FALSE,"Details (2)"}</definedName>
    <definedName name="ppppppppppp" hidden="1">{"SUM",#N/A,FALSE,"Details (2)"}</definedName>
    <definedName name="pppppppppppp" hidden="1">{"Summary",#N/A,FALSE,"Details (2)"}</definedName>
    <definedName name="ppppppppppppp" hidden="1">{"SUM",#N/A,FALSE,"Details (2)"}</definedName>
    <definedName name="ppppppppppppppp" hidden="1">{"Summary",#N/A,FALSE,"Details (2)"}</definedName>
    <definedName name="pppppppppppppppp" hidden="1">{"SUM",#N/A,FALSE,"Details (2)"}</definedName>
    <definedName name="ppppppppppppppppp" hidden="1">{"Summary",#N/A,FALSE,"Details (2)"}</definedName>
    <definedName name="ppppppppppppppppppppppppppp" hidden="1">{"FCB_ALL",#N/A,FALSE,"FCB"}</definedName>
    <definedName name="PPS"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prd" hidden="1">{"Netbacks",#N/A,FALSE,"Netbacks"}</definedName>
    <definedName name="prd." hidden="1">{"IS Years",#N/A,FALSE,"Income Statement";"IS Q96",#N/A,FALSE,"Income Statement";"IS Q97",#N/A,FALSE,"Income Statement";"Corporate",#N/A,FALSE,"Corporate Profile";"Netbacks",#N/A,FALSE,"Netbacks"}</definedName>
    <definedName name="Presentation"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v_Mkv">#REF!</definedName>
    <definedName name="prgrp" hidden="1">{"cap_structure",#N/A,FALSE,"Graph-Mkt Cap";"price",#N/A,FALSE,"Graph-Price";"ebit",#N/A,FALSE,"Graph-EBITDA";"ebitda",#N/A,FALSE,"Graph-EBITDA"}</definedName>
    <definedName name="PriceRange" hidden="1">#N/A</definedName>
    <definedName name="Princ">#REF!</definedName>
    <definedName name="Print_Area_Reset">OFFSET(Full_Print,0,0,Last_Row)</definedName>
    <definedName name="print_assets">#N/A</definedName>
    <definedName name="Print_Assumptions">#N/A</definedName>
    <definedName name="print_figure_7_2">#N/A</definedName>
    <definedName name="Print_hist_inc_stmt">#N/A</definedName>
    <definedName name="print_op_exp">#N/A</definedName>
    <definedName name="print4"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End" hidden="1">#REF!</definedName>
    <definedName name="PrintStart" hidden="1">#REF!</definedName>
    <definedName name="Procef" hidden="1">{#N/A,#N/A,FALSE,"Pharm";#N/A,#N/A,FALSE,"WWCM"}</definedName>
    <definedName name="prod" hidden="1">{#N/A,#N/A,FALSE,"Pharm";#N/A,#N/A,FALSE,"WWCM"}</definedName>
    <definedName name="product">#REF!</definedName>
    <definedName name="profimp2" hidden="1">{"PAGE 1",#N/A,FALSE,"WEST_OT"}</definedName>
    <definedName name="profimp3" hidden="1">{"PAGE 2",#N/A,FALSE,"WEST_OT"}</definedName>
    <definedName name="profimp5" hidden="1">{"PAGE 1",#N/A,FALSE,"WEST_OT"}</definedName>
    <definedName name="profimptest" hidden="1">{"PAGE 2",#N/A,FALSE,"WEST_OT"}</definedName>
    <definedName name="Project">#REF!</definedName>
    <definedName name="project_name">#REF!</definedName>
    <definedName name="ptg" hidden="1">{#N/A,#N/A,TRUE,"RESUMEN ECON.";#N/A,#N/A,TRUE,"Costos de R.H.";#N/A,#N/A,TRUE,"COSTO HW";#N/A,#N/A,TRUE,"CUADROS";#N/A,#N/A,TRUE,"SCADA´s";#N/A,#N/A,TRUE,"PRECIOS EQUIPOS"}</definedName>
    <definedName name="PUB_FileID" hidden="1">"L10003649.xls"</definedName>
    <definedName name="PUB_UserID" hidden="1">"MAYERX"</definedName>
    <definedName name="pvdsk"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q" hidden="1">{"CSheet",#N/A,FALSE,"C";"SmCap",#N/A,FALSE,"VAL1";"GulfCoast",#N/A,FALSE,"VAL1";"nav",#N/A,FALSE,"NAV";"Summary",#N/A,FALSE,"NAV"}</definedName>
    <definedName name="Q1Variances" hidden="1">{#N/A,#N/A,FALSE,"Revised Plan description";#N/A,#N/A,FALSE,"Mth Sum";#N/A,#N/A,FALSE,"YTD Sum";#N/A,#N/A,FALSE,"Mth Rev Sum";#N/A,#N/A,FALSE,"YTD Rev Sum";#N/A,#N/A,FALSE,"Direct Margin";#N/A,#N/A,FALSE,"Data MarginvsPlan";#N/A,#N/A,FALSE,"Local MarginvsPlan";#N/A,#N/A,FALSE,"Internet MarginvsPlan";#N/A,#N/A,FALSE,"LD Margin vs Plan ";#N/A,#N/A,FALSE,"Data Margin YTDvsPlan";#N/A,#N/A,FALSE,"Local Margin YTDvsPlan";#N/A,#N/A,FALSE,"Internet Margin YTDvsPlan";#N/A,#N/A,FALSE,"LD Margin YTD vs Plan";#N/A,#N/A,FALSE,"SC vs Pr Month ";#N/A,#N/A,FALSE,"SVC Detail Mth vs Pr Mth";#N/A,#N/A,FALSE,"Ind vs Pr Month ";#N/A,#N/A,FALSE,"SGA (Elem) vs Pr Month";#N/A,#N/A,FALSE,"SGA (BU) vs Pr Mth";#N/A,#N/A,FALSE,"SC vs Plan";#N/A,#N/A,FALSE,"SVC Detail Mth vsPlan ";#N/A,#N/A,FALSE,"Ind vs Plan";#N/A,#N/A,FALSE,"SGA (Elem) vs Plan";#N/A,#N/A,FALSE,"SGA (BU) vs Plan";#N/A,#N/A,FALSE,"SC vs YTD 00";#N/A,#N/A,FALSE,"SGA (Elem) vs YTD 00";#N/A,#N/A,FALSE,"SGA (BU) YTD vs YTD 00";#N/A,#N/A,FALSE,"SC vs YTD Plan ";#N/A,#N/A,FALSE,"SVC YTD Detail Mth vsPlan ";#N/A,#N/A,FALSE,"SGA (Elem) vs YTD Plan";#N/A,#N/A,FALSE,"SGA (BU) YTD vs Plan";#N/A,#N/A,FALSE,"CapExp";#N/A,#N/A,FALSE,"EBITDA";#N/A,#N/A,FALSE,"Mth trends";#N/A,#N/A,FALSE,"Inc. Statement";#N/A,#N/A,FALSE,"Balance Sheet";#N/A,#N/A,FALSE,"Cash Flow"}</definedName>
    <definedName name="qaz" hidden="1">{#N/A,#N/A,FALSE,"Pharm";#N/A,#N/A,FALSE,"WWCM"}</definedName>
    <definedName name="qertweyu" hidden="1">{#N/A,#N/A,FALSE,"REPORT"}</definedName>
    <definedName name="qetryywt" hidden="1">{#N/A,#N/A,FALSE,"REPORT"}</definedName>
    <definedName name="qg" hidden="1">{#N/A,#N/A,FALSE,"RESUMEN ECON.";#N/A,#N/A,FALSE,"Costos de R.H.";#N/A,#N/A,FALSE,"COSTO HW";#N/A,#N/A,FALSE,"CUADROS";#N/A,#N/A,FALSE,"SCADA´s";#N/A,#N/A,FALSE,"PRECIOS EQUIPOS"}</definedName>
    <definedName name="QofE2"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qq" hidden="1">{#N/A,#N/A,FALSE,"March Details"}</definedName>
    <definedName name="qqq" hidden="1">{#N/A,#N/A,FALSE,"Pharm";#N/A,#N/A,FALSE,"WWCM"}</definedName>
    <definedName name="qqqqqqqq" hidden="1">{"Report",#N/A,FALSE,"March Details"}</definedName>
    <definedName name="qqwtweryey" hidden="1">{#N/A,#N/A,FALSE,"REPORT"}</definedName>
    <definedName name="qre" hidden="1">{TRUE,TRUE,-1.25,-15.5,604.5,369,FALSE,FALSE,TRUE,TRUE,0,1,83,1,38,4,5,4,TRUE,TRUE,3,TRUE,1,TRUE,75,"Swvu.inputs._.raw._.data.","ACwvu.inputs._.raw._.data.",#N/A,FALSE,FALSE,0.5,0.5,0.5,0.5,2,"&amp;F","&amp;A&amp;RPage &amp;P",FALSE,FALSE,FALSE,FALSE,1,60,#N/A,#N/A,"=R1C61:R53C89","=C1:C5",#N/A,#N/A,FALSE,FALSE,FALSE,1,600,600,FALSE,FALSE,TRUE,TRUE,TRUE}</definedName>
    <definedName name="Qtroperations" hidden="1">{"arpm1995",#N/A,FALSE,"Summary 95-96";"bus_long_distance",#N/A,FALSE,"Summary 95-96";"mins_per_day",#N/A,FALSE,"Summary 95-96";"minutes1995",#N/A,FALSE,"Summary 95-96";"rev_per_day",#N/A,FALSE,"Summary 95-96";"view1995",#N/A,FALSE,"Summary 95-96"}</definedName>
    <definedName name="Quarter1Percent">#REF!</definedName>
    <definedName name="Quarter2Percent">#REF!</definedName>
    <definedName name="Quarter3Percent">#REF!</definedName>
    <definedName name="Quarter4Percent">#REF!</definedName>
    <definedName name="qw" hidden="1">{#N/A,#N/A,FALSE,"REPORT"}</definedName>
    <definedName name="qw2fkgur" hidden="1">{#N/A,#N/A,FALSE,"Valuation Assumptions";#N/A,#N/A,FALSE,"Summary";#N/A,#N/A,FALSE,"DCF";#N/A,#N/A,FALSE,"Valuation";#N/A,#N/A,FALSE,"WACC";#N/A,#N/A,FALSE,"UBVH";#N/A,#N/A,FALSE,"Free Cash Flow"}</definedName>
    <definedName name="qwe" hidden="1">{#N/A,#N/A,TRUE,"BS_A";#N/A,#N/A,TRUE,"BS_L";#N/A,#N/A,TRUE,"PL";#N/A,#N/A,TRUE,"NET";#N/A,#N/A,TRUE,"MAR_2";#N/A,#N/A,TRUE,"MAR";#N/A,#N/A,TRUE,"NII";#N/A,#N/A,TRUE,"NIE";#N/A,#N/A,TRUE,"FS_BS";#N/A,#N/A,TRUE,"FS_PL";#N/A,#N/A,TRUE,"HEA"}</definedName>
    <definedName name="qwert"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wertqry" hidden="1">{#N/A,#N/A,FALSE,"REPORT"}</definedName>
    <definedName name="qwetqryetytu" hidden="1">{#N/A,#N/A,FALSE,"Pharm";#N/A,#N/A,FALSE,"WWCM"}</definedName>
    <definedName name="QWQ" hidden="1">{#N/A,#N/A,FALSE,"PL-FS";#N/A,#N/A,FALSE,"PL"}</definedName>
    <definedName name="qwqe" hidden="1">{#N/A,#N/A,FALSE,"Comp - War";#N/A,#N/A,FALSE,"Comp - War"}</definedName>
    <definedName name="radg" hidden="1">{"FCB_ALL",#N/A,FALSE,"FCB";"GREY_ALL",#N/A,FALSE,"GREY"}</definedName>
    <definedName name="rate">#REF!</definedName>
    <definedName name="RawsFIT" hidden="1">{#N/A,#N/A,TRUE,"Summary";#N/A,#N/A,TRUE,"Assumptions";#N/A,#N/A,TRUE,"Comparison";#N/A,#N/A,TRUE,"Financials";#N/A,#N/A,TRUE,"Plan v. Act"}</definedName>
    <definedName name="RECurr">#REF!</definedName>
    <definedName name="RedefinePrintTableRange" hidden="1">#REF!</definedName>
    <definedName name="redo" hidden="1">{#N/A,#N/A,FALSE,"ACQ_GRAPHS";#N/A,#N/A,FALSE,"T_1 GRAPHS";#N/A,#N/A,FALSE,"T_2 GRAPHS";#N/A,#N/A,FALSE,"COMB_GRAPHS"}</definedName>
    <definedName name="reewrew" hidden="1">{"arpm1995",#N/A,FALSE,"Summary 95-96";"bus_long_distance",#N/A,FALSE,"Summary 95-96";"mins_per_day",#N/A,FALSE,"Summary 95-96";"minutes1995",#N/A,FALSE,"Summary 95-96";"rev_per_day",#N/A,FALSE,"Summary 95-96";"view1995",#N/A,FALSE,"Summary 95-96"}</definedName>
    <definedName name="reggie" hidden="1">{#N/A,#N/A,FALSE,"Pharm";#N/A,#N/A,FALSE,"WWCM"}</definedName>
    <definedName name="Regnew" hidden="1">{"arpm1995",#N/A,FALSE,"Summary 95-96";"bus_long_distance",#N/A,FALSE,"Summary 95-96";"mins_per_day",#N/A,FALSE,"Summary 95-96";"minutes1995",#N/A,FALSE,"Summary 95-96";"rev_per_day",#N/A,FALSE,"Summary 95-96";"view1995",#N/A,FALSE,"Summary 95-96"}</definedName>
    <definedName name="Related" hidden="1">{#N/A,#N/A,FALSE,"Job Sched"}</definedName>
    <definedName name="Report">#REF!</definedName>
    <definedName name="ReportGroup" hidden="1">6</definedName>
    <definedName name="ReportPage1" hidden="1">{"Annual_Income",#N/A,FALSE,"Report Page";"Balance_Cash_Flow",#N/A,FALSE,"Report Page";"Quarterly_Income",#N/A,FALSE,"Report Page"}</definedName>
    <definedName name="REPrior">#REF!</definedName>
    <definedName name="reps" hidden="1">{"FY03_Assets",#N/A,FALSE,"Fin Stmt Budget";"FY03_Liabilities",#N/A,FALSE,"Fin Stmt Budget";"FY03_Inc_Stmt",#N/A,FALSE,"Fin Stmt Budget";"FY03_SOCF",#N/A,FALSE,"Fin Stmt Budget"}</definedName>
    <definedName name="rere" hidden="1">{"arpm1995",#N/A,FALSE,"Summary 95-96";"bus_long_distance",#N/A,FALSE,"Summary 95-96";"mins_per_day",#N/A,FALSE,"Summary 95-96";"minutes1995",#N/A,FALSE,"Summary 95-96";"rev_per_day",#N/A,FALSE,"Summary 95-96";"view1995",#N/A,FALSE,"Summary 95-96"}</definedName>
    <definedName name="rerer" hidden="1">{"arpm1995",#N/A,FALSE,"Summary 95-96";"bus_long_distance",#N/A,FALSE,"Summary 95-96";"mins_per_day",#N/A,FALSE,"Summary 95-96";"minutes1995",#N/A,FALSE,"Summary 95-96";"rev_per_day",#N/A,FALSE,"Summary 95-96";"view1995",#N/A,FALSE,"Summary 95-96"}</definedName>
    <definedName name="rerewr" hidden="1">{"arpm1995",#N/A,FALSE,"Summary 95-96";"bus_long_distance",#N/A,FALSE,"Summary 95-96";"mins_per_day",#N/A,FALSE,"Summary 95-96";"minutes1995",#N/A,FALSE,"Summary 95-96";"rev_per_day",#N/A,FALSE,"Summary 95-96";"view1995",#N/A,FALSE,"Summary 95-96"}</definedName>
    <definedName name="rerewty4etr" hidden="1">{"arpm1995",#N/A,FALSE,"Summary 95-96";"bus_long_distance",#N/A,FALSE,"Summary 95-96";"mins_per_day",#N/A,FALSE,"Summary 95-96";"minutes1995",#N/A,FALSE,"Summary 95-96";"rev_per_day",#N/A,FALSE,"Summary 95-96";"view1995",#N/A,FALSE,"Summary 95-96"}</definedName>
    <definedName name="reryt4y" hidden="1">{"arpm1995",#N/A,FALSE,"Summary 95-96";"bus_long_distance",#N/A,FALSE,"Summary 95-96";"mins_per_day",#N/A,FALSE,"Summary 95-96";"minutes1995",#N/A,FALSE,"Summary 95-96";"rev_per_day",#N/A,FALSE,"Summary 95-96";"view1995",#N/A,FALSE,"Summary 95-96"}</definedName>
    <definedName name="Reserve" hidden="1">{#N/A,#N/A,TRUE,"Sch-1a";#N/A,#N/A,TRUE,"Sch-1b";#N/A,#N/A,TRUE,"Sch-1c";#N/A,#N/A,TRUE,"Sch-1d";#N/A,#N/A,TRUE,"Sch-2a";#N/A,#N/A,TRUE,"Sch-2b";#N/A,#N/A,TRUE,"Sch-2c";#N/A,#N/A,TRUE,"Sch-3a";#N/A,#N/A,TRUE,"Sch-3b";#N/A,#N/A,TRUE,"Sch-3c";#N/A,#N/A,TRUE,"Sch-3d";#N/A,#N/A,TRUE,"Sch-3e"}</definedName>
    <definedName name="ReserveGuidance">#REF!</definedName>
    <definedName name="resources" hidden="1">{#N/A,#N/A,FALSE,"Assessment";#N/A,#N/A,FALSE,"Staffing";#N/A,#N/A,FALSE,"Hires";#N/A,#N/A,FALSE,"Assumptions"}</definedName>
    <definedName name="resp." hidden="1">{#N/A,#N/A,FALSE,"Pharm";#N/A,#N/A,FALSE,"WWCM"}</definedName>
    <definedName name="RestatedActuals" hidden="1">{#N/A,#N/A,FALSE,"Aging Summary";#N/A,#N/A,FALSE,"Ratio Analysis";#N/A,#N/A,FALSE,"Test 120 Day Accts";#N/A,#N/A,FALSE,"Tickmarks"}</definedName>
    <definedName name="Retail" hidden="1">{"'Sheet1'!$A$5:$G$42"}</definedName>
    <definedName name="Revenue_Analysis">#N/A</definedName>
    <definedName name="rf2e" hidden="1">{#N/A,#N/A,FALSE,"Pharm";#N/A,#N/A,FALSE,"WWCM"}</definedName>
    <definedName name="rfr"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rft" hidden="1">{#N/A,#N/A,TRUE,"RESUMEN ECON.";#N/A,#N/A,TRUE,"Costos de R.H.";#N/A,#N/A,TRUE,"COSTO HW";#N/A,#N/A,TRUE,"CUADROS";#N/A,#N/A,TRUE,"SCADA´s";#N/A,#N/A,TRUE,"PRECIOS EQUIPOS"}</definedName>
    <definedName name="rich" hidden="1">{"Capital Plan CA Schedule",#N/A,TRUE,"Capital Plan";"Capital Plan Summary",#N/A,TRUE,"Capital Plan"}</definedName>
    <definedName name="Rick"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M">#REF!</definedName>
    <definedName name="Rocket">#REF!</definedName>
    <definedName name="Rocket_Deal_Month">#REF!</definedName>
    <definedName name="roundOpt">#REF!</definedName>
    <definedName name="RPA" hidden="1">{#N/A,#N/A,FALSE,"Cashflow Analysis";#N/A,#N/A,FALSE,"Sensitivity Analysis";#N/A,#N/A,FALSE,"PV";#N/A,#N/A,FALSE,"Pro Forma"}</definedName>
    <definedName name="RPA.2" hidden="1">{#N/A,#N/A,FALSE,"Cashflow Analysis";#N/A,#N/A,FALSE,"Sensitivity Analysis";#N/A,#N/A,FALSE,"PV";#N/A,#N/A,FALSE,"Pro Forma"}</definedName>
    <definedName name="rrrrr" hidden="1">{#N/A,#N/A,FALSE,"Pharm";#N/A,#N/A,FALSE,"WWCM"}</definedName>
    <definedName name="rrrrrr" hidden="1">{"'Edit'!$A$1:$V$2277"}</definedName>
    <definedName name="rse" hidden="1">{"FCB_ALL",#N/A,FALSE,"FCB"}</definedName>
    <definedName name="rt" hidden="1">{"inputs raw data",#N/A,TRUE,"INPUT"}</definedName>
    <definedName name="rtu" hidden="1">{#N/A,#N/A,TRUE,"RESUMEN ECON.";#N/A,#N/A,TRUE,"Costos de R.H.";#N/A,#N/A,TRUE,"COSTO HW";#N/A,#N/A,TRUE,"CUADROS";#N/A,#N/A,TRUE,"SCADA´s";#N/A,#N/A,TRUE,"PRECIOS EQUIPOS"}</definedName>
    <definedName name="rustey"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rwert" hidden="1">{#N/A,#N/A,FALSE,"Pharm";#N/A,#N/A,FALSE,"WWCM"}</definedName>
    <definedName name="rwjf" hidden="1">{#N/A,#N/A,FALSE,"BS";#N/A,#N/A,FALSE,"PL";#N/A,#N/A,FALSE,"SOE";#N/A,#N/A,FALSE,"SCF"}</definedName>
    <definedName name="ryj" hidden="1">{#N/A,#N/A,FALSE,"ACQ_GRAPHS";#N/A,#N/A,FALSE,"T_1 GRAPHS";#N/A,#N/A,FALSE,"T_2 GRAPHS";#N/A,#N/A,FALSE,"COMB_GRAPHS"}</definedName>
    <definedName name="s">#REF!</definedName>
    <definedName name="sa"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sad" hidden="1">#REF!</definedName>
    <definedName name="sadfsdfsdfsaf" hidden="1">{"wpocash",#N/A,FALSE,"WPOALLT";"wpoinc",#N/A,FALSE,"WPOALLT";"wpobroad",#N/A,FALSE,"WPOALLT";"wpocable",#N/A,FALSE,"WPOALLT";"wpoexcl",#N/A,FALSE,"WPOALLT";"wponwsweek",#N/A,FALSE,"WPOALLT";"wpopost",#N/A,FALSE,"WPOALLT"}</definedName>
    <definedName name="sagf" hidden="1">{TRUE,TRUE,-1.25,-15.5,604.5,369,FALSE,FALSE,TRUE,TRUE,0,1,83,1,38,4,5,4,TRUE,TRUE,3,TRUE,1,TRUE,75,"Swvu.inputs._.raw._.data.","ACwvu.inputs._.raw._.data.",#N/A,FALSE,FALSE,0.5,0.5,0.5,0.5,2,"&amp;F","&amp;A&amp;RPage &amp;P",FALSE,FALSE,FALSE,FALSE,1,60,#N/A,#N/A,"=R1C61:R53C89","=C1:C5",#N/A,#N/A,FALSE,FALSE,FALSE,1,600,600,FALSE,FALSE,TRUE,TRUE,TRUE}</definedName>
    <definedName name="sally" hidden="1">{#N/A,#N/A,FALSE,"Pharm";#N/A,#N/A,FALSE,"WWCM"}</definedName>
    <definedName name="sandy">#REF!</definedName>
    <definedName name="SAPBEXhrIndnt" hidden="1">"Wide"</definedName>
    <definedName name="SAPBEXrevision" hidden="1">1</definedName>
    <definedName name="SAPBEXsysID" hidden="1">"BWP"</definedName>
    <definedName name="SAPBEXwbID" hidden="1">"3MIIGAE7VHTLTPJLQTSR9TQD9"</definedName>
    <definedName name="SAPsysID" hidden="1">"708C5W7SBKP804JT78WJ0JNKI"</definedName>
    <definedName name="SAPwbID" hidden="1">"ARS"</definedName>
    <definedName name="sasdfkj" hidden="1">{"FCB_ALL",#N/A,FALSE,"FCB"}</definedName>
    <definedName name="ScenarioList">OFFSET(#REF!,1,0,COUNTA(#REF!)-1,1)</definedName>
    <definedName name="Scenarios" comment="A-1">#REF!</definedName>
    <definedName name="Sched_Pay">#REF!</definedName>
    <definedName name="Scheduled_Extra_Payments">#REF!</definedName>
    <definedName name="Scheduled_Interest_Rate">#REF!</definedName>
    <definedName name="Scheduled_Monthly_Payment">#REF!</definedName>
    <definedName name="ScheduledNumberOfPayments">#REF!</definedName>
    <definedName name="ScheduledNumberofPayments2014">#REF!</definedName>
    <definedName name="ScheduledNumberofPayments2017">#REF!</definedName>
    <definedName name="ScheduledNumberofPayments2018">#REF!</definedName>
    <definedName name="ScheduledNumberofPaymentsCurrent">#REF!</definedName>
    <definedName name="ScheduledNumberOfPaymentsRealEstate">#REF!</definedName>
    <definedName name="ScheduledPayment">#REF!</definedName>
    <definedName name="ScheduledPayment2014">#REF!</definedName>
    <definedName name="ScheduledPayment2018">#REF!</definedName>
    <definedName name="ScheduledPaymentCurrent">#REF!</definedName>
    <definedName name="ScheduledPaymentRealEstate">#REF!</definedName>
    <definedName name="ScheduleNumberofPayment2016">#REF!</definedName>
    <definedName name="SchedulePayment2016">#REF!</definedName>
    <definedName name="SchedulePayment2017">#REF!</definedName>
    <definedName name="SCI">#REF!</definedName>
    <definedName name="SCIFMV">#REF!</definedName>
    <definedName name="SCIPref">#REF!</definedName>
    <definedName name="sd">#REF!</definedName>
    <definedName name="sdafe" hidden="1">{"FCB_ALL",#N/A,FALSE,"FCB";"GREY_ALL",#N/A,FALSE,"GREY"}</definedName>
    <definedName name="sdafgs" hidden="1">{#N/A,#N/A,FALSE,"Pharm";#N/A,#N/A,FALSE,"WWCM"}</definedName>
    <definedName name="sdaflkej" hidden="1">{"FCB_ALL",#N/A,FALSE,"FCB";"GREY_ALL",#N/A,FALSE,"GREY"}</definedName>
    <definedName name="sdafsdafsaf" hidden="1">{"wpocash",#N/A,FALSE,"WPOALLT";"wpoinc",#N/A,FALSE,"WPOALLT";"wpobroad",#N/A,FALSE,"WPOALLT";"wpocable",#N/A,FALSE,"WPOALLT";"wpoexcl",#N/A,FALSE,"WPOALLT";"wponwsweek",#N/A,FALSE,"WPOALLT";"wpopost",#N/A,FALSE,"WPOALLT"}</definedName>
    <definedName name="sdas" hidden="1">{"Total",#N/A,FALSE,"Six Fields";"PDP",#N/A,FALSE,"Six Fields";"PNP",#N/A,FALSE,"Six Fields";"PUD",#N/A,FALSE,"Six Fields";"Prob",#N/A,FALSE,"Six Fields"}</definedName>
    <definedName name="sdasd" hidden="1">{"FCB_ALL",#N/A,FALSE,"FCB";"GREY_ALL",#N/A,FALSE,"GREY"}</definedName>
    <definedName name="sdf" hidden="1">#REF!</definedName>
    <definedName name="sdfasr" hidden="1">{"FCB_ALL",#N/A,FALSE,"FCB"}</definedName>
    <definedName name="sdfdsf" hidden="1">{"SourcesUses",#N/A,TRUE,#N/A;"TransOverview",#N/A,TRUE,"CFMODEL"}</definedName>
    <definedName name="sdfg" hidden="1">{"summary",#N/A,FALSE,"3 yr average";"comps",#N/A,FALSE,"3 yr average"}</definedName>
    <definedName name="sdfga" hidden="1">{TRUE,TRUE,-1.25,-15.5,604.5,369,FALSE,FALSE,TRUE,TRUE,0,1,83,1,38,4,5,4,TRUE,TRUE,3,TRUE,1,TRUE,75,"Swvu.inputs._.raw._.data.","ACwvu.inputs._.raw._.data.",#N/A,FALSE,FALSE,0.5,0.5,0.5,0.5,2,"&amp;F","&amp;A&amp;RPage &amp;P",FALSE,FALSE,FALSE,FALSE,1,60,#N/A,#N/A,"=R1C61:R53C89","=C1:C5",#N/A,#N/A,FALSE,FALSE,FALSE,1,600,600,FALSE,FALSE,TRUE,TRUE,TRUE}</definedName>
    <definedName name="sdfh" hidden="1">{#N/A,#N/A,FALSE,"Pharm";#N/A,#N/A,FALSE,"WWCM"}</definedName>
    <definedName name="sdfsdfsdfsafsdf" hidden="1">{"FCB_ALL",#N/A,FALSE,"FCB"}</definedName>
    <definedName name="sdft" hidden="1">{#N/A,#N/A,FALSE,"SUMMARY";#N/A,#N/A,FALSE,"mcsh";#N/A,#N/A,FALSE,"vol&amp;rev";#N/A,#N/A,FALSE,"wkgcap";#N/A,#N/A,FALSE,"DEPR&amp;DT";#N/A,#N/A,FALSE,"ASSETS";#N/A,#N/A,FALSE,"NI&amp;OTH&amp;DIV";#N/A,#N/A,FALSE,"CASHFLOW";#N/A,#N/A,FALSE,"CAPEMPL";#N/A,#N/A,FALSE,"ROCE"}</definedName>
    <definedName name="sdgagf" hidden="1">{#N/A,#N/A,FALSE,"Pharm";#N/A,#N/A,FALSE,"WWCM"}</definedName>
    <definedName name="sdhr" hidden="1">{"FCB_ALL",#N/A,FALSE,"FCB";"GREY_ALL",#N/A,FALSE,"GREY"}</definedName>
    <definedName name="sds" hidden="1">{#N/A,#N/A,TRUE,"ProFormaProfit";#N/A,#N/A,TRUE,"ProFormaCash";#N/A,#N/A,TRUE,"Depreciation";#N/A,#N/A,TRUE,"Assets";#N/A,#N/A,TRUE,"Revenue";#N/A,#N/A,TRUE,"EstimatedPurchase"}</definedName>
    <definedName name="sdsadasd" hidden="1">{#N/A,#N/A,FALSE,"Pharm";#N/A,#N/A,FALSE,"WWCM"}</definedName>
    <definedName name="sdsd" hidden="1">{#N/A,#N/A,FALSE,"REPORT"}</definedName>
    <definedName name="sdsds" hidden="1">{"PR1","pr1",TRUE,"Sch PR-1"}</definedName>
    <definedName name="sdw" hidden="1">{#N/A,#N/A,FALSE,"Admin";#N/A,#N/A,FALSE,"Other"}</definedName>
    <definedName name="sdz" hidden="1">{"FCB_ALL",#N/A,FALSE,"FCB"}</definedName>
    <definedName name="secondaries" hidden="1">{#N/A,#N/A,FALSE,"Summary";#N/A,#N/A,FALSE,"Pending";#N/A,#N/A,FALSE,"Oct'97";#N/A,#N/A,FALSE,"Sept'97";#N/A,#N/A,FALSE,"Aug'97";#N/A,#N/A,FALSE,"Jul'97";#N/A,#N/A,FALSE,"Jun'97";#N/A,#N/A,FALSE,"May'97";#N/A,#N/A,FALSE,"Apr'97";#N/A,#N/A,FALSE,"Mar'97";#N/A,#N/A,FALSE,"Feb'97";#N/A,#N/A,FALSE,"Jan'97"}</definedName>
    <definedName name="Select_Month">#REF!</definedName>
    <definedName name="select_scenario">#REF!</definedName>
    <definedName name="sencount" hidden="1">2</definedName>
    <definedName name="sensitivity">#REF!</definedName>
    <definedName name="Sept" hidden="1">{"assets",#N/A,FALSE,"BSCON894"}</definedName>
    <definedName name="Service" hidden="1">#REF!</definedName>
    <definedName name="sf" hidden="1">{#N/A,#N/A,FALSE,"Sales Graph";#N/A,#N/A,FALSE,"BUC Graph";#N/A,#N/A,FALSE,"P&amp;L - YTD"}</definedName>
    <definedName name="SFD" hidden="1">{#N/A,#N/A,FALSE,"TABLE_1 YTD";#N/A,#N/A,FALSE,"TABLE_1A QTD";#N/A,#N/A,FALSE,"NORMAL_SPREAD_QTD";#N/A,#N/A,FALSE,"NORMAL_SPREAD_YTD";#N/A,#N/A,FALSE,"TAX_EQV";#N/A,#N/A,FALSE,"TAX EQUIV_INPUT";#N/A,#N/A,FALSE,"NET FROM FER";#N/A,#N/A,FALSE,"COVER"}</definedName>
    <definedName name="sfdgsar" hidden="1">{"FCB_ALL",#N/A,FALSE,"FCB";"GREY_ALL",#N/A,FALSE,"GREY"}</definedName>
    <definedName name="sfdirect" hidden="1">{#N/A,#N/A,FALSE,"REPORT"}</definedName>
    <definedName name="sfgv" hidden="1">{"consolidated",#N/A,FALSE,"Sheet1";"cms",#N/A,FALSE,"Sheet1";"fse",#N/A,FALSE,"Sheet1"}</definedName>
    <definedName name="sfj" hidden="1">{"PR1","pr1",TRUE,"Sch PR-1"}</definedName>
    <definedName name="sfq" hidden="1">{#N/A,#N/A,FALSE,"Calc";#N/A,#N/A,FALSE,"Sensitivity";#N/A,#N/A,FALSE,"LT Earn.Dil.";#N/A,#N/A,FALSE,"Dil. AVP"}</definedName>
    <definedName name="sg">#REF!</definedName>
    <definedName name="sga">#REF!</definedName>
    <definedName name="sgdg" hidden="1">{#N/A,#N/A,FALSE,"Calc";#N/A,#N/A,FALSE,"Sensitivity";#N/A,#N/A,FALSE,"LT Earn.Dil.";#N/A,#N/A,FALSE,"Dil. AVP"}</definedName>
    <definedName name="sgsx" hidden="1">{"consolidated",#N/A,FALSE,"Sheet1";"cms",#N/A,FALSE,"Sheet1";"fse",#N/A,FALSE,"Sheet1"}</definedName>
    <definedName name="shg" hidden="1">{#N/A,#N/A,FALSE,"Index";#N/A,#N/A,FALSE,"IncStmt";#N/A,#N/A,FALSE,"Ratios";#N/A,#N/A,FALSE,"CashFlows";#N/A,#N/A,FALSE,"Ins1";#N/A,#N/A,FALSE,"Ins2";#N/A,#N/A,FALSE,"SelfFund";#N/A,#N/A,FALSE,"SGA";#N/A,#N/A,FALSE,"Recon";#N/A,#N/A,FALSE,"Earnings";#N/A,#N/A,FALSE,"Earnings (2)";#N/A,#N/A,FALSE,"Stock";#N/A,#N/A,FALSE,"Stock (2)";#N/A,#N/A,FALSE,"PeerRatios";#N/A,#N/A,FALSE,"PeerRanks"}</definedName>
    <definedName name="shit" hidden="1">{#N/A,"Base",FALSE,"Dividend";#N/A,"Conservative",FALSE,"Dividend";#N/A,"Downside",FALSE,"Dividend"}</definedName>
    <definedName name="Simple" hidden="1">{#N/A,#N/A,FALSE,"RESUMEN ECON.";#N/A,#N/A,FALSE,"Costos de R.H.";#N/A,#N/A,FALSE,"COSTO HW";#N/A,#N/A,FALSE,"CUADROS";#N/A,#N/A,FALSE,"SCADA´s";#N/A,#N/A,FALSE,"PRECIOS EQUIPOS"}</definedName>
    <definedName name="size">#REF!</definedName>
    <definedName name="SizingColumn">#REF!</definedName>
    <definedName name="SizingColumn1">#REF!</definedName>
    <definedName name="sk" hidden="1">"1, 3, 1, False, 2, False, False, , 0, False, True, 3, 2"</definedName>
    <definedName name="SKFs">#REF!</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T" hidden="1">{"SUM",#N/A,FALSE,"Details (2)"}</definedName>
    <definedName name="sofie"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solver_adj" hidden="1">#REF!</definedName>
    <definedName name="solver_cvg" hidden="1">0.001</definedName>
    <definedName name="solver_drv" hidden="1">1</definedName>
    <definedName name="solver_est" hidden="1">1</definedName>
    <definedName name="solver_itr" hidden="1">100</definedName>
    <definedName name="solver_lhs1" hidden="1">#REF!</definedName>
    <definedName name="solver_lin" hidden="1">0</definedName>
    <definedName name="solver_neg" hidden="1">2</definedName>
    <definedName name="solver_num" hidden="1">1</definedName>
    <definedName name="solver_nwt" hidden="1">1</definedName>
    <definedName name="solver_opt" hidden="1">#REF!</definedName>
    <definedName name="solver_pre" hidden="1">0.000001</definedName>
    <definedName name="solver_rel1" hidden="1">1</definedName>
    <definedName name="solver_rhs1" hidden="1">0.15</definedName>
    <definedName name="solver_scl" hidden="1">2</definedName>
    <definedName name="solver_sho" hidden="1">2</definedName>
    <definedName name="solver_tim" hidden="1">100</definedName>
    <definedName name="solver_tmp" hidden="1">0.15</definedName>
    <definedName name="solver_tol" hidden="1">0.05</definedName>
    <definedName name="solver_typ" hidden="1">3</definedName>
    <definedName name="solver_val" hidden="1">0.25</definedName>
    <definedName name="SPM" hidden="1">{#N/A,#N/A,FALSE,"Cashflow Analysis";#N/A,#N/A,FALSE,"Sensitivity Analysis";#N/A,#N/A,FALSE,"PV";#N/A,#N/A,FALSE,"Pro Forma"}</definedName>
    <definedName name="SPM.2" hidden="1">{#N/A,#N/A,FALSE,"Cashflow Analysis";#N/A,#N/A,FALSE,"Sensitivity Analysis";#N/A,#N/A,FALSE,"PV";#N/A,#N/A,FALSE,"Pro Forma"}</definedName>
    <definedName name="ssd" hidden="1">#REF!</definedName>
    <definedName name="ssdfsd" hidden="1">{"Balance Sheets",#N/A,FALSE,"Subject";"Income Statements - As Reported",#N/A,FALSE,"Subject";"Income Statements - Adjusted",#N/A,FALSE,"Subject";"Ratios",#N/A,FALSE,"Subject";"Representative Earnings",#N/A,FALSE,"Subject"}</definedName>
    <definedName name="sss" hidden="1">{#N/A,#N/A,FALSE,"Form 41 Commuter Domestic";#N/A,#N/A,FALSE,"FORM41--COMMUTER % CHG";#N/A,#N/A,FALSE,"Total Domestic Traffic Stats";#N/A,#N/A,FALSE,"TOTAL DOM TRAFFIC--% CHG";#N/A,#N/A,FALSE,"TotDomTraf-Large Carriers Only";#N/A,#N/A,FALSE,"TOTDOMTRAF-LARGECAR% CHG"}</definedName>
    <definedName name="sssss" hidden="1">{#N/A,#N/A,FALSE,"Calc";#N/A,#N/A,FALSE,"Sensitivity";#N/A,#N/A,FALSE,"LT Earn.Dil.";#N/A,#N/A,FALSE,"Dil. AVP"}</definedName>
    <definedName name="sssssss" hidden="1">{"PR1","pr1",TRUE,"Sch PR-1"}</definedName>
    <definedName name="staffing2" hidden="1">{#N/A,#N/A,FALSE,"Assessment";#N/A,#N/A,FALSE,"Staffing";#N/A,#N/A,FALSE,"Hires";#N/A,#N/A,FALSE,"Assumptions"}</definedName>
    <definedName name="Staffing3" hidden="1">{#N/A,#N/A,FALSE,"Assessment";#N/A,#N/A,FALSE,"Staffing";#N/A,#N/A,FALSE,"Hires";#N/A,#N/A,FALSE,"Assumptions"}</definedName>
    <definedName name="stands" hidden="1">{"FCB_ALL",#N/A,FALSE,"FCB";"GREY_ALL",#N/A,FALSE,"GREY"}</definedName>
    <definedName name="stands1" hidden="1">{"FCB_ALL",#N/A,FALSE,"FCB";"GREY_ALL",#N/A,FALSE,"GREY"}</definedName>
    <definedName name="Staril" hidden="1">{#N/A,#N/A,FALSE,"REPORT"}</definedName>
    <definedName name="StartDate">#REF!</definedName>
    <definedName name="StartDate1">#REF!</definedName>
    <definedName name="StartDate2">#REF!</definedName>
    <definedName name="StartDate3">#REF!</definedName>
    <definedName name="StratPlanAP" hidden="1">{#N/A,#N/A,FALSE,"Pharm";#N/A,#N/A,FALSE,"WWCM"}</definedName>
    <definedName name="stud13"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stuff" hidden="1">#REF!</definedName>
    <definedName name="stuffs" hidden="1">{"TOTAL",#N/A,FALSE,"A";"FISCAL94",#N/A,FALSE,"A";"FISCAL95",#N/A,FALSE,"A";"FISCAL96",#N/A,FALSE,"A";"misc page",#N/A,FALSE,"A"}</definedName>
    <definedName name="suck" hidden="1">#REF!</definedName>
    <definedName name="sucker" hidden="1">#REF!</definedName>
    <definedName name="Sum_Perf_Fee">#REF!+#REF!</definedName>
    <definedName name="SUMMARY_BOOK" hidden="1">{"page1",#N/A,FALSE,"GIRLBO";"page2",#N/A,FALSE,"GIRLBO";"page3",#N/A,FALSE,"GIRLBO";"page4",#N/A,FALSE,"GIRLBO";"page5",#N/A,FALSE,"GIRLBO"}</definedName>
    <definedName name="SUP" hidden="1">#N/A</definedName>
    <definedName name="supp" hidden="1">{#N/A,#N/A,FALSE,"Comp Balance";#N/A,#N/A,FALSE,"Sum Balance ";#N/A,#N/A,FALSE,"Balance Trend";#N/A,#N/A,FALSE,"Comp PL";#N/A,#N/A,FALSE,"PL";#N/A,#N/A,FALSE,"Sum PL";#N/A,#N/A,FALSE,"PL Trend";#N/A,#N/A,FALSE,"Change"}</definedName>
    <definedName name="SV_AUTO_CONN_CATALOG" hidden="1">"x3v6"</definedName>
    <definedName name="SV_AUTO_CONN_SERVER" hidden="1">"KSRACK-DB01\X3V6"</definedName>
    <definedName name="SV_ENCPT_AUTO_CONN_PASSWORD" hidden="1">"083096084083070122106104103114"</definedName>
    <definedName name="SV_ENCPT_AUTO_CONN_USER" hidden="1">"095094088070084086083080070"</definedName>
    <definedName name="SV_ENCPT_LOGON_PWD" hidden="1">"078104085088070"</definedName>
    <definedName name="SV_ENCPT_LOGON_USER" hidden="1">"095094088070084084080096087083073084"</definedName>
    <definedName name="switch" hidden="1">{"arpm1995",#N/A,FALSE,"Summary 95-96";"bus_long_distance",#N/A,FALSE,"Summary 95-96";"mins_per_day",#N/A,FALSE,"Summary 95-96";"minutes1995",#N/A,FALSE,"Summary 95-96";"rev_per_day",#N/A,FALSE,"Summary 95-96";"view1995",#N/A,FALSE,"Summary 95-96"}</definedName>
    <definedName name="SX"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yn_downsidepct">#REF!</definedName>
    <definedName name="t" hidden="1">#REF!</definedName>
    <definedName name="t2_1" hidden="1">{"'Sheet1'!$A$5:$G$42"}</definedName>
    <definedName name="Tax">#REF!</definedName>
    <definedName name="taxol" hidden="1">{#N/A,#N/A,FALSE,"Pharm";#N/A,#N/A,FALSE,"WWCM"}</definedName>
    <definedName name="TaxRate">#REF!</definedName>
    <definedName name="tdhjm" hidden="1">{#N/A,#N/A,FALSE,"INPUTS";#N/A,#N/A,FALSE,"PROFORMA BSHEET";#N/A,#N/A,FALSE,"COMBINED";#N/A,#N/A,FALSE,"HIGH YIELD";#N/A,#N/A,FALSE,"COMB_GRAPHS"}</definedName>
    <definedName name="tdjtmk" hidden="1">{#N/A,#N/A,FALSE,"ACQ_GRAPHS";#N/A,#N/A,FALSE,"T_1 GRAPHS";#N/A,#N/A,FALSE,"T_2 GRAPHS";#N/A,#N/A,FALSE,"COMB_GRAPHS"}</definedName>
    <definedName name="TECH">#REF!</definedName>
    <definedName name="Tem" hidden="1">{#N/A,#N/A,FALSE,"Pharm";#N/A,#N/A,FALSE,"WWCM"}</definedName>
    <definedName name="TEMP" hidden="1">{"PAGE 1",#N/A,FALSE,"WEST_OT"}</definedName>
    <definedName name="Temp_2" hidden="1">{#N/A,#N/A,FALSE,"Assessment";#N/A,#N/A,FALSE,"Staffing";#N/A,#N/A,FALSE,"Hires";#N/A,#N/A,FALSE,"Assumptions"}</definedName>
    <definedName name="Temp_3" hidden="1">{#N/A,#N/A,FALSE,"Assessment";#N/A,#N/A,FALSE,"Staffing";#N/A,#N/A,FALSE,"Hires";#N/A,#N/A,FALSE,"Assumptions"}</definedName>
    <definedName name="temp1" hidden="1">{"PAGE 1",#N/A,FALSE,"WEST_OT"}</definedName>
    <definedName name="temp2" hidden="1">{"PAGE 1",#N/A,FALSE,"WEST_OT"}</definedName>
    <definedName name="temp3" hidden="1">{"PAGE 1",#N/A,FALSE,"WEST_OT"}</definedName>
    <definedName name="tempq"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q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3"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tempq4"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tempq5"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tempq6" hidden="1">{#N/A,#N/A,TRUE,"FD IV Portfolio Summary ";#N/A,#N/A,TRUE,"Western";#N/A,#N/A,TRUE,"Kranson";#N/A,#N/A,TRUE,"ARC";#N/A,#N/A,TRUE,"Precise";#N/A,#N/A,TRUE,"WNA"}</definedName>
    <definedName name="tempq7"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8"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teq" hidden="1">{#N/A,#N/A,FALSE,"Pharm";#N/A,#N/A,FALSE,"WWCM"}</definedName>
    <definedName name="Tequin" hidden="1">{#N/A,#N/A,FALSE,"Pharm";#N/A,#N/A,FALSE,"WWCM"}</definedName>
    <definedName name="tequinol" hidden="1">{#N/A,#N/A,FALSE,"REPORT"}</definedName>
    <definedName name="Ter">#REF!</definedName>
    <definedName name="TerFMV">#REF!</definedName>
    <definedName name="term">#REF!</definedName>
    <definedName name="TerPref">#REF!</definedName>
    <definedName name="tes" hidden="1">#REF!</definedName>
    <definedName name="tesg4" hidden="1">{"PAGE 1",#N/A,FALSE,"WEST_OT"}</definedName>
    <definedName name="test">Scheduled_Payment+Extra_Payment</definedName>
    <definedName name="test1" hidden="1">{"PAGE 1",#N/A,FALSE,"WEST_OT"}</definedName>
    <definedName name="test10" hidden="1">{"PAGE 1",#N/A,FALSE,"WEST_OT"}</definedName>
    <definedName name="test11" hidden="1">{"PAGE 1",#N/A,FALSE,"WEST_OT"}</definedName>
    <definedName name="test12" hidden="1">{"PAGE 2",#N/A,FALSE,"WEST_OT"}</definedName>
    <definedName name="test13" hidden="1">{"PAGE 2",#N/A,FALSE,"WEST_OT"}</definedName>
    <definedName name="test14" hidden="1">{"PAGE 1",#N/A,FALSE,"WEST_OT"}</definedName>
    <definedName name="test15" hidden="1">{"PAGE 1",#N/A,FALSE,"WEST_OT"}</definedName>
    <definedName name="test2">Scheduled_Payment+Extra_Payment</definedName>
    <definedName name="test20" hidden="1">{"PAGE 1",#N/A,FALSE,"WEST_OT"}</definedName>
    <definedName name="test21" hidden="1">{"PAGE 1",#N/A,FALSE,"WEST_OT"}</definedName>
    <definedName name="test22" hidden="1">{"PAGE 1",#N/A,FALSE,"WEST_OT"}</definedName>
    <definedName name="test23" hidden="1">{"PAGE 1",#N/A,FALSE,"WEST_OT"}</definedName>
    <definedName name="test24" hidden="1">{"PAGE 1",#N/A,FALSE,"WEST_OT"}</definedName>
    <definedName name="test25" hidden="1">{"PAGE 1",#N/A,FALSE,"WEST_OT"}</definedName>
    <definedName name="test26" hidden="1">{"PAGE 1",#N/A,FALSE,"WEST_OT"}</definedName>
    <definedName name="test27" hidden="1">{"PAGE 1",#N/A,FALSE,"WEST_OT"}</definedName>
    <definedName name="test28" hidden="1">{"PAGE 1",#N/A,FALSE,"WEST_OT"}</definedName>
    <definedName name="test29" hidden="1">{"PAGE 1",#N/A,FALSE,"WEST_OT"}</definedName>
    <definedName name="test3" hidden="1">{"PAGE 1",#N/A,FALSE,"WEST_OT"}</definedName>
    <definedName name="test30" hidden="1">{"PAGE 2",#N/A,FALSE,"WEST_OT"}</definedName>
    <definedName name="test31" hidden="1">{"PAGE 1",#N/A,FALSE,"WEST_OT"}</definedName>
    <definedName name="test32" hidden="1">{"PAGE 1",#N/A,FALSE,"WEST_OT"}</definedName>
    <definedName name="test33" hidden="1">{"PAGE 1",#N/A,FALSE,"WEST_OT"}</definedName>
    <definedName name="test34" hidden="1">{"PAGE 1",#N/A,FALSE,"WEST_OT"}</definedName>
    <definedName name="test35" hidden="1">{"PAGE 1",#N/A,FALSE,"WEST_OT"}</definedName>
    <definedName name="test36" hidden="1">{"PAGE 1",#N/A,FALSE,"WEST_OT"}</definedName>
    <definedName name="test37" hidden="1">{"PAGE 2",#N/A,FALSE,"WEST_OT"}</definedName>
    <definedName name="test38" hidden="1">{"PAGE 1",#N/A,FALSE,"WEST_OT"}</definedName>
    <definedName name="test39" hidden="1">{"PAGE 1",#N/A,FALSE,"WEST_OT"}</definedName>
    <definedName name="test4" hidden="1">{"PAGE 1",#N/A,FALSE,"WEST_OT"}</definedName>
    <definedName name="test40" hidden="1">{"PAGE 2",#N/A,FALSE,"WEST_OT"}</definedName>
    <definedName name="test41" hidden="1">{"PAGE 1",#N/A,FALSE,"WEST_OT"}</definedName>
    <definedName name="test42" hidden="1">{"PAGE 1",#N/A,FALSE,"WEST_OT"}</definedName>
    <definedName name="test43" hidden="1">{"PAGE 2",#N/A,FALSE,"WEST_OT"}</definedName>
    <definedName name="test44" hidden="1">{"PAGE 2",#N/A,FALSE,"WEST_OT"}</definedName>
    <definedName name="test45" hidden="1">{"PAGE 1",#N/A,FALSE,"WEST_OT"}</definedName>
    <definedName name="test46" hidden="1">{"PAGE 1",#N/A,FALSE,"WEST_OT"}</definedName>
    <definedName name="test5" hidden="1">{"PAGE 1",#N/A,FALSE,"WEST_OT"}</definedName>
    <definedName name="test6" hidden="1">{"PAGE 2",#N/A,FALSE,"WEST_OT"}</definedName>
    <definedName name="test7" hidden="1">{"PAGE 2",#N/A,FALSE,"WEST_OT"}</definedName>
    <definedName name="test8" hidden="1">{"PAGE 1",#N/A,FALSE,"WEST_OT"}</definedName>
    <definedName name="test9" hidden="1">{"PAGE 1",#N/A,FALSE,"WEST_OT"}</definedName>
    <definedName name="teste" hidden="1">{#N/A,#N/A,FALSE,"Pharm";#N/A,#N/A,FALSE,"WWCM"}</definedName>
    <definedName name="TESYT" hidden="1">{#N/A,#N/A,TRUE,"BUD VS ACT AUST 96";#N/A,#N/A,TRUE,"96 COMP P&amp;L-AUST";#N/A,#N/A,TRUE,"COMP BS-AUSTRALIA";#N/A,#N/A,TRUE,"B/S - AUSTR."}</definedName>
    <definedName name="tetas" hidden="1">{#N/A,#N/A,FALSE,"RESUMEN ECON.";#N/A,#N/A,FALSE,"Costos de R.H.";#N/A,#N/A,FALSE,"COSTO HW";#N/A,#N/A,FALSE,"CUADROS";#N/A,#N/A,FALSE,"SCADA´s";#N/A,#N/A,FALSE,"PRECIOS EQUIPOS"}</definedName>
    <definedName name="TextRefCopyRangeCount" hidden="1">2</definedName>
    <definedName name="tgj" hidden="1">{#N/A,#N/A,FALSE,"INPUTS";#N/A,#N/A,FALSE,"PROFORMA BSHEET";#N/A,#N/A,FALSE,"COMBINED";#N/A,#N/A,FALSE,"ACQUIROR";#N/A,#N/A,FALSE,"TARGET 1";#N/A,#N/A,FALSE,"TARGET 2";#N/A,#N/A,FALSE,"HIGH YIELD";#N/A,#N/A,FALSE,"OVERFUND"}</definedName>
    <definedName name="th">#REF!</definedName>
    <definedName name="thth" hidden="1">{#N/A,#N/A,FALSE,"Calc";#N/A,#N/A,FALSE,"Sensitivity";#N/A,#N/A,FALSE,"LT Earn.Dil.";#N/A,#N/A,FALSE,"Dil. AVP"}</definedName>
    <definedName name="Time" hidden="1">"b1"</definedName>
    <definedName name="Titan" hidden="1">{"kricash",#N/A,FALSE,"INC";"kriinc",#N/A,FALSE,"INC";"krimiami",#N/A,FALSE,"INC";"kriother",#N/A,FALSE,"INC";"kripapers",#N/A,FALSE,"INC"}</definedName>
    <definedName name="Titles">#REF!</definedName>
    <definedName name="tl" hidden="1">{#N/A,#N/A,FALSE,"FAB VENDORS";"BUD SUM",#N/A,FALSE,"BUD SUM WO TEX"}</definedName>
    <definedName name="Total_Interest">#REF!</definedName>
    <definedName name="Total_Pay">#REF!</definedName>
    <definedName name="Total_Payment">Scheduled_Payment+Extra_Payment</definedName>
    <definedName name="TotalAssetsCurr">#REF!</definedName>
    <definedName name="tre" hidden="1">{#N/A,#N/A,TRUE,"Sch-5a";#N/A,#N/A,TRUE,"Sch-5b";#N/A,#N/A,TRUE,"Sch-5c";#N/A,#N/A,TRUE,"Sch-5d";#N/A,#N/A,TRUE,"Sch-6a";#N/A,#N/A,TRUE,"Sch-6b";#N/A,#N/A,TRUE,"Sch-6c";#N/A,#N/A,TRUE,"Sch-6d";#N/A,#N/A,TRUE,"Sch-6e"}</definedName>
    <definedName name="trevor" hidden="1">{#N/A,#N/A,FALSE,"FAB VENDORS";"BUD SUM",#N/A,FALSE,"BUD SUM WO TEX"}</definedName>
    <definedName name="tru" hidden="1">#REF!</definedName>
    <definedName name="Trust2" hidden="1">{#N/A,#N/A,FALSE,"Summary";#N/A,#N/A,FALSE,"Financials";#N/A,#N/A,FALSE,"Returns";#N/A,#N/A,FALSE,"Open";#N/A,#N/A,FALSE,"Assumptions"}</definedName>
    <definedName name="tryeuyit" hidden="1">{#N/A,#N/A,FALSE,"Pharm";#N/A,#N/A,FALSE,"WWCM"}</definedName>
    <definedName name="tss" hidden="1">{#N/A,#N/A,TRUE,"ProFormaProfit";#N/A,#N/A,TRUE,"ProFormaCash";#N/A,#N/A,TRUE,"Depreciation";#N/A,#N/A,TRUE,"Assets";#N/A,#N/A,TRUE,"Revenue";#N/A,#N/A,TRUE,"EstimatedPurchase"}</definedName>
    <definedName name="ttt" hidden="1">{#N/A,#N/A,FALSE,"COMP BS-FRANCE";#N/A,#N/A,FALSE,"96 COMP P&amp;L-FRANCE";#N/A,#N/A,FALSE,"BUD VS ACT FRAN 96";#N/A,#N/A,FALSE,"B/S - FRANCE"}</definedName>
    <definedName name="tttt" hidden="1">{#N/A,#N/A,FALSE,"COVER";#N/A,#N/A,FALSE,"Key Fin Performance";#N/A,#N/A,FALSE,"Ratios";#N/A,#N/A,FALSE,"Trended";#N/A,#N/A,FALSE,"Trended Op Ex";#N/A,#N/A,FALSE,"P&amp;L Act vs Plan";#N/A,#N/A,FALSE,"P&amp;L Fcst";#N/A,#N/A,FALSE,"Top Customers";#N/A,#N/A,FALSE,"Backlog";#N/A,#N/A,FALSE,"Design Win Summary";#N/A,#N/A,FALSE,"Key Wins and Losses";#N/A,#N/A,FALSE,"Dev Program Summary - King"}</definedName>
    <definedName name="ttttttt"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U" hidden="1">{#N/A,#N/A,FALSE,"CNS_ADJ";"Balance Consolidado",#N/A,FALSE,"BCEC_CNS";#N/A,#N/A,FALSE,"USGAAP_ADJ"}</definedName>
    <definedName name="Tulsa" hidden="1">{#N/A,#N/A,FALSE,"Report Data";#N/A,#N/A,FALSE,"COMP POOL";#N/A,#N/A,FALSE,"COMP POOL NB95";#N/A,#N/A,FALSE,"COMP POOL NB94"}</definedName>
    <definedName name="tut" hidden="1">{#N/A,#N/A,TRUE,"ProFormaProfit";#N/A,#N/A,TRUE,"ProFormaCash";#N/A,#N/A,TRUE,"Depreciation";#N/A,#N/A,TRUE,"Assets";#N/A,#N/A,TRUE,"Revenue";#N/A,#N/A,TRUE,"EstimatedPurchase"}</definedName>
    <definedName name="tuv" hidden="1">{#N/A,#N/A,TRUE,"Sch-5a";#N/A,#N/A,TRUE,"Sch-5b";#N/A,#N/A,TRUE,"Sch-5c";#N/A,#N/A,TRUE,"Sch-5d";#N/A,#N/A,TRUE,"Sch-6a";#N/A,#N/A,TRUE,"Sch-6b";#N/A,#N/A,TRUE,"Sch-6c";#N/A,#N/A,TRUE,"Sch-6d";#N/A,#N/A,TRUE,"Sch-6e"}</definedName>
    <definedName name="two.print" hidden="1">{"month",#N/A,FALSE,"LOPL594";"ytd",#N/A,FALSE,"LOPL594"}</definedName>
    <definedName name="tx_roll_cy">#REF!,#REF!</definedName>
    <definedName name="tx_roll_py">#REF!,#REF!</definedName>
    <definedName name="tx_roll_py1">#REF!,#REF!</definedName>
    <definedName name="tx_roll_py10">#REF!,#REF!</definedName>
    <definedName name="tx_roll_py11">#REF!,#REF!</definedName>
    <definedName name="tx_roll_py12">#REF!,#REF!</definedName>
    <definedName name="tx_roll_py13">#REF!,#REF!</definedName>
    <definedName name="tx_roll_py14">#REF!,#REF!</definedName>
    <definedName name="tx_roll_py15">#REF!,#REF!</definedName>
    <definedName name="tx_roll_py2">#REF!,#REF!</definedName>
    <definedName name="tx_roll_py3">#REF!,#REF!</definedName>
    <definedName name="tx_roll_py4">#REF!,#REF!</definedName>
    <definedName name="tx_roll_py5">#REF!,#REF!</definedName>
    <definedName name="tx_roll_py6">#REF!,#REF!</definedName>
    <definedName name="tx_roll_py7">#REF!,#REF!</definedName>
    <definedName name="tx_roll_py8">#REF!,#REF!</definedName>
    <definedName name="tx_roll_py9">#REF!,#REF!</definedName>
    <definedName name="tyler"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tyler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pist" hidden="1">"b1"</definedName>
    <definedName name="tyu" hidden="1">{"MARCH",#N/A,FALSE,"CONSO OPEX 5899";"FullOpex",#N/A,FALSE,"CONSO OPEX 5899"}</definedName>
    <definedName name="tyuiktyu" hidden="1">{#N/A,#N/A,FALSE,"COVER";#N/A,#N/A,FALSE,"Index";#N/A,#N/A,FALSE,"Non-Earning";#N/A,#N/A,FALSE,"Mortgage_Legal";#N/A,#N/A,FALSE,"Mortgages"}</definedName>
    <definedName name="tyutytyi" hidden="1">{#N/A,#N/A,FALSE,"Pharm";#N/A,#N/A,FALSE,"WWCM"}</definedName>
    <definedName name="tyyufkjkhjd" hidden="1">{#N/A,#N/A,FALSE,"Pharm";#N/A,#N/A,FALSE,"WWCM"}</definedName>
    <definedName name="u" hidden="1">{"CSheet",#N/A,FALSE,"C";"SmCap",#N/A,FALSE,"VAL1";"GulfCoast",#N/A,FALSE,"VAL1";"nav",#N/A,FALSE,"NAV";"Summary",#N/A,FALSE,"NAV"}</definedName>
    <definedName name="UK" hidden="1">{#N/A,#N/A,TRUE,"BUD VS ACT AUST 96";#N/A,#N/A,TRUE,"96 COMP P&amp;L-AUST";#N/A,#N/A,TRUE,"COMP BS-AUSTRALIA";#N/A,#N/A,TRUE,"B/S - AUSTR."}</definedName>
    <definedName name="Unit" hidden="1">{#N/A,#N/A,FALSE,"Pharm";#N/A,#N/A,FALSE,"WWCM"}</definedName>
    <definedName name="unit_price">#REF!</definedName>
    <definedName name="United"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US">#REF!</definedName>
    <definedName name="usd">#REF!</definedName>
    <definedName name="Useful_Life">#REF!</definedName>
    <definedName name="uyfkf"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R"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ValuationDate">#REF!</definedName>
    <definedName name="Value.2" hidden="1">{#N/A,#N/A,FALSE,"Cashflow Analysis";#N/A,#N/A,FALSE,"Sensitivity Analysis";#N/A,#N/A,FALSE,"PV";#N/A,#N/A,FALSE,"Pro Forma"}</definedName>
    <definedName name="value1" hidden="1">{#N/A,#N/A,FALSE,"Cashflow Analysis";#N/A,#N/A,FALSE,"Sensitivity Analysis";#N/A,#N/A,FALSE,"PV";#N/A,#N/A,FALSE,"Pro Forma"}</definedName>
    <definedName name="value1.2" hidden="1">{#N/A,#N/A,FALSE,"Cashflow Analysis";#N/A,#N/A,FALSE,"Sensitivity Analysis";#N/A,#N/A,FALSE,"PV";#N/A,#N/A,FALSE,"Pro Forma"}</definedName>
    <definedName name="Values_Entered">IF(Loan_Amount*Interest_Rate*Loan_Years*Loan_Start&gt;0,1,0)</definedName>
    <definedName name="Var_type">#REF!</definedName>
    <definedName name="varianc" hidden="1">{#N/A,#N/A,TRUE,"Mth Sum";#N/A,#N/A,TRUE,"YTD Sum";#N/A,#N/A,TRUE,"Mth Rev Sum";#N/A,#N/A,TRUE,"YTD Rev Sum";#N/A,#N/A,TRUE,"SC vs Pr Month (Revised)";#N/A,#N/A,TRUE,"SVC Detail Mth vs Pr Mth (Rev)";#N/A,#N/A,TRUE,"SGA (Elem) vs Pr Month";#N/A,#N/A,TRUE,"SGA (BU) vs Pr Mth";#N/A,#N/A,TRUE,"SC vs Plan (Revised)";#N/A,#N/A,TRUE,"SVC Detail Mth vsPlan (Rev)";#N/A,#N/A,TRUE,"SGA (Elem) vs Plan";#N/A,#N/A,TRUE,"SGA (BU) vs Plan(Rev)";#N/A,#N/A,TRUE,"SC vs YTD 00 (Revised)";#N/A,#N/A,TRUE,"SGA (Elem) vs YTD 00";#N/A,#N/A,TRUE,"SGA (BU) YTD vs YTD 00";#N/A,#N/A,TRUE,"SC vs YTD Plan (Revised)";#N/A,#N/A,TRUE,"SVC YTD Detail Mth vsPlan (Rev)";#N/A,#N/A,TRUE,"SGA (Elem) vs YTD Plan";#N/A,#N/A,TRUE,"SGA (BU) YTD vs Plan(Rev)";#N/A,#N/A,TRUE,"CapExp";#N/A,#N/A,TRUE,"EBITDA(Flash)";#N/A,#N/A,TRUE,"NetInc(Flash)";#N/A,#N/A,TRUE,"Gross Margin(Flash)";#N/A,#N/A,TRUE,"Mth trends(Flash)";#N/A,#N/A,TRUE,"HeadcountP01";#N/A,#N/A,TRUE,"Headcount P00";#N/A,#N/A,TRUE,"Inc. Statement";#N/A,#N/A,TRUE,"Balance Sheet";#N/A,#N/A,TRUE,"Cash Flow"}</definedName>
    <definedName name="Veneco" hidden="1">{"one",#N/A,TRUE,"Alaska";"two",#N/A,TRUE,"Alaska";"three",#N/A,TRUE,"Alaska";"four",#N/A,TRUE,"Alaska"}</definedName>
    <definedName name="vertex42_copyright" hidden="1">"© 2009-2017 Vertex42 LLC"</definedName>
    <definedName name="vertex42_id" hidden="1">"depreciation-schedule.xlsx"</definedName>
    <definedName name="vertex42_title" hidden="1">"Depreciation Schedule Template"</definedName>
    <definedName name="viajes" hidden="1">{#N/A,#N/A,TRUE,"RESUMEN ECON.";#N/A,#N/A,TRUE,"Costos de R.H.";#N/A,#N/A,TRUE,"COSTO HW";#N/A,#N/A,TRUE,"CUADROS";#N/A,#N/A,TRUE,"SCADA´s";#N/A,#N/A,TRUE,"PRECIOS EQUIPOS"}</definedName>
    <definedName name="viajes2" hidden="1">{#N/A,#N/A,TRUE,"RESUMEN ECON.";#N/A,#N/A,TRUE,"Costos de R.H.";#N/A,#N/A,TRUE,"COSTO HW";#N/A,#N/A,TRUE,"CUADROS";#N/A,#N/A,TRUE,"SCADA´s";#N/A,#N/A,TRUE,"PRECIOS EQUIPOS"}</definedName>
    <definedName name="Viastar" hidden="1">{#N/A,#N/A,FALSE,"Assumptions";#N/A,#N/A,FALSE,"N-IS-Sum";#N/A,#N/A,FALSE,"N-St-Sum";#N/A,#N/A,FALSE,"Inc Stmt";#N/A,#N/A,FALSE,"Stats"}</definedName>
    <definedName name="victor" hidden="1">{"multiple",#N/A,FALSE,"client";"margins",#N/A,FALSE,"client";"data",#N/A,FALSE,"client"}</definedName>
    <definedName name="vnbs" hidden="1">{"FCB_ALL",#N/A,FALSE,"FCB"}</definedName>
    <definedName name="vo" hidden="1">{"consolidated",#N/A,FALSE,"Sheet1";"cms",#N/A,FALSE,"Sheet1";"fse",#N/A,FALSE,"Sheet1"}</definedName>
    <definedName name="vsr" hidden="1">{"FCB_ALL",#N/A,FALSE,"FCB"}</definedName>
    <definedName name="vv" hidden="1">{"cash_marc",#N/A,FALSE,"dec95cr.xls"}</definedName>
    <definedName name="vvvv" hidden="1">{#N/A,#N/A,FALSE,"Cashflow Analysis";#N/A,#N/A,FALSE,"Sensitivity Analysis";#N/A,#N/A,FALSE,"PV";#N/A,#N/A,FALSE,"Pro Forma"}</definedName>
    <definedName name="VVVV.2" hidden="1">{#N/A,#N/A,FALSE,"Cashflow Analysis";#N/A,#N/A,FALSE,"Sensitivity Analysis";#N/A,#N/A,FALSE,"PV";#N/A,#N/A,FALSE,"Pro Forma"}</definedName>
    <definedName name="VZDX"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 hidden="1">{"ReportTop",#N/A,FALSE,"report top"}</definedName>
    <definedName name="wafe" hidden="1">{"summary1",#N/A,TRUE,"Comps";"summary2",#N/A,TRUE,"Comps";"summary3",#N/A,TRUE,"Comps"}</definedName>
    <definedName name="was" hidden="1">{#N/A,#N/A,FALSE,"Sales Graph";#N/A,#N/A,FALSE,"BUC Graph";#N/A,#N/A,FALSE,"P&amp;L - YTD"}</definedName>
    <definedName name="wb" hidden="1">{#N/A,#N/A,FALSE,"Pharm";#N/A,#N/A,FALSE,"WWCM"}</definedName>
    <definedName name="wc" hidden="1">{#N/A,#N/A,FALSE,"Pharm";#N/A,#N/A,FALSE,"WWCM"}</definedName>
    <definedName name="wc.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E" hidden="1">{#N/A,#N/A,FALSE,"COVER";#N/A,#N/A,FALSE,"Index";#N/A,#N/A,FALSE,"Non-Earning";#N/A,#N/A,FALSE,"Commercial";#N/A,#N/A,FALSE,"Detailed"}</definedName>
    <definedName name="WEA"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d" hidden="1">{#N/A,#N/A,FALSE,"INPUTS";#N/A,#N/A,FALSE,"PROFORMA BSHEET";#N/A,#N/A,FALSE,"COMBINED";#N/A,#N/A,FALSE,"ACQUIROR";#N/A,#N/A,FALSE,"TARGET 1";#N/A,#N/A,FALSE,"TARGET 2";#N/A,#N/A,FALSE,"HIGH YIELD";#N/A,#N/A,FALSE,"OVERFUND"}</definedName>
    <definedName name="wef" hidden="1">{#N/A,#N/A,FALSE,"INPUTS";#N/A,#N/A,FALSE,"PROFORMA BSHEET";#N/A,#N/A,FALSE,"COMBINED";#N/A,#N/A,FALSE,"HIGH YIELD";#N/A,#N/A,FALSE,"COMB_GRAPHS"}</definedName>
    <definedName name="wefaf"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faff" hidden="1">{#N/A,#N/A,FALSE,"Assum";#N/A,#N/A,FALSE,"IS";#N/A,#N/A,FALSE,"Op-BS";#N/A,#N/A,FALSE,"BSCF";#N/A,#N/A,FALSE,"Brad_IS";#N/A,#N/A,FALSE,"Brad_BSCF";#N/A,#N/A,FALSE,"Nick_IS";#N/A,#N/A,FALSE,"Nick_BSCF";#N/A,#N/A,FALSE,"Mobile_IS";#N/A,#N/A,FALSE,"Mobile_BSCF";#N/A,#N/A,FALSE,"Syn+Elim";#N/A,#N/A,FALSE,"Ratings"}</definedName>
    <definedName name="wefyjtf"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ekwn" hidden="1">{"'Edit'!$A$1:$V$2277"}</definedName>
    <definedName name="welw" hidden="1">{"'Edit'!$A$1:$V$2277"}</definedName>
    <definedName name="WEQQE" hidden="1">{"summary1",#N/A,TRUE,"Comps";"summary2",#N/A,TRUE,"Comps";"summary3",#N/A,TRUE,"Comps"}</definedName>
    <definedName name="wererer" hidden="1">{"arpm1995",#N/A,FALSE,"Summary 95-96";"bus_long_distance",#N/A,FALSE,"Summary 95-96";"mins_per_day",#N/A,FALSE,"Summary 95-96";"minutes1995",#N/A,FALSE,"Summary 95-96";"rev_per_day",#N/A,FALSE,"Summary 95-96";"view1995",#N/A,FALSE,"Summary 95-96"}</definedName>
    <definedName name="werrr" hidden="1">{#N/A,#N/A,FALSE,"Pharm";#N/A,#N/A,FALSE,"WWCM"}</definedName>
    <definedName name="wg" hidden="1">{"ReportTop",#N/A,FALSE,"report top"}</definedName>
    <definedName name="What?" hidden="1">{#N/A,#N/A,TRUE,"Summary";#N/A,#N/A,TRUE,"Financials"}</definedName>
    <definedName name="What2?" hidden="1">{#N/A,#N/A,TRUE,"Summary";#N/A,#N/A,TRUE,"Financials";#N/A,#N/A,TRUE,"Assumptions";#N/A,#N/A,TRUE,"Pro Forma";#N/A,#N/A,TRUE,"Debt";#N/A,#N/A,TRUE,"Amortization";#N/A,#N/A,TRUE,"GG Returns"}</definedName>
    <definedName name="What3?" hidden="1">{#N/A,#N/A,TRUE,"Summary";#N/A,#N/A,TRUE,"Assumptions";#N/A,#N/A,TRUE,"Comparison";#N/A,#N/A,TRUE,"Financials";#N/A,#N/A,TRUE,"Plan v. Act"}</definedName>
    <definedName name="WHO" hidden="1">{#N/A,#N/A,FALSE,"SUMMARY";#N/A,#N/A,FALSE,"DETAIL";#N/A,#N/A,FALSE,"VARIANCE"}</definedName>
    <definedName name="wholesaleforecast" hidden="1">{"SUM",#N/A,FALSE,"Details (2)"}</definedName>
    <definedName name="willem"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orking" hidden="1">{#N/A,#N/A,FALSE,"REPORT"}</definedName>
    <definedName name="Workpapers">#REF!</definedName>
    <definedName name="wpw" hidden="1">{#N/A,#N/A,FALSE,"TopTen Failures";#N/A,#N/A,FALSE,"Top Ten %";#N/A,#N/A,FALSE,"Fail Code 5 mo. Totals (%)"}</definedName>
    <definedName name="wqe" hidden="1">{#N/A,#N/A,TRUE,"Sch-1a";#N/A,#N/A,TRUE,"Sch-1b";#N/A,#N/A,TRUE,"Sch-1c";#N/A,#N/A,TRUE,"Sch-1d";#N/A,#N/A,TRUE,"Sch-2a";#N/A,#N/A,TRUE,"Sch-2b";#N/A,#N/A,TRUE,"Sch-2c";#N/A,#N/A,TRUE,"Sch-3a";#N/A,#N/A,TRUE,"Sch-3b";#N/A,#N/A,TRUE,"Sch-3c";#N/A,#N/A,TRUE,"Sch-3d";#N/A,#N/A,TRUE,"Sch-3e"}</definedName>
    <definedName name="wqefh" hidden="1">{#N/A,#N/A,FALSE,"ACQ_GRAPHS";#N/A,#N/A,FALSE,"T_1 GRAPHS";#N/A,#N/A,FALSE,"T_2 GRAPHS";#N/A,#N/A,FALSE,"COMB_GRAPHS"}</definedName>
    <definedName name="wr" hidden="1">{"Cashflow chart",#N/A,TRUE,"A";"Rev Assumptions",#N/A,TRUE,"B";"Rev Reconcilliation 1",#N/A,TRUE,"B";"Rev Reconcilliation 2",#N/A,TRUE,"B";"exp 1",#N/A,TRUE,"C";"exp 2",#N/A,TRUE,"C";"exp3",#N/A,TRUE,"C";"cap 1",#N/A,TRUE,"D";"exp4",#N/A,TRUE,"C";"cap 2",#N/A,TRUE,"D";"cap 3",#N/A,TRUE,"D";"inputs",#N/A,TRUE,"E"}</definedName>
    <definedName name="wr_1" hidden="1">{"Cashflow chart",#N/A,TRUE,"A";"Rev Assumptions",#N/A,TRUE,"B";"Rev Reconcilliation 1",#N/A,TRUE,"B";"Rev Reconcilliation 2",#N/A,TRUE,"B";"exp 1",#N/A,TRUE,"C";"exp 2",#N/A,TRUE,"C";"exp3",#N/A,TRUE,"C";"cap 1",#N/A,TRUE,"D";"exp4",#N/A,TRUE,"C";"cap 2",#N/A,TRUE,"D";"cap 3",#N/A,TRUE,"D";"inputs",#N/A,TRUE,"E"}</definedName>
    <definedName name="wrd.2._.pagers.3" hidden="1">{"Cover",#N/A,FALSE,"Cover";"Summary",#N/A,FALSE,"Summarpage"}</definedName>
    <definedName name="wrd.2_.pagers.3" hidden="1">{"Cover",#N/A,FALSE,"Cover";"Summary",#N/A,FALSE,"Summarpage"}</definedName>
    <definedName name="wrer" hidden="1">{"arpm1995",#N/A,FALSE,"Summary 95-96";"bus_long_distance",#N/A,FALSE,"Summary 95-96";"mins_per_day",#N/A,FALSE,"Summary 95-96";"minutes1995",#N/A,FALSE,"Summary 95-96";"rev_per_day",#N/A,FALSE,"Summary 95-96";"view1995",#N/A,FALSE,"Summary 95-96"}</definedName>
    <definedName name="wrn" hidden="1">{"FCB_ALL",#N/A,FALSE,"FCB"}</definedName>
    <definedName name="wrn.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1." hidden="1">{#N/A,#N/A,FALSE,"Calc";#N/A,#N/A,FALSE,"Sensitivity";#N/A,#N/A,FALSE,"LT Earn.Dil.";#N/A,#N/A,FALSE,"Dil. AVP"}</definedName>
    <definedName name="wrn.100._.Monthly._.Package." hidden="1">{#N/A,#N/A,FALSE,"0";#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57";#N/A,#N/A,FALSE,"58";#N/A,#N/A,FALSE,"59";#N/A,#N/A,FALSE,"60";#N/A,#N/A,FALSE,"61";#N/A,#N/A,FALSE,"62";#N/A,#N/A,FALSE,"63";#N/A,#N/A,FALSE,"64";#N/A,#N/A,FALSE,"65";#N/A,#N/A,FALSE,"66";#N/A,#N/A,FALSE,"67";#N/A,#N/A,FALSE,"68";#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N/A,#N/A,FALSE,"95";#N/A,#N/A,FALSE,"96";#N/A,#N/A,FALSE,"97";#N/A,#N/A,FALSE,"98";#N/A,#N/A,FALSE,"99";#N/A,#N/A,FALSE,"100";#N/A,#N/A,FALSE,"101";#N/A,#N/A,FALSE,"102";#N/A,#N/A,FALSE,"103";#N/A,#N/A,FALSE,"104";#N/A,#N/A,FALSE,"105";#N/A,#N/A,FALSE,"106";#N/A,#N/A,FALSE,"107";#N/A,#N/A,FALSE,"108";#N/A,#N/A,FALSE,"109";#N/A,#N/A,FALSE,"110";#N/A,#N/A,FALSE,"111";#N/A,#N/A,FALSE,"112";#N/A,#N/A,FALSE,"113";#N/A,#N/A,FALSE,"114";#N/A,#N/A,FALSE,"115"}</definedName>
    <definedName name="wrn.10K._.FS._.AND._.TABLES."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rn.10Q._.FS._.AND._.TABLES." hidden="1">{#N/A,#N/A,FALSE,"BS";#N/A,#N/A,FALSE,"PL_10Q";#N/A,#N/A,FALSE,"SOE";#N/A,#N/A,FALSE,"SCF";#N/A,#N/A,FALSE,"Sel Fn Data QTD 10Q";#N/A,#N/A,FALSE,"Table 1 YTD 10Q";#N/A,#N/A,FALSE,"Table 1 QTD 10Q";#N/A,#N/A,FALSE,"Tables 2 to 3 PL";#N/A,#N/A,FALSE,"Tables 4 and 5ALLL";#N/A,#N/A,FALSE,"Tables 6 to 8 ALLL ";#N/A,#N/A,FALSE,"Table 9 to 12 - Balance Sheet"}</definedName>
    <definedName name="wrn.10Q._.TABLES." hidden="1">{#N/A,#N/A,FALSE,"TABLE_1 YTD";#N/A,#N/A,FALSE,"TABLE_1A QTD"}</definedName>
    <definedName name="wrn.111111" hidden="1">{#N/A,#N/A,FALSE,"Pharm";#N/A,#N/A,FALSE,"WWCM"}</definedName>
    <definedName name="wrn.12_30._.Adv._.Book." hidden="1">{#N/A,#N/A,TRUE,"Fd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name="wrn.123100._.Port._.Review." hidden="1">{#N/A,#N/A,TRUE,"Port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name="wrn.1998._.FINANCIAL._.STATEMENTS." hidden="1">{"QTR2PGIBS",#N/A,FALSE,"Qtr 2 PGI";"QTR2PGIPL",#N/A,FALSE,"Qtr 2 PGI";"QTR2PGICF",#N/A,FALSE,"Qtr 2 PGI";"98QTR2BS",#N/A,FALSE,"Qtr 2";"98QTR2PL",#N/A,FALSE,"Qtr 2";"98QTR2CF",#N/A,FALSE,"Qtr 2";"QTR3PGIBS",#N/A,FALSE,"Qtr 3 PGI";"QTR3PGIPL",#N/A,FALSE,"Qtr 3 PGI";"QTR3PGICF",#N/A,FALSE,"Qtr 3 PGI";"98QTR3BS",#N/A,FALSE,"Qtr 3";"98QTR3PL",#N/A,FALSE,"Qtr 3";"98QTR3CF",#N/A,FALSE,"Qtr 3";"QTR4PGIBS",#N/A,FALSE,"Qtr 4 PGI";"QTR4PGIPL",#N/A,FALSE,"Qtr 4 PGI";"QTR4PGIPLYTD",#N/A,FALSE,"Qtr 4 PGI";"QTR4PGICF",#N/A,FALSE,"Qtr 4 PGI";"QTR4PGICFYTD",#N/A,FALSE,"Qtr 4 PGI";"98QTR4BS",#N/A,FALSE,"Qtr 4";"98QTR4PL",#N/A,FALSE,"Qtr 4";"98QTR4CF",#N/A,FALSE,"Qtr 4";"98QTR4PLYTD",#N/A,FALSE,"Qtr 4";"98QTR4CFYTD",#N/A,FALSE,"Qtr 4"}</definedName>
    <definedName name="wrn.1998._.IPO._.Update." hidden="1">{#N/A,#N/A,FALSE,"Summary";#N/A,#N/A,FALSE,"Pending";#N/A,#N/A,FALSE,"Aug'98";#N/A,#N/A,FALSE,"July'98";#N/A,#N/A,FALSE,"June'98";#N/A,#N/A,FALSE,"May'98";#N/A,#N/A,FALSE,"Apr'98";#N/A,#N/A,FALSE,"Mar'98";#N/A,#N/A,FALSE,"Feb'98";#N/A,#N/A,FALSE,"Jan'98"}</definedName>
    <definedName name="wrn.2._.pagers." hidden="1">{"Cover",#N/A,FALSE,"Cover";"Summary",#N/A,FALSE,"Summarpage"}</definedName>
    <definedName name="wrn.2._.pagers.2" hidden="1">{"Cover",#N/A,FALSE,"Cover";"Summary",#N/A,FALSE,"Summarpage"}</definedName>
    <definedName name="wrn.2._.pagers.3" hidden="1">{"Cover",#N/A,FALSE,"Cover";"Summary",#N/A,FALSE,"Summarpage"}</definedName>
    <definedName name="wrn.2._.pagers.4" hidden="1">{"Cover",#N/A,FALSE,"Cover";"Summary",#N/A,FALSE,"Summarpage"}</definedName>
    <definedName name="wrn.2._.pagers.5" hidden="1">{"Cover",#N/A,FALSE,"Cover";"Summary",#N/A,FALSE,"Summarpage"}</definedName>
    <definedName name="wrn.2._.pagers.6" hidden="1">{"Cover",#N/A,FALSE,"Cover";"Summary",#N/A,FALSE,"Summarpage"}</definedName>
    <definedName name="wrn.2._.pagers.8" hidden="1">{"Cover",#N/A,FALSE,"Cover";"Summary",#N/A,FALSE,"Summarpage"}</definedName>
    <definedName name="wrn.2._pagers.4" hidden="1">{"Cover",#N/A,FALSE,"Cover";"Summary",#N/A,FALSE,"Summarpage"}</definedName>
    <definedName name="wrn.2_5_99._.Scenarios." hidden="1">{#N/A,"Scenario 4; Book Value",FALSE,"Stream INPUTS";#N/A,"Scenario 4; Market Value",FALSE,"Stream INPUTS";#N/A,"Scenario 5; Book Value",FALSE,"Stream INPUTS";#N/A,"Scenario 5; Market Value",FALSE,"Stream INPUTS"}</definedName>
    <definedName name="wrn.2000._.Package._.GOM." hidden="1">{"2000PPE",#N/A,FALSE,"PPE 2000";"2000DD",#N/A,FALSE,"DrydocksOther"}</definedName>
    <definedName name="wrn.2003._.Detail._.in._.Dollars." hidden="1">{#N/A,#N/A,FALSE,"2003 Est";#N/A,#N/A,FALSE,"2003 Pr";#N/A,#N/A,FALSE,"2003 Plan"}</definedName>
    <definedName name="wrn.2003._.Detail._.per._.pax." hidden="1">{#N/A,#N/A,FALSE,"2003 Est per pax";#N/A,#N/A,FALSE,"2003 Pr per pax";#N/A,#N/A,FALSE,"2003 Plan per pax"}</definedName>
    <definedName name="wrn.2003._.RM._.Reports." hidden="1">{#N/A,#N/A,FALSE,"Prd Summ 03Prvs03E";#N/A,#N/A,FALSE,"Prd Summ 03Pvs03E"}</definedName>
    <definedName name="wrn.2004._.Budget." hidden="1">{#N/A,#N/A,FALSE,"Wynd";#N/A,#N/A,FALSE,"Wynd Sales-100";#N/A,#N/A,FALSE,"Wynd Marketing-200";#N/A,#N/A,FALSE,"Wynd IT-300";#N/A,#N/A,FALSE,"Wynd NOC-321";#N/A,#N/A,FALSE,"Wynd Admin-400";#N/A,#N/A,FALSE,"Wynd Operations-500"}</definedName>
    <definedName name="wrn.2004._.Detail._.in._.Dollars." hidden="1">{#N/A,#N/A,FALSE,"2004 Est";#N/A,#N/A,FALSE,"2004 Pr Est";#N/A,#N/A,FALSE,"2004 Plan"}</definedName>
    <definedName name="wrn.2004._.Detail._.per._.pax." hidden="1">{#N/A,#N/A,FALSE,"2004 Est per pax";#N/A,#N/A,FALSE,"2004 Pr per pax";#N/A,#N/A,FALSE,"2004 Plan per pax"}</definedName>
    <definedName name="wrn.2004._.RM._.Reports." hidden="1">{#N/A,#N/A,FALSE,"Prd Summ 04Pvs04E";#N/A,#N/A,FALSE,"Prd Summ 04Prvs04E";#N/A,#N/A,FALSE,"Prd Summ 03Evs04E"}</definedName>
    <definedName name="wrn.3.00._.Adv.._.Board." hidden="1">{#N/A,#N/A,TRUE,"Fd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name="wrn.3cases." hidden="1">{#N/A,"Base",FALSE,"Dividend";#N/A,"Conservative",FALSE,"Dividend";#N/A,"Downside",FALSE,"Dividend"}</definedName>
    <definedName name="wrn.5._.Year._.Plan." hidden="1">{"Consolidated assumptions 1",#N/A,FALSE,"CONSO";"Consolidated assumptions 2",#N/A,FALSE,"CONSO";"Consolidated assumptions 3",#N/A,FALSE,"CONSO";"Consolidated earnings",#N/A,FALSE,"CONSO";"Consolidated Cash Flow",#N/A,FALSE,"CONSO";"Consolidated Balance Sheet",#N/A,FALSE,"CONSO";"Consolidated Cap-Ex",#N/A,FALSE,"CONSO";"Paper Donnacona summary assumptions",#N/A,FALSE,"PAPER DONNACONA";"Paper Donnacona earnings",#N/A,FALSE,"PAPER DONNACONA";"Paper Donnacona Cash Flow",#N/A,FALSE,"PAPER DONNACONA";"Paper Donnacona Balance Sheet",#N/A,FALSE,"PAPER DONNACONA";"Paper Donnacona Cap-ex",#N/A,FALSE,"PAPER DONNACONA";"Paper Dolbeau summary assumptions",#N/A,FALSE,"PAPER DOLBEAU";"Paper Dolbeau earnings",#N/A,FALSE,"PAPER DOLBEAU";"Paper Dolbeau Cash Flow",#N/A,FALSE,"PAPER DOLBEAU";"Paper Dolbeau Balance Sheet",#N/A,FALSE,"PAPER DOLBEAU";"Paper Dolbeau Cap-ex",#N/A,FALSE,"PAPER DOLBEAU";"Lumber assumptions 1",#N/A,FALSE,"LUMBER";"Lumber assumptions 2",#N/A,FALSE,"LUMBER";"Lumber earnings",#N/A,FALSE,"LUMBER";"Lumber Cash Flow",#N/A,FALSE,"LUMBER";"Lumber Balance Sheet",#N/A,FALSE,"LUMBER";"Lumber Cap-ex",#N/A,FALSE,"LUMBER";"Coosa assumptions 1",#N/A,FALSE,"COOSA";"Coosa assumptions 2",#N/A,FALSE,"COOSA";"Coosa earnings",#N/A,FALSE,"COOSA";"Coosa Cash Flow",#N/A,FALSE,"COOSA";"Coosa Balance Sheet",#N/A,FALSE,"COOSA";"Coosa Cap-ex",#N/A,FALSE,"COOSA";"Head Office assumptions",#N/A,FALSE,"H.OFFICE";"Head Office earnings",#N/A,FALSE,"H.OFFICE";"Head Office Cash Flow",#N/A,FALSE,"H.OFFICE";"Head Office Balance Sheet",#N/A,FALSE,"H.OFFICE";"Head Office Cap-ex",#N/A,FALSE,"H.OFFICE";"Tax 1",#N/A,FALSE,"impôt";"Tax 2",#N/A,FALSE,"impôt"}</definedName>
    <definedName name="wrn.730." hidden="1">{#N/A,#N/A,FALSE,"REPORT"}</definedName>
    <definedName name="wrn.731" hidden="1">{#N/A,#N/A,FALSE,"REPORT"}</definedName>
    <definedName name="wrn.750." hidden="1">{#N/A,#N/A,FALSE,"REPORT"}</definedName>
    <definedName name="wrn.7501" hidden="1">{#N/A,#N/A,FALSE,"REPORT"}</definedName>
    <definedName name="wrn.760.16." hidden="1">{#N/A,#N/A,FALSE,"REPORT"}</definedName>
    <definedName name="wrn.7900" hidden="1">{#N/A,#N/A,FALSE,"REPORT"}</definedName>
    <definedName name="wrn.8964sch." hidden="1">{"Membership",#N/A,FALSE,"8964SCH";"Membership2",#N/A,FALSE,"8964SCH"}</definedName>
    <definedName name="wrn.9_30._.Adv._.Board." hidden="1">{#N/A,#N/A,TRUE,"Fd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name="wrn.9_30._.LP._.Meeting." hidden="1">{#N/A,#N/A,TRUE,"Fund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name="wrn.905" hidden="1">{#N/A,#N/A,FALSE,"REPORT"}</definedName>
    <definedName name="wrn.96._.Plan." hidden="1">{#N/A,#N/A,TRUE,"INPUT Sale &amp; PS GP Plan";#N/A,#N/A,TRUE,"INPUT TTB GP &amp; Elim";#N/A,#N/A,TRUE,"INPUT OCOS";#N/A,#N/A,TRUE,"INPUT Op Exp PLAN";#N/A,#N/A,TRUE,"PRINT P &amp; L FCST";#N/A,#N/A,TRUE,"INPUT Sales &amp; GP FCST";#N/A,#N/A,TRUE,"Print Sales &amp; GP Growth";#N/A,#N/A,TRUE,"capexp";#N/A,#N/A,TRUE,"MC-Regional P&amp;L and Cash Flow";#N/A,#N/A,TRUE,"MC - Standard Account";#N/A,#N/A,TRUE,"MC - List of Customer Names";#N/A,#N/A,TRUE,"MC - Product Line";#N/A,#N/A,TRUE,"Assumptions";#N/A,#N/A,TRUE,"Up-Down";#N/A,#N/A,TRUE,"OPEX Growth";#N/A,#N/A,TRUE,"HPO-Selling";#N/A,#N/A,TRUE,"HPO-Distribution";#N/A,#N/A,TRUE,"HPO-Transportation";#N/A,#N/A,TRUE,"HPO-Trans Charged";#N/A,#N/A,TRUE,"HPO-Bad Debt";#N/A,#N/A,TRUE,"HP-Other G&amp;A"}</definedName>
    <definedName name="wrn.96_.Plan1." hidden="1">{#N/A,#N/A,TRUE,"INPUT Sale &amp; PS GP Plan";#N/A,#N/A,TRUE,"INPUT TTB GP &amp; Elim";#N/A,#N/A,TRUE,"INPUT OCOS";#N/A,#N/A,TRUE,"INPUT Op Exp PLAN";#N/A,#N/A,TRUE,"PRINT P &amp; L FCST";#N/A,#N/A,TRUE,"INPUT Sales &amp; GP FCST";#N/A,#N/A,TRUE,"Print Sales &amp; GP Growth";#N/A,#N/A,TRUE,"capexp";#N/A,#N/A,TRUE,"MC-Regional P&amp;L and Cash Flow";#N/A,#N/A,TRUE,"MC - Standard Account";#N/A,#N/A,TRUE,"MC - List of Customer Names";#N/A,#N/A,TRUE,"MC - Product Line";#N/A,#N/A,TRUE,"Assumptions";#N/A,#N/A,TRUE,"Up-Down";#N/A,#N/A,TRUE,"OPEX Growth";#N/A,#N/A,TRUE,"HPO-Selling";#N/A,#N/A,TRUE,"HPO-Distribution";#N/A,#N/A,TRUE,"HPO-Transportation";#N/A,#N/A,TRUE,"HPO-Trans Charged";#N/A,#N/A,TRUE,"HPO-Bad Debt";#N/A,#N/A,TRUE,"HP-Other G&amp;A"}</definedName>
    <definedName name="wrn.99999" hidden="1">{#N/A,#N/A,FALSE,"REPORT"}</definedName>
    <definedName name="wrn.A_VALUATION." hidden="1">{#N/A,#N/A,FALSE,"A_D";#N/A,#N/A,FALSE,"WACC";#N/A,#N/A,FALSE,"DCF";#N/A,#N/A,FALSE,"A";#N/A,#N/A,FALSE,"LBO";#N/A,#N/A,FALSE,"C";#N/A,#N/A,FALSE,"impd";#N/A,#N/A,FALSE,"comps"}</definedName>
    <definedName name="wrn.aaa" hidden="1">{#N/A,#N/A,FALSE,"Pharm";#N/A,#N/A,FALSE,"WWCM"}</definedName>
    <definedName name="wrn.aaaaaaa" hidden="1">{#N/A,#N/A,FALSE,"Pharm";#N/A,#N/A,FALSE,"WWCM"}</definedName>
    <definedName name="wrn.abc" hidden="1">{#N/A,#N/A,FALSE,"Index";#N/A,#N/A,FALSE,"IncStmt";#N/A,#N/A,FALSE,"Ratios";#N/A,#N/A,FALSE,"CashFlows";#N/A,#N/A,FALSE,"Ins1";#N/A,#N/A,FALSE,"Ins2";#N/A,#N/A,FALSE,"SelfFund";#N/A,#N/A,FALSE,"SGA";#N/A,#N/A,FALSE,"Recon";#N/A,#N/A,FALSE,"Earnings";#N/A,#N/A,FALSE,"Earnings (2)";#N/A,#N/A,FALSE,"Stock";#N/A,#N/A,FALSE,"Stock (2)";#N/A,#N/A,FALSE,"PeerRatios";#N/A,#N/A,FALSE,"PeerRanks"}</definedName>
    <definedName name="wrn.Accounts." hidden="1">{"turnover",#N/A,FALSE;"profits",#N/A,FALSE;"cash",#N/A,FALSE}</definedName>
    <definedName name="wrn.Accr_Dil." hidden="1">{#N/A,#N/A,FALSE,"Debt Accr";#N/A,#N/A,FALSE,"Stock Accr";#N/A,#N/A,FALSE,"Debt Stock Accr"}</definedName>
    <definedName name="wrn.Accretion." hidden="1">{"Accretion",#N/A,FALSE,"Assum"}</definedName>
    <definedName name="wrn.ACCT._.PACKAGE._.REPORT." hidden="1">{#N/A,#N/A,TRUE,"Highlights";#N/A,#N/A,TRUE,"BS_Oriental International Bank";#N/A,#N/A,TRUE,"P&amp;L_Oriental International Bank";#N/A,#N/A,TRUE,"Revenues Report_OIB";#N/A,#N/A,TRUE,"Expenses OIB";#N/A,#N/A,TRUE,"Margin_ORIENTAL INTL BANK";#N/A,#N/A,TRUE,"PL Quarterly_OIB";#N/A,#N/A,TRUE,"COVER"}</definedName>
    <definedName name="wrn.ACI." hidden="1">{"ACI IS",#N/A,FALSE,"ACI - IS";"ACI BS",#N/A,FALSE,"ACI - BS";"ACI Detail IS",#N/A,FALSE,"ACI - Detail IS";"ACI Detail IS Supplemental Info",#N/A,FALSE,"ACI - Detail IS";"ACI Monthly 1999",#N/A,FALSE,"ACI Monthly";"ACI Monthly 1998",#N/A,FALSE,"ACI Monthly";"ACI Monthly 1997",#N/A,FALSE,"ACI Monthly"}</definedName>
    <definedName name="wrn.AcqState." hidden="1">{#N/A,#N/A,TRUE,"Acq-Ass";#N/A,#N/A,TRUE,"Acq-IS";#N/A,#N/A,TRUE,"Acq-BS";#N/A,#N/A,TRUE,"Acq-CF"}</definedName>
    <definedName name="wrn.AcqState1" hidden="1">{#N/A,#N/A,TRUE,"Acq-Ass";#N/A,#N/A,TRUE,"Acq-IS";#N/A,#N/A,TRUE,"Acq-BS";#N/A,#N/A,TRUE,"Acq-CF"}</definedName>
    <definedName name="wrn.Acquiror." hidden="1">{#N/A,#N/A,TRUE,"Acq-Ass";#N/A,#N/A,TRUE,"Acq-IS";#N/A,#N/A,TRUE,"Acq-BS";#N/A,#N/A,TRUE,"Acq-CF";#N/A,#N/A,TRUE,"Acq-Proj";#N/A,#N/A,TRUE,"Acq-CapEx";#N/A,#N/A,TRUE,"Acq-Debt";#N/A,#N/A,TRUE,"Acq-Int";#N/A,#N/A,TRUE,"Acq-BD";#N/A,#N/A,TRUE,"Acq-TD";#N/A,#N/A,TRUE,"Acq-Taxes";#N/A,#N/A,TRUE,"Acq-Credit";#N/A,#N/A,TRUE,"Acq-Val";#N/A,#N/A,TRUE,"Acq-Mult Val"}</definedName>
    <definedName name="wrn.Acquisition_matrix." hidden="1">{"Acq_matrix",#N/A,FALSE,"Acquisition Matrix"}</definedName>
    <definedName name="wrn.AcqVal." hidden="1">{#N/A,#N/A,FALSE,"Acq-Val";#N/A,#N/A,FALSE,"Acq-Mult Val"}</definedName>
    <definedName name="wrn.adj95." hidden="1">{"adj95mult",#N/A,FALSE,"COMPCO";"adj95est",#N/A,FALSE,"COMPCO"}</definedName>
    <definedName name="wrn.adj95a" hidden="1">{"adj95mult",#N/A,FALSE,"COMPCO";"adj95est",#N/A,FALSE,"COMPCO"}</definedName>
    <definedName name="wrn.AGING._.ALL." hidden="1">{#N/A,#N/A,FALSE,"CURR-AG";#N/A,#N/A,FALSE,"BDS-AG";#N/A,#N/A,FALSE,"GOLD-AG";#N/A,#N/A,FALSE,"EXOT-AG";#N/A,#N/A,FALSE,"EQTY-AG";#N/A,#N/A,FALSE,"EMG RP-AG";#N/A,#N/A,FALSE,"$REPO-AG";#N/A,#N/A,FALSE,"PFD EQTY-AG";#N/A,#N/A,FALSE,"EMG BDS-AG";#N/A,#N/A,FALSE,"LATIN$-AG";#N/A,#N/A,FALSE,"DERIV-AG";#N/A,#N/A,FALSE,"EAST$-AG";#N/A,#N/A,FALSE,"NON-MEX-AG";#N/A,#N/A,FALSE,"ELECT-AG"}</definedName>
    <definedName name="wrn.Aging._.and._.Trend._.Analysis." hidden="1">{#N/A,#N/A,FALSE,"Aging Summary";#N/A,#N/A,FALSE,"Ratio Analysis";#N/A,#N/A,FALSE,"Test 120 Day Accts";#N/A,#N/A,FALSE,"Tickmarks"}</definedName>
    <definedName name="wrn.Aging._.and._.Trend._.Analysis._1" hidden="1">{#N/A,#N/A,FALSE,"Aging Summary";#N/A,#N/A,FALSE,"Ratio Analysis";#N/A,#N/A,FALSE,"Test 120 Day Accts";#N/A,#N/A,FALSE,"Tickmarks"}</definedName>
    <definedName name="wrn.Aging._.and._.Trend._.Analysis._1_1" hidden="1">{#N/A,#N/A,FALSE,"Aging Summary";#N/A,#N/A,FALSE,"Ratio Analysis";#N/A,#N/A,FALSE,"Test 120 Day Accts";#N/A,#N/A,FALSE,"Tickmarks"}</definedName>
    <definedName name="wrn.Aging._.and._.Trend._.Analysis._1_2" hidden="1">{#N/A,#N/A,FALSE,"Aging Summary";#N/A,#N/A,FALSE,"Ratio Analysis";#N/A,#N/A,FALSE,"Test 120 Day Accts";#N/A,#N/A,FALSE,"Tickmarks"}</definedName>
    <definedName name="wrn.Aging._.and._.Trend._.Analysis._1_3" hidden="1">{#N/A,#N/A,FALSE,"Aging Summary";#N/A,#N/A,FALSE,"Ratio Analysis";#N/A,#N/A,FALSE,"Test 120 Day Accts";#N/A,#N/A,FALSE,"Tickmarks"}</definedName>
    <definedName name="wrn.Aging._.and._.Trend._.Analysis._1_4" hidden="1">{#N/A,#N/A,FALSE,"Aging Summary";#N/A,#N/A,FALSE,"Ratio Analysis";#N/A,#N/A,FALSE,"Test 120 Day Accts";#N/A,#N/A,FALSE,"Tickmarks"}</definedName>
    <definedName name="wrn.Aging._.and._.Trend._.Analysis._2" hidden="1">{#N/A,#N/A,FALSE,"Aging Summary";#N/A,#N/A,FALSE,"Ratio Analysis";#N/A,#N/A,FALSE,"Test 120 Day Accts";#N/A,#N/A,FALSE,"Tickmarks"}</definedName>
    <definedName name="wrn.Aging._.and._.Trend._.Analysis._3" hidden="1">{#N/A,#N/A,FALSE,"Aging Summary";#N/A,#N/A,FALSE,"Ratio Analysis";#N/A,#N/A,FALSE,"Test 120 Day Accts";#N/A,#N/A,FALSE,"Tickmarks"}</definedName>
    <definedName name="wrn.Aging._.and._.Trend._.Analysis._4" hidden="1">{#N/A,#N/A,FALSE,"Aging Summary";#N/A,#N/A,FALSE,"Ratio Analysis";#N/A,#N/A,FALSE,"Test 120 Day Accts";#N/A,#N/A,FALSE,"Tickmarks"}</definedName>
    <definedName name="wrn.Aging._.and._.Trend._.Analysis._5" hidden="1">{#N/A,#N/A,FALSE,"Aging Summary";#N/A,#N/A,FALSE,"Ratio Analysis";#N/A,#N/A,FALSE,"Test 120 Day Accts";#N/A,#N/A,FALSE,"Tickmarks"}</definedName>
    <definedName name="wrn.ALAN." hidden="1">{"CREDIT STATISTICS",#N/A,FALSE,"STATS";"CF_AND_IS",#N/A,FALSE,"PLAN";"DEBT SCHEDULE",#N/A,FALSE,"PLAN";"SUBSCRIBERS",#N/A,FALSE,"PLAN";"DETAIL_REV",#N/A,FALSE,"PLAN";"DETAIL_EXPENSE",#N/A,FALSE,"PLAN";"SALES_AND EXP_DRIVERS",#N/A,FALSE,"PLAN";"FIXED ASSETS",#N/A,FALSE,"PLAN";"DEPRECIATION SCHEDULE",#N/A,FALSE,"PLAN"}</definedName>
    <definedName name="wrn.Alex." hidden="1">{#N/A,#N/A,FALSE,"TradeSumm";#N/A,#N/A,FALSE,"StatsSumm"}</definedName>
    <definedName name="wrn.all." hidden="1">{#N/A,#N/A,TRUE,"Title_Page";#N/A,#N/A,TRUE,"Tax_Income_Sum";#N/A,#N/A,TRUE,"GL_Mgmt_Rec";#N/A,#N/A,TRUE,"Long_Term_Accrual";#N/A,#N/A,TRUE,"Reserves";#N/A,#N/A,TRUE,"Contributions";#N/A,#N/A,TRUE,"R&amp;D Credit";#N/A,#N/A,TRUE,"Unicap";#N/A,#N/A,TRUE,"Other_Income";#N/A,#N/A,TRUE,"Other_Deduction";#N/A,#N/A,TRUE,"Increase_RE";#N/A,#N/A,TRUE,"Decrease_RE";#N/A,#N/A,TRUE,"Cafe_Subsidy";#N/A,#N/A,TRUE,"Std. Reclass Adjstmnts";#N/A,#N/A,TRUE,"LT Accruals BT-1A";#N/A,#N/A,TRUE,"Sch. M-1 Adjstmnts"}</definedName>
    <definedName name="wrn.All._.Financials." hidden="1">{#N/A,#N/A,TRUE,"Assumptions";#N/A,#N/A,TRUE,"Op Projection";#N/A,#N/A,TRUE,"Capital";#N/A,#N/A,TRUE,"Income";#N/A,#N/A,TRUE,"Balance";#N/A,#N/A,TRUE,"Sources&amp;Uses"}</definedName>
    <definedName name="wrn.All._.First._.Pass._.Schedules."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graphs." hidden="1">{#N/A,#N/A,FALSE,"total telco cost ";#N/A,#N/A,FALSE,"# min per month EEA";#N/A,#N/A,FALSE,"# min per month LSA";#N/A,#N/A,FALSE,"# min per month 800";#N/A,#N/A,FALSE,"# min per month WATS";#N/A,#N/A,FALSE,"# min per month X-BORDER";#N/A,#N/A,FALSE,"# min per month Intl";#N/A,#N/A,FALSE,"mthly revenue";#N/A,#N/A,FALSE,"total telco cost as % of rev";#N/A,#N/A,FALSE,"res per bus revenue min split";#N/A,#N/A,FALSE,"# DALS";#N/A,#N/A,FALSE,"% of total min by axs type";#N/A,#N/A,FALSE,"telco cost per rev minute";#N/A,#N/A,FALSE,"rev per rev minute";#N/A,#N/A,FALSE,"contribution per minute"}</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inpu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AGES." hidden="1">{#N/A,#N/A,FALSE,"puboff";#N/A,#N/A,FALSE,"financials";#N/A,#N/A,FALSE,"valuation";#N/A,#N/A,FALSE,"split"}</definedName>
    <definedName name="wrn.all._.print." hidden="1">{#N/A,#N/A,FALSE,"Summary";#N/A,#N/A,FALSE,"Edit";#N/A,#N/A,FALSE,"MedProf";#N/A,#N/A,FALSE,"Proj Mgt";#N/A,#N/A,FALSE,"Creat Svc";#N/A,#N/A,FALSE,"Meet Svc";#N/A,#N/A,FALSE,"Non-OCC";#N/A,#N/A,FALSE,"Client Svc";#N/A,#N/A,FALSE,"Bus Dev";#N/A,#N/A,FALSE,"Indirect"}</definedName>
    <definedName name="wrn.All._.Scenarios." hidden="1">{#N/A,"Mine Allocated; Keep AC",FALSE,"Transaction Summary";#N/A,"Mine Allocated; Sell AC",FALSE,"Transaction Summary";#N/A,"Commodity; Keep AC",FALSE,"Transaction Summary";#N/A,"Commodity; Sell AC",FALSE,"Transaction Summary";#N/A,"Step-Up; Keep AC",FALSE,"Transaction Summary";#N/A,"Step-Up; Sell AC",FALSE,"Transaction Summary"}</definedName>
    <definedName name="wrn.All._.Schedules." hidden="1">{#N/A,#N/A,FALSE,"Assumptions";#N/A,#N/A,FALSE,"Inc Stmt";#N/A,#N/A,FALSE,"Stats";#N/A,#N/A,FALSE,"Existing Business";#N/A,#N/A,FALSE,"New Business";#N/A,#N/A,FALSE,"Labor";#N/A,#N/A,FALSE,"Vehicles";#N/A,#N/A,FALSE,"Facilities";#N/A,#N/A,FALSE,"Indirect Costs";#N/A,#N/A,FALSE,"Capital";#N/A,#N/A,FALSE,"CABR Form";#N/A,#N/A,FALSE,"Corp Costs"}</definedName>
    <definedName name="wrn.ALL._.SHEETS." hidden="1">{#N/A,#N/A,FALSE,"Adj Proj";#N/A,#N/A,FALSE,"Sheet1";#N/A,#N/A,FALSE,"LBO";#N/A,#N/A,FALSE,"LBOMER";#N/A,#N/A,FALSE,"WACC";#N/A,#N/A,FALSE,"DCF";#N/A,#N/A,FALSE,"DCFMER";#N/A,#N/A,FALSE,"Pooling";#N/A,#N/A,FALSE,"income";#N/A,#N/A,FALSE,"Offer"}</definedName>
    <definedName name="wrn.ALL._.STATEMENTS." hidden="1">{"BALANCE SHEET",#N/A,FALSE,"Balance Sheet";"INCOME STATEMENT",#N/A,FALSE,"Income Statement";"STMT OF CASH FLOWS",#N/A,FALSE,"Cash Flows Indirect";"PARTNERS CAPITAL STMT",#N/A,FALSE,"Partners Capital"}</definedName>
    <definedName name="wrn.All._.Views." hidden="1">{#N/A,#N/A,FALSE,"Summary";#N/A,#N/A,FALSE,"Signatures";#N/A,#N/A,FALSE,"FL Current";#N/A,#N/A,FALSE,"Assumptions";#N/A,#N/A,FALSE,"Assumptions";#N/A,#N/A,FALSE,"Assumptions";#N/A,#N/A,FALSE,"FL Last";#N/A,#N/A,FALSE,"FL Orig";#N/A,#N/A,FALSE,"C to G Explain"}</definedName>
    <definedName name="wrn.All._.Worksheets."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ll._1"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1_1"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1_2"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1_3"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1_4"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2"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3"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4"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5"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2" hidden="1">{#N/A,#N/A,FALSE,"DCF";#N/A,#N/A,FALSE,"WACC";#N/A,#N/A,FALSE,"Sales_EBIT";#N/A,#N/A,FALSE,"Capex_Depreciation";#N/A,#N/A,FALSE,"WC";#N/A,#N/A,FALSE,"Interest";#N/A,#N/A,FALSE,"Assumptions"}</definedName>
    <definedName name="wrn.all.views.1" hidden="1">{#N/A,#N/A,FALSE,"Summary";#N/A,#N/A,FALSE,"Signatures";#N/A,#N/A,FALSE,"FL Current";#N/A,#N/A,FALSE,"Assumptions";#N/A,#N/A,FALSE,"Assumptions";#N/A,#N/A,FALSE,"Assumptions";#N/A,#N/A,FALSE,"FL Last";#N/A,#N/A,FALSE,"FL Orig";#N/A,#N/A,FALSE,"C to G Explain"}</definedName>
    <definedName name="wrn.all.views.1a" hidden="1">{#N/A,#N/A,FALSE,"Summary";#N/A,#N/A,FALSE,"Signatures";#N/A,#N/A,FALSE,"FL Current";#N/A,#N/A,FALSE,"Assumptions";#N/A,#N/A,FALSE,"Assumptions";#N/A,#N/A,FALSE,"Assumptions";#N/A,#N/A,FALSE,"FL Last";#N/A,#N/A,FALSE,"FL Orig";#N/A,#N/A,FALSE,"C to G Explain"}</definedName>
    <definedName name="wrn.all_1" hidden="1">{#N/A,#N/A,FALSE,"total telco cost ";#N/A,#N/A,FALSE,"# min per month EEA";#N/A,#N/A,FALSE,"# min per month LSA";#N/A,#N/A,FALSE,"# min per month 800";#N/A,#N/A,FALSE,"# min per month WATS";#N/A,#N/A,FALSE,"# min per month X-BORDER";#N/A,#N/A,FALSE,"# min per month Intl";#N/A,#N/A,FALSE,"mthly revenue";#N/A,#N/A,FALSE,"total telco cost as % of rev";#N/A,#N/A,FALSE,"res per bus revenue min split";#N/A,#N/A,FALSE,"# DALS";#N/A,#N/A,FALSE,"% of total min by axs type";#N/A,#N/A,FALSE,"telco cost per rev minute";#N/A,#N/A,FALSE,"rev per rev minute";#N/A,#N/A,FALSE,"contribution per minute"}</definedName>
    <definedName name="wrn.All_Models." hidden="1">{#N/A,#N/A,FALSE,"Summary";#N/A,#N/A,FALSE,"Projections";#N/A,#N/A,FALSE,"Mkt Mults";#N/A,#N/A,FALSE,"DCF";#N/A,#N/A,FALSE,"Accr Dil";#N/A,#N/A,FALSE,"PIC LBO";#N/A,#N/A,FALSE,"MULT10_4";#N/A,#N/A,FALSE,"CBI LBO"}</definedName>
    <definedName name="wrn.All_Sheets." hidden="1">{#N/A,#N/A,FALSE,"Projections";#N/A,#N/A,FALSE,"Contribution_Stock";#N/A,#N/A,FALSE,"PF_Combo_Stock";#N/A,#N/A,FALSE,"Projections";#N/A,#N/A,FALSE,"Contribution_Cash";#N/A,#N/A,FALSE,"PF_Combo_Cash";#N/A,#N/A,FALSE,"IPO_Cash"}</definedName>
    <definedName name="wrn.ALL2." hidden="1">{#N/A,#N/A,FALSE,"DCF";#N/A,#N/A,FALSE,"WACC";#N/A,#N/A,FALSE,"Sales_EBIT";#N/A,#N/A,FALSE,"Capex_Depreciation";#N/A,#N/A,FALSE,"WC";#N/A,#N/A,FALSE,"Interest";#N/A,#N/A,FALSE,"Assumptions"}</definedName>
    <definedName name="wrn.all3" hidden="1">{#N/A,#N/A,FALSE,"assumptions";#N/A,#N/A,FALSE,"v_projcy";#N/A,#N/A,FALSE,"tar_proj";#N/A,#N/A,FALSE,"contrib_annual";#N/A,#N/A,FALSE,"Proforma";#N/A,#N/A,FALSE,"purc_97";#N/A,#N/A,FALSE,"syn_purc_97";#N/A,#N/A,FALSE,"pool_97";#N/A,#N/A,FALSE,"syn_pool_97";#N/A,#N/A,FALSE,"pool1_FY2"}</definedName>
    <definedName name="wrn.ALL4" hidden="1">{#N/A,#N/A,FALSE,"ASSUMPTIONS";#N/A,#N/A,FALSE,"Valuation Summary";"page1",#N/A,FALSE,"PRESENTATION";"page2",#N/A,FALSE,"PRESENTATION";#N/A,#N/A,FALSE,"ORIGINAL_ROLLBACK"}</definedName>
    <definedName name="wrn.ALL5" hidden="1">{#N/A,#N/A,FALSE,"ASSUMPTIONS";#N/A,#N/A,FALSE,"Valuation Summary";"page1",#N/A,FALSE,"PRESENTATION";"page2",#N/A,FALSE,"PRESENTATION";#N/A,#N/A,FALSE,"ORIGINAL_ROLLBACK"}</definedName>
    <definedName name="wrn.ALL6" hidden="1">{#N/A,#N/A,FALSE,"ASSUMPTIONS";#N/A,#N/A,FALSE,"Valuation Summary";"page1",#N/A,FALSE,"PRESENTATION";"page2",#N/A,FALSE,"PRESENTATION";#N/A,#N/A,FALSE,"ORIGINAL_ROLLBACK"}</definedName>
    <definedName name="wrn.ALL8" hidden="1">{#N/A,#N/A,FALSE,"ASSUMPTIONS";#N/A,#N/A,FALSE,"Valuation Summary";"page1",#N/A,FALSE,"PRESENTATION";"page2",#N/A,FALSE,"PRESENTATION";#N/A,#N/A,FALSE,"ORIGINAL_ROLLBACK"}</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Divisions." hidden="1">{#N/A,#N/A,TRUE,"buffalo";#N/A,#N/A,TRUE,"chatt";#N/A,#N/A,TRUE,"Griffith";#N/A,#N/A,TRUE,"Hammond";#N/A,#N/A,TRUE,"Harvey";#N/A,#N/A,TRUE,"texas";#N/A,#N/A,TRUE,"Combined"}</definedName>
    <definedName name="wrn.AllModels." hidden="1">{#N/A,#N/A,FALSE,"AD_Purchase";#N/A,#N/A,FALSE,"Credit";#N/A,#N/A,FALSE,"PF Acquisition";#N/A,#N/A,FALSE,"PF Offering"}</definedName>
    <definedName name="wrn.allpages." hidden="1">{#N/A,#N/A,TRUE,"Historicals";#N/A,#N/A,TRUE,"Charts";#N/A,#N/A,TRUE,"Forecasts"}</definedName>
    <definedName name="wrn.Annexes._.de._.coûts." hidden="1">{#N/A,#N/A,FALSE,"Coût des ventes";#N/A,#N/A,FALSE,"Hypothèse - coûts directs";#N/A,#N/A,FALSE,"FGF";#N/A,#N/A,FALSE,"Frais de vente";#N/A,#N/A,FALSE,"Frais d'administration";#N/A,#N/A,FALSE,"Frais financiers";#N/A,#N/A,FALSE,"Achats - Débours";#N/A,#N/A,FALSE,"Salaires";#N/A,#N/A,FALSE,"Taxes"}</definedName>
    <definedName name="wrn.Annual._.Report." hidden="1">{#N/A,#N/A,FALSE,"TABLE_1 YTD- VALUES LAST YR(2)"}</definedName>
    <definedName name="wrn.Anteilig._.alle._.Perioden." hidden="1">{"Alle Perioden",#N/A,FALSE,"Erf";"Alle Perioden",#N/A,FALSE,"Ang";"Alle Perioden",#N/A,FALSE,"BV";"Alle Perioden",#N/A,FALSE,"BE";"Alle Perioden",#N/A,FALSE,"Re";"Alle Perioden",#N/A,FALSE,"Vol"}</definedName>
    <definedName name="wrn.Anteilig._.erste._.elf._.Perioden." hidden="1">{"Erste elf Perioden",#N/A,FALSE,"Erf";"Erste elf Perioden",#N/A,FALSE,"Ang";"Erste elf Perioden",#N/A,FALSE,"BV";"Erste elf Perioden",#N/A,FALSE,"BE";"Erste elf Perioden",#N/A,FALSE,"Vol";"Erste elf Perioden",#N/A,FALSE,"Re"}</definedName>
    <definedName name="wrn.April._.Consolidated." hidden="1">{#N/A,#N/A,FALSE,"Consol BS";#N/A,#N/A,FALSE,"Consol IS";#N/A,#N/A,FALSE,"Cash Flow";#N/A,#N/A,FALSE,"Consol Equity";#N/A,#N/A,FALSE,"BS vs. Plan";#N/A,#N/A,FALSE,"Mo vs. Plan";#N/A,#N/A,FALSE,"Mo. vs. Prior Yr";#N/A,#N/A,FALSE,"YTD vs. Plan";#N/A,#N/A,FALSE,"YTD vs. Prior Yr";#N/A,#N/A,FALSE,"Cash Flow Mo vs. Plan";#N/A,#N/A,FALSE,"Cash Flow Mo vs. Prior Yr";#N/A,#N/A,FALSE,"Cash Flow YTD vs. Plan";#N/A,#N/A,FALSE,"Cash Flow YTD vs. Prior Yr";#N/A,#N/A,FALSE,"Seg BS";#N/A,#N/A,FALSE,"Seg IS";#N/A,#N/A,FALSE,"Seg Cash";#N/A,#N/A,FALSE,"Str IS";#N/A,#N/A,FALSE,"Art IS";#N/A,#N/A,FALSE,"History BS";#N/A,#N/A,FALSE,"History IS";#N/A,#N/A,FALSE,"History Cash";#N/A,#N/A,FALSE,"Imp IS";#N/A,#N/A,FALSE,"Gross to Net";#N/A,#N/A,FALSE,"Ratio Summary";#N/A,#N/A,FALSE,"Union";#N/A,#N/A,FALSE,"Midwest";#N/A,#N/A,FALSE,"Ratios - 5";#N/A,#N/A,FALSE,"Ratios - 6";#N/A,#N/A,FALSE,"Ratios - 7";#N/A,#N/A,FALSE,"Ratios - 8";#N/A,#N/A,FALSE,"Ratios - 9"}</definedName>
    <definedName name="wrn.April._.Financials." hidden="1">{"Statement of Income",#N/A,TRUE,"Mar99";"Balance Sheet",#N/A,TRUE,"Mar99"}</definedName>
    <definedName name="wrn.April._.other._.sched.." hidden="1">{#N/A,#N/A,FALSE,"Union";#N/A,#N/A,FALSE,"Reserves";#N/A,#N/A,FALSE,"Head Ct";#N/A,#N/A,FALSE,"Str AR";#N/A,#N/A,FALSE,"Str AP";#N/A,#N/A,FALSE,"Art AR";#N/A,#N/A,FALSE,"Art AP";#N/A,#N/A,FALSE,"Imp AR";#N/A,#N/A,FALSE,"Imp AP"}</definedName>
    <definedName name="wrn.AQUIROR._.DCF." hidden="1">{"AQUIRORDCF",#N/A,FALSE,"Merger consequences";"Acquirorassns",#N/A,FALSE,"Merger consequences"}</definedName>
    <definedName name="wrn.AR._.PACKAGE." hidden="1">{#N/A,#N/A,FALSE,"BR-Gross";#N/A,#N/A,FALSE,"AGING COMP";#N/A,#N/A,FALSE,"BR-Net";#N/A,#N/A,FALSE,"RECSUB";#N/A,#N/A,FALSE,"BILL94";#N/A,#N/A,FALSE,"L.D.S. Rep 1"}</definedName>
    <definedName name="wrn.asg." hidden="1">{#N/A,#N/A,FALSE,"Exh 1";#N/A,#N/A,FALSE,"Exh 2";#N/A,#N/A,FALSE,"Exh 2a";#N/A,#N/A,FALSE,"Exh 3";#N/A,#N/A,FALSE,"Exhib 4";#N/A,#N/A,FALSE,"eh 5";#N/A,#N/A,FALSE,"Exh 6"}</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Total._.Variance." hidden="1">{#N/A,#N/A,FALSE,"Asia"}</definedName>
    <definedName name="wrn.assets." hidden="1">{"assets",#N/A,FALSE,"BSCON894"}</definedName>
    <definedName name="wrn.Assumption._.Book." hidden="1">{#N/A,#N/A,FALSE,"Model Assumptions"}</definedName>
    <definedName name="wrn.Assumptions." hidden="1">{"Assumptions",#N/A,FALSE,"Assum"}</definedName>
    <definedName name="wrn.AUST._.FINANCIALS." hidden="1">{#N/A,#N/A,TRUE,"BUD VS ACT AUST 96";#N/A,#N/A,TRUE,"96 COMP P&amp;L-AUST";#N/A,#N/A,TRUE,"COMP BS-AUSTRALIA";#N/A,#N/A,TRUE,"B/S - AUSTR."}</definedName>
    <definedName name="wrn.Auto._.Comp." hidden="1">{#N/A,#N/A,FALSE,"Sheet1"}</definedName>
    <definedName name="wrn.Backup." hidden="1">{#N/A,#N/A,FALSE,"Balance";#N/A,#N/A,FALSE,"TDFX";#N/A,#N/A,FALSE,"TDDDF";#N/A,#N/A,FALSE,"ADI";#N/A,#N/A,FALSE,"CUBE";#N/A,#N/A,FALSE,"DIMD";#N/A,#N/A,FALSE,"ZRAN";#N/A,#N/A,FALSE,"GNMC"}</definedName>
    <definedName name="wrn.BALANCE._.SHEET." hidden="1">{"BALANCE SHEET",#N/A,FALSE,"Balance Sheet"}</definedName>
    <definedName name="wrn.balance._.sheet2." hidden="1">{"bs",#N/A,FALSE,"SCF"}</definedName>
    <definedName name="wrn.balance._.sheet3." hidden="1">{"bs",#N/A,FALSE,"SCF"}</definedName>
    <definedName name="wrn.balance._.sheet4." hidden="1">{"bs",#N/A,FALSE,"SCF"}</definedName>
    <definedName name="wrn.Balance._.Sheets." hidden="1">{#N/A,#N/A,FALSE,"Bal sht";"Qtrly Bal Sht",#N/A,FALSE,"Bal sht - QTR"}</definedName>
    <definedName name="wrn.Balance._.sheets._.FY01._.to._.FY03." hidden="1">{"BS FY01",#N/A,FALSE,"P &amp; L";"BS FY02",#N/A,FALSE,"P &amp; L";"BS FY03",#N/A,FALSE,"P &amp; L"}</definedName>
    <definedName name="wrn.balance._sheet2." hidden="1">{"bs",#N/A,FALSE,"SCF"}</definedName>
    <definedName name="wrn.bank._.model." hidden="1">{"banks",#N/A,FALSE,"BASIC"}</definedName>
    <definedName name="wrn.Bank._.of._.America." hidden="1">{#N/A,#N/A,TRUE,"Cover_Page";#N/A,#N/A,TRUE,"Balance Sheet FY12";#N/A,#N/A,TRUE,"Debt Covenants_BofA_Cons";#N/A,#N/A,TRUE,"Consolidated-Cash Flow";#N/A,#N/A,TRUE,"CY_Per Inc FY12";#N/A,#N/A,TRUE,"Income FY12";#N/A,#N/A,TRUE,"Consolidated"}</definedName>
    <definedName name="wrn.Bank._.Report."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ers."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wrn.Barranca." hidden="1">{#N/A,#N/A,FALSE,"Barranca"}</definedName>
    <definedName name="wrn.Basic." hidden="1">{#N/A,#N/A,FALSE,"Cover";#N/A,#N/A,FALSE,"Assumptions";#N/A,#N/A,FALSE,"Acquirer";#N/A,#N/A,FALSE,"Target";#N/A,#N/A,FALSE,"Income Statement";#N/A,#N/A,FALSE,"Summary Tables"}</definedName>
    <definedName name="wrn.Basic._.Report." hidden="1">{#N/A,#N/A,FALSE,"New Depr Sch-150% DB";#N/A,#N/A,FALSE,"Cash Flows RLP";#N/A,#N/A,FALSE,"IRR";#N/A,#N/A,FALSE,"Proforma IS";#N/A,#N/A,FALSE,"Assumptions"}</definedName>
    <definedName name="wrn.basics." hidden="1">{#N/A,#N/A,FALSE,"TSUM";#N/A,#N/A,FALSE,"shares";#N/A,#N/A,FALSE,"earnout";#N/A,#N/A,FALSE,"Heaty";#N/A,#N/A,FALSE,"self-tend";#N/A,#N/A,FALSE,"self-sum"}</definedName>
    <definedName name="wrn.BD._.FINAL." hidden="1">{#N/A,#N/A,FALSE,"Cover";#N/A,#N/A,FALSE,"Index";#N/A,#N/A,FALSE,"HL";#N/A,#N/A,FALSE,"BS ACCTS";#N/A,#N/A,FALSE,"Table";#N/A,#N/A,FALSE,"Summ";#N/A,#N/A,FALSE,"ComAn-finished";#N/A,#N/A,FALSE,"SmbAn-FINISHED";#N/A,#N/A,FALSE,"RebAn";#N/A,#N/A,FALSE,"ComR";#N/A,#N/A,FALSE,"SmbR-FINISHED";#N/A,#N/A,FALSE,"RebR-FINISHED";#N/A,#N/A,FALSE,"RC";#N/A,#N/A,FALSE,"NetR";#N/A,#N/A,FALSE,"Non-Trade";#N/A,#N/A,FALSE,"Notes Receivables";#N/A,#N/A,FALSE,"ComP-diteck-FINISHED";#N/A,#N/A,FALSE,"SmbP-finished";#N/A,#N/A,FALSE,"RebP-DITECK-FINISHED";#N/A,#N/A,FALSE,"NetP";#N/A,#N/A,FALSE,"AllcompanyG";#N/A,#N/A,FALSE,"AR 91+&gt;100K"}</definedName>
    <definedName name="wrn.BD._.Preliminary." hidden="1">{#N/A,#N/A,FALSE,"Cover";#N/A,#N/A,FALSE,"Index";#N/A,#N/A,FALSE,"HL";#N/A,#N/A,FALSE,"Table";#N/A,#N/A,FALSE,"Summ";#N/A,#N/A,FALSE,"ComR";#N/A,#N/A,FALSE,"SmbR-FINISHED";#N/A,#N/A,FALSE,"RebR-FINISHED";#N/A,#N/A,FALSE,"Specific Provision";#N/A,#N/A,FALSE,"NetR";#N/A,#N/A,FALSE,"Non-Trade";#N/A,#N/A,FALSE,"ComP-diteck-FINISHED";#N/A,#N/A,FALSE,"SmbP-finished";#N/A,#N/A,FALSE,"RebP-DITECK-FINISHED";#N/A,#N/A,FALSE,"NetP";#N/A,#N/A,FALSE,"AllcompanyG";#N/A,#N/A,FALSE,"AR 91+&gt;100K"}</definedName>
    <definedName name="wrn.BGEN." hidden="1">{"Revenue",#N/A,FALSE,"Revenue";"QEarn1",#N/A,FALSE,"Qearn";"QEarn2",#N/A,FALSE,"Qearn";"QMargin",#N/A,FALSE,"Margin";"Cashflow",#N/A,FALSE,"Cashflow";"Product Pipeline",#N/A,FALSE,"Product Pipeline";"Comment Model",#N/A,FALSE,"Comment P&amp;L"}</definedName>
    <definedName name="wrn.BID." hidden="1">{"PAGE1",#N/A,FALSE,"BID (3)";"PAGE2",#N/A,FALSE,"BID (3)"}</definedName>
    <definedName name="wrn.BidCo." hidden="1">{#N/A,#N/A,FALSE,"BidCo Assumptions";#N/A,#N/A,FALSE,"Credit Stats";#N/A,#N/A,FALSE,"Bidco Summary";#N/A,#N/A,FALSE,"BIDCO Consolidated"}</definedName>
    <definedName name="wrn.BKD." hidden="1">{#N/A,#N/A,FALSE,"Cover_Page";#N/A,#N/A,FALSE,"Balance Sheet FY12";#N/A,#N/A,FALSE,"Debt Covenants_US Bank_Cons";#N/A,#N/A,FALSE,"Debt Covenants_BofA_Cons";#N/A,#N/A,FALSE,"Consolidated-Cash Flow";#N/A,#N/A,FALSE,"CY_Per Inc FY12";#N/A,#N/A,FALSE,"Income FY12";#N/A,#N/A,FALSE,"Consolidated"}</definedName>
    <definedName name="wrn.bm"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oard._.Package." hidden="1">{#N/A,#N/A,FALSE,"Summary";#N/A,#N/A,FALSE,"GOAM";#N/A,#N/A,FALSE,"WYND";#N/A,#N/A,FALSE,"Presentation BS";#N/A,#N/A,FALSE,"P&amp;L CUMM";#N/A,#N/A,FALSE,"Cash Flow CUMM";#N/A,#N/A,FALSE,"Equity";#N/A,#N/A,FALSE,"P&amp;L QTD";#N/A,#N/A,FALSE,"Cash Flow Qtr";#N/A,#N/A,FALSE,"P&amp;L MONTH";#N/A,#N/A,FALSE,"Cash Flow Month"}</definedName>
    <definedName name="wrn.Breakout." hidden="1">{#N/A,#N/A,FALSE,"BreakoutFY95";#N/A,#N/A,FALSE,"BreakoutFY96";#N/A,#N/A,FALSE,"BreakoutFY97";#N/A,#N/A,FALSE,"BreakoutFY98"}</definedName>
    <definedName name="wrn.Budget." hidden="1">{"Instructions",#N/A,FALSE,"INPUT";"Sharing",#N/A,FALSE,"Sharing";"InputArea",#N/A,FALSE,"INPUT";"Budget",#N/A,FALSE,"INPUT"}</definedName>
    <definedName name="wrn.Budget._.Analysis." hidden="1">{#N/A,#N/A,FALSE,"Mill 5"}</definedName>
    <definedName name="wrn.BUDGET2004." hidden="1">{#N/A,#N/A,FALSE,"BUD04 HEA";#N/A,#N/A,FALSE,"BUD04 Earnings";#N/A,#N/A,FALSE,"BUD04 Expenses"}</definedName>
    <definedName name="wrn.budgetb." hidden="1">{#N/A,#N/A,FALSE,"Total REGN by Month";#N/A,#N/A,FALSE,"Total REGN Board Formats ";#N/A,#N/A,FALSE,"Summary By Dept";#N/A,#N/A,FALSE,"Research";#N/A,#N/A,FALSE,"Protein Science";#N/A,#N/A,FALSE,"Development";#N/A,#N/A,FALSE,"Regulatory";#N/A,#N/A,FALSE,"Clinical";#N/A,#N/A,FALSE,"Pilot Plant";#N/A,#N/A,FALSE,"Site Services";#N/A,#N/A,FALSE,"Administration";#N/A,#N/A,FALSE,"Legal";#N/A,#N/A,FALSE,"Rensselaer";#N/A,#N/A,FALSE,"Corporate";#N/A,#N/A,FALSE,"Plug-Tarrytown";#N/A,#N/A,FALSE,"Plug-Rensselaer"}</definedName>
    <definedName name="wrn.Buildups." hidden="1">{"ACQ",#N/A,FALSE,"ACQUISITIONS";"ACQF",#N/A,FALSE,"ACQUISITIONS";"PF",#N/A,FALSE,"PROYECTOVILA";"PV",#N/A,FALSE,"PROYECTOVILA";"Fee Dev",#N/A,FALSE,"DEVELOPMENT GROWTH";"gd",#N/A,FALSE,"DEVELOPMENT GROWTH"}</definedName>
    <definedName name="wrn.bullshit1." hidden="1">{#N/A,#N/A,FALSE,"Sheet1";#N/A,#N/A,FALSE,"Summary";#N/A,#N/A,FALSE,"proj1";#N/A,#N/A,FALSE,"proj2"}</definedName>
    <definedName name="wrn.Business._.Report." hidden="1">{#N/A,#N/A,FALSE,"Header";#N/A,#N/A,FALSE,"Distribution";#N/A,#N/A,FALSE,"Contents";#N/A,#N/A,FALSE,"Key Deliverables 1";#N/A,#N/A,FALSE,"Key Deliverables 2";#N/A,#N/A,FALSE,"OH&amp;S";#N/A,#N/A,FALSE,"Profit";#N/A,#N/A,FALSE,"EBIT";#N/A,#N/A,FALSE,"Revenue (1)";#N/A,#N/A,FALSE,"Revenue (2)";#N/A,#N/A,FALSE,"Revenue (3)";#N/A,#N/A,FALSE,"Manufacturing Variance";#N/A,#N/A,FALSE,"Repairs &amp; Maintenance";#N/A,#N/A,FALSE,"Fixed Costs";#N/A,#N/A,FALSE,"Operating Costs";#N/A,#N/A,FALSE,"Cash 1";#N/A,#N/A,FALSE,"Cash 2";#N/A,#N/A,FALSE,"Working Capital";#N/A,#N/A,FALSE,"Capex";#N/A,#N/A,FALSE,"Balance Sheet";#N/A,#N/A,FALSE,"Legal";#N/A,#N/A,FALSE,"Five Year History";#N/A,#N/A,FALSE,"No. Twos"}</definedName>
    <definedName name="wrn.Business._.Report._1" hidden="1">{#N/A,#N/A,FALSE,"Header";#N/A,#N/A,FALSE,"Distribution";#N/A,#N/A,FALSE,"Contents";#N/A,#N/A,FALSE,"Key Deliverables 1";#N/A,#N/A,FALSE,"Key Deliverables 2";#N/A,#N/A,FALSE,"OH&amp;S";#N/A,#N/A,FALSE,"Profit";#N/A,#N/A,FALSE,"EBIT";#N/A,#N/A,FALSE,"Revenue (1)";#N/A,#N/A,FALSE,"Revenue (2)";#N/A,#N/A,FALSE,"Revenue (3)";#N/A,#N/A,FALSE,"Manufacturing Variance";#N/A,#N/A,FALSE,"Repairs &amp; Maintenance";#N/A,#N/A,FALSE,"Fixed Costs";#N/A,#N/A,FALSE,"Operating Costs";#N/A,#N/A,FALSE,"Cash 1";#N/A,#N/A,FALSE,"Cash 2";#N/A,#N/A,FALSE,"Working Capital";#N/A,#N/A,FALSE,"Capex";#N/A,#N/A,FALSE,"Balance Sheet";#N/A,#N/A,FALSE,"Legal";#N/A,#N/A,FALSE,"Five Year History";#N/A,#N/A,FALSE,"No. Twos"}</definedName>
    <definedName name="wrn.CAG." hidden="1">{#N/A,#N/A,FALSE,"CAG"}</definedName>
    <definedName name="wrn.calc_all." hidden="1">{"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ANWEST._.GLOBAL." hidden="1">{"BS",#N/A,FALSE;"RE",#N/A,FALSE;"IS",#N/A,FALSE;"CASH",#N/A,FALSE}</definedName>
    <definedName name="wrn.Cap._.Budget9_27." hidden="1">{"Overview",#N/A,TRUE,"Overview";"New Gen",#N/A,TRUE,"New Gen";"cap-ex",#N/A,TRUE,"Consol cap-ex";"cap-ex",#N/A,TRUE,"APC cap-ex";"cap-ex",#N/A,TRUE,"GPC cap-ex";"cap-ex",#N/A,TRUE,"GUL cap-ex";"cap-ex",#N/A,TRUE,"MPC cap-ex";"cap-ex",#N/A,TRUE,"SAV cap-ex";"cap-ex",#N/A,TRUE,"SEGCO cap-ex";"cap-ex",#N/A,TRUE,"SWE cap-ex"}</definedName>
    <definedName name="wrn.Capital._.Plan._.Report." hidden="1">{"Capital Plan CA Schedule",#N/A,TRUE,"Capital Plan";"Capital Plan Summary",#N/A,TRUE,"Capital Plan"}</definedName>
    <definedName name="wrn.Cardiovasculars." hidden="1">{#N/A,#N/A,FALSE,"Card";#N/A,#N/A,FALSE,"Prav";#N/A,#N/A,FALSE,"Irbe";#N/A,#N/A,FALSE,"Plavix";#N/A,#N/A,FALSE,"Capt";#N/A,#N/A,FALSE,"Fosi"}</definedName>
    <definedName name="wrn.Carterco." hidden="1">{#N/A,#N/A,FALSE,"Carterco"}</definedName>
    <definedName name="wrn.Cash._.Flow." hidden="1">{"Cash Flow",#N/A,FALSE,"Cash Flow"}</definedName>
    <definedName name="wrn.cash._.flow._.FY00._.and._.FY01." hidden="1">{"cash flow - FY00",#N/A,FALSE,"P &amp; L";"cash flow - FY01",#N/A,FALSE,"P &amp; L"}</definedName>
    <definedName name="wrn.cash._.flow._.FY02._.and._.FY03." hidden="1">{"cash flow - FY02",#N/A,FALSE,"P &amp; L";"cash flow - FY03",#N/A,FALSE,"P &amp; L"}</definedName>
    <definedName name="wrn.cash2." hidden="1">{#N/A,#N/A,FALSE,"KGFORE94"}</definedName>
    <definedName name="wrn.CEA._.Budget._.months._.sterling."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years._.sterling."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USD." hidden="1">{"CEA Group Budget years USD",#N/A,TRUE,"Profit and Loss";"CEA Group Budget years USD",#N/A,TRUE,"Firm capex";"CEA Group Budget years USD",#N/A,TRUE,"Gross profit analysis";"CEA Group Budget years USD",#N/A,TRUE,"Cashflow";"CEA Group Budget years USD",#N/A,TRUE,"Balance Sheet"}</definedName>
    <definedName name="wrn.CEA._.Group._.budget._.months._.USD." hidden="1">{"CEA Group budget months USD",#N/A,TRUE,"Profit and Loss";"CEA Group budget months USD",#N/A,TRUE,"Firm capex";"CEA Group budget months USD",#N/A,TRUE,"Gross profit analysis";"CEA Group budget months USD",#N/A,TRUE,"Cashflow";"CEA Group budget months USD",#N/A,TRUE,"Balance Sheet"}</definedName>
    <definedName name="wrn.CEGH._.Budget._.months._.sterling."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USD."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years._.sterling."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USD." hidden="1">{"CEGH Budget years USD",#N/A,TRUE,"Profit and Loss";"CEGH Budget years USD",#N/A,TRUE,"Firm capex";"CEGH Budget years USD",#N/A,TRUE,"Gross profit analysis";"CEGH Budget years USD",#N/A,TRUE,"Cashflow";"CEGH Budget years USD",#N/A,TRUE,"Balance Sheet"}</definedName>
    <definedName name="wrn.CEGH._.sub._.group._.months._.sterling."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USD." hidden="1">{"CEGH sub group months USD",#N/A,TRUE,"Profit and Loss";"CEGH sub group months USD",#N/A,TRUE,"Firm capex";"CEGH sub group months USD",#N/A,TRUE,"Cashflow";"CEGH sub group months USD",#N/A,TRUE,"Balance Sheet"}</definedName>
    <definedName name="wrn.CEGH._.sub._.group._.years._.sterling." hidden="1">{"CEGH sub-group budget years sterling",#N/A,TRUE,"Profit and Loss";"CEGH sub-group budget years sterling",#N/A,TRUE,"Firm capex";"CEGH sub-group budget years sterling",#N/A,TRUE,"Cashflow";"CEGH sub-group budget years sterling",#N/A,TRUE,"Balance Sheet"}</definedName>
    <definedName name="wrn.CEGH._.sub._.group._.years._.USD." hidden="1">{"CEGH sub-group years USD",#N/A,TRUE,"Profit and Loss";"CEGH sub-group years USD",#N/A,TRUE,"Firm capex";"CEGH sub-group years USD",#N/A,TRUE,"Cashflow";"CEGH sub-group years USD",#N/A,TRUE,"Balance Sheet"}</definedName>
    <definedName name="wrn.CEI._.Budget._.months._.sterling."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USD." hidden="1">{"CEI budget months USD",#N/A,TRUE,"Profit and Loss";"CEI budget months USD",#N/A,TRUE,"Firm capex";"CEI budget months USD",#N/A,TRUE,"Gross profit analysis";"CEI budget months USD",#N/A,TRUE,"Cashflow";"CEI budget months USD",#N/A,TRUE,"Balance Sheet"}</definedName>
    <definedName name="wrn.CEI._.Budget._.years._.sterling." hidden="1">{"CEI Budget years sterling",#N/A,TRUE,"Profit and Loss";"CEI Budget years sterling",#N/A,TRUE,"Firm capex";"CEI Budget years sterling",#N/A,TRUE,"Gross profit analysis";"CEI Budget years sterling",#N/A,TRUE,"Cashflow";"CEI Budget years sterling",#N/A,TRUE,"Balance Sheet"}</definedName>
    <definedName name="wrn.CEI._.Budget._.years._.USD." hidden="1">{"CEI Budget years USD",#N/A,TRUE,"Profit and Loss";"CEI Budget years USD",#N/A,TRUE,"Firm capex";"CEI Budget years USD",#N/A,TRUE,"Gross profit analysis";"CEI Budget years USD",#N/A,TRUE,"Cashflow";"CEI Budget years USD",#N/A,TRUE,"Balance Sheet"}</definedName>
    <definedName name="wrn.Central._.Nervous._.System." hidden="1">{#N/A,#N/A,FALSE,"CNS";#N/A,#N/A,FALSE,"Serz";#N/A,#N/A,FALSE,"Ace"}</definedName>
    <definedName name="wrn.chart._.1998" hidden="1">{#N/A,#N/A,FALSE,"Summary";#N/A,#N/A,FALSE,"Pending";#N/A,#N/A,FALSE,"Jan'98";#N/A,#N/A,FALSE,"Feb'98";#N/A,#N/A,FALSE,"Mar'98";#N/A,#N/A,FALSE,"Apr'98";#N/A,#N/A,FALSE,"May'98";#N/A,#N/A,FALSE,"June'98";#N/A,#N/A,FALSE,"July'98"}</definedName>
    <definedName name="wrn.Chart._.Printouts." hidden="1">{"2 Area",#N/A,TRUE,"Area";"2 Bar",#N/A,TRUE,"Area";"SSB Bar",#N/A,TRUE,"Area";"2 Stacked Bar",#N/A,TRUE,"Area";"2 Stacked Bar 100",#N/A,TRUE,"Area";"2 Stacked Col",#N/A,TRUE,"Area";"2 Stacked Col 100",#N/A,TRUE,"Area";"2 HiLow",#N/A,TRUE,"Area";"2 Line",#N/A,TRUE,"Area";"2 Scatter",#N/A,TRUE,"Area";"2 ColumnLine",#N/A,TRUE,"Area";"2 ScatterLine",#N/A,TRUE,"Area";"2 Football",#N/A,TRUE,"Area";"2 DAPS",#N/A,TRUE,"Area";"2 Rover",#N/A,TRUE,"Area";"2 Student1",#N/A,TRUE,"Area";"2 Student2",#N/A,TRUE,"Area";"2 Student3",#N/A,TRUE,"Area";"2 Column",#N/A,TRUE,"Area";"2 League",#N/A,TRUE,"Area";"2 Pies",#N/A,TRUE,"Area"}</definedName>
    <definedName name="wrn.client." hidden="1">{"multiple",#N/A,FALSE,"client";"margins",#N/A,FALSE,"client";"data",#N/A,FALSE,"client"}</definedName>
    <definedName name="wrn.Client3." hidden="1">{"data",#N/A,FALSE,"client (3)";"margins",#N/A,FALSE,"client (3)";"multiple",#N/A,FALSE,"client (3)"}</definedName>
    <definedName name="wrn.client4." hidden="1">{"multiple",#N/A,FALSE,"client (4)";"margins",#N/A,FALSE,"client (4)";"data",#N/A,FALSE,"client (4)"}</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1." hidden="1">{"WACC_clientcopy",#N/A,FALSE,"Inputs";"Beta_clientcopy",#N/A,FALSE,"Inputs";"SCF_clientcopy",#N/A,FALSE,"Inputs";"ProBS_clientcopy",#N/A,FALSE,"Inputs";"BS_clientcopy",#N/A,FALSE,"Inputs";"ProIS_clientcopy",#N/A,FALSE,"Inputs";"IS_clientcopy",#N/A,FALSE,"Inputs";"Ratios_clientcopy",#N/A,FALSE,"Ratios"}</definedName>
    <definedName name="wrn.clientcopy2." hidden="1">{"WACC_clientcopy",#N/A,FALSE,"Inputs";"Beta_clientcopy",#N/A,FALSE,"Inputs";"SCF_clientcopy",#N/A,FALSE,"Inputs";"ProBS_clientcopy",#N/A,FALSE,"Inputs";"BS_clientcopy",#N/A,FALSE,"Inputs";"ProIS_clientcopy",#N/A,FALSE,"Inputs";"IS_clientcopy",#N/A,FALSE,"Inputs";"Ratios_clientcopy",#N/A,FALSE,"Ratios"}</definedName>
    <definedName name="wrn.clientcopy3." hidden="1">{"WACC_clientcopy",#N/A,FALSE,"Inputs";"Beta_clientcopy",#N/A,FALSE,"Inputs";"SCF_clientcopy",#N/A,FALSE,"Inputs";"ProBS_clientcopy",#N/A,FALSE,"Inputs";"BS_clientcopy",#N/A,FALSE,"Inputs";"ProIS_clientcopy",#N/A,FALSE,"Inputs";"IS_clientcopy",#N/A,FALSE,"Inputs";"Ratios_clientcopy",#N/A,FALSE,"Ratios"}</definedName>
    <definedName name="WRN.CM" hidden="1">{#N/A,#N/A,FALSE,"FAB VENDORS";"BUD SUM",#N/A,FALSE,"BUD SUM WO TEX"}</definedName>
    <definedName name="WRN.CM1" hidden="1">{#N/A,#N/A,FALSE,"FAB VENDORS";"BUD SUM",#N/A,FALSE,"BUD SUM WO TEX"}</definedName>
    <definedName name="wrn.COGS." hidden="1">{"Balt COGS",#N/A,FALSE,"COGS";"Balt Sum",#N/A,FALSE,"SUM";"Balt Defd Var",#N/A,FALSE,"DEFD VAR";"Balt Input Usage",#N/A,FALSE,"INPUT";"Balt Input PPV",#N/A,FALSE,"INPUT"}</definedName>
    <definedName name="wrn.Combination."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ED." hidden="1">{#N/A,#N/A,FALSE,"INPUTS";#N/A,#N/A,FALSE,"PROFORMA BSHEET";#N/A,#N/A,FALSE,"COMBINED";#N/A,#N/A,FALSE,"HIGH YIELD";#N/A,#N/A,FALSE,"COMB_GRAPHS"}</definedName>
    <definedName name="wrn.ComboResults." hidden="1">{#N/A,#N/A,FALSE,"Combo-Ass ";#N/A,#N/A,FALSE,"Combo-AD sum";#N/A,#N/A,FALSE,"Combo-Syn Sens";#N/A,#N/A,FALSE,"Combo-Contr";#N/A,#N/A,FALSE,"Combo-Credit Sum";#N/A,#N/A,FALSE,"Combo-Credit";#N/A,#N/A,FALSE,"Combo-AD";#N/A,#N/A,FALSE,"Combo-AD CF"}</definedName>
    <definedName name="wrn.ComboState." hidden="1">{#N/A,#N/A,FALSE,"Combo-Ass ";#N/A,#N/A,FALSE,"Combo-IS";#N/A,#N/A,FALSE,"Combo-BS";#N/A,#N/A,FALSE,"Combo-CF"}</definedName>
    <definedName name="wrn.COMMISSIONER." hidden="1">{#N/A,#N/A,FALSE,"BS_OCIF OIB";#N/A,#N/A,FALSE,"PL_OCIF OIB";#N/A,#N/A,FALSE,"SCH_A-B_OCIF OIB";#N/A,#N/A,FALSE,"AVG_CALC OIB"}</definedName>
    <definedName name="wrn.Comp._.and._.Prices." hidden="1">{#N/A,#N/A,FALSE,"comp";#N/A,#N/A,FALSE,"Alpha";#N/A,#N/A,FALSE,"Hi";#N/A,#N/A,FALSE,"Lo";#N/A,#N/A,FALSE,"Mkt. Cap";#N/A,#N/A,FALSE,"Categ."}</definedName>
    <definedName name="wrn.Comparisons." hidden="1">{#N/A,#N/A,FALSE," IS Comparison";#N/A,#N/A,FALSE,"BS Comparison";#N/A,#N/A,FALSE," SCF Comparison"}</definedName>
    <definedName name="wrn.COMPCO." hidden="1">{"Page1",#N/A,FALSE,"CompCo";"Page2",#N/A,FALSE,"CompCo"}</definedName>
    <definedName name="wrn.Compco._.Only." hidden="1">{"vi1",#N/A,FALSE,"6_30_96";"vi2",#N/A,FALSE,"6_30_96";"vi3",#N/A,FALSE,"6_30_96"}</definedName>
    <definedName name="wrn.compco2" hidden="1">{"mult96",#N/A,FALSE,"PETCOMP";"est96",#N/A,FALSE,"PETCOMP";"mult95",#N/A,FALSE,"PETCOMP";"est95",#N/A,FALSE,"PETCOMP";"multltm",#N/A,FALSE,"PETCOMP";"resultltm",#N/A,FALSE,"PETCOMP"}</definedName>
    <definedName name="wrn.compco3" hidden="1">{"mult96",#N/A,FALSE,"PETCOMP";"est96",#N/A,FALSE,"PETCOMP";"mult95",#N/A,FALSE,"PETCOMP";"est95",#N/A,FALSE,"PETCOMP";"multltm",#N/A,FALSE,"PETCOMP";"resultltm",#N/A,FALSE,"PETCOMP"}</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Budget."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Report." hidden="1">{#N/A,#N/A,FALSE,"Assumptions";#N/A,#N/A,FALSE,"Proforma IS";#N/A,#N/A,FALSE,"Cash Flows RLP";#N/A,#N/A,FALSE,"IRR";#N/A,#N/A,FALSE,"New Depr Sch-150% DB";#N/A,#N/A,FALSE,"Comments"}</definedName>
    <definedName name="wrn.Complete.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6"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7"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9"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6"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7"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8"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9"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s." hidden="1">{#N/A,#N/A,FALSE,"Comps"}</definedName>
    <definedName name="wrn.comps._.and._.DCF_LBO." hidden="1">{#N/A,#N/A,FALSE,"MKT.COMPS";#N/A,#N/A,FALSE,"DCF - LBO"}</definedName>
    <definedName name="wrn.comps._1" hidden="1">{#N/A,#N/A,FALSE,"Comp"}</definedName>
    <definedName name="wrn.comps._1_1" hidden="1">{#N/A,#N/A,FALSE,"Comp"}</definedName>
    <definedName name="wrn.comps._1_2" hidden="1">{#N/A,#N/A,FALSE,"Comp"}</definedName>
    <definedName name="wrn.comps._1_3" hidden="1">{#N/A,#N/A,FALSE,"Comp"}</definedName>
    <definedName name="wrn.comps._1_4" hidden="1">{#N/A,#N/A,FALSE,"Comp"}</definedName>
    <definedName name="wrn.comps._2" hidden="1">{#N/A,#N/A,FALSE,"Comp"}</definedName>
    <definedName name="wrn.comps._3" hidden="1">{#N/A,#N/A,FALSE,"Comp"}</definedName>
    <definedName name="wrn.comps._4" hidden="1">{#N/A,#N/A,FALSE,"Comp"}</definedName>
    <definedName name="wrn.comps._5" hidden="1">{#N/A,#N/A,FALSE,"Comp"}</definedName>
    <definedName name="wrn.comps.whatisthis" hidden="1">{#N/A,#N/A,FALSE,"Comp"}</definedName>
    <definedName name="wrn.comps.whatisthis_1" hidden="1">{#N/A,#N/A,FALSE,"Comp"}</definedName>
    <definedName name="wrn.comps.whatisthis_1_1" hidden="1">{#N/A,#N/A,FALSE,"Comp"}</definedName>
    <definedName name="wrn.comps.whatisthis_1_2" hidden="1">{#N/A,#N/A,FALSE,"Comp"}</definedName>
    <definedName name="wrn.comps.whatisthis_1_3" hidden="1">{#N/A,#N/A,FALSE,"Comp"}</definedName>
    <definedName name="wrn.comps.whatisthis_1_4" hidden="1">{#N/A,#N/A,FALSE,"Comp"}</definedName>
    <definedName name="wrn.comps.whatisthis_2" hidden="1">{#N/A,#N/A,FALSE,"Comp"}</definedName>
    <definedName name="wrn.comps.whatisthis_3" hidden="1">{#N/A,#N/A,FALSE,"Comp"}</definedName>
    <definedName name="wrn.comps.whatisthis_4" hidden="1">{#N/A,#N/A,FALSE,"Comp"}</definedName>
    <definedName name="wrn.comps.whatisthis_5" hidden="1">{#N/A,#N/A,FALSE,"Comp"}</definedName>
    <definedName name="wrn.Consol." hidden="1">{#N/A,#N/A,FALSE,"COVER";#N/A,#N/A,FALSE,"Key Fin'l Performance";#N/A,#N/A,FALSE,"Q2 Target P &amp; L";#N/A,#N/A,FALSE,"Comp. Margin $";#N/A,#N/A,FALSE,"Standard Margin";#N/A,#N/A,FALSE,"Bus Sector";#N/A,#N/A,FALSE,"EBG &amp; GAAP Recon";#N/A,#N/A,FALSE,"EBG P&amp;L Act vs Plan";#N/A,#N/A,FALSE,"EBG P&amp;L Fcst";#N/A,#N/A,FALSE,"EBG P&amp;L Trend";#N/A,#N/A,FALSE,"Key Metrics";#N/A,#N/A,FALSE,"Cum Net Income Chart";#N/A,#N/A,FALSE,"Rev &amp; Mrgn Trend";#N/A,#N/A,FALSE,"Trended Op Ex";#N/A,#N/A,FALSE,"Consol BS";#N/A,#N/A,FALSE,"Consol BS vs Plan";#N/A,#N/A,FALSE,"Consol CF vs Plan";#N/A,#N/A,FALSE,"Asset &amp; Eq Measures";#N/A,#N/A,FALSE,"CCC _PHIL";#N/A,#N/A,FALSE,"Rev &amp; Booking Trend";#N/A,#N/A,FALSE,"Comp Rev Trend VM";#N/A,#N/A,FALSE,"Comp Bookings Trend VM";#N/A,#N/A,FALSE,"Top Customers";#N/A,#N/A,FALSE,"Backlog - Consolidated";#N/A,#N/A,FALSE,"Design Win Summary - Consol";#N/A,#N/A,FALSE,"Headcount Summary";#N/A,#N/A,FALSE,"Std Rpt Pkg Table Contents";#N/A,#N/A,FALSE,"Competitive data";#N/A,#N/A,FALSE,"Glossary"}</definedName>
    <definedName name="wrn.CONSOLIDACIÓN." hidden="1">{#N/A,#N/A,FALSE,"CNS_ADJ";"Balance Consolidado",#N/A,FALSE,"BCEC_CNS";#N/A,#N/A,FALSE,"USGAAP_ADJ"}</definedName>
    <definedName name="wrn.Consolidado." hidden="1">{#N/A,#N/A,FALSE,"COVER";#N/A,#N/A,FALSE,"Index";#N/A,#N/A,FALSE,"Non-Earning";#N/A,#N/A,FALSE,"Non-Earning_Recovery"}</definedName>
    <definedName name="wrn.Consolidated." hidden="1">{#N/A,#N/A,FALSE,"Cover";#N/A,#N/A,FALSE,"Key Indicator";#N/A,#N/A,FALSE,"Key Metrics";#N/A,#N/A,FALSE,"Sectors";#N/A,#N/A,FALSE,"Geo &amp; ASIC";#N/A,#N/A,FALSE,"P&amp;L Comp";#N/A,#N/A,FALSE,"Rev by Grp &amp; VM";#N/A,#N/A,FALSE,"Group Rev Trend";#N/A,#N/A,FALSE,"Margin";#N/A,#N/A,FALSE,"Balance Sheet";#N/A,#N/A,FALSE,"Cash Flow";#N/A,#N/A,FALSE,"GAAP P&amp;L";#N/A,#N/A,FALSE,"P&amp;L Trend";#N/A,#N/A,FALSE,"P&amp;L-ASIC";#N/A,#N/A,FALSE,"P&amp;L-ASSP";#N/A,#N/A,FALSE,"Mfg Recon";#N/A,#N/A,FALSE,"EPS";#N/A,#N/A,FALSE,"Rev Mrgn";#N/A,#N/A,FALSE,"Op Exp";#N/A,#N/A,FALSE,"CCC";#N/A,#N/A,FALSE,"Asset &amp; Equity";#N/A,#N/A,FALSE,"Rev Bkg Bklg";#N/A,#N/A,FALSE,"Bkg Trend";#N/A,#N/A,FALSE,"Booking Linearity";#N/A,#N/A,FALSE,"Top 10";#N/A,#N/A,FALSE,"Design Win";#N/A,#N/A,FALSE,"Headcount"}</definedName>
    <definedName name="wrn.Consolidated._.Statements." hidden="1">{"view1",#N/A,FALSE,"EARN (US$)";"view1",#N/A,FALSE,"DASTBS (US$)";"view1",#N/A,FALSE,"DASTCF (US$)"}</definedName>
    <definedName name="wrn.Consolidating." hidden="1">{"Consolidated IS",#N/A,FALSE,"Consolidated IS";"Consolidated Detail IS",#N/A,FALSE,"Consolidated Detail IS";"Consolidated Detail Supplemental Info",#N/A,FALSE,"Consolidated Detail IS";"Consolidated CF",#N/A,FALSE,"Consolidated CF";"Consolidated BS",#N/A,FALSE,"Consolidated BS";"Consolidating 1999 Detail IS",#N/A,FALSE,"1999 Detail IS";"Consolidated 1999 Supplemental Info",#N/A,FALSE,"1999 Detail IS";"Consolidating 1998 Detail IS",#N/A,FALSE,"1998 Detail IS";"Consolidating 1998 Supplemental Info",#N/A,FALSE,"1998 Detail IS";"Consolidating 1997 Detail IS",#N/A,FALSE,"1997 Detail IS";"Consolidated 1997 Supplemental Info",#N/A,FALSE,"1997 Detail IS"}</definedName>
    <definedName name="wrn.CONSOLIDATION." hidden="1">{"PAGE1",#N/A,FALSE,"Consolidation";"PAGE2",#N/A,FALSE,"Consolidation";"PAGE3",#N/A,FALSE,"Consolidation";"PAGE4",#N/A,FALSE,"Consolidation";"PAGE5",#N/A,FALSE,"Consolidation";"PAGE6",#N/A,FALSE,"Consolidation";"PAGE7",#N/A,FALSE,"Consolidation"}</definedName>
    <definedName name="wrn.Consumer._.Medicines." hidden="1">{#N/A,#N/A,FALSE,"OTC";#N/A,#N/A,FALSE,"Ther";#N/A,#N/A,FALSE,"Temp";#N/A,#N/A,FALSE,"Exce";#N/A,#N/A,FALSE,"Buff";#N/A,#N/A,FALSE,"Picot";#N/A,#N/A,FALSE,"Luftal";#N/A,#N/A,FALSE,"Comt"}</definedName>
    <definedName name="wrn.Continous._.Page._.Numbers._.DCF."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RACT._.WIP._.1997." hidden="1">{#N/A,#N/A,FALSE,"A"}</definedName>
    <definedName name="wrn.contributory._.asset._.charges." hidden="1">{"contributory1",#N/A,FALSE,"Contributory Assets Detail";"contributory2",#N/A,FALSE,"Contributory Assets Detail"}</definedName>
    <definedName name="wrn.CORPO." hidden="1">{#N/A,#N/A,FALSE,"DIV.CORPO"}</definedName>
    <definedName name="wrn.Corporate." hidden="1">{"Corporate",#N/A,FALSE,"Corporate Profile"}</definedName>
    <definedName name="wrn.CORR." hidden="1">{"INCSTMT1",#N/A,FALSE,"COR";"INCSTMT2",#N/A,FALSE,"COR"}</definedName>
    <definedName name="wrn.cotop." hidden="1">{"ReportTop",#N/A,FALSE,"report top"}</definedName>
    <definedName name="wrn.cotop2." hidden="1">{"ReportTop",#N/A,FALSE,"report top"}</definedName>
    <definedName name="wrn.Cover." hidden="1">{"coverall",#N/A,FALSE,"Definitions";"cover1",#N/A,FALSE,"Definitions";"cover2",#N/A,FALSE,"Definitions";"cover3",#N/A,FALSE,"Definitions";"cover4",#N/A,FALSE,"Definitions";"cover5",#N/A,FALSE,"Definitions";"blank",#N/A,FALSE,"Definitions"}</definedName>
    <definedName name="wrn.Covers." hidden="1">{"view1",#N/A,FALSE,"MOTEARN";"view1",#N/A,FALSE,"Bal Sht";"view1",#N/A,FALSE,"Cash Flows"}</definedName>
    <definedName name="wrn.CPB." hidden="1">{#N/A,#N/A,FALSE,"CPB"}</definedName>
    <definedName name="wrn.Credit._.Summary." hidden="1">{#N/A,#N/A,FALSE,"Credit Summary"}</definedName>
    <definedName name="wrn.CW." hidden="1">{#N/A,#N/A,FALSE,"FAB VENDORS";"BUD SUM",#N/A,FALSE,"BUD SUM WO TEX"}</definedName>
    <definedName name="wrn.Daily." hidden="1">{#N/A,#N/A,FALSE,"Input";#N/A,#N/A,FALSE,"BBC";#N/A,#N/A,FALSE,"Sch A";#N/A,#N/A,FALSE,"Sch B";#N/A,#N/A,FALSE,"Ineligible"}</definedName>
    <definedName name="wrn.DAILY._.SALES." hidden="1">{"New York",#N/A,FALSE,"NY";"London Et Al",#N/A,FALSE,"NY";"Cash Balance",#N/A,FALSE,"NY"}</definedName>
    <definedName name="wrn.DATA." hidden="1">{#N/A,#N/A,FALSE,"WTI";#N/A,#N/A,FALSE,"Cdn Oil";#N/A,#N/A,FALSE,"Cdn Gas";#N/A,#N/A,FALSE,"CDN Gas Exports";#N/A,#N/A,FALSE,"CDN Gas Prod";#N/A,#N/A,FALSE,"CDN Gas Wells";#N/A,#N/A,FALSE,"US Gas";#N/A,#N/A,FALSE,"US Gas Prod";#N/A,#N/A,FALSE,"US Gas Wells";#N/A,#N/A,FALSE,"US Work Gas";#N/A,#N/A,FALSE,"US Rig Count";#N/A,#N/A,FALSE,"US Gas End-Use";#N/A,#N/A,FALSE,"Chem"}</definedName>
    <definedName name="wrn.DataVPN." hidden="1">{"Cashflow chart",#N/A,TRUE,"A";"Rev Assumptions",#N/A,TRUE,"B";"Rev Reconcilliation 1",#N/A,TRUE,"B";"Rev Reconcilliation 2",#N/A,TRUE,"B";"exp 1",#N/A,TRUE,"C";"exp 2",#N/A,TRUE,"C";"exp3",#N/A,TRUE,"C";"cap 1",#N/A,TRUE,"D";"exp4",#N/A,TRUE,"C";"cap 2",#N/A,TRUE,"D";"cap 3",#N/A,TRUE,"D";"inputs",#N/A,TRUE,"E"}</definedName>
    <definedName name="wrn.DataVPN1" hidden="1">{"Cashflow chart",#N/A,TRUE,"A";"Rev Assumptions",#N/A,TRUE,"B";"Rev Reconcilliation 1",#N/A,TRUE,"B";"Rev Reconcilliation 2",#N/A,TRUE,"B";"exp 1",#N/A,TRUE,"C";"exp 2",#N/A,TRUE,"C";"exp3",#N/A,TRUE,"C";"cap 1",#N/A,TRUE,"D";"exp4",#N/A,TRUE,"C";"cap 2",#N/A,TRUE,"D";"cap 3",#N/A,TRUE,"D";"inputs",#N/A,TRUE,"E"}</definedName>
    <definedName name="wrn.dcf." hidden="1">{"mgmt forecast",#N/A,FALSE,"Mgmt Forecast";"dcf table",#N/A,FALSE,"Mgmt Forecast";"sensitivity",#N/A,FALSE,"Mgmt Forecast";"table inputs",#N/A,FALSE,"Mgmt Forecast";"calculations",#N/A,FALSE,"Mgmt Forecast"}</definedName>
    <definedName name="wrn.DCF._.Only." hidden="1">{#N/A,#N/A,FALSE,"DCF Summary";#N/A,#N/A,FALSE,"Casema";#N/A,#N/A,FALSE,"Casema NoTel";#N/A,#N/A,FALSE,"UK";#N/A,#N/A,FALSE,"RCF";#N/A,#N/A,FALSE,"Intercable CZ";#N/A,#N/A,FALSE,"Interkabel P"}</definedName>
    <definedName name="wrn.DCF._.Valuation." hidden="1">{"value box",#N/A,TRUE,"DPL Inc. Fin Statements";"unlevered free cash flows",#N/A,TRUE,"DPL Inc. Fin Statements"}</definedName>
    <definedName name="wrn.dcf._1" hidden="1">{"mgmt forecast",#N/A,FALSE,"Mgmt Forecast";"dcf table",#N/A,FALSE,"Mgmt Forecast";"sensitivity",#N/A,FALSE,"Mgmt Forecast";"table inputs",#N/A,FALSE,"Mgmt Forecast";"calculations",#N/A,FALSE,"Mgmt Forecast"}</definedName>
    <definedName name="wrn.dcf._1_1" hidden="1">{"mgmt forecast",#N/A,FALSE,"Mgmt Forecast";"dcf table",#N/A,FALSE,"Mgmt Forecast";"sensitivity",#N/A,FALSE,"Mgmt Forecast";"table inputs",#N/A,FALSE,"Mgmt Forecast";"calculations",#N/A,FALSE,"Mgmt Forecast"}</definedName>
    <definedName name="wrn.dcf._1_2" hidden="1">{"mgmt forecast",#N/A,FALSE,"Mgmt Forecast";"dcf table",#N/A,FALSE,"Mgmt Forecast";"sensitivity",#N/A,FALSE,"Mgmt Forecast";"table inputs",#N/A,FALSE,"Mgmt Forecast";"calculations",#N/A,FALSE,"Mgmt Forecast"}</definedName>
    <definedName name="wrn.dcf._1_3" hidden="1">{"mgmt forecast",#N/A,FALSE,"Mgmt Forecast";"dcf table",#N/A,FALSE,"Mgmt Forecast";"sensitivity",#N/A,FALSE,"Mgmt Forecast";"table inputs",#N/A,FALSE,"Mgmt Forecast";"calculations",#N/A,FALSE,"Mgmt Forecast"}</definedName>
    <definedName name="wrn.dcf._1_4" hidden="1">{"mgmt forecast",#N/A,FALSE,"Mgmt Forecast";"dcf table",#N/A,FALSE,"Mgmt Forecast";"sensitivity",#N/A,FALSE,"Mgmt Forecast";"table inputs",#N/A,FALSE,"Mgmt Forecast";"calculations",#N/A,FALSE,"Mgmt Forecast"}</definedName>
    <definedName name="wrn.dcf._2" hidden="1">{"mgmt forecast",#N/A,FALSE,"Mgmt Forecast";"dcf table",#N/A,FALSE,"Mgmt Forecast";"sensitivity",#N/A,FALSE,"Mgmt Forecast";"table inputs",#N/A,FALSE,"Mgmt Forecast";"calculations",#N/A,FALSE,"Mgmt Forecast"}</definedName>
    <definedName name="wrn.dcf._3" hidden="1">{"mgmt forecast",#N/A,FALSE,"Mgmt Forecast";"dcf table",#N/A,FALSE,"Mgmt Forecast";"sensitivity",#N/A,FALSE,"Mgmt Forecast";"table inputs",#N/A,FALSE,"Mgmt Forecast";"calculations",#N/A,FALSE,"Mgmt Forecast"}</definedName>
    <definedName name="wrn.dcf._4" hidden="1">{"mgmt forecast",#N/A,FALSE,"Mgmt Forecast";"dcf table",#N/A,FALSE,"Mgmt Forecast";"sensitivity",#N/A,FALSE,"Mgmt Forecast";"table inputs",#N/A,FALSE,"Mgmt Forecast";"calculations",#N/A,FALSE,"Mgmt Forecast"}</definedName>
    <definedName name="wrn.dcf._5" hidden="1">{"mgmt forecast",#N/A,FALSE,"Mgmt Forecast";"dcf table",#N/A,FALSE,"Mgmt Forecast";"sensitivity",#N/A,FALSE,"Mgmt Forecast";"table inputs",#N/A,FALSE,"Mgmt Forecast";"calculations",#N/A,FALSE,"Mgmt Forecast"}</definedName>
    <definedName name="wrn.DCF_Terminal_Value_qchm." hidden="1">{"qchm_dcf",#N/A,FALSE,"QCHMDCF2";"qchm_terminal",#N/A,FALSE,"QCHMDCF2"}</definedName>
    <definedName name="wrn.DCFEpervier."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ebt." hidden="1">{"debt summary",#N/A,FALSE,"Debt";"loan details",#N/A,FALSE,"Debt"}</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linc_Comercial." hidden="1">{#N/A,#N/A,FALSE,"COVER";#N/A,#N/A,FALSE,"Index";#N/A,#N/A,FALSE,"Non-Earning";#N/A,#N/A,FALSE,"Commercial";#N/A,#N/A,FALSE,"Detailed"}</definedName>
    <definedName name="wrn.Deltek._.Upload." hidden="1">{#N/A,#N/A,FALSE,"Delt Data"}</definedName>
    <definedName name="wrn.depmatrix." hidden="1">{"depmatrix",#N/A,FALSE,"DECATUR-DIMMIT"}</definedName>
    <definedName name="wrn.Detail." hidden="1">{"SalaryPer",#N/A,FALSE,"INPUT";"WageRate",#N/A,FALSE,"INPUT";"Salary",#N/A,FALSE,"INPUT";"Overtime",#N/A,FALSE,"INPUT";"PagerPay",#N/A,FALSE,"INPUT";"FringeTable",#N/A,FALSE,"INPUT";"Fringes",#N/A,FALSE,"INPUT";"ProfitSharing",#N/A,FALSE,"INPUT"}</definedName>
    <definedName name="wrn.Detail._.Balance._.Sheet." hidden="1">{#N/A,#N/A,FALSE,"Detail"}</definedName>
    <definedName name="wrn.Detail._.Income._.Statement." hidden="1">{"Facility Detail",#N/A,FALSE,"P&amp;L Detail"}</definedName>
    <definedName name="wrn.Detail_Projection." hidden="1">{#N/A,#N/A,FALSE,"Detail YTD"}</definedName>
    <definedName name="wrn.Detailed._.Profit._.and._.Loss." hidden="1">{#N/A,#N/A,FALSE,"P&amp;L CONSOLIDATED";#N/A,#N/A,FALSE,"Cyperus";#N/A,#N/A,FALSE,"ANP";#N/A,#N/A,FALSE,"PRNE CORE"}</definedName>
    <definedName name="wrn.devdeal." hidden="1">{"top",#N/A,TRUE,"Detail";"next",#N/A,TRUE,"Detail";"then",#N/A,TRUE,"Detail";"and",#N/A,TRUE,"Detail";"inaddition",#N/A,TRUE,"Detail";"finally",#N/A,TRUE,"Detail"}</definedName>
    <definedName name="wrn.Dilution." hidden="1">{#N/A,#N/A,FALSE,"FY 1997 (NR)";#N/A,#N/A,FALSE,"FY 1998 (NR)";#N/A,#N/A,FALSE,"Balance";#N/A,#N/A,FALSE,"Matrix (NR)"}</definedName>
    <definedName name="wrn.djall." hidden="1">{"djcash",#N/A,FALSE,"DJann";"djinc",#N/A,FALSE,"DJann";"djtaxes",#N/A,FALSE,"DJann";"djbuspub",#N/A,FALSE,"DJann";"djwall",#N/A,FALSE,"DJann";"djcompprs",#N/A,FALSE,"DJann";"djteler",#N/A,FALSE,"DJann"}</definedName>
    <definedName name="wrn.document." hidden="1">{"consolidated",#N/A,FALSE,"Sheet1";"cms",#N/A,FALSE,"Sheet1";"fse",#N/A,FALSE,"Sheet1"}</definedName>
    <definedName name="wrn.documentation." hidden="1">{"documentation1",#N/A,FALSE,"Documentation";"documentation2",#N/A,FALSE,"Documentation"}</definedName>
    <definedName name="wrn.DOM._.TRAF._.STATS." hidden="1">{#N/A,#N/A,FALSE,"Form 41 Commuter Domestic";#N/A,#N/A,FALSE,"FORM41--COMMUTER % CHG";#N/A,#N/A,FALSE,"Total Domestic Traffic Stats";#N/A,#N/A,FALSE,"TOTAL DOM TRAFFIC--% CHG";#N/A,#N/A,FALSE,"TotDomTraf-Large Carriers Only";#N/A,#N/A,FALSE,"TOTDOMTRAF-LARGECAR% CHG"}</definedName>
    <definedName name="wrn.DPI._.Summary." hidden="1">{#N/A,#N/A,TRUE,"Summary";#N/A,#N/A,TRUE,"Financials"}</definedName>
    <definedName name="wrn.Druck." hidden="1">{#N/A,#N/A,FALSE,"Phase I";#N/A,#N/A,FALSE,"Phase II";#N/A,#N/A,FALSE,"Phase III"}</definedName>
    <definedName name="wrn.DTPLAN." hidden="1">{"DTCONSOASSUMPTIONS1",#N/A,FALSE,"CONSO";"DTCONSOASSUMPTIONS2",#N/A,FALSE,"CONSO";"DTCONSOASSUMPTIONS3",#N/A,FALSE,"CONSO";"DTCONSOINCOME",#N/A,FALSE,"CONSO";"DTCOOSAEBITDA",#N/A,FALSE,"COOSA";"DTCONSOCASHFLOW",#N/A,FALSE,"CONSO";"DTCONSOBALANCESHEET",#N/A,FALSE,"CONSO";"DTCONSOCAPEX1",#N/A,FALSE,"CONSO";"DTCONSOCAPEX2",#N/A,FALSE,"CONSO";"DTCONSOCAPEX3",#N/A,FALSE,"CONSO";"DTDONNAASSUMPTIONS1",#N/A,FALSE,"PAPER DONNACONA";"DTDONNAASSUMPTIONS2",#N/A,FALSE,"PAPER DONNACONA";"DTDONNAASSUMPTIONS3",#N/A,FALSE,"PAPER DONNACONA";"DTDONNAINCOME",#N/A,FALSE,"PAPER DONNACONA";"DTDONNACASHFLOW",#N/A,FALSE,"PAPER DONNACONA";"DTDONNABALANCESHEET",#N/A,FALSE,"PAPER DONNACONA";"DTDONNACAPEX",#N/A,FALSE,"PAPER DONNACONA";"DTDOLBEAUASSUMPTIONS1",#N/A,FALSE,"PAPER DOLBEAU";"DTDOLBEAUASSUMPTIONS2",#N/A,FALSE,"PAPER DOLBEAU";"DTDOLBEAUASSUMPTIONS3",#N/A,FALSE,"PAPER DOLBEAU";"DTDOLBEAUINCOME",#N/A,FALSE,"PAPER DOLBEAU";"DTDOLBEAUCASHFLOW",#N/A,FALSE,"PAPER DOLBEAU";"DTDOLBEAUBALANCESHEET",#N/A,FALSE,"PAPER DOLBEAU";"DTDOLBEAUCAPEX",#N/A,FALSE,"PAPER DOLBEAU";"DTLUMBERASSUMPTIONS1",#N/A,FALSE,"LUMBER";"DTLUMBERASSUMPTIONS2",#N/A,FALSE,"LUMBER";"DTLUMBERASSUMPTIONS3",#N/A,FALSE,"LUMBER";"DTLUMBERINCOME",#N/A,FALSE,"LUMBER";"DTLUMBERCASHFLOW",#N/A,FALSE,"LUMBER";"DTLUMBERBALANCESHEET",#N/A,FALSE,"LUMBER";"DTLUMBERCAPEX",#N/A,FALSE,"LUMBER";"DTCOOSAASSUMPTIONS1",#N/A,FALSE,"COOSA";"DTCOOSAASSUMPTION2",#N/A,FALSE,"COOSA";"DTCOOSAASSUMPTIONS3",#N/A,FALSE,"COOSA";"DTCOOSAINCOME",#N/A,FALSE,"COOSA";"DTCOOSACASHFLOW",#N/A,FALSE,"COOSA";"DTCOOSABALANCESHEET",#N/A,FALSE,"COOSA";"DTCOOSACAPEX",#N/A,FALSE,"COOSA";"DTELIMINATIONINCOME",#N/A,FALSE,"ELIMINATION";"DTELIMINATIONCASHFLOW",#N/A,FALSE,"ELIMINATION";"DTELIMINATIONBALANCESHEET",#N/A,FALSE,"ELIMINATION";"DTHEADOFFICEASSUMPTIONS",#N/A,FALSE,"H.OFFICE";"DTHEADOFFICEINCOME",#N/A,FALSE,"H.OFFICE";"DTHEADOFFICECASHFLOW",#N/A,FALSE,"H.OFFICE";"DTHEADOFFICEBALANCESHEET",#N/A,FALSE,"H.OFFICE";"DTHEADOFFICECAPEX",#N/A,FALSE,"H.OFFICE";"DTSEGMENTED",#N/A,FALSE,"SEGMENTED INFO";"DTTAX1",#N/A,FALSE,"impôt";"DTTAX2",#N/A,FALSE,"impôt"}</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bitda." hidden="1">{#N/A,#N/A,FALSE,"2003_Input - P&amp;L"}</definedName>
    <definedName name="wrn.ebitda2" hidden="1">{#N/A,#N/A,FALSE,"2003_Input - P&amp;L"}</definedName>
    <definedName name="wrn.Economic._.Value._.Added._.Analysis." hidden="1">{"EVA",#N/A,FALSE,"EVA";"WACC",#N/A,FALSE,"WACC"}</definedName>
    <definedName name="wrn.econtab." hidden="1">{#N/A,#N/A,FALSE,"TABLE1";#N/A,#N/A,FALSE,"TABLE2";#N/A,#N/A,FALSE,"TABLE3";#N/A,#N/A,FALSE,"TABLE4";#N/A,#N/A,FALSE,"TABLE5"}</definedName>
    <definedName name="wrn.ecpall." hidden="1">{"ecpcash",#N/A,FALSE,"ECPann";"ecpinc",#N/A,FALSE,"ECPann";"ecpindia",#N/A,FALSE,"ECPann";"ecpmun",#N/A,FALSE,"ECPann";"ecpphoenix",#N/A,FALSE,"ECPann";"ecpothe",#N/A,FALSE,"ECPann";"ecpbalsht",#N/A,FALSE,"ECPann"}</definedName>
    <definedName name="wrn.EE4._.Budget._.months._.sterling." hidden="1">{"EE4 Budget months only sterling",#N/A,TRUE,"Profit and Loss";"EE4 Budget months only sterling",#N/A,TRUE,"Firm capex";"EE4 Budget months only sterling",#N/A,TRUE,"Cashflow";"EE4 Budget months only sterling",#N/A,TRUE,"Balance Sheet"}</definedName>
    <definedName name="wrn.EE4._.Budget._.months._.USD." hidden="1">{"EE4 Budget months only in USD",#N/A,TRUE,"Profit and Loss";"EE4 Budget months only in USD",#N/A,TRUE,"Firm capex";"EE4 Budget months only in USD",#N/A,TRUE,"Cashflow";"EE4 Budget months only in USD",#N/A,TRUE,"Balance Sheet"}</definedName>
    <definedName name="wrn.EE4._.budget._.years._.sterling." hidden="1">{"EE4 Budget years sterling",#N/A,TRUE,"Profit and Loss";"EE4 Budget years sterling",#N/A,TRUE,"Firm capex";"EE4 Budget years sterling",#N/A,TRUE,"Cashflow";"EE4 Budget years sterling",#N/A,TRUE,"Balance Sheet"}</definedName>
    <definedName name="wrn.EE4._.Budget._.years._.USD." hidden="1">{"EE4 Budget years USD",#N/A,TRUE,"Profit and Loss";"EE4 Budget years USD",#N/A,TRUE,"Firm capex";"EE4 Budget years USD",#N/A,TRUE,"Cashflow";"EE4 Budget years USD",#N/A,TRUE,"Balance Sheet"}</definedName>
    <definedName name="wrn.EF._.Complet." hidden="1">{#N/A,#N/A,TRUE,"1";#N/A,#N/A,TRUE,"1.2";#N/A,#N/A,TRUE,"2";#N/A,#N/A,TRUE,"4";#N/A,#N/A,TRUE,"11";#N/A,#N/A,TRUE,"11.9";#N/A,#N/A,TRUE,"A";#N/A,#N/A,TRUE,"B";#N/A,#N/A,TRUE,"C"}</definedName>
    <definedName name="wrn.Einhundert._.Prozent._.alle._.Perioden." hidden="1">{"Alle Perioden",#N/A,FALSE,"Erf";"Alle Perioden",#N/A,FALSE,"BV100";"Alle Perioden",#N/A,FALSE,"BE100";"Alle Perioden",#N/A,FALSE,"Re100";"Alle Perioden",#N/A,FALSE,"Vol100"}</definedName>
    <definedName name="wrn.Einhundert._.Prozent._.erste._.elf._.Perioden." hidden="1">{"Erste elf Perioden",#N/A,FALSE,"Erf";"Erste elf Perioden",#N/A,FALSE,"BV100";"Erste elf Perioden",#N/A,FALSE,"BE100";"Erste elf Perioden",#N/A,FALSE,"Re100";"Erste elf Perioden",#N/A,FALSE,"Vol100"}</definedName>
    <definedName name="wrn.Enitre._.Model." hidden="1">{"Input Sheet",#N/A,FALSE,"Input";"New Co",#N/A,FALSE,"NEWCO";"Acq Cash Flow",#N/A,FALSE,"Acq. CF";"Target Cash Flow",#N/A,FALSE,"Tgt. CF";"Operational Merger",#N/A,FALSE,"OP Merger";"Acq Balance Sheet",#N/A,FALSE,"Acq. BS";"Target Balance Sheet",#N/A,FALSE,"Tgt. BS";"BOE Comp",#N/A,FALSE,"BOEComp"}</definedName>
    <definedName name="wrn.ESPP." hidden="1">{#N/A,#N/A,FALSE,"REPORT"}</definedName>
    <definedName name="wrn.ETATS." hidden="1">{"TABLE",#N/A,TRUE,"Feuil1";"CONSO",#N/A,TRUE,"Feuil1";"STHUB1",#N/A,TRUE,"Feuil1";"STHUB2",#N/A,TRUE,"Feuil1";"PROSERV",#N/A,TRUE,"Feuil1";"GROUPE",#N/A,TRUE,"Feuil1";"BERTHELET",#N/A,TRUE,"Feuil1";"MEILLEURES",#N/A,TRUE,"Feuil1";"TRICORP",#N/A,TRUE,"Feuil1"}</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xam._.Workpapers.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ecutive._.summary._.reports." hidden="1">{"4 year overview",#N/A,FALSE,"P &amp; L";"key indicators",#N/A,FALSE,"P &amp; L"}</definedName>
    <definedName name="wrn.EXHIBITS." hidden="1">{"summary1",#N/A,FALSE,"Summary of Values";"weighted average returns",#N/A,FALSE,"WACC and WARA";"revenue graph",#N/A,FALSE,"Revenue Graph";"historical acquirer",#N/A,FALSE,"Historical Performance";"historical target",#N/A,FALSE,"Historical Performance";"revenue detail 1",#N/A,FALSE,"Revenue Detail";"revenue detail 2",#N/A,FALSE,"Revenue Detail";"revenue detail 3",#N/A,FALSE,"Revenue Detail";"revenue detail 4",#N/A,FALSE,"Revenue Detail";"gross_margin1",#N/A,FALSE,"Gross Margin Detail";"gross_margin2",#N/A,FALSE,"Gross Margin Detail";"developed income statement",#N/A,FALSE,"Abbreviated Income Statement";"inprocess income statement",#N/A,FALSE,"Abbreviated Income Statement";"developed valuation",#N/A,FALSE,"Valuation Analysis";"inprocess valuation",#N/A,FALSE,"Valuation Analysis";"trademark1",#N/A,FALSE,"Trademark(s) and Trade Name(s)";"contributory1",#N/A,FALSE,"Contributory Assets Detail";"contributory2",#N/A,FALSE,"Contributory Assets Detail";"fixed asset detail",#N/A,FALSE,"Fixed Asset Detail"}</definedName>
    <definedName name="wrn.EXP2." hidden="1">{#N/A,#N/A,TRUE,"NIE_C";#N/A,#N/A,TRUE,"NIE";#N/A,#N/A,TRUE,"NIE_D";#N/A,#N/A,TRUE,"NIE_D_CC";#N/A,#N/A,TRUE,"HEA -- EXP"}</definedName>
    <definedName name="wrn.External." hidden="1">{"External_Annual_Income",#N/A,FALSE,"External";"External_Quarterly_Income",#N/A,FALSE,"External"}</definedName>
    <definedName name="wrn.external.2" hidden="1">{"External_Annual_Income",#N/A,FALSE,"External";"External_Quarterly_Income",#N/A,FALSE,"External"}</definedName>
    <definedName name="wrn.Facility._.Profit._.and._.Loss." hidden="1">{"Domestic Prisons - Prior to 1998 - 1",#N/A,FALSE,"Domestic Prisons";"Domestic Prisons - Prior to 1998 - 2",#N/A,FALSE,"Domestic Prisons";"Domestic Prisons - 1998",#N/A,FALSE,"Domestic Prisons";"Domestic Prisons - 1999",#N/A,FALSE,"Domestic Prisons";"Domestic Prisons - 2000",#N/A,FALSE,"Domestic Prisons";"Domestic Prisons - 2001",#N/A,FALSE,"Domestic Prisons"}</definedName>
    <definedName name="wrn.fc" hidden="1">{"FCB_ALL",#N/A,FALSE,"FCB"}</definedName>
    <definedName name="wrn.fc12" hidden="1">{"FCB_ALL",#N/A,FALSE,"FCB"}</definedName>
    <definedName name="wrn.fcb" hidden="1">{"FCB_ALL",#N/A,FALSE,"FCB"}</definedName>
    <definedName name="wrn.FCB." hidden="1">{"FCB_ALL",#N/A,FALSE,"FCB"}</definedName>
    <definedName name="wrn.fcb._dcf" hidden="1">{"FCB_ALL",#N/A,FALSE,"FCB"}</definedName>
    <definedName name="wrn.fcb.1" hidden="1">{"FCB_ALL",#N/A,FALSE,"FCB"}</definedName>
    <definedName name="wrn.fcb.9" hidden="1">{"FCB_ALL",#N/A,FALSE,"FCB"}</definedName>
    <definedName name="wrn.fcb1" hidden="1">{"FCB_ALL",#N/A,FALSE,"FCB"}</definedName>
    <definedName name="wrn.fcb10" hidden="1">{"FCB_ALL",#N/A,FALSE,"FCB"}</definedName>
    <definedName name="wrn.fcb11" hidden="1">{"FCB_ALL",#N/A,FALSE,"FCB"}</definedName>
    <definedName name="wrn.fcb2" hidden="1">{"FCB_ALL",#N/A,FALSE,"FCB"}</definedName>
    <definedName name="wrn.fcb2_dcf" hidden="1">{"FCB_ALL",#N/A,FALSE,"FCB"}</definedName>
    <definedName name="wrn.fcb3" hidden="1">{"FCB_ALL",#N/A,FALSE,"FCB"}</definedName>
    <definedName name="wrn.fcb4" hidden="1">{"FCB_ALL",#N/A,FALSE,"FCB"}</definedName>
    <definedName name="wrn.fcb5" hidden="1">{"FCB_ALL",#N/A,FALSE,"FCB"}</definedName>
    <definedName name="wrn.fcb6" hidden="1">{"FCB_ALL",#N/A,FALSE,"FCB"}</definedName>
    <definedName name="wrn.fcb7" hidden="1">{"FCB_ALL",#N/A,FALSE,"FCB"}</definedName>
    <definedName name="wrn.fcb8" hidden="1">{"FCB_ALL",#N/A,FALSE,"FCB"}</definedName>
    <definedName name="wrn.fcb9" hidden="1">{"FCB_ALL",#N/A,FALSE,"FCB"}</definedName>
    <definedName name="wrn.fcopy2" hidden="1">{"WACC_filecopy",#N/A,FALSE,"Inputs";"Beta_filecopy",#N/A,FALSE,"Inputs";"SCF_filecopy",#N/A,FALSE,"Inputs";"ProBS_filecopy",#N/A,FALSE,"Inputs";"BS_filecopy",#N/A,FALSE,"Inputs";"ProIS_filecopy",#N/A,FALSE,"Inputs";"IS_filecopy",#N/A,FALSE,"Inputs"}</definedName>
    <definedName name="wrn.FDII6_01PortReview." hidden="1">{#N/A,#N/A,TRUE,"Port Summary II";#N/A,#N/A,TRUE,"BV Valuation";#N/A,#N/A,TRUE,"FV Valuation";#N/A,#N/A,TRUE,"JRI";#N/A,#N/A,TRUE,"Weasler";#N/A,#N/A,TRUE,"Stronghaven";#N/A,#N/A,TRUE,"Connor";#N/A,#N/A,TRUE,"HWC";#N/A,#N/A,TRUE,"Temple"}</definedName>
    <definedName name="wrn.FdIII6_30_01PortRev.." hidden="1">{#N/A,#N/A,TRUE,"Beacon";#N/A,#N/A,TRUE,"CII";#N/A,#N/A,TRUE,"MCA";#N/A,#N/A,TRUE,"Elm";#N/A,#N/A,TRUE,"Tharco";#N/A,#N/A,TRUE,"Dee H";#N/A,#N/A,TRUE,"Hunt Valve";#N/A,#N/A,TRUE,"KBA";#N/A,#N/A,TRUE,"Glassmaster";#N/A,#N/A,TRUE,"MLS";#N/A,#N/A,TRUE,"CBSA";#N/A,#N/A,TRUE,"ACE";#N/A,#N/A,TRUE,"United Central";#N/A,#N/A,TRUE,"Jakel";#N/A,#N/A,TRUE,"Lake City "}</definedName>
    <definedName name="wrn.FER." hidden="1">{#N/A,#N/A,TRUE,"BS_A";#N/A,#N/A,TRUE,"BS_L";#N/A,#N/A,TRUE,"PL";#N/A,#N/A,TRUE,"NET";#N/A,#N/A,TRUE,"MAR_2";#N/A,#N/A,TRUE,"MAR";#N/A,#N/A,TRUE,"NII";#N/A,#N/A,TRUE,"NIE";#N/A,#N/A,TRUE,"FS_BS";#N/A,#N/A,TRUE,"FS_PL";#N/A,#N/A,TRUE,"HEA"}</definedName>
    <definedName name="wrn.FER_EXPENSES." hidden="1">{#N/A,#N/A,TRUE,"NIE_C";#N/A,#N/A,TRUE,"NIE";#N/A,#N/A,TRUE,"NIE_D";#N/A,#N/A,TRUE,"HEA -- EXP"}</definedName>
    <definedName name="wrn.FER_NIA." hidden="1">{#N/A,#N/A,FALSE,"HEA NIA";#N/A,#N/A,FALSE,"CHART";#N/A,#N/A,FALSE,"NIA";#N/A,#N/A,FALSE,"WF_DET"}</definedName>
    <definedName name="wrn.FER_REVENUES." hidden="1">{#N/A,#N/A,TRUE,"NII_C";#N/A,#N/A,TRUE,"NII";#N/A,#N/A,TRUE,"NII_D";#N/A,#N/A,TRUE,"HEA --REV"}</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1." hidden="1">{"WACC_filecopy",#N/A,FALSE,"Inputs";"Beta_filecopy",#N/A,FALSE,"Inputs";"SCF_filecopy",#N/A,FALSE,"Inputs";"ProBS_filecopy",#N/A,FALSE,"Inputs";"BS_filecopy",#N/A,FALSE,"Inputs";"ProIS_filecopy",#N/A,FALSE,"Inputs";"IS_filecopy",#N/A,FALSE,"Inputs"}</definedName>
    <definedName name="wrn.filecopy2." hidden="1">{"WACC_filecopy",#N/A,FALSE,"Inputs";"Beta_filecopy",#N/A,FALSE,"Inputs";"SCF_filecopy",#N/A,FALSE,"Inputs";"ProBS_filecopy",#N/A,FALSE,"Inputs";"BS_filecopy",#N/A,FALSE,"Inputs";"ProIS_filecopy",#N/A,FALSE,"Inputs";"IS_filecopy",#N/A,FALSE,"Inputs"}</definedName>
    <definedName name="wrn.Filter." hidden="1">{#N/A,#N/A,FALSE,"Assump2";#N/A,#N/A,FALSE,"Income2";#N/A,#N/A,FALSE,"Balance2";#N/A,#N/A,FALSE,"DCF Filter";#N/A,#N/A,FALSE,"Trans Assump2";#N/A,#N/A,FALSE,"Combined Income2";#N/A,#N/A,FALSE,"Combined Balance2"}</definedName>
    <definedName name="wrn.FIN97." hidden="1">{#N/A,#N/A,FALSE,"FIN97 DETAIL"}</definedName>
    <definedName name="wrn.financial._.package." hidden="1">{#N/A,#N/A,FALSE,"BALANCE SHEET";#N/A,#N/A,FALSE,"IS";#N/A,#N/A,FALSE,"ISCOMPAR";#N/A,#N/A,FALSE,"ADD RETMAR";#N/A,#N/A,FALSE,"VARIOUS COMP";#N/A,#N/A,FALSE,"RATIOS";#N/A,#N/A,FALSE,"GRAPHS"}</definedName>
    <definedName name="wrn.Financial._.Statements._.all._.detail." hidden="1">{#N/A,#N/A,TRUE,"P&amp;L CONSOLIDATED";#N/A,#N/A,TRUE,"Cyperus";#N/A,#N/A,TRUE,"ANP";#N/A,#N/A,TRUE,"South Africa";#N/A,#N/A,TRUE,"PRNE CORE";#N/A,#N/A,TRUE,"Targeting";#N/A,#N/A,TRUE,"Distribution";#N/A,#N/A,TRUE,"A - Disclose";#N/A,#N/A,TRUE,"B - Others";#N/A,#N/A,TRUE,"Measurement";#N/A,#N/A,TRUE,"OVERHEADS";#N/A,#N/A,TRUE,"Consolidated B Sheet";#N/A,#N/A,TRUE,"Consolidated Cashflow"}</definedName>
    <definedName name="wrn.Financial_Package." hidden="1">{#N/A,#N/A,FALSE,"Cover";#N/A,#N/A,FALSE,"TOC";#N/A,#N/A,FALSE,"IS";#N/A,#N/A,FALSE,"Mo. IS";#N/A,#N/A,FALSE,"Cont By Div";#N/A,#N/A,FALSE,"BS";#N/A,#N/A,FALSE,"CF";#N/A,#N/A,FALSE,"Inventory"}</definedName>
    <definedName name="wrn.Financials." hidden="1">{#N/A,#N/A,TRUE,"Income Statement";#N/A,#N/A,TRUE,"Balance Sheet";#N/A,#N/A,TRUE,"Cash Flow"}</definedName>
    <definedName name="wrn.FINANCIALS._.10K." hidden="1">{#N/A,#N/A,FALSE,"BS";#N/A,#N/A,FALSE,"PL_10K";#N/A,#N/A,FALSE,"SOE";#N/A,#N/A,FALSE,"SCF"}</definedName>
    <definedName name="wrn.FINANCIALS._.10Q." hidden="1">{#N/A,#N/A,FALSE,"BS";#N/A,#N/A,FALSE,"PL_10Q";#N/A,#N/A,FALSE,"SOE";#N/A,#N/A,FALSE,"SCF"}</definedName>
    <definedName name="wrn.Financials_long." hidden="1">{"IS",#N/A,FALSE,"Financials2 (Expanded)";"bsa",#N/A,FALSE,"Financials2 (Expanded)";"BS",#N/A,FALSE,"Financials2 (Expanded)";"CF",#N/A,FALSE,"Financials2 (Expanded)"}</definedName>
    <definedName name="wrn.finmodel." hidden="1">{#N/A,#N/A,FALSE,"Fin Model"}</definedName>
    <definedName name="wrn.finmodel._1" hidden="1">{#N/A,#N/A,FALSE,"Fin Model"}</definedName>
    <definedName name="wrn.finmodel._1_1" hidden="1">{#N/A,#N/A,FALSE,"Fin Model"}</definedName>
    <definedName name="wrn.finmodel._1_2" hidden="1">{#N/A,#N/A,FALSE,"Fin Model"}</definedName>
    <definedName name="wrn.finmodel._1_3" hidden="1">{#N/A,#N/A,FALSE,"Fin Model"}</definedName>
    <definedName name="wrn.finmodel._1_4" hidden="1">{#N/A,#N/A,FALSE,"Fin Model"}</definedName>
    <definedName name="wrn.finmodel._2" hidden="1">{#N/A,#N/A,FALSE,"Fin Model"}</definedName>
    <definedName name="wrn.finmodel._3" hidden="1">{#N/A,#N/A,FALSE,"Fin Model"}</definedName>
    <definedName name="wrn.finmodel._4" hidden="1">{#N/A,#N/A,FALSE,"Fin Model"}</definedName>
    <definedName name="wrn.finmodel._5" hidden="1">{#N/A,#N/A,FALSE,"Fin Model"}</definedName>
    <definedName name="wrn.first2." hidden="1">{#N/A,#N/A,FALSE,"sum-don";#N/A,#N/A,FALSE,"inc-don"}</definedName>
    <definedName name="wrn.first3." hidden="1">{#N/A,#N/A,FALSE,"Summary";#N/A,#N/A,FALSE,"proj1";#N/A,#N/A,FALSE,"proj2"}</definedName>
    <definedName name="wrn.first4." hidden="1">{#N/A,#N/A,FALSE,"Summary";#N/A,#N/A,FALSE,"proj1";#N/A,#N/A,FALSE,"proj2";#N/A,#N/A,FALSE,"DCF"}</definedName>
    <definedName name="wrn.FISV._.5._.year._.model." hidden="1">{"Assns Fax",#N/A,FALSE,"Assumptions";"Financial View",#N/A,FALSE,"Earnings";"DCF View",#N/A,FALSE,"Earnings";"Sensitivity",#N/A,FALSE,"DCF"}</definedName>
    <definedName name="wrn.fleck." hidden="1">{"first",#N/A,FALSE,"FLEXPAC2";"second",#N/A,FALSE,"FLEXPAC2"}</definedName>
    <definedName name="wrn.fleckcompac." hidden="1">{"one",#N/A,FALSE,"FLEXPAC2";"two",#N/A,FALSE,"FLEXPAC2";"three",#N/A,FALSE,"FLEXPAC2"}</definedName>
    <definedName name="wrn.Followon._.1998" hidden="1">{#N/A,#N/A,FALSE,"Summary";#N/A,#N/A,FALSE,"Pending";#N/A,#N/A,FALSE,"Jan'98";#N/A,#N/A,FALSE,"Feb'98";#N/A,#N/A,FALSE,"Mar'98";#N/A,#N/A,FALSE,"Apr'98";#N/A,#N/A,FALSE,"May'98";#N/A,#N/A,FALSE,"June'98";#N/A,#N/A,FALSE,"July'98"}</definedName>
    <definedName name="wrn.FORECAST." hidden="1">{"TOT",#N/A,FALSE,"ASFCST99";"TOTINT",#N/A,FALSE,"ASFCST99";"DOM",#N/A,FALSE,"ASFCST99";"NORTHATL",#N/A,FALSE,"ASFCST99";"PACIFIC",#N/A,FALSE,"ASFCST99";"LATAM",#N/A,FALSE,"ASFCST99"}</definedName>
    <definedName name="wrn.forecast2qf." hidden="1">{#N/A,#N/A,FALSE,"REV 110 PRNE (Bureau-Frankfurt)";#N/A,#N/A,FALSE,"REV 120 PRNE (Bureau - Paris)"}</definedName>
    <definedName name="wrn.forms." hidden="1">{#N/A,#N/A,FALSE,"Set-Up";#N/A,#N/A,FALSE,"Comparison";#N/A,#N/A,FALSE,"AR";#N/A,#N/A,FALSE,"Inv";#N/A,#N/A,FALSE,"Concentrations";#N/A,#N/A,FALSE,"Past Dues";#N/A,#N/A,FALSE,"Trends";#N/A,#N/A,FALSE,"AR Trends";#N/A,#N/A,FALSE,"Inv Trends"}</definedName>
    <definedName name="wrn.FRANCE._.FINANCIALS." hidden="1">{#N/A,#N/A,FALSE,"COMP BS-FRANCE";#N/A,#N/A,FALSE,"96 COMP P&amp;L-FRANCE";#N/A,#N/A,FALSE,"BUD VS ACT FRAN 96";#N/A,#N/A,FALSE,"B/S - FRANCE"}</definedName>
    <definedName name="wrn.FS._.AND._.TBLS._.10K."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wrn.FS_2005." hidden="1">{"BS-Yearly",#N/A,TRUE,"BS-Year";"BS-Monthly-2005",#N/A,TRUE,"BS"}</definedName>
    <definedName name="wrn.full." hidden="1">{"vi1",#N/A,FALSE,"Pagcc";"vi2",#N/A,FALSE,"Pagcc";"vi3",#N/A,FALSE,"Pagcc";"vi4",#N/A,FALSE,"Pagcc";"vi5",#N/A,FALSE,"Pagcc";#N/A,#N/A,FALSE,"Contribution"}</definedName>
    <definedName name="wrn.Full._.Budget." hidden="1">{#N/A,#N/A,FALSE,"IS-Month";#N/A,#N/A,FALSE,"IS-Qtr";#N/A,#N/A,FALSE,"Bal";#N/A,#N/A,FALSE,"Flow";#N/A,#N/A,FALSE,"Volumes";#N/A,#N/A,FALSE,"LOE";#N/A,#N/A,FALSE,"Revenues";#N/A,#N/A,FALSE,"OpMar";#N/A,#N/A,FALSE,"DD&amp;A";#N/A,#N/A,FALSE,"Oil $";#N/A,#N/A,FALSE,"Gas $";#N/A,#N/A,FALSE,"Swaps";#N/A,#N/A,FALSE,"CAPEX";#N/A,#N/A,FALSE,"G&amp;A";#N/A,#N/A,FALSE,"Debt";#N/A,#N/A,FALSE,"Interest"}</definedName>
    <definedName name="wrn.Full._.Financials." hidden="1">{#N/A,#N/A,TRUE,"Financials";#N/A,#N/A,TRUE,"Operating Statistics";#N/A,#N/A,TRUE,"Capex &amp; Depreciation";#N/A,#N/A,TRUE,"Debt"}</definedName>
    <definedName name="wrn.Full._.Model." hidden="1">{#N/A,#N/A,FALSE,"Cov";#N/A,#N/A,FALSE,"sum (2)";#N/A,#N/A,FALSE,"bs";#N/A,#N/A,FALSE,"is";#N/A,#N/A,FALSE,"pis";#N/A,#N/A,FALSE,"cf";#N/A,#N/A,FALSE,"wc";#N/A,#N/A,FALSE,"ltd";#N/A,#N/A,FALSE,"cover";#N/A,#N/A,FALSE,"irr (2)";#N/A,#N/A,FALSE,"in"}</definedName>
    <definedName name="wrn.Full._.Monty." hidden="1">{"ROIC",#N/A,FALSE,"ROIC";"Graphs",#N/A,FALSE,"TY analysis";"fcf",#N/A,FALSE,"FCF";"Matrix_2004",#N/A,FALSE,"MATRIX(2004)";"matrix_2008",#N/A,FALSE,"MATRIX(2008)";"FS_Condensed",#N/A,FALSE,"Financial Statements2";"TAXES",#N/A,FALSE,"Taxes";"DEBT_INVEST",#N/A,FALSE,"Debt&amp;Investment Schedule";"Main_menu",#N/A,FALSE,"Main Menu"}</definedName>
    <definedName name="wrn.Full._.Package." hidden="1">{#N/A,#N/A,FALSE,"COVER";#N/A,#N/A,FALSE,"INDEX";#N/A,#N/A,FALSE,"P1000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Full._.Print._.Out."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1"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1_1"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1_2"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1_3"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1_4"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2"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3"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4"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5"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Workbook._.Report." hidden="1">{"Balance Sheet Summary",#N/A,TRUE,"Balance Sheet";"Cash Flow Summary",#N/A,TRUE,"Cash Flow";"Capital Plan CA Schedule",#N/A,TRUE,"Capital Plan";"Capital Plan Summary",#N/A,TRUE,"Capital Plan"}</definedName>
    <definedName name="wrn.Full_Template."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wrn.Fund._.II."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wrn.Fund._.II._.Adv.._.Brd._.June._.2000." hidden="1">{#N/A,#N/A,TRUE,"FD II Portfolio Summary";#N/A,#N/A,TRUE,"JRI";#N/A,#N/A,TRUE,"NDS";#N/A,#N/A,TRUE,"Weasler";#N/A,#N/A,TRUE,"Stronghaven";#N/A,#N/A,TRUE,"Connor";#N/A,#N/A,TRUE,"Docu";#N/A,#N/A,TRUE,"HWC";#N/A,#N/A,TRUE,"Temple"}</definedName>
    <definedName name="wrn.Fund._.II._.Adv._.Mtg.."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wrn.Fund._.II._.Mtg.."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Fund._.III."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wrn.Fund._.III._.Adv.._.Brd.._.June._.2000."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wrn.Fund._.III._.Adv._.Mtg.."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wrn.Fund._.IV._.Adv.._.Brd.._.June._.2000." hidden="1">{#N/A,#N/A,TRUE,"FD IV Portfolio Summary ";#N/A,#N/A,TRUE,"Western";#N/A,#N/A,TRUE,"Kranson";#N/A,#N/A,TRUE,"ARC";#N/A,#N/A,TRUE,"Precise";#N/A,#N/A,TRUE,"WNA"}</definedName>
    <definedName name="wrn.FUNDING._.ANALYSIS._.PRINT." hidden="1">{"0TOC",#N/A,TRUE,"Sheet2";"1 2 3","A Scenario 1",TRUE,"STAND ALONE";"1 2 3","A SCenario 2",TRUE,"STAND ALONE";"1 2 3","A Scenario 3",TRUE,"STAND ALONE";"4","A Scenario 4",TRUE,"STAND ALONE";"5","A Scenario 5",TRUE,"EDWARD SCENARIOS";"6","A Scenario 6",TRUE,"EDWARD SCENARIOS";"7","A Scenario 7",TRUE,"SAM SCENARIOS";"8","A Scenario 8",TRUE,"SAM SCENARIOS";"9 - Nutmeg",#N/A,TRUE,"NUTMEG";"10 - LA",#N/A,TRUE,"LATAM CASH";"11 - Stream nds",#N/A,TRUE,"STREAM - NDS"}</definedName>
    <definedName name="wrn.Funnel._.Report." hidden="1">{#N/A,#N/A,FALSE,"funnel";#N/A,#N/A,FALSE,"AE Summary";#N/A,#N/A,FALSE,"Product Summary"}</definedName>
    <definedName name="wrn.FY00._.all._.reports." hidden="1">{"cash flow - FY00",#N/A,FALSE,"P &amp; L";"qtrly summ-FY00",#N/A,FALSE,"P &amp; L";"monthly P&amp;L-FY00",#N/A,FALSE,"P &amp; L";"P&amp;L FY00",#N/A,FALSE,"P &amp; L";"BS FY00",#N/A,FALSE,"P &amp; L";"staffing - FY00",#N/A,FALSE,"P &amp; L"}</definedName>
    <definedName name="wrn.FY01._.all._.reports." hidden="1">{"qtrly summ-FY01",#N/A,FALSE,"P &amp; L";"monthly P&amp;L-FY01",#N/A,FALSE,"P &amp; L";"cash flow - FY01",#N/A,FALSE,"P &amp; L";"P&amp;L FY01",#N/A,FALSE,"P &amp; L";"BS FY01",#N/A,FALSE,"P &amp; L";"staffing - FY01",#N/A,FALSE,"P &amp; L"}</definedName>
    <definedName name="wrn.FY01_Fin_Stmts." hidden="1">{"FY01_Assets",#N/A,FALSE,"Fin Stmt Budget";"FY01_Liabilities",#N/A,FALSE,"Fin Stmt Budget";"FY01_Inc_Stmt",#N/A,FALSE,"Fin Stmt Budget";"FY01_SOCF",#N/A,FALSE,"Fin Stmt Budget"}</definedName>
    <definedName name="wrn.FY02._.all._.reports." hidden="1">{"cash flow - FY02",#N/A,FALSE,"P &amp; L";"qtrly summ-FY02",#N/A,FALSE,"P &amp; L";"monthly P&amp;L-FY02",#N/A,FALSE,"P &amp; L";"P&amp;L FY02",#N/A,FALSE,"P &amp; L";"BS FY02",#N/A,FALSE,"P &amp; L";"staffing - FY02",#N/A,FALSE,"P &amp; L"}</definedName>
    <definedName name="wrn.FY02_Fin_Stmts." hidden="1">{"FY02_Assets",#N/A,FALSE,"Fin Stmt Budget";"FY02_Liabilities",#N/A,FALSE,"Fin Stmt Budget";"FY02_Inc_Stmt",#N/A,FALSE,"Fin Stmt Budget";"FY02_SOCF",#N/A,FALSE,"Fin Stmt Budget"}</definedName>
    <definedName name="wrn.FY03._.all._.reports." hidden="1">{"cash flow - FY03",#N/A,FALSE,"P &amp; L";"qtrly summ-FY03",#N/A,FALSE,"P &amp; L";"monthly P&amp;L-FY03",#N/A,FALSE,"P &amp; L";"P&amp;L FY03",#N/A,FALSE,"P &amp; L";"BS FY03",#N/A,FALSE,"P &amp; L";"staffing - FY03",#N/A,FALSE,"P &amp; L"}</definedName>
    <definedName name="wrn.FY03_Fin_Stmts." hidden="1">{"FY03_Assets",#N/A,FALSE,"Fin Stmt Budget";"FY03_Liabilities",#N/A,FALSE,"Fin Stmt Budget";"FY03_Inc_Stmt",#N/A,FALSE,"Fin Stmt Budget";"FY03_SOCF",#N/A,FALSE,"Fin Stmt Budget"}</definedName>
    <definedName name="wrn.FY04_Fin._.Stmts." hidden="1">{"FY04_Assets",#N/A,FALSE,"Fin Stmt Budget";"FY04_Liabilities",#N/A,FALSE,"Fin Stmt Budget";"FY04_Inc_Stmt",#N/A,FALSE,"Fin Stmt Budget";"FY04_SOCF",#N/A,FALSE,"Fin Stmt Budget"}</definedName>
    <definedName name="wrn.FY06" hidden="1">{"FY04_Assets",#N/A,FALSE,"Fin Stmt Budget";"FY04_Liabilities",#N/A,FALSE,"Fin Stmt Budget";"FY04_Inc_Stmt",#N/A,FALSE,"Fin Stmt Budget";"FY04_SOCF",#N/A,FALSE,"Fin Stmt Budget"}</definedName>
    <definedName name="wrn.FY07" hidden="1">{"FY01_Assets",#N/A,FALSE,"Fin Stmt Budget";"FY01_Liabilities",#N/A,FALSE,"Fin Stmt Budget";"FY01_Inc_Stmt",#N/A,FALSE,"Fin Stmt Budget";"FY01_SOCF",#N/A,FALSE,"Fin Stmt Budget"}</definedName>
    <definedName name="wrn.FY07_fin" hidden="1">{"FY04_Assets",#N/A,FALSE,"Fin Stmt Budget";"FY04_Liabilities",#N/A,FALSE,"Fin Stmt Budget";"FY04_Inc_Stmt",#N/A,FALSE,"Fin Stmt Budget";"FY04_SOCF",#N/A,FALSE,"Fin Stmt Budget"}</definedName>
    <definedName name="wrn.FY96sbp99" hidden="1">{#N/A,#N/A,FALSE,"FY97";#N/A,#N/A,FALSE,"FY98";#N/A,#N/A,FALSE,"FY99";#N/A,#N/A,FALSE,"FY00";#N/A,#N/A,FALSE,"FY01"}</definedName>
    <definedName name="wrn.FY97SBP." hidden="1">{#N/A,#N/A,FALSE,"FY97";#N/A,#N/A,FALSE,"FY98";#N/A,#N/A,FALSE,"FY99";#N/A,#N/A,FALSE,"FY00";#N/A,#N/A,FALSE,"FY01"}</definedName>
    <definedName name="wrn.FY97SBP2" hidden="1">{#N/A,#N/A,FALSE,"FY97";#N/A,#N/A,FALSE,"FY98";#N/A,#N/A,FALSE,"FY99";#N/A,#N/A,FALSE,"FY00";#N/A,#N/A,FALSE,"FY01"}</definedName>
    <definedName name="wrn.GCIall." hidden="1">{"gcicash",#N/A,FALSE,"GCIINC";"gciinc",#N/A,FALSE,"GCIINC";"gciexclusa",#N/A,FALSE,"GCIINC";"usatdy",#N/A,FALSE,"GCIINC"}</definedName>
    <definedName name="wrn.General._.OTC." hidden="1">{#N/A,#N/A,FALSE,"Title Page (3)";#N/A,#N/A,FALSE,"YTD - OTC";#N/A,#N/A,FALSE,"MTH - OTC"}</definedName>
    <definedName name="wrn.General._.Pharm." hidden="1">{#N/A,#N/A,FALSE,"Title Page (2)";#N/A,#N/A,FALSE,"YTD - Pharm";#N/A,#N/A,FALSE,"MTH - Pharm"}</definedName>
    <definedName name="wrn.General._.Total." hidden="1">{#N/A,#N/A,FALSE,"Title Page (4)";#N/A,#N/A,FALSE,"YTD - Total";#N/A,#N/A,FALSE,"MTH - Total"}</definedName>
    <definedName name="wrn.Gesamtausdruck._.alle._.Perioden." hidden="1">{"Alle Perioden",#N/A,FALSE,"Erf";"Alle Perioden",#N/A,FALSE,"Ang";"Alle Perioden",#N/A,FALSE,"BV";"Alle Perioden",#N/A,FALSE,"BE";"Alle Perioden",#N/A,FALSE,"Re";"Alle Perioden",#N/A,FALSE,"Vol";"Alle Perioden",#N/A,FALSE,"BV100";"Alle Perioden",#N/A,FALSE,"BE100";"Alle Perioden",#N/A,FALSE,"Re100";"Alle Perioden",#N/A,FALSE,"Vol100"}</definedName>
    <definedName name="wrn.Gesamtausdruck._.erste._.elf._.Perioden." hidden="1">{"Erste elf Perioden",#N/A,FALSE,"Erf";"Erste elf Perioden",#N/A,FALSE,"Ang";"Erste elf Perioden",#N/A,FALSE,"BV";"Erste elf Perioden",#N/A,FALSE,"BE";"Erste elf Perioden",#N/A,FALSE,"Re";"Erste elf Perioden",#N/A,FALSE,"Vol";"Erste elf Perioden",#N/A,FALSE,"BV100";"Erste elf Perioden",#N/A,FALSE,"BE100";"Erste elf Perioden",#N/A,FALSE,"Re100";"Erste elf Perioden",#N/A,FALSE,"Vol100"}</definedName>
    <definedName name="wrn.GIS." hidden="1">{#N/A,#N/A,FALSE,"GIS"}</definedName>
    <definedName name="wrn.GJE_NBR_7_Print_Job." hidden="1">{"Accrual_Calculation",#N/A,FALSE,"Comp Calc";"SJE#7",#N/A,FALSE,"GJE"}</definedName>
    <definedName name="wrn.graph." hidden="1">{"graph",#N/A,FALSE,"RIGCOUNT";"graph",#N/A,FALSE,"ON_OFFSHORE";"graph",#N/A,FALSE,"crewcnt";"graph",#N/A,FALSE,"OILvGAS";"graph",#N/A,FALSE,"OFF_RIGCOUNT";"graph",#N/A,FALSE,"indep perf";"graph",#N/A,FALSE,"oil serv perf"}</definedName>
    <definedName name="wrn.GRAPHS." hidden="1">{#N/A,#N/A,FALSE,"ACQ_GRAPHS";#N/A,#N/A,FALSE,"T_1 GRAPHS";#N/A,#N/A,FALSE,"T_2 GRAPHS";#N/A,#N/A,FALSE,"COMB_GRAPHS"}</definedName>
    <definedName name="wrn.gross._.margin._.detail." hidden="1">{"gross_margin1",#N/A,FALSE,"Gross Margin Detail";"gross_margin2",#N/A,FALSE,"Gross Margin Detail"}</definedName>
    <definedName name="wrn.Gross._.Profit._.Report." hidden="1">{"Monthly",#N/A,FALSE,"Phosphate Gross Profit";"Quarterly",#N/A,FALSE,"Phosphate Gross Profit"}</definedName>
    <definedName name="wrn.Group._.budget._.months._.only." hidden="1">{"Group Budget months only",#N/A,TRUE,"Profit and Loss";"Group Budget months only",#N/A,TRUE,"Firm capex";"Group Budget months only",#N/A,TRUE,"Gross profit analysis";"Group Budget months only",#N/A,TRUE,"Cashflow";"Group Budget months only",#N/A,TRUE,"Balance Sheet"}</definedName>
    <definedName name="wrn.Group._.budget._.years._.only." hidden="1">{"Group Budget years only",#N/A,TRUE,"Profit and Loss";"Group Budget years only",#N/A,TRUE,"Firm capex";"Group Budget years only",#N/A,TRUE,"Gross profit analysis";"Group Budget years only",#N/A,TRUE,"Cashflow";"Group Budget years only",#N/A,TRUE,"Balance Sheet"}</definedName>
    <definedName name="wrn.Growth." hidden="1">{#N/A,#N/A,FALSE,"Rev Grwth";#N/A,#N/A,FALSE,"Op Inc Grwth";#N/A,#N/A,FALSE,"Net Grwth";#N/A,#N/A,FALSE,"EPS Growth"}</definedName>
    <definedName name="wrn.Guillaume." hidden="1">{"MARCH",#N/A,FALSE,"CONSO OPEX 5899";"FullOpex",#N/A,FALSE,"CONSO OPEX 5899"}</definedName>
    <definedName name="wrn.HAMMOND."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NDOUT." hidden="1">{#N/A,#N/A,FALSE,"COVER PAGE";#N/A,#N/A,FALSE,"Page 2";#N/A,#N/A,FALSE,"Page 2";#N/A,#N/A,FALSE,"Page 4";#N/A,#N/A,FALSE,"Page5";#N/A,#N/A,FALSE,"Page 6";#N/A,#N/A,FALSE,"Page 7";#N/A,#N/A,FALSE,"Page 8";#N/A,#N/A,FALSE,"Page 10";#N/A,#N/A,FALSE,"Long-Term OCF Mult.";#N/A,#N/A,FALSE,"PCS Comp";#N/A,#N/A,FALSE,"OCS-CAPEX";#N/A,#N/A,FALSE,"Blank"}</definedName>
    <definedName name="wrn.HEAT." hidden="1">{#N/A,#N/A,FALSE,"Heat";#N/A,#N/A,FALSE,"DCF";#N/A,#N/A,FALSE,"LBO";#N/A,#N/A,FALSE,"A";#N/A,#N/A,FALSE,"C";#N/A,#N/A,FALSE,"impd";#N/A,#N/A,FALSE,"Accr-Dilu"}</definedName>
    <definedName name="wrn.historical." hidden="1">{"historical_is_annual",#N/A,FALSE,"historical is";"historical_is_annual_cs",#N/A,FALSE,"historical is";"historical_is_annual_growth",#N/A,FALSE,"historical is";"historical_is_quarter",#N/A,FALSE,"historical is";"historical_is_quarter_cs",#N/A,FALSE,"historical is";"historical_is_quarter_growth",#N/A,FALSE,"historical is";"historical_bs_annual",#N/A,FALSE,"historical is";"historical_bs_annaul_cs",#N/A,FALSE,"historical is";"historical_bs_annaul_growth",#N/A,FALSE,"historical is";"historical_bs_quarter",#N/A,FALSE,"historical is";"historical_bs_quarter_cs",#N/A,FALSE,"historical is";"historical_bs_quarter_growth",#N/A,FALSE,"historical is";"historical_cf",#N/A,FALSE,"historical is";"historical_workcap",#N/A,FALSE,"historical is";"historical_ratios_1",#N/A,FALSE,"historical is";"historical_ratios_2",#N/A,FALSE,"historical is";"historical_ratios_3",#N/A,FALSE,"historical is"}</definedName>
    <definedName name="wrn.historical._.performance." hidden="1">{"historical acquirer",#N/A,FALSE,"Historical Performance";"historical target",#N/A,FALSE,"Historical Performance"}</definedName>
    <definedName name="wrn.historical._.rev._.backup." hidden="1">{"rev_history_revenueDetail",#N/A,FALSE,"historical rev us";"rev_history_minutesDetail",#N/A,FALSE,"historical rev us"}</definedName>
    <definedName name="wrn.HNZ." hidden="1">{#N/A,#N/A,FALSE,"HNZ"}</definedName>
    <definedName name="wrn.HSSH._.budget._.months._.NLG."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sterling."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years._.NLG." hidden="1">{"HSSH Budget years NLG",#N/A,TRUE,"Profit and Loss";"HSSH Budget years NLG",#N/A,TRUE,"Firm capex";"HSSH Budget years NLG",#N/A,TRUE,"Gross profit analysis";"HSSH Budget years NLG",#N/A,TRUE,"Cashflow";"HSSH Budget years NLG",#N/A,TRUE,"Balance Sheet"}</definedName>
    <definedName name="wrn.HSSH._.Budget._.years._.sterling." hidden="1">{"HSSH Budget years sterling",#N/A,TRUE,"Profit and Loss";"HSSH Budget years sterling",#N/A,TRUE,"Firm capex";"HSSH Budget years sterling",#N/A,TRUE,"Gross profit analysis";"HSSH Budget years sterling",#N/A,TRUE,"Cashflow";"HSSH Budget years sterling",#N/A,TRUE,"Balance Sheet"}</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hidden="1">{#N/A,#N/A,FALSE,"HuscoCombined-Summ";#N/A,#N/A,FALSE,"HuscoCombined-Income";#N/A,#N/A,FALSE,"HuscoCombined-Offering";#N/A,#N/A,FALSE,"Husco-Income";#N/A,#N/A,FALSE,"TargetEngineer";#N/A,#N/A,FALSE,"TargetAcqCalc";#N/A,#N/A,FALSE,"Husco-Acq"}</definedName>
    <definedName name="wrn.IDPH." hidden="1">{"Rituxan Revenues",#N/A,FALSE,"B cell Revenues";"QEarn1",#N/A,FALSE,"Qearn";"QEarn2",#N/A,FALSE,"Qearn";"QMargin",#N/A,FALSE,"qmargin";"Cashflow",#N/A,FALSE,"cashflow";"Product Pipeline",#N/A,FALSE,"Product Pipeline"}</definedName>
    <definedName name="wrn.II._.PortRev33102." hidden="1">{#N/A,#N/A,TRUE,"Port Summary II";#N/A,#N/A,TRUE,"BV Valuation";#N/A,#N/A,TRUE,"FV Valuation";#N/A,#N/A,TRUE,"JRI";#N/A,#N/A,TRUE,"Weasler";#N/A,#N/A,TRUE,"Stronghaven";#N/A,#N/A,TRUE,"Connor";#N/A,#N/A,TRUE,"HWC";#N/A,#N/A,TRUE,"Temple"}</definedName>
    <definedName name="wrn.III." hidden="1">{"CASHFLOW",#N/A,FALSE,"Northpointe"}</definedName>
    <definedName name="wrn.III1." hidden="1">{"CASHFLOW",#N/A,FALSE,"Northpointe"}</definedName>
    <definedName name="wrn.Ilijan._.Print."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mp_sommaire." hidden="1">{"imp_Sommaire",#N/A,FALSE,"REV IMMOBILIER"}</definedName>
    <definedName name="wrn.imp_Tous." hidden="1">{"imp_0196",#N/A,FALSE,"0019";"imp_0000",#N/A,FALSE,"0000";"imp_0214",#N/A,FALSE,"0214";"imp_0143",#N/A,FALSE,"0143";"imp_0144",#N/A,FALSE,"0144";"imp_0154",#N/A,FALSE,"0154";"imp_0155",#N/A,FALSE,"0155";"imp_0161",#N/A,FALSE,"0161";"imp_0205",#N/A,FALSE,"0205";"imp_0196",#N/A,FALSE,"0196"}</definedName>
    <definedName name="wrn.Income." hidden="1">{#N/A,#N/A,TRUE,"Income";#N/A,#N/A,TRUE,"IncomeDetail";#N/A,#N/A,TRUE,"Balance";#N/A,#N/A,TRUE,"BalDetail"}</definedName>
    <definedName name="wrn.Income._.State." hidden="1">{#N/A,#N/A,FALSE,"Income statement";#N/A,#N/A,FALSE,"Income Statement by Plant"}</definedName>
    <definedName name="wrn.Income._.State._.and._.CapEx." hidden="1">{#N/A,#N/A,FALSE,"Income statement";#N/A,#N/A,FALSE,"Income Statement by Plant"}</definedName>
    <definedName name="wrn.INCOME._.STATEMENT." hidden="1">{"INCOME STATEMENT",#N/A,FALSE,"Income Statement"}</definedName>
    <definedName name="wrn.Income._.Statement._1" hidden="1">{"% Growth",#N/A,FALSE,"Income Statement";"% of GDAR",#N/A,FALSE,"Income Statement"}</definedName>
    <definedName name="wrn.Income._.Statement._1_1" hidden="1">{"% Growth",#N/A,FALSE,"Income Statement";"% of GDAR",#N/A,FALSE,"Income Statement"}</definedName>
    <definedName name="wrn.Income._.Statement._1_2" hidden="1">{"% Growth",#N/A,FALSE,"Income Statement";"% of GDAR",#N/A,FALSE,"Income Statement"}</definedName>
    <definedName name="wrn.Income._.Statement._1_3" hidden="1">{"% Growth",#N/A,FALSE,"Income Statement";"% of GDAR",#N/A,FALSE,"Income Statement"}</definedName>
    <definedName name="wrn.Income._.Statement._1_4" hidden="1">{"% Growth",#N/A,FALSE,"Income Statement";"% of GDAR",#N/A,FALSE,"Income Statement"}</definedName>
    <definedName name="wrn.Income._.Statement._2" hidden="1">{"% Growth",#N/A,FALSE,"Income Statement";"% of GDAR",#N/A,FALSE,"Income Statement"}</definedName>
    <definedName name="wrn.Income._.Statement._3" hidden="1">{"% Growth",#N/A,FALSE,"Income Statement";"% of GDAR",#N/A,FALSE,"Income Statement"}</definedName>
    <definedName name="wrn.Income._.Statement._4" hidden="1">{"% Growth",#N/A,FALSE,"Income Statement";"% of GDAR",#N/A,FALSE,"Income Statement"}</definedName>
    <definedName name="wrn.Income._.Statement._5" hidden="1">{"% Growth",#N/A,FALSE,"Income Statement";"% of GDAR",#N/A,FALSE,"Income Statement"}</definedName>
    <definedName name="wrn.Income._.Statements." hidden="1">{"Income Statement",#N/A,FALSE,"P&amp;L - $";"Quarterly Income Statement",#N/A,FALSE,"P&amp;L Detail"}</definedName>
    <definedName name="wrn.INDEPS." hidden="1">{"page1",#N/A,FALSE,"TIND_CC1";"page2",#N/A,FALSE,"TIND_CC1";"page3",#N/A,FALSE,"TIND_CC1";"page4",#N/A,FALSE,"TIND_CC1";"page5",#N/A,FALSE,"TIND_CC1"}</definedName>
    <definedName name="wrn.Individual._.Statements." hidden="1">{"barlup",#N/A,FALSE,"evabnk97";"gillespey",#N/A,FALSE,"evabnk97";"koon",#N/A,FALSE,"evabnk97";"schreur",#N/A,FALSE,"evabnk97";"stone",#N/A,FALSE,"evabnk97";"wichmann",#N/A,FALSE,"evabnk97";"wright",#N/A,FALSE,"evabnk97"}</definedName>
    <definedName name="wrn.Industry.xls." hidden="1">{#N/A,#N/A,FALSE,"Earnings";#N/A,#N/A,FALSE,"Overview";#N/A,#N/A,FALSE,"Summary";#N/A,#N/A,FALSE,"Summary II";#N/A,#N/A,FALSE,"R&amp;D";#N/A,#N/A,FALSE,"R&amp;D Forecast";#N/A,#N/A,FALSE,"Tax Adj";#N/A,#N/A,FALSE,"Goodwill";#N/A,#N/A,FALSE,"FX ";#N/A,#N/A,FALSE,"Consolidation";#N/A,#N/A,FALSE,"Provisions"}</definedName>
    <definedName name="wrn.Infectious._.Diseases." hidden="1">{#N/A,#N/A,FALSE,"Anti";#N/A,#N/A,FALSE,"Cefa";#N/A,#N/A,FALSE,"Ceph";#N/A,#N/A,FALSE,"Cefp";#N/A,#N/A,FALSE,"Cefe";#N/A,#N/A,FALSE,"Pens";#N/A,#N/A,FALSE,"Ampi";#N/A,#N/A,FALSE,"Amox";#N/A,#N/A,FALSE,"Isox";#N/A,#N/A,FALSE,"Aztr";#N/A,#N/A,FALSE,"Videx";#N/A,#N/A,FALSE,"Zerit"}</definedName>
    <definedName name="wrn.info." hidden="1">{#N/A,#N/A,FALSE,"INFORMATIQUE"}</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Input._.Print._.Area." hidden="1">{#N/A,#N/A,FALSE,"inputs";#N/A,#N/A,FALSE,"inputs"}</definedName>
    <definedName name="wrn.Inputs." hidden="1">{"ABF inputs",#N/A,FALSE,"ABF";"ICI inputs",#N/A,FALSE,"ICI"}</definedName>
    <definedName name="wrn.Instructor._.Tips." hidden="1">{"Area 1",#N/A,TRUE,"Area";"Bar 1",#N/A,TRUE,"Area";"Salomon Bar 1",#N/A,TRUE,"Area";"Stacked Bar 1",#N/A,TRUE,"Area";"Stacked Bar 100 1",#N/A,TRUE,"Area";"Stacked Col 1",#N/A,TRUE,"Area";"Stacked Col 100 1",#N/A,TRUE,"Area";"HiLow 1",#N/A,TRUE,"Area";"Line 1",#N/A,TRUE,"Area";"Scatter 1",#N/A,TRUE,"Area";"ColLine 1",#N/A,TRUE,"Area";"Scatterline 1",#N/A,TRUE,"Area";"Football 1",#N/A,TRUE,"Area";"DAPS 1",#N/A,TRUE,"Area";"Rover 1",#N/A,TRUE,"Area";"Exchange 1",#N/A,TRUE,"Area";"Histogram 1",#N/A,TRUE,"Area";"Price Vol 1",#N/A,TRUE,"Area";"Interactive 1",#N/A,TRUE,"Area";"Column 1",#N/A,TRUE,"Area";"League 1",#N/A,TRUE,"Area";"Pie 1",#N/A,TRUE,"Area"}</definedName>
    <definedName name="wrn.Internal." hidden="1">{#N/A,#N/A,TRUE,"COVER INT";#N/A,#N/A,TRUE,"SUMMARY INT";#N/A,#N/A,TRUE,"INCOME STMT INT";#N/A,#N/A,TRUE,"IS TREND";#N/A,#N/A,TRUE,"BALANCE SHEET INT";#N/A,#N/A,TRUE,"BS TREND";#N/A,#N/A,TRUE,"CASH FLOW INT";#N/A,#N/A,TRUE,"CF TREND";#N/A,#N/A,TRUE,"SALES BY TERR INT";#N/A,#N/A,TRUE,"UNITS INT";#N/A,#N/A,TRUE,"PRODUCT SALES INT";#N/A,#N/A,TRUE,"ASP's INT";#N/A,#N/A,TRUE,"GROSS MARGINS INT";#N/A,#N/A,TRUE,"MARGINS PER UNIT INT";#N/A,#N/A,TRUE,"INVENTORY INT";#N/A,#N/A,TRUE,"HEADCOUNT INT";#N/A,#N/A,TRUE,"DEBT STRUCTURE Int";#N/A,#N/A,TRUE," AR"}</definedName>
    <definedName name="wrn.Internal._.Report._.for._.Martha."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vestment._.Summary." hidden="1">{#N/A,#N/A,TRUE,"Summary";#N/A,#N/A,TRUE,"Financials";#N/A,#N/A,TRUE,"Assumptions";#N/A,#N/A,TRUE,"Pro Forma";#N/A,#N/A,TRUE,"Debt";#N/A,#N/A,TRUE,"Amortization";#N/A,#N/A,TRUE,"GG Returns"}</definedName>
    <definedName name="wrn.IPIX." hidden="1">{#N/A,#N/A,FALSE,"Report Print"}</definedName>
    <definedName name="wrn.IPO." hidden="1">{#N/A,#N/A,FALSE,"Summary";#N/A,#N/A,FALSE,"Jan'97";#N/A,#N/A,FALSE,"Feb'97";#N/A,#N/A,FALSE,"Mar'97";#N/A,#N/A,FALSE,"Apr'97";#N/A,#N/A,FALSE,"May'97";#N/A,#N/A,FALSE,"Jun'97";#N/A,#N/A,FALSE,"Jul'97";#N/A,#N/A,FALSE,"Aug'97";#N/A,#N/A,FALSE,"Sept'97";#N/A,#N/A,FALSE,"Oct'97";#N/A,#N/A,FALSE,"Nov'97";#N/A,#N/A,FALSE,"Dec'97";#N/A,#N/A,FALSE,"Pending"}</definedName>
    <definedName name="wrn.IPO._.1998." hidden="1">{#N/A,#N/A,FALSE,"Summary";#N/A,#N/A,FALSE,"Pending";#N/A,#N/A,FALSE,"Jan'98";#N/A,#N/A,FALSE,"Feb'98";#N/A,#N/A,FALSE,"Mar'98";#N/A,#N/A,FALSE,"Apr'98";#N/A,#N/A,FALSE,"May'98";#N/A,#N/A,FALSE,"June'98";#N/A,#N/A,FALSE,"July'98"}</definedName>
    <definedName name="wrn.IPO._.Analysis." hidden="1">{#N/A,#N/A,FALSE,"Summary";#N/A,#N/A,FALSE,"Pending";#N/A,#N/A,FALSE,"Oct'97";#N/A,#N/A,FALSE,"Sept'97";#N/A,#N/A,FALSE,"Aug'97";#N/A,#N/A,FALSE,"Jul'97";#N/A,#N/A,FALSE,"Jun'97";#N/A,#N/A,FALSE,"May'97";#N/A,#N/A,FALSE,"Apr'97";#N/A,#N/A,FALSE,"Mar'97";#N/A,#N/A,FALSE,"Feb'97";#N/A,#N/A,FALSE,"Jan'97"}</definedName>
    <definedName name="wrn.IPO._.Valuation." hidden="1">{"assumptions",#N/A,FALSE,"Scenario 1";"valuation",#N/A,FALSE,"Scenario 1"}</definedName>
    <definedName name="wrn.ipovalue." hidden="1">{#N/A,#N/A,FALSE,"puboff";#N/A,#N/A,FALSE,"valuation";#N/A,#N/A,FALSE,"finanalsis";#N/A,#N/A,FALSE,"split";#N/A,#N/A,FALSE,"ownership"}</definedName>
    <definedName name="wrn.IS._.Q96." hidden="1">{"IS Q96",#N/A,FALSE,"Income Statement"}</definedName>
    <definedName name="wrn.IS._.Q97." hidden="1">{"IS Q97",#N/A,FALSE,"Income Statement"}</definedName>
    <definedName name="wrn.IS._.Years." hidden="1">{"IS Years",#N/A,FALSE,"Income Statement"}</definedName>
    <definedName name="wrn.IS_BS_SCF." hidden="1">{#N/A,#N/A,FALSE,"Income Statement";#N/A,#N/A,FALSE,"Balance Sheet";#N/A,#N/A,FALSE,"Cash Flow"}</definedName>
    <definedName name="wrn.ISCG._.model." hidden="1">{#N/A,#N/A,FALSE,"Second";#N/A,#N/A,FALSE,"ownership";#N/A,#N/A,FALSE,"Valuation";#N/A,#N/A,FALSE,"Eqiv";#N/A,#N/A,FALSE,"Mults";#N/A,#N/A,FALSE,"ISCG Graphics"}</definedName>
    <definedName name="wrn.IV." hidden="1">{"CASHFLOW",#N/A,FALSE,"Northpointe"}</definedName>
    <definedName name="wrn.JANI._.REBATES." hidden="1">{"TOTAL",#N/A,FALSE,"A";"FISCAL94",#N/A,FALSE,"A";"FISCAL95",#N/A,FALSE,"A";"FISCAL96",#N/A,FALSE,"A";"misc page",#N/A,FALSE,"A"}</definedName>
    <definedName name="wrn.jerrys_copy."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ODM._.Graphs." hidden="1">{"graph",#N/A,FALSE,"WWJU";"graph",#N/A,FALSE,"WWSEM";"graph",#N/A,FALSE,"GOMJU";"graph",#N/A,FALSE,"GOMSEM";"graph",#N/A,FALSE,"NSJU";"graph",#N/A,FALSE,"NSSEM";"graph",#N/A,FALSE,"WAJU";"graph",#N/A,FALSE,"STOCKPRI";"graph",#N/A,FALSE,"CFTEV";"graph",#N/A,FALSE,"NAV-RCV";"graph",#N/A,FALSE,"CRUDEWW"}</definedName>
    <definedName name="wrn.July._.Final." hidden="1">{#N/A,#N/A,TRUE,"Mth Sum";#N/A,#N/A,TRUE,"YTD Sum";#N/A,#N/A,TRUE,"Mth Rev Sum";#N/A,#N/A,TRUE,"YTD Rev Sum";#N/A,#N/A,TRUE,"SC vs Pr Month (Revised)";#N/A,#N/A,TRUE,"SVC Detail Mth vs Pr Mth (Rev)";#N/A,#N/A,TRUE,"SGA (Elem) vs Pr Month";#N/A,#N/A,TRUE,"SGA (BU) vs Pr Mth";#N/A,#N/A,TRUE,"SC vs Plan (Revised)";#N/A,#N/A,TRUE,"SVC Detail Mth vsPlan (Rev)";#N/A,#N/A,TRUE,"SGA (Elem) vs Plan";#N/A,#N/A,TRUE,"SGA (BU) vs Plan(Rev)";#N/A,#N/A,TRUE,"SC vs YTD 00 (Revised)";#N/A,#N/A,TRUE,"SGA (Elem) vs YTD 00";#N/A,#N/A,TRUE,"SGA (BU) YTD vs YTD 00";#N/A,#N/A,TRUE,"SC vs YTD Plan (Revised)";#N/A,#N/A,TRUE,"SVC YTD Detail Mth vsPlan (Rev)";#N/A,#N/A,TRUE,"SGA (Elem) vs YTD Plan";#N/A,#N/A,TRUE,"SGA (BU) YTD vs Plan(Rev)";#N/A,#N/A,TRUE,"CapExp";#N/A,#N/A,TRUE,"EBITDA(Flash)";#N/A,#N/A,TRUE,"NetInc(Flash)";#N/A,#N/A,TRUE,"Gross Margin(Flash)";#N/A,#N/A,TRUE,"Mth trends(Flash)";#N/A,#N/A,TRUE,"HeadcountP01";#N/A,#N/A,TRUE,"Headcount P00";#N/A,#N/A,TRUE,"Inc. Statement";#N/A,#N/A,TRUE,"Balance Sheet";#N/A,#N/A,TRUE,"Cash Flow"}</definedName>
    <definedName name="wrn.July._.Presentation." hidden="1">{#N/A,#N/A,FALSE,"Revised Plan description";#N/A,#N/A,FALSE,"Mth Sum";#N/A,#N/A,FALSE,"YTD Sum";#N/A,#N/A,FALSE,"Mth Rev Sum";#N/A,#N/A,FALSE,"YTD Rev Sum";#N/A,#N/A,FALSE,"Direct Margin";#N/A,#N/A,FALSE,"Data MarginvsPlan";#N/A,#N/A,FALSE,"Local MarginvsPlan";#N/A,#N/A,FALSE,"Internet MarginvsPlan";#N/A,#N/A,FALSE,"LD Margin vs Plan ";#N/A,#N/A,FALSE,"Data Margin YTDvsPlan";#N/A,#N/A,FALSE,"Local Margin YTDvsPlan";#N/A,#N/A,FALSE,"Internet Margin YTDvsPlan";#N/A,#N/A,FALSE,"LD Margin YTD vs Plan";#N/A,#N/A,FALSE,"SC vs Pr Month ";#N/A,#N/A,FALSE,"SVC Detail Mth vs Pr Mth";#N/A,#N/A,FALSE,"Ind vs Pr Month ";#N/A,#N/A,FALSE,"SGA (Elem) vs Pr Month";#N/A,#N/A,FALSE,"SGA (BU) vs Pr Mth";#N/A,#N/A,FALSE,"SC vs Plan";#N/A,#N/A,FALSE,"SVC Detail Mth vsPlan ";#N/A,#N/A,FALSE,"Ind vs Plan";#N/A,#N/A,FALSE,"SGA (Elem) vs Plan";#N/A,#N/A,FALSE,"SGA (BU) vs Plan";#N/A,#N/A,FALSE,"SC vs YTD 00";#N/A,#N/A,FALSE,"SGA (Elem) vs YTD 00";#N/A,#N/A,FALSE,"SGA (BU) YTD vs YTD 00";#N/A,#N/A,FALSE,"SC vs YTD Plan ";#N/A,#N/A,FALSE,"SVC YTD Detail Mth vsPlan ";#N/A,#N/A,FALSE,"SGA (Elem) vs YTD Plan";#N/A,#N/A,FALSE,"SGA (BU) YTD vs Plan";#N/A,#N/A,FALSE,"CapExp";#N/A,#N/A,FALSE,"EBITDA";#N/A,#N/A,FALSE,"Mth trends";#N/A,#N/A,FALSE,"Inc. Statement";#N/A,#N/A,FALSE,"Balance Sheet";#N/A,#N/A,FALSE,"Cash Flow"}</definedName>
    <definedName name="wrn.Just._.Sorts." hidden="1">{#N/A,#N/A,FALSE,"Hi";#N/A,#N/A,FALSE,"Lo";#N/A,#N/A,FALSE,"Mkt. Cap";#N/A,#N/A,FALSE,"Alpha"}</definedName>
    <definedName name="wrn.K." hidden="1">{#N/A,#N/A,FALSE,"K"}</definedName>
    <definedName name="wrn.K3._.Annual." hidden="1">{"K3Cash",#N/A,FALSE,"Ann";"K3Income",#N/A,FALSE,"Ann";"K3Educ",#N/A,FALSE,"Ann";"K3media",#N/A,FALSE,"Ann";"K3Info",#N/A,FALSE,"Ann";"K3Valuation",#N/A,FALSE,"Ann"}</definedName>
    <definedName name="wrn.K3._.Quarterly." hidden="1">{"K3 first",#N/A,FALSE,"Qtr.";"K3 second",#N/A,FALSE,"Qtr.";"K3 Third",#N/A,FALSE,"Qtr.";"K3 Fourth",#N/A,FALSE,"Qtr.";"K3 Full",#N/A,FALSE,"Qtr."}</definedName>
    <definedName name="wrn.kriall." hidden="1">{"kricash",#N/A,FALSE,"INC";"kriinc",#N/A,FALSE,"INC";"krimiami",#N/A,FALSE,"INC";"kriother",#N/A,FALSE,"INC";"kripapers",#N/A,FALSE,"INC"}</definedName>
    <definedName name="wrn.LBO._.Summary." hidden="1">{"LBO Summary",#N/A,FALSE,"Summary"}</definedName>
    <definedName name="wrn.Lease_Deli." hidden="1">{#N/A,#N/A,FALSE,"COVER";#N/A,#N/A,FALSE,"Index";#N/A,#N/A,FALSE,"Non-Earning";#N/A,#N/A,FALSE,"Non-Earning-Recovery";#N/A,#N/A,FALSE,"Leasing_Equipo";#N/A,#N/A,FALSE,"Leasing_Auto";#N/A,#N/A,FALSE,"Leasing_Legal"}</definedName>
    <definedName name="wrn.liab." hidden="1">{#N/A,#N/A,FALSE,"BSCON894"}</definedName>
    <definedName name="wrn.LM._.Gear." hidden="1">{"LM Gear IS",#N/A,FALSE,"LM Gear - IS";"LM Gear BS",#N/A,FALSE,"LM Gear BS";"LM Gear Detail IS",#N/A,FALSE,"LM Gear - Detail IS";"LM Gear Detail IS Supplemental Info",#N/A,FALSE,"LM Gear - Detail IS";"LM Gear Monthly 1999",#N/A,FALSE,"LM Gear Monthly";"LM Gear Monthly 1998",#N/A,FALSE,"LM Gear Monthly";"LM Gear Monthly 1997",#N/A,FALSE,"LM Gear Monthly"}</definedName>
    <definedName name="wrn.LP._.Committee._.Book."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LP._.Committee._.June._.13.._.2000."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wrn.LUXCOS." hidden="1">{"LUX_ASSET",#N/A,FALSE,"CII-Q494.XLS";"LUX_LIAB",#N/A,FALSE,"CII-Q494.XLS";"LUX_INC",#N/A,FALSE,"CII-Q494.XLS";"LUXje",#N/A,FALSE,"CII-Q494.XLS"}</definedName>
    <definedName name="wrn.m_cash." hidden="1">{"cash_marc",#N/A,FALSE,"dec95cr.xls"}</definedName>
    <definedName name="wrn.Mahmoud." hidden="1">{#N/A,#N/A,FALSE,"Objectives"}</definedName>
    <definedName name="wrn.Main._.Field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Report._.All._.Sections."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e." hidden="1">{"Assumptions",#N/A,TRUE,"Assumptions";"Income",#N/A,TRUE,"Income";"Balance",#N/A,TRUE,"Balance"}</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nagement._.Control._.Report." hidden="1">{#N/A,#N/A,TRUE,"Sheet1 (2)";#N/A,#N/A,TRUE,"Sheet1 (3)";#N/A,#N/A,TRUE,"Sheet1 (4)";#N/A,#N/A,TRUE,"Sheet1 (5)";#N/A,#N/A,TRUE,"Sheet1 (8)";#N/A,#N/A,TRUE,"Sheet1 (9)";#N/A,#N/A,TRUE,"Sheet1 (10)";#N/A,#N/A,TRUE,"Sheet1 (6)";#N/A,#N/A,TRUE,"Sheet1 (7)";#N/A,#N/A,TRUE,"Sheet1 (11)";#N/A,#N/A,TRUE,"Sheet2 (2)";#N/A,#N/A,TRUE,"Sheet3 (2)";#N/A,#N/A,TRUE,"Sheet4 (2)";#N/A,#N/A,TRUE,"Sheet9 (2)";#N/A,#N/A,TRUE,"Sheet8 (2)";#N/A,#N/A,TRUE,"Sheet7 (2)";#N/A,#N/A,TRUE,"Sheet5 (2)";#N/A,#N/A,TRUE,"Sheet2 (3)";#N/A,#N/A,TRUE,"Sheet6 (2)";#N/A,#N/A,TRUE,"Sheet 6A";#N/A,#N/A,TRUE,"Sheet2 (4)";#N/A,#N/A,TRUE,"Sheet2 (5)";#N/A,#N/A,TRUE,"Sheet3 (3)";#N/A,#N/A,TRUE,"Sheet3 (4)";#N/A,#N/A,TRUE,"Sheet4 (3)";#N/A,#N/A,TRUE,"Sheet4 (4)";#N/A,#N/A,TRUE,"Sheet8 (3)";#N/A,#N/A,TRUE,"Sheet8 (4)";#N/A,#N/A,TRUE,"Sheet5 (3)";#N/A,#N/A,TRUE,"Sheet5 (4)";#N/A,#N/A,TRUE,"Sheet10 (2)";#N/A,#N/A,TRUE,"Sheet7 (3)";#N/A,#N/A,TRUE,"Sheet6 (3)";#N/A,#N/A,TRUE,"Sheet5 (5)";#N/A,#N/A,TRUE,"Sheet9 (3)";#N/A,#N/A,TRUE,"Sheet4 (5)";#N/A,#N/A,TRUE,"Sheet12 (2)";#N/A,#N/A,TRUE,"Sheet11 (2)";#N/A,#N/A,TRUE,"Sheet13 (2)";#N/A,#N/A,TRUE,"Sheet14 (2)";#N/A,#N/A,TRUE,"Sheet15 (2)";#N/A,#N/A,TRUE,"Sheet16 (2)";#N/A,#N/A,TRUE,"Sheet1 (12)";#N/A,#N/A,TRUE,"Sheet3 (5)";#N/A,#N/A,TRUE,"Sheet7 (4)";#N/A,#N/A,TRUE,"Sheet2 (6)";#N/A,#N/A,TRUE,"sheet1 (13)";#N/A,#N/A,TRUE,"sheet2 (7)";#N/A,#N/A,TRUE,"sheet10 (3)";#N/A,#N/A,TRUE,"sheet11 (3)";#N/A,#N/A,TRUE,"sheet3 (6)";#N/A,#N/A,TRUE,"sheet4 (6)";#N/A,#N/A,TRUE,"sheet5 (6)";#N/A,#N/A,TRUE,"sheet6 (4)";#N/A,#N/A,TRUE,"sheet7 (5)";#N/A,#N/A,TRUE,"sheet8 (5)";#N/A,#N/A,TRUE,"sheet9 (4)";#N/A,#N/A,TRUE,"Sheet1 (14)";#N/A,#N/A,TRUE,"Sheet2 (8)";#N/A,#N/A,TRUE,"Sheet3 (8)";#N/A,#N/A,TRUE,"Sheet3 (7)";#N/A,#N/A,TRUE,"Sheet4 (7)";#N/A,#N/A,TRUE,"Sheet5 (7)";#N/A,#N/A,TRUE,"Sheet6 (5)";#N/A,#N/A,TRUE,"Sheet1";#N/A,#N/A,TRUE,"Sheet2"}</definedName>
    <definedName name="wrn.March._.Financials." hidden="1">{"Statement of Income",#N/A,TRUE,"Mar99";"Balance Sheet",#N/A,TRUE,"Mar99"}</definedName>
    <definedName name="wrn.MARGIN." hidden="1">{#N/A,#N/A,TRUE,"MAR";#N/A,#N/A,TRUE,"MAR_2"}</definedName>
    <definedName name="wrn.Margins." hidden="1">{#N/A,#N/A,FALSE,"Margins - GrossR&amp;D";#N/A,#N/A,FALSE,"Margins - sg&amp;a";#N/A,#N/A,FALSE,"Margins - Oper-net"}</definedName>
    <definedName name="wrn.Mason._.Deliverables." hidden="1">{#N/A,#N/A,FALSE,"Data &amp; Key Results";#N/A,#N/A,FALSE,"Summary Template";#N/A,#N/A,FALSE,"Budget";#N/A,#N/A,FALSE,"Present Value Comparison";#N/A,#N/A,FALSE,"Cashflow";#N/A,#N/A,FALSE,"Income";#N/A,#N/A,FALSE,"Inputs"}</definedName>
    <definedName name="wrn.master." hidden="1">{#N/A,#N/A,FALSE,"SUMMARY";#N/A,#N/A,FALSE,"mcsh";#N/A,#N/A,FALSE,"vol&amp;rev";#N/A,#N/A,FALSE,"wkgcap";#N/A,#N/A,FALSE,"DEPR&amp;DT";#N/A,#N/A,FALSE,"ASSETS";#N/A,#N/A,FALSE,"NI&amp;OTH&amp;DIV";#N/A,#N/A,FALSE,"CASHFLOW";#N/A,#N/A,FALSE,"CAPEMPL";#N/A,#N/A,FALSE,"ROCE"}</definedName>
    <definedName name="wrn.Master_Income." hidden="1">{"Annual_Income",#N/A,FALSE,"Master Model";"Quarterly_Income",#N/A,FALSE,"Master Model"}</definedName>
    <definedName name="wrn.MCCRK." hidden="1">{#N/A,#N/A,FALSE,"MCCRK"}</definedName>
    <definedName name="wrn.MDA._.Tables." hidden="1">{#N/A,#N/A,TRUE,"Sel Fn Data QTD";#N/A,#N/A,TRUE,"TABLE_1 SPREAD ANALYSIS";#N/A,#N/A,TRUE,"Tables 2 to 3 PL";#N/A,#N/A,TRUE,"Tables 4 and 5 ALLL";#N/A,#N/A,TRUE,"Tables 6 to 8 ALLL NPA";#N/A,#N/A,TRUE,"Table 9 to 10 - Balance Sheet";#N/A,#N/A,TRUE,"Table 11 to 12 - Equity"}</definedName>
    <definedName name="wrn.MDA._.TABLES._.10Q." hidden="1">{#N/A,#N/A,FALSE,"Table 1 QTD";#N/A,#N/A,FALSE,"Table 1 YTD";#N/A,#N/A,FALSE,"Tables 2 to 4 PL";#N/A,#N/A,FALSE,"Tables 5 to 9 ALLL";#N/A,#N/A,FALSE,"Table 10 to 13 - Balance Sheet"}</definedName>
    <definedName name="wrn.MDA_TABLES._.10K." hidden="1">{#N/A,#N/A,FALSE,"SFD 5 YRS 10k";#N/A,#N/A,FALSE,"Table 1 Annual 10K";#N/A,#N/A,FALSE,"Tables 2 to 3 PL";#N/A,#N/A,FALSE,"Tables 4 and 5ALLL";#N/A,#N/A,FALSE,"Tables 6 to 8 ALLL ";#N/A,#N/A,FALSE,"Table 9 to 12 - Balance Sheet";#N/A,#N/A,FALSE,"Table 14 10K SFD by Quarter";#N/A,#N/A,FALSE,"Tbl 15 - 16 10K risk cashflow"}</definedName>
    <definedName name="wrn.MDA_TABLES._.10Q." hidden="1">{#N/A,#N/A,TRUE,"Sel Fn Data QTD";#N/A,#N/A,TRUE,"Table 1 YTD";#N/A,#N/A,TRUE,"Table 1 QTD";#N/A,#N/A,TRUE,"Tables 2 to 3 PL";#N/A,#N/A,TRUE,"Tables 4 and 5ALLL";#N/A,#N/A,TRUE,"Tables 6 to 8 ALLL ";#N/A,#N/A,TRUE,"Table 9 to 12 - Balance Sheet"}</definedName>
    <definedName name="wrn.MDA_TABLES._.10Q._.SEPT." hidden="1">{#N/A,#N/A,TRUE,"Sel Fn Data QTD";#N/A,#N/A,TRUE,"Table 1 YTD";#N/A,#N/A,TRUE,"Tables 2 to 4 PL";#N/A,#N/A,TRUE,"Tables 5 to 9 ALLL";#N/A,#N/A,TRUE,"Table 10 to 13 - Balance Sheet"}</definedName>
    <definedName name="wrn.MEDI." hidden="1">{"Revenues",#N/A,FALSE,"Revenues";"QEarn1",#N/A,FALSE,"Qearn";"QEarn2",#N/A,FALSE,"Qearn";"QMargin",#N/A,FALSE,"Qmargin";"Cashflow",#N/A,FALSE,"Cashflow";"Product Pipeline",#N/A,FALSE,"Product Pipeline";"First Call Tables",#N/A,FALSE,"First Call Tables";"Comment P&amp;L",#N/A,FALSE,"Comment P&amp;L"}</definedName>
    <definedName name="wrn.merge." hidden="1">{#N/A,#N/A,FALSE,"IPO";#N/A,#N/A,FALSE,"DCF";#N/A,#N/A,FALSE,"LBO";#N/A,#N/A,FALSE,"MULT_VAL";#N/A,#N/A,FALSE,"Status Quo";#N/A,#N/A,FALSE,"Recap"}</definedName>
    <definedName name="wrn.Merger." hidden="1">{#N/A,#N/A,FALSE,"Overview";#N/A,#N/A,FALSE,"Summary";#N/A,#N/A,FALSE,"Unph Hist";#N/A,#N/A,FALSE,"Combination";#N/A,#N/A,FALSE,"IOC Proj Base";#N/A,#N/A,FALSE,"Bal";#N/A,#N/A,FALSE,"IOC Bal";#N/A,#N/A,FALSE,"IOC CF";#N/A,#N/A,FALSE,"UNPH Proj"}</definedName>
    <definedName name="wrn.merger._.analysis."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erger._.analysis.II"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erger._.analysis.III"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erger._.analysis.IIII"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erger._.analysis.IV"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hpall." hidden="1">{"mhpcash",#N/A,FALSE,"MHPNEWX";"mhpinc",#N/A,FALSE,"MHPNEWX";"mhptax",#N/A,FALSE,"MHPNEWX";"mhpbroad",#N/A,FALSE,"MHPNEWX";"mhpeduc",#N/A,FALSE,"MHPNEWX";"mhpfin",#N/A,FALSE,"MHPNEWX";"mhpinfo",#N/A,FALSE,"MHPNEWX"}</definedName>
    <definedName name="wrn.mikes_copy."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LLARES." hidden="1">{#N/A,#N/A,TRUE,"RESUMEN ECON.";#N/A,#N/A,TRUE,"Costos de R.H.";#N/A,#N/A,TRUE,"COSTO HW";#N/A,#N/A,TRUE,"CUADROS";#N/A,#N/A,TRUE,"SCADA´s";#N/A,#N/A,TRUE,"PRECIOS EQUIPOS"}</definedName>
    <definedName name="wrn.model." hidden="1">{"page1",#N/A,FALSE,"GIRLBO";"page2",#N/A,FALSE,"GIRLBO";"page3",#N/A,FALSE,"GIRLBO";"page4",#N/A,FALSE,"GIRLBO";"page5",#N/A,FALSE,"GIRLBO"}</definedName>
    <definedName name="wrn.Month." hidden="1">{#N/A,#N/A,FALSE,"Comp Balance";#N/A,#N/A,FALSE,"Sum Balance ";#N/A,#N/A,FALSE,"Balance Trend";#N/A,#N/A,FALSE,"Comp PL";#N/A,#N/A,FALSE,"PL";#N/A,#N/A,FALSE,"Sum PL";#N/A,#N/A,FALSE,"PL Trend";#N/A,#N/A,FALSE,"Change"}</definedName>
    <definedName name="wrn.Month._.End._.Print._.Out." hidden="1">{"Yen Denominated",#N/A,FALSE,"A-R Aging (JPY)";"Dollar Denominated",#N/A,FALSE,"A-R Aging (JPY)";"Yen Denominated",#N/A,FALSE,"A-R Control (JPY)";"Dollar Denominated",#N/A,FALSE,"A-R Control (JPY)";#N/A,#N/A,FALSE,"A-R Aging (USD)";#N/A,#N/A,FALSE,"A-R Control (USD)";"Aussie Denominated",#N/A,FALSE,"A-R Aging (AUD)";"Dollar Denominated",#N/A,FALSE,"A-R Aging (AUD)";"Aussie Denominated",#N/A,FALSE,"A-R Control (AUD)";"Dollar Denominated",#N/A,FALSE,"A-R Control (AUD)";#N/A,#N/A,FALSE,"A-R Aging Recon.";#N/A,#N/A,FALSE,"A-R Control Recon.";#N/A,#N/A,FALSE,"Cash App (JPY- NAB)";#N/A,#N/A,FALSE,"Cash App (JPY-Citi)";#N/A,#N/A,FALSE,"Cash App (USD)";#N/A,#N/A,FALSE,"Cash App (AUD)";#N/A,#N/A,FALSE,"Cash Disb (AUD)";#N/A,#N/A,FALSE,"Cash Disb (JPY-NAB)";#N/A,#N/A,FALSE,"Cash Disb (JPY-Citi)";#N/A,#N/A,FALSE,"Cash Disb (USD)";#N/A,#N/A,FALSE,"Cash Receipts (AUD)";#N/A,#N/A,FALSE,"Cash Receipts (JPY-NAB)";#N/A,#N/A,FALSE,"Cash Receipts (JPY-Citi)";#N/A,#N/A,FALSE,"Cash Receipts (USD)";#N/A,#N/A,FALSE,"Bank Rec (AUD)";#N/A,#N/A,FALSE,"Bank Rec (JPY-NAB)";#N/A,#N/A,FALSE,"Bank Rec (JPY-Citi)";#N/A,#N/A,FALSE,"Bank Rec (USD)";#N/A,#N/A,FALSE,"Petty Cash (AUD)";#N/A,#N/A,FALSE,"Petty Cash (JPY)";#N/A,#N/A,FALSE,"Head &amp; Ticket Counts";#N/A,#N/A,FALSE,"Payroll"}</definedName>
    <definedName name="wrn.MONTH_END." hidden="1">{#N/A,#N/A,FALSE,"SUMMARY";#N/A,#N/A,FALSE,"DETAIL";#N/A,#N/A,FALSE,"VARIANCE"}</definedName>
    <definedName name="wrn.MONTH_REPORT." hidden="1">{#N/A,#N/A,TRUE,"ALLL";#N/A,#N/A,TRUE,"DEL";#N/A,#N/A,TRUE,"Reserve Analysis";#N/A,#N/A,TRUE,"C_OFF HISTORY";#N/A,#N/A,TRUE,"ALLL_QTR";#N/A,#N/A,TRUE,"HEA_M";#N/A,#N/A,TRUE,"BL_DET";#N/A,#N/A,TRUE,"3YRS+";#N/A,#N/A,TRUE,"CONSTR_DET"}</definedName>
    <definedName name="wrn.MONTH_REPORT_BOD." hidden="1">{#N/A,#N/A,FALSE,"HEA_M";#N/A,#N/A,FALSE,"ALLL";#N/A,#N/A,FALSE,"DEL";#N/A,#N/A,FALSE,"Reserve Analysis";#N/A,#N/A,FALSE,"C_OFF HISTORY";#N/A,#N/A,FALSE,"ALLL_QTR"}</definedName>
    <definedName name="wrn.Month_Report_Mgmt." hidden="1">{#N/A,#N/A,FALSE,"HEA_M";#N/A,#N/A,FALSE,"ALLL";#N/A,#N/A,FALSE,"DEL";#N/A,#N/A,FALSE,"Reserve Analysis";#N/A,#N/A,FALSE,"C_OFF HISTORY";#N/A,#N/A,FALSE,"ALLL_QTR";#N/A,#N/A,FALSE,"RR Review";#N/A,#N/A,FALSE,"MORT. SS 1YRS+";#N/A,#N/A,FALSE,"MORT. DOUBFUL 1YEAR+";#N/A,#N/A,FALSE,"MORT. LOSS 1YEAR+";#N/A,#N/A,FALSE,"Watch List Report";#N/A,#N/A,FALSE,"CONSTR_DET"}</definedName>
    <definedName name="wrn.Monthly._.Financials." hidden="1">{#N/A,#N/A,FALSE,"mfg - consol";#N/A,#N/A,FALSE,"mfg - flo";#N/A,#N/A,FALSE,"mfg - lindsay"}</definedName>
    <definedName name="wrn.MONTHLY._.INVENTORY._.SCHEDULE." hidden="1">{#N/A,#N/A,FALSE,"Sheet1";#N/A,#N/A,FALSE,"Sheet2";#N/A,#N/A,FALSE,"Sheet3";#N/A,#N/A,FALSE,"Sheet4";#N/A,#N/A,FALSE,"Sheet5";#N/A,#N/A,FALSE,"Sheet6"}</definedName>
    <definedName name="wrn.Monthly._.Report." hidden="1">{#N/A,#N/A,FALSE,"Summary Page";#N/A,#N/A,FALSE,"Collections Listing";#N/A,#N/A,FALSE,"Lessee 60 days past due";#N/A,#N/A,FALSE,"Revenues--Lend Base JP Morgan";#N/A,#N/A,FALSE,"JP Morgan Debt Amort Schedule";#N/A,#N/A,FALSE,"Covenant Analysis"}</definedName>
    <definedName name="wrn.Months." hidden="1">{"Curr Month",#N/A,FALSE,"Curr Mo";"All Months",#N/A,FALSE,"Curr Mo";"YTD",#N/A,FALSE,"Curr Mo";"1001",#N/A,FALSE,"Curr Mo";"1002",#N/A,FALSE,"Curr Mo";"4012",#N/A,FALSE,"Curr Mo";"4017",#N/A,FALSE,"Curr Mo";"1050",#N/A,FALSE,"Curr Mo";"1009",#N/A,FALSE,"Curr Mo";"4079",#N/A,FALSE,"Curr Mo";"4077",#N/A,FALSE,"Curr Mo";"1005",#N/A,FALSE,"Curr Mo";"1008",#N/A,FALSE,"Curr Mo";"1011",#N/A,FALSE,"Curr Mo";"1006",#N/A,FALSE,"Curr Mo";"1024",#N/A,FALSE,"Curr Mo";"1003",#N/A,FALSE,"Curr Mo";"1025",#N/A,FALSE,"Curr Mo";"4013",#N/A,FALSE,"Curr Mo";"1091",#N/A,FALSE,"Curr Mo";"1010",#N/A,FALSE,"Curr Mo";"1023",#N/A,FALSE,"Curr Mo";"4014",#N/A,FALSE,"Curr Mo";"1043",#N/A,FALSE,"Curr Mo";"1014",#N/A,FALSE,"Curr Mo";"1015",#N/A,FALSE,"Curr Mo";"1012",#N/A,FALSE,"Curr Mo";"1061",#N/A,FALSE,"Curr Mo";"1045",#N/A,FALSE,"Curr Mo";"4058",#N/A,FALSE,"Curr Mo";"1033",#N/A,FALSE,"Curr Mo";"1103",#N/A,FALSE,"Curr Mo";"4007",#N/A,FALSE,"Curr Mo";"4021",#N/A,FALSE,"Curr Mo";"4026",#N/A,FALSE,"Curr Mo";"4022",#N/A,FALSE,"Curr Mo";"4050",#N/A,FALSE,"Curr Mo";"4032",#N/A,FALSE,"Curr Mo";"4089",#N/A,FALSE,"Curr Mo";"1042",#N/A,FALSE,"Curr Mo";"1048",#N/A,FALSE,"Curr Mo";"4049",#N/A,FALSE,"Curr Mo"}</definedName>
    <definedName name="wrn.Mortgage." hidden="1">{#N/A,#N/A,FALSE,"COVER";#N/A,#N/A,FALSE,"Index";#N/A,#N/A,FALSE,"Non-Earning";#N/A,#N/A,FALSE,"Mortgage_Legal";#N/A,#N/A,FALSE,"Mortgages"}</definedName>
    <definedName name="wrn.Most._.Likely._.Scenarios." hidden="1">{#N/A,"Mine Allocated, Keep AC",FALSE,"Stream INPUTS";#N/A,"All Preferred, Sell AC",FALSE,"Stream INPUTS";#N/A,"Step Up, Sell AC",FALSE,"Stream INPUTS";#N/A,"All Preferred, BRONCO buys AC",FALSE,"Stream INPUTS"}</definedName>
    <definedName name="wrn.MRA." hidden="1">{"MRA IS",#N/A,FALSE,"MRA - IS";"MRA BS",#N/A,FALSE,"MRA - BS";"MRA Detail IS",#N/A,FALSE,"MRA - Detail IS";"MRA Detail IS Supplemental Info",#N/A,FALSE,"MRA - Detail IS";"MRA Monthly 1999",#N/A,FALSE,"MRA Monthly";"MRA Monthly IS 1998",#N/A,FALSE,"MRA Monthly";"MRA Monthly IS 1997",#N/A,FALSE,"MRA Monthly"}</definedName>
    <definedName name="wrn.Munsell." hidden="1">{#N/A,#N/A,FALSE,"Index";#N/A,#N/A,FALSE,"IncStmt";#N/A,#N/A,FALSE,"Ratios";#N/A,#N/A,FALSE,"CashFlows";#N/A,#N/A,FALSE,"Ins1";#N/A,#N/A,FALSE,"Ins2";#N/A,#N/A,FALSE,"SelfFund";#N/A,#N/A,FALSE,"SGA";#N/A,#N/A,FALSE,"Recon";#N/A,#N/A,FALSE,"Earnings";#N/A,#N/A,FALSE,"Earnings (2)";#N/A,#N/A,FALSE,"Stock";#N/A,#N/A,FALSE,"Stock (2)";#N/A,#N/A,FALSE,"PeerRatios";#N/A,#N/A,FALSE,"PeerRanks"}</definedName>
    <definedName name="wrn.NA." hidden="1">{#N/A,#N/A,FALSE,"NA"}</definedName>
    <definedName name="wrn.Neds." hidden="1">{"page1",#N/A,TRUE,"PRICING";"page2",#N/A,TRUE,"PRICING"}</definedName>
    <definedName name="wrn.Netbacks." hidden="1">{"Netbacks",#N/A,FALSE,"Netbacks"}</definedName>
    <definedName name="wrn.new." hidden="1">{"new1",#N/A,FALSE,"FLEXPAC2";"new2",#N/A,FALSE,"FLEXPAC2"}</definedName>
    <definedName name="wrn.newest." hidden="1">{#N/A,#N/A,TRUE,"TS";#N/A,#N/A,TRUE,"Combo";#N/A,#N/A,TRUE,"FAIR";#N/A,#N/A,TRUE,"RBC";#N/A,#N/A,TRUE,"xxxx"}</definedName>
    <definedName name="wrn.nuevahoja." hidden="1">{#N/A,#N/A,FALSE,"CNS_ADJ";"Balance Consolidado",#N/A,FALSE,"BCEC_CNS";#N/A,#N/A,FALSE,"USGAAP_ADJ"}</definedName>
    <definedName name="wrn.nytaann." hidden="1">{"nytacash",#N/A,FALSE,"GLOBEINC";"nytainc",#N/A,FALSE,"GLOBEINC";"nytanyt",#N/A,FALSE,"GLOBEINC";"nytareg",#N/A,FALSE,"GLOBEINC";"nytaglobe",#N/A,FALSE,"GLOBEINC";"nytapprttl",#N/A,FALSE,"GLOBEINC"}</definedName>
    <definedName name="wrn.Oncology." hidden="1">{#N/A,#N/A,FALSE,"Onco";#N/A,#N/A,FALSE,"Taxol";#N/A,#N/A,FALSE,"UFT";#N/A,#N/A,FALSE,"Carb"}</definedName>
    <definedName name="wrn.one." hidden="1">{"page1",#N/A,FALSE,"A";"page2",#N/A,FALSE,"A"}</definedName>
    <definedName name="wrn.One._.Pager._.plus._.Technicals." hidden="1">{#N/A,#N/A,FALSE,"One Pager";#N/A,#N/A,FALSE,"Technical"}</definedName>
    <definedName name="wrn.OPERATIONS." hidden="1">{#N/A,#N/A,FALSE,"PL-FS";#N/A,#N/A,FALSE,"PL"}</definedName>
    <definedName name="wrn.Opportunity._.Assessment." hidden="1">{#N/A,#N/A,TRUE,"Summary";#N/A,#N/A,TRUE,"Assumptions";#N/A,#N/A,TRUE,"Comparison";#N/A,#N/A,TRUE,"Financials";#N/A,#N/A,TRUE,"Plan v. Act"}</definedName>
    <definedName name="wrn.ops._.costs." hidden="1">{"page1",#N/A,FALSE,"APCI Operations Detail  ";"page2",#N/A,FALSE,"APCI Operations Detail  ";"page3",#N/A,FALSE,"APCI Operations Detail  ";"page4",#N/A,FALSE,"APCI Operations Detail  "}</definedName>
    <definedName name="wrn.OPSUMM." hidden="1">{#N/A,#N/A,FALSE,"BAGOSLEA"}</definedName>
    <definedName name="wrn.OTC._.Market._.Report." hidden="1">{#N/A,#N/A,FALSE,"Sales Graph";#N/A,#N/A,FALSE,"BUC Graph";#N/A,#N/A,FALSE,"P&amp;L - YTD"}</definedName>
    <definedName name="wrn.Other._.Pharm." hidden="1">{#N/A,#N/A,FALSE,"Other";#N/A,#N/A,FALSE,"Ace";#N/A,#N/A,FALSE,"Derm"}</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vhd." hidden="1">{#N/A,#N/A,FALSE,"OVHDSUM"}</definedName>
    <definedName name="wrn.ovhd1." hidden="1">{#N/A,#N/A,FALSE,"OVHDSUM"}</definedName>
    <definedName name="wrn.p" hidden="1">{#N/A,#N/A,FALSE,"1";#N/A,#N/A,FALSE,"2";#N/A,#N/A,FALSE,"16 - 17";#N/A,#N/A,FALSE,"18 - 19";#N/A,#N/A,FALSE,"26";#N/A,#N/A,FALSE,"27";#N/A,#N/A,FALSE,"28"}</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GE._.1." hidden="1">{#N/A,#N/A,FALSE,"Job Sched"}</definedName>
    <definedName name="wrn.PAGE._.2." hidden="1">{"PAGE 2",#N/A,FALSE,"WEST_OT"}</definedName>
    <definedName name="wrn.PAGE._.3." hidden="1">{"PAGE 2",#N/A,FALSE,"WEST_OT"}</definedName>
    <definedName name="wrn.page57to67." hidden="1">{#N/A,#N/A,FALSE,"57";#N/A,#N/A,FALSE,"58";#N/A,#N/A,FALSE,"59";#N/A,#N/A,FALSE,"60";#N/A,#N/A,FALSE,"60A";#N/A,#N/A,FALSE,"61";#N/A,#N/A,FALSE,"62";#N/A,#N/A,FALSE,"63";#N/A,#N/A,FALSE,"63A";#N/A,#N/A,FALSE,"64";#N/A,#N/A,FALSE,"65";#N/A,#N/A,FALSE,"66";#N/A,#N/A,FALSE,"67"}</definedName>
    <definedName name="wrn.page57to67._1" hidden="1">{#N/A,#N/A,FALSE,"57";#N/A,#N/A,FALSE,"58";#N/A,#N/A,FALSE,"59";#N/A,#N/A,FALSE,"60";#N/A,#N/A,FALSE,"60A";#N/A,#N/A,FALSE,"61";#N/A,#N/A,FALSE,"62";#N/A,#N/A,FALSE,"63";#N/A,#N/A,FALSE,"63A";#N/A,#N/A,FALSE,"64";#N/A,#N/A,FALSE,"65";#N/A,#N/A,FALSE,"66";#N/A,#N/A,FALSE,"67"}</definedName>
    <definedName name="wrn.page57to67._1_1" hidden="1">{#N/A,#N/A,FALSE,"57";#N/A,#N/A,FALSE,"58";#N/A,#N/A,FALSE,"59";#N/A,#N/A,FALSE,"60";#N/A,#N/A,FALSE,"60A";#N/A,#N/A,FALSE,"61";#N/A,#N/A,FALSE,"62";#N/A,#N/A,FALSE,"63";#N/A,#N/A,FALSE,"63A";#N/A,#N/A,FALSE,"64";#N/A,#N/A,FALSE,"65";#N/A,#N/A,FALSE,"66";#N/A,#N/A,FALSE,"67"}</definedName>
    <definedName name="wrn.page57to67._1_2" hidden="1">{#N/A,#N/A,FALSE,"57";#N/A,#N/A,FALSE,"58";#N/A,#N/A,FALSE,"59";#N/A,#N/A,FALSE,"60";#N/A,#N/A,FALSE,"60A";#N/A,#N/A,FALSE,"61";#N/A,#N/A,FALSE,"62";#N/A,#N/A,FALSE,"63";#N/A,#N/A,FALSE,"63A";#N/A,#N/A,FALSE,"64";#N/A,#N/A,FALSE,"65";#N/A,#N/A,FALSE,"66";#N/A,#N/A,FALSE,"67"}</definedName>
    <definedName name="wrn.page57to67._1_3" hidden="1">{#N/A,#N/A,FALSE,"57";#N/A,#N/A,FALSE,"58";#N/A,#N/A,FALSE,"59";#N/A,#N/A,FALSE,"60";#N/A,#N/A,FALSE,"60A";#N/A,#N/A,FALSE,"61";#N/A,#N/A,FALSE,"62";#N/A,#N/A,FALSE,"63";#N/A,#N/A,FALSE,"63A";#N/A,#N/A,FALSE,"64";#N/A,#N/A,FALSE,"65";#N/A,#N/A,FALSE,"66";#N/A,#N/A,FALSE,"67"}</definedName>
    <definedName name="wrn.page57to67._1_4" hidden="1">{#N/A,#N/A,FALSE,"57";#N/A,#N/A,FALSE,"58";#N/A,#N/A,FALSE,"59";#N/A,#N/A,FALSE,"60";#N/A,#N/A,FALSE,"60A";#N/A,#N/A,FALSE,"61";#N/A,#N/A,FALSE,"62";#N/A,#N/A,FALSE,"63";#N/A,#N/A,FALSE,"63A";#N/A,#N/A,FALSE,"64";#N/A,#N/A,FALSE,"65";#N/A,#N/A,FALSE,"66";#N/A,#N/A,FALSE,"67"}</definedName>
    <definedName name="wrn.page57to67._2" hidden="1">{#N/A,#N/A,FALSE,"57";#N/A,#N/A,FALSE,"58";#N/A,#N/A,FALSE,"59";#N/A,#N/A,FALSE,"60";#N/A,#N/A,FALSE,"60A";#N/A,#N/A,FALSE,"61";#N/A,#N/A,FALSE,"62";#N/A,#N/A,FALSE,"63";#N/A,#N/A,FALSE,"63A";#N/A,#N/A,FALSE,"64";#N/A,#N/A,FALSE,"65";#N/A,#N/A,FALSE,"66";#N/A,#N/A,FALSE,"67"}</definedName>
    <definedName name="wrn.page57to67._3" hidden="1">{#N/A,#N/A,FALSE,"57";#N/A,#N/A,FALSE,"58";#N/A,#N/A,FALSE,"59";#N/A,#N/A,FALSE,"60";#N/A,#N/A,FALSE,"60A";#N/A,#N/A,FALSE,"61";#N/A,#N/A,FALSE,"62";#N/A,#N/A,FALSE,"63";#N/A,#N/A,FALSE,"63A";#N/A,#N/A,FALSE,"64";#N/A,#N/A,FALSE,"65";#N/A,#N/A,FALSE,"66";#N/A,#N/A,FALSE,"67"}</definedName>
    <definedName name="wrn.page57to67._4" hidden="1">{#N/A,#N/A,FALSE,"57";#N/A,#N/A,FALSE,"58";#N/A,#N/A,FALSE,"59";#N/A,#N/A,FALSE,"60";#N/A,#N/A,FALSE,"60A";#N/A,#N/A,FALSE,"61";#N/A,#N/A,FALSE,"62";#N/A,#N/A,FALSE,"63";#N/A,#N/A,FALSE,"63A";#N/A,#N/A,FALSE,"64";#N/A,#N/A,FALSE,"65";#N/A,#N/A,FALSE,"66";#N/A,#N/A,FALSE,"67"}</definedName>
    <definedName name="wrn.page57to67._5" hidden="1">{#N/A,#N/A,FALSE,"57";#N/A,#N/A,FALSE,"58";#N/A,#N/A,FALSE,"59";#N/A,#N/A,FALSE,"60";#N/A,#N/A,FALSE,"60A";#N/A,#N/A,FALSE,"61";#N/A,#N/A,FALSE,"62";#N/A,#N/A,FALSE,"63";#N/A,#N/A,FALSE,"63A";#N/A,#N/A,FALSE,"64";#N/A,#N/A,FALSE,"65";#N/A,#N/A,FALSE,"66";#N/A,#N/A,FALSE,"67"}</definedName>
    <definedName name="wrn.Pages._.28._.to._.50."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_1"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_2"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_3"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_4"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2"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3"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4"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5"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51._.to._.66." hidden="1">{#N/A,#N/A,FALSE,"51";#N/A,#N/A,FALSE,"52";#N/A,#N/A,FALSE,"53";#N/A,#N/A,FALSE,"54";#N/A,#N/A,FALSE,"55";#N/A,#N/A,FALSE,"55A";#N/A,#N/A,FALSE,"56";#N/A,#N/A,FALSE,"57";#N/A,#N/A,FALSE,"57A";#N/A,#N/A,FALSE,"58";#N/A,#N/A,FALSE,"59";#N/A,#N/A,FALSE,"60";#N/A,#N/A,FALSE,"60A";#N/A,#N/A,FALSE,"61";#N/A,#N/A,FALSE,"62";#N/A,#N/A,FALSE,"63";#N/A,#N/A,FALSE,"63A";#N/A,#N/A,FALSE,"64";#N/A,#N/A,FALSE,"65";#N/A,#N/A,FALSE,"66"}</definedName>
    <definedName name="wrn.Pages._.51._.to._.66._1" hidden="1">{#N/A,#N/A,FALSE,"51";#N/A,#N/A,FALSE,"52";#N/A,#N/A,FALSE,"53";#N/A,#N/A,FALSE,"54";#N/A,#N/A,FALSE,"55";#N/A,#N/A,FALSE,"55A";#N/A,#N/A,FALSE,"56";#N/A,#N/A,FALSE,"57";#N/A,#N/A,FALSE,"57A";#N/A,#N/A,FALSE,"58";#N/A,#N/A,FALSE,"59";#N/A,#N/A,FALSE,"60";#N/A,#N/A,FALSE,"60A";#N/A,#N/A,FALSE,"61";#N/A,#N/A,FALSE,"62";#N/A,#N/A,FALSE,"63";#N/A,#N/A,FALSE,"63A";#N/A,#N/A,FALSE,"64";#N/A,#N/A,FALSE,"65";#N/A,#N/A,FALSE,"66"}</definedName>
    <definedName name="wrn.Pages._.51._.to._.66._1_1" hidden="1">{#N/A,#N/A,FALSE,"51";#N/A,#N/A,FALSE,"52";#N/A,#N/A,FALSE,"53";#N/A,#N/A,FALSE,"54";#N/A,#N/A,FALSE,"55";#N/A,#N/A,FALSE,"55A";#N/A,#N/A,FALSE,"56";#N/A,#N/A,FALSE,"57";#N/A,#N/A,FALSE,"57A";#N/A,#N/A,FALSE,"58";#N/A,#N/A,FALSE,"59";#N/A,#N/A,FALSE,"60";#N/A,#N/A,FALSE,"60A";#N/A,#N/A,FALSE,"61";#N/A,#N/A,FALSE,"62";#N/A,#N/A,FALSE,"63";#N/A,#N/A,FALSE,"63A";#N/A,#N/A,FALSE,"64";#N/A,#N/A,FALSE,"65";#N/A,#N/A,FALSE,"66"}</definedName>
    <definedName name="wrn.Pages._.51._.to._.66._1_2" hidden="1">{#N/A,#N/A,FALSE,"51";#N/A,#N/A,FALSE,"52";#N/A,#N/A,FALSE,"53";#N/A,#N/A,FALSE,"54";#N/A,#N/A,FALSE,"55";#N/A,#N/A,FALSE,"55A";#N/A,#N/A,FALSE,"56";#N/A,#N/A,FALSE,"57";#N/A,#N/A,FALSE,"57A";#N/A,#N/A,FALSE,"58";#N/A,#N/A,FALSE,"59";#N/A,#N/A,FALSE,"60";#N/A,#N/A,FALSE,"60A";#N/A,#N/A,FALSE,"61";#N/A,#N/A,FALSE,"62";#N/A,#N/A,FALSE,"63";#N/A,#N/A,FALSE,"63A";#N/A,#N/A,FALSE,"64";#N/A,#N/A,FALSE,"65";#N/A,#N/A,FALSE,"66"}</definedName>
    <definedName name="wrn.Pages._.51._.to._.66._1_3" hidden="1">{#N/A,#N/A,FALSE,"51";#N/A,#N/A,FALSE,"52";#N/A,#N/A,FALSE,"53";#N/A,#N/A,FALSE,"54";#N/A,#N/A,FALSE,"55";#N/A,#N/A,FALSE,"55A";#N/A,#N/A,FALSE,"56";#N/A,#N/A,FALSE,"57";#N/A,#N/A,FALSE,"57A";#N/A,#N/A,FALSE,"58";#N/A,#N/A,FALSE,"59";#N/A,#N/A,FALSE,"60";#N/A,#N/A,FALSE,"60A";#N/A,#N/A,FALSE,"61";#N/A,#N/A,FALSE,"62";#N/A,#N/A,FALSE,"63";#N/A,#N/A,FALSE,"63A";#N/A,#N/A,FALSE,"64";#N/A,#N/A,FALSE,"65";#N/A,#N/A,FALSE,"66"}</definedName>
    <definedName name="wrn.Pages._.51._.to._.66._1_4" hidden="1">{#N/A,#N/A,FALSE,"51";#N/A,#N/A,FALSE,"52";#N/A,#N/A,FALSE,"53";#N/A,#N/A,FALSE,"54";#N/A,#N/A,FALSE,"55";#N/A,#N/A,FALSE,"55A";#N/A,#N/A,FALSE,"56";#N/A,#N/A,FALSE,"57";#N/A,#N/A,FALSE,"57A";#N/A,#N/A,FALSE,"58";#N/A,#N/A,FALSE,"59";#N/A,#N/A,FALSE,"60";#N/A,#N/A,FALSE,"60A";#N/A,#N/A,FALSE,"61";#N/A,#N/A,FALSE,"62";#N/A,#N/A,FALSE,"63";#N/A,#N/A,FALSE,"63A";#N/A,#N/A,FALSE,"64";#N/A,#N/A,FALSE,"65";#N/A,#N/A,FALSE,"66"}</definedName>
    <definedName name="wrn.Pages._.51._.to._.66._2" hidden="1">{#N/A,#N/A,FALSE,"51";#N/A,#N/A,FALSE,"52";#N/A,#N/A,FALSE,"53";#N/A,#N/A,FALSE,"54";#N/A,#N/A,FALSE,"55";#N/A,#N/A,FALSE,"55A";#N/A,#N/A,FALSE,"56";#N/A,#N/A,FALSE,"57";#N/A,#N/A,FALSE,"57A";#N/A,#N/A,FALSE,"58";#N/A,#N/A,FALSE,"59";#N/A,#N/A,FALSE,"60";#N/A,#N/A,FALSE,"60A";#N/A,#N/A,FALSE,"61";#N/A,#N/A,FALSE,"62";#N/A,#N/A,FALSE,"63";#N/A,#N/A,FALSE,"63A";#N/A,#N/A,FALSE,"64";#N/A,#N/A,FALSE,"65";#N/A,#N/A,FALSE,"66"}</definedName>
    <definedName name="wrn.Pages._.51._.to._.66._3" hidden="1">{#N/A,#N/A,FALSE,"51";#N/A,#N/A,FALSE,"52";#N/A,#N/A,FALSE,"53";#N/A,#N/A,FALSE,"54";#N/A,#N/A,FALSE,"55";#N/A,#N/A,FALSE,"55A";#N/A,#N/A,FALSE,"56";#N/A,#N/A,FALSE,"57";#N/A,#N/A,FALSE,"57A";#N/A,#N/A,FALSE,"58";#N/A,#N/A,FALSE,"59";#N/A,#N/A,FALSE,"60";#N/A,#N/A,FALSE,"60A";#N/A,#N/A,FALSE,"61";#N/A,#N/A,FALSE,"62";#N/A,#N/A,FALSE,"63";#N/A,#N/A,FALSE,"63A";#N/A,#N/A,FALSE,"64";#N/A,#N/A,FALSE,"65";#N/A,#N/A,FALSE,"66"}</definedName>
    <definedName name="wrn.Pages._.51._.to._.66._4" hidden="1">{#N/A,#N/A,FALSE,"51";#N/A,#N/A,FALSE,"52";#N/A,#N/A,FALSE,"53";#N/A,#N/A,FALSE,"54";#N/A,#N/A,FALSE,"55";#N/A,#N/A,FALSE,"55A";#N/A,#N/A,FALSE,"56";#N/A,#N/A,FALSE,"57";#N/A,#N/A,FALSE,"57A";#N/A,#N/A,FALSE,"58";#N/A,#N/A,FALSE,"59";#N/A,#N/A,FALSE,"60";#N/A,#N/A,FALSE,"60A";#N/A,#N/A,FALSE,"61";#N/A,#N/A,FALSE,"62";#N/A,#N/A,FALSE,"63";#N/A,#N/A,FALSE,"63A";#N/A,#N/A,FALSE,"64";#N/A,#N/A,FALSE,"65";#N/A,#N/A,FALSE,"66"}</definedName>
    <definedName name="wrn.Pages._.51._.to._.66._5" hidden="1">{#N/A,#N/A,FALSE,"51";#N/A,#N/A,FALSE,"52";#N/A,#N/A,FALSE,"53";#N/A,#N/A,FALSE,"54";#N/A,#N/A,FALSE,"55";#N/A,#N/A,FALSE,"55A";#N/A,#N/A,FALSE,"56";#N/A,#N/A,FALSE,"57";#N/A,#N/A,FALSE,"57A";#N/A,#N/A,FALSE,"58";#N/A,#N/A,FALSE,"59";#N/A,#N/A,FALSE,"60";#N/A,#N/A,FALSE,"60A";#N/A,#N/A,FALSE,"61";#N/A,#N/A,FALSE,"62";#N/A,#N/A,FALSE,"63";#N/A,#N/A,FALSE,"63A";#N/A,#N/A,FALSE,"64";#N/A,#N/A,FALSE,"65";#N/A,#N/A,FALSE,"66"}</definedName>
    <definedName name="wrn.pages._.88._.to._.end."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_1"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_2"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_3"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_4"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2"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3"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4"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5"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ing._.Compco." hidden="1">{"financials",#N/A,TRUE,"6_30_96";"footnotes",#N/A,TRUE,"6_30_96";"valuation",#N/A,TRUE,"6_30_96"}</definedName>
    <definedName name="wrn.PARTNERS._.CAPITAL._.STMT." hidden="1">{"PARTNERS CAPITAL STMT",#N/A,FALSE,"Partners Capital"}</definedName>
    <definedName name="wrn.Penn._.PSC._.part._.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_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_2"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_3"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_4"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2"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3"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4"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5"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_1"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_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_3"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_4"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3"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4"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5"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harm._.Market._.Report." hidden="1">{#N/A,#N/A,FALSE,"Sales Graph";#N/A,#N/A,FALSE,"PSBM";#N/A,#N/A,FALSE,"BUC Graph";#N/A,#N/A,FALSE,"P&amp;L - YTD"}</definedName>
    <definedName name="wrn.Pharmaceuticals."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se._.in." hidden="1">{"Phase in summary",#N/A,FALSE,"P&amp;L Phased"}</definedName>
    <definedName name="wrn.PL._.Detail." hidden="1">{#N/A,#N/A,FALSE,"P&amp;L Detail";#N/A,#N/A,FALSE,"P&amp;L Detail";#N/A,#N/A,FALSE,"P&amp;L Detail"}</definedName>
    <definedName name="wrn.PLC._.Co.._.budget._.months."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mpany._.budget._.years." hidden="1">{"PLC Company Budget years",#N/A,TRUE,"Profit and Loss";"PLC Company Budget years",#N/A,TRUE,"Firm capex";"PLC Company Budget years",#N/A,TRUE,"Gross profit analysis";"PLC Company Budget years",#N/A,TRUE,"Cashflow";"PLC Company Budget years",#N/A,TRUE,"Balance Sheet"}</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pp" hidden="1">{#N/A,#N/A,FALSE,"1";#N/A,#N/A,FALSE,"2";#N/A,#N/A,FALSE,"16 - 17";#N/A,#N/A,FALSE,"18 - 19";#N/A,#N/A,FALSE,"26";#N/A,#N/A,FALSE,"27";#N/A,#N/A,FALSE,"28"}</definedName>
    <definedName name="wrn.PRES_OUT." hidden="1">{"page1",#N/A,FALSE,"PRESENTATION";"page2",#N/A,FALSE,"PRESENTATION";#N/A,#N/A,FALSE,"Valuation Summary"}</definedName>
    <definedName name="wrn.PRES_OUT2" hidden="1">{"page1",#N/A,FALSE,"PRESENTATION";"page2",#N/A,FALSE,"PRESENTATION";#N/A,#N/A,FALSE,"Valuation Summary"}</definedName>
    <definedName name="wrn.Pres_OUT3" hidden="1">{"page1",#N/A,FALSE,"PRESENTATION";"page2",#N/A,FALSE,"PRESENTATION";#N/A,#N/A,FALSE,"Valuation Summary"}</definedName>
    <definedName name="wrn.PRES_OUT4" hidden="1">{"page1",#N/A,FALSE,"PRESENTATION";"page2",#N/A,FALSE,"PRESENTATION";#N/A,#N/A,FALSE,"Valuation Summary"}</definedName>
    <definedName name="wrn.PRES_OUT5" hidden="1">{"page1",#N/A,FALSE,"PRESENTATION";"page2",#N/A,FALSE,"PRESENTATION";#N/A,#N/A,FALSE,"Valuation Summary"}</definedName>
    <definedName name="wrn.PRES_OUT6" hidden="1">{"page1",#N/A,FALSE,"PRESENTATION";"page2",#N/A,FALSE,"PRESENTATION";#N/A,#N/A,FALSE,"Valuation Summary"}</definedName>
    <definedName name="wrn.PRES_OUT8" hidden="1">{"page1",#N/A,FALSE,"PRESENTATION";"page2",#N/A,FALSE,"PRESENTATION";#N/A,#N/A,FALSE,"Valuation Summary"}</definedName>
    <definedName name="wrn.prin2._.all." hidden="1">{#N/A,#N/A,FALSE,"Pharm";#N/A,#N/A,FALSE,"WWCM"}</definedName>
    <definedName name="wrn.prin3" hidden="1">{#N/A,#N/A,FALSE,"Pharm";#N/A,#N/A,FALSE,"WWCM"}</definedName>
    <definedName name="wrn.print" hidden="1">{#N/A,#N/A,FALSE,"Pharm";#N/A,#N/A,FALSE,"WWCM"}</definedName>
    <definedName name="wrn.print." hidden="1">{#N/A,#N/A,FALSE,"Japan 2003";#N/A,#N/A,FALSE,"Sheet2"}</definedName>
    <definedName name="wrn.Print._.24." hidden="1">{#N/A,#N/A,FALSE,"Index";"Stmts_Qtrs",#N/A,FALSE,"Summary";"Stmts_24 mo",#N/A,FALSE,"Summary";"Summary_24",#N/A,FALSE,"Revenue";"Month_24",#N/A,FALSE,"Engineering";"Month_24",#N/A,FALSE,"Marketing";"Month_24",#N/A,FALSE,"G &amp; A";"Month_24",#N/A,FALSE,"Manufacturing"}</definedName>
    <definedName name="wrn.Print._.All." hidden="1">{"IS Years",#N/A,FALSE,"Income Statement";"IS Q96",#N/A,FALSE,"Income Statement";"IS Q97",#N/A,FALSE,"Income Statement";"Corporate",#N/A,FALSE,"Corporate Profile";"Netbacks",#N/A,FALSE,"Netbacks"}</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All._.Worksheets." hidden="1">{#N/A,#N/A,FALSE,"Capitaliztion Matrix";#N/A,#N/A,FALSE,"4YR P&amp;L";#N/A,#N/A,FALSE,"Program Contributions";#N/A,#N/A,FALSE,"P&amp;L Trans YR 2";#N/A,#N/A,FALSE,"Rev &amp; EBITDA YR2";#N/A,#N/A,FALSE,"P&amp;L Trans YR 1";#N/A,#N/A,FALSE,"Rev &amp; EBITDA YR1"}</definedName>
    <definedName name="wrn.PRINT._.ALL.2" hidden="1">{#N/A,#N/A,FALSE,"Pharm";#N/A,#N/A,FALSE,"WWCM"}</definedName>
    <definedName name="wrn.print._.all2" hidden="1">{#N/A,#N/A,FALSE,"Pharm";#N/A,#N/A,FALSE,"WWCM"}</definedName>
    <definedName name="wrn.PRINT._.FULL." hidden="1">{#N/A,#N/A,FALSE,"face";#N/A,#N/A,FALSE,"RETURN SUMMARY ";#N/A,#N/A,FALSE,"return RS";#N/A,#N/A,FALSE,"return US$";#N/A,#N/A,FALSE,"Key Ratio";#N/A,#N/A,FALSE,"input";#N/A,#N/A,FALSE,"fnplan";#N/A,#N/A,FALSE,"RsKW";#N/A,#N/A,FALSE,"RsKW value";#N/A,#N/A,FALSE,"gen&amp;fuel";#N/A,#N/A,FALSE,"O&amp;M+admin";#N/A,#N/A,FALSE,"dep_rskw";#N/A,#N/A,FALSE,"wc_tariff";#N/A,#N/A,FALSE,"tax-tarif1";#N/A,#N/A,FALSE,"ROE";#N/A,#N/A,FALSE,"P&amp;L";#N/A,#N/A,FALSE,"fund";#N/A,#N/A,FALSE,"B.S.";#N/A,#N/A,FALSE,"wc-P&amp;L";#N/A,#N/A,FALSE,"tax-P&amp;L";#N/A,#N/A,FALSE,"dep-p&amp;l";#N/A,#N/A,FALSE,"Project Cost P&amp;L";#N/A,#N/A,FALSE,"IDCa";#N/A,#N/A,FALSE,"TN_PCOST";#N/A,#N/A,FALSE,"Local Debt in $ CEA";#N/A,#N/A,FALSE,"Debt Service"}</definedName>
    <definedName name="wrn.print._.graphs." hidden="1">{"cap_structure",#N/A,FALSE,"Graph-Mkt Cap";"price",#N/A,FALSE,"Graph-Price";"ebit",#N/A,FALSE,"Graph-EBITDA";"ebitda",#N/A,FALSE,"Graph-EBITDA"}</definedName>
    <definedName name="wrn.Print._.Model."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nthly._.Book." hidden="1">{#N/A,#N/A,FALSE,"Cover_Sht";#N/A,#N/A,FALSE,"FR_Contents";#N/A,#N/A,FALSE,"Con_ytd_p&amp;l";#N/A,#N/A,FALSE,"Jas_ytd_p&amp;l";#N/A,#N/A,FALSE,"Roy_ytd_p&amp;l";#N/A,#N/A,FALSE,"Customer_p&amp;l";#N/A,#N/A,FALSE,"Con_prd_p&amp;l";#N/A,#N/A,FALSE,"Jas_prd_p&amp;l";#N/A,#N/A,FALSE,"Roy_prd_p&amp;l";#N/A,#N/A,FALSE,"Cur_proj";#N/A,#N/A,FALSE,"Bal_Sht";#N/A,#N/A,FALSE,"Cash_Flow";#N/A,#N/A,FALSE,"AR_TB";#N/A,#N/A,FALSE,"Cap_Exp";#N/A,#N/A,FALSE,"Manpwr"}</definedName>
    <definedName name="wrn.Print._.Out._.1." hidden="1">{"Five Year",#N/A,FALSE,"Summary (2)";"Month 1 and Years",#N/A,FALSE,"Cash Budget"}</definedName>
    <definedName name="wrn.Print._.Pages." hidden="1">{#N/A,#N/A,FALSE,"Page 1";#N/A,#N/A,FALSE,"Page 2";#N/A,#N/A,FALSE,"Page 3";#N/A,#N/A,FALSE,"Page 4";#N/A,#N/A,FALSE,"Page 5"}</definedName>
    <definedName name="wrn.Print._.PNL._.Download." hidden="1">{"PNLProjDL",#N/A,FALSE,"PROJCO";"PNLParDL",#N/A,FALSE,"Parent"}</definedName>
    <definedName name="wrn.print._.raw._.data._.entry." hidden="1">{"inputs raw data",#N/A,TRUE,"INPUT"}</definedName>
    <definedName name="wrn.print._.raw._data._.entry2." hidden="1">{"inputs raw data",#N/A,TRUE,"INPUT"}</definedName>
    <definedName name="wrn.print._.summary._.sheets." hidden="1">{"summary1",#N/A,TRUE,"Comps";"summary2",#N/A,TRUE,"Comps";"summary3",#N/A,TRUE,"Comps"}</definedName>
    <definedName name="wrn.print._.summary._.sheets.2" hidden="1">{"summary1",#N/A,TRUE,"Comps";"summary2",#N/A,TRUE,"Comps";"summary3",#N/A,TRUE,"Comps"}</definedName>
    <definedName name="wrn.Print._.whole._.Report."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all1." hidden="1">{#N/A,#N/A,FALSE,"Pharm";#N/A,#N/A,FALSE,"WWCM"}</definedName>
    <definedName name="wrn.Print_Buyer." hidden="1">{#N/A,"DR",FALSE,"increm pf";#N/A,"MAMSI",FALSE,"increm pf";#N/A,"MAXI",FALSE,"increm pf";#N/A,"PCAM",FALSE,"increm pf";#N/A,"PHSV",FALSE,"increm pf";#N/A,"SIE",FALSE,"increm pf"}</definedName>
    <definedName name="wrn.Print_Earnings_template." hidden="1">{"by_month",#N/A,TRUE,"template";"destec_month",#N/A,TRUE,"template";"by_quarter",#N/A,TRUE,"template";"destec_quarter",#N/A,TRUE,"template";"by_year",#N/A,TRUE,"template";"destec_annual",#N/A,TRUE,"template"}</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Var_page." hidden="1">{"var_page",#N/A,FALSE,"template"}</definedName>
    <definedName name="wrn.print_variance." hidden="1">{"var_report",#N/A,FALSE,"template"}</definedName>
    <definedName name="wrn.Print_Variance_Page." hidden="1">{"variance_page",#N/A,FALSE,"template"}</definedName>
    <definedName name="wrn.print2" hidden="1">{#N/A,#N/A,FALSE,"Pharm";#N/A,#N/A,FALSE,"WWCM"}</definedName>
    <definedName name="wrn.PRINT2." hidden="1">{"PAGE1",#N/A,FALSE,"ADJMODL";"PAGE2",#N/A,FALSE,"ADJMODL";"PAGE3",#N/A,FALSE,"ADJMODL";"PAGE4",#N/A,FALSE,"ADJMODL";"PAGE5",#N/A,FALSE,"ADJMODL";"PAGE6",#N/A,FALSE,"ADJMODL";"PAGE7",#N/A,FALSE,"ADJMODL";"PAGE8",#N/A,FALSE,"ADJMODL"}</definedName>
    <definedName name="wrn.print3."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ac." hidden="1">{#N/A,#N/A,FALSE,"Op-BS";#N/A,#N/A,FALSE,"Assum";#N/A,#N/A,FALSE,"IS";#N/A,#N/A,FALSE,"Syn+Elim";#N/A,#N/A,FALSE,"BSCF";#N/A,#N/A,FALSE,"Blue_IS";#N/A,#N/A,FALSE,"Blue_BSCF";#N/A,#N/A,FALSE,"Ratings"}</definedName>
    <definedName name="wrn.PrintAll." hidden="1">{"PA1",#N/A,TRUE,"BORDMW";"pa2",#N/A,TRUE,"BORDMW";"PA3",#N/A,TRUE,"BORDMW";"PA4",#N/A,TRUE,"BORDMW"}</definedName>
    <definedName name="wrn.printqtr." hidden="1">{"nytasecond",#N/A,FALSE,"NYTQTRS";"nytafirst",#N/A,FALSE,"NYTQTRS";"nytathird",#N/A,FALSE,"NYTQTRS";"nytafourth",#N/A,FALSE,"NYTQTRS";"nytafull",#N/A,FALSE,"NYTQTRS"}</definedName>
    <definedName name="wrn.PRINTREP." hidden="1">{"PRINTREP",#N/A,FALSE,"Sheet1"}</definedName>
    <definedName name="wrn.PRNE._.Profit._.and._.Loss._.detail." hidden="1">{#N/A,#N/A,TRUE,"PRNE CORE";#N/A,#N/A,TRUE,"Targeting";#N/A,#N/A,TRUE,"Distribution";#N/A,#N/A,TRUE,"Measurement"}</definedName>
    <definedName name="wrn.PROD._.PLAN._.OPTION._.4." hidden="1">{"TOP 4",#N/A,FALSE,"MVR_SUM OPTION 4 BY MO";"TOP 3A",#N/A,FALSE,"MVR_SUM OPTION 3A BY MO";"TOP OPT 4 VS 3A",#N/A,FALSE,"MVR_SUM OPTION 4 VS 3A BY MO";#N/A,#N/A,FALSE,"MVR_SUM OPTION 4 SUM";#N/A,#N/A,FALSE,"PROD PLAN 4";#N/A,#N/A,FALSE,"PROD PLAN 3A";#N/A,#N/A,FALSE,"PROD UNITS 4 VS 3A";#N/A,#N/A,FALSE,"DLV 4 VS 3A";#N/A,#N/A,FALSE,"SPD 4 VS 3A";#N/A,#N/A,FALSE,"ABS 4 VS 3A"}</definedName>
    <definedName name="wrn.products" hidden="1">{#N/A,#N/A,FALSE,"1";#N/A,#N/A,FALSE,"2";#N/A,#N/A,FALSE,"16 - 17";#N/A,#N/A,FALSE,"18 - 19";#N/A,#N/A,FALSE,"26";#N/A,#N/A,FALSE,"27";#N/A,#N/A,FALSE,"28"}</definedName>
    <definedName name="wrn.Products." hidden="1">{#N/A,#N/A,FALSE,"1";#N/A,#N/A,FALSE,"2";#N/A,#N/A,FALSE,"16 - 17";#N/A,#N/A,FALSE,"18 - 19";#N/A,#N/A,FALSE,"26";#N/A,#N/A,FALSE,"27";#N/A,#N/A,FALSE,"28"}</definedName>
    <definedName name="wrn.Proforma." hidden="1">{"coversht",#N/A,TRUE,"TOC";"assmp1",#N/A,TRUE,"ASS";"assmp2",#N/A,TRUE,"ASS";"cashfl1",#N/A,TRUE,"CF";"return1",#N/A,TRUE,"Return";"return2",#N/A,TRUE,"Return";"EIncome",#N/A,TRUE,"EINC";"rev1",#N/A,TRUE,"Rev";"rev2",#N/A,TRUE,"Rev";"exp1",#N/A,TRUE,"Exp";"exp2",#N/A,TRUE,"Exp";"exp3",#N/A,TRUE,"Exp";"exp4",#N/A,TRUE,"Exp";"MaintRes",#N/A,TRUE,"MRES";"drwdn1",#N/A,TRUE,"Drwdn";"drwdn2",#N/A,TRUE,"Drwdn";"drwdn3",#N/A,TRUE,"Drwdn";"debt1",#N/A,TRUE,"Fin";"debt2",#N/A,TRUE,"Fin";"tax1",#N/A,TRUE,"TAXES";"tax2",#N/A,TRUE,"TAXES";"Deprec",#N/A,TRUE,"DEPR";"Balsht1",#N/A,TRUE,"BS_IS";"Balsht2",#N/A,TRUE,"BS_IS";"Ref1",#N/A,TRUE,"REF1";"Ref2",#N/A,TRUE,"REF2";"Ref3",#N/A,TRUE,"REF3";"Ref4",#N/A,TRUE,"REF4"}</definedName>
    <definedName name="wrn.Project._.Summary." hidden="1">{"Summary",#N/A,FALSE,"MICMULT";"Income Statement",#N/A,FALSE,"MICMULT";"Cash Flows",#N/A,FALSE,"MICMULT"}</definedName>
    <definedName name="wrn.pror" hidden="1">{#N/A,#N/A,FALSE,"Pharm";#N/A,#N/A,FALSE,"WWCM"}</definedName>
    <definedName name="wrn.PROVSS." hidden="1">{"FOOTNOTE",#N/A,FALSE,"PROV";"SUMMARY",#N/A,FALSE,"PROV";"RATE",#N/A,FALSE,"PROV";"PROV CALC",#N/A,FALSE,"PROV";"PROV TO TR",#N/A,FALSE,"PROV";"TAX ACCOUNT ANAL",#N/A,FALSE,"PROV"}</definedName>
    <definedName name="wrn.Pulp." hidden="1">{"Pulp Production",#N/A,FALSE,"Pulp";"Pulp Earnings",#N/A,FALSE,"Pulp"}</definedName>
    <definedName name="wrn.Pulp.2" hidden="1">{"Pulp Production",#N/A,FALSE,"Pulp";"Pulp Earnings",#N/A,FALSE,"Pulp"}</definedName>
    <definedName name="wrn.Pulp.3" hidden="1">{"Pulp Production",#N/A,FALSE,"Pulp";"Pulp Earnings",#N/A,FALSE,"Pulp"}</definedName>
    <definedName name="wrn.Pulp.3.2" hidden="1">{"Pulp Production",#N/A,FALSE,"Pulp";"Pulp Earnings",#N/A,FALSE,"Pulp"}</definedName>
    <definedName name="wrn.Pulp.3.4" hidden="1">{"Pulp Production",#N/A,FALSE,"Pulp";"Pulp Earnings",#N/A,FALSE,"Pulp"}</definedName>
    <definedName name="wrn.Pulp.3.6" hidden="1">{"Pulp Production",#N/A,FALSE,"Pulp";"Pulp Earnings",#N/A,FALSE,"Pulp"}</definedName>
    <definedName name="wrn.Pulp.4" hidden="1">{"Pulp Production",#N/A,FALSE,"Pulp";"Pulp Earnings",#N/A,FALSE,"Pulp"}</definedName>
    <definedName name="wrn.Pulp.5" hidden="1">{"Pulp Production",#N/A,FALSE,"Pulp";"Pulp Earnings",#N/A,FALSE,"Pulp"}</definedName>
    <definedName name="wrn.Pulp.6" hidden="1">{"Pulp Production",#N/A,FALSE,"Pulp";"Pulp Earnings",#N/A,FALSE,"Pulp"}</definedName>
    <definedName name="wrn.Pulp.7" hidden="1">{"Pulp Production",#N/A,FALSE,"Pulp";"Pulp Earnings",#N/A,FALSE,"Pulp"}</definedName>
    <definedName name="wrn.Pulp.8" hidden="1">{"Pulp Production",#N/A,FALSE,"Pulp";"Pulp Earnings",#N/A,FALSE,"Pulp"}</definedName>
    <definedName name="wrn.Pulp.9" hidden="1">{"Pulp Production",#N/A,FALSE,"Pulp";"Pulp Earnings",#N/A,FALSE,"Pulp"}</definedName>
    <definedName name="wrn.Pump." hidden="1">{#N/A,#N/A,FALSE,"Assump";#N/A,#N/A,FALSE,"Income";#N/A,#N/A,FALSE,"Balance";#N/A,#N/A,FALSE,"DCF Pump";#N/A,#N/A,FALSE,"Trans Assump";#N/A,#N/A,FALSE,"Combined Income";#N/A,#N/A,FALSE,"Combined Balance"}</definedName>
    <definedName name="wrn.Qtr._.3." hidden="1">{"QTR3PL",#N/A,FALSE,"Qtr 3";"QTR3PLYTD",#N/A,FALSE,"Qtr 3";"QTR3BS",#N/A,FALSE,"Qtr 3";"QTR3CF",#N/A,FALSE,"Qtr 3";"QTR3CFYTD",#N/A,FALSE,"Qtr 3";"QTR3PGIPL",#N/A,FALSE,"Qtr 3";"QTR3PGIPLYTD",#N/A,FALSE,"Qtr 3";"QTR3PGIBS",#N/A,FALSE,"Qtr 3";"QTR3PGICF",#N/A,FALSE,"Qtr 3";"QTR3PGICFYTD",#N/A,FALSE,"Qtr 3"}</definedName>
    <definedName name="wrn.QTR1." hidden="1">{"QTR1PGIBS",#N/A,FALSE,"Qtr 1 PGI";"QTR1PGIPL",#N/A,FALSE,"Qtr 1 PGI";"QTR1PGICF",#N/A,FALSE,"Qtr 1 PGI";"QTR1BS",#N/A,FALSE,"Qtr 1 ";"QTR1PL",#N/A,FALSE,"Qtr 1 ";"QTR1CF",#N/A,FALSE,"Qtr 1 "}</definedName>
    <definedName name="wrn.Qtr2." hidden="1">{"QTR2PL",#N/A,FALSE,"Qtr 2";"QTR2PLYTD",#N/A,FALSE,"Qtr 2";"QTR2BS",#N/A,FALSE,"Qtr 2";"QTR2CF",#N/A,FALSE,"Qtr 2";"QTR2CFYTD",#N/A,FALSE,"Qtr 2";"QTR2PGIPL",#N/A,FALSE,"Qtr 2 PGI";"QTR2PGIPLYTD",#N/A,FALSE,"Qtr 2 PGI";"QTR2PGIBS",#N/A,FALSE,"Qtr 2 PGI";"QTR2PGICF",#N/A,FALSE,"Qtr 2 PGI";"QTR2PGICFYTD",#N/A,FALSE,"Qtr 2 PGI"}</definedName>
    <definedName name="wrn.qtrly._.PL._.summary._.FY01._.to._.FY03." hidden="1">{"qtrly summ-FY01",#N/A,FALSE,"P &amp; L";"qtrly summ-FY02",#N/A,FALSE,"P &amp; L";"qtrly summ-FY03",#N/A,FALSE,"P &amp; L"}</definedName>
    <definedName name="wrn.Quarterly._.Income._.Statement." hidden="1">{"Quarterly Income Statement",#N/A,FALSE,"P&amp;L Detail"}</definedName>
    <definedName name="wrn.Quarters." hidden="1">{"All Qtrs",#N/A,FALSE,"Curr Mo";"1001Q",#N/A,FALSE,"Curr Mo";"1002Q",#N/A,FALSE,"Curr Mo";"4012Q",#N/A,FALSE,"Curr Mo";"4017Q",#N/A,FALSE,"Curr Mo";"1050Q",#N/A,FALSE,"Curr Mo";"1009Q",#N/A,FALSE,"Curr Mo";"4079Q",#N/A,FALSE,"Curr Mo";"4077Q",#N/A,FALSE,"Curr Mo";"1005Q",#N/A,FALSE,"Curr Mo";"1008Q",#N/A,FALSE,"Curr Mo";"1011Q",#N/A,FALSE,"Curr Mo";"1006Q",#N/A,FALSE,"Curr Mo";"1024Q",#N/A,FALSE,"Curr Mo";"1003Q",#N/A,FALSE,"Curr Mo";"1025q",#N/A,FALSE,"Curr Mo";"4013Q",#N/A,FALSE,"Curr Mo";"1091Q",#N/A,FALSE,"Curr Mo";"1010Q",#N/A,FALSE,"Curr Mo";"1023Q",#N/A,FALSE,"Curr Mo";"4014Q",#N/A,FALSE,"Curr Mo";"1043Q",#N/A,FALSE,"Curr Mo";"1014Q",#N/A,FALSE,"Curr Mo";"1015Q",#N/A,FALSE,"Curr Mo";"1012Q",#N/A,FALSE,"Curr Mo";"1061Q",#N/A,FALSE,"Curr Mo";"1045Q",#N/A,FALSE,"Curr Mo";"4058Q",#N/A,FALSE,"Curr Mo";"1033Q",#N/A,FALSE,"Curr Mo";"1103Q",#N/A,FALSE,"Curr Mo";"4007Q",#N/A,FALSE,"Curr Mo";"4021Q",#N/A,FALSE,"Curr Mo";"4026Q",#N/A,FALSE,"Curr Mo";"4022Q",#N/A,FALSE,"Curr Mo";"4050Q",#N/A,FALSE,"Curr Mo";"4032Q",#N/A,FALSE,"Curr Mo";"4089Q",#N/A,FALSE,"Curr Mo";"1042Q",#N/A,FALSE,"Curr Mo";"1048Q",#N/A,FALSE,"Curr Mo";"4049Q",#N/A,FALSE,"Curr Mo"}</definedName>
    <definedName name="wrn.RANKED._.REC._.LLC." hidden="1">{#N/A,#N/A,FALSE,"BONDS";#N/A,#N/A,FALSE,"NON-LATIN";#N/A,#N/A,FALSE,"HY BONDS";#N/A,#N/A,FALSE,"LA-ASIAN";#N/A,#N/A,FALSE,"EMG REPO";#N/A,#N/A,FALSE,"TREASURY REPO";#N/A,#N/A,FALSE,"EMG BONDS";#N/A,#N/A,FALSE,"CREDIT DERIV";#N/A,#N/A,FALSE,"CORP DERIV"}</definedName>
    <definedName name="wrn.RANKED._.REV._.GRP._.LLC." hidden="1">{#N/A,#N/A,FALSE,"CURRENCY";#N/A,#N/A,FALSE,"BONDS";#N/A,#N/A,FALSE,"GOLD";#N/A,#N/A,FALSE,"EXOTICS";#N/A,#N/A,FALSE,"NON-LATIN";#N/A,#N/A,FALSE,"HY BONDS";#N/A,#N/A,FALSE,"LA-ASIAN";#N/A,#N/A,FALSE,"EMG REPO";#N/A,#N/A,FALSE,"TREASURY REPO";#N/A,#N/A,FALSE,"EMG BONDS";#N/A,#N/A,FALSE,"EM OPTIONS";#N/A,#N/A,FALSE,"CREDIT DERIV";#N/A,#N/A,FALSE,"CORP DERIV";#N/A,#N/A,FALSE,"NON-MEX SPOT";#N/A,#N/A,FALSE,"ELECTRICITY";#N/A,#N/A,FALSE,"FE ASIA SPOT";#N/A,#N/A,FALSE,"MEX  FWD NDF"}</definedName>
    <definedName name="wrn.Rapport." hidden="1">{#N/A,#N/A,FALSE,"SHEET1";#N/A,#N/A,FALSE,"SHEET2";#N/A,#N/A,FALSE,"SHEET3";#N/A,#N/A,FALSE,"SHEET4"}</definedName>
    <definedName name="wrn.Rapport._.complet." hidden="1">{#N/A,#N/A,FALSE,"Bilan d'ouverture";#N/A,#N/A,FALSE,"Résultats";#N/A,#N/A,FALSE,"Ventes";#N/A,#N/A,FALSE,"Hypothèse - fabrication";#N/A,#N/A,FALSE,"Hypothèse - coûts directs";#N/A,#N/A,FALSE,"Coût des ventes";#N/A,#N/A,FALSE,"Fabrication";#N/A,#N/A,FALSE,"FGF";#N/A,#N/A,FALSE,"Frais de vente";#N/A,#N/A,FALSE,"Frais d'administration";#N/A,#N/A,FALSE,"Frais financiers";#N/A,#N/A,FALSE,"Bilan";#N/A,#N/A,FALSE,"Trésorerie";#N/A,#N/A,FALSE,"Situation";#N/A,#N/A,FALSE,"Comptes clients";#N/A,#N/A,FALSE,"Perc";#N/A,#N/A,FALSE,"Stocks";#N/A,#N/A,FALSE,"FPA";#N/A,#N/A,FALSE,"Immobilisations";#N/A,#N/A,FALSE,"Autres actifs";#N/A,#N/A,FALSE,"Fournisseurs";#N/A,#N/A,FALSE,"Achats";#N/A,#N/A,FALSE,"Débours";#N/A,#N/A,FALSE,"Achats - Débours";#N/A,#N/A,FALSE,"Salaires";#N/A,#N/A,FALSE,"Taxes";#N/A,#N/A,FALSE,"DLT"}</definedName>
    <definedName name="wrn.Rapport._.détaillé." hidden="1">{#N/A,#N/A,TRUE,"Bilan";#N/A,#N/A,TRUE,"Résultats";#N/A,#N/A,TRUE,"Trésorerie";#N/A,#N/A,TRUE,"DLT";#N/A,#N/A,TRUE,"Situation";#N/A,#N/A,TRUE,"FGF";#N/A,#N/A,TRUE,"Frais de vente";#N/A,#N/A,TRUE,"Frais d'administration";#N/A,#N/A,TRUE,"Frais financiers"}</definedName>
    <definedName name="wrn.Rapport._.sommaire." hidden="1">{#N/A,#N/A,TRUE,"Bilan";#N/A,#N/A,TRUE,"Résultats";#N/A,#N/A,TRUE,"Trésorerie";#N/A,#N/A,TRUE,"DLT";#N/A,#N/A,TRUE,"Situation"}</definedName>
    <definedName name="wrn.Ratios." hidden="1">{"Ratios",#N/A,FALSE,"Ratios"}</definedName>
    <definedName name="wrn.Recovery." hidden="1">{#N/A,#N/A,FALSE,"COVER";#N/A,#N/A,FALSE,"Index";#N/A,#N/A,FALSE,"Summ_Products_Rec.97-98";#N/A,#N/A,FALSE,"QTR_Comp.";#N/A,#N/A,FALSE,"Summ_Detail_Rec.97-98";#N/A,#N/A,FALSE,"Summ_Agencies_Rec.97-98"}</definedName>
    <definedName name="wrn.red_take." hidden="1">{"red_take_pg1",#N/A,FALSE,"reduced_take";"red_take_pg2",#N/A,FALSE,"reduced_take";"red_take_pg3",#N/A,FALSE,"reduced_take";"red_take_pg4",#N/A,FALSE,"reduced_take";"red_take_pg5",#N/A,FALSE,"reduced_take";"red_take_pg6",#N/A,FALSE,"reduced_take"}</definedName>
    <definedName name="wrn.Reforcast._.Print." hidden="1">{#N/A,#N/A,FALSE,"RF Inc Stmt";#N/A,#N/A,FALSE,"RF-IS-1";#N/A,#N/A,FALSE,"RF-IS-2"}</definedName>
    <definedName name="wrn.Reforecast."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gions._.Bank." hidden="1">{#N/A,#N/A,FALSE,"Cover_Page";#N/A,#N/A,FALSE,"Balance Sheet FY12";#N/A,#N/A,FALSE,"Consolidated-Cash Flow";#N/A,#N/A,FALSE,"CY_Per Inc FY12"}</definedName>
    <definedName name="wrn.RELEVANTSHEETS." hidden="1">{#N/A,#N/A,FALSE,"AD_Purch";#N/A,#N/A,FALSE,"Projections";#N/A,#N/A,FALSE,"DCF";#N/A,#N/A,FALSE,"Mkt Val"}</definedName>
    <definedName name="wrn.Relvals." hidden="1">{"weekly",#N/A,FALSE,"HLTH_BND";"weekly",#N/A,FALSE,"PAP_BOND";#N/A,#N/A,FALSE,"RET_BND";"weekly",#N/A,FALSE,"CHM_BND";#N/A,#N/A,FALSE,"MOVIES";#N/A,#N/A,FALSE,"CABLE";#N/A,#N/A,FALSE,"BDCSTRV"}</definedName>
    <definedName name="wrn.rep_page." hidden="1">{"Annual_Income",#N/A,FALSE,"Report Page";"Balance_Cash_Flow",#N/A,FALSE,"Report Page";"Quarterly_Income",#N/A,FALSE,"Report Page"}</definedName>
    <definedName name="wrn.report"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hidden="1">{#N/A,#N/A,FALSE,"COVER";#N/A,#N/A,FALSE,"RATIOS";#N/A,#N/A,FALSE,"LEVERAGE";#N/A,#N/A,FALSE,"TIER-1";#N/A,#N/A,FALSE,"RISK BASED ASSETS";#N/A,#N/A,FALSE,"TIER-2"}</definedName>
    <definedName name="wrn.Report._.2." hidden="1">{#N/A,#N/A,TRUE,"Pivots-Employee";#N/A,"Scenerio2",TRUE,"Assumptions Summary"}</definedName>
    <definedName name="wrn.REPORT._.C." hidden="1">{#N/A,#N/A,TRUE,"Sch-5a";#N/A,#N/A,TRUE,"Sch-5b";#N/A,#N/A,TRUE,"Sch-5c";#N/A,#N/A,TRUE,"Sch-5d";#N/A,#N/A,TRUE,"Sch-6a";#N/A,#N/A,TRUE,"Sch-6b";#N/A,#N/A,TRUE,"Sch-6c";#N/A,#N/A,TRUE,"Sch-6d";#N/A,#N/A,TRUE,"Sch-6e"}</definedName>
    <definedName name="wrn.Report._.Summary." hidden="1">{#N/A,#N/A,FALSE,"March Details"}</definedName>
    <definedName name="wrn.Report_Page." hidden="1">{"Annual_Income",#N/A,FALSE,"Report Page";"Balance_Cash_Flow",#N/A,FALSE,"Report Page";"Quarterly_Income",#N/A,FALSE,"Report Page"}</definedName>
    <definedName name="wrn.Report_PR_1." hidden="1">{"PR1","pr1",TRUE,"Sch PR-1"}</definedName>
    <definedName name="wrn.Report1." hidden="1">{#N/A,#N/A,FALSE,"IS";#N/A,#N/A,FALSE,"BS";#N/A,#N/A,FALSE,"CF";#N/A,#N/A,FALSE,"CE";#N/A,#N/A,FALSE,"Depr";#N/A,#N/A,FALSE,"APAL"}</definedName>
    <definedName name="wrn.REPORTING._.PACKAGE." hidden="1">{#N/A,#N/A,TRUE,"Cover";#N/A,#N/A,TRUE,"BS";#N/A,#N/A,TRUE,"BS (2)";#N/A,#N/A,TRUE,"BS (3)";#N/A,#N/A,TRUE,"Supp Info-BS";#N/A,#N/A,TRUE,"IS";#N/A,#N/A,TRUE,"IS (2)";#N/A,#N/A,TRUE,"IS (3)";#N/A,#N/A,TRUE,"Supp Info-IS";#N/A,#N/A,TRUE,"CF";#N/A,#N/A,TRUE,"Supp Info-CF";#N/A,#N/A,TRUE,"SH";#N/A,#N/A,TRUE,"Supp Info-SH"}</definedName>
    <definedName name="wrn.reports." hidden="1">{"summary",#N/A,FALSE,"3 yr average";"comps",#N/A,FALSE,"3 yr average"}</definedName>
    <definedName name="wrn.RESERVE._.SCHEDULE." hidden="1">{#N/A,#N/A,FALSE,"Sheet8";#N/A,#N/A,FALSE,"Sheet7"}</definedName>
    <definedName name="wrn.Results." hidden="1">{#N/A,#N/A,FALSE,"PR report 1";#N/A,#N/A,FALSE,"PR report 2";#N/A,#N/A,FALSE,"PR report 3";#N/A,#N/A,FALSE,"HBE Rev";#N/A,#N/A,FALSE,"PR report 4";#N/A,#N/A,FALSE,"Wiggin Rev";#N/A,#N/A,FALSE,"NH Rev"}</definedName>
    <definedName name="wrn.revenue._.detail." hidden="1">{"revenue detail 1",#N/A,FALSE,"Revenue Detail";"revenue detail 2",#N/A,FALSE,"Revenue Detail";"revenue detail 3",#N/A,FALSE,"Revenue Detail";"revenue detail 4",#N/A,FALSE,"Revenue Detail"}</definedName>
    <definedName name="wrn.revenue._.graph." hidden="1">{"revenue graph",#N/A,FALSE,"Revenue Graph"}</definedName>
    <definedName name="wrn.revenue._.historical." hidden="1">{"rev_summary2",#N/A,FALSE,"historical min us";"rev_summary1",#N/A,FALSE,"historical min us";"rev_perMinuteSummary",#N/A,FALSE,"hist rev per minute summary";"rev_worldwide_rev",#N/A,FALSE,"historical min us";"rev_worldwide_minutes",#N/A,FALSE,"historical min us";"rev_rev_ROW",#N/A,FALSE,"historical min us";"rev_other",#N/A,FALSE,"historical min us"}</definedName>
    <definedName name="wrn.Revised._.Cap._.Budget." hidden="1">{#N/A,#N/A,TRUE,"Overview";#N/A,#N/A,TRUE,"New Gen"}</definedName>
    <definedName name="wrn.Revised._.Capital._.Budget." hidden="1">{#N/A,#N/A,TRUE,"Overview";#N/A,#N/A,TRUE,"New Gen";#N/A,#N/A,TRUE,"Consol cap-ex";#N/A,#N/A,TRUE,"APC cap-ex";#N/A,#N/A,TRUE,"GPC cap-ex";#N/A,#N/A,TRUE,"GUL cap-ex";#N/A,#N/A,TRUE,"MPC cap-ex";#N/A,#N/A,TRUE,"SAV cap-ex";#N/A,#N/A,TRUE,"SEGCO cap-ex";#N/A,#N/A,TRUE,"SWE cap-ex"}</definedName>
    <definedName name="wrn.Ricobayo._.I." hidden="1">{#N/A,#N/A,FALSE,"RESUMEN ECON.";#N/A,#N/A,FALSE,"Costos de R.H.";#N/A,#N/A,FALSE,"COSTO HW";#N/A,#N/A,FALSE,"CUADROS";#N/A,#N/A,FALSE,"SCADA´s";#N/A,#N/A,FALSE,"PRECIOS EQUIPOS"}</definedName>
    <definedName name="wrn.Riverwood_comp_model." hidden="1">{#N/A,#N/A,FALSE,"Che-Ga";#N/A,#N/A,FALSE,"Iv-Sm";#N/A,#N/A,FALSE,"So-We";#N/A,#N/A,FALSE,"Me-Po";#N/A,#N/A,FALSE,"Be-Bo";#N/A,#N/A,FALSE,"Cha-Ki";#N/A,#N/A,FALSE,"In";#N/A,#N/A,FALSE,"Schedule 23";#N/A,#N/A,FALSE,"Schedule 22";#N/A,#N/A,FALSE,"WACC"}</definedName>
    <definedName name="wrn.Roll._.Up._.Fields." hidden="1">{"Total",#N/A,FALSE,"Six Fields";"PDP",#N/A,FALSE,"Six Fields";"PNP",#N/A,FALSE,"Six Fields";"PUD",#N/A,FALSE,"Six Fields";"Prob",#N/A,FALSE,"Six Fields"}</definedName>
    <definedName name="wrn.RustyPresentation." hidden="1">{#N/A,#N/A,TRUE,"TransCore Summary";#N/A,#N/A,TRUE,"TransCore IS";#N/A,#N/A,TRUE,"TransCore Balance";#N/A,#N/A,TRUE,"TransCore Backlog";#N/A,#N/A,TRUE,"Syntonic IS";#N/A,#N/A,TRUE,"Syntonic Bal";#N/A,#N/A,TRUE,"Systems IS";#N/A,#N/A,TRUE,"Systems Bal"}</definedName>
    <definedName name="wrn.sales." hidden="1">{"sales",#N/A,FALSE,"Sales";"sales existing",#N/A,FALSE,"Sales";"sales rd1",#N/A,FALSE,"Sales";"sales rd2",#N/A,FALSE,"Sales"}</definedName>
    <definedName name="wrn.San._.Pedro." hidden="1">{#N/A,#N/A,FALSE,"San Pedro"}</definedName>
    <definedName name="wrn.SB_PRES." hidden="1">{#N/A,#N/A,TRUE,"Sheet16"}</definedName>
    <definedName name="wrn.SBEI." hidden="1">{#N/A,#N/A,TRUE,"Table1";#N/A,#N/A,TRUE,"Table2";#N/A,#N/A,TRUE,"Table3";#N/A,#N/A,TRUE,"Table4";#N/A,#N/A,TRUE,"Table5";#N/A,#N/A,TRUE,"Table6";#N/A,#N/A,TRUE,"Table7";#N/A,#N/A,TRUE,"Table8";#N/A,#N/A,TRUE,"Table9";#N/A,#N/A,TRUE,"Table10";#N/A,#N/A,TRUE,"Table11";#N/A,#N/A,TRUE,"Table12";#N/A,#N/A,TRUE,"Table13";#N/A,#N/A,TRUE,"Table14"}</definedName>
    <definedName name="wrn.Schedules." hidden="1">{#N/A,#N/A,FALSE,"Sch. 1";#N/A,#N/A,FALSE,"Sch. 2";#N/A,#N/A,FALSE,"Sch. 3";#N/A,#N/A,FALSE,"Sch. 4";#N/A,#N/A,FALSE,"Sch. 5";#N/A,#N/A,FALSE,"Sch 6.";#N/A,#N/A,FALSE,"Sch. 7";#N/A,#N/A,FALSE,"Sch. 8";#N/A,#N/A,FALSE,"Sch. 9";#N/A,#N/A,FALSE,"Sch. 10";#N/A,#N/A,FALSE,"Sch. 13"}</definedName>
    <definedName name="wrn.Scripts." hidden="1">{"ENBREL",#N/A,FALSE,"Sheet1";"RenaGel",#N/A,FALSE,"Sheet1";"HIV PI",#N/A,FALSE,"Sheet1";"MS",#N/A,FALSE,"Sheet1"}</definedName>
    <definedName name="wrn.Segments." hidden="1">{"view1",#N/A,FALSE,"Consolidated";"view2",#N/A,FALSE,"Consolidated (sum)";"view1",#N/A,FALSE,"Gen Sys";"view1",#N/A,FALSE,"Semicon";"view1",#N/A,FALSE,"Mess|Med";"view1",#N/A,FALSE,"Land Mob";"view1",#N/A,FALSE,"Other Prod";"view1",#N/A,FALSE,"Adj|Elim"}</definedName>
    <definedName name="wrn.Sell._.AC._.Scenarios." hidden="1">{#N/A,"Mine Allocated, Sell AC",FALSE,"INPUTS";#N/A,"All Preferred, Sell AC",FALSE,"INPUTS";#N/A,"Step Up, Sell AC",FALSE,"INPUTS"}</definedName>
    <definedName name="wrn.SemiCap." hidden="1">{#N/A,#N/A,FALSE,"from high";#N/A,#N/A,FALSE,"from low";#N/A,#N/A,FALSE,"Market Cap";#N/A,#N/A,FALSE,"Alpha"}</definedName>
    <definedName name="wrn.Senior._.Mgr._.Review." hidden="1">{#N/A,#N/A,TRUE,"Y1-F00"}</definedName>
    <definedName name="wrn.Sensitivity." hidden="1">{"sen cf",#N/A,FALSE,"MODEL";"sen earn",#N/A,FALSE,"MODEL";"sen debt",#N/A,FALSE,"MODEL";"sen nav",#N/A,FALSE,"MODEL"}</definedName>
    <definedName name="wrn.Sensitivity._.Analysis." hidden="1">{"Sensitivity Tables",#N/A,FALSE,"DCF"}</definedName>
    <definedName name="wrn.Set." hidden="1">{#N/A,#N/A,FALSE,"High";#N/A,#N/A,FALSE,"Low";#N/A,#N/A,FALSE,"MarketCap";#N/A,#N/A,FALSE,"Alpha"}</definedName>
    <definedName name="wrn.SHORT." hidden="1">{"CREDIT STATISTICS",#N/A,FALSE,"STATS";"CF_AND_IS",#N/A,FALSE,"PLAN";"BALSHEET",#N/A,FALSE,"BALANCE SHEET"}</definedName>
    <definedName name="wrn.Short._.Form._.Print._.Out." hidden="1">{#N/A,#N/A,FALSE,"General Assumptions";#N/A,#N/A,FALSE,"Accounts";#N/A,#N/A,FALSE,"OperatingAssumptions";#N/A,#N/A,FALSE,"Cashflow";#N/A,#N/A,FALSE,"Debt";#N/A,#N/A,FALSE,"Ops Summary";#N/A,#N/A,FALSE,"Summary"}</definedName>
    <definedName name="wrn.Short._.Form._.Print._.Out._1" hidden="1">{#N/A,#N/A,FALSE,"General Assumptions";#N/A,#N/A,FALSE,"Accounts";#N/A,#N/A,FALSE,"OperatingAssumptions";#N/A,#N/A,FALSE,"Cashflow";#N/A,#N/A,FALSE,"Debt";#N/A,#N/A,FALSE,"Ops Summary";#N/A,#N/A,FALSE,"Summary"}</definedName>
    <definedName name="wrn.Short._.Form._.Print._.Out._1_1" hidden="1">{#N/A,#N/A,FALSE,"General Assumptions";#N/A,#N/A,FALSE,"Accounts";#N/A,#N/A,FALSE,"OperatingAssumptions";#N/A,#N/A,FALSE,"Cashflow";#N/A,#N/A,FALSE,"Debt";#N/A,#N/A,FALSE,"Ops Summary";#N/A,#N/A,FALSE,"Summary"}</definedName>
    <definedName name="wrn.Short._.Form._.Print._.Out._1_2" hidden="1">{#N/A,#N/A,FALSE,"General Assumptions";#N/A,#N/A,FALSE,"Accounts";#N/A,#N/A,FALSE,"OperatingAssumptions";#N/A,#N/A,FALSE,"Cashflow";#N/A,#N/A,FALSE,"Debt";#N/A,#N/A,FALSE,"Ops Summary";#N/A,#N/A,FALSE,"Summary"}</definedName>
    <definedName name="wrn.Short._.Form._.Print._.Out._1_3" hidden="1">{#N/A,#N/A,FALSE,"General Assumptions";#N/A,#N/A,FALSE,"Accounts";#N/A,#N/A,FALSE,"OperatingAssumptions";#N/A,#N/A,FALSE,"Cashflow";#N/A,#N/A,FALSE,"Debt";#N/A,#N/A,FALSE,"Ops Summary";#N/A,#N/A,FALSE,"Summary"}</definedName>
    <definedName name="wrn.Short._.Form._.Print._.Out._1_4" hidden="1">{#N/A,#N/A,FALSE,"General Assumptions";#N/A,#N/A,FALSE,"Accounts";#N/A,#N/A,FALSE,"OperatingAssumptions";#N/A,#N/A,FALSE,"Cashflow";#N/A,#N/A,FALSE,"Debt";#N/A,#N/A,FALSE,"Ops Summary";#N/A,#N/A,FALSE,"Summary"}</definedName>
    <definedName name="wrn.Short._.Form._.Print._.Out._2" hidden="1">{#N/A,#N/A,FALSE,"General Assumptions";#N/A,#N/A,FALSE,"Accounts";#N/A,#N/A,FALSE,"OperatingAssumptions";#N/A,#N/A,FALSE,"Cashflow";#N/A,#N/A,FALSE,"Debt";#N/A,#N/A,FALSE,"Ops Summary";#N/A,#N/A,FALSE,"Summary"}</definedName>
    <definedName name="wrn.Short._.Form._.Print._.Out._3" hidden="1">{#N/A,#N/A,FALSE,"General Assumptions";#N/A,#N/A,FALSE,"Accounts";#N/A,#N/A,FALSE,"OperatingAssumptions";#N/A,#N/A,FALSE,"Cashflow";#N/A,#N/A,FALSE,"Debt";#N/A,#N/A,FALSE,"Ops Summary";#N/A,#N/A,FALSE,"Summary"}</definedName>
    <definedName name="wrn.Short._.Form._.Print._.Out._4" hidden="1">{#N/A,#N/A,FALSE,"General Assumptions";#N/A,#N/A,FALSE,"Accounts";#N/A,#N/A,FALSE,"OperatingAssumptions";#N/A,#N/A,FALSE,"Cashflow";#N/A,#N/A,FALSE,"Debt";#N/A,#N/A,FALSE,"Ops Summary";#N/A,#N/A,FALSE,"Summary"}</definedName>
    <definedName name="wrn.Short._.Form._.Print._.Out._5" hidden="1">{#N/A,#N/A,FALSE,"General Assumptions";#N/A,#N/A,FALSE,"Accounts";#N/A,#N/A,FALSE,"OperatingAssumptions";#N/A,#N/A,FALSE,"Cashflow";#N/A,#N/A,FALSE,"Debt";#N/A,#N/A,FALSE,"Ops Summary";#N/A,#N/A,FALSE,"Summary"}</definedName>
    <definedName name="wrn.Side._.by._.Side." hidden="1">{"Side 99",#N/A,FALSE,"S&amp;U Side by Side"}</definedName>
    <definedName name="wrn.SJE_NBR_1_Job." hidden="1">{"SJE_#1A",#N/A,FALSE,"SJE1A";"Payroll_Summary_Report",#N/A,FALSE,"Summary";"SJE_#1B",#N/A,FALSE,"SJE1B";"WC_Grouping",#N/A,FALSE,"WC Payroll"}</definedName>
    <definedName name="wrn.SJE11_Print_Job." hidden="1">{"SJE #11",#N/A,FALSE,"Sheet1"}</definedName>
    <definedName name="wrn.SJE12_PRINT_JOB." hidden="1">{"SJE#12",#N/A,FALSE,"Sheet1"}</definedName>
    <definedName name="wrn.SJE2_PRINTJOB." hidden="1">{"TAX_CALCULATION",#N/A,FALSE,"Accrual Calc";"SJE#2A",#N/A,FALSE,"Accrual GJE";"SJE#2B",#N/A,FALSE,"Reversal GJE"}</definedName>
    <definedName name="wrn.sje22." hidden="1">{"sje #22",#N/A,FALSE,"SJE #22";"calc",#N/A,FALSE,"CALC"}</definedName>
    <definedName name="wrn.SJE3_Print_Job." hidden="1">{"Accrual_Calc",#N/A,FALSE,"JE DETAIL";"SJE#3A",#N/A,FALSE,"JE DETAIL";"SJE#3B",#N/A,FALSE,"JE DETAIL"}</definedName>
    <definedName name="wrn.SJE4_PRINT_JOB." hidden="1">{"sje#4",#N/A,FALSE,"Sheet1"}</definedName>
    <definedName name="wrn.SJE4A_PRINT_JOB." hidden="1">{"SJE#4A",#N/A,FALSE,"Sheet1"}</definedName>
    <definedName name="wrn.SJE5_PRINT_JOB." hidden="1">{"SJE#5",#N/A,FALSE,"Sheet1"}</definedName>
    <definedName name="wrn.Sommaire." hidden="1">{#N/A,#N/A,TRUE,"Summary";#N/A,#N/A,TRUE,"NARRATIF";#N/A,#N/A,TRUE,"SALES";#N/A,#N/A,TRUE,"NOPAT";#N/A,#N/A,TRUE,"CASH";#N/A,#N/A,TRUE,"UA";#N/A,#N/A,TRUE,"spares"}</definedName>
    <definedName name="wrn.sspall." hidden="1">{"sspcash",#N/A,FALSE,"EWSINCX";"sspinc",#N/A,FALSE,"EWSINCX";"ssptax",#N/A,FALSE,"EWSINCX";"ssppub",#N/A,FALSE,"EWSINCX";"sspperchgetc",#N/A,FALSE,"EWSINCX";"sspevan",#N/A,FALSE,"EWSINCX";"sspbroad",#N/A,FALSE,"EWSINCX";"sspbroadcont",#N/A,FALSE,"EWSINCX";"sspcable",#N/A,FALSE,"EWSINCX";"sspent",#N/A,FALSE,"EWSINCX"}</definedName>
    <definedName name="wrn.Staffing." hidden="1">{#N/A,#N/A,TRUE,"Development Personnel";#N/A,#N/A,TRUE,"Customer Service Personnel";#N/A,#N/A,TRUE,"Customer Service Personnel";#N/A,#N/A,TRUE,"Marketing Personnel";#N/A,#N/A,TRUE,"Technical Services Personnel";#N/A,#N/A,TRUE,"IS Personnel";#N/A,#N/A,TRUE,"Customer Support Personnel";#N/A,#N/A,TRUE,"spEDIcenter Personnel";#N/A,#N/A,TRUE,"Sales Personnel";#N/A,#N/A,TRUE,"International Personnel";#N/A,#N/A,TRUE,"G&amp;A Personnel"}</definedName>
    <definedName name="wrn.Staffing1" hidden="1">{#N/A,#N/A,FALSE,"Assessment";#N/A,#N/A,FALSE,"Staffing";#N/A,#N/A,FALSE,"Hires";#N/A,#N/A,FALSE,"Assumptions"}</definedName>
    <definedName name="wrn.stand_alone_both" hidden="1">{"FCB_ALL",#N/A,FALSE,"FCB";"GREY_ALL",#N/A,FALSE,"GREY"}</definedName>
    <definedName name="wrn.STAND_ALONE_BOTH." hidden="1">{"FCB_ALL",#N/A,FALSE,"FCB";"GREY_ALL",#N/A,FALSE,"GREY"}</definedName>
    <definedName name="wrn.Stand_alone_both._dcf" hidden="1">{"FCB_ALL",#N/A,FALSE,"FCB";"GREY_ALL",#N/A,FALSE,"GREY"}</definedName>
    <definedName name="wrn.stand_alone_both.1" hidden="1">{"FCB_ALL",#N/A,FALSE,"FCB";"GREY_ALL",#N/A,FALSE,"GREY"}</definedName>
    <definedName name="wrn.stand_alone_both1" hidden="1">{"FCB_ALL",#N/A,FALSE,"FCB";"GREY_ALL",#N/A,FALSE,"GREY"}</definedName>
    <definedName name="wrn.stand_alone_both9" hidden="1">{"FCB_ALL",#N/A,FALSE,"FCB";"GREY_ALL",#N/A,FALSE,"GREY"}</definedName>
    <definedName name="wrn.standaloneboth1" hidden="1">{"FCB_ALL",#N/A,FALSE,"FCB";"GREY_ALL",#N/A,FALSE,"GREY"}</definedName>
    <definedName name="wrn.Standard._.Reports."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wrn.Statements." hidden="1">{#N/A,#N/A,FALSE,"CostOfService";#N/A,#N/A,FALSE,"BalanceSheet";#N/A,#N/A,FALSE,"IncomeStmt";#N/A,#N/A,FALSE,"CashFlow";#N/A,#N/A,FALSE,"RateBase"}</definedName>
    <definedName name="wrn.statemetns1." hidden="1">{#N/A,#N/A,FALSE,"CostOfService";#N/A,#N/A,FALSE,"BalanceSheet";#N/A,#N/A,FALSE,"IncomeStmt";#N/A,#N/A,FALSE,"CashFlow";#N/A,#N/A,FALSE,"RateBase"}</definedName>
    <definedName name="wrn.Statistics." hidden="1">{"Std Poor",#N/A,FALSE,"S&amp;P";"Sum Stats",#N/A,FALSE,"Stats"}</definedName>
    <definedName name="wrn.STMT._.OF._.CASH._.FLOWS." hidden="1">{"STMT OF CASH FLOWS",#N/A,FALSE,"Cash Flows Indirect"}</definedName>
    <definedName name="wrn.Structure." hidden="1">{#N/A,#N/A,FALSE,"Structure";#N/A,#N/A,FALSE,"Proj-Cal";#N/A,#N/A,FALSE,"Market"}</definedName>
    <definedName name="wrn.Subject._.Worksheet." hidden="1">{"Balance Sheets",#N/A,FALSE,"Subject";"Income Statements - As Reported",#N/A,FALSE,"Subject";"Income Statements - Adjusted",#N/A,FALSE,"Subject";"Ratios",#N/A,FALSE,"Subject";"Representative Earnings",#N/A,FALSE,"Subject"}</definedName>
    <definedName name="wrn.subs." hidden="1">{#N/A,#N/A,FALSE,"Comp - War";#N/A,#N/A,FALSE,"Comp - War"}</definedName>
    <definedName name="wrn.SUM." hidden="1">{"SUM",#N/A,FALSE,"Details (2)"}</definedName>
    <definedName name="wrn.sumarry_96_980" hidden="1">{"arpm1995",#N/A,FALSE,"Summary 95-96";"bus_long_distance",#N/A,FALSE,"Summary 95-96";"mins_per_day",#N/A,FALSE,"Summary 95-96";"minutes1995",#N/A,FALSE,"Summary 95-96";"rev_per_day",#N/A,FALSE,"Summary 95-96";"view1995",#N/A,FALSE,"Summary 95-96"}</definedName>
    <definedName name="wrn.Summ." hidden="1">{#N/A,#N/A,TRUE,"Months 2003";#N/A,#N/A,TRUE,"Months 2004";#N/A,#N/A,TRUE,"Months 2005"}</definedName>
    <definedName name="wrn.summ4." hidden="1">{#N/A,#N/A,FALSE,"summ";#N/A,#N/A,FALSE,"q1";#N/A,#N/A,FALSE,"summ_alt";#N/A,#N/A,FALSE,"stock_nozero";#N/A,#N/A,FALSE,"1995"}</definedName>
    <definedName name="wrn.summaries."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y." hidden="1">{"Sum1",#N/A,FALSE,"Reserve Report";"Sum2",#N/A,FALSE,"Reserve Report";"Sum3",#N/A,FALSE,"Reserve Report";"Sum4",#N/A,FALSE,"Reserve Report"}</definedName>
    <definedName name="wrn.Summary._.Financials." hidden="1">{"Balance Sheet",#N/A,FALSE,"Annual Summary";"Cashflows",#N/A,FALSE,"Annual Summary";"Summary Earnings",#N/A,FALSE,"Annual Summary"}</definedName>
    <definedName name="wrn.Summary._.of._.Details2." hidden="1">{"Summary",#N/A,FALSE,"Details (2)"}</definedName>
    <definedName name="wrn.summary._.schedules." hidden="1">{"summary1",#N/A,FALSE,"Summary of Values";"summary2",#N/A,FALSE,"Summary of Values"}</definedName>
    <definedName name="wrn.Summary._1" hidden="1">{"Summary",#N/A,FALSE,"Summary"}</definedName>
    <definedName name="wrn.Summary._1_1" hidden="1">{"Summary",#N/A,FALSE,"Summary"}</definedName>
    <definedName name="wrn.Summary._1_2" hidden="1">{"Summary",#N/A,FALSE,"Summary"}</definedName>
    <definedName name="wrn.Summary._1_3" hidden="1">{"Summary",#N/A,FALSE,"Summary"}</definedName>
    <definedName name="wrn.Summary._1_4" hidden="1">{"Summary",#N/A,FALSE,"Summary"}</definedName>
    <definedName name="wrn.Summary._2" hidden="1">{"Summary",#N/A,FALSE,"Summary"}</definedName>
    <definedName name="wrn.Summary._3" hidden="1">{"Summary",#N/A,FALSE,"Summary"}</definedName>
    <definedName name="wrn.Summary._4" hidden="1">{"Summary",#N/A,FALSE,"Summary"}</definedName>
    <definedName name="wrn.Summary._5" hidden="1">{"Summary",#N/A,FALSE,"Summary"}</definedName>
    <definedName name="wrn.summary_95_890" hidden="1">{"arpm1995",#N/A,FALSE,"Summary 95-96";"bus_long_distance",#N/A,FALSE,"Summary 95-96";"mins_per_day",#N/A,FALSE,"Summary 95-96";"minutes1995",#N/A,FALSE,"Summary 95-96";"rev_per_day",#N/A,FALSE,"Summary 95-96";"view1995",#N/A,FALSE,"Summary 95-96"}</definedName>
    <definedName name="wrn.summary_95_950" hidden="1">{"arpm1995",#N/A,FALSE,"Summary 95-96";"bus_long_distance",#N/A,FALSE,"Summary 95-96";"mins_per_day",#N/A,FALSE,"Summary 95-96";"minutes1995",#N/A,FALSE,"Summary 95-96";"rev_per_day",#N/A,FALSE,"Summary 95-96";"view1995",#N/A,FALSE,"Summary 95-96"}</definedName>
    <definedName name="wrn.summary_95_96." hidden="1">{"arpm1995",#N/A,FALSE,"Summary 95-96";"bus_long_distance",#N/A,FALSE,"Summary 95-96";"mins_per_day",#N/A,FALSE,"Summary 95-96";"minutes1995",#N/A,FALSE,"Summary 95-96";"rev_per_day",#N/A,FALSE,"Summary 95-96";"view1995",#N/A,FALSE,"Summary 95-96"}</definedName>
    <definedName name="wrn.summary_95_960" hidden="1">{"arpm1995",#N/A,FALSE,"Summary 95-96";"bus_long_distance",#N/A,FALSE,"Summary 95-96";"mins_per_day",#N/A,FALSE,"Summary 95-96";"minutes1995",#N/A,FALSE,"Summary 95-96";"rev_per_day",#N/A,FALSE,"Summary 95-96";"view1995",#N/A,FALSE,"Summary 95-96"}</definedName>
    <definedName name="wrn.summary_95_961." hidden="1">{"arpm1995",#N/A,FALSE,"Summary 95-96";"bus_long_distance",#N/A,FALSE,"Summary 95-96";"mins_per_day",#N/A,FALSE,"Summary 95-96";"minutes1995",#N/A,FALSE,"Summary 95-96";"rev_per_day",#N/A,FALSE,"Summary 95-96";"view1995",#N/A,FALSE,"Summary 95-96"}</definedName>
    <definedName name="wrn.summary_95_963" hidden="1">{"arpm1995",#N/A,FALSE,"Summary 95-96";"bus_long_distance",#N/A,FALSE,"Summary 95-96";"mins_per_day",#N/A,FALSE,"Summary 95-96";"minutes1995",#N/A,FALSE,"Summary 95-96";"rev_per_day",#N/A,FALSE,"Summary 95-96";"view1995",#N/A,FALSE,"Summary 95-96"}</definedName>
    <definedName name="wrn.summary_95_966" hidden="1">{"arpm1995",#N/A,FALSE,"Summary 95-96";"bus_long_distance",#N/A,FALSE,"Summary 95-96";"mins_per_day",#N/A,FALSE,"Summary 95-96";"minutes1995",#N/A,FALSE,"Summary 95-96";"rev_per_day",#N/A,FALSE,"Summary 95-96";"view1995",#N/A,FALSE,"Summary 95-96"}</definedName>
    <definedName name="wrn.summary_95_967" hidden="1">{"arpm1995",#N/A,FALSE,"Summary 95-96";"bus_long_distance",#N/A,FALSE,"Summary 95-96";"mins_per_day",#N/A,FALSE,"Summary 95-96";"minutes1995",#N/A,FALSE,"Summary 95-96";"rev_per_day",#N/A,FALSE,"Summary 95-96";"view1995",#N/A,FALSE,"Summary 95-96"}</definedName>
    <definedName name="wrn.summary_95_968" hidden="1">{"arpm1995",#N/A,FALSE,"Summary 95-96";"bus_long_distance",#N/A,FALSE,"Summary 95-96";"mins_per_day",#N/A,FALSE,"Summary 95-96";"minutes1995",#N/A,FALSE,"Summary 95-96";"rev_per_day",#N/A,FALSE,"Summary 95-96";"view1995",#N/A,FALSE,"Summary 95-96"}</definedName>
    <definedName name="wrn.summary_95_968w" hidden="1">{"arpm1995",#N/A,FALSE,"Summary 95-96";"bus_long_distance",#N/A,FALSE,"Summary 95-96";"mins_per_day",#N/A,FALSE,"Summary 95-96";"minutes1995",#N/A,FALSE,"Summary 95-96";"rev_per_day",#N/A,FALSE,"Summary 95-96";"view1995",#N/A,FALSE,"Summary 95-96"}</definedName>
    <definedName name="wrn.summary_95_969" hidden="1">{"arpm1995",#N/A,FALSE,"Summary 95-96";"bus_long_distance",#N/A,FALSE,"Summary 95-96";"mins_per_day",#N/A,FALSE,"Summary 95-96";"minutes1995",#N/A,FALSE,"Summary 95-96";"rev_per_day",#N/A,FALSE,"Summary 95-96";"view1995",#N/A,FALSE,"Summary 95-96"}</definedName>
    <definedName name="wrn.summary_95_97" hidden="1">{"arpm1995",#N/A,FALSE,"Summary 95-96";"bus_long_distance",#N/A,FALSE,"Summary 95-96";"mins_per_day",#N/A,FALSE,"Summary 95-96";"minutes1995",#N/A,FALSE,"Summary 95-96";"rev_per_day",#N/A,FALSE,"Summary 95-96";"view1995",#N/A,FALSE,"Summary 95-96"}</definedName>
    <definedName name="wrn.summary_95_970" hidden="1">{"arpm1995",#N/A,FALSE,"Summary 95-96";"bus_long_distance",#N/A,FALSE,"Summary 95-96";"mins_per_day",#N/A,FALSE,"Summary 95-96";"minutes1995",#N/A,FALSE,"Summary 95-96";"rev_per_day",#N/A,FALSE,"Summary 95-96";"view1995",#N/A,FALSE,"Summary 95-96"}</definedName>
    <definedName name="wrn.summary_95_971" hidden="1">{"arpm1995",#N/A,FALSE,"Summary 95-96";"bus_long_distance",#N/A,FALSE,"Summary 95-96";"mins_per_day",#N/A,FALSE,"Summary 95-96";"minutes1995",#N/A,FALSE,"Summary 95-96";"rev_per_day",#N/A,FALSE,"Summary 95-96";"view1995",#N/A,FALSE,"Summary 95-96"}</definedName>
    <definedName name="wrn.summary_95_98" hidden="1">{"arpm1995",#N/A,FALSE,"Summary 95-96";"bus_long_distance",#N/A,FALSE,"Summary 95-96";"mins_per_day",#N/A,FALSE,"Summary 95-96";"minutes1995",#N/A,FALSE,"Summary 95-96";"rev_per_day",#N/A,FALSE,"Summary 95-96";"view1995",#N/A,FALSE,"Summary 95-96"}</definedName>
    <definedName name="wrn.summary_95_982" hidden="1">{"arpm1995",#N/A,FALSE,"Summary 95-96";"bus_long_distance",#N/A,FALSE,"Summary 95-96";"mins_per_day",#N/A,FALSE,"Summary 95-96";"minutes1995",#N/A,FALSE,"Summary 95-96";"rev_per_day",#N/A,FALSE,"Summary 95-96";"view1995",#N/A,FALSE,"Summary 95-96"}</definedName>
    <definedName name="wrn.summary_96_915" hidden="1">{"arpm1995",#N/A,FALSE,"Summary 95-96";"bus_long_distance",#N/A,FALSE,"Summary 95-96";"mins_per_day",#N/A,FALSE,"Summary 95-96";"minutes1995",#N/A,FALSE,"Summary 95-96";"rev_per_day",#N/A,FALSE,"Summary 95-96";"view1995",#N/A,FALSE,"Summary 95-96"}</definedName>
    <definedName name="wrn.summary_96_97" hidden="1">{"arpm1995",#N/A,FALSE,"Summary 95-96";"bus_long_distance",#N/A,FALSE,"Summary 95-96";"mins_per_day",#N/A,FALSE,"Summary 95-96";"minutes1995",#N/A,FALSE,"Summary 95-96";"rev_per_day",#N/A,FALSE,"Summary 95-96";"view1995",#N/A,FALSE,"Summary 95-96"}</definedName>
    <definedName name="wrn.summary_96_970" hidden="1">{"arpm1995",#N/A,FALSE,"Summary 95-96";"bus_long_distance",#N/A,FALSE,"Summary 95-96";"mins_per_day",#N/A,FALSE,"Summary 95-96";"minutes1995",#N/A,FALSE,"Summary 95-96";"rev_per_day",#N/A,FALSE,"Summary 95-96";"view1995",#N/A,FALSE,"Summary 95-96"}</definedName>
    <definedName name="wrn.summary_96_973" hidden="1">{"arpm1995",#N/A,FALSE,"Summary 95-96";"bus_long_distance",#N/A,FALSE,"Summary 95-96";"mins_per_day",#N/A,FALSE,"Summary 95-96";"minutes1995",#N/A,FALSE,"Summary 95-96";"rev_per_day",#N/A,FALSE,"Summary 95-96";"view1995",#N/A,FALSE,"Summary 95-96"}</definedName>
    <definedName name="wrn.summary_96_974" hidden="1">{"arpm1995",#N/A,FALSE,"Summary 95-96";"bus_long_distance",#N/A,FALSE,"Summary 95-96";"mins_per_day",#N/A,FALSE,"Summary 95-96";"minutes1995",#N/A,FALSE,"Summary 95-96";"rev_per_day",#N/A,FALSE,"Summary 95-96";"view1995",#N/A,FALSE,"Summary 95-96"}</definedName>
    <definedName name="wrn.summary_96_977" hidden="1">{"arpm1995",#N/A,FALSE,"Summary 95-96";"bus_long_distance",#N/A,FALSE,"Summary 95-96";"mins_per_day",#N/A,FALSE,"Summary 95-96";"minutes1995",#N/A,FALSE,"Summary 95-96";"rev_per_day",#N/A,FALSE,"Summary 95-96";"view1995",#N/A,FALSE,"Summary 95-96"}</definedName>
    <definedName name="wrn.summary_96_977_1" hidden="1">{"arpm1995",#N/A,FALSE,"Summary 95-96";"bus_long_distance",#N/A,FALSE,"Summary 95-96";"mins_per_day",#N/A,FALSE,"Summary 95-96";"minutes1995",#N/A,FALSE,"Summary 95-96";"rev_per_day",#N/A,FALSE,"Summary 95-96";"view1995",#N/A,FALSE,"Summary 95-96"}</definedName>
    <definedName name="wrn.summary_96_978" hidden="1">{"arpm1995",#N/A,FALSE,"Summary 95-96";"bus_long_distance",#N/A,FALSE,"Summary 95-96";"mins_per_day",#N/A,FALSE,"Summary 95-96";"minutes1995",#N/A,FALSE,"Summary 95-96";"rev_per_day",#N/A,FALSE,"Summary 95-96";"view1995",#N/A,FALSE,"Summary 95-96"}</definedName>
    <definedName name="wrn.summary_96_97x" hidden="1">{"arpm1995",#N/A,FALSE,"Summary 95-96";"bus_long_distance",#N/A,FALSE,"Summary 95-96";"mins_per_day",#N/A,FALSE,"Summary 95-96";"minutes1995",#N/A,FALSE,"Summary 95-96";"rev_per_day",#N/A,FALSE,"Summary 95-96";"view1995",#N/A,FALSE,"Summary 95-96"}</definedName>
    <definedName name="wrn.summary_96_987" hidden="1">{"arpm1995",#N/A,FALSE,"Summary 95-96";"bus_long_distance",#N/A,FALSE,"Summary 95-96";"mins_per_day",#N/A,FALSE,"Summary 95-96";"minutes1995",#N/A,FALSE,"Summary 95-96";"rev_per_day",#N/A,FALSE,"Summary 95-96";"view1995",#N/A,FALSE,"Summary 95-96"}</definedName>
    <definedName name="wrn.SUPP_SCHD." hidden="1">{#N/A,#N/A,TRUE,"A";#N/A,#N/A,TRUE,"B";#N/A,#N/A,TRUE,"C";#N/A,#N/A,TRUE,"D";#N/A,#N/A,TRUE,"E"}</definedName>
    <definedName name="wrn.Supplemental_Reports." hidden="1">{#N/A,#N/A,FALSE,"Report Data";#N/A,#N/A,FALSE,"COMP POOL";#N/A,#N/A,FALSE,"COMP POOL NB95";#N/A,#N/A,FALSE,"COMP POOL NB94"}</definedName>
    <definedName name="wrn.Support." hidden="1">{#N/A,#N/A,FALSE,"TRIAL INPUT";#N/A,#N/A,FALSE,"AVG INPUT COPY";#N/A,#N/A,FALSE,"INVESTMENTS_INPUT"}</definedName>
    <definedName name="wrn.t_cash." hidden="1">{"cash_tes",#N/A,FALSE,"dec95cr.xls"}</definedName>
    <definedName name="wrn.Tables." hidden="1">{"view1",#N/A,FALSE,"Tables";"view2",#N/A,FALSE,"Tables";"view3",#N/A,FALSE,"Tables"}</definedName>
    <definedName name="wrn.Tables._.and._.Support." hidden="1">{#N/A,#N/A,FALSE,"TABLE_1 YTD";#N/A,#N/A,FALSE,"TABLE_1A QTD";#N/A,#N/A,FALSE,"NORMAL_SPREAD_QTD";#N/A,#N/A,FALSE,"NORMAL_SPREAD_YTD";#N/A,#N/A,FALSE,"TAX_EQV";#N/A,#N/A,FALSE,"TAX EQUIV_INPUT";#N/A,#N/A,FALSE,"NET FROM FER";#N/A,#N/A,FALSE,"COVER"}</definedName>
    <definedName name="wrn.Target." hidden="1">{#N/A,#N/A,TRUE,"Tar-Ass";#N/A,#N/A,TRUE,"Tar-IS";#N/A,#N/A,TRUE,"Tar-BS";#N/A,#N/A,TRUE,"Tar-CF";#N/A,#N/A,TRUE,"Tar-Adg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_.DCF." hidden="1">{"targetdcf",#N/A,FALSE,"Merger consequences";"TARGETASSU",#N/A,FALSE,"Merger consequences";"TERMINAL VALUE",#N/A,FALSE,"Merger consequences"}</definedName>
    <definedName name="wrn.TargetLBO." hidden="1">{#N/A,#N/A,TRUE,"Tar-Ass";#N/A,#N/A,TRUE,"Tar-Ass LBO";#N/A,#N/A,TRUE,"LBO Ret";#N/A,#N/A,TRUE,"Tar-BS LBO";#N/A,#N/A,TRUE,"Tar-IS LBO";#N/A,#N/A,TRUE,"Tar-CF LBO";#N/A,#N/A,TRUE,"Tar-Debt LBO";#N/A,#N/A,TRUE,"Tar-Int LBO";#N/A,#N/A,TRUE,"Tar-Taxes LBO";#N/A,#N/A,TRUE,"Tar-Val LBO"}</definedName>
    <definedName name="wrn.TargetState." hidden="1">{#N/A,#N/A,FALSE,"Tar-Ass";#N/A,#N/A,FALSE,"Tar-IS";#N/A,#N/A,FALSE,"Tar-BS";#N/A,#N/A,FALSE,"Tar-Adg BS";#N/A,#N/A,FALSE,"Tar-CF"}</definedName>
    <definedName name="wrn.TargetVal." hidden="1">{#N/A,#N/A,TRUE,"Val - sum";#N/A,#N/A,TRUE,"Val - Sum1";#N/A,#N/A,TRUE,"Val - sum2";#N/A,#N/A,TRUE,"Val - Sum3";#N/A,#N/A,TRUE,"Tar-DCF";#N/A,#N/A,TRUE,"Tar-Val LBO";#N/A,#N/A,TRUE,"Tar-Mult Val"}</definedName>
    <definedName name="wrn.Tariff._.working." hidden="1">{#N/A,#N/A,TRUE,"input";#N/A,#N/A,TRUE,"fnplan";#N/A,#N/A,TRUE,"Key Ratio";#N/A,#N/A,TRUE,"Gen_BrkDn";#N/A,#N/A,TRUE,"RsKW";#N/A,#N/A,TRUE,"gen&amp;fuel";#N/A,#N/A,TRUE,"fuel_price";#N/A,#N/A,TRUE,"O&amp;M+admin";#N/A,#N/A,TRUE,"int(GB-debt)";#N/A,#N/A,TRUE,"dep_rskw";#N/A,#N/A,TRUE,"wc_tariff";#N/A,#N/A,TRUE,"tax-tarif1";#N/A,#N/A,TRUE,"ROE";#N/A,#N/A,TRUE,"TN_PCOST";#N/A,#N/A,TRUE,"fincost-tec";#N/A,#N/A,TRUE,"IDCa";#N/A,#N/A,TRUE,"fcloan(G)";#N/A,#N/A,TRUE,"fcloan(NO-G) ";#N/A,#N/A,TRUE,"Local Debt in $";#N/A,#N/A,TRUE,"Rsloan -CEA";#N/A,#N/A,TRUE,"SHL1 in $";#N/A,#N/A,TRUE,"SHL-1-INRs"}</definedName>
    <definedName name="wrn.TB._.ALL._.ACCTS." hidden="1">{"BALANCE SHEET ACCTS",#N/A,TRUE,"Working Trial Balance";"INCOME STMT ACCTS",#N/A,TRUE,"Working Trial Balance"}</definedName>
    <definedName name="wrn.TB._.BALANCE._.SHEET." hidden="1">{"BALANCE SHEET ACCTS",#N/A,FALSE,"Working Trial Balance"}</definedName>
    <definedName name="wrn.TB._.EXPLANATIONS." hidden="1">{"EXPLANATIONS",#N/A,FALSE,"Working Trial Balance"}</definedName>
    <definedName name="wrn.TB._.INCOME._.STMT." hidden="1">{"INCOME STMT ACCTS",#N/A,FALSE,"Working Trial Balance"}</definedName>
    <definedName name="wrn.technology." hidden="1">{"developed valuation",#N/A,FALSE,"Valuation Analysis";"developed income statement",#N/A,FALSE,"Abbreviated Income Statement";"inprocess valuation",#N/A,FALSE,"Valuation Analysis";"inprocess income statement",#N/A,FALSE,"Abbreviated Income Statement"}</definedName>
    <definedName name="wrn.test." hidden="1">{"test2",#N/A,TRUE,"Prices"}</definedName>
    <definedName name="wrn.Test._1" hidden="1">{#N/A,#N/A,FALSE,"P&amp;L";#N/A,#N/A,FALSE,"BS"}</definedName>
    <definedName name="wrn.Test._1_1" hidden="1">{#N/A,#N/A,FALSE,"P&amp;L";#N/A,#N/A,FALSE,"BS"}</definedName>
    <definedName name="wrn.Test._1_2" hidden="1">{#N/A,#N/A,FALSE,"P&amp;L";#N/A,#N/A,FALSE,"BS"}</definedName>
    <definedName name="wrn.Test._1_3" hidden="1">{#N/A,#N/A,FALSE,"P&amp;L";#N/A,#N/A,FALSE,"BS"}</definedName>
    <definedName name="wrn.Test._1_4" hidden="1">{#N/A,#N/A,FALSE,"P&amp;L";#N/A,#N/A,FALSE,"BS"}</definedName>
    <definedName name="wrn.Test._2" hidden="1">{#N/A,#N/A,FALSE,"P&amp;L";#N/A,#N/A,FALSE,"BS"}</definedName>
    <definedName name="wrn.Test._3" hidden="1">{#N/A,#N/A,FALSE,"P&amp;L";#N/A,#N/A,FALSE,"BS"}</definedName>
    <definedName name="wrn.Test._4" hidden="1">{#N/A,#N/A,FALSE,"P&amp;L";#N/A,#N/A,FALSE,"BS"}</definedName>
    <definedName name="wrn.Test._5" hidden="1">{#N/A,#N/A,FALSE,"P&amp;L";#N/A,#N/A,FALSE,"BS"}</definedName>
    <definedName name="wrn.test1." hidden="1">{"Income Statement",#N/A,FALSE,"CFMODEL";"Balance Sheet",#N/A,FALSE,"CFMODEL"}</definedName>
    <definedName name="wrn.test2." hidden="1">{"SourcesUses",#N/A,TRUE,"CFMODEL";"TransOverview",#N/A,TRUE,"CFMODEL"}</definedName>
    <definedName name="wrn.test3." hidden="1">{"SourcesUses",#N/A,TRUE,#N/A;"TransOverview",#N/A,TRUE,"CFMODEL"}</definedName>
    <definedName name="wrn.test4." hidden="1">{"SourcesUses",#N/A,TRUE,"FundsFlow";"TransOverview",#N/A,TRUE,"FundsFlow"}</definedName>
    <definedName name="wrn.TheWholeEnchilada." hidden="1">{"CSheet",#N/A,FALSE,"C";"SmCap",#N/A,FALSE,"VAL1";"GulfCoast",#N/A,FALSE,"VAL1";"nav",#N/A,FALSE,"NAV";"Summary",#N/A,FALSE,"NAV"}</definedName>
    <definedName name="wrn.TMCALL." hidden="1">{"tmccash",#N/A,FALSE,"INCX";"tmcinc",#N/A,FALSE,"INCX";"tmcpretx",#N/A,FALSE,"INCX";"tmcadrev",#N/A,FALSE,"INCX";"tmcbooks",#N/A,FALSE,"INCX"}</definedName>
    <definedName name="wrn.tobacco." hidden="1">{"income",#N/A,FALSE,"TOBACCO";"value",#N/A,FALSE,"TOBACCO";"assum1",#N/A,FALSE,"TOBACCO";"assum2",#N/A,FALSE,"TOBACCO";"swisher",#N/A,FALSE,"TOBACCO";"martin",#N/A,FALSE,"TOBACCO";"helme1",#N/A,FALSE,"TOBACCO";"helme2",#N/A,FALSE,"TOBACCO";"HELME3",#N/A,FALSE,"TOBACCO";"depmatrix",#N/A,FALSE,"TOBACCO"}</definedName>
    <definedName name="wrn.tobsum." hidden="1">{"income",#N/A,FALSE,"TOBACCO";"value",#N/A,FALSE,"TOBACCO";"assum1",#N/A,FALSE,"TOBACCO"}</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tal." hidden="1">{#N/A,#N/A,FALSE,"US Healthcare";#N/A,#N/A,FALSE,"US Mfg";#N/A,#N/A,FALSE,"SURGICAL";#N/A,#N/A,FALSE,"IVSD";#N/A,#N/A,FALSE,"USDIST-FLD SLS";#N/A,#N/A,FALSE,"USDIST-FLD SLS";#N/A,#N/A,FALSE,"HEALTH SYS";#N/A,#N/A,FALSE,"Unallocated USHC";#N/A,#N/A,FALSE,"ACT INIT.";#N/A,#N/A,FALSE,"PS Hos Elim";#N/A,#N/A,FALSE,"OPELIM";#N/A,#N/A,FALSE,"Net Sales 96";#N/A,#N/A,FALSE,"SG&amp;A 96";#N/A,#N/A,FALSE,"Pretax 96";#N/A,#N/A,FALSE,"Net Income 96";#N/A,#N/A,FALSE,"Cash Flow 96";#N/A,#N/A,FALSE,"96 Actual GP$";#N/A,#N/A,FALSE,"96 Actual GP%";#N/A,#N/A,FALSE,"96 Actual Tax Rate";#N/A,#N/A,FALSE,"96 Capital Exp.";#N/A,#N/A,FALSE,"EVA"}</definedName>
    <definedName name="wrn.Total._.Business."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Company._.Reforecast._.Print."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urrent._.scenario." hidden="1">{"assumptions",#N/A,TRUE,"assumptions";"PandL",#N/A,TRUE,"Merged entity";"sens",#N/A,TRUE,"assumptions";"pres1",#N/A,TRUE,"for presentation"}</definedName>
    <definedName name="wrn.Total._.Market._.Report." hidden="1">{#N/A,#N/A,FALSE,"Sales Graph";#N/A,#N/A,FALSE,"BUC Graph";#N/A,#N/A,FALSE,"P&amp;L - YTD"}</definedName>
    <definedName name="wrn.Total._.Print."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Proved." hidden="1">{"Total",#N/A,FALSE,"Total Proved";"PDP",#N/A,FALSE,"Total Proved";"PNP",#N/A,FALSE,"Total Proved";"PUD",#N/A,FALSE,"Total Proved"}</definedName>
    <definedName name="wrn.Total._.Proved._.plus._.Probable." hidden="1">{"Total",#N/A,FALSE,"Total Proved + Probable";"PDP",#N/A,FALSE,"Total Proved + Probable";"PNP",#N/A,FALSE,"Total Proved + Probable";"PUD",#N/A,FALSE,"Total Proved + Probable";"Prob",#N/A,FALSE,"Total Proved + Probable"}</definedName>
    <definedName name="wrn.total._.year." hidden="1">{#N/A,#N/A,FALSE,"2003_Input - P&amp;L"}</definedName>
    <definedName name="wrn.total1." hidden="1">{#N/A,#N/A,FALSE,"US Healthcare";#N/A,#N/A,FALSE,"US Mfg";#N/A,#N/A,FALSE,"SURGICAL";#N/A,#N/A,FALSE,"IVSD";#N/A,#N/A,FALSE,"USDIST-FLD SLS";#N/A,#N/A,FALSE,"USDIST-FLD SLS";#N/A,#N/A,FALSE,"HEALTH SYS";#N/A,#N/A,FALSE,"Unallocated USHC";#N/A,#N/A,FALSE,"ACT INIT.";#N/A,#N/A,FALSE,"PS Hos Elim";#N/A,#N/A,FALSE,"OPELIM";#N/A,#N/A,FALSE,"Net Sales 96";#N/A,#N/A,FALSE,"SG&amp;A 96";#N/A,#N/A,FALSE,"Pretax 96";#N/A,#N/A,FALSE,"Net Income 96";#N/A,#N/A,FALSE,"Cash Flow 96";#N/A,#N/A,FALSE,"96 Actual GP$";#N/A,#N/A,FALSE,"96 Actual GP%";#N/A,#N/A,FALSE,"96 Actual Tax Rate";#N/A,#N/A,FALSE,"96 Capital Exp.";#N/A,#N/A,FALSE,"EVA"}</definedName>
    <definedName name="wrn.Tout._.Sauf._.BG."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rack." hidden="1">{#N/A,#N/A,FALSE,"Inc Stmt";#N/A,#N/A,FALSE,"Indirect Costs";#N/A,#N/A,FALSE,"Capital"}</definedName>
    <definedName name="wrn.trademark._.and._.trade._.name." hidden="1">{"trademark1",#N/A,FALSE,"Trademark(s) and Trade Name(s)"}</definedName>
    <definedName name="wrn.Trading._.Summary." hidden="1">{#N/A,#N/A,FALSE,"Trading Summary"}</definedName>
    <definedName name="wrn.TransPrcd_123." hidden="1">{#N/A,#N/A,TRUE,"TransPrcd 1";#N/A,#N/A,TRUE,"TransPrcd 2";#N/A,#N/A,TRUE,"TransPrcd 3"}</definedName>
    <definedName name="wrn.trball." hidden="1">{"trbcash",#N/A,FALSE,"INCPF";"trbinc",#N/A,FALSE,"INCPF";"trbchic",#N/A,FALSE,"INCPF";"trbadrev",#N/A,FALSE,"INCPF";"trbstns",#N/A,FALSE,"INCPF";"trbtvstns",#N/A,FALSE,"INCPF"}</definedName>
    <definedName name="wrn.tsp." hidden="1">{#N/A,#N/A,FALSE,"Summary";#N/A,#N/A,FALSE,"Financials";#N/A,#N/A,FALSE,"Returns";#N/A,#N/A,FALSE,"Open";#N/A,#N/A,FALSE,"Assumptions"}</definedName>
    <definedName name="wrn.twofin." hidden="1">{"bscompare",#N/A,FALSE,"Bal Sheet"}</definedName>
    <definedName name="wrn.Typhoon." hidden="1">{"Agg Output",#N/A,FALSE,"Operational Drivers Output";"NW Output",#N/A,FALSE,"Operational Drivers Output";"South Output",#N/A,FALSE,"Operational Drivers Output";"Central Output",#N/A,FALSE,"Operational Drivers Output"}</definedName>
    <definedName name="wrn.UK." hidden="1">{#N/A,#N/A,TRUE,"Combined";#N/A,#N/A,TRUE,"HotRoll";#N/A,#N/A,TRUE,"Gadd";#N/A,#N/A,TRUE,"Wesson";#N/A,#N/A,TRUE,"BrightBar";#N/A,#N/A,TRUE,"GB Longmore";#N/A,#N/A,TRUE,"MES";#N/A,#N/A,TRUE,"Wesson Bright";#N/A,#N/A,TRUE,"Macreadys";#N/A,#N/A,TRUE,"HeadOffice"}</definedName>
    <definedName name="wrn.US._.Bank." hidden="1">{#N/A,#N/A,TRUE,"Cover_Page";#N/A,#N/A,TRUE,"Balance Sheet FY12";#N/A,#N/A,TRUE,"Debt Covenants_US Bank_Cons";#N/A,#N/A,TRUE,"Consolidated-Cash Flow";#N/A,#N/A,TRUE,"CY_Per Inc FY12";#N/A,#N/A,TRUE,"Income FY12";#N/A,#N/A,TRUE,"Consolidated"}</definedName>
    <definedName name="wrn.USA._.Consolidated._.Report." hidden="1">{#N/A,#N/A,TRUE,"Consolidated B Sheet";#N/A,#N/A,TRUE,"Consolidated Cashflow";#N/A,#N/A,TRUE,"P&amp;L CONSOLIDATED"}</definedName>
    <definedName name="wrn.USR." hidden="1">{#N/A,#N/A,FALSE,"TopTen Failures";#N/A,#N/A,FALSE,"Top Ten %";#N/A,#N/A,FALSE,"Fail Code 5 mo. Totals (%)"}</definedName>
    <definedName name="wrn.Utility._.Accrual." hidden="1">{"Balt Util Water",#N/A,TRUE,"UTIL";"Balt Util Elect",#N/A,TRUE,"UTIL";"Balt Util JE",#N/A,TRUE,"UTIL"}</definedName>
    <definedName name="wrn.Valuation." hidden="1">{#N/A,#N/A,FALSE,"VALSUM";#N/A,#N/A,FALSE,"MKT.COMPS";#N/A,#N/A,FALSE,"ACQ.MULT.";#N/A,#N/A,FALSE,"DCF - LBO"}</definedName>
    <definedName name="wrn.Valuation._.Summaries." hidden="1">{#N/A,#N/A,FALSE,"Cover Sheet";#N/A,#N/A,FALSE,"Financial Assumptions";#N/A,#N/A,FALSE,"DCFOverviewPower";#N/A,#N/A,FALSE,"DCFOverviewGas";#N/A,#N/A,FALSE,"DCFOverviewWater";#N/A,#N/A,FALSE,"DCFOverviewVersorgung"}</definedName>
    <definedName name="wrn.Value." hidden="1">{#N/A,#N/A,FALSE,"Cashflow Analysis";#N/A,#N/A,FALSE,"Sensitivity Analysis";#N/A,#N/A,FALSE,"PV";#N/A,#N/A,FALSE,"Pro Forma"}</definedName>
    <definedName name="wrn.Value.2" hidden="1">{#N/A,#N/A,FALSE,"Cashflow Analysis";#N/A,#N/A,FALSE,"Sensitivity Analysis";#N/A,#N/A,FALSE,"PV";#N/A,#N/A,FALSE,"Pro Forma"}</definedName>
    <definedName name="wrn.Variance._.REports." hidden="1">{#N/A,#N/A,FALSE,"Summary";#N/A,#N/A,FALSE,"04E Summ";#N/A,#N/A,FALSE,"04Pvs03E Summ";#N/A,#N/A,FALSE,"03E Summ"}</definedName>
    <definedName name="wrn.Versorgungs._.GmbH._.Data." hidden="1">{#N/A,#N/A,FALSE,"DCFCoverVersorgung";#N/A,#N/A,FALSE,"DCFOverviewVersorgung";#N/A,#N/A,FALSE,"PlanVersorgung";#N/A,#N/A,FALSE,"DCFVersorgung";#N/A,#N/A,FALSE,"ValueVersorgung";#N/A,#N/A,FALSE,"WaccVersorgung";#N/A,#N/A,FALSE,"WaccVersorgung";#N/A,#N/A,FALSE,"WaccCompVersorgung";#N/A,#N/A,FALSE,"MatrixVersorgung"}</definedName>
    <definedName name="wrn.VRTX." hidden="1">{"Revenues",#N/A,FALSE,"Revenue";"qearn1",#N/A,FALSE,"Qearn";"qearn2",#N/A,FALSE,"Qearn";#N/A,#N/A,FALSE,"Qmargin";"cashflow",#N/A,FALSE,"Cashflow";"Product Pipeline",#N/A,FALSE,"Product Pipeline"}</definedName>
    <definedName name="wrn.Wacc." hidden="1">{"Area1",#N/A,FALSE,"OREWACC";"Area2",#N/A,FALSE,"OREWACC"}</definedName>
    <definedName name="wrn.Warrant._.analysis." hidden="1">{#N/A,#N/A,FALSE,"sum (2)";#N/A,#N/A,FALSE,"bs";#N/A,#N/A,FALSE,"is";#N/A,#N/A,FALSE,"cf";#N/A,#N/A,FALSE,"ltd";#N/A,#N/A,FALSE,"irr (2)"}</definedName>
    <definedName name="wrn.WATERTOWN._.BUDGET." hidden="1">{#N/A,#N/A,TRUE,"Inc. St.";#N/A,#N/A,TRUE,"SalesLabor";#N/A,#N/A,TRUE,"Labor";#N/A,#N/A,TRUE,"TEMP.";#N/A,#N/A,TRUE,"Manuf.";#N/A,#N/A,TRUE,"Repairs";#N/A,#N/A,TRUE,"G&amp;A";#N/A,#N/A,TRUE,"Inv.";#N/A,#N/A,TRUE,"Cap.X";#N/A,#N/A,TRUE,"Leases"}</definedName>
    <definedName name="wrn.Web._.Portfolio._.Companies._.June._.2000."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wrn.Western._.Metal." hidden="1">{#N/A,#N/A,FALSE,"Western";#N/A,#N/A,FALSE,"Inc. St.";#N/A,#N/A,FALSE,"Hist.";#N/A,#N/A,FALSE,"SalesLabor";#N/A,#N/A,FALSE,"Labor";#N/A,#N/A,FALSE,"Manuf.";#N/A,#N/A,FALSE,"Repairs";#N/A,#N/A,FALSE,"G&amp;A";#N/A,#N/A,FALSE,"Inv.";#N/A,#N/A,FALSE,"Cap. X"}</definedName>
    <definedName name="wrn.WHOLE." hidden="1">{#N/A,#N/A,FALSE,"assumptions";#N/A,#N/A,FALSE,"contrib_annual";#N/A,#N/A,FALSE,"historic";#N/A,#N/A,FALSE,"Proforma";#N/A,#N/A,FALSE,"CALENDARIZED";#N/A,#N/A,FALSE,"Has_gets";#N/A,#N/A,FALSE,"DILUTION"}</definedName>
    <definedName name="wrn.wicor." hidden="1">{#N/A,#N/A,FALSE,"FACTSHEETS";#N/A,#N/A,FALSE,"pump";#N/A,#N/A,FALSE,"filter"}</definedName>
    <definedName name="wrn.work._.paper._.shcedules." hidden="1">{"summary1",#N/A,FALSE,"Summary of Values";"summary2",#N/A,FALSE,"Summary of Values";"weighted average returns",#N/A,FALSE,"WACC and WARA";"fixed asset detail",#N/A,FALSE,"Fixed Asset Detail"}</definedName>
    <definedName name="wrn.wpoall." hidden="1">{"wpocash",#N/A,FALSE,"WPOALLT";"wpoinc",#N/A,FALSE,"WPOALLT";"wpoexcl",#N/A,FALSE,"WPOALLT";"wpocable",#N/A,FALSE,"WPOALLT";"wpobroad",#N/A,FALSE,"WPOALLT";"wpopost",#N/A,FALSE,"WPOALLT";"wponwsweek",#N/A,FALSE,"WPOALLT"}</definedName>
    <definedName name="wrn.WWY." hidden="1">{#N/A,#N/A,FALSE,"WWY"}</definedName>
    <definedName name="wrn_eva" hidden="1">{"EVA",#N/A,FALSE,"EVA";"WACC",#N/A,FALSE,"WACC"}</definedName>
    <definedName name="wrn_otpt" hidden="1">{"DCF","UPSIDE CASE",FALSE,"Sheet1";"DCF","BASE CASE",FALSE,"Sheet1";"DCF","DOWNSIDE CASE",FALSE,"Sheet1"}</definedName>
    <definedName name="wrn_summary_95_952" hidden="1">{"arpm1995",#N/A,FALSE,"Summary 95-96";"bus_long_distance",#N/A,FALSE,"Summary 95-96";"mins_per_day",#N/A,FALSE,"Summary 95-96";"minutes1995",#N/A,FALSE,"Summary 95-96";"rev_per_day",#N/A,FALSE,"Summary 95-96";"view1995",#N/A,FALSE,"Summary 95-96"}</definedName>
    <definedName name="wrn_summary_95_952_1" hidden="1">{"arpm1995",#N/A,FALSE,"Summary 95-96";"bus_long_distance",#N/A,FALSE,"Summary 95-96";"mins_per_day",#N/A,FALSE,"Summary 95-96";"minutes1995",#N/A,FALSE,"Summary 95-96";"rev_per_day",#N/A,FALSE,"Summary 95-96";"view1995",#N/A,FALSE,"Summary 95-96"}</definedName>
    <definedName name="wrn1.Statements." hidden="1">{#N/A,#N/A,FALSE,"CostOfService";#N/A,#N/A,FALSE,"BalanceSheet";#N/A,#N/A,FALSE,"IncomeStmt";#N/A,#N/A,FALSE,"CashFlow";#N/A,#N/A,FALSE,"RateBase"}</definedName>
    <definedName name="wrn2.All." hidden="1">{#N/A,#N/A,FALSE,"Structure";#N/A,#N/A,FALSE,"Shares";#N/A,#N/A,FALSE,"Market";#N/A,#N/A,FALSE,"Proj-Cal";#N/A,#N/A,FALSE,"Margins - GrossR&amp;D";#N/A,#N/A,FALSE,"Margins - sg&amp;a";#N/A,#N/A,FALSE,"Margins - Oper-net";#N/A,#N/A,FALSE,"Rev Grwth";#N/A,#N/A,FALSE,"Op Inc Grwth";#N/A,#N/A,FALSE,"Net Grwth";#N/A,#N/A,FALSE,"EPS Growth";#N/A,#N/A,FALSE,"Balance";#N/A,#N/A,FALSE,"TDFX";#N/A,#N/A,FALSE,"CUBE";#N/A,#N/A,FALSE,"TDDDF";#N/A,#N/A,FALSE,"DIMD";#N/A,#N/A,FALSE,"ELNT";#N/A,#N/A,FALSE,"ZRAN";#N/A,#N/A,FALSE,"FDJA";#N/A,#N/A,FALSE,"GNMC"}</definedName>
    <definedName name="wrn3.ALL." hidden="1">{#N/A,#N/A,FALSE,"DCF";#N/A,#N/A,FALSE,"WACC";#N/A,#N/A,FALSE,"Sales_EBIT";#N/A,#N/A,FALSE,"Capex_Depreciation";#N/A,#N/A,FALSE,"WC";#N/A,#N/A,FALSE,"Interest";#N/A,#N/A,FALSE,"Assumptions"}</definedName>
    <definedName name="wrna.prod" hidden="1">{#N/A,#N/A,FALSE,"1";#N/A,#N/A,FALSE,"2";#N/A,#N/A,FALSE,"16 - 17";#N/A,#N/A,FALSE,"18 - 19";#N/A,#N/A,FALSE,"26";#N/A,#N/A,FALSE,"27";#N/A,#N/A,FALSE,"28"}</definedName>
    <definedName name="wrnc"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fy97" hidden="1">{#N/A,#N/A,FALSE,"FY97";#N/A,#N/A,FALSE,"FY98";#N/A,#N/A,FALSE,"FY99";#N/A,#N/A,FALSE,"FY00";#N/A,#N/A,FALSE,"FY01"}</definedName>
    <definedName name="wrnrep" hidden="1">{"summary",#N/A,FALSE,"3 yr average";"comps",#N/A,FALSE,"3 yr average"}</definedName>
    <definedName name="WRR" hidden="1">{#N/A,#N/A,FALSE,"Pharm";#N/A,#N/A,FALSE,"WWCM"}</definedName>
    <definedName name="wrrr" hidden="1">{"arpm1995",#N/A,FALSE,"Summary 95-96";"bus_long_distance",#N/A,FALSE,"Summary 95-96";"mins_per_day",#N/A,FALSE,"Summary 95-96";"minutes1995",#N/A,FALSE,"Summary 95-96";"rev_per_day",#N/A,FALSE,"Summary 95-96";"view1995",#N/A,FALSE,"Summary 95-96"}</definedName>
    <definedName name="wrrrrr" hidden="1">{#N/A,#N/A,FALSE,"REPORT"}</definedName>
    <definedName name="wt" hidden="1">{#N/A,#N/A,FALSE,"FY97";#N/A,#N/A,FALSE,"FY98";#N/A,#N/A,FALSE,"FY99";#N/A,#N/A,FALSE,"FY00";#N/A,#N/A,FALSE,"FY01"}</definedName>
    <definedName name="wtere" hidden="1">{"arpm1995",#N/A,FALSE,"Summary 95-96";"bus_long_distance",#N/A,FALSE,"Summary 95-96";"mins_per_day",#N/A,FALSE,"Summary 95-96";"minutes1995",#N/A,FALSE,"Summary 95-96";"rev_per_day",#N/A,FALSE,"Summary 95-96";"view1995",#N/A,FALSE,"Summary 95-96"}</definedName>
    <definedName name="wv" hidden="1">{#N/A,#N/A,FALSE,"Pharm";#N/A,#N/A,FALSE,"WWCM"}</definedName>
    <definedName name="wvu.cash." hidden="1">{TRUE,TRUE,-1.25,-15.5,456.75,279.75,FALSE,FALSE,TRUE,TRUE,0,1,18,1,199,6,3,4,TRUE,TRUE,3,TRUE,1,TRUE,100,"Swvu.cash.","ACwvu.cash.",1,FALSE,FALSE,0.511811023622047,0.511811023622047,0.511811023622047,0.511811023622047,1,"","",FALSE,FALSE,FALSE,FALSE,1,#N/A,1,1,#DIV/0!,FALSE,"Rwvu.cash.",#N/A,FALSE,FALS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profits." hidden="1">{TRUE,TRUE,-1.25,-15.5,456.75,279.75,FALSE,FALSE,TRUE,TRUE,0,1,21,1,127,6,3,4,TRUE,TRUE,3,TRUE,1,TRUE,100,"Swvu.profits.","ACwvu.profits.",1,FALSE,FALSE,0.511811023622047,0.511811023622047,0.511811023622047,0.511811023622047,1,"","",FALSE,FALSE,FALSE,FALSE,1,#N/A,1,1,#DIV/0!,FALSE,"Rwvu.profits.",#N/A,FALSE,FALS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turnover." hidden="1">{TRUE,TRUE,-1.25,-15.5,456.75,279.75,FALSE,FALSE,TRUE,TRUE,0,1,8,1,4,6,3,4,TRUE,TRUE,3,TRUE,1,TRUE,100,"Swvu.turnover.","ACwvu.turnover.",1,FALSE,FALSE,0.511811023622047,0.511811023622047,0.511811023622047,0.511811023622047,1,"","",FALSE,FALSE,FALSE,FALSE,1,#N/A,1,1,#DIV/0!,FALSE,"Rwvu.turnover.",#N/A,FALSE,FALSE}</definedName>
    <definedName name="ww" hidden="1">{#N/A,#N/A,FALSE,"Pharm";#N/A,#N/A,FALSE,"WWCM"}</definedName>
    <definedName name="wwewrt" hidden="1">{#N/A,#N/A,FALSE,"RESUMEN ECON.";#N/A,#N/A,FALSE,"Costos de R.H.";#N/A,#N/A,FALSE,"COSTO HW";#N/A,#N/A,FALSE,"CUADROS";#N/A,#N/A,FALSE,"SCADA´s";#N/A,#N/A,FALSE,"PRECIOS EQUIPOS"}</definedName>
    <definedName name="www" hidden="1">{#N/A,#N/A,TRUE,"BUD VS ACT AUST 96";#N/A,#N/A,TRUE,"96 COMP P&amp;L-AUST";#N/A,#N/A,TRUE,"COMP BS-AUSTRALIA";#N/A,#N/A,TRUE,"B/S - AUSTR."}</definedName>
    <definedName name="www.nuevahoja." hidden="1">{#N/A,#N/A,FALSE,"CNS_ADJ";"Balance Consolidado",#N/A,FALSE,"BCEC_CNS";#N/A,#N/A,FALSE,"USGAAP_ADJ"}</definedName>
    <definedName name="wwww" hidden="1">{#N/A,#N/A,TRUE,"BUD VS ACT AUST 96";#N/A,#N/A,TRUE,"96 COMP P&amp;L-AUST";#N/A,#N/A,TRUE,"COMP BS-AUSTRALIA";#N/A,#N/A,TRUE,"B/S - AUSTR."}</definedName>
    <definedName name="wx" hidden="1">{#N/A,#N/A,FALSE,"Pharm";#N/A,#N/A,FALSE,"WWCM"}</definedName>
    <definedName name="x">#REF!</definedName>
    <definedName name="xc"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xcv" hidden="1">{#N/A,#N/A,FALSE,"Pharm";#N/A,#N/A,FALSE,"WWCM"}</definedName>
    <definedName name="xjey1" hidden="1">#REF!</definedName>
    <definedName name="XRefColumnsCount" hidden="1">4</definedName>
    <definedName name="XRefCopyRangeCount" hidden="1">8</definedName>
    <definedName name="XRefPasteRangeCount" hidden="1">2</definedName>
    <definedName name="XS" hidden="1">{#N/A,#N/A,FALSE,"REV 110 PRNE (Bureau-Frankfurt)";#N/A,#N/A,FALSE,"REV 120 PRNE (Bureau - Paris)"}</definedName>
    <definedName name="xsort2" hidden="1">#REF!</definedName>
    <definedName name="xvc" hidden="1">{"FCB_ALL",#N/A,FALSE,"FCB"}</definedName>
    <definedName name="xx" hidden="1">{#N/A,#N/A,FALSE,"REPORT"}</definedName>
    <definedName name="xxd" hidden="1">{#N/A,#N/A,FALSE,"Cashflow Analysis";#N/A,#N/A,FALSE,"Sensitivity Analysis";#N/A,#N/A,FALSE,"PV";#N/A,#N/A,FALSE,"Pro Forma"}</definedName>
    <definedName name="xxd.2" hidden="1">{#N/A,#N/A,FALSE,"Cashflow Analysis";#N/A,#N/A,FALSE,"Sensitivity Analysis";#N/A,#N/A,FALSE,"PV";#N/A,#N/A,FALSE,"Pro Forma"}</definedName>
    <definedName name="xxx" hidden="1">{#N/A,#N/A,TRUE,"BUD VS ACT AUST 96";#N/A,#N/A,TRUE,"96 COMP P&amp;L-AUST";#N/A,#N/A,TRUE,"COMP BS-AUSTRALIA";#N/A,#N/A,TRUE,"B/S - AUSTR."}</definedName>
    <definedName name="xxxx" hidden="1">{"PAGE 1",#N/A,FALSE,"WEST_OT"}</definedName>
    <definedName name="xxxxx" hidden="1">{#N/A,#N/A,FALSE,"Pharm";#N/A,#N/A,FALSE,"WWCM"}</definedName>
    <definedName name="xyz" hidden="1">{#N/A,#N/A,TRUE,"Total";#N/A,#N/A,TRUE,"U.S. Devl.";#N/A,#N/A,TRUE,"U.S. Headcount"}</definedName>
    <definedName name="y" hidden="1">{#N/A,#N/A,FALSE,"Pharm";#N/A,#N/A,FALSE,"WWCM"}</definedName>
    <definedName name="Year1_plan">#REF!</definedName>
    <definedName name="Year2_plan">#REF!</definedName>
    <definedName name="yes" hidden="1">{#N/A,#N/A,FALSE,"Admin";#N/A,#N/A,FALSE,"Other"}</definedName>
    <definedName name="YGJ" hidden="1">{TRUE,TRUE,-1.25,-15.5,604.5,369,FALSE,FALSE,TRUE,TRUE,0,1,83,1,38,4,5,4,TRUE,TRUE,3,TRUE,1,TRUE,75,"Swvu.inputs._.raw._.data.","ACwvu.inputs._.raw._.data.",#N/A,FALSE,FALSE,0.5,0.5,0.5,0.5,2,"&amp;F","&amp;A&amp;RPage &amp;P",FALSE,FALSE,FALSE,FALSE,1,60,#N/A,#N/A,"=R1C61:R53C89","=C1:C5",#N/A,#N/A,FALSE,FALSE,FALSE,1,600,600,FALSE,FALSE,TRUE,TRUE,TRUE}</definedName>
    <definedName name="yq" hidden="1">{#N/A,#N/A,FALSE,"CNS_ADJ";"Balance Consolidado",#N/A,FALSE,"BCEC_CNS";#N/A,#N/A,FALSE,"USGAAP_ADJ"}</definedName>
    <definedName name="yrd" hidden="1">{"PAGE 1",#N/A,FALSE,"WEST_OT"}</definedName>
    <definedName name="YTY" hidden="1">{#N/A,#N/A,FALSE,"TABLE_1 YTD";#N/A,#N/A,FALSE,"TABLE_1A QTD";#N/A,#N/A,FALSE,"NORMAL_SPREAD_QTD";#N/A,#N/A,FALSE,"NORMAL_SPREAD_YTD";#N/A,#N/A,FALSE,"TAX_EQV";#N/A,#N/A,FALSE,"TAX EQUIV_INPUT";#N/A,#N/A,FALSE,"NET FROM FER";#N/A,#N/A,FALSE,"COVER"}</definedName>
    <definedName name="yy" hidden="1">{#N/A,#N/A,FALSE,"COVER";#N/A,#N/A,FALSE,"Index";#N/A,#N/A,FALSE,"Summ_Products_Rec.97-98";#N/A,#N/A,FALSE,"QTR_Comp.";#N/A,#N/A,FALSE,"Summ_Detail_Rec.97-98";#N/A,#N/A,FALSE,"Summ_Agencies_Rec.97-98"}</definedName>
    <definedName name="yyy" hidden="1">{#N/A,#N/A,FALSE,"Other";#N/A,#N/A,FALSE,"Ace";#N/A,#N/A,FALSE,"Derm"}</definedName>
    <definedName name="z" hidden="1">{"CSheet",#N/A,FALSE,"C";"SmCap",#N/A,FALSE,"VAL1";"GulfCoast",#N/A,FALSE,"VAL1";"nav",#N/A,FALSE,"NAV";"Summary",#N/A,FALSE,"NAV"}</definedName>
    <definedName name="Z_24BF9755_66DA_11D4_A31E_00C0F0154575_.wvu.PrintArea" hidden="1">#REF!</definedName>
    <definedName name="Z_24BF9755_66DA_11D4_A31E_00C0F0154575_.wvu.PrintTitles" hidden="1">#REF!</definedName>
    <definedName name="Z_4FA7459B_7D59_11D3_B819_444553540000_.wvu.Cols" hidden="1">#REF!,#REF!</definedName>
    <definedName name="Z_4FA7459B_7D59_11D3_B819_444553540000_.wvu.Rows" hidden="1">#REF!</definedName>
    <definedName name="Z_603CDB61_4585_11D3_9E2C_00105AA4333D_.wvu.PrintArea" hidden="1">#REF!</definedName>
    <definedName name="Z_603CDB63_4585_11D3_9E2C_00105AA4333D_.wvu.PrintArea" hidden="1">#REF!</definedName>
    <definedName name="Z_603CDB64_4585_11D3_9E2C_00105AA4333D_.wvu.PrintArea" hidden="1">#REF!</definedName>
    <definedName name="Z_603CDB66_4585_11D3_9E2C_00105AA4333D_.wvu.PrintArea" hidden="1">#REF!</definedName>
    <definedName name="Z_6DFA7DCF_3C08_11D1_BDBE_0020AF42250B_.wvu.PrintArea" hidden="1">#REF!</definedName>
    <definedName name="Z_6DFA7DCF_3C08_11D1_BDBE_0020AF42250B_.wvu.PrintTitles" hidden="1">#REF!</definedName>
    <definedName name="Z_6DFA7DD9_3C08_11D1_BDBE_0020AF42250B_.wvu.PrintTitles" hidden="1">#REF!</definedName>
    <definedName name="Z_6DFA7DDA_3C08_11D1_BDBE_0020AF42250B_.wvu.PrintArea" hidden="1">#REF!</definedName>
    <definedName name="Z_6DFA7DDA_3C08_11D1_BDBE_0020AF42250B_.wvu.PrintTitles" hidden="1">#REF!</definedName>
    <definedName name="Z_6DFA7DDC_3C08_11D1_BDBE_0020AF42250B_.wvu.PrintArea" hidden="1">#REF!</definedName>
    <definedName name="Z_6DFA7DDC_3C08_11D1_BDBE_0020AF42250B_.wvu.PrintTitles" hidden="1">#REF!</definedName>
    <definedName name="Z_6DFA7DDD_3C08_11D1_BDBE_0020AF42250B_.wvu.PrintArea" hidden="1">#REF!</definedName>
    <definedName name="Z_6DFA7DDD_3C08_11D1_BDBE_0020AF42250B_.wvu.PrintTitles" hidden="1">#REF!</definedName>
    <definedName name="Z_6DFA7DDE_3C08_11D1_BDBE_0020AF42250B_.wvu.PrintArea" hidden="1">#REF!</definedName>
    <definedName name="Z_6DFA7DDE_3C08_11D1_BDBE_0020AF42250B_.wvu.PrintTitles" hidden="1">#REF!</definedName>
    <definedName name="Z_6DFA7DDF_3C08_11D1_BDBE_0020AF42250B_.wvu.PrintArea" hidden="1">#REF!</definedName>
    <definedName name="Z_6DFA7DDF_3C08_11D1_BDBE_0020AF42250B_.wvu.PrintTitles" hidden="1">#REF!</definedName>
    <definedName name="Z_6DFA7DE0_3C08_11D1_BDBE_0020AF42250B_.wvu.PrintArea" hidden="1">#REF!</definedName>
    <definedName name="Z_6DFA7DE0_3C08_11D1_BDBE_0020AF42250B_.wvu.PrintTitles" hidden="1">#REF!</definedName>
    <definedName name="Z_6DFA7DE5_3C08_11D1_BDBE_0020AF42250B_.wvu.PrintTitles" hidden="1">#REF!</definedName>
    <definedName name="Z_6DFA7DE6_3C08_11D1_BDBE_0020AF42250B_.wvu.PrintArea" hidden="1">#REF!</definedName>
    <definedName name="Z_6DFA7DE6_3C08_11D1_BDBE_0020AF42250B_.wvu.PrintTitles" hidden="1">#REF!</definedName>
    <definedName name="Z_702CE201_67EF_11D2_8E81_00104BCAECA1_.wvu.PrintTitles" hidden="1">#REF!,#REF!</definedName>
    <definedName name="Z_870DA93B_C7EC_11D1_935A_00A0C95F1362_.wvu.PrintArea" hidden="1">#REF!</definedName>
    <definedName name="Z_995DB91B_DC87_11D2_BCA9_00C04F8BBE86_.wvu.PrintArea" hidden="1">#REF!</definedName>
    <definedName name="Z_995DB91E_DC87_11D2_BCA9_00C04F8BBE86_.wvu.PrintArea" hidden="1">#REF!</definedName>
    <definedName name="Z_995DB91F_DC87_11D2_BCA9_00C04F8BBE86_.wvu.PrintArea" hidden="1">#REF!</definedName>
    <definedName name="Z_9AB6DE14_D22E_11D2_A1DB_00105AA4333D_.wvu.PrintArea" hidden="1">#REF!</definedName>
    <definedName name="Z_9AB6DE16_D22E_11D2_A1DB_00105AA4333D_.wvu.PrintArea" hidden="1">#REF!</definedName>
    <definedName name="Z_9AB6DE17_D22E_11D2_A1DB_00105AA4333D_.wvu.PrintArea" hidden="1">#REF!</definedName>
    <definedName name="Z_9AB6DE19_D22E_11D2_A1DB_00105AA4333D_.wvu.PrintArea" hidden="1">#REF!</definedName>
    <definedName name="Z_9AB6DE4D_D22E_11D2_A1DB_00105AA4333D_.wvu.PrintArea" hidden="1">#REF!</definedName>
    <definedName name="Z_9AB6DE4F_D22E_11D2_A1DB_00105AA4333D_.wvu.PrintArea" hidden="1">#REF!</definedName>
    <definedName name="Z_9AB6DE50_D22E_11D2_A1DB_00105AA4333D_.wvu.PrintArea" hidden="1">#REF!</definedName>
    <definedName name="Z_9AB6DE52_D22E_11D2_A1DB_00105AA4333D_.wvu.PrintArea" hidden="1">#REF!</definedName>
    <definedName name="Z_A63A1DDB_260F_11D2_8501_00A0246D366B_.wvu.PrintArea" hidden="1">#N/A</definedName>
    <definedName name="Z_B21BDB45_3C17_11D2_913A_00A024D72BFF_.wvu.PrintArea" hidden="1">#REF!</definedName>
    <definedName name="Z_B21BDB45_3C17_11D2_913A_00A024D72BFF_.wvu.PrintTitles" hidden="1">#REF!,#REF!</definedName>
    <definedName name="Z_B21BDB46_3C17_11D2_913A_00A024D72BFF_.wvu.PrintArea" hidden="1">#REF!</definedName>
    <definedName name="Z_B21BDB46_3C17_11D2_913A_00A024D72BFF_.wvu.PrintTitles" hidden="1">#REF!,#REF!</definedName>
    <definedName name="Z_B21BDBC3_3C17_11D2_913A_00A024D72BFF_.wvu.PrintArea" hidden="1">#REF!</definedName>
    <definedName name="Z_B21BDBC3_3C17_11D2_913A_00A024D72BFF_.wvu.PrintTitles" hidden="1">#REF!,#REF!</definedName>
    <definedName name="Z_B21BDBC4_3C17_11D2_913A_00A024D72BFF_.wvu.PrintArea" hidden="1">#REF!</definedName>
    <definedName name="Z_B21BDBC4_3C17_11D2_913A_00A024D72BFF_.wvu.PrintTitles" hidden="1">#REF!,#REF!</definedName>
    <definedName name="Z_B3B99CDB_2547_11D2_8500_00A0246D366B_.wvu.PrintArea" hidden="1">#N/A</definedName>
    <definedName name="Z_C229C740_74EF_11D3_8C05_00105AA43A7F_.wvu.Cols" hidden="1">#REF!</definedName>
    <definedName name="Z_C229C740_74EF_11D3_8C05_00105AA43A7F_.wvu.PrintArea" hidden="1">#REF!</definedName>
    <definedName name="Z_C229C740_74EF_11D3_8C05_00105AA43A7F_.wvu.PrintTitles" hidden="1">#REF!,#REF!</definedName>
    <definedName name="Z_C229C740_74EF_11D3_8C05_00105AA43A7F_.wvu.Rows" hidden="1">#REF!,#REF!,#REF!,#REF!,#REF!,#REF!,#REF!,#REF!,#REF!,#REF!,#REF!,#REF!,#REF!,#REF!,#REF!,#REF!,#REF!,#REF!,#REF!,#REF!,#REF!,#REF!,#REF!,#REF!,#REF!,#REF!,#REF!,#REF!,#REF!,#REF!,#REF!,#REF!,#REF!,#REF!,#REF!,#REF!,#REF!,#REF!,#REF!,#REF!,#REF!,#REF!,#REF!,#REF!,#REF!,#REF!,#REF!,#REF!,#REF!,#REF!,#REF!,#REF!,#REF!,#REF!</definedName>
    <definedName name="Z_D774FBF2_C14B_4E8C_A09D_6327FECC4D99_.wvu.Cols" hidden="1">#REF!</definedName>
    <definedName name="zaq" hidden="1">{#N/A,#N/A,FALSE,"Calc";#N/A,#N/A,FALSE,"Sensitivity";#N/A,#N/A,FALSE,"LT Earn.Dil.";#N/A,#N/A,FALSE,"Dil. AVP"}</definedName>
    <definedName name="zb" hidden="1">{#N/A,#N/A,FALSE,"Sheet1";#N/A,#N/A,FALSE,"Sheet2";#N/A,#N/A,FALSE,"Sheet3";#N/A,#N/A,FALSE,"Sheet4";#N/A,#N/A,FALSE,"Sheet5";#N/A,#N/A,FALSE,"Sheet6"}</definedName>
    <definedName name="zb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dfgxzdfg" hidden="1">{"ReportTop",#N/A,FALSE,"report top"}</definedName>
    <definedName name="zer" hidden="1">{#N/A,#N/A,FALSE,"Calc";#N/A,#N/A,FALSE,"Sensitivity";#N/A,#N/A,FALSE,"LT Earn.Dil.";#N/A,#N/A,FALSE,"Dil. AVP"}</definedName>
    <definedName name="zhu" hidden="1">{#N/A,#N/A,FALSE,"REPORT"}</definedName>
    <definedName name="zhutr" hidden="1">{#N/A,#N/A,FALSE,"REPORT"}</definedName>
    <definedName name="zs" hidden="1">{"FCB_ALL",#N/A,FALSE,"FCB"}</definedName>
    <definedName name="zsdas" hidden="1">{"FCB_ALL",#N/A,FALSE,"FCB"}</definedName>
    <definedName name="ZSZ"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xczz" hidden="1">{"FCB_ALL",#N/A,FALSE,"FCB"}</definedName>
    <definedName name="zxxx" hidden="1">{"arpm1995",#N/A,FALSE,"Summary 95-96";"bus_long_distance",#N/A,FALSE,"Summary 95-96";"mins_per_day",#N/A,FALSE,"Summary 95-96";"minutes1995",#N/A,FALSE,"Summary 95-96";"rev_per_day",#N/A,FALSE,"Summary 95-96";"view1995",#N/A,FALSE,"Summary 95-96"}</definedName>
    <definedName name="zxxx_1" hidden="1">{"arpm1995",#N/A,FALSE,"Summary 95-96";"bus_long_distance",#N/A,FALSE,"Summary 95-96";"mins_per_day",#N/A,FALSE,"Summary 95-96";"minutes1995",#N/A,FALSE,"Summary 95-96";"rev_per_day",#N/A,FALSE,"Summary 95-96";"view1995",#N/A,FALSE,"Summary 95-96"}</definedName>
    <definedName name="zy" hidden="1">{#N/A,#N/A,TRUE,"BUD VS ACT AUST 96";#N/A,#N/A,TRUE,"96 COMP P&amp;L-AUST";#N/A,#N/A,TRUE,"COMP BS-AUSTRALIA";#N/A,#N/A,TRUE,"B/S - AUSTR."}</definedName>
    <definedName name="zza4pg" hidden="1">{#N/A,#N/A,FALSE,"REPORT"}</definedName>
    <definedName name="zzee" hidden="1">{#N/A,#N/A,FALSE,"Pharm";#N/A,#N/A,FALSE,"WWCM"}</definedName>
    <definedName name="zzzz" hidden="1">{#N/A,#N/A,FALSE,"COMP BS-FRANCE";#N/A,#N/A,FALSE,"96 COMP P&amp;L-FRANCE";#N/A,#N/A,FALSE,"BUD VS ACT FRAN 96";#N/A,#N/A,FALSE,"B/S - FRANCE"}</definedName>
    <definedName name="zzzzz" hidden="1">{#N/A,#N/A,FALSE,"REPORT"}</definedName>
    <definedName name="고" hidden="1">{#N/A,#N/A,FALSE,"REPORT"}</definedName>
    <definedName name="ㄶㅇ노ㅗㄶ호" hidden="1">{#N/A,#N/A,FALSE,"REPORT"}</definedName>
    <definedName name="미애" hidden="1">{#N/A,#N/A,FALSE,"REPORT"}</definedName>
    <definedName name="_xlnm.Print_Area" localSheetId="0">'I. Cover Page'!$B$1:$J$30</definedName>
    <definedName name="_xlnm._FilterDatabase" localSheetId="2" hidden="1">'Source Lineage'!$A$1:$E$14</definedName>
    <definedName name="_xlnm.Print_Area" localSheetId="3">'II. Attribution Summary'!$B$1:$H$23</definedName>
    <definedName name="_xlnm.Print_Area" localSheetId="4">'III. Valuation Summary'!$B$1:$L$26</definedName>
    <definedName name="____________________________ww2" localSheetId="5" hidden="1">{#N/A,#N/A,FALSE,"Admin";#N/A,#N/A,FALSE,"Other"}</definedName>
    <definedName name="______________ww2" localSheetId="5" hidden="1">{#N/A,#N/A,FALSE,"Admin";#N/A,#N/A,FALSE,"Other"}</definedName>
    <definedName name="_____________ww2" localSheetId="5" hidden="1">{#N/A,#N/A,FALSE,"Admin";#N/A,#N/A,FALSE,"Other"}</definedName>
    <definedName name="____________ww2" localSheetId="5" hidden="1">{#N/A,#N/A,FALSE,"Admin";#N/A,#N/A,FALSE,"Other"}</definedName>
    <definedName name="___________ww2" localSheetId="5" hidden="1">{#N/A,#N/A,FALSE,"Admin";#N/A,#N/A,FALSE,"Other"}</definedName>
    <definedName name="__________ww2" localSheetId="5" hidden="1">{#N/A,#N/A,FALSE,"Admin";#N/A,#N/A,FALSE,"Other"}</definedName>
    <definedName name="_________ww2" localSheetId="5" hidden="1">{#N/A,#N/A,FALSE,"Admin";#N/A,#N/A,FALSE,"Other"}</definedName>
    <definedName name="________ww2" localSheetId="5" hidden="1">{#N/A,#N/A,FALSE,"Admin";#N/A,#N/A,FALSE,"Other"}</definedName>
    <definedName name="_______ww2" localSheetId="5" hidden="1">{#N/A,#N/A,FALSE,"Admin";#N/A,#N/A,FALSE,"Other"}</definedName>
    <definedName name="______ww2" localSheetId="5" hidden="1">{#N/A,#N/A,FALSE,"Admin";#N/A,#N/A,FALSE,"Other"}</definedName>
    <definedName name="_____ww2" localSheetId="5" hidden="1">{#N/A,#N/A,FALSE,"Admin";#N/A,#N/A,FALSE,"Other"}</definedName>
    <definedName name="____ww2" localSheetId="5" hidden="1">{#N/A,#N/A,FALSE,"Admin";#N/A,#N/A,FALSE,"Other"}</definedName>
    <definedName name="___ww2" localSheetId="5" hidden="1">{#N/A,#N/A,FALSE,"Admin";#N/A,#N/A,FALSE,"Other"}</definedName>
    <definedName name="__123Graph_A" localSheetId="5" hidden="1">#REF!</definedName>
    <definedName name="__123Graph_ACOMP" localSheetId="5" hidden="1">#REF!</definedName>
    <definedName name="__123Graph_AGraph1" localSheetId="5" hidden="1">#REF!</definedName>
    <definedName name="__123Graph_AGraph10" localSheetId="5" hidden="1">#REF!</definedName>
    <definedName name="__123Graph_AGraph11" localSheetId="5" hidden="1">#REF!</definedName>
    <definedName name="__123Graph_AGraph3" localSheetId="5" hidden="1">#REF!</definedName>
    <definedName name="__123Graph_AGraph5" localSheetId="5" hidden="1">#REF!</definedName>
    <definedName name="__123Graph_AGraph6" localSheetId="5" hidden="1">#REF!</definedName>
    <definedName name="__123Graph_AGraph7" localSheetId="5" hidden="1">#REF!</definedName>
    <definedName name="__123Graph_AGraph8" localSheetId="5" hidden="1">#REF!</definedName>
    <definedName name="__123Graph_AHISTORY" localSheetId="5" hidden="1">#REF!</definedName>
    <definedName name="__123Graph_BCOMP" localSheetId="5" hidden="1">#REF!</definedName>
    <definedName name="__123Graph_BGraph8" localSheetId="5" hidden="1">#REF!</definedName>
    <definedName name="__123Graph_C" localSheetId="5" hidden="1">#REF!</definedName>
    <definedName name="__123Graph_CCOMP" localSheetId="5" hidden="1">#REF!</definedName>
    <definedName name="__123Graph_CGraph8" localSheetId="5" hidden="1">#REF!</definedName>
    <definedName name="__123Graph_D" localSheetId="5" hidden="1">#REF!</definedName>
    <definedName name="__123Graph_DCOMP" localSheetId="5" hidden="1">#REF!</definedName>
    <definedName name="__123Graph_DGraph8" localSheetId="5" hidden="1">#REF!</definedName>
    <definedName name="__123Graph_E" localSheetId="5" hidden="1">#REF!</definedName>
    <definedName name="__123Graph_ECOMP" localSheetId="5" hidden="1">#REF!</definedName>
    <definedName name="__123Graph_F" localSheetId="5" hidden="1">#REF!</definedName>
    <definedName name="__123Graph_LBL_A" localSheetId="5" hidden="1">#REF!</definedName>
    <definedName name="__123Graph_LBL_ACOMP" localSheetId="5" hidden="1">#REF!</definedName>
    <definedName name="__123Graph_LBL_AHISTORY" localSheetId="5" hidden="1">#REF!</definedName>
    <definedName name="__123Graph_LBL_BCOMP" localSheetId="5" hidden="1">#REF!</definedName>
    <definedName name="__123Graph_LBL_CCOMP" localSheetId="5" hidden="1">#REF!</definedName>
    <definedName name="__123Graph_LBL_DCOMP" localSheetId="5" hidden="1">#REF!</definedName>
    <definedName name="__123Graph_LBL_ECOMP" localSheetId="5" hidden="1">#REF!</definedName>
    <definedName name="__123Graph_X" localSheetId="5" hidden="1">#REF!</definedName>
    <definedName name="__123Graph_XCOMP" localSheetId="5" hidden="1">#REF!</definedName>
    <definedName name="__123Graph_XGraph11" localSheetId="5" hidden="1">#REF!</definedName>
    <definedName name="__123Graph_XGraph3" localSheetId="5" hidden="1">#REF!</definedName>
    <definedName name="__123Graph_XGraph5" localSheetId="5" hidden="1">#REF!</definedName>
    <definedName name="__123Graph_XHISTORY" localSheetId="5" hidden="1">#REF!</definedName>
    <definedName name="__4__123Graph_ACHART_1" localSheetId="5" hidden="1">#REF!</definedName>
    <definedName name="__7__123Graph_ACHART_1" localSheetId="5" hidden="1">#REF!</definedName>
    <definedName name="__a1" localSheetId="5" hidden="1">{#N/A,#N/A,FALSE,"Pharm";#N/A,#N/A,FALSE,"WWCM"}</definedName>
    <definedName name="__A11" localSheetId="5" hidden="1">{#N/A,#N/A,FALSE,"Umsatz 99";#N/A,#N/A,FALSE,"ER 99 "}</definedName>
    <definedName name="__aaa1" localSheetId="5" hidden="1">{#N/A,#N/A,FALSE,"REPORT"}</definedName>
    <definedName name="__aas1" localSheetId="5" hidden="1">{#N/A,#N/A,FALSE,"REPORT"}</definedName>
    <definedName name="__ACS2000" localSheetId="5" hidden="1">{#N/A,#N/A,FALSE,"REPORT"}</definedName>
    <definedName name="__b111" localSheetId="5" hidden="1">{#N/A,#N/A,FALSE,"Pharm";#N/A,#N/A,FALSE,"WWCM"}</definedName>
    <definedName name="__c" localSheetId="5" hidden="1">{"Fiesta Facer Page",#N/A,FALSE,"Q_C_S";"Fiesta Main Page",#N/A,FALSE,"V_L";"Fiesta 95BP Struct",#N/A,FALSE,"StructBP";"Fiesta Post 95BP Struct",#N/A,FALSE,"AdjStructBP"}</definedName>
    <definedName name="__FDS_USED_FOR_REUSING_RANGE_IDS_RECYCLE" localSheetId="5" hidden="1">{3,6,6,3,3,1,6,4,3}</definedName>
    <definedName name="__IntlFixupTable" localSheetId="5" hidden="1">#REF!</definedName>
    <definedName name="__new1" localSheetId="5" hidden="1">{#N/A,#N/A,FALSE,"Pharm";#N/A,#N/A,FALSE,"WWCM"}</definedName>
    <definedName name="__o1" localSheetId="5" hidden="1">{#N/A,#N/A,FALSE,"SUMMARY";#N/A,#N/A,FALSE,"mcsh";#N/A,#N/A,FALSE,"vol&amp;rev";#N/A,#N/A,FALSE,"wkgcap";#N/A,#N/A,FALSE,"DEPR&amp;DT";#N/A,#N/A,FALSE,"ASSETS";#N/A,#N/A,FALSE,"NI&amp;OTH&amp;DIV";#N/A,#N/A,FALSE,"CASHFLOW";#N/A,#N/A,FALSE,"CAPEMPL";#N/A,#N/A,FALSE,"ROCE"}</definedName>
    <definedName name="__Qtr4" localSheetId="5">#REF!</definedName>
    <definedName name="__r" localSheetId="5" hidden="1">{#N/A,#N/A,FALSE,"Pharm";#N/A,#N/A,FALSE,"WWCM"}</definedName>
    <definedName name="__tm1" localSheetId="5" hidden="1">{#N/A,#N/A,FALSE,"Pharm";#N/A,#N/A,FALSE,"WWCM"}</definedName>
    <definedName name="__ww2" localSheetId="5" hidden="1">{#N/A,#N/A,FALSE,"Admin";#N/A,#N/A,FALSE,"Other"}</definedName>
    <definedName name="__X2" localSheetId="5" hidden="1">{#N/A,#N/A,FALSE,"Other";#N/A,#N/A,FALSE,"Ace";#N/A,#N/A,FALSE,"Derm"}</definedName>
    <definedName name="_1__123Graph_ACHART_1" localSheetId="5" hidden="1">#REF!</definedName>
    <definedName name="_1__123Graph_ACHART_4" localSheetId="5" hidden="1">#REF!</definedName>
    <definedName name="_1__123Graph_AGraphique_1B" localSheetId="5" hidden="1">#REF!</definedName>
    <definedName name="_1__FDSAUDITLINK__" localSheetId="5" hidden="1">{"fdsup://Directions/FactSet Auditing Viewer?action=AUDIT_VALUE&amp;DB=129&amp;ID1=610036&amp;VALUEID=05192&amp;SDATE=201101&amp;PERIODTYPE=QTR_STD&amp;SCFT=3&amp;window=popup_no_bar&amp;width=385&amp;height=120&amp;START_MAXIMIZED=FALSE&amp;creator=factset&amp;display_string=Audit"}</definedName>
    <definedName name="_10__123Graph_LBL_ACHART_1" localSheetId="5" hidden="1">#REF!</definedName>
    <definedName name="_10__123Graph_LBL_ACHART_2" localSheetId="5" hidden="1">#REF!</definedName>
    <definedName name="_10__123Graph_LBL_ACHART_3" localSheetId="5" hidden="1">#REF!</definedName>
    <definedName name="_10__123Graph_XGraphique_1B" localSheetId="5" hidden="1">#REF!</definedName>
    <definedName name="_10__FDSAUDITLINK__" localSheetId="5" hidden="1">{"fdsup://Directions/FactSet Auditing Viewer?action=AUDIT_VALUE&amp;DB=129&amp;ID1=613566&amp;VALUEID=05192&amp;SDATE=201101&amp;PERIODTYPE=QTR_STD&amp;SCFT=3&amp;window=popup_no_bar&amp;width=385&amp;height=120&amp;START_MAXIMIZED=FALSE&amp;creator=factset&amp;display_string=Audit"}</definedName>
    <definedName name="_10_0__123Graph_ACHAR" localSheetId="5" hidden="1">#REF!</definedName>
    <definedName name="_104__123Graph_LBL_BCHART_2" localSheetId="5" hidden="1">#REF!</definedName>
    <definedName name="_108__123Graph_LBL_BCHART_1" localSheetId="5" hidden="1">#REF!</definedName>
    <definedName name="_109__123Graph_ACHART_4" localSheetId="5" hidden="1">#REF!</definedName>
    <definedName name="_11__123Graph_LBL_ACHART_2" localSheetId="5" hidden="1">#REF!</definedName>
    <definedName name="_11__123Graph_LBL_ACHART_3" localSheetId="5" hidden="1">#REF!</definedName>
    <definedName name="_11__123Graph_LBL_ACHART_4" localSheetId="5" hidden="1">#REF!</definedName>
    <definedName name="_11__123Graph_XGraphique_2B" localSheetId="5" hidden="1">#REF!</definedName>
    <definedName name="_11__FDSAUDITLINK__" localSheetId="5" hidden="1">{"fdsup://Directions/FactSet Auditing Viewer?action=AUDIT_VALUE&amp;DB=129&amp;ID1=B2QKWK&amp;VALUEID=05194&amp;SDATE=201101&amp;PERIODTYPE=QTR_STD&amp;SCFT=3&amp;window=popup_no_bar&amp;width=385&amp;height=120&amp;START_MAXIMIZED=FALSE&amp;creator=factset&amp;display_string=Audit"}</definedName>
    <definedName name="_112__123Graph_LBL_BCHART_3" localSheetId="5" hidden="1">#REF!</definedName>
    <definedName name="_112__FDSAUDITLINK__" localSheetId="5"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7__123Graph_LBL_BCHART_2" localSheetId="5" hidden="1">#REF!</definedName>
    <definedName name="_12__123Graph_ACHART_2" localSheetId="5" hidden="1">#REF!</definedName>
    <definedName name="_12__123Graph_ACHART_3" localSheetId="5" hidden="1">#REF!</definedName>
    <definedName name="_12__123Graph_ACHART_4" localSheetId="5" hidden="1">#REF!</definedName>
    <definedName name="_12__123Graph_LBL_ACHART_3" localSheetId="5" hidden="1">#REF!</definedName>
    <definedName name="_12__123Graph_LBL_ACHART_4" localSheetId="5" hidden="1">#REF!</definedName>
    <definedName name="_12__123Graph_LBL_BCHART_1" localSheetId="5" hidden="1">#REF!</definedName>
    <definedName name="_12__123Graph_XGraphique_3B" localSheetId="5" hidden="1">#REF!</definedName>
    <definedName name="_12__FDSAUDITLINK__" localSheetId="5" hidden="1">{"fdsup://Directions/FactSet Auditing Viewer?action=AUDIT_VALUE&amp;DB=129&amp;ID1=613566&amp;VALUEID=05194&amp;SDATE=201101&amp;PERIODTYPE=QTR_STD&amp;SCFT=3&amp;window=popup_no_bar&amp;width=385&amp;height=120&amp;START_MAXIMIZED=FALSE&amp;creator=factset&amp;display_string=Audit"}</definedName>
    <definedName name="_12_0__123Graph_BCHAR" localSheetId="5" hidden="1">#REF!</definedName>
    <definedName name="_120__123Graph_XCHART_1" localSheetId="5" hidden="1">#REF!</definedName>
    <definedName name="_120__FDSAUDITLINK__" localSheetId="5"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6__123Graph_LBL_BCHART_3" localSheetId="5" hidden="1">#REF!</definedName>
    <definedName name="_128__123Graph_XCHART_2" localSheetId="5" hidden="1">#REF!</definedName>
    <definedName name="_13__123Graph_ACHART_1" localSheetId="5" hidden="1">#REF!</definedName>
    <definedName name="_13__123Graph_LBL_ACHART_4" localSheetId="5" hidden="1">#REF!</definedName>
    <definedName name="_13__123Graph_LBL_BCHART_1" localSheetId="5" hidden="1">#REF!</definedName>
    <definedName name="_13__123Graph_LBL_BCHART_2" localSheetId="5" hidden="1">#REF!</definedName>
    <definedName name="_13__FDSAUDITLINK__" localSheetId="5" hidden="1">{"fdsup://Directions/FactSet Auditing Viewer?action=AUDIT_VALUE&amp;DB=129&amp;ID1=B62G7K&amp;VALUEID=05194&amp;SDATE=201101&amp;PERIODTYPE=QTR_STD&amp;SCFT=3&amp;window=popup_no_bar&amp;width=385&amp;height=120&amp;START_MAXIMIZED=FALSE&amp;creator=factset&amp;display_string=Audit"}</definedName>
    <definedName name="_135__123Graph_XCHART_1" localSheetId="5" hidden="1">#REF!</definedName>
    <definedName name="_136__123Graph_BCHART_1" localSheetId="5" hidden="1">#REF!</definedName>
    <definedName name="_136__123Graph_XCHART_3" localSheetId="5" hidden="1">#REF!</definedName>
    <definedName name="_14__123Graph_ACHART_1" localSheetId="5" hidden="1">#REF!</definedName>
    <definedName name="_14__123Graph_BCHART_1" localSheetId="5" hidden="1">#REF!</definedName>
    <definedName name="_14__123Graph_LBL_BCHART_1" localSheetId="5" hidden="1">#REF!</definedName>
    <definedName name="_14__123Graph_LBL_BCHART_2" localSheetId="5" hidden="1">#REF!</definedName>
    <definedName name="_14__123Graph_LBL_BCHART_3" localSheetId="5" hidden="1">#REF!</definedName>
    <definedName name="_14__FDSAUDITLINK__" localSheetId="5" hidden="1">{"fdsup://Directions/FactSet Auditing Viewer?action=AUDIT_VALUE&amp;DB=129&amp;ID1=B01LXY&amp;VALUEID=05194&amp;SDATE=201101&amp;PERIODTYPE=QTR_STD&amp;SCFT=3&amp;window=popup_no_bar&amp;width=385&amp;height=120&amp;START_MAXIMIZED=FALSE&amp;creator=factset&amp;display_string=Audit"}</definedName>
    <definedName name="_14_0__123Graph_CCHAR" localSheetId="5" hidden="1">#REF!</definedName>
    <definedName name="_144__123Graph_XCHART_2" localSheetId="5" hidden="1">#REF!</definedName>
    <definedName name="_144__123Graph_XCHART_4" localSheetId="5" hidden="1">#REF!</definedName>
    <definedName name="_144__FDSAUDITLINK__" localSheetId="5"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5__123Graph_ACHART_3" localSheetId="5" hidden="1">#REF!</definedName>
    <definedName name="_15__123Graph_BCHART_1" localSheetId="5" hidden="1">#REF!</definedName>
    <definedName name="_15__123Graph_CCHART_1" localSheetId="5" hidden="1">#REF!</definedName>
    <definedName name="_15__123Graph_LBL_BCHART_2" localSheetId="5" hidden="1">#REF!</definedName>
    <definedName name="_15__123Graph_LBL_BCHART_3" localSheetId="5" hidden="1">#REF!</definedName>
    <definedName name="_15__123Graph_XCHART_1" localSheetId="5" hidden="1">#REF!</definedName>
    <definedName name="_15__FDSAUDITLINK__" localSheetId="5" hidden="1">{"fdsup://Directions/FactSet Auditing Viewer?action=AUDIT_VALUE&amp;DB=129&amp;ID1=B12C0T&amp;VALUEID=05194&amp;SDATE=201101&amp;PERIODTYPE=QTR_STD&amp;SCFT=3&amp;window=popup_no_bar&amp;width=385&amp;height=120&amp;START_MAXIMIZED=FALSE&amp;creator=factset&amp;display_string=Audit"}</definedName>
    <definedName name="_153__123Graph_XCHART_3" localSheetId="5" hidden="1">#REF!</definedName>
    <definedName name="_16__123Graph_ACHART_2" localSheetId="5" hidden="1">#REF!</definedName>
    <definedName name="_16__123Graph_ACHART_4" localSheetId="5" hidden="1">#REF!</definedName>
    <definedName name="_16__123Graph_BCHART_1" localSheetId="5" hidden="1">#REF!</definedName>
    <definedName name="_16__123Graph_LBL_ACHART_1" localSheetId="5" hidden="1">#REF!</definedName>
    <definedName name="_16__123Graph_LBL_BCHART_3" localSheetId="5" hidden="1">#REF!</definedName>
    <definedName name="_16__123Graph_XCHART_1" localSheetId="5" hidden="1">#REF!</definedName>
    <definedName name="_16__123Graph_XCHART_2" localSheetId="5" hidden="1">#REF!</definedName>
    <definedName name="_16__FDSAUDITLINK__" localSheetId="5" hidden="1">{"fdsup://Directions/FactSet Auditing Viewer?action=AUDIT_VALUE&amp;DB=129&amp;ID1=615525&amp;VALUEID=05192&amp;SDATE=201101&amp;PERIODTYPE=QTR_STD&amp;SCFT=3&amp;window=popup_no_bar&amp;width=385&amp;height=120&amp;START_MAXIMIZED=FALSE&amp;creator=factset&amp;display_string=Audit"}</definedName>
    <definedName name="_16_0__123Graph_LBL_ACHAR" localSheetId="5" hidden="1">#REF!</definedName>
    <definedName name="_160__FDSAUDITLINK__" localSheetId="5"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2__123Graph_XCHART_4" localSheetId="5" hidden="1">#REF!</definedName>
    <definedName name="_163__123Graph_BCHART_2" localSheetId="5" hidden="1">#REF!</definedName>
    <definedName name="_17__123Graph_XCHART_1" localSheetId="5" hidden="1">#REF!</definedName>
    <definedName name="_17__123Graph_XCHART_2" localSheetId="5" hidden="1">#REF!</definedName>
    <definedName name="_17__123Graph_XCHART_3" localSheetId="5" hidden="1">#REF!</definedName>
    <definedName name="_17__FDSAUDITLINK__" localSheetId="5" hidden="1">{"fdsup://Directions/FactSet Auditing Viewer?action=AUDIT_VALUE&amp;DB=129&amp;ID1=651312&amp;VALUEID=05194&amp;SDATE=201101&amp;PERIODTYPE=QTR_STD&amp;SCFT=3&amp;window=popup_no_bar&amp;width=385&amp;height=120&amp;START_MAXIMIZED=FALSE&amp;creator=factset&amp;display_string=Audit"}</definedName>
    <definedName name="_18__123Graph_ACHART_2" localSheetId="5" hidden="1">#REF!</definedName>
    <definedName name="_18__123Graph_ACHART_4" localSheetId="5" hidden="1">#REF!</definedName>
    <definedName name="_18__123Graph_BCHART_2" localSheetId="5" hidden="1">#REF!</definedName>
    <definedName name="_18__123Graph_CCHART_1" localSheetId="5" hidden="1">#REF!</definedName>
    <definedName name="_18__123Graph_XCHART_2" localSheetId="5" hidden="1">#REF!</definedName>
    <definedName name="_18__123Graph_XCHART_3" localSheetId="5" hidden="1">#REF!</definedName>
    <definedName name="_18__123Graph_XCHART_4" localSheetId="5" hidden="1">#REF!</definedName>
    <definedName name="_18__FDSAUDITLINK__" localSheetId="5" hidden="1">{"fdsup://Directions/FactSet Auditing Viewer?action=AUDIT_VALUE&amp;DB=129&amp;ID1=610036&amp;VALUEID=05194&amp;SDATE=201101&amp;PERIODTYPE=QTR_STD&amp;SCFT=3&amp;window=popup_no_bar&amp;width=385&amp;height=120&amp;START_MAXIMIZED=FALSE&amp;creator=factset&amp;display_string=Audit"}</definedName>
    <definedName name="_18_0__123Graph_ACHAR" localSheetId="5" hidden="1">#REF!</definedName>
    <definedName name="_19__123Graph_ACHART_1" localSheetId="5" hidden="1">#REF!</definedName>
    <definedName name="_19__123Graph_XCHART_3" localSheetId="5" hidden="1">#REF!</definedName>
    <definedName name="_19__123Graph_XCHART_4" localSheetId="5" hidden="1">#REF!</definedName>
    <definedName name="_19__FDSAUDITLINK__" localSheetId="5" hidden="1">{"fdsup://directions/FAT Viewer?action=UPDATE&amp;creator=factset&amp;DYN_ARGS=TRUE&amp;DOC_NAME=FAT:FQL_AUDITING_CLIENT_TEMPLATE.FAT&amp;display_string=Audit&amp;VAR:KEY=RIVODUVABY&amp;VAR:QUERY=RkZfREVCVChRVFIsMCk=&amp;WINDOW=FIRST_POPUP&amp;HEIGHT=450&amp;WIDTH=450&amp;START_MAXIMIZED=FALSE&amp;VA","R:CALENDAR=US&amp;VAR:SYMBOL=B1TJG9&amp;VAR:INDEX=0"}</definedName>
    <definedName name="_19_0__123Graph_ACHAR" localSheetId="5" hidden="1">#REF!</definedName>
    <definedName name="_19_0__123Graph_BCHAR" localSheetId="5" hidden="1">#REF!</definedName>
    <definedName name="_190__123Graph_BCHART_3" localSheetId="5" hidden="1">#REF!</definedName>
    <definedName name="_2__123Graph_ACHART_1" localSheetId="5" hidden="1">#REF!</definedName>
    <definedName name="_2__123Graph_ACHART_2" localSheetId="5" hidden="1">#REF!</definedName>
    <definedName name="_2__123Graph_AGraphique_2B" localSheetId="5" hidden="1">#REF!</definedName>
    <definedName name="_2__123Graph_BCHART_1" localSheetId="5" hidden="1">#REF!</definedName>
    <definedName name="_2__123Graph_BCHART_4" localSheetId="5" hidden="1">#REF!</definedName>
    <definedName name="_2__FDSAUDITLINK__" localSheetId="5" hidden="1">{"fdsup://Directions/FactSet Auditing Viewer?action=AUDIT_VALUE&amp;DB=129&amp;ID1=718981&amp;VALUEID=01004&amp;SDATE=2010&amp;PERIODTYPE=ANN_STD&amp;SCFT=3&amp;window=popup_no_bar&amp;width=385&amp;height=120&amp;START_MAXIMIZED=FALSE&amp;creator=factset&amp;display_string=Audit"}</definedName>
    <definedName name="_20__123Graph_BCHART_1" localSheetId="5" hidden="1">#REF!</definedName>
    <definedName name="_20__123Graph_LBL_ACHART_1" localSheetId="5" hidden="1">#REF!</definedName>
    <definedName name="_20__123Graph_XCHART_4" localSheetId="5" hidden="1">#REF!</definedName>
    <definedName name="_20__FDSAUDITLINK__" localSheetId="5" hidden="1">{"fdsup://directions/FAT Viewer?action=UPDATE&amp;creator=factset&amp;DYN_ARGS=TRUE&amp;DOC_NAME=FAT:FQL_AUDITING_CLIENT_TEMPLATE.FAT&amp;display_string=Audit&amp;VAR:KEY=NOROXQDYDA&amp;VAR:QUERY=RkZfREVCVChRVFIsMCk=&amp;WINDOW=FIRST_POPUP&amp;HEIGHT=450&amp;WIDTH=450&amp;START_MAXIMIZED=FALSE&amp;VA","R:CALENDAR=US&amp;VAR:SYMBOL=B2QKWK&amp;VAR:INDEX=0"}</definedName>
    <definedName name="_20_0__123Graph_BCHAR" localSheetId="5" hidden="1">#REF!</definedName>
    <definedName name="_20_0__123Graph_CCHAR" localSheetId="5" hidden="1">#REF!</definedName>
    <definedName name="_206__FDSAUDITLINK__" localSheetId="5"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1__123Graph_BCHART_1" localSheetId="5" hidden="1">#REF!</definedName>
    <definedName name="_21__123Graph_BCHART_3" localSheetId="5" hidden="1">#REF!</definedName>
    <definedName name="_21__FDSAUDITLINK__" localSheetId="5" hidden="1">{"fdsup://directions/FAT Viewer?action=UPDATE&amp;creator=factset&amp;DYN_ARGS=TRUE&amp;DOC_NAME=FAT:FQL_AUDITING_CLIENT_TEMPLATE.FAT&amp;display_string=Audit&amp;VAR:KEY=BWBYDQBYRG&amp;VAR:QUERY=RkZfREVCVChRVFIsMCk=&amp;WINDOW=FIRST_POPUP&amp;HEIGHT=450&amp;WIDTH=450&amp;START_MAXIMIZED=FALSE&amp;VA","R:CALENDAR=US&amp;VAR:SYMBOL=626404&amp;VAR:INDEX=0"}</definedName>
    <definedName name="_21_0__123Graph_CCHAR" localSheetId="5" hidden="1">#REF!</definedName>
    <definedName name="_21_0__123Graph_LBL_ACHAR" localSheetId="5" hidden="1">#REF!</definedName>
    <definedName name="_217__123Graph_LBL_ACHART_1" localSheetId="5" hidden="1">#REF!</definedName>
    <definedName name="_22__FDSAUDITLINK__" localSheetId="5" hidden="1">{"fdsup://directions/FAT Viewer?action=UPDATE&amp;creator=factset&amp;DYN_ARGS=TRUE&amp;DOC_NAME=FAT:FQL_AUDITING_CLIENT_TEMPLATE.FAT&amp;display_string=Audit&amp;VAR:KEY=TQLCLGJUJU&amp;VAR:QUERY=RkZfREVCVChRVFIsMCk=&amp;WINDOW=FIRST_POPUP&amp;HEIGHT=450&amp;WIDTH=450&amp;START_MAXIMIZED=FALSE&amp;VA","R:CALENDAR=US&amp;VAR:SYMBOL=613566&amp;VAR:INDEX=0"}</definedName>
    <definedName name="_22_0__123Graph_LBL_ACHAR" localSheetId="5" hidden="1">#REF!</definedName>
    <definedName name="_23__FDSAUDITLINK__" localSheetId="5" hidden="1">{"fdsup://directions/FAT Viewer?action=UPDATE&amp;creator=factset&amp;DYN_ARGS=TRUE&amp;DOC_NAME=FAT:FQL_AUDITING_CLIENT_TEMPLATE.FAT&amp;display_string=Audit&amp;VAR:KEY=NYXYJIPEVY&amp;VAR:QUERY=RkZfREVCVChRVFIsMCk=&amp;WINDOW=FIRST_POPUP&amp;HEIGHT=450&amp;WIDTH=450&amp;START_MAXIMIZED=FALSE&amp;VA","R:CALENDAR=US&amp;VAR:SYMBOL=B62G7K&amp;VAR:INDEX=0"}</definedName>
    <definedName name="_24__123Graph_ACHART_3" localSheetId="5" hidden="1">#REF!</definedName>
    <definedName name="_24__123Graph_BCHART_2" localSheetId="5" hidden="1">#REF!</definedName>
    <definedName name="_24__123Graph_LBL_ACHART_1" localSheetId="5" hidden="1">#REF!</definedName>
    <definedName name="_24__FDSAUDITLINK__" localSheetId="5" hidden="1">{"fdsup://directions/FAT Viewer?action=UPDATE&amp;creator=factset&amp;DYN_ARGS=TRUE&amp;DOC_NAME=FAT:FQL_AUDITING_CLIENT_TEMPLATE.FAT&amp;display_string=Audit&amp;VAR:KEY=NSBMVWPMXC&amp;VAR:QUERY=RkZfREVCVChRVFIsMCk=&amp;WINDOW=FIRST_POPUP&amp;HEIGHT=450&amp;WIDTH=450&amp;START_MAXIMIZED=FALSE&amp;VA","R:CALENDAR=US&amp;VAR:SYMBOL=B601QS&amp;VAR:INDEX=0"}</definedName>
    <definedName name="_24_0__123Graph_ACHAR" localSheetId="5" hidden="1">#REF!</definedName>
    <definedName name="_244__123Graph_LBL_ACHART_2" localSheetId="5" hidden="1">#REF!</definedName>
    <definedName name="_25__FDSAUDITLINK__" localSheetId="5" hidden="1">{"fdsup://directions/FAT Viewer?action=UPDATE&amp;creator=factset&amp;DYN_ARGS=TRUE&amp;DOC_NAME=FAT:FQL_AUDITING_CLIENT_TEMPLATE.FAT&amp;display_string=Audit&amp;VAR:KEY=RGRCNQPWVG&amp;VAR:QUERY=RkZfREVCVChRVFIsMCk=&amp;WINDOW=FIRST_POPUP&amp;HEIGHT=450&amp;WIDTH=450&amp;START_MAXIMIZED=FALSE&amp;VA","R:CALENDAR=US&amp;VAR:SYMBOL=B2Q4CS&amp;VAR:INDEX=0"}</definedName>
    <definedName name="_26__123Graph_ACHART_1" localSheetId="5" hidden="1">#REF!</definedName>
    <definedName name="_26__FDSAUDITLINK__" localSheetId="5" hidden="1">{"fdsup://directions/FAT Viewer?action=UPDATE&amp;creator=factset&amp;DYN_ARGS=TRUE&amp;DOC_NAME=FAT:FQL_AUDITING_CLIENT_TEMPLATE.FAT&amp;display_string=Audit&amp;VAR:KEY=LINIDUNITC&amp;VAR:QUERY=RkZfREVCVChRVFIsMCk=&amp;WINDOW=FIRST_POPUP&amp;HEIGHT=450&amp;WIDTH=450&amp;START_MAXIMIZED=FALSE&amp;VA","R:CALENDAR=US&amp;VAR:SYMBOL=670625&amp;VAR:INDEX=0"}</definedName>
    <definedName name="_26_0__123Graph_BCHAR" localSheetId="5" hidden="1">#REF!</definedName>
    <definedName name="_27__123Graph_ACHART_3" localSheetId="5" hidden="1">#REF!</definedName>
    <definedName name="_27__123Graph_BCHART_3" localSheetId="5" hidden="1">#REF!</definedName>
    <definedName name="_27__123Graph_LBL_ACHART_2" localSheetId="5" hidden="1">#REF!</definedName>
    <definedName name="_27__FDSAUDITLINK__" localSheetId="5" hidden="1">{"fdsup://directions/FAT Viewer?action=UPDATE&amp;creator=factset&amp;DYN_ARGS=TRUE&amp;DOC_NAME=FAT:FQL_AUDITING_CLIENT_TEMPLATE.FAT&amp;display_string=Audit&amp;VAR:KEY=ZYZAZOHSNG&amp;VAR:QUERY=RkZfREVCVChRVFIsMCk=&amp;WINDOW=FIRST_POPUP&amp;HEIGHT=450&amp;WIDTH=450&amp;START_MAXIMIZED=FALSE&amp;VA","R:CALENDAR=US&amp;VAR:SYMBOL=B01T14&amp;VAR:INDEX=0"}</definedName>
    <definedName name="_271__123Graph_LBL_ACHART_3" localSheetId="5" hidden="1">#REF!</definedName>
    <definedName name="_28__123Graph_ACHART_1" localSheetId="5" hidden="1">#REF!</definedName>
    <definedName name="_28__123Graph_BCHART_1" localSheetId="5" hidden="1">#REF!</definedName>
    <definedName name="_28__123Graph_BCHART_3" localSheetId="5" hidden="1">#REF!</definedName>
    <definedName name="_28__FDSAUDITLINK__" localSheetId="5" hidden="1">{"fdsup://directions/FAT Viewer?action=UPDATE&amp;creator=factset&amp;DYN_ARGS=TRUE&amp;DOC_NAME=FAT:FQL_AUDITING_CLIENT_TEMPLATE.FAT&amp;display_string=Audit&amp;VAR:KEY=ZCBIPGHWJS&amp;VAR:QUERY=RkZfREVCVChRVFIsMCk=&amp;WINDOW=FIRST_POPUP&amp;HEIGHT=450&amp;WIDTH=450&amp;START_MAXIMIZED=FALSE&amp;VA","R:CALENDAR=US&amp;VAR:SYMBOL=627137&amp;VAR:INDEX=0"}</definedName>
    <definedName name="_28_0__123Graph_CCHAR" localSheetId="5" hidden="1">#REF!</definedName>
    <definedName name="_29__FDSAUDITLINK__" localSheetId="5" hidden="1">{"fdsup://directions/FAT Viewer?action=UPDATE&amp;creator=factset&amp;DYN_ARGS=TRUE&amp;DOC_NAME=FAT:FQL_AUDITING_CLIENT_TEMPLATE.FAT&amp;display_string=Audit&amp;VAR:KEY=CLCRSDAPSX&amp;VAR:QUERY=RkZfREVCVChRVFIsMCk=&amp;WINDOW=FIRST_POPUP&amp;HEIGHT=450&amp;WIDTH=450&amp;START_MAXIMIZED=FALSE&amp;VA","R:CALENDAR=US&amp;VAR:SYMBOL=B4TX8S&amp;VAR:INDEX=0"}</definedName>
    <definedName name="_298__123Graph_LBL_ACHART_4" localSheetId="5" hidden="1">#REF!</definedName>
    <definedName name="_3__123Graph_ACHART_1" localSheetId="5" hidden="1">#REF!</definedName>
    <definedName name="_3__123Graph_ACHART_2" localSheetId="5" hidden="1">#REF!</definedName>
    <definedName name="_3__123Graph_ACHART_3" localSheetId="5" hidden="1">#REF!</definedName>
    <definedName name="_3__123Graph_AGraphique_3B" localSheetId="5" hidden="1">#REF!</definedName>
    <definedName name="_3__123Graph_LBL_ACHART_4" localSheetId="5" hidden="1">#REF!</definedName>
    <definedName name="_3__FDSAUDITLINK__" localSheetId="5" hidden="1">{"fdsup://directions/FAT Viewer?action=UPDATE&amp;creator=factset&amp;DYN_ARGS=TRUE&amp;DOC_NAME=FAT:FQL_AUDITING_CLIENT_TEMPLATE.FAT&amp;display_string=Audit&amp;VAR:KEY=NYZOXGHULC&amp;VAR:QUERY=RkZfREVCVChRVFIsMCk=&amp;WINDOW=FIRST_POPUP&amp;HEIGHT=450&amp;WIDTH=450&amp;START_MAXIMIZED=FALSE&amp;VA","R:CALENDAR=US&amp;VAR:SYMBOL=615525&amp;VAR:INDEX=0"}</definedName>
    <definedName name="_30__123Graph_CCHART_1" localSheetId="5" hidden="1">#REF!</definedName>
    <definedName name="_30__123Graph_LBL_ACHART_1" localSheetId="5" hidden="1">#REF!</definedName>
    <definedName name="_30__123Graph_LBL_ACHART_3" localSheetId="5" hidden="1">#REF!</definedName>
    <definedName name="_30__FDSAUDITLINK__" localSheetId="5" hidden="1">{"fdsup://directions/FAT Viewer?action=UPDATE&amp;creator=factset&amp;DYN_ARGS=TRUE&amp;DOC_NAME=FAT:FQL_AUDITING_CLIENT_TEMPLATE.FAT&amp;display_string=Audit&amp;VAR:KEY=FCXYFCHWXA&amp;VAR:QUERY=RkZfREVCVChRVFIsMCk=&amp;WINDOW=FIRST_POPUP&amp;HEIGHT=450&amp;WIDTH=450&amp;START_MAXIMIZED=FALSE&amp;VA","R:CALENDAR=US&amp;VAR:SYMBOL=641167&amp;VAR:INDEX=0"}</definedName>
    <definedName name="_30_0__123Graph_LBL_ACHAR" localSheetId="5" hidden="1">#REF!</definedName>
    <definedName name="_31__FDSAUDITLINK__" localSheetId="5" hidden="1">{"fdsup://directions/FAT Viewer?action=UPDATE&amp;creator=factset&amp;DYN_ARGS=TRUE&amp;DOC_NAME=FAT:FQL_AUDITING_CLIENT_TEMPLATE.FAT&amp;display_string=Audit&amp;VAR:KEY=ZWDYLGNOZS&amp;VAR:QUERY=RkZfREVCVChRVFIsMCk=&amp;WINDOW=FIRST_POPUP&amp;HEIGHT=450&amp;WIDTH=450&amp;START_MAXIMIZED=FALSE&amp;VA","R:CALENDAR=US&amp;VAR:SYMBOL=642566&amp;VAR:INDEX=0"}</definedName>
    <definedName name="_32__123Graph_ACHART_4" localSheetId="5" hidden="1">#REF!</definedName>
    <definedName name="_32__123Graph_LBL_ACHART_1" localSheetId="5" hidden="1">#REF!</definedName>
    <definedName name="_325__123Graph_LBL_BCHART_1" localSheetId="5" hidden="1">#REF!</definedName>
    <definedName name="_33__123Graph_LBL_ACHART_2" localSheetId="5" hidden="1">#REF!</definedName>
    <definedName name="_33__123Graph_LBL_ACHART_4" localSheetId="5" hidden="1">#REF!</definedName>
    <definedName name="_33__FDSAUDITLINK__" localSheetId="5" hidden="1">{"fdsup://directions/FAT Viewer?action=UPDATE&amp;creator=factset&amp;DYN_ARGS=TRUE&amp;DOC_NAME=FAT:FQL_AUDITING_CLIENT_TEMPLATE.FAT&amp;display_string=Audit&amp;VAR:KEY=BYZORMPCHQ&amp;VAR:QUERY=RkZfREVCVChRVFIsMCk=&amp;WINDOW=FIRST_POPUP&amp;HEIGHT=450&amp;WIDTH=450&amp;START_MAXIMIZED=FALSE&amp;VA","R:CALENDAR=US&amp;VAR:SYMBOL=649613&amp;VAR:INDEX=0"}</definedName>
    <definedName name="_34__FDSAUDITLINK__" localSheetId="5" hidden="1">{"fdsup://directions/FAT Viewer?action=UPDATE&amp;creator=factset&amp;DYN_ARGS=TRUE&amp;DOC_NAME=FAT:FQL_AUDITING_CLIENT_TEMPLATE.FAT&amp;display_string=Audit&amp;VAR:KEY=IRGRQDQTWB&amp;VAR:QUERY=RkZfREVCVChRVFIsMCk=&amp;WINDOW=FIRST_POPUP&amp;HEIGHT=450&amp;WIDTH=450&amp;START_MAXIMIZED=FALSE&amp;VA","R:CALENDAR=US&amp;VAR:SYMBOL=680580&amp;VAR:INDEX=0"}</definedName>
    <definedName name="_35__FDSAUDITLINK__" localSheetId="5" hidden="1">{"fdsup://directions/FAT Viewer?action=UPDATE&amp;creator=factset&amp;DYN_ARGS=TRUE&amp;DOC_NAME=FAT:FQL_AUDITING_CLIENT_TEMPLATE.FAT&amp;display_string=Audit&amp;VAR:KEY=ZYZAZOHSNG&amp;VAR:QUERY=RkZfREVCVChRVFIsMCk=&amp;WINDOW=FIRST_POPUP&amp;HEIGHT=450&amp;WIDTH=450&amp;START_MAXIMIZED=FALSE&amp;VA","R:CALENDAR=US&amp;VAR:SYMBOL=B01T14&amp;VAR:INDEX=0"}</definedName>
    <definedName name="_352__123Graph_LBL_BCHART_2" localSheetId="5" hidden="1">#REF!</definedName>
    <definedName name="_353__FDSAUDITLINK__" localSheetId="5"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6__123Graph_ACHART_4" localSheetId="5" hidden="1">#REF!</definedName>
    <definedName name="_36__123Graph_LBL_ACHART_2" localSheetId="5" hidden="1">#REF!</definedName>
    <definedName name="_36__123Graph_LBL_ACHART_3" localSheetId="5" hidden="1">#REF!</definedName>
    <definedName name="_36__123Graph_LBL_BCHART_1" localSheetId="5" hidden="1">#REF!</definedName>
    <definedName name="_36__FDSAUDITLINK__" localSheetId="5" hidden="1">{"fdsup://directions/FAT Viewer?action=UPDATE&amp;creator=factset&amp;DYN_ARGS=TRUE&amp;DOC_NAME=FAT:FQL_AUDITING_CLIENT_TEMPLATE.FAT&amp;display_string=Audit&amp;VAR:KEY=BOFAPUNSFW&amp;VAR:QUERY=RkZfREVCVChRVFIsMCk=&amp;WINDOW=FIRST_POPUP&amp;HEIGHT=450&amp;WIDTH=450&amp;START_MAXIMIZED=FALSE&amp;VA","R:CALENDAR=US&amp;VAR:SYMBOL=615593&amp;VAR:INDEX=0"}</definedName>
    <definedName name="_36_0__123Graph_ACHAR" localSheetId="5" hidden="1">#REF!</definedName>
    <definedName name="_37__FDSAUDITLINK__" localSheetId="5" hidden="1">{"fdsup://directions/FAT Viewer?action=UPDATE&amp;creator=factset&amp;DYN_ARGS=TRUE&amp;DOC_NAME=FAT:FQL_AUDITING_CLIENT_TEMPLATE.FAT&amp;display_string=Audit&amp;VAR:KEY=NCDWZYHQLY&amp;VAR:QUERY=RkZfREVCVChRVFIsMCk=&amp;WINDOW=FIRST_POPUP&amp;HEIGHT=450&amp;WIDTH=450&amp;START_MAXIMIZED=FALSE&amp;VA","R:CALENDAR=US&amp;VAR:SYMBOL=616216&amp;VAR:INDEX=0"}</definedName>
    <definedName name="_371__FDSAUDITLINK__" localSheetId="5"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9__123Graph_LBL_BCHART_3" localSheetId="5" hidden="1">#REF!</definedName>
    <definedName name="_38__FDSAUDITLINK__" localSheetId="5" hidden="1">{"fdsup://directions/FAT Viewer?action=UPDATE&amp;creator=factset&amp;DYN_ARGS=TRUE&amp;DOC_NAME=FAT:FQL_AUDITING_CLIENT_TEMPLATE.FAT&amp;display_string=Audit&amp;VAR:KEY=LIHILQPEHS&amp;VAR:QUERY=RkZfREVCVChRVFIsMCk=&amp;WINDOW=FIRST_POPUP&amp;HEIGHT=450&amp;WIDTH=450&amp;START_MAXIMIZED=FALSE&amp;VA","R:CALENDAR=US&amp;VAR:SYMBOL=B01LXY&amp;VAR:INDEX=0"}</definedName>
    <definedName name="_38_0__123Graph_BCHAR" localSheetId="5" hidden="1">#REF!</definedName>
    <definedName name="_39__123Graph_LBL_ACHART_4" localSheetId="5" hidden="1">#REF!</definedName>
    <definedName name="_39__123Graph_LBL_BCHART_2" localSheetId="5" hidden="1">#REF!</definedName>
    <definedName name="_39__FDSAUDITLINK__" localSheetId="5" hidden="1">{"fdsup://directions/FAT Viewer?action=UPDATE&amp;creator=factset&amp;DYN_ARGS=TRUE&amp;DOC_NAME=FAT:FQL_AUDITING_CLIENT_TEMPLATE.FAT&amp;display_string=Audit&amp;VAR:KEY=BKHSXEZQRI&amp;VAR:QUERY=RkZfREVCVChRVFIsMCk=&amp;WINDOW=FIRST_POPUP&amp;HEIGHT=450&amp;WIDTH=450&amp;START_MAXIMIZED=FALSE&amp;VA","R:CALENDAR=US&amp;VAR:SYMBOL=B12C0T&amp;VAR:INDEX=0"}</definedName>
    <definedName name="_4__123Graph_ACHART_1" localSheetId="5" hidden="1">#REF!</definedName>
    <definedName name="_4__123Graph_ACHART_2" localSheetId="5" hidden="1">#REF!</definedName>
    <definedName name="_4__123Graph_ACHART_3" localSheetId="5" hidden="1">#REF!</definedName>
    <definedName name="_4__123Graph_ACHART_4" localSheetId="5" hidden="1">#REF!</definedName>
    <definedName name="_4__123Graph_BCHART_1" localSheetId="5" hidden="1">#REF!</definedName>
    <definedName name="_4__123Graph_BGraphique_1B" localSheetId="5" hidden="1">#REF!</definedName>
    <definedName name="_4__123Graph_LBL_BCHART_4" localSheetId="5" hidden="1">#REF!</definedName>
    <definedName name="_4__FDSAUDITLINK__" localSheetId="5" hidden="1">{"fdsup://Directions/FactSet Auditing Viewer?action=AUDIT_VALUE&amp;DB=129&amp;ID1=B01LXY&amp;VALUEID=05192&amp;SDATE=201101&amp;PERIODTYPE=QTR_STD&amp;SCFT=3&amp;window=popup_no_bar&amp;width=385&amp;height=120&amp;START_MAXIMIZED=FALSE&amp;creator=factset&amp;display_string=Audit"}</definedName>
    <definedName name="_40__123Graph_BCHART_1" localSheetId="5" hidden="1">#REF!</definedName>
    <definedName name="_40__123Graph_LBL_ACHART_3" localSheetId="5" hidden="1">#REF!</definedName>
    <definedName name="_40__FDSAUDITLINK__" localSheetId="5" hidden="1">{"fdsup://Directions/FactSet Auditing Viewer?action=AUDIT_VALUE&amp;DB=129&amp;ID1=615525&amp;VALUEID=05194&amp;SDATE=201101&amp;PERIODTYPE=QTR_STD&amp;SCFT=3&amp;window=popup_no_bar&amp;width=385&amp;height=120&amp;START_MAXIMIZED=FALSE&amp;creator=factset&amp;display_string=Audit"}</definedName>
    <definedName name="_40_0__123Graph_CCHAR" localSheetId="5" hidden="1">#REF!</definedName>
    <definedName name="_406__123Graph_XCHART_1" localSheetId="5" hidden="1">#REF!</definedName>
    <definedName name="_41__FDSAUDITLINK__" localSheetId="5" hidden="1">{"fdsup://directions/FAT Viewer?action=UPDATE&amp;creator=factset&amp;DYN_ARGS=TRUE&amp;DOC_NAME=FAT:FQL_AUDITING_CLIENT_TEMPLATE.FAT&amp;display_string=Audit&amp;VAR:KEY=NCPODUVUTY&amp;VAR:QUERY=RkZfREVCVChRVFIsMCk=&amp;WINDOW=FIRST_POPUP&amp;HEIGHT=450&amp;WIDTH=450&amp;START_MAXIMIZED=FALSE&amp;VA","R:CALENDAR=US&amp;VAR:SYMBOL=651312&amp;VAR:INDEX=0"}</definedName>
    <definedName name="_42__123Graph_LBL_BCHART_1" localSheetId="5" hidden="1">#REF!</definedName>
    <definedName name="_42__123Graph_LBL_BCHART_3" localSheetId="5" hidden="1">#REF!</definedName>
    <definedName name="_42__FDSAUDITLINK__" localSheetId="5" hidden="1">{"fdsup://directions/FAT Viewer?action=UPDATE&amp;creator=factset&amp;DYN_ARGS=TRUE&amp;DOC_NAME=FAT:FQL_AUDITING_CLIENT_TEMPLATE.FAT&amp;display_string=Audit&amp;VAR:KEY=TCLSBADEBM&amp;VAR:QUERY=RkZfREVCVChRVFIsMCk=&amp;WINDOW=FIRST_POPUP&amp;HEIGHT=450&amp;WIDTH=450&amp;START_MAXIMIZED=FALSE&amp;VA","R:CALENDAR=US&amp;VAR:SYMBOL=610036&amp;VAR:INDEX=0"}</definedName>
    <definedName name="_42_0__123Graph_LBL_ACHAR" localSheetId="5" hidden="1">#REF!</definedName>
    <definedName name="_42wrn.²Ä1­Ó¤ë1_Ü20¤H." localSheetId="5" hidden="1">{#N/A,#N/A,FALSE,"²Ä1­Ó¤ë"}</definedName>
    <definedName name="_43__FDSAUDITLINK__" localSheetId="5" hidden="1">{"fdsup://directions/FAT Viewer?action=UPDATE&amp;creator=factset&amp;DYN_ARGS=TRUE&amp;DOC_NAME=FAT:FQL_AUDITING_CLIENT_TEMPLATE.FAT&amp;display_string=Audit&amp;VAR:KEY=TCVWVCXSPG&amp;VAR:QUERY=RkZfREVCVChRVFIsMCk=&amp;WINDOW=FIRST_POPUP&amp;HEIGHT=450&amp;WIDTH=450&amp;START_MAXIMIZED=FALSE&amp;VA","R:CALENDAR=US&amp;VAR:SYMBOL=B5Q3JZ&amp;VAR:INDEX=0"}</definedName>
    <definedName name="_433__123Graph_XCHART_2" localSheetId="5" hidden="1">#REF!</definedName>
    <definedName name="_44__123Graph_LBL_ACHART_4" localSheetId="5" hidden="1">#REF!</definedName>
    <definedName name="_44__FDSAUDITLINK__" localSheetId="5" hidden="1">{"fdsup://directions/FAT Viewer?action=UPDATE&amp;creator=factset&amp;DYN_ARGS=TRUE&amp;DOC_NAME=FAT:FQL_AUDITING_CLIENT_TEMPLATE.FAT&amp;display_string=Audit&amp;VAR:KEY=FKRWBWPYJQ&amp;VAR:QUERY=RkZfREVCVChRVFIsMCk=&amp;WINDOW=FIRST_POPUP&amp;HEIGHT=450&amp;WIDTH=450&amp;START_MAXIMIZED=FALSE&amp;VA","R:CALENDAR=US&amp;VAR:SYMBOL=B2Q5H5&amp;VAR:INDEX=0"}</definedName>
    <definedName name="_45__123Graph_BCHART_1" localSheetId="5" hidden="1">#REF!</definedName>
    <definedName name="_45__123Graph_LBL_BCHART_2" localSheetId="5" hidden="1">#REF!</definedName>
    <definedName name="_45__123Graph_XCHART_1" localSheetId="5" hidden="1">#REF!</definedName>
    <definedName name="_45__FDSAUDITLINK__" localSheetId="5" hidden="1">{"fdsup://directions/FAT Viewer?action=UPDATE&amp;creator=factset&amp;DYN_ARGS=TRUE&amp;DOC_NAME=FAT:FQL_AUDITING_CLIENT_TEMPLATE.FAT&amp;display_string=Audit&amp;VAR:KEY=OPGHWHAPUT&amp;VAR:QUERY=RkZfREVCVChRVFIsMCk=&amp;WINDOW=FIRST_POPUP&amp;HEIGHT=450&amp;WIDTH=450&amp;START_MAXIMIZED=FALSE&amp;VA","R:CALENDAR=US&amp;VAR:SYMBOL=658923&amp;VAR:INDEX=0"}</definedName>
    <definedName name="_46__FDSAUDITLINK__" localSheetId="5" hidden="1">{"fdsup://directions/FAT Viewer?action=UPDATE&amp;creator=factset&amp;DYN_ARGS=TRUE&amp;DOC_NAME=FAT:FQL_AUDITING_CLIENT_TEMPLATE.FAT&amp;display_string=Audit&amp;VAR:KEY=DUDADIPCVA&amp;VAR:QUERY=RkZfREVCVChRVFIsMCk=&amp;WINDOW=FIRST_POPUP&amp;HEIGHT=450&amp;WIDTH=450&amp;START_MAXIMIZED=FALSE&amp;VA","R:CALENDAR=US&amp;VAR:SYMBOL=B01FLR&amp;VAR:INDEX=0"}</definedName>
    <definedName name="_460__123Graph_XCHART_3" localSheetId="5" hidden="1">#REF!</definedName>
    <definedName name="_47__FDSAUDITLINK__" localSheetId="5" hidden="1">{"fdsup://Directions/FactSet Auditing Viewer?action=AUDIT_VALUE&amp;DB=129&amp;ID1=627137&amp;VALUEID=05194&amp;SDATE=201102&amp;PERIODTYPE=QTR_STD&amp;SCFT=3&amp;window=popup_no_bar&amp;width=385&amp;height=120&amp;START_MAXIMIZED=FALSE&amp;creator=factset&amp;display_string=Audit"}</definedName>
    <definedName name="_48__123Graph_BCHART_2" localSheetId="5" hidden="1">#REF!</definedName>
    <definedName name="_48__123Graph_LBL_BCHART_1" localSheetId="5" hidden="1">#REF!</definedName>
    <definedName name="_48__123Graph_LBL_BCHART_3" localSheetId="5" hidden="1">#REF!</definedName>
    <definedName name="_48__123Graph_XCHART_2" localSheetId="5" hidden="1">#REF!</definedName>
    <definedName name="_48__FDSAUDITLINK__" localSheetId="5" hidden="1">{"fdsup://Directions/FactSet Auditing Viewer?action=AUDIT_VALUE&amp;DB=129&amp;ID1=627137&amp;VALUEID=05192&amp;SDATE=201102&amp;PERIODTYPE=QTR_STD&amp;SCFT=3&amp;window=popup_no_bar&amp;width=385&amp;height=120&amp;START_MAXIMIZED=FALSE&amp;creator=factset&amp;display_string=Audit"}</definedName>
    <definedName name="_481__FDSAUDITLINK__" localSheetId="5" hidden="1">{"fdsup://directions/FAT Viewer?action=UPDATE&amp;creator=factset&amp;DYN_ARGS=TRUE&amp;DOC_NAME=FAT:FQL_AUDITING_CLIENT_TEMPLATE.FAT&amp;display_string=Audit&amp;VAR:KEY=FKZMDKTUXA&amp;VAR:QUERY=KEZGX0JQU19UQU5HKFFUUiw0MDE0MylARkZfQlBTX1RBTkcoQU5OLDQwMTQzKSk=&amp;WINDOW=FIRST_POPUP&amp;H","EIGHT=450&amp;WIDTH=450&amp;START_MAXIMIZED=FALSE&amp;VAR:CALENDAR=US&amp;VAR:SYMBOL=002939&amp;VAR:INDEX=0"}</definedName>
    <definedName name="_487__123Graph_XCHART_4" localSheetId="5" hidden="1">#REF!</definedName>
    <definedName name="_49__FDSAUDITLINK__" localSheetId="5" hidden="1">{"fdsup://directions/FAT Viewer?action=UPDATE&amp;creator=factset&amp;DYN_ARGS=TRUE&amp;DOC_NAME=FAT:FQL_AUDITING_CLIENT_TEMPLATE.FAT&amp;display_string=Audit&amp;VAR:KEY=YLCVWFIZGL&amp;VAR:QUERY=RkZfREVCVChRVFIsMCk=&amp;WINDOW=FIRST_POPUP&amp;HEIGHT=450&amp;WIDTH=450&amp;START_MAXIMIZED=FALSE&amp;VA","R:CALENDAR=US&amp;VAR:SYMBOL=652766&amp;VAR:INDEX=0"}</definedName>
    <definedName name="_5__123Graph_ACHART_3" localSheetId="5" hidden="1">#REF!</definedName>
    <definedName name="_5__123Graph_ACHART_4" localSheetId="5" hidden="1">#REF!</definedName>
    <definedName name="_5__123Graph_BCHART_1" localSheetId="5" hidden="1">#REF!</definedName>
    <definedName name="_5__123Graph_BGraphique_2B" localSheetId="5" hidden="1">#REF!</definedName>
    <definedName name="_5__123Graph_XCHART_4" localSheetId="5" hidden="1">#REF!</definedName>
    <definedName name="_5__FDSAUDITLINK__" localSheetId="5" hidden="1">{"fdsup://Directions/FactSet Auditing Viewer?action=AUDIT_VALUE&amp;DB=129&amp;ID1=529412&amp;VALUEID=01004&amp;SDATE=2010&amp;PERIODTYPE=ANN_STD&amp;SCFT=3&amp;window=popup_no_bar&amp;width=385&amp;height=120&amp;START_MAXIMIZED=FALSE&amp;creator=factset&amp;display_string=Audit"}</definedName>
    <definedName name="_50__123Graph_ACHART_1" localSheetId="5" hidden="1">#REF!</definedName>
    <definedName name="_50__FDSAUDITLINK__" localSheetId="5" hidden="1">{"fdsup://Directions/FactSet Auditing Viewer?action=AUDIT_VALUE&amp;DB=129&amp;ID1=680580&amp;VALUEID=05194&amp;SDATE=201101&amp;PERIODTYPE=QTR_STD&amp;SCFT=3&amp;window=popup_no_bar&amp;width=385&amp;height=120&amp;START_MAXIMIZED=FALSE&amp;creator=factset&amp;display_string=Audit"}</definedName>
    <definedName name="_51__123Graph_XCHART_1" localSheetId="5" hidden="1">#REF!</definedName>
    <definedName name="_51__123Graph_XCHART_3" localSheetId="5" hidden="1">#REF!</definedName>
    <definedName name="_51__FDSAUDITLINK__" localSheetId="5" hidden="1">{"fdsup://Directions/FactSet Auditing Viewer?action=AUDIT_VALUE&amp;DB=129&amp;ID1=616216&amp;VALUEID=05194&amp;SDATE=201101&amp;PERIODTYPE=QTR_STD&amp;SCFT=3&amp;window=popup_no_bar&amp;width=385&amp;height=120&amp;START_MAXIMIZED=FALSE&amp;creator=factset&amp;display_string=Audit"}</definedName>
    <definedName name="_52__123Graph_BCHART_1" localSheetId="5" hidden="1">#REF!</definedName>
    <definedName name="_52__123Graph_LBL_BCHART_2" localSheetId="5" hidden="1">#REF!</definedName>
    <definedName name="_52__FDSAUDITLINK__" localSheetId="5" hidden="1">{"fdsup://Directions/FactSet Auditing Viewer?action=AUDIT_VALUE&amp;DB=129&amp;ID1=B01T14&amp;VALUEID=05194&amp;SDATE=201101&amp;PERIODTYPE=QTR_STD&amp;SCFT=3&amp;window=popup_no_bar&amp;width=385&amp;height=120&amp;START_MAXIMIZED=FALSE&amp;creator=factset&amp;display_string=Audit"}</definedName>
    <definedName name="_53__FDSAUDITLINK__" localSheetId="5" hidden="1">{"fdsup://Directions/FactSet Auditing Viewer?action=AUDIT_VALUE&amp;DB=129&amp;ID1=B01LXY&amp;VALUEID=05194&amp;SDATE=201101&amp;PERIODTYPE=QTR_STD&amp;SCFT=3&amp;window=popup_no_bar&amp;width=385&amp;height=120&amp;START_MAXIMIZED=FALSE&amp;creator=factset&amp;display_string=Audit"}</definedName>
    <definedName name="_54__123Graph_BCHART_2" localSheetId="5" hidden="1">#REF!</definedName>
    <definedName name="_54__123Graph_CCHART_1" localSheetId="5" hidden="1">#REF!</definedName>
    <definedName name="_54__123Graph_XCHART_2" localSheetId="5" hidden="1">#REF!</definedName>
    <definedName name="_54__123Graph_XCHART_4" localSheetId="5" hidden="1">#REF!</definedName>
    <definedName name="_54__FDSAUDITLINK__" localSheetId="5" hidden="1">{"fdsup://Directions/FactSet Auditing Viewer?action=AUDIT_VALUE&amp;DB=129&amp;ID1=616216&amp;VALUEID=05194&amp;SDATE=201101&amp;PERIODTYPE=QTR_STD&amp;SCFT=3&amp;window=popup_no_bar&amp;width=385&amp;height=120&amp;START_MAXIMIZED=FALSE&amp;creator=factset&amp;display_string=Audit"}</definedName>
    <definedName name="_55__123Graph_ACHART_2" localSheetId="5" hidden="1">#REF!</definedName>
    <definedName name="_55__FDSAUDITLINK__" localSheetId="5" hidden="1">{"fdsup://Directions/FactSet Auditing Viewer?action=AUDIT_VALUE&amp;DB=129&amp;ID1=649613&amp;VALUEID=05192&amp;SDATE=201101&amp;PERIODTYPE=QTR_STD&amp;SCFT=3&amp;window=popup_no_bar&amp;width=385&amp;height=120&amp;START_MAXIMIZED=FALSE&amp;creator=factset&amp;display_string=Audit"}</definedName>
    <definedName name="_56__123Graph_BCHART_3" localSheetId="5" hidden="1">#REF!</definedName>
    <definedName name="_56__123Graph_LBL_ACHART_1" localSheetId="5" hidden="1">#REF!</definedName>
    <definedName name="_56__123Graph_LBL_BCHART_3" localSheetId="5" hidden="1">#REF!</definedName>
    <definedName name="_56__FDSAUDITLINK__" localSheetId="5" hidden="1">{"fdsup://Directions/FactSet Auditing Viewer?action=AUDIT_VALUE&amp;DB=129&amp;ID1=680580&amp;VALUEID=05192&amp;SDATE=201101&amp;PERIODTYPE=QTR_STD&amp;SCFT=3&amp;window=popup_no_bar&amp;width=385&amp;height=120&amp;START_MAXIMIZED=FALSE&amp;creator=factset&amp;display_string=Audit"}</definedName>
    <definedName name="_57__123Graph_XCHART_3" localSheetId="5" hidden="1">#REF!</definedName>
    <definedName name="_57__FDSAUDITLINK__" localSheetId="5" hidden="1">{"fdsup://Directions/FactSet Auditing Viewer?action=AUDIT_VALUE&amp;DB=129&amp;ID1=616216&amp;VALUEID=05192&amp;SDATE=201101&amp;PERIODTYPE=QTR_STD&amp;SCFT=3&amp;window=popup_no_bar&amp;width=385&amp;height=120&amp;START_MAXIMIZED=FALSE&amp;creator=factset&amp;display_string=Audit"}</definedName>
    <definedName name="_58__FDSAUDITLINK__" localSheetId="5" hidden="1">{"fdsup://Directions/FactSet Auditing Viewer?action=AUDIT_VALUE&amp;DB=129&amp;ID1=B01T14&amp;VALUEID=05192&amp;SDATE=201101&amp;PERIODTYPE=QTR_STD&amp;SCFT=3&amp;window=popup_no_bar&amp;width=385&amp;height=120&amp;START_MAXIMIZED=FALSE&amp;creator=factset&amp;display_string=Audit"}</definedName>
    <definedName name="_59__FDSAUDITLINK__" localSheetId="5" hidden="1">{"fdsup://Directions/FactSet Auditing Viewer?action=AUDIT_VALUE&amp;DB=129&amp;ID1=B01LXY&amp;VALUEID=05192&amp;SDATE=201101&amp;PERIODTYPE=QTR_STD&amp;SCFT=3&amp;window=popup_no_bar&amp;width=385&amp;height=120&amp;START_MAXIMIZED=FALSE&amp;creator=factset&amp;display_string=Audit"}</definedName>
    <definedName name="_6__123Graph_ACHART_2" localSheetId="5" hidden="1">#REF!</definedName>
    <definedName name="_6__123Graph_ACHART_4" localSheetId="5" hidden="1">#REF!</definedName>
    <definedName name="_6__123Graph_BCHART_1" localSheetId="5" hidden="1">#REF!</definedName>
    <definedName name="_6__123Graph_BCHART_2" localSheetId="5" hidden="1">#REF!</definedName>
    <definedName name="_6__123Graph_BGraphique_3B" localSheetId="5" hidden="1">#REF!</definedName>
    <definedName name="_6__123Graph_CCHART_1" localSheetId="5" hidden="1">#REF!</definedName>
    <definedName name="_6__FDSAUDITLINK__" localSheetId="5" hidden="1">{"fdsup://Directions/FactSet Auditing Viewer?action=AUDIT_VALUE&amp;DB=129&amp;ID1=B2Q4CS&amp;VALUEID=05192&amp;SDATE=201101&amp;PERIODTYPE=QTR_STD&amp;SCFT=3&amp;window=popup_no_bar&amp;width=385&amp;height=120&amp;START_MAXIMIZED=FALSE&amp;creator=factset&amp;display_string=Audit"}</definedName>
    <definedName name="_60__123Graph_XCHART_1" localSheetId="5" hidden="1">#REF!</definedName>
    <definedName name="_60__123Graph_XCHART_4" localSheetId="5" hidden="1">#REF!</definedName>
    <definedName name="_60__FDSAUDITLINK__" localSheetId="5" hidden="1">{"fdsup://Directions/FactSet Auditing Viewer?action=AUDIT_VALUE&amp;DB=129&amp;ID1=616216&amp;VALUEID=05192&amp;SDATE=201101&amp;PERIODTYPE=QTR_STD&amp;SCFT=3&amp;window=popup_no_bar&amp;width=385&amp;height=120&amp;START_MAXIMIZED=FALSE&amp;creator=factset&amp;display_string=Audit"}</definedName>
    <definedName name="_60_0__123Graph_ACHAR" localSheetId="5" hidden="1">#REF!</definedName>
    <definedName name="_61__FDSAUDITLINK__" localSheetId="5" hidden="1">{"fdsup://directions/FAT Viewer?action=UPDATE&amp;creator=factset&amp;DYN_ARGS=TRUE&amp;DOC_NAME=FAT:FQL_AUDITING_CLIENT_TEMPLATE.FAT&amp;display_string=Audit&amp;VAR:KEY=HOZMZUDYTG&amp;VAR:QUERY=RkZfREVCVChRVFIsMCk=&amp;WINDOW=FIRST_POPUP&amp;HEIGHT=450&amp;WIDTH=450&amp;START_MAXIMIZED=FALSE&amp;VA","R:CALENDAR=US&amp;VAR:SYMBOL=671897&amp;VAR:INDEX=0"}</definedName>
    <definedName name="_62__FDSAUDITLINK__" localSheetId="5" hidden="1">{"fdsup://directions/FAT Viewer?action=UPDATE&amp;creator=factset&amp;DYN_ARGS=TRUE&amp;DOC_NAME=FAT:FQL_AUDITING_CLIENT_TEMPLATE.FAT&amp;display_string=Audit&amp;VAR:KEY=HOZMZUDYTG&amp;VAR:QUERY=RkZfREVCVChRVFIsMCk=&amp;WINDOW=FIRST_POPUP&amp;HEIGHT=450&amp;WIDTH=450&amp;START_MAXIMIZED=FALSE&amp;VA","R:CALENDAR=US&amp;VAR:SYMBOL=671897&amp;VAR:INDEX=0"}</definedName>
    <definedName name="_62_0__123Graph_BCHAR" localSheetId="5" hidden="1">#REF!</definedName>
    <definedName name="_63__123Graph_BCHART_3" localSheetId="5" hidden="1">#REF!</definedName>
    <definedName name="_63__FDSAUDITLINK__" localSheetId="5" hidden="1">{"fdsup://directions/FAT Viewer?action=UPDATE&amp;creator=factset&amp;DYN_ARGS=TRUE&amp;DOC_NAME=FAT:FQL_AUDITING_CLIENT_TEMPLATE.FAT&amp;display_string=Audit&amp;VAR:KEY=HOZMZUDYTG&amp;VAR:QUERY=RkZfREVCVChRVFIsMCk=&amp;WINDOW=FIRST_POPUP&amp;HEIGHT=450&amp;WIDTH=450&amp;START_MAXIMIZED=FALSE&amp;VA","R:CALENDAR=US&amp;VAR:SYMBOL=671897&amp;VAR:INDEX=0"}</definedName>
    <definedName name="_64__123Graph_LBL_ACHART_1" localSheetId="5" hidden="1">#REF!</definedName>
    <definedName name="_64__123Graph_XCHART_2" localSheetId="5" hidden="1">#REF!</definedName>
    <definedName name="_64__FDSAUDITLINK__" localSheetId="5" hidden="1">{"fdsup://Directions/FactSet Auditing Viewer?action=AUDIT_VALUE&amp;DB=129&amp;ID1=615593&amp;VALUEID=05192&amp;SDATE=201101&amp;PERIODTYPE=QTR_STD&amp;SCFT=3&amp;window=popup_no_bar&amp;width=385&amp;height=120&amp;START_MAXIMIZED=FALSE&amp;creator=factset&amp;display_string=Audit"}</definedName>
    <definedName name="_64_0__123Graph_CCHAR" localSheetId="5" hidden="1">#REF!</definedName>
    <definedName name="_65__FDSAUDITLINK__" localSheetId="5" hidden="1">{"fdsup://Directions/FactSet Auditing Viewer?action=AUDIT_VALUE&amp;DB=129&amp;ID1=615593&amp;VALUEID=05194&amp;SDATE=201101&amp;PERIODTYPE=QTR_STD&amp;SCFT=3&amp;window=popup_no_bar&amp;width=385&amp;height=120&amp;START_MAXIMIZED=FALSE&amp;creator=factset&amp;display_string=Audit"}</definedName>
    <definedName name="_66__FDSAUDITLINK__" localSheetId="5" hidden="1">{"fdsup://Directions/FactSet Auditing Viewer?action=AUDIT_VALUE&amp;DB=129&amp;ID1=B62B9W&amp;VALUEID=05192&amp;SDATE=201101&amp;PERIODTYPE=QTR_STD&amp;SCFT=3&amp;window=popup_no_bar&amp;width=385&amp;height=120&amp;START_MAXIMIZED=FALSE&amp;creator=factset&amp;display_string=Audit"}</definedName>
    <definedName name="_66_0__123Graph_LBL_ACHAR" localSheetId="5" hidden="1">#REF!</definedName>
    <definedName name="_67__FDSAUDITLINK__" localSheetId="5" hidden="1">{"fdsup://Directions/FactSet Auditing Viewer?action=AUDIT_VALUE&amp;DB=129&amp;ID1=B62B9W&amp;VALUEID=05194&amp;SDATE=201101&amp;PERIODTYPE=QTR_STD&amp;SCFT=3&amp;window=popup_no_bar&amp;width=385&amp;height=120&amp;START_MAXIMIZED=FALSE&amp;creator=factset&amp;display_string=Audit"}</definedName>
    <definedName name="_68__123Graph_XCHART_3" localSheetId="5" hidden="1">#REF!</definedName>
    <definedName name="_68__FDSAUDITLINK__" localSheetId="5" hidden="1">{"fdsup://Directions/FactSet Auditing Viewer?action=AUDIT_VALUE&amp;DB=129&amp;ID1=B12C0T&amp;VALUEID=05192&amp;SDATE=201101&amp;PERIODTYPE=QTR_STD&amp;SCFT=3&amp;window=popup_no_bar&amp;width=385&amp;height=120&amp;START_MAXIMIZED=FALSE&amp;creator=factset&amp;display_string=Audit"}</definedName>
    <definedName name="_69__FDSAUDITLINK__" localSheetId="5" hidden="1">{"fdsup://Directions/FactSet Auditing Viewer?action=AUDIT_VALUE&amp;DB=129&amp;ID1=B12C0T&amp;VALUEID=05194&amp;SDATE=201101&amp;PERIODTYPE=QTR_STD&amp;SCFT=3&amp;window=popup_no_bar&amp;width=385&amp;height=120&amp;START_MAXIMIZED=FALSE&amp;creator=factset&amp;display_string=Audit"}</definedName>
    <definedName name="_7__123Graph_ACHART_1" localSheetId="5" hidden="1">#REF!</definedName>
    <definedName name="_7__123Graph_BCHART_1" localSheetId="5" hidden="1">#REF!</definedName>
    <definedName name="_7__123Graph_BCHART_2" localSheetId="5" hidden="1">#REF!</definedName>
    <definedName name="_7__123Graph_BCHART_3" localSheetId="5" hidden="1">#REF!</definedName>
    <definedName name="_7__123Graph_CGraphique_1B" localSheetId="5" hidden="1">#REF!</definedName>
    <definedName name="_7__FDSAUDITLINK__" localSheetId="5" hidden="1">{"fdsup://Directions/FactSet Auditing Viewer?action=AUDIT_VALUE&amp;DB=129&amp;ID1=B601QS&amp;VALUEID=05192&amp;SDATE=201101&amp;PERIODTYPE=QTR_STD&amp;SCFT=3&amp;window=popup_no_bar&amp;width=385&amp;height=120&amp;START_MAXIMIZED=FALSE&amp;creator=factset&amp;display_string=Audit"}</definedName>
    <definedName name="_70__FDSAUDITLINK__" localSheetId="5" hidden="1">{"fdsup://Directions/FactSet Auditing Viewer?action=AUDIT_VALUE&amp;DB=129&amp;ID1=B12C0T&amp;VALUEID=05192&amp;SDATE=201101&amp;PERIODTYPE=QTR_STD&amp;SCFT=3&amp;window=popup_no_bar&amp;width=385&amp;height=120&amp;START_MAXIMIZED=FALSE&amp;creator=factset&amp;display_string=Audit"}</definedName>
    <definedName name="_71__FDSAUDITLINK__" localSheetId="5" hidden="1">{"fdsup://Directions/FactSet Auditing Viewer?action=AUDIT_VALUE&amp;DB=129&amp;ID1=B12C0T&amp;VALUEID=05194&amp;SDATE=201101&amp;PERIODTYPE=QTR_STD&amp;SCFT=3&amp;window=popup_no_bar&amp;width=385&amp;height=120&amp;START_MAXIMIZED=FALSE&amp;creator=factset&amp;display_string=Audit"}</definedName>
    <definedName name="_72__123Graph_LBL_ACHART_1" localSheetId="5" hidden="1">#REF!</definedName>
    <definedName name="_72__123Graph_LBL_ACHART_2" localSheetId="5" hidden="1">#REF!</definedName>
    <definedName name="_72__123Graph_XCHART_4" localSheetId="5" hidden="1">#REF!</definedName>
    <definedName name="_72__FDSAUDITLINK__" localSheetId="5" hidden="1">{"fdsup://directions/FAT Viewer?action=UPDATE&amp;creator=factset&amp;DYN_ARGS=TRUE&amp;DOC_NAME=FAT:FQL_AUDITING_CLIENT_TEMPLATE.FAT&amp;display_string=Audit&amp;VAR:KEY=EPKPEBABGZ&amp;VAR:QUERY=RkZfREVCVChRVFIsMCk=&amp;WINDOW=FIRST_POPUP&amp;HEIGHT=450&amp;WIDTH=450&amp;START_MAXIMIZED=FALSE&amp;VA","R:CALENDAR=US&amp;VAR:SYMBOL=B62B9W&amp;VAR:INDEX=0"}</definedName>
    <definedName name="_73__FDSAUDITLINK__" localSheetId="5" hidden="1">{"fdsup://Directions/FactSet Auditing Viewer?action=AUDIT_VALUE&amp;DB=129&amp;ID1=B0YCFG&amp;VALUEID=05192&amp;SDATE=201101&amp;PERIODTYPE=QTR_STD&amp;SCFT=3&amp;window=popup_no_bar&amp;width=385&amp;height=120&amp;START_MAXIMIZED=FALSE&amp;creator=factset&amp;display_string=Audit"}</definedName>
    <definedName name="_74__FDSAUDITLINK__" localSheetId="5" hidden="1">{"fdsup://Directions/FactSet Auditing Viewer?action=AUDIT_VALUE&amp;DB=129&amp;ID1=B0YCFG&amp;VALUEID=05194&amp;SDATE=201101&amp;PERIODTYPE=QTR_STD&amp;SCFT=3&amp;window=popup_no_bar&amp;width=385&amp;height=120&amp;START_MAXIMIZED=FALSE&amp;creator=factset&amp;display_string=Audit"}</definedName>
    <definedName name="_75__FDSAUDITLINK__" localSheetId="5" hidden="1">{"fdsup://Directions/FactSet Auditing Viewer?action=AUDIT_VALUE&amp;DB=129&amp;ID1=649613&amp;VALUEID=05192&amp;SDATE=201101&amp;PERIODTYPE=QTR_STD&amp;SCFT=3&amp;window=popup_no_bar&amp;width=385&amp;height=120&amp;START_MAXIMIZED=FALSE&amp;creator=factset&amp;display_string=Audit"}</definedName>
    <definedName name="_76__FDSAUDITLINK__" localSheetId="5" hidden="1">{"fdsup://Directions/FactSet Auditing Viewer?action=AUDIT_VALUE&amp;DB=129&amp;ID1=B12C0T&amp;VALUEID=05192&amp;SDATE=201101&amp;PERIODTYPE=QTR_STD&amp;SCFT=3&amp;window=popup_no_bar&amp;width=385&amp;height=120&amp;START_MAXIMIZED=FALSE&amp;creator=factset&amp;display_string=Audit"}</definedName>
    <definedName name="_77__FDSAUDITLINK__" localSheetId="5" hidden="1">{"fdsup://Directions/FactSet Auditing Viewer?action=AUDIT_VALUE&amp;DB=129&amp;ID1=B12C0T&amp;VALUEID=05192&amp;SDATE=201101&amp;PERIODTYPE=QTR_STD&amp;SCFT=3&amp;window=popup_no_bar&amp;width=385&amp;height=120&amp;START_MAXIMIZED=FALSE&amp;creator=factset&amp;display_string=Audit"}</definedName>
    <definedName name="_78__FDSAUDITLINK__" localSheetId="5" hidden="1">{"fdsup://Directions/FactSet Auditing Viewer?action=AUDIT_VALUE&amp;DB=129&amp;ID1=B12C0T&amp;VALUEID=05192&amp;SDATE=201101&amp;PERIODTYPE=QTR_STD&amp;SCFT=3&amp;window=popup_no_bar&amp;width=385&amp;height=120&amp;START_MAXIMIZED=FALSE&amp;creator=factset&amp;display_string=Audit"}</definedName>
    <definedName name="_79__FDSAUDITLINK__" localSheetId="5" hidden="1">{"fdsup://Directions/FactSet Auditing Viewer?action=AUDIT_VALUE&amp;DB=129&amp;ID1=680580&amp;VALUEID=05194&amp;SDATE=201101&amp;PERIODTYPE=QTR_STD&amp;SCFT=3&amp;window=popup_no_bar&amp;width=385&amp;height=120&amp;START_MAXIMIZED=FALSE&amp;creator=factset&amp;display_string=Audit"}</definedName>
    <definedName name="_8__123Graph_ACHART_1" localSheetId="5" hidden="1">#REF!</definedName>
    <definedName name="_8__123Graph_ACHART_2" localSheetId="5" hidden="1">#REF!</definedName>
    <definedName name="_8__123Graph_BCHART_2" localSheetId="5" hidden="1">#REF!</definedName>
    <definedName name="_8__123Graph_BCHART_3" localSheetId="5" hidden="1">#REF!</definedName>
    <definedName name="_8__123Graph_CGraphique_2B" localSheetId="5" hidden="1">#REF!</definedName>
    <definedName name="_8__123Graph_LBL_ACHART_1" localSheetId="5" hidden="1">#REF!</definedName>
    <definedName name="_8__FDSAUDITLINK__" localSheetId="5" hidden="1">{"fdsup://Directions/FactSet Auditing Viewer?action=AUDIT_VALUE&amp;DB=129&amp;ID1=002939&amp;VALUEID=01004&amp;SDATE=2010&amp;PERIODTYPE=ANN_STD&amp;SCFT=3&amp;window=popup_no_bar&amp;width=385&amp;height=120&amp;START_MAXIMIZED=FALSE&amp;creator=factset&amp;display_string=Audit"}</definedName>
    <definedName name="_80__123Graph_LBL_ACHART_3" localSheetId="5" hidden="1">#REF!</definedName>
    <definedName name="_80__FDSAUDITLINK__" localSheetId="5" hidden="1">{"fdsup://Directions/FactSet Auditing Viewer?action=AUDIT_VALUE&amp;DB=129&amp;ID1=680580&amp;VALUEID=05192&amp;SDATE=201101&amp;PERIODTYPE=QTR_STD&amp;SCFT=3&amp;window=popup_no_bar&amp;width=385&amp;height=120&amp;START_MAXIMIZED=FALSE&amp;creator=factset&amp;display_string=Audit"}</definedName>
    <definedName name="_81__123Graph_LBL_ACHART_2" localSheetId="5" hidden="1">#REF!</definedName>
    <definedName name="_81__FDSAUDITLINK__" localSheetId="5" hidden="1">{"fdsup://Directions/FactSet Auditing Viewer?action=AUDIT_VALUE&amp;DB=129&amp;ID1=B0YCFG&amp;VALUEID=05192&amp;SDATE=201101&amp;PERIODTYPE=QTR_STD&amp;SCFT=3&amp;window=popup_no_bar&amp;width=385&amp;height=120&amp;START_MAXIMIZED=FALSE&amp;creator=factset&amp;display_string=Audit"}</definedName>
    <definedName name="_82__123Graph_ACHART_3" localSheetId="5" hidden="1">#REF!</definedName>
    <definedName name="_82__FDSAUDITLINK__" localSheetId="5" hidden="1">{"fdsup://Directions/FactSet Auditing Viewer?action=AUDIT_VALUE&amp;DB=129&amp;ID1=B62B9W&amp;VALUEID=05192&amp;SDATE=201101&amp;PERIODTYPE=QTR_STD&amp;SCFT=3&amp;window=popup_no_bar&amp;width=385&amp;height=120&amp;START_MAXIMIZED=FALSE&amp;creator=factset&amp;display_string=Audit"}</definedName>
    <definedName name="_83__FDSAUDITLINK__" localSheetId="5" hidden="1">{"fdsup://directions/FAT Viewer?action=UPDATE&amp;creator=factset&amp;DYN_ARGS=TRUE&amp;DOC_NAME=FAT:FQL_AUDITING_CLIENT_TEMPLATE.FAT&amp;display_string=Audit&amp;VAR:KEY=OPGHWHAPUT&amp;VAR:QUERY=RkZfREVCVChRVFIsMCk=&amp;WINDOW=FIRST_POPUP&amp;HEIGHT=450&amp;WIDTH=450&amp;START_MAXIMIZED=FALSE&amp;VA","R:CALENDAR=US&amp;VAR:SYMBOL=658923&amp;VAR:INDEX=0"}</definedName>
    <definedName name="_84__FDSAUDITLINK__" localSheetId="5" hidden="1">{"fdsup://directions/FAT Viewer?action=UPDATE&amp;creator=factset&amp;DYN_ARGS=TRUE&amp;DOC_NAME=FAT:FQL_AUDITING_CLIENT_TEMPLATE.FAT&amp;display_string=Audit&amp;VAR:KEY=YZAZOHSNGH&amp;VAR:QUERY=RkZfREVCVChRVFIsMCk=&amp;WINDOW=FIRST_POPUP&amp;HEIGHT=450&amp;WIDTH=450&amp;START_MAXIMIZED=FALSE&amp;VA","R:CALENDAR=US&amp;VAR:SYMBOL=B01T14&amp;VAR:INDEX=0"}</definedName>
    <definedName name="_85__FDSAUDITLINK__" localSheetId="5" hidden="1">{"fdsup://directions/FAT Viewer?action=UPDATE&amp;creator=factset&amp;DYN_ARGS=TRUE&amp;DOC_NAME=FAT:FQL_AUDITING_CLIENT_TEMPLATE.FAT&amp;display_string=Audit&amp;VAR:KEY=YZAZOHSNGH&amp;VAR:QUERY=RkZfREVCVChRVFIsMCk=&amp;WINDOW=FIRST_POPUP&amp;HEIGHT=450&amp;WIDTH=450&amp;START_MAXIMIZED=FALSE&amp;VA","R:CALENDAR=US&amp;VAR:SYMBOL=B01T14&amp;VAR:INDEX=0"}</definedName>
    <definedName name="_88__123Graph_LBL_ACHART_4" localSheetId="5" hidden="1">#REF!</definedName>
    <definedName name="_9__123Graph_ACHART_1" localSheetId="5" hidden="1">#REF!</definedName>
    <definedName name="_9__123Graph_ACHART_3" localSheetId="5" hidden="1">#REF!</definedName>
    <definedName name="_9__123Graph_BCHART_3" localSheetId="5" hidden="1">#REF!</definedName>
    <definedName name="_9__123Graph_CGraphique_3B" localSheetId="5" hidden="1">#REF!</definedName>
    <definedName name="_9__123Graph_LBL_ACHART_1" localSheetId="5" hidden="1">#REF!</definedName>
    <definedName name="_9__123Graph_LBL_ACHART_2" localSheetId="5" hidden="1">#REF!</definedName>
    <definedName name="_9__FDSAUDITLINK__" localSheetId="5" hidden="1">{"fdsup://Directions/FactSet Auditing Viewer?action=AUDIT_VALUE&amp;DB=129&amp;ID1=B2QKWK&amp;VALUEID=05192&amp;SDATE=201101&amp;PERIODTYPE=QTR_STD&amp;SCFT=3&amp;window=popup_no_bar&amp;width=385&amp;height=120&amp;START_MAXIMIZED=FALSE&amp;creator=factset&amp;display_string=Audit"}</definedName>
    <definedName name="_90__123Graph_LBL_ACHART_3" localSheetId="5" hidden="1">#REF!</definedName>
    <definedName name="_96__123Graph_LBL_BCHART_1" localSheetId="5" hidden="1">#REF!</definedName>
    <definedName name="_99__123Graph_LBL_ACHART_4" localSheetId="5" hidden="1">#REF!</definedName>
    <definedName name="_a1" localSheetId="5" hidden="1">{#N/A,#N/A,FALSE,"Pharm";#N/A,#N/A,FALSE,"WWCM"}</definedName>
    <definedName name="_A11" localSheetId="5" hidden="1">{#N/A,#N/A,FALSE,"Umsatz 99";#N/A,#N/A,FALSE,"ER 99 "}</definedName>
    <definedName name="_aaa1" localSheetId="5" hidden="1">{#N/A,#N/A,FALSE,"REPORT"}</definedName>
    <definedName name="_aas1" localSheetId="5" hidden="1">{#N/A,#N/A,FALSE,"REPORT"}</definedName>
    <definedName name="_ACS2000" localSheetId="5" hidden="1">{#N/A,#N/A,FALSE,"REPORT"}</definedName>
    <definedName name="_Actual_for_2004_Measure" localSheetId="5" hidden="1">#REF!</definedName>
    <definedName name="_Apr03" localSheetId="5" hidden="1">{"Statement of Income",#N/A,TRUE,"Mar99";"Balance Sheet",#N/A,TRUE,"Mar99"}</definedName>
    <definedName name="_Apr04" localSheetId="5" hidden="1">{"Statement of Income",#N/A,TRUE,"Mar99";"Balance Sheet",#N/A,TRUE,"Mar99"}</definedName>
    <definedName name="_aud98" localSheetId="5">#REF!</definedName>
    <definedName name="_aug04" localSheetId="5" hidden="1">{"Statement of Income",#N/A,TRUE,"Mar99";"Balance Sheet",#N/A,TRUE,"Mar99"}</definedName>
    <definedName name="_b111" localSheetId="5" hidden="1">{#N/A,#N/A,FALSE,"Pharm";#N/A,#N/A,FALSE,"WWCM"}</definedName>
    <definedName name="_bdm.009bf12725d4456aa5aaf02394719683.edm" localSheetId="5" hidden="1">#REF!</definedName>
    <definedName name="_bdm.02fd679d145d41ba97140b66ebb9860a.edm" localSheetId="5" hidden="1">#REF!</definedName>
    <definedName name="_bdm.030d8fea3f6442edbb9937e5d03c81c9.edm" localSheetId="5" hidden="1">#REF!</definedName>
    <definedName name="_bdm.03945fe231b841a188fbf996e953adad.edm" localSheetId="5" hidden="1">#REF!</definedName>
    <definedName name="_bdm.04E336EBC3C344EB89DEFF28F82B1451.edm" localSheetId="5">#REF!</definedName>
    <definedName name="_bdm.05dcfce1f65440a69cd7666001e95dd4.edm" localSheetId="5" hidden="1">#REF!</definedName>
    <definedName name="_bdm.06aba940d10f4e9891315ec61059704a.edm" localSheetId="5" hidden="1">#REF!</definedName>
    <definedName name="_bdm.09e26870c38b4357a6aea2e373b7c6f1.edm" localSheetId="5" hidden="1">#REF!</definedName>
    <definedName name="_bdm.0c27711082264dd6b5cca30486d67157.edm" localSheetId="5" hidden="1">#REF!</definedName>
    <definedName name="_bdm.0ecff46e37b340048eaa524490633844.edm" localSheetId="5" hidden="1">#REF!</definedName>
    <definedName name="_bdm.0f344057a599479ea2b6147d4d0e3c5f.edm" localSheetId="5" hidden="1">#REF!</definedName>
    <definedName name="_bdm.107A9799626E4FC8B49DB037971FCDD2.edm" localSheetId="5" hidden="1">#REF!</definedName>
    <definedName name="_bdm.110fe0472f1e41cf8edfb7d9fbf72439.edm" localSheetId="5" hidden="1">#REF!</definedName>
    <definedName name="_bdm.12f0aa224e09430cad2ed60790ffe470.edm" localSheetId="5" hidden="1">#REF!</definedName>
    <definedName name="_bdm.1420e4c1048149d99f99db2566dfb5b6.edm" localSheetId="5" hidden="1">#REF!</definedName>
    <definedName name="_bdm.1497adb1f2b54105a4df4bc37a84c6c4.edm" localSheetId="5" hidden="1">#REF!</definedName>
    <definedName name="_bdm.159c29f033b4443f9b50eb6475401247.edm" localSheetId="5" hidden="1">#REF!</definedName>
    <definedName name="_bdm.17d36935db5d439cabce9c21cdd9bd39.edm" localSheetId="5">#REF!</definedName>
    <definedName name="_bdm.17e02fe5752445528e7f27708042f0e8.edm" localSheetId="5" hidden="1">#REF!</definedName>
    <definedName name="_bdm.1965d84e9dac42d2be9d9bf87fe61145.edm" localSheetId="5" hidden="1">#REF!</definedName>
    <definedName name="_bdm.1a29c1eb2dc64e088b7ad86656a9e874.edm" localSheetId="5" hidden="1">#REF!</definedName>
    <definedName name="_bdm.1a8de28cc6974690bbf0cff346208b17.edm" localSheetId="5" hidden="1">#REF!</definedName>
    <definedName name="_bdm.1b397b7c00064e61aa76d0144b785fe0.edm" localSheetId="5" hidden="1">#REF!</definedName>
    <definedName name="_bdm.1c518483f1b34bf589326925c6ad47f2.edm" localSheetId="5" hidden="1">#REF!</definedName>
    <definedName name="_bdm.214561e77c784af08279f1e267b69e4c.edm" localSheetId="5" hidden="1">#REF!</definedName>
    <definedName name="_bdm.2238af81b1df48a99cdf3fc2eac364e0.edm" localSheetId="5" hidden="1">#REF!</definedName>
    <definedName name="_bdm.234f7a16e72f40a0845104532184609f.edm" localSheetId="5" hidden="1">#REF!</definedName>
    <definedName name="_bdm.26445cecadca4d17a13d767e2fdc29fb.edm" localSheetId="5" hidden="1">#REF!</definedName>
    <definedName name="_bdm.26e841ef35ab4eb6affb63c417cc4c35.edm" localSheetId="5" hidden="1">#REF!</definedName>
    <definedName name="_bdm.29702e413a104ff5a9371b3ec0f1e346.edm" localSheetId="5" hidden="1">#REF!</definedName>
    <definedName name="_bdm.2a74673ecafc406ebd20d27a2d20d8db.edm" localSheetId="5" hidden="1">#REF!</definedName>
    <definedName name="_bdm.2aeb20c3e92449beb4f64a19da293aae.edm" localSheetId="5" hidden="1">#REF!</definedName>
    <definedName name="_bdm.3202C8268A64487D9AE4035F30D271B6.edm" localSheetId="5">#REF!</definedName>
    <definedName name="_bdm.3243e94bedbf4599a63778c5179a9b09.edm" localSheetId="5" hidden="1">#REF!</definedName>
    <definedName name="_bdm.332938db69b349d08ea559a761998da8.edm" localSheetId="5" hidden="1">#REF!</definedName>
    <definedName name="_bdm.337d4b73824f4d859b407e98c14cdc2c.edm" localSheetId="5" hidden="1">#REF!</definedName>
    <definedName name="_bdm.33f753569bdc4b8fae2126d83823e39f.edm" localSheetId="5" hidden="1">#REF!</definedName>
    <definedName name="_bdm.34148ce3126341a6aeb54118b1f26dec.edm" localSheetId="5" hidden="1">#REF!</definedName>
    <definedName name="_bdm.3749b8233bd94fbb97c5bf2340186fff.edm" localSheetId="5" hidden="1">#REF!</definedName>
    <definedName name="_bdm.3b8b6c75df1847e2b4c8054302cc61b8.edm" localSheetId="5" hidden="1">#REF!</definedName>
    <definedName name="_bdm.3bbbdad2c6ff46689a0c5056d2bca420.edm" localSheetId="5" hidden="1">#REF!</definedName>
    <definedName name="_bdm.3c099f4a438144519ee34e83d7795e1e.edm" localSheetId="5">#REF!</definedName>
    <definedName name="_bdm.3c295d39c4ca459f94ea51cb739309b9.edm" localSheetId="5" hidden="1">#REF!</definedName>
    <definedName name="_bdm.3d44ff302dec418caa121a69637939de.edm" localSheetId="5" hidden="1">#REF!</definedName>
    <definedName name="_bdm.3ff788f17261479cbec114b2a7e70115.edm" localSheetId="5" hidden="1">#REF!</definedName>
    <definedName name="_bdm.40c00a0e24f04b29a9e840764f8bba5c.edm" localSheetId="5" hidden="1">#REF!</definedName>
    <definedName name="_bdm.41291a97341f414c839ef174f521a6aa.edm" localSheetId="5" hidden="1">#REF!</definedName>
    <definedName name="_bdm.431049536a46430195f38e91376e18c5.edm" localSheetId="5" hidden="1">#REF!</definedName>
    <definedName name="_bdm.440ce4c88b06424d942f877ea996d545.edm" localSheetId="5" hidden="1">#REF!</definedName>
    <definedName name="_bdm.4658cca5cdd7473ca15d96df5d621730.edm" localSheetId="5" hidden="1">#REF!</definedName>
    <definedName name="_bdm.47285f811d0143979ceb9834d0043a8d.edm" localSheetId="5" hidden="1">#REF!</definedName>
    <definedName name="_bdm.4793426885c9444abf823324ab3235cf.edm" localSheetId="5" hidden="1">#REF!</definedName>
    <definedName name="_bdm.48142732d894412aa759fbdaaf30da81.edm" localSheetId="5" hidden="1">#REF!</definedName>
    <definedName name="_bdm.4823498195f64b0fa90e1a741418009c.edm" localSheetId="5" hidden="1">#REF!</definedName>
    <definedName name="_bdm.49565361dbda41eab60069382827a057.edm" localSheetId="5" hidden="1">#REF!</definedName>
    <definedName name="_bdm.4b976145f4354280b5dfdcf53ed4a35d.edm" localSheetId="5" hidden="1">#REF!</definedName>
    <definedName name="_bdm.4ba32c98de44461182b68f817f541280.edm" localSheetId="5" hidden="1">#REF!</definedName>
    <definedName name="_bdm.4bc3f84aac74476fb6b30639df9457e6.edm" localSheetId="5" hidden="1">#REF!</definedName>
    <definedName name="_bdm.4e117f14a5fb40aca6cc852c0bbbcd68.edm" localSheetId="5" hidden="1">#REF!</definedName>
    <definedName name="_bdm.4ef2c5541ab64e54a6ad014710ad6d70.edm" localSheetId="5" hidden="1">#REF!</definedName>
    <definedName name="_bdm.4fd121ca66564828a3b31134ce8761d6.edm" localSheetId="5" hidden="1">#REF!</definedName>
    <definedName name="_bdm.50b4ef2a499a462c8df81a25b5f7264e.edm" localSheetId="5" hidden="1">#REF!</definedName>
    <definedName name="_bdm.5106d6fac1884fc58adde7492ad261f1.edm" localSheetId="5" hidden="1">#REF!</definedName>
    <definedName name="_bdm.514bf1bf66e044e7aba861d99d7b9e9c.edm" localSheetId="5" hidden="1">#REF!</definedName>
    <definedName name="_bdm.51a0e3e475cb4a7eae26e5743a8751aa.edm" localSheetId="5" hidden="1">#REF!</definedName>
    <definedName name="_bdm.53962b8914a949afb9e140a76fa9e3fd.edm" localSheetId="5" hidden="1">#REF!</definedName>
    <definedName name="_bdm.56759a0aaab9447da1feaf28376f3f18.edm" localSheetId="5" hidden="1">#REF!</definedName>
    <definedName name="_bdm.573d212a20654bf5ab778dee601afd58.edm" localSheetId="5" hidden="1">#REF!</definedName>
    <definedName name="_bdm.57d903146e3d4850abdc49aa9f296d63.edm" localSheetId="5" hidden="1">#REF!</definedName>
    <definedName name="_bdm.5847cc8080794a41857de6938659f571.edm" localSheetId="5" hidden="1">#REF!</definedName>
    <definedName name="_bdm.585db46637e84fdbb9c96eb7fa844a10.edm" localSheetId="5" hidden="1">#REF!</definedName>
    <definedName name="_bdm.5a9550d1794142fca9aee1e5d136e99b.edm" localSheetId="5" hidden="1">#REF!</definedName>
    <definedName name="_bdm.5B55EC15D59D494AA5E3D74BF9AE6CDB.edm" localSheetId="5" hidden="1">#REF!</definedName>
    <definedName name="_bdm.5c152d30ac0747f79c24f036e6a05020.edm" localSheetId="5" hidden="1">#REF!</definedName>
    <definedName name="_bdm.5d3c0e326a334d279f76e57f90740956.edm" localSheetId="5" hidden="1">#REF!</definedName>
    <definedName name="_bdm.5d44ab69fbb040c7bc1f0362425a561d.edm" localSheetId="5" hidden="1">#REF!</definedName>
    <definedName name="_bdm.617c28e3bf3143568adc3a4d9b531865.edm" localSheetId="5" hidden="1">#REF!</definedName>
    <definedName name="_bdm.6474F71561324010A7163BD0F39AC319.edm" localSheetId="5" hidden="1">#REF!</definedName>
    <definedName name="_bdm.6517d25ae5414d19b53ecc71e4866bb9.edm" localSheetId="5" hidden="1">#REF!</definedName>
    <definedName name="_bdm.66202a0bdac64c43a5a7f83fd8de7c9f.edm" localSheetId="5" hidden="1">#REF!</definedName>
    <definedName name="_bdm.6690f7a1b49046cd92e6613dfaef875d.edm" localSheetId="5" hidden="1">#REF!</definedName>
    <definedName name="_bdm.6744826fa0a84f48a7412377f4d55fba.edm" localSheetId="5" hidden="1">#REF!</definedName>
    <definedName name="_bdm.68bfd4388f7043ed9321ec5178f77d37.edm" localSheetId="5" hidden="1">#REF!</definedName>
    <definedName name="_bdm.695146503cea4412b0664012f646045f.edm" localSheetId="5" hidden="1">#REF!</definedName>
    <definedName name="_bdm.69c201d82a644eca8a9fbed036d32601.edm" localSheetId="5" hidden="1">#REF!</definedName>
    <definedName name="_bdm.6ba6e74e6eb748d583cd9321429e307b.edm" localSheetId="5" hidden="1">#REF!</definedName>
    <definedName name="_bdm.6d7dc00e546f4af4a97581b467c60e24.edm" localSheetId="5" hidden="1">#REF!</definedName>
    <definedName name="_bdm.6eb18a8db4e446b28c802ec87abb9678.edm" localSheetId="5" hidden="1">#REF!</definedName>
    <definedName name="_bdm.6ef4e8c9112541f6b7d3df8797f5dd48.edm" localSheetId="5" hidden="1">#REF!</definedName>
    <definedName name="_bdm.705bdc931efa45a38c8e79cc7b403c80.edm" localSheetId="5" hidden="1">#REF!</definedName>
    <definedName name="_bdm.72599d5820f046f79580d875534f093a.edm" localSheetId="5" hidden="1">#REF!</definedName>
    <definedName name="_bdm.72733edca7d54cd2b5c4d91c4dca0d87.edm" localSheetId="5" hidden="1">#REF!</definedName>
    <definedName name="_bdm.72ddd337e3fa4eacaaab8d3cd0a6781c.edm" localSheetId="5" hidden="1">#REF!</definedName>
    <definedName name="_bdm.740fc54ffb42446ca63ea59791c98f7f.edm" localSheetId="5" hidden="1">#REF!</definedName>
    <definedName name="_bdm.743876be619f4b52801a576ad0fe44b2.edm" localSheetId="5" hidden="1">#REF!</definedName>
    <definedName name="_bdm.752f7def96f14bc3accad76e5e3cdd88.edm" localSheetId="5" hidden="1">#REF!</definedName>
    <definedName name="_bdm.759585e16e7748679500ad71118a6d6e.edm" localSheetId="5" hidden="1">#REF!</definedName>
    <definedName name="_bdm.77e9decbb7fb448aa095208fe0d7e92e.edm" localSheetId="5" hidden="1">#REF!</definedName>
    <definedName name="_bdm.77eb6f822121492aa3868cae88abcecb.edm" localSheetId="5" hidden="1">#REF!</definedName>
    <definedName name="_bdm.7b3daf2bbd48461a903ceba3efd1f98f.edm" localSheetId="5" hidden="1">#REF!</definedName>
    <definedName name="_bdm.7cab456764a843c5a0f973d6cb3d7e6f.edm" localSheetId="5" hidden="1">#REF!</definedName>
    <definedName name="_bdm.7e2ade1d496b41699589357f401fda88.edm" localSheetId="5" hidden="1">#REF!</definedName>
    <definedName name="_bdm.80dab799bf934ad89c97157bd37e5ea2.edm" localSheetId="5" hidden="1">#REF!</definedName>
    <definedName name="_bdm.80de3299fc444467872f9c1f5362b194.edm" localSheetId="5" hidden="1">#REF!</definedName>
    <definedName name="_bdm.81cf058de8eb44c0968677f4f1b16ca0.edm" localSheetId="5" hidden="1">#REF!</definedName>
    <definedName name="_bdm.8270c8391a854536a57f9a2ef1f3e700.edm" localSheetId="5" hidden="1">#REF!</definedName>
    <definedName name="_bdm.84e52997677e4d24b08c10da4c726f80.edm" localSheetId="5" hidden="1">#REF!</definedName>
    <definedName name="_bdm.8579f21d031b403b887d0d942946dca6.edm" localSheetId="5" hidden="1">#REF!</definedName>
    <definedName name="_bdm.87829f9add7842d196825301219fd187.edm" localSheetId="5" hidden="1">#REF!</definedName>
    <definedName name="_bdm.88462335defc4036849a815ca4416c8c.edm" localSheetId="5" hidden="1">#REF!</definedName>
    <definedName name="_bdm.89af515db2d24d9daeefaccc0480a5fd.edm" localSheetId="5" hidden="1">#REF!</definedName>
    <definedName name="_bdm.8a3c598aee154ff6931ce6dd468ddaea.edm" localSheetId="5" hidden="1">#REF!</definedName>
    <definedName name="_bdm.8a44d1c95ac34250b264a3a864fcb86b.edm" localSheetId="5" hidden="1">#REF!</definedName>
    <definedName name="_bdm.8a55a33b552e451fb03ec997b9731453.edm" localSheetId="5" hidden="1">#REF!</definedName>
    <definedName name="_bdm.8acce3f26cf3435eadd77bf53e776142.edm" localSheetId="5" hidden="1">#REF!</definedName>
    <definedName name="_bdm.8b735da0ebee4c2aa21cfc2dd862b1f6.edm" localSheetId="5" hidden="1">#REF!</definedName>
    <definedName name="_bdm.8c6844f36d254a2e8c83479dd4b5ba66.edm" localSheetId="5" hidden="1">#REF!</definedName>
    <definedName name="_bdm.8c9a430faa154994a2270cae796eb559.edm" localSheetId="5" hidden="1">#REF!</definedName>
    <definedName name="_bdm.8cdb7ccd95d74af990906609ea35dfbc.edm" localSheetId="5" hidden="1">#REF!</definedName>
    <definedName name="_bdm.8dfc430906c342bd882d6a98b39b69f1.edm" localSheetId="5" hidden="1">#REF!</definedName>
    <definedName name="_bdm.8fee786ed9404fafa730e21479774b05.edm" localSheetId="5" hidden="1">#REF!</definedName>
    <definedName name="_bdm.9091c479dd1b47ec874324364a5b9ae3.edm" localSheetId="5" hidden="1">#REF!</definedName>
    <definedName name="_bdm.913e03f58e1f4452963c57a381265ee7.edm" localSheetId="5" hidden="1">#REF!</definedName>
    <definedName name="_bdm.91bb3967f5ab43638490196a74a3b859.edm" localSheetId="5" hidden="1">#REF!</definedName>
    <definedName name="_bdm.933c704ab6a74f50a4375dd8a03e5045.edm" localSheetId="5" hidden="1">#REF!</definedName>
    <definedName name="_bdm.93ca406dc6834ae69565065edc9c2485.edm" localSheetId="5" hidden="1">#REF!</definedName>
    <definedName name="_bdm.941d8a5b190745d6a951854dfcf9005b.edm" localSheetId="5" hidden="1">#REF!</definedName>
    <definedName name="_bdm.959e76887e7543758f2e98344fea62e5.edm" localSheetId="5" hidden="1">#REF!</definedName>
    <definedName name="_bdm.9686b5ad8e454bdc831589f3096d9a75.edm" localSheetId="5" hidden="1">#REF!</definedName>
    <definedName name="_bdm.96ee6eb46f9a4d5ca04dbb22b806a387.edm" localSheetId="5" hidden="1">#REF!</definedName>
    <definedName name="_bdm.97f1ead495c84670898d6dfa5bee1f4f.edm" localSheetId="5" hidden="1">#REF!</definedName>
    <definedName name="_bdm.9840CBC8A13246BC9F2D0A3B1EDCC149.edm" localSheetId="5" hidden="1">#REF!</definedName>
    <definedName name="_bdm.991A663BE1BA4CE6916986AE15E5C2FE.edm" localSheetId="5">#REF!</definedName>
    <definedName name="_bdm.9980A307627F4AC2BDBE2115E0B06513.edm" localSheetId="5" hidden="1">#REF!</definedName>
    <definedName name="_bdm.9bf3eba9f5f6408b818855474c2e88be.edm" localSheetId="5" hidden="1">#REF!</definedName>
    <definedName name="_bdm.9c5955bcfec749a298665d8a8f29553a.edm" localSheetId="5" hidden="1">#REF!</definedName>
    <definedName name="_bdm.9CDC35CDB7B143079762F320F757C403.edm" localSheetId="5" hidden="1">#REF!</definedName>
    <definedName name="_bdm.9fb81551161744a787e2a30fecbf0e58.edm" localSheetId="5" hidden="1">#REF!</definedName>
    <definedName name="_bdm.a0309f58e97b4c6d8322611907706b6a.edm" localSheetId="5" hidden="1">#REF!</definedName>
    <definedName name="_bdm.a1e0c8fa41d44456bd3fd7eb5a5d9627.edm" localSheetId="5" hidden="1">#REF!</definedName>
    <definedName name="_bdm.a2767cf6f5294501949b9f3c21b3776d.edm" localSheetId="5" hidden="1">#REF!</definedName>
    <definedName name="_bdm.a4ade6bf31a84e6bacb74a8df69fca58.edm" localSheetId="5" hidden="1">#REF!</definedName>
    <definedName name="_bdm.a4e32d05834443d8bb3ab6ac58bacc29.edm" localSheetId="5" hidden="1">#REF!</definedName>
    <definedName name="_bdm.a65ba98f020746a282c74583788716a5.edm" localSheetId="5" hidden="1">#REF!</definedName>
    <definedName name="_bdm.a69419b31f744796b987db38ad0d649e.edm" localSheetId="5" hidden="1">#REF!</definedName>
    <definedName name="_bdm.a7155ec8dbbd466e9e9760143496bc24.edm" localSheetId="5" hidden="1">#REF!</definedName>
    <definedName name="_bdm.a8e01da119ca4d9c97d0184b931b4420.edm" localSheetId="5" hidden="1">#REF!</definedName>
    <definedName name="_bdm.A8E4274E81CA43DD81E063DB8E8488B6.edm" localSheetId="5" hidden="1">#REF!</definedName>
    <definedName name="_bdm.a9bdb66125344bda87e3559b597fcebb.edm" localSheetId="5" hidden="1">#REF!</definedName>
    <definedName name="_bdm.A9E8F2214015449F99BBFDAC629C22DB.edm" localSheetId="5" hidden="1">#REF!</definedName>
    <definedName name="_bdm.ab7b7b42d23245188962b044b04613e6.edm" localSheetId="5" hidden="1">#REF!</definedName>
    <definedName name="_bdm.acacaaab71bd41e0b29ad58a8364f331.edm" localSheetId="5" hidden="1">#REF!</definedName>
    <definedName name="_bdm.ace1aaa519c24574890ddd820cc2d91c.edm" localSheetId="5" hidden="1">#REF!</definedName>
    <definedName name="_bdm.acefef0cf05b4befa5daff43bfd4bb8b.edm" localSheetId="5" hidden="1">#REF!</definedName>
    <definedName name="_bdm.b1683122ac6b4606ba091a2d30a53c97.edm" localSheetId="5" hidden="1">#REF!</definedName>
    <definedName name="_bdm.b1eabde8290f4838b117aaead9446cfd.edm" localSheetId="5" hidden="1">#REF!</definedName>
    <definedName name="_bdm.b4d515774e7a423c8064201e48a64c9c.edm" localSheetId="5" hidden="1">#REF!</definedName>
    <definedName name="_bdm.b5041e810ee848ba875604fcd0842afa.edm" localSheetId="5" hidden="1">#REF!</definedName>
    <definedName name="_bdm.b5d441b04f98485b9fa2305f394ea693.edm" localSheetId="5" hidden="1">#REF!</definedName>
    <definedName name="_bdm.B5E1CE290D664EC9908CE120B7DDB7AD.edm" localSheetId="5" hidden="1">#REF!</definedName>
    <definedName name="_bdm.b6296d9d69be44d3b0ab376cc7a2077d.edm" localSheetId="5" hidden="1">#REF!</definedName>
    <definedName name="_bdm.b66241962f6f4cf6a41d86d230025c5f.edm" localSheetId="5" hidden="1">#REF!</definedName>
    <definedName name="_bdm.B78A2F570E0D4F80A27689B75CAACA19.edm" localSheetId="5" hidden="1">#REF!</definedName>
    <definedName name="_bdm.ba0e971b62974a1f9760da1d7cb28c92.edm" localSheetId="5" hidden="1">#REF!</definedName>
    <definedName name="_bdm.bae08ec90f6946df8081afc258d047e2.edm" localSheetId="5" hidden="1">#REF!</definedName>
    <definedName name="_bdm.bb2880eacbfa40f28db22aef1696cb1f.edm" localSheetId="5" hidden="1">#REF!</definedName>
    <definedName name="_bdm.bc8b6fd2b37a4ce0be52c1d86876776c.edm" localSheetId="5" hidden="1">#REF!</definedName>
    <definedName name="_bdm.bd64d8e91eb7459492d2479b62de5090.edm" localSheetId="5" hidden="1">#REF!</definedName>
    <definedName name="_bdm.bf1dc11590534f868048842401151fd0.edm" localSheetId="5" hidden="1">#REF!</definedName>
    <definedName name="_bdm.bfdbf5fa636b44d9a2044c3bf3f4fce1.edm" localSheetId="5" hidden="1">#REF!</definedName>
    <definedName name="_bdm.c337c662ace64983b75f1598939e1ca0.edm" localSheetId="5" hidden="1">#REF!</definedName>
    <definedName name="_bdm.c82f6d59ab0f4183ab7982284f6ca023.edm" localSheetId="5" hidden="1">#REF!</definedName>
    <definedName name="_bdm.c8bf4ff180e749a491185ffa426301d6.edm" localSheetId="5" hidden="1">#REF!</definedName>
    <definedName name="_bdm.c95f0efb7afc4bddb5661b316a446c20.edm" localSheetId="5" hidden="1">#REF!</definedName>
    <definedName name="_bdm.c9a47520da6949a2b5aaba1c8d616fa7.edm" localSheetId="5" hidden="1">#REF!</definedName>
    <definedName name="_bdm.ca0246c24b4a411e9c1357fe5fe0d343.edm" localSheetId="5" hidden="1">#REF!</definedName>
    <definedName name="_bdm.CAAD75B892744DA7A396804116BF19C2.edm" localSheetId="5" hidden="1">#REF!</definedName>
    <definedName name="_bdm.CCC9810E33DE4D12B7AF2ADB20F5BEB6.edm" localSheetId="5" hidden="1">#REF!</definedName>
    <definedName name="_bdm.cd3bb972c60f4b6799bf04a025053b04.edm" localSheetId="5" hidden="1">#REF!</definedName>
    <definedName name="_bdm.cddae0b36de9441ab74dcccc5f4a8df5.edm" localSheetId="5" hidden="1">#REF!</definedName>
    <definedName name="_bdm.ceef965ab9254e0fb3aeb937de166942.edm" localSheetId="5" hidden="1">#REF!</definedName>
    <definedName name="_bdm.d1968915ea1d488ba2e70cb188c7112f.edm" localSheetId="5" hidden="1">#REF!</definedName>
    <definedName name="_bdm.d1ca68b227d84bca98bb89dba783a220.edm" localSheetId="5" hidden="1">#REF!</definedName>
    <definedName name="_bdm.d267de5bccac46c4a3b6fd653ff128a9.edm" localSheetId="5" hidden="1">#REF!</definedName>
    <definedName name="_bdm.d46160ba463e4ec58df8f8883b774659.edm" localSheetId="5" hidden="1">#REF!</definedName>
    <definedName name="_bdm.d53f47b82daf45e4868929e6a4a61b28.edm" localSheetId="5" hidden="1">#REF!</definedName>
    <definedName name="_bdm.d5905c45accc467d8e0cbecfbdb6d351.edm" localSheetId="5" hidden="1">#REF!</definedName>
    <definedName name="_bdm.D6F5CF6F8045429480DDCE6E0FB4CF8A.edm" localSheetId="5">#REF!</definedName>
    <definedName name="_bdm.d7f5d97357e74fae932e40d0c0b10322.edm" localSheetId="5" hidden="1">#REF!</definedName>
    <definedName name="_bdm.D8350DF0B3C24E788B6D515073D98D12.edm" localSheetId="5" hidden="1">#REF!</definedName>
    <definedName name="_bdm.d911c3c28de14a069d6cd867be25ac4f.edm" localSheetId="5" hidden="1">#REF!</definedName>
    <definedName name="_bdm.da19e4131cb1467a902e377b3a70585c.edm" localSheetId="5" hidden="1">#REF!</definedName>
    <definedName name="_bdm.DB532E19E1024187875B38658C500AFB.edm" localSheetId="5" hidden="1">#REF!</definedName>
    <definedName name="_bdm.dcae2f7028fe4979b995dfb76193bf08.edm" localSheetId="5" hidden="1">#REF!</definedName>
    <definedName name="_bdm.df41725d793e46f38e1f8990b163397d.edm" localSheetId="5" hidden="1">#REF!</definedName>
    <definedName name="_bdm.e0356664aff14693a7cb956860956da6.edm" localSheetId="5" hidden="1">#REF!</definedName>
    <definedName name="_bdm.e35c9784e4ad47a7a5c78064174100d9.edm" localSheetId="5" hidden="1">#REF!</definedName>
    <definedName name="_bdm.e570225ffa854d47a1516065465b8c39.edm" localSheetId="5" hidden="1">#REF!</definedName>
    <definedName name="_bdm.e6bcf26036b34f4db6695a8b5c33b57a.edm" localSheetId="5" hidden="1">#REF!</definedName>
    <definedName name="_bdm.e6dccd4ab8d3434685207de9b0e69c8f.edm" localSheetId="5" hidden="1">#REF!</definedName>
    <definedName name="_bdm.e804dc798379461fa121860e9b194de2.edm" localSheetId="5">#REF!</definedName>
    <definedName name="_bdm.ea29e06f9ded4e86b9cbf4762b02bddd.edm" localSheetId="5" hidden="1">#REF!</definedName>
    <definedName name="_bdm.ea9f24a0f4aa426da34a0155eec39fb9.edm" localSheetId="5" hidden="1">#REF!</definedName>
    <definedName name="_bdm.ebbe593872c146e495157e215b93eeb9.edm" localSheetId="5" hidden="1">#REF!</definedName>
    <definedName name="_bdm.ec392cdd89b246f6b0eb47f49d8944e6.edm" localSheetId="5" hidden="1">#REF!</definedName>
    <definedName name="_bdm.edcc4b88f07b4d1a888964801b0caace.edm" localSheetId="5" hidden="1">#REF!</definedName>
    <definedName name="_bdm.efcbd69260ea4ab6b13dddaadc5672f1.edm" localSheetId="5" hidden="1">#REF!</definedName>
    <definedName name="_bdm.f0cf77fbe11444718a99346b2348416b.edm" localSheetId="5" hidden="1">#REF!</definedName>
    <definedName name="_bdm.f482b124e8ea49738352fda7cfb1cf72.edm" localSheetId="5" hidden="1">#REF!</definedName>
    <definedName name="_bdm.f657bf8812554f2393edb0592314ae5c.edm" localSheetId="5" hidden="1">#REF!</definedName>
    <definedName name="_bdm.f65f2519a1cc483eb303d30ed9683ea7.edm" localSheetId="5" hidden="1">#REF!</definedName>
    <definedName name="_bdm.f7b60a177fac4ea7a512e4515a187e3d.edm" localSheetId="5" hidden="1">#REF!</definedName>
    <definedName name="_bdm.f98f720359e04de195dafd5feb1f2931.edm" localSheetId="5" hidden="1">#REF!</definedName>
    <definedName name="_bdm.FA206C7EF05344A1ADB2599D6DDD41D6.edm" localSheetId="5">#REF!</definedName>
    <definedName name="_bdm.fad79cfd8c724f4fb4fa4bd50bf3e80c.edm" localSheetId="5" hidden="1">#REF!</definedName>
    <definedName name="_bdm.fae8c1993a0348c6bd3f3f88bca1680b.edm" localSheetId="5" hidden="1">#REF!</definedName>
    <definedName name="_bdm.faefdaef13054963acdeec03973192fb.edm" localSheetId="5" hidden="1">#REF!</definedName>
    <definedName name="_bdm.FB8D8AB244B64BB9B4F5F5A4C5205085.edm" localSheetId="5" hidden="1">#REF!</definedName>
    <definedName name="_bdm.fbf2cf8320134cd6b6acb7e0469adae4.edm" localSheetId="5" hidden="1">#REF!</definedName>
    <definedName name="_bdm.fbf95f80a8a345a8a68e5f1c32ce5841.edm" localSheetId="5" hidden="1">#REF!</definedName>
    <definedName name="_bdm.fc1c10be5f384f7f9699c11635fbdb69.edm" localSheetId="5" hidden="1">#REF!</definedName>
    <definedName name="_bdm.fc61fabc452f40daa3bf7256b8675373.edm" localSheetId="5" hidden="1">#REF!</definedName>
    <definedName name="_bdm.fcc3c2e62e6a4d5688d33611eff53a3d.edm" localSheetId="5" hidden="1">#REF!</definedName>
    <definedName name="_bdm.fcf6e00ad80b48a6998240808bbc7a82.edm" localSheetId="5" hidden="1">#REF!</definedName>
    <definedName name="_bdm.fe3608643574427ca90d2121c365c41f.edm" localSheetId="5">#REF!</definedName>
    <definedName name="_Budget_for_Measure" localSheetId="5" hidden="1">#REF!</definedName>
    <definedName name="_c" localSheetId="5" hidden="1">{"Fiesta Facer Page",#N/A,FALSE,"Q_C_S";"Fiesta Main Page",#N/A,FALSE,"V_L";"Fiesta 95BP Struct",#N/A,FALSE,"StructBP";"Fiesta Post 95BP Struct",#N/A,FALSE,"AdjStructBP"}</definedName>
    <definedName name="_Dec01" localSheetId="5" hidden="1">{"Statement of Income",#N/A,TRUE,"Mar99";"Balance Sheet",#N/A,TRUE,"Mar99"}</definedName>
    <definedName name="_Dist_Values" localSheetId="5" hidden="1">#REF!</definedName>
    <definedName name="_ex1" localSheetId="5">#REF!</definedName>
    <definedName name="_fas123" localSheetId="5" hidden="1">{"Balance Sheet",#N/A,FALSE,"Annual Summary";"Cashflows",#N/A,FALSE,"Annual Summary";"Summary Earnings",#N/A,FALSE,"Annual Summary"}</definedName>
    <definedName name="_feb01" localSheetId="5" hidden="1">{"Statement of Income",#N/A,TRUE,"Mar99";"Balance Sheet",#N/A,TRUE,"Mar99"}</definedName>
    <definedName name="_feb02" localSheetId="5" hidden="1">{"Statement of Income",#N/A,TRUE,"Mar99";"Balance Sheet",#N/A,TRUE,"Mar99"}</definedName>
    <definedName name="_Fill" localSheetId="5" hidden="1">#REF!</definedName>
    <definedName name="_for_YTD_Year" localSheetId="5" hidden="1">#REF!</definedName>
    <definedName name="_Jun02" localSheetId="5" hidden="1">{"Statement of Income",#N/A,TRUE,"Mar99";"Balance Sheet",#N/A,TRUE,"Mar99"}</definedName>
    <definedName name="_Key1" localSheetId="5" hidden="1">#REF!</definedName>
    <definedName name="_Key2" localSheetId="5" hidden="1">#REF!</definedName>
    <definedName name="_Mar03" localSheetId="5" hidden="1">{"Statement of Income",#N/A,TRUE,"Mar99";"Balance Sheet",#N/A,TRUE,"Mar99"}</definedName>
    <definedName name="_Mar04" localSheetId="5" hidden="1">{"Statement of Income",#N/A,TRUE,"Mar99";"Balance Sheet",#N/A,TRUE,"Mar99"}</definedName>
    <definedName name="_new1" localSheetId="5" hidden="1">{#N/A,#N/A,FALSE,"Pharm";#N/A,#N/A,FALSE,"WWCM"}</definedName>
    <definedName name="_nt97" localSheetId="5">#REF!</definedName>
    <definedName name="_nt98" localSheetId="5">#REF!</definedName>
    <definedName name="_o1" localSheetId="5" hidden="1">{#N/A,#N/A,FALSE,"SUMMARY";#N/A,#N/A,FALSE,"mcsh";#N/A,#N/A,FALSE,"vol&amp;rev";#N/A,#N/A,FALSE,"wkgcap";#N/A,#N/A,FALSE,"DEPR&amp;DT";#N/A,#N/A,FALSE,"ASSETS";#N/A,#N/A,FALSE,"NI&amp;OTH&amp;DIV";#N/A,#N/A,FALSE,"CASHFLOW";#N/A,#N/A,FALSE,"CAPEMPL";#N/A,#N/A,FALSE,"ROCE"}</definedName>
    <definedName name="_OCT01" localSheetId="5" hidden="1">{"Statement of Income",#N/A,TRUE,"Mar99";"Balance Sheet",#N/A,TRUE,"Mar99"}</definedName>
    <definedName name="_OCT03" localSheetId="5" hidden="1">{"Statement of Income",#N/A,TRUE,"Mar99";"Balance Sheet",#N/A,TRUE,"Mar99"}</definedName>
    <definedName name="_org_H_per_pot_others" localSheetId="5">#REF!</definedName>
    <definedName name="_Parse_In" localSheetId="5" hidden="1">#REF!</definedName>
    <definedName name="_Parse_Out" localSheetId="5" hidden="1">#REF!</definedName>
    <definedName name="_php97" localSheetId="5">#REF!</definedName>
    <definedName name="_php98" localSheetId="5">#REF!</definedName>
    <definedName name="_r" localSheetId="5" hidden="1">{#N/A,#N/A,FALSE,"Pharm";#N/A,#N/A,FALSE,"WWCM"}</definedName>
    <definedName name="_Regression_Out" localSheetId="5" hidden="1">#REF!</definedName>
    <definedName name="_Regression_X" localSheetId="5" hidden="1">#REF!</definedName>
    <definedName name="_Regression_Y" localSheetId="5" hidden="1">#REF!</definedName>
    <definedName name="_Rf_Feb_Act_for_YTD" localSheetId="5" hidden="1">#REF!</definedName>
    <definedName name="_Rf_Oct_Act_for_2003_YTD" localSheetId="5" hidden="1">#REF!</definedName>
    <definedName name="_rm97" localSheetId="5">#REF!</definedName>
    <definedName name="_rm98" localSheetId="5">#REF!</definedName>
    <definedName name="_SEP01" localSheetId="5" hidden="1">{"Statement of Income",#N/A,TRUE,"Mar99";"Balance Sheet",#N/A,TRUE,"Mar99"}</definedName>
    <definedName name="_Sep03" localSheetId="5" hidden="1">{"Statement of Income",#N/A,TRUE,"Mar99";"Balance Sheet",#N/A,TRUE,"Mar99"}</definedName>
    <definedName name="_sg1" localSheetId="5">#REF!</definedName>
    <definedName name="_sgd97" localSheetId="5">#REF!</definedName>
    <definedName name="_sgd98" localSheetId="5">#REF!</definedName>
    <definedName name="_Sort" localSheetId="5" hidden="1">#REF!</definedName>
    <definedName name="_Table1_In1" localSheetId="5" hidden="1">#REF!</definedName>
    <definedName name="_Table1_Out" localSheetId="5" hidden="1">#REF!</definedName>
    <definedName name="_Table2_In1" localSheetId="5" hidden="1">#REF!</definedName>
    <definedName name="_Table2_In2" localSheetId="5" hidden="1">#REF!</definedName>
    <definedName name="_Table2_Out" localSheetId="5" hidden="1">#REF!</definedName>
    <definedName name="_Table3_In2" localSheetId="5" hidden="1">#REF!</definedName>
    <definedName name="_tm1" localSheetId="5" hidden="1">{#N/A,#N/A,FALSE,"Pharm";#N/A,#N/A,FALSE,"WWCM"}</definedName>
    <definedName name="_TMAutoChart1Names" localSheetId="5" hidden="1">{"Timeline","Chart 6","Timeline Chart 6"}</definedName>
    <definedName name="_TMAutoChart1Refs" localSheetId="5" hidden="1">{"","","'Timeline'!$F$16","'Timeline'!$F$25","","","","","",""}</definedName>
    <definedName name="_TMAutoChart2Names" localSheetId="5" hidden="1">{"Timeline","Chart 6","Timeline Chart 6"}</definedName>
    <definedName name="_TMAutoChart2Refs" localSheetId="5" hidden="1">{"","","'Timeline'!$F$16","'Timeline'!$H$25","","","","","",""}</definedName>
    <definedName name="_ww2" localSheetId="5" hidden="1">{#N/A,#N/A,FALSE,"Admin";#N/A,#N/A,FALSE,"Other"}</definedName>
    <definedName name="_X2" localSheetId="5" hidden="1">{#N/A,#N/A,FALSE,"Other";#N/A,#N/A,FALSE,"Ace";#N/A,#N/A,FALSE,"Derm"}</definedName>
    <definedName name="_xlcn.LinkedTable_Table11" localSheetId="5" hidden="1">#REF!</definedName>
    <definedName name="_xlcn.WorksheetConnection_CapexA19F431" localSheetId="5" hidden="1">#REF!</definedName>
    <definedName name="_xlcn.WorksheetConnection_FES_Direct_Margin_Detail_20160523.xlsxTable_dynamicsslsql01_SLFRANKLIN_xFES_Margin_21" localSheetId="5" hidden="1">#REF!</definedName>
    <definedName name="_xlcn.WorksheetConnection_FES_Direct_Margin_Detail_20160523.xlsxTable_dynamicsslsql01_SLFRANKLIN_xFES_Program_Listing__21" localSheetId="5" hidden="1">#REF!</definedName>
    <definedName name="_xlcn.WorksheetConnection_FES_Program_Margin_Analysis.xlsxFES_Margin1" localSheetId="5" hidden="1">#REF!</definedName>
    <definedName name="_xlcn.WorksheetConnection_FES_Program_Margin_Analysis.xlsxPrograms1" localSheetId="5" hidden="1">#REF!</definedName>
    <definedName name="_xlcn.WorksheetConnection_newHires1" localSheetId="5" hidden="1">#REF!</definedName>
    <definedName name="a" localSheetId="5">#REF!</definedName>
    <definedName name="aa" localSheetId="5" hidden="1">{#N/A,#N/A,FALSE,"Pharm";#N/A,#N/A,FALSE,"WWCM"}</definedName>
    <definedName name="aaa" localSheetId="5" hidden="1">{"BS",#N/A,FALSE,"USA"}</definedName>
    <definedName name="aaaa" localSheetId="5" hidden="1">{#N/A,#N/A,FALSE,"REPORT"}</definedName>
    <definedName name="aaaaa" localSheetId="5" hidden="1">{#N/A,#N/A,TRUE,"BUD VS ACT AUST 96";#N/A,#N/A,TRUE,"96 COMP P&amp;L-AUST";#N/A,#N/A,TRUE,"COMP BS-AUSTRALIA";#N/A,#N/A,TRUE,"B/S - AUSTR."}</definedName>
    <definedName name="aaaaaa" localSheetId="5" hidden="1">{#N/A,#N/A,FALSE,"REPORT"}</definedName>
    <definedName name="aaaaaaa" localSheetId="5" hidden="1">{"barlup",#N/A,FALSE,"evabnk97";"gillespey",#N/A,FALSE,"evabnk97";"koon",#N/A,FALSE,"evabnk97";"schreur",#N/A,FALSE,"evabnk97";"stone",#N/A,FALSE,"evabnk97";"wichmann",#N/A,FALSE,"evabnk97";"wright",#N/A,FALSE,"evabnk97"}</definedName>
    <definedName name="aaaaaaaaaaa" localSheetId="5" hidden="1">{#N/A,#N/A,FALSE,"REPORT"}</definedName>
    <definedName name="aaaaaaaaaaaa" localSheetId="5" hidden="1">{#N/A,#N/A,TRUE,"BUD VS ACT AUST 96";#N/A,#N/A,TRUE,"96 COMP P&amp;L-AUST";#N/A,#N/A,TRUE,"COMP BS-AUSTRALIA";#N/A,#N/A,TRUE,"B/S - AUSTR."}</definedName>
    <definedName name="aaaaaaaaaaaaaaa" localSheetId="5" hidden="1">{#N/A,#N/A,FALSE,"Pharm";#N/A,#N/A,FALSE,"WWCM"}</definedName>
    <definedName name="aaasb" localSheetId="5" hidden="1">{#N/A,#N/A,FALSE,"Pharm";#N/A,#N/A,FALSE,"WWCM"}</definedName>
    <definedName name="aab" localSheetId="5" hidden="1">{#N/A,#N/A,FALSE,"Pharm";#N/A,#N/A,FALSE,"WWCM"}</definedName>
    <definedName name="aaddd" localSheetId="5" hidden="1">{#N/A,#N/A,FALSE,"REPORT"}</definedName>
    <definedName name="aas" localSheetId="5" hidden="1">{#N/A,#N/A,FALSE,"1";#N/A,#N/A,FALSE,"2";#N/A,#N/A,FALSE,"16 - 17";#N/A,#N/A,FALSE,"18 - 19";#N/A,#N/A,FALSE,"26";#N/A,#N/A,FALSE,"27";#N/A,#N/A,FALSE,"28"}</definedName>
    <definedName name="ABC" localSheetId="5" hidden="1">{#N/A,#N/A,TRUE,"BUD VS ACT AUST 96";#N/A,#N/A,TRUE,"96 COMP P&amp;L-AUST";#N/A,#N/A,TRUE,"COMP BS-AUSTRALIA";#N/A,#N/A,TRUE,"B/S - AUSTR."}</definedName>
    <definedName name="abc.abc" localSheetId="5" hidden="1">{"cash flow - FY02",#N/A,FALSE,"P &amp; L";"cash flow - FY03",#N/A,FALSE,"P &amp; L"}</definedName>
    <definedName name="abc.abc2" localSheetId="5" hidden="1">{"cash flow - FY02",#N/A,FALSE,"P &amp; L";"cash flow - FY03",#N/A,FALSE,"P &amp; L"}</definedName>
    <definedName name="absfghbtg" localSheetId="5" hidden="1">#REF!,#REF!,#REF!,#REF!,#REF!,#REF!,#REF!,#REF!,#REF!,#REF!,#REF!,#REF!,#REF!,#REF!,#REF!,#REF!,#REF!,#REF!,#REF!,#REF!,#REF!,#REF!,#REF!,#REF!,#REF!,#REF!,#REF!,#REF!,#REF!,#REF!,#REF!,#REF!,#REF!,#REF!,#REF!,#REF!,#REF!,#REF!,#REF!,#REF!,#REF!,#REF!,#REF!,#REF!,#REF!,#REF!,#REF!,#REF!,#REF!,#REF!,#REF!,#REF!,#REF!,#REF!</definedName>
    <definedName name="acc" localSheetId="5" hidden="1">{"Accretion",#N/A,FALSE,"Assum"}</definedName>
    <definedName name="actual" localSheetId="5" hidden="1">#REF!</definedName>
    <definedName name="adasa" localSheetId="5" hidden="1">{"'Sheet1'!$A$1:$J$121"}</definedName>
    <definedName name="ADBeg" localSheetId="5">#REF!</definedName>
    <definedName name="ADCurr" localSheetId="5">#REF!</definedName>
    <definedName name="ADEnd" localSheetId="5">#REF!</definedName>
    <definedName name="adfadf" localSheetId="5" hidden="1">{"'Sheet1'!$A$1:$J$121"}</definedName>
    <definedName name="adfgasdysty" localSheetId="5" hidden="1">{#N/A,#N/A,FALSE,"REPORT"}</definedName>
    <definedName name="adfsfjfjky" localSheetId="5" hidden="1">{#N/A,#N/A,FALSE,"REPORT"}</definedName>
    <definedName name="adhad" localSheetId="5" hidden="1">{"'Sheet1'!$A$1:$J$121"}</definedName>
    <definedName name="AFDADSFDAS" localSheetId="5" hidden="1">{#N/A,#N/A,FALSE,"REPORT"}</definedName>
    <definedName name="africa" localSheetId="5" hidden="1">{#N/A,#N/A,FALSE,"CNS";#N/A,#N/A,FALSE,"Serz";#N/A,#N/A,FALSE,"Ace"}</definedName>
    <definedName name="agafdhsdh" localSheetId="5" hidden="1">{#N/A,#N/A,FALSE,"REPORT"}</definedName>
    <definedName name="agsgaghgfj" localSheetId="5" hidden="1">{#N/A,#N/A,FALSE,"Pharm";#N/A,#N/A,FALSE,"WWCM"}</definedName>
    <definedName name="alb" localSheetId="5" hidden="1">{#N/A,#N/A,FALSE,"Summary";#N/A,#N/A,FALSE,"Edit";#N/A,#N/A,FALSE,"MedProf";#N/A,#N/A,FALSE,"Proj Mgt";#N/A,#N/A,FALSE,"Creat Svc";#N/A,#N/A,FALSE,"Meet Svc";#N/A,#N/A,FALSE,"Non-OCC";#N/A,#N/A,FALSE,"Client Svc";#N/A,#N/A,FALSE,"Bus Dev";#N/A,#N/A,FALSE,"Indirect"}</definedName>
    <definedName name="alex" localSheetId="5" hidden="1">{#N/A,#N/A,FALSE,"REPORT"}</definedName>
    <definedName name="alexan" localSheetId="5" hidden="1">{#N/A,#N/A,FALSE,"REPORT"}</definedName>
    <definedName name="allchanges1" localSheetId="5">#REF!</definedName>
    <definedName name="allchanges2" localSheetId="5">#REF!</definedName>
    <definedName name="alloc" localSheetId="5">#REF!</definedName>
    <definedName name="andy" localSheetId="5" hidden="1">{#N/A,#N/A,FALSE,"REPORT"}</definedName>
    <definedName name="Apr00" localSheetId="5" hidden="1">{"Statement of Income",#N/A,TRUE,"Mar99";"Balance Sheet",#N/A,TRUE,"Mar99"}</definedName>
    <definedName name="Apr00TB" localSheetId="5" hidden="1">{"Statement of Income",#N/A,TRUE,"Mar99";"Balance Sheet",#N/A,TRUE,"Mar99"}</definedName>
    <definedName name="AS" localSheetId="5"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AS2TickmarkLS" localSheetId="5" hidden="1">#REF!</definedName>
    <definedName name="asas" localSheetId="5" hidden="1">{#N/A,#N/A,FALSE,"Pharm";#N/A,#N/A,FALSE,"WWCM"}</definedName>
    <definedName name="asd" localSheetId="5" hidden="1">{#N/A,#N/A,FALSE,"Pharm";#N/A,#N/A,FALSE,"WWCM"}</definedName>
    <definedName name="asdfadsf" localSheetId="5" hidden="1">{"'Sheet1'!$A$1:$J$121"}</definedName>
    <definedName name="asdfg" localSheetId="5" hidden="1">{#N/A,#N/A,FALSE,"Pharm";#N/A,#N/A,FALSE,"WWCM"}</definedName>
    <definedName name="asdgahdfhth" localSheetId="5" hidden="1">{#N/A,#N/A,FALSE,"REPORT"}</definedName>
    <definedName name="asdgayery" localSheetId="5" hidden="1">{#N/A,#N/A,FALSE,"Pharm";#N/A,#N/A,FALSE,"WWCM"}</definedName>
    <definedName name="asdgfdytyet" localSheetId="5" hidden="1">{#N/A,#N/A,FALSE,"REPORT"}</definedName>
    <definedName name="asdgtryukuio" localSheetId="5" hidden="1">{#N/A,#N/A,FALSE,"REPORT"}</definedName>
    <definedName name="asdjgkl" localSheetId="5" hidden="1">{#N/A,#N/A,FALSE,"Pharm";#N/A,#N/A,FALSE,"WWCM"}</definedName>
    <definedName name="asfasdf" localSheetId="5" hidden="1">#REF!</definedName>
    <definedName name="asffghujyki" localSheetId="5" hidden="1">{#N/A,#N/A,FALSE,"Pharm";#N/A,#N/A,FALSE,"WWCM"}</definedName>
    <definedName name="ASSA" localSheetId="5" hidden="1">{#N/A,#N/A,FALSE,"1";#N/A,#N/A,FALSE,"2";#N/A,#N/A,FALSE,"16 - 17";#N/A,#N/A,FALSE,"18 - 19";#N/A,#N/A,FALSE,"26";#N/A,#N/A,FALSE,"27";#N/A,#N/A,FALSE,"28"}</definedName>
    <definedName name="ASSIGNED_STATES" localSheetId="5">#REF!</definedName>
    <definedName name="aust" localSheetId="5" hidden="1">{#N/A,#N/A,TRUE,"BUD VS ACT AUST 96";#N/A,#N/A,TRUE,"96 COMP P&amp;L-AUST";#N/A,#N/A,TRUE,"COMP BS-AUSTRALIA";#N/A,#N/A,TRUE,"B/S - AUSTR."}</definedName>
    <definedName name="awe" localSheetId="5" hidden="1">{#N/A,#N/A,FALSE,"COVER";#N/A,#N/A,FALSE,"Index";#N/A,#N/A,FALSE,"Non-Earning";#N/A,#N/A,FALSE,"Commercial";#N/A,#N/A,FALSE,"Detailed"}</definedName>
    <definedName name="AX" localSheetId="5" hidden="1">{#N/A,#N/A,FALSE,"Pharm";#N/A,#N/A,FALSE,"WWCM"}</definedName>
    <definedName name="ayman" localSheetId="5" hidden="1">{#N/A,#N/A,FALSE,"1";#N/A,#N/A,FALSE,"2";#N/A,#N/A,FALSE,"16 - 17";#N/A,#N/A,FALSE,"18 - 19";#N/A,#N/A,FALSE,"26";#N/A,#N/A,FALSE,"27";#N/A,#N/A,FALSE,"28"}</definedName>
    <definedName name="ayman1" localSheetId="5" hidden="1">{#N/A,#N/A,FALSE,"Pharm";#N/A,#N/A,FALSE,"WWCM"}</definedName>
    <definedName name="ayman2" localSheetId="5" hidden="1">{#N/A,#N/A,FALSE,"Pharm";#N/A,#N/A,FALSE,"WWCM"}</definedName>
    <definedName name="ayman7" localSheetId="5" hidden="1">{#N/A,#N/A,FALSE,"REPORT"}</definedName>
    <definedName name="ayman8" localSheetId="5" hidden="1">{#N/A,#N/A,FALSE,"REPORT"}</definedName>
    <definedName name="az" localSheetId="5" hidden="1">{#N/A,#N/A,FALSE,"Pharm";#N/A,#N/A,FALSE,"WWCM"}</definedName>
    <definedName name="azeazr" localSheetId="5" hidden="1">{#N/A,#N/A,FALSE,"Sales Graph";#N/A,#N/A,FALSE,"BUC Graph";#N/A,#N/A,FALSE,"P&amp;L - YTD"}</definedName>
    <definedName name="azerety" localSheetId="5" hidden="1">{#N/A,#N/A,FALSE,"Pharm";#N/A,#N/A,FALSE,"WWCM"}</definedName>
    <definedName name="b" localSheetId="5" hidden="1">{"barlup",#N/A,FALSE,"evabnk97";"gillespey",#N/A,FALSE,"evabnk97";"koon",#N/A,FALSE,"evabnk97";"schreur",#N/A,FALSE,"evabnk97";"stone",#N/A,FALSE,"evabnk97";"wichmann",#N/A,FALSE,"evabnk97";"wright",#N/A,FALSE,"evabnk97"}</definedName>
    <definedName name="bbb" localSheetId="5" hidden="1">{#N/A,#N/A,FALSE,"Pharm";#N/A,#N/A,FALSE,"WWCM"}</definedName>
    <definedName name="bbbb" localSheetId="5" hidden="1">{#N/A,#N/A,FALSE,"REPORT"}</definedName>
    <definedName name="bbbbb" localSheetId="5" hidden="1">{#N/A,#N/A,TRUE,"BUD VS ACT AUST 96";#N/A,#N/A,TRUE,"96 COMP P&amp;L-AUST";#N/A,#N/A,TRUE,"COMP BS-AUSTRALIA";#N/A,#N/A,TRUE,"B/S - AUSTR."}</definedName>
    <definedName name="BBBBBB" localSheetId="5" hidden="1">{#N/A,#N/A,FALSE,"REPORT"}</definedName>
    <definedName name="BBBBBBBBB" localSheetId="5" hidden="1">{#N/A,#N/A,FALSE,"REPORT"}</definedName>
    <definedName name="bbbbbbbbbbbbb" localSheetId="5" hidden="1">{#N/A,#N/A,FALSE,"Pharm";#N/A,#N/A,FALSE,"WWCM"}</definedName>
    <definedName name="BD" localSheetId="5" hidden="1">{"EBITDA",#N/A,TRUE,"P&amp;L Net of Disc Ops";"output net of disc ops",#N/A,TRUE,"Revenue";"input",#N/A,TRUE,"Revenue";"output",#N/A,TRUE,"DC";"Input",#N/A,TRUE,"DC";"MTN and MCN",#N/A,TRUE,"Margin";"output detail line items",#N/A,TRUE,"SGA";"personnel by year",#N/A,TRUE,"Payroll";#N/A,#N/A,TRUE,"CapEx"}</definedName>
    <definedName name="Beg_Bal" localSheetId="5">#REF!</definedName>
    <definedName name="Beginning_Balance" localSheetId="5">-FV(Interest_Rate/12,#REF!-1,-#REF!,'IV. EBITDA Adjustments'!Loan_Amount)</definedName>
    <definedName name="BL" localSheetId="5" hidden="1">#REF!</definedName>
    <definedName name="BLPH1" localSheetId="5" hidden="1">#REF!</definedName>
    <definedName name="BLPH15" localSheetId="5" hidden="1">#REF!</definedName>
    <definedName name="BLPH16" localSheetId="5" hidden="1">#REF!</definedName>
    <definedName name="BLPH176" localSheetId="5" hidden="1">#REF!</definedName>
    <definedName name="BLPH177" localSheetId="5" hidden="1">#REF!</definedName>
    <definedName name="BLPH178" localSheetId="5" hidden="1">#REF!</definedName>
    <definedName name="BLPH179" localSheetId="5" hidden="1">#REF!</definedName>
    <definedName name="BLPH180" localSheetId="5" hidden="1">#REF!</definedName>
    <definedName name="BLPH181" localSheetId="5" hidden="1">#REF!</definedName>
    <definedName name="BLPH182" localSheetId="5" hidden="1">#REF!</definedName>
    <definedName name="BLPH183" localSheetId="5" hidden="1">#REF!</definedName>
    <definedName name="BLPH184" localSheetId="5" hidden="1">#REF!</definedName>
    <definedName name="BLPH195" localSheetId="5" hidden="1">#REF!</definedName>
    <definedName name="BLPH196" localSheetId="5" hidden="1">#REF!</definedName>
    <definedName name="BLPH197" localSheetId="5" hidden="1">#REF!</definedName>
    <definedName name="BLPH198" localSheetId="5" hidden="1">#REF!</definedName>
    <definedName name="BLPH199" localSheetId="5" hidden="1">#REF!</definedName>
    <definedName name="BLPH2" localSheetId="5" hidden="1">#REF!</definedName>
    <definedName name="BLPH200" localSheetId="5" hidden="1">#REF!</definedName>
    <definedName name="BLPH201" localSheetId="5" hidden="1">#REF!</definedName>
    <definedName name="BLPH202" localSheetId="5" hidden="1">#REF!</definedName>
    <definedName name="BLPH203" localSheetId="5" hidden="1">#REF!</definedName>
    <definedName name="BLPH204" localSheetId="5" hidden="1">#REF!</definedName>
    <definedName name="BLPH205" localSheetId="5" hidden="1">#REF!</definedName>
    <definedName name="BLPH206" localSheetId="5" hidden="1">#REF!</definedName>
    <definedName name="BLPH207" localSheetId="5" hidden="1">#REF!</definedName>
    <definedName name="BLPH208" localSheetId="5" hidden="1">#REF!</definedName>
    <definedName name="BLPH209" localSheetId="5" hidden="1">#REF!</definedName>
    <definedName name="BLPH210" localSheetId="5" hidden="1">#REF!</definedName>
    <definedName name="BLPH211" localSheetId="5" hidden="1">#REF!</definedName>
    <definedName name="BLPH212" localSheetId="5" hidden="1">#REF!</definedName>
    <definedName name="BLPH213" localSheetId="5" hidden="1">#REF!</definedName>
    <definedName name="BLPH214" localSheetId="5" hidden="1">#REF!</definedName>
    <definedName name="BLPH215" localSheetId="5" hidden="1">#REF!</definedName>
    <definedName name="BLPH216" localSheetId="5" hidden="1">#REF!</definedName>
    <definedName name="BLPH217" localSheetId="5" hidden="1">#REF!</definedName>
    <definedName name="BLPH218" localSheetId="5" hidden="1">#REF!</definedName>
    <definedName name="BLPH219" localSheetId="5" hidden="1">#REF!</definedName>
    <definedName name="BLPH220" localSheetId="5" hidden="1">#REF!</definedName>
    <definedName name="BLPH221" localSheetId="5" hidden="1">#REF!</definedName>
    <definedName name="BLPH222" localSheetId="5" hidden="1">#REF!</definedName>
    <definedName name="BLPH223" localSheetId="5" hidden="1">#REF!</definedName>
    <definedName name="BLPH224" localSheetId="5" hidden="1">#REF!</definedName>
    <definedName name="BLPH225" localSheetId="5" hidden="1">#REF!</definedName>
    <definedName name="BLPH226" localSheetId="5" hidden="1">#REF!</definedName>
    <definedName name="BLPH227" localSheetId="5" hidden="1">#REF!</definedName>
    <definedName name="BLPH228" localSheetId="5" hidden="1">#REF!</definedName>
    <definedName name="BLPH229" localSheetId="5" hidden="1">#REF!</definedName>
    <definedName name="BLPH230" localSheetId="5" hidden="1">#REF!</definedName>
    <definedName name="BLPH231" localSheetId="5" hidden="1">#REF!</definedName>
    <definedName name="BLPH232" localSheetId="5" hidden="1">#REF!</definedName>
    <definedName name="BLPH233" localSheetId="5" hidden="1">#REF!</definedName>
    <definedName name="BLPH234" localSheetId="5" hidden="1">#REF!</definedName>
    <definedName name="BLPH235" localSheetId="5" hidden="1">#REF!</definedName>
    <definedName name="BLPH236" localSheetId="5" hidden="1">#REF!</definedName>
    <definedName name="BLPH237" localSheetId="5" hidden="1">#REF!</definedName>
    <definedName name="BLPH238" localSheetId="5" hidden="1">#REF!</definedName>
    <definedName name="BLPH239" localSheetId="5" hidden="1">#REF!</definedName>
    <definedName name="BLPH240" localSheetId="5" hidden="1">#REF!</definedName>
    <definedName name="BLPH241" localSheetId="5" hidden="1">#REF!</definedName>
    <definedName name="BLPH242" localSheetId="5" hidden="1">#REF!</definedName>
    <definedName name="BLPH243" localSheetId="5" hidden="1">#REF!</definedName>
    <definedName name="BLPH244" localSheetId="5" hidden="1">#REF!</definedName>
    <definedName name="BLPH245" localSheetId="5" hidden="1">#REF!</definedName>
    <definedName name="BLPH246" localSheetId="5" hidden="1">#REF!</definedName>
    <definedName name="BLPH247" localSheetId="5" hidden="1">#REF!</definedName>
    <definedName name="BLPH248" localSheetId="5" hidden="1">#REF!</definedName>
    <definedName name="BLPH249" localSheetId="5" hidden="1">#REF!</definedName>
    <definedName name="BLPH250" localSheetId="5" hidden="1">#REF!</definedName>
    <definedName name="BLPH251" localSheetId="5" hidden="1">#REF!</definedName>
    <definedName name="BLPH252" localSheetId="5" hidden="1">#REF!</definedName>
    <definedName name="BLPH253" localSheetId="5" hidden="1">#REF!</definedName>
    <definedName name="BLPH254" localSheetId="5" hidden="1">#REF!</definedName>
    <definedName name="BLPH255" localSheetId="5" hidden="1">#REF!</definedName>
    <definedName name="BLPH256" localSheetId="5" hidden="1">#REF!</definedName>
    <definedName name="BLPH257" localSheetId="5" hidden="1">#REF!</definedName>
    <definedName name="BLPH258" localSheetId="5" hidden="1">#REF!</definedName>
    <definedName name="BLPH259" localSheetId="5" hidden="1">#REF!</definedName>
    <definedName name="BLPH260" localSheetId="5" hidden="1">#REF!</definedName>
    <definedName name="BLPH261" localSheetId="5" hidden="1">#REF!</definedName>
    <definedName name="BLPH262" localSheetId="5" hidden="1">#REF!</definedName>
    <definedName name="BLPH263" localSheetId="5" hidden="1">#REF!</definedName>
    <definedName name="BLPH264" localSheetId="5" hidden="1">#REF!</definedName>
    <definedName name="BLPH265" localSheetId="5" hidden="1">#REF!</definedName>
    <definedName name="BLPH266" localSheetId="5" hidden="1">#REF!</definedName>
    <definedName name="BLPH267" localSheetId="5" hidden="1">#REF!</definedName>
    <definedName name="BLPH268" localSheetId="5" hidden="1">#REF!</definedName>
    <definedName name="BLPH269" localSheetId="5" hidden="1">#REF!</definedName>
    <definedName name="BLPH270" localSheetId="5" hidden="1">#REF!</definedName>
    <definedName name="BLPH271" localSheetId="5" hidden="1">#REF!</definedName>
    <definedName name="BLPH272" localSheetId="5" hidden="1">#REF!</definedName>
    <definedName name="BLPH273" localSheetId="5" hidden="1">#REF!</definedName>
    <definedName name="BLPH274" localSheetId="5" hidden="1">#REF!</definedName>
    <definedName name="BLPH275" localSheetId="5" hidden="1">#REF!</definedName>
    <definedName name="BLPH276" localSheetId="5" hidden="1">#REF!</definedName>
    <definedName name="BLPH277" localSheetId="5" hidden="1">#REF!</definedName>
    <definedName name="BLPH278" localSheetId="5" hidden="1">#REF!</definedName>
    <definedName name="BLPH279" localSheetId="5" hidden="1">#REF!</definedName>
    <definedName name="BLPH280" localSheetId="5" hidden="1">#REF!</definedName>
    <definedName name="BLPH281" localSheetId="5" hidden="1">#REF!</definedName>
    <definedName name="BLPH282" localSheetId="5" hidden="1">#REF!</definedName>
    <definedName name="BLPH283" localSheetId="5" hidden="1">#REF!</definedName>
    <definedName name="BLPH284" localSheetId="5" hidden="1">#REF!</definedName>
    <definedName name="BLPH285" localSheetId="5" hidden="1">#REF!</definedName>
    <definedName name="BLPH286" localSheetId="5" hidden="1">#REF!</definedName>
    <definedName name="BLPH287" localSheetId="5" hidden="1">#REF!</definedName>
    <definedName name="BLPH288" localSheetId="5" hidden="1">#REF!</definedName>
    <definedName name="BLPH289" localSheetId="5" hidden="1">#REF!</definedName>
    <definedName name="BLPH290" localSheetId="5" hidden="1">#REF!</definedName>
    <definedName name="BLPH291" localSheetId="5" hidden="1">#REF!</definedName>
    <definedName name="BLPH292" localSheetId="5" hidden="1">#REF!</definedName>
    <definedName name="BLPH293" localSheetId="5" hidden="1">#REF!</definedName>
    <definedName name="BLPH294" localSheetId="5" hidden="1">#REF!</definedName>
    <definedName name="BLPH295" localSheetId="5" hidden="1">#REF!</definedName>
    <definedName name="BLPH296" localSheetId="5" hidden="1">#REF!</definedName>
    <definedName name="BLPH297" localSheetId="5" hidden="1">#REF!</definedName>
    <definedName name="BLPH298" localSheetId="5" hidden="1">#REF!</definedName>
    <definedName name="BLPH299" localSheetId="5" hidden="1">#REF!</definedName>
    <definedName name="BLPH3" localSheetId="5" hidden="1">#REF!</definedName>
    <definedName name="BLPH300" localSheetId="5" hidden="1">#REF!</definedName>
    <definedName name="BLPH301" localSheetId="5" hidden="1">#REF!</definedName>
    <definedName name="BLPH302" localSheetId="5" hidden="1">#REF!</definedName>
    <definedName name="BLPH303" localSheetId="5" hidden="1">#REF!</definedName>
    <definedName name="BLPH304" localSheetId="5" hidden="1">#REF!</definedName>
    <definedName name="BLPH305" localSheetId="5" hidden="1">#REF!</definedName>
    <definedName name="BLPH306" localSheetId="5" hidden="1">#REF!</definedName>
    <definedName name="BLPH307" localSheetId="5" hidden="1">#REF!</definedName>
    <definedName name="BLPH308" localSheetId="5" hidden="1">#REF!</definedName>
    <definedName name="BLPH309" localSheetId="5" hidden="1">#REF!</definedName>
    <definedName name="BLPH310" localSheetId="5" hidden="1">#REF!</definedName>
    <definedName name="BLPH311" localSheetId="5" hidden="1">#REF!</definedName>
    <definedName name="BLPH312" localSheetId="5" hidden="1">#REF!</definedName>
    <definedName name="BLPH313" localSheetId="5" hidden="1">#REF!</definedName>
    <definedName name="BLPH314" localSheetId="5" hidden="1">#REF!</definedName>
    <definedName name="BLPH315" localSheetId="5" hidden="1">#REF!</definedName>
    <definedName name="BLPH316" localSheetId="5" hidden="1">#REF!</definedName>
    <definedName name="BLPH317" localSheetId="5" hidden="1">#REF!</definedName>
    <definedName name="BLPH318" localSheetId="5" hidden="1">#REF!</definedName>
    <definedName name="BLPH319" localSheetId="5" hidden="1">#REF!</definedName>
    <definedName name="BLPH320" localSheetId="5" hidden="1">#REF!</definedName>
    <definedName name="BLPH321" localSheetId="5" hidden="1">#REF!</definedName>
    <definedName name="BLPH322" localSheetId="5" hidden="1">#REF!</definedName>
    <definedName name="BLPH323" localSheetId="5" hidden="1">#REF!</definedName>
    <definedName name="BLPH324" localSheetId="5" hidden="1">#REF!</definedName>
    <definedName name="BLPH325" localSheetId="5" hidden="1">#REF!</definedName>
    <definedName name="BLPH326" localSheetId="5" hidden="1">#REF!</definedName>
    <definedName name="BLPH327" localSheetId="5" hidden="1">#REF!</definedName>
    <definedName name="BLPH328" localSheetId="5" hidden="1">#REF!</definedName>
    <definedName name="BLPH329" localSheetId="5" hidden="1">#REF!</definedName>
    <definedName name="BLPH330" localSheetId="5" hidden="1">#REF!</definedName>
    <definedName name="BLPH331" localSheetId="5" hidden="1">#REF!</definedName>
    <definedName name="BLPH332" localSheetId="5" hidden="1">#REF!</definedName>
    <definedName name="BLPH333" localSheetId="5" hidden="1">#REF!</definedName>
    <definedName name="BLPH334" localSheetId="5" hidden="1">#REF!</definedName>
    <definedName name="BLPH335" localSheetId="5" hidden="1">#REF!</definedName>
    <definedName name="BLPH336" localSheetId="5" hidden="1">#REF!</definedName>
    <definedName name="BLPH337" localSheetId="5" hidden="1">#REF!</definedName>
    <definedName name="BLPH338" localSheetId="5" hidden="1">#REF!</definedName>
    <definedName name="BLPH339" localSheetId="5" hidden="1">#REF!</definedName>
    <definedName name="BLPH340" localSheetId="5" hidden="1">#REF!</definedName>
    <definedName name="BLPH341" localSheetId="5" hidden="1">#REF!</definedName>
    <definedName name="BLPH342" localSheetId="5" hidden="1">#REF!</definedName>
    <definedName name="BLPH343" localSheetId="5" hidden="1">#REF!</definedName>
    <definedName name="BLPH344" localSheetId="5" hidden="1">#REF!</definedName>
    <definedName name="BLPH345" localSheetId="5" hidden="1">#REF!</definedName>
    <definedName name="BLPH346" localSheetId="5" hidden="1">#REF!</definedName>
    <definedName name="BLPH347" localSheetId="5" hidden="1">#REF!</definedName>
    <definedName name="BLPH348" localSheetId="5" hidden="1">#REF!</definedName>
    <definedName name="BLPH349" localSheetId="5" hidden="1">#REF!</definedName>
    <definedName name="BLPH35" localSheetId="5" hidden="1">#REF!</definedName>
    <definedName name="BLPH350" localSheetId="5" hidden="1">#REF!</definedName>
    <definedName name="BLPH351" localSheetId="5" hidden="1">#REF!</definedName>
    <definedName name="BLPH352" localSheetId="5" hidden="1">#REF!</definedName>
    <definedName name="BLPH353" localSheetId="5" hidden="1">#REF!</definedName>
    <definedName name="BLPH354" localSheetId="5" hidden="1">#REF!</definedName>
    <definedName name="BLPH355" localSheetId="5" hidden="1">#REF!</definedName>
    <definedName name="BLPH356" localSheetId="5" hidden="1">#REF!</definedName>
    <definedName name="BLPH357" localSheetId="5" hidden="1">#REF!</definedName>
    <definedName name="BLPH358" localSheetId="5" hidden="1">#REF!</definedName>
    <definedName name="BLPH359" localSheetId="5" hidden="1">#REF!</definedName>
    <definedName name="BLPH36" localSheetId="5" hidden="1">#REF!</definedName>
    <definedName name="BLPH360" localSheetId="5" hidden="1">#REF!</definedName>
    <definedName name="BLPH361" localSheetId="5" hidden="1">#REF!</definedName>
    <definedName name="BLPH362" localSheetId="5" hidden="1">#REF!</definedName>
    <definedName name="BLPH363" localSheetId="5" hidden="1">#REF!</definedName>
    <definedName name="BLPH364" localSheetId="5" hidden="1">#REF!</definedName>
    <definedName name="BLPH365" localSheetId="5" hidden="1">#REF!</definedName>
    <definedName name="BLPH366" localSheetId="5" hidden="1">#REF!</definedName>
    <definedName name="BLPH367" localSheetId="5" hidden="1">#REF!</definedName>
    <definedName name="BLPH368" localSheetId="5" hidden="1">#REF!</definedName>
    <definedName name="BLPH369" localSheetId="5" hidden="1">#REF!</definedName>
    <definedName name="BLPH370" localSheetId="5" hidden="1">#REF!</definedName>
    <definedName name="BLPH371" localSheetId="5" hidden="1">#REF!</definedName>
    <definedName name="BLPH372" localSheetId="5" hidden="1">#REF!</definedName>
    <definedName name="BLPH373" localSheetId="5" hidden="1">#REF!</definedName>
    <definedName name="BLPH374" localSheetId="5" hidden="1">#REF!</definedName>
    <definedName name="BLPH375" localSheetId="5" hidden="1">#REF!</definedName>
    <definedName name="BLPH376" localSheetId="5" hidden="1">#REF!</definedName>
    <definedName name="BLPH377" localSheetId="5" hidden="1">#REF!</definedName>
    <definedName name="BLPH378" localSheetId="5" hidden="1">#REF!</definedName>
    <definedName name="BLPH379" localSheetId="5" hidden="1">#REF!</definedName>
    <definedName name="BLPH380" localSheetId="5" hidden="1">#REF!</definedName>
    <definedName name="BLPH381" localSheetId="5" hidden="1">#REF!</definedName>
    <definedName name="BLPH382" localSheetId="5" hidden="1">#REF!</definedName>
    <definedName name="BLPH383" localSheetId="5" hidden="1">#REF!</definedName>
    <definedName name="BLPH384" localSheetId="5" hidden="1">#REF!</definedName>
    <definedName name="BLPH385" localSheetId="5" hidden="1">#REF!</definedName>
    <definedName name="BLPH386" localSheetId="5" hidden="1">#REF!</definedName>
    <definedName name="BLPH387" localSheetId="5" hidden="1">#REF!</definedName>
    <definedName name="BLPH388" localSheetId="5" hidden="1">#REF!</definedName>
    <definedName name="BLPH389" localSheetId="5" hidden="1">#REF!</definedName>
    <definedName name="BLPH390" localSheetId="5" hidden="1">#REF!</definedName>
    <definedName name="BLPH391" localSheetId="5" hidden="1">#REF!</definedName>
    <definedName name="BLPH392" localSheetId="5" hidden="1">#REF!</definedName>
    <definedName name="BLPH393" localSheetId="5" hidden="1">#REF!</definedName>
    <definedName name="BLPH394" localSheetId="5" hidden="1">#REF!</definedName>
    <definedName name="BLPH395" localSheetId="5" hidden="1">#REF!</definedName>
    <definedName name="BLPH396" localSheetId="5" hidden="1">#REF!</definedName>
    <definedName name="BLPH397" localSheetId="5" hidden="1">#REF!</definedName>
    <definedName name="BLPH398" localSheetId="5" hidden="1">#REF!</definedName>
    <definedName name="BLPH399" localSheetId="5" hidden="1">#REF!</definedName>
    <definedName name="BLPH4" localSheetId="5" hidden="1">#REF!</definedName>
    <definedName name="BLPH400" localSheetId="5" hidden="1">#REF!</definedName>
    <definedName name="BLPH401" localSheetId="5" hidden="1">#REF!</definedName>
    <definedName name="BLPH402" localSheetId="5" hidden="1">#REF!</definedName>
    <definedName name="BLPH403" localSheetId="5" hidden="1">#REF!</definedName>
    <definedName name="BLPH404" localSheetId="5" hidden="1">#REF!</definedName>
    <definedName name="BLPH405" localSheetId="5" hidden="1">#REF!</definedName>
    <definedName name="BLPH406" localSheetId="5" hidden="1">#REF!</definedName>
    <definedName name="BLPH407" localSheetId="5" hidden="1">#REF!</definedName>
    <definedName name="BLPH408" localSheetId="5" hidden="1">#REF!</definedName>
    <definedName name="BLPH409" localSheetId="5" hidden="1">#REF!</definedName>
    <definedName name="BLPH410" localSheetId="5" hidden="1">#REF!</definedName>
    <definedName name="BLPH411" localSheetId="5" hidden="1">#REF!</definedName>
    <definedName name="BLPH412" localSheetId="5" hidden="1">#REF!</definedName>
    <definedName name="BLPH413" localSheetId="5" hidden="1">#REF!</definedName>
    <definedName name="BLPH414" localSheetId="5" hidden="1">#REF!</definedName>
    <definedName name="BLPH415" localSheetId="5" hidden="1">#REF!</definedName>
    <definedName name="BLPH416" localSheetId="5" hidden="1">#REF!</definedName>
    <definedName name="BLPH417" localSheetId="5" hidden="1">#REF!</definedName>
    <definedName name="BLPH418" localSheetId="5" hidden="1">#REF!</definedName>
    <definedName name="BLPH419" localSheetId="5" hidden="1">#REF!</definedName>
    <definedName name="BLPH420" localSheetId="5" hidden="1">#REF!</definedName>
    <definedName name="BLPH421" localSheetId="5" hidden="1">#REF!</definedName>
    <definedName name="BLPH422" localSheetId="5" hidden="1">#REF!</definedName>
    <definedName name="BLPH423" localSheetId="5" hidden="1">#REF!</definedName>
    <definedName name="BLPH424" localSheetId="5" hidden="1">#REF!</definedName>
    <definedName name="BLPH425" localSheetId="5" hidden="1">#REF!</definedName>
    <definedName name="BLPH426" localSheetId="5" hidden="1">#REF!</definedName>
    <definedName name="BLPH427" localSheetId="5" hidden="1">#REF!</definedName>
    <definedName name="BLPH428" localSheetId="5" hidden="1">#REF!</definedName>
    <definedName name="BLPH429" localSheetId="5" hidden="1">#REF!</definedName>
    <definedName name="BLPH430" localSheetId="5" hidden="1">#REF!</definedName>
    <definedName name="BLPH431" localSheetId="5" hidden="1">#REF!</definedName>
    <definedName name="BLPH432" localSheetId="5" hidden="1">#REF!</definedName>
    <definedName name="BLPH433" localSheetId="5" hidden="1">#REF!</definedName>
    <definedName name="BLPH434" localSheetId="5" hidden="1">#REF!</definedName>
    <definedName name="BLPH435" localSheetId="5" hidden="1">#REF!</definedName>
    <definedName name="BLPH436" localSheetId="5" hidden="1">#REF!</definedName>
    <definedName name="BLPH437" localSheetId="5" hidden="1">#REF!</definedName>
    <definedName name="BLPH438" localSheetId="5" hidden="1">#REF!</definedName>
    <definedName name="BLPH439" localSheetId="5" hidden="1">#REF!</definedName>
    <definedName name="BLPH440" localSheetId="5" hidden="1">#REF!</definedName>
    <definedName name="BLPH441" localSheetId="5" hidden="1">#REF!</definedName>
    <definedName name="BLPH442" localSheetId="5" hidden="1">#REF!</definedName>
    <definedName name="BLPH443" localSheetId="5" hidden="1">#REF!</definedName>
    <definedName name="BLPH444" localSheetId="5" hidden="1">#REF!</definedName>
    <definedName name="BLPH445" localSheetId="5" hidden="1">#REF!</definedName>
    <definedName name="BLPH446" localSheetId="5" hidden="1">#REF!</definedName>
    <definedName name="BLPH447" localSheetId="5" hidden="1">#REF!</definedName>
    <definedName name="BLPH448" localSheetId="5" hidden="1">#REF!</definedName>
    <definedName name="BLPH459" localSheetId="5" hidden="1">#REF!</definedName>
    <definedName name="BLPH460" localSheetId="5" hidden="1">#REF!</definedName>
    <definedName name="BLPH461" localSheetId="5" hidden="1">#REF!</definedName>
    <definedName name="BLPH462" localSheetId="5" hidden="1">#REF!</definedName>
    <definedName name="BLPH463" localSheetId="5" hidden="1">#REF!</definedName>
    <definedName name="BLPH464" localSheetId="5" hidden="1">#REF!</definedName>
    <definedName name="BLPH465" localSheetId="5" hidden="1">#REF!</definedName>
    <definedName name="BLPH466" localSheetId="5" hidden="1">#REF!</definedName>
    <definedName name="BLPH467" localSheetId="5" hidden="1">#REF!</definedName>
    <definedName name="BLPH468" localSheetId="5" hidden="1">#REF!</definedName>
    <definedName name="BLPH469" localSheetId="5" hidden="1">#REF!</definedName>
    <definedName name="BLPH470" localSheetId="5" hidden="1">#REF!</definedName>
    <definedName name="BLPH471" localSheetId="5" hidden="1">#REF!</definedName>
    <definedName name="BLPH472" localSheetId="5" hidden="1">#REF!</definedName>
    <definedName name="BLPH473" localSheetId="5" hidden="1">#REF!</definedName>
    <definedName name="BLPH474" localSheetId="5" hidden="1">#REF!</definedName>
    <definedName name="BLPH475" localSheetId="5" hidden="1">#REF!</definedName>
    <definedName name="BLPH476" localSheetId="5" hidden="1">#REF!</definedName>
    <definedName name="BLPH477" localSheetId="5" hidden="1">#REF!</definedName>
    <definedName name="BLPH478" localSheetId="5" hidden="1">#REF!</definedName>
    <definedName name="BLPH479" localSheetId="5" hidden="1">#REF!</definedName>
    <definedName name="BLPH480" localSheetId="5" hidden="1">#REF!</definedName>
    <definedName name="BLPH481" localSheetId="5" hidden="1">#REF!</definedName>
    <definedName name="BLPH482" localSheetId="5" hidden="1">#REF!</definedName>
    <definedName name="BLPH483" localSheetId="5" hidden="1">#REF!</definedName>
    <definedName name="BLPH484" localSheetId="5" hidden="1">#REF!</definedName>
    <definedName name="BLPH485" localSheetId="5" hidden="1">#REF!</definedName>
    <definedName name="BLPH486" localSheetId="5" hidden="1">#REF!</definedName>
    <definedName name="BLPH487" localSheetId="5" hidden="1">#REF!</definedName>
    <definedName name="BLPH488" localSheetId="5" hidden="1">#REF!</definedName>
    <definedName name="BLPH489" localSheetId="5" hidden="1">#REF!</definedName>
    <definedName name="BLPH490" localSheetId="5" hidden="1">#REF!</definedName>
    <definedName name="BLPH491" localSheetId="5" hidden="1">#REF!</definedName>
    <definedName name="BLPH492" localSheetId="5" hidden="1">#REF!</definedName>
    <definedName name="BLPH493" localSheetId="5" hidden="1">#REF!</definedName>
    <definedName name="BLPH494" localSheetId="5" hidden="1">#REF!</definedName>
    <definedName name="BLPH495" localSheetId="5" hidden="1">#REF!</definedName>
    <definedName name="BLPH496" localSheetId="5" hidden="1">#REF!</definedName>
    <definedName name="BLPH497" localSheetId="5" hidden="1">#REF!</definedName>
    <definedName name="BLPH498" localSheetId="5" hidden="1">#REF!</definedName>
    <definedName name="BLPH499" localSheetId="5" hidden="1">#REF!</definedName>
    <definedName name="BLPH50" localSheetId="5" hidden="1">#REF!</definedName>
    <definedName name="BLPH51" localSheetId="5" hidden="1">#REF!</definedName>
    <definedName name="BLPH6" localSheetId="5" hidden="1">#REF!</definedName>
    <definedName name="BM" localSheetId="5" hidden="1">{"EBITDA",#N/A,TRUE,"P&amp;L Net of Disc Ops";"output net of disc ops",#N/A,TRUE,"Revenue";"input",#N/A,TRUE,"Revenue";"output",#N/A,TRUE,"DC";"Input",#N/A,TRUE,"DC";"MTN and MCN",#N/A,TRUE,"Margin";"output detail line items",#N/A,TRUE,"SGA";"personnel by year",#N/A,TRUE,"Payroll";#N/A,#N/A,TRUE,"CapEx"}</definedName>
    <definedName name="BNE_MESSAGES_HIDDEN" localSheetId="5" hidden="1">#REF!</definedName>
    <definedName name="bnm" localSheetId="5" hidden="1">{#N/A,#N/A,FALSE,"REPORT"}</definedName>
    <definedName name="Bracket_0" localSheetId="5">#REF!</definedName>
    <definedName name="Bracket_1" localSheetId="5">#REF!</definedName>
    <definedName name="Bracket_2" localSheetId="5">#REF!</definedName>
    <definedName name="Bracket_3" localSheetId="5">#REF!</definedName>
    <definedName name="Bracket_4" localSheetId="5">#REF!</definedName>
    <definedName name="Bracket_5" localSheetId="5">#REF!</definedName>
    <definedName name="Bracket_6" localSheetId="5">#REF!</definedName>
    <definedName name="Bracket_7" localSheetId="5">#REF!</definedName>
    <definedName name="Bracket_8" localSheetId="5">#REF!</definedName>
    <definedName name="BS" localSheetId="5">#REF!</definedName>
    <definedName name="BSDate" localSheetId="5">#REF!</definedName>
    <definedName name="BSSSS" localSheetId="5" hidden="1">#REF!</definedName>
    <definedName name="c.LTMYear" localSheetId="5" hidden="1">#REF!</definedName>
    <definedName name="cancel" localSheetId="5" hidden="1">{"PARTNERS CAPITAL STMT",#N/A,FALSE,"Partners Capital"}</definedName>
    <definedName name="cancel2" localSheetId="5" hidden="1">{"PNLProjDL",#N/A,FALSE,"PROJCO";"PNLParDL",#N/A,FALSE,"Parent"}</definedName>
    <definedName name="cancel3" localSheetId="5" hidden="1">{"Summary",#N/A,FALSE,"MICMULT";"Income Statement",#N/A,FALSE,"MICMULT";"Cash Flows",#N/A,FALSE,"MICMULT"}</definedName>
    <definedName name="CapCase" localSheetId="5">#REF!</definedName>
    <definedName name="CapContCurr" localSheetId="5">#REF!</definedName>
    <definedName name="CapContPrior" localSheetId="5">#REF!</definedName>
    <definedName name="cash" localSheetId="5">#REF!</definedName>
    <definedName name="CASH_PRICE" localSheetId="5">#REF!</definedName>
    <definedName name="cash2" localSheetId="5">#REF!</definedName>
    <definedName name="CashBeg" localSheetId="5">#REF!</definedName>
    <definedName name="CashEnd" localSheetId="5">#REF!</definedName>
    <definedName name="cc" localSheetId="5" hidden="1">{"bs",#N/A,FALSE,"SCF"}</definedName>
    <definedName name="cdsds" localSheetId="5" hidden="1">{#N/A,#N/A,TRUE,"BUD VS ACT AUST 96";#N/A,#N/A,TRUE,"96 COMP P&amp;L-AUST";#N/A,#N/A,TRUE,"COMP BS-AUSTRALIA";#N/A,#N/A,TRUE,"B/S - AUSTR."}</definedName>
    <definedName name="ChangeRange" localSheetId="5" hidden="1">#REF!</definedName>
    <definedName name="Chart" localSheetId="5" hidden="1">{#N/A,#N/A,FALSE,"Pharm";#N/A,#N/A,FALSE,"WWCM"}</definedName>
    <definedName name="chosie" localSheetId="5" hidden="1">{#N/A,#N/A,FALSE,"Pharm";#N/A,#N/A,FALSE,"WWCM"}</definedName>
    <definedName name="CIQANR_13a80e60b0854509a2f63c71534b92b8" localSheetId="5" hidden="1">#REF!</definedName>
    <definedName name="CIQANR_147f2cd0dc8f4e11822d613cc9a62d00" localSheetId="5" hidden="1">#REF!</definedName>
    <definedName name="CIQANR_1c60ca33d12d4925a388bfa41be66b9c" localSheetId="5" hidden="1">#REF!</definedName>
    <definedName name="CIQANR_22d08fcfe5564f18986fa4d5614cac0a" localSheetId="5" hidden="1">#REF!</definedName>
    <definedName name="CIQANR_338ebf63df1c435ba12b8c7b8d18a1b5" localSheetId="5" hidden="1">#REF!</definedName>
    <definedName name="CIQANR_473135513d7742f9ab0f7fb69629567a" localSheetId="5" hidden="1">#REF!</definedName>
    <definedName name="CIQANR_4c527b687fe0405bb7fb238f3bfaa8af" localSheetId="5" hidden="1">#REF!</definedName>
    <definedName name="CIQANR_560d9caa769d455691f09c4af1ca4138" localSheetId="5" hidden="1">#REF!</definedName>
    <definedName name="CIQANR_618ba232ad644d87bd6555e2fb452f21" localSheetId="5" hidden="1">#REF!</definedName>
    <definedName name="CIQANR_65d0a3c0ca3043c593f2711ee14dbc3b" localSheetId="5" hidden="1">#REF!</definedName>
    <definedName name="CIQANR_6d1cc198b7524e688864ad50a703f452" localSheetId="5" hidden="1">#REF!</definedName>
    <definedName name="CIQANR_773b17cdd30e473ca6a9d0116dbcc711" localSheetId="5" hidden="1">#REF!</definedName>
    <definedName name="CIQANR_78ce45be2dae409a8b54262ae20189d7" localSheetId="5" hidden="1">#REF!</definedName>
    <definedName name="CIQANR_7c105d8105b241bebf7b6e6255d65ad0" localSheetId="5" hidden="1">#REF!</definedName>
    <definedName name="CIQANR_9f557b324ae645169d5f7c95a30e50c4" localSheetId="5" hidden="1">#REF!</definedName>
    <definedName name="CIQANR_a93c2231796345198453723e8bbb4994" localSheetId="5" hidden="1">#REF!</definedName>
    <definedName name="CIQANR_aaee5cfe66574987bc82da4973d5e5e8" localSheetId="5" hidden="1">#REF!</definedName>
    <definedName name="CIQANR_b1bfcf9354174a968e8ba31242bfffac" localSheetId="5" hidden="1">#REF!</definedName>
    <definedName name="CIQANR_b594479410e844dcb30cc0cb3e897b5a" localSheetId="5" hidden="1">#REF!</definedName>
    <definedName name="CIQANR_bd8f0346007e4c6c8649fae391e68670" localSheetId="5" hidden="1">#REF!</definedName>
    <definedName name="CIQANR_c6c257723fb444f7b8e9db41977b7b39" localSheetId="5" hidden="1">#REF!</definedName>
    <definedName name="CIQANR_d37d241771e84f2d93c62ec1dbddf0de" localSheetId="5" hidden="1">#REF!</definedName>
    <definedName name="CIQANR_d68f1752971d4c1db9b3fae98aa43092" localSheetId="5" hidden="1">#REF!</definedName>
    <definedName name="CIQANR_d6c0bcfaaf114f298c2ced7cb4fa9c3c" localSheetId="5" hidden="1">#REF!</definedName>
    <definedName name="CIQANR_e31a5f60f417438d92f80163c5178377" localSheetId="5" hidden="1">#REF!</definedName>
    <definedName name="CIQANR_eb8c190743c645a7b4cce9a76854d615" localSheetId="5" hidden="1">#REF!</definedName>
    <definedName name="CIQANR_ed7d4ad3bcb843ebab7a7f21da32b2fa" localSheetId="5" hidden="1">#REF!</definedName>
    <definedName name="CIQANR_fd3bcf4e9cbd4acdbf162e69e99f5d88" localSheetId="5" hidden="1">#REF!</definedName>
    <definedName name="CIQWBGuid" localSheetId="5" hidden="1">"1869515b-2ebb-45a5-a673-ca1112c5987b"</definedName>
    <definedName name="Circ" localSheetId="5">#REF!</definedName>
    <definedName name="CIRCABBA" localSheetId="5">#REF!</definedName>
    <definedName name="CircAcq4" localSheetId="5">#REF!</definedName>
    <definedName name="CircAcq5" localSheetId="5">#REF!</definedName>
    <definedName name="CircFBE" localSheetId="5">#REF!</definedName>
    <definedName name="CircHP" localSheetId="5">#REF!</definedName>
    <definedName name="CircMaster" localSheetId="5">#REF!</definedName>
    <definedName name="CircPrecision" localSheetId="5">#REF!</definedName>
    <definedName name="cmmt" localSheetId="5">#REF!</definedName>
    <definedName name="cmmts" localSheetId="5">#REF!</definedName>
    <definedName name="CO2out" localSheetId="5">#REF!</definedName>
    <definedName name="CoalHV" localSheetId="5">#REF!</definedName>
    <definedName name="Coalout" localSheetId="5">#REF!</definedName>
    <definedName name="code" localSheetId="5">#REF!</definedName>
    <definedName name="COGstandard" localSheetId="5" hidden="1">{#N/A,#N/A,FALSE,"Pharm";#N/A,#N/A,FALSE,"WWCM"}</definedName>
    <definedName name="Company" localSheetId="5">#REF!</definedName>
    <definedName name="CompanyFilter" localSheetId="5">#REF!</definedName>
    <definedName name="compound_period" localSheetId="5">INDEX({2,12,4,1},MATCH(#REF!,'IV. EBITDA Adjustments'!compound_periods,0))</definedName>
    <definedName name="compound_periods" localSheetId="5">{"Semi-Annually";"Monthly";"Quarterly";"Annually"}</definedName>
    <definedName name="ContentsHelp" localSheetId="5" hidden="1">#REF!</definedName>
    <definedName name="COPY" localSheetId="5" hidden="1">{#N/A,#N/A,FALSE,"Pharm";#N/A,#N/A,FALSE,"WWCM"}</definedName>
    <definedName name="copy1" localSheetId="5" hidden="1">{#N/A,#N/A,FALSE,"Pharm";#N/A,#N/A,FALSE,"WWCM"}</definedName>
    <definedName name="COPY2" localSheetId="5" hidden="1">{#N/A,#N/A,FALSE,"Pharm";#N/A,#N/A,FALSE,"WWCM"}</definedName>
    <definedName name="copy233" localSheetId="5" hidden="1">{#N/A,#N/A,FALSE,"Pharm";#N/A,#N/A,FALSE,"WWCM"}</definedName>
    <definedName name="copy33" localSheetId="5" hidden="1">{#N/A,#N/A,FALSE,"Pharm";#N/A,#N/A,FALSE,"WWCM"}</definedName>
    <definedName name="copy38" localSheetId="5" hidden="1">{#N/A,#N/A,FALSE,"Pharm";#N/A,#N/A,FALSE,"WWCM"}</definedName>
    <definedName name="corp" localSheetId="5" hidden="1">{#N/A,#N/A,TRUE,"BUD VS ACT AUST 96";#N/A,#N/A,TRUE,"96 COMP P&amp;L-AUST";#N/A,#N/A,TRUE,"COMP BS-AUSTRALIA";#N/A,#N/A,TRUE,"B/S - AUSTR."}</definedName>
    <definedName name="costofrev" localSheetId="5" hidden="1">{"qtrly summ-FY01",#N/A,FALSE,"P &amp; L";"monthly P&amp;L-FY01",#N/A,FALSE,"P &amp; L";"cash flow - FY01",#N/A,FALSE,"P &amp; L";"P&amp;L FY01",#N/A,FALSE,"P &amp; L";"BS FY01",#N/A,FALSE,"P &amp; L";"staffing - FY01",#N/A,FALSE,"P &amp; L"}</definedName>
    <definedName name="CreateTable" localSheetId="5" hidden="1">#REF!</definedName>
    <definedName name="Cur_Month_Actual" localSheetId="5">#REF!</definedName>
    <definedName name="CurrentLoan" localSheetId="5">(#REF!*#REF!*#REF!*#REF!)&gt;0</definedName>
    <definedName name="cvb" localSheetId="5" hidden="1">{#N/A,#N/A,FALSE,"TABLE_1 YTD";#N/A,#N/A,FALSE,"TABLE_1A QTD";#N/A,#N/A,FALSE,"NORMAL_SPREAD_QTD";#N/A,#N/A,FALSE,"NORMAL_SPREAD_YTD";#N/A,#N/A,FALSE,"TAX_EQV";#N/A,#N/A,FALSE,"TAX EQUIV_INPUT";#N/A,#N/A,FALSE,"NET FROM FER";#N/A,#N/A,FALSE,"COVER"}</definedName>
    <definedName name="Cwvu.GREY_ALL." localSheetId="5" hidden="1">#REF!</definedName>
    <definedName name="D" localSheetId="5" hidden="1">#REF!</definedName>
    <definedName name="DAD" localSheetId="5" hidden="1">{#N/A,#N/A,FALSE,"REPORT"}</definedName>
    <definedName name="DADF" localSheetId="5" hidden="1">{#N/A,#N/A,FALSE,"REPORT"}</definedName>
    <definedName name="dadfa" localSheetId="5"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af" localSheetId="5" hidden="1">{#N/A,#N/A,FALSE,"1";#N/A,#N/A,FALSE,"2";#N/A,#N/A,FALSE,"16 - 17";#N/A,#N/A,FALSE,"18 - 19";#N/A,#N/A,FALSE,"26";#N/A,#N/A,FALSE,"27";#N/A,#N/A,FALSE,"28"}</definedName>
    <definedName name="dafa" localSheetId="5"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akfkjafgkeaj" localSheetId="5" hidden="1">{#N/A,#N/A,FALSE,"Pharm";#N/A,#N/A,FALSE,"WWCM"}</definedName>
    <definedName name="Data" localSheetId="5">#REF!</definedName>
    <definedName name="_xlnm.Database" localSheetId="5">#REF!</definedName>
    <definedName name="david" localSheetId="5" hidden="1">{#N/A,#N/A,FALSE,"ACQ_GRAPHS";#N/A,#N/A,FALSE,"T_1 GRAPHS";#N/A,#N/A,FALSE,"T_2 GRAPHS";#N/A,#N/A,FALSE,"COMB_GRAPHS"}</definedName>
    <definedName name="dd" localSheetId="5" hidden="1">{#N/A,#N/A,FALSE,"Pharm";#N/A,#N/A,FALSE,"WWCM"}</definedName>
    <definedName name="ddd" localSheetId="5" hidden="1">{"'ATP'!$E$6"}</definedName>
    <definedName name="ddd_1" localSheetId="5" hidden="1">{"'ATP'!$E$6"}</definedName>
    <definedName name="ddd_11" localSheetId="5" hidden="1">{"'ATP'!$E$6"}</definedName>
    <definedName name="dddaz" localSheetId="5" hidden="1">{#N/A,#N/A,FALSE,"Pharm";#N/A,#N/A,FALSE,"WWCM"}</definedName>
    <definedName name="dddd" localSheetId="5" hidden="1">{"'ATP'!$E$6"}</definedName>
    <definedName name="dddddd" localSheetId="5" hidden="1">{#N/A,#N/A,FALSE,"Pharm";#N/A,#N/A,FALSE,"WWCM"}</definedName>
    <definedName name="ddddddd" localSheetId="5" hidden="1">{"Income Statement",#N/A,FALSE,"Income Statement";"Balance Sheet",#N/A,FALSE,"Balance Sheet";"Cash Flow",#N/A,FALSE,"Cash Flow";"Ratios",#N/A,FALSE,"Ratios"}</definedName>
    <definedName name="DE" localSheetId="5"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de" localSheetId="5" hidden="1">{#N/A,#N/A,FALSE,"Pharm";#N/A,#N/A,FALSE,"WWCM"}</definedName>
    <definedName name="DEDED" localSheetId="5" hidden="1">{#N/A,#N/A,FALSE,"Card";#N/A,#N/A,FALSE,"Prav";#N/A,#N/A,FALSE,"Irbe";#N/A,#N/A,FALSE,"Plavix";#N/A,#N/A,FALSE,"Capt";#N/A,#N/A,FALSE,"Fosi"}</definedName>
    <definedName name="DEDEDZE" localSheetId="5" hidden="1">{#N/A,#N/A,FALSE,"Pharm";#N/A,#N/A,FALSE,"WWCM"}</definedName>
    <definedName name="DEDZD" localSheetId="5" hidden="1">{#N/A,#N/A,FALSE,"Pharm";#N/A,#N/A,FALSE,"WWCM"}</definedName>
    <definedName name="DEE" localSheetId="5" hidden="1">{#N/A,#N/A,FALSE,"Pharm";#N/A,#N/A,FALSE,"WWCM"}</definedName>
    <definedName name="delete" localSheetId="5" hidden="1">{"STMT OF CASH FLOWS",#N/A,FALSE,"Cash Flows Indirect"}</definedName>
    <definedName name="delete2" localSheetId="5" hidden="1">{"BALANCE SHEET ACCTS",#N/A,TRUE,"Working Trial Balance";"INCOME STMT ACCTS",#N/A,TRUE,"Working Trial Balance"}</definedName>
    <definedName name="DeleteRange" localSheetId="5" hidden="1">#REF!</definedName>
    <definedName name="DeleteTable" localSheetId="5" hidden="1">#REF!</definedName>
    <definedName name="Depr_Method" localSheetId="5">#REF!</definedName>
    <definedName name="DeptIS" localSheetId="5">#REF!</definedName>
    <definedName name="dev_tech" localSheetId="5" hidden="1">#REF!</definedName>
    <definedName name="DEZLFEZKLHF" localSheetId="5" hidden="1">{#N/A,#N/A,FALSE,"Pharm";#N/A,#N/A,FALSE,"WWCM"}</definedName>
    <definedName name="df" localSheetId="5" hidden="1">{#N/A,#N/A,TRUE,"A";#N/A,#N/A,TRUE,"B";#N/A,#N/A,TRUE,"C";#N/A,#N/A,TRUE,"D";#N/A,#N/A,TRUE,"E"}</definedName>
    <definedName name="dfasdf" localSheetId="5" hidden="1">#REF!</definedName>
    <definedName name="dfd" localSheetId="5" hidden="1">{"BS",#N/A,FALSE,"USA"}</definedName>
    <definedName name="dfdas" localSheetId="5" hidden="1">{"FCB_ALL",#N/A,FALSE,"FCB";"GREY_ALL",#N/A,FALSE,"GREY"}</definedName>
    <definedName name="DFDD" localSheetId="5" hidden="1">{#N/A,#N/A,FALSE,"REPORT"}</definedName>
    <definedName name="dfdfd" localSheetId="5" hidden="1">{"FCB_ALL",#N/A,FALSE,"FCB";"GREY_ALL",#N/A,FALSE,"GREY"}</definedName>
    <definedName name="dfdfdfd" localSheetId="5" hidden="1">{"FCB_ALL",#N/A,FALSE,"FCB"}</definedName>
    <definedName name="dfg" localSheetId="5">#REF!</definedName>
    <definedName name="dfr" localSheetId="5" hidden="1">{#N/A,#N/A,FALSE,"Pharm";#N/A,#N/A,FALSE,"WWCM"}</definedName>
    <definedName name="dfsa" localSheetId="5" hidden="1">#REF!</definedName>
    <definedName name="dfsafd" localSheetId="5"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sa" localSheetId="5" hidden="1">#REF!</definedName>
    <definedName name="dfsfa" localSheetId="5"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iscout" localSheetId="5">#REF!</definedName>
    <definedName name="DistCurr" localSheetId="5">#REF!</definedName>
    <definedName name="DistPrior" localSheetId="5">#REF!</definedName>
    <definedName name="djdjdjd" localSheetId="5" hidden="1">{#N/A,#N/A,TRUE,"BUD VS ACT AUST 96";#N/A,#N/A,TRUE,"96 COMP P&amp;L-AUST";#N/A,#N/A,TRUE,"COMP BS-AUSTRALIA";#N/A,#N/A,TRUE,"B/S - AUSTR."}</definedName>
    <definedName name="djksljd" localSheetId="5" hidden="1">{#N/A,#N/A,FALSE,"Other";#N/A,#N/A,FALSE,"Ace";#N/A,#N/A,FALSE,"Derm"}</definedName>
    <definedName name="dkgahirghigf" localSheetId="5" hidden="1">{#N/A,#N/A,FALSE,"Pharm";#N/A,#N/A,FALSE,"WWCM"}</definedName>
    <definedName name="ds" localSheetId="5" hidden="1">#REF!</definedName>
    <definedName name="dsafd" localSheetId="5"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d" localSheetId="5" hidden="1">#REF!</definedName>
    <definedName name="dsfsffss" localSheetId="5" hidden="1">{#N/A,#N/A,FALSE,"Pharm";#N/A,#N/A,FALSE,"WWCM"}</definedName>
    <definedName name="dtjhj" localSheetId="5" hidden="1">{#N/A,#N/A,FALSE,"Phase I";#N/A,#N/A,FALSE,"Phase II";#N/A,#N/A,FALSE,"Phase III"}</definedName>
    <definedName name="dtmm" localSheetId="5"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due" localSheetId="5" hidden="1">{#N/A,#N/A,FALSE,"INPUTS";#N/A,#N/A,FALSE,"PROFORMA BSHEET";#N/A,#N/A,FALSE,"COMBINED";#N/A,#N/A,FALSE,"ACQUIROR";#N/A,#N/A,FALSE,"TARGET 1";#N/A,#N/A,FALSE,"TARGET 2";#N/A,#N/A,FALSE,"HIGH YIELD";#N/A,#N/A,FALSE,"OVERFUND"}</definedName>
    <definedName name="dvv" localSheetId="5" hidden="1">{#N/A,#N/A,TRUE,"NIE_C";#N/A,#N/A,TRUE,"NIE";#N/A,#N/A,TRUE,"NIE_D";#N/A,#N/A,TRUE,"NIE_D_CC";#N/A,#N/A,TRUE,"HEA -- EXP"}</definedName>
    <definedName name="E" localSheetId="5" hidden="1">#REF!</definedName>
    <definedName name="Econscen" localSheetId="5">#REF!</definedName>
    <definedName name="ed" localSheetId="5"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edr" localSheetId="5"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ee" localSheetId="5"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EEE" localSheetId="5" hidden="1">{#N/A,#N/A,FALSE,"Pharm";#N/A,#N/A,FALSE,"WWCM"}</definedName>
    <definedName name="eeeee" localSheetId="5" hidden="1">{#N/A,#N/A,FALSE,"Pharm";#N/A,#N/A,FALSE,"WWCM"}</definedName>
    <definedName name="ejkfgkjze" localSheetId="5" hidden="1">{#N/A,#N/A,FALSE,"Pharm";#N/A,#N/A,FALSE,"WWCM"}</definedName>
    <definedName name="Elecout" localSheetId="5">#REF!</definedName>
    <definedName name="elo" localSheetId="5">#REF!</definedName>
    <definedName name="eloCS" localSheetId="5">#REF!</definedName>
    <definedName name="eloFMV" localSheetId="5">#REF!</definedName>
    <definedName name="eloNR" localSheetId="5">#REF!</definedName>
    <definedName name="eloPref" localSheetId="5">#REF!</definedName>
    <definedName name="eloWarr" localSheetId="5">#REF!</definedName>
    <definedName name="EndDate1" localSheetId="5">#REF!</definedName>
    <definedName name="EndDate2" localSheetId="5">#REF!</definedName>
    <definedName name="EndDate3" localSheetId="5">#REF!</definedName>
    <definedName name="equity" localSheetId="5" hidden="1">{"Balance Sheet",#N/A,FALSE,"Annual Summary";"Cashflows",#N/A,FALSE,"Annual Summary";"Summary Earnings",#N/A,FALSE,"Annual Summary"}</definedName>
    <definedName name="erd" localSheetId="5" hidden="1">{#N/A,#N/A,FALSE,"Pharm";#N/A,#N/A,FALSE,"WWCM"}</definedName>
    <definedName name="erg" localSheetId="5" hidden="1">{#N/A,#N/A,FALSE,"ACQ_GRAPHS";#N/A,#N/A,FALSE,"T_1 GRAPHS";#N/A,#N/A,FALSE,"T_2 GRAPHS";#N/A,#N/A,FALSE,"COMB_GRAPHS"}</definedName>
    <definedName name="erryeyetyuu" localSheetId="5" hidden="1">{#N/A,#N/A,FALSE,"Pharm";#N/A,#N/A,FALSE,"WWCM"}</definedName>
    <definedName name="ESSAI" localSheetId="5" hidden="1">{#N/A,#N/A,FALSE,"Pharm";#N/A,#N/A,FALSE,"WWCM"}</definedName>
    <definedName name="esw" localSheetId="5" hidden="1">{#N/A,#N/A,FALSE,"TABLE_1 YTD- VALUES LAST YR(2)"}</definedName>
    <definedName name="ev.Calculation" localSheetId="5" hidden="1">2</definedName>
    <definedName name="ewwe" localSheetId="5" hidden="1">{#N/A,#N/A,FALSE,"REPORT"}</definedName>
    <definedName name="excel" localSheetId="5" hidden="1">{"cash flow - FY00",#N/A,FALSE,"P &amp; L";"cash flow - FY01",#N/A,FALSE,"P &amp; L"}</definedName>
    <definedName name="excel2" localSheetId="5" hidden="1">{"cash flow - FY00",#N/A,FALSE,"P &amp; L";"cash flow - FY01",#N/A,FALSE,"P &amp; L"}</definedName>
    <definedName name="ExitYr" localSheetId="5">#REF!</definedName>
    <definedName name="Extra_Pay" localSheetId="5">#REF!</definedName>
    <definedName name="extra_payment_interval" localSheetId="5">#REF!</definedName>
    <definedName name="ExtraPayments" localSheetId="5">#REF!</definedName>
    <definedName name="ExtraPayments2014" localSheetId="5">#REF!</definedName>
    <definedName name="ExtraPayments2016" localSheetId="5">#REF!</definedName>
    <definedName name="ExtraPayments2017" localSheetId="5">#REF!</definedName>
    <definedName name="ExtraPayments2018" localSheetId="5">#REF!</definedName>
    <definedName name="ExtraPaymentsCurrent" localSheetId="5">#REF!</definedName>
    <definedName name="ExtraPaymentsRealEstate" localSheetId="5">#REF!</definedName>
    <definedName name="eyh" localSheetId="5" hidden="1">{#N/A,#N/A,FALSE,"BS";#N/A,#N/A,FALSE,"PL";#N/A,#N/A,FALSE,"SOE";#N/A,#N/A,FALSE,"SCF"}</definedName>
    <definedName name="f" localSheetId="5" hidden="1">#REF!</definedName>
    <definedName name="FarrellWitchita" localSheetId="5" hidden="1">{"FCB_ALL",#N/A,FALSE,"FCB"}</definedName>
    <definedName name="FDFD" localSheetId="5" hidden="1">{#N/A,#N/A,FALSE,"Pharm";#N/A,#N/A,FALSE,"WWCM"}</definedName>
    <definedName name="fds" localSheetId="5" hidden="1">{#N/A,#N/A,FALSE,"Pharm";#N/A,#N/A,FALSE,"WWCM"}</definedName>
    <definedName name="feb02tb" localSheetId="5" hidden="1">{"Statement of Income",#N/A,TRUE,"Mar99";"Balance Sheet",#N/A,TRUE,"Mar99"}</definedName>
    <definedName name="fees" localSheetId="5">#REF!</definedName>
    <definedName name="ff" localSheetId="5" hidden="1">{#N/A,#N/A,FALSE,"Pharm";#N/A,#N/A,FALSE,"WWCM"}</definedName>
    <definedName name="fff" localSheetId="5" hidden="1">{#N/A,#N/A,FALSE,"Pharm";#N/A,#N/A,FALSE,"WWCM"}</definedName>
    <definedName name="ffff" localSheetId="5" hidden="1">{#N/A,#N/A,TRUE,"BUD VS ACT AUST 96";#N/A,#N/A,TRUE,"96 COMP P&amp;L-AUST";#N/A,#N/A,TRUE,"COMP BS-AUSTRALIA";#N/A,#N/A,TRUE,"B/S - AUSTR."}</definedName>
    <definedName name="fffffff" localSheetId="5" hidden="1">{#N/A,#N/A,FALSE,"Pharm";#N/A,#N/A,FALSE,"WWCM"}</definedName>
    <definedName name="fg" localSheetId="5"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fgf" localSheetId="5" hidden="1">{#N/A,#N/A,FALSE,"COVER";#N/A,#N/A,FALSE,"RATIOS";#N/A,#N/A,FALSE,"LEVERAGE";#N/A,#N/A,FALSE,"TIER-1";#N/A,#N/A,FALSE,"RISK BASED ASSETS";#N/A,#N/A,FALSE,"TIER-2"}</definedName>
    <definedName name="fgj" localSheetId="5" hidden="1">{#N/A,#N/A,FALSE,"ACQ_GRAPHS";#N/A,#N/A,FALSE,"T_1 GRAPHS";#N/A,#N/A,FALSE,"T_2 GRAPHS";#N/A,#N/A,FALSE,"COMB_GRAPHS"}</definedName>
    <definedName name="fgkjkh" localSheetId="5" hidden="1">{#N/A,#N/A,FALSE,"REPORT"}</definedName>
    <definedName name="fgr" localSheetId="5" hidden="1">{#N/A,#N/A,FALSE,"BS";#N/A,#N/A,FALSE,"PL_10Q";#N/A,#N/A,FALSE,"SOE";#N/A,#N/A,FALSE,"SCF";#N/A,#N/A,FALSE,"Sel Fn Data QTD 10Q";#N/A,#N/A,FALSE,"Table 1 YTD 10Q";#N/A,#N/A,FALSE,"Table 1 QTD 10Q";#N/A,#N/A,FALSE,"Tables 2 to 3 PL";#N/A,#N/A,FALSE,"Tables 4 and 5ALLL";#N/A,#N/A,FALSE,"Tables 6 to 8 ALLL ";#N/A,#N/A,FALSE,"Table 9 to 12 - Balance Sheet"}</definedName>
    <definedName name="financial" localSheetId="5" hidden="1">{#N/A,#N/A,FALSE,"1996 Monthly Detail";#N/A,#N/A,FALSE,"1996 CashFlow";#N/A,#N/A,FALSE,"PNL By Dept";#N/A,#N/A,FALSE,"1997 Quarterly Detail";#N/A,#N/A,FALSE,"1998 Quarterly Detail";#N/A,#N/A,FALSE,"1997 Cash Flow";#N/A,#N/A,FALSE,"1998 Cash Flow"}</definedName>
    <definedName name="FJEZK" localSheetId="5" hidden="1">{#N/A,#N/A,FALSE,"Pharm";#N/A,#N/A,FALSE,"WWCM"}</definedName>
    <definedName name="FMVRATE" localSheetId="5">#REF!</definedName>
    <definedName name="FOHV" localSheetId="5">#REF!</definedName>
    <definedName name="fpdate" localSheetId="5">#REF!</definedName>
    <definedName name="france" localSheetId="5" hidden="1">{#N/A,#N/A,FALSE,"COMP BS-FRANCE";#N/A,#N/A,FALSE,"96 COMP P&amp;L-FRANCE";#N/A,#N/A,FALSE,"BUD VS ACT FRAN 96";#N/A,#N/A,FALSE,"B/S - FRANCE"}</definedName>
    <definedName name="FRANCE1" localSheetId="5" hidden="1">{#N/A,#N/A,FALSE,"COMP BS-FRANCE";#N/A,#N/A,FALSE,"96 COMP P&amp;L-FRANCE";#N/A,#N/A,FALSE,"BUD VS ACT FRAN 96";#N/A,#N/A,FALSE,"B/S - FRANCE"}</definedName>
    <definedName name="frequency" localSheetId="5">{"Annually";"Semi-Annually";"Quarterly";"Bi-Monthly";"Monthly";"Semi-Monthly";"Bi-Weekly";"Weekly"}</definedName>
    <definedName name="FRF" localSheetId="5" hidden="1">{#N/A,#N/A,FALSE,"1";#N/A,#N/A,FALSE,"2";#N/A,#N/A,FALSE,"16 - 17";#N/A,#N/A,FALSE,"18 - 19";#N/A,#N/A,FALSE,"26";#N/A,#N/A,FALSE,"27";#N/A,#N/A,FALSE,"28"}</definedName>
    <definedName name="FRFERFE" localSheetId="5" hidden="1">{#N/A,#N/A,FALSE,"Pharm";#N/A,#N/A,FALSE,"WWCM"}</definedName>
    <definedName name="Frght_Discnt" localSheetId="5">#REF!</definedName>
    <definedName name="fsdg" localSheetId="5">#REF!</definedName>
    <definedName name="fsdsfafd" localSheetId="5" hidden="1">{"CSheet",#N/A,FALSE,"C";"SmCap",#N/A,FALSE,"VAL1";"GulfCoast",#N/A,FALSE,"VAL1";"nav",#N/A,FALSE,"NAV";"Summary",#N/A,FALSE,"NAV"}</definedName>
    <definedName name="FSLine" localSheetId="5">#REF!</definedName>
    <definedName name="fuelco_wrn.test1." localSheetId="5" hidden="1">{"Income Statement",#N/A,FALSE,"CFMODEL";"Balance Sheet",#N/A,FALSE,"CFMODEL"}</definedName>
    <definedName name="fuelco_wrn.test2." localSheetId="5" hidden="1">{"SourcesUses",#N/A,TRUE,"CFMODEL";"TransOverview",#N/A,TRUE,"CFMODEL"}</definedName>
    <definedName name="fuelco_wrn.test3." localSheetId="5" hidden="1">{"SourcesUses",#N/A,TRUE,#N/A;"TransOverview",#N/A,TRUE,"CFMODEL"}</definedName>
    <definedName name="fuelco_wrn.test4." localSheetId="5" hidden="1">{"SourcesUses",#N/A,TRUE,"FundsFlow";"TransOverview",#N/A,TRUE,"FundsFlow"}</definedName>
    <definedName name="FVG" localSheetId="5" hidden="1">{#N/A,#N/A,FALSE,"Pharm";#N/A,#N/A,FALSE,"WWCM"}</definedName>
    <definedName name="g" localSheetId="5" hidden="1">{#N/A,#N/A,FALSE,"Pharm";#N/A,#N/A,FALSE,"WWCM"}</definedName>
    <definedName name="GAAP" localSheetId="5">#REF!</definedName>
    <definedName name="Gasout" localSheetId="5">#REF!</definedName>
    <definedName name="gdfgdf" localSheetId="5" hidden="1">{#N/A,#N/A,FALSE,"Pharm";#N/A,#N/A,FALSE,"WWCM"}</definedName>
    <definedName name="gfdjhjh" localSheetId="5" hidden="1">{#N/A,#N/A,FALSE,"Pharm";#N/A,#N/A,FALSE,"WWCM"}</definedName>
    <definedName name="GG" localSheetId="5" hidden="1">{#N/A,#N/A,FALSE,"PL-FS";#N/A,#N/A,FALSE,"PL"}</definedName>
    <definedName name="ghjfg" localSheetId="5" hidden="1">{#N/A,#N/A,TRUE,"ALLL";#N/A,#N/A,TRUE,"DEL";#N/A,#N/A,TRUE,"Reserve Analysis";#N/A,#N/A,TRUE,"C_OFF HISTORY";#N/A,#N/A,TRUE,"ALLL_QTR";#N/A,#N/A,TRUE,"HEA_M";#N/A,#N/A,TRUE,"BL_DET";#N/A,#N/A,TRUE,"3YRS+";#N/A,#N/A,TRUE,"CONSTR_DET"}</definedName>
    <definedName name="ghjggjh" localSheetId="5" hidden="1">{#N/A,#N/A,FALSE,"Pharm";#N/A,#N/A,FALSE,"WWCM"}</definedName>
    <definedName name="ghmtymk" localSheetId="5" hidden="1">{#N/A,#N/A,FALSE,"INPUTS";#N/A,#N/A,FALSE,"PROFORMA BSHEET";#N/A,#N/A,FALSE,"COMBINED";#N/A,#N/A,FALSE,"ACQUIROR";#N/A,#N/A,FALSE,"TARGET 1";#N/A,#N/A,FALSE,"TARGET 2";#N/A,#N/A,FALSE,"HIGH YIELD";#N/A,#N/A,FALSE,"OVERFUND"}</definedName>
    <definedName name="ghtj" localSheetId="5" hidden="1">{#N/A,#N/A,FALSE,"ACQ_GRAPHS";#N/A,#N/A,FALSE,"T_1 GRAPHS";#N/A,#N/A,FALSE,"T_2 GRAPHS";#N/A,#N/A,FALSE,"COMB_GRAPHS"}</definedName>
    <definedName name="gilb.wrn.test2." localSheetId="5" hidden="1">{"SourcesUses",#N/A,TRUE,"CFMODEL";"TransOverview",#N/A,TRUE,"CFMODEL"}</definedName>
    <definedName name="gilb.wrn.test3." localSheetId="5" hidden="1">{"SourcesUses",#N/A,TRUE,#N/A;"TransOverview",#N/A,TRUE,"CFMODEL"}</definedName>
    <definedName name="gilb.wrn.test4." localSheetId="5" hidden="1">{"SourcesUses",#N/A,TRUE,"FundsFlow";"TransOverview",#N/A,TRUE,"FundsFlow"}</definedName>
    <definedName name="gilb_wrn.test1" localSheetId="5" hidden="1">{"Income Statement",#N/A,FALSE,"CFMODEL";"Balance Sheet",#N/A,FALSE,"CFMODEL"}</definedName>
    <definedName name="Global1" localSheetId="5" hidden="1">{#N/A,#N/A,FALSE,"Pharm";#N/A,#N/A,FALSE,"WWCM"}</definedName>
    <definedName name="gmghm" localSheetId="5"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go" localSheetId="5" hidden="1">{"TOTAL",#N/A,FALSE,"A";"FISCAL94",#N/A,FALSE,"A";"FISCAL95",#N/A,FALSE,"A";"FISCAL96",#N/A,FALSE,"A";"misc page",#N/A,FALSE,"A"}</definedName>
    <definedName name="graph" localSheetId="5" hidden="1">{#N/A,#N/A,FALSE,"REPORT"}</definedName>
    <definedName name="gt" localSheetId="5" hidden="1">{#N/A,#N/A,FALSE,"COVER";#N/A,#N/A,FALSE,"Index";#N/A,#N/A,FALSE,"Non-Earning";#N/A,#N/A,FALSE,"Commercial";#N/A,#N/A,FALSE,"Detailed"}</definedName>
    <definedName name="h" localSheetId="5" hidden="1">{#N/A,#N/A,FALSE,"REPORT"}</definedName>
    <definedName name="hbkg" localSheetId="5" hidden="1">{#N/A,#N/A,FALSE,"COVER";#N/A,#N/A,FALSE,"Index";#N/A,#N/A,FALSE,"Non-Earning";#N/A,#N/A,FALSE,"Non-Earning-Recovery";#N/A,#N/A,FALSE,"Leasing_Equipo";#N/A,#N/A,FALSE,"Leasing_Auto";#N/A,#N/A,FALSE,"Leasing_Legal"}</definedName>
    <definedName name="Header" localSheetId="5">#REF!</definedName>
    <definedName name="Header1" localSheetId="5" hidden="1">IF(COUNTA(#REF!)=0,0,INDEX(#REF!,MATCH(ROW(#REF!),#REF!,TRUE)))+1</definedName>
    <definedName name="Header2" localSheetId="5" hidden="1">#REF!-1 &amp; "." &amp; MAX(1,COUNTA(INDEX(#REF!,MATCH(#REF!-1,#REF!,FALSE)):#REF!))</definedName>
    <definedName name="HFinGraph" localSheetId="5" hidden="1">{#N/A,#N/A,FALSE,"Pharm";#N/A,#N/A,FALSE,"WWCM"}</definedName>
    <definedName name="Hibh" localSheetId="5" hidden="1">{#N/A,#N/A,FALSE,"Pharm";#N/A,#N/A,FALSE,"WWCM"}</definedName>
    <definedName name="High" localSheetId="5" hidden="1">{#N/A,#N/A,FALSE,"Pharm";#N/A,#N/A,FALSE,"WWCM"}</definedName>
    <definedName name="hjhjffukfuk" localSheetId="5" hidden="1">{#N/A,#N/A,FALSE,"Pharm";#N/A,#N/A,FALSE,"WWCM"}</definedName>
    <definedName name="hjhjfkfukywrte" localSheetId="5" hidden="1">{#N/A,#N/A,FALSE,"Pharm";#N/A,#N/A,FALSE,"WWCM"}</definedName>
    <definedName name="hjhkjkl" localSheetId="5" hidden="1">{#N/A,#N/A,FALSE,"Pharm";#N/A,#N/A,FALSE,"WWCM"}</definedName>
    <definedName name="hjjjkk" localSheetId="5" hidden="1">{#N/A,#N/A,FALSE,"REPORT"}</definedName>
    <definedName name="hjjkk" localSheetId="5" hidden="1">{#N/A,#N/A,FALSE,"Pharm";#N/A,#N/A,FALSE,"WWCM"}</definedName>
    <definedName name="hjkk" localSheetId="5" hidden="1">{#N/A,#N/A,FALSE,"Pharm";#N/A,#N/A,FALSE,"WWCM"}</definedName>
    <definedName name="HKSH" localSheetId="5" hidden="1">{#N/A,#N/A,FALSE,"REPORT"}</definedName>
    <definedName name="HMG" localSheetId="5" hidden="1">{#N/A,#N/A,FALSE,"REPORT"}</definedName>
    <definedName name="hn._I018" localSheetId="5" hidden="1">#REF!</definedName>
    <definedName name="hn._I024" localSheetId="5" hidden="1">#REF!</definedName>
    <definedName name="hn._I028" localSheetId="5" hidden="1">#REF!</definedName>
    <definedName name="hn._I029" localSheetId="5" hidden="1">#REF!</definedName>
    <definedName name="hn._I030" localSheetId="5" hidden="1">#REF!</definedName>
    <definedName name="hn._I031" localSheetId="5" hidden="1">#REF!</definedName>
    <definedName name="hn._I059" localSheetId="5" hidden="1">#REF!</definedName>
    <definedName name="hn._I071" localSheetId="5" hidden="1">#REF!</definedName>
    <definedName name="hn._I075" localSheetId="5" hidden="1">#REF!</definedName>
    <definedName name="hn._I083" localSheetId="5" hidden="1">#REF!</definedName>
    <definedName name="hn._I085" localSheetId="5" hidden="1">#REF!</definedName>
    <definedName name="hn._P001" localSheetId="5" hidden="1">#REF!</definedName>
    <definedName name="hn._P004" localSheetId="5" hidden="1">#REF!</definedName>
    <definedName name="hn._P014" localSheetId="5" hidden="1">#REF!</definedName>
    <definedName name="hn._P016" localSheetId="5" hidden="1">#REF!</definedName>
    <definedName name="hn._P021" localSheetId="5" hidden="1">#REF!</definedName>
    <definedName name="hn._P024" localSheetId="5" hidden="1">#REF!</definedName>
    <definedName name="hn.Add015" localSheetId="5" hidden="1">#REF!</definedName>
    <definedName name="hn.Delete015" localSheetId="5" hidden="1">#REF!,#REF!,#REF!,#REF!,#REF!</definedName>
    <definedName name="hn.PrivateLTMYear" localSheetId="5" hidden="1">#REF!</definedName>
    <definedName name="HTML_Control" localSheetId="5" hidden="1">{"'ATP'!$E$6"}</definedName>
    <definedName name="HTML_Control_1" localSheetId="5" hidden="1">{"'ATP'!$E$6"}</definedName>
    <definedName name="HTML_Header" localSheetId="5" hidden="1">""</definedName>
    <definedName name="HTML_LastUpdate" localSheetId="5" hidden="1">"2/4/99"</definedName>
    <definedName name="HTML_Name" localSheetId="5" hidden="1">"Marianne Kim"</definedName>
    <definedName name="HTML_PathFile" localSheetId="5" hidden="1">"h:\home\MJK\atp.htm"</definedName>
    <definedName name="HTML_Title" localSheetId="5" hidden="1">"atp"</definedName>
    <definedName name="htyuityuiotio" localSheetId="5" hidden="1">{#N/A,#N/A,FALSE,"REPORT"}</definedName>
    <definedName name="Hypertention" localSheetId="5" hidden="1">{#N/A,#N/A,FALSE,"Pharm";#N/A,#N/A,FALSE,"WWCM"}</definedName>
    <definedName name="hypo" localSheetId="5" hidden="1">{#N/A,#N/A,FALSE,"Pharm";#N/A,#N/A,FALSE,"WWCM"}</definedName>
    <definedName name="I" localSheetId="5" hidden="1">#REF!</definedName>
    <definedName name="Int" localSheetId="5">#REF!</definedName>
    <definedName name="InterestRate" localSheetId="5">#REF!</definedName>
    <definedName name="InterestRate2014" localSheetId="5">#REF!</definedName>
    <definedName name="InterestRate2016" localSheetId="5">#REF!</definedName>
    <definedName name="InterestRate2017" localSheetId="5">#REF!</definedName>
    <definedName name="InterestRate2018" localSheetId="5">#REF!</definedName>
    <definedName name="InterestRateCurrent" localSheetId="5">#REF!</definedName>
    <definedName name="InterestRateRealEstate" localSheetId="5">#REF!</definedName>
    <definedName name="IntroPrintArea" localSheetId="5" hidden="1">#REF!</definedName>
    <definedName name="investment" localSheetId="5">#REF!</definedName>
    <definedName name="InvFootnote" localSheetId="5">#REF!</definedName>
    <definedName name="Invout" localSheetId="5">#REF!</definedName>
    <definedName name="IP" localSheetId="5" hidden="1">{#N/A,#N/A,FALSE,"Pharm";#N/A,#N/A,FALSE,"WWCM"}</definedName>
    <definedName name="IPRD_mites" localSheetId="5" hidden="1">{"bs",#N/A,FALSE,"SCF"}</definedName>
    <definedName name="IPRD_Pollen" localSheetId="5" hidden="1">{"bs",#N/A,FALSE,"SCF"}</definedName>
    <definedName name="IQ_EXPENSE_CODE_" localSheetId="5" hidden="1">"General Advisory"</definedName>
    <definedName name="IQ_NAMES_REVISION_DATE_" localSheetId="5" hidden="1">40449.4288773148</definedName>
    <definedName name="IQB_BOOKMARK_LOCATION_0" localSheetId="5" hidden="1">#REF!</definedName>
    <definedName name="IQR111711P10" localSheetId="5" hidden="1">#REF!</definedName>
    <definedName name="IQR111711P101" localSheetId="5" hidden="1">#REF!</definedName>
    <definedName name="IQR111711P102" localSheetId="5" hidden="1">#REF!</definedName>
    <definedName name="IQR111711P103" localSheetId="5" hidden="1">#REF!</definedName>
    <definedName name="IQR111711P104" localSheetId="5" hidden="1">#REF!</definedName>
    <definedName name="IQR111711P106" localSheetId="5" hidden="1">#REF!</definedName>
    <definedName name="IQR111711P107" localSheetId="5" hidden="1">#REF!</definedName>
    <definedName name="IQR111711P110" localSheetId="5" hidden="1">#REF!</definedName>
    <definedName name="IQR111711P111" localSheetId="5" hidden="1">#REF!</definedName>
    <definedName name="IQR111711P112" localSheetId="5" hidden="1">#REF!</definedName>
    <definedName name="IQR111711P113" localSheetId="5" hidden="1">#REF!</definedName>
    <definedName name="IQR111711P114" localSheetId="5" hidden="1">#REF!</definedName>
    <definedName name="IQR111711P117" localSheetId="5" hidden="1">#REF!</definedName>
    <definedName name="IQR111711P119" localSheetId="5" hidden="1">#REF!</definedName>
    <definedName name="IQR111711P120" localSheetId="5" hidden="1">#REF!</definedName>
    <definedName name="IQR111711P122" localSheetId="5" hidden="1">#REF!</definedName>
    <definedName name="IQR111711P123" localSheetId="5" hidden="1">#REF!</definedName>
    <definedName name="IQR111711P124" localSheetId="5" hidden="1">#REF!</definedName>
    <definedName name="IQR111711P127" localSheetId="5" hidden="1">#REF!</definedName>
    <definedName name="IQR111711P128" localSheetId="5" hidden="1">#REF!</definedName>
    <definedName name="IQR111711P13" localSheetId="5" hidden="1">#REF!</definedName>
    <definedName name="IQR111711P131" localSheetId="5" hidden="1">#REF!</definedName>
    <definedName name="IQR111711P132" localSheetId="5" hidden="1">#REF!</definedName>
    <definedName name="IQR111711P134" localSheetId="5" hidden="1">#REF!</definedName>
    <definedName name="IQR111711P135" localSheetId="5" hidden="1">#REF!</definedName>
    <definedName name="IQR111711P136" localSheetId="5" hidden="1">#REF!</definedName>
    <definedName name="IQR111711P138" localSheetId="5" hidden="1">#REF!</definedName>
    <definedName name="IQR111711P139" localSheetId="5" hidden="1">#REF!</definedName>
    <definedName name="IQR111711P14" localSheetId="5" hidden="1">#REF!</definedName>
    <definedName name="IQR111711P140" localSheetId="5" hidden="1">#REF!</definedName>
    <definedName name="IQR111711P141" localSheetId="5" hidden="1">#REF!</definedName>
    <definedName name="IQR111711P142" localSheetId="5" hidden="1">#REF!</definedName>
    <definedName name="IQR111711P143" localSheetId="5" hidden="1">#REF!</definedName>
    <definedName name="IQR111711P144" localSheetId="5" hidden="1">#REF!</definedName>
    <definedName name="IQR111711P145" localSheetId="5" hidden="1">#REF!</definedName>
    <definedName name="IQR111711P148" localSheetId="5" hidden="1">#REF!</definedName>
    <definedName name="IQR111711P149" localSheetId="5" hidden="1">#REF!</definedName>
    <definedName name="IQR111711P150" localSheetId="5" hidden="1">#REF!</definedName>
    <definedName name="IQR111711P153" localSheetId="5" hidden="1">#REF!</definedName>
    <definedName name="IQR111711P155" localSheetId="5" hidden="1">#REF!</definedName>
    <definedName name="IQR111711P156" localSheetId="5" hidden="1">#REF!</definedName>
    <definedName name="IQR111711P161" localSheetId="5" hidden="1">#REF!</definedName>
    <definedName name="IQR111711P163" localSheetId="5" hidden="1">#REF!</definedName>
    <definedName name="IQR111711P167" localSheetId="5" hidden="1">#REF!</definedName>
    <definedName name="IQR111711P168" localSheetId="5" hidden="1">#REF!</definedName>
    <definedName name="IQR111711P169" localSheetId="5" hidden="1">#REF!</definedName>
    <definedName name="IQR111711P17" localSheetId="5" hidden="1">#REF!</definedName>
    <definedName name="IQR111711P170" localSheetId="5" hidden="1">#REF!</definedName>
    <definedName name="IQR111711P172" localSheetId="5" hidden="1">#REF!</definedName>
    <definedName name="IQR111711P174" localSheetId="5" hidden="1">#REF!</definedName>
    <definedName name="IQR111711P175" localSheetId="5" hidden="1">#REF!</definedName>
    <definedName name="IQR111711P179" localSheetId="5" hidden="1">#REF!</definedName>
    <definedName name="IQR111711P18" localSheetId="5" hidden="1">#REF!</definedName>
    <definedName name="IQR111711P182" localSheetId="5" hidden="1">#REF!</definedName>
    <definedName name="IQR111711P183" localSheetId="5" hidden="1">#REF!</definedName>
    <definedName name="IQR111711P187" localSheetId="5" hidden="1">#REF!</definedName>
    <definedName name="IQR111711P188" localSheetId="5" hidden="1">#REF!</definedName>
    <definedName name="IQR111711P190" localSheetId="5" hidden="1">#REF!</definedName>
    <definedName name="IQR111711P192" localSheetId="5" hidden="1">#REF!</definedName>
    <definedName name="IQR111711P193" localSheetId="5" hidden="1">#REF!</definedName>
    <definedName name="IQR111711P195" localSheetId="5" hidden="1">#REF!</definedName>
    <definedName name="IQR111711P196" localSheetId="5" hidden="1">#REF!</definedName>
    <definedName name="IQR111711P198" localSheetId="5" hidden="1">#REF!</definedName>
    <definedName name="IQR111711P199" localSheetId="5" hidden="1">#REF!</definedName>
    <definedName name="IQR111711P200" localSheetId="5" hidden="1">#REF!</definedName>
    <definedName name="IQR111711P202" localSheetId="5" hidden="1">#REF!</definedName>
    <definedName name="IQR111711P205" localSheetId="5" hidden="1">#REF!</definedName>
    <definedName name="IQR111711P206" localSheetId="5" hidden="1">#REF!</definedName>
    <definedName name="IQR111711P207" localSheetId="5" hidden="1">#REF!</definedName>
    <definedName name="IQR111711P208" localSheetId="5" hidden="1">#REF!</definedName>
    <definedName name="IQR111711P21" localSheetId="5" hidden="1">#REF!</definedName>
    <definedName name="IQR111711P210" localSheetId="5" hidden="1">#REF!</definedName>
    <definedName name="IQR111711P211" localSheetId="5" hidden="1">#REF!</definedName>
    <definedName name="IQR111711P212" localSheetId="5" hidden="1">#REF!</definedName>
    <definedName name="IQR111711P213" localSheetId="5" hidden="1">#REF!</definedName>
    <definedName name="IQR111711P214" localSheetId="5" hidden="1">#REF!</definedName>
    <definedName name="IQR111711P215" localSheetId="5" hidden="1">#REF!</definedName>
    <definedName name="IQR111711P216" localSheetId="5" hidden="1">#REF!</definedName>
    <definedName name="IQR111711P218" localSheetId="5" hidden="1">#REF!</definedName>
    <definedName name="IQR111711P219" localSheetId="5" hidden="1">#REF!</definedName>
    <definedName name="IQR111711P222" localSheetId="5" hidden="1">#REF!</definedName>
    <definedName name="IQR111711P223" localSheetId="5" hidden="1">#REF!</definedName>
    <definedName name="IQR111711P224" localSheetId="5" hidden="1">#REF!</definedName>
    <definedName name="IQR111711P225" localSheetId="5" hidden="1">#REF!</definedName>
    <definedName name="IQR111711P227" localSheetId="5" hidden="1">#REF!</definedName>
    <definedName name="IQR111711P229" localSheetId="5" hidden="1">#REF!</definedName>
    <definedName name="IQR111711P23" localSheetId="5" hidden="1">#REF!</definedName>
    <definedName name="IQR111711P230" localSheetId="5" hidden="1">#REF!</definedName>
    <definedName name="IQR111711P232" localSheetId="5" hidden="1">#REF!</definedName>
    <definedName name="IQR111711P233" localSheetId="5" hidden="1">#REF!</definedName>
    <definedName name="IQR111711P234" localSheetId="5" hidden="1">#REF!</definedName>
    <definedName name="IQR111711P237" localSheetId="5" hidden="1">#REF!</definedName>
    <definedName name="IQR111711P238" localSheetId="5" hidden="1">#REF!</definedName>
    <definedName name="IQR111711P239" localSheetId="5" hidden="1">#REF!</definedName>
    <definedName name="IQR111711P24" localSheetId="5" hidden="1">#REF!</definedName>
    <definedName name="IQR111711P240" localSheetId="5" hidden="1">#REF!</definedName>
    <definedName name="IQR111711P242" localSheetId="5" hidden="1">#REF!</definedName>
    <definedName name="IQR111711P243" localSheetId="5" hidden="1">#REF!</definedName>
    <definedName name="IQR111711P245" localSheetId="5" hidden="1">#REF!</definedName>
    <definedName name="IQR111711P247" localSheetId="5" hidden="1">#REF!</definedName>
    <definedName name="IQR111711P248" localSheetId="5" hidden="1">#REF!</definedName>
    <definedName name="IQR111711P249" localSheetId="5" hidden="1">#REF!</definedName>
    <definedName name="IQR111711P25" localSheetId="5" hidden="1">#REF!</definedName>
    <definedName name="IQR111711P252" localSheetId="5" hidden="1">#REF!</definedName>
    <definedName name="IQR111711P253" localSheetId="5" hidden="1">#REF!</definedName>
    <definedName name="IQR111711P254" localSheetId="5" hidden="1">#REF!</definedName>
    <definedName name="IQR111711P255" localSheetId="5" hidden="1">#REF!</definedName>
    <definedName name="IQR111711P256" localSheetId="5" hidden="1">#REF!</definedName>
    <definedName name="IQR111711P257" localSheetId="5" hidden="1">#REF!</definedName>
    <definedName name="IQR111711P258" localSheetId="5" hidden="1">#REF!</definedName>
    <definedName name="IQR111711P259" localSheetId="5" hidden="1">#REF!</definedName>
    <definedName name="IQR111711P26" localSheetId="5" hidden="1">#REF!</definedName>
    <definedName name="IQR111711P260" localSheetId="5" hidden="1">#REF!</definedName>
    <definedName name="IQR111711P261" localSheetId="5" hidden="1">#REF!</definedName>
    <definedName name="IQR111711P263" localSheetId="5" hidden="1">#REF!</definedName>
    <definedName name="IQR111711P264" localSheetId="5" hidden="1">#REF!</definedName>
    <definedName name="IQR111711P265" localSheetId="5" hidden="1">#REF!</definedName>
    <definedName name="IQR111711P266" localSheetId="5" hidden="1">#REF!</definedName>
    <definedName name="IQR111711P267" localSheetId="5" hidden="1">#REF!</definedName>
    <definedName name="IQR111711P269" localSheetId="5" hidden="1">#REF!</definedName>
    <definedName name="IQR111711P27" localSheetId="5" hidden="1">#REF!</definedName>
    <definedName name="IQR111711P270" localSheetId="5" hidden="1">#REF!</definedName>
    <definedName name="IQR111711P271" localSheetId="5" hidden="1">#REF!</definedName>
    <definedName name="IQR111711P275" localSheetId="5" hidden="1">#REF!</definedName>
    <definedName name="IQR111711P276" localSheetId="5" hidden="1">#REF!</definedName>
    <definedName name="IQR111711P278" localSheetId="5" hidden="1">#REF!</definedName>
    <definedName name="IQR111711P279" localSheetId="5" hidden="1">#REF!</definedName>
    <definedName name="IQR111711P28" localSheetId="5" hidden="1">#REF!</definedName>
    <definedName name="IQR111711P280" localSheetId="5" hidden="1">#REF!</definedName>
    <definedName name="IQR111711P281" localSheetId="5" hidden="1">#REF!</definedName>
    <definedName name="IQR111711P282" localSheetId="5" hidden="1">#REF!</definedName>
    <definedName name="IQR111711P284" localSheetId="5" hidden="1">#REF!</definedName>
    <definedName name="IQR111711P285" localSheetId="5" hidden="1">#REF!</definedName>
    <definedName name="IQR111711P286" localSheetId="5" hidden="1">#REF!</definedName>
    <definedName name="IQR111711P289" localSheetId="5" hidden="1">#REF!</definedName>
    <definedName name="IQR111711P29" localSheetId="5" hidden="1">#REF!</definedName>
    <definedName name="IQR111711P290" localSheetId="5" hidden="1">#REF!</definedName>
    <definedName name="IQR111711P292" localSheetId="5" hidden="1">#REF!</definedName>
    <definedName name="IQR111711P294" localSheetId="5" hidden="1">#REF!</definedName>
    <definedName name="IQR111711P295" localSheetId="5" hidden="1">#REF!</definedName>
    <definedName name="IQR111711P297" localSheetId="5" hidden="1">#REF!</definedName>
    <definedName name="IQR111711P299" localSheetId="5" hidden="1">#REF!</definedName>
    <definedName name="IQR111711P30" localSheetId="5" hidden="1">#REF!</definedName>
    <definedName name="IQR111711P300" localSheetId="5" hidden="1">#REF!</definedName>
    <definedName name="IQR111711P301" localSheetId="5" hidden="1">#REF!</definedName>
    <definedName name="IQR111711P303" localSheetId="5" hidden="1">#REF!</definedName>
    <definedName name="IQR111711P304" localSheetId="5" hidden="1">#REF!</definedName>
    <definedName name="IQR111711P306" localSheetId="5" hidden="1">#REF!</definedName>
    <definedName name="IQR111711P307" localSheetId="5" hidden="1">#REF!</definedName>
    <definedName name="IQR111711P308" localSheetId="5" hidden="1">#REF!</definedName>
    <definedName name="IQR111711P309" localSheetId="5" hidden="1">#REF!</definedName>
    <definedName name="IQR111711P31" localSheetId="5" hidden="1">#REF!</definedName>
    <definedName name="IQR111711P311" localSheetId="5" hidden="1">#REF!</definedName>
    <definedName name="IQR111711P312" localSheetId="5" hidden="1">#REF!</definedName>
    <definedName name="IQR111711P313" localSheetId="5" hidden="1">#REF!</definedName>
    <definedName name="IQR111711P314" localSheetId="5" hidden="1">#REF!</definedName>
    <definedName name="IQR111711P315" localSheetId="5" hidden="1">#REF!</definedName>
    <definedName name="IQR111711P318" localSheetId="5" hidden="1">#REF!</definedName>
    <definedName name="IQR111711P319" localSheetId="5" hidden="1">#REF!</definedName>
    <definedName name="IQR111711P32" localSheetId="5" hidden="1">#REF!</definedName>
    <definedName name="IQR111711P320" localSheetId="5" hidden="1">#REF!</definedName>
    <definedName name="IQR111711P321" localSheetId="5" hidden="1">#REF!</definedName>
    <definedName name="IQR111711P322" localSheetId="5" hidden="1">#REF!</definedName>
    <definedName name="IQR111711P323" localSheetId="5" hidden="1">#REF!</definedName>
    <definedName name="IQR111711P324" localSheetId="5" hidden="1">#REF!</definedName>
    <definedName name="IQR111711P325" localSheetId="5" hidden="1">#REF!</definedName>
    <definedName name="IQR111711P327" localSheetId="5" hidden="1">#REF!</definedName>
    <definedName name="IQR111711P328" localSheetId="5" hidden="1">#REF!</definedName>
    <definedName name="IQR111711P329" localSheetId="5" hidden="1">#REF!</definedName>
    <definedName name="IQR111711P33" localSheetId="5" hidden="1">#REF!</definedName>
    <definedName name="IQR111711P330" localSheetId="5" hidden="1">#REF!</definedName>
    <definedName name="IQR111711P331" localSheetId="5" hidden="1">#REF!</definedName>
    <definedName name="IQR111711P333" localSheetId="5" hidden="1">#REF!</definedName>
    <definedName name="IQR111711P335" localSheetId="5" hidden="1">#REF!</definedName>
    <definedName name="IQR111711P336" localSheetId="5" hidden="1">#REF!</definedName>
    <definedName name="IQR111711P337" localSheetId="5" hidden="1">#REF!</definedName>
    <definedName name="IQR111711P338" localSheetId="5" hidden="1">#REF!</definedName>
    <definedName name="IQR111711P339" localSheetId="5" hidden="1">#REF!</definedName>
    <definedName name="IQR111711P34" localSheetId="5" hidden="1">#REF!</definedName>
    <definedName name="IQR111711P340" localSheetId="5" hidden="1">#REF!</definedName>
    <definedName name="IQR111711P341" localSheetId="5" hidden="1">#REF!</definedName>
    <definedName name="IQR111711P343" localSheetId="5" hidden="1">#REF!</definedName>
    <definedName name="IQR111711P345" localSheetId="5" hidden="1">#REF!</definedName>
    <definedName name="IQR111711P346" localSheetId="5" hidden="1">#REF!</definedName>
    <definedName name="IQR111711P347" localSheetId="5" hidden="1">#REF!</definedName>
    <definedName name="IQR111711P348" localSheetId="5" hidden="1">#REF!</definedName>
    <definedName name="IQR111711P349" localSheetId="5" hidden="1">#REF!</definedName>
    <definedName name="IQR111711P350" localSheetId="5" hidden="1">#REF!</definedName>
    <definedName name="IQR111711P352" localSheetId="5" hidden="1">#REF!</definedName>
    <definedName name="IQR111711P353" localSheetId="5" hidden="1">#REF!</definedName>
    <definedName name="IQR111711P354" localSheetId="5" hidden="1">#REF!</definedName>
    <definedName name="IQR111711P355" localSheetId="5" hidden="1">#REF!</definedName>
    <definedName name="IQR111711P356" localSheetId="5" hidden="1">#REF!</definedName>
    <definedName name="IQR111711P358" localSheetId="5" hidden="1">#REF!</definedName>
    <definedName name="IQR111711P36" localSheetId="5" hidden="1">#REF!</definedName>
    <definedName name="IQR111711P361" localSheetId="5" hidden="1">#REF!</definedName>
    <definedName name="IQR111711P362" localSheetId="5" hidden="1">#REF!</definedName>
    <definedName name="IQR111711P364" localSheetId="5" hidden="1">#REF!</definedName>
    <definedName name="IQR111711P367" localSheetId="5" hidden="1">#REF!</definedName>
    <definedName name="IQR111711P368" localSheetId="5" hidden="1">#REF!</definedName>
    <definedName name="IQR111711P369" localSheetId="5" hidden="1">#REF!</definedName>
    <definedName name="IQR111711P37" localSheetId="5" hidden="1">#REF!</definedName>
    <definedName name="IQR111711P370" localSheetId="5" hidden="1">#REF!</definedName>
    <definedName name="IQR111711P372" localSheetId="5" hidden="1">#REF!</definedName>
    <definedName name="IQR111711P374" localSheetId="5" hidden="1">#REF!</definedName>
    <definedName name="IQR111711P375" localSheetId="5" hidden="1">#REF!</definedName>
    <definedName name="IQR111711P378" localSheetId="5" hidden="1">#REF!</definedName>
    <definedName name="IQR111711P379" localSheetId="5" hidden="1">#REF!</definedName>
    <definedName name="IQR111711P38" localSheetId="5" hidden="1">#REF!</definedName>
    <definedName name="IQR111711P380" localSheetId="5" hidden="1">#REF!</definedName>
    <definedName name="IQR111711P381" localSheetId="5" hidden="1">#REF!</definedName>
    <definedName name="IQR111711P41" localSheetId="5" hidden="1">#REF!</definedName>
    <definedName name="IQR111711P42" localSheetId="5" hidden="1">#REF!</definedName>
    <definedName name="IQR111711P43" localSheetId="5" hidden="1">#REF!</definedName>
    <definedName name="IQR111711P44" localSheetId="5" hidden="1">#REF!</definedName>
    <definedName name="IQR111711P46" localSheetId="5" hidden="1">#REF!</definedName>
    <definedName name="IQR111711P48" localSheetId="5" hidden="1">#REF!</definedName>
    <definedName name="IQR111711P50" localSheetId="5" hidden="1">#REF!</definedName>
    <definedName name="IQR111711P51" localSheetId="5" hidden="1">#REF!</definedName>
    <definedName name="IQR111711P55" localSheetId="5" hidden="1">#REF!</definedName>
    <definedName name="IQR111711P56" localSheetId="5" hidden="1">#REF!</definedName>
    <definedName name="IQR111711P57" localSheetId="5" hidden="1">#REF!</definedName>
    <definedName name="IQR111711P58" localSheetId="5" hidden="1">#REF!</definedName>
    <definedName name="IQR111711P59" localSheetId="5" hidden="1">#REF!</definedName>
    <definedName name="IQR111711P62" localSheetId="5" hidden="1">#REF!</definedName>
    <definedName name="IQR111711P64" localSheetId="5" hidden="1">#REF!</definedName>
    <definedName name="IQR111711P65" localSheetId="5" hidden="1">#REF!</definedName>
    <definedName name="IQR111711P66" localSheetId="5" hidden="1">#REF!</definedName>
    <definedName name="IQR111711P67" localSheetId="5" hidden="1">#REF!</definedName>
    <definedName name="IQR111711P69" localSheetId="5" hidden="1">#REF!</definedName>
    <definedName name="IQR111711P70" localSheetId="5" hidden="1">#REF!</definedName>
    <definedName name="IQR111711P71" localSheetId="5" hidden="1">#REF!</definedName>
    <definedName name="IQR111711P74" localSheetId="5" hidden="1">#REF!</definedName>
    <definedName name="IQR111711P75" localSheetId="5" hidden="1">#REF!</definedName>
    <definedName name="IQR111711P76" localSheetId="5" hidden="1">#REF!</definedName>
    <definedName name="IQR111711P77" localSheetId="5" hidden="1">#REF!</definedName>
    <definedName name="IQR111711P79" localSheetId="5" hidden="1">#REF!</definedName>
    <definedName name="IQR111711P81" localSheetId="5" hidden="1">#REF!</definedName>
    <definedName name="IQR111711P83" localSheetId="5" hidden="1">#REF!</definedName>
    <definedName name="IQR111711P87" localSheetId="5" hidden="1">#REF!</definedName>
    <definedName name="IQR111711P88" localSheetId="5" hidden="1">#REF!</definedName>
    <definedName name="IQR111711P9" localSheetId="5" hidden="1">#REF!</definedName>
    <definedName name="IQR111711P91" localSheetId="5" hidden="1">#REF!</definedName>
    <definedName name="IQR111711P92" localSheetId="5" hidden="1">#REF!</definedName>
    <definedName name="IQR111711P93" localSheetId="5" hidden="1">#REF!</definedName>
    <definedName name="IQR111711P94" localSheetId="5" hidden="1">#REF!</definedName>
    <definedName name="IQR111711P95" localSheetId="5" hidden="1">#REF!</definedName>
    <definedName name="IQR111711P96" localSheetId="5" hidden="1">#REF!</definedName>
    <definedName name="IQR111711P98" localSheetId="5" hidden="1">#REF!</definedName>
    <definedName name="IQR111711Q112" localSheetId="5" hidden="1">#REF!</definedName>
    <definedName name="IQR111711Q113" localSheetId="5" hidden="1">#REF!</definedName>
    <definedName name="IQR111711Q14" localSheetId="5" hidden="1">#REF!</definedName>
    <definedName name="IQR111711Q148" localSheetId="5" hidden="1">#REF!</definedName>
    <definedName name="IQR111711Q149" localSheetId="5" hidden="1">#REF!</definedName>
    <definedName name="IQR111711Q17" localSheetId="5" hidden="1">#REF!</definedName>
    <definedName name="IQR111711Q174" localSheetId="5" hidden="1">#REF!</definedName>
    <definedName name="IQR111711Q175" localSheetId="5" hidden="1">#REF!</definedName>
    <definedName name="IQR111711Q187" localSheetId="5" hidden="1">#REF!</definedName>
    <definedName name="IQR111711Q188" localSheetId="5" hidden="1">#REF!</definedName>
    <definedName name="IQR111711Q224" localSheetId="5" hidden="1">#REF!</definedName>
    <definedName name="IQR111711Q225" localSheetId="5" hidden="1">#REF!</definedName>
    <definedName name="IQR111711Q242" localSheetId="5" hidden="1">#REF!</definedName>
    <definedName name="IQR111711Q243" localSheetId="5" hidden="1">#REF!</definedName>
    <definedName name="IQR111711Q270" localSheetId="5" hidden="1">#REF!</definedName>
    <definedName name="IQR111711Q271" localSheetId="5" hidden="1">#REF!</definedName>
    <definedName name="IQR111711Q289" localSheetId="5" hidden="1">#REF!</definedName>
    <definedName name="IQR111711Q290" localSheetId="5" hidden="1">#REF!</definedName>
    <definedName name="IQR111711Q313" localSheetId="5" hidden="1">#REF!</definedName>
    <definedName name="IQR111711Q314" localSheetId="5" hidden="1">#REF!</definedName>
    <definedName name="IQR111711Q330" localSheetId="5" hidden="1">#REF!</definedName>
    <definedName name="IQR111711Q331" localSheetId="5" hidden="1">#REF!</definedName>
    <definedName name="IQR111711Q43" localSheetId="5" hidden="1">#REF!</definedName>
    <definedName name="IQR111711Q44" localSheetId="5" hidden="1">#REF!</definedName>
    <definedName name="IQR111711Q69" localSheetId="5" hidden="1">#REF!</definedName>
    <definedName name="IQR111711Q70" localSheetId="5" hidden="1">#REF!</definedName>
    <definedName name="IQR111711Q74" localSheetId="5" hidden="1">#REF!</definedName>
    <definedName name="IQR111711Q75" localSheetId="5" hidden="1">#REF!</definedName>
    <definedName name="IQR111711Q76" localSheetId="5" hidden="1">#REF!</definedName>
    <definedName name="IQR111711Q77" localSheetId="5" hidden="1">#REF!</definedName>
    <definedName name="IQR111711Q9" localSheetId="5" hidden="1">#REF!</definedName>
    <definedName name="IQRB17" localSheetId="5" hidden="1">"$B$18:$B$77"</definedName>
    <definedName name="IQRCompaniesH12" localSheetId="5" hidden="1">#REF!</definedName>
    <definedName name="IQRCompaniesH13" localSheetId="5" hidden="1">#REF!</definedName>
    <definedName name="IQRCompaniesH14" localSheetId="5" hidden="1">#REF!</definedName>
    <definedName name="IQRCompaniesH15" localSheetId="5" hidden="1">#REF!</definedName>
    <definedName name="IQRCompaniesH16" localSheetId="5" hidden="1">#REF!</definedName>
    <definedName name="IQRCompaniesH17" localSheetId="5" hidden="1">#REF!</definedName>
    <definedName name="IQRCompaniesH18" localSheetId="5" hidden="1">#REF!</definedName>
    <definedName name="IQRCompaniesH19" localSheetId="5" hidden="1">#REF!</definedName>
    <definedName name="IQRCompaniesH22" localSheetId="5" hidden="1">#REF!</definedName>
    <definedName name="IQRCompaniesH23" localSheetId="5" hidden="1">#REF!</definedName>
    <definedName name="IQRCompaniesH24" localSheetId="5" hidden="1">#REF!</definedName>
    <definedName name="IQRCompaniesH25" localSheetId="5" hidden="1">#REF!</definedName>
    <definedName name="IQRCompaniesH26" localSheetId="5" hidden="1">#REF!</definedName>
    <definedName name="IQRCompaniesH27" localSheetId="5" hidden="1">#REF!</definedName>
    <definedName name="IQRCompaniesH28" localSheetId="5" hidden="1">#REF!</definedName>
    <definedName name="IQRCompaniesH29" localSheetId="5" hidden="1">#REF!</definedName>
    <definedName name="IQRCompaniesH30" localSheetId="5" hidden="1">#REF!</definedName>
    <definedName name="IQRCompaniesH31" localSheetId="5" hidden="1">#REF!</definedName>
    <definedName name="IQRCompaniesH32" localSheetId="5" hidden="1">#REF!</definedName>
    <definedName name="IQRCompaniesH33" localSheetId="5" hidden="1">#REF!</definedName>
    <definedName name="IQRCompaniesH34" localSheetId="5" hidden="1">#REF!</definedName>
    <definedName name="IQRCompaniesH35" localSheetId="5" hidden="1">#REF!</definedName>
    <definedName name="IQRCompaniesH36" localSheetId="5" hidden="1">#REF!</definedName>
    <definedName name="IQRCompaniesH38" localSheetId="5" hidden="1">#REF!</definedName>
    <definedName name="IQRCompaniesH39" localSheetId="5" hidden="1">#REF!</definedName>
    <definedName name="IQRCompaniesH40" localSheetId="5" hidden="1">#REF!</definedName>
    <definedName name="IQRCompaniesH41" localSheetId="5" hidden="1">#REF!</definedName>
    <definedName name="IQRCompaniesH42" localSheetId="5" hidden="1">#REF!</definedName>
    <definedName name="IQRCompaniesH43" localSheetId="5" hidden="1">#REF!</definedName>
    <definedName name="IQRCompaniesH44" localSheetId="5" hidden="1">#REF!</definedName>
    <definedName name="IQRCompaniesH46" localSheetId="5" hidden="1">#REF!</definedName>
    <definedName name="IQRCompaniesH47" localSheetId="5" hidden="1">#REF!</definedName>
    <definedName name="IQRCompaniesH48" localSheetId="5" hidden="1">#REF!</definedName>
    <definedName name="IQRCompaniesH49" localSheetId="5" hidden="1">#REF!</definedName>
    <definedName name="IQRCompaniesH50" localSheetId="5" hidden="1">#REF!</definedName>
    <definedName name="IQRCompaniesH51" localSheetId="5" hidden="1">#REF!</definedName>
    <definedName name="IQRCompaniesH52" localSheetId="5" hidden="1">#REF!</definedName>
    <definedName name="IQRCompaniesH54" localSheetId="5" hidden="1">#REF!</definedName>
    <definedName name="IQRCompaniesH55" localSheetId="5" hidden="1">#REF!</definedName>
    <definedName name="IQRCompaniesH56" localSheetId="5" hidden="1">#REF!</definedName>
    <definedName name="IQRCompaniesH57" localSheetId="5" hidden="1">#REF!</definedName>
    <definedName name="IQRCompaniesH58" localSheetId="5" hidden="1">#REF!</definedName>
    <definedName name="IQRCompaniesH59" localSheetId="5" hidden="1">#REF!</definedName>
    <definedName name="IQRCompaniesN12" localSheetId="5" hidden="1">#REF!</definedName>
    <definedName name="IQRCompaniesN13" localSheetId="5" hidden="1">#REF!</definedName>
    <definedName name="IQRCompaniesN14" localSheetId="5" hidden="1">#REF!</definedName>
    <definedName name="IQRCompaniesN15" localSheetId="5" hidden="1">#REF!</definedName>
    <definedName name="IQRCompaniesN16" localSheetId="5" hidden="1">#REF!</definedName>
    <definedName name="IQRCompaniesN17" localSheetId="5" hidden="1">#REF!</definedName>
    <definedName name="IQRCompaniesN18" localSheetId="5" hidden="1">#REF!</definedName>
    <definedName name="IQRCompaniesN19" localSheetId="5" hidden="1">#REF!</definedName>
    <definedName name="IQRCompaniesN22" localSheetId="5" hidden="1">#REF!</definedName>
    <definedName name="IQRCompaniesN23" localSheetId="5" hidden="1">#REF!</definedName>
    <definedName name="IQRCompaniesN24" localSheetId="5" hidden="1">#REF!</definedName>
    <definedName name="IQRCompaniesN25" localSheetId="5" hidden="1">#REF!</definedName>
    <definedName name="IQRCompaniesN26" localSheetId="5" hidden="1">#REF!</definedName>
    <definedName name="IQRCompaniesN27" localSheetId="5" hidden="1">#REF!</definedName>
    <definedName name="IQRCompaniesN28" localSheetId="5" hidden="1">#REF!</definedName>
    <definedName name="IQRCompaniesN29" localSheetId="5" hidden="1">#REF!</definedName>
    <definedName name="IQRCompaniesN30" localSheetId="5" hidden="1">#REF!</definedName>
    <definedName name="IQRCompaniesN31" localSheetId="5" hidden="1">#REF!</definedName>
    <definedName name="IQRCompaniesN32" localSheetId="5" hidden="1">#REF!</definedName>
    <definedName name="IQRCompaniesN33" localSheetId="5" hidden="1">#REF!</definedName>
    <definedName name="IQRCompaniesN34" localSheetId="5" hidden="1">#REF!</definedName>
    <definedName name="IQRCompaniesN35" localSheetId="5" hidden="1">#REF!</definedName>
    <definedName name="IQRCompaniesN36" localSheetId="5" hidden="1">#REF!</definedName>
    <definedName name="IQRCompaniesN38" localSheetId="5" hidden="1">#REF!</definedName>
    <definedName name="IQRCompaniesN39" localSheetId="5" hidden="1">#REF!</definedName>
    <definedName name="IQRCompaniesN40" localSheetId="5" hidden="1">#REF!</definedName>
    <definedName name="IQRCompaniesN41" localSheetId="5" hidden="1">#REF!</definedName>
    <definedName name="IQRCompaniesN42" localSheetId="5" hidden="1">#REF!</definedName>
    <definedName name="IQRCompaniesN43" localSheetId="5" hidden="1">#REF!</definedName>
    <definedName name="IQRCompaniesN44" localSheetId="5" hidden="1">#REF!</definedName>
    <definedName name="IQRCompaniesN46" localSheetId="5" hidden="1">#REF!</definedName>
    <definedName name="IQRCompaniesN47" localSheetId="5" hidden="1">#REF!</definedName>
    <definedName name="IQRCompaniesN48" localSheetId="5" hidden="1">#REF!</definedName>
    <definedName name="IQRCompaniesN49" localSheetId="5" hidden="1">#REF!</definedName>
    <definedName name="IQRCompaniesN50" localSheetId="5" hidden="1">#REF!</definedName>
    <definedName name="IQRCompaniesN51" localSheetId="5" hidden="1">#REF!</definedName>
    <definedName name="IQRCompaniesN52" localSheetId="5" hidden="1">#REF!</definedName>
    <definedName name="IQRCompaniesN54" localSheetId="5" hidden="1">#REF!</definedName>
    <definedName name="IQRCompaniesN55" localSheetId="5" hidden="1">#REF!</definedName>
    <definedName name="IQRCompaniesN56" localSheetId="5" hidden="1">#REF!</definedName>
    <definedName name="IQRCompaniesN57" localSheetId="5" hidden="1">#REF!</definedName>
    <definedName name="IQRCompaniesN58" localSheetId="5" hidden="1">#REF!</definedName>
    <definedName name="IQRCompaniesN59" localSheetId="5" hidden="1">#REF!</definedName>
    <definedName name="IQRCustomIndexX10" localSheetId="5" hidden="1">#REF!</definedName>
    <definedName name="IQRPeopleH12" localSheetId="5" hidden="1">#REF!</definedName>
    <definedName name="IQRPeopleH13" localSheetId="5" hidden="1">#REF!</definedName>
    <definedName name="IQRPeopleH14" localSheetId="5" hidden="1">#REF!</definedName>
    <definedName name="IQRPeopleH15" localSheetId="5" hidden="1">#REF!</definedName>
    <definedName name="IQRPeopleN12" localSheetId="5" hidden="1">#REF!</definedName>
    <definedName name="IQRPeopleN13" localSheetId="5" hidden="1">#REF!</definedName>
    <definedName name="IQRPeopleN14" localSheetId="5" hidden="1">#REF!</definedName>
    <definedName name="IQRPeopleN15" localSheetId="5" hidden="1">#REF!</definedName>
    <definedName name="Irbe" localSheetId="5" hidden="1">{#N/A,#N/A,FALSE,"Pharm";#N/A,#N/A,FALSE,"WWCM"}</definedName>
    <definedName name="ISCaseName" localSheetId="5">#REF!</definedName>
    <definedName name="iyrt" localSheetId="5" hidden="1">{#N/A,#N/A,TRUE,"A";#N/A,#N/A,TRUE,"B";#N/A,#N/A,TRUE,"C";#N/A,#N/A,TRUE,"D";#N/A,#N/A,TRUE,"E"}</definedName>
    <definedName name="j" localSheetId="5" hidden="1">#REF!</definedName>
    <definedName name="jde" localSheetId="5" hidden="1">{#N/A,#N/A,TRUE,"BUD VS ACT AUST 96";#N/A,#N/A,TRUE,"96 COMP P&amp;L-AUST";#N/A,#N/A,TRUE,"COMP BS-AUSTRALIA";#N/A,#N/A,TRUE,"B/S - AUSTR."}</definedName>
    <definedName name="jdfjesjds" localSheetId="5" hidden="1">{#N/A,#N/A,TRUE,"BUD VS ACT AUST 96";#N/A,#N/A,TRUE,"96 COMP P&amp;L-AUST";#N/A,#N/A,TRUE,"COMP BS-AUSTRALIA";#N/A,#N/A,TRUE,"B/S - AUSTR."}</definedName>
    <definedName name="jgjgfjgfjf" localSheetId="5" hidden="1">{#N/A,#N/A,FALSE,"COMP BS-FRANCE";#N/A,#N/A,FALSE,"96 COMP P&amp;L-FRANCE";#N/A,#N/A,FALSE,"BUD VS ACT FRAN 96";#N/A,#N/A,FALSE,"B/S - FRANCE"}</definedName>
    <definedName name="jhy" localSheetId="5" hidden="1">{#N/A,#N/A,TRUE,"Sel Fn Data QTD";#N/A,#N/A,TRUE,"TABLE_1 SPREAD ANALYSIS";#N/A,#N/A,TRUE,"Tables 2 to 3 PL";#N/A,#N/A,TRUE,"Tables 4 and 5 ALLL";#N/A,#N/A,TRUE,"Tables 6 to 8 ALLL NPA";#N/A,#N/A,TRUE,"Table 9 to 10 - Balance Sheet";#N/A,#N/A,TRUE,"Table 11 to 12 - Equity"}</definedName>
    <definedName name="jjj" localSheetId="5" hidden="1">{#N/A,#N/A,FALSE,"REPORT"}</definedName>
    <definedName name="jk" localSheetId="5" hidden="1">#REF!</definedName>
    <definedName name="jkl" localSheetId="5" hidden="1">{#N/A,#N/A,FALSE,"REPORT"}</definedName>
    <definedName name="jnhkjk" localSheetId="5" hidden="1">{#N/A,#N/A,TRUE,"BUD VS ACT AUST 96";#N/A,#N/A,TRUE,"96 COMP P&amp;L-AUST";#N/A,#N/A,TRUE,"COMP BS-AUSTRALIA";#N/A,#N/A,TRUE,"B/S - AUSTR."}</definedName>
    <definedName name="jnjnhjn" localSheetId="5" hidden="1">{#N/A,#N/A,TRUE,"BUD VS ACT AUST 96";#N/A,#N/A,TRUE,"96 COMP P&amp;L-AUST";#N/A,#N/A,TRUE,"COMP BS-AUSTRALIA";#N/A,#N/A,TRUE,"B/S - AUSTR."}</definedName>
    <definedName name="Joost" localSheetId="5"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judy" localSheetId="5" hidden="1">{#N/A,#N/A,FALSE,"Pharm";#N/A,#N/A,FALSE,"WWCM"}</definedName>
    <definedName name="judy1" localSheetId="5" hidden="1">{#N/A,#N/A,FALSE,"Pharm";#N/A,#N/A,FALSE,"WWCM"}</definedName>
    <definedName name="junk" localSheetId="5" hidden="1">#REF!</definedName>
    <definedName name="junk2" localSheetId="5" hidden="1">#REF!</definedName>
    <definedName name="junk3" localSheetId="5" hidden="1">{"BS",#N/A,FALSE,"USA"}</definedName>
    <definedName name="junkme" localSheetId="5" hidden="1">{#N/A,#N/A,TRUE,"Status Report";#N/A,#N/A,TRUE,"Current Forecast";#N/A,#N/A,TRUE,"Last Forecast";#N/A,#N/A,TRUE,"BP";#N/A,#N/A,TRUE,"LY"}</definedName>
    <definedName name="k" localSheetId="5" hidden="1">{#N/A,#N/A,FALSE,"BS";#N/A,#N/A,FALSE,"PL";#N/A,#N/A,FALSE,"SOE";#N/A,#N/A,FALSE,"SCF"}</definedName>
    <definedName name="K2__CVPARAMS__" localSheetId="5" hidden="1">"Any by Any!$C$14:$D$35;"</definedName>
    <definedName name="K2__WBEVMODE__" localSheetId="5" hidden="1">1</definedName>
    <definedName name="K2__WBREFOPTIONS__" localSheetId="5" hidden="1">134217772</definedName>
    <definedName name="ka" localSheetId="5" hidden="1">{"TOTAL",#N/A,FALSE,"A";"FISCAL94",#N/A,FALSE,"A";"FISCAL95",#N/A,FALSE,"A";"FISCAL96",#N/A,FALSE,"A";"misc page",#N/A,FALSE,"A"}</definedName>
    <definedName name="kas" localSheetId="5" hidden="1">{"TOTAL",#N/A,FALSE,"A";"FISCAL94",#N/A,FALSE,"A";"FISCAL95",#N/A,FALSE,"A";"FISCAL96",#N/A,FALSE,"A";"misc page",#N/A,FALSE,"A"}</definedName>
    <definedName name="KDJD" localSheetId="5"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kgkg" localSheetId="5" hidden="1">{#N/A,#N/A,FALSE,"COVER";#N/A,#N/A,FALSE,"Index";#N/A,#N/A,FALSE,"Non-Earning";#N/A,#N/A,FALSE,"Non-Earning_Recovery"}</definedName>
    <definedName name="kk" localSheetId="5" hidden="1">{#N/A,#N/A,TRUE,"Sel Fn Data QTD";#N/A,#N/A,TRUE,"Table 1 YTD";#N/A,#N/A,TRUE,"Tables 2 to 4 PL";#N/A,#N/A,TRUE,"Tables 5 to 9 ALLL";#N/A,#N/A,TRUE,"Table 10 to 13 - Balance Sheet"}</definedName>
    <definedName name="kkk" localSheetId="5" hidden="1">{#N/A,#N/A,TRUE,"BUD VS ACT AUST 96";#N/A,#N/A,TRUE,"96 COMP P&amp;L-AUST";#N/A,#N/A,TRUE,"COMP BS-AUSTRALIA";#N/A,#N/A,TRUE,"B/S - AUSTR."}</definedName>
    <definedName name="kkkk" localSheetId="5" hidden="1">{#N/A,#N/A,TRUE,"BUD VS ACT AUST 96";#N/A,#N/A,TRUE,"96 COMP P&amp;L-AUST";#N/A,#N/A,TRUE,"COMP BS-AUSTRALIA";#N/A,#N/A,TRUE,"B/S - AUSTR."}</definedName>
    <definedName name="kkkkkkk" localSheetId="5" hidden="1">{#N/A,#N/A,TRUE,"BUD VS ACT AUST 96";#N/A,#N/A,TRUE,"96 COMP P&amp;L-AUST";#N/A,#N/A,TRUE,"COMP BS-AUSTRALIA";#N/A,#N/A,TRUE,"B/S - AUSTR."}</definedName>
    <definedName name="klklkl" localSheetId="5" hidden="1">{#N/A,#N/A,TRUE,"BUD VS ACT AUST 96";#N/A,#N/A,TRUE,"96 COMP P&amp;L-AUST";#N/A,#N/A,TRUE,"COMP BS-AUSTRALIA";#N/A,#N/A,TRUE,"B/S - AUSTR."}</definedName>
    <definedName name="kslkjkjlkjd" localSheetId="5" hidden="1">{#N/A,#N/A,FALSE,"REPORT"}</definedName>
    <definedName name="ku" localSheetId="5" hidden="1">{#N/A,#N/A,TRUE,"BUD VS ACT AUST 96";#N/A,#N/A,TRUE,"96 COMP P&amp;L-AUST";#N/A,#N/A,TRUE,"COMP BS-AUSTRALIA";#N/A,#N/A,TRUE,"B/S - AUSTR."}</definedName>
    <definedName name="L" localSheetId="5" hidden="1">#REF!</definedName>
    <definedName name="Labourcost__h" localSheetId="5">#REF!</definedName>
    <definedName name="LaonPeriodCurrent" localSheetId="5">#REF!</definedName>
    <definedName name="lee" localSheetId="5" hidden="1">{#N/A,#N/A,FALSE,"Pharm";#N/A,#N/A,FALSE,"WWCM"}</definedName>
    <definedName name="lfj" localSheetId="5" hidden="1">{#N/A,#N/A,FALSE,"TABLE_1 YTD";#N/A,#N/A,FALSE,"TABLE_1A QTD";#N/A,#N/A,FALSE,"NORMAL_SPREAD_QTD";#N/A,#N/A,FALSE,"NORMAL_SPREAD_YTD";#N/A,#N/A,FALSE,"TAX_EQV";#N/A,#N/A,FALSE,"TAX EQUIV_INPUT";#N/A,#N/A,FALSE,"NET FROM FER";#N/A,#N/A,FALSE,"COVER"}</definedName>
    <definedName name="Lifeguard" localSheetId="5">#REF!</definedName>
    <definedName name="lkj" localSheetId="5" hidden="1">#REF!</definedName>
    <definedName name="ll" localSheetId="5" hidden="1">{#N/A,#N/A,FALSE,"PL-FS";#N/A,#N/A,FALSE,"PL"}</definedName>
    <definedName name="lll" localSheetId="5">#REF!</definedName>
    <definedName name="lnk_Print_Area" localSheetId="5" hidden="1">#REF!</definedName>
    <definedName name="Loan_Amount" localSheetId="5">#REF!</definedName>
    <definedName name="Loan_Not_Paid" localSheetId="5">IF(#REF!&lt;='IV. EBITDA Adjustments'!Number_of_Payments,1,0)</definedName>
    <definedName name="Loan2016" localSheetId="5">(#REF!*#REF!*#REF!*#REF!)&gt;0</definedName>
    <definedName name="Loan2017" localSheetId="5">(#REF!*#REF!*#REF!*#REF!)&gt;0</definedName>
    <definedName name="Loan2018" localSheetId="5">(#REF!*#REF!*#REF!*#REF!)&gt;0</definedName>
    <definedName name="LoanAmount" localSheetId="5">#REF!</definedName>
    <definedName name="LoanAmount2014" localSheetId="5">#REF!</definedName>
    <definedName name="LoanAmount2016" localSheetId="5">#REF!</definedName>
    <definedName name="LoanAmount2017" localSheetId="5">#REF!</definedName>
    <definedName name="LoanAmount2018" localSheetId="5">#REF!</definedName>
    <definedName name="LoanAmountCurrent" localSheetId="5">#REF!</definedName>
    <definedName name="LoanAmountRealEstate" localSheetId="5">#REF!</definedName>
    <definedName name="LoanIsGood" localSheetId="5">(#REF!*#REF!*#REF!*#REF!)&gt;0</definedName>
    <definedName name="LoanPeriod" localSheetId="5">#REF!</definedName>
    <definedName name="LoanPeriod2014" localSheetId="5">#REF!</definedName>
    <definedName name="LoanPeriod2016" localSheetId="5">#REF!</definedName>
    <definedName name="LoanPeriod2017" localSheetId="5">#REF!</definedName>
    <definedName name="LoanPeriod2018" localSheetId="5">#REF!</definedName>
    <definedName name="LoanPeriodRealEstate" localSheetId="5">#REF!</definedName>
    <definedName name="LoanRealEstate" localSheetId="5">(#REF!*#REF!*#REF!*#REF!)&gt;0</definedName>
    <definedName name="LoanStartDate" localSheetId="5">#REF!</definedName>
    <definedName name="LoanStartDate2014" localSheetId="5">#REF!</definedName>
    <definedName name="LoanStartDate2016" localSheetId="5">#REF!</definedName>
    <definedName name="LoanStartDate2017" localSheetId="5">#REF!</definedName>
    <definedName name="LoanStartDate2018" localSheetId="5">#REF!</definedName>
    <definedName name="LoanStartDateCurrent" localSheetId="5">#REF!</definedName>
    <definedName name="LoanStartDateRealEstate" localSheetId="5">#REF!</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tion" localSheetId="5">#REF!</definedName>
    <definedName name="LOI" localSheetId="5" hidden="1">{#N/A,#N/A,FALSE,"TABLE_1 YTD";#N/A,#N/A,FALSE,"TABLE_1A QTD";#N/A,#N/A,FALSE,"NORMAL_SPREAD_QTD";#N/A,#N/A,FALSE,"NORMAL_SPREAD_YTD";#N/A,#N/A,FALSE,"TAX_EQV";#N/A,#N/A,FALSE,"TAX EQUIV_INPUT";#N/A,#N/A,FALSE,"NET FROM FER";#N/A,#N/A,FALSE,"COVER"}</definedName>
    <definedName name="LookupIndex" localSheetId="5">#REF!</definedName>
    <definedName name="m" localSheetId="5" hidden="1">{#N/A,#N/A,FALSE,"COVER";#N/A,#N/A,FALSE,"Index";#N/A,#N/A,FALSE,"Non-Earning";#N/A,#N/A,FALSE,"Commercial";#N/A,#N/A,FALSE,"Detailed"}</definedName>
    <definedName name="M_A" localSheetId="5" hidden="1">{#N/A,#N/A,FALSE,"Rev Grwth";#N/A,#N/A,FALSE,"Op Inc Grwth";#N/A,#N/A,FALSE,"Net Grwth";#N/A,#N/A,FALSE,"EPS Growth"}</definedName>
    <definedName name="M_PlaceofPath" localSheetId="5" hidden="1">"G:\blabla"</definedName>
    <definedName name="MACTCostout" localSheetId="5">#REF!</definedName>
    <definedName name="MACTInvout" localSheetId="5">#REF!</definedName>
    <definedName name="Mar00" localSheetId="5" hidden="1">{"Statement of Income",#N/A,TRUE,"Mar99";"Balance Sheet",#N/A,TRUE,"Mar99"}</definedName>
    <definedName name="Mar00TB" localSheetId="5" hidden="1">{"Statement of Income",#N/A,TRUE,"Mar99";"Balance Sheet",#N/A,TRUE,"Mar99"}</definedName>
    <definedName name="mar00tb1" localSheetId="5" hidden="1">{"Statement of Income",#N/A,TRUE,"Mar99";"Balance Sheet",#N/A,TRUE,"Mar99"}</definedName>
    <definedName name="mason?" localSheetId="5" hidden="1">{#N/A,#N/A,FALSE,"Data &amp; Key Results";#N/A,#N/A,FALSE,"Summary Template";#N/A,#N/A,FALSE,"Budget";#N/A,#N/A,FALSE,"Present Value Comparison";#N/A,#N/A,FALSE,"Cashflow";#N/A,#N/A,FALSE,"Income";#N/A,#N/A,FALSE,"Inputs"}</definedName>
    <definedName name="mason2" localSheetId="5" hidden="1">{#N/A,#N/A,FALSE,"Data &amp; Key Results";#N/A,#N/A,FALSE,"Summary Template";#N/A,#N/A,FALSE,"Budget";#N/A,#N/A,FALSE,"Present Value Comparison";#N/A,#N/A,FALSE,"Cashflow";#N/A,#N/A,FALSE,"Income";#N/A,#N/A,FALSE,"Inputs"}</definedName>
    <definedName name="mason3" localSheetId="5" hidden="1">{#N/A,#N/A,FALSE,"Data &amp; Key Results";#N/A,#N/A,FALSE,"Summary Template";#N/A,#N/A,FALSE,"Budget";#N/A,#N/A,FALSE,"Present Value Comparison";#N/A,#N/A,FALSE,"Cashflow";#N/A,#N/A,FALSE,"Income";#N/A,#N/A,FALSE,"Inputs"}</definedName>
    <definedName name="mason4" localSheetId="5" hidden="1">{#N/A,#N/A,FALSE,"Data &amp; Key Results";#N/A,#N/A,FALSE,"Summary Template";#N/A,#N/A,FALSE,"Budget";#N/A,#N/A,FALSE,"Present Value Comparison";#N/A,#N/A,FALSE,"Cashflow";#N/A,#N/A,FALSE,"Income";#N/A,#N/A,FALSE,"Inputs"}</definedName>
    <definedName name="mason5" localSheetId="5" hidden="1">{#N/A,#N/A,FALSE,"Data &amp; Key Results";#N/A,#N/A,FALSE,"Summary Template";#N/A,#N/A,FALSE,"Budget";#N/A,#N/A,FALSE,"Present Value Comparison";#N/A,#N/A,FALSE,"Cashflow";#N/A,#N/A,FALSE,"Income";#N/A,#N/A,FALSE,"Inputs"}</definedName>
    <definedName name="masonII" localSheetId="5" hidden="1">{#N/A,#N/A,FALSE,"Data &amp; Key Results";#N/A,#N/A,FALSE,"Summary Template";#N/A,#N/A,FALSE,"Budget";#N/A,#N/A,FALSE,"Present Value Comparison";#N/A,#N/A,FALSE,"Cashflow";#N/A,#N/A,FALSE,"Income";#N/A,#N/A,FALSE,"Inputs"}</definedName>
    <definedName name="MerrillPrintIt" localSheetId="5" hidden="1">#REF!</definedName>
    <definedName name="Method_abbrev" localSheetId="5">#REF!</definedName>
    <definedName name="mgmtfee" localSheetId="5">#REF!</definedName>
    <definedName name="mgmtfees" localSheetId="5">#REF!</definedName>
    <definedName name="Mie" localSheetId="5" hidden="1">#REF!</definedName>
    <definedName name="min" localSheetId="5" hidden="1">{#N/A,#N/A,FALSE,"REPORT"}</definedName>
    <definedName name="mina" localSheetId="5" hidden="1">{#N/A,#N/A,FALSE,"REPORT"}</definedName>
    <definedName name="mkj" localSheetId="5" hidden="1">{#N/A,#N/A,TRUE,"A";#N/A,#N/A,TRUE,"B";#N/A,#N/A,TRUE,"C";#N/A,#N/A,TRUE,"D";#N/A,#N/A,TRUE,"E"}</definedName>
    <definedName name="MLNK00d48aea1172490e8970884bfd0bc5ab" localSheetId="5" hidden="1">#REF!</definedName>
    <definedName name="MLNK00d8e64d840b46bea261783566ad72fd" localSheetId="5" hidden="1">#REF!</definedName>
    <definedName name="MLNK010e3d03325640fbbfa78190084e5e55" localSheetId="5" hidden="1">#REF!</definedName>
    <definedName name="MLNK018bfad56a014b6f84cfc7fb40567079" localSheetId="5" hidden="1">#REF!</definedName>
    <definedName name="MLNK01c3f180173548f9b3518767c367e255" localSheetId="5" hidden="1">#REF!</definedName>
    <definedName name="MLNK02152b7ac4cf43e68ef13bfa3f5e34b5" localSheetId="5" hidden="1">#REF!</definedName>
    <definedName name="MLNK02a642675097453c99726ed1eadfc982" localSheetId="5" hidden="1">#REF!</definedName>
    <definedName name="MLNK02aea829eba74d478a4d07f5e53d1edd" localSheetId="5" hidden="1">#REF!</definedName>
    <definedName name="MLNK02b436c54d1d4f1fb7ece854589ebc3b" localSheetId="5" hidden="1">#REF!</definedName>
    <definedName name="MLNK02ddb7e50a9a4088ad89faf3155f305e" localSheetId="5" hidden="1">#REF!</definedName>
    <definedName name="MLNK0365e2134fd54e1c8a59696978fd7f3d" localSheetId="5" hidden="1">#REF!</definedName>
    <definedName name="MLNK037a70f6dc4c4ccc86d3bc951b2599a8" localSheetId="5" hidden="1">#REF!</definedName>
    <definedName name="MLNK03d895c600f84237af0a9f6d50dde8ed" localSheetId="5" hidden="1">#REF!</definedName>
    <definedName name="MLNK04075ac9c75d447c8a0ebdbdc9a54c65" localSheetId="5" hidden="1">#REF!</definedName>
    <definedName name="MLNK041eecdb09db42f2b1830deb0adcca97" localSheetId="5" hidden="1">#REF!</definedName>
    <definedName name="MLNK043d7124ab0442d0a39b403197c01402" localSheetId="5" hidden="1">#REF!</definedName>
    <definedName name="MLNK044a71679f47458eaf36d10fdaae790f" localSheetId="5" hidden="1">#REF!</definedName>
    <definedName name="MLNK049def977a854a32b6d9fae794c51186" localSheetId="5" hidden="1">#REF!</definedName>
    <definedName name="MLNK04b34d7237ff4693803d53b078679e77" localSheetId="5" hidden="1">#REF!</definedName>
    <definedName name="MLNK04b6c35a0af34609870338b319dc73c6" localSheetId="5" hidden="1">#REF!</definedName>
    <definedName name="MLNK04baecedd8f843f7b8ab7f1e046494dc" localSheetId="5" hidden="1">#REF!</definedName>
    <definedName name="MLNK04c12b15290e4102b331188b33f480a5" localSheetId="5" hidden="1">#REF!</definedName>
    <definedName name="MLNK04e5a28d84a040ef8f83d3c026042dad" localSheetId="5" hidden="1">#REF!</definedName>
    <definedName name="MLNK04ed437773d6468f978a880d6fea840e" localSheetId="5" hidden="1">#REF!</definedName>
    <definedName name="MLNK052f3789d18e4da4b8a206db6d662f8c" localSheetId="5" hidden="1">#REF!</definedName>
    <definedName name="MLNK055891053a474c2da6a013d17eafcd56" localSheetId="5" hidden="1">#REF!</definedName>
    <definedName name="MLNK055957a194f74f8e9bafb258f3f928dc" localSheetId="5" hidden="1">#REF!</definedName>
    <definedName name="MLNK05e6e043f65a4369a35a8eca3ec1cd81" localSheetId="5" hidden="1">#REF!</definedName>
    <definedName name="MLNK060e2b647fc847038ccaa50e705b32b2" localSheetId="5" hidden="1">#REF!</definedName>
    <definedName name="MLNK064c2e8abed14178b8e9385f23e95e0f" localSheetId="5" hidden="1">#REF!</definedName>
    <definedName name="MLNK067b24e2d36045bcad70be643c35de32" localSheetId="5" hidden="1">#REF!</definedName>
    <definedName name="MLNK070510d453cb48d1938cdcf099afbdfc" localSheetId="5" hidden="1">#REF!</definedName>
    <definedName name="MLNK077f2649cfa54691bf98644e2b70ea32" localSheetId="5" hidden="1">#REF!</definedName>
    <definedName name="MLNK07a48200f15c4498a1034433e59fb9ee" localSheetId="5" hidden="1">#REF!</definedName>
    <definedName name="MLNK07be263f2fcd4d15883e60ea0124e0f8" localSheetId="5" hidden="1">#REF!</definedName>
    <definedName name="MLNK0810a7425db84fdbafb57121a4c1bdc7" localSheetId="5" hidden="1">#REF!</definedName>
    <definedName name="MLNK082f62a9898f4a6ebf0892b9a8dee313" localSheetId="5" hidden="1">#REF!</definedName>
    <definedName name="MLNK0837b19ae8b44ca0afd72e4ea716841d" localSheetId="5" hidden="1">#REF!</definedName>
    <definedName name="MLNK089379dd25fc469a8b451627548465a0" localSheetId="5" hidden="1">#REF!</definedName>
    <definedName name="MLNK08b0d9ab9b7f4a019f01558fa42f52cc" localSheetId="5" hidden="1">#REF!</definedName>
    <definedName name="MLNK0912ba9e3fb34f3481c5166500565f98" localSheetId="5" hidden="1">#REF!</definedName>
    <definedName name="MLNK0932a8a0f6734900b5db162af6d4008b" localSheetId="5" hidden="1">#REF!</definedName>
    <definedName name="MLNK09676ee764e448008376f2bfff9e384d" localSheetId="5" hidden="1">#REF!</definedName>
    <definedName name="MLNK09ca8a4d426f43c6957f64d21c1ea6f2" localSheetId="5" hidden="1">#REF!</definedName>
    <definedName name="MLNK0a25e559e0ca40d3b117c10dde841c8d" localSheetId="5" hidden="1">#REF!</definedName>
    <definedName name="MLNK0a4500987a0d44bea968f35f842414e7" localSheetId="5" hidden="1">#REF!</definedName>
    <definedName name="MLNK0b0460e4acf542378be2a3d79b7df220" localSheetId="5" hidden="1">#REF!</definedName>
    <definedName name="MLNK0b4b5f3a99ce4b28b1cca53ba01bc3c8" localSheetId="5" hidden="1">#REF!</definedName>
    <definedName name="MLNK0b60f77ace8b4dd786fd1017a509d59f" localSheetId="5" hidden="1">#REF!</definedName>
    <definedName name="MLNK0b6138e25adf4209b99f73f49521a659" localSheetId="5" hidden="1">#REF!</definedName>
    <definedName name="MLNK0b6d7acf1537445c8df3df619eeadc70" localSheetId="5" hidden="1">#REF!</definedName>
    <definedName name="MLNK0ba6122f99414cc7a645ceac1926563b" localSheetId="5" hidden="1">#REF!</definedName>
    <definedName name="MLNK0c19dec1a7144650b526abd40fd3e1c9" localSheetId="5" hidden="1">#REF!</definedName>
    <definedName name="MLNK0c29236af04547d8895347a76fdbff29" localSheetId="5" hidden="1">#REF!</definedName>
    <definedName name="MLNK0c5c90a12de446c89616d37cadb8f863" localSheetId="5" hidden="1">#REF!</definedName>
    <definedName name="MLNK0ca8413a6a4e48109c00e972f8591f15" localSheetId="5" hidden="1">#REF!</definedName>
    <definedName name="MLNK0d71dc310fad49ec85da7434597cd6be" localSheetId="5" hidden="1">#REF!</definedName>
    <definedName name="MLNK0db0f33ed0324031b6b3ea38ff41c6b3" localSheetId="5" hidden="1">#REF!</definedName>
    <definedName name="MLNK0e30595ea35a4b91a9f0400f7da90810" localSheetId="5" hidden="1">#REF!</definedName>
    <definedName name="MLNK0ebc8ed7c46c46d58e01b3a65cc25bad" localSheetId="5" hidden="1">#REF!</definedName>
    <definedName name="MLNK0ec975729a544ee48ecaa4993f759464" localSheetId="5" hidden="1">#REF!</definedName>
    <definedName name="MLNK0f4d9d09d85b4de0b9b261242c3c6f1c" localSheetId="5" hidden="1">#REF!</definedName>
    <definedName name="MLNK0f79f0b17a0c4338ba2c447b8558f837" localSheetId="5" hidden="1">#REF!</definedName>
    <definedName name="MLNK0fa679e88a084677a1120db6a61735ad" localSheetId="5" hidden="1">#REF!</definedName>
    <definedName name="MLNK1024adbc06ef4afc80af92796cef5eb2" localSheetId="5" hidden="1">#REF!</definedName>
    <definedName name="MLNK102a6a0da87b49bd8c869ffdcb8f6a5c" localSheetId="5" hidden="1">#REF!</definedName>
    <definedName name="MLNK107e4e6ac1144bfaa2bc2084e05a38b1" localSheetId="5" hidden="1">#REF!</definedName>
    <definedName name="MLNK109a5f09a9564408889aa0ff076188fd" localSheetId="5" hidden="1">#REF!</definedName>
    <definedName name="MLNK11662eaef76e4b34a9367a4acb7fe680" localSheetId="5" hidden="1">#REF!</definedName>
    <definedName name="MLNK11ad7f67537f4d04b5b5e34d17a1dfe7" localSheetId="5" hidden="1">#REF!</definedName>
    <definedName name="MLNK11e2a30c9b564beeb398ac3e535a96de" localSheetId="5" hidden="1">#REF!</definedName>
    <definedName name="MLNK127813a1a6254a548e091fd36e1fbb47" localSheetId="5" hidden="1">#REF!</definedName>
    <definedName name="MLNK12defab03df94ea382b71e4a83c23c96" localSheetId="5" hidden="1">#REF!</definedName>
    <definedName name="MLNK12ed6ce69f62416b95961c29a9028b88" localSheetId="5" hidden="1">#REF!</definedName>
    <definedName name="MLNK12f7145ce43446359e563854d28497d8" localSheetId="5" hidden="1">#REF!</definedName>
    <definedName name="MLNK130ff3045ac04ccfa29018a9af525d40" localSheetId="5" hidden="1">#REF!</definedName>
    <definedName name="MLNK134f38e34bcd4dbc84982cc9d8fa79cc" localSheetId="5" hidden="1">#REF!</definedName>
    <definedName name="MLNK1352b7f45b1d412299a3ad4b5f3b89fc" localSheetId="5" hidden="1">#REF!</definedName>
    <definedName name="MLNK136a8efde5d14d7880780cb4288214c8" localSheetId="5" hidden="1">#REF!</definedName>
    <definedName name="MLNK13ddbac3ec9a4aa09442d2baa6c598cb" localSheetId="5" hidden="1">#REF!</definedName>
    <definedName name="MLNK1487ebd7dc5c4b63894d68c0c881662c" localSheetId="5" hidden="1">#REF!</definedName>
    <definedName name="MLNK14e06d7cc4024f199e311d3b65bbb63c" localSheetId="5" hidden="1">#REF!</definedName>
    <definedName name="MLNK14f348b8868749d6a8a95c58ed0ab190" localSheetId="5" hidden="1">#REF!</definedName>
    <definedName name="MLNK1502445670b740809babbf80893a2fc6" localSheetId="5" hidden="1">#REF!</definedName>
    <definedName name="MLNK152443f4dc284530ae9feab3cf399049" localSheetId="5" hidden="1">#REF!</definedName>
    <definedName name="MLNK15426febeea146dbb161891fa048bd4e" localSheetId="5" hidden="1">#REF!</definedName>
    <definedName name="MLNK155ed824d11e499683ac57119c33dda9" localSheetId="5" hidden="1">#REF!</definedName>
    <definedName name="MLNK15b7ef3db664462fa849976ff9d7981c" localSheetId="5" hidden="1">#REF!</definedName>
    <definedName name="MLNK15ce2520bab04a56a1b91f68d2bb2193" localSheetId="5" hidden="1">#REF!</definedName>
    <definedName name="MLNK162f966938f04101b98c78f158531e27" localSheetId="5" hidden="1">#REF!</definedName>
    <definedName name="MLNK1640758764ae42f58854a84587013ad5" localSheetId="5" hidden="1">#REF!</definedName>
    <definedName name="MLNK1667141e14db4dddafe801602f6dbbe4" localSheetId="5" hidden="1">#REF!</definedName>
    <definedName name="MLNK168568dec16c423ea55308759534aead" localSheetId="5" hidden="1">#REF!</definedName>
    <definedName name="MLNK16a713e7610a41beb1e604353d934383" localSheetId="5" hidden="1">#REF!</definedName>
    <definedName name="MLNK16bb90555bb549c4a8cb4cd97a93e068" localSheetId="5" hidden="1">#REF!</definedName>
    <definedName name="MLNK173613cafaad44b1b7af50510084e82e" localSheetId="5" hidden="1">#REF!</definedName>
    <definedName name="MLNK17543382e2bf4b3eaa92152d6f293baf" localSheetId="5" hidden="1">#REF!</definedName>
    <definedName name="MLNK17737a11b2a24bba8bb01c3ec1f7ae7a" localSheetId="5" hidden="1">#REF!</definedName>
    <definedName name="MLNK178577e9bca54e9fac9c3c155834084c" localSheetId="5" hidden="1">#REF!</definedName>
    <definedName name="MLNK17a250ca7ad54c63996c6439aaeaf61d" localSheetId="5" hidden="1">#REF!</definedName>
    <definedName name="MLNK182f57a86eca4d9b85a1b9529ba04b7b" localSheetId="5" hidden="1">#REF!</definedName>
    <definedName name="MLNK1858fd774bb344e7a103e6664db66667" localSheetId="5" hidden="1">#REF!</definedName>
    <definedName name="MLNK1878ac2ef4984cf88c7f6be575c72b35" localSheetId="5" hidden="1">#REF!</definedName>
    <definedName name="MLNK187aae0e1b444d2daa05f7fc058c71f3" localSheetId="5" hidden="1">#REF!</definedName>
    <definedName name="MLNK18c91ea14fe44af7b5151b4160cd85ee" localSheetId="5" hidden="1">#REF!</definedName>
    <definedName name="MLNK18d67e4ee034443ba5648d0dda6747bc" localSheetId="5" hidden="1">#REF!</definedName>
    <definedName name="MLNK18d7e2cdfe3c4b23bb4430da28ad21ed" localSheetId="5" hidden="1">#REF!</definedName>
    <definedName name="MLNK18ea120670984a17b7a93b6d9eb58e17" localSheetId="5" hidden="1">#REF!</definedName>
    <definedName name="MLNK18eb0f4412cb40a4ae711508efd03722" localSheetId="5" hidden="1">#REF!</definedName>
    <definedName name="MLNK1942f939dd30413084b5900bc3a48e91" localSheetId="5" hidden="1">#REF!</definedName>
    <definedName name="MLNK197a4e305f8e4a28923e9685bfe5755d" localSheetId="5" hidden="1">#REF!</definedName>
    <definedName name="MLNK19b612f645ba40d487eea870da703c63" localSheetId="5" hidden="1">#REF!</definedName>
    <definedName name="MLNK19da6caece2e4a0da0e0510020408a9f" localSheetId="5" hidden="1">#REF!</definedName>
    <definedName name="MLNK19e4b88b136243d6893d84d396dd2bd5" localSheetId="5" hidden="1">#REF!</definedName>
    <definedName name="MLNK1a0a6c0613af42ea92a854056e359225" localSheetId="5" hidden="1">#REF!</definedName>
    <definedName name="MLNK1a54210510d0478faa44db0489c964ab" localSheetId="5" hidden="1">#REF!</definedName>
    <definedName name="MLNK1ae0caeeb3404a96b18ca5f13d361dff" localSheetId="5" hidden="1">#REF!</definedName>
    <definedName name="MLNK1b25ef79157c4ecc86be17ec702147dd" localSheetId="5" hidden="1">#REF!</definedName>
    <definedName name="MLNK1b323a4c2490472c854bc05124ef80d4" localSheetId="5" hidden="1">#REF!</definedName>
    <definedName name="MLNK1b3e86fde2dd4141aabb68ae999a4618" localSheetId="5" hidden="1">#REF!</definedName>
    <definedName name="MLNK1b6576db0d4a4ecb9a3ceeef2c00a40c" localSheetId="5" hidden="1">#REF!</definedName>
    <definedName name="MLNK1bbde4f19d314fb39c326d95e637a7ce" localSheetId="5" hidden="1">#REF!</definedName>
    <definedName name="MLNK1bd17cb664b04a428b34b4b1a0645b8c" localSheetId="5" hidden="1">#REF!</definedName>
    <definedName name="MLNK1bde29be2bb04b7dba98a0a15c3656f7" localSheetId="5" hidden="1">#REF!</definedName>
    <definedName name="MLNK1c5a2340dcf14e12be7f6bb726377d0e" localSheetId="5" hidden="1">#REF!</definedName>
    <definedName name="MLNK1c83a07ed2a14eb297a3aafd495ea8f8" localSheetId="5" hidden="1">#REF!</definedName>
    <definedName name="MLNK1cbe96a220924eddb8390adadf496f4d" localSheetId="5" hidden="1">#REF!</definedName>
    <definedName name="MLNK1ccc525d461f4385af0cd2b35871489f" localSheetId="5" hidden="1">#REF!</definedName>
    <definedName name="MLNK1ce918b7705549a0afa18a494254a124" localSheetId="5" hidden="1">#REF!</definedName>
    <definedName name="MLNK1d1e5a3b1a924e08b4662e46be3f2d38" localSheetId="5" hidden="1">#REF!</definedName>
    <definedName name="MLNK1d5c895f4eea41f2b718762490aa5e5b" localSheetId="5" hidden="1">#REF!</definedName>
    <definedName name="MLNK1d87f7352fcc4050afa51b0b23b6df7b" localSheetId="5" hidden="1">#REF!</definedName>
    <definedName name="MLNK1db60897d9174faa80ff6d287eeac8b8" localSheetId="5" hidden="1">#REF!</definedName>
    <definedName name="MLNK1dd499f1d55b466eb23c641e6a6136f8" localSheetId="5" hidden="1">#REF!</definedName>
    <definedName name="MLNK1de8cf250711483ba35281509ce426a3" localSheetId="5" hidden="1">#REF!</definedName>
    <definedName name="MLNK1df26a80b42a42b6a78fc14adb776be2" localSheetId="5" hidden="1">#REF!</definedName>
    <definedName name="MLNK1e3416f91afd4c7e8ea5b27fda52ad61" localSheetId="5" hidden="1">#REF!</definedName>
    <definedName name="MLNK1eb887c9286a439a884bc331ae8bd4c8" localSheetId="5" hidden="1">#REF!</definedName>
    <definedName name="MLNK1ebde96b05674a958c11f4ff3ffec652" localSheetId="5" hidden="1">#REF!</definedName>
    <definedName name="MLNK1ec749ccabbf4bccb4158cf9db8fa5a8" localSheetId="5" hidden="1">#REF!</definedName>
    <definedName name="MLNK1ed9a9c015714d9884c43ad771630ae0" localSheetId="5" hidden="1">#REF!</definedName>
    <definedName name="MLNK1fd1a613b4e042338ae9b944d7c75226" localSheetId="5" hidden="1">#REF!</definedName>
    <definedName name="MLNK2001e30c2e79462fb212bee2d523546c" localSheetId="5" hidden="1">#REF!</definedName>
    <definedName name="MLNK2004611481114fd7836a787ce7cbc787" localSheetId="5" hidden="1">#REF!</definedName>
    <definedName name="MLNK200f8b4ac20f454f8d2e8d1e53220a6e" localSheetId="5" hidden="1">#REF!</definedName>
    <definedName name="MLNK205684d319924bf28951b6697b190691" localSheetId="5" hidden="1">#REF!</definedName>
    <definedName name="MLNK2070a8a62489433ea2ef832a7b27ce8e" localSheetId="5" hidden="1">#REF!</definedName>
    <definedName name="MLNK20c0223ce6734d50a8190d7880163c4a" localSheetId="5" hidden="1">#REF!</definedName>
    <definedName name="MLNK20db4d3c94964f3a8f93dbbc366d2cfd" localSheetId="5" hidden="1">#REF!</definedName>
    <definedName name="MLNK20dfbb85d3b7401c99660bb1244ed3a9" localSheetId="5" hidden="1">#REF!</definedName>
    <definedName name="MLNK20ec3ff50f064852adb8fd689f113130" localSheetId="5" hidden="1">#REF!</definedName>
    <definedName name="MLNK21060abefe22464881ffa9dc4087f34a" localSheetId="5" hidden="1">#REF!</definedName>
    <definedName name="MLNK21407499ba784667b4908f9c47c07ba0" localSheetId="5" hidden="1">#REF!</definedName>
    <definedName name="MLNK215d6ec32f3f4db6a3d798cc5297a671" localSheetId="5" hidden="1">#REF!</definedName>
    <definedName name="MLNK216741f5dafc4782a31735a1bbf0c00b" localSheetId="5" hidden="1">#REF!</definedName>
    <definedName name="MLNK21819cd4be3747afaafe7fd6af1a80dd" localSheetId="5" hidden="1">#REF!</definedName>
    <definedName name="MLNK229a2b2b0c4a440a8dbf3b003bd22daf" localSheetId="5" hidden="1">#REF!</definedName>
    <definedName name="MLNK22c1dd1486eb4d0bbe8b6967d445e8fa" localSheetId="5" hidden="1">#REF!</definedName>
    <definedName name="MLNK22ce0c9beddd4f4da71913428d79398c" localSheetId="5" hidden="1">#REF!</definedName>
    <definedName name="MLNK22e9426a49e8430ba371851947a600ab" localSheetId="5" hidden="1">#REF!</definedName>
    <definedName name="MLNK22f9babadad14fe69bfb139dcfe3e073" localSheetId="5" hidden="1">#REF!</definedName>
    <definedName name="MLNK233feeaa85db4459a7b9b00424fa2ff8" localSheetId="5" hidden="1">#REF!</definedName>
    <definedName name="MLNK234aa67dc8194cb7b84c69195c2a78e7" localSheetId="5" hidden="1">#REF!</definedName>
    <definedName name="MLNK23a22acb0ce643cfab0c7c09267827be" localSheetId="5" hidden="1">#REF!</definedName>
    <definedName name="MLNK23aa398038ca4900a96aa29fa7fbdd3c" localSheetId="5" hidden="1">#REF!</definedName>
    <definedName name="MLNK23e7d64cf91849bf971cdd0e2506b3b9" localSheetId="5" hidden="1">#REF!</definedName>
    <definedName name="MLNK242f346894804e1886d2cf64cec38165" localSheetId="5" hidden="1">#REF!</definedName>
    <definedName name="MLNK246384bbcf194625b2933d5f1c38b570" localSheetId="5" hidden="1">#REF!</definedName>
    <definedName name="MLNK2474a500bbc54ae7929db86934bc6273" localSheetId="5" hidden="1">#REF!</definedName>
    <definedName name="MLNK248d278871b84e2792eedd558fb1f21a" localSheetId="5" hidden="1">#REF!</definedName>
    <definedName name="MLNK24a3535198864783b147b6db4dfd1e1e" localSheetId="5" hidden="1">#REF!</definedName>
    <definedName name="MLNK24cd202804cc4c9ab3044945bd3e3713" localSheetId="5" hidden="1">#REF!</definedName>
    <definedName name="MLNK2573f5f2b0a147228dcc43cff2d4ac48" localSheetId="5" hidden="1">#REF!</definedName>
    <definedName name="MLNK25774000f4c845548c231c7e9e2d28e9" localSheetId="5" hidden="1">#REF!</definedName>
    <definedName name="MLNK259ca339584144f5926618d12b15da3e" localSheetId="5" hidden="1">#REF!</definedName>
    <definedName name="MLNK25a89f60adf6498fb802aaec26c25d00" localSheetId="5" hidden="1">#REF!</definedName>
    <definedName name="MLNK25f9e2e8d5514c5489f2b23bea37f935" localSheetId="5" hidden="1">#REF!</definedName>
    <definedName name="MLNK266463e15e3f4d399b527a36514bf327" localSheetId="5" hidden="1">#REF!</definedName>
    <definedName name="MLNK26c398595c9545efbd82dca4a520047a" localSheetId="5" hidden="1">#REF!</definedName>
    <definedName name="MLNK26cda75b65fd41048c6f187517f0d6ba" localSheetId="5" hidden="1">#REF!</definedName>
    <definedName name="MLNK27b413fbc3074fa8a7204f0e322ac122" localSheetId="5" hidden="1">#REF!</definedName>
    <definedName name="MLNK27be72fe1eb749d3b5e9b01be33dfce4" localSheetId="5" hidden="1">#REF!</definedName>
    <definedName name="MLNK27f4b8570bad4ba0ad262108ff4c0490" localSheetId="5" hidden="1">#REF!</definedName>
    <definedName name="MLNK283fb3755a3949cf8c116f069e7c1f26" localSheetId="5" hidden="1">#REF!</definedName>
    <definedName name="MLNK28a0b1aa20c6443e83b6ef12d5d06102" localSheetId="5" hidden="1">#REF!</definedName>
    <definedName name="MLNK28d3e9b39a374a92b8582fe6c1b20cff" localSheetId="5" hidden="1">#REF!</definedName>
    <definedName name="MLNK291cdfb6f516442784c0baf3b12fde25" localSheetId="5" hidden="1">#REF!</definedName>
    <definedName name="MLNK29814a5538324abfbbc2da617e73d6f7" localSheetId="5" hidden="1">#REF!</definedName>
    <definedName name="MLNK299ae3da7f4f4b678de7f52a7f43c2db" localSheetId="5" hidden="1">#REF!</definedName>
    <definedName name="MLNK29c57d71f4d746e7898935907da19e0c" localSheetId="5" hidden="1">#REF!</definedName>
    <definedName name="MLNK29ddfe4369a14c9fbcc6eadd5635ac97" localSheetId="5" hidden="1">#REF!</definedName>
    <definedName name="MLNK29e39640eaab48838edc89ddf6129fad" localSheetId="5" hidden="1">#REF!</definedName>
    <definedName name="MLNK29e84db5458b45658bb97db4ee5141fa" localSheetId="5" hidden="1">#REF!</definedName>
    <definedName name="MLNK2a3ee11a92fa4dcda90e91c5ac75f4b8" localSheetId="5" hidden="1">#REF!</definedName>
    <definedName name="MLNK2a66a9a6067d41c4b732299fbf08c3ff" localSheetId="5" hidden="1">#REF!</definedName>
    <definedName name="MLNK2abee68d748f43408f3c78ff1aab5cd8" localSheetId="5" hidden="1">#REF!</definedName>
    <definedName name="MLNK2af37a8c5716436c80480d24bfdfebf5" localSheetId="5" hidden="1">#REF!</definedName>
    <definedName name="MLNK2b2c36ff82434559965b4adeae9bae8e" localSheetId="5" hidden="1">#REF!</definedName>
    <definedName name="MLNK2b452caa83434d14a5a8bf95fbfefdb4" localSheetId="5" hidden="1">#REF!</definedName>
    <definedName name="MLNK2b85baa9501840b6827700471c774d80" localSheetId="5" hidden="1">#REF!</definedName>
    <definedName name="MLNK2b9b059d0a2a4ffeafce19ba06c9cdb7" localSheetId="5" hidden="1">#REF!</definedName>
    <definedName name="MLNK2c18432822ef4f83a820c2daed1e8bc0" localSheetId="5" hidden="1">#REF!</definedName>
    <definedName name="MLNK2c1d34afd9114e0cb98026253739a18c" localSheetId="5" hidden="1">#REF!</definedName>
    <definedName name="MLNK2c9088fbcd634d40b09e37e4e2d3a7c4" localSheetId="5" hidden="1">#REF!</definedName>
    <definedName name="MLNK2cdcb8c0da344338857917f8e6cf0ea9" localSheetId="5" hidden="1">#REF!</definedName>
    <definedName name="MLNK2db7e1032d8c4d67a7116fb19fe6fa4a" localSheetId="5" hidden="1">#REF!</definedName>
    <definedName name="MLNK2dde9e6c41854b1e9663e48deaceee5a" localSheetId="5" hidden="1">#REF!</definedName>
    <definedName name="MLNK2e0e82da538e46ce9ca37e55f7f8e7f6" localSheetId="5" hidden="1">#REF!</definedName>
    <definedName name="MLNK2e229c7e6c1a4a3eb10431ebf4b8170e" localSheetId="5" hidden="1">#REF!</definedName>
    <definedName name="MLNK2e460db3c1dc4d9696b0d3ab336335e7" localSheetId="5" hidden="1">#REF!</definedName>
    <definedName name="MLNK2e74d86902b44d1fb46c4e137bcb62a8" localSheetId="5" hidden="1">#REF!</definedName>
    <definedName name="MLNK2e82277e5cfc441690b7a45bea95cbd7" localSheetId="5" hidden="1">#REF!</definedName>
    <definedName name="MLNK2e90962703ad48c792ea668d84149920" localSheetId="5" hidden="1">#REF!</definedName>
    <definedName name="MLNK2f0b5324375b449b94bf8a49a9cb7754" localSheetId="5" hidden="1">#REF!</definedName>
    <definedName name="MLNK2f4a112b947843ec96ec0f617edea6b0" localSheetId="5" hidden="1">#REF!</definedName>
    <definedName name="MLNK2fcc315946d0479abaaccbea735dcd40" localSheetId="5" hidden="1">#REF!</definedName>
    <definedName name="MLNK2fdab45756db44ec9d00cc9a3ff181d6" localSheetId="5" hidden="1">#REF!</definedName>
    <definedName name="MLNK300a116a290b4ed4b3002b11ff01efdb" localSheetId="5" hidden="1">#REF!</definedName>
    <definedName name="MLNK3023dd2be278431c949d5f4b2ac68deb" localSheetId="5" hidden="1">#REF!</definedName>
    <definedName name="MLNK303b4d13bf9d4ab6b918ec321bc7d36d" localSheetId="5" hidden="1">#REF!</definedName>
    <definedName name="MLNK30b27c2cda9f470faea966f90bdec659" localSheetId="5" hidden="1">#REF!</definedName>
    <definedName name="MLNK3183f1eaa02944f8af9a4551bab49622" localSheetId="5" hidden="1">#REF!</definedName>
    <definedName name="MLNK3191c7771c5c4908bde70ad7e0523638" localSheetId="5" hidden="1">#REF!</definedName>
    <definedName name="MLNK31c437e513bd43708561c0a56b16836b" localSheetId="5" hidden="1">#REF!</definedName>
    <definedName name="MLNK32306623c2454cb5ab9187ccf45e85bd" localSheetId="5" hidden="1">#REF!</definedName>
    <definedName name="MLNK32fd0f86f0a34afdaee1f5a585a58c2c" localSheetId="5" hidden="1">#REF!</definedName>
    <definedName name="MLNK32fedbfa15dc4117823fbf9e82354c14" localSheetId="5" hidden="1">#REF!</definedName>
    <definedName name="MLNK330402a1548a4d9db672e63636a88dba" localSheetId="5" hidden="1">#REF!</definedName>
    <definedName name="MLNK33217662758946f9a7f766d1fe4702be" localSheetId="5" hidden="1">#REF!</definedName>
    <definedName name="MLNK3368011a33ba4a689529c8f0245ec003" localSheetId="5" hidden="1">#REF!</definedName>
    <definedName name="MLNK33aa50c1f4864f5f92625202d233ad79" localSheetId="5" hidden="1">#REF!</definedName>
    <definedName name="MLNK3407049f52d24608aa04c9e1dae82693" localSheetId="5" hidden="1">#REF!</definedName>
    <definedName name="MLNK3444215ad6674dc19fab8268343d3ee7" localSheetId="5" hidden="1">#REF!</definedName>
    <definedName name="MLNK34ea0417da44458e98269b90c5445c1b" localSheetId="5" hidden="1">#REF!</definedName>
    <definedName name="MLNK35525a34df824ef08bc71bc6c1025b5e" localSheetId="5" hidden="1">#REF!</definedName>
    <definedName name="MLNK355f5c4e8de5414fa6caf0579afc5a94" localSheetId="5" hidden="1">#REF!</definedName>
    <definedName name="MLNK357f0b181d6a4cbbac71d014a5a8f524" localSheetId="5" hidden="1">#REF!</definedName>
    <definedName name="MLNK35912bca35884e638463d146863134bb" localSheetId="5" hidden="1">#REF!</definedName>
    <definedName name="MLNK35b610b967514c518799192b3a025611" localSheetId="5" hidden="1">#REF!</definedName>
    <definedName name="MLNK35bcc842081945b9a4877e95b7f82936" localSheetId="5" hidden="1">#REF!</definedName>
    <definedName name="MLNK36d2e358aee44ad3a469ecc7f1efc28f" localSheetId="5" hidden="1">#REF!</definedName>
    <definedName name="MLNK374c68b7739746d4a370cfaacf277aa1" localSheetId="5" hidden="1">#REF!</definedName>
    <definedName name="MLNK374f82a5445c4b98becfe7b5d76f959a" localSheetId="5" hidden="1">#REF!</definedName>
    <definedName name="MLNK377cc58e48c24bb3914f519d36986e16" localSheetId="5" hidden="1">#REF!</definedName>
    <definedName name="MLNK379663da8d494ce2963dbe58a65c43a1" localSheetId="5" hidden="1">#REF!</definedName>
    <definedName name="MLNK3818a537fd50435c8443f12af0070f8a" localSheetId="5" hidden="1">#REF!</definedName>
    <definedName name="MLNK3841ed7b84fe495094681d8873f2c710" localSheetId="5" hidden="1">#REF!</definedName>
    <definedName name="MLNK3894a42fcffc46fa83b48f2f455a1892" localSheetId="5" hidden="1">#REF!</definedName>
    <definedName name="MLNK38a93eff606b42d3964eda691fb0138d" localSheetId="5" hidden="1">#REF!</definedName>
    <definedName name="MLNK38ca0951e89f4f1d8ade9594aad915ad" localSheetId="5" hidden="1">#REF!</definedName>
    <definedName name="MLNK3933a2df57e34583986032bdeb424b65" localSheetId="5" hidden="1">#REF!</definedName>
    <definedName name="MLNK3995b3421bea4957ab58a57e281927c9" localSheetId="5" hidden="1">#REF!</definedName>
    <definedName name="MLNK39c8079a2bfc484bbd9a6c6b4d07de1d" localSheetId="5" hidden="1">#REF!</definedName>
    <definedName name="MLNK39ed8c9a242a490181548740f180a9c9" localSheetId="5" hidden="1">#REF!</definedName>
    <definedName name="MLNK3a756cbdc0c6474a83ad9659a5ffb5d6" localSheetId="5" hidden="1">#REF!</definedName>
    <definedName name="MLNK3a7d26cf39d04e13a1e0f59b3cf1ac34" localSheetId="5" hidden="1">#REF!</definedName>
    <definedName name="MLNK3aee124db8a44e39804dcd74f89a6664" localSheetId="5" hidden="1">#REF!</definedName>
    <definedName name="MLNK3afd6ec422124a4280bd560d99a5eba9" localSheetId="5" hidden="1">#REF!</definedName>
    <definedName name="MLNK3b06213fb1014de39d7f7c54431d5b09" localSheetId="5" hidden="1">#REF!</definedName>
    <definedName name="MLNK3b42315a9d964ea4ba34b4278796ab20" localSheetId="5" hidden="1">#REF!</definedName>
    <definedName name="MLNK3b490f78d86c43a4ba5da5a64039855e" localSheetId="5" hidden="1">#REF!</definedName>
    <definedName name="MLNK3b524faec4ae4e4bb7710c9aa7bb1e5f" localSheetId="5" hidden="1">#REF!</definedName>
    <definedName name="MLNK3b541a2e3a954b89b9cd12b0eb03591c" localSheetId="5" hidden="1">#REF!</definedName>
    <definedName name="MLNK3b95ca2726664ee2b57b97a4c60f7da9" localSheetId="5" hidden="1">#REF!</definedName>
    <definedName name="MLNK3be619b7dc0d402782f00edc05ab351c" localSheetId="5" hidden="1">#REF!</definedName>
    <definedName name="MLNK3c627e7ee5f448969942c7a9faa6081b" localSheetId="5" hidden="1">#REF!</definedName>
    <definedName name="MLNK3cb3fb700bc44cc9837e39daf9249550" localSheetId="5" hidden="1">#REF!</definedName>
    <definedName name="MLNK3cd376d99e2b4eeda28f2f45624a5c45" localSheetId="5" hidden="1">#REF!</definedName>
    <definedName name="MLNK3ce12ae9f8b347e1b969b8686bfdfe72" localSheetId="5" hidden="1">#REF!</definedName>
    <definedName name="MLNK3d6b9da14f26447aaab74747ab31ec87" localSheetId="5" hidden="1">#REF!</definedName>
    <definedName name="MLNK3d93ff247b44478fad5e45e535c9514e" localSheetId="5" hidden="1">#REF!</definedName>
    <definedName name="MLNK3dc94b45582847b3ab6c30e6db918a4b" localSheetId="5" hidden="1">#REF!</definedName>
    <definedName name="MLNK3e136b76f6f0458d807d686e90e781c2" localSheetId="5" hidden="1">#REF!</definedName>
    <definedName name="MLNK3e48ddba77ba4516923752efec075f15" localSheetId="5" hidden="1">#REF!</definedName>
    <definedName name="MLNK3e53ca36e1e74f2b9c3887f1a57e2dd3" localSheetId="5" hidden="1">#REF!</definedName>
    <definedName name="MLNK3e6b5949989744febe30c0ce950b887b" localSheetId="5" hidden="1">#REF!</definedName>
    <definedName name="MLNK3e6e7c981264403f91bb706c64b4e1cc" localSheetId="5" hidden="1">#REF!</definedName>
    <definedName name="MLNK3e76f131abb041509d7aac5ad4e4f4da" localSheetId="5" hidden="1">#REF!</definedName>
    <definedName name="MLNK3f20583318934e1a985b3fb218f6cf2f" localSheetId="5" hidden="1">#REF!</definedName>
    <definedName name="MLNK3f343bad37a9439397dbd6fcde7d8de4" localSheetId="5" hidden="1">#REF!</definedName>
    <definedName name="MLNK3fa800fc53604c9fa4c169076c942124" localSheetId="5" hidden="1">#REF!</definedName>
    <definedName name="MLNK401f5f02698d4243848666f8a851e686" localSheetId="5" hidden="1">#REF!</definedName>
    <definedName name="MLNK4087003224b14ff29dc20d806f658a35" localSheetId="5" hidden="1">#REF!</definedName>
    <definedName name="MLNK40b9f550cd2d40e1a23c9d58b10442b6" localSheetId="5" hidden="1">#REF!</definedName>
    <definedName name="MLNK40d2191e823c4da2911e21ab3af4da2b" localSheetId="5" hidden="1">#REF!</definedName>
    <definedName name="MLNK40de5072625a45d0b118893f9b406066" localSheetId="5" hidden="1">#REF!</definedName>
    <definedName name="MLNK40ffd2860f5d4d15957a9c31ea485f92" localSheetId="5" hidden="1">#REF!</definedName>
    <definedName name="MLNK4119008fa8f04941acb729f1d48f780c" localSheetId="5" hidden="1">#REF!</definedName>
    <definedName name="MLNK41afdd2cee2c4e369431eaaaa672d917" localSheetId="5" hidden="1">#REF!</definedName>
    <definedName name="MLNK41b6a8a780fe4352b1c67caf098d9c81" localSheetId="5" hidden="1">#REF!</definedName>
    <definedName name="MLNK4202544caf9e4c90ab80923f1214781e" localSheetId="5" hidden="1">#REF!</definedName>
    <definedName name="MLNK421e897f741d4952aa632d335e71ed1c" localSheetId="5" hidden="1">#REF!</definedName>
    <definedName name="MLNK42b4cb02d65643168912e34a2a4d7f2e" localSheetId="5" hidden="1">#REF!</definedName>
    <definedName name="MLNK430cf43e8a734ab98b65790d0ec28b85" localSheetId="5" hidden="1">#REF!</definedName>
    <definedName name="MLNK43461bee059d480b89b6cd675b36ccb5" localSheetId="5" hidden="1">#REF!</definedName>
    <definedName name="MLNK43b4ade77b1b480587ab3b6070bdaf61" localSheetId="5" hidden="1">#REF!</definedName>
    <definedName name="MLNK43f1a5f6b89847a58b6fdae96b57e2dd" localSheetId="5" hidden="1">#REF!</definedName>
    <definedName name="MLNK43f4fd00cbce4f15849d903369f771dc" localSheetId="5" hidden="1">#REF!</definedName>
    <definedName name="MLNK442a5197cad145db945ab21b9c8b200c" localSheetId="5" hidden="1">#REF!</definedName>
    <definedName name="MLNK4469f5e72f9644ebb4fb728553ea8b7f" localSheetId="5" hidden="1">#REF!</definedName>
    <definedName name="MLNK448cf67a0a33444fb7741e08a9b2165f" localSheetId="5" hidden="1">#REF!</definedName>
    <definedName name="MLNK44fa9436e93345839dd30ae91074203f" localSheetId="5" hidden="1">#REF!</definedName>
    <definedName name="MLNK453cab05e6a44c15b72976e09a9831ae" localSheetId="5" hidden="1">#REF!</definedName>
    <definedName name="MLNK454cea6ef9f8417a9c84129b9df206cc" localSheetId="5" hidden="1">#REF!</definedName>
    <definedName name="MLNK45b880241b084b94acbe546cc47dafb4" localSheetId="5" hidden="1">#REF!</definedName>
    <definedName name="MLNK45bbf27d25e64bd09dba6cd078e73b55" localSheetId="5" hidden="1">#REF!</definedName>
    <definedName name="MLNK460dc94c4f3242dda7f460196f9e1836" localSheetId="5" hidden="1">#REF!</definedName>
    <definedName name="MLNK468781f1a56c4f7b9056af3f150c3d01" localSheetId="5" hidden="1">#REF!</definedName>
    <definedName name="MLNK4698963d1cd64c3cbb3c00339b2715ab" localSheetId="5" hidden="1">#REF!</definedName>
    <definedName name="MLNK46ac64f69e41430dbae711c8a31227b2" localSheetId="5" hidden="1">#REF!</definedName>
    <definedName name="MLNK46c2d3a36bf2488490292708b8f9feb5" localSheetId="5" hidden="1">#REF!</definedName>
    <definedName name="MLNK46cd212686fd4aff871cbe473595c1f4" localSheetId="5" hidden="1">#REF!</definedName>
    <definedName name="MLNK470a094db47f45bd86aa09e2eec85f94" localSheetId="5" hidden="1">#REF!</definedName>
    <definedName name="MLNK480ec09c0d4f4d57bacf8af14ff93e40" localSheetId="5" hidden="1">#REF!</definedName>
    <definedName name="MLNK482a72a757504185abeb196b4c2e8eac" localSheetId="5" hidden="1">#REF!</definedName>
    <definedName name="MLNK4879f7a0100442f19df60debe3894898" localSheetId="5" hidden="1">#REF!</definedName>
    <definedName name="MLNK48930a108bbc4d1e9bd50497dd86deb4" localSheetId="5" hidden="1">#REF!</definedName>
    <definedName name="MLNK48d1ea6d6ccd4a85b72f194cf7a6f271" localSheetId="5" hidden="1">#REF!</definedName>
    <definedName name="MLNK48e61342d81b4a01bdca4ce46a298839" localSheetId="5" hidden="1">#REF!</definedName>
    <definedName name="MLNK496a65f951294504bd0cc429c0620946" localSheetId="5" hidden="1">#REF!</definedName>
    <definedName name="MLNK497b1f6578814ea499f2045816063c56" localSheetId="5" hidden="1">#REF!</definedName>
    <definedName name="MLNK49db4a5128f84b5a944ba5c6aa4f2e5e" localSheetId="5" hidden="1">#REF!</definedName>
    <definedName name="MLNK4a0aaaa4ade34633a6f39809db59ce93" localSheetId="5" hidden="1">#REF!</definedName>
    <definedName name="MLNK4a4f1de30419440b9e6fce86c1c3ea6d" localSheetId="5" hidden="1">#REF!</definedName>
    <definedName name="MLNK4a5be1ff9d6d417494e78d1077939115" localSheetId="5" hidden="1">#REF!</definedName>
    <definedName name="MLNK4a82332111354264ba7c54403cfab047" localSheetId="5" hidden="1">#REF!</definedName>
    <definedName name="MLNK4ab70dc2735b42f2aa8726b707794056" localSheetId="5" hidden="1">#REF!</definedName>
    <definedName name="MLNK4ae1162da6924edbb77eb864286b52ec" localSheetId="5" hidden="1">#REF!</definedName>
    <definedName name="MLNK4afa9175c2a44f87b0416e8f4fa9153d" localSheetId="5" hidden="1">#REF!</definedName>
    <definedName name="MLNK4b3b9b2c509a49709ab64ea8279021ed" localSheetId="5" hidden="1">#REF!</definedName>
    <definedName name="MLNK4b3eacc50b834c62abf0ab00d4e07c7f" localSheetId="5" hidden="1">#REF!</definedName>
    <definedName name="MLNK4b40bbbaef344de0ab2a1c4c1549a012" localSheetId="5" hidden="1">#REF!</definedName>
    <definedName name="MLNK4b56ec77d2ba4c15942829c5ff584433" localSheetId="5" hidden="1">#REF!</definedName>
    <definedName name="MLNK4b869de81adf428db1532acf496b0194" localSheetId="5" hidden="1">#REF!</definedName>
    <definedName name="MLNK4b8c43bd0f2d489388c97469ffb92dc2" localSheetId="5" hidden="1">#REF!</definedName>
    <definedName name="MLNK4b94666561864b68b487863d6d2c00ee" localSheetId="5" hidden="1">#REF!</definedName>
    <definedName name="MLNK4ba48b82125544feb54b63a50d2993a1" localSheetId="5" hidden="1">#REF!</definedName>
    <definedName name="MLNK4bf9ca0a4035470ab9854379328e9681" localSheetId="5" hidden="1">#REF!</definedName>
    <definedName name="MLNK4c2708c39781424aa5add011985b25a2" localSheetId="5" hidden="1">#REF!</definedName>
    <definedName name="MLNK4c724cf6bfd64d28bbd8ce74243815c2" localSheetId="5" hidden="1">#REF!</definedName>
    <definedName name="MLNK4cea7123f087461caaba1948592ef750" localSheetId="5" hidden="1">#REF!</definedName>
    <definedName name="MLNK4cfbe0e23a354f0bacc5ad2f5da4c4ad" localSheetId="5" hidden="1">#REF!</definedName>
    <definedName name="MLNK4d2809775cd446e6a90014faac5dd8f5" localSheetId="5" hidden="1">#REF!</definedName>
    <definedName name="MLNK4d47096029b64b53b114e1f22b3b0f38" localSheetId="5" hidden="1">#REF!</definedName>
    <definedName name="MLNK4d7fda9b12f74ae49bf48ef6c5fd5340" localSheetId="5" hidden="1">#REF!</definedName>
    <definedName name="MLNK4d9e0f11ae5e428c937ce9be516b6a99" localSheetId="5" hidden="1">#REF!</definedName>
    <definedName name="MLNK4db1020c5d1346419402ca67cf26479c" localSheetId="5" hidden="1">#REF!</definedName>
    <definedName name="MLNK4dfd8bb2b1b14ccea2701f57b93d553e" localSheetId="5" hidden="1">#REF!</definedName>
    <definedName name="MLNK4e30f0d9bfd44f2dbf9e38ee71a57e77" localSheetId="5" hidden="1">#REF!</definedName>
    <definedName name="MLNK4e3e032ebe97403cb7ac1878b9b13549" localSheetId="5" hidden="1">#REF!</definedName>
    <definedName name="MLNK4e425536579c4453a655d9d556d31476" localSheetId="5" hidden="1">#REF!</definedName>
    <definedName name="MLNK4e9bdae243794a8daf62540f83c5aa10" localSheetId="5" hidden="1">#REF!</definedName>
    <definedName name="MLNK4f073a15c1c24d208e8dfdb08ee6d013" localSheetId="5" hidden="1">#REF!</definedName>
    <definedName name="MLNK4f20d2d4b620405a80207905474c0026" localSheetId="5" hidden="1">#REF!</definedName>
    <definedName name="MLNK4f9a486bc37347b29fe27af8480deb4e" localSheetId="5" hidden="1">#REF!</definedName>
    <definedName name="MLNK4f9b62606f434037bf8ee8f446547579" localSheetId="5" hidden="1">#REF!</definedName>
    <definedName name="MLNK4fb339189826401080c6579bbdb2860a" localSheetId="5" hidden="1">#REF!</definedName>
    <definedName name="MLNK501d597a47804366b59908f2aefe82f9" localSheetId="5" hidden="1">#REF!</definedName>
    <definedName name="MLNK5066a176457140b4ab8fef34359475b7" localSheetId="5" hidden="1">#REF!</definedName>
    <definedName name="MLNK509c50b0f30e41d2861594506e9a5b3d" localSheetId="5" hidden="1">#REF!</definedName>
    <definedName name="MLNK511a685c54b44dd0b4c40d4291f00c35" localSheetId="5" hidden="1">#REF!</definedName>
    <definedName name="MLNK51237db6785d4bbaacf9f6889f6cfabc" localSheetId="5" hidden="1">#REF!</definedName>
    <definedName name="MLNK5147170441994c8481cf8227dd3a195d" localSheetId="5" hidden="1">#REF!</definedName>
    <definedName name="MLNK51d3be7e8f4c44fa944705c24ac7c692" localSheetId="5" hidden="1">#REF!</definedName>
    <definedName name="MLNK5223518531274ba9b8944e931c5091f4" localSheetId="5" hidden="1">#REF!</definedName>
    <definedName name="MLNK5273f113756f4c699300085097bea1ac" localSheetId="5" hidden="1">#REF!</definedName>
    <definedName name="MLNK52a3c800b810441686324242468860af" localSheetId="5" hidden="1">#REF!</definedName>
    <definedName name="MLNK52b773a93c594b90828c2297469b7d75" localSheetId="5" hidden="1">#REF!</definedName>
    <definedName name="MLNK530a9e4d4663448eab3b6c97dcffbca7" localSheetId="5" hidden="1">#REF!</definedName>
    <definedName name="MLNK539da7e8b6df4b1ba62b9857d1c8b428" localSheetId="5" hidden="1">#REF!</definedName>
    <definedName name="MLNK53f4f99dd75b45668a7dbec1b7261904" localSheetId="5" hidden="1">#REF!</definedName>
    <definedName name="MLNK540e04f20112459aa5ef5755b541825e" localSheetId="5" hidden="1">#REF!</definedName>
    <definedName name="MLNK5419c38a82504718a60b37b75c6058c5" localSheetId="5" hidden="1">#REF!</definedName>
    <definedName name="MLNK546b60d4cec643f6b1f022d2fd84673e" localSheetId="5" hidden="1">#REF!</definedName>
    <definedName name="MLNK549b1164492642239189c8432acac595" localSheetId="5" hidden="1">#REF!</definedName>
    <definedName name="MLNK54aa1b85a6384b7e8738b9f361971039" localSheetId="5" hidden="1">#REF!</definedName>
    <definedName name="MLNK556a00d4e50b484d9794c0d6ad3d751a" localSheetId="5" hidden="1">#REF!</definedName>
    <definedName name="MLNK558089d3077d4fdc8ad112fbee95b79f" localSheetId="5" hidden="1">#REF!</definedName>
    <definedName name="MLNK558420cb2c3f4942b970d972a1f4004b" localSheetId="5" hidden="1">#REF!</definedName>
    <definedName name="MLNK55a655decbf6419eb2c91cf936552e1a" localSheetId="5" hidden="1">#REF!</definedName>
    <definedName name="MLNK55b544fbbb9f458cbe95286ff80bd221" localSheetId="5" hidden="1">#REF!</definedName>
    <definedName name="MLNK55b7396a5c5a4d428b86a86e0c9af448" localSheetId="5" hidden="1">#REF!</definedName>
    <definedName name="MLNK55e46825f9514c48852aa1b226b92cfc" localSheetId="5" hidden="1">#REF!</definedName>
    <definedName name="MLNK564779ce4b57458fae9e72aa61a4f78d" localSheetId="5" hidden="1">#REF!</definedName>
    <definedName name="MLNK5662e450df734a6bbd33a33ee472c231" localSheetId="5" hidden="1">#REF!</definedName>
    <definedName name="MLNK56784cfee8224356b96f48647bfb4487" localSheetId="5" hidden="1">#REF!</definedName>
    <definedName name="MLNK56818b66a82348ce99c0452d8f653c3f" localSheetId="5" hidden="1">#REF!</definedName>
    <definedName name="MLNK568a34b1bbca4bb8b7a63fe030bea332" localSheetId="5" hidden="1">#REF!</definedName>
    <definedName name="MLNK568ef48cd24247c9ba996982414db3d5" localSheetId="5" hidden="1">#REF!</definedName>
    <definedName name="MLNK56c96016bd5e4d99bb7a035622aac533" localSheetId="5" hidden="1">#REF!</definedName>
    <definedName name="MLNK56c97d0b00a9420f86ab98f9461c3369" localSheetId="5" hidden="1">#REF!</definedName>
    <definedName name="MLNK5712d7caec4d4e1284cfaab2fc1b2380" localSheetId="5" hidden="1">#REF!</definedName>
    <definedName name="MLNK572500526c264b7b95065377003ddae5" localSheetId="5" hidden="1">#REF!</definedName>
    <definedName name="MLNK5790592d66964954b49e1e6a2cdff298" localSheetId="5" hidden="1">#REF!</definedName>
    <definedName name="MLNK57ba1a57437c45af8dca541162dd478f" localSheetId="5" hidden="1">#REF!</definedName>
    <definedName name="MLNK58053737ae524582b77cbd888ce85d75" localSheetId="5" hidden="1">#REF!</definedName>
    <definedName name="MLNK58227a099e774037a2c4ee46ba51169b" localSheetId="5" hidden="1">#REF!</definedName>
    <definedName name="MLNK5868995cab8141f58d146ceb5ab8e064" localSheetId="5" hidden="1">#REF!</definedName>
    <definedName name="MLNK5897b17acdef449b9498edd1c872e49b" localSheetId="5" hidden="1">#REF!</definedName>
    <definedName name="MLNK589b4b4e9d114498b6438732af4079c6" localSheetId="5" hidden="1">#REF!</definedName>
    <definedName name="MLNK589cb7b6aecd4b118ee3f2109753f3f3" localSheetId="5" hidden="1">#REF!</definedName>
    <definedName name="MLNK58cc0fc20f5f40bfabbdb8766eb0af9c" localSheetId="5" hidden="1">#REF!</definedName>
    <definedName name="MLNK58d4fc78b4664492bb3fa144423113d2" localSheetId="5" hidden="1">#REF!</definedName>
    <definedName name="MLNK58f9115d080d4d92853e40c2f2eb0758" localSheetId="5" hidden="1">#REF!</definedName>
    <definedName name="MLNK59309990db734d9c8a821e2b8d52b8dd" localSheetId="5" hidden="1">#REF!</definedName>
    <definedName name="MLNK59edf6cf43784dc6aad3c55e4e5ad2b4" localSheetId="5" hidden="1">#REF!</definedName>
    <definedName name="MLNK5a29ce186d6741829000c9e915ae9c66" localSheetId="5" hidden="1">#REF!</definedName>
    <definedName name="MLNK5a30477d5f394fd987d059cef3f42405" localSheetId="5" hidden="1">#REF!</definedName>
    <definedName name="MLNK5a37a43bf2834901840d23cbb0abc044" localSheetId="5" hidden="1">#REF!</definedName>
    <definedName name="MLNK5a5cc9398b0e4a1490756fe52cdfdf29" localSheetId="5" hidden="1">#REF!</definedName>
    <definedName name="MLNK5a93b74cbd5647d885cfab58ef64c068" localSheetId="5" hidden="1">#REF!</definedName>
    <definedName name="MLNK5b82a77114d14c758b65f9d6c625f0e6" localSheetId="5" hidden="1">#REF!</definedName>
    <definedName name="MLNK5bb2c057790241afa9be0bea799d3060" localSheetId="5" hidden="1">#REF!</definedName>
    <definedName name="MLNK5bc72c653a64456ca35790155aeeb15c" localSheetId="5" hidden="1">#REF!</definedName>
    <definedName name="MLNK5bd8f2fa23a449f68bf9122fc9634158" localSheetId="5" hidden="1">#REF!</definedName>
    <definedName name="MLNK5c118afdb7424a12984646f92bdb0baf" localSheetId="5" hidden="1">#REF!</definedName>
    <definedName name="MLNK5c2fdb53616843338a76ee87fba723a1" localSheetId="5" hidden="1">#REF!</definedName>
    <definedName name="MLNK5c93849b1c694866a7fdca906433d872" localSheetId="5" hidden="1">#REF!</definedName>
    <definedName name="MLNK5cb6067cb22d4404a352867a368c4dd3" localSheetId="5" hidden="1">#REF!</definedName>
    <definedName name="MLNK5cc120250dba49fc954ce969f59c29e4" localSheetId="5" hidden="1">#REF!</definedName>
    <definedName name="MLNK5d504a170b0b424b845a2fbdf8ae212e" localSheetId="5" hidden="1">#REF!</definedName>
    <definedName name="MLNK5d9cc9b2b2fd4b2799819c19126f0e1b" localSheetId="5" hidden="1">#REF!</definedName>
    <definedName name="MLNK5da25abf8c7240d3abe03aca35d0450c" localSheetId="5" hidden="1">#REF!</definedName>
    <definedName name="MLNK5de520c386f4498e87cf292a9422b147" localSheetId="5" hidden="1">#REF!</definedName>
    <definedName name="MLNK5e56288a2d444a9ebdffbc6047357d41" localSheetId="5" hidden="1">#REF!</definedName>
    <definedName name="MLNK5e66d0e5e0504f83b21a28b2ed859d4a" localSheetId="5" hidden="1">#REF!</definedName>
    <definedName name="MLNK5e8dd6ee2dc24c0eb99cc80145bc853f" localSheetId="5" hidden="1">#REF!</definedName>
    <definedName name="MLNK5f035044afad4ac69ff0cf10ce95cacb" localSheetId="5" hidden="1">#REF!</definedName>
    <definedName name="MLNK5f489b36a3dd4ffca654ca893fdc01e1" localSheetId="5" hidden="1">#REF!</definedName>
    <definedName name="MLNK60d659c3c8bc4afb8091990511f37424" localSheetId="5" hidden="1">#REF!</definedName>
    <definedName name="MLNK6123d0abbf994e4fb5de81b47ecc7ff0" localSheetId="5" hidden="1">#REF!</definedName>
    <definedName name="MLNK612c822e116041a1be89ae4a415e8374" localSheetId="5" hidden="1">#REF!</definedName>
    <definedName name="MLNK6210b0a7eff74c16936439a65bb1d85a" localSheetId="5" hidden="1">#REF!</definedName>
    <definedName name="MLNK625fe00e4639425ba812d96c8e9ceea9" localSheetId="5" hidden="1">#REF!</definedName>
    <definedName name="MLNK62d6df4b67ea4430a943d6097b968d39" localSheetId="5" hidden="1">#REF!</definedName>
    <definedName name="MLNK6305bc950df74e6a89faf0e38f7282b2" localSheetId="5" hidden="1">#REF!</definedName>
    <definedName name="MLNK631f5f318f32460cb70ce1837416f6f6" localSheetId="5" hidden="1">#REF!</definedName>
    <definedName name="MLNK635bdcff8c174f7e86b3b1ac491aabe9" localSheetId="5" hidden="1">#REF!</definedName>
    <definedName name="MLNK6383911c3c664c0887824cfe4ea1f93b" localSheetId="5" hidden="1">#REF!</definedName>
    <definedName name="MLNK63ac4582cfe047bbb516377b722c0c61" localSheetId="5" hidden="1">#REF!</definedName>
    <definedName name="MLNK64f506610b0549d0bf994f29c91e01eb" localSheetId="5" hidden="1">#REF!</definedName>
    <definedName name="MLNK65147e5669204c5bb84032ff50f02a7e" localSheetId="5" hidden="1">#REF!</definedName>
    <definedName name="MLNK652441e2374d4a8fae70b563e0916718" localSheetId="5" hidden="1">#REF!</definedName>
    <definedName name="MLNK655665b4820d4dc3b01557425e02aa4b" localSheetId="5" hidden="1">#REF!</definedName>
    <definedName name="MLNK65839af1b13744b0a4faaeb49d4fe140" localSheetId="5" hidden="1">#REF!</definedName>
    <definedName name="MLNK6593c6ab73264e69b4374330ab13c8e1" localSheetId="5" hidden="1">#REF!</definedName>
    <definedName name="MLNK6595a9ddf18748bfaeb58c67223bfc33" localSheetId="5" hidden="1">#REF!</definedName>
    <definedName name="MLNK65a6ee50c38f4a1787e6ee66d8745808" localSheetId="5" hidden="1">#REF!</definedName>
    <definedName name="MLNK65e75eb4a985451a9cb2467efa5a31db" localSheetId="5" hidden="1">#REF!</definedName>
    <definedName name="MLNK66055e341c5c4761b946d1445a420c6b" localSheetId="5" hidden="1">#REF!</definedName>
    <definedName name="MLNK66416141c4ce46b0a586f7ee596245db" localSheetId="5" hidden="1">#REF!</definedName>
    <definedName name="MLNK66624990299547b2b64d531ab9be5b30" localSheetId="5" hidden="1">#REF!</definedName>
    <definedName name="MLNK66fe63e2714d498394dcacd64546234b" localSheetId="5" hidden="1">#REF!</definedName>
    <definedName name="MLNK678d9ffd405846fabeb219bf563b4a86" localSheetId="5" hidden="1">#REF!</definedName>
    <definedName name="MLNK679e121181984bc4926c0389f80b9c90" localSheetId="5" hidden="1">#REF!</definedName>
    <definedName name="MLNK68871f2145af4dca900f0d21af672263" localSheetId="5" hidden="1">#REF!</definedName>
    <definedName name="MLNK68aecd16316b4ec5a6fee43a0404a643" localSheetId="5" hidden="1">#REF!</definedName>
    <definedName name="MLNK6903e22c8a4146488153f7a43fa6c9fc" localSheetId="5" hidden="1">#REF!</definedName>
    <definedName name="MLNK692e486811bc41418e7571e3bb5c8bbb" localSheetId="5" hidden="1">#REF!</definedName>
    <definedName name="MLNK697f5a9c8f2342c6bb10c87ac65ebd4a" localSheetId="5" hidden="1">#REF!</definedName>
    <definedName name="MLNK6a265b582ea3449ba161933f47d6ad8a" localSheetId="5" hidden="1">#REF!</definedName>
    <definedName name="MLNK6a86925f37504091894ed814236c34fa" localSheetId="5" hidden="1">#REF!</definedName>
    <definedName name="MLNK6a8780fdd56f48d393f32ab99d587db6" localSheetId="5" hidden="1">#REF!</definedName>
    <definedName name="MLNK6aa03d44785e4ed68239ea75127de48e" localSheetId="5" hidden="1">#REF!</definedName>
    <definedName name="MLNK6b16945314434b04a97d34c9050e2320" localSheetId="5" hidden="1">#REF!</definedName>
    <definedName name="MLNK6b5ce047d68b41dcaede68d1e499e9d9" localSheetId="5" hidden="1">#REF!</definedName>
    <definedName name="MLNK6b5e31c5a8134a35aa3b61e6a3c34f1c" localSheetId="5" hidden="1">#REF!</definedName>
    <definedName name="MLNK6b80abdc8fe740cfac848fac6ef04b6f" localSheetId="5" hidden="1">#REF!</definedName>
    <definedName name="MLNK6b92bb4e16d6422caedcf892b957e8dc" localSheetId="5" hidden="1">#REF!</definedName>
    <definedName name="MLNK6c1636abd84647b28396267a19f2a16a" localSheetId="5" hidden="1">#REF!</definedName>
    <definedName name="MLNK6ca7e7164c8c49318c0a92737f4ed103" localSheetId="5" hidden="1">#REF!</definedName>
    <definedName name="MLNK6d68e9d61ca0416884aa1cfee1a494eb" localSheetId="5" hidden="1">#REF!</definedName>
    <definedName name="MLNK6d94a81eaf0143b5be6d1ba1c9c84842" localSheetId="5" hidden="1">#REF!</definedName>
    <definedName name="MLNK6dd4af24b7e94c07a8617def0a556fe0" localSheetId="5" hidden="1">#REF!</definedName>
    <definedName name="MLNK6e486e2d5a334a39b4877bea72d7eb92" localSheetId="5" hidden="1">#REF!</definedName>
    <definedName name="MLNK6e727159858a4f6fa12f1184ada87026" localSheetId="5" hidden="1">#REF!</definedName>
    <definedName name="MLNK6e72f843939c45e6ad1bb202d76f95fd" localSheetId="5" hidden="1">#REF!</definedName>
    <definedName name="MLNK6e783f0d518148e08e2aaef094f77e6b" localSheetId="5" hidden="1">#REF!</definedName>
    <definedName name="MLNK6fed978a0f5a4a4cbe4ee5d4155e5ec5" localSheetId="5" hidden="1">#REF!</definedName>
    <definedName name="MLNK6fee5b8d69cd417686506d354a9250d0" localSheetId="5" hidden="1">#REF!</definedName>
    <definedName name="MLNK7019e39e85c246f1ae9e0ef6fc958370" localSheetId="5" hidden="1">#REF!</definedName>
    <definedName name="MLNK7021f5ebbdd84a45ba6a7ba23cb30771" localSheetId="5" hidden="1">#REF!</definedName>
    <definedName name="MLNK7057dc7973694314b60de6b163b24838" localSheetId="5" hidden="1">#REF!</definedName>
    <definedName name="MLNK70646e4a8e034cd78f431f91898c66c0" localSheetId="5" hidden="1">#REF!</definedName>
    <definedName name="MLNK70a58cfbfa8f452e814ded09c65137f4" localSheetId="5" hidden="1">#REF!</definedName>
    <definedName name="MLNK70a874c7f368487cbe704d484fc1af16" localSheetId="5" hidden="1">#REF!</definedName>
    <definedName name="MLNK70c624b08d0d414b9b3e07cb7658af95" localSheetId="5" hidden="1">#REF!</definedName>
    <definedName name="MLNK70d038176d214bb3be6757c4606f55b5" localSheetId="5" hidden="1">#REF!</definedName>
    <definedName name="MLNK70e7b92d37f9456792e67a07f03cfc7d" localSheetId="5" hidden="1">#REF!</definedName>
    <definedName name="MLNK711e7c92b77c4bdba0a8fd967f51d09a" localSheetId="5" hidden="1">#REF!</definedName>
    <definedName name="MLNK713d8596e8df4275ab2d2f003c345043" localSheetId="5" hidden="1">#REF!</definedName>
    <definedName name="MLNK7165b3d004ff4cdb8cf06f37aad03417" localSheetId="5" hidden="1">#REF!</definedName>
    <definedName name="MLNK7190e0b0ca724135b422646f09ee97eb" localSheetId="5" hidden="1">#REF!</definedName>
    <definedName name="MLNK71b4daf60a6b45208f07199ac429da30" localSheetId="5" hidden="1">#REF!</definedName>
    <definedName name="MLNK71b5bf4bc0224e8981e090b52946baaf" localSheetId="5" hidden="1">#REF!</definedName>
    <definedName name="MLNK71c0b0997c344b909a6256f3f9e7b2f4" localSheetId="5" hidden="1">#REF!</definedName>
    <definedName name="MLNK729c511e6fb8406388008eaec1c014b6" localSheetId="5" hidden="1">#REF!</definedName>
    <definedName name="MLNK72c7159a0c3649da8f62d8214a86a035" localSheetId="5" hidden="1">#REF!</definedName>
    <definedName name="MLNK73535d6b26d34f28bcc1383ca23ae898" localSheetId="5" hidden="1">#REF!</definedName>
    <definedName name="MLNK7390ef6b69464b07902bf436ab3f0c81" localSheetId="5" hidden="1">#REF!</definedName>
    <definedName name="MLNK739e1434b02c46f6bdc88efd2f1ba994" localSheetId="5" hidden="1">#REF!</definedName>
    <definedName name="MLNK73bdb994b87f4972a5708ca53b7466f0" localSheetId="5" hidden="1">#REF!</definedName>
    <definedName name="MLNK73ca829c394b452098090ce23a806c68" localSheetId="5" hidden="1">#REF!</definedName>
    <definedName name="MLNK73d1a15bdc8b4cb7a1eba62c68ef7775" localSheetId="5" hidden="1">#REF!</definedName>
    <definedName name="MLNK742224d381f2494b857b969c2e07aa13" localSheetId="5" hidden="1">#REF!</definedName>
    <definedName name="MLNK7426aa94cca74acfad9415b05d5b7ff4" localSheetId="5" hidden="1">#REF!</definedName>
    <definedName name="MLNK74aaf3c2da574df69615013232ece008" localSheetId="5" hidden="1">#REF!</definedName>
    <definedName name="MLNK74ac2ebf8f2a4931b8cde3dabac0a546" localSheetId="5" hidden="1">#REF!</definedName>
    <definedName name="MLNK74ccbb3c852644f5a46f80e4df6ed55c" localSheetId="5" hidden="1">#REF!</definedName>
    <definedName name="MLNK74cd5027c16842ca83676db6bf8ade6b" localSheetId="5" hidden="1">#REF!</definedName>
    <definedName name="MLNK74e35ae32fbd45038a8ca8786ddc5481" localSheetId="5" hidden="1">#REF!</definedName>
    <definedName name="MLNK74e85bd6385d4993b531d38f2f3836c0" localSheetId="5" hidden="1">#REF!</definedName>
    <definedName name="MLNK74f8fb9fd04744b0826b8e01af33e003" localSheetId="5" hidden="1">#REF!</definedName>
    <definedName name="MLNK7575c400d762409d9d7d3f247f474ee7" localSheetId="5" hidden="1">#REF!</definedName>
    <definedName name="MLNK758fdcdb07a04274a7c7bedbf4c52f8d" localSheetId="5" hidden="1">#REF!</definedName>
    <definedName name="MLNK759a8f014d2945aba9553db2fee209c0" localSheetId="5" hidden="1">#REF!</definedName>
    <definedName name="MLNK75db4195e5d141d3a7eec873d4cc3a5e" localSheetId="5" hidden="1">#REF!</definedName>
    <definedName name="MLNK763a9f01ebb64e43939b2276d58ab053" localSheetId="5" hidden="1">#REF!</definedName>
    <definedName name="MLNK76a07ad73c6943b0b9490c28c2773a72" localSheetId="5" hidden="1">#REF!</definedName>
    <definedName name="MLNK78474ea8ccc645299e21f8fb8f2831bb" localSheetId="5" hidden="1">#REF!</definedName>
    <definedName name="MLNK784d795970424f398fc3fdd199378fee" localSheetId="5" hidden="1">#REF!</definedName>
    <definedName name="MLNK786446f9adf44b9c8e69153a249119f0" localSheetId="5" hidden="1">#REF!</definedName>
    <definedName name="MLNK7887505795504f1da6c968aa806eab0b" localSheetId="5" hidden="1">#REF!</definedName>
    <definedName name="MLNK78cdf337446c4c4fa061d0ca0ea856da" localSheetId="5" hidden="1">#REF!</definedName>
    <definedName name="MLNK79c13ef1d63e4c229d6c7ca926e964b0" localSheetId="5" hidden="1">#REF!</definedName>
    <definedName name="MLNK79f1f52cffc2440d893df1536bc81db2" localSheetId="5" hidden="1">#REF!</definedName>
    <definedName name="MLNK7a261d36437c4a978a819df4ce0f5c46" localSheetId="5" hidden="1">#REF!</definedName>
    <definedName name="MLNK7a38c2826a99439c9e40971bcc5ad261" localSheetId="5" hidden="1">#REF!</definedName>
    <definedName name="MLNK7b118c2e2a8f476fbe19f397f0a5dbd2" localSheetId="5" hidden="1">#REF!</definedName>
    <definedName name="MLNK7b537a5989264eddabc292d4476e8379" localSheetId="5" hidden="1">#REF!</definedName>
    <definedName name="MLNK7b7b0f44588f4b009d65026d66428372" localSheetId="5" hidden="1">#REF!</definedName>
    <definedName name="MLNK7bd30f6b03154f80b4ece3b807f67f53" localSheetId="5" hidden="1">#REF!</definedName>
    <definedName name="MLNK7bec44c0ba524dd5968ece36d71dd645" localSheetId="5" hidden="1">#REF!</definedName>
    <definedName name="MLNK7c2d7cae1ba24e14af55455df7615e04" localSheetId="5" hidden="1">#REF!</definedName>
    <definedName name="MLNK7c5f539d49fd45b29663fcc382404a18" localSheetId="5" hidden="1">#REF!</definedName>
    <definedName name="MLNK7c6376d3e24e49f68f4a6c8210e18b82" localSheetId="5" hidden="1">#REF!</definedName>
    <definedName name="MLNK7c808528906245c8bc83cd2434e1f4a3" localSheetId="5" hidden="1">#REF!</definedName>
    <definedName name="MLNK7c8b44994a5b434f8af642c9c7bd1904" localSheetId="5" hidden="1">#REF!</definedName>
    <definedName name="MLNK7ccb8304142d4079b335f546155f0e48" localSheetId="5" hidden="1">#REF!</definedName>
    <definedName name="MLNK7cdcd9ff45e94baa8c22f1bbb7a0756c" localSheetId="5" hidden="1">#REF!</definedName>
    <definedName name="MLNK7ce7df4de2444df2ae72af9f72d99cf3" localSheetId="5" hidden="1">#REF!</definedName>
    <definedName name="MLNK7d792593e60b4a4cbb48428d4a2a5258" localSheetId="5" hidden="1">#REF!</definedName>
    <definedName name="MLNK7d839fb3a2534df1af4fe0c1fb45f03b" localSheetId="5" hidden="1">#REF!</definedName>
    <definedName name="MLNK7dde91cd40a0482ca0661c225c13de3c" localSheetId="5" hidden="1">#REF!</definedName>
    <definedName name="MLNK7dfeefbfedf84d17b41a6bc802339b65" localSheetId="5" hidden="1">#REF!</definedName>
    <definedName name="MLNK7e047f1118dd4395a6c630f7eaa3ba64" localSheetId="5" hidden="1">#REF!</definedName>
    <definedName name="MLNK7e722a65711d41bbb1f89dac8f1d179f" localSheetId="5" hidden="1">#REF!</definedName>
    <definedName name="MLNK7f00420c94b84d218a5ffd741e2618a4" localSheetId="5" hidden="1">#REF!</definedName>
    <definedName name="MLNK7f2c3c66c11243eeb8b566267a70ab25" localSheetId="5" hidden="1">#REF!</definedName>
    <definedName name="MLNK7f381db745e745038123354ce5695f85" localSheetId="5" hidden="1">#REF!</definedName>
    <definedName name="MLNK7f3a5242886546ca971d4b3fd26e0d39" localSheetId="5" hidden="1">#REF!</definedName>
    <definedName name="MLNK7f5760153f9c46e7a6ae314adcdddfd8" localSheetId="5" hidden="1">#REF!</definedName>
    <definedName name="MLNK7f9b2a8b4c6e4ee79f750e916a643062" localSheetId="5" hidden="1">#REF!</definedName>
    <definedName name="MLNK7fc6fd2848a84b0d90d2448805483aef" localSheetId="5" hidden="1">#REF!</definedName>
    <definedName name="MLNK800cb0f5988f4232abce7d0d36762cc8" localSheetId="5" hidden="1">#REF!</definedName>
    <definedName name="MLNK80c806ee2fb84b6f95cb413fb747a5d7" localSheetId="5" hidden="1">#REF!</definedName>
    <definedName name="MLNK81acc8d3750443c9b6b2f7184ca1a239" localSheetId="5" hidden="1">#REF!</definedName>
    <definedName name="MLNK81d991a8444b423ba181c00b1581fd58" localSheetId="5" hidden="1">#REF!</definedName>
    <definedName name="MLNK81fccb728da14368923894d777f9d6c1" localSheetId="5" hidden="1">#REF!</definedName>
    <definedName name="MLNK822c71a676b44b90a0ae9ee8e8922351" localSheetId="5" hidden="1">#REF!</definedName>
    <definedName name="MLNK82a32cd08bcd424db6b53342a4ef2b53" localSheetId="5" hidden="1">#REF!</definedName>
    <definedName name="MLNK8389a0e593704536bf47bf8d77e09b85" localSheetId="5" hidden="1">#REF!</definedName>
    <definedName name="MLNK849be104a79e4e71843072e3fc579178" localSheetId="5" hidden="1">#REF!</definedName>
    <definedName name="MLNK8519166dded446979824141450c07732" localSheetId="5" hidden="1">#REF!</definedName>
    <definedName name="MLNK85403b3597204849bd36188b4216facb" localSheetId="5" hidden="1">#REF!</definedName>
    <definedName name="MLNK856b4359b1474ad6be49d46fd39e07d3" localSheetId="5" hidden="1">#REF!</definedName>
    <definedName name="MLNK85d104ed1abd4ee8b2b7b9e36d1a40a0" localSheetId="5" hidden="1">#REF!</definedName>
    <definedName name="MLNK86084a0d926c4d1c99f2a4ed620b0d92" localSheetId="5" hidden="1">#REF!</definedName>
    <definedName name="MLNK863d7154b90b4ff58eb8073dda6f1db2" localSheetId="5" hidden="1">#REF!</definedName>
    <definedName name="MLNK864586187871466fbdc98181e8196c2a" localSheetId="5" hidden="1">#REF!</definedName>
    <definedName name="MLNK86835e6557634107b3385a807945651d" localSheetId="5" hidden="1">#REF!</definedName>
    <definedName name="MLNK86a67f44935b46d39bd52fc31318d3e4" localSheetId="5" hidden="1">#REF!</definedName>
    <definedName name="MLNK86b0faed08ae4756b1f81b4c70bd37cf" localSheetId="5" hidden="1">#REF!</definedName>
    <definedName name="MLNK86d18c4991324b9fafd6c780bbc49371" localSheetId="5" hidden="1">#REF!</definedName>
    <definedName name="MLNK8733ce93fc7b45fb8d93f409f9f654dd" localSheetId="5" hidden="1">#REF!</definedName>
    <definedName name="MLNK877cb6f8fcc047d1b67176552108ecaa" localSheetId="5" hidden="1">#REF!</definedName>
    <definedName name="MLNK87b6ef3680c1458098edca561c2b518e" localSheetId="5" hidden="1">#REF!</definedName>
    <definedName name="MLNK87bdc6b5081740989afaa8649fe51684" localSheetId="5" hidden="1">#REF!</definedName>
    <definedName name="MLNK881676dd88434d38bc231dee73778ff4" localSheetId="5" hidden="1">#REF!</definedName>
    <definedName name="MLNK882742a4574d4c398317209f734ccdee" localSheetId="5" hidden="1">#REF!</definedName>
    <definedName name="MLNK88545d5be9e044c59846f9198223107a" localSheetId="5" hidden="1">#REF!</definedName>
    <definedName name="MLNK88bff6d610804cce9a482ca53b2475a0" localSheetId="5" hidden="1">#REF!</definedName>
    <definedName name="MLNK88e70c518ed8483ebc887df4719632e4" localSheetId="5" hidden="1">#REF!</definedName>
    <definedName name="MLNK88f32ac2f3294394b8e9f43317d7102f" localSheetId="5" hidden="1">#REF!</definedName>
    <definedName name="MLNK88f6c9c50f6a42c18f38f2c69d3c79c5" localSheetId="5" hidden="1">#REF!</definedName>
    <definedName name="MLNK8933050fa3184006bc16fa96753bd521" localSheetId="5" hidden="1">#REF!</definedName>
    <definedName name="MLNK893be7aee6af45089f821ffc6ae622f7" localSheetId="5" hidden="1">#REF!</definedName>
    <definedName name="MLNK8940cbfbd55a452991b13e1c94d646f7" localSheetId="5" hidden="1">#REF!</definedName>
    <definedName name="MLNK89953e64f7ca478889eab0480ca166d9" localSheetId="5" hidden="1">#REF!</definedName>
    <definedName name="MLNK89c0b552293b465cb0488b0a6351a521" localSheetId="5" hidden="1">#REF!</definedName>
    <definedName name="MLNK8a2ff150aff945afbc20a79562761a81" localSheetId="5" hidden="1">#REF!</definedName>
    <definedName name="MLNK8a4b37d8c34843689209c16083a16b7c" localSheetId="5" hidden="1">#REF!</definedName>
    <definedName name="MLNK8a981875db4a4df2b0ed552232b8345b" localSheetId="5" hidden="1">#REF!</definedName>
    <definedName name="MLNK8ac46e84006242f594877756c7f92d2a" localSheetId="5" hidden="1">#REF!</definedName>
    <definedName name="MLNK8acbb2a77cd04fcdb24d3585bb94e8e9" localSheetId="5" hidden="1">#REF!</definedName>
    <definedName name="MLNK8b131d72e5df48faa6c8c6406e26e418" localSheetId="5" hidden="1">#REF!</definedName>
    <definedName name="MLNK8b17f146ac5a48cd8e81eb109aeee3ae" localSheetId="5" hidden="1">#REF!</definedName>
    <definedName name="MLNK8b1c0c139e9b4073820ad2a10e7f1051" localSheetId="5" hidden="1">#REF!</definedName>
    <definedName name="MLNK8c682d93591c4c73845ba2c1082c48d3" localSheetId="5" hidden="1">#REF!</definedName>
    <definedName name="MLNK8ca39cedf68a4e92b18af441f524f826" localSheetId="5" hidden="1">#REF!</definedName>
    <definedName name="MLNK8cb9383616ab421389484efab64178dd" localSheetId="5" hidden="1">#REF!</definedName>
    <definedName name="MLNK8cc4d9c3c3bb4594bacc7495cfcfc50e" localSheetId="5" hidden="1">#REF!</definedName>
    <definedName name="MLNK8cd52f4b903543658de827aa52acf74e" localSheetId="5" hidden="1">#REF!</definedName>
    <definedName name="MLNK8cd7576df60d45e4ab0d7685e326e025" localSheetId="5" hidden="1">#REF!</definedName>
    <definedName name="MLNK8ce6ecbf737e488693deed1af93ced57" localSheetId="5" hidden="1">#REF!</definedName>
    <definedName name="MLNK8d141d7d47ad4fc987d59f39088ad916" localSheetId="5" hidden="1">#REF!</definedName>
    <definedName name="MLNK8d5b78eefde24124bc22e5eb2b874604" localSheetId="5" hidden="1">#REF!</definedName>
    <definedName name="MLNK8d9df6cfe2df4e9d9a85e67b518205c5" localSheetId="5" hidden="1">#REF!</definedName>
    <definedName name="MLNK8e8302d4806d4976b250563630d06974" localSheetId="5" hidden="1">#REF!</definedName>
    <definedName name="MLNK8e9b770ba4eb41da82ee651f9a564109" localSheetId="5" hidden="1">#REF!</definedName>
    <definedName name="MLNK8eb9e48b9b3943249f666798d00edc23" localSheetId="5" hidden="1">#REF!</definedName>
    <definedName name="MLNK8ee0b1d9a7224f788d9779b3dc0499e0" localSheetId="5" hidden="1">#REF!</definedName>
    <definedName name="MLNK8f43595c2bb847f381669b6e34f63668" localSheetId="5" hidden="1">#REF!</definedName>
    <definedName name="MLNK8f76434663af42e390fdbde44d3710ec" localSheetId="5" hidden="1">#REF!</definedName>
    <definedName name="MLNK8fbbfa99afb24b5b9f5f0a743e480b73" localSheetId="5" hidden="1">#REF!</definedName>
    <definedName name="MLNK8fef85be699b43f9993faf4c05a317f2" localSheetId="5" hidden="1">#REF!</definedName>
    <definedName name="MLNK9004dc033f374e6a928f9b0ebb5d8196" localSheetId="5" hidden="1">#REF!</definedName>
    <definedName name="MLNK9024ad5805bb4d6a82cd3805822ddab1" localSheetId="5" hidden="1">#REF!</definedName>
    <definedName name="MLNK907ffb3c3f914b5ea9e24fe283c6cb99" localSheetId="5" hidden="1">#REF!</definedName>
    <definedName name="MLNK908d72b886094b4498d660dcd99709e7" localSheetId="5" hidden="1">#REF!</definedName>
    <definedName name="MLNK90beff11f56747c88ac582cc252e174d" localSheetId="5" hidden="1">#REF!</definedName>
    <definedName name="MLNK90c4ba7186d54322a67fb04486a8cbf3" localSheetId="5" hidden="1">#REF!</definedName>
    <definedName name="MLNK90c8fccee84a4a48a0b07e6aaa673094" localSheetId="5" hidden="1">#REF!</definedName>
    <definedName name="MLNK90d278ce8aa74ed184c2e90850f321dc" localSheetId="5" hidden="1">#REF!</definedName>
    <definedName name="MLNK90e25c2ecaa64d57bb26958b4d223428" localSheetId="5" hidden="1">#REF!</definedName>
    <definedName name="MLNK9110823f14ea42ec8690146557817cd4" localSheetId="5" hidden="1">#REF!</definedName>
    <definedName name="MLNK913274e26d0b40a5a0c25c58b5a6b52f" localSheetId="5" hidden="1">#REF!</definedName>
    <definedName name="MLNK91662700859a4b5887ea4b2f311dfaa8" localSheetId="5" hidden="1">#REF!</definedName>
    <definedName name="MLNK91bae33c68f54070a9d0dc2c0bf12ef3" localSheetId="5" hidden="1">#REF!</definedName>
    <definedName name="MLNK920e55f9c749413d8ea87ac117500e67" localSheetId="5" hidden="1">#REF!</definedName>
    <definedName name="MLNK928b582d16334ef39533249c3737cef4" localSheetId="5" hidden="1">#REF!</definedName>
    <definedName name="MLNK92b34a62a6d14ef89b1524b2f96b0efd" localSheetId="5" hidden="1">#REF!</definedName>
    <definedName name="MLNK931ada81d5e14682a22519de3a1c3814" localSheetId="5" hidden="1">#REF!</definedName>
    <definedName name="MLNK9345a567a3bf4c0b9f86177bd2d75271" localSheetId="5" hidden="1">#REF!</definedName>
    <definedName name="MLNK935339d4ac524564b97af65f9a80c75b" localSheetId="5" hidden="1">#REF!</definedName>
    <definedName name="MLNK936d3bc27d9c4e9e91d566d1f8df6d3b" localSheetId="5" hidden="1">#REF!</definedName>
    <definedName name="MLNK9373c201fc874efd9a1cb6673dae1a5d" localSheetId="5" hidden="1">#REF!</definedName>
    <definedName name="MLNK93a6b4cbf6b64733bce6c55ea49a34a4" localSheetId="5" hidden="1">#REF!</definedName>
    <definedName name="MLNK93dc54b8a75d41609138168388503de4" localSheetId="5" hidden="1">#REF!</definedName>
    <definedName name="MLNK93e5daee684d41bcb8fcce607e193642" localSheetId="5" hidden="1">#REF!</definedName>
    <definedName name="MLNK93efc9b05acc4e65ba52a3a8e903e6ca" localSheetId="5" hidden="1">#REF!</definedName>
    <definedName name="MLNK94310670c6d2415c829c955b74e492b7" localSheetId="5" hidden="1">#REF!</definedName>
    <definedName name="MLNK94328738fd3c4600af18be2154210e21" localSheetId="5" hidden="1">#REF!</definedName>
    <definedName name="MLNK945d6f39e1f24984b04097fbaf17eeea" localSheetId="5" hidden="1">#REF!</definedName>
    <definedName name="MLNK94b55fba97ec4630a7caaf0fae7c13fc" localSheetId="5" hidden="1">#REF!</definedName>
    <definedName name="MLNK94c72ece7a1f4a7ebecf1f9109589a25" localSheetId="5" hidden="1">#REF!</definedName>
    <definedName name="MLNK94c8f34044884100bcf948b78a560f70" localSheetId="5" hidden="1">#REF!</definedName>
    <definedName name="MLNK95932116894047fbb7ba2ac12a3c06e3" localSheetId="5" hidden="1">#REF!</definedName>
    <definedName name="MLNK95cbac09c2c54a92a067bf01cebec7fa" localSheetId="5" hidden="1">#REF!</definedName>
    <definedName name="MLNK9637ccf249e443078a50f7c2eb385852" localSheetId="5" hidden="1">#REF!</definedName>
    <definedName name="MLNK966e51b421e543fa85b22020f4b131f7" localSheetId="5" hidden="1">#REF!</definedName>
    <definedName name="MLNK9682ca475ff54cbfb2f968b54a63e991" localSheetId="5" hidden="1">#REF!</definedName>
    <definedName name="MLNK970f77a437ad4eba93f82bc0a2c68793" localSheetId="5" hidden="1">#REF!</definedName>
    <definedName name="MLNK97272fb83d9a4d15ab6e0d44b4c2c8f5" localSheetId="5" hidden="1">#REF!</definedName>
    <definedName name="MLNK97df538a2fdf490296fd305add5f1023" localSheetId="5" hidden="1">#REF!</definedName>
    <definedName name="MLNK97e64800be9a4f7e916bf03b564bb072" localSheetId="5" hidden="1">#REF!</definedName>
    <definedName name="MLNK989f57e8510f47dbaa3cc373df919c03" localSheetId="5" hidden="1">#REF!</definedName>
    <definedName name="MLNK98a6c15f962b4187b171c0206fa504c1" localSheetId="5" hidden="1">#REF!</definedName>
    <definedName name="MLNK98db6856c4d2485bb082192eb338e7ec" localSheetId="5" hidden="1">#REF!</definedName>
    <definedName name="MLNK98f7f2b7a3444132ab2e3711160705fd" localSheetId="5" hidden="1">#REF!</definedName>
    <definedName name="MLNK99884a61cb7c464b8eb2f906689e119c" localSheetId="5" hidden="1">#REF!</definedName>
    <definedName name="MLNK99a873284b354cc99f3774743c4cbac9" localSheetId="5" hidden="1">#REF!</definedName>
    <definedName name="MLNK99b9d957895544fda8e9670506643b77" localSheetId="5" hidden="1">#REF!</definedName>
    <definedName name="MLNK99bfb5c3951b44f481d1626f7cba5805" localSheetId="5" hidden="1">#REF!</definedName>
    <definedName name="MLNK99de40bd629144c7ba32aae377c57f70" localSheetId="5" hidden="1">#REF!</definedName>
    <definedName name="MLNK9a4f673c06ec41419cc6dcbbb88e0dea" localSheetId="5" hidden="1">#REF!</definedName>
    <definedName name="MLNK9ab5b092e0124e1fb5be58e7bfd4270d" localSheetId="5" hidden="1">#REF!</definedName>
    <definedName name="MLNK9b2728c6c65a4ed1bdce5cd1b8f5f78f" localSheetId="5" hidden="1">#REF!</definedName>
    <definedName name="MLNK9b41319e0b864c8e96fa51ea09d8f5dc" localSheetId="5" hidden="1">#REF!</definedName>
    <definedName name="MLNK9b602bb3a148468d93703438712d1977" localSheetId="5" hidden="1">#REF!</definedName>
    <definedName name="MLNK9bf4240de0604471b0871b323169dcca" localSheetId="5" hidden="1">#REF!</definedName>
    <definedName name="MLNK9bf7c40dc1ea40a1b552234224cb0d1b" localSheetId="5" hidden="1">#REF!</definedName>
    <definedName name="MLNK9cc9ec6cfadc402784ccfed2781546e1" localSheetId="5" hidden="1">#REF!</definedName>
    <definedName name="MLNK9d5456df45ea4a2d97ff84c61b665b12" localSheetId="5" hidden="1">#REF!</definedName>
    <definedName name="MLNK9d772ca29969447bb894388d70fa9a5f" localSheetId="5" hidden="1">#REF!</definedName>
    <definedName name="MLNK9de036e8882b498dbe33869f5e40398b" localSheetId="5" hidden="1">#REF!</definedName>
    <definedName name="MLNK9de5e20a27e5484e8caf6c4a9f1e8125" localSheetId="5" hidden="1">#REF!</definedName>
    <definedName name="MLNK9de94afa6cb64d6d82d505cd22d199e8" localSheetId="5" hidden="1">#REF!</definedName>
    <definedName name="MLNK9df90ae49f6a429a93387ed77e0be2b2" localSheetId="5" hidden="1">#REF!</definedName>
    <definedName name="MLNK9e19c8d3111642829419adbd0d8a5b18" localSheetId="5" hidden="1">#REF!</definedName>
    <definedName name="MLNK9e49aa41542f4b3c85f3ee6589fc1063" localSheetId="5" hidden="1">#REF!</definedName>
    <definedName name="MLNK9e7f8dc99eff4dbd87d347cb01f0c5da" localSheetId="5" hidden="1">#REF!</definedName>
    <definedName name="MLNK9ebe236e0bfa4b38a43cb0df73b9ee8f" localSheetId="5" hidden="1">#REF!</definedName>
    <definedName name="MLNK9ec928e25a7346ee9e4798135a8b5762" localSheetId="5" hidden="1">#REF!</definedName>
    <definedName name="MLNK9f020ac1a5274c5d9ef891b85fdf676a" localSheetId="5" hidden="1">#REF!</definedName>
    <definedName name="MLNK9f2762af21cb4bddb176751640ceebfe" localSheetId="5" hidden="1">#REF!</definedName>
    <definedName name="MLNK9f2cc9d5eedf40d9be4150e48c60c1dd" localSheetId="5" hidden="1">#REF!</definedName>
    <definedName name="MLNK9f5e9f25b1b94a1c81bdc28b15d167c0" localSheetId="5" hidden="1">#REF!</definedName>
    <definedName name="MLNK9f725d2247114d82b0a748016fb73ccf" localSheetId="5" hidden="1">#REF!</definedName>
    <definedName name="MLNK9f9c1ebd4e6a4e589df75a77d68c31d2" localSheetId="5" hidden="1">#REF!</definedName>
    <definedName name="MLNK9fa7fdd6b58347fc9b2a237257153f2f" localSheetId="5" hidden="1">#REF!</definedName>
    <definedName name="MLNK9fb16ef3f8724c15939d445b614c75a4" localSheetId="5" hidden="1">#REF!</definedName>
    <definedName name="MLNK9fb8406726c54571934f80236f646acb" localSheetId="5" hidden="1">#REF!</definedName>
    <definedName name="MLNKa0e1c73a782b4e988b284826c372ba12" localSheetId="5" hidden="1">#REF!</definedName>
    <definedName name="MLNKa117dc0d16c24ef4bc030284d2153e7a" localSheetId="5" hidden="1">#REF!</definedName>
    <definedName name="MLNKa16884e8fb5f45d2a0a160ca8a46e3b9" localSheetId="5" hidden="1">#REF!</definedName>
    <definedName name="MLNKa17b9728e1df4c528069f48e91263d0c" localSheetId="5" hidden="1">#REF!</definedName>
    <definedName name="MLNKa18110aa36d84ef6948a9cc0e38dc468" localSheetId="5" hidden="1">#REF!</definedName>
    <definedName name="MLNKa19683994634422fb5b8f4ea6112e3d3" localSheetId="5" hidden="1">#REF!</definedName>
    <definedName name="MLNKa1b5fc7caf74424b8bbf75e731066ab0" localSheetId="5" hidden="1">#REF!</definedName>
    <definedName name="MLNKa25cae9dc8c74628915f296fa982e1fb" localSheetId="5" hidden="1">#REF!</definedName>
    <definedName name="MLNKa25dac6dae19404dabf4485a3b9d91d0" localSheetId="5" hidden="1">#REF!</definedName>
    <definedName name="MLNKa2c1fb78a2914539b4823238e6e8f523" localSheetId="5" hidden="1">#REF!</definedName>
    <definedName name="MLNKa33f5b922c52401198b5e559799f8eef" localSheetId="5" hidden="1">#REF!</definedName>
    <definedName name="MLNKa3757b762c2e45c2b706f345388b4016" localSheetId="5" hidden="1">#REF!</definedName>
    <definedName name="MLNKa45576fee98240168d709e07360f099b" localSheetId="5" hidden="1">#REF!</definedName>
    <definedName name="MLNKa4a3bb217ffb407d831632a03d1537c6" localSheetId="5" hidden="1">#REF!</definedName>
    <definedName name="MLNKa4bfc61416724e8488baa1e1bf692f7c" localSheetId="5" hidden="1">#REF!</definedName>
    <definedName name="MLNKa4e5105d657d4972a79e03058f83813b" localSheetId="5" hidden="1">#REF!</definedName>
    <definedName name="MLNKa53b01afe9d84156971b84c816278a45" localSheetId="5" hidden="1">#REF!</definedName>
    <definedName name="MLNKa5ec9fd3c1204d3ab4000afcd26c7311" localSheetId="5" hidden="1">#REF!</definedName>
    <definedName name="MLNKa656af2eb98d41f8b623b0adad01435c" localSheetId="5" hidden="1">#REF!</definedName>
    <definedName name="MLNKa673c0a3d6bb45a7a16c3391a9561fb9" localSheetId="5" hidden="1">#REF!</definedName>
    <definedName name="MLNKa6ae049d8b9c49eaa8e69518f6bae458" localSheetId="5" hidden="1">#REF!</definedName>
    <definedName name="MLNKa6dd1b101c6a4ddb975ed96014483413" localSheetId="5" hidden="1">#REF!</definedName>
    <definedName name="MLNKa6fb886c6532415487930914f9a76842" localSheetId="5" hidden="1">#REF!</definedName>
    <definedName name="MLNKa7219183ccd0431194753052ff289c50" localSheetId="5" hidden="1">#REF!</definedName>
    <definedName name="MLNKa7379d2dd0484806ada1cae1032f59aa" localSheetId="5" hidden="1">#REF!</definedName>
    <definedName name="MLNKa76777c1fd664175a68de0c9bd407f60" localSheetId="5" hidden="1">#REF!</definedName>
    <definedName name="MLNKa77db0f4971f4e9fadc9a15aca25114d" localSheetId="5" hidden="1">#REF!</definedName>
    <definedName name="MLNKa7817aa319db4731a9e2c933aca0719c" localSheetId="5" hidden="1">#REF!</definedName>
    <definedName name="MLNKa79f5b516b0c4aeda36380d76754f2e0" localSheetId="5" hidden="1">#REF!</definedName>
    <definedName name="MLNKa7a3d6f9d11a4a809ee5ff79e0c8ad5c" localSheetId="5" hidden="1">#REF!</definedName>
    <definedName name="MLNKa7b98c7307644bba8c90bc9645775b57" localSheetId="5" hidden="1">#REF!</definedName>
    <definedName name="MLNKa7cbd9564e6a4d41a87053734022f2d1" localSheetId="5" hidden="1">#REF!</definedName>
    <definedName name="MLNKa809189b6c7e4fa2b3ae96d51831f9ea" localSheetId="5" hidden="1">#REF!</definedName>
    <definedName name="MLNKa82355c2dc8a40d18ae14c0e7773cd80" localSheetId="5" hidden="1">#REF!</definedName>
    <definedName name="MLNKa82dec760367413abef062bc8720b820" localSheetId="5" hidden="1">#REF!</definedName>
    <definedName name="MLNKa880b52119f24168b7a1e28ca812d64f" localSheetId="5" hidden="1">#REF!</definedName>
    <definedName name="MLNKa89b4ee9c2de4f7eaf93310b35832ee5" localSheetId="5" hidden="1">#REF!</definedName>
    <definedName name="MLNKa8b293b93f654bd187a9e3ddd2b53ab3" localSheetId="5" hidden="1">#REF!</definedName>
    <definedName name="MLNKa8c37bf10f834510876329f05782f34d" localSheetId="5" hidden="1">#REF!</definedName>
    <definedName name="MLNKa8f3d4c184744dae8769be0444935a46" localSheetId="5" hidden="1">#REF!</definedName>
    <definedName name="MLNKa95e6c6ba069403f8a62b2744d732b98" localSheetId="5" hidden="1">#REF!</definedName>
    <definedName name="MLNKa9794711f38949aa948bde62ec7bc634" localSheetId="5" hidden="1">#REF!</definedName>
    <definedName name="MLNKa97d26cd09d849ab9bdeca389fa24805" localSheetId="5" hidden="1">#REF!</definedName>
    <definedName name="MLNKa99d23553c9945fdac7282c4bcddb259" localSheetId="5" hidden="1">#REF!</definedName>
    <definedName name="MLNKa9c6a2eac37843b79a417978ef62ae8e" localSheetId="5" hidden="1">#REF!</definedName>
    <definedName name="MLNKa9dacf3b84954d858cb79e60187c0379" localSheetId="5" hidden="1">#REF!</definedName>
    <definedName name="MLNKaa5c2fdc8f1d49cf8ff90275219dd9bb" localSheetId="5" hidden="1">#REF!</definedName>
    <definedName name="MLNKaa67f20dd8a94b71ac72a5a448c66d86" localSheetId="5" hidden="1">#REF!</definedName>
    <definedName name="MLNKaa74c66e7c434db5af69edf87207fc75" localSheetId="5" hidden="1">#REF!</definedName>
    <definedName name="MLNKaac54f9086364e06b9f0e92e608e48e7" localSheetId="5" hidden="1">#REF!</definedName>
    <definedName name="MLNKab02c2991b6b431a8d270be0189e9571" localSheetId="5" hidden="1">#REF!</definedName>
    <definedName name="MLNKab08adf1a1274a4696b4712b8acce079" localSheetId="5" hidden="1">#REF!</definedName>
    <definedName name="MLNKabaeabebce454dbca8b71cbff7d1cff9" localSheetId="5" hidden="1">#REF!</definedName>
    <definedName name="MLNKabd116d5eb4e4f30891777cbe2c1269d" localSheetId="5" hidden="1">#REF!</definedName>
    <definedName name="MLNKac086cabe5fa4e69ba8eb0262dea9354" localSheetId="5" hidden="1">#REF!</definedName>
    <definedName name="MLNKac1a14571d9b4a148bd3859b6b0e020b" localSheetId="5" hidden="1">#REF!</definedName>
    <definedName name="MLNKac312bb407d440dbbb97222f7388dabc" localSheetId="5" hidden="1">#REF!</definedName>
    <definedName name="MLNKac42ad8b02784fb2b0c9f96bd99bb08a" localSheetId="5" hidden="1">#REF!</definedName>
    <definedName name="MLNKac5f4b1d989d4b56818962099fe7afb2" localSheetId="5" hidden="1">#REF!</definedName>
    <definedName name="MLNKac716c0503d44271adc268c475933c7b" localSheetId="5" hidden="1">#REF!</definedName>
    <definedName name="MLNKacc1cf085d6a4867ad74b38c132c6894" localSheetId="5" hidden="1">#REF!</definedName>
    <definedName name="MLNKad14749d5f984baa9b7886bdde649cf3" localSheetId="5" hidden="1">#REF!</definedName>
    <definedName name="MLNKadac72d252524717ae096004ff1f7a24" localSheetId="5" hidden="1">#REF!</definedName>
    <definedName name="MLNKae2bd731278143659ca73b7e3c820374" localSheetId="5" hidden="1">#REF!</definedName>
    <definedName name="MLNKae41783982f24be194658702fb8f0cac" localSheetId="5" hidden="1">#REF!</definedName>
    <definedName name="MLNKaea5c256d3804e37a62ac031b17c2a94" localSheetId="5" hidden="1">#REF!</definedName>
    <definedName name="MLNKaf0cbd3c6eb94c84b3215a78955725ce" localSheetId="5" hidden="1">#REF!</definedName>
    <definedName name="MLNKaf0dac759b4745cb803ecfc7dac9891a" localSheetId="5" hidden="1">#REF!</definedName>
    <definedName name="MLNKaf147c40d8394d2ab23b5751d90c86c5" localSheetId="5" hidden="1">#REF!</definedName>
    <definedName name="MLNKaf4053b80ea64fcf8f78ae61be88485c" localSheetId="5" hidden="1">#REF!</definedName>
    <definedName name="MLNKaf626229050142c985bfa4f75083b541" localSheetId="5" hidden="1">#REF!</definedName>
    <definedName name="MLNKaf64d7a53ca34796b30f55a715bb0be0" localSheetId="5" hidden="1">#REF!</definedName>
    <definedName name="MLNKafa1320afb9a46daa9a610fc04863ebd" localSheetId="5" hidden="1">#REF!</definedName>
    <definedName name="MLNKafddd8d8e0da494eb5e80f923f68e3d7" localSheetId="5" hidden="1">#REF!</definedName>
    <definedName name="MLNKafefbe6104aa47c6b2421ad86fe83664" localSheetId="5" hidden="1">#REF!</definedName>
    <definedName name="MLNKb016ba4ea42f4ab9a46441c8afd6fd0b" localSheetId="5" hidden="1">#REF!</definedName>
    <definedName name="MLNKb026e7e791854d31b7bb7758362b4c54" localSheetId="5" hidden="1">#REF!</definedName>
    <definedName name="MLNKb02de38dd13d495d8a2f90addc300534" localSheetId="5" hidden="1">#REF!</definedName>
    <definedName name="MLNKb0a22b8da9e349b0a219bcb103ca5e26" localSheetId="5" hidden="1">#REF!</definedName>
    <definedName name="MLNKb0b7baf2c9da4ebb925fcd533e96f887" localSheetId="5" hidden="1">#REF!</definedName>
    <definedName name="MLNKb14798519cfb416ba703507ddbf71d07" localSheetId="5" hidden="1">#REF!</definedName>
    <definedName name="MLNKb1f4aa7639a64f0bb4faf48bcfffa77e" localSheetId="5" hidden="1">#REF!</definedName>
    <definedName name="MLNKb1f744c776484ca18efc7c1044adf418" localSheetId="5" hidden="1">#REF!</definedName>
    <definedName name="MLNKb210f6399051471c85a0b1d471ae6b4a" localSheetId="5" hidden="1">#REF!</definedName>
    <definedName name="MLNKb261eaaffa0c4dce86de3c724754f93e" localSheetId="5" hidden="1">#REF!</definedName>
    <definedName name="MLNKb277a11827bb4cd4ba5526b2f9840a44" localSheetId="5" hidden="1">#REF!</definedName>
    <definedName name="MLNKb2901e1f50a84f918b6ead78ee99678a" localSheetId="5" hidden="1">#REF!</definedName>
    <definedName name="MLNKb29e0fcf93894e6f8bec10d6d37c13a0" localSheetId="5" hidden="1">#REF!</definedName>
    <definedName name="MLNKb2a351d967304760884468cb0fe785c1" localSheetId="5" hidden="1">#REF!</definedName>
    <definedName name="MLNKb2b99e6a58ac4865b2554ef3d1971577" localSheetId="5" hidden="1">#REF!</definedName>
    <definedName name="MLNKb2c15ca540cc43de87cb92d3c45b905e" localSheetId="5" hidden="1">#REF!</definedName>
    <definedName name="MLNKb2e67786ce8c46e8bb7037cef548e34c" localSheetId="5" hidden="1">#REF!</definedName>
    <definedName name="MLNKb30365b9692843388d1fd11a48afb7de" localSheetId="5" hidden="1">#REF!</definedName>
    <definedName name="MLNKb34eced05fc4474da889379a0eeab0c8" localSheetId="5" hidden="1">#REF!</definedName>
    <definedName name="MLNKb359d3fb47314fe2954621c0d9a0460e" localSheetId="5" hidden="1">#REF!</definedName>
    <definedName name="MLNKb394646e412b46e4bd36ca82f51a7ef4" localSheetId="5" hidden="1">#REF!</definedName>
    <definedName name="MLNKb3e9e939720a489d89545e7d7d680f08" localSheetId="5" hidden="1">#REF!</definedName>
    <definedName name="MLNKb443b133892445138634845abdcc3e84" localSheetId="5" hidden="1">#REF!</definedName>
    <definedName name="MLNKb4bc7e3573744fbd9426e78684dcc3ab" localSheetId="5" hidden="1">#REF!</definedName>
    <definedName name="MLNKb4dd3fcc101940d492434368874f4bb3" localSheetId="5" hidden="1">#REF!</definedName>
    <definedName name="MLNKb4fefb641131421ebfc67aca9dcd48b0" localSheetId="5" hidden="1">#REF!</definedName>
    <definedName name="MLNKb5282d98527f4904ba52287e9cb5399b" localSheetId="5" hidden="1">#REF!</definedName>
    <definedName name="MLNKb56d95f79c694ba18d515de86ff406ad" localSheetId="5" hidden="1">#REF!</definedName>
    <definedName name="MLNKb5c891d151b145b786e0f50677531611" localSheetId="5" hidden="1">#REF!</definedName>
    <definedName name="MLNKb60c585591ff435499adcbcedc787ee9" localSheetId="5" hidden="1">#REF!</definedName>
    <definedName name="MLNKb62f70a233c04d8ab7ba5cbf108488fc" localSheetId="5" hidden="1">#REF!</definedName>
    <definedName name="MLNKb6556ccd10c3418db2c4901ebf5ff5fe" localSheetId="5" hidden="1">#REF!</definedName>
    <definedName name="MLNKb6713b1b149a4c879d681efbc82fb638" localSheetId="5" hidden="1">#REF!</definedName>
    <definedName name="MLNKb6e9ea0573d54364b197d79fbac7c402" localSheetId="5" hidden="1">#REF!</definedName>
    <definedName name="MLNKb70e0287e1c84373ae29e8b329df47f8" localSheetId="5" hidden="1">#REF!</definedName>
    <definedName name="MLNKb721f99c3bd5494da0bbba9b39253294" localSheetId="5" hidden="1">#REF!</definedName>
    <definedName name="MLNKb7a2ed4b67ce44b4bab411afb5e42649" localSheetId="5" hidden="1">#REF!</definedName>
    <definedName name="MLNKb7d31e1e2081409396b6285609a8a1c5" localSheetId="5" hidden="1">#REF!</definedName>
    <definedName name="MLNKb80123ad714847a49302cb5808ce1193" localSheetId="5" hidden="1">#REF!</definedName>
    <definedName name="MLNKb858ba554cba45c2b1e6497959577cb6" localSheetId="5" hidden="1">#REF!</definedName>
    <definedName name="MLNKb8722e61aedf45c099f26b49822127bb" localSheetId="5" hidden="1">#REF!</definedName>
    <definedName name="MLNKb8793bbdc4cd4502a30b4e9de8fa112e" localSheetId="5" hidden="1">#REF!</definedName>
    <definedName name="MLNKb9256d417c6c4e1385e06c667fe8b931" localSheetId="5" hidden="1">#REF!</definedName>
    <definedName name="MLNKb962f77597134701a87ab3689de2ade2" localSheetId="5" hidden="1">#REF!</definedName>
    <definedName name="MLNKb96c898e66e64db6be18f3516577e540" localSheetId="5" hidden="1">#REF!</definedName>
    <definedName name="MLNKb9d8b3738506449f8b18eddc44e701a7" localSheetId="5" hidden="1">#REF!</definedName>
    <definedName name="MLNKb9dc16a2f02e4193b0c9daf0b4dc531d" localSheetId="5" hidden="1">#REF!</definedName>
    <definedName name="MLNKba58d7acb80a45f3840363bd2a9cf564" localSheetId="5" hidden="1">#REF!</definedName>
    <definedName name="MLNKbac738279cee41aea131d98d02bb4919" localSheetId="5" hidden="1">#REF!</definedName>
    <definedName name="MLNKbb02b748687641bc809fdb4b8b3361a4" localSheetId="5" hidden="1">#REF!</definedName>
    <definedName name="MLNKbb0818788be947d5849c08d5af71dccc" localSheetId="5" hidden="1">#REF!</definedName>
    <definedName name="MLNKbb5357eb56b4420ea6d73a7234b157c0" localSheetId="5" hidden="1">#REF!</definedName>
    <definedName name="MLNKbb6fbd47bf084dbc9553f91d139a05a9" localSheetId="5" hidden="1">#REF!</definedName>
    <definedName name="MLNKbb86d3d2a0f24dd2bbc238b0e1bc07d0" localSheetId="5" hidden="1">#REF!</definedName>
    <definedName name="MLNKbb88464955b04e74890527baf9dc3dca" localSheetId="5" hidden="1">#REF!</definedName>
    <definedName name="MLNKbc061df9fe0246f589d6e8f30e7ba972" localSheetId="5" hidden="1">#REF!</definedName>
    <definedName name="MLNKbc1fe6c37f4d4ab5bd8ff0e9ab1e3940" localSheetId="5" hidden="1">#REF!</definedName>
    <definedName name="MLNKbc46897c4edd49a3b339f17c312cec25" localSheetId="5" hidden="1">#REF!</definedName>
    <definedName name="MLNKbc9384b6216847feb02bc9296c7eedb4" localSheetId="5" hidden="1">#REF!</definedName>
    <definedName name="MLNKbc972375684f448ea4ab451e8958fea8" localSheetId="5" hidden="1">#REF!</definedName>
    <definedName name="MLNKbd76be2c1b68486a83af5de8bdbcfe39" localSheetId="5" hidden="1">#REF!</definedName>
    <definedName name="MLNKbddc92dbcd424513a26fec3a36608c07" localSheetId="5" hidden="1">#REF!</definedName>
    <definedName name="MLNKbdeb57301d144646ab6218b74785ea4e" localSheetId="5" hidden="1">#REF!</definedName>
    <definedName name="MLNKbdf0d6ac940b4635a9cad45d4ae0a2cd" localSheetId="5" hidden="1">#REF!</definedName>
    <definedName name="MLNKbe8a9067fdd943ef81522cfc5fa7313f" localSheetId="5" hidden="1">#REF!</definedName>
    <definedName name="MLNKbe8c0371e2f4475bbef96d2aed55eff3" localSheetId="5" hidden="1">#REF!</definedName>
    <definedName name="MLNKbeb2a85a7d5e4ac58ab6701f6b711fbb" localSheetId="5" hidden="1">#REF!</definedName>
    <definedName name="MLNKbefbd14f401445f6b6822f51bdc13266" localSheetId="5" hidden="1">#REF!</definedName>
    <definedName name="MLNKbf21327ddbcb442f916bf84b5556d861" localSheetId="5" hidden="1">#REF!</definedName>
    <definedName name="MLNKbf3a3943d82246bf95c2b9d4a31c3293" localSheetId="5" hidden="1">#REF!</definedName>
    <definedName name="MLNKbf583d266635420eb7c19219c08883e0" localSheetId="5" hidden="1">#REF!</definedName>
    <definedName name="MLNKbf7494994f6b4d10ab745a90ae65c079" localSheetId="5" hidden="1">#REF!</definedName>
    <definedName name="MLNKbf8530991c7842458de3c4951292490e" localSheetId="5" hidden="1">#REF!</definedName>
    <definedName name="MLNKbf9802cd3cc24b93b0e5cdc8298b13dd" localSheetId="5" hidden="1">#REF!</definedName>
    <definedName name="MLNKbfc259e67d194e33929daf85cda46659" localSheetId="5" hidden="1">#REF!</definedName>
    <definedName name="MLNKbfe3b2005f2742068b1031a3e3f8a2c6" localSheetId="5" hidden="1">#REF!</definedName>
    <definedName name="MLNKbff35fb8eb26465cb4693afd8d8fb756" localSheetId="5" hidden="1">#REF!</definedName>
    <definedName name="MLNKc02265f4aed844c3ae62791e09b09b4c" localSheetId="5" hidden="1">#REF!</definedName>
    <definedName name="MLNKc028b05ec1474697ae0f46d24ddade90" localSheetId="5" hidden="1">#REF!</definedName>
    <definedName name="MLNKc068bc95c85b4cad94c1afcc3efc523e" localSheetId="5" hidden="1">#REF!</definedName>
    <definedName name="MLNKc06d473cc53e493ba7441c705e9ad9c0" localSheetId="5" hidden="1">#REF!</definedName>
    <definedName name="MLNKc0c4d37d92a04564baea50424d14fdf5" localSheetId="5" hidden="1">#REF!</definedName>
    <definedName name="MLNKc0c74393ba7a4aa7aeea817b549967ff" localSheetId="5" hidden="1">#REF!</definedName>
    <definedName name="MLNKc1293af2908b44d9b422f15938ca8c44" localSheetId="5" hidden="1">#REF!</definedName>
    <definedName name="MLNKc15800ad3ce64a799cbdf8cb51764dd3" localSheetId="5" hidden="1">#REF!</definedName>
    <definedName name="MLNKc15a042a1cbc44198e3f9d1f75834286" localSheetId="5" hidden="1">#REF!</definedName>
    <definedName name="MLNKc162c015d35146d1b78e079093f33a77" localSheetId="5" hidden="1">#REF!</definedName>
    <definedName name="MLNKc1d5f6f75cbb4c8298db59ea1fc3b41a" localSheetId="5" hidden="1">#REF!</definedName>
    <definedName name="MLNKc1dc26d0f03a46858e757bd1d4377f75" localSheetId="5" hidden="1">#REF!</definedName>
    <definedName name="MLNKc2253feafb7f4fffbad2c16fe7a3916b" localSheetId="5" hidden="1">#REF!</definedName>
    <definedName name="MLNKc26338d459b741348648c7ac47c31ac0" localSheetId="5" hidden="1">#REF!</definedName>
    <definedName name="MLNKc2efd8ffcaa34e59b60518bbb305fc63" localSheetId="5" hidden="1">#REF!</definedName>
    <definedName name="MLNKc3c336515a70492995ab6aca70041fcd" localSheetId="5" hidden="1">#REF!</definedName>
    <definedName name="MLNKc41080187ee240b3a67ecf6f0308555a" localSheetId="5" hidden="1">#REF!</definedName>
    <definedName name="MLNKc46028cf5e4d492d9dea2018869aaaed" localSheetId="5" hidden="1">#REF!</definedName>
    <definedName name="MLNKc4793f350dca4664921b6dcbcbf53581" localSheetId="5" hidden="1">#REF!</definedName>
    <definedName name="MLNKc49aa80d5b814474aab88331745b7c97" localSheetId="5" hidden="1">#REF!</definedName>
    <definedName name="MLNKc50218c9156a467781e411dbd3d48136" localSheetId="5" hidden="1">#REF!</definedName>
    <definedName name="MLNKc5130a94ec1244b7a7361d362b309207" localSheetId="5" hidden="1">#REF!</definedName>
    <definedName name="MLNKc52f5a42071748faace2c1e249d2015f" localSheetId="5" hidden="1">#REF!</definedName>
    <definedName name="MLNKc5917d86d84245a19e71228e902d9570" localSheetId="5" hidden="1">#REF!</definedName>
    <definedName name="MLNKc59c2c879bb947b281e7464f5d9cc03a" localSheetId="5" hidden="1">#REF!</definedName>
    <definedName name="MLNKc5a2959bebff4f91b09362097725d98e" localSheetId="5" hidden="1">#REF!</definedName>
    <definedName name="MLNKc5a7812eb2af4fadb44bbda7b9929a72" localSheetId="5" hidden="1">#REF!</definedName>
    <definedName name="MLNKc5e456f02ef14641ab6d200a8799727b" localSheetId="5" hidden="1">#REF!</definedName>
    <definedName name="MLNKc63f950ad18249aa861fef09073db1d6" localSheetId="5" hidden="1">#REF!</definedName>
    <definedName name="MLNKc659f995effe4b579c38ff91fa57e987" localSheetId="5" hidden="1">#REF!</definedName>
    <definedName name="MLNKc6a3adf58cc34cca8ac50a6e121510b0" localSheetId="5" hidden="1">#REF!</definedName>
    <definedName name="MLNKc6aefbd14cfb45458e4c047f71737189" localSheetId="5" hidden="1">#REF!</definedName>
    <definedName name="MLNKc704294fb3b1488bb0ba0585a590b398" localSheetId="5" hidden="1">#REF!</definedName>
    <definedName name="MLNKc74e60fbf854453db17e8684ea5bce66" localSheetId="5" hidden="1">#REF!</definedName>
    <definedName name="MLNKc78948282baa424d84a9383779c84fd8" localSheetId="5" hidden="1">#REF!</definedName>
    <definedName name="MLNKc7bd4a1a060f4aaa8c20cc94cfe1d136" localSheetId="5" hidden="1">#REF!</definedName>
    <definedName name="MLNKc7cf56759fe7450b8fae1f2e22385088" localSheetId="5" hidden="1">#REF!</definedName>
    <definedName name="MLNKc7f38e5cfeaf42f9988e20e95383f2db" localSheetId="5" hidden="1">#REF!</definedName>
    <definedName name="MLNKc8303a74a6da4384a3461c33aa32d167" localSheetId="5" hidden="1">#REF!</definedName>
    <definedName name="MLNKc84748cc10dd4256933f02e2c927b5a9" localSheetId="5" hidden="1">#REF!</definedName>
    <definedName name="MLNKc8b6fbc053ad4a09b0fc6be79636d8a0" localSheetId="5" hidden="1">#REF!</definedName>
    <definedName name="MLNKc8b73752472f48b2bccfdaba1c6b6f7b" localSheetId="5" hidden="1">#REF!</definedName>
    <definedName name="MLNKc8c13711c8f146a2bed6a2a829026a3a" localSheetId="5" hidden="1">#REF!</definedName>
    <definedName name="MLNKc96440fe196b463188ebf018d89175e5" localSheetId="5" hidden="1">#REF!</definedName>
    <definedName name="MLNKc9c57b72996149a49a1298c36e44b823" localSheetId="5" hidden="1">#REF!</definedName>
    <definedName name="MLNKca1a1b8dbfbd452ba55a0e395ea793b3" localSheetId="5" hidden="1">#REF!</definedName>
    <definedName name="MLNKca6ff9cfcc2342938b8d0d06d521994a" localSheetId="5" hidden="1">#REF!</definedName>
    <definedName name="MLNKca9483f47aa24b93a01c0247a19983f1" localSheetId="5" hidden="1">#REF!</definedName>
    <definedName name="MLNKcb6504988142428b9321b1171667d1b6" localSheetId="5" hidden="1">#REF!</definedName>
    <definedName name="MLNKcbc35652dd604c5399c23d2cf3fc6c75" localSheetId="5" hidden="1">#REF!</definedName>
    <definedName name="MLNKcbd71f619082476689d69b3dbeedeac6" localSheetId="5" hidden="1">#REF!</definedName>
    <definedName name="MLNKcbef1b6aba174d3d8d2a156f2bc0bb7a" localSheetId="5" hidden="1">#REF!</definedName>
    <definedName name="MLNKcc72a4973dcc430e98fda17b11fce969" localSheetId="5" hidden="1">#REF!</definedName>
    <definedName name="MLNKcc96c218311c4662b164636e42f56ff7" localSheetId="5" hidden="1">#REF!</definedName>
    <definedName name="MLNKccfdce20570e4e79814e7f1193be9a80" localSheetId="5" hidden="1">#REF!</definedName>
    <definedName name="MLNKcd99621c65174ed2ada3f53847230fd8" localSheetId="5" hidden="1">#REF!</definedName>
    <definedName name="MLNKcdb7df57995c48968b72a48a62e8fda5" localSheetId="5" hidden="1">#REF!</definedName>
    <definedName name="MLNKce77c2f032d04ee79c255f6e39b36c47" localSheetId="5" hidden="1">#REF!</definedName>
    <definedName name="MLNKcec893d18ba74351a83a8b40b0d5efd9" localSheetId="5" hidden="1">#REF!</definedName>
    <definedName name="MLNKceee71bebd05435ba38663e3f636b7bb" localSheetId="5" hidden="1">#REF!</definedName>
    <definedName name="MLNKcfda49d4838e4081a1e44ac95a0dc186" localSheetId="5" hidden="1">#REF!</definedName>
    <definedName name="MLNKcffe7ff91f8047d7a7cdf3ca51ff1bbf" localSheetId="5" hidden="1">#REF!</definedName>
    <definedName name="MLNKd0545dd1a5434d3f9970307092995492" localSheetId="5" hidden="1">#REF!</definedName>
    <definedName name="MLNKd0acfc2eb6a54c42914a931ced4f1d48" localSheetId="5" hidden="1">#REF!</definedName>
    <definedName name="MLNKd0fe1099bbf4459088b43f18d16a11f1" localSheetId="5" hidden="1">#REF!</definedName>
    <definedName name="MLNKd1a73aa7a5624f9e8a8c5ab9b419c185" localSheetId="5" hidden="1">#REF!</definedName>
    <definedName name="MLNKd1b79e4e7aef43368318ed1e172c8dbd" localSheetId="5" hidden="1">#REF!</definedName>
    <definedName name="MLNKd1bfe69c1e284d6fba0c9353cc855643" localSheetId="5" hidden="1">#REF!</definedName>
    <definedName name="MLNKd1c69d0883884061b336aab57325eb3d" localSheetId="5" hidden="1">#REF!</definedName>
    <definedName name="MLNKd1e91ca61c1d4db08628df8a82893192" localSheetId="5" hidden="1">#REF!</definedName>
    <definedName name="MLNKd1eb0891b31448f6a2a42787308f57d0" localSheetId="5" hidden="1">#REF!</definedName>
    <definedName name="MLNKd25edf542942433c8b7b8a7ffaa24bec" localSheetId="5" hidden="1">#REF!</definedName>
    <definedName name="MLNKd30907edbba3423cb347492441fee011" localSheetId="5" hidden="1">#REF!</definedName>
    <definedName name="MLNKd36364ccf3554d17be4e90cf90af8fff" localSheetId="5" hidden="1">#REF!</definedName>
    <definedName name="MLNKd39ac37ab737442ca2d9b1b6321f0bc6" localSheetId="5" hidden="1">#REF!</definedName>
    <definedName name="MLNKd3dc24d4ddd940eea846c20a184293ad" localSheetId="5" hidden="1">#REF!</definedName>
    <definedName name="MLNKd4318cd5f5444700b610edf92c08ff61" localSheetId="5" hidden="1">#REF!</definedName>
    <definedName name="MLNKd4a131a086eb4e34a82a03221c7ee0cd" localSheetId="5" hidden="1">#REF!</definedName>
    <definedName name="MLNKd4caca0d68e14854ba184d3cb6571648" localSheetId="5" hidden="1">#REF!</definedName>
    <definedName name="MLNKd4da8cf3a71e4aa5ae3faf4df95402c0" localSheetId="5" hidden="1">#REF!</definedName>
    <definedName name="MLNKd4ece25b0836456690f432756db42070" localSheetId="5" hidden="1">#REF!</definedName>
    <definedName name="MLNKd4ee53c7dd364f0285ddf36588313749" localSheetId="5" hidden="1">#REF!</definedName>
    <definedName name="MLNKd5331428b6a8460799e1af1965ef25b1" localSheetId="5" hidden="1">#REF!</definedName>
    <definedName name="MLNKd5dcff4e626442cca81691cce7c3df31" localSheetId="5" hidden="1">#REF!</definedName>
    <definedName name="MLNKd6ad96b7f16647ecbf8b5eb4cb525e9a" localSheetId="5" hidden="1">#REF!</definedName>
    <definedName name="MLNKd6b82239b64548989b79a51dc8935db6" localSheetId="5" hidden="1">#REF!</definedName>
    <definedName name="MLNKd73ad899cda541a8982e3f2d5aa1956e" localSheetId="5" hidden="1">#REF!</definedName>
    <definedName name="MLNKd8d24d9706354d54a8737ff792d1c649" localSheetId="5" hidden="1">#REF!</definedName>
    <definedName name="MLNKd8e056c4de3e4a3b863d5b0fe931d713" localSheetId="5" hidden="1">#REF!</definedName>
    <definedName name="MLNKd8f4c3b0fd084f6ba73e89ad0a9afd0a" localSheetId="5" hidden="1">#REF!</definedName>
    <definedName name="MLNKd98a6631865c40838e2bd40a4ed891f0" localSheetId="5" hidden="1">#REF!</definedName>
    <definedName name="MLNKda1152c4cc0c422f84e177462720e4e9" localSheetId="5" hidden="1">#REF!</definedName>
    <definedName name="MLNKdad976f7fd5f4e2b8d5894157ebede88" localSheetId="5" hidden="1">#REF!</definedName>
    <definedName name="MLNKdaf6c5baad5440ac9bc69ff1570d9d9a" localSheetId="5" hidden="1">#REF!</definedName>
    <definedName name="MLNKdb299d51f2f34ecb8bd62f12bf0a4b9f" localSheetId="5" hidden="1">#REF!</definedName>
    <definedName name="MLNKdb3202f698c541ba9ac5aaafa0a40b7c" localSheetId="5" hidden="1">#REF!</definedName>
    <definedName name="MLNKdb682b6a3d82445cac4ef9141ab8b3eb" localSheetId="5" hidden="1">#REF!</definedName>
    <definedName name="MLNKdb820b3d009f40ce8e422db2741d580f" localSheetId="5" hidden="1">#REF!</definedName>
    <definedName name="MLNKdb864bfe86424f5e87f6b1bb724e6820" localSheetId="5" hidden="1">#REF!</definedName>
    <definedName name="MLNKdbcdd2701ff140beb988f8d81263cfb6" localSheetId="5" hidden="1">#REF!</definedName>
    <definedName name="MLNKdbf5ffa69fb145d38b68f2930b8783c8" localSheetId="5" hidden="1">#REF!</definedName>
    <definedName name="MLNKdc10587df1364384b7698f37a398df57" localSheetId="5" hidden="1">#REF!</definedName>
    <definedName name="MLNKdc4c588ea844422d85350eaf38e7d7f4" localSheetId="5" hidden="1">#REF!</definedName>
    <definedName name="MLNKdc921760362b49f09e4e76d8b6a7b69d" localSheetId="5" hidden="1">#REF!</definedName>
    <definedName name="MLNKdca86110a7d74aafb81444faffbea7dc" localSheetId="5" hidden="1">#REF!</definedName>
    <definedName name="MLNKdcc1ef51c49e470a9212dd480f00d5c5" localSheetId="5" hidden="1">#REF!</definedName>
    <definedName name="MLNKdce35bbf22604ffa92e90dfce593145a" localSheetId="5" hidden="1">#REF!</definedName>
    <definedName name="MLNKdcfa7180c18943a0898fa020b54f44e5" localSheetId="5" hidden="1">#REF!</definedName>
    <definedName name="MLNKdd16275dc64b4808b13920b3578e8113" localSheetId="5" hidden="1">#REF!</definedName>
    <definedName name="MLNKdd2f530a9a264852b24622a11e3f1b7d" localSheetId="5" hidden="1">#REF!</definedName>
    <definedName name="MLNKdd36a7854d414eb6b4c775afa248a0ac" localSheetId="5" hidden="1">#REF!</definedName>
    <definedName name="MLNKdd6d5e906e544999adafc1c995f9de12" localSheetId="5" hidden="1">#REF!</definedName>
    <definedName name="MLNKdd80ddbbaa7c428dbef178217ed5c495" localSheetId="5" hidden="1">#REF!</definedName>
    <definedName name="MLNKde8006bacfc346d6b4df8727d916822c" localSheetId="5" hidden="1">#REF!</definedName>
    <definedName name="MLNKded61ea6701f47b787ab31230f494da4" localSheetId="5" hidden="1">#REF!</definedName>
    <definedName name="MLNKdeefa2bfaa414bce9e904db535a538f9" localSheetId="5" hidden="1">#REF!</definedName>
    <definedName name="MLNKdf07d88462fd4bfd9dc7f95442e82542" localSheetId="5" hidden="1">#REF!</definedName>
    <definedName name="MLNKdf2238e63cba47398e2681a8c2bfaa54" localSheetId="5" hidden="1">#REF!</definedName>
    <definedName name="MLNKdf654a64333a494fa6e088e037163da8" localSheetId="5" hidden="1">#REF!</definedName>
    <definedName name="MLNKdfa802fe092a4977907fea92b409c1e1" localSheetId="5" hidden="1">#REF!</definedName>
    <definedName name="MLNKdfb4ba7c52e647f4a074b2c2f375cbcc" localSheetId="5" hidden="1">#REF!</definedName>
    <definedName name="MLNKe04bf971879347c7982b1173e2d29a2a" localSheetId="5" hidden="1">#REF!</definedName>
    <definedName name="MLNKe090e26510014cdeb8e67a5d5a96ba13" localSheetId="5" hidden="1">#REF!</definedName>
    <definedName name="MLNKe09293ca8bf645f5ac49304a5e99835a" localSheetId="5" hidden="1">#REF!</definedName>
    <definedName name="MLNKe097181bd7e94b59b0bf560b50f4a59a" localSheetId="5" hidden="1">#REF!</definedName>
    <definedName name="MLNKe0c53436419d42a685619d07b8f478b9" localSheetId="5" hidden="1">#REF!</definedName>
    <definedName name="MLNKe0e0cfd6df4745e9ad359e10947fe8c7" localSheetId="5" hidden="1">#REF!</definedName>
    <definedName name="MLNKe0eeb9a76c784235a587a54c6d6bf77f" localSheetId="5" hidden="1">#REF!</definedName>
    <definedName name="MLNKe11e2d59fb984a0ba22671c02a2fa156" localSheetId="5" hidden="1">#REF!</definedName>
    <definedName name="MLNKe1645ce7b3f14a81835ab110636a0d5e" localSheetId="5" hidden="1">#REF!</definedName>
    <definedName name="MLNKe1896678be7e490ca4a3a6a4e8b66469" localSheetId="5" hidden="1">#REF!</definedName>
    <definedName name="MLNKe1ac4738cbfe4e66ab2c077b0dc4db99" localSheetId="5" hidden="1">#REF!</definedName>
    <definedName name="MLNKe1cf75a7a5894c31ab0f4382a0d6f1b5" localSheetId="5" hidden="1">#REF!</definedName>
    <definedName name="MLNKe1dc33bbbf3240bdbcf7d611be0084b0" localSheetId="5" hidden="1">#REF!</definedName>
    <definedName name="MLNKe21a8c84c9ff4be8b8cf445853d6fcec" localSheetId="5" hidden="1">#REF!</definedName>
    <definedName name="MLNKe2a086a7b5c14ff5800311a557761726" localSheetId="5" hidden="1">#REF!</definedName>
    <definedName name="MLNKe2b28c59c20b4889b245155e6c10512a" localSheetId="5" hidden="1">#REF!</definedName>
    <definedName name="MLNKe2eb1cfb3a68470b9c8fea946d494a0a" localSheetId="5" hidden="1">#REF!</definedName>
    <definedName name="MLNKe301b7ee170d422480db09afd5555b9d" localSheetId="5" hidden="1">#REF!</definedName>
    <definedName name="MLNKe32a5ae092c14a708b0d4aacce87e161" localSheetId="5" hidden="1">#REF!</definedName>
    <definedName name="MLNKe35ef9b20e8c4b09a97c3424b90a59ab" localSheetId="5" hidden="1">#REF!</definedName>
    <definedName name="MLNKe3741771fafe452fbc166f1b31abb306" localSheetId="5" hidden="1">#REF!</definedName>
    <definedName name="MLNKe3aafe139b4c4da5b49582c83a2ca89e" localSheetId="5" hidden="1">#REF!</definedName>
    <definedName name="MLNKe3e4123999434a0dbf6ee6dd2e2e74c2" localSheetId="5" hidden="1">#REF!</definedName>
    <definedName name="MLNKe3f36a4ea9db4eb689b19d62c08f43eb" localSheetId="5" hidden="1">#REF!</definedName>
    <definedName name="MLNKe419df6c3bac4cd5a289cd1919df434c" localSheetId="5" hidden="1">#REF!</definedName>
    <definedName name="MLNKe46d45e2188d48f4864afc164943f2a4" localSheetId="5" hidden="1">#REF!</definedName>
    <definedName name="MLNKe4afc91282184093a934ea945b892c20" localSheetId="5" hidden="1">#REF!</definedName>
    <definedName name="MLNKe58b4f9954594a68919adf5d39ec4f38" localSheetId="5" hidden="1">#REF!</definedName>
    <definedName name="MLNKe5f7520d114649c68b8a2a9313d7a076" localSheetId="5" hidden="1">#REF!</definedName>
    <definedName name="MLNKe6017dab58bc41efb29a306689344160" localSheetId="5" hidden="1">#REF!</definedName>
    <definedName name="MLNKe66072ea21e24018887760cc3bc56187" localSheetId="5" hidden="1">#REF!</definedName>
    <definedName name="MLNKe67783f9386045fab4a95e47d8eed990" localSheetId="5" hidden="1">#REF!</definedName>
    <definedName name="MLNKe695c665be334e03b8dbb3226f06b070" localSheetId="5" hidden="1">#REF!</definedName>
    <definedName name="MLNKe69c7e47ace84fdabba07cd9364eb119" localSheetId="5" hidden="1">#REF!</definedName>
    <definedName name="MLNKe6acb0e24b0d4721896077e31c09a598" localSheetId="5" hidden="1">#REF!</definedName>
    <definedName name="MLNKe6d44b7eb7494a3ebb638bf1b41fb3c8" localSheetId="5" hidden="1">#REF!</definedName>
    <definedName name="MLNKe714491b1f6a4ca1815ea51cdc0d9809" localSheetId="5" hidden="1">#REF!</definedName>
    <definedName name="MLNKe718831ad10d4537b33e4eb72d3f42c8" localSheetId="5" hidden="1">#REF!</definedName>
    <definedName name="MLNKe754afffd77a4d84aa91d88468789915" localSheetId="5" hidden="1">#REF!</definedName>
    <definedName name="MLNKe75b05fb183c4a99b36e3ee9052825c3" localSheetId="5" hidden="1">#REF!</definedName>
    <definedName name="MLNKe75bfc86c5c340b58c80decac0c459df" localSheetId="5" hidden="1">#REF!</definedName>
    <definedName name="MLNKe769863fb62b471a91f08c34c6aa0fe8" localSheetId="5" hidden="1">#REF!</definedName>
    <definedName name="MLNKe7b2e230834f442ab919ab2ecb1d014e" localSheetId="5" hidden="1">#REF!</definedName>
    <definedName name="MLNKe7d255d2ea4045708a682a35478c4a53" localSheetId="5" hidden="1">#REF!</definedName>
    <definedName name="MLNKe7f13861e6d2486aaed4a2efd709d77f" localSheetId="5" hidden="1">#REF!</definedName>
    <definedName name="MLNKe81326c08cbd4af5aca80814f87f4e2d" localSheetId="5" hidden="1">#REF!</definedName>
    <definedName name="MLNKe81814586d854858aad8987dc9d39618" localSheetId="5" hidden="1">#REF!</definedName>
    <definedName name="MLNKe8606b21ad0646a883f1e4e117985e38" localSheetId="5" hidden="1">#REF!</definedName>
    <definedName name="MLNKe87eba5671a54589ba2b3005504069f5" localSheetId="5" hidden="1">#REF!</definedName>
    <definedName name="MLNKe882e6930c9d4facbc5ea027ed00bd00" localSheetId="5" hidden="1">#REF!</definedName>
    <definedName name="MLNKe8bbf428f7b741fda970875cb350ca06" localSheetId="5" hidden="1">#REF!</definedName>
    <definedName name="MLNKe93d21e8b1e9487ab407552124823362" localSheetId="5" hidden="1">#REF!</definedName>
    <definedName name="MLNKe9691c94eb924535b492835020e075c4" localSheetId="5" hidden="1">#REF!</definedName>
    <definedName name="MLNKe9c9c3aa2da84cef841b702098ff2c1b" localSheetId="5" hidden="1">#REF!</definedName>
    <definedName name="MLNKea15f6d358e7409d912b7bd4dea3a161" localSheetId="5" hidden="1">#REF!</definedName>
    <definedName name="MLNKea75e391dd194d1aa3ca8ad47d767efd" localSheetId="5" hidden="1">#REF!</definedName>
    <definedName name="MLNKeabbe4aeee6047609b732161a9b667c5" localSheetId="5" hidden="1">#REF!</definedName>
    <definedName name="MLNKeb416d5891b249bcb35e643344093a57" localSheetId="5" hidden="1">#REF!</definedName>
    <definedName name="MLNKeb80b5cd4cd44fbba7a7bfb840cd3cdd" localSheetId="5" hidden="1">#REF!</definedName>
    <definedName name="MLNKeb94e17874554a428430ccc272790bb9" localSheetId="5" hidden="1">#REF!</definedName>
    <definedName name="MLNKebe9a349e0f9446c99a03332b6951f2f" localSheetId="5" hidden="1">#REF!</definedName>
    <definedName name="MLNKec2315a17f1e44d4b305b28d5364f8ca" localSheetId="5" hidden="1">#REF!</definedName>
    <definedName name="MLNKec2e06f2daf8473e9eb2730d329d99f6" localSheetId="5" hidden="1">#REF!</definedName>
    <definedName name="MLNKec9eca812169465a8fa174402115bbe5" localSheetId="5" hidden="1">#REF!</definedName>
    <definedName name="MLNKece6d007c0f24cbb975070e5fd99dd6a" localSheetId="5" hidden="1">#REF!</definedName>
    <definedName name="MLNKed18dbb41b634a2ea88edfc27ac7f977" localSheetId="5" hidden="1">#REF!</definedName>
    <definedName name="MLNKed63a1a3f60d4cb9a6eea667a88f3bae" localSheetId="5" hidden="1">#REF!</definedName>
    <definedName name="MLNKed88ef6ad04f47a8afae5d53b67933e0" localSheetId="5" hidden="1">#REF!</definedName>
    <definedName name="MLNKedad7bc6cf7c48458c71bbdca16f9636" localSheetId="5" hidden="1">#REF!</definedName>
    <definedName name="MLNKedf41ed864b04234a4ba254b23ff76a3" localSheetId="5" hidden="1">#REF!</definedName>
    <definedName name="MLNKee3a74249ae848caabbc83e007ef01b0" localSheetId="5" hidden="1">#REF!</definedName>
    <definedName name="MLNKee560b513f474eb28eac354d60ec6a21" localSheetId="5" hidden="1">#REF!</definedName>
    <definedName name="MLNKeecdb8d7190e4f8c808622a7226be5e5" localSheetId="5" hidden="1">#REF!</definedName>
    <definedName name="MLNKef1358c8ef6144f58a770a230439ef3e" localSheetId="5" hidden="1">#REF!</definedName>
    <definedName name="MLNKef1b927cfe704d81a46a8bc2f477a2fa" localSheetId="5" hidden="1">#REF!</definedName>
    <definedName name="MLNKef3db0272bf647529f6e7f2390fffd88" localSheetId="5" hidden="1">#REF!</definedName>
    <definedName name="MLNKef65e7171ed04845a0e5c901f7dbaa01" localSheetId="5" hidden="1">#REF!</definedName>
    <definedName name="MLNKeffcf5b54c15412f81f36dd9c606a529" localSheetId="5" hidden="1">#REF!</definedName>
    <definedName name="MLNKf026ec19a29e4e81a40d0f3d93f4b72a" localSheetId="5" hidden="1">#REF!</definedName>
    <definedName name="MLNKf043457bc28e4f86ad787013e0eaf10f" localSheetId="5" hidden="1">#REF!</definedName>
    <definedName name="MLNKf05580bcd2874e4ea76da70598d259c5" localSheetId="5" hidden="1">#REF!</definedName>
    <definedName name="MLNKf092f36ff0f74b25a58d312b2ebc9377" localSheetId="5" hidden="1">#REF!</definedName>
    <definedName name="MLNKf0bcc9f4176d4a49ab0f9727901687cc" localSheetId="5" hidden="1">#REF!</definedName>
    <definedName name="MLNKf14b49f683294b4cbdb258986588af23" localSheetId="5" hidden="1">#REF!</definedName>
    <definedName name="MLNKf187bf23ebf6455abeeb8dcfe68f1a02" localSheetId="5" hidden="1">#REF!</definedName>
    <definedName name="MLNKf1ce7c1f71ca4b5dbd297a8314c35f0d" localSheetId="5" hidden="1">#REF!</definedName>
    <definedName name="MLNKf1d741c373f34620ba9db75e559d6492" localSheetId="5" hidden="1">#REF!</definedName>
    <definedName name="MLNKf1e1e702f443436db370aefe1af4b4af" localSheetId="5" hidden="1">#REF!</definedName>
    <definedName name="MLNKf1f9642b8d95448c83157665365c64cb" localSheetId="5" hidden="1">#REF!</definedName>
    <definedName name="MLNKf1fc313dfb8c49c9ad656524cf038dd4" localSheetId="5" hidden="1">#REF!</definedName>
    <definedName name="MLNKf22d86e83dc74649878809d6d5084ff5" localSheetId="5" hidden="1">#REF!</definedName>
    <definedName name="MLNKf253c29f66594a42a013a647cc4348d4" localSheetId="5" hidden="1">#REF!</definedName>
    <definedName name="MLNKf31aad2c3ffa4de3a9ecc2984218c1a2" localSheetId="5" hidden="1">#REF!</definedName>
    <definedName name="MLNKf34374e0248843038ab5daf7c14052b3" localSheetId="5" hidden="1">#REF!</definedName>
    <definedName name="MLNKf344c94dee6743acb54f67936df14787" localSheetId="5" hidden="1">#REF!</definedName>
    <definedName name="MLNKf3ea2223b5ec4d16a60dea61e33ff172" localSheetId="5" hidden="1">#REF!</definedName>
    <definedName name="MLNKf49077d8fce6408495d3e0d6d993dd80" localSheetId="5" hidden="1">#REF!</definedName>
    <definedName name="MLNKf4c706ec50fc4f89a88d8e3dd66e6443" localSheetId="5" hidden="1">#REF!</definedName>
    <definedName name="MLNKf589f5d4860d4c168e084a35ada47455" localSheetId="5" hidden="1">#REF!</definedName>
    <definedName name="MLNKf5d530e37ea3487f8215dece0e743f02" localSheetId="5" hidden="1">#REF!</definedName>
    <definedName name="MLNKf62372b10e7546899a27aba86588940f" localSheetId="5" hidden="1">#REF!</definedName>
    <definedName name="MLNKf655751cc8844c7f812a2493aeecffe0" localSheetId="5" hidden="1">#REF!</definedName>
    <definedName name="MLNKf65576a79529435e96ea56a9f989a6c1" localSheetId="5" hidden="1">#REF!</definedName>
    <definedName name="MLNKf66035223f4444779699efe602c3bb34" localSheetId="5" hidden="1">#REF!</definedName>
    <definedName name="MLNKf6be7ea148f343f7b5092a15eaa08df9" localSheetId="5" hidden="1">#REF!</definedName>
    <definedName name="MLNKf7ac723cff9943a5988d414dbabff1fa" localSheetId="5" hidden="1">#REF!</definedName>
    <definedName name="MLNKf7b5854165ea4f1ca3154d614dbd1ec5" localSheetId="5" hidden="1">#REF!</definedName>
    <definedName name="MLNKf7e8acfd8b604c459d0a277eec871150" localSheetId="5" hidden="1">#REF!</definedName>
    <definedName name="MLNKf8373b71f8f04deb98bc961f11b3339a" localSheetId="5" hidden="1">#REF!</definedName>
    <definedName name="MLNKf83b8907730540f7ad62729b856f69cd" localSheetId="5" hidden="1">#REF!</definedName>
    <definedName name="MLNKf864eed95e984ae99caedb517dee0d9a" localSheetId="5" hidden="1">#REF!</definedName>
    <definedName name="MLNKf8965499dbe140ae94eaca5543729810" localSheetId="5" hidden="1">#REF!</definedName>
    <definedName name="MLNKf8e3a1f924af457f9b8e9eb2627b2e2d" localSheetId="5" hidden="1">#REF!</definedName>
    <definedName name="MLNKf8f37e5ba04b4a2b9dacd71d668832f0" localSheetId="5" hidden="1">#REF!</definedName>
    <definedName name="MLNKf97dea5cae574753b91c7d04c01a1b4e" localSheetId="5" hidden="1">#REF!</definedName>
    <definedName name="MLNKfa135e4b2a87433b99cd7a85d3aa7ace" localSheetId="5" hidden="1">#REF!</definedName>
    <definedName name="MLNKfa3e27c8c53342ceaacbb15388eb3dd1" localSheetId="5" hidden="1">#REF!</definedName>
    <definedName name="MLNKfa69040b92f44ab7a12d42ec9357499d" localSheetId="5" hidden="1">#REF!</definedName>
    <definedName name="MLNKfa6c316471364176bcbbefc6830ef829" localSheetId="5" hidden="1">#REF!</definedName>
    <definedName name="MLNKfaa67a026dd9454f9e7abfa18fd2ea98" localSheetId="5" hidden="1">#REF!</definedName>
    <definedName name="MLNKfad519013a3047d98d58233a55d1b524" localSheetId="5" hidden="1">#REF!</definedName>
    <definedName name="MLNKfb30cc3b31544b5faf150bb880655370" localSheetId="5" hidden="1">#REF!</definedName>
    <definedName name="MLNKfb5a28e2d52642d8ae374a24aa2f515b" localSheetId="5" hidden="1">#REF!</definedName>
    <definedName name="MLNKfbd34e9c5e9a46d68b7d7c6b4ac63d0c" localSheetId="5" hidden="1">#REF!</definedName>
    <definedName name="MLNKfc3b92d24c004f3fb5fb80573593aba6" localSheetId="5" hidden="1">#REF!</definedName>
    <definedName name="MLNKfc5606f237434fc18abf8ce6d3503626" localSheetId="5" hidden="1">#REF!</definedName>
    <definedName name="MLNKfc65f694760547b99ecbf623bd883e7a" localSheetId="5" hidden="1">#REF!</definedName>
    <definedName name="MLNKfca07d14109c400d95b9eb8da58225aa" localSheetId="5" hidden="1">#REF!</definedName>
    <definedName name="MLNKfd0d9b768299437b92b717f7f627c62c" localSheetId="5" hidden="1">#REF!</definedName>
    <definedName name="MLNKfd23cff0e25d4fe99dc556f422f0ed97" localSheetId="5" hidden="1">#REF!</definedName>
    <definedName name="MLNKfd5d209ad5e74b14990c5e6a54b9f9db" localSheetId="5" hidden="1">#REF!</definedName>
    <definedName name="MLNKfd9082fc4c98457d8cbbef8a12aceedc" localSheetId="5" hidden="1">#REF!</definedName>
    <definedName name="MLNKfebe3ae174e74e728322fa727b235f1f" localSheetId="5" hidden="1">#REF!</definedName>
    <definedName name="MLNKff4adabb732d44049edfd0fbf054b234" localSheetId="5" hidden="1">#REF!</definedName>
    <definedName name="MLNKff5ecd00ef6847669fb191968d8809a5" localSheetId="5" hidden="1">#REF!</definedName>
    <definedName name="MLNKffa830e55d954992a7bc24b31840c35a" localSheetId="5" hidden="1">#REF!</definedName>
    <definedName name="MLNKffb594f36bc542278515f6018b380411" localSheetId="5" hidden="1">#REF!</definedName>
    <definedName name="mlw" localSheetId="5" hidden="1">{#N/A,#N/A,FALSE,"Pharm";#N/A,#N/A,FALSE,"WWCM"}</definedName>
    <definedName name="mnkj" localSheetId="5" hidden="1">{#N/A,#N/A,TRUE,"BUD VS ACT AUST 96";#N/A,#N/A,TRUE,"96 COMP P&amp;L-AUST";#N/A,#N/A,TRUE,"COMP BS-AUSTRALIA";#N/A,#N/A,TRUE,"B/S - AUSTR."}</definedName>
    <definedName name="model" localSheetId="5" hidden="1">{#N/A,#N/A,FALSE,"Rev Grwth";#N/A,#N/A,FALSE,"Op Inc Grwth";#N/A,#N/A,FALSE,"Net Grwth";#N/A,#N/A,FALSE,"EPS Growth"}</definedName>
    <definedName name="model2" localSheetId="5" hidden="1">{#N/A,#N/A,FALSE,"Rev Grwth";#N/A,#N/A,FALSE,"Op Inc Grwth";#N/A,#N/A,FALSE,"Net Grwth";#N/A,#N/A,FALSE,"EPS Growth"}</definedName>
    <definedName name="Month" localSheetId="5">#REF!</definedName>
    <definedName name="Monthly_Payment" localSheetId="5">-PMT(Interest_Rate/12,'IV. EBITDA Adjustments'!Number_of_Payments,'IV. EBITDA Adjustments'!Loan_Amount)</definedName>
    <definedName name="months_per_period" localSheetId="5">INDEX({12,6,3,2,1,0.5,0.5,0.25},MATCH(#REF!,'IV. EBITDA Adjustments'!frequency,0))</definedName>
    <definedName name="MPO" localSheetId="5" hidden="1">{#N/A,#N/A,TRUE,"BS_A";#N/A,#N/A,TRUE,"BS_L";#N/A,#N/A,TRUE,"PL";#N/A,#N/A,TRUE,"NET";#N/A,#N/A,TRUE,"MAR_2";#N/A,#N/A,TRUE,"MAR";#N/A,#N/A,TRUE,"NII";#N/A,#N/A,TRUE,"NIE";#N/A,#N/A,TRUE,"FS_BS";#N/A,#N/A,TRUE,"FS_PL";#N/A,#N/A,TRUE,"HEA"}</definedName>
    <definedName name="mw" localSheetId="5" hidden="1">{#N/A,#N/A,FALSE,"Pharm";#N/A,#N/A,FALSE,"WWCM"}</definedName>
    <definedName name="Name" localSheetId="5">#REF!</definedName>
    <definedName name="NCBN" localSheetId="5" hidden="1">{#N/A,#N/A,FALSE,"BS";#N/A,#N/A,FALSE,"PL_10Q";#N/A,#N/A,FALSE,"SOE";#N/A,#N/A,FALSE,"SCF";#N/A,#N/A,FALSE,"Sel Fn Data QTD 10Q";#N/A,#N/A,FALSE,"Table 1 YTD 10Q";#N/A,#N/A,FALSE,"Table 1 QTD 10Q";#N/A,#N/A,FALSE,"Tables 2 to 3 PL";#N/A,#N/A,FALSE,"Tables 4 and 5ALLL";#N/A,#N/A,FALSE,"Tables 6 to 8 ALLL ";#N/A,#N/A,FALSE,"Table 9 to 12 - Balance Sheet"}</definedName>
    <definedName name="NetIncCurr" localSheetId="5">#REF!</definedName>
    <definedName name="NetIncPrior" localSheetId="5">#REF!</definedName>
    <definedName name="new" localSheetId="5" hidden="1">{"SourcesUses",#N/A,TRUE,"CFMODEL";"TransOverview",#N/A,TRUE,"CFMODEL"}</definedName>
    <definedName name="Newco_Tax" localSheetId="5">#REF!</definedName>
    <definedName name="NewLoan2014" localSheetId="5">(#REF!*#REF!*#REF!*#REF!)&gt;0</definedName>
    <definedName name="NewMaster" localSheetId="5">#REF!</definedName>
    <definedName name="newnewnew" localSheetId="5" hidden="1">{#N/A,#N/A,FALSE,"Pharm";#N/A,#N/A,FALSE,"WWCM"}</definedName>
    <definedName name="NewRange" localSheetId="5" hidden="1">#REF!</definedName>
    <definedName name="NMCVM" localSheetId="5" hidden="1">{#N/A,#N/A,FALSE,"TABLE_1 YTD- VALUES LAST YR(2)"}</definedName>
    <definedName name="nouv" localSheetId="5" hidden="1">{#N/A,#N/A,FALSE,"Pharm";#N/A,#N/A,FALSE,"WWCM"}</definedName>
    <definedName name="Nov00" localSheetId="5" hidden="1">{"Statement of Income",#N/A,TRUE,"Mar99";"Balance Sheet",#N/A,TRUE,"Mar99"}</definedName>
    <definedName name="Nov00TB" localSheetId="5" hidden="1">{"Statement of Income",#N/A,TRUE,"Mar99";"Balance Sheet",#N/A,TRUE,"Mar99"}</definedName>
    <definedName name="nper" localSheetId="5">'IV. EBITDA Adjustments'!term*'IV. EBITDA Adjustments'!periods_per_year</definedName>
    <definedName name="Num_Pmt_Per_Year" localSheetId="5">#REF!</definedName>
    <definedName name="Number_of_Payments" localSheetId="5">MATCH(0.01,End_Bal,-1)+1</definedName>
    <definedName name="o" localSheetId="5" hidden="1">{#N/A,#N/A,FALSE,"New Depr Sch-150% DB";#N/A,#N/A,FALSE,"Cash Flows RLP";#N/A,#N/A,FALSE,"IRR";#N/A,#N/A,FALSE,"Proforma IS";#N/A,#N/A,FALSE,"Assumptions"}</definedName>
    <definedName name="Oct00" localSheetId="5" hidden="1">{"Statement of Income",#N/A,TRUE,"Mar99";"Balance Sheet",#N/A,TRUE,"Mar99"}</definedName>
    <definedName name="Oct00TB" localSheetId="5" hidden="1">{"Statement of Income",#N/A,TRUE,"Mar99";"Balance Sheet",#N/A,TRUE,"Mar99"}</definedName>
    <definedName name="Octob00" localSheetId="5" hidden="1">{"Statement of Income",#N/A,TRUE,"Mar99";"Balance Sheet",#N/A,TRUE,"Mar99"}</definedName>
    <definedName name="Octob00TB" localSheetId="5" hidden="1">{"Statement of Income",#N/A,TRUE,"Mar99";"Balance Sheet",#N/A,TRUE,"Mar99"}</definedName>
    <definedName name="OI" localSheetId="5" hidden="1">{#N/A,#N/A,FALSE,"COVER";#N/A,#N/A,FALSE,"Index";#N/A,#N/A,FALSE,"Non-Earning";#N/A,#N/A,FALSE,"Non-Earning_Recovery"}</definedName>
    <definedName name="oiu" localSheetId="5" hidden="1">{#N/A,#N/A,FALSE,"COVER";#N/A,#N/A,FALSE,"RATIOS";#N/A,#N/A,FALSE,"LEVERAGE";#N/A,#N/A,FALSE,"TIER-1";#N/A,#N/A,FALSE,"RISK BASED ASSETS";#N/A,#N/A,FALSE,"TIER-2"}</definedName>
    <definedName name="OK" localSheetId="5" hidden="1">{#N/A,#N/A,FALSE,"REPORT"}</definedName>
    <definedName name="okay" localSheetId="5" hidden="1">{#N/A,#N/A,FALSE,"Admin";#N/A,#N/A,FALSE,"Other"}</definedName>
    <definedName name="oldkey1" localSheetId="5" hidden="1">#REF!</definedName>
    <definedName name="oldsort" localSheetId="5" hidden="1">#REF!</definedName>
    <definedName name="on" localSheetId="5" hidden="1">{"TOTAL",#N/A,FALSE,"A";"FISCAL94",#N/A,FALSE,"A";"FISCAL95",#N/A,FALSE,"A";"FISCAL96",#N/A,FALSE,"A";"misc page",#N/A,FALSE,"A"}</definedName>
    <definedName name="ookok" localSheetId="5" hidden="1">{#N/A,#N/A,TRUE,"BUD VS ACT AUST 96";#N/A,#N/A,TRUE,"96 COMP P&amp;L-AUST";#N/A,#N/A,TRUE,"COMP BS-AUSTRALIA";#N/A,#N/A,TRUE,"B/S - AUSTR."}</definedName>
    <definedName name="ooo" localSheetId="5" hidden="1">{#N/A,#N/A,FALSE,"REPORT"}</definedName>
    <definedName name="OOU" localSheetId="5" hidden="1">{#N/A,#N/A,FALSE,"BS";#N/A,#N/A,FALSE,"PL_10Q";#N/A,#N/A,FALSE,"SOE";#N/A,#N/A,FALSE,"SCF"}</definedName>
    <definedName name="Opscen" localSheetId="5">#REF!</definedName>
    <definedName name="org_H_per_pot_cleaning" localSheetId="5">#REF!</definedName>
    <definedName name="org_H_per_pot_harvest" localSheetId="5">#REF!</definedName>
    <definedName name="org_H_per_pot_maintenance" localSheetId="5">#REF!</definedName>
    <definedName name="org_H_per_pot_nursery" localSheetId="5">#REF!</definedName>
    <definedName name="org_H_per_pot_others" localSheetId="5">#REF!</definedName>
    <definedName name="org_H_per_pot_packing" localSheetId="5">#REF!</definedName>
    <definedName name="org_H_per_pot_planting" localSheetId="5">#REF!</definedName>
    <definedName name="org_H_per_pot_sowing" localSheetId="5">#REF!</definedName>
    <definedName name="org_H_per_pot_wastehandl" localSheetId="5">#REF!</definedName>
    <definedName name="org_pots_per_h" localSheetId="5">#REF!</definedName>
    <definedName name="org_proc_time_cleaning" localSheetId="5">#REF!</definedName>
    <definedName name="org_proc_time_harvest" localSheetId="5">#REF!</definedName>
    <definedName name="org_proc_time_maint" localSheetId="5">#REF!</definedName>
    <definedName name="org_proc_time_nursery" localSheetId="5">#REF!</definedName>
    <definedName name="org_proc_time_others" localSheetId="5">#REF!</definedName>
    <definedName name="org_proc_time_packing" localSheetId="5">#REF!</definedName>
    <definedName name="org_proc_time_planting" localSheetId="5">#REF!</definedName>
    <definedName name="org_proc_time_sowing" localSheetId="5">#REF!</definedName>
    <definedName name="org_proc_time_wastehandl" localSheetId="5">#REF!</definedName>
    <definedName name="OrgCostCurr" localSheetId="5">#REF!</definedName>
    <definedName name="OrgCostPrior" localSheetId="5">#REF!</definedName>
    <definedName name="other33" localSheetId="5" hidden="1">{#N/A,#N/A,FALSE,"Pharm";#N/A,#N/A,FALSE,"WWCM"}</definedName>
    <definedName name="othermar" localSheetId="5" hidden="1">{#N/A,#N/A,FALSE,"Pharm";#N/A,#N/A,FALSE,"WWCM"}</definedName>
    <definedName name="ouououiouopupo" localSheetId="5" hidden="1">{#N/A,#N/A,FALSE,"BS";#N/A,#N/A,FALSE,"PL";#N/A,#N/A,FALSE,"SOE";#N/A,#N/A,FALSE,"SCF"}</definedName>
    <definedName name="ououp0" localSheetId="5" hidden="1">{#N/A,#N/A,FALSE,"TABLE_1 YTD- VALUES LAST YR(2)"}</definedName>
    <definedName name="Page1" localSheetId="5">#REF!</definedName>
    <definedName name="Page2" localSheetId="5">#REF!</definedName>
    <definedName name="Page3" localSheetId="5">#REF!</definedName>
    <definedName name="Page4" localSheetId="5">#REF!</definedName>
    <definedName name="Page5" localSheetId="5">#REF!</definedName>
    <definedName name="Page6" localSheetId="5">#REF!</definedName>
    <definedName name="panther_wrn.test1." localSheetId="5" hidden="1">{"Income Statement",#N/A,FALSE,"CFMODEL";"Balance Sheet",#N/A,FALSE,"CFMODEL"}</definedName>
    <definedName name="panther_wrn.test2." localSheetId="5" hidden="1">{"SourcesUses",#N/A,TRUE,"CFMODEL";"TransOverview",#N/A,TRUE,"CFMODEL"}</definedName>
    <definedName name="panther_wrn.test3." localSheetId="5" hidden="1">{"SourcesUses",#N/A,TRUE,#N/A;"TransOverview",#N/A,TRUE,"CFMODEL"}</definedName>
    <definedName name="panther_wrn.test4." localSheetId="5" hidden="1">{"SourcesUses",#N/A,TRUE,"FundsFlow";"TransOverview",#N/A,TRUE,"FundsFlow"}</definedName>
    <definedName name="Pay_Date" localSheetId="5">#REF!</definedName>
    <definedName name="Pay_Num" localSheetId="5">#REF!</definedName>
    <definedName name="payment" localSheetId="5">#REF!</definedName>
    <definedName name="Payment_Date" localSheetId="5">DATE(YEAR(Loan_Start),MONTH(Loan_Start)+#REF!,DAY(Loan_Start))</definedName>
    <definedName name="Payment_Number" localSheetId="5">ROW()-Header_Row</definedName>
    <definedName name="PaymentPerYear2016" localSheetId="5">#REF!</definedName>
    <definedName name="PaymentsPerYear" localSheetId="5">#REF!</definedName>
    <definedName name="PaymentsPerYear2014" localSheetId="5">#REF!</definedName>
    <definedName name="PaymentsPerYear2017" localSheetId="5">#REF!</definedName>
    <definedName name="PaymentsPerYear2018" localSheetId="5">#REF!</definedName>
    <definedName name="PaymentsPerYearCurrent" localSheetId="5">#REF!</definedName>
    <definedName name="PaymentsPerYearRealEstate" localSheetId="5">#REF!</definedName>
    <definedName name="PBInvout" localSheetId="5">#REF!</definedName>
    <definedName name="PDI" localSheetId="5">#REF!</definedName>
    <definedName name="PDICS" localSheetId="5">#REF!</definedName>
    <definedName name="PDIFMV" localSheetId="5">#REF!</definedName>
    <definedName name="PDINR" localSheetId="5">#REF!</definedName>
    <definedName name="PDIPref" localSheetId="5">#REF!</definedName>
    <definedName name="PDIWarr" localSheetId="5">#REF!</definedName>
    <definedName name="Pecos" localSheetId="5"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x" localSheetId="5"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pe" localSheetId="5" hidden="1">{#N/A,#N/A,FALSE,"Pharm";#N/A,#N/A,FALSE,"WWCM"}</definedName>
    <definedName name="PEPE4" localSheetId="5" hidden="1">{#N/A,#N/A,FALSE,"Pharm";#N/A,#N/A,FALSE,"WWCM"}</definedName>
    <definedName name="PEPE5" localSheetId="5" hidden="1">{#N/A,#N/A,FALSE,"Pharm";#N/A,#N/A,FALSE,"WWCM"}</definedName>
    <definedName name="PERIOD2" localSheetId="5">#REF!</definedName>
    <definedName name="periods_per_year" localSheetId="5">INDEX({1,2,4,6,12,24,26,52},MATCH(#REF!,'IV. EBITDA Adjustments'!frequency,0))</definedName>
    <definedName name="pharma" localSheetId="5" hidden="1">{#N/A,#N/A,FALSE,"Sales Graph";#N/A,#N/A,FALSE,"PSBM";#N/A,#N/A,FALSE,"BUC Graph";#N/A,#N/A,FALSE,"P&amp;L - YTD"}</definedName>
    <definedName name="pkg.gom" localSheetId="5" hidden="1">{"2000PPE",#N/A,FALSE,"PPE 2000";"2000DD",#N/A,FALSE,"DrydocksOther"}</definedName>
    <definedName name="pl" localSheetId="5" hidden="1">{#N/A,#N/A,FALSE,"REPORT"}</definedName>
    <definedName name="plbudget04" localSheetId="5" hidden="1">{#N/A,#N/A,FALSE,"INPUTS";#N/A,#N/A,FALSE,"PROFORMA BSHEET";#N/A,#N/A,FALSE,"COMBINED";#N/A,#N/A,FALSE,"ACQUIROR";#N/A,#N/A,FALSE,"TARGET 1";#N/A,#N/A,FALSE,"TARGET 2";#N/A,#N/A,FALSE,"HIGH YIELD";#N/A,#N/A,FALSE,"OVERFUND"}</definedName>
    <definedName name="PLCepi" localSheetId="5" hidden="1">{#N/A,#N/A,FALSE,"REPORT"}</definedName>
    <definedName name="PLDate" localSheetId="5">#REF!</definedName>
    <definedName name="PLProcef" localSheetId="5" hidden="1">{#N/A,#N/A,FALSE,"REPORT"}</definedName>
    <definedName name="PLTaxol" localSheetId="5" hidden="1">{#N/A,#N/A,FALSE,"REPORT"}</definedName>
    <definedName name="Pnl" localSheetId="5" hidden="1">{#N/A,#N/A,FALSE,"Pharm";#N/A,#N/A,FALSE,"WWCM"}</definedName>
    <definedName name="po" localSheetId="5" hidden="1">{#N/A,#N/A,FALSE,"BS";#N/A,#N/A,FALSE,"PL_10Q";#N/A,#N/A,FALSE,"SOE";#N/A,#N/A,FALSE,"SCF";#N/A,#N/A,FALSE,"Sel Fn Data QTD 10Q";#N/A,#N/A,FALSE,"Table 1 YTD 10Q";#N/A,#N/A,FALSE,"Table 1 QTD 10Q";#N/A,#N/A,FALSE,"Tables 2 to 3 PL";#N/A,#N/A,FALSE,"Tables 4 and 5ALLL";#N/A,#N/A,FALSE,"Tables 6 to 8 ALLL ";#N/A,#N/A,FALSE,"Table 9 to 12 - Balance Sheet"}</definedName>
    <definedName name="poi" localSheetId="5" hidden="1">{#N/A,#N/A,FALSE,"PL-FS";#N/A,#N/A,FALSE,"PL"}</definedName>
    <definedName name="Poolmgr" localSheetId="5">#REF!</definedName>
    <definedName name="port29" localSheetId="5" hidden="1">{#N/A,#N/A,FALSE,"Pharm";#N/A,#N/A,FALSE,"WWCM"}</definedName>
    <definedName name="poso_wrn.test1." localSheetId="5" hidden="1">{"Income Statement",#N/A,FALSE,"CFMODEL";"Balance Sheet",#N/A,FALSE,"CFMODEL"}</definedName>
    <definedName name="poso_wrn.test2." localSheetId="5" hidden="1">{"SourcesUses",#N/A,TRUE,"CFMODEL";"TransOverview",#N/A,TRUE,"CFMODEL"}</definedName>
    <definedName name="poso_wrn.test3." localSheetId="5" hidden="1">{"SourcesUses",#N/A,TRUE,#N/A;"TransOverview",#N/A,TRUE,"CFMODEL"}</definedName>
    <definedName name="poso_wrn.test4." localSheetId="5" hidden="1">{"SourcesUses",#N/A,TRUE,"FundsFlow";"TransOverview",#N/A,TRUE,"FundsFlow"}</definedName>
    <definedName name="Powerop3" localSheetId="5">#REF!</definedName>
    <definedName name="pp" localSheetId="5">#REF!</definedName>
    <definedName name="ppp" localSheetId="5" hidden="1">{#N/A,#N/A,FALSE,"summ";#N/A,#N/A,FALSE,"q1";#N/A,#N/A,FALSE,"summ_alt";#N/A,#N/A,FALSE,"stock_nozero";#N/A,#N/A,FALSE,"1995"}</definedName>
    <definedName name="PPS" localSheetId="5"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Prev_Mkv" localSheetId="5">#REF!</definedName>
    <definedName name="Princ" localSheetId="5">#REF!</definedName>
    <definedName name="Print_Area_Reset" localSheetId="5">OFFSET(Full_Print,0,0,[0]!Last_Row)</definedName>
    <definedName name="PrintEnd" localSheetId="5" hidden="1">#REF!</definedName>
    <definedName name="PrintStart" localSheetId="5" hidden="1">#REF!</definedName>
    <definedName name="Procef" localSheetId="5" hidden="1">{#N/A,#N/A,FALSE,"Pharm";#N/A,#N/A,FALSE,"WWCM"}</definedName>
    <definedName name="prod" localSheetId="5" hidden="1">{#N/A,#N/A,FALSE,"Pharm";#N/A,#N/A,FALSE,"WWCM"}</definedName>
    <definedName name="Project" localSheetId="5">#REF!</definedName>
    <definedName name="project_name" localSheetId="5">#REF!</definedName>
    <definedName name="q" localSheetId="5" hidden="1">{"CSheet",#N/A,FALSE,"C";"SmCap",#N/A,FALSE,"VAL1";"GulfCoast",#N/A,FALSE,"VAL1";"nav",#N/A,FALSE,"NAV";"Summary",#N/A,FALSE,"NAV"}</definedName>
    <definedName name="qaz" localSheetId="5" hidden="1">{#N/A,#N/A,FALSE,"Pharm";#N/A,#N/A,FALSE,"WWCM"}</definedName>
    <definedName name="qertweyu" localSheetId="5" hidden="1">{#N/A,#N/A,FALSE,"REPORT"}</definedName>
    <definedName name="qetryywt" localSheetId="5" hidden="1">{#N/A,#N/A,FALSE,"REPORT"}</definedName>
    <definedName name="qqq" localSheetId="5" hidden="1">{#N/A,#N/A,FALSE,"Pharm";#N/A,#N/A,FALSE,"WWCM"}</definedName>
    <definedName name="qqwtweryey" localSheetId="5" hidden="1">{#N/A,#N/A,FALSE,"REPORT"}</definedName>
    <definedName name="Quarter1Percent" localSheetId="5">#REF!</definedName>
    <definedName name="Quarter2Percent" localSheetId="5">#REF!</definedName>
    <definedName name="Quarter3Percent" localSheetId="5">#REF!</definedName>
    <definedName name="Quarter4Percent" localSheetId="5">#REF!</definedName>
    <definedName name="qw" localSheetId="5" hidden="1">{#N/A,#N/A,FALSE,"REPORT"}</definedName>
    <definedName name="qw2fkgur" localSheetId="5" hidden="1">{#N/A,#N/A,FALSE,"Valuation Assumptions";#N/A,#N/A,FALSE,"Summary";#N/A,#N/A,FALSE,"DCF";#N/A,#N/A,FALSE,"Valuation";#N/A,#N/A,FALSE,"WACC";#N/A,#N/A,FALSE,"UBVH";#N/A,#N/A,FALSE,"Free Cash Flow"}</definedName>
    <definedName name="qwe" localSheetId="5" hidden="1">{#N/A,#N/A,TRUE,"BS_A";#N/A,#N/A,TRUE,"BS_L";#N/A,#N/A,TRUE,"PL";#N/A,#N/A,TRUE,"NET";#N/A,#N/A,TRUE,"MAR_2";#N/A,#N/A,TRUE,"MAR";#N/A,#N/A,TRUE,"NII";#N/A,#N/A,TRUE,"NIE";#N/A,#N/A,TRUE,"FS_BS";#N/A,#N/A,TRUE,"FS_PL";#N/A,#N/A,TRUE,"HEA"}</definedName>
    <definedName name="qwertqry" localSheetId="5" hidden="1">{#N/A,#N/A,FALSE,"REPORT"}</definedName>
    <definedName name="qwetqryetytu" localSheetId="5" hidden="1">{#N/A,#N/A,FALSE,"Pharm";#N/A,#N/A,FALSE,"WWCM"}</definedName>
    <definedName name="QWQ" localSheetId="5" hidden="1">{#N/A,#N/A,FALSE,"PL-FS";#N/A,#N/A,FALSE,"PL"}</definedName>
    <definedName name="rate" localSheetId="5">#REF!</definedName>
    <definedName name="RECurr" localSheetId="5">#REF!</definedName>
    <definedName name="RedefinePrintTableRange" localSheetId="5" hidden="1">#REF!</definedName>
    <definedName name="redo" localSheetId="5" hidden="1">{#N/A,#N/A,FALSE,"ACQ_GRAPHS";#N/A,#N/A,FALSE,"T_1 GRAPHS";#N/A,#N/A,FALSE,"T_2 GRAPHS";#N/A,#N/A,FALSE,"COMB_GRAPHS"}</definedName>
    <definedName name="reggie" localSheetId="5" hidden="1">{#N/A,#N/A,FALSE,"Pharm";#N/A,#N/A,FALSE,"WWCM"}</definedName>
    <definedName name="Report" localSheetId="5">#REF!</definedName>
    <definedName name="REPrior" localSheetId="5">#REF!</definedName>
    <definedName name="ReserveGuidance" localSheetId="5">#REF!</definedName>
    <definedName name="resp." localSheetId="5" hidden="1">{#N/A,#N/A,FALSE,"Pharm";#N/A,#N/A,FALSE,"WWCM"}</definedName>
    <definedName name="RestatedActuals" localSheetId="5" hidden="1">{#N/A,#N/A,FALSE,"Aging Summary";#N/A,#N/A,FALSE,"Ratio Analysis";#N/A,#N/A,FALSE,"Test 120 Day Accts";#N/A,#N/A,FALSE,"Tickmarks"}</definedName>
    <definedName name="rf2e" localSheetId="5" hidden="1">{#N/A,#N/A,FALSE,"Pharm";#N/A,#N/A,FALSE,"WWCM"}</definedName>
    <definedName name="rfr" localSheetId="5"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RM" localSheetId="5">#REF!</definedName>
    <definedName name="Rocket" localSheetId="5">#REF!</definedName>
    <definedName name="Rocket_Deal_Month" localSheetId="5">#REF!</definedName>
    <definedName name="roundOpt" localSheetId="5">#REF!</definedName>
    <definedName name="rrrrr" localSheetId="5" hidden="1">{#N/A,#N/A,FALSE,"Pharm";#N/A,#N/A,FALSE,"WWCM"}</definedName>
    <definedName name="rwert" localSheetId="5" hidden="1">{#N/A,#N/A,FALSE,"Pharm";#N/A,#N/A,FALSE,"WWCM"}</definedName>
    <definedName name="rwjf" localSheetId="5" hidden="1">{#N/A,#N/A,FALSE,"BS";#N/A,#N/A,FALSE,"PL";#N/A,#N/A,FALSE,"SOE";#N/A,#N/A,FALSE,"SCF"}</definedName>
    <definedName name="ryj" localSheetId="5" hidden="1">{#N/A,#N/A,FALSE,"ACQ_GRAPHS";#N/A,#N/A,FALSE,"T_1 GRAPHS";#N/A,#N/A,FALSE,"T_2 GRAPHS";#N/A,#N/A,FALSE,"COMB_GRAPHS"}</definedName>
    <definedName name="s" localSheetId="5">#REF!</definedName>
    <definedName name="sad" localSheetId="5" hidden="1">#REF!</definedName>
    <definedName name="sally" localSheetId="5" hidden="1">{#N/A,#N/A,FALSE,"Pharm";#N/A,#N/A,FALSE,"WWCM"}</definedName>
    <definedName name="sandy" localSheetId="5">#REF!</definedName>
    <definedName name="ScenarioList" localSheetId="5">OFFSET(#REF!,1,0,COUNTA(#REF!)-1,1)</definedName>
    <definedName name="Scenarios" comment="A-1" localSheetId="5">#REF!</definedName>
    <definedName name="Sched_Pay" localSheetId="5">#REF!</definedName>
    <definedName name="Scheduled_Extra_Payments" localSheetId="5">#REF!</definedName>
    <definedName name="Scheduled_Interest_Rate" localSheetId="5">#REF!</definedName>
    <definedName name="Scheduled_Monthly_Payment" localSheetId="5">#REF!</definedName>
    <definedName name="ScheduledNumberOfPayments" localSheetId="5">#REF!</definedName>
    <definedName name="ScheduledNumberofPayments2014" localSheetId="5">#REF!</definedName>
    <definedName name="ScheduledNumberofPayments2017" localSheetId="5">#REF!</definedName>
    <definedName name="ScheduledNumberofPayments2018" localSheetId="5">#REF!</definedName>
    <definedName name="ScheduledNumberofPaymentsCurrent" localSheetId="5">#REF!</definedName>
    <definedName name="ScheduledNumberOfPaymentsRealEstate" localSheetId="5">#REF!</definedName>
    <definedName name="ScheduledPayment" localSheetId="5">#REF!</definedName>
    <definedName name="ScheduledPayment2014" localSheetId="5">#REF!</definedName>
    <definedName name="ScheduledPayment2018" localSheetId="5">#REF!</definedName>
    <definedName name="ScheduledPaymentCurrent" localSheetId="5">#REF!</definedName>
    <definedName name="ScheduledPaymentRealEstate" localSheetId="5">#REF!</definedName>
    <definedName name="ScheduleNumberofPayment2016" localSheetId="5">#REF!</definedName>
    <definedName name="SchedulePayment2016" localSheetId="5">#REF!</definedName>
    <definedName name="SchedulePayment2017" localSheetId="5">#REF!</definedName>
    <definedName name="SCI" localSheetId="5">#REF!</definedName>
    <definedName name="SCIFMV" localSheetId="5">#REF!</definedName>
    <definedName name="SCIPref" localSheetId="5">#REF!</definedName>
    <definedName name="SD" localSheetId="5" hidden="1">{#N/A,#N/A,FALSE,"Pharm";#N/A,#N/A,FALSE,"WWCM"}</definedName>
    <definedName name="sdafgs" localSheetId="5" hidden="1">{#N/A,#N/A,FALSE,"Pharm";#N/A,#N/A,FALSE,"WWCM"}</definedName>
    <definedName name="sdas" localSheetId="5" hidden="1">{"Total",#N/A,FALSE,"Six Fields";"PDP",#N/A,FALSE,"Six Fields";"PNP",#N/A,FALSE,"Six Fields";"PUD",#N/A,FALSE,"Six Fields";"Prob",#N/A,FALSE,"Six Fields"}</definedName>
    <definedName name="sdf" localSheetId="5" hidden="1">#REF!</definedName>
    <definedName name="sdfdsf" localSheetId="5" hidden="1">{"SourcesUses",#N/A,TRUE,#N/A;"TransOverview",#N/A,TRUE,"CFMODEL"}</definedName>
    <definedName name="sdfh" localSheetId="5" hidden="1">{#N/A,#N/A,FALSE,"Pharm";#N/A,#N/A,FALSE,"WWCM"}</definedName>
    <definedName name="sdgagf" localSheetId="5" hidden="1">{#N/A,#N/A,FALSE,"Pharm";#N/A,#N/A,FALSE,"WWCM"}</definedName>
    <definedName name="sds" localSheetId="5" hidden="1">{#N/A,#N/A,TRUE,"ProFormaProfit";#N/A,#N/A,TRUE,"ProFormaCash";#N/A,#N/A,TRUE,"Depreciation";#N/A,#N/A,TRUE,"Assets";#N/A,#N/A,TRUE,"Revenue";#N/A,#N/A,TRUE,"EstimatedPurchase"}</definedName>
    <definedName name="sdsadasd" localSheetId="5" hidden="1">{#N/A,#N/A,FALSE,"Pharm";#N/A,#N/A,FALSE,"WWCM"}</definedName>
    <definedName name="sdsd" localSheetId="5" hidden="1">{#N/A,#N/A,FALSE,"REPORT"}</definedName>
    <definedName name="sdw" localSheetId="5" hidden="1">{#N/A,#N/A,FALSE,"Admin";#N/A,#N/A,FALSE,"Other"}</definedName>
    <definedName name="secondaries" localSheetId="5" hidden="1">{#N/A,#N/A,FALSE,"Summary";#N/A,#N/A,FALSE,"Pending";#N/A,#N/A,FALSE,"Oct'97";#N/A,#N/A,FALSE,"Sept'97";#N/A,#N/A,FALSE,"Aug'97";#N/A,#N/A,FALSE,"Jul'97";#N/A,#N/A,FALSE,"Jun'97";#N/A,#N/A,FALSE,"May'97";#N/A,#N/A,FALSE,"Apr'97";#N/A,#N/A,FALSE,"Mar'97";#N/A,#N/A,FALSE,"Feb'97";#N/A,#N/A,FALSE,"Jan'97"}</definedName>
    <definedName name="Select_Month" localSheetId="5">#REF!</definedName>
    <definedName name="select_scenario" localSheetId="5">#REF!</definedName>
    <definedName name="sensitivity" localSheetId="5">#REF!</definedName>
    <definedName name="sf" localSheetId="5" hidden="1">{#N/A,#N/A,FALSE,"Sales Graph";#N/A,#N/A,FALSE,"BUC Graph";#N/A,#N/A,FALSE,"P&amp;L - YTD"}</definedName>
    <definedName name="SFD" localSheetId="5" hidden="1">{#N/A,#N/A,FALSE,"TABLE_1 YTD";#N/A,#N/A,FALSE,"TABLE_1A QTD";#N/A,#N/A,FALSE,"NORMAL_SPREAD_QTD";#N/A,#N/A,FALSE,"NORMAL_SPREAD_YTD";#N/A,#N/A,FALSE,"TAX_EQV";#N/A,#N/A,FALSE,"TAX EQUIV_INPUT";#N/A,#N/A,FALSE,"NET FROM FER";#N/A,#N/A,FALSE,"COVER"}</definedName>
    <definedName name="sfdirect" localSheetId="5" hidden="1">{#N/A,#N/A,FALSE,"REPORT"}</definedName>
    <definedName name="sg" localSheetId="5">#REF!</definedName>
    <definedName name="sga" localSheetId="5">#REF!</definedName>
    <definedName name="shg" localSheetId="5" hidden="1">{#N/A,#N/A,FALSE,"Index";#N/A,#N/A,FALSE,"IncStmt";#N/A,#N/A,FALSE,"Ratios";#N/A,#N/A,FALSE,"CashFlows";#N/A,#N/A,FALSE,"Ins1";#N/A,#N/A,FALSE,"Ins2";#N/A,#N/A,FALSE,"SelfFund";#N/A,#N/A,FALSE,"SGA";#N/A,#N/A,FALSE,"Recon";#N/A,#N/A,FALSE,"Earnings";#N/A,#N/A,FALSE,"Earnings (2)";#N/A,#N/A,FALSE,"Stock";#N/A,#N/A,FALSE,"Stock (2)";#N/A,#N/A,FALSE,"PeerRatios";#N/A,#N/A,FALSE,"PeerRanks"}</definedName>
    <definedName name="size" localSheetId="5">#REF!</definedName>
    <definedName name="SizingColumn" localSheetId="5">#REF!</definedName>
    <definedName name="SizingColumn1" localSheetId="5">#REF!</definedName>
    <definedName name="SKFs" localSheetId="5">#REF!</definedName>
    <definedName name="sofie" localSheetId="5"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solver_adj" localSheetId="5" hidden="1">#REF!</definedName>
    <definedName name="solver_lhs1" localSheetId="5" hidden="1">#REF!</definedName>
    <definedName name="solver_opt" localSheetId="5" hidden="1">#REF!</definedName>
    <definedName name="ssd" localSheetId="5" hidden="1">#REF!</definedName>
    <definedName name="ssdfsd" localSheetId="5" hidden="1">{"Balance Sheets",#N/A,FALSE,"Subject";"Income Statements - As Reported",#N/A,FALSE,"Subject";"Income Statements - Adjusted",#N/A,FALSE,"Subject";"Ratios",#N/A,FALSE,"Subject";"Representative Earnings",#N/A,FALSE,"Subject"}</definedName>
    <definedName name="sss" localSheetId="5" hidden="1">{#N/A,#N/A,FALSE,"Form 41 Commuter Domestic";#N/A,#N/A,FALSE,"FORM41--COMMUTER % CHG";#N/A,#N/A,FALSE,"Total Domestic Traffic Stats";#N/A,#N/A,FALSE,"TOTAL DOM TRAFFIC--% CHG";#N/A,#N/A,FALSE,"TotDomTraf-Large Carriers Only";#N/A,#N/A,FALSE,"TOTDOMTRAF-LARGECAR% CHG"}</definedName>
    <definedName name="Staril" localSheetId="5" hidden="1">{#N/A,#N/A,FALSE,"REPORT"}</definedName>
    <definedName name="StartDate1" localSheetId="5">#REF!</definedName>
    <definedName name="StartDate2" localSheetId="5">#REF!</definedName>
    <definedName name="StartDate3" localSheetId="5">#REF!</definedName>
    <definedName name="StratPlanAP" localSheetId="5" hidden="1">{#N/A,#N/A,FALSE,"Pharm";#N/A,#N/A,FALSE,"WWCM"}</definedName>
    <definedName name="stuff" localSheetId="5" hidden="1">#REF!</definedName>
    <definedName name="stuffs" localSheetId="5" hidden="1">{"TOTAL",#N/A,FALSE,"A";"FISCAL94",#N/A,FALSE,"A";"FISCAL95",#N/A,FALSE,"A";"FISCAL96",#N/A,FALSE,"A";"misc page",#N/A,FALSE,"A"}</definedName>
    <definedName name="suck" localSheetId="5" hidden="1">#REF!</definedName>
    <definedName name="sucker" localSheetId="5" hidden="1">#REF!</definedName>
    <definedName name="Sum_Perf_Fee" localSheetId="5">#REF!+#REF!</definedName>
    <definedName name="SX" localSheetId="5"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t" localSheetId="5" hidden="1">#REF!</definedName>
    <definedName name="Tax" localSheetId="5">#REF!</definedName>
    <definedName name="taxol" localSheetId="5" hidden="1">{#N/A,#N/A,FALSE,"Pharm";#N/A,#N/A,FALSE,"WWCM"}</definedName>
    <definedName name="TaxRate" localSheetId="5">#REF!</definedName>
    <definedName name="tdhjm" localSheetId="5" hidden="1">{#N/A,#N/A,FALSE,"INPUTS";#N/A,#N/A,FALSE,"PROFORMA BSHEET";#N/A,#N/A,FALSE,"COMBINED";#N/A,#N/A,FALSE,"HIGH YIELD";#N/A,#N/A,FALSE,"COMB_GRAPHS"}</definedName>
    <definedName name="tdjtmk" localSheetId="5" hidden="1">{#N/A,#N/A,FALSE,"ACQ_GRAPHS";#N/A,#N/A,FALSE,"T_1 GRAPHS";#N/A,#N/A,FALSE,"T_2 GRAPHS";#N/A,#N/A,FALSE,"COMB_GRAPHS"}</definedName>
    <definedName name="TECH" localSheetId="5">#REF!</definedName>
    <definedName name="Tem" localSheetId="5" hidden="1">{#N/A,#N/A,FALSE,"Pharm";#N/A,#N/A,FALSE,"WWCM"}</definedName>
    <definedName name="teq" localSheetId="5" hidden="1">{#N/A,#N/A,FALSE,"Pharm";#N/A,#N/A,FALSE,"WWCM"}</definedName>
    <definedName name="Tequin" localSheetId="5" hidden="1">{#N/A,#N/A,FALSE,"Pharm";#N/A,#N/A,FALSE,"WWCM"}</definedName>
    <definedName name="tequinol" localSheetId="5" hidden="1">{#N/A,#N/A,FALSE,"REPORT"}</definedName>
    <definedName name="Ter" localSheetId="5">#REF!</definedName>
    <definedName name="TerFMV" localSheetId="5">#REF!</definedName>
    <definedName name="term" localSheetId="5">#REF!</definedName>
    <definedName name="TerPref" localSheetId="5">#REF!</definedName>
    <definedName name="tes" localSheetId="5" hidden="1">#REF!</definedName>
    <definedName name="test" localSheetId="5" hidden="1">{#N/A,#N/A,FALSE,"Pharm";#N/A,#N/A,FALSE,"WWCM"}</definedName>
    <definedName name="test2" localSheetId="5">Scheduled_Payment+Extra_Payment</definedName>
    <definedName name="teste" localSheetId="5" hidden="1">{#N/A,#N/A,FALSE,"Pharm";#N/A,#N/A,FALSE,"WWCM"}</definedName>
    <definedName name="TESYT" localSheetId="5" hidden="1">{#N/A,#N/A,TRUE,"BUD VS ACT AUST 96";#N/A,#N/A,TRUE,"96 COMP P&amp;L-AUST";#N/A,#N/A,TRUE,"COMP BS-AUSTRALIA";#N/A,#N/A,TRUE,"B/S - AUSTR."}</definedName>
    <definedName name="tgj" localSheetId="5" hidden="1">{#N/A,#N/A,FALSE,"INPUTS";#N/A,#N/A,FALSE,"PROFORMA BSHEET";#N/A,#N/A,FALSE,"COMBINED";#N/A,#N/A,FALSE,"ACQUIROR";#N/A,#N/A,FALSE,"TARGET 1";#N/A,#N/A,FALSE,"TARGET 2";#N/A,#N/A,FALSE,"HIGH YIELD";#N/A,#N/A,FALSE,"OVERFUND"}</definedName>
    <definedName name="Titles" localSheetId="5">#REF!</definedName>
    <definedName name="Total_Interest" localSheetId="5">#REF!</definedName>
    <definedName name="Total_Pay" localSheetId="5">#REF!</definedName>
    <definedName name="Total_Payment" localSheetId="5">Scheduled_Payment+Extra_Payment</definedName>
    <definedName name="TotalAssetsCurr" localSheetId="5">#REF!</definedName>
    <definedName name="tryeuyit" localSheetId="5" hidden="1">{#N/A,#N/A,FALSE,"Pharm";#N/A,#N/A,FALSE,"WWCM"}</definedName>
    <definedName name="tss" localSheetId="5" hidden="1">{#N/A,#N/A,TRUE,"ProFormaProfit";#N/A,#N/A,TRUE,"ProFormaCash";#N/A,#N/A,TRUE,"Depreciation";#N/A,#N/A,TRUE,"Assets";#N/A,#N/A,TRUE,"Revenue";#N/A,#N/A,TRUE,"EstimatedPurchase"}</definedName>
    <definedName name="ttt" localSheetId="5" hidden="1">{#N/A,#N/A,FALSE,"COMP BS-FRANCE";#N/A,#N/A,FALSE,"96 COMP P&amp;L-FRANCE";#N/A,#N/A,FALSE,"BUD VS ACT FRAN 96";#N/A,#N/A,FALSE,"B/S - FRANCE"}</definedName>
    <definedName name="tttt" localSheetId="5" hidden="1">{#N/A,#N/A,FALSE,"COVER";#N/A,#N/A,FALSE,"Key Fin Performance";#N/A,#N/A,FALSE,"Ratios";#N/A,#N/A,FALSE,"Trended";#N/A,#N/A,FALSE,"Trended Op Ex";#N/A,#N/A,FALSE,"P&amp;L Act vs Plan";#N/A,#N/A,FALSE,"P&amp;L Fcst";#N/A,#N/A,FALSE,"Top Customers";#N/A,#N/A,FALSE,"Backlog";#N/A,#N/A,FALSE,"Design Win Summary";#N/A,#N/A,FALSE,"Key Wins and Losses";#N/A,#N/A,FALSE,"Dev Program Summary - King"}</definedName>
    <definedName name="tut" localSheetId="5" hidden="1">{#N/A,#N/A,TRUE,"ProFormaProfit";#N/A,#N/A,TRUE,"ProFormaCash";#N/A,#N/A,TRUE,"Depreciation";#N/A,#N/A,TRUE,"Assets";#N/A,#N/A,TRUE,"Revenue";#N/A,#N/A,TRUE,"EstimatedPurchase"}</definedName>
    <definedName name="tx_roll_cy" localSheetId="5">#REF!,#REF!</definedName>
    <definedName name="tx_roll_py" localSheetId="5">#REF!,#REF!</definedName>
    <definedName name="tx_roll_py1" localSheetId="5">#REF!,#REF!</definedName>
    <definedName name="tx_roll_py10" localSheetId="5">#REF!,#REF!</definedName>
    <definedName name="tx_roll_py11" localSheetId="5">#REF!,#REF!</definedName>
    <definedName name="tx_roll_py12" localSheetId="5">#REF!,#REF!</definedName>
    <definedName name="tx_roll_py13" localSheetId="5">#REF!,#REF!</definedName>
    <definedName name="tx_roll_py14" localSheetId="5">#REF!,#REF!</definedName>
    <definedName name="tx_roll_py15" localSheetId="5">#REF!,#REF!</definedName>
    <definedName name="tx_roll_py2" localSheetId="5">#REF!,#REF!</definedName>
    <definedName name="tx_roll_py3" localSheetId="5">#REF!,#REF!</definedName>
    <definedName name="tx_roll_py4" localSheetId="5">#REF!,#REF!</definedName>
    <definedName name="tx_roll_py5" localSheetId="5">#REF!,#REF!</definedName>
    <definedName name="tx_roll_py6" localSheetId="5">#REF!,#REF!</definedName>
    <definedName name="tx_roll_py7" localSheetId="5">#REF!,#REF!</definedName>
    <definedName name="tx_roll_py8" localSheetId="5">#REF!,#REF!</definedName>
    <definedName name="tx_roll_py9" localSheetId="5">#REF!,#REF!</definedName>
    <definedName name="tyuiktyu" localSheetId="5" hidden="1">{#N/A,#N/A,FALSE,"COVER";#N/A,#N/A,FALSE,"Index";#N/A,#N/A,FALSE,"Non-Earning";#N/A,#N/A,FALSE,"Mortgage_Legal";#N/A,#N/A,FALSE,"Mortgages"}</definedName>
    <definedName name="tyutytyi" localSheetId="5" hidden="1">{#N/A,#N/A,FALSE,"Pharm";#N/A,#N/A,FALSE,"WWCM"}</definedName>
    <definedName name="tyyufkjkhjd" localSheetId="5" hidden="1">{#N/A,#N/A,FALSE,"Pharm";#N/A,#N/A,FALSE,"WWCM"}</definedName>
    <definedName name="u" localSheetId="5" hidden="1">{"CSheet",#N/A,FALSE,"C";"SmCap",#N/A,FALSE,"VAL1";"GulfCoast",#N/A,FALSE,"VAL1";"nav",#N/A,FALSE,"NAV";"Summary",#N/A,FALSE,"NAV"}</definedName>
    <definedName name="UK" localSheetId="5" hidden="1">{#N/A,#N/A,TRUE,"BUD VS ACT AUST 96";#N/A,#N/A,TRUE,"96 COMP P&amp;L-AUST";#N/A,#N/A,TRUE,"COMP BS-AUSTRALIA";#N/A,#N/A,TRUE,"B/S - AUSTR."}</definedName>
    <definedName name="Unit" localSheetId="5" hidden="1">{#N/A,#N/A,FALSE,"Pharm";#N/A,#N/A,FALSE,"WWCM"}</definedName>
    <definedName name="US" localSheetId="5">#REF!</definedName>
    <definedName name="usd" localSheetId="5">#REF!</definedName>
    <definedName name="Useful_Life" localSheetId="5">#REF!</definedName>
    <definedName name="ValuationDate" localSheetId="5">#REF!</definedName>
    <definedName name="Values_Entered" localSheetId="5">IF('IV. EBITDA Adjustments'!Loan_Amount*Interest_Rate*Loan_Years*Loan_Start&gt;0,1,0)</definedName>
    <definedName name="Var_type" localSheetId="5">#REF!</definedName>
    <definedName name="vertex42_copyright" localSheetId="5" hidden="1">"© 2009-2017 Vertex42 LLC"</definedName>
    <definedName name="vertex42_id" localSheetId="5" hidden="1">"depreciation-schedule.xlsx"</definedName>
    <definedName name="vertex42_title" localSheetId="5" hidden="1">"Depreciation Schedule Template"</definedName>
    <definedName name="VZDX" localSheetId="5"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 localSheetId="5" hidden="1">{"ReportTop",#N/A,FALSE,"report top"}</definedName>
    <definedName name="was" localSheetId="5" hidden="1">{#N/A,#N/A,FALSE,"Sales Graph";#N/A,#N/A,FALSE,"BUC Graph";#N/A,#N/A,FALSE,"P&amp;L - YTD"}</definedName>
    <definedName name="wb" localSheetId="5" hidden="1">{#N/A,#N/A,FALSE,"Pharm";#N/A,#N/A,FALSE,"WWCM"}</definedName>
    <definedName name="wc" localSheetId="5" hidden="1">{#N/A,#N/A,FALSE,"Pharm";#N/A,#N/A,FALSE,"WWCM"}</definedName>
    <definedName name="WE" localSheetId="5" hidden="1">{#N/A,#N/A,FALSE,"COVER";#N/A,#N/A,FALSE,"Index";#N/A,#N/A,FALSE,"Non-Earning";#N/A,#N/A,FALSE,"Commercial";#N/A,#N/A,FALSE,"Detailed"}</definedName>
    <definedName name="wed" localSheetId="5" hidden="1">{#N/A,#N/A,FALSE,"INPUTS";#N/A,#N/A,FALSE,"PROFORMA BSHEET";#N/A,#N/A,FALSE,"COMBINED";#N/A,#N/A,FALSE,"ACQUIROR";#N/A,#N/A,FALSE,"TARGET 1";#N/A,#N/A,FALSE,"TARGET 2";#N/A,#N/A,FALSE,"HIGH YIELD";#N/A,#N/A,FALSE,"OVERFUND"}</definedName>
    <definedName name="wef" localSheetId="5" hidden="1">{#N/A,#N/A,FALSE,"INPUTS";#N/A,#N/A,FALSE,"PROFORMA BSHEET";#N/A,#N/A,FALSE,"COMBINED";#N/A,#N/A,FALSE,"HIGH YIELD";#N/A,#N/A,FALSE,"COMB_GRAPHS"}</definedName>
    <definedName name="wefyjtf" localSheetId="5"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errr" localSheetId="5" hidden="1">{#N/A,#N/A,FALSE,"Pharm";#N/A,#N/A,FALSE,"WWCM"}</definedName>
    <definedName name="willem" localSheetId="5"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orking" localSheetId="5" hidden="1">{#N/A,#N/A,FALSE,"REPORT"}</definedName>
    <definedName name="wqefh" localSheetId="5" hidden="1">{#N/A,#N/A,FALSE,"ACQ_GRAPHS";#N/A,#N/A,FALSE,"T_1 GRAPHS";#N/A,#N/A,FALSE,"T_2 GRAPHS";#N/A,#N/A,FALSE,"COMB_GRAPHS"}</definedName>
    <definedName name="wrn" localSheetId="5" hidden="1">{"FCB_ALL",#N/A,FALSE,"FCB"}</definedName>
    <definedName name="wrn.10K._.FS._.AND._.TABLES." localSheetId="5"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rn.10Q._.FS._.AND._.TABLES." localSheetId="5" hidden="1">{#N/A,#N/A,FALSE,"BS";#N/A,#N/A,FALSE,"PL_10Q";#N/A,#N/A,FALSE,"SOE";#N/A,#N/A,FALSE,"SCF";#N/A,#N/A,FALSE,"Sel Fn Data QTD 10Q";#N/A,#N/A,FALSE,"Table 1 YTD 10Q";#N/A,#N/A,FALSE,"Table 1 QTD 10Q";#N/A,#N/A,FALSE,"Tables 2 to 3 PL";#N/A,#N/A,FALSE,"Tables 4 and 5ALLL";#N/A,#N/A,FALSE,"Tables 6 to 8 ALLL ";#N/A,#N/A,FALSE,"Table 9 to 12 - Balance Sheet"}</definedName>
    <definedName name="wrn.10Q._.TABLES." localSheetId="5" hidden="1">{#N/A,#N/A,FALSE,"TABLE_1 YTD";#N/A,#N/A,FALSE,"TABLE_1A QTD"}</definedName>
    <definedName name="wrn.111111" localSheetId="5" hidden="1">{#N/A,#N/A,FALSE,"Pharm";#N/A,#N/A,FALSE,"WWCM"}</definedName>
    <definedName name="wrn.1998._.IPO._.Update." localSheetId="5" hidden="1">{#N/A,#N/A,FALSE,"Summary";#N/A,#N/A,FALSE,"Pending";#N/A,#N/A,FALSE,"Aug'98";#N/A,#N/A,FALSE,"July'98";#N/A,#N/A,FALSE,"June'98";#N/A,#N/A,FALSE,"May'98";#N/A,#N/A,FALSE,"Apr'98";#N/A,#N/A,FALSE,"Mar'98";#N/A,#N/A,FALSE,"Feb'98";#N/A,#N/A,FALSE,"Jan'98"}</definedName>
    <definedName name="wrn.2._.pagers." localSheetId="5" hidden="1">{"Cover",#N/A,FALSE,"Cover";"Summary",#N/A,FALSE,"Summarpage"}</definedName>
    <definedName name="wrn.2_5_99._.Scenarios." localSheetId="5" hidden="1">{#N/A,"Scenario 4; Book Value",FALSE,"Stream INPUTS";#N/A,"Scenario 4; Market Value",FALSE,"Stream INPUTS";#N/A,"Scenario 5; Book Value",FALSE,"Stream INPUTS";#N/A,"Scenario 5; Market Value",FALSE,"Stream INPUTS"}</definedName>
    <definedName name="wrn.2000._.Package._.GOM." localSheetId="5" hidden="1">{"2000PPE",#N/A,FALSE,"PPE 2000";"2000DD",#N/A,FALSE,"DrydocksOther"}</definedName>
    <definedName name="wrn.730." localSheetId="5" hidden="1">{#N/A,#N/A,FALSE,"REPORT"}</definedName>
    <definedName name="wrn.731" localSheetId="5" hidden="1">{#N/A,#N/A,FALSE,"REPORT"}</definedName>
    <definedName name="wrn.750." localSheetId="5" hidden="1">{#N/A,#N/A,FALSE,"REPORT"}</definedName>
    <definedName name="wrn.7501" localSheetId="5" hidden="1">{#N/A,#N/A,FALSE,"REPORT"}</definedName>
    <definedName name="wrn.760.16." localSheetId="5" hidden="1">{#N/A,#N/A,FALSE,"REPORT"}</definedName>
    <definedName name="wrn.7900" localSheetId="5" hidden="1">{#N/A,#N/A,FALSE,"REPORT"}</definedName>
    <definedName name="wrn.8964sch." localSheetId="5" hidden="1">{"Membership",#N/A,FALSE,"8964SCH";"Membership2",#N/A,FALSE,"8964SCH"}</definedName>
    <definedName name="wrn.905" localSheetId="5" hidden="1">{#N/A,#N/A,FALSE,"REPORT"}</definedName>
    <definedName name="wrn.99999" localSheetId="5" hidden="1">{#N/A,#N/A,FALSE,"REPORT"}</definedName>
    <definedName name="wrn.aaa" localSheetId="5" hidden="1">{#N/A,#N/A,FALSE,"Pharm";#N/A,#N/A,FALSE,"WWCM"}</definedName>
    <definedName name="wrn.aaaaaaa" localSheetId="5" hidden="1">{#N/A,#N/A,FALSE,"Pharm";#N/A,#N/A,FALSE,"WWCM"}</definedName>
    <definedName name="wrn.abc" localSheetId="5" hidden="1">{#N/A,#N/A,FALSE,"Index";#N/A,#N/A,FALSE,"IncStmt";#N/A,#N/A,FALSE,"Ratios";#N/A,#N/A,FALSE,"CashFlows";#N/A,#N/A,FALSE,"Ins1";#N/A,#N/A,FALSE,"Ins2";#N/A,#N/A,FALSE,"SelfFund";#N/A,#N/A,FALSE,"SGA";#N/A,#N/A,FALSE,"Recon";#N/A,#N/A,FALSE,"Earnings";#N/A,#N/A,FALSE,"Earnings (2)";#N/A,#N/A,FALSE,"Stock";#N/A,#N/A,FALSE,"Stock (2)";#N/A,#N/A,FALSE,"PeerRatios";#N/A,#N/A,FALSE,"PeerRanks"}</definedName>
    <definedName name="wrn.Accretion." localSheetId="5" hidden="1">{"Accretion",#N/A,FALSE,"Assum"}</definedName>
    <definedName name="wrn.ACCT._.PACKAGE._.REPORT." localSheetId="5" hidden="1">{#N/A,#N/A,TRUE,"Highlights";#N/A,#N/A,TRUE,"BS_Oriental International Bank";#N/A,#N/A,TRUE,"P&amp;L_Oriental International Bank";#N/A,#N/A,TRUE,"Revenues Report_OIB";#N/A,#N/A,TRUE,"Expenses OIB";#N/A,#N/A,TRUE,"Margin_ORIENTAL INTL BANK";#N/A,#N/A,TRUE,"PL Quarterly_OIB";#N/A,#N/A,TRUE,"COVER"}</definedName>
    <definedName name="wrn.Aging._.and._.Trend._.Analysis." localSheetId="5" hidden="1">{#N/A,#N/A,FALSE,"Aging Summary";#N/A,#N/A,FALSE,"Ratio Analysis";#N/A,#N/A,FALSE,"Test 120 Day Accts";#N/A,#N/A,FALSE,"Tickmarks"}</definedName>
    <definedName name="wrn.all." localSheetId="5" hidden="1">{#N/A,#N/A,TRUE,"Title_Page";#N/A,#N/A,TRUE,"Tax_Income_Sum";#N/A,#N/A,TRUE,"GL_Mgmt_Rec";#N/A,#N/A,TRUE,"Long_Term_Accrual";#N/A,#N/A,TRUE,"Reserves";#N/A,#N/A,TRUE,"Contributions";#N/A,#N/A,TRUE,"R&amp;D Credit";#N/A,#N/A,TRUE,"Unicap";#N/A,#N/A,TRUE,"Other_Income";#N/A,#N/A,TRUE,"Other_Deduction";#N/A,#N/A,TRUE,"Increase_RE";#N/A,#N/A,TRUE,"Decrease_RE";#N/A,#N/A,TRUE,"Cafe_Subsidy";#N/A,#N/A,TRUE,"Std. Reclass Adjstmnts";#N/A,#N/A,TRUE,"LT Accruals BT-1A";#N/A,#N/A,TRUE,"Sch. M-1 Adjstmnts"}</definedName>
    <definedName name="wrn.all._.input." localSheetId="5"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rint." localSheetId="5" hidden="1">{#N/A,#N/A,FALSE,"Summary";#N/A,#N/A,FALSE,"Edit";#N/A,#N/A,FALSE,"MedProf";#N/A,#N/A,FALSE,"Proj Mgt";#N/A,#N/A,FALSE,"Creat Svc";#N/A,#N/A,FALSE,"Meet Svc";#N/A,#N/A,FALSE,"Non-OCC";#N/A,#N/A,FALSE,"Client Svc";#N/A,#N/A,FALSE,"Bus Dev";#N/A,#N/A,FALSE,"Indirect"}</definedName>
    <definedName name="wrn.All._.Scenarios." localSheetId="5" hidden="1">{#N/A,"Mine Allocated; Keep AC",FALSE,"Transaction Summary";#N/A,"Mine Allocated; Sell AC",FALSE,"Transaction Summary";#N/A,"Commodity; Keep AC",FALSE,"Transaction Summary";#N/A,"Commodity; Sell AC",FALSE,"Transaction Summary";#N/A,"Step-Up; Keep AC",FALSE,"Transaction Summary";#N/A,"Step-Up; Sell AC",FALSE,"Transaction Summary"}</definedName>
    <definedName name="wrn.ALL._.STATEMENTS." localSheetId="5" hidden="1">{"BALANCE SHEET",#N/A,FALSE,"Balance Sheet";"INCOME STATEMENT",#N/A,FALSE,"Income Statement";"STMT OF CASH FLOWS",#N/A,FALSE,"Cash Flows Indirect";"PARTNERS CAPITAL STMT",#N/A,FALSE,"Partners Capital"}</definedName>
    <definedName name="wrn.All._.Worksheets." localSheetId="5"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nnual._.Report." localSheetId="5" hidden="1">{#N/A,#N/A,FALSE,"TABLE_1 YTD- VALUES LAST YR(2)"}</definedName>
    <definedName name="wrn.April._.Financials." localSheetId="5" hidden="1">{"Statement of Income",#N/A,TRUE,"Mar99";"Balance Sheet",#N/A,TRUE,"Mar99"}</definedName>
    <definedName name="wrn.Assumptions." localSheetId="5" hidden="1">{"Assumptions",#N/A,FALSE,"Assum"}</definedName>
    <definedName name="wrn.AUST._.FINANCIALS." localSheetId="5" hidden="1">{#N/A,#N/A,TRUE,"BUD VS ACT AUST 96";#N/A,#N/A,TRUE,"96 COMP P&amp;L-AUST";#N/A,#N/A,TRUE,"COMP BS-AUSTRALIA";#N/A,#N/A,TRUE,"B/S - AUSTR."}</definedName>
    <definedName name="wrn.Backup." localSheetId="5" hidden="1">{#N/A,#N/A,FALSE,"Balance";#N/A,#N/A,FALSE,"TDFX";#N/A,#N/A,FALSE,"TDDDF";#N/A,#N/A,FALSE,"ADI";#N/A,#N/A,FALSE,"CUBE";#N/A,#N/A,FALSE,"DIMD";#N/A,#N/A,FALSE,"ZRAN";#N/A,#N/A,FALSE,"GNMC"}</definedName>
    <definedName name="wrn.BALANCE._.SHEET." localSheetId="5" hidden="1">{"BALANCE SHEET",#N/A,FALSE,"Balance Sheet"}</definedName>
    <definedName name="wrn.balance._.sheet2." localSheetId="5" hidden="1">{"bs",#N/A,FALSE,"SCF"}</definedName>
    <definedName name="wrn.balance._.sheet3." localSheetId="5" hidden="1">{"bs",#N/A,FALSE,"SCF"}</definedName>
    <definedName name="wrn.balance._.sheet4." localSheetId="5" hidden="1">{"bs",#N/A,FALSE,"SCF"}</definedName>
    <definedName name="wrn.Balance._.sheets._.FY01._.to._.FY03." localSheetId="5" hidden="1">{"BS FY01",#N/A,FALSE,"P &amp; L";"BS FY02",#N/A,FALSE,"P &amp; L";"BS FY03",#N/A,FALSE,"P &amp; L"}</definedName>
    <definedName name="wrn.balance._sheet2." localSheetId="5" hidden="1">{"bs",#N/A,FALSE,"SCF"}</definedName>
    <definedName name="wrn.Bank._.Report." localSheetId="5"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sic._.Report." localSheetId="5" hidden="1">{#N/A,#N/A,FALSE,"New Depr Sch-150% DB";#N/A,#N/A,FALSE,"Cash Flows RLP";#N/A,#N/A,FALSE,"IRR";#N/A,#N/A,FALSE,"Proforma IS";#N/A,#N/A,FALSE,"Assumptions"}</definedName>
    <definedName name="wrn.BidCo." localSheetId="5" hidden="1">{#N/A,#N/A,FALSE,"BidCo Assumptions";#N/A,#N/A,FALSE,"Credit Stats";#N/A,#N/A,FALSE,"Bidco Summary";#N/A,#N/A,FALSE,"BIDCO Consolidated"}</definedName>
    <definedName name="wrn.bm" localSheetId="5"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udget." localSheetId="5" hidden="1">{"Instructions",#N/A,FALSE,"INPUT";"Sharing",#N/A,FALSE,"Sharing";"InputArea",#N/A,FALSE,"INPUT";"Budget",#N/A,FALSE,"INPUT"}</definedName>
    <definedName name="wrn.BUDGET2004." localSheetId="5" hidden="1">{#N/A,#N/A,FALSE,"BUD04 HEA";#N/A,#N/A,FALSE,"BUD04 Earnings";#N/A,#N/A,FALSE,"BUD04 Expenses"}</definedName>
    <definedName name="wrn.Business._.Report." localSheetId="5" hidden="1">{#N/A,#N/A,FALSE,"Header";#N/A,#N/A,FALSE,"Distribution";#N/A,#N/A,FALSE,"Contents";#N/A,#N/A,FALSE,"Key Deliverables 1";#N/A,#N/A,FALSE,"Key Deliverables 2";#N/A,#N/A,FALSE,"OH&amp;S";#N/A,#N/A,FALSE,"Profit";#N/A,#N/A,FALSE,"EBIT";#N/A,#N/A,FALSE,"Revenue (1)";#N/A,#N/A,FALSE,"Revenue (2)";#N/A,#N/A,FALSE,"Revenue (3)";#N/A,#N/A,FALSE,"Manufacturing Variance";#N/A,#N/A,FALSE,"Repairs &amp; Maintenance";#N/A,#N/A,FALSE,"Fixed Costs";#N/A,#N/A,FALSE,"Operating Costs";#N/A,#N/A,FALSE,"Cash 1";#N/A,#N/A,FALSE,"Cash 2";#N/A,#N/A,FALSE,"Working Capital";#N/A,#N/A,FALSE,"Capex";#N/A,#N/A,FALSE,"Balance Sheet";#N/A,#N/A,FALSE,"Legal";#N/A,#N/A,FALSE,"Five Year History";#N/A,#N/A,FALSE,"No. Twos"}</definedName>
    <definedName name="wrn.Business._.Report._1" localSheetId="5" hidden="1">{#N/A,#N/A,FALSE,"Header";#N/A,#N/A,FALSE,"Distribution";#N/A,#N/A,FALSE,"Contents";#N/A,#N/A,FALSE,"Key Deliverables 1";#N/A,#N/A,FALSE,"Key Deliverables 2";#N/A,#N/A,FALSE,"OH&amp;S";#N/A,#N/A,FALSE,"Profit";#N/A,#N/A,FALSE,"EBIT";#N/A,#N/A,FALSE,"Revenue (1)";#N/A,#N/A,FALSE,"Revenue (2)";#N/A,#N/A,FALSE,"Revenue (3)";#N/A,#N/A,FALSE,"Manufacturing Variance";#N/A,#N/A,FALSE,"Repairs &amp; Maintenance";#N/A,#N/A,FALSE,"Fixed Costs";#N/A,#N/A,FALSE,"Operating Costs";#N/A,#N/A,FALSE,"Cash 1";#N/A,#N/A,FALSE,"Cash 2";#N/A,#N/A,FALSE,"Working Capital";#N/A,#N/A,FALSE,"Capex";#N/A,#N/A,FALSE,"Balance Sheet";#N/A,#N/A,FALSE,"Legal";#N/A,#N/A,FALSE,"Five Year History";#N/A,#N/A,FALSE,"No. Twos"}</definedName>
    <definedName name="wrn.calc_all." localSheetId="5" hidden="1">{"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ardiovasculars." localSheetId="5" hidden="1">{#N/A,#N/A,FALSE,"Card";#N/A,#N/A,FALSE,"Prav";#N/A,#N/A,FALSE,"Irbe";#N/A,#N/A,FALSE,"Plavix";#N/A,#N/A,FALSE,"Capt";#N/A,#N/A,FALSE,"Fosi"}</definedName>
    <definedName name="wrn.Cash._.Flow." localSheetId="5" hidden="1">{"Cash Flow",#N/A,FALSE,"Cash Flow"}</definedName>
    <definedName name="wrn.cash._.flow._.FY00._.and._.FY01." localSheetId="5" hidden="1">{"cash flow - FY00",#N/A,FALSE,"P &amp; L";"cash flow - FY01",#N/A,FALSE,"P &amp; L"}</definedName>
    <definedName name="wrn.cash._.flow._.FY02._.and._.FY03." localSheetId="5" hidden="1">{"cash flow - FY02",#N/A,FALSE,"P &amp; L";"cash flow - FY03",#N/A,FALSE,"P &amp; L"}</definedName>
    <definedName name="wrn.Central._.Nervous._.System." localSheetId="5" hidden="1">{#N/A,#N/A,FALSE,"CNS";#N/A,#N/A,FALSE,"Serz";#N/A,#N/A,FALSE,"Ace"}</definedName>
    <definedName name="wrn.chart._.1998" localSheetId="5" hidden="1">{#N/A,#N/A,FALSE,"Summary";#N/A,#N/A,FALSE,"Pending";#N/A,#N/A,FALSE,"Jan'98";#N/A,#N/A,FALSE,"Feb'98";#N/A,#N/A,FALSE,"Mar'98";#N/A,#N/A,FALSE,"Apr'98";#N/A,#N/A,FALSE,"May'98";#N/A,#N/A,FALSE,"June'98";#N/A,#N/A,FALSE,"July'98"}</definedName>
    <definedName name="wrn.clientcopy." localSheetId="5"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OMBINED." localSheetId="5" hidden="1">{#N/A,#N/A,FALSE,"INPUTS";#N/A,#N/A,FALSE,"PROFORMA BSHEET";#N/A,#N/A,FALSE,"COMBINED";#N/A,#N/A,FALSE,"HIGH YIELD";#N/A,#N/A,FALSE,"COMB_GRAPHS"}</definedName>
    <definedName name="wrn.COMMISSIONER." localSheetId="5" hidden="1">{#N/A,#N/A,FALSE,"BS_OCIF OIB";#N/A,#N/A,FALSE,"PL_OCIF OIB";#N/A,#N/A,FALSE,"SCH_A-B_OCIF OIB";#N/A,#N/A,FALSE,"AVG_CALC OIB"}</definedName>
    <definedName name="wrn.Comp._.and._.Prices." localSheetId="5" hidden="1">{#N/A,#N/A,FALSE,"comp";#N/A,#N/A,FALSE,"Alpha";#N/A,#N/A,FALSE,"Hi";#N/A,#N/A,FALSE,"Lo";#N/A,#N/A,FALSE,"Mkt. Cap";#N/A,#N/A,FALSE,"Categ."}</definedName>
    <definedName name="wrn.Complete." localSheetId="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Report." localSheetId="5" hidden="1">{#N/A,#N/A,FALSE,"Assumptions";#N/A,#N/A,FALSE,"Proforma IS";#N/A,#N/A,FALSE,"Cash Flows RLP";#N/A,#N/A,FALSE,"IRR";#N/A,#N/A,FALSE,"New Depr Sch-150% DB";#N/A,#N/A,FALSE,"Comments"}</definedName>
    <definedName name="wrn.Consol." localSheetId="5" hidden="1">{#N/A,#N/A,FALSE,"COVER";#N/A,#N/A,FALSE,"Key Fin'l Performance";#N/A,#N/A,FALSE,"Q2 Target P &amp; L";#N/A,#N/A,FALSE,"Comp. Margin $";#N/A,#N/A,FALSE,"Standard Margin";#N/A,#N/A,FALSE,"Bus Sector";#N/A,#N/A,FALSE,"EBG &amp; GAAP Recon";#N/A,#N/A,FALSE,"EBG P&amp;L Act vs Plan";#N/A,#N/A,FALSE,"EBG P&amp;L Fcst";#N/A,#N/A,FALSE,"EBG P&amp;L Trend";#N/A,#N/A,FALSE,"Key Metrics";#N/A,#N/A,FALSE,"Cum Net Income Chart";#N/A,#N/A,FALSE,"Rev &amp; Mrgn Trend";#N/A,#N/A,FALSE,"Trended Op Ex";#N/A,#N/A,FALSE,"Consol BS";#N/A,#N/A,FALSE,"Consol BS vs Plan";#N/A,#N/A,FALSE,"Consol CF vs Plan";#N/A,#N/A,FALSE,"Asset &amp; Eq Measures";#N/A,#N/A,FALSE,"CCC _PHIL";#N/A,#N/A,FALSE,"Rev &amp; Booking Trend";#N/A,#N/A,FALSE,"Comp Rev Trend VM";#N/A,#N/A,FALSE,"Comp Bookings Trend VM";#N/A,#N/A,FALSE,"Top Customers";#N/A,#N/A,FALSE,"Backlog - Consolidated";#N/A,#N/A,FALSE,"Design Win Summary - Consol";#N/A,#N/A,FALSE,"Headcount Summary";#N/A,#N/A,FALSE,"Std Rpt Pkg Table Contents";#N/A,#N/A,FALSE,"Competitive data";#N/A,#N/A,FALSE,"Glossary"}</definedName>
    <definedName name="wrn.Consolidado." localSheetId="5" hidden="1">{#N/A,#N/A,FALSE,"COVER";#N/A,#N/A,FALSE,"Index";#N/A,#N/A,FALSE,"Non-Earning";#N/A,#N/A,FALSE,"Non-Earning_Recovery"}</definedName>
    <definedName name="wrn.Consolidated." localSheetId="5" hidden="1">{#N/A,#N/A,FALSE,"Cover";#N/A,#N/A,FALSE,"Key Indicator";#N/A,#N/A,FALSE,"Key Metrics";#N/A,#N/A,FALSE,"Sectors";#N/A,#N/A,FALSE,"Geo &amp; ASIC";#N/A,#N/A,FALSE,"P&amp;L Comp";#N/A,#N/A,FALSE,"Rev by Grp &amp; VM";#N/A,#N/A,FALSE,"Group Rev Trend";#N/A,#N/A,FALSE,"Margin";#N/A,#N/A,FALSE,"Balance Sheet";#N/A,#N/A,FALSE,"Cash Flow";#N/A,#N/A,FALSE,"GAAP P&amp;L";#N/A,#N/A,FALSE,"P&amp;L Trend";#N/A,#N/A,FALSE,"P&amp;L-ASIC";#N/A,#N/A,FALSE,"P&amp;L-ASSP";#N/A,#N/A,FALSE,"Mfg Recon";#N/A,#N/A,FALSE,"EPS";#N/A,#N/A,FALSE,"Rev Mrgn";#N/A,#N/A,FALSE,"Op Exp";#N/A,#N/A,FALSE,"CCC";#N/A,#N/A,FALSE,"Asset &amp; Equity";#N/A,#N/A,FALSE,"Rev Bkg Bklg";#N/A,#N/A,FALSE,"Bkg Trend";#N/A,#N/A,FALSE,"Booking Linearity";#N/A,#N/A,FALSE,"Top 10";#N/A,#N/A,FALSE,"Design Win";#N/A,#N/A,FALSE,"Headcount"}</definedName>
    <definedName name="wrn.Consumer._.Medicines." localSheetId="5" hidden="1">{#N/A,#N/A,FALSE,"OTC";#N/A,#N/A,FALSE,"Ther";#N/A,#N/A,FALSE,"Temp";#N/A,#N/A,FALSE,"Exce";#N/A,#N/A,FALSE,"Buff";#N/A,#N/A,FALSE,"Picot";#N/A,#N/A,FALSE,"Luftal";#N/A,#N/A,FALSE,"Comt"}</definedName>
    <definedName name="wrn.Corporate." localSheetId="5" hidden="1">{"Corporate",#N/A,FALSE,"Corporate Profile"}</definedName>
    <definedName name="wrn.cotop." localSheetId="5" hidden="1">{"ReportTop",#N/A,FALSE,"report top"}</definedName>
    <definedName name="wrn.Daily." localSheetId="5" hidden="1">{#N/A,#N/A,FALSE,"Input";#N/A,#N/A,FALSE,"BBC";#N/A,#N/A,FALSE,"Sch A";#N/A,#N/A,FALSE,"Sch B";#N/A,#N/A,FALSE,"Ineligible"}</definedName>
    <definedName name="wrn.DCF._.Valuation." localSheetId="5" hidden="1">{"value box",#N/A,TRUE,"DPL Inc. Fin Statements";"unlevered free cash flows",#N/A,TRUE,"DPL Inc. Fin Statements"}</definedName>
    <definedName name="wrn.Debt." localSheetId="5" hidden="1">{"debt summary",#N/A,FALSE,"Debt";"loan details",#N/A,FALSE,"Debt"}</definedName>
    <definedName name="wrn.Delinc_Comercial." localSheetId="5" hidden="1">{#N/A,#N/A,FALSE,"COVER";#N/A,#N/A,FALSE,"Index";#N/A,#N/A,FALSE,"Non-Earning";#N/A,#N/A,FALSE,"Commercial";#N/A,#N/A,FALSE,"Detailed"}</definedName>
    <definedName name="wrn.Detail." localSheetId="5" hidden="1">{"SalaryPer",#N/A,FALSE,"INPUT";"WageRate",#N/A,FALSE,"INPUT";"Salary",#N/A,FALSE,"INPUT";"Overtime",#N/A,FALSE,"INPUT";"PagerPay",#N/A,FALSE,"INPUT";"FringeTable",#N/A,FALSE,"INPUT";"Fringes",#N/A,FALSE,"INPUT";"ProfitSharing",#N/A,FALSE,"INPUT"}</definedName>
    <definedName name="wrn.Detail._.Balance._.Sheet." localSheetId="5" hidden="1">{#N/A,#N/A,FALSE,"Detail"}</definedName>
    <definedName name="wrn.Detail_Projection." localSheetId="5" hidden="1">{#N/A,#N/A,FALSE,"Detail YTD"}</definedName>
    <definedName name="wrn.Dilution." localSheetId="5" hidden="1">{#N/A,#N/A,FALSE,"FY 1997 (NR)";#N/A,#N/A,FALSE,"FY 1998 (NR)";#N/A,#N/A,FALSE,"Balance";#N/A,#N/A,FALSE,"Matrix (NR)"}</definedName>
    <definedName name="wrn.DOM._.TRAF._.STATS." localSheetId="5" hidden="1">{#N/A,#N/A,FALSE,"Form 41 Commuter Domestic";#N/A,#N/A,FALSE,"FORM41--COMMUTER % CHG";#N/A,#N/A,FALSE,"Total Domestic Traffic Stats";#N/A,#N/A,FALSE,"TOTAL DOM TRAFFIC--% CHG";#N/A,#N/A,FALSE,"TotDomTraf-Large Carriers Only";#N/A,#N/A,FALSE,"TOTDOMTRAF-LARGECAR% CHG"}</definedName>
    <definedName name="wrn.Druck." localSheetId="5" hidden="1">{#N/A,#N/A,FALSE,"Phase I";#N/A,#N/A,FALSE,"Phase II";#N/A,#N/A,FALSE,"Phase III"}</definedName>
    <definedName name="wrn.econtab." localSheetId="5" hidden="1">{#N/A,#N/A,FALSE,"TABLE1";#N/A,#N/A,FALSE,"TABLE2";#N/A,#N/A,FALSE,"TABLE3";#N/A,#N/A,FALSE,"TABLE4";#N/A,#N/A,FALSE,"TABLE5"}</definedName>
    <definedName name="wrn.executive._.summary._.reports." localSheetId="5" hidden="1">{"4 year overview",#N/A,FALSE,"P &amp; L";"key indicators",#N/A,FALSE,"P &amp; L"}</definedName>
    <definedName name="wrn.EXP2." localSheetId="5" hidden="1">{#N/A,#N/A,TRUE,"NIE_C";#N/A,#N/A,TRUE,"NIE";#N/A,#N/A,TRUE,"NIE_D";#N/A,#N/A,TRUE,"NIE_D_CC";#N/A,#N/A,TRUE,"HEA -- EXP"}</definedName>
    <definedName name="wrn.fcb" localSheetId="5" hidden="1">{"FCB_ALL",#N/A,FALSE,"FCB"}</definedName>
    <definedName name="wrn.FCB." localSheetId="5" hidden="1">{"FCB_ALL",#N/A,FALSE,"FCB"}</definedName>
    <definedName name="wrn.fcb2" localSheetId="5" hidden="1">{"FCB_ALL",#N/A,FALSE,"FCB"}</definedName>
    <definedName name="wrn.FER." localSheetId="5" hidden="1">{#N/A,#N/A,TRUE,"BS_A";#N/A,#N/A,TRUE,"BS_L";#N/A,#N/A,TRUE,"PL";#N/A,#N/A,TRUE,"NET";#N/A,#N/A,TRUE,"MAR_2";#N/A,#N/A,TRUE,"MAR";#N/A,#N/A,TRUE,"NII";#N/A,#N/A,TRUE,"NIE";#N/A,#N/A,TRUE,"FS_BS";#N/A,#N/A,TRUE,"FS_PL";#N/A,#N/A,TRUE,"HEA"}</definedName>
    <definedName name="wrn.FER_EXPENSES." localSheetId="5" hidden="1">{#N/A,#N/A,TRUE,"NIE_C";#N/A,#N/A,TRUE,"NIE";#N/A,#N/A,TRUE,"NIE_D";#N/A,#N/A,TRUE,"HEA -- EXP"}</definedName>
    <definedName name="wrn.FER_NIA." localSheetId="5" hidden="1">{#N/A,#N/A,FALSE,"HEA NIA";#N/A,#N/A,FALSE,"CHART";#N/A,#N/A,FALSE,"NIA";#N/A,#N/A,FALSE,"WF_DET"}</definedName>
    <definedName name="wrn.FER_REVENUES." localSheetId="5" hidden="1">{#N/A,#N/A,TRUE,"NII_C";#N/A,#N/A,TRUE,"NII";#N/A,#N/A,TRUE,"NII_D";#N/A,#N/A,TRUE,"HEA --REV"}</definedName>
    <definedName name="wrn.filecopy." localSheetId="5"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nancials." localSheetId="5" hidden="1">{#N/A,#N/A,TRUE,"Income Statement";#N/A,#N/A,TRUE,"Balance Sheet";#N/A,#N/A,TRUE,"Cash Flow"}</definedName>
    <definedName name="wrn.FINANCIALS._.10K." localSheetId="5" hidden="1">{#N/A,#N/A,FALSE,"BS";#N/A,#N/A,FALSE,"PL_10K";#N/A,#N/A,FALSE,"SOE";#N/A,#N/A,FALSE,"SCF"}</definedName>
    <definedName name="wrn.FINANCIALS._.10Q." localSheetId="5" hidden="1">{#N/A,#N/A,FALSE,"BS";#N/A,#N/A,FALSE,"PL_10Q";#N/A,#N/A,FALSE,"SOE";#N/A,#N/A,FALSE,"SCF"}</definedName>
    <definedName name="wrn.Followon._.1998" localSheetId="5" hidden="1">{#N/A,#N/A,FALSE,"Summary";#N/A,#N/A,FALSE,"Pending";#N/A,#N/A,FALSE,"Jan'98";#N/A,#N/A,FALSE,"Feb'98";#N/A,#N/A,FALSE,"Mar'98";#N/A,#N/A,FALSE,"Apr'98";#N/A,#N/A,FALSE,"May'98";#N/A,#N/A,FALSE,"June'98";#N/A,#N/A,FALSE,"July'98"}</definedName>
    <definedName name="wrn.FORECAST." localSheetId="5" hidden="1">{"TOT",#N/A,FALSE,"ASFCST99";"TOTINT",#N/A,FALSE,"ASFCST99";"DOM",#N/A,FALSE,"ASFCST99";"NORTHATL",#N/A,FALSE,"ASFCST99";"PACIFIC",#N/A,FALSE,"ASFCST99";"LATAM",#N/A,FALSE,"ASFCST99"}</definedName>
    <definedName name="wrn.FRANCE._.FINANCIALS." localSheetId="5" hidden="1">{#N/A,#N/A,FALSE,"COMP BS-FRANCE";#N/A,#N/A,FALSE,"96 COMP P&amp;L-FRANCE";#N/A,#N/A,FALSE,"BUD VS ACT FRAN 96";#N/A,#N/A,FALSE,"B/S - FRANCE"}</definedName>
    <definedName name="wrn.FS._.AND._.TBLS._.10K." localSheetId="5"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wrn.Full._.Package." localSheetId="5" hidden="1">{#N/A,#N/A,FALSE,"COVER";#N/A,#N/A,FALSE,"INDEX";#N/A,#N/A,FALSE,"P1000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full._.report." localSheetId="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Y00._.all._.reports." localSheetId="5" hidden="1">{"cash flow - FY00",#N/A,FALSE,"P &amp; L";"qtrly summ-FY00",#N/A,FALSE,"P &amp; L";"monthly P&amp;L-FY00",#N/A,FALSE,"P &amp; L";"P&amp;L FY00",#N/A,FALSE,"P &amp; L";"BS FY00",#N/A,FALSE,"P &amp; L";"staffing - FY00",#N/A,FALSE,"P &amp; L"}</definedName>
    <definedName name="wrn.FY01._.all._.reports." localSheetId="5" hidden="1">{"qtrly summ-FY01",#N/A,FALSE,"P &amp; L";"monthly P&amp;L-FY01",#N/A,FALSE,"P &amp; L";"cash flow - FY01",#N/A,FALSE,"P &amp; L";"P&amp;L FY01",#N/A,FALSE,"P &amp; L";"BS FY01",#N/A,FALSE,"P &amp; L";"staffing - FY01",#N/A,FALSE,"P &amp; L"}</definedName>
    <definedName name="wrn.FY02._.all._.reports." localSheetId="5" hidden="1">{"cash flow - FY02",#N/A,FALSE,"P &amp; L";"qtrly summ-FY02",#N/A,FALSE,"P &amp; L";"monthly P&amp;L-FY02",#N/A,FALSE,"P &amp; L";"P&amp;L FY02",#N/A,FALSE,"P &amp; L";"BS FY02",#N/A,FALSE,"P &amp; L";"staffing - FY02",#N/A,FALSE,"P &amp; L"}</definedName>
    <definedName name="wrn.FY03._.all._.reports." localSheetId="5" hidden="1">{"cash flow - FY03",#N/A,FALSE,"P &amp; L";"qtrly summ-FY03",#N/A,FALSE,"P &amp; L";"monthly P&amp;L-FY03",#N/A,FALSE,"P &amp; L";"P&amp;L FY03",#N/A,FALSE,"P &amp; L";"BS FY03",#N/A,FALSE,"P &amp; L";"staffing - FY03",#N/A,FALSE,"P &amp; L"}</definedName>
    <definedName name="wrn.General._.OTC." localSheetId="5" hidden="1">{#N/A,#N/A,FALSE,"Title Page (3)";#N/A,#N/A,FALSE,"YTD - OTC";#N/A,#N/A,FALSE,"MTH - OTC"}</definedName>
    <definedName name="wrn.General._.Pharm." localSheetId="5" hidden="1">{#N/A,#N/A,FALSE,"Title Page (2)";#N/A,#N/A,FALSE,"YTD - Pharm";#N/A,#N/A,FALSE,"MTH - Pharm"}</definedName>
    <definedName name="wrn.General._.Total." localSheetId="5" hidden="1">{#N/A,#N/A,FALSE,"Title Page (4)";#N/A,#N/A,FALSE,"YTD - Total";#N/A,#N/A,FALSE,"MTH - Total"}</definedName>
    <definedName name="wrn.GJE_NBR_7_Print_Job." localSheetId="5" hidden="1">{"Accrual_Calculation",#N/A,FALSE,"Comp Calc";"SJE#7",#N/A,FALSE,"GJE"}</definedName>
    <definedName name="wrn.GRAPHS." localSheetId="5" hidden="1">{#N/A,#N/A,FALSE,"ACQ_GRAPHS";#N/A,#N/A,FALSE,"T_1 GRAPHS";#N/A,#N/A,FALSE,"T_2 GRAPHS";#N/A,#N/A,FALSE,"COMB_GRAPHS"}</definedName>
    <definedName name="wrn.Growth." localSheetId="5" hidden="1">{#N/A,#N/A,FALSE,"Rev Grwth";#N/A,#N/A,FALSE,"Op Inc Grwth";#N/A,#N/A,FALSE,"Net Grwth";#N/A,#N/A,FALSE,"EPS Growth"}</definedName>
    <definedName name="wrn.Ilijan._.Print." localSheetId="5"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NCOME._.STATEMENT." localSheetId="5" hidden="1">{"INCOME STATEMENT",#N/A,FALSE,"Income Statement"}</definedName>
    <definedName name="wrn.Individual._.Statements." localSheetId="5" hidden="1">{"barlup",#N/A,FALSE,"evabnk97";"gillespey",#N/A,FALSE,"evabnk97";"koon",#N/A,FALSE,"evabnk97";"schreur",#N/A,FALSE,"evabnk97";"stone",#N/A,FALSE,"evabnk97";"wichmann",#N/A,FALSE,"evabnk97";"wright",#N/A,FALSE,"evabnk97"}</definedName>
    <definedName name="wrn.Infectious._.Diseases." localSheetId="5" hidden="1">{#N/A,#N/A,FALSE,"Anti";#N/A,#N/A,FALSE,"Cefa";#N/A,#N/A,FALSE,"Ceph";#N/A,#N/A,FALSE,"Cefp";#N/A,#N/A,FALSE,"Cefe";#N/A,#N/A,FALSE,"Pens";#N/A,#N/A,FALSE,"Ampi";#N/A,#N/A,FALSE,"Amox";#N/A,#N/A,FALSE,"Isox";#N/A,#N/A,FALSE,"Aztr";#N/A,#N/A,FALSE,"Videx";#N/A,#N/A,FALSE,"Zerit"}</definedName>
    <definedName name="wrn.input._.and._.output." localSheetId="5" hidden="1">{"EBITDA",#N/A,TRUE,"P&amp;L Net of Disc Ops";"output net of disc ops",#N/A,TRUE,"Revenue";"input",#N/A,TRUE,"Revenue";"output",#N/A,TRUE,"DC";"Input",#N/A,TRUE,"DC";"MTN and MCN",#N/A,TRUE,"Margin";"output detail line items",#N/A,TRUE,"SGA";"personnel by year",#N/A,TRUE,"Payroll";#N/A,#N/A,TRUE,"CapEx"}</definedName>
    <definedName name="wrn.Internal._.Report._.for._.Martha." localSheetId="5"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PO." localSheetId="5" hidden="1">{#N/A,#N/A,FALSE,"Summary";#N/A,#N/A,FALSE,"Jan'97";#N/A,#N/A,FALSE,"Feb'97";#N/A,#N/A,FALSE,"Mar'97";#N/A,#N/A,FALSE,"Apr'97";#N/A,#N/A,FALSE,"May'97";#N/A,#N/A,FALSE,"Jun'97";#N/A,#N/A,FALSE,"Jul'97";#N/A,#N/A,FALSE,"Aug'97";#N/A,#N/A,FALSE,"Sept'97";#N/A,#N/A,FALSE,"Oct'97";#N/A,#N/A,FALSE,"Nov'97";#N/A,#N/A,FALSE,"Dec'97";#N/A,#N/A,FALSE,"Pending"}</definedName>
    <definedName name="wrn.IPO._.1998." localSheetId="5" hidden="1">{#N/A,#N/A,FALSE,"Summary";#N/A,#N/A,FALSE,"Pending";#N/A,#N/A,FALSE,"Jan'98";#N/A,#N/A,FALSE,"Feb'98";#N/A,#N/A,FALSE,"Mar'98";#N/A,#N/A,FALSE,"Apr'98";#N/A,#N/A,FALSE,"May'98";#N/A,#N/A,FALSE,"June'98";#N/A,#N/A,FALSE,"July'98"}</definedName>
    <definedName name="wrn.IPO._.Analysis." localSheetId="5" hidden="1">{#N/A,#N/A,FALSE,"Summary";#N/A,#N/A,FALSE,"Pending";#N/A,#N/A,FALSE,"Oct'97";#N/A,#N/A,FALSE,"Sept'97";#N/A,#N/A,FALSE,"Aug'97";#N/A,#N/A,FALSE,"Jul'97";#N/A,#N/A,FALSE,"Jun'97";#N/A,#N/A,FALSE,"May'97";#N/A,#N/A,FALSE,"Apr'97";#N/A,#N/A,FALSE,"Mar'97";#N/A,#N/A,FALSE,"Feb'97";#N/A,#N/A,FALSE,"Jan'97"}</definedName>
    <definedName name="wrn.IS._.Q96." localSheetId="5" hidden="1">{"IS Q96",#N/A,FALSE,"Income Statement"}</definedName>
    <definedName name="wrn.IS._.Q97." localSheetId="5" hidden="1">{"IS Q97",#N/A,FALSE,"Income Statement"}</definedName>
    <definedName name="wrn.IS._.Years." localSheetId="5" hidden="1">{"IS Years",#N/A,FALSE,"Income Statement"}</definedName>
    <definedName name="wrn.JANI._.REBATES." localSheetId="5" hidden="1">{"TOTAL",#N/A,FALSE,"A";"FISCAL94",#N/A,FALSE,"A";"FISCAL95",#N/A,FALSE,"A";"FISCAL96",#N/A,FALSE,"A";"misc page",#N/A,FALSE,"A"}</definedName>
    <definedName name="wrn.JODM._.Graphs." localSheetId="5" hidden="1">{"graph",#N/A,FALSE,"WWJU";"graph",#N/A,FALSE,"WWSEM";"graph",#N/A,FALSE,"GOMJU";"graph",#N/A,FALSE,"GOMSEM";"graph",#N/A,FALSE,"NSJU";"graph",#N/A,FALSE,"NSSEM";"graph",#N/A,FALSE,"WAJU";"graph",#N/A,FALSE,"STOCKPRI";"graph",#N/A,FALSE,"CFTEV";"graph",#N/A,FALSE,"NAV-RCV";"graph",#N/A,FALSE,"CRUDEWW"}</definedName>
    <definedName name="wrn.Just._.Sorts." localSheetId="5" hidden="1">{#N/A,#N/A,FALSE,"Hi";#N/A,#N/A,FALSE,"Lo";#N/A,#N/A,FALSE,"Mkt. Cap";#N/A,#N/A,FALSE,"Alpha"}</definedName>
    <definedName name="wrn.Lease_Deli." localSheetId="5" hidden="1">{#N/A,#N/A,FALSE,"COVER";#N/A,#N/A,FALSE,"Index";#N/A,#N/A,FALSE,"Non-Earning";#N/A,#N/A,FALSE,"Non-Earning-Recovery";#N/A,#N/A,FALSE,"Leasing_Equipo";#N/A,#N/A,FALSE,"Leasing_Auto";#N/A,#N/A,FALSE,"Leasing_Legal"}</definedName>
    <definedName name="wrn.Main._.Fields." localSheetId="5"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rch._.Financials." localSheetId="5" hidden="1">{"Statement of Income",#N/A,TRUE,"Mar99";"Balance Sheet",#N/A,TRUE,"Mar99"}</definedName>
    <definedName name="wrn.MARGIN." localSheetId="5" hidden="1">{#N/A,#N/A,TRUE,"MAR";#N/A,#N/A,TRUE,"MAR_2"}</definedName>
    <definedName name="wrn.Margins." localSheetId="5" hidden="1">{#N/A,#N/A,FALSE,"Margins - GrossR&amp;D";#N/A,#N/A,FALSE,"Margins - sg&amp;a";#N/A,#N/A,FALSE,"Margins - Oper-net"}</definedName>
    <definedName name="wrn.Mason._.Deliverables." localSheetId="5" hidden="1">{#N/A,#N/A,FALSE,"Data &amp; Key Results";#N/A,#N/A,FALSE,"Summary Template";#N/A,#N/A,FALSE,"Budget";#N/A,#N/A,FALSE,"Present Value Comparison";#N/A,#N/A,FALSE,"Cashflow";#N/A,#N/A,FALSE,"Income";#N/A,#N/A,FALSE,"Inputs"}</definedName>
    <definedName name="wrn.Master." localSheetId="5" hidden="1">{#N/A,#N/A,TRUE,"ProFormaProfit";#N/A,#N/A,TRUE,"ProFormaCash";#N/A,#N/A,TRUE,"Depreciation";#N/A,#N/A,TRUE,"Assets";#N/A,#N/A,TRUE,"Revenue";#N/A,#N/A,TRUE,"EstimatedPurchase"}</definedName>
    <definedName name="wrn.MDA._.Tables." localSheetId="5" hidden="1">{#N/A,#N/A,TRUE,"Sel Fn Data QTD";#N/A,#N/A,TRUE,"TABLE_1 SPREAD ANALYSIS";#N/A,#N/A,TRUE,"Tables 2 to 3 PL";#N/A,#N/A,TRUE,"Tables 4 and 5 ALLL";#N/A,#N/A,TRUE,"Tables 6 to 8 ALLL NPA";#N/A,#N/A,TRUE,"Table 9 to 10 - Balance Sheet";#N/A,#N/A,TRUE,"Table 11 to 12 - Equity"}</definedName>
    <definedName name="wrn.MDA._.TABLES._.10Q." localSheetId="5" hidden="1">{#N/A,#N/A,FALSE,"Table 1 QTD";#N/A,#N/A,FALSE,"Table 1 YTD";#N/A,#N/A,FALSE,"Tables 2 to 4 PL";#N/A,#N/A,FALSE,"Tables 5 to 9 ALLL";#N/A,#N/A,FALSE,"Table 10 to 13 - Balance Sheet"}</definedName>
    <definedName name="wrn.MDA_TABLES._.10K." localSheetId="5" hidden="1">{#N/A,#N/A,FALSE,"SFD 5 YRS 10k";#N/A,#N/A,FALSE,"Table 1 Annual 10K";#N/A,#N/A,FALSE,"Tables 2 to 3 PL";#N/A,#N/A,FALSE,"Tables 4 and 5ALLL";#N/A,#N/A,FALSE,"Tables 6 to 8 ALLL ";#N/A,#N/A,FALSE,"Table 9 to 12 - Balance Sheet";#N/A,#N/A,FALSE,"Table 14 10K SFD by Quarter";#N/A,#N/A,FALSE,"Tbl 15 - 16 10K risk cashflow"}</definedName>
    <definedName name="wrn.MDA_TABLES._.10Q." localSheetId="5" hidden="1">{#N/A,#N/A,TRUE,"Sel Fn Data QTD";#N/A,#N/A,TRUE,"Table 1 YTD";#N/A,#N/A,TRUE,"Table 1 QTD";#N/A,#N/A,TRUE,"Tables 2 to 3 PL";#N/A,#N/A,TRUE,"Tables 4 and 5ALLL";#N/A,#N/A,TRUE,"Tables 6 to 8 ALLL ";#N/A,#N/A,TRUE,"Table 9 to 12 - Balance Sheet"}</definedName>
    <definedName name="wrn.MDA_TABLES._.10Q._.SEPT." localSheetId="5" hidden="1">{#N/A,#N/A,TRUE,"Sel Fn Data QTD";#N/A,#N/A,TRUE,"Table 1 YTD";#N/A,#N/A,TRUE,"Tables 2 to 4 PL";#N/A,#N/A,TRUE,"Tables 5 to 9 ALLL";#N/A,#N/A,TRUE,"Table 10 to 13 - Balance Sheet"}</definedName>
    <definedName name="wrn.Merger." localSheetId="5" hidden="1">{#N/A,#N/A,FALSE,"Overview";#N/A,#N/A,FALSE,"Summary";#N/A,#N/A,FALSE,"Unph Hist";#N/A,#N/A,FALSE,"Combination";#N/A,#N/A,FALSE,"IOC Proj Base";#N/A,#N/A,FALSE,"Bal";#N/A,#N/A,FALSE,"IOC Bal";#N/A,#N/A,FALSE,"IOC CF";#N/A,#N/A,FALSE,"UNPH Proj"}</definedName>
    <definedName name="wrn.MONTH_REPORT." localSheetId="5" hidden="1">{#N/A,#N/A,TRUE,"ALLL";#N/A,#N/A,TRUE,"DEL";#N/A,#N/A,TRUE,"Reserve Analysis";#N/A,#N/A,TRUE,"C_OFF HISTORY";#N/A,#N/A,TRUE,"ALLL_QTR";#N/A,#N/A,TRUE,"HEA_M";#N/A,#N/A,TRUE,"BL_DET";#N/A,#N/A,TRUE,"3YRS+";#N/A,#N/A,TRUE,"CONSTR_DET"}</definedName>
    <definedName name="wrn.MONTH_REPORT_BOD." localSheetId="5" hidden="1">{#N/A,#N/A,FALSE,"HEA_M";#N/A,#N/A,FALSE,"ALLL";#N/A,#N/A,FALSE,"DEL";#N/A,#N/A,FALSE,"Reserve Analysis";#N/A,#N/A,FALSE,"C_OFF HISTORY";#N/A,#N/A,FALSE,"ALLL_QTR"}</definedName>
    <definedName name="wrn.Month_Report_Mgmt." localSheetId="5" hidden="1">{#N/A,#N/A,FALSE,"HEA_M";#N/A,#N/A,FALSE,"ALLL";#N/A,#N/A,FALSE,"DEL";#N/A,#N/A,FALSE,"Reserve Analysis";#N/A,#N/A,FALSE,"C_OFF HISTORY";#N/A,#N/A,FALSE,"ALLL_QTR";#N/A,#N/A,FALSE,"RR Review";#N/A,#N/A,FALSE,"MORT. SS 1YRS+";#N/A,#N/A,FALSE,"MORT. DOUBFUL 1YEAR+";#N/A,#N/A,FALSE,"MORT. LOSS 1YEAR+";#N/A,#N/A,FALSE,"Watch List Report";#N/A,#N/A,FALSE,"CONSTR_DET"}</definedName>
    <definedName name="wrn.Mortgage." localSheetId="5" hidden="1">{#N/A,#N/A,FALSE,"COVER";#N/A,#N/A,FALSE,"Index";#N/A,#N/A,FALSE,"Non-Earning";#N/A,#N/A,FALSE,"Mortgage_Legal";#N/A,#N/A,FALSE,"Mortgages"}</definedName>
    <definedName name="wrn.Most._.Likely._.Scenarios." localSheetId="5" hidden="1">{#N/A,"Mine Allocated, Keep AC",FALSE,"Stream INPUTS";#N/A,"All Preferred, Sell AC",FALSE,"Stream INPUTS";#N/A,"Step Up, Sell AC",FALSE,"Stream INPUTS";#N/A,"All Preferred, BRONCO buys AC",FALSE,"Stream INPUTS"}</definedName>
    <definedName name="wrn.Munsell." localSheetId="5" hidden="1">{#N/A,#N/A,FALSE,"Index";#N/A,#N/A,FALSE,"IncStmt";#N/A,#N/A,FALSE,"Ratios";#N/A,#N/A,FALSE,"CashFlows";#N/A,#N/A,FALSE,"Ins1";#N/A,#N/A,FALSE,"Ins2";#N/A,#N/A,FALSE,"SelfFund";#N/A,#N/A,FALSE,"SGA";#N/A,#N/A,FALSE,"Recon";#N/A,#N/A,FALSE,"Earnings";#N/A,#N/A,FALSE,"Earnings (2)";#N/A,#N/A,FALSE,"Stock";#N/A,#N/A,FALSE,"Stock (2)";#N/A,#N/A,FALSE,"PeerRatios";#N/A,#N/A,FALSE,"PeerRanks"}</definedName>
    <definedName name="wrn.Netbacks." localSheetId="5" hidden="1">{"Netbacks",#N/A,FALSE,"Netbacks"}</definedName>
    <definedName name="wrn.Oncology." localSheetId="5" hidden="1">{#N/A,#N/A,FALSE,"Onco";#N/A,#N/A,FALSE,"Taxol";#N/A,#N/A,FALSE,"UFT";#N/A,#N/A,FALSE,"Carb"}</definedName>
    <definedName name="wrn.one." localSheetId="5" hidden="1">{"page1",#N/A,FALSE,"A";"page2",#N/A,FALSE,"A"}</definedName>
    <definedName name="wrn.OPERATIONS." localSheetId="5" hidden="1">{#N/A,#N/A,FALSE,"PL-FS";#N/A,#N/A,FALSE,"PL"}</definedName>
    <definedName name="wrn.ops._.costs." localSheetId="5" hidden="1">{"page1",#N/A,FALSE,"APCI Operations Detail  ";"page2",#N/A,FALSE,"APCI Operations Detail  ";"page3",#N/A,FALSE,"APCI Operations Detail  ";"page4",#N/A,FALSE,"APCI Operations Detail  "}</definedName>
    <definedName name="wrn.OTC._.Market._.Report." localSheetId="5" hidden="1">{#N/A,#N/A,FALSE,"Sales Graph";#N/A,#N/A,FALSE,"BUC Graph";#N/A,#N/A,FALSE,"P&amp;L - YTD"}</definedName>
    <definedName name="wrn.Other._.Pharm." localSheetId="5" hidden="1">{#N/A,#N/A,FALSE,"Other";#N/A,#N/A,FALSE,"Ace";#N/A,#N/A,FALSE,"Derm"}</definedName>
    <definedName name="wrn.p" localSheetId="5" hidden="1">{#N/A,#N/A,FALSE,"1";#N/A,#N/A,FALSE,"2";#N/A,#N/A,FALSE,"16 - 17";#N/A,#N/A,FALSE,"18 - 19";#N/A,#N/A,FALSE,"26";#N/A,#N/A,FALSE,"27";#N/A,#N/A,FALSE,"28"}</definedName>
    <definedName name="wrn.PARTNERS._.CAPITAL._.STMT." localSheetId="5" hidden="1">{"PARTNERS CAPITAL STMT",#N/A,FALSE,"Partners Capital"}</definedName>
    <definedName name="wrn.Pharm._.Market._.Report." localSheetId="5" hidden="1">{#N/A,#N/A,FALSE,"Sales Graph";#N/A,#N/A,FALSE,"PSBM";#N/A,#N/A,FALSE,"BUC Graph";#N/A,#N/A,FALSE,"P&amp;L - YTD"}</definedName>
    <definedName name="wrn.Pharmaceuticals." localSheetId="5"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LX." localSheetId="5" hidden="1">{"cred comp",#N/A,FALSE,"Comparable Credit Analysis";"IS",#N/A,FALSE,"IS";"Sensitivity",#N/A,FALSE,"Sensitivity";"BS",#N/A,FALSE,"BS";"Bond Summary",#N/A,FALSE,"B Summary";"AD",#N/A,FALSE,"Accretion";"NAV",#N/A,FALSE,"NAV";"SU",#N/A,FALSE,"S&amp;U";"acq. study",#N/A,FALSE,"Acq. Study";"F Charges",#N/A,FALSE,"Fixed Charges"}</definedName>
    <definedName name="wrn.ppp" localSheetId="5" hidden="1">{#N/A,#N/A,FALSE,"1";#N/A,#N/A,FALSE,"2";#N/A,#N/A,FALSE,"16 - 17";#N/A,#N/A,FALSE,"18 - 19";#N/A,#N/A,FALSE,"26";#N/A,#N/A,FALSE,"27";#N/A,#N/A,FALSE,"28"}</definedName>
    <definedName name="wrn.prin2._.all." localSheetId="5" hidden="1">{#N/A,#N/A,FALSE,"Pharm";#N/A,#N/A,FALSE,"WWCM"}</definedName>
    <definedName name="wrn.prin3" localSheetId="5" hidden="1">{#N/A,#N/A,FALSE,"Pharm";#N/A,#N/A,FALSE,"WWCM"}</definedName>
    <definedName name="wrn.print" localSheetId="5" hidden="1">{#N/A,#N/A,FALSE,"Pharm";#N/A,#N/A,FALSE,"WWCM"}</definedName>
    <definedName name="wrn.print." localSheetId="5" hidden="1">{#N/A,#N/A,FALSE,"Japan 2003";#N/A,#N/A,FALSE,"Sheet2"}</definedName>
    <definedName name="wrn.Print._.All." localSheetId="5" hidden="1">{"IS Years",#N/A,FALSE,"Income Statement";"IS Q96",#N/A,FALSE,"Income Statement";"IS Q97",#N/A,FALSE,"Income Statement";"Corporate",#N/A,FALSE,"Corporate Profile";"Netbacks",#N/A,FALSE,"Netbacks"}</definedName>
    <definedName name="wrn.PRINT._.ALL.2" localSheetId="5" hidden="1">{#N/A,#N/A,FALSE,"Pharm";#N/A,#N/A,FALSE,"WWCM"}</definedName>
    <definedName name="wrn.print._.all2" localSheetId="5" hidden="1">{#N/A,#N/A,FALSE,"Pharm";#N/A,#N/A,FALSE,"WWCM"}</definedName>
    <definedName name="wrn.print._.graphs." localSheetId="5" hidden="1">{"cap_structure",#N/A,FALSE,"Graph-Mkt Cap";"price",#N/A,FALSE,"Graph-Price";"ebit",#N/A,FALSE,"Graph-EBITDA";"ebitda",#N/A,FALSE,"Graph-EBITDA"}</definedName>
    <definedName name="wrn.Print._.PNL._.Download." localSheetId="5" hidden="1">{"PNLProjDL",#N/A,FALSE,"PROJCO";"PNLParDL",#N/A,FALSE,"Parent"}</definedName>
    <definedName name="wrn.print._.raw._.data._.entry." localSheetId="5" hidden="1">{"inputs raw data",#N/A,TRUE,"INPUT"}</definedName>
    <definedName name="wrn.print._.summary._.sheets." localSheetId="5" hidden="1">{"summary1",#N/A,TRUE,"Comps";"summary2",#N/A,TRUE,"Comps";"summary3",#N/A,TRUE,"Comps"}</definedName>
    <definedName name="wrn.print._all1." localSheetId="5" hidden="1">{#N/A,#N/A,FALSE,"Pharm";#N/A,#N/A,FALSE,"WWCM"}</definedName>
    <definedName name="wrn.Print_Buyer." localSheetId="5" hidden="1">{#N/A,"DR",FALSE,"increm pf";#N/A,"MAMSI",FALSE,"increm pf";#N/A,"MAXI",FALSE,"increm pf";#N/A,"PCAM",FALSE,"increm pf";#N/A,"PHSV",FALSE,"increm pf";#N/A,"SIE",FALSE,"increm pf"}</definedName>
    <definedName name="wrn.Print_Earnings_template." localSheetId="5" hidden="1">{"by_month",#N/A,TRUE,"template";"destec_month",#N/A,TRUE,"template";"by_quarter",#N/A,TRUE,"template";"destec_quarter",#N/A,TRUE,"template";"by_year",#N/A,TRUE,"template";"destec_annual",#N/A,TRUE,"template"}</definedName>
    <definedName name="wrn.Print_Target." localSheetId="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Var_page." localSheetId="5" hidden="1">{"var_page",#N/A,FALSE,"template"}</definedName>
    <definedName name="wrn.print_variance." localSheetId="5" hidden="1">{"var_report",#N/A,FALSE,"template"}</definedName>
    <definedName name="wrn.Print_Variance_Page." localSheetId="5" hidden="1">{"variance_page",#N/A,FALSE,"template"}</definedName>
    <definedName name="wrn.print2" localSheetId="5" hidden="1">{#N/A,#N/A,FALSE,"Pharm";#N/A,#N/A,FALSE,"WWCM"}</definedName>
    <definedName name="wrn.PrintAll." localSheetId="5" hidden="1">{"PA1",#N/A,TRUE,"BORDMW";"pa2",#N/A,TRUE,"BORDMW";"PA3",#N/A,TRUE,"BORDMW";"PA4",#N/A,TRUE,"BORDMW"}</definedName>
    <definedName name="wrn.products" localSheetId="5" hidden="1">{#N/A,#N/A,FALSE,"1";#N/A,#N/A,FALSE,"2";#N/A,#N/A,FALSE,"16 - 17";#N/A,#N/A,FALSE,"18 - 19";#N/A,#N/A,FALSE,"26";#N/A,#N/A,FALSE,"27";#N/A,#N/A,FALSE,"28"}</definedName>
    <definedName name="wrn.Products." localSheetId="5" hidden="1">{#N/A,#N/A,FALSE,"1";#N/A,#N/A,FALSE,"2";#N/A,#N/A,FALSE,"16 - 17";#N/A,#N/A,FALSE,"18 - 19";#N/A,#N/A,FALSE,"26";#N/A,#N/A,FALSE,"27";#N/A,#N/A,FALSE,"28"}</definedName>
    <definedName name="wrn.Project._.Summary." localSheetId="5" hidden="1">{"Summary",#N/A,FALSE,"MICMULT";"Income Statement",#N/A,FALSE,"MICMULT";"Cash Flows",#N/A,FALSE,"MICMULT"}</definedName>
    <definedName name="wrn.pror" localSheetId="5" hidden="1">{#N/A,#N/A,FALSE,"Pharm";#N/A,#N/A,FALSE,"WWCM"}</definedName>
    <definedName name="wrn.Pulp." localSheetId="5" hidden="1">{"Pulp Production",#N/A,FALSE,"Pulp";"Pulp Earnings",#N/A,FALSE,"Pulp"}</definedName>
    <definedName name="wrn.qtrly._.PL._.summary._.FY01._.to._.FY03." localSheetId="5" hidden="1">{"qtrly summ-FY01",#N/A,FALSE,"P &amp; L";"qtrly summ-FY02",#N/A,FALSE,"P &amp; L";"qtrly summ-FY03",#N/A,FALSE,"P &amp; L"}</definedName>
    <definedName name="wrn.Ratios." localSheetId="5" hidden="1">{"Ratios",#N/A,FALSE,"Ratios"}</definedName>
    <definedName name="wrn.Recovery." localSheetId="5" hidden="1">{#N/A,#N/A,FALSE,"COVER";#N/A,#N/A,FALSE,"Index";#N/A,#N/A,FALSE,"Summ_Products_Rec.97-98";#N/A,#N/A,FALSE,"QTR_Comp.";#N/A,#N/A,FALSE,"Summ_Detail_Rec.97-98";#N/A,#N/A,FALSE,"Summ_Agencies_Rec.97-98"}</definedName>
    <definedName name="wrn.red_take." localSheetId="5" hidden="1">{"red_take_pg1",#N/A,FALSE,"reduced_take";"red_take_pg2",#N/A,FALSE,"reduced_take";"red_take_pg3",#N/A,FALSE,"reduced_take";"red_take_pg4",#N/A,FALSE,"reduced_take";"red_take_pg5",#N/A,FALSE,"reduced_take";"red_take_pg6",#N/A,FALSE,"reduced_take"}</definedName>
    <definedName name="wrn.report" localSheetId="5"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5" hidden="1">{#N/A,#N/A,FALSE,"COVER";#N/A,#N/A,FALSE,"RATIOS";#N/A,#N/A,FALSE,"LEVERAGE";#N/A,#N/A,FALSE,"TIER-1";#N/A,#N/A,FALSE,"RISK BASED ASSETS";#N/A,#N/A,FALSE,"TIER-2"}</definedName>
    <definedName name="wrn.Report1." localSheetId="5" hidden="1">{#N/A,#N/A,FALSE,"IS";#N/A,#N/A,FALSE,"BS";#N/A,#N/A,FALSE,"CF";#N/A,#N/A,FALSE,"CE";#N/A,#N/A,FALSE,"Depr";#N/A,#N/A,FALSE,"APAL"}</definedName>
    <definedName name="wrn.Roll._.Up._.Fields." localSheetId="5" hidden="1">{"Total",#N/A,FALSE,"Six Fields";"PDP",#N/A,FALSE,"Six Fields";"PNP",#N/A,FALSE,"Six Fields";"PUD",#N/A,FALSE,"Six Fields";"Prob",#N/A,FALSE,"Six Fields"}</definedName>
    <definedName name="wrn.sales." localSheetId="5" hidden="1">{"sales",#N/A,FALSE,"Sales";"sales existing",#N/A,FALSE,"Sales";"sales rd1",#N/A,FALSE,"Sales";"sales rd2",#N/A,FALSE,"Sales"}</definedName>
    <definedName name="wrn.Sell._.AC._.Scenarios." localSheetId="5" hidden="1">{#N/A,"Mine Allocated, Sell AC",FALSE,"INPUTS";#N/A,"All Preferred, Sell AC",FALSE,"INPUTS";#N/A,"Step Up, Sell AC",FALSE,"INPUTS"}</definedName>
    <definedName name="wrn.SemiCap." localSheetId="5" hidden="1">{#N/A,#N/A,FALSE,"from high";#N/A,#N/A,FALSE,"from low";#N/A,#N/A,FALSE,"Market Cap";#N/A,#N/A,FALSE,"Alpha"}</definedName>
    <definedName name="wrn.Set." localSheetId="5" hidden="1">{#N/A,#N/A,FALSE,"High";#N/A,#N/A,FALSE,"Low";#N/A,#N/A,FALSE,"MarketCap";#N/A,#N/A,FALSE,"Alpha"}</definedName>
    <definedName name="wrn.SJE_NBR_1_Job." localSheetId="5" hidden="1">{"SJE_#1A",#N/A,FALSE,"SJE1A";"Payroll_Summary_Report",#N/A,FALSE,"Summary";"SJE_#1B",#N/A,FALSE,"SJE1B";"WC_Grouping",#N/A,FALSE,"WC Payroll"}</definedName>
    <definedName name="wrn.SJE11_Print_Job." localSheetId="5" hidden="1">{"SJE #11",#N/A,FALSE,"Sheet1"}</definedName>
    <definedName name="wrn.SJE12_PRINT_JOB." localSheetId="5" hidden="1">{"SJE#12",#N/A,FALSE,"Sheet1"}</definedName>
    <definedName name="wrn.SJE2_PRINTJOB." localSheetId="5" hidden="1">{"TAX_CALCULATION",#N/A,FALSE,"Accrual Calc";"SJE#2A",#N/A,FALSE,"Accrual GJE";"SJE#2B",#N/A,FALSE,"Reversal GJE"}</definedName>
    <definedName name="wrn.sje22." localSheetId="5" hidden="1">{"sje #22",#N/A,FALSE,"SJE #22";"calc",#N/A,FALSE,"CALC"}</definedName>
    <definedName name="wrn.SJE3_Print_Job." localSheetId="5" hidden="1">{"Accrual_Calc",#N/A,FALSE,"JE DETAIL";"SJE#3A",#N/A,FALSE,"JE DETAIL";"SJE#3B",#N/A,FALSE,"JE DETAIL"}</definedName>
    <definedName name="wrn.SJE4_PRINT_JOB." localSheetId="5" hidden="1">{"sje#4",#N/A,FALSE,"Sheet1"}</definedName>
    <definedName name="wrn.SJE4A_PRINT_JOB." localSheetId="5" hidden="1">{"SJE#4A",#N/A,FALSE,"Sheet1"}</definedName>
    <definedName name="wrn.SJE5_PRINT_JOB." localSheetId="5" hidden="1">{"SJE#5",#N/A,FALSE,"Sheet1"}</definedName>
    <definedName name="wrn.Staffing." localSheetId="5" hidden="1">{#N/A,#N/A,TRUE,"Development Personnel";#N/A,#N/A,TRUE,"Customer Service Personnel";#N/A,#N/A,TRUE,"Customer Service Personnel";#N/A,#N/A,TRUE,"Marketing Personnel";#N/A,#N/A,TRUE,"Technical Services Personnel";#N/A,#N/A,TRUE,"IS Personnel";#N/A,#N/A,TRUE,"Customer Support Personnel";#N/A,#N/A,TRUE,"spEDIcenter Personnel";#N/A,#N/A,TRUE,"Sales Personnel";#N/A,#N/A,TRUE,"International Personnel";#N/A,#N/A,TRUE,"G&amp;A Personnel"}</definedName>
    <definedName name="wrn.STAND_ALONE_BOTH." localSheetId="5" hidden="1">{"FCB_ALL",#N/A,FALSE,"FCB";"GREY_ALL",#N/A,FALSE,"GREY"}</definedName>
    <definedName name="wrn.STMT._.OF._.CASH._.FLOWS." localSheetId="5" hidden="1">{"STMT OF CASH FLOWS",#N/A,FALSE,"Cash Flows Indirect"}</definedName>
    <definedName name="wrn.Structure." localSheetId="5" hidden="1">{#N/A,#N/A,FALSE,"Structure";#N/A,#N/A,FALSE,"Proj-Cal";#N/A,#N/A,FALSE,"Market"}</definedName>
    <definedName name="wrn.Subject._.Worksheet." localSheetId="5" hidden="1">{"Balance Sheets",#N/A,FALSE,"Subject";"Income Statements - As Reported",#N/A,FALSE,"Subject";"Income Statements - Adjusted",#N/A,FALSE,"Subject";"Ratios",#N/A,FALSE,"Subject";"Representative Earnings",#N/A,FALSE,"Subject"}</definedName>
    <definedName name="wrn.summ4." localSheetId="5" hidden="1">{#N/A,#N/A,FALSE,"summ";#N/A,#N/A,FALSE,"q1";#N/A,#N/A,FALSE,"summ_alt";#N/A,#N/A,FALSE,"stock_nozero";#N/A,#N/A,FALSE,"1995"}</definedName>
    <definedName name="wrn.Summary." localSheetId="5" hidden="1">{"Sum1",#N/A,FALSE,"Reserve Report";"Sum2",#N/A,FALSE,"Reserve Report";"Sum3",#N/A,FALSE,"Reserve Report";"Sum4",#N/A,FALSE,"Reserve Report"}</definedName>
    <definedName name="wrn.Summary._.Financials." localSheetId="5" hidden="1">{"Balance Sheet",#N/A,FALSE,"Annual Summary";"Cashflows",#N/A,FALSE,"Annual Summary";"Summary Earnings",#N/A,FALSE,"Annual Summary"}</definedName>
    <definedName name="wrn.SUPP_SCHD." localSheetId="5" hidden="1">{#N/A,#N/A,TRUE,"A";#N/A,#N/A,TRUE,"B";#N/A,#N/A,TRUE,"C";#N/A,#N/A,TRUE,"D";#N/A,#N/A,TRUE,"E"}</definedName>
    <definedName name="wrn.Support." localSheetId="5" hidden="1">{#N/A,#N/A,FALSE,"TRIAL INPUT";#N/A,#N/A,FALSE,"AVG INPUT COPY";#N/A,#N/A,FALSE,"INVESTMENTS_INPUT"}</definedName>
    <definedName name="wrn.Tables._.and._.Support." localSheetId="5" hidden="1">{#N/A,#N/A,FALSE,"TABLE_1 YTD";#N/A,#N/A,FALSE,"TABLE_1A QTD";#N/A,#N/A,FALSE,"NORMAL_SPREAD_QTD";#N/A,#N/A,FALSE,"NORMAL_SPREAD_YTD";#N/A,#N/A,FALSE,"TAX_EQV";#N/A,#N/A,FALSE,"TAX EQUIV_INPUT";#N/A,#N/A,FALSE,"NET FROM FER";#N/A,#N/A,FALSE,"COVER"}</definedName>
    <definedName name="wrn.TB._.ALL._.ACCTS." localSheetId="5" hidden="1">{"BALANCE SHEET ACCTS",#N/A,TRUE,"Working Trial Balance";"INCOME STMT ACCTS",#N/A,TRUE,"Working Trial Balance"}</definedName>
    <definedName name="wrn.TB._.BALANCE._.SHEET." localSheetId="5" hidden="1">{"BALANCE SHEET ACCTS",#N/A,FALSE,"Working Trial Balance"}</definedName>
    <definedName name="wrn.TB._.EXPLANATIONS." localSheetId="5" hidden="1">{"EXPLANATIONS",#N/A,FALSE,"Working Trial Balance"}</definedName>
    <definedName name="wrn.TB._.INCOME._.STMT." localSheetId="5" hidden="1">{"INCOME STMT ACCTS",#N/A,FALSE,"Working Trial Balance"}</definedName>
    <definedName name="wrn.test1." localSheetId="5" hidden="1">{"Income Statement",#N/A,FALSE,"CFMODEL";"Balance Sheet",#N/A,FALSE,"CFMODEL"}</definedName>
    <definedName name="wrn.test2." localSheetId="5" hidden="1">{"SourcesUses",#N/A,TRUE,"CFMODEL";"TransOverview",#N/A,TRUE,"CFMODEL"}</definedName>
    <definedName name="wrn.test3." localSheetId="5" hidden="1">{"SourcesUses",#N/A,TRUE,#N/A;"TransOverview",#N/A,TRUE,"CFMODEL"}</definedName>
    <definedName name="wrn.test4." localSheetId="5" hidden="1">{"SourcesUses",#N/A,TRUE,"FundsFlow";"TransOverview",#N/A,TRUE,"FundsFlow"}</definedName>
    <definedName name="wrn.TheWholeEnchilada." localSheetId="5" hidden="1">{"CSheet",#N/A,FALSE,"C";"SmCap",#N/A,FALSE,"VAL1";"GulfCoast",#N/A,FALSE,"VAL1";"nav",#N/A,FALSE,"NAV";"Summary",#N/A,FALSE,"NAV"}</definedName>
    <definedName name="wrn.Total._.Business." localSheetId="5"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Market._.Report." localSheetId="5" hidden="1">{#N/A,#N/A,FALSE,"Sales Graph";#N/A,#N/A,FALSE,"BUC Graph";#N/A,#N/A,FALSE,"P&amp;L - YTD"}</definedName>
    <definedName name="wrn.Total._.Proved." localSheetId="5" hidden="1">{"Total",#N/A,FALSE,"Total Proved";"PDP",#N/A,FALSE,"Total Proved";"PNP",#N/A,FALSE,"Total Proved";"PUD",#N/A,FALSE,"Total Proved"}</definedName>
    <definedName name="wrn.Total._.Proved._.plus._.Probable." localSheetId="5" hidden="1">{"Total",#N/A,FALSE,"Total Proved + Probable";"PDP",#N/A,FALSE,"Total Proved + Probable";"PNP",#N/A,FALSE,"Total Proved + Probable";"PUD",#N/A,FALSE,"Total Proved + Probable";"Prob",#N/A,FALSE,"Total Proved + Probable"}</definedName>
    <definedName name="wrn.Tout._.Sauf._.BG." localSheetId="5"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VALUATION." localSheetId="5" hidden="1">{#N/A,#N/A,FALSE,"Valuation Assumptions";#N/A,#N/A,FALSE,"Summary";#N/A,#N/A,FALSE,"DCF";#N/A,#N/A,FALSE,"Valuation";#N/A,#N/A,FALSE,"WACC";#N/A,#N/A,FALSE,"UBVH";#N/A,#N/A,FALSE,"Free Cash Flow"}</definedName>
    <definedName name="wrn.Wacc." localSheetId="5" hidden="1">{"Area1",#N/A,FALSE,"OREWACC";"Area2",#N/A,FALSE,"OREWACC"}</definedName>
    <definedName name="wrn2.All." localSheetId="5" hidden="1">{#N/A,#N/A,FALSE,"Structure";#N/A,#N/A,FALSE,"Shares";#N/A,#N/A,FALSE,"Market";#N/A,#N/A,FALSE,"Proj-Cal";#N/A,#N/A,FALSE,"Margins - GrossR&amp;D";#N/A,#N/A,FALSE,"Margins - sg&amp;a";#N/A,#N/A,FALSE,"Margins - Oper-net";#N/A,#N/A,FALSE,"Rev Grwth";#N/A,#N/A,FALSE,"Op Inc Grwth";#N/A,#N/A,FALSE,"Net Grwth";#N/A,#N/A,FALSE,"EPS Growth";#N/A,#N/A,FALSE,"Balance";#N/A,#N/A,FALSE,"TDFX";#N/A,#N/A,FALSE,"CUBE";#N/A,#N/A,FALSE,"TDDDF";#N/A,#N/A,FALSE,"DIMD";#N/A,#N/A,FALSE,"ELNT";#N/A,#N/A,FALSE,"ZRAN";#N/A,#N/A,FALSE,"FDJA";#N/A,#N/A,FALSE,"GNMC"}</definedName>
    <definedName name="wrna.prod" localSheetId="5" hidden="1">{#N/A,#N/A,FALSE,"1";#N/A,#N/A,FALSE,"2";#N/A,#N/A,FALSE,"16 - 17";#N/A,#N/A,FALSE,"18 - 19";#N/A,#N/A,FALSE,"26";#N/A,#N/A,FALSE,"27";#N/A,#N/A,FALSE,"28"}</definedName>
    <definedName name="WRR" localSheetId="5" hidden="1">{#N/A,#N/A,FALSE,"Pharm";#N/A,#N/A,FALSE,"WWCM"}</definedName>
    <definedName name="wrrrrr" localSheetId="5" hidden="1">{#N/A,#N/A,FALSE,"REPORT"}</definedName>
    <definedName name="wv" localSheetId="5" hidden="1">{#N/A,#N/A,FALSE,"Pharm";#N/A,#N/A,FALSE,"WWCM"}</definedName>
    <definedName name="wvu.inputs._.raw._.data."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 localSheetId="5" hidden="1">{#N/A,#N/A,FALSE,"Pharm";#N/A,#N/A,FALSE,"WWCM"}</definedName>
    <definedName name="www" localSheetId="5" hidden="1">{#N/A,#N/A,TRUE,"BUD VS ACT AUST 96";#N/A,#N/A,TRUE,"96 COMP P&amp;L-AUST";#N/A,#N/A,TRUE,"COMP BS-AUSTRALIA";#N/A,#N/A,TRUE,"B/S - AUSTR."}</definedName>
    <definedName name="wwww" localSheetId="5" hidden="1">{#N/A,#N/A,TRUE,"BUD VS ACT AUST 96";#N/A,#N/A,TRUE,"96 COMP P&amp;L-AUST";#N/A,#N/A,TRUE,"COMP BS-AUSTRALIA";#N/A,#N/A,TRUE,"B/S - AUSTR."}</definedName>
    <definedName name="wx" localSheetId="5" hidden="1">{#N/A,#N/A,FALSE,"Pharm";#N/A,#N/A,FALSE,"WWCM"}</definedName>
    <definedName name="x" localSheetId="5" hidden="1">#REF!</definedName>
    <definedName name="xc" localSheetId="5"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xcv" localSheetId="5" hidden="1">{#N/A,#N/A,FALSE,"Pharm";#N/A,#N/A,FALSE,"WWCM"}</definedName>
    <definedName name="xjey1" localSheetId="5" hidden="1">#REF!</definedName>
    <definedName name="xsort2" localSheetId="5" hidden="1">#REF!</definedName>
    <definedName name="xx" localSheetId="5" hidden="1">{#N/A,#N/A,FALSE,"REPORT"}</definedName>
    <definedName name="xxx" localSheetId="5" hidden="1">{#N/A,#N/A,TRUE,"BUD VS ACT AUST 96";#N/A,#N/A,TRUE,"96 COMP P&amp;L-AUST";#N/A,#N/A,TRUE,"COMP BS-AUSTRALIA";#N/A,#N/A,TRUE,"B/S - AUSTR."}</definedName>
    <definedName name="xxxxx" localSheetId="5" hidden="1">{#N/A,#N/A,FALSE,"Pharm";#N/A,#N/A,FALSE,"WWCM"}</definedName>
    <definedName name="xyz" localSheetId="5" hidden="1">{#N/A,#N/A,TRUE,"Total";#N/A,#N/A,TRUE,"U.S. Devl.";#N/A,#N/A,TRUE,"U.S. Headcount"}</definedName>
    <definedName name="y" localSheetId="5" hidden="1">{#N/A,#N/A,FALSE,"Pharm";#N/A,#N/A,FALSE,"WWCM"}</definedName>
    <definedName name="Year1_plan" localSheetId="5">#REF!</definedName>
    <definedName name="Year2_plan" localSheetId="5">#REF!</definedName>
    <definedName name="yes" localSheetId="5" hidden="1">{#N/A,#N/A,FALSE,"Admin";#N/A,#N/A,FALSE,"Other"}</definedName>
    <definedName name="YTY" localSheetId="5" hidden="1">{#N/A,#N/A,FALSE,"TABLE_1 YTD";#N/A,#N/A,FALSE,"TABLE_1A QTD";#N/A,#N/A,FALSE,"NORMAL_SPREAD_QTD";#N/A,#N/A,FALSE,"NORMAL_SPREAD_YTD";#N/A,#N/A,FALSE,"TAX_EQV";#N/A,#N/A,FALSE,"TAX EQUIV_INPUT";#N/A,#N/A,FALSE,"NET FROM FER";#N/A,#N/A,FALSE,"COVER"}</definedName>
    <definedName name="yy" localSheetId="5" hidden="1">{#N/A,#N/A,FALSE,"COVER";#N/A,#N/A,FALSE,"Index";#N/A,#N/A,FALSE,"Summ_Products_Rec.97-98";#N/A,#N/A,FALSE,"QTR_Comp.";#N/A,#N/A,FALSE,"Summ_Detail_Rec.97-98";#N/A,#N/A,FALSE,"Summ_Agencies_Rec.97-98"}</definedName>
    <definedName name="yyy" localSheetId="5" hidden="1">{#N/A,#N/A,FALSE,"Other";#N/A,#N/A,FALSE,"Ace";#N/A,#N/A,FALSE,"Derm"}</definedName>
    <definedName name="z" localSheetId="5" hidden="1">{"CSheet",#N/A,FALSE,"C";"SmCap",#N/A,FALSE,"VAL1";"GulfCoast",#N/A,FALSE,"VAL1";"nav",#N/A,FALSE,"NAV";"Summary",#N/A,FALSE,"NAV"}</definedName>
    <definedName name="Z_24BF9755_66DA_11D4_A31E_00C0F0154575_.wvu.PrintArea" localSheetId="5" hidden="1">#REF!</definedName>
    <definedName name="Z_24BF9755_66DA_11D4_A31E_00C0F0154575_.wvu.PrintTitles" localSheetId="5" hidden="1">#REF!</definedName>
    <definedName name="Z_4FA7459B_7D59_11D3_B819_444553540000_.wvu.Cols" localSheetId="5" hidden="1">#REF!,#REF!</definedName>
    <definedName name="Z_4FA7459B_7D59_11D3_B819_444553540000_.wvu.Rows" localSheetId="5" hidden="1">#REF!</definedName>
    <definedName name="Z_603CDB61_4585_11D3_9E2C_00105AA4333D_.wvu.PrintArea" localSheetId="5" hidden="1">#REF!</definedName>
    <definedName name="Z_603CDB63_4585_11D3_9E2C_00105AA4333D_.wvu.PrintArea" localSheetId="5" hidden="1">#REF!</definedName>
    <definedName name="Z_603CDB64_4585_11D3_9E2C_00105AA4333D_.wvu.PrintArea" localSheetId="5" hidden="1">#REF!</definedName>
    <definedName name="Z_603CDB66_4585_11D3_9E2C_00105AA4333D_.wvu.PrintArea" localSheetId="5" hidden="1">#REF!</definedName>
    <definedName name="Z_6DFA7DCF_3C08_11D1_BDBE_0020AF42250B_.wvu.PrintArea" localSheetId="5" hidden="1">#REF!</definedName>
    <definedName name="Z_6DFA7DCF_3C08_11D1_BDBE_0020AF42250B_.wvu.PrintTitles" localSheetId="5" hidden="1">#REF!</definedName>
    <definedName name="Z_6DFA7DD9_3C08_11D1_BDBE_0020AF42250B_.wvu.PrintTitles" localSheetId="5" hidden="1">#REF!</definedName>
    <definedName name="Z_6DFA7DDA_3C08_11D1_BDBE_0020AF42250B_.wvu.PrintArea" localSheetId="5" hidden="1">#REF!</definedName>
    <definedName name="Z_6DFA7DDA_3C08_11D1_BDBE_0020AF42250B_.wvu.PrintTitles" localSheetId="5" hidden="1">#REF!</definedName>
    <definedName name="Z_6DFA7DDC_3C08_11D1_BDBE_0020AF42250B_.wvu.PrintArea" localSheetId="5" hidden="1">#REF!</definedName>
    <definedName name="Z_6DFA7DDC_3C08_11D1_BDBE_0020AF42250B_.wvu.PrintTitles" localSheetId="5" hidden="1">#REF!</definedName>
    <definedName name="Z_6DFA7DDD_3C08_11D1_BDBE_0020AF42250B_.wvu.PrintArea" localSheetId="5" hidden="1">#REF!</definedName>
    <definedName name="Z_6DFA7DDD_3C08_11D1_BDBE_0020AF42250B_.wvu.PrintTitles" localSheetId="5" hidden="1">#REF!</definedName>
    <definedName name="Z_6DFA7DDE_3C08_11D1_BDBE_0020AF42250B_.wvu.PrintArea" localSheetId="5" hidden="1">#REF!</definedName>
    <definedName name="Z_6DFA7DDE_3C08_11D1_BDBE_0020AF42250B_.wvu.PrintTitles" localSheetId="5" hidden="1">#REF!</definedName>
    <definedName name="Z_6DFA7DDF_3C08_11D1_BDBE_0020AF42250B_.wvu.PrintArea" localSheetId="5" hidden="1">#REF!</definedName>
    <definedName name="Z_6DFA7DDF_3C08_11D1_BDBE_0020AF42250B_.wvu.PrintTitles" localSheetId="5" hidden="1">#REF!</definedName>
    <definedName name="Z_6DFA7DE0_3C08_11D1_BDBE_0020AF42250B_.wvu.PrintArea" localSheetId="5" hidden="1">#REF!</definedName>
    <definedName name="Z_6DFA7DE0_3C08_11D1_BDBE_0020AF42250B_.wvu.PrintTitles" localSheetId="5" hidden="1">#REF!</definedName>
    <definedName name="Z_6DFA7DE5_3C08_11D1_BDBE_0020AF42250B_.wvu.PrintTitles" localSheetId="5" hidden="1">#REF!</definedName>
    <definedName name="Z_6DFA7DE6_3C08_11D1_BDBE_0020AF42250B_.wvu.PrintArea" localSheetId="5" hidden="1">#REF!</definedName>
    <definedName name="Z_6DFA7DE6_3C08_11D1_BDBE_0020AF42250B_.wvu.PrintTitles" localSheetId="5" hidden="1">#REF!</definedName>
    <definedName name="Z_702CE201_67EF_11D2_8E81_00104BCAECA1_.wvu.PrintTitles" localSheetId="5" hidden="1">#REF!,#REF!</definedName>
    <definedName name="Z_870DA93B_C7EC_11D1_935A_00A0C95F1362_.wvu.PrintArea" localSheetId="5" hidden="1">#REF!</definedName>
    <definedName name="Z_995DB91B_DC87_11D2_BCA9_00C04F8BBE86_.wvu.PrintArea" localSheetId="5" hidden="1">#REF!</definedName>
    <definedName name="Z_995DB91E_DC87_11D2_BCA9_00C04F8BBE86_.wvu.PrintArea" localSheetId="5" hidden="1">#REF!</definedName>
    <definedName name="Z_995DB91F_DC87_11D2_BCA9_00C04F8BBE86_.wvu.PrintArea" localSheetId="5" hidden="1">#REF!</definedName>
    <definedName name="Z_9AB6DE14_D22E_11D2_A1DB_00105AA4333D_.wvu.PrintArea" localSheetId="5" hidden="1">#REF!</definedName>
    <definedName name="Z_9AB6DE16_D22E_11D2_A1DB_00105AA4333D_.wvu.PrintArea" localSheetId="5" hidden="1">#REF!</definedName>
    <definedName name="Z_9AB6DE17_D22E_11D2_A1DB_00105AA4333D_.wvu.PrintArea" localSheetId="5" hidden="1">#REF!</definedName>
    <definedName name="Z_9AB6DE19_D22E_11D2_A1DB_00105AA4333D_.wvu.PrintArea" localSheetId="5" hidden="1">#REF!</definedName>
    <definedName name="Z_9AB6DE4D_D22E_11D2_A1DB_00105AA4333D_.wvu.PrintArea" localSheetId="5" hidden="1">#REF!</definedName>
    <definedName name="Z_9AB6DE4F_D22E_11D2_A1DB_00105AA4333D_.wvu.PrintArea" localSheetId="5" hidden="1">#REF!</definedName>
    <definedName name="Z_9AB6DE50_D22E_11D2_A1DB_00105AA4333D_.wvu.PrintArea" localSheetId="5" hidden="1">#REF!</definedName>
    <definedName name="Z_9AB6DE52_D22E_11D2_A1DB_00105AA4333D_.wvu.PrintArea" localSheetId="5" hidden="1">#REF!</definedName>
    <definedName name="Z_B21BDB45_3C17_11D2_913A_00A024D72BFF_.wvu.PrintArea" localSheetId="5" hidden="1">#REF!</definedName>
    <definedName name="Z_B21BDB45_3C17_11D2_913A_00A024D72BFF_.wvu.PrintTitles" localSheetId="5" hidden="1">#REF!,#REF!</definedName>
    <definedName name="Z_B21BDB46_3C17_11D2_913A_00A024D72BFF_.wvu.PrintArea" localSheetId="5" hidden="1">#REF!</definedName>
    <definedName name="Z_B21BDB46_3C17_11D2_913A_00A024D72BFF_.wvu.PrintTitles" localSheetId="5" hidden="1">#REF!,#REF!</definedName>
    <definedName name="Z_B21BDBC3_3C17_11D2_913A_00A024D72BFF_.wvu.PrintArea" localSheetId="5" hidden="1">#REF!</definedName>
    <definedName name="Z_B21BDBC3_3C17_11D2_913A_00A024D72BFF_.wvu.PrintTitles" localSheetId="5" hidden="1">#REF!,#REF!</definedName>
    <definedName name="Z_B21BDBC4_3C17_11D2_913A_00A024D72BFF_.wvu.PrintArea" localSheetId="5" hidden="1">#REF!</definedName>
    <definedName name="Z_B21BDBC4_3C17_11D2_913A_00A024D72BFF_.wvu.PrintTitles" localSheetId="5" hidden="1">#REF!,#REF!</definedName>
    <definedName name="Z_C229C740_74EF_11D3_8C05_00105AA43A7F_.wvu.Cols" localSheetId="5" hidden="1">#REF!</definedName>
    <definedName name="Z_C229C740_74EF_11D3_8C05_00105AA43A7F_.wvu.PrintArea" localSheetId="5" hidden="1">#REF!</definedName>
    <definedName name="Z_C229C740_74EF_11D3_8C05_00105AA43A7F_.wvu.PrintTitles" localSheetId="5" hidden="1">#REF!,#REF!</definedName>
    <definedName name="Z_C229C740_74EF_11D3_8C05_00105AA43A7F_.wvu.Rows" localSheetId="5" hidden="1">#REF!,#REF!,#REF!,#REF!,#REF!,#REF!,#REF!,#REF!,#REF!,#REF!,#REF!,#REF!,#REF!,#REF!,#REF!,#REF!,#REF!,#REF!,#REF!,#REF!,#REF!,#REF!,#REF!,#REF!,#REF!,#REF!,#REF!,#REF!,#REF!,#REF!,#REF!,#REF!,#REF!,#REF!,#REF!,#REF!,#REF!,#REF!,#REF!,#REF!,#REF!,#REF!,#REF!,#REF!,#REF!,#REF!,#REF!,#REF!,#REF!,#REF!,#REF!,#REF!,#REF!,#REF!</definedName>
    <definedName name="Z_D774FBF2_C14B_4E8C_A09D_6327FECC4D99_.wvu.Cols" localSheetId="5" hidden="1">#REF!</definedName>
    <definedName name="zhu" localSheetId="5" hidden="1">{#N/A,#N/A,FALSE,"REPORT"}</definedName>
    <definedName name="zhutr" localSheetId="5" hidden="1">{#N/A,#N/A,FALSE,"REPORT"}</definedName>
    <definedName name="ZSZ" localSheetId="5"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y" localSheetId="5" hidden="1">{#N/A,#N/A,TRUE,"BUD VS ACT AUST 96";#N/A,#N/A,TRUE,"96 COMP P&amp;L-AUST";#N/A,#N/A,TRUE,"COMP BS-AUSTRALIA";#N/A,#N/A,TRUE,"B/S - AUSTR."}</definedName>
    <definedName name="zza4pg" localSheetId="5" hidden="1">{#N/A,#N/A,FALSE,"REPORT"}</definedName>
    <definedName name="zzee" localSheetId="5" hidden="1">{#N/A,#N/A,FALSE,"Pharm";#N/A,#N/A,FALSE,"WWCM"}</definedName>
    <definedName name="zzzz" localSheetId="5" hidden="1">{#N/A,#N/A,FALSE,"COMP BS-FRANCE";#N/A,#N/A,FALSE,"96 COMP P&amp;L-FRANCE";#N/A,#N/A,FALSE,"BUD VS ACT FRAN 96";#N/A,#N/A,FALSE,"B/S - FRANCE"}</definedName>
    <definedName name="zzzzz" localSheetId="5" hidden="1">{#N/A,#N/A,FALSE,"REPORT"}</definedName>
    <definedName name="고" localSheetId="5" hidden="1">{#N/A,#N/A,FALSE,"REPORT"}</definedName>
    <definedName name="ㄶㅇ노ㅗㄶ호" localSheetId="5" hidden="1">{#N/A,#N/A,FALSE,"REPORT"}</definedName>
    <definedName name="미애" localSheetId="5" hidden="1">{#N/A,#N/A,FALSE,"REPORT"}</definedName>
    <definedName name="_xlnm.Print_Area" localSheetId="5">'IV. EBITDA Adjustments'!$B$3:$Q$80</definedName>
    <definedName name="_xlnm.Print_Area" localSheetId="6">'V. Comparables'!$B$1:$P$56</definedName>
    <definedName name="____________________________ww2" localSheetId="7" hidden="1">{#N/A,#N/A,FALSE,"Admin";#N/A,#N/A,FALSE,"Other"}</definedName>
    <definedName name="______________ww2" localSheetId="7" hidden="1">{#N/A,#N/A,FALSE,"Admin";#N/A,#N/A,FALSE,"Other"}</definedName>
    <definedName name="_____________ww2" localSheetId="7" hidden="1">{#N/A,#N/A,FALSE,"Admin";#N/A,#N/A,FALSE,"Other"}</definedName>
    <definedName name="____________ww2" localSheetId="7" hidden="1">{#N/A,#N/A,FALSE,"Admin";#N/A,#N/A,FALSE,"Other"}</definedName>
    <definedName name="___________ww2" localSheetId="7" hidden="1">{#N/A,#N/A,FALSE,"Admin";#N/A,#N/A,FALSE,"Other"}</definedName>
    <definedName name="__________ww2" localSheetId="7" hidden="1">{#N/A,#N/A,FALSE,"Admin";#N/A,#N/A,FALSE,"Other"}</definedName>
    <definedName name="_________ww2" localSheetId="7" hidden="1">{#N/A,#N/A,FALSE,"Admin";#N/A,#N/A,FALSE,"Other"}</definedName>
    <definedName name="________ww2" localSheetId="7" hidden="1">{#N/A,#N/A,FALSE,"Admin";#N/A,#N/A,FALSE,"Other"}</definedName>
    <definedName name="_______ww2" localSheetId="7" hidden="1">{#N/A,#N/A,FALSE,"Admin";#N/A,#N/A,FALSE,"Other"}</definedName>
    <definedName name="______ww2" localSheetId="7" hidden="1">{#N/A,#N/A,FALSE,"Admin";#N/A,#N/A,FALSE,"Other"}</definedName>
    <definedName name="_____ww2" localSheetId="7" hidden="1">{#N/A,#N/A,FALSE,"Admin";#N/A,#N/A,FALSE,"Other"}</definedName>
    <definedName name="____ww2" localSheetId="7" hidden="1">{#N/A,#N/A,FALSE,"Admin";#N/A,#N/A,FALSE,"Other"}</definedName>
    <definedName name="___ww2" localSheetId="7" hidden="1">{#N/A,#N/A,FALSE,"Admin";#N/A,#N/A,FALSE,"Other"}</definedName>
    <definedName name="__123Graph_C" localSheetId="7" hidden="1">#REF!</definedName>
    <definedName name="__123Graph_D" localSheetId="7" hidden="1">#REF!</definedName>
    <definedName name="__123Graph_E" localSheetId="7" hidden="1">#REF!</definedName>
    <definedName name="__123Graph_F" localSheetId="7" hidden="1">#REF!</definedName>
    <definedName name="__4__123Graph_ACHART_1" localSheetId="7" hidden="1">#REF!</definedName>
    <definedName name="__7__123Graph_ACHART_1" localSheetId="7" hidden="1">#REF!</definedName>
    <definedName name="__a1" localSheetId="7" hidden="1">{#N/A,#N/A,FALSE,"Pharm";#N/A,#N/A,FALSE,"WWCM"}</definedName>
    <definedName name="__A11" localSheetId="7" hidden="1">{#N/A,#N/A,FALSE,"Umsatz 99";#N/A,#N/A,FALSE,"ER 99 "}</definedName>
    <definedName name="__aaa1" localSheetId="7" hidden="1">{#N/A,#N/A,FALSE,"REPORT"}</definedName>
    <definedName name="__aas1" localSheetId="7" hidden="1">{#N/A,#N/A,FALSE,"REPORT"}</definedName>
    <definedName name="__ACS2000" localSheetId="7" hidden="1">{#N/A,#N/A,FALSE,"REPORT"}</definedName>
    <definedName name="__b111" localSheetId="7" hidden="1">{#N/A,#N/A,FALSE,"Pharm";#N/A,#N/A,FALSE,"WWCM"}</definedName>
    <definedName name="__c" localSheetId="7" hidden="1">{"Fiesta Facer Page",#N/A,FALSE,"Q_C_S";"Fiesta Main Page",#N/A,FALSE,"V_L";"Fiesta 95BP Struct",#N/A,FALSE,"StructBP";"Fiesta Post 95BP Struct",#N/A,FALSE,"AdjStructBP"}</definedName>
    <definedName name="__FDS_USED_FOR_REUSING_RANGE_IDS_RECYCLE" localSheetId="7" hidden="1">{3,6,6,3,3,1,6,4,3}</definedName>
    <definedName name="__IntlFixupTable" localSheetId="7" hidden="1">#REF!</definedName>
    <definedName name="__new1" localSheetId="7" hidden="1">{#N/A,#N/A,FALSE,"Pharm";#N/A,#N/A,FALSE,"WWCM"}</definedName>
    <definedName name="__o1" localSheetId="7" hidden="1">{#N/A,#N/A,FALSE,"SUMMARY";#N/A,#N/A,FALSE,"mcsh";#N/A,#N/A,FALSE,"vol&amp;rev";#N/A,#N/A,FALSE,"wkgcap";#N/A,#N/A,FALSE,"DEPR&amp;DT";#N/A,#N/A,FALSE,"ASSETS";#N/A,#N/A,FALSE,"NI&amp;OTH&amp;DIV";#N/A,#N/A,FALSE,"CASHFLOW";#N/A,#N/A,FALSE,"CAPEMPL";#N/A,#N/A,FALSE,"ROCE"}</definedName>
    <definedName name="__r" localSheetId="7" hidden="1">{#N/A,#N/A,FALSE,"Pharm";#N/A,#N/A,FALSE,"WWCM"}</definedName>
    <definedName name="__tm1" localSheetId="7" hidden="1">{#N/A,#N/A,FALSE,"Pharm";#N/A,#N/A,FALSE,"WWCM"}</definedName>
    <definedName name="__ww2" localSheetId="7" hidden="1">{#N/A,#N/A,FALSE,"Admin";#N/A,#N/A,FALSE,"Other"}</definedName>
    <definedName name="__X2" localSheetId="7" hidden="1">{#N/A,#N/A,FALSE,"Other";#N/A,#N/A,FALSE,"Ace";#N/A,#N/A,FALSE,"Derm"}</definedName>
    <definedName name="_1__FDSAUDITLINK__" localSheetId="7" hidden="1">{"fdsup://Directions/FactSet Auditing Viewer?action=AUDIT_VALUE&amp;DB=129&amp;ID1=610036&amp;VALUEID=05192&amp;SDATE=201101&amp;PERIODTYPE=QTR_STD&amp;SCFT=3&amp;window=popup_no_bar&amp;width=385&amp;height=120&amp;START_MAXIMIZED=FALSE&amp;creator=factset&amp;display_string=Audit"}</definedName>
    <definedName name="_10__FDSAUDITLINK__" localSheetId="7" hidden="1">{"fdsup://Directions/FactSet Auditing Viewer?action=AUDIT_VALUE&amp;DB=129&amp;ID1=613566&amp;VALUEID=05192&amp;SDATE=201101&amp;PERIODTYPE=QTR_STD&amp;SCFT=3&amp;window=popup_no_bar&amp;width=385&amp;height=120&amp;START_MAXIMIZED=FALSE&amp;creator=factset&amp;display_string=Audit"}</definedName>
    <definedName name="_11__FDSAUDITLINK__" localSheetId="7" hidden="1">{"fdsup://Directions/FactSet Auditing Viewer?action=AUDIT_VALUE&amp;DB=129&amp;ID1=B2QKWK&amp;VALUEID=05194&amp;SDATE=201101&amp;PERIODTYPE=QTR_STD&amp;SCFT=3&amp;window=popup_no_bar&amp;width=385&amp;height=120&amp;START_MAXIMIZED=FALSE&amp;creator=factset&amp;display_string=Audit"}</definedName>
    <definedName name="_112__FDSAUDITLINK__" localSheetId="7"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2__FDSAUDITLINK__" localSheetId="7" hidden="1">{"fdsup://Directions/FactSet Auditing Viewer?action=AUDIT_VALUE&amp;DB=129&amp;ID1=613566&amp;VALUEID=05194&amp;SDATE=201101&amp;PERIODTYPE=QTR_STD&amp;SCFT=3&amp;window=popup_no_bar&amp;width=385&amp;height=120&amp;START_MAXIMIZED=FALSE&amp;creator=factset&amp;display_string=Audit"}</definedName>
    <definedName name="_120__FDSAUDITLINK__" localSheetId="7"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3__FDSAUDITLINK__" localSheetId="7" hidden="1">{"fdsup://Directions/FactSet Auditing Viewer?action=AUDIT_VALUE&amp;DB=129&amp;ID1=B62G7K&amp;VALUEID=05194&amp;SDATE=201101&amp;PERIODTYPE=QTR_STD&amp;SCFT=3&amp;window=popup_no_bar&amp;width=385&amp;height=120&amp;START_MAXIMIZED=FALSE&amp;creator=factset&amp;display_string=Audit"}</definedName>
    <definedName name="_14__FDSAUDITLINK__" localSheetId="7" hidden="1">{"fdsup://Directions/FactSet Auditing Viewer?action=AUDIT_VALUE&amp;DB=129&amp;ID1=B01LXY&amp;VALUEID=05194&amp;SDATE=201101&amp;PERIODTYPE=QTR_STD&amp;SCFT=3&amp;window=popup_no_bar&amp;width=385&amp;height=120&amp;START_MAXIMIZED=FALSE&amp;creator=factset&amp;display_string=Audit"}</definedName>
    <definedName name="_144__FDSAUDITLINK__" localSheetId="7"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5__FDSAUDITLINK__" localSheetId="7" hidden="1">{"fdsup://Directions/FactSet Auditing Viewer?action=AUDIT_VALUE&amp;DB=129&amp;ID1=B12C0T&amp;VALUEID=05194&amp;SDATE=201101&amp;PERIODTYPE=QTR_STD&amp;SCFT=3&amp;window=popup_no_bar&amp;width=385&amp;height=120&amp;START_MAXIMIZED=FALSE&amp;creator=factset&amp;display_string=Audit"}</definedName>
    <definedName name="_16__FDSAUDITLINK__" localSheetId="7" hidden="1">{"fdsup://Directions/FactSet Auditing Viewer?action=AUDIT_VALUE&amp;DB=129&amp;ID1=615525&amp;VALUEID=05192&amp;SDATE=201101&amp;PERIODTYPE=QTR_STD&amp;SCFT=3&amp;window=popup_no_bar&amp;width=385&amp;height=120&amp;START_MAXIMIZED=FALSE&amp;creator=factset&amp;display_string=Audit"}</definedName>
    <definedName name="_160__FDSAUDITLINK__" localSheetId="7"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7__FDSAUDITLINK__" localSheetId="7" hidden="1">{"fdsup://Directions/FactSet Auditing Viewer?action=AUDIT_VALUE&amp;DB=129&amp;ID1=651312&amp;VALUEID=05194&amp;SDATE=201101&amp;PERIODTYPE=QTR_STD&amp;SCFT=3&amp;window=popup_no_bar&amp;width=385&amp;height=120&amp;START_MAXIMIZED=FALSE&amp;creator=factset&amp;display_string=Audit"}</definedName>
    <definedName name="_18__FDSAUDITLINK__" localSheetId="7" hidden="1">{"fdsup://Directions/FactSet Auditing Viewer?action=AUDIT_VALUE&amp;DB=129&amp;ID1=610036&amp;VALUEID=05194&amp;SDATE=201101&amp;PERIODTYPE=QTR_STD&amp;SCFT=3&amp;window=popup_no_bar&amp;width=385&amp;height=120&amp;START_MAXIMIZED=FALSE&amp;creator=factset&amp;display_string=Audit"}</definedName>
    <definedName name="_19__FDSAUDITLINK__" localSheetId="7" hidden="1">{"fdsup://directions/FAT Viewer?action=UPDATE&amp;creator=factset&amp;DYN_ARGS=TRUE&amp;DOC_NAME=FAT:FQL_AUDITING_CLIENT_TEMPLATE.FAT&amp;display_string=Audit&amp;VAR:KEY=RIVODUVABY&amp;VAR:QUERY=RkZfREVCVChRVFIsMCk=&amp;WINDOW=FIRST_POPUP&amp;HEIGHT=450&amp;WIDTH=450&amp;START_MAXIMIZED=FALSE&amp;VA","R:CALENDAR=US&amp;VAR:SYMBOL=B1TJG9&amp;VAR:INDEX=0"}</definedName>
    <definedName name="_2__123Graph_BCHART_4" localSheetId="7" hidden="1">#REF!</definedName>
    <definedName name="_2__FDSAUDITLINK__" localSheetId="7" hidden="1">{"fdsup://Directions/FactSet Auditing Viewer?action=AUDIT_VALUE&amp;DB=129&amp;ID1=718981&amp;VALUEID=01004&amp;SDATE=2010&amp;PERIODTYPE=ANN_STD&amp;SCFT=3&amp;window=popup_no_bar&amp;width=385&amp;height=120&amp;START_MAXIMIZED=FALSE&amp;creator=factset&amp;display_string=Audit"}</definedName>
    <definedName name="_20__FDSAUDITLINK__" localSheetId="7" hidden="1">{"fdsup://directions/FAT Viewer?action=UPDATE&amp;creator=factset&amp;DYN_ARGS=TRUE&amp;DOC_NAME=FAT:FQL_AUDITING_CLIENT_TEMPLATE.FAT&amp;display_string=Audit&amp;VAR:KEY=NOROXQDYDA&amp;VAR:QUERY=RkZfREVCVChRVFIsMCk=&amp;WINDOW=FIRST_POPUP&amp;HEIGHT=450&amp;WIDTH=450&amp;START_MAXIMIZED=FALSE&amp;VA","R:CALENDAR=US&amp;VAR:SYMBOL=B2QKWK&amp;VAR:INDEX=0"}</definedName>
    <definedName name="_206__FDSAUDITLINK__" localSheetId="7"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1__FDSAUDITLINK__" localSheetId="7" hidden="1">{"fdsup://directions/FAT Viewer?action=UPDATE&amp;creator=factset&amp;DYN_ARGS=TRUE&amp;DOC_NAME=FAT:FQL_AUDITING_CLIENT_TEMPLATE.FAT&amp;display_string=Audit&amp;VAR:KEY=BWBYDQBYRG&amp;VAR:QUERY=RkZfREVCVChRVFIsMCk=&amp;WINDOW=FIRST_POPUP&amp;HEIGHT=450&amp;WIDTH=450&amp;START_MAXIMIZED=FALSE&amp;VA","R:CALENDAR=US&amp;VAR:SYMBOL=626404&amp;VAR:INDEX=0"}</definedName>
    <definedName name="_22__FDSAUDITLINK__" localSheetId="7" hidden="1">{"fdsup://directions/FAT Viewer?action=UPDATE&amp;creator=factset&amp;DYN_ARGS=TRUE&amp;DOC_NAME=FAT:FQL_AUDITING_CLIENT_TEMPLATE.FAT&amp;display_string=Audit&amp;VAR:KEY=TQLCLGJUJU&amp;VAR:QUERY=RkZfREVCVChRVFIsMCk=&amp;WINDOW=FIRST_POPUP&amp;HEIGHT=450&amp;WIDTH=450&amp;START_MAXIMIZED=FALSE&amp;VA","R:CALENDAR=US&amp;VAR:SYMBOL=613566&amp;VAR:INDEX=0"}</definedName>
    <definedName name="_23__FDSAUDITLINK__" localSheetId="7" hidden="1">{"fdsup://directions/FAT Viewer?action=UPDATE&amp;creator=factset&amp;DYN_ARGS=TRUE&amp;DOC_NAME=FAT:FQL_AUDITING_CLIENT_TEMPLATE.FAT&amp;display_string=Audit&amp;VAR:KEY=NYXYJIPEVY&amp;VAR:QUERY=RkZfREVCVChRVFIsMCk=&amp;WINDOW=FIRST_POPUP&amp;HEIGHT=450&amp;WIDTH=450&amp;START_MAXIMIZED=FALSE&amp;VA","R:CALENDAR=US&amp;VAR:SYMBOL=B62G7K&amp;VAR:INDEX=0"}</definedName>
    <definedName name="_24__FDSAUDITLINK__" localSheetId="7" hidden="1">{"fdsup://directions/FAT Viewer?action=UPDATE&amp;creator=factset&amp;DYN_ARGS=TRUE&amp;DOC_NAME=FAT:FQL_AUDITING_CLIENT_TEMPLATE.FAT&amp;display_string=Audit&amp;VAR:KEY=NSBMVWPMXC&amp;VAR:QUERY=RkZfREVCVChRVFIsMCk=&amp;WINDOW=FIRST_POPUP&amp;HEIGHT=450&amp;WIDTH=450&amp;START_MAXIMIZED=FALSE&amp;VA","R:CALENDAR=US&amp;VAR:SYMBOL=B601QS&amp;VAR:INDEX=0"}</definedName>
    <definedName name="_25__FDSAUDITLINK__" localSheetId="7" hidden="1">{"fdsup://directions/FAT Viewer?action=UPDATE&amp;creator=factset&amp;DYN_ARGS=TRUE&amp;DOC_NAME=FAT:FQL_AUDITING_CLIENT_TEMPLATE.FAT&amp;display_string=Audit&amp;VAR:KEY=RGRCNQPWVG&amp;VAR:QUERY=RkZfREVCVChRVFIsMCk=&amp;WINDOW=FIRST_POPUP&amp;HEIGHT=450&amp;WIDTH=450&amp;START_MAXIMIZED=FALSE&amp;VA","R:CALENDAR=US&amp;VAR:SYMBOL=B2Q4CS&amp;VAR:INDEX=0"}</definedName>
    <definedName name="_26__FDSAUDITLINK__" localSheetId="7" hidden="1">{"fdsup://directions/FAT Viewer?action=UPDATE&amp;creator=factset&amp;DYN_ARGS=TRUE&amp;DOC_NAME=FAT:FQL_AUDITING_CLIENT_TEMPLATE.FAT&amp;display_string=Audit&amp;VAR:KEY=LINIDUNITC&amp;VAR:QUERY=RkZfREVCVChRVFIsMCk=&amp;WINDOW=FIRST_POPUP&amp;HEIGHT=450&amp;WIDTH=450&amp;START_MAXIMIZED=FALSE&amp;VA","R:CALENDAR=US&amp;VAR:SYMBOL=670625&amp;VAR:INDEX=0"}</definedName>
    <definedName name="_27__FDSAUDITLINK__" localSheetId="7" hidden="1">{"fdsup://directions/FAT Viewer?action=UPDATE&amp;creator=factset&amp;DYN_ARGS=TRUE&amp;DOC_NAME=FAT:FQL_AUDITING_CLIENT_TEMPLATE.FAT&amp;display_string=Audit&amp;VAR:KEY=ZYZAZOHSNG&amp;VAR:QUERY=RkZfREVCVChRVFIsMCk=&amp;WINDOW=FIRST_POPUP&amp;HEIGHT=450&amp;WIDTH=450&amp;START_MAXIMIZED=FALSE&amp;VA","R:CALENDAR=US&amp;VAR:SYMBOL=B01T14&amp;VAR:INDEX=0"}</definedName>
    <definedName name="_28__FDSAUDITLINK__" localSheetId="7" hidden="1">{"fdsup://directions/FAT Viewer?action=UPDATE&amp;creator=factset&amp;DYN_ARGS=TRUE&amp;DOC_NAME=FAT:FQL_AUDITING_CLIENT_TEMPLATE.FAT&amp;display_string=Audit&amp;VAR:KEY=ZCBIPGHWJS&amp;VAR:QUERY=RkZfREVCVChRVFIsMCk=&amp;WINDOW=FIRST_POPUP&amp;HEIGHT=450&amp;WIDTH=450&amp;START_MAXIMIZED=FALSE&amp;VA","R:CALENDAR=US&amp;VAR:SYMBOL=627137&amp;VAR:INDEX=0"}</definedName>
    <definedName name="_29__FDSAUDITLINK__" localSheetId="7" hidden="1">{"fdsup://directions/FAT Viewer?action=UPDATE&amp;creator=factset&amp;DYN_ARGS=TRUE&amp;DOC_NAME=FAT:FQL_AUDITING_CLIENT_TEMPLATE.FAT&amp;display_string=Audit&amp;VAR:KEY=CLCRSDAPSX&amp;VAR:QUERY=RkZfREVCVChRVFIsMCk=&amp;WINDOW=FIRST_POPUP&amp;HEIGHT=450&amp;WIDTH=450&amp;START_MAXIMIZED=FALSE&amp;VA","R:CALENDAR=US&amp;VAR:SYMBOL=B4TX8S&amp;VAR:INDEX=0"}</definedName>
    <definedName name="_3__123Graph_LBL_ACHART_4" localSheetId="7" hidden="1">#REF!</definedName>
    <definedName name="_3__FDSAUDITLINK__" localSheetId="7" hidden="1">{"fdsup://directions/FAT Viewer?action=UPDATE&amp;creator=factset&amp;DYN_ARGS=TRUE&amp;DOC_NAME=FAT:FQL_AUDITING_CLIENT_TEMPLATE.FAT&amp;display_string=Audit&amp;VAR:KEY=NYZOXGHULC&amp;VAR:QUERY=RkZfREVCVChRVFIsMCk=&amp;WINDOW=FIRST_POPUP&amp;HEIGHT=450&amp;WIDTH=450&amp;START_MAXIMIZED=FALSE&amp;VA","R:CALENDAR=US&amp;VAR:SYMBOL=615525&amp;VAR:INDEX=0"}</definedName>
    <definedName name="_30__FDSAUDITLINK__" localSheetId="7" hidden="1">{"fdsup://directions/FAT Viewer?action=UPDATE&amp;creator=factset&amp;DYN_ARGS=TRUE&amp;DOC_NAME=FAT:FQL_AUDITING_CLIENT_TEMPLATE.FAT&amp;display_string=Audit&amp;VAR:KEY=FCXYFCHWXA&amp;VAR:QUERY=RkZfREVCVChRVFIsMCk=&amp;WINDOW=FIRST_POPUP&amp;HEIGHT=450&amp;WIDTH=450&amp;START_MAXIMIZED=FALSE&amp;VA","R:CALENDAR=US&amp;VAR:SYMBOL=641167&amp;VAR:INDEX=0"}</definedName>
    <definedName name="_31__FDSAUDITLINK__" localSheetId="7" hidden="1">{"fdsup://directions/FAT Viewer?action=UPDATE&amp;creator=factset&amp;DYN_ARGS=TRUE&amp;DOC_NAME=FAT:FQL_AUDITING_CLIENT_TEMPLATE.FAT&amp;display_string=Audit&amp;VAR:KEY=ZWDYLGNOZS&amp;VAR:QUERY=RkZfREVCVChRVFIsMCk=&amp;WINDOW=FIRST_POPUP&amp;HEIGHT=450&amp;WIDTH=450&amp;START_MAXIMIZED=FALSE&amp;VA","R:CALENDAR=US&amp;VAR:SYMBOL=642566&amp;VAR:INDEX=0"}</definedName>
    <definedName name="_33__FDSAUDITLINK__" localSheetId="7" hidden="1">{"fdsup://directions/FAT Viewer?action=UPDATE&amp;creator=factset&amp;DYN_ARGS=TRUE&amp;DOC_NAME=FAT:FQL_AUDITING_CLIENT_TEMPLATE.FAT&amp;display_string=Audit&amp;VAR:KEY=BYZORMPCHQ&amp;VAR:QUERY=RkZfREVCVChRVFIsMCk=&amp;WINDOW=FIRST_POPUP&amp;HEIGHT=450&amp;WIDTH=450&amp;START_MAXIMIZED=FALSE&amp;VA","R:CALENDAR=US&amp;VAR:SYMBOL=649613&amp;VAR:INDEX=0"}</definedName>
    <definedName name="_34__FDSAUDITLINK__" localSheetId="7" hidden="1">{"fdsup://directions/FAT Viewer?action=UPDATE&amp;creator=factset&amp;DYN_ARGS=TRUE&amp;DOC_NAME=FAT:FQL_AUDITING_CLIENT_TEMPLATE.FAT&amp;display_string=Audit&amp;VAR:KEY=IRGRQDQTWB&amp;VAR:QUERY=RkZfREVCVChRVFIsMCk=&amp;WINDOW=FIRST_POPUP&amp;HEIGHT=450&amp;WIDTH=450&amp;START_MAXIMIZED=FALSE&amp;VA","R:CALENDAR=US&amp;VAR:SYMBOL=680580&amp;VAR:INDEX=0"}</definedName>
    <definedName name="_35__FDSAUDITLINK__" localSheetId="7" hidden="1">{"fdsup://directions/FAT Viewer?action=UPDATE&amp;creator=factset&amp;DYN_ARGS=TRUE&amp;DOC_NAME=FAT:FQL_AUDITING_CLIENT_TEMPLATE.FAT&amp;display_string=Audit&amp;VAR:KEY=ZYZAZOHSNG&amp;VAR:QUERY=RkZfREVCVChRVFIsMCk=&amp;WINDOW=FIRST_POPUP&amp;HEIGHT=450&amp;WIDTH=450&amp;START_MAXIMIZED=FALSE&amp;VA","R:CALENDAR=US&amp;VAR:SYMBOL=B01T14&amp;VAR:INDEX=0"}</definedName>
    <definedName name="_353__FDSAUDITLINK__" localSheetId="7"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6__FDSAUDITLINK__" localSheetId="7" hidden="1">{"fdsup://directions/FAT Viewer?action=UPDATE&amp;creator=factset&amp;DYN_ARGS=TRUE&amp;DOC_NAME=FAT:FQL_AUDITING_CLIENT_TEMPLATE.FAT&amp;display_string=Audit&amp;VAR:KEY=BOFAPUNSFW&amp;VAR:QUERY=RkZfREVCVChRVFIsMCk=&amp;WINDOW=FIRST_POPUP&amp;HEIGHT=450&amp;WIDTH=450&amp;START_MAXIMIZED=FALSE&amp;VA","R:CALENDAR=US&amp;VAR:SYMBOL=615593&amp;VAR:INDEX=0"}</definedName>
    <definedName name="_37__FDSAUDITLINK__" localSheetId="7" hidden="1">{"fdsup://directions/FAT Viewer?action=UPDATE&amp;creator=factset&amp;DYN_ARGS=TRUE&amp;DOC_NAME=FAT:FQL_AUDITING_CLIENT_TEMPLATE.FAT&amp;display_string=Audit&amp;VAR:KEY=NCDWZYHQLY&amp;VAR:QUERY=RkZfREVCVChRVFIsMCk=&amp;WINDOW=FIRST_POPUP&amp;HEIGHT=450&amp;WIDTH=450&amp;START_MAXIMIZED=FALSE&amp;VA","R:CALENDAR=US&amp;VAR:SYMBOL=616216&amp;VAR:INDEX=0"}</definedName>
    <definedName name="_371__FDSAUDITLINK__" localSheetId="7"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8__FDSAUDITLINK__" localSheetId="7" hidden="1">{"fdsup://directions/FAT Viewer?action=UPDATE&amp;creator=factset&amp;DYN_ARGS=TRUE&amp;DOC_NAME=FAT:FQL_AUDITING_CLIENT_TEMPLATE.FAT&amp;display_string=Audit&amp;VAR:KEY=LIHILQPEHS&amp;VAR:QUERY=RkZfREVCVChRVFIsMCk=&amp;WINDOW=FIRST_POPUP&amp;HEIGHT=450&amp;WIDTH=450&amp;START_MAXIMIZED=FALSE&amp;VA","R:CALENDAR=US&amp;VAR:SYMBOL=B01LXY&amp;VAR:INDEX=0"}</definedName>
    <definedName name="_39__FDSAUDITLINK__" localSheetId="7" hidden="1">{"fdsup://directions/FAT Viewer?action=UPDATE&amp;creator=factset&amp;DYN_ARGS=TRUE&amp;DOC_NAME=FAT:FQL_AUDITING_CLIENT_TEMPLATE.FAT&amp;display_string=Audit&amp;VAR:KEY=BKHSXEZQRI&amp;VAR:QUERY=RkZfREVCVChRVFIsMCk=&amp;WINDOW=FIRST_POPUP&amp;HEIGHT=450&amp;WIDTH=450&amp;START_MAXIMIZED=FALSE&amp;VA","R:CALENDAR=US&amp;VAR:SYMBOL=B12C0T&amp;VAR:INDEX=0"}</definedName>
    <definedName name="_4__123Graph_LBL_BCHART_4" localSheetId="7" hidden="1">#REF!</definedName>
    <definedName name="_4__FDSAUDITLINK__" localSheetId="7" hidden="1">{"fdsup://Directions/FactSet Auditing Viewer?action=AUDIT_VALUE&amp;DB=129&amp;ID1=B01LXY&amp;VALUEID=05192&amp;SDATE=201101&amp;PERIODTYPE=QTR_STD&amp;SCFT=3&amp;window=popup_no_bar&amp;width=385&amp;height=120&amp;START_MAXIMIZED=FALSE&amp;creator=factset&amp;display_string=Audit"}</definedName>
    <definedName name="_40__FDSAUDITLINK__" localSheetId="7" hidden="1">{"fdsup://Directions/FactSet Auditing Viewer?action=AUDIT_VALUE&amp;DB=129&amp;ID1=615525&amp;VALUEID=05194&amp;SDATE=201101&amp;PERIODTYPE=QTR_STD&amp;SCFT=3&amp;window=popup_no_bar&amp;width=385&amp;height=120&amp;START_MAXIMIZED=FALSE&amp;creator=factset&amp;display_string=Audit"}</definedName>
    <definedName name="_41__FDSAUDITLINK__" localSheetId="7" hidden="1">{"fdsup://directions/FAT Viewer?action=UPDATE&amp;creator=factset&amp;DYN_ARGS=TRUE&amp;DOC_NAME=FAT:FQL_AUDITING_CLIENT_TEMPLATE.FAT&amp;display_string=Audit&amp;VAR:KEY=NCPODUVUTY&amp;VAR:QUERY=RkZfREVCVChRVFIsMCk=&amp;WINDOW=FIRST_POPUP&amp;HEIGHT=450&amp;WIDTH=450&amp;START_MAXIMIZED=FALSE&amp;VA","R:CALENDAR=US&amp;VAR:SYMBOL=651312&amp;VAR:INDEX=0"}</definedName>
    <definedName name="_42__FDSAUDITLINK__" localSheetId="7" hidden="1">{"fdsup://directions/FAT Viewer?action=UPDATE&amp;creator=factset&amp;DYN_ARGS=TRUE&amp;DOC_NAME=FAT:FQL_AUDITING_CLIENT_TEMPLATE.FAT&amp;display_string=Audit&amp;VAR:KEY=TCLSBADEBM&amp;VAR:QUERY=RkZfREVCVChRVFIsMCk=&amp;WINDOW=FIRST_POPUP&amp;HEIGHT=450&amp;WIDTH=450&amp;START_MAXIMIZED=FALSE&amp;VA","R:CALENDAR=US&amp;VAR:SYMBOL=610036&amp;VAR:INDEX=0"}</definedName>
    <definedName name="_42wrn.²Ä1­Ó¤ë1_Ü20¤H." localSheetId="7" hidden="1">{#N/A,#N/A,FALSE,"²Ä1­Ó¤ë"}</definedName>
    <definedName name="_43__FDSAUDITLINK__" localSheetId="7" hidden="1">{"fdsup://directions/FAT Viewer?action=UPDATE&amp;creator=factset&amp;DYN_ARGS=TRUE&amp;DOC_NAME=FAT:FQL_AUDITING_CLIENT_TEMPLATE.FAT&amp;display_string=Audit&amp;VAR:KEY=TCVWVCXSPG&amp;VAR:QUERY=RkZfREVCVChRVFIsMCk=&amp;WINDOW=FIRST_POPUP&amp;HEIGHT=450&amp;WIDTH=450&amp;START_MAXIMIZED=FALSE&amp;VA","R:CALENDAR=US&amp;VAR:SYMBOL=B5Q3JZ&amp;VAR:INDEX=0"}</definedName>
    <definedName name="_44__FDSAUDITLINK__" localSheetId="7" hidden="1">{"fdsup://directions/FAT Viewer?action=UPDATE&amp;creator=factset&amp;DYN_ARGS=TRUE&amp;DOC_NAME=FAT:FQL_AUDITING_CLIENT_TEMPLATE.FAT&amp;display_string=Audit&amp;VAR:KEY=FKRWBWPYJQ&amp;VAR:QUERY=RkZfREVCVChRVFIsMCk=&amp;WINDOW=FIRST_POPUP&amp;HEIGHT=450&amp;WIDTH=450&amp;START_MAXIMIZED=FALSE&amp;VA","R:CALENDAR=US&amp;VAR:SYMBOL=B2Q5H5&amp;VAR:INDEX=0"}</definedName>
    <definedName name="_45__FDSAUDITLINK__" localSheetId="7" hidden="1">{"fdsup://directions/FAT Viewer?action=UPDATE&amp;creator=factset&amp;DYN_ARGS=TRUE&amp;DOC_NAME=FAT:FQL_AUDITING_CLIENT_TEMPLATE.FAT&amp;display_string=Audit&amp;VAR:KEY=OPGHWHAPUT&amp;VAR:QUERY=RkZfREVCVChRVFIsMCk=&amp;WINDOW=FIRST_POPUP&amp;HEIGHT=450&amp;WIDTH=450&amp;START_MAXIMIZED=FALSE&amp;VA","R:CALENDAR=US&amp;VAR:SYMBOL=658923&amp;VAR:INDEX=0"}</definedName>
    <definedName name="_46__FDSAUDITLINK__" localSheetId="7" hidden="1">{"fdsup://directions/FAT Viewer?action=UPDATE&amp;creator=factset&amp;DYN_ARGS=TRUE&amp;DOC_NAME=FAT:FQL_AUDITING_CLIENT_TEMPLATE.FAT&amp;display_string=Audit&amp;VAR:KEY=DUDADIPCVA&amp;VAR:QUERY=RkZfREVCVChRVFIsMCk=&amp;WINDOW=FIRST_POPUP&amp;HEIGHT=450&amp;WIDTH=450&amp;START_MAXIMIZED=FALSE&amp;VA","R:CALENDAR=US&amp;VAR:SYMBOL=B01FLR&amp;VAR:INDEX=0"}</definedName>
    <definedName name="_47__FDSAUDITLINK__" localSheetId="7" hidden="1">{"fdsup://Directions/FactSet Auditing Viewer?action=AUDIT_VALUE&amp;DB=129&amp;ID1=627137&amp;VALUEID=05194&amp;SDATE=201102&amp;PERIODTYPE=QTR_STD&amp;SCFT=3&amp;window=popup_no_bar&amp;width=385&amp;height=120&amp;START_MAXIMIZED=FALSE&amp;creator=factset&amp;display_string=Audit"}</definedName>
    <definedName name="_48__FDSAUDITLINK__" localSheetId="7" hidden="1">{"fdsup://Directions/FactSet Auditing Viewer?action=AUDIT_VALUE&amp;DB=129&amp;ID1=627137&amp;VALUEID=05192&amp;SDATE=201102&amp;PERIODTYPE=QTR_STD&amp;SCFT=3&amp;window=popup_no_bar&amp;width=385&amp;height=120&amp;START_MAXIMIZED=FALSE&amp;creator=factset&amp;display_string=Audit"}</definedName>
    <definedName name="_481__FDSAUDITLINK__" localSheetId="7" hidden="1">{"fdsup://directions/FAT Viewer?action=UPDATE&amp;creator=factset&amp;DYN_ARGS=TRUE&amp;DOC_NAME=FAT:FQL_AUDITING_CLIENT_TEMPLATE.FAT&amp;display_string=Audit&amp;VAR:KEY=FKZMDKTUXA&amp;VAR:QUERY=KEZGX0JQU19UQU5HKFFUUiw0MDE0MylARkZfQlBTX1RBTkcoQU5OLDQwMTQzKSk=&amp;WINDOW=FIRST_POPUP&amp;H","EIGHT=450&amp;WIDTH=450&amp;START_MAXIMIZED=FALSE&amp;VAR:CALENDAR=US&amp;VAR:SYMBOL=002939&amp;VAR:INDEX=0"}</definedName>
    <definedName name="_49__FDSAUDITLINK__" localSheetId="7" hidden="1">{"fdsup://directions/FAT Viewer?action=UPDATE&amp;creator=factset&amp;DYN_ARGS=TRUE&amp;DOC_NAME=FAT:FQL_AUDITING_CLIENT_TEMPLATE.FAT&amp;display_string=Audit&amp;VAR:KEY=YLCVWFIZGL&amp;VAR:QUERY=RkZfREVCVChRVFIsMCk=&amp;WINDOW=FIRST_POPUP&amp;HEIGHT=450&amp;WIDTH=450&amp;START_MAXIMIZED=FALSE&amp;VA","R:CALENDAR=US&amp;VAR:SYMBOL=652766&amp;VAR:INDEX=0"}</definedName>
    <definedName name="_5__123Graph_XCHART_4" localSheetId="7" hidden="1">#REF!</definedName>
    <definedName name="_5__FDSAUDITLINK__" localSheetId="7" hidden="1">{"fdsup://Directions/FactSet Auditing Viewer?action=AUDIT_VALUE&amp;DB=129&amp;ID1=529412&amp;VALUEID=01004&amp;SDATE=2010&amp;PERIODTYPE=ANN_STD&amp;SCFT=3&amp;window=popup_no_bar&amp;width=385&amp;height=120&amp;START_MAXIMIZED=FALSE&amp;creator=factset&amp;display_string=Audit"}</definedName>
    <definedName name="_50__FDSAUDITLINK__" localSheetId="7" hidden="1">{"fdsup://Directions/FactSet Auditing Viewer?action=AUDIT_VALUE&amp;DB=129&amp;ID1=680580&amp;VALUEID=05194&amp;SDATE=201101&amp;PERIODTYPE=QTR_STD&amp;SCFT=3&amp;window=popup_no_bar&amp;width=385&amp;height=120&amp;START_MAXIMIZED=FALSE&amp;creator=factset&amp;display_string=Audit"}</definedName>
    <definedName name="_51__FDSAUDITLINK__" localSheetId="7" hidden="1">{"fdsup://Directions/FactSet Auditing Viewer?action=AUDIT_VALUE&amp;DB=129&amp;ID1=616216&amp;VALUEID=05194&amp;SDATE=201101&amp;PERIODTYPE=QTR_STD&amp;SCFT=3&amp;window=popup_no_bar&amp;width=385&amp;height=120&amp;START_MAXIMIZED=FALSE&amp;creator=factset&amp;display_string=Audit"}</definedName>
    <definedName name="_52__FDSAUDITLINK__" localSheetId="7" hidden="1">{"fdsup://Directions/FactSet Auditing Viewer?action=AUDIT_VALUE&amp;DB=129&amp;ID1=B01T14&amp;VALUEID=05194&amp;SDATE=201101&amp;PERIODTYPE=QTR_STD&amp;SCFT=3&amp;window=popup_no_bar&amp;width=385&amp;height=120&amp;START_MAXIMIZED=FALSE&amp;creator=factset&amp;display_string=Audit"}</definedName>
    <definedName name="_53__FDSAUDITLINK__" localSheetId="7" hidden="1">{"fdsup://Directions/FactSet Auditing Viewer?action=AUDIT_VALUE&amp;DB=129&amp;ID1=B01LXY&amp;VALUEID=05194&amp;SDATE=201101&amp;PERIODTYPE=QTR_STD&amp;SCFT=3&amp;window=popup_no_bar&amp;width=385&amp;height=120&amp;START_MAXIMIZED=FALSE&amp;creator=factset&amp;display_string=Audit"}</definedName>
    <definedName name="_54__FDSAUDITLINK__" localSheetId="7" hidden="1">{"fdsup://Directions/FactSet Auditing Viewer?action=AUDIT_VALUE&amp;DB=129&amp;ID1=616216&amp;VALUEID=05194&amp;SDATE=201101&amp;PERIODTYPE=QTR_STD&amp;SCFT=3&amp;window=popup_no_bar&amp;width=385&amp;height=120&amp;START_MAXIMIZED=FALSE&amp;creator=factset&amp;display_string=Audit"}</definedName>
    <definedName name="_55__FDSAUDITLINK__" localSheetId="7" hidden="1">{"fdsup://Directions/FactSet Auditing Viewer?action=AUDIT_VALUE&amp;DB=129&amp;ID1=649613&amp;VALUEID=05192&amp;SDATE=201101&amp;PERIODTYPE=QTR_STD&amp;SCFT=3&amp;window=popup_no_bar&amp;width=385&amp;height=120&amp;START_MAXIMIZED=FALSE&amp;creator=factset&amp;display_string=Audit"}</definedName>
    <definedName name="_56__FDSAUDITLINK__" localSheetId="7" hidden="1">{"fdsup://Directions/FactSet Auditing Viewer?action=AUDIT_VALUE&amp;DB=129&amp;ID1=680580&amp;VALUEID=05192&amp;SDATE=201101&amp;PERIODTYPE=QTR_STD&amp;SCFT=3&amp;window=popup_no_bar&amp;width=385&amp;height=120&amp;START_MAXIMIZED=FALSE&amp;creator=factset&amp;display_string=Audit"}</definedName>
    <definedName name="_57__FDSAUDITLINK__" localSheetId="7" hidden="1">{"fdsup://Directions/FactSet Auditing Viewer?action=AUDIT_VALUE&amp;DB=129&amp;ID1=616216&amp;VALUEID=05192&amp;SDATE=201101&amp;PERIODTYPE=QTR_STD&amp;SCFT=3&amp;window=popup_no_bar&amp;width=385&amp;height=120&amp;START_MAXIMIZED=FALSE&amp;creator=factset&amp;display_string=Audit"}</definedName>
    <definedName name="_58__FDSAUDITLINK__" localSheetId="7" hidden="1">{"fdsup://Directions/FactSet Auditing Viewer?action=AUDIT_VALUE&amp;DB=129&amp;ID1=B01T14&amp;VALUEID=05192&amp;SDATE=201101&amp;PERIODTYPE=QTR_STD&amp;SCFT=3&amp;window=popup_no_bar&amp;width=385&amp;height=120&amp;START_MAXIMIZED=FALSE&amp;creator=factset&amp;display_string=Audit"}</definedName>
    <definedName name="_59__FDSAUDITLINK__" localSheetId="7" hidden="1">{"fdsup://Directions/FactSet Auditing Viewer?action=AUDIT_VALUE&amp;DB=129&amp;ID1=B01LXY&amp;VALUEID=05192&amp;SDATE=201101&amp;PERIODTYPE=QTR_STD&amp;SCFT=3&amp;window=popup_no_bar&amp;width=385&amp;height=120&amp;START_MAXIMIZED=FALSE&amp;creator=factset&amp;display_string=Audit"}</definedName>
    <definedName name="_6__123Graph_CCHART_1" localSheetId="7" hidden="1">#REF!</definedName>
    <definedName name="_6__FDSAUDITLINK__" localSheetId="7" hidden="1">{"fdsup://Directions/FactSet Auditing Viewer?action=AUDIT_VALUE&amp;DB=129&amp;ID1=B2Q4CS&amp;VALUEID=05192&amp;SDATE=201101&amp;PERIODTYPE=QTR_STD&amp;SCFT=3&amp;window=popup_no_bar&amp;width=385&amp;height=120&amp;START_MAXIMIZED=FALSE&amp;creator=factset&amp;display_string=Audit"}</definedName>
    <definedName name="_60__FDSAUDITLINK__" localSheetId="7" hidden="1">{"fdsup://Directions/FactSet Auditing Viewer?action=AUDIT_VALUE&amp;DB=129&amp;ID1=616216&amp;VALUEID=05192&amp;SDATE=201101&amp;PERIODTYPE=QTR_STD&amp;SCFT=3&amp;window=popup_no_bar&amp;width=385&amp;height=120&amp;START_MAXIMIZED=FALSE&amp;creator=factset&amp;display_string=Audit"}</definedName>
    <definedName name="_61__FDSAUDITLINK__" localSheetId="7" hidden="1">{"fdsup://directions/FAT Viewer?action=UPDATE&amp;creator=factset&amp;DYN_ARGS=TRUE&amp;DOC_NAME=FAT:FQL_AUDITING_CLIENT_TEMPLATE.FAT&amp;display_string=Audit&amp;VAR:KEY=HOZMZUDYTG&amp;VAR:QUERY=RkZfREVCVChRVFIsMCk=&amp;WINDOW=FIRST_POPUP&amp;HEIGHT=450&amp;WIDTH=450&amp;START_MAXIMIZED=FALSE&amp;VA","R:CALENDAR=US&amp;VAR:SYMBOL=671897&amp;VAR:INDEX=0"}</definedName>
    <definedName name="_62__FDSAUDITLINK__" localSheetId="7" hidden="1">{"fdsup://directions/FAT Viewer?action=UPDATE&amp;creator=factset&amp;DYN_ARGS=TRUE&amp;DOC_NAME=FAT:FQL_AUDITING_CLIENT_TEMPLATE.FAT&amp;display_string=Audit&amp;VAR:KEY=HOZMZUDYTG&amp;VAR:QUERY=RkZfREVCVChRVFIsMCk=&amp;WINDOW=FIRST_POPUP&amp;HEIGHT=450&amp;WIDTH=450&amp;START_MAXIMIZED=FALSE&amp;VA","R:CALENDAR=US&amp;VAR:SYMBOL=671897&amp;VAR:INDEX=0"}</definedName>
    <definedName name="_63__FDSAUDITLINK__" localSheetId="7" hidden="1">{"fdsup://directions/FAT Viewer?action=UPDATE&amp;creator=factset&amp;DYN_ARGS=TRUE&amp;DOC_NAME=FAT:FQL_AUDITING_CLIENT_TEMPLATE.FAT&amp;display_string=Audit&amp;VAR:KEY=HOZMZUDYTG&amp;VAR:QUERY=RkZfREVCVChRVFIsMCk=&amp;WINDOW=FIRST_POPUP&amp;HEIGHT=450&amp;WIDTH=450&amp;START_MAXIMIZED=FALSE&amp;VA","R:CALENDAR=US&amp;VAR:SYMBOL=671897&amp;VAR:INDEX=0"}</definedName>
    <definedName name="_64__FDSAUDITLINK__" localSheetId="7" hidden="1">{"fdsup://Directions/FactSet Auditing Viewer?action=AUDIT_VALUE&amp;DB=129&amp;ID1=615593&amp;VALUEID=05192&amp;SDATE=201101&amp;PERIODTYPE=QTR_STD&amp;SCFT=3&amp;window=popup_no_bar&amp;width=385&amp;height=120&amp;START_MAXIMIZED=FALSE&amp;creator=factset&amp;display_string=Audit"}</definedName>
    <definedName name="_65__FDSAUDITLINK__" localSheetId="7" hidden="1">{"fdsup://Directions/FactSet Auditing Viewer?action=AUDIT_VALUE&amp;DB=129&amp;ID1=615593&amp;VALUEID=05194&amp;SDATE=201101&amp;PERIODTYPE=QTR_STD&amp;SCFT=3&amp;window=popup_no_bar&amp;width=385&amp;height=120&amp;START_MAXIMIZED=FALSE&amp;creator=factset&amp;display_string=Audit"}</definedName>
    <definedName name="_66__FDSAUDITLINK__" localSheetId="7" hidden="1">{"fdsup://Directions/FactSet Auditing Viewer?action=AUDIT_VALUE&amp;DB=129&amp;ID1=B62B9W&amp;VALUEID=05192&amp;SDATE=201101&amp;PERIODTYPE=QTR_STD&amp;SCFT=3&amp;window=popup_no_bar&amp;width=385&amp;height=120&amp;START_MAXIMIZED=FALSE&amp;creator=factset&amp;display_string=Audit"}</definedName>
    <definedName name="_67__FDSAUDITLINK__" localSheetId="7" hidden="1">{"fdsup://Directions/FactSet Auditing Viewer?action=AUDIT_VALUE&amp;DB=129&amp;ID1=B62B9W&amp;VALUEID=05194&amp;SDATE=201101&amp;PERIODTYPE=QTR_STD&amp;SCFT=3&amp;window=popup_no_bar&amp;width=385&amp;height=120&amp;START_MAXIMIZED=FALSE&amp;creator=factset&amp;display_string=Audit"}</definedName>
    <definedName name="_68__FDSAUDITLINK__" localSheetId="7" hidden="1">{"fdsup://Directions/FactSet Auditing Viewer?action=AUDIT_VALUE&amp;DB=129&amp;ID1=B12C0T&amp;VALUEID=05192&amp;SDATE=201101&amp;PERIODTYPE=QTR_STD&amp;SCFT=3&amp;window=popup_no_bar&amp;width=385&amp;height=120&amp;START_MAXIMIZED=FALSE&amp;creator=factset&amp;display_string=Audit"}</definedName>
    <definedName name="_69__FDSAUDITLINK__" localSheetId="7" hidden="1">{"fdsup://Directions/FactSet Auditing Viewer?action=AUDIT_VALUE&amp;DB=129&amp;ID1=B12C0T&amp;VALUEID=05194&amp;SDATE=201101&amp;PERIODTYPE=QTR_STD&amp;SCFT=3&amp;window=popup_no_bar&amp;width=385&amp;height=120&amp;START_MAXIMIZED=FALSE&amp;creator=factset&amp;display_string=Audit"}</definedName>
    <definedName name="_7__FDSAUDITLINK__" localSheetId="7" hidden="1">{"fdsup://Directions/FactSet Auditing Viewer?action=AUDIT_VALUE&amp;DB=129&amp;ID1=B601QS&amp;VALUEID=05192&amp;SDATE=201101&amp;PERIODTYPE=QTR_STD&amp;SCFT=3&amp;window=popup_no_bar&amp;width=385&amp;height=120&amp;START_MAXIMIZED=FALSE&amp;creator=factset&amp;display_string=Audit"}</definedName>
    <definedName name="_70__FDSAUDITLINK__" localSheetId="7" hidden="1">{"fdsup://Directions/FactSet Auditing Viewer?action=AUDIT_VALUE&amp;DB=129&amp;ID1=B12C0T&amp;VALUEID=05192&amp;SDATE=201101&amp;PERIODTYPE=QTR_STD&amp;SCFT=3&amp;window=popup_no_bar&amp;width=385&amp;height=120&amp;START_MAXIMIZED=FALSE&amp;creator=factset&amp;display_string=Audit"}</definedName>
    <definedName name="_71__FDSAUDITLINK__" localSheetId="7" hidden="1">{"fdsup://Directions/FactSet Auditing Viewer?action=AUDIT_VALUE&amp;DB=129&amp;ID1=B12C0T&amp;VALUEID=05194&amp;SDATE=201101&amp;PERIODTYPE=QTR_STD&amp;SCFT=3&amp;window=popup_no_bar&amp;width=385&amp;height=120&amp;START_MAXIMIZED=FALSE&amp;creator=factset&amp;display_string=Audit"}</definedName>
    <definedName name="_72__FDSAUDITLINK__" localSheetId="7" hidden="1">{"fdsup://directions/FAT Viewer?action=UPDATE&amp;creator=factset&amp;DYN_ARGS=TRUE&amp;DOC_NAME=FAT:FQL_AUDITING_CLIENT_TEMPLATE.FAT&amp;display_string=Audit&amp;VAR:KEY=EPKPEBABGZ&amp;VAR:QUERY=RkZfREVCVChRVFIsMCk=&amp;WINDOW=FIRST_POPUP&amp;HEIGHT=450&amp;WIDTH=450&amp;START_MAXIMIZED=FALSE&amp;VA","R:CALENDAR=US&amp;VAR:SYMBOL=B62B9W&amp;VAR:INDEX=0"}</definedName>
    <definedName name="_73__FDSAUDITLINK__" localSheetId="7" hidden="1">{"fdsup://Directions/FactSet Auditing Viewer?action=AUDIT_VALUE&amp;DB=129&amp;ID1=B0YCFG&amp;VALUEID=05192&amp;SDATE=201101&amp;PERIODTYPE=QTR_STD&amp;SCFT=3&amp;window=popup_no_bar&amp;width=385&amp;height=120&amp;START_MAXIMIZED=FALSE&amp;creator=factset&amp;display_string=Audit"}</definedName>
    <definedName name="_74__FDSAUDITLINK__" localSheetId="7" hidden="1">{"fdsup://Directions/FactSet Auditing Viewer?action=AUDIT_VALUE&amp;DB=129&amp;ID1=B0YCFG&amp;VALUEID=05194&amp;SDATE=201101&amp;PERIODTYPE=QTR_STD&amp;SCFT=3&amp;window=popup_no_bar&amp;width=385&amp;height=120&amp;START_MAXIMIZED=FALSE&amp;creator=factset&amp;display_string=Audit"}</definedName>
    <definedName name="_75__FDSAUDITLINK__" localSheetId="7" hidden="1">{"fdsup://Directions/FactSet Auditing Viewer?action=AUDIT_VALUE&amp;DB=129&amp;ID1=649613&amp;VALUEID=05192&amp;SDATE=201101&amp;PERIODTYPE=QTR_STD&amp;SCFT=3&amp;window=popup_no_bar&amp;width=385&amp;height=120&amp;START_MAXIMIZED=FALSE&amp;creator=factset&amp;display_string=Audit"}</definedName>
    <definedName name="_76__FDSAUDITLINK__" localSheetId="7" hidden="1">{"fdsup://Directions/FactSet Auditing Viewer?action=AUDIT_VALUE&amp;DB=129&amp;ID1=B12C0T&amp;VALUEID=05192&amp;SDATE=201101&amp;PERIODTYPE=QTR_STD&amp;SCFT=3&amp;window=popup_no_bar&amp;width=385&amp;height=120&amp;START_MAXIMIZED=FALSE&amp;creator=factset&amp;display_string=Audit"}</definedName>
    <definedName name="_77__FDSAUDITLINK__" localSheetId="7" hidden="1">{"fdsup://Directions/FactSet Auditing Viewer?action=AUDIT_VALUE&amp;DB=129&amp;ID1=B12C0T&amp;VALUEID=05192&amp;SDATE=201101&amp;PERIODTYPE=QTR_STD&amp;SCFT=3&amp;window=popup_no_bar&amp;width=385&amp;height=120&amp;START_MAXIMIZED=FALSE&amp;creator=factset&amp;display_string=Audit"}</definedName>
    <definedName name="_78__FDSAUDITLINK__" localSheetId="7" hidden="1">{"fdsup://Directions/FactSet Auditing Viewer?action=AUDIT_VALUE&amp;DB=129&amp;ID1=B12C0T&amp;VALUEID=05192&amp;SDATE=201101&amp;PERIODTYPE=QTR_STD&amp;SCFT=3&amp;window=popup_no_bar&amp;width=385&amp;height=120&amp;START_MAXIMIZED=FALSE&amp;creator=factset&amp;display_string=Audit"}</definedName>
    <definedName name="_79__FDSAUDITLINK__" localSheetId="7" hidden="1">{"fdsup://Directions/FactSet Auditing Viewer?action=AUDIT_VALUE&amp;DB=129&amp;ID1=680580&amp;VALUEID=05194&amp;SDATE=201101&amp;PERIODTYPE=QTR_STD&amp;SCFT=3&amp;window=popup_no_bar&amp;width=385&amp;height=120&amp;START_MAXIMIZED=FALSE&amp;creator=factset&amp;display_string=Audit"}</definedName>
    <definedName name="_8__123Graph_LBL_ACHART_1" localSheetId="7" hidden="1">#REF!</definedName>
    <definedName name="_8__FDSAUDITLINK__" localSheetId="7" hidden="1">{"fdsup://Directions/FactSet Auditing Viewer?action=AUDIT_VALUE&amp;DB=129&amp;ID1=002939&amp;VALUEID=01004&amp;SDATE=2010&amp;PERIODTYPE=ANN_STD&amp;SCFT=3&amp;window=popup_no_bar&amp;width=385&amp;height=120&amp;START_MAXIMIZED=FALSE&amp;creator=factset&amp;display_string=Audit"}</definedName>
    <definedName name="_80__FDSAUDITLINK__" localSheetId="7" hidden="1">{"fdsup://Directions/FactSet Auditing Viewer?action=AUDIT_VALUE&amp;DB=129&amp;ID1=680580&amp;VALUEID=05192&amp;SDATE=201101&amp;PERIODTYPE=QTR_STD&amp;SCFT=3&amp;window=popup_no_bar&amp;width=385&amp;height=120&amp;START_MAXIMIZED=FALSE&amp;creator=factset&amp;display_string=Audit"}</definedName>
    <definedName name="_81__FDSAUDITLINK__" localSheetId="7" hidden="1">{"fdsup://Directions/FactSet Auditing Viewer?action=AUDIT_VALUE&amp;DB=129&amp;ID1=B0YCFG&amp;VALUEID=05192&amp;SDATE=201101&amp;PERIODTYPE=QTR_STD&amp;SCFT=3&amp;window=popup_no_bar&amp;width=385&amp;height=120&amp;START_MAXIMIZED=FALSE&amp;creator=factset&amp;display_string=Audit"}</definedName>
    <definedName name="_82__FDSAUDITLINK__" localSheetId="7" hidden="1">{"fdsup://Directions/FactSet Auditing Viewer?action=AUDIT_VALUE&amp;DB=129&amp;ID1=B62B9W&amp;VALUEID=05192&amp;SDATE=201101&amp;PERIODTYPE=QTR_STD&amp;SCFT=3&amp;window=popup_no_bar&amp;width=385&amp;height=120&amp;START_MAXIMIZED=FALSE&amp;creator=factset&amp;display_string=Audit"}</definedName>
    <definedName name="_83__FDSAUDITLINK__" localSheetId="7" hidden="1">{"fdsup://directions/FAT Viewer?action=UPDATE&amp;creator=factset&amp;DYN_ARGS=TRUE&amp;DOC_NAME=FAT:FQL_AUDITING_CLIENT_TEMPLATE.FAT&amp;display_string=Audit&amp;VAR:KEY=OPGHWHAPUT&amp;VAR:QUERY=RkZfREVCVChRVFIsMCk=&amp;WINDOW=FIRST_POPUP&amp;HEIGHT=450&amp;WIDTH=450&amp;START_MAXIMIZED=FALSE&amp;VA","R:CALENDAR=US&amp;VAR:SYMBOL=658923&amp;VAR:INDEX=0"}</definedName>
    <definedName name="_84__FDSAUDITLINK__" localSheetId="7" hidden="1">{"fdsup://directions/FAT Viewer?action=UPDATE&amp;creator=factset&amp;DYN_ARGS=TRUE&amp;DOC_NAME=FAT:FQL_AUDITING_CLIENT_TEMPLATE.FAT&amp;display_string=Audit&amp;VAR:KEY=YZAZOHSNGH&amp;VAR:QUERY=RkZfREVCVChRVFIsMCk=&amp;WINDOW=FIRST_POPUP&amp;HEIGHT=450&amp;WIDTH=450&amp;START_MAXIMIZED=FALSE&amp;VA","R:CALENDAR=US&amp;VAR:SYMBOL=B01T14&amp;VAR:INDEX=0"}</definedName>
    <definedName name="_85__FDSAUDITLINK__" localSheetId="7" hidden="1">{"fdsup://directions/FAT Viewer?action=UPDATE&amp;creator=factset&amp;DYN_ARGS=TRUE&amp;DOC_NAME=FAT:FQL_AUDITING_CLIENT_TEMPLATE.FAT&amp;display_string=Audit&amp;VAR:KEY=YZAZOHSNGH&amp;VAR:QUERY=RkZfREVCVChRVFIsMCk=&amp;WINDOW=FIRST_POPUP&amp;HEIGHT=450&amp;WIDTH=450&amp;START_MAXIMIZED=FALSE&amp;VA","R:CALENDAR=US&amp;VAR:SYMBOL=B01T14&amp;VAR:INDEX=0"}</definedName>
    <definedName name="_9__123Graph_LBL_ACHART_1" localSheetId="7" hidden="1">#REF!</definedName>
    <definedName name="_9__123Graph_LBL_ACHART_2" localSheetId="7" hidden="1">#REF!</definedName>
    <definedName name="_9__FDSAUDITLINK__" localSheetId="7" hidden="1">{"fdsup://Directions/FactSet Auditing Viewer?action=AUDIT_VALUE&amp;DB=129&amp;ID1=B2QKWK&amp;VALUEID=05192&amp;SDATE=201101&amp;PERIODTYPE=QTR_STD&amp;SCFT=3&amp;window=popup_no_bar&amp;width=385&amp;height=120&amp;START_MAXIMIZED=FALSE&amp;creator=factset&amp;display_string=Audit"}</definedName>
    <definedName name="_a1" localSheetId="7" hidden="1">{#N/A,#N/A,FALSE,"Pharm";#N/A,#N/A,FALSE,"WWCM"}</definedName>
    <definedName name="_A11" localSheetId="7" hidden="1">{#N/A,#N/A,FALSE,"Umsatz 99";#N/A,#N/A,FALSE,"ER 99 "}</definedName>
    <definedName name="_aaa1" localSheetId="7" hidden="1">{#N/A,#N/A,FALSE,"REPORT"}</definedName>
    <definedName name="_aas1" localSheetId="7" hidden="1">{#N/A,#N/A,FALSE,"REPORT"}</definedName>
    <definedName name="_ACS2000" localSheetId="7" hidden="1">{#N/A,#N/A,FALSE,"REPORT"}</definedName>
    <definedName name="_Apr03" localSheetId="7" hidden="1">{"Statement of Income",#N/A,TRUE,"Mar99";"Balance Sheet",#N/A,TRUE,"Mar99"}</definedName>
    <definedName name="_Apr04" localSheetId="7" hidden="1">{"Statement of Income",#N/A,TRUE,"Mar99";"Balance Sheet",#N/A,TRUE,"Mar99"}</definedName>
    <definedName name="_aug04" localSheetId="7" hidden="1">{"Statement of Income",#N/A,TRUE,"Mar99";"Balance Sheet",#N/A,TRUE,"Mar99"}</definedName>
    <definedName name="_b111" localSheetId="7" hidden="1">{#N/A,#N/A,FALSE,"Pharm";#N/A,#N/A,FALSE,"WWCM"}</definedName>
    <definedName name="_bdm.06aba940d10f4e9891315ec61059704a.edm" localSheetId="7" hidden="1">#REF!</definedName>
    <definedName name="_bdm.09e26870c38b4357a6aea2e373b7c6f1.edm" localSheetId="7" hidden="1">#REF!</definedName>
    <definedName name="_bdm.0c27711082264dd6b5cca30486d67157.edm" localSheetId="7" hidden="1">#REF!</definedName>
    <definedName name="_bdm.0ecff46e37b340048eaa524490633844.edm" localSheetId="7" hidden="1">#REF!</definedName>
    <definedName name="_bdm.0f344057a599479ea2b6147d4d0e3c5f.edm" localSheetId="7" hidden="1">#REF!</definedName>
    <definedName name="_bdm.107A9799626E4FC8B49DB037971FCDD2.edm" localSheetId="7" hidden="1">#REF!</definedName>
    <definedName name="_bdm.110fe0472f1e41cf8edfb7d9fbf72439.edm" localSheetId="7" hidden="1">#REF!</definedName>
    <definedName name="_bdm.12f0aa224e09430cad2ed60790ffe470.edm" localSheetId="7" hidden="1">#REF!</definedName>
    <definedName name="_bdm.1420e4c1048149d99f99db2566dfb5b6.edm" localSheetId="7" hidden="1">#REF!</definedName>
    <definedName name="_bdm.1497adb1f2b54105a4df4bc37a84c6c4.edm" localSheetId="7" hidden="1">#REF!</definedName>
    <definedName name="_bdm.1965d84e9dac42d2be9d9bf87fe61145.edm" localSheetId="7" hidden="1">#REF!</definedName>
    <definedName name="_bdm.1a29c1eb2dc64e088b7ad86656a9e874.edm" localSheetId="7" hidden="1">#REF!</definedName>
    <definedName name="_bdm.1a8de28cc6974690bbf0cff346208b17.edm" localSheetId="7" hidden="1">#REF!</definedName>
    <definedName name="_bdm.1b397b7c00064e61aa76d0144b785fe0.edm" localSheetId="7" hidden="1">#REF!</definedName>
    <definedName name="_bdm.1c518483f1b34bf589326925c6ad47f2.edm" localSheetId="7" hidden="1">#REF!</definedName>
    <definedName name="_bdm.214561e77c784af08279f1e267b69e4c.edm" localSheetId="7" hidden="1">#REF!</definedName>
    <definedName name="_bdm.2238af81b1df48a99cdf3fc2eac364e0.edm" localSheetId="7" hidden="1">#REF!</definedName>
    <definedName name="_bdm.234f7a16e72f40a0845104532184609f.edm" localSheetId="7" hidden="1">#REF!</definedName>
    <definedName name="_bdm.26445cecadca4d17a13d767e2fdc29fb.edm" localSheetId="7" hidden="1">#REF!</definedName>
    <definedName name="_bdm.26e841ef35ab4eb6affb63c417cc4c35.edm" localSheetId="7" hidden="1">#REF!</definedName>
    <definedName name="_bdm.29702e413a104ff5a9371b3ec0f1e346.edm" localSheetId="7" hidden="1">#REF!</definedName>
    <definedName name="_bdm.2a74673ecafc406ebd20d27a2d20d8db.edm" localSheetId="7" hidden="1">#REF!</definedName>
    <definedName name="_bdm.2aeb20c3e92449beb4f64a19da293aae.edm" localSheetId="7" hidden="1">#REF!</definedName>
    <definedName name="_bdm.3243e94bedbf4599a63778c5179a9b09.edm" localSheetId="7" hidden="1">#REF!</definedName>
    <definedName name="_bdm.332938db69b349d08ea559a761998da8.edm" localSheetId="7" hidden="1">#REF!</definedName>
    <definedName name="_bdm.33f753569bdc4b8fae2126d83823e39f.edm" localSheetId="7" hidden="1">#REF!</definedName>
    <definedName name="_bdm.3749b8233bd94fbb97c5bf2340186fff.edm" localSheetId="7" hidden="1">#REF!</definedName>
    <definedName name="_bdm.3b8b6c75df1847e2b4c8054302cc61b8.edm" localSheetId="7" hidden="1">#REF!</definedName>
    <definedName name="_bdm.3bbbdad2c6ff46689a0c5056d2bca420.edm" localSheetId="7" hidden="1">#REF!</definedName>
    <definedName name="_bdm.3c295d39c4ca459f94ea51cb739309b9.edm" localSheetId="7" hidden="1">#REF!</definedName>
    <definedName name="_bdm.41291a97341f414c839ef174f521a6aa.edm" localSheetId="7" hidden="1">#REF!</definedName>
    <definedName name="_bdm.440ce4c88b06424d942f877ea996d545.edm" localSheetId="7" hidden="1">#REF!</definedName>
    <definedName name="_bdm.47285f811d0143979ceb9834d0043a8d.edm" localSheetId="7" hidden="1">#REF!</definedName>
    <definedName name="_bdm.4823498195f64b0fa90e1a741418009c.edm" localSheetId="7" hidden="1">#REF!</definedName>
    <definedName name="_bdm.49565361dbda41eab60069382827a057.edm" localSheetId="7" hidden="1">#REF!</definedName>
    <definedName name="_bdm.4bc3f84aac74476fb6b30639df9457e6.edm" localSheetId="7" hidden="1">#REF!</definedName>
    <definedName name="_bdm.4fd121ca66564828a3b31134ce8761d6.edm" localSheetId="7" hidden="1">#REF!</definedName>
    <definedName name="_bdm.56759a0aaab9447da1feaf28376f3f18.edm" localSheetId="7" hidden="1">#REF!</definedName>
    <definedName name="_bdm.585db46637e84fdbb9c96eb7fa844a10.edm" localSheetId="7" hidden="1">#REF!</definedName>
    <definedName name="_bdm.5B55EC15D59D494AA5E3D74BF9AE6CDB.edm" localSheetId="7" hidden="1">#REF!</definedName>
    <definedName name="_bdm.5c152d30ac0747f79c24f036e6a05020.edm" localSheetId="7" hidden="1">#REF!</definedName>
    <definedName name="_bdm.5d3c0e326a334d279f76e57f90740956.edm" localSheetId="7" hidden="1">#REF!</definedName>
    <definedName name="_bdm.5d44ab69fbb040c7bc1f0362425a561d.edm" localSheetId="7" hidden="1">#REF!</definedName>
    <definedName name="_bdm.6517d25ae5414d19b53ecc71e4866bb9.edm" localSheetId="7" hidden="1">#REF!</definedName>
    <definedName name="_bdm.66202a0bdac64c43a5a7f83fd8de7c9f.edm" localSheetId="7" hidden="1">#REF!</definedName>
    <definedName name="_bdm.6690f7a1b49046cd92e6613dfaef875d.edm" localSheetId="7" hidden="1">#REF!</definedName>
    <definedName name="_bdm.68bfd4388f7043ed9321ec5178f77d37.edm" localSheetId="7" hidden="1">#REF!</definedName>
    <definedName name="_bdm.695146503cea4412b0664012f646045f.edm" localSheetId="7" hidden="1">#REF!</definedName>
    <definedName name="_bdm.69c201d82a644eca8a9fbed036d32601.edm" localSheetId="7" hidden="1">#REF!</definedName>
    <definedName name="_bdm.6ba6e74e6eb748d583cd9321429e307b.edm" localSheetId="7" hidden="1">#REF!</definedName>
    <definedName name="_bdm.6d7dc00e546f4af4a97581b467c60e24.edm" localSheetId="7" hidden="1">#REF!</definedName>
    <definedName name="_bdm.705bdc931efa45a38c8e79cc7b403c80.edm" localSheetId="7" hidden="1">#REF!</definedName>
    <definedName name="_bdm.72599d5820f046f79580d875534f093a.edm" localSheetId="7" hidden="1">#REF!</definedName>
    <definedName name="_bdm.72733edca7d54cd2b5c4d91c4dca0d87.edm" localSheetId="7" hidden="1">#REF!</definedName>
    <definedName name="_bdm.740fc54ffb42446ca63ea59791c98f7f.edm" localSheetId="7" hidden="1">#REF!</definedName>
    <definedName name="_bdm.752f7def96f14bc3accad76e5e3cdd88.edm" localSheetId="7" hidden="1">#REF!</definedName>
    <definedName name="_bdm.77eb6f822121492aa3868cae88abcecb.edm" localSheetId="7" hidden="1">#REF!</definedName>
    <definedName name="_bdm.7e2ade1d496b41699589357f401fda88.edm" localSheetId="7" hidden="1">#REF!</definedName>
    <definedName name="_bdm.81cf058de8eb44c0968677f4f1b16ca0.edm" localSheetId="7" hidden="1">#REF!</definedName>
    <definedName name="_bdm.84e52997677e4d24b08c10da4c726f80.edm" localSheetId="7" hidden="1">#REF!</definedName>
    <definedName name="_bdm.88462335defc4036849a815ca4416c8c.edm" localSheetId="7" hidden="1">#REF!</definedName>
    <definedName name="_bdm.8a3c598aee154ff6931ce6dd468ddaea.edm" localSheetId="7" hidden="1">#REF!</definedName>
    <definedName name="_bdm.8a44d1c95ac34250b264a3a864fcb86b.edm" localSheetId="7" hidden="1">#REF!</definedName>
    <definedName name="_bdm.8a55a33b552e451fb03ec997b9731453.edm" localSheetId="7" hidden="1">#REF!</definedName>
    <definedName name="_bdm.8c9a430faa154994a2270cae796eb559.edm" localSheetId="7" hidden="1">#REF!</definedName>
    <definedName name="_bdm.8cdb7ccd95d74af990906609ea35dfbc.edm" localSheetId="7" hidden="1">#REF!</definedName>
    <definedName name="_bdm.8dfc430906c342bd882d6a98b39b69f1.edm" localSheetId="7" hidden="1">#REF!</definedName>
    <definedName name="_bdm.9091c479dd1b47ec874324364a5b9ae3.edm" localSheetId="7" hidden="1">#REF!</definedName>
    <definedName name="_bdm.913e03f58e1f4452963c57a381265ee7.edm" localSheetId="7" hidden="1">#REF!</definedName>
    <definedName name="_bdm.93ca406dc6834ae69565065edc9c2485.edm" localSheetId="7" hidden="1">#REF!</definedName>
    <definedName name="_bdm.959e76887e7543758f2e98344fea62e5.edm" localSheetId="7" hidden="1">#REF!</definedName>
    <definedName name="_bdm.9686b5ad8e454bdc831589f3096d9a75.edm" localSheetId="7" hidden="1">#REF!</definedName>
    <definedName name="_bdm.9CDC35CDB7B143079762F320F757C403.edm" localSheetId="7" hidden="1">#REF!</definedName>
    <definedName name="_bdm.a0309f58e97b4c6d8322611907706b6a.edm" localSheetId="7" hidden="1">#REF!</definedName>
    <definedName name="_bdm.a1e0c8fa41d44456bd3fd7eb5a5d9627.edm" localSheetId="7" hidden="1">#REF!</definedName>
    <definedName name="_bdm.a2767cf6f5294501949b9f3c21b3776d.edm" localSheetId="7" hidden="1">#REF!</definedName>
    <definedName name="_bdm.a4ade6bf31a84e6bacb74a8df69fca58.edm" localSheetId="7" hidden="1">#REF!</definedName>
    <definedName name="_bdm.a69419b31f744796b987db38ad0d649e.edm" localSheetId="7" hidden="1">#REF!</definedName>
    <definedName name="_bdm.a7155ec8dbbd466e9e9760143496bc24.edm" localSheetId="7" hidden="1">#REF!</definedName>
    <definedName name="_bdm.a8e01da119ca4d9c97d0184b931b4420.edm" localSheetId="7" hidden="1">#REF!</definedName>
    <definedName name="_bdm.A9E8F2214015449F99BBFDAC629C22DB.edm" localSheetId="7" hidden="1">#REF!</definedName>
    <definedName name="_bdm.ab7b7b42d23245188962b044b04613e6.edm" localSheetId="7" hidden="1">#REF!</definedName>
    <definedName name="_bdm.acacaaab71bd41e0b29ad58a8364f331.edm" localSheetId="7" hidden="1">#REF!</definedName>
    <definedName name="_bdm.acefef0cf05b4befa5daff43bfd4bb8b.edm" localSheetId="7" hidden="1">#REF!</definedName>
    <definedName name="_bdm.b1683122ac6b4606ba091a2d30a53c97.edm" localSheetId="7" hidden="1">#REF!</definedName>
    <definedName name="_bdm.b4d515774e7a423c8064201e48a64c9c.edm" localSheetId="7" hidden="1">#REF!</definedName>
    <definedName name="_bdm.b5d441b04f98485b9fa2305f394ea693.edm" localSheetId="7" hidden="1">#REF!</definedName>
    <definedName name="_bdm.b6296d9d69be44d3b0ab376cc7a2077d.edm" localSheetId="7" hidden="1">#REF!</definedName>
    <definedName name="_bdm.b66241962f6f4cf6a41d86d230025c5f.edm" localSheetId="7" hidden="1">#REF!</definedName>
    <definedName name="_bdm.B78A2F570E0D4F80A27689B75CAACA19.edm" localSheetId="7" hidden="1">#REF!</definedName>
    <definedName name="_bdm.bae08ec90f6946df8081afc258d047e2.edm" localSheetId="7" hidden="1">#REF!</definedName>
    <definedName name="_bdm.bb2880eacbfa40f28db22aef1696cb1f.edm" localSheetId="7" hidden="1">#REF!</definedName>
    <definedName name="_bdm.bfdbf5fa636b44d9a2044c3bf3f4fce1.edm" localSheetId="7" hidden="1">#REF!</definedName>
    <definedName name="_bdm.c337c662ace64983b75f1598939e1ca0.edm" localSheetId="7" hidden="1">#REF!</definedName>
    <definedName name="_bdm.c82f6d59ab0f4183ab7982284f6ca023.edm" localSheetId="7" hidden="1">#REF!</definedName>
    <definedName name="_bdm.c95f0efb7afc4bddb5661b316a446c20.edm" localSheetId="7" hidden="1">#REF!</definedName>
    <definedName name="_bdm.CAAD75B892744DA7A396804116BF19C2.edm" localSheetId="7" hidden="1">#REF!</definedName>
    <definedName name="_bdm.CCC9810E33DE4D12B7AF2ADB20F5BEB6.edm" localSheetId="7" hidden="1">#REF!</definedName>
    <definedName name="_bdm.d1968915ea1d488ba2e70cb188c7112f.edm" localSheetId="7" hidden="1">#REF!</definedName>
    <definedName name="_bdm.d1ca68b227d84bca98bb89dba783a220.edm" localSheetId="7" hidden="1">#REF!</definedName>
    <definedName name="_bdm.d267de5bccac46c4a3b6fd653ff128a9.edm" localSheetId="7" hidden="1">#REF!</definedName>
    <definedName name="_bdm.d53f47b82daf45e4868929e6a4a61b28.edm" localSheetId="7" hidden="1">#REF!</definedName>
    <definedName name="_bdm.d5905c45accc467d8e0cbecfbdb6d351.edm" localSheetId="7" hidden="1">#REF!</definedName>
    <definedName name="_bdm.da19e4131cb1467a902e377b3a70585c.edm" localSheetId="7" hidden="1">#REF!</definedName>
    <definedName name="_bdm.DB532E19E1024187875B38658C500AFB.edm" localSheetId="7" hidden="1">#REF!</definedName>
    <definedName name="_bdm.dcae2f7028fe4979b995dfb76193bf08.edm" localSheetId="7" hidden="1">#REF!</definedName>
    <definedName name="_bdm.df41725d793e46f38e1f8990b163397d.edm" localSheetId="7" hidden="1">#REF!</definedName>
    <definedName name="_bdm.e35c9784e4ad47a7a5c78064174100d9.edm" localSheetId="7" hidden="1">#REF!</definedName>
    <definedName name="_bdm.e570225ffa854d47a1516065465b8c39.edm" localSheetId="7" hidden="1">#REF!</definedName>
    <definedName name="_bdm.e6bcf26036b34f4db6695a8b5c33b57a.edm" localSheetId="7" hidden="1">#REF!</definedName>
    <definedName name="_bdm.ea29e06f9ded4e86b9cbf4762b02bddd.edm" localSheetId="7" hidden="1">#REF!</definedName>
    <definedName name="_bdm.ebbe593872c146e495157e215b93eeb9.edm" localSheetId="7" hidden="1">#REF!</definedName>
    <definedName name="_bdm.f657bf8812554f2393edb0592314ae5c.edm" localSheetId="7" hidden="1">#REF!</definedName>
    <definedName name="_bdm.f65f2519a1cc483eb303d30ed9683ea7.edm" localSheetId="7" hidden="1">#REF!</definedName>
    <definedName name="_bdm.f98f720359e04de195dafd5feb1f2931.edm" localSheetId="7" hidden="1">#REF!</definedName>
    <definedName name="_bdm.fae8c1993a0348c6bd3f3f88bca1680b.edm" localSheetId="7" hidden="1">#REF!</definedName>
    <definedName name="_bdm.faefdaef13054963acdeec03973192fb.edm" localSheetId="7" hidden="1">#REF!</definedName>
    <definedName name="_bdm.FB8D8AB244B64BB9B4F5F5A4C5205085.edm" localSheetId="7" hidden="1">#REF!</definedName>
    <definedName name="_bdm.fbf2cf8320134cd6b6acb7e0469adae4.edm" localSheetId="7" hidden="1">#REF!</definedName>
    <definedName name="_bdm.fbf95f80a8a345a8a68e5f1c32ce5841.edm" localSheetId="7" hidden="1">#REF!</definedName>
    <definedName name="_bdm.fc1c10be5f384f7f9699c11635fbdb69.edm" localSheetId="7" hidden="1">#REF!</definedName>
    <definedName name="_bdm.fc61fabc452f40daa3bf7256b8675373.edm" localSheetId="7" hidden="1">#REF!</definedName>
    <definedName name="_c" localSheetId="7" hidden="1">{"Fiesta Facer Page",#N/A,FALSE,"Q_C_S";"Fiesta Main Page",#N/A,FALSE,"V_L";"Fiesta 95BP Struct",#N/A,FALSE,"StructBP";"Fiesta Post 95BP Struct",#N/A,FALSE,"AdjStructBP"}</definedName>
    <definedName name="_Dec01" localSheetId="7" hidden="1">{"Statement of Income",#N/A,TRUE,"Mar99";"Balance Sheet",#N/A,TRUE,"Mar99"}</definedName>
    <definedName name="_Dist_Values" localSheetId="7" hidden="1">#REF!</definedName>
    <definedName name="_feb01" localSheetId="7" hidden="1">{"Statement of Income",#N/A,TRUE,"Mar99";"Balance Sheet",#N/A,TRUE,"Mar99"}</definedName>
    <definedName name="_feb02" localSheetId="7" hidden="1">{"Statement of Income",#N/A,TRUE,"Mar99";"Balance Sheet",#N/A,TRUE,"Mar99"}</definedName>
    <definedName name="_Fill" localSheetId="7" hidden="1">#REF!</definedName>
    <definedName name="_Jun02" localSheetId="7" hidden="1">{"Statement of Income",#N/A,TRUE,"Mar99";"Balance Sheet",#N/A,TRUE,"Mar99"}</definedName>
    <definedName name="_Key1" localSheetId="7" hidden="1">#REF!</definedName>
    <definedName name="_Key2" localSheetId="7" hidden="1">#REF!</definedName>
    <definedName name="_Mar03" localSheetId="7" hidden="1">{"Statement of Income",#N/A,TRUE,"Mar99";"Balance Sheet",#N/A,TRUE,"Mar99"}</definedName>
    <definedName name="_Mar04" localSheetId="7" hidden="1">{"Statement of Income",#N/A,TRUE,"Mar99";"Balance Sheet",#N/A,TRUE,"Mar99"}</definedName>
    <definedName name="_new1" localSheetId="7" hidden="1">{#N/A,#N/A,FALSE,"Pharm";#N/A,#N/A,FALSE,"WWCM"}</definedName>
    <definedName name="_o1" localSheetId="7" hidden="1">{#N/A,#N/A,FALSE,"SUMMARY";#N/A,#N/A,FALSE,"mcsh";#N/A,#N/A,FALSE,"vol&amp;rev";#N/A,#N/A,FALSE,"wkgcap";#N/A,#N/A,FALSE,"DEPR&amp;DT";#N/A,#N/A,FALSE,"ASSETS";#N/A,#N/A,FALSE,"NI&amp;OTH&amp;DIV";#N/A,#N/A,FALSE,"CASHFLOW";#N/A,#N/A,FALSE,"CAPEMPL";#N/A,#N/A,FALSE,"ROCE"}</definedName>
    <definedName name="_OCT01" localSheetId="7" hidden="1">{"Statement of Income",#N/A,TRUE,"Mar99";"Balance Sheet",#N/A,TRUE,"Mar99"}</definedName>
    <definedName name="_OCT03" localSheetId="7" hidden="1">{"Statement of Income",#N/A,TRUE,"Mar99";"Balance Sheet",#N/A,TRUE,"Mar99"}</definedName>
    <definedName name="_Parse_In" localSheetId="7" hidden="1">#REF!</definedName>
    <definedName name="_Parse_Out" localSheetId="7" hidden="1">#REF!</definedName>
    <definedName name="_r" localSheetId="7" hidden="1">{#N/A,#N/A,FALSE,"Pharm";#N/A,#N/A,FALSE,"WWCM"}</definedName>
    <definedName name="_Regression_Out" localSheetId="7" hidden="1">#REF!</definedName>
    <definedName name="_Regression_X" localSheetId="7" hidden="1">#REF!</definedName>
    <definedName name="_Regression_Y" localSheetId="7" hidden="1">#REF!</definedName>
    <definedName name="_SEP01" localSheetId="7" hidden="1">{"Statement of Income",#N/A,TRUE,"Mar99";"Balance Sheet",#N/A,TRUE,"Mar99"}</definedName>
    <definedName name="_Sep03" localSheetId="7" hidden="1">{"Statement of Income",#N/A,TRUE,"Mar99";"Balance Sheet",#N/A,TRUE,"Mar99"}</definedName>
    <definedName name="_Sort" localSheetId="7" hidden="1">#REF!</definedName>
    <definedName name="_Table1_In1" localSheetId="7" hidden="1">#REF!</definedName>
    <definedName name="_Table1_Out" localSheetId="7" hidden="1">#REF!</definedName>
    <definedName name="_Table2_In1" localSheetId="7" hidden="1">#REF!</definedName>
    <definedName name="_Table2_In2" localSheetId="7" hidden="1">#REF!</definedName>
    <definedName name="_Table2_Out" localSheetId="7" hidden="1">#REF!</definedName>
    <definedName name="_tm1" localSheetId="7" hidden="1">{#N/A,#N/A,FALSE,"Pharm";#N/A,#N/A,FALSE,"WWCM"}</definedName>
    <definedName name="_TMAutoChart1Names" localSheetId="7" hidden="1">{"Timeline","Chart 6","Timeline Chart 6"}</definedName>
    <definedName name="_TMAutoChart1Refs" localSheetId="7" hidden="1">{"","","'Timeline'!$F$16","'Timeline'!$F$25","","","","","",""}</definedName>
    <definedName name="_TMAutoChart2Names" localSheetId="7" hidden="1">{"Timeline","Chart 6","Timeline Chart 6"}</definedName>
    <definedName name="_TMAutoChart2Refs" localSheetId="7" hidden="1">{"","","'Timeline'!$F$16","'Timeline'!$H$25","","","","","",""}</definedName>
    <definedName name="_ww2" localSheetId="7" hidden="1">{#N/A,#N/A,FALSE,"Admin";#N/A,#N/A,FALSE,"Other"}</definedName>
    <definedName name="_X2" localSheetId="7" hidden="1">{#N/A,#N/A,FALSE,"Other";#N/A,#N/A,FALSE,"Ace";#N/A,#N/A,FALSE,"Derm"}</definedName>
    <definedName name="_xlcn.WorksheetConnection_CapexA19F431" localSheetId="7" hidden="1">#REF!</definedName>
    <definedName name="aa" localSheetId="7" hidden="1">{#N/A,#N/A,FALSE,"Pharm";#N/A,#N/A,FALSE,"WWCM"}</definedName>
    <definedName name="aaa" localSheetId="7" hidden="1">{"BS",#N/A,FALSE,"USA"}</definedName>
    <definedName name="aaaa" localSheetId="7" hidden="1">{#N/A,#N/A,FALSE,"REPORT"}</definedName>
    <definedName name="aaaaa" localSheetId="7" hidden="1">{#N/A,#N/A,TRUE,"BUD VS ACT AUST 96";#N/A,#N/A,TRUE,"96 COMP P&amp;L-AUST";#N/A,#N/A,TRUE,"COMP BS-AUSTRALIA";#N/A,#N/A,TRUE,"B/S - AUSTR."}</definedName>
    <definedName name="aaaaaa" localSheetId="7" hidden="1">{#N/A,#N/A,FALSE,"REPORT"}</definedName>
    <definedName name="aaaaaaa" localSheetId="7" hidden="1">{"barlup",#N/A,FALSE,"evabnk97";"gillespey",#N/A,FALSE,"evabnk97";"koon",#N/A,FALSE,"evabnk97";"schreur",#N/A,FALSE,"evabnk97";"stone",#N/A,FALSE,"evabnk97";"wichmann",#N/A,FALSE,"evabnk97";"wright",#N/A,FALSE,"evabnk97"}</definedName>
    <definedName name="aaaaaaaaaaa" localSheetId="7" hidden="1">{#N/A,#N/A,FALSE,"REPORT"}</definedName>
    <definedName name="aaaaaaaaaaaa" localSheetId="7" hidden="1">{#N/A,#N/A,TRUE,"BUD VS ACT AUST 96";#N/A,#N/A,TRUE,"96 COMP P&amp;L-AUST";#N/A,#N/A,TRUE,"COMP BS-AUSTRALIA";#N/A,#N/A,TRUE,"B/S - AUSTR."}</definedName>
    <definedName name="aaaaaaaaaaaaaaa" localSheetId="7" hidden="1">{#N/A,#N/A,FALSE,"Pharm";#N/A,#N/A,FALSE,"WWCM"}</definedName>
    <definedName name="aaasb" localSheetId="7" hidden="1">{#N/A,#N/A,FALSE,"Pharm";#N/A,#N/A,FALSE,"WWCM"}</definedName>
    <definedName name="aab" localSheetId="7" hidden="1">{#N/A,#N/A,FALSE,"Pharm";#N/A,#N/A,FALSE,"WWCM"}</definedName>
    <definedName name="aaddd" localSheetId="7" hidden="1">{#N/A,#N/A,FALSE,"REPORT"}</definedName>
    <definedName name="aas" localSheetId="7" hidden="1">{#N/A,#N/A,FALSE,"1";#N/A,#N/A,FALSE,"2";#N/A,#N/A,FALSE,"16 - 17";#N/A,#N/A,FALSE,"18 - 19";#N/A,#N/A,FALSE,"26";#N/A,#N/A,FALSE,"27";#N/A,#N/A,FALSE,"28"}</definedName>
    <definedName name="ABC" localSheetId="7" hidden="1">{#N/A,#N/A,TRUE,"BUD VS ACT AUST 96";#N/A,#N/A,TRUE,"96 COMP P&amp;L-AUST";#N/A,#N/A,TRUE,"COMP BS-AUSTRALIA";#N/A,#N/A,TRUE,"B/S - AUSTR."}</definedName>
    <definedName name="abc.abc" localSheetId="7" hidden="1">{"cash flow - FY02",#N/A,FALSE,"P &amp; L";"cash flow - FY03",#N/A,FALSE,"P &amp; L"}</definedName>
    <definedName name="abc.abc2" localSheetId="7" hidden="1">{"cash flow - FY02",#N/A,FALSE,"P &amp; L";"cash flow - FY03",#N/A,FALSE,"P &amp; L"}</definedName>
    <definedName name="absfghbtg" localSheetId="7" hidden="1">#REF!,#REF!,#REF!,#REF!,#REF!,#REF!,#REF!,#REF!,#REF!,#REF!,#REF!,#REF!,#REF!,#REF!,#REF!,#REF!,#REF!,#REF!,#REF!,#REF!,#REF!,#REF!,#REF!,#REF!,#REF!,#REF!,#REF!,#REF!,#REF!,#REF!,#REF!,#REF!,#REF!,#REF!,#REF!,#REF!,#REF!,#REF!,#REF!,#REF!,#REF!,#REF!,#REF!,#REF!,#REF!,#REF!,#REF!,#REF!,#REF!,#REF!,#REF!,#REF!,#REF!,#REF!</definedName>
    <definedName name="acc" localSheetId="7" hidden="1">{"Accretion",#N/A,FALSE,"Assum"}</definedName>
    <definedName name="adasa" localSheetId="7" hidden="1">{"'Sheet1'!$A$1:$J$121"}</definedName>
    <definedName name="adfadf" localSheetId="7" hidden="1">{"'Sheet1'!$A$1:$J$121"}</definedName>
    <definedName name="adfgasdysty" localSheetId="7" hidden="1">{#N/A,#N/A,FALSE,"REPORT"}</definedName>
    <definedName name="adfsfjfjky" localSheetId="7" hidden="1">{#N/A,#N/A,FALSE,"REPORT"}</definedName>
    <definedName name="adhad" localSheetId="7" hidden="1">{"'Sheet1'!$A$1:$J$121"}</definedName>
    <definedName name="AFDADSFDAS" localSheetId="7" hidden="1">{#N/A,#N/A,FALSE,"REPORT"}</definedName>
    <definedName name="africa" localSheetId="7" hidden="1">{#N/A,#N/A,FALSE,"CNS";#N/A,#N/A,FALSE,"Serz";#N/A,#N/A,FALSE,"Ace"}</definedName>
    <definedName name="agafdhsdh" localSheetId="7" hidden="1">{#N/A,#N/A,FALSE,"REPORT"}</definedName>
    <definedName name="agsgaghgfj" localSheetId="7" hidden="1">{#N/A,#N/A,FALSE,"Pharm";#N/A,#N/A,FALSE,"WWCM"}</definedName>
    <definedName name="alb" localSheetId="7" hidden="1">{#N/A,#N/A,FALSE,"Summary";#N/A,#N/A,FALSE,"Edit";#N/A,#N/A,FALSE,"MedProf";#N/A,#N/A,FALSE,"Proj Mgt";#N/A,#N/A,FALSE,"Creat Svc";#N/A,#N/A,FALSE,"Meet Svc";#N/A,#N/A,FALSE,"Non-OCC";#N/A,#N/A,FALSE,"Client Svc";#N/A,#N/A,FALSE,"Bus Dev";#N/A,#N/A,FALSE,"Indirect"}</definedName>
    <definedName name="alex" localSheetId="7" hidden="1">{#N/A,#N/A,FALSE,"REPORT"}</definedName>
    <definedName name="alexan" localSheetId="7" hidden="1">{#N/A,#N/A,FALSE,"REPORT"}</definedName>
    <definedName name="andy" localSheetId="7" hidden="1">{#N/A,#N/A,FALSE,"REPORT"}</definedName>
    <definedName name="Apr00" localSheetId="7" hidden="1">{"Statement of Income",#N/A,TRUE,"Mar99";"Balance Sheet",#N/A,TRUE,"Mar99"}</definedName>
    <definedName name="Apr00TB" localSheetId="7" hidden="1">{"Statement of Income",#N/A,TRUE,"Mar99";"Balance Sheet",#N/A,TRUE,"Mar99"}</definedName>
    <definedName name="AS" localSheetId="7"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AS2TickmarkLS" localSheetId="7" hidden="1">#REF!</definedName>
    <definedName name="asas" localSheetId="7" hidden="1">{#N/A,#N/A,FALSE,"Pharm";#N/A,#N/A,FALSE,"WWCM"}</definedName>
    <definedName name="asd" localSheetId="7" hidden="1">{#N/A,#N/A,FALSE,"Pharm";#N/A,#N/A,FALSE,"WWCM"}</definedName>
    <definedName name="asdfadsf" localSheetId="7" hidden="1">{"'Sheet1'!$A$1:$J$121"}</definedName>
    <definedName name="asdfg" localSheetId="7" hidden="1">{#N/A,#N/A,FALSE,"Pharm";#N/A,#N/A,FALSE,"WWCM"}</definedName>
    <definedName name="asdgahdfhth" localSheetId="7" hidden="1">{#N/A,#N/A,FALSE,"REPORT"}</definedName>
    <definedName name="asdgayery" localSheetId="7" hidden="1">{#N/A,#N/A,FALSE,"Pharm";#N/A,#N/A,FALSE,"WWCM"}</definedName>
    <definedName name="asdgfdytyet" localSheetId="7" hidden="1">{#N/A,#N/A,FALSE,"REPORT"}</definedName>
    <definedName name="asdgtryukuio" localSheetId="7" hidden="1">{#N/A,#N/A,FALSE,"REPORT"}</definedName>
    <definedName name="asdjgkl" localSheetId="7" hidden="1">{#N/A,#N/A,FALSE,"Pharm";#N/A,#N/A,FALSE,"WWCM"}</definedName>
    <definedName name="asfasdf" localSheetId="7" hidden="1">#REF!</definedName>
    <definedName name="asffghujyki" localSheetId="7" hidden="1">{#N/A,#N/A,FALSE,"Pharm";#N/A,#N/A,FALSE,"WWCM"}</definedName>
    <definedName name="ASSA" localSheetId="7" hidden="1">{#N/A,#N/A,FALSE,"1";#N/A,#N/A,FALSE,"2";#N/A,#N/A,FALSE,"16 - 17";#N/A,#N/A,FALSE,"18 - 19";#N/A,#N/A,FALSE,"26";#N/A,#N/A,FALSE,"27";#N/A,#N/A,FALSE,"28"}</definedName>
    <definedName name="aust" localSheetId="7" hidden="1">{#N/A,#N/A,TRUE,"BUD VS ACT AUST 96";#N/A,#N/A,TRUE,"96 COMP P&amp;L-AUST";#N/A,#N/A,TRUE,"COMP BS-AUSTRALIA";#N/A,#N/A,TRUE,"B/S - AUSTR."}</definedName>
    <definedName name="awe" localSheetId="7" hidden="1">{#N/A,#N/A,FALSE,"COVER";#N/A,#N/A,FALSE,"Index";#N/A,#N/A,FALSE,"Non-Earning";#N/A,#N/A,FALSE,"Commercial";#N/A,#N/A,FALSE,"Detailed"}</definedName>
    <definedName name="AX" localSheetId="7" hidden="1">{#N/A,#N/A,FALSE,"Pharm";#N/A,#N/A,FALSE,"WWCM"}</definedName>
    <definedName name="ayman" localSheetId="7" hidden="1">{#N/A,#N/A,FALSE,"1";#N/A,#N/A,FALSE,"2";#N/A,#N/A,FALSE,"16 - 17";#N/A,#N/A,FALSE,"18 - 19";#N/A,#N/A,FALSE,"26";#N/A,#N/A,FALSE,"27";#N/A,#N/A,FALSE,"28"}</definedName>
    <definedName name="ayman1" localSheetId="7" hidden="1">{#N/A,#N/A,FALSE,"Pharm";#N/A,#N/A,FALSE,"WWCM"}</definedName>
    <definedName name="ayman2" localSheetId="7" hidden="1">{#N/A,#N/A,FALSE,"Pharm";#N/A,#N/A,FALSE,"WWCM"}</definedName>
    <definedName name="ayman7" localSheetId="7" hidden="1">{#N/A,#N/A,FALSE,"REPORT"}</definedName>
    <definedName name="ayman8" localSheetId="7" hidden="1">{#N/A,#N/A,FALSE,"REPORT"}</definedName>
    <definedName name="az" localSheetId="7" hidden="1">{#N/A,#N/A,FALSE,"Pharm";#N/A,#N/A,FALSE,"WWCM"}</definedName>
    <definedName name="azeazr" localSheetId="7" hidden="1">{#N/A,#N/A,FALSE,"Sales Graph";#N/A,#N/A,FALSE,"BUC Graph";#N/A,#N/A,FALSE,"P&amp;L - YTD"}</definedName>
    <definedName name="azerety" localSheetId="7" hidden="1">{#N/A,#N/A,FALSE,"Pharm";#N/A,#N/A,FALSE,"WWCM"}</definedName>
    <definedName name="b" localSheetId="7" hidden="1">{"barlup",#N/A,FALSE,"evabnk97";"gillespey",#N/A,FALSE,"evabnk97";"koon",#N/A,FALSE,"evabnk97";"schreur",#N/A,FALSE,"evabnk97";"stone",#N/A,FALSE,"evabnk97";"wichmann",#N/A,FALSE,"evabnk97";"wright",#N/A,FALSE,"evabnk97"}</definedName>
    <definedName name="bbb" localSheetId="7" hidden="1">{#N/A,#N/A,FALSE,"Pharm";#N/A,#N/A,FALSE,"WWCM"}</definedName>
    <definedName name="bbbb" localSheetId="7" hidden="1">{#N/A,#N/A,FALSE,"REPORT"}</definedName>
    <definedName name="bbbbb" localSheetId="7" hidden="1">{#N/A,#N/A,TRUE,"BUD VS ACT AUST 96";#N/A,#N/A,TRUE,"96 COMP P&amp;L-AUST";#N/A,#N/A,TRUE,"COMP BS-AUSTRALIA";#N/A,#N/A,TRUE,"B/S - AUSTR."}</definedName>
    <definedName name="BBBBBB" localSheetId="7" hidden="1">{#N/A,#N/A,FALSE,"REPORT"}</definedName>
    <definedName name="BBBBBBBBB" localSheetId="7" hidden="1">{#N/A,#N/A,FALSE,"REPORT"}</definedName>
    <definedName name="bbbbbbbbbbbbb" localSheetId="7" hidden="1">{#N/A,#N/A,FALSE,"Pharm";#N/A,#N/A,FALSE,"WWCM"}</definedName>
    <definedName name="BLPH1" localSheetId="7" hidden="1">#REF!</definedName>
    <definedName name="BLPH15" localSheetId="7" hidden="1">#REF!</definedName>
    <definedName name="BLPH16" localSheetId="7" hidden="1">#REF!</definedName>
    <definedName name="BLPH176" localSheetId="7" hidden="1">#REF!</definedName>
    <definedName name="BLPH177" localSheetId="7" hidden="1">#REF!</definedName>
    <definedName name="BLPH178" localSheetId="7" hidden="1">#REF!</definedName>
    <definedName name="BLPH179" localSheetId="7" hidden="1">#REF!</definedName>
    <definedName name="BLPH180" localSheetId="7" hidden="1">#REF!</definedName>
    <definedName name="BLPH181" localSheetId="7" hidden="1">#REF!</definedName>
    <definedName name="BLPH182" localSheetId="7" hidden="1">#REF!</definedName>
    <definedName name="BLPH183" localSheetId="7" hidden="1">#REF!</definedName>
    <definedName name="BLPH184" localSheetId="7" hidden="1">#REF!</definedName>
    <definedName name="BLPH195" localSheetId="7" hidden="1">#REF!</definedName>
    <definedName name="BLPH196" localSheetId="7" hidden="1">#REF!</definedName>
    <definedName name="BLPH197" localSheetId="7" hidden="1">#REF!</definedName>
    <definedName name="BLPH198" localSheetId="7" hidden="1">#REF!</definedName>
    <definedName name="BLPH199" localSheetId="7" hidden="1">#REF!</definedName>
    <definedName name="BLPH2" localSheetId="7" hidden="1">#REF!</definedName>
    <definedName name="BLPH200" localSheetId="7" hidden="1">#REF!</definedName>
    <definedName name="BLPH201" localSheetId="7" hidden="1">#REF!</definedName>
    <definedName name="BLPH202" localSheetId="7" hidden="1">#REF!</definedName>
    <definedName name="BLPH203" localSheetId="7" hidden="1">#REF!</definedName>
    <definedName name="BLPH204" localSheetId="7" hidden="1">#REF!</definedName>
    <definedName name="BLPH205" localSheetId="7" hidden="1">#REF!</definedName>
    <definedName name="BLPH206" localSheetId="7" hidden="1">#REF!</definedName>
    <definedName name="BLPH207" localSheetId="7" hidden="1">#REF!</definedName>
    <definedName name="BLPH208" localSheetId="7" hidden="1">#REF!</definedName>
    <definedName name="BLPH209" localSheetId="7" hidden="1">#REF!</definedName>
    <definedName name="BLPH210" localSheetId="7" hidden="1">#REF!</definedName>
    <definedName name="BLPH211" localSheetId="7" hidden="1">#REF!</definedName>
    <definedName name="BLPH212" localSheetId="7" hidden="1">#REF!</definedName>
    <definedName name="BLPH213" localSheetId="7" hidden="1">#REF!</definedName>
    <definedName name="BLPH214" localSheetId="7" hidden="1">#REF!</definedName>
    <definedName name="BLPH215" localSheetId="7" hidden="1">#REF!</definedName>
    <definedName name="BLPH216" localSheetId="7" hidden="1">#REF!</definedName>
    <definedName name="BLPH217" localSheetId="7" hidden="1">#REF!</definedName>
    <definedName name="BLPH218" localSheetId="7" hidden="1">#REF!</definedName>
    <definedName name="BLPH219" localSheetId="7" hidden="1">#REF!</definedName>
    <definedName name="BLPH220" localSheetId="7" hidden="1">#REF!</definedName>
    <definedName name="BLPH221" localSheetId="7" hidden="1">#REF!</definedName>
    <definedName name="BLPH222" localSheetId="7" hidden="1">#REF!</definedName>
    <definedName name="BLPH223" localSheetId="7" hidden="1">#REF!</definedName>
    <definedName name="BLPH224" localSheetId="7" hidden="1">#REF!</definedName>
    <definedName name="BLPH225" localSheetId="7" hidden="1">#REF!</definedName>
    <definedName name="BLPH226" localSheetId="7" hidden="1">#REF!</definedName>
    <definedName name="BLPH227" localSheetId="7" hidden="1">#REF!</definedName>
    <definedName name="BLPH228" localSheetId="7" hidden="1">#REF!</definedName>
    <definedName name="BLPH229" localSheetId="7" hidden="1">#REF!</definedName>
    <definedName name="BLPH230" localSheetId="7" hidden="1">#REF!</definedName>
    <definedName name="BLPH231" localSheetId="7" hidden="1">#REF!</definedName>
    <definedName name="BLPH232" localSheetId="7" hidden="1">#REF!</definedName>
    <definedName name="BLPH233" localSheetId="7" hidden="1">#REF!</definedName>
    <definedName name="BLPH234" localSheetId="7" hidden="1">#REF!</definedName>
    <definedName name="BLPH235" localSheetId="7" hidden="1">#REF!</definedName>
    <definedName name="BLPH236" localSheetId="7" hidden="1">#REF!</definedName>
    <definedName name="BLPH237" localSheetId="7" hidden="1">#REF!</definedName>
    <definedName name="BLPH238" localSheetId="7" hidden="1">#REF!</definedName>
    <definedName name="BLPH239" localSheetId="7" hidden="1">#REF!</definedName>
    <definedName name="BLPH240" localSheetId="7" hidden="1">#REF!</definedName>
    <definedName name="BLPH241" localSheetId="7" hidden="1">#REF!</definedName>
    <definedName name="BLPH242" localSheetId="7" hidden="1">#REF!</definedName>
    <definedName name="BLPH243" localSheetId="7" hidden="1">#REF!</definedName>
    <definedName name="BLPH244" localSheetId="7" hidden="1">#REF!</definedName>
    <definedName name="BLPH245" localSheetId="7" hidden="1">#REF!</definedName>
    <definedName name="BLPH246" localSheetId="7" hidden="1">#REF!</definedName>
    <definedName name="BLPH247" localSheetId="7" hidden="1">#REF!</definedName>
    <definedName name="BLPH248" localSheetId="7" hidden="1">#REF!</definedName>
    <definedName name="BLPH249" localSheetId="7" hidden="1">#REF!</definedName>
    <definedName name="BLPH250" localSheetId="7" hidden="1">#REF!</definedName>
    <definedName name="BLPH251" localSheetId="7" hidden="1">#REF!</definedName>
    <definedName name="BLPH252" localSheetId="7" hidden="1">#REF!</definedName>
    <definedName name="BLPH253" localSheetId="7" hidden="1">#REF!</definedName>
    <definedName name="BLPH254" localSheetId="7" hidden="1">#REF!</definedName>
    <definedName name="BLPH255" localSheetId="7" hidden="1">#REF!</definedName>
    <definedName name="BLPH256" localSheetId="7" hidden="1">#REF!</definedName>
    <definedName name="BLPH257" localSheetId="7" hidden="1">#REF!</definedName>
    <definedName name="BLPH258" localSheetId="7" hidden="1">#REF!</definedName>
    <definedName name="BLPH259" localSheetId="7" hidden="1">#REF!</definedName>
    <definedName name="BLPH260" localSheetId="7" hidden="1">#REF!</definedName>
    <definedName name="BLPH261" localSheetId="7" hidden="1">#REF!</definedName>
    <definedName name="BLPH262" localSheetId="7" hidden="1">#REF!</definedName>
    <definedName name="BLPH263" localSheetId="7" hidden="1">#REF!</definedName>
    <definedName name="BLPH264" localSheetId="7" hidden="1">#REF!</definedName>
    <definedName name="BLPH265" localSheetId="7" hidden="1">#REF!</definedName>
    <definedName name="BLPH266" localSheetId="7" hidden="1">#REF!</definedName>
    <definedName name="BLPH267" localSheetId="7" hidden="1">#REF!</definedName>
    <definedName name="BLPH268" localSheetId="7" hidden="1">#REF!</definedName>
    <definedName name="BLPH269" localSheetId="7" hidden="1">#REF!</definedName>
    <definedName name="BLPH270" localSheetId="7" hidden="1">#REF!</definedName>
    <definedName name="BLPH271" localSheetId="7" hidden="1">#REF!</definedName>
    <definedName name="BLPH272" localSheetId="7" hidden="1">#REF!</definedName>
    <definedName name="BLPH273" localSheetId="7" hidden="1">#REF!</definedName>
    <definedName name="BLPH274" localSheetId="7" hidden="1">#REF!</definedName>
    <definedName name="BLPH275" localSheetId="7" hidden="1">#REF!</definedName>
    <definedName name="BLPH276" localSheetId="7" hidden="1">#REF!</definedName>
    <definedName name="BLPH277" localSheetId="7" hidden="1">#REF!</definedName>
    <definedName name="BLPH278" localSheetId="7" hidden="1">#REF!</definedName>
    <definedName name="BLPH279" localSheetId="7" hidden="1">#REF!</definedName>
    <definedName name="BLPH280" localSheetId="7" hidden="1">#REF!</definedName>
    <definedName name="BLPH281" localSheetId="7" hidden="1">#REF!</definedName>
    <definedName name="BLPH282" localSheetId="7" hidden="1">#REF!</definedName>
    <definedName name="BLPH283" localSheetId="7" hidden="1">#REF!</definedName>
    <definedName name="BLPH284" localSheetId="7" hidden="1">#REF!</definedName>
    <definedName name="BLPH285" localSheetId="7" hidden="1">#REF!</definedName>
    <definedName name="BLPH286" localSheetId="7" hidden="1">#REF!</definedName>
    <definedName name="BLPH287" localSheetId="7" hidden="1">#REF!</definedName>
    <definedName name="BLPH288" localSheetId="7" hidden="1">#REF!</definedName>
    <definedName name="BLPH289" localSheetId="7" hidden="1">#REF!</definedName>
    <definedName name="BLPH290" localSheetId="7" hidden="1">#REF!</definedName>
    <definedName name="BLPH291" localSheetId="7" hidden="1">#REF!</definedName>
    <definedName name="BLPH292" localSheetId="7" hidden="1">#REF!</definedName>
    <definedName name="BLPH293" localSheetId="7" hidden="1">#REF!</definedName>
    <definedName name="BLPH294" localSheetId="7" hidden="1">#REF!</definedName>
    <definedName name="BLPH295" localSheetId="7" hidden="1">#REF!</definedName>
    <definedName name="BLPH296" localSheetId="7" hidden="1">#REF!</definedName>
    <definedName name="BLPH297" localSheetId="7" hidden="1">#REF!</definedName>
    <definedName name="BLPH298" localSheetId="7" hidden="1">#REF!</definedName>
    <definedName name="BLPH299" localSheetId="7" hidden="1">#REF!</definedName>
    <definedName name="BLPH3" localSheetId="7" hidden="1">#REF!</definedName>
    <definedName name="BLPH300" localSheetId="7" hidden="1">#REF!</definedName>
    <definedName name="BLPH301" localSheetId="7" hidden="1">#REF!</definedName>
    <definedName name="BLPH302" localSheetId="7" hidden="1">#REF!</definedName>
    <definedName name="BLPH303" localSheetId="7" hidden="1">#REF!</definedName>
    <definedName name="BLPH304" localSheetId="7" hidden="1">#REF!</definedName>
    <definedName name="BLPH305" localSheetId="7" hidden="1">#REF!</definedName>
    <definedName name="BLPH306" localSheetId="7" hidden="1">#REF!</definedName>
    <definedName name="BLPH307" localSheetId="7" hidden="1">#REF!</definedName>
    <definedName name="BLPH308" localSheetId="7" hidden="1">#REF!</definedName>
    <definedName name="BLPH309" localSheetId="7" hidden="1">#REF!</definedName>
    <definedName name="BLPH310" localSheetId="7" hidden="1">#REF!</definedName>
    <definedName name="BLPH311" localSheetId="7" hidden="1">#REF!</definedName>
    <definedName name="BLPH312" localSheetId="7" hidden="1">#REF!</definedName>
    <definedName name="BLPH313" localSheetId="7" hidden="1">#REF!</definedName>
    <definedName name="BLPH314" localSheetId="7" hidden="1">#REF!</definedName>
    <definedName name="BLPH315" localSheetId="7" hidden="1">#REF!</definedName>
    <definedName name="BLPH316" localSheetId="7" hidden="1">#REF!</definedName>
    <definedName name="BLPH317" localSheetId="7" hidden="1">#REF!</definedName>
    <definedName name="BLPH318" localSheetId="7" hidden="1">#REF!</definedName>
    <definedName name="BLPH319" localSheetId="7" hidden="1">#REF!</definedName>
    <definedName name="BLPH320" localSheetId="7" hidden="1">#REF!</definedName>
    <definedName name="BLPH321" localSheetId="7" hidden="1">#REF!</definedName>
    <definedName name="BLPH322" localSheetId="7" hidden="1">#REF!</definedName>
    <definedName name="BLPH323" localSheetId="7" hidden="1">#REF!</definedName>
    <definedName name="BLPH324" localSheetId="7" hidden="1">#REF!</definedName>
    <definedName name="BLPH325" localSheetId="7" hidden="1">#REF!</definedName>
    <definedName name="BLPH326" localSheetId="7" hidden="1">#REF!</definedName>
    <definedName name="BLPH327" localSheetId="7" hidden="1">#REF!</definedName>
    <definedName name="BLPH328" localSheetId="7" hidden="1">#REF!</definedName>
    <definedName name="BLPH329" localSheetId="7" hidden="1">#REF!</definedName>
    <definedName name="BLPH330" localSheetId="7" hidden="1">#REF!</definedName>
    <definedName name="BLPH331" localSheetId="7" hidden="1">#REF!</definedName>
    <definedName name="BLPH332" localSheetId="7" hidden="1">#REF!</definedName>
    <definedName name="BLPH333" localSheetId="7" hidden="1">#REF!</definedName>
    <definedName name="BLPH334" localSheetId="7" hidden="1">#REF!</definedName>
    <definedName name="BLPH335" localSheetId="7" hidden="1">#REF!</definedName>
    <definedName name="BLPH336" localSheetId="7" hidden="1">#REF!</definedName>
    <definedName name="BLPH337" localSheetId="7" hidden="1">#REF!</definedName>
    <definedName name="BLPH338" localSheetId="7" hidden="1">#REF!</definedName>
    <definedName name="BLPH339" localSheetId="7" hidden="1">#REF!</definedName>
    <definedName name="BLPH340" localSheetId="7" hidden="1">#REF!</definedName>
    <definedName name="BLPH341" localSheetId="7" hidden="1">#REF!</definedName>
    <definedName name="BLPH342" localSheetId="7" hidden="1">#REF!</definedName>
    <definedName name="BLPH343" localSheetId="7" hidden="1">#REF!</definedName>
    <definedName name="BLPH344" localSheetId="7" hidden="1">#REF!</definedName>
    <definedName name="BLPH345" localSheetId="7" hidden="1">#REF!</definedName>
    <definedName name="BLPH346" localSheetId="7" hidden="1">#REF!</definedName>
    <definedName name="BLPH347" localSheetId="7" hidden="1">#REF!</definedName>
    <definedName name="BLPH348" localSheetId="7" hidden="1">#REF!</definedName>
    <definedName name="BLPH349" localSheetId="7" hidden="1">#REF!</definedName>
    <definedName name="BLPH35" localSheetId="7" hidden="1">#REF!</definedName>
    <definedName name="BLPH350" localSheetId="7" hidden="1">#REF!</definedName>
    <definedName name="BLPH351" localSheetId="7" hidden="1">#REF!</definedName>
    <definedName name="BLPH352" localSheetId="7" hidden="1">#REF!</definedName>
    <definedName name="BLPH353" localSheetId="7" hidden="1">#REF!</definedName>
    <definedName name="BLPH354" localSheetId="7" hidden="1">#REF!</definedName>
    <definedName name="BLPH355" localSheetId="7" hidden="1">#REF!</definedName>
    <definedName name="BLPH356" localSheetId="7" hidden="1">#REF!</definedName>
    <definedName name="BLPH357" localSheetId="7" hidden="1">#REF!</definedName>
    <definedName name="BLPH358" localSheetId="7" hidden="1">#REF!</definedName>
    <definedName name="BLPH359" localSheetId="7" hidden="1">#REF!</definedName>
    <definedName name="BLPH36" localSheetId="7" hidden="1">#REF!</definedName>
    <definedName name="BLPH360" localSheetId="7" hidden="1">#REF!</definedName>
    <definedName name="BLPH361" localSheetId="7" hidden="1">#REF!</definedName>
    <definedName name="BLPH362" localSheetId="7" hidden="1">#REF!</definedName>
    <definedName name="BLPH363" localSheetId="7" hidden="1">#REF!</definedName>
    <definedName name="BLPH364" localSheetId="7" hidden="1">#REF!</definedName>
    <definedName name="BLPH365" localSheetId="7" hidden="1">#REF!</definedName>
    <definedName name="BLPH366" localSheetId="7" hidden="1">#REF!</definedName>
    <definedName name="BLPH367" localSheetId="7" hidden="1">#REF!</definedName>
    <definedName name="BLPH368" localSheetId="7" hidden="1">#REF!</definedName>
    <definedName name="BLPH369" localSheetId="7" hidden="1">#REF!</definedName>
    <definedName name="BLPH370" localSheetId="7" hidden="1">#REF!</definedName>
    <definedName name="BLPH371" localSheetId="7" hidden="1">#REF!</definedName>
    <definedName name="BLPH372" localSheetId="7" hidden="1">#REF!</definedName>
    <definedName name="BLPH373" localSheetId="7" hidden="1">#REF!</definedName>
    <definedName name="BLPH374" localSheetId="7" hidden="1">#REF!</definedName>
    <definedName name="BLPH375" localSheetId="7" hidden="1">#REF!</definedName>
    <definedName name="BLPH376" localSheetId="7" hidden="1">#REF!</definedName>
    <definedName name="BLPH377" localSheetId="7" hidden="1">#REF!</definedName>
    <definedName name="BLPH378" localSheetId="7" hidden="1">#REF!</definedName>
    <definedName name="BLPH379" localSheetId="7" hidden="1">#REF!</definedName>
    <definedName name="BLPH380" localSheetId="7" hidden="1">#REF!</definedName>
    <definedName name="BLPH381" localSheetId="7" hidden="1">#REF!</definedName>
    <definedName name="BLPH382" localSheetId="7" hidden="1">#REF!</definedName>
    <definedName name="BLPH383" localSheetId="7" hidden="1">#REF!</definedName>
    <definedName name="BLPH384" localSheetId="7" hidden="1">#REF!</definedName>
    <definedName name="BLPH385" localSheetId="7" hidden="1">#REF!</definedName>
    <definedName name="BLPH386" localSheetId="7" hidden="1">#REF!</definedName>
    <definedName name="BLPH387" localSheetId="7" hidden="1">#REF!</definedName>
    <definedName name="BLPH388" localSheetId="7" hidden="1">#REF!</definedName>
    <definedName name="BLPH389" localSheetId="7" hidden="1">#REF!</definedName>
    <definedName name="BLPH390" localSheetId="7" hidden="1">#REF!</definedName>
    <definedName name="BLPH391" localSheetId="7" hidden="1">#REF!</definedName>
    <definedName name="BLPH392" localSheetId="7" hidden="1">#REF!</definedName>
    <definedName name="BLPH393" localSheetId="7" hidden="1">#REF!</definedName>
    <definedName name="BLPH394" localSheetId="7" hidden="1">#REF!</definedName>
    <definedName name="BLPH395" localSheetId="7" hidden="1">#REF!</definedName>
    <definedName name="BLPH396" localSheetId="7" hidden="1">#REF!</definedName>
    <definedName name="BLPH397" localSheetId="7" hidden="1">#REF!</definedName>
    <definedName name="BLPH398" localSheetId="7" hidden="1">#REF!</definedName>
    <definedName name="BLPH399" localSheetId="7" hidden="1">#REF!</definedName>
    <definedName name="BLPH4" localSheetId="7" hidden="1">#REF!</definedName>
    <definedName name="BLPH400" localSheetId="7" hidden="1">#REF!</definedName>
    <definedName name="BLPH401" localSheetId="7" hidden="1">#REF!</definedName>
    <definedName name="BLPH402" localSheetId="7" hidden="1">#REF!</definedName>
    <definedName name="BLPH403" localSheetId="7" hidden="1">#REF!</definedName>
    <definedName name="BLPH404" localSheetId="7" hidden="1">#REF!</definedName>
    <definedName name="BLPH405" localSheetId="7" hidden="1">#REF!</definedName>
    <definedName name="BLPH406" localSheetId="7" hidden="1">#REF!</definedName>
    <definedName name="BLPH407" localSheetId="7" hidden="1">#REF!</definedName>
    <definedName name="BLPH408" localSheetId="7" hidden="1">#REF!</definedName>
    <definedName name="BLPH409" localSheetId="7" hidden="1">#REF!</definedName>
    <definedName name="BLPH410" localSheetId="7" hidden="1">#REF!</definedName>
    <definedName name="BLPH411" localSheetId="7" hidden="1">#REF!</definedName>
    <definedName name="BLPH412" localSheetId="7" hidden="1">#REF!</definedName>
    <definedName name="BLPH413" localSheetId="7" hidden="1">#REF!</definedName>
    <definedName name="BLPH414" localSheetId="7" hidden="1">#REF!</definedName>
    <definedName name="BLPH415" localSheetId="7" hidden="1">#REF!</definedName>
    <definedName name="BLPH416" localSheetId="7" hidden="1">#REF!</definedName>
    <definedName name="BLPH417" localSheetId="7" hidden="1">#REF!</definedName>
    <definedName name="BLPH418" localSheetId="7" hidden="1">#REF!</definedName>
    <definedName name="BLPH419" localSheetId="7" hidden="1">#REF!</definedName>
    <definedName name="BLPH420" localSheetId="7" hidden="1">#REF!</definedName>
    <definedName name="BLPH421" localSheetId="7" hidden="1">#REF!</definedName>
    <definedName name="BLPH422" localSheetId="7" hidden="1">#REF!</definedName>
    <definedName name="BLPH423" localSheetId="7" hidden="1">#REF!</definedName>
    <definedName name="BLPH424" localSheetId="7" hidden="1">#REF!</definedName>
    <definedName name="BLPH425" localSheetId="7" hidden="1">#REF!</definedName>
    <definedName name="BLPH426" localSheetId="7" hidden="1">#REF!</definedName>
    <definedName name="BLPH427" localSheetId="7" hidden="1">#REF!</definedName>
    <definedName name="BLPH428" localSheetId="7" hidden="1">#REF!</definedName>
    <definedName name="BLPH429" localSheetId="7" hidden="1">#REF!</definedName>
    <definedName name="BLPH430" localSheetId="7" hidden="1">#REF!</definedName>
    <definedName name="BLPH431" localSheetId="7" hidden="1">#REF!</definedName>
    <definedName name="BLPH432" localSheetId="7" hidden="1">#REF!</definedName>
    <definedName name="BLPH433" localSheetId="7" hidden="1">#REF!</definedName>
    <definedName name="BLPH434" localSheetId="7" hidden="1">#REF!</definedName>
    <definedName name="BLPH435" localSheetId="7" hidden="1">#REF!</definedName>
    <definedName name="BLPH436" localSheetId="7" hidden="1">#REF!</definedName>
    <definedName name="BLPH437" localSheetId="7" hidden="1">#REF!</definedName>
    <definedName name="BLPH438" localSheetId="7" hidden="1">#REF!</definedName>
    <definedName name="BLPH439" localSheetId="7" hidden="1">#REF!</definedName>
    <definedName name="BLPH440" localSheetId="7" hidden="1">#REF!</definedName>
    <definedName name="BLPH441" localSheetId="7" hidden="1">#REF!</definedName>
    <definedName name="BLPH442" localSheetId="7" hidden="1">#REF!</definedName>
    <definedName name="BLPH443" localSheetId="7" hidden="1">#REF!</definedName>
    <definedName name="BLPH444" localSheetId="7" hidden="1">#REF!</definedName>
    <definedName name="BLPH445" localSheetId="7" hidden="1">#REF!</definedName>
    <definedName name="BLPH446" localSheetId="7" hidden="1">#REF!</definedName>
    <definedName name="BLPH447" localSheetId="7" hidden="1">#REF!</definedName>
    <definedName name="BLPH448" localSheetId="7" hidden="1">#REF!</definedName>
    <definedName name="BLPH459" localSheetId="7" hidden="1">#REF!</definedName>
    <definedName name="BLPH460" localSheetId="7" hidden="1">#REF!</definedName>
    <definedName name="BLPH461" localSheetId="7" hidden="1">#REF!</definedName>
    <definedName name="BLPH462" localSheetId="7" hidden="1">#REF!</definedName>
    <definedName name="BLPH463" localSheetId="7" hidden="1">#REF!</definedName>
    <definedName name="BLPH464" localSheetId="7" hidden="1">#REF!</definedName>
    <definedName name="BLPH465" localSheetId="7" hidden="1">#REF!</definedName>
    <definedName name="BLPH466" localSheetId="7" hidden="1">#REF!</definedName>
    <definedName name="BLPH467" localSheetId="7" hidden="1">#REF!</definedName>
    <definedName name="BLPH468" localSheetId="7" hidden="1">#REF!</definedName>
    <definedName name="BLPH469" localSheetId="7" hidden="1">#REF!</definedName>
    <definedName name="BLPH470" localSheetId="7" hidden="1">#REF!</definedName>
    <definedName name="BLPH471" localSheetId="7" hidden="1">#REF!</definedName>
    <definedName name="BLPH472" localSheetId="7" hidden="1">#REF!</definedName>
    <definedName name="BLPH473" localSheetId="7" hidden="1">#REF!</definedName>
    <definedName name="BLPH474" localSheetId="7" hidden="1">#REF!</definedName>
    <definedName name="BLPH475" localSheetId="7" hidden="1">#REF!</definedName>
    <definedName name="BLPH476" localSheetId="7" hidden="1">#REF!</definedName>
    <definedName name="BLPH477" localSheetId="7" hidden="1">#REF!</definedName>
    <definedName name="BLPH478" localSheetId="7" hidden="1">#REF!</definedName>
    <definedName name="BLPH479" localSheetId="7" hidden="1">#REF!</definedName>
    <definedName name="BLPH480" localSheetId="7" hidden="1">#REF!</definedName>
    <definedName name="BLPH481" localSheetId="7" hidden="1">#REF!</definedName>
    <definedName name="BLPH482" localSheetId="7" hidden="1">#REF!</definedName>
    <definedName name="BLPH483" localSheetId="7" hidden="1">#REF!</definedName>
    <definedName name="BLPH484" localSheetId="7" hidden="1">#REF!</definedName>
    <definedName name="BLPH485" localSheetId="7" hidden="1">#REF!</definedName>
    <definedName name="BLPH486" localSheetId="7" hidden="1">#REF!</definedName>
    <definedName name="BLPH487" localSheetId="7" hidden="1">#REF!</definedName>
    <definedName name="BLPH488" localSheetId="7" hidden="1">#REF!</definedName>
    <definedName name="BLPH489" localSheetId="7" hidden="1">#REF!</definedName>
    <definedName name="BLPH490" localSheetId="7" hidden="1">#REF!</definedName>
    <definedName name="BLPH491" localSheetId="7" hidden="1">#REF!</definedName>
    <definedName name="BLPH492" localSheetId="7" hidden="1">#REF!</definedName>
    <definedName name="BLPH493" localSheetId="7" hidden="1">#REF!</definedName>
    <definedName name="BLPH494" localSheetId="7" hidden="1">#REF!</definedName>
    <definedName name="BLPH495" localSheetId="7" hidden="1">#REF!</definedName>
    <definedName name="BLPH496" localSheetId="7" hidden="1">#REF!</definedName>
    <definedName name="BLPH497" localSheetId="7" hidden="1">#REF!</definedName>
    <definedName name="BLPH498" localSheetId="7" hidden="1">#REF!</definedName>
    <definedName name="BLPH499" localSheetId="7" hidden="1">#REF!</definedName>
    <definedName name="BLPH50" localSheetId="7" hidden="1">#REF!</definedName>
    <definedName name="BLPH51" localSheetId="7" hidden="1">#REF!</definedName>
    <definedName name="BLPH6" localSheetId="7" hidden="1">#REF!</definedName>
    <definedName name="BNE_MESSAGES_HIDDEN" localSheetId="7" hidden="1">#REF!</definedName>
    <definedName name="bnm" localSheetId="7" hidden="1">{#N/A,#N/A,FALSE,"REPORT"}</definedName>
    <definedName name="BSSSS" localSheetId="7" hidden="1">#REF!</definedName>
    <definedName name="cancel" localSheetId="7" hidden="1">{"PARTNERS CAPITAL STMT",#N/A,FALSE,"Partners Capital"}</definedName>
    <definedName name="cancel2" localSheetId="7" hidden="1">{"PNLProjDL",#N/A,FALSE,"PROJCO";"PNLParDL",#N/A,FALSE,"Parent"}</definedName>
    <definedName name="cancel3" localSheetId="7" hidden="1">{"Summary",#N/A,FALSE,"MICMULT";"Income Statement",#N/A,FALSE,"MICMULT";"Cash Flows",#N/A,FALSE,"MICMULT"}</definedName>
    <definedName name="cc" localSheetId="7" hidden="1">{"bs",#N/A,FALSE,"SCF"}</definedName>
    <definedName name="cdsds" localSheetId="7" hidden="1">{#N/A,#N/A,TRUE,"BUD VS ACT AUST 96";#N/A,#N/A,TRUE,"96 COMP P&amp;L-AUST";#N/A,#N/A,TRUE,"COMP BS-AUSTRALIA";#N/A,#N/A,TRUE,"B/S - AUSTR."}</definedName>
    <definedName name="ChangeRange" localSheetId="7" hidden="1">#REF!</definedName>
    <definedName name="Chart" localSheetId="7" hidden="1">{#N/A,#N/A,FALSE,"Pharm";#N/A,#N/A,FALSE,"WWCM"}</definedName>
    <definedName name="chosie" localSheetId="7" hidden="1">{#N/A,#N/A,FALSE,"Pharm";#N/A,#N/A,FALSE,"WWCM"}</definedName>
    <definedName name="COGstandard" localSheetId="7" hidden="1">{#N/A,#N/A,FALSE,"Pharm";#N/A,#N/A,FALSE,"WWCM"}</definedName>
    <definedName name="ContentsHelp" localSheetId="7" hidden="1">#REF!</definedName>
    <definedName name="COPY" localSheetId="7" hidden="1">{#N/A,#N/A,FALSE,"Pharm";#N/A,#N/A,FALSE,"WWCM"}</definedName>
    <definedName name="copy1" localSheetId="7" hidden="1">{#N/A,#N/A,FALSE,"Pharm";#N/A,#N/A,FALSE,"WWCM"}</definedName>
    <definedName name="COPY2" localSheetId="7" hidden="1">{#N/A,#N/A,FALSE,"Pharm";#N/A,#N/A,FALSE,"WWCM"}</definedName>
    <definedName name="copy233" localSheetId="7" hidden="1">{#N/A,#N/A,FALSE,"Pharm";#N/A,#N/A,FALSE,"WWCM"}</definedName>
    <definedName name="copy33" localSheetId="7" hidden="1">{#N/A,#N/A,FALSE,"Pharm";#N/A,#N/A,FALSE,"WWCM"}</definedName>
    <definedName name="copy38" localSheetId="7" hidden="1">{#N/A,#N/A,FALSE,"Pharm";#N/A,#N/A,FALSE,"WWCM"}</definedName>
    <definedName name="corp" localSheetId="7" hidden="1">{#N/A,#N/A,TRUE,"BUD VS ACT AUST 96";#N/A,#N/A,TRUE,"96 COMP P&amp;L-AUST";#N/A,#N/A,TRUE,"COMP BS-AUSTRALIA";#N/A,#N/A,TRUE,"B/S - AUSTR."}</definedName>
    <definedName name="costofrev" localSheetId="7" hidden="1">{"qtrly summ-FY01",#N/A,FALSE,"P &amp; L";"monthly P&amp;L-FY01",#N/A,FALSE,"P &amp; L";"cash flow - FY01",#N/A,FALSE,"P &amp; L";"P&amp;L FY01",#N/A,FALSE,"P &amp; L";"BS FY01",#N/A,FALSE,"P &amp; L";"staffing - FY01",#N/A,FALSE,"P &amp; L"}</definedName>
    <definedName name="CreateTable" localSheetId="7" hidden="1">#REF!</definedName>
    <definedName name="cvb" localSheetId="7" hidden="1">{#N/A,#N/A,FALSE,"TABLE_1 YTD";#N/A,#N/A,FALSE,"TABLE_1A QTD";#N/A,#N/A,FALSE,"NORMAL_SPREAD_QTD";#N/A,#N/A,FALSE,"NORMAL_SPREAD_YTD";#N/A,#N/A,FALSE,"TAX_EQV";#N/A,#N/A,FALSE,"TAX EQUIV_INPUT";#N/A,#N/A,FALSE,"NET FROM FER";#N/A,#N/A,FALSE,"COVER"}</definedName>
    <definedName name="Cwvu.GREY_ALL." localSheetId="7" hidden="1">#REF!</definedName>
    <definedName name="DAD" localSheetId="7" hidden="1">{#N/A,#N/A,FALSE,"REPORT"}</definedName>
    <definedName name="DADF" localSheetId="7" hidden="1">{#N/A,#N/A,FALSE,"REPORT"}</definedName>
    <definedName name="dadfa" localSheetId="7"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af" localSheetId="7" hidden="1">{#N/A,#N/A,FALSE,"1";#N/A,#N/A,FALSE,"2";#N/A,#N/A,FALSE,"16 - 17";#N/A,#N/A,FALSE,"18 - 19";#N/A,#N/A,FALSE,"26";#N/A,#N/A,FALSE,"27";#N/A,#N/A,FALSE,"28"}</definedName>
    <definedName name="dafa" localSheetId="7"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akfkjafgkeaj" localSheetId="7" hidden="1">{#N/A,#N/A,FALSE,"Pharm";#N/A,#N/A,FALSE,"WWCM"}</definedName>
    <definedName name="dd" localSheetId="7" hidden="1">{#N/A,#N/A,FALSE,"Pharm";#N/A,#N/A,FALSE,"WWCM"}</definedName>
    <definedName name="ddd" localSheetId="7" hidden="1">{"'ATP'!$E$6"}</definedName>
    <definedName name="ddd_1" localSheetId="7" hidden="1">{"'ATP'!$E$6"}</definedName>
    <definedName name="ddd_11" localSheetId="7" hidden="1">{"'ATP'!$E$6"}</definedName>
    <definedName name="dddaz" localSheetId="7" hidden="1">{#N/A,#N/A,FALSE,"Pharm";#N/A,#N/A,FALSE,"WWCM"}</definedName>
    <definedName name="dddd" localSheetId="7" hidden="1">{"'ATP'!$E$6"}</definedName>
    <definedName name="dddddd" localSheetId="7" hidden="1">{#N/A,#N/A,FALSE,"Pharm";#N/A,#N/A,FALSE,"WWCM"}</definedName>
    <definedName name="ddddddd" localSheetId="7" hidden="1">{"Income Statement",#N/A,FALSE,"Income Statement";"Balance Sheet",#N/A,FALSE,"Balance Sheet";"Cash Flow",#N/A,FALSE,"Cash Flow";"Ratios",#N/A,FALSE,"Ratios"}</definedName>
    <definedName name="DE" localSheetId="7"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de" localSheetId="7" hidden="1">{#N/A,#N/A,FALSE,"Pharm";#N/A,#N/A,FALSE,"WWCM"}</definedName>
    <definedName name="DEDED" localSheetId="7" hidden="1">{#N/A,#N/A,FALSE,"Card";#N/A,#N/A,FALSE,"Prav";#N/A,#N/A,FALSE,"Irbe";#N/A,#N/A,FALSE,"Plavix";#N/A,#N/A,FALSE,"Capt";#N/A,#N/A,FALSE,"Fosi"}</definedName>
    <definedName name="DEDEDZE" localSheetId="7" hidden="1">{#N/A,#N/A,FALSE,"Pharm";#N/A,#N/A,FALSE,"WWCM"}</definedName>
    <definedName name="DEDZD" localSheetId="7" hidden="1">{#N/A,#N/A,FALSE,"Pharm";#N/A,#N/A,FALSE,"WWCM"}</definedName>
    <definedName name="DEE" localSheetId="7" hidden="1">{#N/A,#N/A,FALSE,"Pharm";#N/A,#N/A,FALSE,"WWCM"}</definedName>
    <definedName name="delete" localSheetId="7" hidden="1">{"STMT OF CASH FLOWS",#N/A,FALSE,"Cash Flows Indirect"}</definedName>
    <definedName name="delete2" localSheetId="7" hidden="1">{"BALANCE SHEET ACCTS",#N/A,TRUE,"Working Trial Balance";"INCOME STMT ACCTS",#N/A,TRUE,"Working Trial Balance"}</definedName>
    <definedName name="DeleteRange" localSheetId="7" hidden="1">#REF!</definedName>
    <definedName name="DeleteTable" localSheetId="7" hidden="1">#REF!</definedName>
    <definedName name="dev_tech" localSheetId="7" hidden="1">#REF!</definedName>
    <definedName name="DEZLFEZKLHF" localSheetId="7" hidden="1">{#N/A,#N/A,FALSE,"Pharm";#N/A,#N/A,FALSE,"WWCM"}</definedName>
    <definedName name="df" localSheetId="7" hidden="1">{#N/A,#N/A,TRUE,"A";#N/A,#N/A,TRUE,"B";#N/A,#N/A,TRUE,"C";#N/A,#N/A,TRUE,"D";#N/A,#N/A,TRUE,"E"}</definedName>
    <definedName name="dfasdf" localSheetId="7" hidden="1">#REF!</definedName>
    <definedName name="dfd" localSheetId="7" hidden="1">{"BS",#N/A,FALSE,"USA"}</definedName>
    <definedName name="dfdas" localSheetId="7" hidden="1">{"FCB_ALL",#N/A,FALSE,"FCB";"GREY_ALL",#N/A,FALSE,"GREY"}</definedName>
    <definedName name="DFDD" localSheetId="7" hidden="1">{#N/A,#N/A,FALSE,"REPORT"}</definedName>
    <definedName name="dfdfd" localSheetId="7" hidden="1">{"FCB_ALL",#N/A,FALSE,"FCB";"GREY_ALL",#N/A,FALSE,"GREY"}</definedName>
    <definedName name="dfdfdfd" localSheetId="7" hidden="1">{"FCB_ALL",#N/A,FALSE,"FCB"}</definedName>
    <definedName name="dfr" localSheetId="7" hidden="1">{#N/A,#N/A,FALSE,"Pharm";#N/A,#N/A,FALSE,"WWCM"}</definedName>
    <definedName name="dfsafd" localSheetId="7"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localSheetId="7"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jdjdjd" localSheetId="7" hidden="1">{#N/A,#N/A,TRUE,"BUD VS ACT AUST 96";#N/A,#N/A,TRUE,"96 COMP P&amp;L-AUST";#N/A,#N/A,TRUE,"COMP BS-AUSTRALIA";#N/A,#N/A,TRUE,"B/S - AUSTR."}</definedName>
    <definedName name="djksljd" localSheetId="7" hidden="1">{#N/A,#N/A,FALSE,"Other";#N/A,#N/A,FALSE,"Ace";#N/A,#N/A,FALSE,"Derm"}</definedName>
    <definedName name="dkgahirghigf" localSheetId="7" hidden="1">{#N/A,#N/A,FALSE,"Pharm";#N/A,#N/A,FALSE,"WWCM"}</definedName>
    <definedName name="dsafd" localSheetId="7"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fsffss" localSheetId="7" hidden="1">{#N/A,#N/A,FALSE,"Pharm";#N/A,#N/A,FALSE,"WWCM"}</definedName>
    <definedName name="dvv" localSheetId="7" hidden="1">{#N/A,#N/A,TRUE,"NIE_C";#N/A,#N/A,TRUE,"NIE";#N/A,#N/A,TRUE,"NIE_D";#N/A,#N/A,TRUE,"NIE_D_CC";#N/A,#N/A,TRUE,"HEA -- EXP"}</definedName>
    <definedName name="ed" localSheetId="7"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edr" localSheetId="7"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ee" localSheetId="7"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EEE" localSheetId="7" hidden="1">{#N/A,#N/A,FALSE,"Pharm";#N/A,#N/A,FALSE,"WWCM"}</definedName>
    <definedName name="eeeee" localSheetId="7" hidden="1">{#N/A,#N/A,FALSE,"Pharm";#N/A,#N/A,FALSE,"WWCM"}</definedName>
    <definedName name="ejkfgkjze" localSheetId="7" hidden="1">{#N/A,#N/A,FALSE,"Pharm";#N/A,#N/A,FALSE,"WWCM"}</definedName>
    <definedName name="erd" localSheetId="7" hidden="1">{#N/A,#N/A,FALSE,"Pharm";#N/A,#N/A,FALSE,"WWCM"}</definedName>
    <definedName name="erryeyetyuu" localSheetId="7" hidden="1">{#N/A,#N/A,FALSE,"Pharm";#N/A,#N/A,FALSE,"WWCM"}</definedName>
    <definedName name="ESSAI" localSheetId="7" hidden="1">{#N/A,#N/A,FALSE,"Pharm";#N/A,#N/A,FALSE,"WWCM"}</definedName>
    <definedName name="esw" localSheetId="7" hidden="1">{#N/A,#N/A,FALSE,"TABLE_1 YTD- VALUES LAST YR(2)"}</definedName>
    <definedName name="ewwe" localSheetId="7" hidden="1">{#N/A,#N/A,FALSE,"REPORT"}</definedName>
    <definedName name="excel" localSheetId="7" hidden="1">{"cash flow - FY00",#N/A,FALSE,"P &amp; L";"cash flow - FY01",#N/A,FALSE,"P &amp; L"}</definedName>
    <definedName name="excel2" localSheetId="7" hidden="1">{"cash flow - FY00",#N/A,FALSE,"P &amp; L";"cash flow - FY01",#N/A,FALSE,"P &amp; L"}</definedName>
    <definedName name="eyh" localSheetId="7" hidden="1">{#N/A,#N/A,FALSE,"BS";#N/A,#N/A,FALSE,"PL";#N/A,#N/A,FALSE,"SOE";#N/A,#N/A,FALSE,"SCF"}</definedName>
    <definedName name="FarrellWitchita" localSheetId="7" hidden="1">{"FCB_ALL",#N/A,FALSE,"FCB"}</definedName>
    <definedName name="FDFD" localSheetId="7" hidden="1">{#N/A,#N/A,FALSE,"Pharm";#N/A,#N/A,FALSE,"WWCM"}</definedName>
    <definedName name="fds" localSheetId="7" hidden="1">{#N/A,#N/A,FALSE,"Pharm";#N/A,#N/A,FALSE,"WWCM"}</definedName>
    <definedName name="feb02tb" localSheetId="7" hidden="1">{"Statement of Income",#N/A,TRUE,"Mar99";"Balance Sheet",#N/A,TRUE,"Mar99"}</definedName>
    <definedName name="ff" localSheetId="7" hidden="1">{#N/A,#N/A,FALSE,"Pharm";#N/A,#N/A,FALSE,"WWCM"}</definedName>
    <definedName name="fff" localSheetId="7" hidden="1">{#N/A,#N/A,FALSE,"Pharm";#N/A,#N/A,FALSE,"WWCM"}</definedName>
    <definedName name="ffff" localSheetId="7" hidden="1">{#N/A,#N/A,TRUE,"BUD VS ACT AUST 96";#N/A,#N/A,TRUE,"96 COMP P&amp;L-AUST";#N/A,#N/A,TRUE,"COMP BS-AUSTRALIA";#N/A,#N/A,TRUE,"B/S - AUSTR."}</definedName>
    <definedName name="fffffff" localSheetId="7" hidden="1">{#N/A,#N/A,FALSE,"Pharm";#N/A,#N/A,FALSE,"WWCM"}</definedName>
    <definedName name="fg" localSheetId="7"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fgf" localSheetId="7" hidden="1">{#N/A,#N/A,FALSE,"COVER";#N/A,#N/A,FALSE,"RATIOS";#N/A,#N/A,FALSE,"LEVERAGE";#N/A,#N/A,FALSE,"TIER-1";#N/A,#N/A,FALSE,"RISK BASED ASSETS";#N/A,#N/A,FALSE,"TIER-2"}</definedName>
    <definedName name="fgkjkh" localSheetId="7" hidden="1">{#N/A,#N/A,FALSE,"REPORT"}</definedName>
    <definedName name="fgr" localSheetId="7" hidden="1">{#N/A,#N/A,FALSE,"BS";#N/A,#N/A,FALSE,"PL_10Q";#N/A,#N/A,FALSE,"SOE";#N/A,#N/A,FALSE,"SCF";#N/A,#N/A,FALSE,"Sel Fn Data QTD 10Q";#N/A,#N/A,FALSE,"Table 1 YTD 10Q";#N/A,#N/A,FALSE,"Table 1 QTD 10Q";#N/A,#N/A,FALSE,"Tables 2 to 3 PL";#N/A,#N/A,FALSE,"Tables 4 and 5ALLL";#N/A,#N/A,FALSE,"Tables 6 to 8 ALLL ";#N/A,#N/A,FALSE,"Table 9 to 12 - Balance Sheet"}</definedName>
    <definedName name="financial" localSheetId="7" hidden="1">{#N/A,#N/A,FALSE,"1996 Monthly Detail";#N/A,#N/A,FALSE,"1996 CashFlow";#N/A,#N/A,FALSE,"PNL By Dept";#N/A,#N/A,FALSE,"1997 Quarterly Detail";#N/A,#N/A,FALSE,"1998 Quarterly Detail";#N/A,#N/A,FALSE,"1997 Cash Flow";#N/A,#N/A,FALSE,"1998 Cash Flow"}</definedName>
    <definedName name="FJEZK" localSheetId="7" hidden="1">{#N/A,#N/A,FALSE,"Pharm";#N/A,#N/A,FALSE,"WWCM"}</definedName>
    <definedName name="france" localSheetId="7" hidden="1">{#N/A,#N/A,FALSE,"COMP BS-FRANCE";#N/A,#N/A,FALSE,"96 COMP P&amp;L-FRANCE";#N/A,#N/A,FALSE,"BUD VS ACT FRAN 96";#N/A,#N/A,FALSE,"B/S - FRANCE"}</definedName>
    <definedName name="FRANCE1" localSheetId="7" hidden="1">{#N/A,#N/A,FALSE,"COMP BS-FRANCE";#N/A,#N/A,FALSE,"96 COMP P&amp;L-FRANCE";#N/A,#N/A,FALSE,"BUD VS ACT FRAN 96";#N/A,#N/A,FALSE,"B/S - FRANCE"}</definedName>
    <definedName name="FRF" localSheetId="7" hidden="1">{#N/A,#N/A,FALSE,"1";#N/A,#N/A,FALSE,"2";#N/A,#N/A,FALSE,"16 - 17";#N/A,#N/A,FALSE,"18 - 19";#N/A,#N/A,FALSE,"26";#N/A,#N/A,FALSE,"27";#N/A,#N/A,FALSE,"28"}</definedName>
    <definedName name="FRFERFE" localSheetId="7" hidden="1">{#N/A,#N/A,FALSE,"Pharm";#N/A,#N/A,FALSE,"WWCM"}</definedName>
    <definedName name="fsdsfafd" localSheetId="7" hidden="1">{"CSheet",#N/A,FALSE,"C";"SmCap",#N/A,FALSE,"VAL1";"GulfCoast",#N/A,FALSE,"VAL1";"nav",#N/A,FALSE,"NAV";"Summary",#N/A,FALSE,"NAV"}</definedName>
    <definedName name="fuelco_wrn.test1." localSheetId="7" hidden="1">{"Income Statement",#N/A,FALSE,"CFMODEL";"Balance Sheet",#N/A,FALSE,"CFMODEL"}</definedName>
    <definedName name="fuelco_wrn.test2." localSheetId="7" hidden="1">{"SourcesUses",#N/A,TRUE,"CFMODEL";"TransOverview",#N/A,TRUE,"CFMODEL"}</definedName>
    <definedName name="fuelco_wrn.test3." localSheetId="7" hidden="1">{"SourcesUses",#N/A,TRUE,#N/A;"TransOverview",#N/A,TRUE,"CFMODEL"}</definedName>
    <definedName name="fuelco_wrn.test4." localSheetId="7" hidden="1">{"SourcesUses",#N/A,TRUE,"FundsFlow";"TransOverview",#N/A,TRUE,"FundsFlow"}</definedName>
    <definedName name="FVG" localSheetId="7" hidden="1">{#N/A,#N/A,FALSE,"Pharm";#N/A,#N/A,FALSE,"WWCM"}</definedName>
    <definedName name="g" localSheetId="7" hidden="1">{#N/A,#N/A,FALSE,"Pharm";#N/A,#N/A,FALSE,"WWCM"}</definedName>
    <definedName name="gdfgdf" localSheetId="7" hidden="1">{#N/A,#N/A,FALSE,"Pharm";#N/A,#N/A,FALSE,"WWCM"}</definedName>
    <definedName name="gfdjhjh" localSheetId="7" hidden="1">{#N/A,#N/A,FALSE,"Pharm";#N/A,#N/A,FALSE,"WWCM"}</definedName>
    <definedName name="GG" localSheetId="7" hidden="1">{#N/A,#N/A,FALSE,"PL-FS";#N/A,#N/A,FALSE,"PL"}</definedName>
    <definedName name="ghjfg" localSheetId="7" hidden="1">{#N/A,#N/A,TRUE,"ALLL";#N/A,#N/A,TRUE,"DEL";#N/A,#N/A,TRUE,"Reserve Analysis";#N/A,#N/A,TRUE,"C_OFF HISTORY";#N/A,#N/A,TRUE,"ALLL_QTR";#N/A,#N/A,TRUE,"HEA_M";#N/A,#N/A,TRUE,"BL_DET";#N/A,#N/A,TRUE,"3YRS+";#N/A,#N/A,TRUE,"CONSTR_DET"}</definedName>
    <definedName name="ghjggjh" localSheetId="7" hidden="1">{#N/A,#N/A,FALSE,"Pharm";#N/A,#N/A,FALSE,"WWCM"}</definedName>
    <definedName name="gilb.wrn.test2." localSheetId="7" hidden="1">{"SourcesUses",#N/A,TRUE,"CFMODEL";"TransOverview",#N/A,TRUE,"CFMODEL"}</definedName>
    <definedName name="gilb.wrn.test3." localSheetId="7" hidden="1">{"SourcesUses",#N/A,TRUE,#N/A;"TransOverview",#N/A,TRUE,"CFMODEL"}</definedName>
    <definedName name="gilb.wrn.test4." localSheetId="7" hidden="1">{"SourcesUses",#N/A,TRUE,"FundsFlow";"TransOverview",#N/A,TRUE,"FundsFlow"}</definedName>
    <definedName name="gilb_wrn.test1" localSheetId="7" hidden="1">{"Income Statement",#N/A,FALSE,"CFMODEL";"Balance Sheet",#N/A,FALSE,"CFMODEL"}</definedName>
    <definedName name="Global1" localSheetId="7" hidden="1">{#N/A,#N/A,FALSE,"Pharm";#N/A,#N/A,FALSE,"WWCM"}</definedName>
    <definedName name="go" localSheetId="7" hidden="1">{"TOTAL",#N/A,FALSE,"A";"FISCAL94",#N/A,FALSE,"A";"FISCAL95",#N/A,FALSE,"A";"FISCAL96",#N/A,FALSE,"A";"misc page",#N/A,FALSE,"A"}</definedName>
    <definedName name="graph" localSheetId="7" hidden="1">{#N/A,#N/A,FALSE,"REPORT"}</definedName>
    <definedName name="gt" localSheetId="7" hidden="1">{#N/A,#N/A,FALSE,"COVER";#N/A,#N/A,FALSE,"Index";#N/A,#N/A,FALSE,"Non-Earning";#N/A,#N/A,FALSE,"Commercial";#N/A,#N/A,FALSE,"Detailed"}</definedName>
    <definedName name="h" localSheetId="7" hidden="1">{#N/A,#N/A,FALSE,"REPORT"}</definedName>
    <definedName name="hbkg" localSheetId="7" hidden="1">{#N/A,#N/A,FALSE,"COVER";#N/A,#N/A,FALSE,"Index";#N/A,#N/A,FALSE,"Non-Earning";#N/A,#N/A,FALSE,"Non-Earning-Recovery";#N/A,#N/A,FALSE,"Leasing_Equipo";#N/A,#N/A,FALSE,"Leasing_Auto";#N/A,#N/A,FALSE,"Leasing_Legal"}</definedName>
    <definedName name="HFinGraph" localSheetId="7" hidden="1">{#N/A,#N/A,FALSE,"Pharm";#N/A,#N/A,FALSE,"WWCM"}</definedName>
    <definedName name="Hibh" localSheetId="7" hidden="1">{#N/A,#N/A,FALSE,"Pharm";#N/A,#N/A,FALSE,"WWCM"}</definedName>
    <definedName name="High" localSheetId="7" hidden="1">{#N/A,#N/A,FALSE,"Pharm";#N/A,#N/A,FALSE,"WWCM"}</definedName>
    <definedName name="hjhjffukfuk" localSheetId="7" hidden="1">{#N/A,#N/A,FALSE,"Pharm";#N/A,#N/A,FALSE,"WWCM"}</definedName>
    <definedName name="hjhjfkfukywrte" localSheetId="7" hidden="1">{#N/A,#N/A,FALSE,"Pharm";#N/A,#N/A,FALSE,"WWCM"}</definedName>
    <definedName name="hjhkjkl" localSheetId="7" hidden="1">{#N/A,#N/A,FALSE,"Pharm";#N/A,#N/A,FALSE,"WWCM"}</definedName>
    <definedName name="hjjjkk" localSheetId="7" hidden="1">{#N/A,#N/A,FALSE,"REPORT"}</definedName>
    <definedName name="hjjkk" localSheetId="7" hidden="1">{#N/A,#N/A,FALSE,"Pharm";#N/A,#N/A,FALSE,"WWCM"}</definedName>
    <definedName name="hjkk" localSheetId="7" hidden="1">{#N/A,#N/A,FALSE,"Pharm";#N/A,#N/A,FALSE,"WWCM"}</definedName>
    <definedName name="HKSH" localSheetId="7" hidden="1">{#N/A,#N/A,FALSE,"REPORT"}</definedName>
    <definedName name="HMG" localSheetId="7" hidden="1">{#N/A,#N/A,FALSE,"REPORT"}</definedName>
    <definedName name="HTML_Control" localSheetId="7" hidden="1">{"'ATP'!$E$6"}</definedName>
    <definedName name="HTML_Control_1" localSheetId="7" hidden="1">{"'ATP'!$E$6"}</definedName>
    <definedName name="htyuityuiotio" localSheetId="7" hidden="1">{#N/A,#N/A,FALSE,"REPORT"}</definedName>
    <definedName name="Hypertention" localSheetId="7" hidden="1">{#N/A,#N/A,FALSE,"Pharm";#N/A,#N/A,FALSE,"WWCM"}</definedName>
    <definedName name="hypo" localSheetId="7" hidden="1">{#N/A,#N/A,FALSE,"Pharm";#N/A,#N/A,FALSE,"WWCM"}</definedName>
    <definedName name="IntroPrintArea" localSheetId="7" hidden="1">#REF!</definedName>
    <definedName name="IP" localSheetId="7" hidden="1">{#N/A,#N/A,FALSE,"Pharm";#N/A,#N/A,FALSE,"WWCM"}</definedName>
    <definedName name="IPRD_mites" localSheetId="7" hidden="1">{"bs",#N/A,FALSE,"SCF"}</definedName>
    <definedName name="IPRD_Pollen" localSheetId="7" hidden="1">{"bs",#N/A,FALSE,"SCF"}</definedName>
    <definedName name="IQB_BOOKMARK_LOCATION_0" localSheetId="7" hidden="1">#REF!</definedName>
    <definedName name="IQR111711P10" localSheetId="7" hidden="1">#REF!</definedName>
    <definedName name="IQR111711P101" localSheetId="7" hidden="1">#REF!</definedName>
    <definedName name="IQR111711P102" localSheetId="7" hidden="1">#REF!</definedName>
    <definedName name="IQR111711P103" localSheetId="7" hidden="1">#REF!</definedName>
    <definedName name="IQR111711P104" localSheetId="7" hidden="1">#REF!</definedName>
    <definedName name="IQR111711P106" localSheetId="7" hidden="1">#REF!</definedName>
    <definedName name="IQR111711P107" localSheetId="7" hidden="1">#REF!</definedName>
    <definedName name="IQR111711P110" localSheetId="7" hidden="1">#REF!</definedName>
    <definedName name="IQR111711P111" localSheetId="7" hidden="1">#REF!</definedName>
    <definedName name="IQR111711P112" localSheetId="7" hidden="1">#REF!</definedName>
    <definedName name="IQR111711P113" localSheetId="7" hidden="1">#REF!</definedName>
    <definedName name="IQR111711P114" localSheetId="7" hidden="1">#REF!</definedName>
    <definedName name="IQR111711P117" localSheetId="7" hidden="1">#REF!</definedName>
    <definedName name="IQR111711P119" localSheetId="7" hidden="1">#REF!</definedName>
    <definedName name="IQR111711P120" localSheetId="7" hidden="1">#REF!</definedName>
    <definedName name="IQR111711P122" localSheetId="7" hidden="1">#REF!</definedName>
    <definedName name="IQR111711P123" localSheetId="7" hidden="1">#REF!</definedName>
    <definedName name="IQR111711P124" localSheetId="7" hidden="1">#REF!</definedName>
    <definedName name="IQR111711P127" localSheetId="7" hidden="1">#REF!</definedName>
    <definedName name="IQR111711P128" localSheetId="7" hidden="1">#REF!</definedName>
    <definedName name="IQR111711P13" localSheetId="7" hidden="1">#REF!</definedName>
    <definedName name="IQR111711P131" localSheetId="7" hidden="1">#REF!</definedName>
    <definedName name="IQR111711P132" localSheetId="7" hidden="1">#REF!</definedName>
    <definedName name="IQR111711P134" localSheetId="7" hidden="1">#REF!</definedName>
    <definedName name="IQR111711P135" localSheetId="7" hidden="1">#REF!</definedName>
    <definedName name="IQR111711P136" localSheetId="7" hidden="1">#REF!</definedName>
    <definedName name="IQR111711P138" localSheetId="7" hidden="1">#REF!</definedName>
    <definedName name="IQR111711P139" localSheetId="7" hidden="1">#REF!</definedName>
    <definedName name="IQR111711P14" localSheetId="7" hidden="1">#REF!</definedName>
    <definedName name="IQR111711P140" localSheetId="7" hidden="1">#REF!</definedName>
    <definedName name="IQR111711P141" localSheetId="7" hidden="1">#REF!</definedName>
    <definedName name="IQR111711P142" localSheetId="7" hidden="1">#REF!</definedName>
    <definedName name="IQR111711P143" localSheetId="7" hidden="1">#REF!</definedName>
    <definedName name="IQR111711P144" localSheetId="7" hidden="1">#REF!</definedName>
    <definedName name="IQR111711P145" localSheetId="7" hidden="1">#REF!</definedName>
    <definedName name="IQR111711P148" localSheetId="7" hidden="1">#REF!</definedName>
    <definedName name="IQR111711P149" localSheetId="7" hidden="1">#REF!</definedName>
    <definedName name="IQR111711P150" localSheetId="7" hidden="1">#REF!</definedName>
    <definedName name="IQR111711P153" localSheetId="7" hidden="1">#REF!</definedName>
    <definedName name="IQR111711P155" localSheetId="7" hidden="1">#REF!</definedName>
    <definedName name="IQR111711P156" localSheetId="7" hidden="1">#REF!</definedName>
    <definedName name="IQR111711P161" localSheetId="7" hidden="1">#REF!</definedName>
    <definedName name="IQR111711P163" localSheetId="7" hidden="1">#REF!</definedName>
    <definedName name="IQR111711P167" localSheetId="7" hidden="1">#REF!</definedName>
    <definedName name="IQR111711P168" localSheetId="7" hidden="1">#REF!</definedName>
    <definedName name="IQR111711P169" localSheetId="7" hidden="1">#REF!</definedName>
    <definedName name="IQR111711P17" localSheetId="7" hidden="1">#REF!</definedName>
    <definedName name="IQR111711P170" localSheetId="7" hidden="1">#REF!</definedName>
    <definedName name="IQR111711P172" localSheetId="7" hidden="1">#REF!</definedName>
    <definedName name="IQR111711P174" localSheetId="7" hidden="1">#REF!</definedName>
    <definedName name="IQR111711P175" localSheetId="7" hidden="1">#REF!</definedName>
    <definedName name="IQR111711P179" localSheetId="7" hidden="1">#REF!</definedName>
    <definedName name="IQR111711P18" localSheetId="7" hidden="1">#REF!</definedName>
    <definedName name="IQR111711P182" localSheetId="7" hidden="1">#REF!</definedName>
    <definedName name="IQR111711P183" localSheetId="7" hidden="1">#REF!</definedName>
    <definedName name="IQR111711P187" localSheetId="7" hidden="1">#REF!</definedName>
    <definedName name="IQR111711P188" localSheetId="7" hidden="1">#REF!</definedName>
    <definedName name="IQR111711P190" localSheetId="7" hidden="1">#REF!</definedName>
    <definedName name="IQR111711P192" localSheetId="7" hidden="1">#REF!</definedName>
    <definedName name="IQR111711P193" localSheetId="7" hidden="1">#REF!</definedName>
    <definedName name="IQR111711P195" localSheetId="7" hidden="1">#REF!</definedName>
    <definedName name="IQR111711P196" localSheetId="7" hidden="1">#REF!</definedName>
    <definedName name="IQR111711P198" localSheetId="7" hidden="1">#REF!</definedName>
    <definedName name="IQR111711P199" localSheetId="7" hidden="1">#REF!</definedName>
    <definedName name="IQR111711P200" localSheetId="7" hidden="1">#REF!</definedName>
    <definedName name="IQR111711P202" localSheetId="7" hidden="1">#REF!</definedName>
    <definedName name="IQR111711P205" localSheetId="7" hidden="1">#REF!</definedName>
    <definedName name="IQR111711P206" localSheetId="7" hidden="1">#REF!</definedName>
    <definedName name="IQR111711P207" localSheetId="7" hidden="1">#REF!</definedName>
    <definedName name="IQR111711P208" localSheetId="7" hidden="1">#REF!</definedName>
    <definedName name="IQR111711P21" localSheetId="7" hidden="1">#REF!</definedName>
    <definedName name="IQR111711P210" localSheetId="7" hidden="1">#REF!</definedName>
    <definedName name="IQR111711P211" localSheetId="7" hidden="1">#REF!</definedName>
    <definedName name="IQR111711P212" localSheetId="7" hidden="1">#REF!</definedName>
    <definedName name="IQR111711P213" localSheetId="7" hidden="1">#REF!</definedName>
    <definedName name="IQR111711P214" localSheetId="7" hidden="1">#REF!</definedName>
    <definedName name="IQR111711P215" localSheetId="7" hidden="1">#REF!</definedName>
    <definedName name="IQR111711P216" localSheetId="7" hidden="1">#REF!</definedName>
    <definedName name="IQR111711P218" localSheetId="7" hidden="1">#REF!</definedName>
    <definedName name="IQR111711P219" localSheetId="7" hidden="1">#REF!</definedName>
    <definedName name="IQR111711P222" localSheetId="7" hidden="1">#REF!</definedName>
    <definedName name="IQR111711P223" localSheetId="7" hidden="1">#REF!</definedName>
    <definedName name="IQR111711P224" localSheetId="7" hidden="1">#REF!</definedName>
    <definedName name="IQR111711P225" localSheetId="7" hidden="1">#REF!</definedName>
    <definedName name="IQR111711P227" localSheetId="7" hidden="1">#REF!</definedName>
    <definedName name="IQR111711P229" localSheetId="7" hidden="1">#REF!</definedName>
    <definedName name="IQR111711P23" localSheetId="7" hidden="1">#REF!</definedName>
    <definedName name="IQR111711P230" localSheetId="7" hidden="1">#REF!</definedName>
    <definedName name="IQR111711P232" localSheetId="7" hidden="1">#REF!</definedName>
    <definedName name="IQR111711P233" localSheetId="7" hidden="1">#REF!</definedName>
    <definedName name="IQR111711P234" localSheetId="7" hidden="1">#REF!</definedName>
    <definedName name="IQR111711P237" localSheetId="7" hidden="1">#REF!</definedName>
    <definedName name="IQR111711P238" localSheetId="7" hidden="1">#REF!</definedName>
    <definedName name="IQR111711P239" localSheetId="7" hidden="1">#REF!</definedName>
    <definedName name="IQR111711P24" localSheetId="7" hidden="1">#REF!</definedName>
    <definedName name="IQR111711P240" localSheetId="7" hidden="1">#REF!</definedName>
    <definedName name="IQR111711P242" localSheetId="7" hidden="1">#REF!</definedName>
    <definedName name="IQR111711P243" localSheetId="7" hidden="1">#REF!</definedName>
    <definedName name="IQR111711P245" localSheetId="7" hidden="1">#REF!</definedName>
    <definedName name="IQR111711P247" localSheetId="7" hidden="1">#REF!</definedName>
    <definedName name="IQR111711P248" localSheetId="7" hidden="1">#REF!</definedName>
    <definedName name="IQR111711P249" localSheetId="7" hidden="1">#REF!</definedName>
    <definedName name="IQR111711P25" localSheetId="7" hidden="1">#REF!</definedName>
    <definedName name="IQR111711P252" localSheetId="7" hidden="1">#REF!</definedName>
    <definedName name="IQR111711P253" localSheetId="7" hidden="1">#REF!</definedName>
    <definedName name="IQR111711P254" localSheetId="7" hidden="1">#REF!</definedName>
    <definedName name="IQR111711P255" localSheetId="7" hidden="1">#REF!</definedName>
    <definedName name="IQR111711P256" localSheetId="7" hidden="1">#REF!</definedName>
    <definedName name="IQR111711P257" localSheetId="7" hidden="1">#REF!</definedName>
    <definedName name="IQR111711P258" localSheetId="7" hidden="1">#REF!</definedName>
    <definedName name="IQR111711P259" localSheetId="7" hidden="1">#REF!</definedName>
    <definedName name="IQR111711P26" localSheetId="7" hidden="1">#REF!</definedName>
    <definedName name="IQR111711P260" localSheetId="7" hidden="1">#REF!</definedName>
    <definedName name="IQR111711P261" localSheetId="7" hidden="1">#REF!</definedName>
    <definedName name="IQR111711P263" localSheetId="7" hidden="1">#REF!</definedName>
    <definedName name="IQR111711P264" localSheetId="7" hidden="1">#REF!</definedName>
    <definedName name="IQR111711P265" localSheetId="7" hidden="1">#REF!</definedName>
    <definedName name="IQR111711P266" localSheetId="7" hidden="1">#REF!</definedName>
    <definedName name="IQR111711P267" localSheetId="7" hidden="1">#REF!</definedName>
    <definedName name="IQR111711P269" localSheetId="7" hidden="1">#REF!</definedName>
    <definedName name="IQR111711P27" localSheetId="7" hidden="1">#REF!</definedName>
    <definedName name="IQR111711P270" localSheetId="7" hidden="1">#REF!</definedName>
    <definedName name="IQR111711P271" localSheetId="7" hidden="1">#REF!</definedName>
    <definedName name="IQR111711P275" localSheetId="7" hidden="1">#REF!</definedName>
    <definedName name="IQR111711P276" localSheetId="7" hidden="1">#REF!</definedName>
    <definedName name="IQR111711P278" localSheetId="7" hidden="1">#REF!</definedName>
    <definedName name="IQR111711P279" localSheetId="7" hidden="1">#REF!</definedName>
    <definedName name="IQR111711P28" localSheetId="7" hidden="1">#REF!</definedName>
    <definedName name="IQR111711P280" localSheetId="7" hidden="1">#REF!</definedName>
    <definedName name="IQR111711P281" localSheetId="7" hidden="1">#REF!</definedName>
    <definedName name="IQR111711P282" localSheetId="7" hidden="1">#REF!</definedName>
    <definedName name="IQR111711P284" localSheetId="7" hidden="1">#REF!</definedName>
    <definedName name="IQR111711P285" localSheetId="7" hidden="1">#REF!</definedName>
    <definedName name="IQR111711P286" localSheetId="7" hidden="1">#REF!</definedName>
    <definedName name="IQR111711P289" localSheetId="7" hidden="1">#REF!</definedName>
    <definedName name="IQR111711P29" localSheetId="7" hidden="1">#REF!</definedName>
    <definedName name="IQR111711P290" localSheetId="7" hidden="1">#REF!</definedName>
    <definedName name="IQR111711P292" localSheetId="7" hidden="1">#REF!</definedName>
    <definedName name="IQR111711P294" localSheetId="7" hidden="1">#REF!</definedName>
    <definedName name="IQR111711P295" localSheetId="7" hidden="1">#REF!</definedName>
    <definedName name="IQR111711P297" localSheetId="7" hidden="1">#REF!</definedName>
    <definedName name="IQR111711P299" localSheetId="7" hidden="1">#REF!</definedName>
    <definedName name="IQR111711P30" localSheetId="7" hidden="1">#REF!</definedName>
    <definedName name="IQR111711P300" localSheetId="7" hidden="1">#REF!</definedName>
    <definedName name="IQR111711P301" localSheetId="7" hidden="1">#REF!</definedName>
    <definedName name="IQR111711P303" localSheetId="7" hidden="1">#REF!</definedName>
    <definedName name="IQR111711P304" localSheetId="7" hidden="1">#REF!</definedName>
    <definedName name="IQR111711P306" localSheetId="7" hidden="1">#REF!</definedName>
    <definedName name="IQR111711P307" localSheetId="7" hidden="1">#REF!</definedName>
    <definedName name="IQR111711P308" localSheetId="7" hidden="1">#REF!</definedName>
    <definedName name="IQR111711P309" localSheetId="7" hidden="1">#REF!</definedName>
    <definedName name="IQR111711P31" localSheetId="7" hidden="1">#REF!</definedName>
    <definedName name="IQR111711P311" localSheetId="7" hidden="1">#REF!</definedName>
    <definedName name="IQR111711P312" localSheetId="7" hidden="1">#REF!</definedName>
    <definedName name="IQR111711P313" localSheetId="7" hidden="1">#REF!</definedName>
    <definedName name="IQR111711P314" localSheetId="7" hidden="1">#REF!</definedName>
    <definedName name="IQR111711P315" localSheetId="7" hidden="1">#REF!</definedName>
    <definedName name="IQR111711P318" localSheetId="7" hidden="1">#REF!</definedName>
    <definedName name="IQR111711P319" localSheetId="7" hidden="1">#REF!</definedName>
    <definedName name="IQR111711P32" localSheetId="7" hidden="1">#REF!</definedName>
    <definedName name="IQR111711P320" localSheetId="7" hidden="1">#REF!</definedName>
    <definedName name="IQR111711P321" localSheetId="7" hidden="1">#REF!</definedName>
    <definedName name="IQR111711P322" localSheetId="7" hidden="1">#REF!</definedName>
    <definedName name="IQR111711P323" localSheetId="7" hidden="1">#REF!</definedName>
    <definedName name="IQR111711P324" localSheetId="7" hidden="1">#REF!</definedName>
    <definedName name="IQR111711P325" localSheetId="7" hidden="1">#REF!</definedName>
    <definedName name="IQR111711P327" localSheetId="7" hidden="1">#REF!</definedName>
    <definedName name="IQR111711P328" localSheetId="7" hidden="1">#REF!</definedName>
    <definedName name="IQR111711P329" localSheetId="7" hidden="1">#REF!</definedName>
    <definedName name="IQR111711P33" localSheetId="7" hidden="1">#REF!</definedName>
    <definedName name="IQR111711P330" localSheetId="7" hidden="1">#REF!</definedName>
    <definedName name="IQR111711P331" localSheetId="7" hidden="1">#REF!</definedName>
    <definedName name="IQR111711P333" localSheetId="7" hidden="1">#REF!</definedName>
    <definedName name="IQR111711P335" localSheetId="7" hidden="1">#REF!</definedName>
    <definedName name="IQR111711P336" localSheetId="7" hidden="1">#REF!</definedName>
    <definedName name="IQR111711P337" localSheetId="7" hidden="1">#REF!</definedName>
    <definedName name="IQR111711P338" localSheetId="7" hidden="1">#REF!</definedName>
    <definedName name="IQR111711P339" localSheetId="7" hidden="1">#REF!</definedName>
    <definedName name="IQR111711P34" localSheetId="7" hidden="1">#REF!</definedName>
    <definedName name="IQR111711P340" localSheetId="7" hidden="1">#REF!</definedName>
    <definedName name="IQR111711P341" localSheetId="7" hidden="1">#REF!</definedName>
    <definedName name="IQR111711P343" localSheetId="7" hidden="1">#REF!</definedName>
    <definedName name="IQR111711P345" localSheetId="7" hidden="1">#REF!</definedName>
    <definedName name="IQR111711P346" localSheetId="7" hidden="1">#REF!</definedName>
    <definedName name="IQR111711P347" localSheetId="7" hidden="1">#REF!</definedName>
    <definedName name="IQR111711P348" localSheetId="7" hidden="1">#REF!</definedName>
    <definedName name="IQR111711P349" localSheetId="7" hidden="1">#REF!</definedName>
    <definedName name="IQR111711P350" localSheetId="7" hidden="1">#REF!</definedName>
    <definedName name="IQR111711P352" localSheetId="7" hidden="1">#REF!</definedName>
    <definedName name="IQR111711P353" localSheetId="7" hidden="1">#REF!</definedName>
    <definedName name="IQR111711P354" localSheetId="7" hidden="1">#REF!</definedName>
    <definedName name="IQR111711P355" localSheetId="7" hidden="1">#REF!</definedName>
    <definedName name="IQR111711P356" localSheetId="7" hidden="1">#REF!</definedName>
    <definedName name="IQR111711P358" localSheetId="7" hidden="1">#REF!</definedName>
    <definedName name="IQR111711P36" localSheetId="7" hidden="1">#REF!</definedName>
    <definedName name="IQR111711P361" localSheetId="7" hidden="1">#REF!</definedName>
    <definedName name="IQR111711P362" localSheetId="7" hidden="1">#REF!</definedName>
    <definedName name="IQR111711P364" localSheetId="7" hidden="1">#REF!</definedName>
    <definedName name="IQR111711P367" localSheetId="7" hidden="1">#REF!</definedName>
    <definedName name="IQR111711P368" localSheetId="7" hidden="1">#REF!</definedName>
    <definedName name="IQR111711P369" localSheetId="7" hidden="1">#REF!</definedName>
    <definedName name="IQR111711P37" localSheetId="7" hidden="1">#REF!</definedName>
    <definedName name="IQR111711P370" localSheetId="7" hidden="1">#REF!</definedName>
    <definedName name="IQR111711P372" localSheetId="7" hidden="1">#REF!</definedName>
    <definedName name="IQR111711P374" localSheetId="7" hidden="1">#REF!</definedName>
    <definedName name="IQR111711P375" localSheetId="7" hidden="1">#REF!</definedName>
    <definedName name="IQR111711P378" localSheetId="7" hidden="1">#REF!</definedName>
    <definedName name="IQR111711P379" localSheetId="7" hidden="1">#REF!</definedName>
    <definedName name="IQR111711P38" localSheetId="7" hidden="1">#REF!</definedName>
    <definedName name="IQR111711P380" localSheetId="7" hidden="1">#REF!</definedName>
    <definedName name="IQR111711P381" localSheetId="7" hidden="1">#REF!</definedName>
    <definedName name="IQR111711P41" localSheetId="7" hidden="1">#REF!</definedName>
    <definedName name="IQR111711P42" localSheetId="7" hidden="1">#REF!</definedName>
    <definedName name="IQR111711P43" localSheetId="7" hidden="1">#REF!</definedName>
    <definedName name="IQR111711P44" localSheetId="7" hidden="1">#REF!</definedName>
    <definedName name="IQR111711P46" localSheetId="7" hidden="1">#REF!</definedName>
    <definedName name="IQR111711P48" localSheetId="7" hidden="1">#REF!</definedName>
    <definedName name="IQR111711P50" localSheetId="7" hidden="1">#REF!</definedName>
    <definedName name="IQR111711P51" localSheetId="7" hidden="1">#REF!</definedName>
    <definedName name="IQR111711P55" localSheetId="7" hidden="1">#REF!</definedName>
    <definedName name="IQR111711P56" localSheetId="7" hidden="1">#REF!</definedName>
    <definedName name="IQR111711P57" localSheetId="7" hidden="1">#REF!</definedName>
    <definedName name="IQR111711P58" localSheetId="7" hidden="1">#REF!</definedName>
    <definedName name="IQR111711P59" localSheetId="7" hidden="1">#REF!</definedName>
    <definedName name="IQR111711P62" localSheetId="7" hidden="1">#REF!</definedName>
    <definedName name="IQR111711P64" localSheetId="7" hidden="1">#REF!</definedName>
    <definedName name="IQR111711P65" localSheetId="7" hidden="1">#REF!</definedName>
    <definedName name="IQR111711P66" localSheetId="7" hidden="1">#REF!</definedName>
    <definedName name="IQR111711P67" localSheetId="7" hidden="1">#REF!</definedName>
    <definedName name="IQR111711P69" localSheetId="7" hidden="1">#REF!</definedName>
    <definedName name="IQR111711P70" localSheetId="7" hidden="1">#REF!</definedName>
    <definedName name="IQR111711P71" localSheetId="7" hidden="1">#REF!</definedName>
    <definedName name="IQR111711P74" localSheetId="7" hidden="1">#REF!</definedName>
    <definedName name="IQR111711P75" localSheetId="7" hidden="1">#REF!</definedName>
    <definedName name="IQR111711P76" localSheetId="7" hidden="1">#REF!</definedName>
    <definedName name="IQR111711P77" localSheetId="7" hidden="1">#REF!</definedName>
    <definedName name="IQR111711P79" localSheetId="7" hidden="1">#REF!</definedName>
    <definedName name="IQR111711P81" localSheetId="7" hidden="1">#REF!</definedName>
    <definedName name="IQR111711P83" localSheetId="7" hidden="1">#REF!</definedName>
    <definedName name="IQR111711P87" localSheetId="7" hidden="1">#REF!</definedName>
    <definedName name="IQR111711P88" localSheetId="7" hidden="1">#REF!</definedName>
    <definedName name="IQR111711P9" localSheetId="7" hidden="1">#REF!</definedName>
    <definedName name="IQR111711P91" localSheetId="7" hidden="1">#REF!</definedName>
    <definedName name="IQR111711P92" localSheetId="7" hidden="1">#REF!</definedName>
    <definedName name="IQR111711P93" localSheetId="7" hidden="1">#REF!</definedName>
    <definedName name="IQR111711P94" localSheetId="7" hidden="1">#REF!</definedName>
    <definedName name="IQR111711P95" localSheetId="7" hidden="1">#REF!</definedName>
    <definedName name="IQR111711P96" localSheetId="7" hidden="1">#REF!</definedName>
    <definedName name="IQR111711P98" localSheetId="7" hidden="1">#REF!</definedName>
    <definedName name="IQR111711Q112" localSheetId="7" hidden="1">#REF!</definedName>
    <definedName name="IQR111711Q113" localSheetId="7" hidden="1">#REF!</definedName>
    <definedName name="IQR111711Q14" localSheetId="7" hidden="1">#REF!</definedName>
    <definedName name="IQR111711Q148" localSheetId="7" hidden="1">#REF!</definedName>
    <definedName name="IQR111711Q149" localSheetId="7" hidden="1">#REF!</definedName>
    <definedName name="IQR111711Q17" localSheetId="7" hidden="1">#REF!</definedName>
    <definedName name="IQR111711Q174" localSheetId="7" hidden="1">#REF!</definedName>
    <definedName name="IQR111711Q175" localSheetId="7" hidden="1">#REF!</definedName>
    <definedName name="IQR111711Q187" localSheetId="7" hidden="1">#REF!</definedName>
    <definedName name="IQR111711Q188" localSheetId="7" hidden="1">#REF!</definedName>
    <definedName name="IQR111711Q224" localSheetId="7" hidden="1">#REF!</definedName>
    <definedName name="IQR111711Q225" localSheetId="7" hidden="1">#REF!</definedName>
    <definedName name="IQR111711Q242" localSheetId="7" hidden="1">#REF!</definedName>
    <definedName name="IQR111711Q243" localSheetId="7" hidden="1">#REF!</definedName>
    <definedName name="IQR111711Q270" localSheetId="7" hidden="1">#REF!</definedName>
    <definedName name="IQR111711Q271" localSheetId="7" hidden="1">#REF!</definedName>
    <definedName name="IQR111711Q289" localSheetId="7" hidden="1">#REF!</definedName>
    <definedName name="IQR111711Q290" localSheetId="7" hidden="1">#REF!</definedName>
    <definedName name="IQR111711Q313" localSheetId="7" hidden="1">#REF!</definedName>
    <definedName name="IQR111711Q314" localSheetId="7" hidden="1">#REF!</definedName>
    <definedName name="IQR111711Q330" localSheetId="7" hidden="1">#REF!</definedName>
    <definedName name="IQR111711Q331" localSheetId="7" hidden="1">#REF!</definedName>
    <definedName name="IQR111711Q43" localSheetId="7" hidden="1">#REF!</definedName>
    <definedName name="IQR111711Q44" localSheetId="7" hidden="1">#REF!</definedName>
    <definedName name="IQR111711Q69" localSheetId="7" hidden="1">#REF!</definedName>
    <definedName name="IQR111711Q70" localSheetId="7" hidden="1">#REF!</definedName>
    <definedName name="IQR111711Q74" localSheetId="7" hidden="1">#REF!</definedName>
    <definedName name="IQR111711Q75" localSheetId="7" hidden="1">#REF!</definedName>
    <definedName name="IQR111711Q76" localSheetId="7" hidden="1">#REF!</definedName>
    <definedName name="IQR111711Q77" localSheetId="7" hidden="1">#REF!</definedName>
    <definedName name="IQR111711Q9" localSheetId="7" hidden="1">#REF!</definedName>
    <definedName name="IQRCustomIndexX10" localSheetId="7" hidden="1">#REF!</definedName>
    <definedName name="Irbe" localSheetId="7" hidden="1">{#N/A,#N/A,FALSE,"Pharm";#N/A,#N/A,FALSE,"WWCM"}</definedName>
    <definedName name="iyrt" localSheetId="7" hidden="1">{#N/A,#N/A,TRUE,"A";#N/A,#N/A,TRUE,"B";#N/A,#N/A,TRUE,"C";#N/A,#N/A,TRUE,"D";#N/A,#N/A,TRUE,"E"}</definedName>
    <definedName name="j" localSheetId="7" hidden="1">#REF!</definedName>
    <definedName name="jde" localSheetId="7" hidden="1">{#N/A,#N/A,TRUE,"BUD VS ACT AUST 96";#N/A,#N/A,TRUE,"96 COMP P&amp;L-AUST";#N/A,#N/A,TRUE,"COMP BS-AUSTRALIA";#N/A,#N/A,TRUE,"B/S - AUSTR."}</definedName>
    <definedName name="jdfjesjds" localSheetId="7" hidden="1">{#N/A,#N/A,TRUE,"BUD VS ACT AUST 96";#N/A,#N/A,TRUE,"96 COMP P&amp;L-AUST";#N/A,#N/A,TRUE,"COMP BS-AUSTRALIA";#N/A,#N/A,TRUE,"B/S - AUSTR."}</definedName>
    <definedName name="jgjgfjgfjf" localSheetId="7" hidden="1">{#N/A,#N/A,FALSE,"COMP BS-FRANCE";#N/A,#N/A,FALSE,"96 COMP P&amp;L-FRANCE";#N/A,#N/A,FALSE,"BUD VS ACT FRAN 96";#N/A,#N/A,FALSE,"B/S - FRANCE"}</definedName>
    <definedName name="jhy" localSheetId="7" hidden="1">{#N/A,#N/A,TRUE,"Sel Fn Data QTD";#N/A,#N/A,TRUE,"TABLE_1 SPREAD ANALYSIS";#N/A,#N/A,TRUE,"Tables 2 to 3 PL";#N/A,#N/A,TRUE,"Tables 4 and 5 ALLL";#N/A,#N/A,TRUE,"Tables 6 to 8 ALLL NPA";#N/A,#N/A,TRUE,"Table 9 to 10 - Balance Sheet";#N/A,#N/A,TRUE,"Table 11 to 12 - Equity"}</definedName>
    <definedName name="jjj" localSheetId="7" hidden="1">{#N/A,#N/A,FALSE,"REPORT"}</definedName>
    <definedName name="jk" localSheetId="7" hidden="1">#REF!</definedName>
    <definedName name="jkl" localSheetId="7" hidden="1">{#N/A,#N/A,FALSE,"REPORT"}</definedName>
    <definedName name="jnhkjk" localSheetId="7" hidden="1">{#N/A,#N/A,TRUE,"BUD VS ACT AUST 96";#N/A,#N/A,TRUE,"96 COMP P&amp;L-AUST";#N/A,#N/A,TRUE,"COMP BS-AUSTRALIA";#N/A,#N/A,TRUE,"B/S - AUSTR."}</definedName>
    <definedName name="jnjnhjn" localSheetId="7" hidden="1">{#N/A,#N/A,TRUE,"BUD VS ACT AUST 96";#N/A,#N/A,TRUE,"96 COMP P&amp;L-AUST";#N/A,#N/A,TRUE,"COMP BS-AUSTRALIA";#N/A,#N/A,TRUE,"B/S - AUSTR."}</definedName>
    <definedName name="judy" localSheetId="7" hidden="1">{#N/A,#N/A,FALSE,"Pharm";#N/A,#N/A,FALSE,"WWCM"}</definedName>
    <definedName name="judy1" localSheetId="7" hidden="1">{#N/A,#N/A,FALSE,"Pharm";#N/A,#N/A,FALSE,"WWCM"}</definedName>
    <definedName name="junk" localSheetId="7" hidden="1">#REF!</definedName>
    <definedName name="junk2" localSheetId="7" hidden="1">#REF!</definedName>
    <definedName name="junk3" localSheetId="7" hidden="1">{"BS",#N/A,FALSE,"USA"}</definedName>
    <definedName name="junkme" localSheetId="7" hidden="1">{#N/A,#N/A,TRUE,"Status Report";#N/A,#N/A,TRUE,"Current Forecast";#N/A,#N/A,TRUE,"Last Forecast";#N/A,#N/A,TRUE,"BP";#N/A,#N/A,TRUE,"LY"}</definedName>
    <definedName name="k" localSheetId="7" hidden="1">{#N/A,#N/A,FALSE,"BS";#N/A,#N/A,FALSE,"PL";#N/A,#N/A,FALSE,"SOE";#N/A,#N/A,FALSE,"SCF"}</definedName>
    <definedName name="ka" localSheetId="7" hidden="1">{"TOTAL",#N/A,FALSE,"A";"FISCAL94",#N/A,FALSE,"A";"FISCAL95",#N/A,FALSE,"A";"FISCAL96",#N/A,FALSE,"A";"misc page",#N/A,FALSE,"A"}</definedName>
    <definedName name="kas" localSheetId="7" hidden="1">{"TOTAL",#N/A,FALSE,"A";"FISCAL94",#N/A,FALSE,"A";"FISCAL95",#N/A,FALSE,"A";"FISCAL96",#N/A,FALSE,"A";"misc page",#N/A,FALSE,"A"}</definedName>
    <definedName name="KDJD" localSheetId="7"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kgkg" localSheetId="7" hidden="1">{#N/A,#N/A,FALSE,"COVER";#N/A,#N/A,FALSE,"Index";#N/A,#N/A,FALSE,"Non-Earning";#N/A,#N/A,FALSE,"Non-Earning_Recovery"}</definedName>
    <definedName name="kk" localSheetId="7" hidden="1">{#N/A,#N/A,TRUE,"Sel Fn Data QTD";#N/A,#N/A,TRUE,"Table 1 YTD";#N/A,#N/A,TRUE,"Tables 2 to 4 PL";#N/A,#N/A,TRUE,"Tables 5 to 9 ALLL";#N/A,#N/A,TRUE,"Table 10 to 13 - Balance Sheet"}</definedName>
    <definedName name="kkk" localSheetId="7" hidden="1">{#N/A,#N/A,TRUE,"BUD VS ACT AUST 96";#N/A,#N/A,TRUE,"96 COMP P&amp;L-AUST";#N/A,#N/A,TRUE,"COMP BS-AUSTRALIA";#N/A,#N/A,TRUE,"B/S - AUSTR."}</definedName>
    <definedName name="kkkk" localSheetId="7" hidden="1">{#N/A,#N/A,TRUE,"BUD VS ACT AUST 96";#N/A,#N/A,TRUE,"96 COMP P&amp;L-AUST";#N/A,#N/A,TRUE,"COMP BS-AUSTRALIA";#N/A,#N/A,TRUE,"B/S - AUSTR."}</definedName>
    <definedName name="kkkkkkk" localSheetId="7" hidden="1">{#N/A,#N/A,TRUE,"BUD VS ACT AUST 96";#N/A,#N/A,TRUE,"96 COMP P&amp;L-AUST";#N/A,#N/A,TRUE,"COMP BS-AUSTRALIA";#N/A,#N/A,TRUE,"B/S - AUSTR."}</definedName>
    <definedName name="klklkl" localSheetId="7" hidden="1">{#N/A,#N/A,TRUE,"BUD VS ACT AUST 96";#N/A,#N/A,TRUE,"96 COMP P&amp;L-AUST";#N/A,#N/A,TRUE,"COMP BS-AUSTRALIA";#N/A,#N/A,TRUE,"B/S - AUSTR."}</definedName>
    <definedName name="kslkjkjlkjd" localSheetId="7" hidden="1">{#N/A,#N/A,FALSE,"REPORT"}</definedName>
    <definedName name="ku" localSheetId="7" hidden="1">{#N/A,#N/A,TRUE,"BUD VS ACT AUST 96";#N/A,#N/A,TRUE,"96 COMP P&amp;L-AUST";#N/A,#N/A,TRUE,"COMP BS-AUSTRALIA";#N/A,#N/A,TRUE,"B/S - AUSTR."}</definedName>
    <definedName name="lee" localSheetId="7" hidden="1">{#N/A,#N/A,FALSE,"Pharm";#N/A,#N/A,FALSE,"WWCM"}</definedName>
    <definedName name="lfj" localSheetId="7" hidden="1">{#N/A,#N/A,FALSE,"TABLE_1 YTD";#N/A,#N/A,FALSE,"TABLE_1A QTD";#N/A,#N/A,FALSE,"NORMAL_SPREAD_QTD";#N/A,#N/A,FALSE,"NORMAL_SPREAD_YTD";#N/A,#N/A,FALSE,"TAX_EQV";#N/A,#N/A,FALSE,"TAX EQUIV_INPUT";#N/A,#N/A,FALSE,"NET FROM FER";#N/A,#N/A,FALSE,"COVER"}</definedName>
    <definedName name="lkj" localSheetId="7" hidden="1">#REF!</definedName>
    <definedName name="ll" localSheetId="7" hidden="1">{#N/A,#N/A,FALSE,"PL-FS";#N/A,#N/A,FALSE,"PL"}</definedName>
    <definedName name="lnk_Print_Area" localSheetId="7" hidden="1">#REF!</definedName>
    <definedName name="LOCAL_MYSQL_DATE_FORMAT"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I" localSheetId="7" hidden="1">{#N/A,#N/A,FALSE,"TABLE_1 YTD";#N/A,#N/A,FALSE,"TABLE_1A QTD";#N/A,#N/A,FALSE,"NORMAL_SPREAD_QTD";#N/A,#N/A,FALSE,"NORMAL_SPREAD_YTD";#N/A,#N/A,FALSE,"TAX_EQV";#N/A,#N/A,FALSE,"TAX EQUIV_INPUT";#N/A,#N/A,FALSE,"NET FROM FER";#N/A,#N/A,FALSE,"COVER"}</definedName>
    <definedName name="m" localSheetId="7" hidden="1">{#N/A,#N/A,FALSE,"COVER";#N/A,#N/A,FALSE,"Index";#N/A,#N/A,FALSE,"Non-Earning";#N/A,#N/A,FALSE,"Commercial";#N/A,#N/A,FALSE,"Detailed"}</definedName>
    <definedName name="M_A" localSheetId="7" hidden="1">{#N/A,#N/A,FALSE,"Rev Grwth";#N/A,#N/A,FALSE,"Op Inc Grwth";#N/A,#N/A,FALSE,"Net Grwth";#N/A,#N/A,FALSE,"EPS Growth"}</definedName>
    <definedName name="Mar00" localSheetId="7" hidden="1">{"Statement of Income",#N/A,TRUE,"Mar99";"Balance Sheet",#N/A,TRUE,"Mar99"}</definedName>
    <definedName name="Mar00TB" localSheetId="7" hidden="1">{"Statement of Income",#N/A,TRUE,"Mar99";"Balance Sheet",#N/A,TRUE,"Mar99"}</definedName>
    <definedName name="mar00tb1" localSheetId="7" hidden="1">{"Statement of Income",#N/A,TRUE,"Mar99";"Balance Sheet",#N/A,TRUE,"Mar99"}</definedName>
    <definedName name="mason?" localSheetId="7" hidden="1">{#N/A,#N/A,FALSE,"Data &amp; Key Results";#N/A,#N/A,FALSE,"Summary Template";#N/A,#N/A,FALSE,"Budget";#N/A,#N/A,FALSE,"Present Value Comparison";#N/A,#N/A,FALSE,"Cashflow";#N/A,#N/A,FALSE,"Income";#N/A,#N/A,FALSE,"Inputs"}</definedName>
    <definedName name="mason2" localSheetId="7" hidden="1">{#N/A,#N/A,FALSE,"Data &amp; Key Results";#N/A,#N/A,FALSE,"Summary Template";#N/A,#N/A,FALSE,"Budget";#N/A,#N/A,FALSE,"Present Value Comparison";#N/A,#N/A,FALSE,"Cashflow";#N/A,#N/A,FALSE,"Income";#N/A,#N/A,FALSE,"Inputs"}</definedName>
    <definedName name="mason3" localSheetId="7" hidden="1">{#N/A,#N/A,FALSE,"Data &amp; Key Results";#N/A,#N/A,FALSE,"Summary Template";#N/A,#N/A,FALSE,"Budget";#N/A,#N/A,FALSE,"Present Value Comparison";#N/A,#N/A,FALSE,"Cashflow";#N/A,#N/A,FALSE,"Income";#N/A,#N/A,FALSE,"Inputs"}</definedName>
    <definedName name="mason4" localSheetId="7" hidden="1">{#N/A,#N/A,FALSE,"Data &amp; Key Results";#N/A,#N/A,FALSE,"Summary Template";#N/A,#N/A,FALSE,"Budget";#N/A,#N/A,FALSE,"Present Value Comparison";#N/A,#N/A,FALSE,"Cashflow";#N/A,#N/A,FALSE,"Income";#N/A,#N/A,FALSE,"Inputs"}</definedName>
    <definedName name="mason5" localSheetId="7" hidden="1">{#N/A,#N/A,FALSE,"Data &amp; Key Results";#N/A,#N/A,FALSE,"Summary Template";#N/A,#N/A,FALSE,"Budget";#N/A,#N/A,FALSE,"Present Value Comparison";#N/A,#N/A,FALSE,"Cashflow";#N/A,#N/A,FALSE,"Income";#N/A,#N/A,FALSE,"Inputs"}</definedName>
    <definedName name="masonII" localSheetId="7" hidden="1">{#N/A,#N/A,FALSE,"Data &amp; Key Results";#N/A,#N/A,FALSE,"Summary Template";#N/A,#N/A,FALSE,"Budget";#N/A,#N/A,FALSE,"Present Value Comparison";#N/A,#N/A,FALSE,"Cashflow";#N/A,#N/A,FALSE,"Income";#N/A,#N/A,FALSE,"Inputs"}</definedName>
    <definedName name="MerrillPrintIt" localSheetId="7" hidden="1">#REF!</definedName>
    <definedName name="Mie" localSheetId="7" hidden="1">#REF!</definedName>
    <definedName name="min" localSheetId="7" hidden="1">{#N/A,#N/A,FALSE,"REPORT"}</definedName>
    <definedName name="mina" localSheetId="7" hidden="1">{#N/A,#N/A,FALSE,"REPORT"}</definedName>
    <definedName name="mkj" localSheetId="7" hidden="1">{#N/A,#N/A,TRUE,"A";#N/A,#N/A,TRUE,"B";#N/A,#N/A,TRUE,"C";#N/A,#N/A,TRUE,"D";#N/A,#N/A,TRUE,"E"}</definedName>
    <definedName name="MLNK00d48aea1172490e8970884bfd0bc5ab" localSheetId="7" hidden="1">#REF!</definedName>
    <definedName name="MLNK00d8e64d840b46bea261783566ad72fd" localSheetId="7" hidden="1">#REF!</definedName>
    <definedName name="MLNK018bfad56a014b6f84cfc7fb40567079" localSheetId="7" hidden="1">#REF!</definedName>
    <definedName name="MLNK01c3f180173548f9b3518767c367e255" localSheetId="7" hidden="1">#REF!</definedName>
    <definedName name="MLNK02152b7ac4cf43e68ef13bfa3f5e34b5" localSheetId="7" hidden="1">#REF!</definedName>
    <definedName name="MLNK02b436c54d1d4f1fb7ece854589ebc3b" localSheetId="7" hidden="1">#REF!</definedName>
    <definedName name="MLNK02ddb7e50a9a4088ad89faf3155f305e" localSheetId="7" hidden="1">#REF!</definedName>
    <definedName name="MLNK037a70f6dc4c4ccc86d3bc951b2599a8" localSheetId="7" hidden="1">#REF!</definedName>
    <definedName name="MLNK03d895c600f84237af0a9f6d50dde8ed" localSheetId="7" hidden="1">#REF!</definedName>
    <definedName name="MLNK04075ac9c75d447c8a0ebdbdc9a54c65" localSheetId="7" hidden="1">#REF!</definedName>
    <definedName name="MLNK044a71679f47458eaf36d10fdaae790f" localSheetId="7" hidden="1">#REF!</definedName>
    <definedName name="MLNK04b34d7237ff4693803d53b078679e77" localSheetId="7" hidden="1">#REF!</definedName>
    <definedName name="MLNK04baecedd8f843f7b8ab7f1e046494dc" localSheetId="7" hidden="1">#REF!</definedName>
    <definedName name="MLNK04c12b15290e4102b331188b33f480a5" localSheetId="7" hidden="1">#REF!</definedName>
    <definedName name="MLNK04ed437773d6468f978a880d6fea840e" localSheetId="7" hidden="1">#REF!</definedName>
    <definedName name="MLNK052f3789d18e4da4b8a206db6d662f8c" localSheetId="7" hidden="1">#REF!</definedName>
    <definedName name="MLNK055891053a474c2da6a013d17eafcd56" localSheetId="7" hidden="1">#REF!</definedName>
    <definedName name="MLNK055957a194f74f8e9bafb258f3f928dc" localSheetId="7" hidden="1">#REF!</definedName>
    <definedName name="MLNK060e2b647fc847038ccaa50e705b32b2" localSheetId="7" hidden="1">#REF!</definedName>
    <definedName name="MLNK064c2e8abed14178b8e9385f23e95e0f" localSheetId="7" hidden="1">#REF!</definedName>
    <definedName name="MLNK070510d453cb48d1938cdcf099afbdfc" localSheetId="7" hidden="1">#REF!</definedName>
    <definedName name="MLNK07a48200f15c4498a1034433e59fb9ee" localSheetId="7" hidden="1">#REF!</definedName>
    <definedName name="MLNK0810a7425db84fdbafb57121a4c1bdc7" localSheetId="7" hidden="1">#REF!</definedName>
    <definedName name="MLNK082f62a9898f4a6ebf0892b9a8dee313" localSheetId="7" hidden="1">#REF!</definedName>
    <definedName name="MLNK08b0d9ab9b7f4a019f01558fa42f52cc" localSheetId="7" hidden="1">#REF!</definedName>
    <definedName name="MLNK0932a8a0f6734900b5db162af6d4008b" localSheetId="7" hidden="1">#REF!</definedName>
    <definedName name="MLNK09676ee764e448008376f2bfff9e384d" localSheetId="7" hidden="1">#REF!</definedName>
    <definedName name="MLNK0a25e559e0ca40d3b117c10dde841c8d" localSheetId="7" hidden="1">#REF!</definedName>
    <definedName name="MLNK0a4500987a0d44bea968f35f842414e7" localSheetId="7" hidden="1">#REF!</definedName>
    <definedName name="MLNK0b0460e4acf542378be2a3d79b7df220" localSheetId="7" hidden="1">#REF!</definedName>
    <definedName name="MLNK0b4b5f3a99ce4b28b1cca53ba01bc3c8" localSheetId="7" hidden="1">#REF!</definedName>
    <definedName name="MLNK0b60f77ace8b4dd786fd1017a509d59f" localSheetId="7" hidden="1">#REF!</definedName>
    <definedName name="MLNK0c19dec1a7144650b526abd40fd3e1c9" localSheetId="7" hidden="1">#REF!</definedName>
    <definedName name="MLNK0c29236af04547d8895347a76fdbff29" localSheetId="7" hidden="1">#REF!</definedName>
    <definedName name="MLNK0ca8413a6a4e48109c00e972f8591f15" localSheetId="7" hidden="1">#REF!</definedName>
    <definedName name="MLNK0db0f33ed0324031b6b3ea38ff41c6b3" localSheetId="7" hidden="1">#REF!</definedName>
    <definedName name="MLNK0e30595ea35a4b91a9f0400f7da90810" localSheetId="7" hidden="1">#REF!</definedName>
    <definedName name="MLNK0ec975729a544ee48ecaa4993f759464" localSheetId="7" hidden="1">#REF!</definedName>
    <definedName name="MLNK0f79f0b17a0c4338ba2c447b8558f837" localSheetId="7" hidden="1">#REF!</definedName>
    <definedName name="MLNK0fa679e88a084677a1120db6a61735ad" localSheetId="7" hidden="1">#REF!</definedName>
    <definedName name="MLNK102a6a0da87b49bd8c869ffdcb8f6a5c" localSheetId="7" hidden="1">#REF!</definedName>
    <definedName name="MLNK11ad7f67537f4d04b5b5e34d17a1dfe7" localSheetId="7" hidden="1">#REF!</definedName>
    <definedName name="MLNK11e2a30c9b564beeb398ac3e535a96de" localSheetId="7" hidden="1">#REF!</definedName>
    <definedName name="MLNK127813a1a6254a548e091fd36e1fbb47" localSheetId="7" hidden="1">#REF!</definedName>
    <definedName name="MLNK12defab03df94ea382b71e4a83c23c96" localSheetId="7" hidden="1">#REF!</definedName>
    <definedName name="MLNK12f7145ce43446359e563854d28497d8" localSheetId="7" hidden="1">#REF!</definedName>
    <definedName name="MLNK134f38e34bcd4dbc84982cc9d8fa79cc" localSheetId="7" hidden="1">#REF!</definedName>
    <definedName name="MLNK1352b7f45b1d412299a3ad4b5f3b89fc" localSheetId="7" hidden="1">#REF!</definedName>
    <definedName name="MLNK136a8efde5d14d7880780cb4288214c8" localSheetId="7" hidden="1">#REF!</definedName>
    <definedName name="MLNK14e06d7cc4024f199e311d3b65bbb63c" localSheetId="7" hidden="1">#REF!</definedName>
    <definedName name="MLNK1502445670b740809babbf80893a2fc6" localSheetId="7" hidden="1">#REF!</definedName>
    <definedName name="MLNK15426febeea146dbb161891fa048bd4e" localSheetId="7" hidden="1">#REF!</definedName>
    <definedName name="MLNK155ed824d11e499683ac57119c33dda9" localSheetId="7" hidden="1">#REF!</definedName>
    <definedName name="MLNK15ce2520bab04a56a1b91f68d2bb2193" localSheetId="7" hidden="1">#REF!</definedName>
    <definedName name="MLNK168568dec16c423ea55308759534aead" localSheetId="7" hidden="1">#REF!</definedName>
    <definedName name="MLNK16a713e7610a41beb1e604353d934383" localSheetId="7" hidden="1">#REF!</definedName>
    <definedName name="MLNK16bb90555bb549c4a8cb4cd97a93e068" localSheetId="7" hidden="1">#REF!</definedName>
    <definedName name="MLNK17543382e2bf4b3eaa92152d6f293baf" localSheetId="7" hidden="1">#REF!</definedName>
    <definedName name="MLNK1878ac2ef4984cf88c7f6be575c72b35" localSheetId="7" hidden="1">#REF!</definedName>
    <definedName name="MLNK187aae0e1b444d2daa05f7fc058c71f3" localSheetId="7" hidden="1">#REF!</definedName>
    <definedName name="MLNK18c91ea14fe44af7b5151b4160cd85ee" localSheetId="7" hidden="1">#REF!</definedName>
    <definedName name="MLNK18d67e4ee034443ba5648d0dda6747bc" localSheetId="7" hidden="1">#REF!</definedName>
    <definedName name="MLNK18d7e2cdfe3c4b23bb4430da28ad21ed" localSheetId="7" hidden="1">#REF!</definedName>
    <definedName name="MLNK18ea120670984a17b7a93b6d9eb58e17" localSheetId="7" hidden="1">#REF!</definedName>
    <definedName name="MLNK18eb0f4412cb40a4ae711508efd03722" localSheetId="7" hidden="1">#REF!</definedName>
    <definedName name="MLNK1942f939dd30413084b5900bc3a48e91" localSheetId="7" hidden="1">#REF!</definedName>
    <definedName name="MLNK197a4e305f8e4a28923e9685bfe5755d" localSheetId="7" hidden="1">#REF!</definedName>
    <definedName name="MLNK19da6caece2e4a0da0e0510020408a9f" localSheetId="7" hidden="1">#REF!</definedName>
    <definedName name="MLNK1a54210510d0478faa44db0489c964ab" localSheetId="7" hidden="1">#REF!</definedName>
    <definedName name="MLNK1b25ef79157c4ecc86be17ec702147dd" localSheetId="7" hidden="1">#REF!</definedName>
    <definedName name="MLNK1b323a4c2490472c854bc05124ef80d4" localSheetId="7" hidden="1">#REF!</definedName>
    <definedName name="MLNK1b3e86fde2dd4141aabb68ae999a4618" localSheetId="7" hidden="1">#REF!</definedName>
    <definedName name="MLNK1bde29be2bb04b7dba98a0a15c3656f7" localSheetId="7" hidden="1">#REF!</definedName>
    <definedName name="MLNK1c5a2340dcf14e12be7f6bb726377d0e" localSheetId="7" hidden="1">#REF!</definedName>
    <definedName name="MLNK1c83a07ed2a14eb297a3aafd495ea8f8" localSheetId="7" hidden="1">#REF!</definedName>
    <definedName name="MLNK1cbe96a220924eddb8390adadf496f4d" localSheetId="7" hidden="1">#REF!</definedName>
    <definedName name="MLNK1d87f7352fcc4050afa51b0b23b6df7b" localSheetId="7" hidden="1">#REF!</definedName>
    <definedName name="MLNK1dd499f1d55b466eb23c641e6a6136f8" localSheetId="7" hidden="1">#REF!</definedName>
    <definedName name="MLNK1de8cf250711483ba35281509ce426a3" localSheetId="7" hidden="1">#REF!</definedName>
    <definedName name="MLNK1fd1a613b4e042338ae9b944d7c75226" localSheetId="7" hidden="1">#REF!</definedName>
    <definedName name="MLNK2001e30c2e79462fb212bee2d523546c" localSheetId="7" hidden="1">#REF!</definedName>
    <definedName name="MLNK2004611481114fd7836a787ce7cbc787" localSheetId="7" hidden="1">#REF!</definedName>
    <definedName name="MLNK205684d319924bf28951b6697b190691" localSheetId="7" hidden="1">#REF!</definedName>
    <definedName name="MLNK2070a8a62489433ea2ef832a7b27ce8e" localSheetId="7" hidden="1">#REF!</definedName>
    <definedName name="MLNK20db4d3c94964f3a8f93dbbc366d2cfd" localSheetId="7" hidden="1">#REF!</definedName>
    <definedName name="MLNK20ec3ff50f064852adb8fd689f113130" localSheetId="7" hidden="1">#REF!</definedName>
    <definedName name="MLNK21060abefe22464881ffa9dc4087f34a" localSheetId="7" hidden="1">#REF!</definedName>
    <definedName name="MLNK21407499ba784667b4908f9c47c07ba0" localSheetId="7" hidden="1">#REF!</definedName>
    <definedName name="MLNK215d6ec32f3f4db6a3d798cc5297a671" localSheetId="7" hidden="1">#REF!</definedName>
    <definedName name="MLNK216741f5dafc4782a31735a1bbf0c00b" localSheetId="7" hidden="1">#REF!</definedName>
    <definedName name="MLNK21819cd4be3747afaafe7fd6af1a80dd" localSheetId="7" hidden="1">#REF!</definedName>
    <definedName name="MLNK233feeaa85db4459a7b9b00424fa2ff8" localSheetId="7" hidden="1">#REF!</definedName>
    <definedName name="MLNK23a22acb0ce643cfab0c7c09267827be" localSheetId="7" hidden="1">#REF!</definedName>
    <definedName name="MLNK23e7d64cf91849bf971cdd0e2506b3b9" localSheetId="7" hidden="1">#REF!</definedName>
    <definedName name="MLNK242f346894804e1886d2cf64cec38165" localSheetId="7" hidden="1">#REF!</definedName>
    <definedName name="MLNK2474a500bbc54ae7929db86934bc6273" localSheetId="7" hidden="1">#REF!</definedName>
    <definedName name="MLNK2573f5f2b0a147228dcc43cff2d4ac48" localSheetId="7" hidden="1">#REF!</definedName>
    <definedName name="MLNK259ca339584144f5926618d12b15da3e" localSheetId="7" hidden="1">#REF!</definedName>
    <definedName name="MLNK25a89f60adf6498fb802aaec26c25d00" localSheetId="7" hidden="1">#REF!</definedName>
    <definedName name="MLNK25f9e2e8d5514c5489f2b23bea37f935" localSheetId="7" hidden="1">#REF!</definedName>
    <definedName name="MLNK26c398595c9545efbd82dca4a520047a" localSheetId="7" hidden="1">#REF!</definedName>
    <definedName name="MLNK26cda75b65fd41048c6f187517f0d6ba" localSheetId="7" hidden="1">#REF!</definedName>
    <definedName name="MLNK27f4b8570bad4ba0ad262108ff4c0490" localSheetId="7" hidden="1">#REF!</definedName>
    <definedName name="MLNK291cdfb6f516442784c0baf3b12fde25" localSheetId="7" hidden="1">#REF!</definedName>
    <definedName name="MLNK29814a5538324abfbbc2da617e73d6f7" localSheetId="7" hidden="1">#REF!</definedName>
    <definedName name="MLNK299ae3da7f4f4b678de7f52a7f43c2db" localSheetId="7" hidden="1">#REF!</definedName>
    <definedName name="MLNK29c57d71f4d746e7898935907da19e0c" localSheetId="7" hidden="1">#REF!</definedName>
    <definedName name="MLNK29e39640eaab48838edc89ddf6129fad" localSheetId="7" hidden="1">#REF!</definedName>
    <definedName name="MLNK29e84db5458b45658bb97db4ee5141fa" localSheetId="7" hidden="1">#REF!</definedName>
    <definedName name="MLNK2abee68d748f43408f3c78ff1aab5cd8" localSheetId="7" hidden="1">#REF!</definedName>
    <definedName name="MLNK2b2c36ff82434559965b4adeae9bae8e" localSheetId="7" hidden="1">#REF!</definedName>
    <definedName name="MLNK2b452caa83434d14a5a8bf95fbfefdb4" localSheetId="7" hidden="1">#REF!</definedName>
    <definedName name="MLNK2b85baa9501840b6827700471c774d80" localSheetId="7" hidden="1">#REF!</definedName>
    <definedName name="MLNK2b9b059d0a2a4ffeafce19ba06c9cdb7" localSheetId="7" hidden="1">#REF!</definedName>
    <definedName name="MLNK2c18432822ef4f83a820c2daed1e8bc0" localSheetId="7" hidden="1">#REF!</definedName>
    <definedName name="MLNK2c9088fbcd634d40b09e37e4e2d3a7c4" localSheetId="7" hidden="1">#REF!</definedName>
    <definedName name="MLNK2db7e1032d8c4d67a7116fb19fe6fa4a" localSheetId="7" hidden="1">#REF!</definedName>
    <definedName name="MLNK2e229c7e6c1a4a3eb10431ebf4b8170e" localSheetId="7" hidden="1">#REF!</definedName>
    <definedName name="MLNK2e74d86902b44d1fb46c4e137bcb62a8" localSheetId="7" hidden="1">#REF!</definedName>
    <definedName name="MLNK2e90962703ad48c792ea668d84149920" localSheetId="7" hidden="1">#REF!</definedName>
    <definedName name="MLNK2f0b5324375b449b94bf8a49a9cb7754" localSheetId="7" hidden="1">#REF!</definedName>
    <definedName name="MLNK300a116a290b4ed4b3002b11ff01efdb" localSheetId="7" hidden="1">#REF!</definedName>
    <definedName name="MLNK303b4d13bf9d4ab6b918ec321bc7d36d" localSheetId="7" hidden="1">#REF!</definedName>
    <definedName name="MLNK30b27c2cda9f470faea966f90bdec659" localSheetId="7" hidden="1">#REF!</definedName>
    <definedName name="MLNK3191c7771c5c4908bde70ad7e0523638" localSheetId="7" hidden="1">#REF!</definedName>
    <definedName name="MLNK31c437e513bd43708561c0a56b16836b" localSheetId="7" hidden="1">#REF!</definedName>
    <definedName name="MLNK33217662758946f9a7f766d1fe4702be" localSheetId="7" hidden="1">#REF!</definedName>
    <definedName name="MLNK33aa50c1f4864f5f92625202d233ad79" localSheetId="7" hidden="1">#REF!</definedName>
    <definedName name="MLNK34ea0417da44458e98269b90c5445c1b" localSheetId="7" hidden="1">#REF!</definedName>
    <definedName name="MLNK35525a34df824ef08bc71bc6c1025b5e" localSheetId="7" hidden="1">#REF!</definedName>
    <definedName name="MLNK35912bca35884e638463d146863134bb" localSheetId="7" hidden="1">#REF!</definedName>
    <definedName name="MLNK35b610b967514c518799192b3a025611" localSheetId="7" hidden="1">#REF!</definedName>
    <definedName name="MLNK35bcc842081945b9a4877e95b7f82936" localSheetId="7" hidden="1">#REF!</definedName>
    <definedName name="MLNK36d2e358aee44ad3a469ecc7f1efc28f" localSheetId="7" hidden="1">#REF!</definedName>
    <definedName name="MLNK374c68b7739746d4a370cfaacf277aa1" localSheetId="7" hidden="1">#REF!</definedName>
    <definedName name="MLNK3841ed7b84fe495094681d8873f2c710" localSheetId="7" hidden="1">#REF!</definedName>
    <definedName name="MLNK3894a42fcffc46fa83b48f2f455a1892" localSheetId="7" hidden="1">#REF!</definedName>
    <definedName name="MLNK38a93eff606b42d3964eda691fb0138d" localSheetId="7" hidden="1">#REF!</definedName>
    <definedName name="MLNK3995b3421bea4957ab58a57e281927c9" localSheetId="7" hidden="1">#REF!</definedName>
    <definedName name="MLNK39ed8c9a242a490181548740f180a9c9" localSheetId="7" hidden="1">#REF!</definedName>
    <definedName name="MLNK3a756cbdc0c6474a83ad9659a5ffb5d6" localSheetId="7" hidden="1">#REF!</definedName>
    <definedName name="MLNK3a7d26cf39d04e13a1e0f59b3cf1ac34" localSheetId="7" hidden="1">#REF!</definedName>
    <definedName name="MLNK3aee124db8a44e39804dcd74f89a6664" localSheetId="7" hidden="1">#REF!</definedName>
    <definedName name="MLNK3afd6ec422124a4280bd560d99a5eba9" localSheetId="7" hidden="1">#REF!</definedName>
    <definedName name="MLNK3b42315a9d964ea4ba34b4278796ab20" localSheetId="7" hidden="1">#REF!</definedName>
    <definedName name="MLNK3b490f78d86c43a4ba5da5a64039855e" localSheetId="7" hidden="1">#REF!</definedName>
    <definedName name="MLNK3b95ca2726664ee2b57b97a4c60f7da9" localSheetId="7" hidden="1">#REF!</definedName>
    <definedName name="MLNK3c627e7ee5f448969942c7a9faa6081b" localSheetId="7" hidden="1">#REF!</definedName>
    <definedName name="MLNK3cd376d99e2b4eeda28f2f45624a5c45" localSheetId="7" hidden="1">#REF!</definedName>
    <definedName name="MLNK3ce12ae9f8b347e1b969b8686bfdfe72" localSheetId="7" hidden="1">#REF!</definedName>
    <definedName name="MLNK3d93ff247b44478fad5e45e535c9514e" localSheetId="7" hidden="1">#REF!</definedName>
    <definedName name="MLNK3e136b76f6f0458d807d686e90e781c2" localSheetId="7" hidden="1">#REF!</definedName>
    <definedName name="MLNK3e6b5949989744febe30c0ce950b887b" localSheetId="7" hidden="1">#REF!</definedName>
    <definedName name="MLNK3e76f131abb041509d7aac5ad4e4f4da" localSheetId="7" hidden="1">#REF!</definedName>
    <definedName name="MLNK3f20583318934e1a985b3fb218f6cf2f" localSheetId="7" hidden="1">#REF!</definedName>
    <definedName name="MLNK401f5f02698d4243848666f8a851e686" localSheetId="7" hidden="1">#REF!</definedName>
    <definedName name="MLNK4087003224b14ff29dc20d806f658a35" localSheetId="7" hidden="1">#REF!</definedName>
    <definedName name="MLNK40b9f550cd2d40e1a23c9d58b10442b6" localSheetId="7" hidden="1">#REF!</definedName>
    <definedName name="MLNK4119008fa8f04941acb729f1d48f780c" localSheetId="7" hidden="1">#REF!</definedName>
    <definedName name="MLNK42b4cb02d65643168912e34a2a4d7f2e" localSheetId="7" hidden="1">#REF!</definedName>
    <definedName name="MLNK430cf43e8a734ab98b65790d0ec28b85" localSheetId="7" hidden="1">#REF!</definedName>
    <definedName name="MLNK43b4ade77b1b480587ab3b6070bdaf61" localSheetId="7" hidden="1">#REF!</definedName>
    <definedName name="MLNK43f1a5f6b89847a58b6fdae96b57e2dd" localSheetId="7" hidden="1">#REF!</definedName>
    <definedName name="MLNK442a5197cad145db945ab21b9c8b200c" localSheetId="7" hidden="1">#REF!</definedName>
    <definedName name="MLNK454cea6ef9f8417a9c84129b9df206cc" localSheetId="7" hidden="1">#REF!</definedName>
    <definedName name="MLNK468781f1a56c4f7b9056af3f150c3d01" localSheetId="7" hidden="1">#REF!</definedName>
    <definedName name="MLNK4698963d1cd64c3cbb3c00339b2715ab" localSheetId="7" hidden="1">#REF!</definedName>
    <definedName name="MLNK46ac64f69e41430dbae711c8a31227b2" localSheetId="7" hidden="1">#REF!</definedName>
    <definedName name="MLNK46cd212686fd4aff871cbe473595c1f4" localSheetId="7" hidden="1">#REF!</definedName>
    <definedName name="MLNK470a094db47f45bd86aa09e2eec85f94" localSheetId="7" hidden="1">#REF!</definedName>
    <definedName name="MLNK482a72a757504185abeb196b4c2e8eac" localSheetId="7" hidden="1">#REF!</definedName>
    <definedName name="MLNK4879f7a0100442f19df60debe3894898" localSheetId="7" hidden="1">#REF!</definedName>
    <definedName name="MLNK48e61342d81b4a01bdca4ce46a298839" localSheetId="7" hidden="1">#REF!</definedName>
    <definedName name="MLNK497b1f6578814ea499f2045816063c56" localSheetId="7" hidden="1">#REF!</definedName>
    <definedName name="MLNK49db4a5128f84b5a944ba5c6aa4f2e5e" localSheetId="7" hidden="1">#REF!</definedName>
    <definedName name="MLNK4a0aaaa4ade34633a6f39809db59ce93" localSheetId="7" hidden="1">#REF!</definedName>
    <definedName name="MLNK4a4f1de30419440b9e6fce86c1c3ea6d" localSheetId="7" hidden="1">#REF!</definedName>
    <definedName name="MLNK4a5be1ff9d6d417494e78d1077939115" localSheetId="7" hidden="1">#REF!</definedName>
    <definedName name="MLNK4a82332111354264ba7c54403cfab047" localSheetId="7" hidden="1">#REF!</definedName>
    <definedName name="MLNK4b3b9b2c509a49709ab64ea8279021ed" localSheetId="7" hidden="1">#REF!</definedName>
    <definedName name="MLNK4b40bbbaef344de0ab2a1c4c1549a012" localSheetId="7" hidden="1">#REF!</definedName>
    <definedName name="MLNK4b869de81adf428db1532acf496b0194" localSheetId="7" hidden="1">#REF!</definedName>
    <definedName name="MLNK4b8c43bd0f2d489388c97469ffb92dc2" localSheetId="7" hidden="1">#REF!</definedName>
    <definedName name="MLNK4b94666561864b68b487863d6d2c00ee" localSheetId="7" hidden="1">#REF!</definedName>
    <definedName name="MLNK4ba48b82125544feb54b63a50d2993a1" localSheetId="7" hidden="1">#REF!</definedName>
    <definedName name="MLNK4bf9ca0a4035470ab9854379328e9681" localSheetId="7" hidden="1">#REF!</definedName>
    <definedName name="MLNK4c724cf6bfd64d28bbd8ce74243815c2" localSheetId="7" hidden="1">#REF!</definedName>
    <definedName name="MLNK4d2809775cd446e6a90014faac5dd8f5" localSheetId="7" hidden="1">#REF!</definedName>
    <definedName name="MLNK4d47096029b64b53b114e1f22b3b0f38" localSheetId="7" hidden="1">#REF!</definedName>
    <definedName name="MLNK4d7fda9b12f74ae49bf48ef6c5fd5340" localSheetId="7" hidden="1">#REF!</definedName>
    <definedName name="MLNK4d9e0f11ae5e428c937ce9be516b6a99" localSheetId="7" hidden="1">#REF!</definedName>
    <definedName name="MLNK4dfd8bb2b1b14ccea2701f57b93d553e" localSheetId="7" hidden="1">#REF!</definedName>
    <definedName name="MLNK4e3e032ebe97403cb7ac1878b9b13549" localSheetId="7" hidden="1">#REF!</definedName>
    <definedName name="MLNK4e9bdae243794a8daf62540f83c5aa10" localSheetId="7" hidden="1">#REF!</definedName>
    <definedName name="MLNK4fb339189826401080c6579bbdb2860a" localSheetId="7" hidden="1">#REF!</definedName>
    <definedName name="MLNK5066a176457140b4ab8fef34359475b7" localSheetId="7" hidden="1">#REF!</definedName>
    <definedName name="MLNK509c50b0f30e41d2861594506e9a5b3d" localSheetId="7" hidden="1">#REF!</definedName>
    <definedName name="MLNK5223518531274ba9b8944e931c5091f4" localSheetId="7" hidden="1">#REF!</definedName>
    <definedName name="MLNK5273f113756f4c699300085097bea1ac" localSheetId="7" hidden="1">#REF!</definedName>
    <definedName name="MLNK52a3c800b810441686324242468860af" localSheetId="7" hidden="1">#REF!</definedName>
    <definedName name="MLNK52b773a93c594b90828c2297469b7d75" localSheetId="7" hidden="1">#REF!</definedName>
    <definedName name="MLNK539da7e8b6df4b1ba62b9857d1c8b428" localSheetId="7" hidden="1">#REF!</definedName>
    <definedName name="MLNK53f4f99dd75b45668a7dbec1b7261904" localSheetId="7" hidden="1">#REF!</definedName>
    <definedName name="MLNK5419c38a82504718a60b37b75c6058c5" localSheetId="7" hidden="1">#REF!</definedName>
    <definedName name="MLNK546b60d4cec643f6b1f022d2fd84673e" localSheetId="7" hidden="1">#REF!</definedName>
    <definedName name="MLNK549b1164492642239189c8432acac595" localSheetId="7" hidden="1">#REF!</definedName>
    <definedName name="MLNK54aa1b85a6384b7e8738b9f361971039" localSheetId="7" hidden="1">#REF!</definedName>
    <definedName name="MLNK558089d3077d4fdc8ad112fbee95b79f" localSheetId="7" hidden="1">#REF!</definedName>
    <definedName name="MLNK558420cb2c3f4942b970d972a1f4004b" localSheetId="7" hidden="1">#REF!</definedName>
    <definedName name="MLNK55a655decbf6419eb2c91cf936552e1a" localSheetId="7" hidden="1">#REF!</definedName>
    <definedName name="MLNK55e46825f9514c48852aa1b226b92cfc" localSheetId="7" hidden="1">#REF!</definedName>
    <definedName name="MLNK564779ce4b57458fae9e72aa61a4f78d" localSheetId="7" hidden="1">#REF!</definedName>
    <definedName name="MLNK5662e450df734a6bbd33a33ee472c231" localSheetId="7" hidden="1">#REF!</definedName>
    <definedName name="MLNK56784cfee8224356b96f48647bfb4487" localSheetId="7" hidden="1">#REF!</definedName>
    <definedName name="MLNK56c97d0b00a9420f86ab98f9461c3369" localSheetId="7" hidden="1">#REF!</definedName>
    <definedName name="MLNK5712d7caec4d4e1284cfaab2fc1b2380" localSheetId="7" hidden="1">#REF!</definedName>
    <definedName name="MLNK572500526c264b7b95065377003ddae5" localSheetId="7" hidden="1">#REF!</definedName>
    <definedName name="MLNK57ba1a57437c45af8dca541162dd478f" localSheetId="7" hidden="1">#REF!</definedName>
    <definedName name="MLNK58053737ae524582b77cbd888ce85d75" localSheetId="7" hidden="1">#REF!</definedName>
    <definedName name="MLNK58227a099e774037a2c4ee46ba51169b" localSheetId="7" hidden="1">#REF!</definedName>
    <definedName name="MLNK5868995cab8141f58d146ceb5ab8e064" localSheetId="7" hidden="1">#REF!</definedName>
    <definedName name="MLNK58cc0fc20f5f40bfabbdb8766eb0af9c" localSheetId="7" hidden="1">#REF!</definedName>
    <definedName name="MLNK58d4fc78b4664492bb3fa144423113d2" localSheetId="7" hidden="1">#REF!</definedName>
    <definedName name="MLNK58f9115d080d4d92853e40c2f2eb0758" localSheetId="7" hidden="1">#REF!</definedName>
    <definedName name="MLNK5a37a43bf2834901840d23cbb0abc044" localSheetId="7" hidden="1">#REF!</definedName>
    <definedName name="MLNK5bc72c653a64456ca35790155aeeb15c" localSheetId="7" hidden="1">#REF!</definedName>
    <definedName name="MLNK5c118afdb7424a12984646f92bdb0baf" localSheetId="7" hidden="1">#REF!</definedName>
    <definedName name="MLNK5c93849b1c694866a7fdca906433d872" localSheetId="7" hidden="1">#REF!</definedName>
    <definedName name="MLNK5cc120250dba49fc954ce969f59c29e4" localSheetId="7" hidden="1">#REF!</definedName>
    <definedName name="MLNK5d504a170b0b424b845a2fbdf8ae212e" localSheetId="7" hidden="1">#REF!</definedName>
    <definedName name="MLNK5d9cc9b2b2fd4b2799819c19126f0e1b" localSheetId="7" hidden="1">#REF!</definedName>
    <definedName name="MLNK5de520c386f4498e87cf292a9422b147" localSheetId="7" hidden="1">#REF!</definedName>
    <definedName name="MLNK5e8dd6ee2dc24c0eb99cc80145bc853f" localSheetId="7" hidden="1">#REF!</definedName>
    <definedName name="MLNK5f489b36a3dd4ffca654ca893fdc01e1" localSheetId="7" hidden="1">#REF!</definedName>
    <definedName name="MLNK60d659c3c8bc4afb8091990511f37424" localSheetId="7" hidden="1">#REF!</definedName>
    <definedName name="MLNK6210b0a7eff74c16936439a65bb1d85a" localSheetId="7" hidden="1">#REF!</definedName>
    <definedName name="MLNK631f5f318f32460cb70ce1837416f6f6" localSheetId="7" hidden="1">#REF!</definedName>
    <definedName name="MLNK63ac4582cfe047bbb516377b722c0c61" localSheetId="7" hidden="1">#REF!</definedName>
    <definedName name="MLNK652441e2374d4a8fae70b563e0916718" localSheetId="7" hidden="1">#REF!</definedName>
    <definedName name="MLNK655665b4820d4dc3b01557425e02aa4b" localSheetId="7" hidden="1">#REF!</definedName>
    <definedName name="MLNK65839af1b13744b0a4faaeb49d4fe140" localSheetId="7" hidden="1">#REF!</definedName>
    <definedName name="MLNK6593c6ab73264e69b4374330ab13c8e1" localSheetId="7" hidden="1">#REF!</definedName>
    <definedName name="MLNK65a6ee50c38f4a1787e6ee66d8745808" localSheetId="7" hidden="1">#REF!</definedName>
    <definedName name="MLNK65e75eb4a985451a9cb2467efa5a31db" localSheetId="7" hidden="1">#REF!</definedName>
    <definedName name="MLNK66fe63e2714d498394dcacd64546234b" localSheetId="7" hidden="1">#REF!</definedName>
    <definedName name="MLNK678d9ffd405846fabeb219bf563b4a86" localSheetId="7" hidden="1">#REF!</definedName>
    <definedName name="MLNK68871f2145af4dca900f0d21af672263" localSheetId="7" hidden="1">#REF!</definedName>
    <definedName name="MLNK68aecd16316b4ec5a6fee43a0404a643" localSheetId="7" hidden="1">#REF!</definedName>
    <definedName name="MLNK6903e22c8a4146488153f7a43fa6c9fc" localSheetId="7" hidden="1">#REF!</definedName>
    <definedName name="MLNK6a265b582ea3449ba161933f47d6ad8a" localSheetId="7" hidden="1">#REF!</definedName>
    <definedName name="MLNK6aa03d44785e4ed68239ea75127de48e" localSheetId="7" hidden="1">#REF!</definedName>
    <definedName name="MLNK6b5e31c5a8134a35aa3b61e6a3c34f1c" localSheetId="7" hidden="1">#REF!</definedName>
    <definedName name="MLNK6b92bb4e16d6422caedcf892b957e8dc" localSheetId="7" hidden="1">#REF!</definedName>
    <definedName name="MLNK6ca7e7164c8c49318c0a92737f4ed103" localSheetId="7" hidden="1">#REF!</definedName>
    <definedName name="MLNK6d68e9d61ca0416884aa1cfee1a494eb" localSheetId="7" hidden="1">#REF!</definedName>
    <definedName name="MLNK6e486e2d5a334a39b4877bea72d7eb92" localSheetId="7" hidden="1">#REF!</definedName>
    <definedName name="MLNK6e783f0d518148e08e2aaef094f77e6b" localSheetId="7" hidden="1">#REF!</definedName>
    <definedName name="MLNK6fed978a0f5a4a4cbe4ee5d4155e5ec5" localSheetId="7" hidden="1">#REF!</definedName>
    <definedName name="MLNK7019e39e85c246f1ae9e0ef6fc958370" localSheetId="7" hidden="1">#REF!</definedName>
    <definedName name="MLNK7021f5ebbdd84a45ba6a7ba23cb30771" localSheetId="7" hidden="1">#REF!</definedName>
    <definedName name="MLNK7057dc7973694314b60de6b163b24838" localSheetId="7" hidden="1">#REF!</definedName>
    <definedName name="MLNK70646e4a8e034cd78f431f91898c66c0" localSheetId="7" hidden="1">#REF!</definedName>
    <definedName name="MLNK70a874c7f368487cbe704d484fc1af16" localSheetId="7" hidden="1">#REF!</definedName>
    <definedName name="MLNK711e7c92b77c4bdba0a8fd967f51d09a" localSheetId="7" hidden="1">#REF!</definedName>
    <definedName name="MLNK713d8596e8df4275ab2d2f003c345043" localSheetId="7" hidden="1">#REF!</definedName>
    <definedName name="MLNK7165b3d004ff4cdb8cf06f37aad03417" localSheetId="7" hidden="1">#REF!</definedName>
    <definedName name="MLNK71b4daf60a6b45208f07199ac429da30" localSheetId="7" hidden="1">#REF!</definedName>
    <definedName name="MLNK729c511e6fb8406388008eaec1c014b6" localSheetId="7" hidden="1">#REF!</definedName>
    <definedName name="MLNK73535d6b26d34f28bcc1383ca23ae898" localSheetId="7" hidden="1">#REF!</definedName>
    <definedName name="MLNK7390ef6b69464b07902bf436ab3f0c81" localSheetId="7" hidden="1">#REF!</definedName>
    <definedName name="MLNK73bdb994b87f4972a5708ca53b7466f0" localSheetId="7" hidden="1">#REF!</definedName>
    <definedName name="MLNK74aaf3c2da574df69615013232ece008" localSheetId="7" hidden="1">#REF!</definedName>
    <definedName name="MLNK74ac2ebf8f2a4931b8cde3dabac0a546" localSheetId="7" hidden="1">#REF!</definedName>
    <definedName name="MLNK74e85bd6385d4993b531d38f2f3836c0" localSheetId="7" hidden="1">#REF!</definedName>
    <definedName name="MLNK7575c400d762409d9d7d3f247f474ee7" localSheetId="7" hidden="1">#REF!</definedName>
    <definedName name="MLNK758fdcdb07a04274a7c7bedbf4c52f8d" localSheetId="7" hidden="1">#REF!</definedName>
    <definedName name="MLNK75db4195e5d141d3a7eec873d4cc3a5e" localSheetId="7" hidden="1">#REF!</definedName>
    <definedName name="MLNK763a9f01ebb64e43939b2276d58ab053" localSheetId="7" hidden="1">#REF!</definedName>
    <definedName name="MLNK76a07ad73c6943b0b9490c28c2773a72" localSheetId="7" hidden="1">#REF!</definedName>
    <definedName name="MLNK78474ea8ccc645299e21f8fb8f2831bb" localSheetId="7" hidden="1">#REF!</definedName>
    <definedName name="MLNK786446f9adf44b9c8e69153a249119f0" localSheetId="7" hidden="1">#REF!</definedName>
    <definedName name="MLNK78cdf337446c4c4fa061d0ca0ea856da" localSheetId="7" hidden="1">#REF!</definedName>
    <definedName name="MLNK79f1f52cffc2440d893df1536bc81db2" localSheetId="7" hidden="1">#REF!</definedName>
    <definedName name="MLNK7a261d36437c4a978a819df4ce0f5c46" localSheetId="7" hidden="1">#REF!</definedName>
    <definedName name="MLNK7a38c2826a99439c9e40971bcc5ad261" localSheetId="7" hidden="1">#REF!</definedName>
    <definedName name="MLNK7b537a5989264eddabc292d4476e8379" localSheetId="7" hidden="1">#REF!</definedName>
    <definedName name="MLNK7bd30f6b03154f80b4ece3b807f67f53" localSheetId="7" hidden="1">#REF!</definedName>
    <definedName name="MLNK7bec44c0ba524dd5968ece36d71dd645" localSheetId="7" hidden="1">#REF!</definedName>
    <definedName name="MLNK7c2d7cae1ba24e14af55455df7615e04" localSheetId="7" hidden="1">#REF!</definedName>
    <definedName name="MLNK7c6376d3e24e49f68f4a6c8210e18b82" localSheetId="7" hidden="1">#REF!</definedName>
    <definedName name="MLNK7c808528906245c8bc83cd2434e1f4a3" localSheetId="7" hidden="1">#REF!</definedName>
    <definedName name="MLNK7ccb8304142d4079b335f546155f0e48" localSheetId="7" hidden="1">#REF!</definedName>
    <definedName name="MLNK7cdcd9ff45e94baa8c22f1bbb7a0756c" localSheetId="7" hidden="1">#REF!</definedName>
    <definedName name="MLNK7ce7df4de2444df2ae72af9f72d99cf3" localSheetId="7" hidden="1">#REF!</definedName>
    <definedName name="MLNK7d839fb3a2534df1af4fe0c1fb45f03b" localSheetId="7" hidden="1">#REF!</definedName>
    <definedName name="MLNK7dde91cd40a0482ca0661c225c13de3c" localSheetId="7" hidden="1">#REF!</definedName>
    <definedName name="MLNK7dfeefbfedf84d17b41a6bc802339b65" localSheetId="7" hidden="1">#REF!</definedName>
    <definedName name="MLNK7e722a65711d41bbb1f89dac8f1d179f" localSheetId="7" hidden="1">#REF!</definedName>
    <definedName name="MLNK7f00420c94b84d218a5ffd741e2618a4" localSheetId="7" hidden="1">#REF!</definedName>
    <definedName name="MLNK7f381db745e745038123354ce5695f85" localSheetId="7" hidden="1">#REF!</definedName>
    <definedName name="MLNK7f3a5242886546ca971d4b3fd26e0d39" localSheetId="7" hidden="1">#REF!</definedName>
    <definedName name="MLNK7f9b2a8b4c6e4ee79f750e916a643062" localSheetId="7" hidden="1">#REF!</definedName>
    <definedName name="MLNK822c71a676b44b90a0ae9ee8e8922351" localSheetId="7" hidden="1">#REF!</definedName>
    <definedName name="MLNK82a32cd08bcd424db6b53342a4ef2b53" localSheetId="7" hidden="1">#REF!</definedName>
    <definedName name="MLNK8389a0e593704536bf47bf8d77e09b85" localSheetId="7" hidden="1">#REF!</definedName>
    <definedName name="MLNK849be104a79e4e71843072e3fc579178" localSheetId="7" hidden="1">#REF!</definedName>
    <definedName name="MLNK8519166dded446979824141450c07732" localSheetId="7" hidden="1">#REF!</definedName>
    <definedName name="MLNK85d104ed1abd4ee8b2b7b9e36d1a40a0" localSheetId="7" hidden="1">#REF!</definedName>
    <definedName name="MLNK86084a0d926c4d1c99f2a4ed620b0d92" localSheetId="7" hidden="1">#REF!</definedName>
    <definedName name="MLNK863d7154b90b4ff58eb8073dda6f1db2" localSheetId="7" hidden="1">#REF!</definedName>
    <definedName name="MLNK864586187871466fbdc98181e8196c2a" localSheetId="7" hidden="1">#REF!</definedName>
    <definedName name="MLNK86b0faed08ae4756b1f81b4c70bd37cf" localSheetId="7" hidden="1">#REF!</definedName>
    <definedName name="MLNK87bdc6b5081740989afaa8649fe51684" localSheetId="7" hidden="1">#REF!</definedName>
    <definedName name="MLNK882742a4574d4c398317209f734ccdee" localSheetId="7" hidden="1">#REF!</definedName>
    <definedName name="MLNK88bff6d610804cce9a482ca53b2475a0" localSheetId="7" hidden="1">#REF!</definedName>
    <definedName name="MLNK88e70c518ed8483ebc887df4719632e4" localSheetId="7" hidden="1">#REF!</definedName>
    <definedName name="MLNK88f32ac2f3294394b8e9f43317d7102f" localSheetId="7" hidden="1">#REF!</definedName>
    <definedName name="MLNK88f6c9c50f6a42c18f38f2c69d3c79c5" localSheetId="7" hidden="1">#REF!</definedName>
    <definedName name="MLNK8940cbfbd55a452991b13e1c94d646f7" localSheetId="7" hidden="1">#REF!</definedName>
    <definedName name="MLNK89953e64f7ca478889eab0480ca166d9" localSheetId="7" hidden="1">#REF!</definedName>
    <definedName name="MLNK8a2ff150aff945afbc20a79562761a81" localSheetId="7" hidden="1">#REF!</definedName>
    <definedName name="MLNK8a4b37d8c34843689209c16083a16b7c" localSheetId="7" hidden="1">#REF!</definedName>
    <definedName name="MLNK8acbb2a77cd04fcdb24d3585bb94e8e9" localSheetId="7" hidden="1">#REF!</definedName>
    <definedName name="MLNK8b131d72e5df48faa6c8c6406e26e418" localSheetId="7" hidden="1">#REF!</definedName>
    <definedName name="MLNK8b17f146ac5a48cd8e81eb109aeee3ae" localSheetId="7" hidden="1">#REF!</definedName>
    <definedName name="MLNK8c682d93591c4c73845ba2c1082c48d3" localSheetId="7" hidden="1">#REF!</definedName>
    <definedName name="MLNK8cd52f4b903543658de827aa52acf74e" localSheetId="7" hidden="1">#REF!</definedName>
    <definedName name="MLNK8d141d7d47ad4fc987d59f39088ad916" localSheetId="7" hidden="1">#REF!</definedName>
    <definedName name="MLNK8e8302d4806d4976b250563630d06974" localSheetId="7" hidden="1">#REF!</definedName>
    <definedName name="MLNK8e9b770ba4eb41da82ee651f9a564109" localSheetId="7" hidden="1">#REF!</definedName>
    <definedName name="MLNK9004dc033f374e6a928f9b0ebb5d8196" localSheetId="7" hidden="1">#REF!</definedName>
    <definedName name="MLNK907ffb3c3f914b5ea9e24fe283c6cb99" localSheetId="7" hidden="1">#REF!</definedName>
    <definedName name="MLNK90c4ba7186d54322a67fb04486a8cbf3" localSheetId="7" hidden="1">#REF!</definedName>
    <definedName name="MLNK90e25c2ecaa64d57bb26958b4d223428" localSheetId="7" hidden="1">#REF!</definedName>
    <definedName name="MLNK9110823f14ea42ec8690146557817cd4" localSheetId="7" hidden="1">#REF!</definedName>
    <definedName name="MLNK913274e26d0b40a5a0c25c58b5a6b52f" localSheetId="7" hidden="1">#REF!</definedName>
    <definedName name="MLNK91662700859a4b5887ea4b2f311dfaa8" localSheetId="7" hidden="1">#REF!</definedName>
    <definedName name="MLNK91bae33c68f54070a9d0dc2c0bf12ef3" localSheetId="7" hidden="1">#REF!</definedName>
    <definedName name="MLNK9345a567a3bf4c0b9f86177bd2d75271" localSheetId="7" hidden="1">#REF!</definedName>
    <definedName name="MLNK93e5daee684d41bcb8fcce607e193642" localSheetId="7" hidden="1">#REF!</definedName>
    <definedName name="MLNK94328738fd3c4600af18be2154210e21" localSheetId="7" hidden="1">#REF!</definedName>
    <definedName name="MLNK945d6f39e1f24984b04097fbaf17eeea" localSheetId="7" hidden="1">#REF!</definedName>
    <definedName name="MLNK9637ccf249e443078a50f7c2eb385852" localSheetId="7" hidden="1">#REF!</definedName>
    <definedName name="MLNK9682ca475ff54cbfb2f968b54a63e991" localSheetId="7" hidden="1">#REF!</definedName>
    <definedName name="MLNK970f77a437ad4eba93f82bc0a2c68793" localSheetId="7" hidden="1">#REF!</definedName>
    <definedName name="MLNK97df538a2fdf490296fd305add5f1023" localSheetId="7" hidden="1">#REF!</definedName>
    <definedName name="MLNK97e64800be9a4f7e916bf03b564bb072" localSheetId="7" hidden="1">#REF!</definedName>
    <definedName name="MLNK98f7f2b7a3444132ab2e3711160705fd" localSheetId="7" hidden="1">#REF!</definedName>
    <definedName name="MLNK99b9d957895544fda8e9670506643b77" localSheetId="7" hidden="1">#REF!</definedName>
    <definedName name="MLNK99de40bd629144c7ba32aae377c57f70" localSheetId="7" hidden="1">#REF!</definedName>
    <definedName name="MLNK9a4f673c06ec41419cc6dcbbb88e0dea" localSheetId="7" hidden="1">#REF!</definedName>
    <definedName name="MLNK9ab5b092e0124e1fb5be58e7bfd4270d" localSheetId="7" hidden="1">#REF!</definedName>
    <definedName name="MLNK9bf4240de0604471b0871b323169dcca" localSheetId="7" hidden="1">#REF!</definedName>
    <definedName name="MLNK9bf7c40dc1ea40a1b552234224cb0d1b" localSheetId="7" hidden="1">#REF!</definedName>
    <definedName name="MLNK9d772ca29969447bb894388d70fa9a5f" localSheetId="7" hidden="1">#REF!</definedName>
    <definedName name="MLNK9df90ae49f6a429a93387ed77e0be2b2" localSheetId="7" hidden="1">#REF!</definedName>
    <definedName name="MLNK9e49aa41542f4b3c85f3ee6589fc1063" localSheetId="7" hidden="1">#REF!</definedName>
    <definedName name="MLNK9ec928e25a7346ee9e4798135a8b5762" localSheetId="7" hidden="1">#REF!</definedName>
    <definedName name="MLNK9f2cc9d5eedf40d9be4150e48c60c1dd" localSheetId="7" hidden="1">#REF!</definedName>
    <definedName name="MLNK9f5e9f25b1b94a1c81bdc28b15d167c0" localSheetId="7" hidden="1">#REF!</definedName>
    <definedName name="MLNK9f9c1ebd4e6a4e589df75a77d68c31d2" localSheetId="7" hidden="1">#REF!</definedName>
    <definedName name="MLNK9fb16ef3f8724c15939d445b614c75a4" localSheetId="7" hidden="1">#REF!</definedName>
    <definedName name="MLNK9fb8406726c54571934f80236f646acb" localSheetId="7" hidden="1">#REF!</definedName>
    <definedName name="MLNKa1b5fc7caf74424b8bbf75e731066ab0" localSheetId="7" hidden="1">#REF!</definedName>
    <definedName name="MLNKa25cae9dc8c74628915f296fa982e1fb" localSheetId="7" hidden="1">#REF!</definedName>
    <definedName name="MLNKa33f5b922c52401198b5e559799f8eef" localSheetId="7" hidden="1">#REF!</definedName>
    <definedName name="MLNKa4bfc61416724e8488baa1e1bf692f7c" localSheetId="7" hidden="1">#REF!</definedName>
    <definedName name="MLNKa4e5105d657d4972a79e03058f83813b" localSheetId="7" hidden="1">#REF!</definedName>
    <definedName name="MLNKa5ec9fd3c1204d3ab4000afcd26c7311" localSheetId="7" hidden="1">#REF!</definedName>
    <definedName name="MLNKa6dd1b101c6a4ddb975ed96014483413" localSheetId="7" hidden="1">#REF!</definedName>
    <definedName name="MLNKa6fb886c6532415487930914f9a76842" localSheetId="7" hidden="1">#REF!</definedName>
    <definedName name="MLNKa7219183ccd0431194753052ff289c50" localSheetId="7" hidden="1">#REF!</definedName>
    <definedName name="MLNKa77db0f4971f4e9fadc9a15aca25114d" localSheetId="7" hidden="1">#REF!</definedName>
    <definedName name="MLNKa7817aa319db4731a9e2c933aca0719c" localSheetId="7" hidden="1">#REF!</definedName>
    <definedName name="MLNKa7a3d6f9d11a4a809ee5ff79e0c8ad5c" localSheetId="7" hidden="1">#REF!</definedName>
    <definedName name="MLNKa7b98c7307644bba8c90bc9645775b57" localSheetId="7" hidden="1">#REF!</definedName>
    <definedName name="MLNKa82dec760367413abef062bc8720b820" localSheetId="7" hidden="1">#REF!</definedName>
    <definedName name="MLNKa89b4ee9c2de4f7eaf93310b35832ee5" localSheetId="7" hidden="1">#REF!</definedName>
    <definedName name="MLNKa8c37bf10f834510876329f05782f34d" localSheetId="7" hidden="1">#REF!</definedName>
    <definedName name="MLNKa95e6c6ba069403f8a62b2744d732b98" localSheetId="7" hidden="1">#REF!</definedName>
    <definedName name="MLNKa97d26cd09d849ab9bdeca389fa24805" localSheetId="7" hidden="1">#REF!</definedName>
    <definedName name="MLNKab02c2991b6b431a8d270be0189e9571" localSheetId="7" hidden="1">#REF!</definedName>
    <definedName name="MLNKac42ad8b02784fb2b0c9f96bd99bb08a" localSheetId="7" hidden="1">#REF!</definedName>
    <definedName name="MLNKac716c0503d44271adc268c475933c7b" localSheetId="7" hidden="1">#REF!</definedName>
    <definedName name="MLNKae2bd731278143659ca73b7e3c820374" localSheetId="7" hidden="1">#REF!</definedName>
    <definedName name="MLNKaea5c256d3804e37a62ac031b17c2a94" localSheetId="7" hidden="1">#REF!</definedName>
    <definedName name="MLNKaf0cbd3c6eb94c84b3215a78955725ce" localSheetId="7" hidden="1">#REF!</definedName>
    <definedName name="MLNKaf0dac759b4745cb803ecfc7dac9891a" localSheetId="7" hidden="1">#REF!</definedName>
    <definedName name="MLNKb026e7e791854d31b7bb7758362b4c54" localSheetId="7" hidden="1">#REF!</definedName>
    <definedName name="MLNKb02de38dd13d495d8a2f90addc300534" localSheetId="7" hidden="1">#REF!</definedName>
    <definedName name="MLNKb0a22b8da9e349b0a219bcb103ca5e26" localSheetId="7" hidden="1">#REF!</definedName>
    <definedName name="MLNKb1f4aa7639a64f0bb4faf48bcfffa77e" localSheetId="7" hidden="1">#REF!</definedName>
    <definedName name="MLNKb1f744c776484ca18efc7c1044adf418" localSheetId="7" hidden="1">#REF!</definedName>
    <definedName name="MLNKb2901e1f50a84f918b6ead78ee99678a" localSheetId="7" hidden="1">#REF!</definedName>
    <definedName name="MLNKb2b99e6a58ac4865b2554ef3d1971577" localSheetId="7" hidden="1">#REF!</definedName>
    <definedName name="MLNKb2c15ca540cc43de87cb92d3c45b905e" localSheetId="7" hidden="1">#REF!</definedName>
    <definedName name="MLNKb30365b9692843388d1fd11a48afb7de" localSheetId="7" hidden="1">#REF!</definedName>
    <definedName name="MLNKb34eced05fc4474da889379a0eeab0c8" localSheetId="7" hidden="1">#REF!</definedName>
    <definedName name="MLNKb359d3fb47314fe2954621c0d9a0460e" localSheetId="7" hidden="1">#REF!</definedName>
    <definedName name="MLNKb394646e412b46e4bd36ca82f51a7ef4" localSheetId="7" hidden="1">#REF!</definedName>
    <definedName name="MLNKb5282d98527f4904ba52287e9cb5399b" localSheetId="7" hidden="1">#REF!</definedName>
    <definedName name="MLNKb56d95f79c694ba18d515de86ff406ad" localSheetId="7" hidden="1">#REF!</definedName>
    <definedName name="MLNKb5c891d151b145b786e0f50677531611" localSheetId="7" hidden="1">#REF!</definedName>
    <definedName name="MLNKb60c585591ff435499adcbcedc787ee9" localSheetId="7" hidden="1">#REF!</definedName>
    <definedName name="MLNKb70e0287e1c84373ae29e8b329df47f8" localSheetId="7" hidden="1">'VI. Comparables (Description)'!$B$20:$E$32</definedName>
    <definedName name="MLNKb721f99c3bd5494da0bbba9b39253294" localSheetId="7" hidden="1">#REF!</definedName>
    <definedName name="MLNKb80123ad714847a49302cb5808ce1193" localSheetId="7" hidden="1">#REF!</definedName>
    <definedName name="MLNKb858ba554cba45c2b1e6497959577cb6" localSheetId="7" hidden="1">#REF!</definedName>
    <definedName name="MLNKb8793bbdc4cd4502a30b4e9de8fa112e" localSheetId="7" hidden="1">#REF!</definedName>
    <definedName name="MLNKb96c898e66e64db6be18f3516577e540" localSheetId="7" hidden="1">#REF!</definedName>
    <definedName name="MLNKbb02b748687641bc809fdb4b8b3361a4" localSheetId="7" hidden="1">#REF!</definedName>
    <definedName name="MLNKbb0818788be947d5849c08d5af71dccc" localSheetId="7" hidden="1">'VI. Comparables (Description)'!$1:$1048576</definedName>
    <definedName name="MLNKbb6fbd47bf084dbc9553f91d139a05a9" localSheetId="7" hidden="1">#REF!</definedName>
    <definedName name="MLNKbb86d3d2a0f24dd2bbc238b0e1bc07d0" localSheetId="7" hidden="1">#REF!</definedName>
    <definedName name="MLNKbb88464955b04e74890527baf9dc3dca" localSheetId="7" hidden="1">#REF!</definedName>
    <definedName name="MLNKbc1fe6c37f4d4ab5bd8ff0e9ab1e3940" localSheetId="7" hidden="1">#REF!</definedName>
    <definedName name="MLNKbc46897c4edd49a3b339f17c312cec25" localSheetId="7" hidden="1">#REF!</definedName>
    <definedName name="MLNKbd76be2c1b68486a83af5de8bdbcfe39" localSheetId="7" hidden="1">#REF!</definedName>
    <definedName name="MLNKbddc92dbcd424513a26fec3a36608c07" localSheetId="7" hidden="1">#REF!</definedName>
    <definedName name="MLNKbeb2a85a7d5e4ac58ab6701f6b711fbb" localSheetId="7" hidden="1">#REF!</definedName>
    <definedName name="MLNKbefbd14f401445f6b6822f51bdc13266" localSheetId="7" hidden="1">#REF!</definedName>
    <definedName name="MLNKbf8530991c7842458de3c4951292490e" localSheetId="7" hidden="1">#REF!</definedName>
    <definedName name="MLNKbf9802cd3cc24b93b0e5cdc8298b13dd" localSheetId="7" hidden="1">#REF!</definedName>
    <definedName name="MLNKbfe3b2005f2742068b1031a3e3f8a2c6" localSheetId="7" hidden="1">#REF!</definedName>
    <definedName name="MLNKc028b05ec1474697ae0f46d24ddade90" localSheetId="7" hidden="1">#REF!</definedName>
    <definedName name="MLNKc06d473cc53e493ba7441c705e9ad9c0" localSheetId="7" hidden="1">#REF!</definedName>
    <definedName name="MLNKc15800ad3ce64a799cbdf8cb51764dd3" localSheetId="7" hidden="1">#REF!</definedName>
    <definedName name="MLNKc15a042a1cbc44198e3f9d1f75834286" localSheetId="7" hidden="1">#REF!</definedName>
    <definedName name="MLNKc162c015d35146d1b78e079093f33a77" localSheetId="7" hidden="1">#REF!</definedName>
    <definedName name="MLNKc1dc26d0f03a46858e757bd1d4377f75" localSheetId="7" hidden="1">#REF!</definedName>
    <definedName name="MLNKc26338d459b741348648c7ac47c31ac0" localSheetId="7" hidden="1">#REF!</definedName>
    <definedName name="MLNKc2efd8ffcaa34e59b60518bbb305fc63" localSheetId="7" hidden="1">#REF!</definedName>
    <definedName name="MLNKc3c336515a70492995ab6aca70041fcd" localSheetId="7" hidden="1">#REF!</definedName>
    <definedName name="MLNKc46028cf5e4d492d9dea2018869aaaed" localSheetId="7" hidden="1">#REF!</definedName>
    <definedName name="MLNKc50218c9156a467781e411dbd3d48136" localSheetId="7" hidden="1">#REF!</definedName>
    <definedName name="MLNKc5130a94ec1244b7a7361d362b309207" localSheetId="7" hidden="1">#REF!</definedName>
    <definedName name="MLNKc52f5a42071748faace2c1e249d2015f" localSheetId="7" hidden="1">#REF!</definedName>
    <definedName name="MLNKc5917d86d84245a19e71228e902d9570" localSheetId="7" hidden="1">#REF!</definedName>
    <definedName name="MLNKc59c2c879bb947b281e7464f5d9cc03a" localSheetId="7" hidden="1">#REF!</definedName>
    <definedName name="MLNKc5a2959bebff4f91b09362097725d98e" localSheetId="7" hidden="1">#REF!</definedName>
    <definedName name="MLNKc659f995effe4b579c38ff91fa57e987" localSheetId="7" hidden="1">#REF!</definedName>
    <definedName name="MLNKc6aefbd14cfb45458e4c047f71737189" localSheetId="7" hidden="1">#REF!</definedName>
    <definedName name="MLNKc74e60fbf854453db17e8684ea5bce66" localSheetId="7" hidden="1">#REF!</definedName>
    <definedName name="MLNKc78948282baa424d84a9383779c84fd8" localSheetId="7" hidden="1">#REF!</definedName>
    <definedName name="MLNKc7bd4a1a060f4aaa8c20cc94cfe1d136" localSheetId="7" hidden="1">#REF!</definedName>
    <definedName name="MLNKc84748cc10dd4256933f02e2c927b5a9" localSheetId="7" hidden="1">#REF!</definedName>
    <definedName name="MLNKc8b6fbc053ad4a09b0fc6be79636d8a0" localSheetId="7" hidden="1">#REF!</definedName>
    <definedName name="MLNKc8b73752472f48b2bccfdaba1c6b6f7b" localSheetId="7" hidden="1">#REF!</definedName>
    <definedName name="MLNKcbd71f619082476689d69b3dbeedeac6" localSheetId="7" hidden="1">#REF!</definedName>
    <definedName name="MLNKcc96c218311c4662b164636e42f56ff7" localSheetId="7" hidden="1">#REF!</definedName>
    <definedName name="MLNKce77c2f032d04ee79c255f6e39b36c47" localSheetId="7" hidden="1">#REF!</definedName>
    <definedName name="MLNKcec893d18ba74351a83a8b40b0d5efd9" localSheetId="7" hidden="1">#REF!</definedName>
    <definedName name="MLNKcfda49d4838e4081a1e44ac95a0dc186" localSheetId="7" hidden="1">#REF!</definedName>
    <definedName name="MLNKd0acfc2eb6a54c42914a931ced4f1d48" localSheetId="7" hidden="1">#REF!</definedName>
    <definedName name="MLNKd1b79e4e7aef43368318ed1e172c8dbd" localSheetId="7" hidden="1">#REF!</definedName>
    <definedName name="MLNKd1bfe69c1e284d6fba0c9353cc855643" localSheetId="7" hidden="1">#REF!</definedName>
    <definedName name="MLNKd1c69d0883884061b336aab57325eb3d" localSheetId="7" hidden="1">#REF!</definedName>
    <definedName name="MLNKd1eb0891b31448f6a2a42787308f57d0" localSheetId="7" hidden="1">#REF!</definedName>
    <definedName name="MLNKd36364ccf3554d17be4e90cf90af8fff" localSheetId="7" hidden="1">#REF!</definedName>
    <definedName name="MLNKd4318cd5f5444700b610edf92c08ff61" localSheetId="7" hidden="1">#REF!</definedName>
    <definedName name="MLNKd4ece25b0836456690f432756db42070" localSheetId="7" hidden="1">#REF!</definedName>
    <definedName name="MLNKd4ee53c7dd364f0285ddf36588313749" localSheetId="7" hidden="1">#REF!</definedName>
    <definedName name="MLNKd73ad899cda541a8982e3f2d5aa1956e" localSheetId="7" hidden="1">#REF!</definedName>
    <definedName name="MLNKd8e056c4de3e4a3b863d5b0fe931d713" localSheetId="7" hidden="1">#REF!</definedName>
    <definedName name="MLNKda1152c4cc0c422f84e177462720e4e9" localSheetId="7" hidden="1">#REF!</definedName>
    <definedName name="MLNKdad976f7fd5f4e2b8d5894157ebede88" localSheetId="7" hidden="1">#REF!</definedName>
    <definedName name="MLNKdaf6c5baad5440ac9bc69ff1570d9d9a" localSheetId="7" hidden="1">#REF!</definedName>
    <definedName name="MLNKdb864bfe86424f5e87f6b1bb724e6820" localSheetId="7" hidden="1">#REF!</definedName>
    <definedName name="MLNKdc921760362b49f09e4e76d8b6a7b69d" localSheetId="7" hidden="1">#REF!</definedName>
    <definedName name="MLNKdcc1ef51c49e470a9212dd480f00d5c5" localSheetId="7" hidden="1">#REF!</definedName>
    <definedName name="MLNKdcfa7180c18943a0898fa020b54f44e5" localSheetId="7" hidden="1">#REF!</definedName>
    <definedName name="MLNKdd16275dc64b4808b13920b3578e8113" localSheetId="7" hidden="1">#REF!</definedName>
    <definedName name="MLNKdd36a7854d414eb6b4c775afa248a0ac" localSheetId="7" hidden="1">#REF!</definedName>
    <definedName name="MLNKde8006bacfc346d6b4df8727d916822c" localSheetId="7" hidden="1">#REF!</definedName>
    <definedName name="MLNKdf07d88462fd4bfd9dc7f95442e82542" localSheetId="7" hidden="1">#REF!</definedName>
    <definedName name="MLNKdf2238e63cba47398e2681a8c2bfaa54" localSheetId="7" hidden="1">#REF!</definedName>
    <definedName name="MLNKdf654a64333a494fa6e088e037163da8" localSheetId="7" hidden="1">#REF!</definedName>
    <definedName name="MLNKdfa802fe092a4977907fea92b409c1e1" localSheetId="7" hidden="1">#REF!</definedName>
    <definedName name="MLNKe04bf971879347c7982b1173e2d29a2a" localSheetId="7" hidden="1">#REF!</definedName>
    <definedName name="MLNKe090e26510014cdeb8e67a5d5a96ba13" localSheetId="7" hidden="1">#REF!</definedName>
    <definedName name="MLNKe097181bd7e94b59b0bf560b50f4a59a" localSheetId="7" hidden="1">#REF!</definedName>
    <definedName name="MLNKe0c53436419d42a685619d07b8f478b9" localSheetId="7" hidden="1">#REF!</definedName>
    <definedName name="MLNKe0e0cfd6df4745e9ad359e10947fe8c7" localSheetId="7" hidden="1">#REF!</definedName>
    <definedName name="MLNKe1ac4738cbfe4e66ab2c077b0dc4db99" localSheetId="7" hidden="1">#REF!</definedName>
    <definedName name="MLNKe2a086a7b5c14ff5800311a557761726" localSheetId="7" hidden="1">#REF!</definedName>
    <definedName name="MLNKe2eb1cfb3a68470b9c8fea946d494a0a" localSheetId="7" hidden="1">'VI. Comparables (Description)'!$B$5:$E$19</definedName>
    <definedName name="MLNKe301b7ee170d422480db09afd5555b9d" localSheetId="7" hidden="1">#REF!</definedName>
    <definedName name="MLNKe35ef9b20e8c4b09a97c3424b90a59ab" localSheetId="7" hidden="1">#REF!</definedName>
    <definedName name="MLNKe3741771fafe452fbc166f1b31abb306" localSheetId="7" hidden="1">#REF!</definedName>
    <definedName name="MLNKe46d45e2188d48f4864afc164943f2a4" localSheetId="7" hidden="1">#REF!</definedName>
    <definedName name="MLNKe4afc91282184093a934ea945b892c20" localSheetId="7" hidden="1">#REF!</definedName>
    <definedName name="MLNKe58b4f9954594a68919adf5d39ec4f38" localSheetId="7" hidden="1">#REF!</definedName>
    <definedName name="MLNKe5f7520d114649c68b8a2a9313d7a076" localSheetId="7" hidden="1">#REF!</definedName>
    <definedName name="MLNKe6017dab58bc41efb29a306689344160" localSheetId="7" hidden="1">#REF!</definedName>
    <definedName name="MLNKe67783f9386045fab4a95e47d8eed990" localSheetId="7" hidden="1">#REF!</definedName>
    <definedName name="MLNKe69c7e47ace84fdabba07cd9364eb119" localSheetId="7" hidden="1">#REF!</definedName>
    <definedName name="MLNKe718831ad10d4537b33e4eb72d3f42c8" localSheetId="7" hidden="1">#REF!</definedName>
    <definedName name="MLNKe754afffd77a4d84aa91d88468789915" localSheetId="7" hidden="1">#REF!</definedName>
    <definedName name="MLNKe75bfc86c5c340b58c80decac0c459df" localSheetId="7" hidden="1">#REF!</definedName>
    <definedName name="MLNKe7d255d2ea4045708a682a35478c4a53" localSheetId="7" hidden="1">#REF!</definedName>
    <definedName name="MLNKe7f13861e6d2486aaed4a2efd709d77f" localSheetId="7" hidden="1">#REF!</definedName>
    <definedName name="MLNKe87eba5671a54589ba2b3005504069f5" localSheetId="7" hidden="1">#REF!</definedName>
    <definedName name="MLNKe8bbf428f7b741fda970875cb350ca06" localSheetId="7" hidden="1">#REF!</definedName>
    <definedName name="MLNKe9691c94eb924535b492835020e075c4" localSheetId="7" hidden="1">#REF!</definedName>
    <definedName name="MLNKeabbe4aeee6047609b732161a9b667c5" localSheetId="7" hidden="1">#REF!</definedName>
    <definedName name="MLNKeb94e17874554a428430ccc272790bb9" localSheetId="7" hidden="1">#REF!</definedName>
    <definedName name="MLNKece6d007c0f24cbb975070e5fd99dd6a" localSheetId="7" hidden="1">#REF!</definedName>
    <definedName name="MLNKed63a1a3f60d4cb9a6eea667a88f3bae" localSheetId="7" hidden="1">#REF!</definedName>
    <definedName name="MLNKedad7bc6cf7c48458c71bbdca16f9636" localSheetId="7" hidden="1">#REF!</definedName>
    <definedName name="MLNKeecdb8d7190e4f8c808622a7226be5e5" localSheetId="7" hidden="1">#REF!</definedName>
    <definedName name="MLNKef1b927cfe704d81a46a8bc2f477a2fa" localSheetId="7" hidden="1">#REF!</definedName>
    <definedName name="MLNKf0bcc9f4176d4a49ab0f9727901687cc" localSheetId="7" hidden="1">#REF!</definedName>
    <definedName name="MLNKf187bf23ebf6455abeeb8dcfe68f1a02" localSheetId="7" hidden="1">#REF!</definedName>
    <definedName name="MLNKf1ce7c1f71ca4b5dbd297a8314c35f0d" localSheetId="7" hidden="1">#REF!</definedName>
    <definedName name="MLNKf1d741c373f34620ba9db75e559d6492" localSheetId="7" hidden="1">#REF!</definedName>
    <definedName name="MLNKf1e1e702f443436db370aefe1af4b4af" localSheetId="7" hidden="1">#REF!</definedName>
    <definedName name="MLNKf1fc313dfb8c49c9ad656524cf038dd4" localSheetId="7" hidden="1">#REF!</definedName>
    <definedName name="MLNKf22d86e83dc74649878809d6d5084ff5" localSheetId="7" hidden="1">#REF!</definedName>
    <definedName name="MLNKf34374e0248843038ab5daf7c14052b3" localSheetId="7" hidden="1">#REF!</definedName>
    <definedName name="MLNKf589f5d4860d4c168e084a35ada47455" localSheetId="7" hidden="1">#REF!</definedName>
    <definedName name="MLNKf5d530e37ea3487f8215dece0e743f02" localSheetId="7" hidden="1">#REF!</definedName>
    <definedName name="MLNKf62372b10e7546899a27aba86588940f" localSheetId="7" hidden="1">#REF!</definedName>
    <definedName name="MLNKf655751cc8844c7f812a2493aeecffe0" localSheetId="7" hidden="1">#REF!</definedName>
    <definedName name="MLNKf65576a79529435e96ea56a9f989a6c1" localSheetId="7" hidden="1">#REF!</definedName>
    <definedName name="MLNKf66035223f4444779699efe602c3bb34" localSheetId="7" hidden="1">#REF!</definedName>
    <definedName name="MLNKf8373b71f8f04deb98bc961f11b3339a" localSheetId="7" hidden="1">#REF!</definedName>
    <definedName name="MLNKf83b8907730540f7ad62729b856f69cd" localSheetId="7" hidden="1">#REF!</definedName>
    <definedName name="MLNKf864eed95e984ae99caedb517dee0d9a" localSheetId="7" hidden="1">#REF!</definedName>
    <definedName name="MLNKf8965499dbe140ae94eaca5543729810" localSheetId="7" hidden="1">#REF!</definedName>
    <definedName name="MLNKf8f37e5ba04b4a2b9dacd71d668832f0" localSheetId="7" hidden="1">#REF!</definedName>
    <definedName name="MLNKfaa67a026dd9454f9e7abfa18fd2ea98" localSheetId="7" hidden="1">#REF!</definedName>
    <definedName name="MLNKfb30cc3b31544b5faf150bb880655370" localSheetId="7" hidden="1">#REF!</definedName>
    <definedName name="MLNKfbd34e9c5e9a46d68b7d7c6b4ac63d0c" localSheetId="7" hidden="1">#REF!</definedName>
    <definedName name="MLNKfc65f694760547b99ecbf623bd883e7a" localSheetId="7" hidden="1">#REF!</definedName>
    <definedName name="MLNKfd0d9b768299437b92b717f7f627c62c" localSheetId="7" hidden="1">#REF!</definedName>
    <definedName name="MLNKfebe3ae174e74e728322fa727b235f1f" localSheetId="7" hidden="1">#REF!</definedName>
    <definedName name="MLNKff5ecd00ef6847669fb191968d8809a5" localSheetId="7" hidden="1">#REF!</definedName>
    <definedName name="MLNKffb594f36bc542278515f6018b380411" localSheetId="7" hidden="1">#REF!</definedName>
    <definedName name="mlw" localSheetId="7" hidden="1">{#N/A,#N/A,FALSE,"Pharm";#N/A,#N/A,FALSE,"WWCM"}</definedName>
    <definedName name="mnkj" localSheetId="7" hidden="1">{#N/A,#N/A,TRUE,"BUD VS ACT AUST 96";#N/A,#N/A,TRUE,"96 COMP P&amp;L-AUST";#N/A,#N/A,TRUE,"COMP BS-AUSTRALIA";#N/A,#N/A,TRUE,"B/S - AUSTR."}</definedName>
    <definedName name="model" localSheetId="7" hidden="1">{#N/A,#N/A,FALSE,"Rev Grwth";#N/A,#N/A,FALSE,"Op Inc Grwth";#N/A,#N/A,FALSE,"Net Grwth";#N/A,#N/A,FALSE,"EPS Growth"}</definedName>
    <definedName name="model2" localSheetId="7" hidden="1">{#N/A,#N/A,FALSE,"Rev Grwth";#N/A,#N/A,FALSE,"Op Inc Grwth";#N/A,#N/A,FALSE,"Net Grwth";#N/A,#N/A,FALSE,"EPS Growth"}</definedName>
    <definedName name="MPO" localSheetId="7" hidden="1">{#N/A,#N/A,TRUE,"BS_A";#N/A,#N/A,TRUE,"BS_L";#N/A,#N/A,TRUE,"PL";#N/A,#N/A,TRUE,"NET";#N/A,#N/A,TRUE,"MAR_2";#N/A,#N/A,TRUE,"MAR";#N/A,#N/A,TRUE,"NII";#N/A,#N/A,TRUE,"NIE";#N/A,#N/A,TRUE,"FS_BS";#N/A,#N/A,TRUE,"FS_PL";#N/A,#N/A,TRUE,"HEA"}</definedName>
    <definedName name="mw" localSheetId="7" hidden="1">{#N/A,#N/A,FALSE,"Pharm";#N/A,#N/A,FALSE,"WWCM"}</definedName>
    <definedName name="NCBN" localSheetId="7" hidden="1">{#N/A,#N/A,FALSE,"BS";#N/A,#N/A,FALSE,"PL_10Q";#N/A,#N/A,FALSE,"SOE";#N/A,#N/A,FALSE,"SCF";#N/A,#N/A,FALSE,"Sel Fn Data QTD 10Q";#N/A,#N/A,FALSE,"Table 1 YTD 10Q";#N/A,#N/A,FALSE,"Table 1 QTD 10Q";#N/A,#N/A,FALSE,"Tables 2 to 3 PL";#N/A,#N/A,FALSE,"Tables 4 and 5ALLL";#N/A,#N/A,FALSE,"Tables 6 to 8 ALLL ";#N/A,#N/A,FALSE,"Table 9 to 12 - Balance Sheet"}</definedName>
    <definedName name="new" localSheetId="7" hidden="1">{"SourcesUses",#N/A,TRUE,"CFMODEL";"TransOverview",#N/A,TRUE,"CFMODEL"}</definedName>
    <definedName name="newnewnew" localSheetId="7" hidden="1">{#N/A,#N/A,FALSE,"Pharm";#N/A,#N/A,FALSE,"WWCM"}</definedName>
    <definedName name="NewRange" localSheetId="7" hidden="1">#REF!</definedName>
    <definedName name="NMCVM" localSheetId="7" hidden="1">{#N/A,#N/A,FALSE,"TABLE_1 YTD- VALUES LAST YR(2)"}</definedName>
    <definedName name="nouv" localSheetId="7" hidden="1">{#N/A,#N/A,FALSE,"Pharm";#N/A,#N/A,FALSE,"WWCM"}</definedName>
    <definedName name="Nov00" localSheetId="7" hidden="1">{"Statement of Income",#N/A,TRUE,"Mar99";"Balance Sheet",#N/A,TRUE,"Mar99"}</definedName>
    <definedName name="Nov00TB" localSheetId="7" hidden="1">{"Statement of Income",#N/A,TRUE,"Mar99";"Balance Sheet",#N/A,TRUE,"Mar99"}</definedName>
    <definedName name="o" localSheetId="7" hidden="1">{#N/A,#N/A,FALSE,"New Depr Sch-150% DB";#N/A,#N/A,FALSE,"Cash Flows RLP";#N/A,#N/A,FALSE,"IRR";#N/A,#N/A,FALSE,"Proforma IS";#N/A,#N/A,FALSE,"Assumptions"}</definedName>
    <definedName name="Oct00" localSheetId="7" hidden="1">{"Statement of Income",#N/A,TRUE,"Mar99";"Balance Sheet",#N/A,TRUE,"Mar99"}</definedName>
    <definedName name="Oct00TB" localSheetId="7" hidden="1">{"Statement of Income",#N/A,TRUE,"Mar99";"Balance Sheet",#N/A,TRUE,"Mar99"}</definedName>
    <definedName name="Octob00" localSheetId="7" hidden="1">{"Statement of Income",#N/A,TRUE,"Mar99";"Balance Sheet",#N/A,TRUE,"Mar99"}</definedName>
    <definedName name="Octob00TB" localSheetId="7" hidden="1">{"Statement of Income",#N/A,TRUE,"Mar99";"Balance Sheet",#N/A,TRUE,"Mar99"}</definedName>
    <definedName name="OI" localSheetId="7" hidden="1">{#N/A,#N/A,FALSE,"COVER";#N/A,#N/A,FALSE,"Index";#N/A,#N/A,FALSE,"Non-Earning";#N/A,#N/A,FALSE,"Non-Earning_Recovery"}</definedName>
    <definedName name="oiu" localSheetId="7" hidden="1">{#N/A,#N/A,FALSE,"COVER";#N/A,#N/A,FALSE,"RATIOS";#N/A,#N/A,FALSE,"LEVERAGE";#N/A,#N/A,FALSE,"TIER-1";#N/A,#N/A,FALSE,"RISK BASED ASSETS";#N/A,#N/A,FALSE,"TIER-2"}</definedName>
    <definedName name="OK" localSheetId="7" hidden="1">{#N/A,#N/A,FALSE,"REPORT"}</definedName>
    <definedName name="okay" localSheetId="7" hidden="1">{#N/A,#N/A,FALSE,"Admin";#N/A,#N/A,FALSE,"Other"}</definedName>
    <definedName name="oldkey1" localSheetId="7" hidden="1">#REF!</definedName>
    <definedName name="oldsort" localSheetId="7" hidden="1">#REF!</definedName>
    <definedName name="on" localSheetId="7" hidden="1">{"TOTAL",#N/A,FALSE,"A";"FISCAL94",#N/A,FALSE,"A";"FISCAL95",#N/A,FALSE,"A";"FISCAL96",#N/A,FALSE,"A";"misc page",#N/A,FALSE,"A"}</definedName>
    <definedName name="ookok" localSheetId="7" hidden="1">{#N/A,#N/A,TRUE,"BUD VS ACT AUST 96";#N/A,#N/A,TRUE,"96 COMP P&amp;L-AUST";#N/A,#N/A,TRUE,"COMP BS-AUSTRALIA";#N/A,#N/A,TRUE,"B/S - AUSTR."}</definedName>
    <definedName name="ooo" localSheetId="7" hidden="1">{#N/A,#N/A,FALSE,"REPORT"}</definedName>
    <definedName name="OOU" localSheetId="7" hidden="1">{#N/A,#N/A,FALSE,"BS";#N/A,#N/A,FALSE,"PL_10Q";#N/A,#N/A,FALSE,"SOE";#N/A,#N/A,FALSE,"SCF"}</definedName>
    <definedName name="other33" localSheetId="7" hidden="1">{#N/A,#N/A,FALSE,"Pharm";#N/A,#N/A,FALSE,"WWCM"}</definedName>
    <definedName name="othermar" localSheetId="7" hidden="1">{#N/A,#N/A,FALSE,"Pharm";#N/A,#N/A,FALSE,"WWCM"}</definedName>
    <definedName name="ouououiouopupo" localSheetId="7" hidden="1">{#N/A,#N/A,FALSE,"BS";#N/A,#N/A,FALSE,"PL";#N/A,#N/A,FALSE,"SOE";#N/A,#N/A,FALSE,"SCF"}</definedName>
    <definedName name="ououp0" localSheetId="7" hidden="1">{#N/A,#N/A,FALSE,"TABLE_1 YTD- VALUES LAST YR(2)"}</definedName>
    <definedName name="panther_wrn.test1." localSheetId="7" hidden="1">{"Income Statement",#N/A,FALSE,"CFMODEL";"Balance Sheet",#N/A,FALSE,"CFMODEL"}</definedName>
    <definedName name="panther_wrn.test2." localSheetId="7" hidden="1">{"SourcesUses",#N/A,TRUE,"CFMODEL";"TransOverview",#N/A,TRUE,"CFMODEL"}</definedName>
    <definedName name="panther_wrn.test3." localSheetId="7" hidden="1">{"SourcesUses",#N/A,TRUE,#N/A;"TransOverview",#N/A,TRUE,"CFMODEL"}</definedName>
    <definedName name="panther_wrn.test4." localSheetId="7" hidden="1">{"SourcesUses",#N/A,TRUE,"FundsFlow";"TransOverview",#N/A,TRUE,"FundsFlow"}</definedName>
    <definedName name="Pecos" localSheetId="7"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x" localSheetId="7"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pe" localSheetId="7" hidden="1">{#N/A,#N/A,FALSE,"Pharm";#N/A,#N/A,FALSE,"WWCM"}</definedName>
    <definedName name="PEPE4" localSheetId="7" hidden="1">{#N/A,#N/A,FALSE,"Pharm";#N/A,#N/A,FALSE,"WWCM"}</definedName>
    <definedName name="PEPE5" localSheetId="7" hidden="1">{#N/A,#N/A,FALSE,"Pharm";#N/A,#N/A,FALSE,"WWCM"}</definedName>
    <definedName name="pharma" localSheetId="7" hidden="1">{#N/A,#N/A,FALSE,"Sales Graph";#N/A,#N/A,FALSE,"PSBM";#N/A,#N/A,FALSE,"BUC Graph";#N/A,#N/A,FALSE,"P&amp;L - YTD"}</definedName>
    <definedName name="pkg.gom" localSheetId="7" hidden="1">{"2000PPE",#N/A,FALSE,"PPE 2000";"2000DD",#N/A,FALSE,"DrydocksOther"}</definedName>
    <definedName name="pl" localSheetId="7" hidden="1">{#N/A,#N/A,FALSE,"REPORT"}</definedName>
    <definedName name="PLCepi" localSheetId="7" hidden="1">{#N/A,#N/A,FALSE,"REPORT"}</definedName>
    <definedName name="PLProcef" localSheetId="7" hidden="1">{#N/A,#N/A,FALSE,"REPORT"}</definedName>
    <definedName name="PLTaxol" localSheetId="7" hidden="1">{#N/A,#N/A,FALSE,"REPORT"}</definedName>
    <definedName name="Pnl" localSheetId="7" hidden="1">{#N/A,#N/A,FALSE,"Pharm";#N/A,#N/A,FALSE,"WWCM"}</definedName>
    <definedName name="po" localSheetId="7" hidden="1">{#N/A,#N/A,FALSE,"BS";#N/A,#N/A,FALSE,"PL_10Q";#N/A,#N/A,FALSE,"SOE";#N/A,#N/A,FALSE,"SCF";#N/A,#N/A,FALSE,"Sel Fn Data QTD 10Q";#N/A,#N/A,FALSE,"Table 1 YTD 10Q";#N/A,#N/A,FALSE,"Table 1 QTD 10Q";#N/A,#N/A,FALSE,"Tables 2 to 3 PL";#N/A,#N/A,FALSE,"Tables 4 and 5ALLL";#N/A,#N/A,FALSE,"Tables 6 to 8 ALLL ";#N/A,#N/A,FALSE,"Table 9 to 12 - Balance Sheet"}</definedName>
    <definedName name="poi" localSheetId="7" hidden="1">{#N/A,#N/A,FALSE,"PL-FS";#N/A,#N/A,FALSE,"PL"}</definedName>
    <definedName name="port29" localSheetId="7" hidden="1">{#N/A,#N/A,FALSE,"Pharm";#N/A,#N/A,FALSE,"WWCM"}</definedName>
    <definedName name="poso_wrn.test1." localSheetId="7" hidden="1">{"Income Statement",#N/A,FALSE,"CFMODEL";"Balance Sheet",#N/A,FALSE,"CFMODEL"}</definedName>
    <definedName name="poso_wrn.test2." localSheetId="7" hidden="1">{"SourcesUses",#N/A,TRUE,"CFMODEL";"TransOverview",#N/A,TRUE,"CFMODEL"}</definedName>
    <definedName name="poso_wrn.test3." localSheetId="7" hidden="1">{"SourcesUses",#N/A,TRUE,#N/A;"TransOverview",#N/A,TRUE,"CFMODEL"}</definedName>
    <definedName name="poso_wrn.test4." localSheetId="7" hidden="1">{"SourcesUses",#N/A,TRUE,"FundsFlow";"TransOverview",#N/A,TRUE,"FundsFlow"}</definedName>
    <definedName name="Procef" localSheetId="7" hidden="1">{#N/A,#N/A,FALSE,"Pharm";#N/A,#N/A,FALSE,"WWCM"}</definedName>
    <definedName name="prod" localSheetId="7" hidden="1">{#N/A,#N/A,FALSE,"Pharm";#N/A,#N/A,FALSE,"WWCM"}</definedName>
    <definedName name="q" localSheetId="7" hidden="1">{"CSheet",#N/A,FALSE,"C";"SmCap",#N/A,FALSE,"VAL1";"GulfCoast",#N/A,FALSE,"VAL1";"nav",#N/A,FALSE,"NAV";"Summary",#N/A,FALSE,"NAV"}</definedName>
    <definedName name="qaz" localSheetId="7" hidden="1">{#N/A,#N/A,FALSE,"Pharm";#N/A,#N/A,FALSE,"WWCM"}</definedName>
    <definedName name="qertweyu" localSheetId="7" hidden="1">{#N/A,#N/A,FALSE,"REPORT"}</definedName>
    <definedName name="qetryywt" localSheetId="7" hidden="1">{#N/A,#N/A,FALSE,"REPORT"}</definedName>
    <definedName name="qqq" localSheetId="7" hidden="1">{#N/A,#N/A,FALSE,"Pharm";#N/A,#N/A,FALSE,"WWCM"}</definedName>
    <definedName name="qqwtweryey" localSheetId="7" hidden="1">{#N/A,#N/A,FALSE,"REPORT"}</definedName>
    <definedName name="qw" localSheetId="7" hidden="1">{#N/A,#N/A,FALSE,"REPORT"}</definedName>
    <definedName name="qwe" localSheetId="7" hidden="1">{#N/A,#N/A,TRUE,"BS_A";#N/A,#N/A,TRUE,"BS_L";#N/A,#N/A,TRUE,"PL";#N/A,#N/A,TRUE,"NET";#N/A,#N/A,TRUE,"MAR_2";#N/A,#N/A,TRUE,"MAR";#N/A,#N/A,TRUE,"NII";#N/A,#N/A,TRUE,"NIE";#N/A,#N/A,TRUE,"FS_BS";#N/A,#N/A,TRUE,"FS_PL";#N/A,#N/A,TRUE,"HEA"}</definedName>
    <definedName name="qwertqry" localSheetId="7" hidden="1">{#N/A,#N/A,FALSE,"REPORT"}</definedName>
    <definedName name="qwetqryetytu" localSheetId="7" hidden="1">{#N/A,#N/A,FALSE,"Pharm";#N/A,#N/A,FALSE,"WWCM"}</definedName>
    <definedName name="QWQ" localSheetId="7" hidden="1">{#N/A,#N/A,FALSE,"PL-FS";#N/A,#N/A,FALSE,"PL"}</definedName>
    <definedName name="RedefinePrintTableRange" localSheetId="7" hidden="1">#REF!</definedName>
    <definedName name="reggie" localSheetId="7" hidden="1">{#N/A,#N/A,FALSE,"Pharm";#N/A,#N/A,FALSE,"WWCM"}</definedName>
    <definedName name="resp." localSheetId="7" hidden="1">{#N/A,#N/A,FALSE,"Pharm";#N/A,#N/A,FALSE,"WWCM"}</definedName>
    <definedName name="RestatedActuals" localSheetId="7" hidden="1">{#N/A,#N/A,FALSE,"Aging Summary";#N/A,#N/A,FALSE,"Ratio Analysis";#N/A,#N/A,FALSE,"Test 120 Day Accts";#N/A,#N/A,FALSE,"Tickmarks"}</definedName>
    <definedName name="rf2e" localSheetId="7" hidden="1">{#N/A,#N/A,FALSE,"Pharm";#N/A,#N/A,FALSE,"WWCM"}</definedName>
    <definedName name="rrrrr" localSheetId="7" hidden="1">{#N/A,#N/A,FALSE,"Pharm";#N/A,#N/A,FALSE,"WWCM"}</definedName>
    <definedName name="rwert" localSheetId="7" hidden="1">{#N/A,#N/A,FALSE,"Pharm";#N/A,#N/A,FALSE,"WWCM"}</definedName>
    <definedName name="rwjf" localSheetId="7" hidden="1">{#N/A,#N/A,FALSE,"BS";#N/A,#N/A,FALSE,"PL";#N/A,#N/A,FALSE,"SOE";#N/A,#N/A,FALSE,"SCF"}</definedName>
    <definedName name="sally" localSheetId="7" hidden="1">{#N/A,#N/A,FALSE,"Pharm";#N/A,#N/A,FALSE,"WWCM"}</definedName>
    <definedName name="SD" localSheetId="7" hidden="1">{#N/A,#N/A,FALSE,"Pharm";#N/A,#N/A,FALSE,"WWCM"}</definedName>
    <definedName name="sdafgs" localSheetId="7" hidden="1">{#N/A,#N/A,FALSE,"Pharm";#N/A,#N/A,FALSE,"WWCM"}</definedName>
    <definedName name="sdas" localSheetId="7" hidden="1">{"Total",#N/A,FALSE,"Six Fields";"PDP",#N/A,FALSE,"Six Fields";"PNP",#N/A,FALSE,"Six Fields";"PUD",#N/A,FALSE,"Six Fields";"Prob",#N/A,FALSE,"Six Fields"}</definedName>
    <definedName name="sdf" localSheetId="7" hidden="1">#REF!</definedName>
    <definedName name="sdfdsf" localSheetId="7" hidden="1">{"SourcesUses",#N/A,TRUE,#N/A;"TransOverview",#N/A,TRUE,"CFMODEL"}</definedName>
    <definedName name="sdfh" localSheetId="7" hidden="1">{#N/A,#N/A,FALSE,"Pharm";#N/A,#N/A,FALSE,"WWCM"}</definedName>
    <definedName name="sdgagf" localSheetId="7" hidden="1">{#N/A,#N/A,FALSE,"Pharm";#N/A,#N/A,FALSE,"WWCM"}</definedName>
    <definedName name="sdsadasd" localSheetId="7" hidden="1">{#N/A,#N/A,FALSE,"Pharm";#N/A,#N/A,FALSE,"WWCM"}</definedName>
    <definedName name="sdsd" localSheetId="7" hidden="1">{#N/A,#N/A,FALSE,"REPORT"}</definedName>
    <definedName name="sdw" localSheetId="7" hidden="1">{#N/A,#N/A,FALSE,"Admin";#N/A,#N/A,FALSE,"Other"}</definedName>
    <definedName name="secondaries" localSheetId="7" hidden="1">{#N/A,#N/A,FALSE,"Summary";#N/A,#N/A,FALSE,"Pending";#N/A,#N/A,FALSE,"Oct'97";#N/A,#N/A,FALSE,"Sept'97";#N/A,#N/A,FALSE,"Aug'97";#N/A,#N/A,FALSE,"Jul'97";#N/A,#N/A,FALSE,"Jun'97";#N/A,#N/A,FALSE,"May'97";#N/A,#N/A,FALSE,"Apr'97";#N/A,#N/A,FALSE,"Mar'97";#N/A,#N/A,FALSE,"Feb'97";#N/A,#N/A,FALSE,"Jan'97"}</definedName>
    <definedName name="sf" localSheetId="7" hidden="1">{#N/A,#N/A,FALSE,"Sales Graph";#N/A,#N/A,FALSE,"BUC Graph";#N/A,#N/A,FALSE,"P&amp;L - YTD"}</definedName>
    <definedName name="SFD" localSheetId="7" hidden="1">{#N/A,#N/A,FALSE,"TABLE_1 YTD";#N/A,#N/A,FALSE,"TABLE_1A QTD";#N/A,#N/A,FALSE,"NORMAL_SPREAD_QTD";#N/A,#N/A,FALSE,"NORMAL_SPREAD_YTD";#N/A,#N/A,FALSE,"TAX_EQV";#N/A,#N/A,FALSE,"TAX EQUIV_INPUT";#N/A,#N/A,FALSE,"NET FROM FER";#N/A,#N/A,FALSE,"COVER"}</definedName>
    <definedName name="sfdirect" localSheetId="7" hidden="1">{#N/A,#N/A,FALSE,"REPORT"}</definedName>
    <definedName name="solver_lhs1" localSheetId="7" hidden="1">#REF!</definedName>
    <definedName name="solver_opt" localSheetId="7" hidden="1">#REF!</definedName>
    <definedName name="ssd" localSheetId="7" hidden="1">#REF!</definedName>
    <definedName name="ssdfsd" localSheetId="7" hidden="1">{"Balance Sheets",#N/A,FALSE,"Subject";"Income Statements - As Reported",#N/A,FALSE,"Subject";"Income Statements - Adjusted",#N/A,FALSE,"Subject";"Ratios",#N/A,FALSE,"Subject";"Representative Earnings",#N/A,FALSE,"Subject"}</definedName>
    <definedName name="sss" localSheetId="7" hidden="1">{#N/A,#N/A,FALSE,"Form 41 Commuter Domestic";#N/A,#N/A,FALSE,"FORM41--COMMUTER % CHG";#N/A,#N/A,FALSE,"Total Domestic Traffic Stats";#N/A,#N/A,FALSE,"TOTAL DOM TRAFFIC--% CHG";#N/A,#N/A,FALSE,"TotDomTraf-Large Carriers Only";#N/A,#N/A,FALSE,"TOTDOMTRAF-LARGECAR% CHG"}</definedName>
    <definedName name="Staril" localSheetId="7" hidden="1">{#N/A,#N/A,FALSE,"REPORT"}</definedName>
    <definedName name="StratPlanAP" localSheetId="7" hidden="1">{#N/A,#N/A,FALSE,"Pharm";#N/A,#N/A,FALSE,"WWCM"}</definedName>
    <definedName name="stuffs" localSheetId="7" hidden="1">{"TOTAL",#N/A,FALSE,"A";"FISCAL94",#N/A,FALSE,"A";"FISCAL95",#N/A,FALSE,"A";"FISCAL96",#N/A,FALSE,"A";"misc page",#N/A,FALSE,"A"}</definedName>
    <definedName name="SX" localSheetId="7"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taxol" localSheetId="7" hidden="1">{#N/A,#N/A,FALSE,"Pharm";#N/A,#N/A,FALSE,"WWCM"}</definedName>
    <definedName name="Tem" localSheetId="7" hidden="1">{#N/A,#N/A,FALSE,"Pharm";#N/A,#N/A,FALSE,"WWCM"}</definedName>
    <definedName name="teq" localSheetId="7" hidden="1">{#N/A,#N/A,FALSE,"Pharm";#N/A,#N/A,FALSE,"WWCM"}</definedName>
    <definedName name="Tequin" localSheetId="7" hidden="1">{#N/A,#N/A,FALSE,"Pharm";#N/A,#N/A,FALSE,"WWCM"}</definedName>
    <definedName name="tequinol" localSheetId="7" hidden="1">{#N/A,#N/A,FALSE,"REPORT"}</definedName>
    <definedName name="tes" localSheetId="7" hidden="1">#REF!</definedName>
    <definedName name="test" localSheetId="7" hidden="1">{#N/A,#N/A,FALSE,"Pharm";#N/A,#N/A,FALSE,"WWCM"}</definedName>
    <definedName name="teste" localSheetId="7" hidden="1">{#N/A,#N/A,FALSE,"Pharm";#N/A,#N/A,FALSE,"WWCM"}</definedName>
    <definedName name="TESYT" localSheetId="7" hidden="1">{#N/A,#N/A,TRUE,"BUD VS ACT AUST 96";#N/A,#N/A,TRUE,"96 COMP P&amp;L-AUST";#N/A,#N/A,TRUE,"COMP BS-AUSTRALIA";#N/A,#N/A,TRUE,"B/S - AUSTR."}</definedName>
    <definedName name="tryeuyit" localSheetId="7" hidden="1">{#N/A,#N/A,FALSE,"Pharm";#N/A,#N/A,FALSE,"WWCM"}</definedName>
    <definedName name="ttt" localSheetId="7" hidden="1">{#N/A,#N/A,FALSE,"COMP BS-FRANCE";#N/A,#N/A,FALSE,"96 COMP P&amp;L-FRANCE";#N/A,#N/A,FALSE,"BUD VS ACT FRAN 96";#N/A,#N/A,FALSE,"B/S - FRANCE"}</definedName>
    <definedName name="tttt" localSheetId="7" hidden="1">{#N/A,#N/A,FALSE,"COVER";#N/A,#N/A,FALSE,"Key Fin Performance";#N/A,#N/A,FALSE,"Ratios";#N/A,#N/A,FALSE,"Trended";#N/A,#N/A,FALSE,"Trended Op Ex";#N/A,#N/A,FALSE,"P&amp;L Act vs Plan";#N/A,#N/A,FALSE,"P&amp;L Fcst";#N/A,#N/A,FALSE,"Top Customers";#N/A,#N/A,FALSE,"Backlog";#N/A,#N/A,FALSE,"Design Win Summary";#N/A,#N/A,FALSE,"Key Wins and Losses";#N/A,#N/A,FALSE,"Dev Program Summary - King"}</definedName>
    <definedName name="tyuiktyu" localSheetId="7" hidden="1">{#N/A,#N/A,FALSE,"COVER";#N/A,#N/A,FALSE,"Index";#N/A,#N/A,FALSE,"Non-Earning";#N/A,#N/A,FALSE,"Mortgage_Legal";#N/A,#N/A,FALSE,"Mortgages"}</definedName>
    <definedName name="tyutytyi" localSheetId="7" hidden="1">{#N/A,#N/A,FALSE,"Pharm";#N/A,#N/A,FALSE,"WWCM"}</definedName>
    <definedName name="tyyufkjkhjd" localSheetId="7" hidden="1">{#N/A,#N/A,FALSE,"Pharm";#N/A,#N/A,FALSE,"WWCM"}</definedName>
    <definedName name="u" localSheetId="7" hidden="1">{"CSheet",#N/A,FALSE,"C";"SmCap",#N/A,FALSE,"VAL1";"GulfCoast",#N/A,FALSE,"VAL1";"nav",#N/A,FALSE,"NAV";"Summary",#N/A,FALSE,"NAV"}</definedName>
    <definedName name="UK" localSheetId="7" hidden="1">{#N/A,#N/A,TRUE,"BUD VS ACT AUST 96";#N/A,#N/A,TRUE,"96 COMP P&amp;L-AUST";#N/A,#N/A,TRUE,"COMP BS-AUSTRALIA";#N/A,#N/A,TRUE,"B/S - AUSTR."}</definedName>
    <definedName name="Unit" localSheetId="7" hidden="1">{#N/A,#N/A,FALSE,"Pharm";#N/A,#N/A,FALSE,"WWCM"}</definedName>
    <definedName name="VZDX" localSheetId="7"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 localSheetId="7" hidden="1">{"ReportTop",#N/A,FALSE,"report top"}</definedName>
    <definedName name="was" localSheetId="7" hidden="1">{#N/A,#N/A,FALSE,"Sales Graph";#N/A,#N/A,FALSE,"BUC Graph";#N/A,#N/A,FALSE,"P&amp;L - YTD"}</definedName>
    <definedName name="wb" localSheetId="7" hidden="1">{#N/A,#N/A,FALSE,"Pharm";#N/A,#N/A,FALSE,"WWCM"}</definedName>
    <definedName name="wc" localSheetId="7" hidden="1">{#N/A,#N/A,FALSE,"Pharm";#N/A,#N/A,FALSE,"WWCM"}</definedName>
    <definedName name="WE" localSheetId="7" hidden="1">{#N/A,#N/A,FALSE,"COVER";#N/A,#N/A,FALSE,"Index";#N/A,#N/A,FALSE,"Non-Earning";#N/A,#N/A,FALSE,"Commercial";#N/A,#N/A,FALSE,"Detailed"}</definedName>
    <definedName name="werrr" localSheetId="7" hidden="1">{#N/A,#N/A,FALSE,"Pharm";#N/A,#N/A,FALSE,"WWCM"}</definedName>
    <definedName name="working" localSheetId="7" hidden="1">{#N/A,#N/A,FALSE,"REPORT"}</definedName>
    <definedName name="wrn" localSheetId="7" hidden="1">{"FCB_ALL",#N/A,FALSE,"FCB"}</definedName>
    <definedName name="wrn.10K._.FS._.AND._.TABLES." localSheetId="7"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rn.10Q._.FS._.AND._.TABLES." localSheetId="7" hidden="1">{#N/A,#N/A,FALSE,"BS";#N/A,#N/A,FALSE,"PL_10Q";#N/A,#N/A,FALSE,"SOE";#N/A,#N/A,FALSE,"SCF";#N/A,#N/A,FALSE,"Sel Fn Data QTD 10Q";#N/A,#N/A,FALSE,"Table 1 YTD 10Q";#N/A,#N/A,FALSE,"Table 1 QTD 10Q";#N/A,#N/A,FALSE,"Tables 2 to 3 PL";#N/A,#N/A,FALSE,"Tables 4 and 5ALLL";#N/A,#N/A,FALSE,"Tables 6 to 8 ALLL ";#N/A,#N/A,FALSE,"Table 9 to 12 - Balance Sheet"}</definedName>
    <definedName name="wrn.10Q._.TABLES." localSheetId="7" hidden="1">{#N/A,#N/A,FALSE,"TABLE_1 YTD";#N/A,#N/A,FALSE,"TABLE_1A QTD"}</definedName>
    <definedName name="wrn.111111" localSheetId="7" hidden="1">{#N/A,#N/A,FALSE,"Pharm";#N/A,#N/A,FALSE,"WWCM"}</definedName>
    <definedName name="wrn.1998._.IPO._.Update." localSheetId="7" hidden="1">{#N/A,#N/A,FALSE,"Summary";#N/A,#N/A,FALSE,"Pending";#N/A,#N/A,FALSE,"Aug'98";#N/A,#N/A,FALSE,"July'98";#N/A,#N/A,FALSE,"June'98";#N/A,#N/A,FALSE,"May'98";#N/A,#N/A,FALSE,"Apr'98";#N/A,#N/A,FALSE,"Mar'98";#N/A,#N/A,FALSE,"Feb'98";#N/A,#N/A,FALSE,"Jan'98"}</definedName>
    <definedName name="wrn.2000._.Package._.GOM." localSheetId="7" hidden="1">{"2000PPE",#N/A,FALSE,"PPE 2000";"2000DD",#N/A,FALSE,"DrydocksOther"}</definedName>
    <definedName name="wrn.730." localSheetId="7" hidden="1">{#N/A,#N/A,FALSE,"REPORT"}</definedName>
    <definedName name="wrn.731" localSheetId="7" hidden="1">{#N/A,#N/A,FALSE,"REPORT"}</definedName>
    <definedName name="wrn.750." localSheetId="7" hidden="1">{#N/A,#N/A,FALSE,"REPORT"}</definedName>
    <definedName name="wrn.7501" localSheetId="7" hidden="1">{#N/A,#N/A,FALSE,"REPORT"}</definedName>
    <definedName name="wrn.760.16." localSheetId="7" hidden="1">{#N/A,#N/A,FALSE,"REPORT"}</definedName>
    <definedName name="wrn.7900" localSheetId="7" hidden="1">{#N/A,#N/A,FALSE,"REPORT"}</definedName>
    <definedName name="wrn.905" localSheetId="7" hidden="1">{#N/A,#N/A,FALSE,"REPORT"}</definedName>
    <definedName name="wrn.99999" localSheetId="7" hidden="1">{#N/A,#N/A,FALSE,"REPORT"}</definedName>
    <definedName name="wrn.aaa" localSheetId="7" hidden="1">{#N/A,#N/A,FALSE,"Pharm";#N/A,#N/A,FALSE,"WWCM"}</definedName>
    <definedName name="wrn.aaaaaaa" localSheetId="7" hidden="1">{#N/A,#N/A,FALSE,"Pharm";#N/A,#N/A,FALSE,"WWCM"}</definedName>
    <definedName name="wrn.Accretion." localSheetId="7" hidden="1">{"Accretion",#N/A,FALSE,"Assum"}</definedName>
    <definedName name="wrn.ACCT._.PACKAGE._.REPORT." localSheetId="7" hidden="1">{#N/A,#N/A,TRUE,"Highlights";#N/A,#N/A,TRUE,"BS_Oriental International Bank";#N/A,#N/A,TRUE,"P&amp;L_Oriental International Bank";#N/A,#N/A,TRUE,"Revenues Report_OIB";#N/A,#N/A,TRUE,"Expenses OIB";#N/A,#N/A,TRUE,"Margin_ORIENTAL INTL BANK";#N/A,#N/A,TRUE,"PL Quarterly_OIB";#N/A,#N/A,TRUE,"COVER"}</definedName>
    <definedName name="wrn.Aging._.and._.Trend._.Analysis." localSheetId="7" hidden="1">{#N/A,#N/A,FALSE,"Aging Summary";#N/A,#N/A,FALSE,"Ratio Analysis";#N/A,#N/A,FALSE,"Test 120 Day Accts";#N/A,#N/A,FALSE,"Tickmarks"}</definedName>
    <definedName name="wrn.all." localSheetId="7" hidden="1">{#N/A,#N/A,TRUE,"Title_Page";#N/A,#N/A,TRUE,"Tax_Income_Sum";#N/A,#N/A,TRUE,"GL_Mgmt_Rec";#N/A,#N/A,TRUE,"Long_Term_Accrual";#N/A,#N/A,TRUE,"Reserves";#N/A,#N/A,TRUE,"Contributions";#N/A,#N/A,TRUE,"R&amp;D Credit";#N/A,#N/A,TRUE,"Unicap";#N/A,#N/A,TRUE,"Other_Income";#N/A,#N/A,TRUE,"Other_Deduction";#N/A,#N/A,TRUE,"Increase_RE";#N/A,#N/A,TRUE,"Decrease_RE";#N/A,#N/A,TRUE,"Cafe_Subsidy";#N/A,#N/A,TRUE,"Std. Reclass Adjstmnts";#N/A,#N/A,TRUE,"LT Accruals BT-1A";#N/A,#N/A,TRUE,"Sch. M-1 Adjstmnts"}</definedName>
    <definedName name="wrn.all._.input." localSheetId="7"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rint." localSheetId="7" hidden="1">{#N/A,#N/A,FALSE,"Summary";#N/A,#N/A,FALSE,"Edit";#N/A,#N/A,FALSE,"MedProf";#N/A,#N/A,FALSE,"Proj Mgt";#N/A,#N/A,FALSE,"Creat Svc";#N/A,#N/A,FALSE,"Meet Svc";#N/A,#N/A,FALSE,"Non-OCC";#N/A,#N/A,FALSE,"Client Svc";#N/A,#N/A,FALSE,"Bus Dev";#N/A,#N/A,FALSE,"Indirect"}</definedName>
    <definedName name="wrn.ALL._.STATEMENTS." localSheetId="7" hidden="1">{"BALANCE SHEET",#N/A,FALSE,"Balance Sheet";"INCOME STATEMENT",#N/A,FALSE,"Income Statement";"STMT OF CASH FLOWS",#N/A,FALSE,"Cash Flows Indirect";"PARTNERS CAPITAL STMT",#N/A,FALSE,"Partners Capital"}</definedName>
    <definedName name="wrn.Annual._.Report." localSheetId="7" hidden="1">{#N/A,#N/A,FALSE,"TABLE_1 YTD- VALUES LAST YR(2)"}</definedName>
    <definedName name="wrn.April._.Financials." localSheetId="7" hidden="1">{"Statement of Income",#N/A,TRUE,"Mar99";"Balance Sheet",#N/A,TRUE,"Mar99"}</definedName>
    <definedName name="wrn.Assumptions." localSheetId="7" hidden="1">{"Assumptions",#N/A,FALSE,"Assum"}</definedName>
    <definedName name="wrn.AUST._.FINANCIALS." localSheetId="7" hidden="1">{#N/A,#N/A,TRUE,"BUD VS ACT AUST 96";#N/A,#N/A,TRUE,"96 COMP P&amp;L-AUST";#N/A,#N/A,TRUE,"COMP BS-AUSTRALIA";#N/A,#N/A,TRUE,"B/S - AUSTR."}</definedName>
    <definedName name="wrn.Backup." localSheetId="7" hidden="1">{#N/A,#N/A,FALSE,"Balance";#N/A,#N/A,FALSE,"TDFX";#N/A,#N/A,FALSE,"TDDDF";#N/A,#N/A,FALSE,"ADI";#N/A,#N/A,FALSE,"CUBE";#N/A,#N/A,FALSE,"DIMD";#N/A,#N/A,FALSE,"ZRAN";#N/A,#N/A,FALSE,"GNMC"}</definedName>
    <definedName name="wrn.BALANCE._.SHEET." localSheetId="7" hidden="1">{"BALANCE SHEET",#N/A,FALSE,"Balance Sheet"}</definedName>
    <definedName name="wrn.balance._.sheet2." localSheetId="7" hidden="1">{"bs",#N/A,FALSE,"SCF"}</definedName>
    <definedName name="wrn.balance._.sheet3." localSheetId="7" hidden="1">{"bs",#N/A,FALSE,"SCF"}</definedName>
    <definedName name="wrn.balance._.sheet4." localSheetId="7" hidden="1">{"bs",#N/A,FALSE,"SCF"}</definedName>
    <definedName name="wrn.Balance._.sheets._.FY01._.to._.FY03." localSheetId="7" hidden="1">{"BS FY01",#N/A,FALSE,"P &amp; L";"BS FY02",#N/A,FALSE,"P &amp; L";"BS FY03",#N/A,FALSE,"P &amp; L"}</definedName>
    <definedName name="wrn.balance._sheet2." localSheetId="7" hidden="1">{"bs",#N/A,FALSE,"SCF"}</definedName>
    <definedName name="wrn.Bank._.Report." localSheetId="7"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sic._.Report." localSheetId="7" hidden="1">{#N/A,#N/A,FALSE,"New Depr Sch-150% DB";#N/A,#N/A,FALSE,"Cash Flows RLP";#N/A,#N/A,FALSE,"IRR";#N/A,#N/A,FALSE,"Proforma IS";#N/A,#N/A,FALSE,"Assumptions"}</definedName>
    <definedName name="wrn.BidCo." localSheetId="7" hidden="1">{#N/A,#N/A,FALSE,"BidCo Assumptions";#N/A,#N/A,FALSE,"Credit Stats";#N/A,#N/A,FALSE,"Bidco Summary";#N/A,#N/A,FALSE,"BIDCO Consolidated"}</definedName>
    <definedName name="wrn.bm" localSheetId="7"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udget." localSheetId="7" hidden="1">{"Instructions",#N/A,FALSE,"INPUT";"Sharing",#N/A,FALSE,"Sharing";"InputArea",#N/A,FALSE,"INPUT";"Budget",#N/A,FALSE,"INPUT"}</definedName>
    <definedName name="wrn.BUDGET2004." localSheetId="7" hidden="1">{#N/A,#N/A,FALSE,"BUD04 HEA";#N/A,#N/A,FALSE,"BUD04 Earnings";#N/A,#N/A,FALSE,"BUD04 Expenses"}</definedName>
    <definedName name="wrn.calc_all." localSheetId="7" hidden="1">{"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ardiovasculars." localSheetId="7" hidden="1">{#N/A,#N/A,FALSE,"Card";#N/A,#N/A,FALSE,"Prav";#N/A,#N/A,FALSE,"Irbe";#N/A,#N/A,FALSE,"Plavix";#N/A,#N/A,FALSE,"Capt";#N/A,#N/A,FALSE,"Fosi"}</definedName>
    <definedName name="wrn.Cash._.Flow." localSheetId="7" hidden="1">{"Cash Flow",#N/A,FALSE,"Cash Flow"}</definedName>
    <definedName name="wrn.cash._.flow._.FY00._.and._.FY01." localSheetId="7" hidden="1">{"cash flow - FY00",#N/A,FALSE,"P &amp; L";"cash flow - FY01",#N/A,FALSE,"P &amp; L"}</definedName>
    <definedName name="wrn.cash._.flow._.FY02._.and._.FY03." localSheetId="7" hidden="1">{"cash flow - FY02",#N/A,FALSE,"P &amp; L";"cash flow - FY03",#N/A,FALSE,"P &amp; L"}</definedName>
    <definedName name="wrn.Central._.Nervous._.System." localSheetId="7" hidden="1">{#N/A,#N/A,FALSE,"CNS";#N/A,#N/A,FALSE,"Serz";#N/A,#N/A,FALSE,"Ace"}</definedName>
    <definedName name="wrn.chart._.1998" localSheetId="7" hidden="1">{#N/A,#N/A,FALSE,"Summary";#N/A,#N/A,FALSE,"Pending";#N/A,#N/A,FALSE,"Jan'98";#N/A,#N/A,FALSE,"Feb'98";#N/A,#N/A,FALSE,"Mar'98";#N/A,#N/A,FALSE,"Apr'98";#N/A,#N/A,FALSE,"May'98";#N/A,#N/A,FALSE,"June'98";#N/A,#N/A,FALSE,"July'98"}</definedName>
    <definedName name="wrn.clientcopy." localSheetId="7"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OMMISSIONER." localSheetId="7" hidden="1">{#N/A,#N/A,FALSE,"BS_OCIF OIB";#N/A,#N/A,FALSE,"PL_OCIF OIB";#N/A,#N/A,FALSE,"SCH_A-B_OCIF OIB";#N/A,#N/A,FALSE,"AVG_CALC OIB"}</definedName>
    <definedName name="wrn.Comp._.and._.Prices." localSheetId="7" hidden="1">{#N/A,#N/A,FALSE,"comp";#N/A,#N/A,FALSE,"Alpha";#N/A,#N/A,FALSE,"Hi";#N/A,#N/A,FALSE,"Lo";#N/A,#N/A,FALSE,"Mkt. Cap";#N/A,#N/A,FALSE,"Categ."}</definedName>
    <definedName name="wrn.Complete._.Report." localSheetId="7" hidden="1">{#N/A,#N/A,FALSE,"Assumptions";#N/A,#N/A,FALSE,"Proforma IS";#N/A,#N/A,FALSE,"Cash Flows RLP";#N/A,#N/A,FALSE,"IRR";#N/A,#N/A,FALSE,"New Depr Sch-150% DB";#N/A,#N/A,FALSE,"Comments"}</definedName>
    <definedName name="wrn.Consol." localSheetId="7" hidden="1">{#N/A,#N/A,FALSE,"COVER";#N/A,#N/A,FALSE,"Key Fin'l Performance";#N/A,#N/A,FALSE,"Q2 Target P &amp; L";#N/A,#N/A,FALSE,"Comp. Margin $";#N/A,#N/A,FALSE,"Standard Margin";#N/A,#N/A,FALSE,"Bus Sector";#N/A,#N/A,FALSE,"EBG &amp; GAAP Recon";#N/A,#N/A,FALSE,"EBG P&amp;L Act vs Plan";#N/A,#N/A,FALSE,"EBG P&amp;L Fcst";#N/A,#N/A,FALSE,"EBG P&amp;L Trend";#N/A,#N/A,FALSE,"Key Metrics";#N/A,#N/A,FALSE,"Cum Net Income Chart";#N/A,#N/A,FALSE,"Rev &amp; Mrgn Trend";#N/A,#N/A,FALSE,"Trended Op Ex";#N/A,#N/A,FALSE,"Consol BS";#N/A,#N/A,FALSE,"Consol BS vs Plan";#N/A,#N/A,FALSE,"Consol CF vs Plan";#N/A,#N/A,FALSE,"Asset &amp; Eq Measures";#N/A,#N/A,FALSE,"CCC _PHIL";#N/A,#N/A,FALSE,"Rev &amp; Booking Trend";#N/A,#N/A,FALSE,"Comp Rev Trend VM";#N/A,#N/A,FALSE,"Comp Bookings Trend VM";#N/A,#N/A,FALSE,"Top Customers";#N/A,#N/A,FALSE,"Backlog - Consolidated";#N/A,#N/A,FALSE,"Design Win Summary - Consol";#N/A,#N/A,FALSE,"Headcount Summary";#N/A,#N/A,FALSE,"Std Rpt Pkg Table Contents";#N/A,#N/A,FALSE,"Competitive data";#N/A,#N/A,FALSE,"Glossary"}</definedName>
    <definedName name="wrn.Consolidado." localSheetId="7" hidden="1">{#N/A,#N/A,FALSE,"COVER";#N/A,#N/A,FALSE,"Index";#N/A,#N/A,FALSE,"Non-Earning";#N/A,#N/A,FALSE,"Non-Earning_Recovery"}</definedName>
    <definedName name="wrn.Consolidated." localSheetId="7" hidden="1">{#N/A,#N/A,FALSE,"Cover";#N/A,#N/A,FALSE,"Key Indicator";#N/A,#N/A,FALSE,"Key Metrics";#N/A,#N/A,FALSE,"Sectors";#N/A,#N/A,FALSE,"Geo &amp; ASIC";#N/A,#N/A,FALSE,"P&amp;L Comp";#N/A,#N/A,FALSE,"Rev by Grp &amp; VM";#N/A,#N/A,FALSE,"Group Rev Trend";#N/A,#N/A,FALSE,"Margin";#N/A,#N/A,FALSE,"Balance Sheet";#N/A,#N/A,FALSE,"Cash Flow";#N/A,#N/A,FALSE,"GAAP P&amp;L";#N/A,#N/A,FALSE,"P&amp;L Trend";#N/A,#N/A,FALSE,"P&amp;L-ASIC";#N/A,#N/A,FALSE,"P&amp;L-ASSP";#N/A,#N/A,FALSE,"Mfg Recon";#N/A,#N/A,FALSE,"EPS";#N/A,#N/A,FALSE,"Rev Mrgn";#N/A,#N/A,FALSE,"Op Exp";#N/A,#N/A,FALSE,"CCC";#N/A,#N/A,FALSE,"Asset &amp; Equity";#N/A,#N/A,FALSE,"Rev Bkg Bklg";#N/A,#N/A,FALSE,"Bkg Trend";#N/A,#N/A,FALSE,"Booking Linearity";#N/A,#N/A,FALSE,"Top 10";#N/A,#N/A,FALSE,"Design Win";#N/A,#N/A,FALSE,"Headcount"}</definedName>
    <definedName name="wrn.Consumer._.Medicines." localSheetId="7" hidden="1">{#N/A,#N/A,FALSE,"OTC";#N/A,#N/A,FALSE,"Ther";#N/A,#N/A,FALSE,"Temp";#N/A,#N/A,FALSE,"Exce";#N/A,#N/A,FALSE,"Buff";#N/A,#N/A,FALSE,"Picot";#N/A,#N/A,FALSE,"Luftal";#N/A,#N/A,FALSE,"Comt"}</definedName>
    <definedName name="wrn.Corporate." localSheetId="7" hidden="1">{"Corporate",#N/A,FALSE,"Corporate Profile"}</definedName>
    <definedName name="wrn.cotop." localSheetId="7" hidden="1">{"ReportTop",#N/A,FALSE,"report top"}</definedName>
    <definedName name="wrn.Daily." localSheetId="7" hidden="1">{#N/A,#N/A,FALSE,"Input";#N/A,#N/A,FALSE,"BBC";#N/A,#N/A,FALSE,"Sch A";#N/A,#N/A,FALSE,"Sch B";#N/A,#N/A,FALSE,"Ineligible"}</definedName>
    <definedName name="wrn.DCF._.Valuation." localSheetId="7" hidden="1">{"value box",#N/A,TRUE,"DPL Inc. Fin Statements";"unlevered free cash flows",#N/A,TRUE,"DPL Inc. Fin Statements"}</definedName>
    <definedName name="wrn.Debt." localSheetId="7" hidden="1">{"debt summary",#N/A,FALSE,"Debt";"loan details",#N/A,FALSE,"Debt"}</definedName>
    <definedName name="wrn.Delinc_Comercial." localSheetId="7" hidden="1">{#N/A,#N/A,FALSE,"COVER";#N/A,#N/A,FALSE,"Index";#N/A,#N/A,FALSE,"Non-Earning";#N/A,#N/A,FALSE,"Commercial";#N/A,#N/A,FALSE,"Detailed"}</definedName>
    <definedName name="wrn.Detail." localSheetId="7" hidden="1">{"SalaryPer",#N/A,FALSE,"INPUT";"WageRate",#N/A,FALSE,"INPUT";"Salary",#N/A,FALSE,"INPUT";"Overtime",#N/A,FALSE,"INPUT";"PagerPay",#N/A,FALSE,"INPUT";"FringeTable",#N/A,FALSE,"INPUT";"Fringes",#N/A,FALSE,"INPUT";"ProfitSharing",#N/A,FALSE,"INPUT"}</definedName>
    <definedName name="wrn.Detail._.Balance._.Sheet." localSheetId="7" hidden="1">{#N/A,#N/A,FALSE,"Detail"}</definedName>
    <definedName name="wrn.Detail_Projection." localSheetId="7" hidden="1">{#N/A,#N/A,FALSE,"Detail YTD"}</definedName>
    <definedName name="wrn.Dilution." localSheetId="7" hidden="1">{#N/A,#N/A,FALSE,"FY 1997 (NR)";#N/A,#N/A,FALSE,"FY 1998 (NR)";#N/A,#N/A,FALSE,"Balance";#N/A,#N/A,FALSE,"Matrix (NR)"}</definedName>
    <definedName name="wrn.DOM._.TRAF._.STATS." localSheetId="7" hidden="1">{#N/A,#N/A,FALSE,"Form 41 Commuter Domestic";#N/A,#N/A,FALSE,"FORM41--COMMUTER % CHG";#N/A,#N/A,FALSE,"Total Domestic Traffic Stats";#N/A,#N/A,FALSE,"TOTAL DOM TRAFFIC--% CHG";#N/A,#N/A,FALSE,"TotDomTraf-Large Carriers Only";#N/A,#N/A,FALSE,"TOTDOMTRAF-LARGECAR% CHG"}</definedName>
    <definedName name="wrn.econtab." localSheetId="7" hidden="1">{#N/A,#N/A,FALSE,"TABLE1";#N/A,#N/A,FALSE,"TABLE2";#N/A,#N/A,FALSE,"TABLE3";#N/A,#N/A,FALSE,"TABLE4";#N/A,#N/A,FALSE,"TABLE5"}</definedName>
    <definedName name="wrn.executive._.summary._.reports." localSheetId="7" hidden="1">{"4 year overview",#N/A,FALSE,"P &amp; L";"key indicators",#N/A,FALSE,"P &amp; L"}</definedName>
    <definedName name="wrn.EXP2." localSheetId="7" hidden="1">{#N/A,#N/A,TRUE,"NIE_C";#N/A,#N/A,TRUE,"NIE";#N/A,#N/A,TRUE,"NIE_D";#N/A,#N/A,TRUE,"NIE_D_CC";#N/A,#N/A,TRUE,"HEA -- EXP"}</definedName>
    <definedName name="wrn.fcb" localSheetId="7" hidden="1">{"FCB_ALL",#N/A,FALSE,"FCB"}</definedName>
    <definedName name="wrn.FCB." localSheetId="7" hidden="1">{"FCB_ALL",#N/A,FALSE,"FCB"}</definedName>
    <definedName name="wrn.fcb2" localSheetId="7" hidden="1">{"FCB_ALL",#N/A,FALSE,"FCB"}</definedName>
    <definedName name="wrn.FER." localSheetId="7" hidden="1">{#N/A,#N/A,TRUE,"BS_A";#N/A,#N/A,TRUE,"BS_L";#N/A,#N/A,TRUE,"PL";#N/A,#N/A,TRUE,"NET";#N/A,#N/A,TRUE,"MAR_2";#N/A,#N/A,TRUE,"MAR";#N/A,#N/A,TRUE,"NII";#N/A,#N/A,TRUE,"NIE";#N/A,#N/A,TRUE,"FS_BS";#N/A,#N/A,TRUE,"FS_PL";#N/A,#N/A,TRUE,"HEA"}</definedName>
    <definedName name="wrn.FER_EXPENSES." localSheetId="7" hidden="1">{#N/A,#N/A,TRUE,"NIE_C";#N/A,#N/A,TRUE,"NIE";#N/A,#N/A,TRUE,"NIE_D";#N/A,#N/A,TRUE,"HEA -- EXP"}</definedName>
    <definedName name="wrn.FER_NIA." localSheetId="7" hidden="1">{#N/A,#N/A,FALSE,"HEA NIA";#N/A,#N/A,FALSE,"CHART";#N/A,#N/A,FALSE,"NIA";#N/A,#N/A,FALSE,"WF_DET"}</definedName>
    <definedName name="wrn.FER_REVENUES." localSheetId="7" hidden="1">{#N/A,#N/A,TRUE,"NII_C";#N/A,#N/A,TRUE,"NII";#N/A,#N/A,TRUE,"NII_D";#N/A,#N/A,TRUE,"HEA --REV"}</definedName>
    <definedName name="wrn.filecopy." localSheetId="7"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nancials." localSheetId="7" hidden="1">{#N/A,#N/A,TRUE,"Income Statement";#N/A,#N/A,TRUE,"Balance Sheet";#N/A,#N/A,TRUE,"Cash Flow"}</definedName>
    <definedName name="wrn.FINANCIALS._.10K." localSheetId="7" hidden="1">{#N/A,#N/A,FALSE,"BS";#N/A,#N/A,FALSE,"PL_10K";#N/A,#N/A,FALSE,"SOE";#N/A,#N/A,FALSE,"SCF"}</definedName>
    <definedName name="wrn.FINANCIALS._.10Q." localSheetId="7" hidden="1">{#N/A,#N/A,FALSE,"BS";#N/A,#N/A,FALSE,"PL_10Q";#N/A,#N/A,FALSE,"SOE";#N/A,#N/A,FALSE,"SCF"}</definedName>
    <definedName name="wrn.Followon._.1998" localSheetId="7" hidden="1">{#N/A,#N/A,FALSE,"Summary";#N/A,#N/A,FALSE,"Pending";#N/A,#N/A,FALSE,"Jan'98";#N/A,#N/A,FALSE,"Feb'98";#N/A,#N/A,FALSE,"Mar'98";#N/A,#N/A,FALSE,"Apr'98";#N/A,#N/A,FALSE,"May'98";#N/A,#N/A,FALSE,"June'98";#N/A,#N/A,FALSE,"July'98"}</definedName>
    <definedName name="wrn.FORECAST." localSheetId="7" hidden="1">{"TOT",#N/A,FALSE,"ASFCST99";"TOTINT",#N/A,FALSE,"ASFCST99";"DOM",#N/A,FALSE,"ASFCST99";"NORTHATL",#N/A,FALSE,"ASFCST99";"PACIFIC",#N/A,FALSE,"ASFCST99";"LATAM",#N/A,FALSE,"ASFCST99"}</definedName>
    <definedName name="wrn.FRANCE._.FINANCIALS." localSheetId="7" hidden="1">{#N/A,#N/A,FALSE,"COMP BS-FRANCE";#N/A,#N/A,FALSE,"96 COMP P&amp;L-FRANCE";#N/A,#N/A,FALSE,"BUD VS ACT FRAN 96";#N/A,#N/A,FALSE,"B/S - FRANCE"}</definedName>
    <definedName name="wrn.FS._.AND._.TBLS._.10K." localSheetId="7"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wrn.Full._.Package." localSheetId="7" hidden="1">{#N/A,#N/A,FALSE,"COVER";#N/A,#N/A,FALSE,"INDEX";#N/A,#N/A,FALSE,"P1000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full._.report." localSheetId="7"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Y00._.all._.reports." localSheetId="7" hidden="1">{"cash flow - FY00",#N/A,FALSE,"P &amp; L";"qtrly summ-FY00",#N/A,FALSE,"P &amp; L";"monthly P&amp;L-FY00",#N/A,FALSE,"P &amp; L";"P&amp;L FY00",#N/A,FALSE,"P &amp; L";"BS FY00",#N/A,FALSE,"P &amp; L";"staffing - FY00",#N/A,FALSE,"P &amp; L"}</definedName>
    <definedName name="wrn.FY01._.all._.reports." localSheetId="7" hidden="1">{"qtrly summ-FY01",#N/A,FALSE,"P &amp; L";"monthly P&amp;L-FY01",#N/A,FALSE,"P &amp; L";"cash flow - FY01",#N/A,FALSE,"P &amp; L";"P&amp;L FY01",#N/A,FALSE,"P &amp; L";"BS FY01",#N/A,FALSE,"P &amp; L";"staffing - FY01",#N/A,FALSE,"P &amp; L"}</definedName>
    <definedName name="wrn.FY02._.all._.reports." localSheetId="7" hidden="1">{"cash flow - FY02",#N/A,FALSE,"P &amp; L";"qtrly summ-FY02",#N/A,FALSE,"P &amp; L";"monthly P&amp;L-FY02",#N/A,FALSE,"P &amp; L";"P&amp;L FY02",#N/A,FALSE,"P &amp; L";"BS FY02",#N/A,FALSE,"P &amp; L";"staffing - FY02",#N/A,FALSE,"P &amp; L"}</definedName>
    <definedName name="wrn.FY03._.all._.reports." localSheetId="7" hidden="1">{"cash flow - FY03",#N/A,FALSE,"P &amp; L";"qtrly summ-FY03",#N/A,FALSE,"P &amp; L";"monthly P&amp;L-FY03",#N/A,FALSE,"P &amp; L";"P&amp;L FY03",#N/A,FALSE,"P &amp; L";"BS FY03",#N/A,FALSE,"P &amp; L";"staffing - FY03",#N/A,FALSE,"P &amp; L"}</definedName>
    <definedName name="wrn.General._.OTC." localSheetId="7" hidden="1">{#N/A,#N/A,FALSE,"Title Page (3)";#N/A,#N/A,FALSE,"YTD - OTC";#N/A,#N/A,FALSE,"MTH - OTC"}</definedName>
    <definedName name="wrn.General._.Pharm." localSheetId="7" hidden="1">{#N/A,#N/A,FALSE,"Title Page (2)";#N/A,#N/A,FALSE,"YTD - Pharm";#N/A,#N/A,FALSE,"MTH - Pharm"}</definedName>
    <definedName name="wrn.General._.Total." localSheetId="7" hidden="1">{#N/A,#N/A,FALSE,"Title Page (4)";#N/A,#N/A,FALSE,"YTD - Total";#N/A,#N/A,FALSE,"MTH - Total"}</definedName>
    <definedName name="wrn.GJE_NBR_7_Print_Job." localSheetId="7" hidden="1">{"Accrual_Calculation",#N/A,FALSE,"Comp Calc";"SJE#7",#N/A,FALSE,"GJE"}</definedName>
    <definedName name="wrn.Growth." localSheetId="7" hidden="1">{#N/A,#N/A,FALSE,"Rev Grwth";#N/A,#N/A,FALSE,"Op Inc Grwth";#N/A,#N/A,FALSE,"Net Grwth";#N/A,#N/A,FALSE,"EPS Growth"}</definedName>
    <definedName name="wrn.Ilijan._.Print." localSheetId="7"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NCOME._.STATEMENT." localSheetId="7" hidden="1">{"INCOME STATEMENT",#N/A,FALSE,"Income Statement"}</definedName>
    <definedName name="wrn.Individual._.Statements." localSheetId="7" hidden="1">{"barlup",#N/A,FALSE,"evabnk97";"gillespey",#N/A,FALSE,"evabnk97";"koon",#N/A,FALSE,"evabnk97";"schreur",#N/A,FALSE,"evabnk97";"stone",#N/A,FALSE,"evabnk97";"wichmann",#N/A,FALSE,"evabnk97";"wright",#N/A,FALSE,"evabnk97"}</definedName>
    <definedName name="wrn.Infectious._.Diseases." localSheetId="7" hidden="1">{#N/A,#N/A,FALSE,"Anti";#N/A,#N/A,FALSE,"Cefa";#N/A,#N/A,FALSE,"Ceph";#N/A,#N/A,FALSE,"Cefp";#N/A,#N/A,FALSE,"Cefe";#N/A,#N/A,FALSE,"Pens";#N/A,#N/A,FALSE,"Ampi";#N/A,#N/A,FALSE,"Amox";#N/A,#N/A,FALSE,"Isox";#N/A,#N/A,FALSE,"Aztr";#N/A,#N/A,FALSE,"Videx";#N/A,#N/A,FALSE,"Zerit"}</definedName>
    <definedName name="wrn.Internal._.Report._.for._.Martha." localSheetId="7"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PO." localSheetId="7" hidden="1">{#N/A,#N/A,FALSE,"Summary";#N/A,#N/A,FALSE,"Jan'97";#N/A,#N/A,FALSE,"Feb'97";#N/A,#N/A,FALSE,"Mar'97";#N/A,#N/A,FALSE,"Apr'97";#N/A,#N/A,FALSE,"May'97";#N/A,#N/A,FALSE,"Jun'97";#N/A,#N/A,FALSE,"Jul'97";#N/A,#N/A,FALSE,"Aug'97";#N/A,#N/A,FALSE,"Sept'97";#N/A,#N/A,FALSE,"Oct'97";#N/A,#N/A,FALSE,"Nov'97";#N/A,#N/A,FALSE,"Dec'97";#N/A,#N/A,FALSE,"Pending"}</definedName>
    <definedName name="wrn.IPO._.1998." localSheetId="7" hidden="1">{#N/A,#N/A,FALSE,"Summary";#N/A,#N/A,FALSE,"Pending";#N/A,#N/A,FALSE,"Jan'98";#N/A,#N/A,FALSE,"Feb'98";#N/A,#N/A,FALSE,"Mar'98";#N/A,#N/A,FALSE,"Apr'98";#N/A,#N/A,FALSE,"May'98";#N/A,#N/A,FALSE,"June'98";#N/A,#N/A,FALSE,"July'98"}</definedName>
    <definedName name="wrn.IPO._.Analysis." localSheetId="7" hidden="1">{#N/A,#N/A,FALSE,"Summary";#N/A,#N/A,FALSE,"Pending";#N/A,#N/A,FALSE,"Oct'97";#N/A,#N/A,FALSE,"Sept'97";#N/A,#N/A,FALSE,"Aug'97";#N/A,#N/A,FALSE,"Jul'97";#N/A,#N/A,FALSE,"Jun'97";#N/A,#N/A,FALSE,"May'97";#N/A,#N/A,FALSE,"Apr'97";#N/A,#N/A,FALSE,"Mar'97";#N/A,#N/A,FALSE,"Feb'97";#N/A,#N/A,FALSE,"Jan'97"}</definedName>
    <definedName name="wrn.IS._.Q96." localSheetId="7" hidden="1">{"IS Q96",#N/A,FALSE,"Income Statement"}</definedName>
    <definedName name="wrn.IS._.Q97." localSheetId="7" hidden="1">{"IS Q97",#N/A,FALSE,"Income Statement"}</definedName>
    <definedName name="wrn.IS._.Years." localSheetId="7" hidden="1">{"IS Years",#N/A,FALSE,"Income Statement"}</definedName>
    <definedName name="wrn.JANI._.REBATES." localSheetId="7" hidden="1">{"TOTAL",#N/A,FALSE,"A";"FISCAL94",#N/A,FALSE,"A";"FISCAL95",#N/A,FALSE,"A";"FISCAL96",#N/A,FALSE,"A";"misc page",#N/A,FALSE,"A"}</definedName>
    <definedName name="wrn.JODM._.Graphs." localSheetId="7" hidden="1">{"graph",#N/A,FALSE,"WWJU";"graph",#N/A,FALSE,"WWSEM";"graph",#N/A,FALSE,"GOMJU";"graph",#N/A,FALSE,"GOMSEM";"graph",#N/A,FALSE,"NSJU";"graph",#N/A,FALSE,"NSSEM";"graph",#N/A,FALSE,"WAJU";"graph",#N/A,FALSE,"STOCKPRI";"graph",#N/A,FALSE,"CFTEV";"graph",#N/A,FALSE,"NAV-RCV";"graph",#N/A,FALSE,"CRUDEWW"}</definedName>
    <definedName name="wrn.Just._.Sorts." localSheetId="7" hidden="1">{#N/A,#N/A,FALSE,"Hi";#N/A,#N/A,FALSE,"Lo";#N/A,#N/A,FALSE,"Mkt. Cap";#N/A,#N/A,FALSE,"Alpha"}</definedName>
    <definedName name="wrn.Lease_Deli." localSheetId="7" hidden="1">{#N/A,#N/A,FALSE,"COVER";#N/A,#N/A,FALSE,"Index";#N/A,#N/A,FALSE,"Non-Earning";#N/A,#N/A,FALSE,"Non-Earning-Recovery";#N/A,#N/A,FALSE,"Leasing_Equipo";#N/A,#N/A,FALSE,"Leasing_Auto";#N/A,#N/A,FALSE,"Leasing_Legal"}</definedName>
    <definedName name="wrn.Main._.Fields." localSheetId="7"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rch._.Financials." localSheetId="7" hidden="1">{"Statement of Income",#N/A,TRUE,"Mar99";"Balance Sheet",#N/A,TRUE,"Mar99"}</definedName>
    <definedName name="wrn.MARGIN." localSheetId="7" hidden="1">{#N/A,#N/A,TRUE,"MAR";#N/A,#N/A,TRUE,"MAR_2"}</definedName>
    <definedName name="wrn.Margins." localSheetId="7" hidden="1">{#N/A,#N/A,FALSE,"Margins - GrossR&amp;D";#N/A,#N/A,FALSE,"Margins - sg&amp;a";#N/A,#N/A,FALSE,"Margins - Oper-net"}</definedName>
    <definedName name="wrn.Mason._.Deliverables." localSheetId="7" hidden="1">{#N/A,#N/A,FALSE,"Data &amp; Key Results";#N/A,#N/A,FALSE,"Summary Template";#N/A,#N/A,FALSE,"Budget";#N/A,#N/A,FALSE,"Present Value Comparison";#N/A,#N/A,FALSE,"Cashflow";#N/A,#N/A,FALSE,"Income";#N/A,#N/A,FALSE,"Inputs"}</definedName>
    <definedName name="wrn.MDA._.Tables." localSheetId="7" hidden="1">{#N/A,#N/A,TRUE,"Sel Fn Data QTD";#N/A,#N/A,TRUE,"TABLE_1 SPREAD ANALYSIS";#N/A,#N/A,TRUE,"Tables 2 to 3 PL";#N/A,#N/A,TRUE,"Tables 4 and 5 ALLL";#N/A,#N/A,TRUE,"Tables 6 to 8 ALLL NPA";#N/A,#N/A,TRUE,"Table 9 to 10 - Balance Sheet";#N/A,#N/A,TRUE,"Table 11 to 12 - Equity"}</definedName>
    <definedName name="wrn.MDA._.TABLES._.10Q." localSheetId="7" hidden="1">{#N/A,#N/A,FALSE,"Table 1 QTD";#N/A,#N/A,FALSE,"Table 1 YTD";#N/A,#N/A,FALSE,"Tables 2 to 4 PL";#N/A,#N/A,FALSE,"Tables 5 to 9 ALLL";#N/A,#N/A,FALSE,"Table 10 to 13 - Balance Sheet"}</definedName>
    <definedName name="wrn.MDA_TABLES._.10K." localSheetId="7" hidden="1">{#N/A,#N/A,FALSE,"SFD 5 YRS 10k";#N/A,#N/A,FALSE,"Table 1 Annual 10K";#N/A,#N/A,FALSE,"Tables 2 to 3 PL";#N/A,#N/A,FALSE,"Tables 4 and 5ALLL";#N/A,#N/A,FALSE,"Tables 6 to 8 ALLL ";#N/A,#N/A,FALSE,"Table 9 to 12 - Balance Sheet";#N/A,#N/A,FALSE,"Table 14 10K SFD by Quarter";#N/A,#N/A,FALSE,"Tbl 15 - 16 10K risk cashflow"}</definedName>
    <definedName name="wrn.MDA_TABLES._.10Q." localSheetId="7" hidden="1">{#N/A,#N/A,TRUE,"Sel Fn Data QTD";#N/A,#N/A,TRUE,"Table 1 YTD";#N/A,#N/A,TRUE,"Table 1 QTD";#N/A,#N/A,TRUE,"Tables 2 to 3 PL";#N/A,#N/A,TRUE,"Tables 4 and 5ALLL";#N/A,#N/A,TRUE,"Tables 6 to 8 ALLL ";#N/A,#N/A,TRUE,"Table 9 to 12 - Balance Sheet"}</definedName>
    <definedName name="wrn.MDA_TABLES._.10Q._.SEPT." localSheetId="7" hidden="1">{#N/A,#N/A,TRUE,"Sel Fn Data QTD";#N/A,#N/A,TRUE,"Table 1 YTD";#N/A,#N/A,TRUE,"Tables 2 to 4 PL";#N/A,#N/A,TRUE,"Tables 5 to 9 ALLL";#N/A,#N/A,TRUE,"Table 10 to 13 - Balance Sheet"}</definedName>
    <definedName name="wrn.Merger." localSheetId="7" hidden="1">{#N/A,#N/A,FALSE,"Overview";#N/A,#N/A,FALSE,"Summary";#N/A,#N/A,FALSE,"Unph Hist";#N/A,#N/A,FALSE,"Combination";#N/A,#N/A,FALSE,"IOC Proj Base";#N/A,#N/A,FALSE,"Bal";#N/A,#N/A,FALSE,"IOC Bal";#N/A,#N/A,FALSE,"IOC CF";#N/A,#N/A,FALSE,"UNPH Proj"}</definedName>
    <definedName name="wrn.MONTH_REPORT." localSheetId="7" hidden="1">{#N/A,#N/A,TRUE,"ALLL";#N/A,#N/A,TRUE,"DEL";#N/A,#N/A,TRUE,"Reserve Analysis";#N/A,#N/A,TRUE,"C_OFF HISTORY";#N/A,#N/A,TRUE,"ALLL_QTR";#N/A,#N/A,TRUE,"HEA_M";#N/A,#N/A,TRUE,"BL_DET";#N/A,#N/A,TRUE,"3YRS+";#N/A,#N/A,TRUE,"CONSTR_DET"}</definedName>
    <definedName name="wrn.MONTH_REPORT_BOD." localSheetId="7" hidden="1">{#N/A,#N/A,FALSE,"HEA_M";#N/A,#N/A,FALSE,"ALLL";#N/A,#N/A,FALSE,"DEL";#N/A,#N/A,FALSE,"Reserve Analysis";#N/A,#N/A,FALSE,"C_OFF HISTORY";#N/A,#N/A,FALSE,"ALLL_QTR"}</definedName>
    <definedName name="wrn.Month_Report_Mgmt." localSheetId="7" hidden="1">{#N/A,#N/A,FALSE,"HEA_M";#N/A,#N/A,FALSE,"ALLL";#N/A,#N/A,FALSE,"DEL";#N/A,#N/A,FALSE,"Reserve Analysis";#N/A,#N/A,FALSE,"C_OFF HISTORY";#N/A,#N/A,FALSE,"ALLL_QTR";#N/A,#N/A,FALSE,"RR Review";#N/A,#N/A,FALSE,"MORT. SS 1YRS+";#N/A,#N/A,FALSE,"MORT. DOUBFUL 1YEAR+";#N/A,#N/A,FALSE,"MORT. LOSS 1YEAR+";#N/A,#N/A,FALSE,"Watch List Report";#N/A,#N/A,FALSE,"CONSTR_DET"}</definedName>
    <definedName name="wrn.Mortgage." localSheetId="7" hidden="1">{#N/A,#N/A,FALSE,"COVER";#N/A,#N/A,FALSE,"Index";#N/A,#N/A,FALSE,"Non-Earning";#N/A,#N/A,FALSE,"Mortgage_Legal";#N/A,#N/A,FALSE,"Mortgages"}</definedName>
    <definedName name="wrn.Netbacks." localSheetId="7" hidden="1">{"Netbacks",#N/A,FALSE,"Netbacks"}</definedName>
    <definedName name="wrn.Oncology." localSheetId="7" hidden="1">{#N/A,#N/A,FALSE,"Onco";#N/A,#N/A,FALSE,"Taxol";#N/A,#N/A,FALSE,"UFT";#N/A,#N/A,FALSE,"Carb"}</definedName>
    <definedName name="wrn.OPERATIONS." localSheetId="7" hidden="1">{#N/A,#N/A,FALSE,"PL-FS";#N/A,#N/A,FALSE,"PL"}</definedName>
    <definedName name="wrn.ops._.costs." localSheetId="7" hidden="1">{"page1",#N/A,FALSE,"APCI Operations Detail  ";"page2",#N/A,FALSE,"APCI Operations Detail  ";"page3",#N/A,FALSE,"APCI Operations Detail  ";"page4",#N/A,FALSE,"APCI Operations Detail  "}</definedName>
    <definedName name="wrn.OTC._.Market._.Report." localSheetId="7" hidden="1">{#N/A,#N/A,FALSE,"Sales Graph";#N/A,#N/A,FALSE,"BUC Graph";#N/A,#N/A,FALSE,"P&amp;L - YTD"}</definedName>
    <definedName name="wrn.Other._.Pharm." localSheetId="7" hidden="1">{#N/A,#N/A,FALSE,"Other";#N/A,#N/A,FALSE,"Ace";#N/A,#N/A,FALSE,"Derm"}</definedName>
    <definedName name="wrn.p" localSheetId="7" hidden="1">{#N/A,#N/A,FALSE,"1";#N/A,#N/A,FALSE,"2";#N/A,#N/A,FALSE,"16 - 17";#N/A,#N/A,FALSE,"18 - 19";#N/A,#N/A,FALSE,"26";#N/A,#N/A,FALSE,"27";#N/A,#N/A,FALSE,"28"}</definedName>
    <definedName name="wrn.PARTNERS._.CAPITAL._.STMT." localSheetId="7" hidden="1">{"PARTNERS CAPITAL STMT",#N/A,FALSE,"Partners Capital"}</definedName>
    <definedName name="wrn.Pharm._.Market._.Report." localSheetId="7" hidden="1">{#N/A,#N/A,FALSE,"Sales Graph";#N/A,#N/A,FALSE,"PSBM";#N/A,#N/A,FALSE,"BUC Graph";#N/A,#N/A,FALSE,"P&amp;L - YTD"}</definedName>
    <definedName name="wrn.Pharmaceuticals." localSheetId="7"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LX." localSheetId="7" hidden="1">{"cred comp",#N/A,FALSE,"Comparable Credit Analysis";"IS",#N/A,FALSE,"IS";"Sensitivity",#N/A,FALSE,"Sensitivity";"BS",#N/A,FALSE,"BS";"Bond Summary",#N/A,FALSE,"B Summary";"AD",#N/A,FALSE,"Accretion";"NAV",#N/A,FALSE,"NAV";"SU",#N/A,FALSE,"S&amp;U";"acq. study",#N/A,FALSE,"Acq. Study";"F Charges",#N/A,FALSE,"Fixed Charges"}</definedName>
    <definedName name="wrn.ppp" localSheetId="7" hidden="1">{#N/A,#N/A,FALSE,"1";#N/A,#N/A,FALSE,"2";#N/A,#N/A,FALSE,"16 - 17";#N/A,#N/A,FALSE,"18 - 19";#N/A,#N/A,FALSE,"26";#N/A,#N/A,FALSE,"27";#N/A,#N/A,FALSE,"28"}</definedName>
    <definedName name="wrn.prin2._.all." localSheetId="7" hidden="1">{#N/A,#N/A,FALSE,"Pharm";#N/A,#N/A,FALSE,"WWCM"}</definedName>
    <definedName name="wrn.prin3" localSheetId="7" hidden="1">{#N/A,#N/A,FALSE,"Pharm";#N/A,#N/A,FALSE,"WWCM"}</definedName>
    <definedName name="wrn.print" localSheetId="7" hidden="1">{#N/A,#N/A,FALSE,"Pharm";#N/A,#N/A,FALSE,"WWCM"}</definedName>
    <definedName name="wrn.print." localSheetId="7" hidden="1">{#N/A,#N/A,FALSE,"Japan 2003";#N/A,#N/A,FALSE,"Sheet2"}</definedName>
    <definedName name="wrn.Print._.All." localSheetId="7" hidden="1">{"IS Years",#N/A,FALSE,"Income Statement";"IS Q96",#N/A,FALSE,"Income Statement";"IS Q97",#N/A,FALSE,"Income Statement";"Corporate",#N/A,FALSE,"Corporate Profile";"Netbacks",#N/A,FALSE,"Netbacks"}</definedName>
    <definedName name="wrn.PRINT._.ALL.2" localSheetId="7" hidden="1">{#N/A,#N/A,FALSE,"Pharm";#N/A,#N/A,FALSE,"WWCM"}</definedName>
    <definedName name="wrn.print._.all2" localSheetId="7" hidden="1">{#N/A,#N/A,FALSE,"Pharm";#N/A,#N/A,FALSE,"WWCM"}</definedName>
    <definedName name="wrn.print._.graphs." localSheetId="7" hidden="1">{"cap_structure",#N/A,FALSE,"Graph-Mkt Cap";"price",#N/A,FALSE,"Graph-Price";"ebit",#N/A,FALSE,"Graph-EBITDA";"ebitda",#N/A,FALSE,"Graph-EBITDA"}</definedName>
    <definedName name="wrn.Print._.PNL._.Download." localSheetId="7" hidden="1">{"PNLProjDL",#N/A,FALSE,"PROJCO";"PNLParDL",#N/A,FALSE,"Parent"}</definedName>
    <definedName name="wrn.print._.raw._.data._.entry." localSheetId="7" hidden="1">{"inputs raw data",#N/A,TRUE,"INPUT"}</definedName>
    <definedName name="wrn.print._.summary._.sheets." localSheetId="7" hidden="1">{"summary1",#N/A,TRUE,"Comps";"summary2",#N/A,TRUE,"Comps";"summary3",#N/A,TRUE,"Comps"}</definedName>
    <definedName name="wrn.print._all1." localSheetId="7" hidden="1">{#N/A,#N/A,FALSE,"Pharm";#N/A,#N/A,FALSE,"WWCM"}</definedName>
    <definedName name="wrn.Print_Buyer." localSheetId="7" hidden="1">{#N/A,"DR",FALSE,"increm pf";#N/A,"MAMSI",FALSE,"increm pf";#N/A,"MAXI",FALSE,"increm pf";#N/A,"PCAM",FALSE,"increm pf";#N/A,"PHSV",FALSE,"increm pf";#N/A,"SIE",FALSE,"increm pf"}</definedName>
    <definedName name="wrn.Print_Earnings_template." localSheetId="7" hidden="1">{"by_month",#N/A,TRUE,"template";"destec_month",#N/A,TRUE,"template";"by_quarter",#N/A,TRUE,"template";"destec_quarter",#N/A,TRUE,"template";"by_year",#N/A,TRUE,"template";"destec_annual",#N/A,TRUE,"template"}</definedName>
    <definedName name="wrn.Print_Target." localSheetId="7"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Var_page." localSheetId="7" hidden="1">{"var_page",#N/A,FALSE,"template"}</definedName>
    <definedName name="wrn.print_variance." localSheetId="7" hidden="1">{"var_report",#N/A,FALSE,"template"}</definedName>
    <definedName name="wrn.Print_Variance_Page." localSheetId="7" hidden="1">{"variance_page",#N/A,FALSE,"template"}</definedName>
    <definedName name="wrn.print2" localSheetId="7" hidden="1">{#N/A,#N/A,FALSE,"Pharm";#N/A,#N/A,FALSE,"WWCM"}</definedName>
    <definedName name="wrn.PrintAll." localSheetId="7" hidden="1">{"PA1",#N/A,TRUE,"BORDMW";"pa2",#N/A,TRUE,"BORDMW";"PA3",#N/A,TRUE,"BORDMW";"PA4",#N/A,TRUE,"BORDMW"}</definedName>
    <definedName name="wrn.products" localSheetId="7" hidden="1">{#N/A,#N/A,FALSE,"1";#N/A,#N/A,FALSE,"2";#N/A,#N/A,FALSE,"16 - 17";#N/A,#N/A,FALSE,"18 - 19";#N/A,#N/A,FALSE,"26";#N/A,#N/A,FALSE,"27";#N/A,#N/A,FALSE,"28"}</definedName>
    <definedName name="wrn.Products." localSheetId="7" hidden="1">{#N/A,#N/A,FALSE,"1";#N/A,#N/A,FALSE,"2";#N/A,#N/A,FALSE,"16 - 17";#N/A,#N/A,FALSE,"18 - 19";#N/A,#N/A,FALSE,"26";#N/A,#N/A,FALSE,"27";#N/A,#N/A,FALSE,"28"}</definedName>
    <definedName name="wrn.Project._.Summary." localSheetId="7" hidden="1">{"Summary",#N/A,FALSE,"MICMULT";"Income Statement",#N/A,FALSE,"MICMULT";"Cash Flows",#N/A,FALSE,"MICMULT"}</definedName>
    <definedName name="wrn.pror" localSheetId="7" hidden="1">{#N/A,#N/A,FALSE,"Pharm";#N/A,#N/A,FALSE,"WWCM"}</definedName>
    <definedName name="wrn.qtrly._.PL._.summary._.FY01._.to._.FY03." localSheetId="7" hidden="1">{"qtrly summ-FY01",#N/A,FALSE,"P &amp; L";"qtrly summ-FY02",#N/A,FALSE,"P &amp; L";"qtrly summ-FY03",#N/A,FALSE,"P &amp; L"}</definedName>
    <definedName name="wrn.Ratios." localSheetId="7" hidden="1">{"Ratios",#N/A,FALSE,"Ratios"}</definedName>
    <definedName name="wrn.Recovery." localSheetId="7" hidden="1">{#N/A,#N/A,FALSE,"COVER";#N/A,#N/A,FALSE,"Index";#N/A,#N/A,FALSE,"Summ_Products_Rec.97-98";#N/A,#N/A,FALSE,"QTR_Comp.";#N/A,#N/A,FALSE,"Summ_Detail_Rec.97-98";#N/A,#N/A,FALSE,"Summ_Agencies_Rec.97-98"}</definedName>
    <definedName name="wrn.red_take." localSheetId="7" hidden="1">{"red_take_pg1",#N/A,FALSE,"reduced_take";"red_take_pg2",#N/A,FALSE,"reduced_take";"red_take_pg3",#N/A,FALSE,"reduced_take";"red_take_pg4",#N/A,FALSE,"reduced_take";"red_take_pg5",#N/A,FALSE,"reduced_take";"red_take_pg6",#N/A,FALSE,"reduced_take"}</definedName>
    <definedName name="wrn.REPORT." localSheetId="7" hidden="1">{#N/A,#N/A,FALSE,"COVER";#N/A,#N/A,FALSE,"RATIOS";#N/A,#N/A,FALSE,"LEVERAGE";#N/A,#N/A,FALSE,"TIER-1";#N/A,#N/A,FALSE,"RISK BASED ASSETS";#N/A,#N/A,FALSE,"TIER-2"}</definedName>
    <definedName name="wrn.Report1." localSheetId="7" hidden="1">{#N/A,#N/A,FALSE,"IS";#N/A,#N/A,FALSE,"BS";#N/A,#N/A,FALSE,"CF";#N/A,#N/A,FALSE,"CE";#N/A,#N/A,FALSE,"Depr";#N/A,#N/A,FALSE,"APAL"}</definedName>
    <definedName name="wrn.Roll._.Up._.Fields." localSheetId="7" hidden="1">{"Total",#N/A,FALSE,"Six Fields";"PDP",#N/A,FALSE,"Six Fields";"PNP",#N/A,FALSE,"Six Fields";"PUD",#N/A,FALSE,"Six Fields";"Prob",#N/A,FALSE,"Six Fields"}</definedName>
    <definedName name="wrn.sales." localSheetId="7" hidden="1">{"sales",#N/A,FALSE,"Sales";"sales existing",#N/A,FALSE,"Sales";"sales rd1",#N/A,FALSE,"Sales";"sales rd2",#N/A,FALSE,"Sales"}</definedName>
    <definedName name="wrn.SemiCap." localSheetId="7" hidden="1">{#N/A,#N/A,FALSE,"from high";#N/A,#N/A,FALSE,"from low";#N/A,#N/A,FALSE,"Market Cap";#N/A,#N/A,FALSE,"Alpha"}</definedName>
    <definedName name="wrn.Set." localSheetId="7" hidden="1">{#N/A,#N/A,FALSE,"High";#N/A,#N/A,FALSE,"Low";#N/A,#N/A,FALSE,"MarketCap";#N/A,#N/A,FALSE,"Alpha"}</definedName>
    <definedName name="wrn.SJE_NBR_1_Job." localSheetId="7" hidden="1">{"SJE_#1A",#N/A,FALSE,"SJE1A";"Payroll_Summary_Report",#N/A,FALSE,"Summary";"SJE_#1B",#N/A,FALSE,"SJE1B";"WC_Grouping",#N/A,FALSE,"WC Payroll"}</definedName>
    <definedName name="wrn.SJE11_Print_Job." localSheetId="7" hidden="1">{"SJE #11",#N/A,FALSE,"Sheet1"}</definedName>
    <definedName name="wrn.SJE12_PRINT_JOB." localSheetId="7" hidden="1">{"SJE#12",#N/A,FALSE,"Sheet1"}</definedName>
    <definedName name="wrn.SJE2_PRINTJOB." localSheetId="7" hidden="1">{"TAX_CALCULATION",#N/A,FALSE,"Accrual Calc";"SJE#2A",#N/A,FALSE,"Accrual GJE";"SJE#2B",#N/A,FALSE,"Reversal GJE"}</definedName>
    <definedName name="wrn.sje22." localSheetId="7" hidden="1">{"sje #22",#N/A,FALSE,"SJE #22";"calc",#N/A,FALSE,"CALC"}</definedName>
    <definedName name="wrn.SJE3_Print_Job." localSheetId="7" hidden="1">{"Accrual_Calc",#N/A,FALSE,"JE DETAIL";"SJE#3A",#N/A,FALSE,"JE DETAIL";"SJE#3B",#N/A,FALSE,"JE DETAIL"}</definedName>
    <definedName name="wrn.SJE4_PRINT_JOB." localSheetId="7" hidden="1">{"sje#4",#N/A,FALSE,"Sheet1"}</definedName>
    <definedName name="wrn.SJE4A_PRINT_JOB." localSheetId="7" hidden="1">{"SJE#4A",#N/A,FALSE,"Sheet1"}</definedName>
    <definedName name="wrn.SJE5_PRINT_JOB." localSheetId="7" hidden="1">{"SJE#5",#N/A,FALSE,"Sheet1"}</definedName>
    <definedName name="wrn.Staffing." localSheetId="7" hidden="1">{#N/A,#N/A,TRUE,"Development Personnel";#N/A,#N/A,TRUE,"Customer Service Personnel";#N/A,#N/A,TRUE,"Customer Service Personnel";#N/A,#N/A,TRUE,"Marketing Personnel";#N/A,#N/A,TRUE,"Technical Services Personnel";#N/A,#N/A,TRUE,"IS Personnel";#N/A,#N/A,TRUE,"Customer Support Personnel";#N/A,#N/A,TRUE,"spEDIcenter Personnel";#N/A,#N/A,TRUE,"Sales Personnel";#N/A,#N/A,TRUE,"International Personnel";#N/A,#N/A,TRUE,"G&amp;A Personnel"}</definedName>
    <definedName name="wrn.STAND_ALONE_BOTH." localSheetId="7" hidden="1">{"FCB_ALL",#N/A,FALSE,"FCB";"GREY_ALL",#N/A,FALSE,"GREY"}</definedName>
    <definedName name="wrn.STMT._.OF._.CASH._.FLOWS." localSheetId="7" hidden="1">{"STMT OF CASH FLOWS",#N/A,FALSE,"Cash Flows Indirect"}</definedName>
    <definedName name="wrn.Structure." localSheetId="7" hidden="1">{#N/A,#N/A,FALSE,"Structure";#N/A,#N/A,FALSE,"Proj-Cal";#N/A,#N/A,FALSE,"Market"}</definedName>
    <definedName name="wrn.Subject._.Worksheet." localSheetId="7" hidden="1">{"Balance Sheets",#N/A,FALSE,"Subject";"Income Statements - As Reported",#N/A,FALSE,"Subject";"Income Statements - Adjusted",#N/A,FALSE,"Subject";"Ratios",#N/A,FALSE,"Subject";"Representative Earnings",#N/A,FALSE,"Subject"}</definedName>
    <definedName name="wrn.Summary." localSheetId="7" hidden="1">{"Sum1",#N/A,FALSE,"Reserve Report";"Sum2",#N/A,FALSE,"Reserve Report";"Sum3",#N/A,FALSE,"Reserve Report";"Sum4",#N/A,FALSE,"Reserve Report"}</definedName>
    <definedName name="wrn.SUPP_SCHD." localSheetId="7" hidden="1">{#N/A,#N/A,TRUE,"A";#N/A,#N/A,TRUE,"B";#N/A,#N/A,TRUE,"C";#N/A,#N/A,TRUE,"D";#N/A,#N/A,TRUE,"E"}</definedName>
    <definedName name="wrn.Support." localSheetId="7" hidden="1">{#N/A,#N/A,FALSE,"TRIAL INPUT";#N/A,#N/A,FALSE,"AVG INPUT COPY";#N/A,#N/A,FALSE,"INVESTMENTS_INPUT"}</definedName>
    <definedName name="wrn.Tables._.and._.Support." localSheetId="7" hidden="1">{#N/A,#N/A,FALSE,"TABLE_1 YTD";#N/A,#N/A,FALSE,"TABLE_1A QTD";#N/A,#N/A,FALSE,"NORMAL_SPREAD_QTD";#N/A,#N/A,FALSE,"NORMAL_SPREAD_YTD";#N/A,#N/A,FALSE,"TAX_EQV";#N/A,#N/A,FALSE,"TAX EQUIV_INPUT";#N/A,#N/A,FALSE,"NET FROM FER";#N/A,#N/A,FALSE,"COVER"}</definedName>
    <definedName name="wrn.TB._.ALL._.ACCTS." localSheetId="7" hidden="1">{"BALANCE SHEET ACCTS",#N/A,TRUE,"Working Trial Balance";"INCOME STMT ACCTS",#N/A,TRUE,"Working Trial Balance"}</definedName>
    <definedName name="wrn.TB._.BALANCE._.SHEET." localSheetId="7" hidden="1">{"BALANCE SHEET ACCTS",#N/A,FALSE,"Working Trial Balance"}</definedName>
    <definedName name="wrn.TB._.EXPLANATIONS." localSheetId="7" hidden="1">{"EXPLANATIONS",#N/A,FALSE,"Working Trial Balance"}</definedName>
    <definedName name="wrn.TB._.INCOME._.STMT." localSheetId="7" hidden="1">{"INCOME STMT ACCTS",#N/A,FALSE,"Working Trial Balance"}</definedName>
    <definedName name="wrn.test1." localSheetId="7" hidden="1">{"Income Statement",#N/A,FALSE,"CFMODEL";"Balance Sheet",#N/A,FALSE,"CFMODEL"}</definedName>
    <definedName name="wrn.test2." localSheetId="7" hidden="1">{"SourcesUses",#N/A,TRUE,"CFMODEL";"TransOverview",#N/A,TRUE,"CFMODEL"}</definedName>
    <definedName name="wrn.test3." localSheetId="7" hidden="1">{"SourcesUses",#N/A,TRUE,#N/A;"TransOverview",#N/A,TRUE,"CFMODEL"}</definedName>
    <definedName name="wrn.test4." localSheetId="7" hidden="1">{"SourcesUses",#N/A,TRUE,"FundsFlow";"TransOverview",#N/A,TRUE,"FundsFlow"}</definedName>
    <definedName name="wrn.TheWholeEnchilada." localSheetId="7" hidden="1">{"CSheet",#N/A,FALSE,"C";"SmCap",#N/A,FALSE,"VAL1";"GulfCoast",#N/A,FALSE,"VAL1";"nav",#N/A,FALSE,"NAV";"Summary",#N/A,FALSE,"NAV"}</definedName>
    <definedName name="wrn.Total._.Business." localSheetId="7"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Market._.Report." localSheetId="7" hidden="1">{#N/A,#N/A,FALSE,"Sales Graph";#N/A,#N/A,FALSE,"BUC Graph";#N/A,#N/A,FALSE,"P&amp;L - YTD"}</definedName>
    <definedName name="wrn.Total._.Proved." localSheetId="7" hidden="1">{"Total",#N/A,FALSE,"Total Proved";"PDP",#N/A,FALSE,"Total Proved";"PNP",#N/A,FALSE,"Total Proved";"PUD",#N/A,FALSE,"Total Proved"}</definedName>
    <definedName name="wrn.Total._.Proved._.plus._.Probable." localSheetId="7" hidden="1">{"Total",#N/A,FALSE,"Total Proved + Probable";"PDP",#N/A,FALSE,"Total Proved + Probable";"PNP",#N/A,FALSE,"Total Proved + Probable";"PUD",#N/A,FALSE,"Total Proved + Probable";"Prob",#N/A,FALSE,"Total Proved + Probable"}</definedName>
    <definedName name="wrn.Wacc." localSheetId="7" hidden="1">{"Area1",#N/A,FALSE,"OREWACC";"Area2",#N/A,FALSE,"OREWACC"}</definedName>
    <definedName name="wrn2.All." localSheetId="7" hidden="1">{#N/A,#N/A,FALSE,"Structure";#N/A,#N/A,FALSE,"Shares";#N/A,#N/A,FALSE,"Market";#N/A,#N/A,FALSE,"Proj-Cal";#N/A,#N/A,FALSE,"Margins - GrossR&amp;D";#N/A,#N/A,FALSE,"Margins - sg&amp;a";#N/A,#N/A,FALSE,"Margins - Oper-net";#N/A,#N/A,FALSE,"Rev Grwth";#N/A,#N/A,FALSE,"Op Inc Grwth";#N/A,#N/A,FALSE,"Net Grwth";#N/A,#N/A,FALSE,"EPS Growth";#N/A,#N/A,FALSE,"Balance";#N/A,#N/A,FALSE,"TDFX";#N/A,#N/A,FALSE,"CUBE";#N/A,#N/A,FALSE,"TDDDF";#N/A,#N/A,FALSE,"DIMD";#N/A,#N/A,FALSE,"ELNT";#N/A,#N/A,FALSE,"ZRAN";#N/A,#N/A,FALSE,"FDJA";#N/A,#N/A,FALSE,"GNMC"}</definedName>
    <definedName name="wrna.prod" localSheetId="7" hidden="1">{#N/A,#N/A,FALSE,"1";#N/A,#N/A,FALSE,"2";#N/A,#N/A,FALSE,"16 - 17";#N/A,#N/A,FALSE,"18 - 19";#N/A,#N/A,FALSE,"26";#N/A,#N/A,FALSE,"27";#N/A,#N/A,FALSE,"28"}</definedName>
    <definedName name="WRR" localSheetId="7" hidden="1">{#N/A,#N/A,FALSE,"Pharm";#N/A,#N/A,FALSE,"WWCM"}</definedName>
    <definedName name="wrrrrr" localSheetId="7" hidden="1">{#N/A,#N/A,FALSE,"REPORT"}</definedName>
    <definedName name="wv" localSheetId="7" hidden="1">{#N/A,#N/A,FALSE,"Pharm";#N/A,#N/A,FALSE,"WWCM"}</definedName>
    <definedName name="wvu.inputs._.raw._.data." localSheetId="7"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localSheetId="7"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7"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7"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 localSheetId="7" hidden="1">{#N/A,#N/A,FALSE,"Pharm";#N/A,#N/A,FALSE,"WWCM"}</definedName>
    <definedName name="www" localSheetId="7" hidden="1">{#N/A,#N/A,TRUE,"BUD VS ACT AUST 96";#N/A,#N/A,TRUE,"96 COMP P&amp;L-AUST";#N/A,#N/A,TRUE,"COMP BS-AUSTRALIA";#N/A,#N/A,TRUE,"B/S - AUSTR."}</definedName>
    <definedName name="wwww" localSheetId="7" hidden="1">{#N/A,#N/A,TRUE,"BUD VS ACT AUST 96";#N/A,#N/A,TRUE,"96 COMP P&amp;L-AUST";#N/A,#N/A,TRUE,"COMP BS-AUSTRALIA";#N/A,#N/A,TRUE,"B/S - AUSTR."}</definedName>
    <definedName name="wx" localSheetId="7" hidden="1">{#N/A,#N/A,FALSE,"Pharm";#N/A,#N/A,FALSE,"WWCM"}</definedName>
    <definedName name="x" localSheetId="7" hidden="1">#REF!</definedName>
    <definedName name="xc" localSheetId="7"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xcv" localSheetId="7" hidden="1">{#N/A,#N/A,FALSE,"Pharm";#N/A,#N/A,FALSE,"WWCM"}</definedName>
    <definedName name="xjey1" localSheetId="7" hidden="1">#REF!</definedName>
    <definedName name="xsort2" localSheetId="7" hidden="1">#REF!</definedName>
    <definedName name="xx" localSheetId="7" hidden="1">{#N/A,#N/A,FALSE,"REPORT"}</definedName>
    <definedName name="xxx" localSheetId="7" hidden="1">{#N/A,#N/A,TRUE,"BUD VS ACT AUST 96";#N/A,#N/A,TRUE,"96 COMP P&amp;L-AUST";#N/A,#N/A,TRUE,"COMP BS-AUSTRALIA";#N/A,#N/A,TRUE,"B/S - AUSTR."}</definedName>
    <definedName name="xxxxx" localSheetId="7" hidden="1">{#N/A,#N/A,FALSE,"Pharm";#N/A,#N/A,FALSE,"WWCM"}</definedName>
    <definedName name="xyz" localSheetId="7" hidden="1">{#N/A,#N/A,TRUE,"Total";#N/A,#N/A,TRUE,"U.S. Devl.";#N/A,#N/A,TRUE,"U.S. Headcount"}</definedName>
    <definedName name="y" localSheetId="7" hidden="1">{#N/A,#N/A,FALSE,"Pharm";#N/A,#N/A,FALSE,"WWCM"}</definedName>
    <definedName name="yes" localSheetId="7" hidden="1">{#N/A,#N/A,FALSE,"Admin";#N/A,#N/A,FALSE,"Other"}</definedName>
    <definedName name="YTY" localSheetId="7" hidden="1">{#N/A,#N/A,FALSE,"TABLE_1 YTD";#N/A,#N/A,FALSE,"TABLE_1A QTD";#N/A,#N/A,FALSE,"NORMAL_SPREAD_QTD";#N/A,#N/A,FALSE,"NORMAL_SPREAD_YTD";#N/A,#N/A,FALSE,"TAX_EQV";#N/A,#N/A,FALSE,"TAX EQUIV_INPUT";#N/A,#N/A,FALSE,"NET FROM FER";#N/A,#N/A,FALSE,"COVER"}</definedName>
    <definedName name="yy" localSheetId="7" hidden="1">{#N/A,#N/A,FALSE,"COVER";#N/A,#N/A,FALSE,"Index";#N/A,#N/A,FALSE,"Summ_Products_Rec.97-98";#N/A,#N/A,FALSE,"QTR_Comp.";#N/A,#N/A,FALSE,"Summ_Detail_Rec.97-98";#N/A,#N/A,FALSE,"Summ_Agencies_Rec.97-98"}</definedName>
    <definedName name="yyy" localSheetId="7" hidden="1">{#N/A,#N/A,FALSE,"Other";#N/A,#N/A,FALSE,"Ace";#N/A,#N/A,FALSE,"Derm"}</definedName>
    <definedName name="z" localSheetId="7" hidden="1">{"CSheet",#N/A,FALSE,"C";"SmCap",#N/A,FALSE,"VAL1";"GulfCoast",#N/A,FALSE,"VAL1";"nav",#N/A,FALSE,"NAV";"Summary",#N/A,FALSE,"NAV"}</definedName>
    <definedName name="Z_24BF9755_66DA_11D4_A31E_00C0F0154575_.wvu.PrintArea" localSheetId="7" hidden="1">#REF!</definedName>
    <definedName name="Z_24BF9755_66DA_11D4_A31E_00C0F0154575_.wvu.PrintTitles" localSheetId="7" hidden="1">#REF!</definedName>
    <definedName name="Z_6DFA7DCF_3C08_11D1_BDBE_0020AF42250B_.wvu.PrintArea" localSheetId="7" hidden="1">#REF!</definedName>
    <definedName name="Z_6DFA7DCF_3C08_11D1_BDBE_0020AF42250B_.wvu.PrintTitles" localSheetId="7" hidden="1">#REF!</definedName>
    <definedName name="Z_6DFA7DD9_3C08_11D1_BDBE_0020AF42250B_.wvu.PrintTitles" localSheetId="7" hidden="1">#REF!</definedName>
    <definedName name="Z_6DFA7DDA_3C08_11D1_BDBE_0020AF42250B_.wvu.PrintArea" localSheetId="7" hidden="1">#REF!</definedName>
    <definedName name="Z_6DFA7DDA_3C08_11D1_BDBE_0020AF42250B_.wvu.PrintTitles" localSheetId="7" hidden="1">#REF!</definedName>
    <definedName name="Z_6DFA7DDC_3C08_11D1_BDBE_0020AF42250B_.wvu.PrintArea" localSheetId="7" hidden="1">#REF!</definedName>
    <definedName name="Z_6DFA7DDC_3C08_11D1_BDBE_0020AF42250B_.wvu.PrintTitles" localSheetId="7" hidden="1">#REF!</definedName>
    <definedName name="Z_6DFA7DDD_3C08_11D1_BDBE_0020AF42250B_.wvu.PrintArea" localSheetId="7" hidden="1">#REF!</definedName>
    <definedName name="Z_6DFA7DDD_3C08_11D1_BDBE_0020AF42250B_.wvu.PrintTitles" localSheetId="7" hidden="1">#REF!</definedName>
    <definedName name="Z_6DFA7DDE_3C08_11D1_BDBE_0020AF42250B_.wvu.PrintArea" localSheetId="7" hidden="1">#REF!</definedName>
    <definedName name="Z_6DFA7DDE_3C08_11D1_BDBE_0020AF42250B_.wvu.PrintTitles" localSheetId="7" hidden="1">#REF!</definedName>
    <definedName name="Z_6DFA7DDF_3C08_11D1_BDBE_0020AF42250B_.wvu.PrintArea" localSheetId="7" hidden="1">#REF!</definedName>
    <definedName name="Z_6DFA7DDF_3C08_11D1_BDBE_0020AF42250B_.wvu.PrintTitles" localSheetId="7" hidden="1">#REF!</definedName>
    <definedName name="Z_6DFA7DE0_3C08_11D1_BDBE_0020AF42250B_.wvu.PrintArea" localSheetId="7" hidden="1">#REF!</definedName>
    <definedName name="Z_6DFA7DE0_3C08_11D1_BDBE_0020AF42250B_.wvu.PrintTitles" localSheetId="7" hidden="1">#REF!</definedName>
    <definedName name="Z_6DFA7DE5_3C08_11D1_BDBE_0020AF42250B_.wvu.PrintTitles" localSheetId="7" hidden="1">#REF!</definedName>
    <definedName name="Z_6DFA7DE6_3C08_11D1_BDBE_0020AF42250B_.wvu.PrintArea" localSheetId="7" hidden="1">#REF!</definedName>
    <definedName name="Z_6DFA7DE6_3C08_11D1_BDBE_0020AF42250B_.wvu.PrintTitles" localSheetId="7" hidden="1">#REF!</definedName>
    <definedName name="Z_702CE201_67EF_11D2_8E81_00104BCAECA1_.wvu.PrintTitles" localSheetId="7" hidden="1">#REF!,#REF!</definedName>
    <definedName name="Z_870DA93B_C7EC_11D1_935A_00A0C95F1362_.wvu.PrintArea" localSheetId="7" hidden="1">#REF!</definedName>
    <definedName name="Z_995DB91B_DC87_11D2_BCA9_00C04F8BBE86_.wvu.PrintArea" localSheetId="7" hidden="1">#REF!</definedName>
    <definedName name="Z_995DB91E_DC87_11D2_BCA9_00C04F8BBE86_.wvu.PrintArea" localSheetId="7" hidden="1">#REF!</definedName>
    <definedName name="Z_995DB91F_DC87_11D2_BCA9_00C04F8BBE86_.wvu.PrintArea" localSheetId="7" hidden="1">#REF!</definedName>
    <definedName name="Z_B21BDB45_3C17_11D2_913A_00A024D72BFF_.wvu.PrintArea" localSheetId="7" hidden="1">#REF!</definedName>
    <definedName name="Z_B21BDB45_3C17_11D2_913A_00A024D72BFF_.wvu.PrintTitles" localSheetId="7" hidden="1">#REF!,#REF!</definedName>
    <definedName name="Z_B21BDB46_3C17_11D2_913A_00A024D72BFF_.wvu.PrintArea" localSheetId="7" hidden="1">#REF!</definedName>
    <definedName name="Z_B21BDB46_3C17_11D2_913A_00A024D72BFF_.wvu.PrintTitles" localSheetId="7" hidden="1">#REF!,#REF!</definedName>
    <definedName name="Z_B21BDBC3_3C17_11D2_913A_00A024D72BFF_.wvu.PrintArea" localSheetId="7" hidden="1">#REF!</definedName>
    <definedName name="Z_B21BDBC3_3C17_11D2_913A_00A024D72BFF_.wvu.PrintTitles" localSheetId="7" hidden="1">#REF!,#REF!</definedName>
    <definedName name="Z_B21BDBC4_3C17_11D2_913A_00A024D72BFF_.wvu.PrintArea" localSheetId="7" hidden="1">#REF!</definedName>
    <definedName name="Z_B21BDBC4_3C17_11D2_913A_00A024D72BFF_.wvu.PrintTitles" localSheetId="7" hidden="1">#REF!,#REF!</definedName>
    <definedName name="Z_C229C740_74EF_11D3_8C05_00105AA43A7F_.wvu.Cols" localSheetId="7" hidden="1">#REF!</definedName>
    <definedName name="Z_C229C740_74EF_11D3_8C05_00105AA43A7F_.wvu.PrintArea" localSheetId="7" hidden="1">#REF!</definedName>
    <definedName name="Z_C229C740_74EF_11D3_8C05_00105AA43A7F_.wvu.PrintTitles" localSheetId="7" hidden="1">#REF!,#REF!</definedName>
    <definedName name="Z_C229C740_74EF_11D3_8C05_00105AA43A7F_.wvu.Rows" localSheetId="7" hidden="1">#REF!,#REF!,#REF!,#REF!,#REF!,#REF!,#REF!,#REF!,#REF!,#REF!,#REF!,#REF!,#REF!,#REF!,#REF!,#REF!,#REF!,#REF!,#REF!,#REF!,#REF!,#REF!,#REF!,#REF!,#REF!,#REF!,#REF!,#REF!,#REF!,#REF!,#REF!,#REF!,#REF!,#REF!,#REF!,#REF!,#REF!,#REF!,#REF!,#REF!,#REF!,#REF!,#REF!,#REF!,#REF!,#REF!,#REF!,#REF!,#REF!,#REF!,#REF!,#REF!,#REF!,#REF!</definedName>
    <definedName name="zhu" localSheetId="7" hidden="1">{#N/A,#N/A,FALSE,"REPORT"}</definedName>
    <definedName name="zhutr" localSheetId="7" hidden="1">{#N/A,#N/A,FALSE,"REPORT"}</definedName>
    <definedName name="ZSZ" localSheetId="7"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y" localSheetId="7" hidden="1">{#N/A,#N/A,TRUE,"BUD VS ACT AUST 96";#N/A,#N/A,TRUE,"96 COMP P&amp;L-AUST";#N/A,#N/A,TRUE,"COMP BS-AUSTRALIA";#N/A,#N/A,TRUE,"B/S - AUSTR."}</definedName>
    <definedName name="zza4pg" localSheetId="7" hidden="1">{#N/A,#N/A,FALSE,"REPORT"}</definedName>
    <definedName name="zzee" localSheetId="7" hidden="1">{#N/A,#N/A,FALSE,"Pharm";#N/A,#N/A,FALSE,"WWCM"}</definedName>
    <definedName name="zzzz" localSheetId="7" hidden="1">{#N/A,#N/A,FALSE,"COMP BS-FRANCE";#N/A,#N/A,FALSE,"96 COMP P&amp;L-FRANCE";#N/A,#N/A,FALSE,"BUD VS ACT FRAN 96";#N/A,#N/A,FALSE,"B/S - FRANCE"}</definedName>
    <definedName name="zzzzz" localSheetId="7" hidden="1">{#N/A,#N/A,FALSE,"REPORT"}</definedName>
    <definedName name="고" localSheetId="7" hidden="1">{#N/A,#N/A,FALSE,"REPORT"}</definedName>
    <definedName name="ㄶㅇ노ㅗㄶ호" localSheetId="7" hidden="1">{#N/A,#N/A,FALSE,"REPORT"}</definedName>
    <definedName name="미애" localSheetId="7" hidden="1">{#N/A,#N/A,FALSE,"REPORT"}</definedName>
    <definedName name="_xlnm.Print_Area" localSheetId="7">'VI. Comparables (Description)'!$B$5:$E$46</definedName>
    <definedName name="__Qtr4" localSheetId="9">#REF!</definedName>
    <definedName name="_bdm.CAAD75B892744DA7A396804116BF19C2.edm" localSheetId="9" hidden="1">#REF!</definedName>
    <definedName name="_bdm.FB8D8AB244B64BB9B4F5F5A4C5205085.edm" localSheetId="9" hidden="1">#REF!</definedName>
    <definedName name="_ex1" localSheetId="9">#REF!</definedName>
    <definedName name="_Key2" localSheetId="9" hidden="1">#REF!</definedName>
    <definedName name="_nt97" localSheetId="9">#REF!</definedName>
    <definedName name="_nt98" localSheetId="9">#REF!</definedName>
    <definedName name="_php98" localSheetId="9">#REF!</definedName>
    <definedName name="_Regression_Out" localSheetId="9" hidden="1">#REF!</definedName>
    <definedName name="_Regression_X" localSheetId="9" hidden="1">#REF!</definedName>
    <definedName name="_Regression_Y" localSheetId="9" hidden="1">#REF!</definedName>
    <definedName name="_rm98" localSheetId="9">#REF!</definedName>
    <definedName name="_sgd98" localSheetId="9">#REF!</definedName>
    <definedName name="_Table2_Out" localSheetId="9" hidden="1">#REF!</definedName>
    <definedName name="_xlcn.WorksheetConnection_CapexA19F431" localSheetId="9" hidden="1">#REF!</definedName>
    <definedName name="aaaaaaa" localSheetId="9" hidden="1">{"barlup",#N/A,FALSE,"evabnk97";"gillespey",#N/A,FALSE,"evabnk97";"koon",#N/A,FALSE,"evabnk97";"schreur",#N/A,FALSE,"evabnk97";"stone",#N/A,FALSE,"evabnk97";"wichmann",#N/A,FALSE,"evabnk97";"wright",#N/A,FALSE,"evabnk97"}</definedName>
    <definedName name="absfghbtg" localSheetId="9" hidden="1">#REF!,#REF!,#REF!,#REF!,#REF!,#REF!,#REF!,#REF!,#REF!,#REF!,#REF!,#REF!,#REF!,#REF!,#REF!,#REF!,#REF!,#REF!,#REF!,#REF!,#REF!,#REF!,#REF!,#REF!,#REF!,#REF!,#REF!,#REF!,#REF!,#REF!,#REF!,#REF!,#REF!,#REF!,#REF!,#REF!,#REF!,#REF!,#REF!,#REF!,#REF!,#REF!,#REF!,#REF!,#REF!,#REF!,#REF!,#REF!,#REF!,#REF!,#REF!,#REF!,#REF!,#REF!</definedName>
    <definedName name="adasa" localSheetId="9" hidden="1">{"'Sheet1'!$A$1:$J$121"}</definedName>
    <definedName name="ADCurr" localSheetId="9">#REF!</definedName>
    <definedName name="adfadf" localSheetId="9" hidden="1">{"'Sheet1'!$A$1:$J$121"}</definedName>
    <definedName name="adhad" localSheetId="9" hidden="1">{"'Sheet1'!$A$1:$J$121"}</definedName>
    <definedName name="allchanges1" localSheetId="9">#REF!</definedName>
    <definedName name="allchanges2" localSheetId="9">#REF!</definedName>
    <definedName name="alloc" localSheetId="9">#REF!</definedName>
    <definedName name="asdfadsf" localSheetId="9" hidden="1">{"'Sheet1'!$A$1:$J$121"}</definedName>
    <definedName name="asfasdf" localSheetId="9" hidden="1">#REF!</definedName>
    <definedName name="b" localSheetId="9" hidden="1">{"barlup",#N/A,FALSE,"evabnk97";"gillespey",#N/A,FALSE,"evabnk97";"koon",#N/A,FALSE,"evabnk97";"schreur",#N/A,FALSE,"evabnk97";"stone",#N/A,FALSE,"evabnk97";"wichmann",#N/A,FALSE,"evabnk97";"wright",#N/A,FALSE,"evabnk97"}</definedName>
    <definedName name="Beg_Bal" localSheetId="9">#REF!</definedName>
    <definedName name="Beginning_Balance" localSheetId="9">-FV(Interest_Rate/12,'LP Report'!Payment_Number-1,-'LP Report'!Monthly_Payment,'LP Report'!Loan_Amount)</definedName>
    <definedName name="BLPH1" localSheetId="9" hidden="1">#REF!</definedName>
    <definedName name="BLPH2" localSheetId="9" hidden="1">#REF!</definedName>
    <definedName name="BLPH3" localSheetId="9" hidden="1">#REF!</definedName>
    <definedName name="BLPH4" localSheetId="9" hidden="1">#REF!</definedName>
    <definedName name="BS" localSheetId="9">#REF!</definedName>
    <definedName name="cancel" localSheetId="9" hidden="1">{"PARTNERS CAPITAL STMT",#N/A,FALSE,"Partners Capital"}</definedName>
    <definedName name="cancel2" localSheetId="9" hidden="1">{"PNLProjDL",#N/A,FALSE,"PROJCO";"PNLParDL",#N/A,FALSE,"Parent"}</definedName>
    <definedName name="cancel3" localSheetId="9" hidden="1">{"Summary",#N/A,FALSE,"MICMULT";"Income Statement",#N/A,FALSE,"MICMULT";"Cash Flows",#N/A,FALSE,"MICMULT"}</definedName>
    <definedName name="CapCase" localSheetId="9">#REF!</definedName>
    <definedName name="CapContCurr" localSheetId="9">#REF!</definedName>
    <definedName name="CapContPrior" localSheetId="9">#REF!</definedName>
    <definedName name="cash" localSheetId="9">#REF!</definedName>
    <definedName name="cash2" localSheetId="9">#REF!</definedName>
    <definedName name="CashBeg" localSheetId="9">#REF!</definedName>
    <definedName name="CashEnd" localSheetId="9">#REF!</definedName>
    <definedName name="cmmt" localSheetId="9">#REF!</definedName>
    <definedName name="cmmts" localSheetId="9">#REF!</definedName>
    <definedName name="compound_period" localSheetId="9">INDEX({2,12,4,1},MATCH(#REF!,'LP Report'!compound_periods,0))</definedName>
    <definedName name="compound_periods" localSheetId="9">{"Semi-Annually";"Monthly";"Quarterly";"Annually"}</definedName>
    <definedName name="dadfa" localSheetId="9"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afa" localSheetId="9"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ata" localSheetId="9">#REF!</definedName>
    <definedName name="ddd" localSheetId="9" hidden="1">{"'ATP'!$E$6"}</definedName>
    <definedName name="ddd_1" localSheetId="9" hidden="1">{"'ATP'!$E$6"}</definedName>
    <definedName name="ddd_11" localSheetId="9" hidden="1">{"'ATP'!$E$6"}</definedName>
    <definedName name="dddd" localSheetId="9" hidden="1">{"'ATP'!$E$6"}</definedName>
    <definedName name="delete" localSheetId="9" hidden="1">{"STMT OF CASH FLOWS",#N/A,FALSE,"Cash Flows Indirect"}</definedName>
    <definedName name="delete2" localSheetId="9" hidden="1">{"BALANCE SHEET ACCTS",#N/A,TRUE,"Working Trial Balance";"INCOME STMT ACCTS",#N/A,TRUE,"Working Trial Balance"}</definedName>
    <definedName name="Depr_Method" localSheetId="9">#REF!</definedName>
    <definedName name="dfasdf" localSheetId="9" hidden="1">#REF!</definedName>
    <definedName name="dfsafd" localSheetId="9"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localSheetId="9"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 localSheetId="9"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ee" localSheetId="9">#REF!</definedName>
    <definedName name="elo" localSheetId="9">#REF!</definedName>
    <definedName name="eloCS" localSheetId="9">#REF!</definedName>
    <definedName name="eloFMV" localSheetId="9">#REF!</definedName>
    <definedName name="eloNR" localSheetId="9">#REF!</definedName>
    <definedName name="eloPref" localSheetId="9">#REF!</definedName>
    <definedName name="eloWarr" localSheetId="9">#REF!</definedName>
    <definedName name="Extra_Pay" localSheetId="9">#REF!</definedName>
    <definedName name="extra_payment_interval" localSheetId="9">#REF!</definedName>
    <definedName name="fees" localSheetId="9">#REF!</definedName>
    <definedName name="fpdate" localSheetId="9">#REF!</definedName>
    <definedName name="frequency" localSheetId="9">{"Annually";"Semi-Annually";"Quarterly";"Bi-Monthly";"Monthly";"Semi-Monthly";"Bi-Weekly";"Weekly"}</definedName>
    <definedName name="fsdsfafd" localSheetId="9" hidden="1">{"CSheet",#N/A,FALSE,"C";"SmCap",#N/A,FALSE,"VAL1";"GulfCoast",#N/A,FALSE,"VAL1";"nav",#N/A,FALSE,"NAV";"Summary",#N/A,FALSE,"NAV"}</definedName>
    <definedName name="fuelco_wrn.test1." localSheetId="9" hidden="1">{"Income Statement",#N/A,FALSE,"CFMODEL";"Balance Sheet",#N/A,FALSE,"CFMODEL"}</definedName>
    <definedName name="fuelco_wrn.test2." localSheetId="9" hidden="1">{"SourcesUses",#N/A,TRUE,"CFMODEL";"TransOverview",#N/A,TRUE,"CFMODEL"}</definedName>
    <definedName name="fuelco_wrn.test3." localSheetId="9" hidden="1">{"SourcesUses",#N/A,TRUE,#N/A;"TransOverview",#N/A,TRUE,"CFMODEL"}</definedName>
    <definedName name="fuelco_wrn.test4." localSheetId="9" hidden="1">{"SourcesUses",#N/A,TRUE,"FundsFlow";"TransOverview",#N/A,TRUE,"FundsFlow"}</definedName>
    <definedName name="gilb.wrn.test2." localSheetId="9" hidden="1">{"SourcesUses",#N/A,TRUE,"CFMODEL";"TransOverview",#N/A,TRUE,"CFMODEL"}</definedName>
    <definedName name="gilb.wrn.test3." localSheetId="9" hidden="1">{"SourcesUses",#N/A,TRUE,#N/A;"TransOverview",#N/A,TRUE,"CFMODEL"}</definedName>
    <definedName name="gilb.wrn.test4." localSheetId="9" hidden="1">{"SourcesUses",#N/A,TRUE,"FundsFlow";"TransOverview",#N/A,TRUE,"FundsFlow"}</definedName>
    <definedName name="gilb_wrn.test1" localSheetId="9" hidden="1">{"Income Statement",#N/A,FALSE,"CFMODEL";"Balance Sheet",#N/A,FALSE,"CFMODEL"}</definedName>
    <definedName name="Header" localSheetId="9">#REF!</definedName>
    <definedName name="HTML_Control" localSheetId="9" hidden="1">{"'ATP'!$E$6"}</definedName>
    <definedName name="HTML_Control_1" localSheetId="9" hidden="1">{"'ATP'!$E$6"}</definedName>
    <definedName name="Int" localSheetId="9">#REF!</definedName>
    <definedName name="investment" localSheetId="9">#REF!</definedName>
    <definedName name="InvFootnote" localSheetId="9">#REF!</definedName>
    <definedName name="ISCaseName" localSheetId="9">#REF!</definedName>
    <definedName name="j" localSheetId="9">#REF!</definedName>
    <definedName name="junk" localSheetId="9" hidden="1">#REF!</definedName>
    <definedName name="junk2" localSheetId="9" hidden="1">#REF!</definedName>
    <definedName name="Loan_Amount" localSheetId="9">#REF!</definedName>
    <definedName name="Loan_Not_Paid" localSheetId="9">IF('LP Report'!Payment_Number&lt;='LP Report'!Number_of_Payments,1,0)</definedName>
    <definedName name="LookupIndex" localSheetId="9">#REF!</definedName>
    <definedName name="mason?" localSheetId="9" hidden="1">{#N/A,#N/A,FALSE,"Data &amp; Key Results";#N/A,#N/A,FALSE,"Summary Template";#N/A,#N/A,FALSE,"Budget";#N/A,#N/A,FALSE,"Present Value Comparison";#N/A,#N/A,FALSE,"Cashflow";#N/A,#N/A,FALSE,"Income";#N/A,#N/A,FALSE,"Inputs"}</definedName>
    <definedName name="mason2" localSheetId="9" hidden="1">{#N/A,#N/A,FALSE,"Data &amp; Key Results";#N/A,#N/A,FALSE,"Summary Template";#N/A,#N/A,FALSE,"Budget";#N/A,#N/A,FALSE,"Present Value Comparison";#N/A,#N/A,FALSE,"Cashflow";#N/A,#N/A,FALSE,"Income";#N/A,#N/A,FALSE,"Inputs"}</definedName>
    <definedName name="mason3" localSheetId="9" hidden="1">{#N/A,#N/A,FALSE,"Data &amp; Key Results";#N/A,#N/A,FALSE,"Summary Template";#N/A,#N/A,FALSE,"Budget";#N/A,#N/A,FALSE,"Present Value Comparison";#N/A,#N/A,FALSE,"Cashflow";#N/A,#N/A,FALSE,"Income";#N/A,#N/A,FALSE,"Inputs"}</definedName>
    <definedName name="mason4" localSheetId="9" hidden="1">{#N/A,#N/A,FALSE,"Data &amp; Key Results";#N/A,#N/A,FALSE,"Summary Template";#N/A,#N/A,FALSE,"Budget";#N/A,#N/A,FALSE,"Present Value Comparison";#N/A,#N/A,FALSE,"Cashflow";#N/A,#N/A,FALSE,"Income";#N/A,#N/A,FALSE,"Inputs"}</definedName>
    <definedName name="mason5" localSheetId="9" hidden="1">{#N/A,#N/A,FALSE,"Data &amp; Key Results";#N/A,#N/A,FALSE,"Summary Template";#N/A,#N/A,FALSE,"Budget";#N/A,#N/A,FALSE,"Present Value Comparison";#N/A,#N/A,FALSE,"Cashflow";#N/A,#N/A,FALSE,"Income";#N/A,#N/A,FALSE,"Inputs"}</definedName>
    <definedName name="masonII" localSheetId="9" hidden="1">{#N/A,#N/A,FALSE,"Data &amp; Key Results";#N/A,#N/A,FALSE,"Summary Template";#N/A,#N/A,FALSE,"Budget";#N/A,#N/A,FALSE,"Present Value Comparison";#N/A,#N/A,FALSE,"Cashflow";#N/A,#N/A,FALSE,"Income";#N/A,#N/A,FALSE,"Inputs"}</definedName>
    <definedName name="Method_abbrev" localSheetId="9">#REF!</definedName>
    <definedName name="mgmtfee" localSheetId="9">#REF!</definedName>
    <definedName name="mgmtfees" localSheetId="9">#REF!</definedName>
    <definedName name="MLNK018bfad56a014b6f84cfc7fb40567079" localSheetId="9" hidden="1">#REF!</definedName>
    <definedName name="MLNK02b436c54d1d4f1fb7ece854589ebc3b" localSheetId="9" hidden="1">#REF!</definedName>
    <definedName name="MLNK02ddb7e50a9a4088ad89faf3155f305e" localSheetId="9" hidden="1">#REF!</definedName>
    <definedName name="MLNK03d895c600f84237af0a9f6d50dde8ed" localSheetId="9" hidden="1">#REF!</definedName>
    <definedName name="MLNK04b34d7237ff4693803d53b078679e77" localSheetId="9" hidden="1">#REF!</definedName>
    <definedName name="MLNK04baecedd8f843f7b8ab7f1e046494dc" localSheetId="9" hidden="1">#REF!</definedName>
    <definedName name="MLNK08b0d9ab9b7f4a019f01558fa42f52cc" localSheetId="9" hidden="1">#REF!</definedName>
    <definedName name="MLNK0a25e559e0ca40d3b117c10dde841c8d" localSheetId="9" hidden="1">#REF!</definedName>
    <definedName name="MLNK0ca8413a6a4e48109c00e972f8591f15" localSheetId="9" hidden="1">#REF!</definedName>
    <definedName name="MLNK0f79f0b17a0c4338ba2c447b8558f837" localSheetId="9" hidden="1">#REF!</definedName>
    <definedName name="MLNK1352b7f45b1d412299a3ad4b5f3b89fc" localSheetId="9" hidden="1">#REF!</definedName>
    <definedName name="MLNK136a8efde5d14d7880780cb4288214c8" localSheetId="9" hidden="1">#REF!</definedName>
    <definedName name="MLNK1878ac2ef4984cf88c7f6be575c72b35" localSheetId="9" hidden="1">#REF!</definedName>
    <definedName name="MLNK1942f939dd30413084b5900bc3a48e91" localSheetId="9" hidden="1">#REF!</definedName>
    <definedName name="MLNK1a54210510d0478faa44db0489c964ab" localSheetId="9" hidden="1">#REF!</definedName>
    <definedName name="MLNK2001e30c2e79462fb212bee2d523546c" localSheetId="9" hidden="1">#REF!</definedName>
    <definedName name="MLNK215d6ec32f3f4db6a3d798cc5297a671" localSheetId="9" hidden="1">#REF!</definedName>
    <definedName name="MLNK259ca339584144f5926618d12b15da3e" localSheetId="9" hidden="1">#REF!</definedName>
    <definedName name="MLNK25a89f60adf6498fb802aaec26c25d00" localSheetId="9" hidden="1">#REF!</definedName>
    <definedName name="MLNK2abee68d748f43408f3c78ff1aab5cd8" localSheetId="9" hidden="1">#REF!</definedName>
    <definedName name="MLNK2b2c36ff82434559965b4adeae9bae8e" localSheetId="9" hidden="1">#REF!</definedName>
    <definedName name="MLNK2b85baa9501840b6827700471c774d80" localSheetId="9" hidden="1">#REF!</definedName>
    <definedName name="MLNK300a116a290b4ed4b3002b11ff01efdb" localSheetId="9" hidden="1">#REF!</definedName>
    <definedName name="MLNK303b4d13bf9d4ab6b918ec321bc7d36d" localSheetId="9" hidden="1">#REF!</definedName>
    <definedName name="MLNK35525a34df824ef08bc71bc6c1025b5e" localSheetId="9" hidden="1">#REF!</definedName>
    <definedName name="MLNK35912bca35884e638463d146863134bb" localSheetId="9" hidden="1">#REF!</definedName>
    <definedName name="MLNK3e6b5949989744febe30c0ce950b887b" localSheetId="9" hidden="1">#REF!</definedName>
    <definedName name="MLNK46cd212686fd4aff871cbe473595c1f4" localSheetId="9" hidden="1">#REF!</definedName>
    <definedName name="MLNK48e61342d81b4a01bdca4ce46a298839" localSheetId="9" hidden="1">#REF!</definedName>
    <definedName name="MLNK5273f113756f4c699300085097bea1ac" localSheetId="9" hidden="1">#REF!</definedName>
    <definedName name="MLNK52b773a93c594b90828c2297469b7d75" localSheetId="9" hidden="1">#REF!</definedName>
    <definedName name="MLNK53f4f99dd75b45668a7dbec1b7261904" localSheetId="9" hidden="1">#REF!</definedName>
    <definedName name="MLNK549b1164492642239189c8432acac595" localSheetId="9" hidden="1">#REF!</definedName>
    <definedName name="MLNK558089d3077d4fdc8ad112fbee95b79f" localSheetId="9" hidden="1">#REF!</definedName>
    <definedName name="MLNK55a655decbf6419eb2c91cf936552e1a" localSheetId="9" hidden="1">#REF!</definedName>
    <definedName name="MLNK5662e450df734a6bbd33a33ee472c231" localSheetId="9" hidden="1">#REF!</definedName>
    <definedName name="MLNK56784cfee8224356b96f48647bfb4487" localSheetId="9" hidden="1">#REF!</definedName>
    <definedName name="MLNK5868995cab8141f58d146ceb5ab8e064" localSheetId="9" hidden="1">#REF!</definedName>
    <definedName name="MLNK5d9cc9b2b2fd4b2799819c19126f0e1b" localSheetId="9" hidden="1">#REF!</definedName>
    <definedName name="MLNK5de520c386f4498e87cf292a9422b147" localSheetId="9" hidden="1">#REF!</definedName>
    <definedName name="MLNK5f489b36a3dd4ffca654ca893fdc01e1" localSheetId="9" hidden="1">#REF!</definedName>
    <definedName name="MLNK6593c6ab73264e69b4374330ab13c8e1" localSheetId="9" hidden="1">#REF!</definedName>
    <definedName name="MLNK65e75eb4a985451a9cb2467efa5a31db" localSheetId="9" hidden="1">#REF!</definedName>
    <definedName name="MLNK66fe63e2714d498394dcacd64546234b" localSheetId="9" hidden="1">#REF!</definedName>
    <definedName name="MLNK6e486e2d5a334a39b4877bea72d7eb92" localSheetId="9" hidden="1">#REF!</definedName>
    <definedName name="MLNK7021f5ebbdd84a45ba6a7ba23cb30771" localSheetId="9" hidden="1">#REF!</definedName>
    <definedName name="MLNK70646e4a8e034cd78f431f91898c66c0" localSheetId="9" hidden="1">#REF!</definedName>
    <definedName name="MLNK74e85bd6385d4993b531d38f2f3836c0" localSheetId="9" hidden="1">#REF!</definedName>
    <definedName name="MLNK78474ea8ccc645299e21f8fb8f2831bb" localSheetId="9" hidden="1">#REF!</definedName>
    <definedName name="MLNK786446f9adf44b9c8e69153a249119f0" localSheetId="9" hidden="1">#REF!</definedName>
    <definedName name="MLNK7a38c2826a99439c9e40971bcc5ad261" localSheetId="9" hidden="1">#REF!</definedName>
    <definedName name="MLNK7b537a5989264eddabc292d4476e8379" localSheetId="9" hidden="1">#REF!</definedName>
    <definedName name="MLNK7bec44c0ba524dd5968ece36d71dd645" localSheetId="9" hidden="1">#REF!</definedName>
    <definedName name="MLNK7c6376d3e24e49f68f4a6c8210e18b82" localSheetId="9" hidden="1">#REF!</definedName>
    <definedName name="MLNK86b0faed08ae4756b1f81b4c70bd37cf" localSheetId="9" hidden="1">#REF!</definedName>
    <definedName name="MLNK8940cbfbd55a452991b13e1c94d646f7" localSheetId="9" hidden="1">#REF!</definedName>
    <definedName name="MLNK8b131d72e5df48faa6c8c6406e26e418" localSheetId="9" hidden="1">#REF!</definedName>
    <definedName name="MLNK90e25c2ecaa64d57bb26958b4d223428" localSheetId="9" hidden="1">#REF!</definedName>
    <definedName name="MLNK99de40bd629144c7ba32aae377c57f70" localSheetId="9" hidden="1">#REF!</definedName>
    <definedName name="MLNK9df90ae49f6a429a93387ed77e0be2b2" localSheetId="9" hidden="1">#REF!</definedName>
    <definedName name="MLNK9f9c1ebd4e6a4e589df75a77d68c31d2" localSheetId="9" hidden="1">#REF!</definedName>
    <definedName name="MLNKa25cae9dc8c74628915f296fa982e1fb" localSheetId="9" hidden="1">#REF!</definedName>
    <definedName name="MLNKa6dd1b101c6a4ddb975ed96014483413" localSheetId="9" hidden="1">#REF!</definedName>
    <definedName name="MLNKa7219183ccd0431194753052ff289c50" localSheetId="9" hidden="1">#REF!</definedName>
    <definedName name="MLNKac42ad8b02784fb2b0c9f96bd99bb08a" localSheetId="9" hidden="1">#REF!</definedName>
    <definedName name="MLNKae2bd731278143659ca73b7e3c820374" localSheetId="9" hidden="1">#REF!</definedName>
    <definedName name="MLNKb2c15ca540cc43de87cb92d3c45b905e" localSheetId="9" hidden="1">#REF!</definedName>
    <definedName name="MLNKb34eced05fc4474da889379a0eeab0c8" localSheetId="9" hidden="1">#REF!</definedName>
    <definedName name="MLNKb359d3fb47314fe2954621c0d9a0460e" localSheetId="9" hidden="1">#REF!</definedName>
    <definedName name="MLNKbddc92dbcd424513a26fec3a36608c07" localSheetId="9" hidden="1">#REF!</definedName>
    <definedName name="MLNKc06d473cc53e493ba7441c705e9ad9c0" localSheetId="9" hidden="1">#REF!</definedName>
    <definedName name="MLNKc52f5a42071748faace2c1e249d2015f" localSheetId="9" hidden="1">#REF!</definedName>
    <definedName name="MLNKc6aefbd14cfb45458e4c047f71737189" localSheetId="9" hidden="1">#REF!</definedName>
    <definedName name="MLNKc74e60fbf854453db17e8684ea5bce66" localSheetId="9" hidden="1">#REF!</definedName>
    <definedName name="MLNKce77c2f032d04ee79c255f6e39b36c47" localSheetId="9" hidden="1">#REF!</definedName>
    <definedName name="MLNKd1b79e4e7aef43368318ed1e172c8dbd" localSheetId="9" hidden="1">#REF!</definedName>
    <definedName name="MLNKd1bfe69c1e284d6fba0c9353cc855643" localSheetId="9" hidden="1">#REF!</definedName>
    <definedName name="MLNKd4ece25b0836456690f432756db42070" localSheetId="9" hidden="1">#REF!</definedName>
    <definedName name="MLNKd4ee53c7dd364f0285ddf36588313749" localSheetId="9" hidden="1">#REF!</definedName>
    <definedName name="MLNKda1152c4cc0c422f84e177462720e4e9" localSheetId="9" hidden="1">#REF!</definedName>
    <definedName name="MLNKdad976f7fd5f4e2b8d5894157ebede88" localSheetId="9" hidden="1">#REF!</definedName>
    <definedName name="MLNKe87eba5671a54589ba2b3005504069f5" localSheetId="9" hidden="1">#REF!</definedName>
    <definedName name="MLNKed63a1a3f60d4cb9a6eea667a88f3bae" localSheetId="9" hidden="1">#REF!</definedName>
    <definedName name="Month" localSheetId="9">#REF!</definedName>
    <definedName name="Monthly_Payment" localSheetId="9">-PMT(Interest_Rate/12,'LP Report'!Number_of_Payments,'LP Report'!Loan_Amount)</definedName>
    <definedName name="months_per_period" localSheetId="9">INDEX({12,6,3,2,1,0.5,0.5,0.25},MATCH(#REF!,'LP Report'!frequency,0))</definedName>
    <definedName name="NetIncCurr" localSheetId="9">#REF!</definedName>
    <definedName name="NetIncPrior" localSheetId="9">#REF!</definedName>
    <definedName name="new" localSheetId="9" hidden="1">{"SourcesUses",#N/A,TRUE,"CFMODEL";"TransOverview",#N/A,TRUE,"CFMODEL"}</definedName>
    <definedName name="nper" localSheetId="9">'LP Report'!term*'LP Report'!periods_per_year</definedName>
    <definedName name="Num_Pmt_Per_Year" localSheetId="9">#REF!</definedName>
    <definedName name="Number_of_Payments" localSheetId="9">MATCH(0.01,End_Bal,-1)+1</definedName>
    <definedName name="Page1" localSheetId="9">#REF!</definedName>
    <definedName name="Page2" localSheetId="9">#REF!</definedName>
    <definedName name="Page3" localSheetId="9">#REF!</definedName>
    <definedName name="Page4" localSheetId="9">#REF!</definedName>
    <definedName name="Page5" localSheetId="9">#REF!</definedName>
    <definedName name="Page6" localSheetId="9">#REF!</definedName>
    <definedName name="panther_wrn.test1." localSheetId="9" hidden="1">{"Income Statement",#N/A,FALSE,"CFMODEL";"Balance Sheet",#N/A,FALSE,"CFMODEL"}</definedName>
    <definedName name="panther_wrn.test2." localSheetId="9" hidden="1">{"SourcesUses",#N/A,TRUE,"CFMODEL";"TransOverview",#N/A,TRUE,"CFMODEL"}</definedName>
    <definedName name="panther_wrn.test3." localSheetId="9" hidden="1">{"SourcesUses",#N/A,TRUE,#N/A;"TransOverview",#N/A,TRUE,"CFMODEL"}</definedName>
    <definedName name="panther_wrn.test4." localSheetId="9" hidden="1">{"SourcesUses",#N/A,TRUE,"FundsFlow";"TransOverview",#N/A,TRUE,"FundsFlow"}</definedName>
    <definedName name="Pay_Date" localSheetId="9">#REF!</definedName>
    <definedName name="Pay_Num" localSheetId="9">#REF!</definedName>
    <definedName name="payment" localSheetId="9">#REF!</definedName>
    <definedName name="Payment_Date" localSheetId="9">DATE(YEAR(Loan_Start),MONTH(Loan_Start)+'LP Report'!Payment_Number,DAY(Loan_Start))</definedName>
    <definedName name="Payment_Number" localSheetId="9">ROW()-Header_Row</definedName>
    <definedName name="PDI" localSheetId="9">#REF!</definedName>
    <definedName name="PDICS" localSheetId="9">#REF!</definedName>
    <definedName name="PDIFMV" localSheetId="9">#REF!</definedName>
    <definedName name="PDINR" localSheetId="9">#REF!</definedName>
    <definedName name="PDIPref" localSheetId="9">#REF!</definedName>
    <definedName name="PDIWarr" localSheetId="9">#REF!</definedName>
    <definedName name="periods_per_year" localSheetId="9">INDEX({1,2,4,6,12,24,26,52},MATCH(#REF!,'LP Report'!frequency,0))</definedName>
    <definedName name="PL" localSheetId="9">#REF!</definedName>
    <definedName name="PLDate" localSheetId="9">#REF!</definedName>
    <definedName name="poso_wrn.test1." localSheetId="9" hidden="1">{"Income Statement",#N/A,FALSE,"CFMODEL";"Balance Sheet",#N/A,FALSE,"CFMODEL"}</definedName>
    <definedName name="poso_wrn.test2." localSheetId="9" hidden="1">{"SourcesUses",#N/A,TRUE,"CFMODEL";"TransOverview",#N/A,TRUE,"CFMODEL"}</definedName>
    <definedName name="poso_wrn.test3." localSheetId="9" hidden="1">{"SourcesUses",#N/A,TRUE,#N/A;"TransOverview",#N/A,TRUE,"CFMODEL"}</definedName>
    <definedName name="poso_wrn.test4." localSheetId="9" hidden="1">{"SourcesUses",#N/A,TRUE,"FundsFlow";"TransOverview",#N/A,TRUE,"FundsFlow"}</definedName>
    <definedName name="Princ" localSheetId="9">#REF!</definedName>
    <definedName name="Print_Area_Reset" localSheetId="9">OFFSET(Full_Print,0,0,Last_Row)</definedName>
    <definedName name="q" localSheetId="9" hidden="1">{"CSheet",#N/A,FALSE,"C";"SmCap",#N/A,FALSE,"VAL1";"GulfCoast",#N/A,FALSE,"VAL1";"nav",#N/A,FALSE,"NAV";"Summary",#N/A,FALSE,"NAV"}</definedName>
    <definedName name="Quarter1Percent" localSheetId="9">#REF!</definedName>
    <definedName name="Quarter2Percent" localSheetId="9">#REF!</definedName>
    <definedName name="Quarter3Percent" localSheetId="9">#REF!</definedName>
    <definedName name="Quarter4Percent" localSheetId="9">#REF!</definedName>
    <definedName name="rate" localSheetId="9">#REF!</definedName>
    <definedName name="RECurr" localSheetId="9">#REF!</definedName>
    <definedName name="Report" localSheetId="9">#REF!</definedName>
    <definedName name="REPrior" localSheetId="9">#REF!</definedName>
    <definedName name="ReserveGuidance" localSheetId="9">#REF!</definedName>
    <definedName name="s" localSheetId="9">#REF!</definedName>
    <definedName name="ScenarioList" localSheetId="9">OFFSET(#REF!,1,0,COUNTA(#REF!)-1,1)</definedName>
    <definedName name="Scenarios" comment="A-1" localSheetId="9">#REF!</definedName>
    <definedName name="Sched_Pay" localSheetId="9">#REF!</definedName>
    <definedName name="Scheduled_Extra_Payments" localSheetId="9">#REF!</definedName>
    <definedName name="Scheduled_Interest_Rate" localSheetId="9">#REF!</definedName>
    <definedName name="Scheduled_Monthly_Payment" localSheetId="9">#REF!</definedName>
    <definedName name="SCI" localSheetId="9">#REF!</definedName>
    <definedName name="SCIFMV" localSheetId="9">#REF!</definedName>
    <definedName name="SCIPref" localSheetId="9">#REF!</definedName>
    <definedName name="sd" localSheetId="9">#REF!</definedName>
    <definedName name="sdas" localSheetId="9" hidden="1">{"Total",#N/A,FALSE,"Six Fields";"PDP",#N/A,FALSE,"Six Fields";"PNP",#N/A,FALSE,"Six Fields";"PUD",#N/A,FALSE,"Six Fields";"Prob",#N/A,FALSE,"Six Fields"}</definedName>
    <definedName name="sdfdsf" localSheetId="9" hidden="1">{"SourcesUses",#N/A,TRUE,#N/A;"TransOverview",#N/A,TRUE,"CFMODEL"}</definedName>
    <definedName name="Select_Month" localSheetId="9">#REF!</definedName>
    <definedName name="sga" localSheetId="9">#REF!</definedName>
    <definedName name="size" localSheetId="9">#REF!</definedName>
    <definedName name="SizingColumn" localSheetId="9">#REF!</definedName>
    <definedName name="ssd" localSheetId="9" hidden="1">#REF!</definedName>
    <definedName name="Ter" localSheetId="9">#REF!</definedName>
    <definedName name="TerFMV" localSheetId="9">#REF!</definedName>
    <definedName name="term" localSheetId="9">#REF!</definedName>
    <definedName name="TerPref" localSheetId="9">#REF!</definedName>
    <definedName name="tes" localSheetId="9" hidden="1">#REF!</definedName>
    <definedName name="test" localSheetId="9">Scheduled_Payment+Extra_Payment</definedName>
    <definedName name="test2" localSheetId="9">Scheduled_Payment+Extra_Payment</definedName>
    <definedName name="Titles" localSheetId="9">#REF!</definedName>
    <definedName name="Total_Interest" localSheetId="9">#REF!</definedName>
    <definedName name="Total_Pay" localSheetId="9">#REF!</definedName>
    <definedName name="Total_Payment" localSheetId="9">Scheduled_Payment+Extra_Payment</definedName>
    <definedName name="TotalAssetsCurr" localSheetId="9">#REF!</definedName>
    <definedName name="tx_roll_cy" localSheetId="9">#REF!,#REF!</definedName>
    <definedName name="tx_roll_py" localSheetId="9">#REF!,#REF!</definedName>
    <definedName name="tx_roll_py1" localSheetId="9">#REF!,#REF!</definedName>
    <definedName name="tx_roll_py10" localSheetId="9">#REF!,#REF!</definedName>
    <definedName name="tx_roll_py11" localSheetId="9">#REF!,#REF!</definedName>
    <definedName name="tx_roll_py12" localSheetId="9">#REF!,#REF!</definedName>
    <definedName name="tx_roll_py13" localSheetId="9">#REF!,#REF!</definedName>
    <definedName name="tx_roll_py14" localSheetId="9">#REF!,#REF!</definedName>
    <definedName name="tx_roll_py15" localSheetId="9">#REF!,#REF!</definedName>
    <definedName name="tx_roll_py2" localSheetId="9">#REF!,#REF!</definedName>
    <definedName name="tx_roll_py3" localSheetId="9">#REF!,#REF!</definedName>
    <definedName name="tx_roll_py4" localSheetId="9">#REF!,#REF!</definedName>
    <definedName name="tx_roll_py5" localSheetId="9">#REF!,#REF!</definedName>
    <definedName name="tx_roll_py6" localSheetId="9">#REF!,#REF!</definedName>
    <definedName name="tx_roll_py7" localSheetId="9">#REF!,#REF!</definedName>
    <definedName name="tx_roll_py8" localSheetId="9">#REF!,#REF!</definedName>
    <definedName name="tx_roll_py9" localSheetId="9">#REF!,#REF!</definedName>
    <definedName name="u" localSheetId="9" hidden="1">{"CSheet",#N/A,FALSE,"C";"SmCap",#N/A,FALSE,"VAL1";"GulfCoast",#N/A,FALSE,"VAL1";"nav",#N/A,FALSE,"NAV";"Summary",#N/A,FALSE,"NAV"}</definedName>
    <definedName name="Values_Entered" localSheetId="9">IF('LP Report'!Loan_Amount*Interest_Rate*Loan_Years*Loan_Start&gt;0,1,0)</definedName>
    <definedName name="w" localSheetId="9" hidden="1">{"ReportTop",#N/A,FALSE,"report top"}</definedName>
    <definedName name="wrn.Aging._.and._.Trend._.Analysis." localSheetId="9" hidden="1">{#N/A,#N/A,FALSE,"Aging Summary";#N/A,#N/A,FALSE,"Ratio Analysis";#N/A,#N/A,FALSE,"Test 120 Day Accts";#N/A,#N/A,FALSE,"Tickmarks"}</definedName>
    <definedName name="wrn.all._.input." localSheetId="9"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STATEMENTS." localSheetId="9" hidden="1">{"BALANCE SHEET",#N/A,FALSE,"Balance Sheet";"INCOME STATEMENT",#N/A,FALSE,"Income Statement";"STMT OF CASH FLOWS",#N/A,FALSE,"Cash Flows Indirect";"PARTNERS CAPITAL STMT",#N/A,FALSE,"Partners Capital"}</definedName>
    <definedName name="wrn.BALANCE._.SHEET." localSheetId="9" hidden="1">{"BALANCE SHEET",#N/A,FALSE,"Balance Sheet"}</definedName>
    <definedName name="wrn.BidCo." localSheetId="9" hidden="1">{#N/A,#N/A,FALSE,"BidCo Assumptions";#N/A,#N/A,FALSE,"Credit Stats";#N/A,#N/A,FALSE,"Bidco Summary";#N/A,#N/A,FALSE,"BIDCO Consolidated"}</definedName>
    <definedName name="wrn.calc_all." localSheetId="9" hidden="1">{"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orporate." localSheetId="9" hidden="1">{"Corporate",#N/A,FALSE,"Corporate Profile"}</definedName>
    <definedName name="wrn.cotop." localSheetId="9" hidden="1">{"ReportTop",#N/A,FALSE,"report top"}</definedName>
    <definedName name="wrn.DCF._.Valuation." localSheetId="9" hidden="1">{"value box",#N/A,TRUE,"DPL Inc. Fin Statements";"unlevered free cash flows",#N/A,TRUE,"DPL Inc. Fin Statements"}</definedName>
    <definedName name="wrn.Debt." localSheetId="9" hidden="1">{"debt summary",#N/A,FALSE,"Debt";"loan details",#N/A,FALSE,"Debt"}</definedName>
    <definedName name="wrn.Financials." localSheetId="9" hidden="1">{#N/A,#N/A,TRUE,"Income Statement";#N/A,#N/A,TRUE,"Balance Sheet";#N/A,#N/A,TRUE,"Cash Flow"}</definedName>
    <definedName name="wrn.full._.report." localSheetId="9"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Ilijan._.Print." localSheetId="9"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NCOME._.STATEMENT." localSheetId="9" hidden="1">{"INCOME STATEMENT",#N/A,FALSE,"Income Statement"}</definedName>
    <definedName name="wrn.Individual._.Statements." localSheetId="9" hidden="1">{"barlup",#N/A,FALSE,"evabnk97";"gillespey",#N/A,FALSE,"evabnk97";"koon",#N/A,FALSE,"evabnk97";"schreur",#N/A,FALSE,"evabnk97";"stone",#N/A,FALSE,"evabnk97";"wichmann",#N/A,FALSE,"evabnk97";"wright",#N/A,FALSE,"evabnk97"}</definedName>
    <definedName name="wrn.IS._.Q96." localSheetId="9" hidden="1">{"IS Q96",#N/A,FALSE,"Income Statement"}</definedName>
    <definedName name="wrn.IS._.Q97." localSheetId="9" hidden="1">{"IS Q97",#N/A,FALSE,"Income Statement"}</definedName>
    <definedName name="wrn.IS._.Years." localSheetId="9" hidden="1">{"IS Years",#N/A,FALSE,"Income Statement"}</definedName>
    <definedName name="wrn.JODM._.Graphs." localSheetId="9" hidden="1">{"graph",#N/A,FALSE,"WWJU";"graph",#N/A,FALSE,"WWSEM";"graph",#N/A,FALSE,"GOMJU";"graph",#N/A,FALSE,"GOMSEM";"graph",#N/A,FALSE,"NSJU";"graph",#N/A,FALSE,"NSSEM";"graph",#N/A,FALSE,"WAJU";"graph",#N/A,FALSE,"STOCKPRI";"graph",#N/A,FALSE,"CFTEV";"graph",#N/A,FALSE,"NAV-RCV";"graph",#N/A,FALSE,"CRUDEWW"}</definedName>
    <definedName name="wrn.Main._.Fields." localSheetId="9"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son._.Deliverables." localSheetId="9" hidden="1">{#N/A,#N/A,FALSE,"Data &amp; Key Results";#N/A,#N/A,FALSE,"Summary Template";#N/A,#N/A,FALSE,"Budget";#N/A,#N/A,FALSE,"Present Value Comparison";#N/A,#N/A,FALSE,"Cashflow";#N/A,#N/A,FALSE,"Income";#N/A,#N/A,FALSE,"Inputs"}</definedName>
    <definedName name="wrn.Netbacks." localSheetId="9" hidden="1">{"Netbacks",#N/A,FALSE,"Netbacks"}</definedName>
    <definedName name="wrn.ops._.costs." localSheetId="9" hidden="1">{"page1",#N/A,FALSE,"APCI Operations Detail  ";"page2",#N/A,FALSE,"APCI Operations Detail  ";"page3",#N/A,FALSE,"APCI Operations Detail  ";"page4",#N/A,FALSE,"APCI Operations Detail  "}</definedName>
    <definedName name="wrn.PARTNERS._.CAPITAL._.STMT." localSheetId="9" hidden="1">{"PARTNERS CAPITAL STMT",#N/A,FALSE,"Partners Capital"}</definedName>
    <definedName name="wrn.PLX." localSheetId="9" hidden="1">{"cred comp",#N/A,FALSE,"Comparable Credit Analysis";"IS",#N/A,FALSE,"IS";"Sensitivity",#N/A,FALSE,"Sensitivity";"BS",#N/A,FALSE,"BS";"Bond Summary",#N/A,FALSE,"B Summary";"AD",#N/A,FALSE,"Accretion";"NAV",#N/A,FALSE,"NAV";"SU",#N/A,FALSE,"S&amp;U";"acq. study",#N/A,FALSE,"Acq. Study";"F Charges",#N/A,FALSE,"Fixed Charges"}</definedName>
    <definedName name="wrn.Print._.All." localSheetId="9" hidden="1">{"IS Years",#N/A,FALSE,"Income Statement";"IS Q96",#N/A,FALSE,"Income Statement";"IS Q97",#N/A,FALSE,"Income Statement";"Corporate",#N/A,FALSE,"Corporate Profile";"Netbacks",#N/A,FALSE,"Netbacks"}</definedName>
    <definedName name="wrn.Print._.PNL._.Download." localSheetId="9" hidden="1">{"PNLProjDL",#N/A,FALSE,"PROJCO";"PNLParDL",#N/A,FALSE,"Parent"}</definedName>
    <definedName name="wrn.Print_Earnings_template." localSheetId="9" hidden="1">{"by_month",#N/A,TRUE,"template";"destec_month",#N/A,TRUE,"template";"by_quarter",#N/A,TRUE,"template";"destec_quarter",#N/A,TRUE,"template";"by_year",#N/A,TRUE,"template";"destec_annual",#N/A,TRUE,"template"}</definedName>
    <definedName name="wrn.Print_Var_page." localSheetId="9" hidden="1">{"var_page",#N/A,FALSE,"template"}</definedName>
    <definedName name="wrn.print_variance." localSheetId="9" hidden="1">{"var_report",#N/A,FALSE,"template"}</definedName>
    <definedName name="wrn.Print_Variance_Page." localSheetId="9" hidden="1">{"variance_page",#N/A,FALSE,"template"}</definedName>
    <definedName name="wrn.PrintAll." localSheetId="9" hidden="1">{"PA1",#N/A,TRUE,"BORDMW";"pa2",#N/A,TRUE,"BORDMW";"PA3",#N/A,TRUE,"BORDMW";"PA4",#N/A,TRUE,"BORDMW"}</definedName>
    <definedName name="wrn.Project._.Summary." localSheetId="9" hidden="1">{"Summary",#N/A,FALSE,"MICMULT";"Income Statement",#N/A,FALSE,"MICMULT";"Cash Flows",#N/A,FALSE,"MICMULT"}</definedName>
    <definedName name="wrn.red_take." localSheetId="9" hidden="1">{"red_take_pg1",#N/A,FALSE,"reduced_take";"red_take_pg2",#N/A,FALSE,"reduced_take";"red_take_pg3",#N/A,FALSE,"reduced_take";"red_take_pg4",#N/A,FALSE,"reduced_take";"red_take_pg5",#N/A,FALSE,"reduced_take";"red_take_pg6",#N/A,FALSE,"reduced_take"}</definedName>
    <definedName name="wrn.Roll._.Up._.Fields." localSheetId="9" hidden="1">{"Total",#N/A,FALSE,"Six Fields";"PDP",#N/A,FALSE,"Six Fields";"PNP",#N/A,FALSE,"Six Fields";"PUD",#N/A,FALSE,"Six Fields";"Prob",#N/A,FALSE,"Six Fields"}</definedName>
    <definedName name="wrn.sales." localSheetId="9" hidden="1">{"sales",#N/A,FALSE,"Sales";"sales existing",#N/A,FALSE,"Sales";"sales rd1",#N/A,FALSE,"Sales";"sales rd2",#N/A,FALSE,"Sales"}</definedName>
    <definedName name="wrn.STMT._.OF._.CASH._.FLOWS." localSheetId="9" hidden="1">{"STMT OF CASH FLOWS",#N/A,FALSE,"Cash Flows Indirect"}</definedName>
    <definedName name="wrn.Summary." localSheetId="9" hidden="1">{"Sum1",#N/A,FALSE,"Reserve Report";"Sum2",#N/A,FALSE,"Reserve Report";"Sum3",#N/A,FALSE,"Reserve Report";"Sum4",#N/A,FALSE,"Reserve Report"}</definedName>
    <definedName name="wrn.TB._.ALL._.ACCTS." localSheetId="9" hidden="1">{"BALANCE SHEET ACCTS",#N/A,TRUE,"Working Trial Balance";"INCOME STMT ACCTS",#N/A,TRUE,"Working Trial Balance"}</definedName>
    <definedName name="wrn.TB._.BALANCE._.SHEET." localSheetId="9" hidden="1">{"BALANCE SHEET ACCTS",#N/A,FALSE,"Working Trial Balance"}</definedName>
    <definedName name="wrn.TB._.EXPLANATIONS." localSheetId="9" hidden="1">{"EXPLANATIONS",#N/A,FALSE,"Working Trial Balance"}</definedName>
    <definedName name="wrn.TB._.INCOME._.STMT." localSheetId="9" hidden="1">{"INCOME STMT ACCTS",#N/A,FALSE,"Working Trial Balance"}</definedName>
    <definedName name="wrn.test1." localSheetId="9" hidden="1">{"Income Statement",#N/A,FALSE,"CFMODEL";"Balance Sheet",#N/A,FALSE,"CFMODEL"}</definedName>
    <definedName name="wrn.test2." localSheetId="9" hidden="1">{"SourcesUses",#N/A,TRUE,"CFMODEL";"TransOverview",#N/A,TRUE,"CFMODEL"}</definedName>
    <definedName name="wrn.test3." localSheetId="9" hidden="1">{"SourcesUses",#N/A,TRUE,#N/A;"TransOverview",#N/A,TRUE,"CFMODEL"}</definedName>
    <definedName name="wrn.test4." localSheetId="9" hidden="1">{"SourcesUses",#N/A,TRUE,"FundsFlow";"TransOverview",#N/A,TRUE,"FundsFlow"}</definedName>
    <definedName name="wrn.TheWholeEnchilada." localSheetId="9" hidden="1">{"CSheet",#N/A,FALSE,"C";"SmCap",#N/A,FALSE,"VAL1";"GulfCoast",#N/A,FALSE,"VAL1";"nav",#N/A,FALSE,"NAV";"Summary",#N/A,FALSE,"NAV"}</definedName>
    <definedName name="wrn.Total._.Proved." localSheetId="9" hidden="1">{"Total",#N/A,FALSE,"Total Proved";"PDP",#N/A,FALSE,"Total Proved";"PNP",#N/A,FALSE,"Total Proved";"PUD",#N/A,FALSE,"Total Proved"}</definedName>
    <definedName name="wrn.Total._.Proved._.plus._.Probable." localSheetId="9" hidden="1">{"Total",#N/A,FALSE,"Total Proved + Probable";"PDP",#N/A,FALSE,"Total Proved + Probable";"PNP",#N/A,FALSE,"Total Proved + Probable";"PUD",#N/A,FALSE,"Total Proved + Probable";"Prob",#N/A,FALSE,"Total Proved + Probable"}</definedName>
    <definedName name="wrn.Wacc." localSheetId="9" hidden="1">{"Area1",#N/A,FALSE,"OREWACC";"Area2",#N/A,FALSE,"OREWACC"}</definedName>
    <definedName name="z" localSheetId="9" hidden="1">{"CSheet",#N/A,FALSE,"C";"SmCap",#N/A,FALSE,"VAL1";"GulfCoast",#N/A,FALSE,"VAL1";"nav",#N/A,FALSE,"NAV";"Summary",#N/A,FALSE,"NAV"}</definedName>
    <definedName name="Z_24BF9755_66DA_11D4_A31E_00C0F0154575_.wvu.PrintTitles" localSheetId="9" hidden="1">#REF!</definedName>
    <definedName name="Z_702CE201_67EF_11D2_8E81_00104BCAECA1_.wvu.PrintTitles" localSheetId="9" hidden="1">#REF!,#REF!</definedName>
    <definedName name="Z_C229C740_74EF_11D3_8C05_00105AA43A7F_.wvu.Cols" localSheetId="9" hidden="1">#REF!</definedName>
    <definedName name="Z_C229C740_74EF_11D3_8C05_00105AA43A7F_.wvu.PrintArea" localSheetId="9" hidden="1">#REF!</definedName>
    <definedName name="Z_C229C740_74EF_11D3_8C05_00105AA43A7F_.wvu.PrintTitles" localSheetId="9" hidden="1">#REF!,#REF!</definedName>
    <definedName name="Z_C229C740_74EF_11D3_8C05_00105AA43A7F_.wvu.Rows" localSheetId="9" hidden="1">#REF!,#REF!,#REF!,#REF!,#REF!,#REF!,#REF!,#REF!,#REF!,#REF!,#REF!,#REF!,#REF!,#REF!,#REF!,#REF!,#REF!,#REF!,#REF!,#REF!,#REF!,#REF!,#REF!,#REF!,#REF!,#REF!,#REF!,#REF!,#REF!,#REF!,#REF!,#REF!,#REF!,#REF!,#REF!,#REF!,#REF!,#REF!,#REF!,#REF!,#REF!,#REF!,#REF!,#REF!,#REF!,#REF!,#REF!,#REF!,#REF!,#REF!,#REF!,#REF!,#REF!,#REF!</definedName>
    <definedName name="_xlnm.Print_Area" localSheetId="9">'LP Report'!$A$1:$I$54</definedName>
    <definedName name="\" localSheetId="11" hidden="1">{"kricash",#N/A,FALSE,"INC";"kriinc",#N/A,FALSE,"INC";"krimiami",#N/A,FALSE,"INC";"kriother",#N/A,FALSE,"INC";"kripapers",#N/A,FALSE,"INC"}</definedName>
    <definedName name="____________________________ww2" localSheetId="11" hidden="1">{#N/A,#N/A,FALSE,"Admin";#N/A,#N/A,FALSE,"Other"}</definedName>
    <definedName name="______________ww2" localSheetId="11" hidden="1">{#N/A,#N/A,FALSE,"Admin";#N/A,#N/A,FALSE,"Other"}</definedName>
    <definedName name="_____________t2" localSheetId="11" hidden="1">{"'Sheet1'!$A$5:$G$42"}</definedName>
    <definedName name="_____________wrn2" localSheetId="11" hidden="1">{"arpm1995",#N/A,FALSE,"Summary 95-96";"bus_long_distance",#N/A,FALSE,"Summary 95-96";"mins_per_day",#N/A,FALSE,"Summary 95-96";"minutes1995",#N/A,FALSE,"Summary 95-96";"rev_per_day",#N/A,FALSE,"Summary 95-96";"view1995",#N/A,FALSE,"Summary 95-96"}</definedName>
    <definedName name="_____________ww2" localSheetId="11" hidden="1">{#N/A,#N/A,FALSE,"Admin";#N/A,#N/A,FALSE,"Other"}</definedName>
    <definedName name="____________t2" localSheetId="11" hidden="1">{"'Sheet1'!$A$5:$G$42"}</definedName>
    <definedName name="____________wrn2" localSheetId="11" hidden="1">{"arpm1995",#N/A,FALSE,"Summary 95-96";"bus_long_distance",#N/A,FALSE,"Summary 95-96";"mins_per_day",#N/A,FALSE,"Summary 95-96";"minutes1995",#N/A,FALSE,"Summary 95-96";"rev_per_day",#N/A,FALSE,"Summary 95-96";"view1995",#N/A,FALSE,"Summary 95-96"}</definedName>
    <definedName name="____________ww2" localSheetId="11" hidden="1">{#N/A,#N/A,FALSE,"Admin";#N/A,#N/A,FALSE,"Other"}</definedName>
    <definedName name="___________ww2" localSheetId="11" hidden="1">{#N/A,#N/A,FALSE,"Admin";#N/A,#N/A,FALSE,"Other"}</definedName>
    <definedName name="__________t2" localSheetId="11" hidden="1">{"'Sheet1'!$A$5:$G$42"}</definedName>
    <definedName name="__________wrn2" localSheetId="11" hidden="1">{"arpm1995",#N/A,FALSE,"Summary 95-96";"bus_long_distance",#N/A,FALSE,"Summary 95-96";"mins_per_day",#N/A,FALSE,"Summary 95-96";"minutes1995",#N/A,FALSE,"Summary 95-96";"rev_per_day",#N/A,FALSE,"Summary 95-96";"view1995",#N/A,FALSE,"Summary 95-96"}</definedName>
    <definedName name="__________ww2" localSheetId="11" hidden="1">{#N/A,#N/A,FALSE,"Admin";#N/A,#N/A,FALSE,"Other"}</definedName>
    <definedName name="_________I2" localSheetId="11" hidden="1">{"PVGraph2",#N/A,FALSE,"PV Data"}</definedName>
    <definedName name="_________I3" localSheetId="11" hidden="1">{"PVGraph2",#N/A,FALSE,"PV Data"}</definedName>
    <definedName name="_________t2" localSheetId="11" hidden="1">{"'Sheet1'!$A$5:$G$42"}</definedName>
    <definedName name="_________w1" localSheetId="11" hidden="1">{"PVGraph2",#N/A,FALSE,"PV Data"}</definedName>
    <definedName name="_________w2" localSheetId="11" hidden="1">{"PVGraph2",#N/A,FALSE,"PV Data"}</definedName>
    <definedName name="_________w3" localSheetId="11" hidden="1">{"PVGraph2",#N/A,FALSE,"PV Data"}</definedName>
    <definedName name="_________wrn2" localSheetId="11" hidden="1">{"arpm1995",#N/A,FALSE,"Summary 95-96";"bus_long_distance",#N/A,FALSE,"Summary 95-96";"mins_per_day",#N/A,FALSE,"Summary 95-96";"minutes1995",#N/A,FALSE,"Summary 95-96";"rev_per_day",#N/A,FALSE,"Summary 95-96";"view1995",#N/A,FALSE,"Summary 95-96"}</definedName>
    <definedName name="_________ww2" localSheetId="11" hidden="1">{#N/A,#N/A,FALSE,"Admin";#N/A,#N/A,FALSE,"Other"}</definedName>
    <definedName name="_________y2" localSheetId="11" hidden="1">{"PVGraph2",#N/A,FALSE,"PV Data"}</definedName>
    <definedName name="________I2" localSheetId="11" hidden="1">{"PVGraph2",#N/A,FALSE,"PV Data"}</definedName>
    <definedName name="________I3" localSheetId="11" hidden="1">{"PVGraph2",#N/A,FALSE,"PV Data"}</definedName>
    <definedName name="________t2" localSheetId="11" hidden="1">{"'Sheet1'!$A$5:$G$42"}</definedName>
    <definedName name="________w1" localSheetId="11" hidden="1">{"PVGraph2",#N/A,FALSE,"PV Data"}</definedName>
    <definedName name="________w2" localSheetId="11" hidden="1">{"PVGraph2",#N/A,FALSE,"PV Data"}</definedName>
    <definedName name="________w3" localSheetId="11" hidden="1">{"PVGraph2",#N/A,FALSE,"PV Data"}</definedName>
    <definedName name="________wrn2" localSheetId="11" hidden="1">{"arpm1995",#N/A,FALSE,"Summary 95-96";"bus_long_distance",#N/A,FALSE,"Summary 95-96";"mins_per_day",#N/A,FALSE,"Summary 95-96";"minutes1995",#N/A,FALSE,"Summary 95-96";"rev_per_day",#N/A,FALSE,"Summary 95-96";"view1995",#N/A,FALSE,"Summary 95-96"}</definedName>
    <definedName name="________ww2" localSheetId="11" hidden="1">{#N/A,#N/A,FALSE,"Admin";#N/A,#N/A,FALSE,"Other"}</definedName>
    <definedName name="________y2" localSheetId="11" hidden="1">{"PVGraph2",#N/A,FALSE,"PV Data"}</definedName>
    <definedName name="_______I2" localSheetId="11" hidden="1">{"PVGraph2",#N/A,FALSE,"PV Data"}</definedName>
    <definedName name="_______I3" localSheetId="11" hidden="1">{"PVGraph2",#N/A,FALSE,"PV Data"}</definedName>
    <definedName name="_______t2" localSheetId="11" hidden="1">{"'Sheet1'!$A$5:$G$42"}</definedName>
    <definedName name="_______w1" localSheetId="11" hidden="1">{"PVGraph2",#N/A,FALSE,"PV Data"}</definedName>
    <definedName name="_______w2" localSheetId="11" hidden="1">{"PVGraph2",#N/A,FALSE,"PV Data"}</definedName>
    <definedName name="_______w3" localSheetId="11" hidden="1">{"PVGraph2",#N/A,FALSE,"PV Data"}</definedName>
    <definedName name="_______wrn2" localSheetId="11" hidden="1">{"arpm1995",#N/A,FALSE,"Summary 95-96";"bus_long_distance",#N/A,FALSE,"Summary 95-96";"mins_per_day",#N/A,FALSE,"Summary 95-96";"minutes1995",#N/A,FALSE,"Summary 95-96";"rev_per_day",#N/A,FALSE,"Summary 95-96";"view1995",#N/A,FALSE,"Summary 95-96"}</definedName>
    <definedName name="_______ww2" localSheetId="11" hidden="1">{#N/A,#N/A,FALSE,"Admin";#N/A,#N/A,FALSE,"Other"}</definedName>
    <definedName name="_______y2" localSheetId="11" hidden="1">{"PVGraph2",#N/A,FALSE,"PV Data"}</definedName>
    <definedName name="______I2" localSheetId="11" hidden="1">{"PVGraph2",#N/A,FALSE,"PV Data"}</definedName>
    <definedName name="______I3" localSheetId="11" hidden="1">{"PVGraph2",#N/A,FALSE,"PV Data"}</definedName>
    <definedName name="______t2" localSheetId="11" hidden="1">{"'Sheet1'!$A$5:$G$42"}</definedName>
    <definedName name="______w1" localSheetId="11" hidden="1">{"PVGraph2",#N/A,FALSE,"PV Data"}</definedName>
    <definedName name="______w2" localSheetId="11" hidden="1">{"PVGraph2",#N/A,FALSE,"PV Data"}</definedName>
    <definedName name="______w3" localSheetId="11" hidden="1">{"PVGraph2",#N/A,FALSE,"PV Data"}</definedName>
    <definedName name="______WHO2" localSheetId="11" hidden="1">{#N/A,#N/A,FALSE,"SUMMARY";#N/A,#N/A,FALSE,"DETAIL";#N/A,#N/A,FALSE,"VARIANCE"}</definedName>
    <definedName name="______wrn2" localSheetId="11" hidden="1">{"arpm1995",#N/A,FALSE,"Summary 95-96";"bus_long_distance",#N/A,FALSE,"Summary 95-96";"mins_per_day",#N/A,FALSE,"Summary 95-96";"minutes1995",#N/A,FALSE,"Summary 95-96";"rev_per_day",#N/A,FALSE,"Summary 95-96";"view1995",#N/A,FALSE,"Summary 95-96"}</definedName>
    <definedName name="______ww2" localSheetId="11" hidden="1">{#N/A,#N/A,FALSE,"Admin";#N/A,#N/A,FALSE,"Other"}</definedName>
    <definedName name="______y2" localSheetId="11" hidden="1">{"PVGraph2",#N/A,FALSE,"PV Data"}</definedName>
    <definedName name="_____I2" localSheetId="11" hidden="1">{"PVGraph2",#N/A,FALSE,"PV Data"}</definedName>
    <definedName name="_____I3" localSheetId="11" hidden="1">{"PVGraph2",#N/A,FALSE,"PV Data"}</definedName>
    <definedName name="_____t2" localSheetId="11" hidden="1">{"'Sheet1'!$A$5:$G$42"}</definedName>
    <definedName name="_____w1" localSheetId="11" hidden="1">{"PVGraph2",#N/A,FALSE,"PV Data"}</definedName>
    <definedName name="_____w2" localSheetId="11" hidden="1">{"PVGraph2",#N/A,FALSE,"PV Data"}</definedName>
    <definedName name="_____w3" localSheetId="11" hidden="1">{"PVGraph2",#N/A,FALSE,"PV Data"}</definedName>
    <definedName name="_____wrn2" localSheetId="11" hidden="1">{#N/A,#N/A,FALSE,"ASSUMPTIONS";#N/A,#N/A,FALSE,"Valuation Summary";"page1",#N/A,FALSE,"PRESENTATION";"page2",#N/A,FALSE,"PRESENTATION";#N/A,#N/A,FALSE,"ORIGINAL_ROLLBACK"}</definedName>
    <definedName name="_____wrn3" localSheetId="11" hidden="1">{#N/A,#N/A,FALSE,"ASSUMPTIONS";#N/A,#N/A,FALSE,"Valuation Summary";"page1",#N/A,FALSE,"PRESENTATION";"page2",#N/A,FALSE,"PRESENTATION";#N/A,#N/A,FALSE,"ORIGINAL_ROLLBACK"}</definedName>
    <definedName name="_____ww2" localSheetId="11" hidden="1">{#N/A,#N/A,FALSE,"Admin";#N/A,#N/A,FALSE,"Other"}</definedName>
    <definedName name="_____y2" localSheetId="11" hidden="1">{"PVGraph2",#N/A,FALSE,"PV Data"}</definedName>
    <definedName name="____age1"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fk1"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jd1"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kj1"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I2" localSheetId="11" hidden="1">{"PVGraph2",#N/A,FALSE,"PV Data"}</definedName>
    <definedName name="____I3" localSheetId="11" hidden="1">{"PVGraph2",#N/A,FALSE,"PV Data"}</definedName>
    <definedName name="____o1" localSheetId="11" hidden="1">{#N/A,#N/A,FALSE,"SUMMARY";#N/A,#N/A,FALSE,"mcsh";#N/A,#N/A,FALSE,"vol&amp;rev";#N/A,#N/A,FALSE,"wkgcap";#N/A,#N/A,FALSE,"DEPR&amp;DT";#N/A,#N/A,FALSE,"ASSETS";#N/A,#N/A,FALSE,"NI&amp;OTH&amp;DIV";#N/A,#N/A,FALSE,"CASHFLOW";#N/A,#N/A,FALSE,"CAPEMPL";#N/A,#N/A,FALSE,"ROCE"}</definedName>
    <definedName name="____t2" localSheetId="11" hidden="1">{"'Sheet1'!$A$5:$G$42"}</definedName>
    <definedName name="____w1" localSheetId="11" hidden="1">{"PVGraph2",#N/A,FALSE,"PV Data"}</definedName>
    <definedName name="____w2" localSheetId="11" hidden="1">{"PVGraph2",#N/A,FALSE,"PV Data"}</definedName>
    <definedName name="____w3" localSheetId="11" hidden="1">{"PVGraph2",#N/A,FALSE,"PV Data"}</definedName>
    <definedName name="____WHO2" localSheetId="11" hidden="1">{#N/A,#N/A,FALSE,"SUMMARY";#N/A,#N/A,FALSE,"DETAIL";#N/A,#N/A,FALSE,"VARIANCE"}</definedName>
    <definedName name="____wr3" localSheetId="11" hidden="1">{#N/A,#N/A,FALSE,"ASSUMPTIONS";#N/A,#N/A,FALSE,"Valuation Summary";"page1",#N/A,FALSE,"PRESENTATION";"page2",#N/A,FALSE,"PRESENTATION";#N/A,#N/A,FALSE,"ORIGINAL_ROLLBACK"}</definedName>
    <definedName name="____wrn2" localSheetId="11" hidden="1">{#N/A,#N/A,FALSE,"ASSUMPTIONS";#N/A,#N/A,FALSE,"Valuation Summary";"page1",#N/A,FALSE,"PRESENTATION";"page2",#N/A,FALSE,"PRESENTATION";#N/A,#N/A,FALSE,"ORIGINAL_ROLLBACK"}</definedName>
    <definedName name="____wrn3" localSheetId="11" hidden="1">{#N/A,#N/A,FALSE,"ASSUMPTIONS";#N/A,#N/A,FALSE,"Valuation Summary";"page1",#N/A,FALSE,"PRESENTATION";"page2",#N/A,FALSE,"PRESENTATION";#N/A,#N/A,FALSE,"ORIGINAL_ROLLBACK"}</definedName>
    <definedName name="____ww2" localSheetId="11" hidden="1">{#N/A,#N/A,FALSE,"Admin";#N/A,#N/A,FALSE,"Other"}</definedName>
    <definedName name="____y2" localSheetId="11" hidden="1">{"PVGraph2",#N/A,FALSE,"PV Data"}</definedName>
    <definedName name="___I2" localSheetId="11" hidden="1">{"PVGraph2",#N/A,FALSE,"PV Data"}</definedName>
    <definedName name="___I3" localSheetId="11" hidden="1">{"PVGraph2",#N/A,FALSE,"PV Data"}</definedName>
    <definedName name="___o1" localSheetId="11" hidden="1">{#N/A,#N/A,FALSE,"SUMMARY";#N/A,#N/A,FALSE,"mcsh";#N/A,#N/A,FALSE,"vol&amp;rev";#N/A,#N/A,FALSE,"wkgcap";#N/A,#N/A,FALSE,"DEPR&amp;DT";#N/A,#N/A,FALSE,"ASSETS";#N/A,#N/A,FALSE,"NI&amp;OTH&amp;DIV";#N/A,#N/A,FALSE,"CASHFLOW";#N/A,#N/A,FALSE,"CAPEMPL";#N/A,#N/A,FALSE,"ROCE"}</definedName>
    <definedName name="___t2" localSheetId="11" hidden="1">{"'Sheet1'!$A$5:$G$42"}</definedName>
    <definedName name="___w1" localSheetId="11" hidden="1">{"PVGraph2",#N/A,FALSE,"PV Data"}</definedName>
    <definedName name="___w2" localSheetId="11" hidden="1">{"PVGraph2",#N/A,FALSE,"PV Data"}</definedName>
    <definedName name="___w3" localSheetId="11" hidden="1">{"PVGraph2",#N/A,FALSE,"PV Data"}</definedName>
    <definedName name="___wrn2" localSheetId="11" hidden="1">{#N/A,#N/A,FALSE,"ASSUMPTIONS";#N/A,#N/A,FALSE,"Valuation Summary";"page1",#N/A,FALSE,"PRESENTATION";"page2",#N/A,FALSE,"PRESENTATION";#N/A,#N/A,FALSE,"ORIGINAL_ROLLBACK"}</definedName>
    <definedName name="___wrn3" localSheetId="11" hidden="1">{#N/A,#N/A,FALSE,"ASSUMPTIONS";#N/A,#N/A,FALSE,"Valuation Summary";"page1",#N/A,FALSE,"PRESENTATION";"page2",#N/A,FALSE,"PRESENTATION";#N/A,#N/A,FALSE,"ORIGINAL_ROLLBACK"}</definedName>
    <definedName name="___ww2" localSheetId="11" hidden="1">{#N/A,#N/A,FALSE,"Admin";#N/A,#N/A,FALSE,"Other"}</definedName>
    <definedName name="___y2" localSheetId="11" hidden="1">{"PVGraph2",#N/A,FALSE,"PV Data"}</definedName>
    <definedName name="__123Graph_A" localSheetId="11" hidden="1">#REF!</definedName>
    <definedName name="__123Graph_ACOMP" localSheetId="11" hidden="1">#REF!</definedName>
    <definedName name="__123Graph_AGraph1" localSheetId="11" hidden="1">#REF!</definedName>
    <definedName name="__a1" localSheetId="11" hidden="1">{#N/A,#N/A,FALSE,"Pharm";#N/A,#N/A,FALSE,"WWCM"}</definedName>
    <definedName name="__A11" localSheetId="11" hidden="1">{#N/A,#N/A,FALSE,"Umsatz 99";#N/A,#N/A,FALSE,"ER 99 "}</definedName>
    <definedName name="__aaa1" localSheetId="11" hidden="1">{#N/A,#N/A,FALSE,"REPORT"}</definedName>
    <definedName name="__aas1" localSheetId="11" hidden="1">{#N/A,#N/A,FALSE,"REPORT"}</definedName>
    <definedName name="__ACS2000" localSheetId="11" hidden="1">{#N/A,#N/A,FALSE,"REPORT"}</definedName>
    <definedName name="__b111" localSheetId="11" hidden="1">{#N/A,#N/A,FALSE,"Pharm";#N/A,#N/A,FALSE,"WWCM"}</definedName>
    <definedName name="__c" localSheetId="11" hidden="1">{"Fiesta Facer Page",#N/A,FALSE,"Q_C_S";"Fiesta Main Page",#N/A,FALSE,"V_L";"Fiesta 95BP Struct",#N/A,FALSE,"StructBP";"Fiesta Post 95BP Struct",#N/A,FALSE,"AdjStructBP"}</definedName>
    <definedName name="__FDS_USED_FOR_REUSING_RANGE_IDS_RECYCLE" localSheetId="11" hidden="1">{152,168,338,189,173,195,158,390,7,11,232,378,159,175,261,183,177,129,8,155,265,394,57}</definedName>
    <definedName name="__I2" localSheetId="11" hidden="1">{"PVGraph2",#N/A,FALSE,"PV Data"}</definedName>
    <definedName name="__I3" localSheetId="11" hidden="1">{"PVGraph2",#N/A,FALSE,"PV Data"}</definedName>
    <definedName name="__IntlFixupTable" localSheetId="11" hidden="1">#REF!</definedName>
    <definedName name="__new1" localSheetId="11" hidden="1">{#N/A,#N/A,FALSE,"Pharm";#N/A,#N/A,FALSE,"WWCM"}</definedName>
    <definedName name="__o1" localSheetId="11" hidden="1">{#N/A,#N/A,FALSE,"SUMMARY";#N/A,#N/A,FALSE,"mcsh";#N/A,#N/A,FALSE,"vol&amp;rev";#N/A,#N/A,FALSE,"wkgcap";#N/A,#N/A,FALSE,"DEPR&amp;DT";#N/A,#N/A,FALSE,"ASSETS";#N/A,#N/A,FALSE,"NI&amp;OTH&amp;DIV";#N/A,#N/A,FALSE,"CASHFLOW";#N/A,#N/A,FALSE,"CAPEMPL";#N/A,#N/A,FALSE,"ROCE"}</definedName>
    <definedName name="__p1" localSheetId="11" hidden="1">{"SUM",#N/A,FALSE,"Details (2)"}</definedName>
    <definedName name="__pp2" localSheetId="11" hidden="1">{"Summary",#N/A,FALSE,"Details (2)"}</definedName>
    <definedName name="__ppp1" localSheetId="11" hidden="1">{"SUM",#N/A,FALSE,"Details (2)"}</definedName>
    <definedName name="__q2" localSheetId="11" hidden="1">{"Summary",#N/A,FALSE,"Details (2)"}</definedName>
    <definedName name="__q4" localSheetId="11" hidden="1">{"Summary",#N/A,FALSE,"Details (2)"}</definedName>
    <definedName name="__q5" localSheetId="11" hidden="1">{"SUM",#N/A,FALSE,"Details (2)"}</definedName>
    <definedName name="__Qtr4" localSheetId="11">#REF!</definedName>
    <definedName name="__r" localSheetId="11" hidden="1">{#N/A,#N/A,FALSE,"Pharm";#N/A,#N/A,FALSE,"WWCM"}</definedName>
    <definedName name="__t2" localSheetId="11" hidden="1">{"'Sheet1'!$A$5:$G$42"}</definedName>
    <definedName name="__tm1" localSheetId="11" hidden="1">{#N/A,#N/A,FALSE,"Pharm";#N/A,#N/A,FALSE,"WWCM"}</definedName>
    <definedName name="__v2" localSheetId="11" hidden="1">{"arpm1995",#N/A,FALSE,"Summary 95-96";"bus_long_distance",#N/A,FALSE,"Summary 95-96";"mins_per_day",#N/A,FALSE,"Summary 95-96";"minutes1995",#N/A,FALSE,"Summary 95-96";"rev_per_day",#N/A,FALSE,"Summary 95-96";"view1995",#N/A,FALSE,"Summary 95-96"}</definedName>
    <definedName name="__w1" localSheetId="11" hidden="1">{"PVGraph2",#N/A,FALSE,"PV Data"}</definedName>
    <definedName name="__w2" localSheetId="11" hidden="1">{"PVGraph2",#N/A,FALSE,"PV Data"}</definedName>
    <definedName name="__w3" localSheetId="11" hidden="1">{"PVGraph2",#N/A,FALSE,"PV Data"}</definedName>
    <definedName name="__WHO2" localSheetId="11" hidden="1">{#N/A,#N/A,FALSE,"SUMMARY";#N/A,#N/A,FALSE,"DETAIL";#N/A,#N/A,FALSE,"VARIANCE"}</definedName>
    <definedName name="__wrn2" localSheetId="11" hidden="1">{#N/A,#N/A,FALSE,"ASSUMPTIONS";#N/A,#N/A,FALSE,"Valuation Summary";"page1",#N/A,FALSE,"PRESENTATION";"page2",#N/A,FALSE,"PRESENTATION";#N/A,#N/A,FALSE,"ORIGINAL_ROLLBACK"}</definedName>
    <definedName name="__wrn3" localSheetId="11" hidden="1">{#N/A,#N/A,FALSE,"ASSUMPTIONS";#N/A,#N/A,FALSE,"Valuation Summary";"page1",#N/A,FALSE,"PRESENTATION";"page2",#N/A,FALSE,"PRESENTATION";#N/A,#N/A,FALSE,"ORIGINAL_ROLLBACK"}</definedName>
    <definedName name="__ww2" localSheetId="11" hidden="1">{#N/A,#N/A,FALSE,"Admin";#N/A,#N/A,FALSE,"Other"}</definedName>
    <definedName name="__X1" localSheetId="11" hidden="1">{"Summary",#N/A,FALSE,"Details (2)"}</definedName>
    <definedName name="__X2" localSheetId="11" hidden="1">{#N/A,#N/A,FALSE,"Other";#N/A,#N/A,FALSE,"Ace";#N/A,#N/A,FALSE,"Derm"}</definedName>
    <definedName name="__y2" localSheetId="11" hidden="1">{"PVGraph2",#N/A,FALSE,"PV Data"}</definedName>
    <definedName name="_1__123Graph_ACHART_1" localSheetId="11" hidden="1">#REF!</definedName>
    <definedName name="_1__123Graph_ACHART_4" localSheetId="11" hidden="1">#REF!</definedName>
    <definedName name="_1__123Graph_AGraphique_1B" localSheetId="11" hidden="1">#REF!</definedName>
    <definedName name="_1__FDSAUDITLINK__" localSheetId="11" hidden="1">{"fdsup://Directions/FactSet Auditing Viewer?action=AUDIT_VALUE&amp;DB=129&amp;ID1=610036&amp;VALUEID=05192&amp;SDATE=201101&amp;PERIODTYPE=QTR_STD&amp;SCFT=3&amp;window=popup_no_bar&amp;width=385&amp;height=120&amp;START_MAXIMIZED=FALSE&amp;creator=factset&amp;display_string=Audit"}</definedName>
    <definedName name="_10__FDSAUDITLINK__" localSheetId="11" hidden="1">{"fdsup://Directions/FactSet Auditing Viewer?action=AUDIT_VALUE&amp;DB=129&amp;ID1=613566&amp;VALUEID=05192&amp;SDATE=201101&amp;PERIODTYPE=QTR_STD&amp;SCFT=3&amp;window=popup_no_bar&amp;width=385&amp;height=120&amp;START_MAXIMIZED=FALSE&amp;creator=factset&amp;display_string=Audit"}</definedName>
    <definedName name="_104__123Graph_LBL_BCHART_2" localSheetId="11" hidden="1">#REF!</definedName>
    <definedName name="_108__123Graph_LBL_BCHART_1" localSheetId="11" hidden="1">#REF!</definedName>
    <definedName name="_109__123Graph_ACHART_4" localSheetId="11" hidden="1">#REF!</definedName>
    <definedName name="_11__123Graph_LBL_ACHART_2" localSheetId="11" hidden="1">#REF!</definedName>
    <definedName name="_11__FDSAUDITLINK__" localSheetId="11" hidden="1">{"fdsup://Directions/FactSet Auditing Viewer?action=AUDIT_VALUE&amp;DB=129&amp;ID1=B2QKWK&amp;VALUEID=05194&amp;SDATE=201101&amp;PERIODTYPE=QTR_STD&amp;SCFT=3&amp;window=popup_no_bar&amp;width=385&amp;height=120&amp;START_MAXIMIZED=FALSE&amp;creator=factset&amp;display_string=Audit"}</definedName>
    <definedName name="_112__123Graph_LBL_BCHART_3" localSheetId="11" hidden="1">#REF!</definedName>
    <definedName name="_112__FDSAUDITLINK__" localSheetId="11"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7__123Graph_LBL_BCHART_2" localSheetId="11" hidden="1">#REF!</definedName>
    <definedName name="_12__123Graph_ACHART_2" localSheetId="11" hidden="1">#REF!</definedName>
    <definedName name="_12__123Graph_ACHART_3" localSheetId="11" hidden="1">#REF!</definedName>
    <definedName name="_12__FDSAUDITLINK__" localSheetId="11" hidden="1">{"fdsup://Directions/FactSet Auditing Viewer?action=AUDIT_VALUE&amp;DB=129&amp;ID1=613566&amp;VALUEID=05194&amp;SDATE=201101&amp;PERIODTYPE=QTR_STD&amp;SCFT=3&amp;window=popup_no_bar&amp;width=385&amp;height=120&amp;START_MAXIMIZED=FALSE&amp;creator=factset&amp;display_string=Audit"}</definedName>
    <definedName name="_120__123Graph_XCHART_1" localSheetId="11" hidden="1">#REF!</definedName>
    <definedName name="_120__FDSAUDITLINK__" localSheetId="11"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6__123Graph_LBL_BCHART_3" localSheetId="11" hidden="1">#REF!</definedName>
    <definedName name="_128__123Graph_XCHART_2" localSheetId="11" hidden="1">#REF!</definedName>
    <definedName name="_13__123Graph_ACHART_1" localSheetId="11" hidden="1">#REF!</definedName>
    <definedName name="_13__123Graph_LBL_ACHART_4" localSheetId="11" hidden="1">#REF!</definedName>
    <definedName name="_13__123Graph_LBL_BCHART_1" localSheetId="11" hidden="1">#REF!</definedName>
    <definedName name="_13__FDSAUDITLINK__" localSheetId="11" hidden="1">{"fdsup://Directions/FactSet Auditing Viewer?action=AUDIT_VALUE&amp;DB=129&amp;ID1=B62G7K&amp;VALUEID=05194&amp;SDATE=201101&amp;PERIODTYPE=QTR_STD&amp;SCFT=3&amp;window=popup_no_bar&amp;width=385&amp;height=120&amp;START_MAXIMIZED=FALSE&amp;creator=factset&amp;display_string=Audit"}</definedName>
    <definedName name="_136__123Graph_XCHART_3" localSheetId="11" hidden="1">#REF!</definedName>
    <definedName name="_14__123Graph_ACHART_1" localSheetId="11" hidden="1">#REF!</definedName>
    <definedName name="_14__123Graph_BCHART_1" localSheetId="11" hidden="1">#REF!</definedName>
    <definedName name="_14__123Graph_LBL_BCHART_1" localSheetId="11" hidden="1">#REF!</definedName>
    <definedName name="_14__FDSAUDITLINK__" localSheetId="11" hidden="1">{"fdsup://Directions/FactSet Auditing Viewer?action=AUDIT_VALUE&amp;DB=129&amp;ID1=B01LXY&amp;VALUEID=05194&amp;SDATE=201101&amp;PERIODTYPE=QTR_STD&amp;SCFT=3&amp;window=popup_no_bar&amp;width=385&amp;height=120&amp;START_MAXIMIZED=FALSE&amp;creator=factset&amp;display_string=Audit"}</definedName>
    <definedName name="_144__123Graph_XCHART_4" localSheetId="11" hidden="1">#REF!</definedName>
    <definedName name="_144__FDSAUDITLINK__" localSheetId="11"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5__123Graph_ACHART_3" localSheetId="11" hidden="1">#REF!</definedName>
    <definedName name="_15__123Graph_BCHART_1" localSheetId="11" hidden="1">#REF!</definedName>
    <definedName name="_15__123Graph_CCHART_1" localSheetId="11" hidden="1">#REF!</definedName>
    <definedName name="_15__FDSAUDITLINK__" localSheetId="11" hidden="1">{"fdsup://Directions/FactSet Auditing Viewer?action=AUDIT_VALUE&amp;DB=129&amp;ID1=B12C0T&amp;VALUEID=05194&amp;SDATE=201101&amp;PERIODTYPE=QTR_STD&amp;SCFT=3&amp;window=popup_no_bar&amp;width=385&amp;height=120&amp;START_MAXIMIZED=FALSE&amp;creator=factset&amp;display_string=Audit"}</definedName>
    <definedName name="_16__123Graph_ACHART_2" localSheetId="11" hidden="1">#REF!</definedName>
    <definedName name="_16__123Graph_ACHART_4" localSheetId="11" hidden="1">#REF!</definedName>
    <definedName name="_16__123Graph_BCHART_1" localSheetId="11" hidden="1">#REF!</definedName>
    <definedName name="_16__123Graph_LBL_ACHART_1" localSheetId="11" hidden="1">#REF!</definedName>
    <definedName name="_16__FDSAUDITLINK__" localSheetId="11" hidden="1">{"fdsup://Directions/FactSet Auditing Viewer?action=AUDIT_VALUE&amp;DB=129&amp;ID1=615525&amp;VALUEID=05192&amp;SDATE=201101&amp;PERIODTYPE=QTR_STD&amp;SCFT=3&amp;window=popup_no_bar&amp;width=385&amp;height=120&amp;START_MAXIMIZED=FALSE&amp;creator=factset&amp;display_string=Audit"}</definedName>
    <definedName name="_160__FDSAUDITLINK__" localSheetId="11"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2__123Graph_XCHART_4" localSheetId="11" hidden="1">#REF!</definedName>
    <definedName name="_163__123Graph_BCHART_2" localSheetId="11" hidden="1">#REF!</definedName>
    <definedName name="_17__123Graph_XCHART_1" localSheetId="11" hidden="1">#REF!</definedName>
    <definedName name="_17__FDSAUDITLINK__" localSheetId="11" hidden="1">{"fdsup://Directions/FactSet Auditing Viewer?action=AUDIT_VALUE&amp;DB=129&amp;ID1=651312&amp;VALUEID=05194&amp;SDATE=201101&amp;PERIODTYPE=QTR_STD&amp;SCFT=3&amp;window=popup_no_bar&amp;width=385&amp;height=120&amp;START_MAXIMIZED=FALSE&amp;creator=factset&amp;display_string=Audit"}</definedName>
    <definedName name="_18__FDSAUDITLINK__" localSheetId="11" hidden="1">{"fdsup://Directions/FactSet Auditing Viewer?action=AUDIT_VALUE&amp;DB=129&amp;ID1=610036&amp;VALUEID=05194&amp;SDATE=201101&amp;PERIODTYPE=QTR_STD&amp;SCFT=3&amp;window=popup_no_bar&amp;width=385&amp;height=120&amp;START_MAXIMIZED=FALSE&amp;creator=factset&amp;display_string=Audit"}</definedName>
    <definedName name="_19__FDSAUDITLINK__" localSheetId="11" hidden="1">{"fdsup://directions/FAT Viewer?action=UPDATE&amp;creator=factset&amp;DYN_ARGS=TRUE&amp;DOC_NAME=FAT:FQL_AUDITING_CLIENT_TEMPLATE.FAT&amp;display_string=Audit&amp;VAR:KEY=RIVODUVABY&amp;VAR:QUERY=RkZfREVCVChRVFIsMCk=&amp;WINDOW=FIRST_POPUP&amp;HEIGHT=450&amp;WIDTH=450&amp;START_MAXIMIZED=FALSE&amp;VA","R:CALENDAR=US&amp;VAR:SYMBOL=B1TJG9&amp;VAR:INDEX=0"}</definedName>
    <definedName name="_19_0__123Graph_ACHAR" localSheetId="11" hidden="1">#REF!</definedName>
    <definedName name="_19_0__123Graph_BCHAR" localSheetId="11" hidden="1">#REF!</definedName>
    <definedName name="_190__123Graph_BCHART_3" localSheetId="11" hidden="1">#REF!</definedName>
    <definedName name="_2__FDSAUDITLINK__" localSheetId="11" hidden="1">{"fdsup://Directions/FactSet Auditing Viewer?action=AUDIT_VALUE&amp;DB=129&amp;ID1=718981&amp;VALUEID=01004&amp;SDATE=2010&amp;PERIODTYPE=ANN_STD&amp;SCFT=3&amp;window=popup_no_bar&amp;width=385&amp;height=120&amp;START_MAXIMIZED=FALSE&amp;creator=factset&amp;display_string=Audit"}</definedName>
    <definedName name="_20__FDSAUDITLINK__" localSheetId="11" hidden="1">{"fdsup://directions/FAT Viewer?action=UPDATE&amp;creator=factset&amp;DYN_ARGS=TRUE&amp;DOC_NAME=FAT:FQL_AUDITING_CLIENT_TEMPLATE.FAT&amp;display_string=Audit&amp;VAR:KEY=NOROXQDYDA&amp;VAR:QUERY=RkZfREVCVChRVFIsMCk=&amp;WINDOW=FIRST_POPUP&amp;HEIGHT=450&amp;WIDTH=450&amp;START_MAXIMIZED=FALSE&amp;VA","R:CALENDAR=US&amp;VAR:SYMBOL=B2QKWK&amp;VAR:INDEX=0"}</definedName>
    <definedName name="_20_0__123Graph_BCHAR" localSheetId="11" hidden="1">#REF!</definedName>
    <definedName name="_20_0__123Graph_CCHAR" localSheetId="11" hidden="1">#REF!</definedName>
    <definedName name="_206__FDSAUDITLINK__" localSheetId="11"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1__123Graph_BCHART_1" localSheetId="11" hidden="1">#REF!</definedName>
    <definedName name="_21__123Graph_BCHART_3" localSheetId="11" hidden="1">#REF!</definedName>
    <definedName name="_21__FDSAUDITLINK__" localSheetId="11" hidden="1">{"fdsup://directions/FAT Viewer?action=UPDATE&amp;creator=factset&amp;DYN_ARGS=TRUE&amp;DOC_NAME=FAT:FQL_AUDITING_CLIENT_TEMPLATE.FAT&amp;display_string=Audit&amp;VAR:KEY=BWBYDQBYRG&amp;VAR:QUERY=RkZfREVCVChRVFIsMCk=&amp;WINDOW=FIRST_POPUP&amp;HEIGHT=450&amp;WIDTH=450&amp;START_MAXIMIZED=FALSE&amp;VA","R:CALENDAR=US&amp;VAR:SYMBOL=626404&amp;VAR:INDEX=0"}</definedName>
    <definedName name="_21_0__123Graph_CCHAR" localSheetId="11" hidden="1">#REF!</definedName>
    <definedName name="_21_0__123Graph_LBL_ACHAR" localSheetId="11" hidden="1">#REF!</definedName>
    <definedName name="_217__123Graph_LBL_ACHART_1" localSheetId="11" hidden="1">#REF!</definedName>
    <definedName name="_22__FDSAUDITLINK__" localSheetId="11" hidden="1">{"fdsup://directions/FAT Viewer?action=UPDATE&amp;creator=factset&amp;DYN_ARGS=TRUE&amp;DOC_NAME=FAT:FQL_AUDITING_CLIENT_TEMPLATE.FAT&amp;display_string=Audit&amp;VAR:KEY=TQLCLGJUJU&amp;VAR:QUERY=RkZfREVCVChRVFIsMCk=&amp;WINDOW=FIRST_POPUP&amp;HEIGHT=450&amp;WIDTH=450&amp;START_MAXIMIZED=FALSE&amp;VA","R:CALENDAR=US&amp;VAR:SYMBOL=613566&amp;VAR:INDEX=0"}</definedName>
    <definedName name="_22_0__123Graph_LBL_ACHAR" localSheetId="11" hidden="1">#REF!</definedName>
    <definedName name="_23__FDSAUDITLINK__" localSheetId="11" hidden="1">{"fdsup://directions/FAT Viewer?action=UPDATE&amp;creator=factset&amp;DYN_ARGS=TRUE&amp;DOC_NAME=FAT:FQL_AUDITING_CLIENT_TEMPLATE.FAT&amp;display_string=Audit&amp;VAR:KEY=NYXYJIPEVY&amp;VAR:QUERY=RkZfREVCVChRVFIsMCk=&amp;WINDOW=FIRST_POPUP&amp;HEIGHT=450&amp;WIDTH=450&amp;START_MAXIMIZED=FALSE&amp;VA","R:CALENDAR=US&amp;VAR:SYMBOL=B62G7K&amp;VAR:INDEX=0"}</definedName>
    <definedName name="_24__123Graph_ACHART_3" localSheetId="11" hidden="1">#REF!</definedName>
    <definedName name="_24__123Graph_BCHART_2" localSheetId="11" hidden="1">#REF!</definedName>
    <definedName name="_24__123Graph_LBL_ACHART_1" localSheetId="11" hidden="1">#REF!</definedName>
    <definedName name="_24__FDSAUDITLINK__" localSheetId="11" hidden="1">{"fdsup://directions/FAT Viewer?action=UPDATE&amp;creator=factset&amp;DYN_ARGS=TRUE&amp;DOC_NAME=FAT:FQL_AUDITING_CLIENT_TEMPLATE.FAT&amp;display_string=Audit&amp;VAR:KEY=NSBMVWPMXC&amp;VAR:QUERY=RkZfREVCVChRVFIsMCk=&amp;WINDOW=FIRST_POPUP&amp;HEIGHT=450&amp;WIDTH=450&amp;START_MAXIMIZED=FALSE&amp;VA","R:CALENDAR=US&amp;VAR:SYMBOL=B601QS&amp;VAR:INDEX=0"}</definedName>
    <definedName name="_24_0__123Graph_ACHAR" localSheetId="11" hidden="1">#REF!</definedName>
    <definedName name="_244__123Graph_LBL_ACHART_2" localSheetId="11" hidden="1">#REF!</definedName>
    <definedName name="_25__FDSAUDITLINK__" localSheetId="11" hidden="1">{"fdsup://directions/FAT Viewer?action=UPDATE&amp;creator=factset&amp;DYN_ARGS=TRUE&amp;DOC_NAME=FAT:FQL_AUDITING_CLIENT_TEMPLATE.FAT&amp;display_string=Audit&amp;VAR:KEY=RGRCNQPWVG&amp;VAR:QUERY=RkZfREVCVChRVFIsMCk=&amp;WINDOW=FIRST_POPUP&amp;HEIGHT=450&amp;WIDTH=450&amp;START_MAXIMIZED=FALSE&amp;VA","R:CALENDAR=US&amp;VAR:SYMBOL=B2Q4CS&amp;VAR:INDEX=0"}</definedName>
    <definedName name="_26__123Graph_ACHART_1" localSheetId="11" hidden="1">#REF!</definedName>
    <definedName name="_26__FDSAUDITLINK__" localSheetId="11" hidden="1">{"fdsup://directions/FAT Viewer?action=UPDATE&amp;creator=factset&amp;DYN_ARGS=TRUE&amp;DOC_NAME=FAT:FQL_AUDITING_CLIENT_TEMPLATE.FAT&amp;display_string=Audit&amp;VAR:KEY=LINIDUNITC&amp;VAR:QUERY=RkZfREVCVChRVFIsMCk=&amp;WINDOW=FIRST_POPUP&amp;HEIGHT=450&amp;WIDTH=450&amp;START_MAXIMIZED=FALSE&amp;VA","R:CALENDAR=US&amp;VAR:SYMBOL=670625&amp;VAR:INDEX=0"}</definedName>
    <definedName name="_26_0__123Graph_BCHAR" localSheetId="11" hidden="1">#REF!</definedName>
    <definedName name="_27__123Graph_ACHART_3" localSheetId="11" hidden="1">#REF!</definedName>
    <definedName name="_27__123Graph_BCHART_3" localSheetId="11" hidden="1">#REF!</definedName>
    <definedName name="_27__FDSAUDITLINK__" localSheetId="11" hidden="1">{"fdsup://directions/FAT Viewer?action=UPDATE&amp;creator=factset&amp;DYN_ARGS=TRUE&amp;DOC_NAME=FAT:FQL_AUDITING_CLIENT_TEMPLATE.FAT&amp;display_string=Audit&amp;VAR:KEY=ZYZAZOHSNG&amp;VAR:QUERY=RkZfREVCVChRVFIsMCk=&amp;WINDOW=FIRST_POPUP&amp;HEIGHT=450&amp;WIDTH=450&amp;START_MAXIMIZED=FALSE&amp;VA","R:CALENDAR=US&amp;VAR:SYMBOL=B01T14&amp;VAR:INDEX=0"}</definedName>
    <definedName name="_271__123Graph_LBL_ACHART_3" localSheetId="11" hidden="1">#REF!</definedName>
    <definedName name="_28__123Graph_ACHART_1" localSheetId="11" hidden="1">#REF!</definedName>
    <definedName name="_28__123Graph_BCHART_1" localSheetId="11" hidden="1">#REF!</definedName>
    <definedName name="_28__FDSAUDITLINK__" localSheetId="11" hidden="1">{"fdsup://directions/FAT Viewer?action=UPDATE&amp;creator=factset&amp;DYN_ARGS=TRUE&amp;DOC_NAME=FAT:FQL_AUDITING_CLIENT_TEMPLATE.FAT&amp;display_string=Audit&amp;VAR:KEY=ZCBIPGHWJS&amp;VAR:QUERY=RkZfREVCVChRVFIsMCk=&amp;WINDOW=FIRST_POPUP&amp;HEIGHT=450&amp;WIDTH=450&amp;START_MAXIMIZED=FALSE&amp;VA","R:CALENDAR=US&amp;VAR:SYMBOL=627137&amp;VAR:INDEX=0"}</definedName>
    <definedName name="_28_0__123Graph_CCHAR" localSheetId="11" hidden="1">#REF!</definedName>
    <definedName name="_29__FDSAUDITLINK__" localSheetId="11" hidden="1">{"fdsup://directions/FAT Viewer?action=UPDATE&amp;creator=factset&amp;DYN_ARGS=TRUE&amp;DOC_NAME=FAT:FQL_AUDITING_CLIENT_TEMPLATE.FAT&amp;display_string=Audit&amp;VAR:KEY=CLCRSDAPSX&amp;VAR:QUERY=RkZfREVCVChRVFIsMCk=&amp;WINDOW=FIRST_POPUP&amp;HEIGHT=450&amp;WIDTH=450&amp;START_MAXIMIZED=FALSE&amp;VA","R:CALENDAR=US&amp;VAR:SYMBOL=B4TX8S&amp;VAR:INDEX=0"}</definedName>
    <definedName name="_298__123Graph_LBL_ACHART_4" localSheetId="11" hidden="1">#REF!</definedName>
    <definedName name="_3__123Graph_ACHART_1" localSheetId="11" hidden="1">#REF!</definedName>
    <definedName name="_3__123Graph_ACHART_2" localSheetId="11" hidden="1">#REF!</definedName>
    <definedName name="_3__FDSAUDITLINK__" localSheetId="11" hidden="1">{"fdsup://directions/FAT Viewer?action=UPDATE&amp;creator=factset&amp;DYN_ARGS=TRUE&amp;DOC_NAME=FAT:FQL_AUDITING_CLIENT_TEMPLATE.FAT&amp;display_string=Audit&amp;VAR:KEY=NYZOXGHULC&amp;VAR:QUERY=RkZfREVCVChRVFIsMCk=&amp;WINDOW=FIRST_POPUP&amp;HEIGHT=450&amp;WIDTH=450&amp;START_MAXIMIZED=FALSE&amp;VA","R:CALENDAR=US&amp;VAR:SYMBOL=615525&amp;VAR:INDEX=0"}</definedName>
    <definedName name="_30__123Graph_CCHART_1" localSheetId="11" hidden="1">#REF!</definedName>
    <definedName name="_30__123Graph_LBL_ACHART_1" localSheetId="11" hidden="1">#REF!</definedName>
    <definedName name="_30__123Graph_LBL_ACHART_3" localSheetId="11" hidden="1">#REF!</definedName>
    <definedName name="_30__FDSAUDITLINK__" localSheetId="11" hidden="1">{"fdsup://directions/FAT Viewer?action=UPDATE&amp;creator=factset&amp;DYN_ARGS=TRUE&amp;DOC_NAME=FAT:FQL_AUDITING_CLIENT_TEMPLATE.FAT&amp;display_string=Audit&amp;VAR:KEY=FCXYFCHWXA&amp;VAR:QUERY=RkZfREVCVChRVFIsMCk=&amp;WINDOW=FIRST_POPUP&amp;HEIGHT=450&amp;WIDTH=450&amp;START_MAXIMIZED=FALSE&amp;VA","R:CALENDAR=US&amp;VAR:SYMBOL=641167&amp;VAR:INDEX=0"}</definedName>
    <definedName name="_30_0__123Graph_LBL_ACHAR" localSheetId="11" hidden="1">#REF!</definedName>
    <definedName name="_31__FDSAUDITLINK__" localSheetId="11" hidden="1">{"fdsup://directions/FAT Viewer?action=UPDATE&amp;creator=factset&amp;DYN_ARGS=TRUE&amp;DOC_NAME=FAT:FQL_AUDITING_CLIENT_TEMPLATE.FAT&amp;display_string=Audit&amp;VAR:KEY=ZWDYLGNOZS&amp;VAR:QUERY=RkZfREVCVChRVFIsMCk=&amp;WINDOW=FIRST_POPUP&amp;HEIGHT=450&amp;WIDTH=450&amp;START_MAXIMIZED=FALSE&amp;VA","R:CALENDAR=US&amp;VAR:SYMBOL=642566&amp;VAR:INDEX=0"}</definedName>
    <definedName name="_32__123Graph_ACHART_4" localSheetId="11" hidden="1">#REF!</definedName>
    <definedName name="_32__123Graph_LBL_ACHART_1" localSheetId="11" hidden="1">#REF!</definedName>
    <definedName name="_325__123Graph_LBL_BCHART_1" localSheetId="11" hidden="1">#REF!</definedName>
    <definedName name="_33__123Graph_LBL_ACHART_2" localSheetId="11" hidden="1">#REF!</definedName>
    <definedName name="_33__FDSAUDITLINK__" localSheetId="11" hidden="1">{"fdsup://directions/FAT Viewer?action=UPDATE&amp;creator=factset&amp;DYN_ARGS=TRUE&amp;DOC_NAME=FAT:FQL_AUDITING_CLIENT_TEMPLATE.FAT&amp;display_string=Audit&amp;VAR:KEY=BYZORMPCHQ&amp;VAR:QUERY=RkZfREVCVChRVFIsMCk=&amp;WINDOW=FIRST_POPUP&amp;HEIGHT=450&amp;WIDTH=450&amp;START_MAXIMIZED=FALSE&amp;VA","R:CALENDAR=US&amp;VAR:SYMBOL=649613&amp;VAR:INDEX=0"}</definedName>
    <definedName name="_34__FDSAUDITLINK__" localSheetId="11" hidden="1">{"fdsup://directions/FAT Viewer?action=UPDATE&amp;creator=factset&amp;DYN_ARGS=TRUE&amp;DOC_NAME=FAT:FQL_AUDITING_CLIENT_TEMPLATE.FAT&amp;display_string=Audit&amp;VAR:KEY=IRGRQDQTWB&amp;VAR:QUERY=RkZfREVCVChRVFIsMCk=&amp;WINDOW=FIRST_POPUP&amp;HEIGHT=450&amp;WIDTH=450&amp;START_MAXIMIZED=FALSE&amp;VA","R:CALENDAR=US&amp;VAR:SYMBOL=680580&amp;VAR:INDEX=0"}</definedName>
    <definedName name="_35__FDSAUDITLINK__" localSheetId="11" hidden="1">{"fdsup://directions/FAT Viewer?action=UPDATE&amp;creator=factset&amp;DYN_ARGS=TRUE&amp;DOC_NAME=FAT:FQL_AUDITING_CLIENT_TEMPLATE.FAT&amp;display_string=Audit&amp;VAR:KEY=ZYZAZOHSNG&amp;VAR:QUERY=RkZfREVCVChRVFIsMCk=&amp;WINDOW=FIRST_POPUP&amp;HEIGHT=450&amp;WIDTH=450&amp;START_MAXIMIZED=FALSE&amp;VA","R:CALENDAR=US&amp;VAR:SYMBOL=B01T14&amp;VAR:INDEX=0"}</definedName>
    <definedName name="_352__123Graph_LBL_BCHART_2" localSheetId="11" hidden="1">#REF!</definedName>
    <definedName name="_353__FDSAUDITLINK__" localSheetId="11"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6__123Graph_ACHART_4" localSheetId="11" hidden="1">#REF!</definedName>
    <definedName name="_36__123Graph_LBL_ACHART_2" localSheetId="11" hidden="1">#REF!</definedName>
    <definedName name="_36__123Graph_LBL_ACHART_3" localSheetId="11" hidden="1">#REF!</definedName>
    <definedName name="_36__FDSAUDITLINK__" localSheetId="11" hidden="1">{"fdsup://directions/FAT Viewer?action=UPDATE&amp;creator=factset&amp;DYN_ARGS=TRUE&amp;DOC_NAME=FAT:FQL_AUDITING_CLIENT_TEMPLATE.FAT&amp;display_string=Audit&amp;VAR:KEY=BOFAPUNSFW&amp;VAR:QUERY=RkZfREVCVChRVFIsMCk=&amp;WINDOW=FIRST_POPUP&amp;HEIGHT=450&amp;WIDTH=450&amp;START_MAXIMIZED=FALSE&amp;VA","R:CALENDAR=US&amp;VAR:SYMBOL=615593&amp;VAR:INDEX=0"}</definedName>
    <definedName name="_36_0__123Graph_ACHAR" localSheetId="11" hidden="1">#REF!</definedName>
    <definedName name="_37__FDSAUDITLINK__" localSheetId="11" hidden="1">{"fdsup://directions/FAT Viewer?action=UPDATE&amp;creator=factset&amp;DYN_ARGS=TRUE&amp;DOC_NAME=FAT:FQL_AUDITING_CLIENT_TEMPLATE.FAT&amp;display_string=Audit&amp;VAR:KEY=NCDWZYHQLY&amp;VAR:QUERY=RkZfREVCVChRVFIsMCk=&amp;WINDOW=FIRST_POPUP&amp;HEIGHT=450&amp;WIDTH=450&amp;START_MAXIMIZED=FALSE&amp;VA","R:CALENDAR=US&amp;VAR:SYMBOL=616216&amp;VAR:INDEX=0"}</definedName>
    <definedName name="_371__FDSAUDITLINK__" localSheetId="11"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9__123Graph_LBL_BCHART_3" localSheetId="11" hidden="1">#REF!</definedName>
    <definedName name="_38__FDSAUDITLINK__" localSheetId="11" hidden="1">{"fdsup://directions/FAT Viewer?action=UPDATE&amp;creator=factset&amp;DYN_ARGS=TRUE&amp;DOC_NAME=FAT:FQL_AUDITING_CLIENT_TEMPLATE.FAT&amp;display_string=Audit&amp;VAR:KEY=LIHILQPEHS&amp;VAR:QUERY=RkZfREVCVChRVFIsMCk=&amp;WINDOW=FIRST_POPUP&amp;HEIGHT=450&amp;WIDTH=450&amp;START_MAXIMIZED=FALSE&amp;VA","R:CALENDAR=US&amp;VAR:SYMBOL=B01LXY&amp;VAR:INDEX=0"}</definedName>
    <definedName name="_38_0__123Graph_BCHAR" localSheetId="11" hidden="1">#REF!</definedName>
    <definedName name="_39__123Graph_LBL_ACHART_4" localSheetId="11" hidden="1">#REF!</definedName>
    <definedName name="_39__123Graph_LBL_BCHART_2" localSheetId="11" hidden="1">#REF!</definedName>
    <definedName name="_39__FDSAUDITLINK__" localSheetId="11" hidden="1">{"fdsup://directions/FAT Viewer?action=UPDATE&amp;creator=factset&amp;DYN_ARGS=TRUE&amp;DOC_NAME=FAT:FQL_AUDITING_CLIENT_TEMPLATE.FAT&amp;display_string=Audit&amp;VAR:KEY=BKHSXEZQRI&amp;VAR:QUERY=RkZfREVCVChRVFIsMCk=&amp;WINDOW=FIRST_POPUP&amp;HEIGHT=450&amp;WIDTH=450&amp;START_MAXIMIZED=FALSE&amp;VA","R:CALENDAR=US&amp;VAR:SYMBOL=B12C0T&amp;VAR:INDEX=0"}</definedName>
    <definedName name="_4__123Graph_ACHART_1" localSheetId="11" hidden="1">#REF!</definedName>
    <definedName name="_4__123Graph_ACHART_2" localSheetId="11" hidden="1">#REF!</definedName>
    <definedName name="_4__123Graph_ACHART_3" localSheetId="11" hidden="1">#REF!</definedName>
    <definedName name="_4__FDSAUDITLINK__" localSheetId="11" hidden="1">{"fdsup://Directions/FactSet Auditing Viewer?action=AUDIT_VALUE&amp;DB=129&amp;ID1=B01LXY&amp;VALUEID=05192&amp;SDATE=201101&amp;PERIODTYPE=QTR_STD&amp;SCFT=3&amp;window=popup_no_bar&amp;width=385&amp;height=120&amp;START_MAXIMIZED=FALSE&amp;creator=factset&amp;display_string=Audit"}</definedName>
    <definedName name="_40__123Graph_BCHART_1" localSheetId="11" hidden="1">#REF!</definedName>
    <definedName name="_40__123Graph_LBL_ACHART_3" localSheetId="11" hidden="1">#REF!</definedName>
    <definedName name="_40__FDSAUDITLINK__" localSheetId="11" hidden="1">{"fdsup://Directions/FactSet Auditing Viewer?action=AUDIT_VALUE&amp;DB=129&amp;ID1=615525&amp;VALUEID=05194&amp;SDATE=201101&amp;PERIODTYPE=QTR_STD&amp;SCFT=3&amp;window=popup_no_bar&amp;width=385&amp;height=120&amp;START_MAXIMIZED=FALSE&amp;creator=factset&amp;display_string=Audit"}</definedName>
    <definedName name="_41__FDSAUDITLINK__" localSheetId="11" hidden="1">{"fdsup://directions/FAT Viewer?action=UPDATE&amp;creator=factset&amp;DYN_ARGS=TRUE&amp;DOC_NAME=FAT:FQL_AUDITING_CLIENT_TEMPLATE.FAT&amp;display_string=Audit&amp;VAR:KEY=NCPODUVUTY&amp;VAR:QUERY=RkZfREVCVChRVFIsMCk=&amp;WINDOW=FIRST_POPUP&amp;HEIGHT=450&amp;WIDTH=450&amp;START_MAXIMIZED=FALSE&amp;VA","R:CALENDAR=US&amp;VAR:SYMBOL=651312&amp;VAR:INDEX=0"}</definedName>
    <definedName name="_42__123Graph_LBL_BCHART_1" localSheetId="11" hidden="1">#REF!</definedName>
    <definedName name="_42__123Graph_LBL_BCHART_3" localSheetId="11" hidden="1">#REF!</definedName>
    <definedName name="_42__FDSAUDITLINK__" localSheetId="11" hidden="1">{"fdsup://directions/FAT Viewer?action=UPDATE&amp;creator=factset&amp;DYN_ARGS=TRUE&amp;DOC_NAME=FAT:FQL_AUDITING_CLIENT_TEMPLATE.FAT&amp;display_string=Audit&amp;VAR:KEY=TCLSBADEBM&amp;VAR:QUERY=RkZfREVCVChRVFIsMCk=&amp;WINDOW=FIRST_POPUP&amp;HEIGHT=450&amp;WIDTH=450&amp;START_MAXIMIZED=FALSE&amp;VA","R:CALENDAR=US&amp;VAR:SYMBOL=610036&amp;VAR:INDEX=0"}</definedName>
    <definedName name="_42_0__123Graph_LBL_ACHAR" localSheetId="11" hidden="1">#REF!</definedName>
    <definedName name="_42wrn.²Ä1­Ó¤ë1_Ü20¤H." localSheetId="11" hidden="1">{#N/A,#N/A,FALSE,"²Ä1­Ó¤ë"}</definedName>
    <definedName name="_43__FDSAUDITLINK__" localSheetId="11" hidden="1">{"fdsup://directions/FAT Viewer?action=UPDATE&amp;creator=factset&amp;DYN_ARGS=TRUE&amp;DOC_NAME=FAT:FQL_AUDITING_CLIENT_TEMPLATE.FAT&amp;display_string=Audit&amp;VAR:KEY=TCVWVCXSPG&amp;VAR:QUERY=RkZfREVCVChRVFIsMCk=&amp;WINDOW=FIRST_POPUP&amp;HEIGHT=450&amp;WIDTH=450&amp;START_MAXIMIZED=FALSE&amp;VA","R:CALENDAR=US&amp;VAR:SYMBOL=B5Q3JZ&amp;VAR:INDEX=0"}</definedName>
    <definedName name="_433__123Graph_XCHART_2" localSheetId="11" hidden="1">#REF!</definedName>
    <definedName name="_44__123Graph_LBL_ACHART_4" localSheetId="11" hidden="1">#REF!</definedName>
    <definedName name="_44__FDSAUDITLINK__" localSheetId="11" hidden="1">{"fdsup://directions/FAT Viewer?action=UPDATE&amp;creator=factset&amp;DYN_ARGS=TRUE&amp;DOC_NAME=FAT:FQL_AUDITING_CLIENT_TEMPLATE.FAT&amp;display_string=Audit&amp;VAR:KEY=FKRWBWPYJQ&amp;VAR:QUERY=RkZfREVCVChRVFIsMCk=&amp;WINDOW=FIRST_POPUP&amp;HEIGHT=450&amp;WIDTH=450&amp;START_MAXIMIZED=FALSE&amp;VA","R:CALENDAR=US&amp;VAR:SYMBOL=B2Q5H5&amp;VAR:INDEX=0"}</definedName>
    <definedName name="_45__123Graph_BCHART_1" localSheetId="11" hidden="1">#REF!</definedName>
    <definedName name="_45__123Graph_LBL_BCHART_2" localSheetId="11" hidden="1">#REF!</definedName>
    <definedName name="_45__123Graph_XCHART_1" localSheetId="11" hidden="1">#REF!</definedName>
    <definedName name="_45__FDSAUDITLINK__" localSheetId="11" hidden="1">{"fdsup://directions/FAT Viewer?action=UPDATE&amp;creator=factset&amp;DYN_ARGS=TRUE&amp;DOC_NAME=FAT:FQL_AUDITING_CLIENT_TEMPLATE.FAT&amp;display_string=Audit&amp;VAR:KEY=OPGHWHAPUT&amp;VAR:QUERY=RkZfREVCVChRVFIsMCk=&amp;WINDOW=FIRST_POPUP&amp;HEIGHT=450&amp;WIDTH=450&amp;START_MAXIMIZED=FALSE&amp;VA","R:CALENDAR=US&amp;VAR:SYMBOL=658923&amp;VAR:INDEX=0"}</definedName>
    <definedName name="_46__FDSAUDITLINK__" localSheetId="11" hidden="1">{"fdsup://directions/FAT Viewer?action=UPDATE&amp;creator=factset&amp;DYN_ARGS=TRUE&amp;DOC_NAME=FAT:FQL_AUDITING_CLIENT_TEMPLATE.FAT&amp;display_string=Audit&amp;VAR:KEY=DUDADIPCVA&amp;VAR:QUERY=RkZfREVCVChRVFIsMCk=&amp;WINDOW=FIRST_POPUP&amp;HEIGHT=450&amp;WIDTH=450&amp;START_MAXIMIZED=FALSE&amp;VA","R:CALENDAR=US&amp;VAR:SYMBOL=B01FLR&amp;VAR:INDEX=0"}</definedName>
    <definedName name="_460__123Graph_XCHART_3" localSheetId="11" hidden="1">#REF!</definedName>
    <definedName name="_47__FDSAUDITLINK__" localSheetId="11" hidden="1">{"fdsup://Directions/FactSet Auditing Viewer?action=AUDIT_VALUE&amp;DB=129&amp;ID1=627137&amp;VALUEID=05194&amp;SDATE=201102&amp;PERIODTYPE=QTR_STD&amp;SCFT=3&amp;window=popup_no_bar&amp;width=385&amp;height=120&amp;START_MAXIMIZED=FALSE&amp;creator=factset&amp;display_string=Audit"}</definedName>
    <definedName name="_48__123Graph_BCHART_2" localSheetId="11" hidden="1">#REF!</definedName>
    <definedName name="_48__123Graph_LBL_BCHART_1" localSheetId="11" hidden="1">#REF!</definedName>
    <definedName name="_48__123Graph_LBL_BCHART_3" localSheetId="11" hidden="1">#REF!</definedName>
    <definedName name="_48__123Graph_XCHART_2" localSheetId="11" hidden="1">#REF!</definedName>
    <definedName name="_48__FDSAUDITLINK__" localSheetId="11" hidden="1">{"fdsup://Directions/FactSet Auditing Viewer?action=AUDIT_VALUE&amp;DB=129&amp;ID1=627137&amp;VALUEID=05192&amp;SDATE=201102&amp;PERIODTYPE=QTR_STD&amp;SCFT=3&amp;window=popup_no_bar&amp;width=385&amp;height=120&amp;START_MAXIMIZED=FALSE&amp;creator=factset&amp;display_string=Audit"}</definedName>
    <definedName name="_481__FDSAUDITLINK__" localSheetId="11" hidden="1">{"fdsup://directions/FAT Viewer?action=UPDATE&amp;creator=factset&amp;DYN_ARGS=TRUE&amp;DOC_NAME=FAT:FQL_AUDITING_CLIENT_TEMPLATE.FAT&amp;display_string=Audit&amp;VAR:KEY=FKZMDKTUXA&amp;VAR:QUERY=KEZGX0JQU19UQU5HKFFUUiw0MDE0MylARkZfQlBTX1RBTkcoQU5OLDQwMTQzKSk=&amp;WINDOW=FIRST_POPUP&amp;H","EIGHT=450&amp;WIDTH=450&amp;START_MAXIMIZED=FALSE&amp;VAR:CALENDAR=US&amp;VAR:SYMBOL=002939&amp;VAR:INDEX=0"}</definedName>
    <definedName name="_487__123Graph_XCHART_4" localSheetId="11" hidden="1">#REF!</definedName>
    <definedName name="_49__FDSAUDITLINK__" localSheetId="11" hidden="1">{"fdsup://directions/FAT Viewer?action=UPDATE&amp;creator=factset&amp;DYN_ARGS=TRUE&amp;DOC_NAME=FAT:FQL_AUDITING_CLIENT_TEMPLATE.FAT&amp;display_string=Audit&amp;VAR:KEY=YLCVWFIZGL&amp;VAR:QUERY=RkZfREVCVChRVFIsMCk=&amp;WINDOW=FIRST_POPUP&amp;HEIGHT=450&amp;WIDTH=450&amp;START_MAXIMIZED=FALSE&amp;VA","R:CALENDAR=US&amp;VAR:SYMBOL=652766&amp;VAR:INDEX=0"}</definedName>
    <definedName name="_5__123Graph_ACHART_3" localSheetId="11" hidden="1">#REF!</definedName>
    <definedName name="_5__123Graph_ACHART_4" localSheetId="11" hidden="1">#REF!</definedName>
    <definedName name="_5__123Graph_BCHART_1" localSheetId="11" hidden="1">#REF!</definedName>
    <definedName name="_5__FDSAUDITLINK__" localSheetId="11" hidden="1">{"fdsup://Directions/FactSet Auditing Viewer?action=AUDIT_VALUE&amp;DB=129&amp;ID1=529412&amp;VALUEID=01004&amp;SDATE=2010&amp;PERIODTYPE=ANN_STD&amp;SCFT=3&amp;window=popup_no_bar&amp;width=385&amp;height=120&amp;START_MAXIMIZED=FALSE&amp;creator=factset&amp;display_string=Audit"}</definedName>
    <definedName name="_50__FDSAUDITLINK__" localSheetId="11" hidden="1">{"fdsup://Directions/FactSet Auditing Viewer?action=AUDIT_VALUE&amp;DB=129&amp;ID1=680580&amp;VALUEID=05194&amp;SDATE=201101&amp;PERIODTYPE=QTR_STD&amp;SCFT=3&amp;window=popup_no_bar&amp;width=385&amp;height=120&amp;START_MAXIMIZED=FALSE&amp;creator=factset&amp;display_string=Audit"}</definedName>
    <definedName name="_51__FDSAUDITLINK__" localSheetId="11" hidden="1">{"fdsup://Directions/FactSet Auditing Viewer?action=AUDIT_VALUE&amp;DB=129&amp;ID1=616216&amp;VALUEID=05194&amp;SDATE=201101&amp;PERIODTYPE=QTR_STD&amp;SCFT=3&amp;window=popup_no_bar&amp;width=385&amp;height=120&amp;START_MAXIMIZED=FALSE&amp;creator=factset&amp;display_string=Audit"}</definedName>
    <definedName name="_52__FDSAUDITLINK__" localSheetId="11" hidden="1">{"fdsup://Directions/FactSet Auditing Viewer?action=AUDIT_VALUE&amp;DB=129&amp;ID1=B01T14&amp;VALUEID=05194&amp;SDATE=201101&amp;PERIODTYPE=QTR_STD&amp;SCFT=3&amp;window=popup_no_bar&amp;width=385&amp;height=120&amp;START_MAXIMIZED=FALSE&amp;creator=factset&amp;display_string=Audit"}</definedName>
    <definedName name="_53__FDSAUDITLINK__" localSheetId="11" hidden="1">{"fdsup://Directions/FactSet Auditing Viewer?action=AUDIT_VALUE&amp;DB=129&amp;ID1=B01LXY&amp;VALUEID=05194&amp;SDATE=201101&amp;PERIODTYPE=QTR_STD&amp;SCFT=3&amp;window=popup_no_bar&amp;width=385&amp;height=120&amp;START_MAXIMIZED=FALSE&amp;creator=factset&amp;display_string=Audit"}</definedName>
    <definedName name="_54__FDSAUDITLINK__" localSheetId="11" hidden="1">{"fdsup://Directions/FactSet Auditing Viewer?action=AUDIT_VALUE&amp;DB=129&amp;ID1=616216&amp;VALUEID=05194&amp;SDATE=201101&amp;PERIODTYPE=QTR_STD&amp;SCFT=3&amp;window=popup_no_bar&amp;width=385&amp;height=120&amp;START_MAXIMIZED=FALSE&amp;creator=factset&amp;display_string=Audit"}</definedName>
    <definedName name="_55__FDSAUDITLINK__" localSheetId="11" hidden="1">{"fdsup://Directions/FactSet Auditing Viewer?action=AUDIT_VALUE&amp;DB=129&amp;ID1=649613&amp;VALUEID=05192&amp;SDATE=201101&amp;PERIODTYPE=QTR_STD&amp;SCFT=3&amp;window=popup_no_bar&amp;width=385&amp;height=120&amp;START_MAXIMIZED=FALSE&amp;creator=factset&amp;display_string=Audit"}</definedName>
    <definedName name="_56__123Graph_BCHART_3" localSheetId="11" hidden="1">#REF!</definedName>
    <definedName name="_56__123Graph_LBL_ACHART_1" localSheetId="11" hidden="1">#REF!</definedName>
    <definedName name="_56__123Graph_LBL_BCHART_3" localSheetId="11" hidden="1">#REF!</definedName>
    <definedName name="_56__FDSAUDITLINK__" localSheetId="11" hidden="1">{"fdsup://Directions/FactSet Auditing Viewer?action=AUDIT_VALUE&amp;DB=129&amp;ID1=680580&amp;VALUEID=05192&amp;SDATE=201101&amp;PERIODTYPE=QTR_STD&amp;SCFT=3&amp;window=popup_no_bar&amp;width=385&amp;height=120&amp;START_MAXIMIZED=FALSE&amp;creator=factset&amp;display_string=Audit"}</definedName>
    <definedName name="_57__FDSAUDITLINK__" localSheetId="11" hidden="1">{"fdsup://Directions/FactSet Auditing Viewer?action=AUDIT_VALUE&amp;DB=129&amp;ID1=616216&amp;VALUEID=05192&amp;SDATE=201101&amp;PERIODTYPE=QTR_STD&amp;SCFT=3&amp;window=popup_no_bar&amp;width=385&amp;height=120&amp;START_MAXIMIZED=FALSE&amp;creator=factset&amp;display_string=Audit"}</definedName>
    <definedName name="_58__FDSAUDITLINK__" localSheetId="11" hidden="1">{"fdsup://Directions/FactSet Auditing Viewer?action=AUDIT_VALUE&amp;DB=129&amp;ID1=B01T14&amp;VALUEID=05192&amp;SDATE=201101&amp;PERIODTYPE=QTR_STD&amp;SCFT=3&amp;window=popup_no_bar&amp;width=385&amp;height=120&amp;START_MAXIMIZED=FALSE&amp;creator=factset&amp;display_string=Audit"}</definedName>
    <definedName name="_59__FDSAUDITLINK__" localSheetId="11" hidden="1">{"fdsup://Directions/FactSet Auditing Viewer?action=AUDIT_VALUE&amp;DB=129&amp;ID1=B01LXY&amp;VALUEID=05192&amp;SDATE=201101&amp;PERIODTYPE=QTR_STD&amp;SCFT=3&amp;window=popup_no_bar&amp;width=385&amp;height=120&amp;START_MAXIMIZED=FALSE&amp;creator=factset&amp;display_string=Audit"}</definedName>
    <definedName name="_6__FDSAUDITLINK__" localSheetId="11" hidden="1">{"fdsup://Directions/FactSet Auditing Viewer?action=AUDIT_VALUE&amp;DB=129&amp;ID1=B2Q4CS&amp;VALUEID=05192&amp;SDATE=201101&amp;PERIODTYPE=QTR_STD&amp;SCFT=3&amp;window=popup_no_bar&amp;width=385&amp;height=120&amp;START_MAXIMIZED=FALSE&amp;creator=factset&amp;display_string=Audit"}</definedName>
    <definedName name="_60__FDSAUDITLINK__" localSheetId="11" hidden="1">{"fdsup://Directions/FactSet Auditing Viewer?action=AUDIT_VALUE&amp;DB=129&amp;ID1=616216&amp;VALUEID=05192&amp;SDATE=201101&amp;PERIODTYPE=QTR_STD&amp;SCFT=3&amp;window=popup_no_bar&amp;width=385&amp;height=120&amp;START_MAXIMIZED=FALSE&amp;creator=factset&amp;display_string=Audit"}</definedName>
    <definedName name="_61__FDSAUDITLINK__" localSheetId="11" hidden="1">{"fdsup://directions/FAT Viewer?action=UPDATE&amp;creator=factset&amp;DYN_ARGS=TRUE&amp;DOC_NAME=FAT:FQL_AUDITING_CLIENT_TEMPLATE.FAT&amp;display_string=Audit&amp;VAR:KEY=HOZMZUDYTG&amp;VAR:QUERY=RkZfREVCVChRVFIsMCk=&amp;WINDOW=FIRST_POPUP&amp;HEIGHT=450&amp;WIDTH=450&amp;START_MAXIMIZED=FALSE&amp;VA","R:CALENDAR=US&amp;VAR:SYMBOL=671897&amp;VAR:INDEX=0"}</definedName>
    <definedName name="_62__FDSAUDITLINK__" localSheetId="11" hidden="1">{"fdsup://directions/FAT Viewer?action=UPDATE&amp;creator=factset&amp;DYN_ARGS=TRUE&amp;DOC_NAME=FAT:FQL_AUDITING_CLIENT_TEMPLATE.FAT&amp;display_string=Audit&amp;VAR:KEY=HOZMZUDYTG&amp;VAR:QUERY=RkZfREVCVChRVFIsMCk=&amp;WINDOW=FIRST_POPUP&amp;HEIGHT=450&amp;WIDTH=450&amp;START_MAXIMIZED=FALSE&amp;VA","R:CALENDAR=US&amp;VAR:SYMBOL=671897&amp;VAR:INDEX=0"}</definedName>
    <definedName name="_62_0__123Graph_BCHAR" localSheetId="11" hidden="1">#REF!</definedName>
    <definedName name="_63__123Graph_BCHART_3" localSheetId="11" hidden="1">#REF!</definedName>
    <definedName name="_63__FDSAUDITLINK__" localSheetId="11" hidden="1">{"fdsup://directions/FAT Viewer?action=UPDATE&amp;creator=factset&amp;DYN_ARGS=TRUE&amp;DOC_NAME=FAT:FQL_AUDITING_CLIENT_TEMPLATE.FAT&amp;display_string=Audit&amp;VAR:KEY=HOZMZUDYTG&amp;VAR:QUERY=RkZfREVCVChRVFIsMCk=&amp;WINDOW=FIRST_POPUP&amp;HEIGHT=450&amp;WIDTH=450&amp;START_MAXIMIZED=FALSE&amp;VA","R:CALENDAR=US&amp;VAR:SYMBOL=671897&amp;VAR:INDEX=0"}</definedName>
    <definedName name="_64__123Graph_LBL_ACHART_1" localSheetId="11" hidden="1">#REF!</definedName>
    <definedName name="_64__123Graph_XCHART_2" localSheetId="11" hidden="1">#REF!</definedName>
    <definedName name="_64__FDSAUDITLINK__" localSheetId="11" hidden="1">{"fdsup://Directions/FactSet Auditing Viewer?action=AUDIT_VALUE&amp;DB=129&amp;ID1=615593&amp;VALUEID=05192&amp;SDATE=201101&amp;PERIODTYPE=QTR_STD&amp;SCFT=3&amp;window=popup_no_bar&amp;width=385&amp;height=120&amp;START_MAXIMIZED=FALSE&amp;creator=factset&amp;display_string=Audit"}</definedName>
    <definedName name="_65__FDSAUDITLINK__" localSheetId="11" hidden="1">{"fdsup://Directions/FactSet Auditing Viewer?action=AUDIT_VALUE&amp;DB=129&amp;ID1=615593&amp;VALUEID=05194&amp;SDATE=201101&amp;PERIODTYPE=QTR_STD&amp;SCFT=3&amp;window=popup_no_bar&amp;width=385&amp;height=120&amp;START_MAXIMIZED=FALSE&amp;creator=factset&amp;display_string=Audit"}</definedName>
    <definedName name="_66__FDSAUDITLINK__" localSheetId="11" hidden="1">{"fdsup://Directions/FactSet Auditing Viewer?action=AUDIT_VALUE&amp;DB=129&amp;ID1=B62B9W&amp;VALUEID=05192&amp;SDATE=201101&amp;PERIODTYPE=QTR_STD&amp;SCFT=3&amp;window=popup_no_bar&amp;width=385&amp;height=120&amp;START_MAXIMIZED=FALSE&amp;creator=factset&amp;display_string=Audit"}</definedName>
    <definedName name="_67__FDSAUDITLINK__" localSheetId="11" hidden="1">{"fdsup://Directions/FactSet Auditing Viewer?action=AUDIT_VALUE&amp;DB=129&amp;ID1=B62B9W&amp;VALUEID=05194&amp;SDATE=201101&amp;PERIODTYPE=QTR_STD&amp;SCFT=3&amp;window=popup_no_bar&amp;width=385&amp;height=120&amp;START_MAXIMIZED=FALSE&amp;creator=factset&amp;display_string=Audit"}</definedName>
    <definedName name="_68__FDSAUDITLINK__" localSheetId="11"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9__FDSAUDITLINK__" localSheetId="11" hidden="1">{"fdsup://Directions/FactSet Auditing Viewer?action=AUDIT_VALUE&amp;DB=129&amp;ID1=B12C0T&amp;VALUEID=05194&amp;SDATE=201101&amp;PERIODTYPE=QTR_STD&amp;SCFT=3&amp;window=popup_no_bar&amp;width=385&amp;height=120&amp;START_MAXIMIZED=FALSE&amp;creator=factset&amp;display_string=Audit"}</definedName>
    <definedName name="_7__FDSAUDITLINK__" localSheetId="11" hidden="1">{"fdsup://Directions/FactSet Auditing Viewer?action=AUDIT_VALUE&amp;DB=129&amp;ID1=B601QS&amp;VALUEID=05192&amp;SDATE=201101&amp;PERIODTYPE=QTR_STD&amp;SCFT=3&amp;window=popup_no_bar&amp;width=385&amp;height=120&amp;START_MAXIMIZED=FALSE&amp;creator=factset&amp;display_string=Audit"}</definedName>
    <definedName name="_70__FDSAUDITLINK__" localSheetId="11" hidden="1">{"fdsup://Directions/FactSet Auditing Viewer?action=AUDIT_VALUE&amp;DB=129&amp;ID1=B12C0T&amp;VALUEID=05192&amp;SDATE=201101&amp;PERIODTYPE=QTR_STD&amp;SCFT=3&amp;window=popup_no_bar&amp;width=385&amp;height=120&amp;START_MAXIMIZED=FALSE&amp;creator=factset&amp;display_string=Audit"}</definedName>
    <definedName name="_71__FDSAUDITLINK__" localSheetId="11" hidden="1">{"fdsup://Directions/FactSet Auditing Viewer?action=AUDIT_VALUE&amp;DB=129&amp;ID1=B12C0T&amp;VALUEID=05194&amp;SDATE=201101&amp;PERIODTYPE=QTR_STD&amp;SCFT=3&amp;window=popup_no_bar&amp;width=385&amp;height=120&amp;START_MAXIMIZED=FALSE&amp;creator=factset&amp;display_string=Audit"}</definedName>
    <definedName name="_72__123Graph_LBL_ACHART_2" localSheetId="11" hidden="1">#REF!</definedName>
    <definedName name="_72__123Graph_XCHART_4" localSheetId="11" hidden="1">#REF!</definedName>
    <definedName name="_72__FDSAUDITLINK__" localSheetId="11" hidden="1">{"fdsup://directions/FAT Viewer?action=UPDATE&amp;creator=factset&amp;DYN_ARGS=TRUE&amp;DOC_NAME=FAT:FQL_AUDITING_CLIENT_TEMPLATE.FAT&amp;display_string=Audit&amp;VAR:KEY=EPKPEBABGZ&amp;VAR:QUERY=RkZfREVCVChRVFIsMCk=&amp;WINDOW=FIRST_POPUP&amp;HEIGHT=450&amp;WIDTH=450&amp;START_MAXIMIZED=FALSE&amp;VA","R:CALENDAR=US&amp;VAR:SYMBOL=B62B9W&amp;VAR:INDEX=0"}</definedName>
    <definedName name="_73__FDSAUDITLINK__" localSheetId="11" hidden="1">{"fdsup://Directions/FactSet Auditing Viewer?action=AUDIT_VALUE&amp;DB=129&amp;ID1=B0YCFG&amp;VALUEID=05192&amp;SDATE=201101&amp;PERIODTYPE=QTR_STD&amp;SCFT=3&amp;window=popup_no_bar&amp;width=385&amp;height=120&amp;START_MAXIMIZED=FALSE&amp;creator=factset&amp;display_string=Audit"}</definedName>
    <definedName name="_74__FDSAUDITLINK__" localSheetId="11" hidden="1">{"fdsup://Directions/FactSet Auditing Viewer?action=AUDIT_VALUE&amp;DB=129&amp;ID1=B0YCFG&amp;VALUEID=05194&amp;SDATE=201101&amp;PERIODTYPE=QTR_STD&amp;SCFT=3&amp;window=popup_no_bar&amp;width=385&amp;height=120&amp;START_MAXIMIZED=FALSE&amp;creator=factset&amp;display_string=Audit"}</definedName>
    <definedName name="_75__FDSAUDITLINK__" localSheetId="11" hidden="1">{"fdsup://Directions/FactSet Auditing Viewer?action=AUDIT_VALUE&amp;DB=129&amp;ID1=649613&amp;VALUEID=05192&amp;SDATE=201101&amp;PERIODTYPE=QTR_STD&amp;SCFT=3&amp;window=popup_no_bar&amp;width=385&amp;height=120&amp;START_MAXIMIZED=FALSE&amp;creator=factset&amp;display_string=Audit"}</definedName>
    <definedName name="_76__FDSAUDITLINK__" localSheetId="11" hidden="1">{"fdsup://Directions/FactSet Auditing Viewer?action=AUDIT_VALUE&amp;DB=129&amp;ID1=B12C0T&amp;VALUEID=05192&amp;SDATE=201101&amp;PERIODTYPE=QTR_STD&amp;SCFT=3&amp;window=popup_no_bar&amp;width=385&amp;height=120&amp;START_MAXIMIZED=FALSE&amp;creator=factset&amp;display_string=Audit"}</definedName>
    <definedName name="_77__FDSAUDITLINK__" localSheetId="11" hidden="1">{"fdsup://Directions/FactSet Auditing Viewer?action=AUDIT_VALUE&amp;DB=129&amp;ID1=B12C0T&amp;VALUEID=05192&amp;SDATE=201101&amp;PERIODTYPE=QTR_STD&amp;SCFT=3&amp;window=popup_no_bar&amp;width=385&amp;height=120&amp;START_MAXIMIZED=FALSE&amp;creator=factset&amp;display_string=Audit"}</definedName>
    <definedName name="_78__FDSAUDITLINK__" localSheetId="11" hidden="1">{"fdsup://Directions/FactSet Auditing Viewer?action=AUDIT_VALUE&amp;DB=129&amp;ID1=B12C0T&amp;VALUEID=05192&amp;SDATE=201101&amp;PERIODTYPE=QTR_STD&amp;SCFT=3&amp;window=popup_no_bar&amp;width=385&amp;height=120&amp;START_MAXIMIZED=FALSE&amp;creator=factset&amp;display_string=Audit"}</definedName>
    <definedName name="_79__FDSAUDITLINK__" localSheetId="11" hidden="1">{"fdsup://Directions/FactSet Auditing Viewer?action=AUDIT_VALUE&amp;DB=129&amp;ID1=680580&amp;VALUEID=05194&amp;SDATE=201101&amp;PERIODTYPE=QTR_STD&amp;SCFT=3&amp;window=popup_no_bar&amp;width=385&amp;height=120&amp;START_MAXIMIZED=FALSE&amp;creator=factset&amp;display_string=Audit"}</definedName>
    <definedName name="_8__123Graph_ACHART_1" localSheetId="11" hidden="1">#REF!</definedName>
    <definedName name="_8__123Graph_ACHART_2" localSheetId="11" hidden="1">#REF!</definedName>
    <definedName name="_8__123Graph_BCHART_2" localSheetId="11" hidden="1">#REF!</definedName>
    <definedName name="_8__123Graph_BCHART_3" localSheetId="11" hidden="1">#REF!</definedName>
    <definedName name="_8__FDSAUDITLINK__" localSheetId="11" hidden="1">{"fdsup://Directions/FactSet Auditing Viewer?action=AUDIT_VALUE&amp;DB=129&amp;ID1=002939&amp;VALUEID=01004&amp;SDATE=2010&amp;PERIODTYPE=ANN_STD&amp;SCFT=3&amp;window=popup_no_bar&amp;width=385&amp;height=120&amp;START_MAXIMIZED=FALSE&amp;creator=factset&amp;display_string=Audit"}</definedName>
    <definedName name="_80__123Graph_LBL_ACHART_3" localSheetId="11" hidden="1">#REF!</definedName>
    <definedName name="_80__FDSAUDITLINK__" localSheetId="11" hidden="1">{"fdsup://Directions/FactSet Auditing Viewer?action=AUDIT_VALUE&amp;DB=129&amp;ID1=680580&amp;VALUEID=05192&amp;SDATE=201101&amp;PERIODTYPE=QTR_STD&amp;SCFT=3&amp;window=popup_no_bar&amp;width=385&amp;height=120&amp;START_MAXIMIZED=FALSE&amp;creator=factset&amp;display_string=Audit"}</definedName>
    <definedName name="_81__FDSAUDITLINK__" localSheetId="11" hidden="1">{"fdsup://Directions/FactSet Auditing Viewer?action=AUDIT_VALUE&amp;DB=129&amp;ID1=B0YCFG&amp;VALUEID=05192&amp;SDATE=201101&amp;PERIODTYPE=QTR_STD&amp;SCFT=3&amp;window=popup_no_bar&amp;width=385&amp;height=120&amp;START_MAXIMIZED=FALSE&amp;creator=factset&amp;display_string=Audit"}</definedName>
    <definedName name="_82__FDSAUDITLINK__" localSheetId="11" hidden="1">{"fdsup://Directions/FactSet Auditing Viewer?action=AUDIT_VALUE&amp;DB=129&amp;ID1=B62B9W&amp;VALUEID=05192&amp;SDATE=201101&amp;PERIODTYPE=QTR_STD&amp;SCFT=3&amp;window=popup_no_bar&amp;width=385&amp;height=120&amp;START_MAXIMIZED=FALSE&amp;creator=factset&amp;display_string=Audit"}</definedName>
    <definedName name="_83__FDSAUDITLINK__" localSheetId="11" hidden="1">{"fdsup://directions/FAT Viewer?action=UPDATE&amp;creator=factset&amp;DYN_ARGS=TRUE&amp;DOC_NAME=FAT:FQL_AUDITING_CLIENT_TEMPLATE.FAT&amp;display_string=Audit&amp;VAR:KEY=OPGHWHAPUT&amp;VAR:QUERY=RkZfREVCVChRVFIsMCk=&amp;WINDOW=FIRST_POPUP&amp;HEIGHT=450&amp;WIDTH=450&amp;START_MAXIMIZED=FALSE&amp;VA","R:CALENDAR=US&amp;VAR:SYMBOL=658923&amp;VAR:INDEX=0"}</definedName>
    <definedName name="_84__FDSAUDITLINK__" localSheetId="11" hidden="1">{"fdsup://directions/FAT Viewer?action=UPDATE&amp;creator=factset&amp;DYN_ARGS=TRUE&amp;DOC_NAME=FAT:FQL_AUDITING_CLIENT_TEMPLATE.FAT&amp;display_string=Audit&amp;VAR:KEY=YZAZOHSNGH&amp;VAR:QUERY=RkZfREVCVChRVFIsMCk=&amp;WINDOW=FIRST_POPUP&amp;HEIGHT=450&amp;WIDTH=450&amp;START_MAXIMIZED=FALSE&amp;VA","R:CALENDAR=US&amp;VAR:SYMBOL=B01T14&amp;VAR:INDEX=0"}</definedName>
    <definedName name="_85__FDSAUDITLINK__" localSheetId="11" hidden="1">{"fdsup://directions/FAT Viewer?action=UPDATE&amp;creator=factset&amp;DYN_ARGS=TRUE&amp;DOC_NAME=FAT:FQL_AUDITING_CLIENT_TEMPLATE.FAT&amp;display_string=Audit&amp;VAR:KEY=YZAZOHSNGH&amp;VAR:QUERY=RkZfREVCVChRVFIsMCk=&amp;WINDOW=FIRST_POPUP&amp;HEIGHT=450&amp;WIDTH=450&amp;START_MAXIMIZED=FALSE&amp;VA","R:CALENDAR=US&amp;VAR:SYMBOL=B01T14&amp;VAR:INDEX=0"}</definedName>
    <definedName name="_88__123Graph_LBL_ACHART_4" localSheetId="11" hidden="1">#REF!</definedName>
    <definedName name="_9__123Graph_ACHART_1" localSheetId="11" hidden="1">#REF!</definedName>
    <definedName name="_9__123Graph_ACHART_3" localSheetId="11" hidden="1">#REF!</definedName>
    <definedName name="_9__123Graph_BCHART_3" localSheetId="11" hidden="1">#REF!</definedName>
    <definedName name="_9__FDSAUDITLINK__" localSheetId="11" hidden="1">{"fdsup://Directions/FactSet Auditing Viewer?action=AUDIT_VALUE&amp;DB=129&amp;ID1=B2QKWK&amp;VALUEID=05192&amp;SDATE=201101&amp;PERIODTYPE=QTR_STD&amp;SCFT=3&amp;window=popup_no_bar&amp;width=385&amp;height=120&amp;START_MAXIMIZED=FALSE&amp;creator=factset&amp;display_string=Audit"}</definedName>
    <definedName name="_96__123Graph_LBL_BCHART_1" localSheetId="11" hidden="1">#REF!</definedName>
    <definedName name="_99__123Graph_LBL_ACHART_4" localSheetId="11" hidden="1">#REF!</definedName>
    <definedName name="_a1" localSheetId="11" hidden="1">{#N/A,#N/A,FALSE,"Pharm";#N/A,#N/A,FALSE,"WWCM"}</definedName>
    <definedName name="_A11" localSheetId="11" hidden="1">{#N/A,#N/A,FALSE,"Umsatz 99";#N/A,#N/A,FALSE,"ER 99 "}</definedName>
    <definedName name="_aaa1" localSheetId="11" hidden="1">{#N/A,#N/A,FALSE,"REPORT"}</definedName>
    <definedName name="_aas1" localSheetId="11" hidden="1">{#N/A,#N/A,FALSE,"REPORT"}</definedName>
    <definedName name="_ACS2000" localSheetId="11" hidden="1">{#N/A,#N/A,FALSE,"REPORT"}</definedName>
    <definedName name="_Actual_for_2004_Measure" localSheetId="11" hidden="1">#REF!</definedName>
    <definedName name="_ADS1" localSheetId="11" hidden="1">{"FCB_ALL",#N/A,FALSE,"FCB"}</definedName>
    <definedName name="_age1"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Apr03" localSheetId="11" hidden="1">{"Statement of Income",#N/A,TRUE,"Mar99";"Balance Sheet",#N/A,TRUE,"Mar99"}</definedName>
    <definedName name="_Apr04" localSheetId="11" hidden="1">{"Statement of Income",#N/A,TRUE,"Mar99";"Balance Sheet",#N/A,TRUE,"Mar99"}</definedName>
    <definedName name="_as1" localSheetId="11" hidden="1">{"FCB_ALL",#N/A,FALSE,"FCB"}</definedName>
    <definedName name="_AS2" localSheetId="11" hidden="1">{"FCB_ALL",#N/A,FALSE,"FCB"}</definedName>
    <definedName name="_as3" localSheetId="11" hidden="1">{"FCB_ALL",#N/A,FALSE,"FCB"}</definedName>
    <definedName name="_AS4" localSheetId="11" hidden="1">{"FCB_ALL",#N/A,FALSE,"FCB"}</definedName>
    <definedName name="_as6" localSheetId="11" hidden="1">{"FCB_ALL",#N/A,FALSE,"FCB"}</definedName>
    <definedName name="_AS7" localSheetId="11" hidden="1">{"FCB_ALL",#N/A,FALSE,"FCB"}</definedName>
    <definedName name="_aud98" localSheetId="11">#REF!</definedName>
    <definedName name="_aug04" localSheetId="11" hidden="1">{"Statement of Income",#N/A,TRUE,"Mar99";"Balance Sheet",#N/A,TRUE,"Mar99"}</definedName>
    <definedName name="_b111" localSheetId="11" hidden="1">{#N/A,#N/A,FALSE,"Pharm";#N/A,#N/A,FALSE,"WWCM"}</definedName>
    <definedName name="_bdm.009bf12725d4456aa5aaf02394719683.edm" localSheetId="11" hidden="1">#REF!</definedName>
    <definedName name="_bdm.02fd679d145d41ba97140b66ebb9860a.edm" localSheetId="11" hidden="1">#REF!</definedName>
    <definedName name="_bdm.030d8fea3f6442edbb9937e5d03c81c9.edm" localSheetId="11" hidden="1">#REF!</definedName>
    <definedName name="_bdm.f98f720359e04de195dafd5feb1f2931.edm" localSheetId="11" hidden="1">#REF!</definedName>
    <definedName name="_c" localSheetId="11" hidden="1">{"Fiesta Facer Page",#N/A,FALSE,"Q_C_S";"Fiesta Main Page",#N/A,FALSE,"V_L";"Fiesta 95BP Struct",#N/A,FALSE,"StructBP";"Fiesta Post 95BP Struct",#N/A,FALSE,"AdjStructBP"}</definedName>
    <definedName name="_cd1" localSheetId="11" hidden="1">{#N/A,#N/A,FALSE,"Job Sched"}</definedName>
    <definedName name="_cd2" localSheetId="11" hidden="1">{#N/A,#N/A,FALSE,"Job Sched"}</definedName>
    <definedName name="_CD3" localSheetId="11" hidden="1">{#N/A,#N/A,FALSE,"Job Sched"}</definedName>
    <definedName name="_cd4" localSheetId="11" hidden="1">{#N/A,#N/A,FALSE,"Job Sched"}</definedName>
    <definedName name="_Cd5" localSheetId="11" hidden="1">{#N/A,#N/A,FALSE,"A"}</definedName>
    <definedName name="_cd8" localSheetId="11" hidden="1">{#N/A,#N/A,FALSE,"Job Sched"}</definedName>
    <definedName name="_Dec01" localSheetId="11" hidden="1">{"Statement of Income",#N/A,TRUE,"Mar99";"Balance Sheet",#N/A,TRUE,"Mar99"}</definedName>
    <definedName name="_df1" localSheetId="11" hidden="1">{#N/A,#N/A,FALSE,"Calc";#N/A,#N/A,FALSE,"Sensitivity";#N/A,#N/A,FALSE,"LT Earn.Dil.";#N/A,#N/A,FALSE,"Dil. AVP"}</definedName>
    <definedName name="_df2" localSheetId="11" hidden="1">{#N/A,#N/A,FALSE,"Calc";#N/A,#N/A,FALSE,"Sensitivity";#N/A,#N/A,FALSE,"LT Earn.Dil.";#N/A,#N/A,FALSE,"Dil. AVP"}</definedName>
    <definedName name="_dfd1" localSheetId="11" hidden="1">{"FCB_ALL",#N/A,FALSE,"FCB";"GREY_ALL",#N/A,FALSE,"GREY"}</definedName>
    <definedName name="_dfk1"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ist_Values" localSheetId="11" hidden="1">#REF!</definedName>
    <definedName name="_djd1"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kj1"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ex1" localSheetId="11">#REF!</definedName>
    <definedName name="_fas123" localSheetId="11" hidden="1">{"Balance Sheet",#N/A,FALSE,"Annual Summary";"Cashflows",#N/A,FALSE,"Annual Summary";"Summary Earnings",#N/A,FALSE,"Annual Summary"}</definedName>
    <definedName name="_feb01" localSheetId="11" hidden="1">{"Statement of Income",#N/A,TRUE,"Mar99";"Balance Sheet",#N/A,TRUE,"Mar99"}</definedName>
    <definedName name="_feb02" localSheetId="11" hidden="1">{"Statement of Income",#N/A,TRUE,"Mar99";"Balance Sheet",#N/A,TRUE,"Mar99"}</definedName>
    <definedName name="_Fill" localSheetId="11" hidden="1">#REF!</definedName>
    <definedName name="_fy97" localSheetId="11" hidden="1">{#N/A,#N/A,FALSE,"FY97";#N/A,#N/A,FALSE,"FY98";#N/A,#N/A,FALSE,"FY99";#N/A,#N/A,FALSE,"FY00";#N/A,#N/A,FALSE,"FY01"}</definedName>
    <definedName name="_hd1" localSheetId="11" hidden="1">{#N/A,#N/A,FALSE,"Calc";#N/A,#N/A,FALSE,"Sensitivity";#N/A,#N/A,FALSE,"LT Earn.Dil.";#N/A,#N/A,FALSE,"Dil. AVP"}</definedName>
    <definedName name="_hd2" localSheetId="11" hidden="1">{#N/A,#N/A,FALSE,"Calc";#N/A,#N/A,FALSE,"Sensitivity";#N/A,#N/A,FALSE,"LT Earn.Dil.";#N/A,#N/A,FALSE,"Dil. AVP"}</definedName>
    <definedName name="_I2" localSheetId="11" hidden="1">{"PVGraph2",#N/A,FALSE,"PV Data"}</definedName>
    <definedName name="_I3" localSheetId="11" hidden="1">{"PVGraph2",#N/A,FALSE,"PV Data"}</definedName>
    <definedName name="_isg2" localSheetId="11" hidden="1">{#N/A,#N/A,FALSE,"REPORT"}</definedName>
    <definedName name="_Jun02" localSheetId="11" hidden="1">{"Statement of Income",#N/A,TRUE,"Mar99";"Balance Sheet",#N/A,TRUE,"Mar99"}</definedName>
    <definedName name="_Key1" localSheetId="11" hidden="1">#REF!</definedName>
    <definedName name="_Mar03" localSheetId="11" hidden="1">{"Statement of Income",#N/A,TRUE,"Mar99";"Balance Sheet",#N/A,TRUE,"Mar99"}</definedName>
    <definedName name="_Mar04" localSheetId="11" hidden="1">{"Statement of Income",#N/A,TRUE,"Mar99";"Balance Sheet",#N/A,TRUE,"Mar99"}</definedName>
    <definedName name="_mfg2" localSheetId="11" hidden="1">{"PAGE 1",#N/A,FALSE,"WEST_OT"}</definedName>
    <definedName name="_mfg3" localSheetId="11" hidden="1">{"PAGE 1",#N/A,FALSE,"WEST_OT"}</definedName>
    <definedName name="_mfg4" localSheetId="11" hidden="1">{"PAGE 1",#N/A,FALSE,"WEST_OT"}</definedName>
    <definedName name="_mfg5" localSheetId="11" hidden="1">{"PAGE 1",#N/A,FALSE,"WEST_OT"}</definedName>
    <definedName name="_new1" localSheetId="11" hidden="1">{#N/A,#N/A,FALSE,"Pharm";#N/A,#N/A,FALSE,"WWCM"}</definedName>
    <definedName name="_new22" localSheetId="11" hidden="1">{#N/A,#N/A,FALSE,"Income";#N/A,#N/A,FALSE,"Cost of Goods Sold";#N/A,#N/A,FALSE,"Other Costs";#N/A,#N/A,FALSE,"Other Income";#N/A,#N/A,FALSE,"Taxes";#N/A,#N/A,FALSE,"Other Deductions";#N/A,#N/A,FALSE,"Compensation of Officers"}</definedName>
    <definedName name="_nt97" localSheetId="11">#REF!</definedName>
    <definedName name="_nt98" localSheetId="11">#REF!</definedName>
    <definedName name="_o1" localSheetId="11" hidden="1">{#N/A,#N/A,FALSE,"SUMMARY";#N/A,#N/A,FALSE,"mcsh";#N/A,#N/A,FALSE,"vol&amp;rev";#N/A,#N/A,FALSE,"wkgcap";#N/A,#N/A,FALSE,"DEPR&amp;DT";#N/A,#N/A,FALSE,"ASSETS";#N/A,#N/A,FALSE,"NI&amp;OTH&amp;DIV";#N/A,#N/A,FALSE,"CASHFLOW";#N/A,#N/A,FALSE,"CAPEMPL";#N/A,#N/A,FALSE,"ROCE"}</definedName>
    <definedName name="_OCT01" localSheetId="11" hidden="1">{"Statement of Income",#N/A,TRUE,"Mar99";"Balance Sheet",#N/A,TRUE,"Mar99"}</definedName>
    <definedName name="_OCT03" localSheetId="11" hidden="1">{"Statement of Income",#N/A,TRUE,"Mar99";"Balance Sheet",#N/A,TRUE,"Mar99"}</definedName>
    <definedName name="_OK2" localSheetId="11" hidden="1">{#N/A,#N/A,FALSE,"Cover";#N/A,#N/A,FALSE,"LUMI";#N/A,#N/A,FALSE,"COMD";#N/A,#N/A,FALSE,"Valuation";#N/A,#N/A,FALSE,"Assumptions";#N/A,#N/A,FALSE,"Pooling";#N/A,#N/A,FALSE,"BalanceSheet"}</definedName>
    <definedName name="_old2" localSheetId="11" hidden="1">{#N/A,#N/A,FALSE,"Income";#N/A,#N/A,FALSE,"Cost of Goods Sold";#N/A,#N/A,FALSE,"Other Costs";#N/A,#N/A,FALSE,"Other Income";#N/A,#N/A,FALSE,"Taxes";#N/A,#N/A,FALSE,"Other Deductions";#N/A,#N/A,FALSE,"Compensation of Officers"}</definedName>
    <definedName name="_org_H_per_pot_others" localSheetId="11">#REF!</definedName>
    <definedName name="_p1" localSheetId="11" hidden="1">{"SUM",#N/A,FALSE,"Details (2)"}</definedName>
    <definedName name="_Parse_In" localSheetId="11" hidden="1">#REF!</definedName>
    <definedName name="_Parse_Out" localSheetId="11" hidden="1">#REF!</definedName>
    <definedName name="_PL2" localSheetId="1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4" localSheetId="11" hidden="1">{#N/A,#N/A,FALSE,"Report Data";#N/A,#N/A,FALSE,"COMP POOL";#N/A,#N/A,FALSE,"COMP POOL NB95";#N/A,#N/A,FALSE,"COMP POOL NB94"}</definedName>
    <definedName name="_PL5" localSheetId="1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p2" localSheetId="11" hidden="1">{"Summary",#N/A,FALSE,"Details (2)"}</definedName>
    <definedName name="_ppp1" localSheetId="11" hidden="1">{"SUM",#N/A,FALSE,"Details (2)"}</definedName>
    <definedName name="_q2" localSheetId="11" hidden="1">{"Summary",#N/A,FALSE,"Details (2)"}</definedName>
    <definedName name="_q4" localSheetId="11" hidden="1">{"Summary",#N/A,FALSE,"Details (2)"}</definedName>
    <definedName name="_q5" localSheetId="11" hidden="1">{"SUM",#N/A,FALSE,"Details (2)"}</definedName>
    <definedName name="_r" localSheetId="11" hidden="1">{#N/A,#N/A,FALSE,"Pharm";#N/A,#N/A,FALSE,"WWCM"}</definedName>
    <definedName name="_Regression_Out" localSheetId="11" hidden="1">#REF!</definedName>
    <definedName name="_Regression_X" localSheetId="11" hidden="1">#REF!</definedName>
    <definedName name="_Regression_Y" localSheetId="11" hidden="1">#REF!</definedName>
    <definedName name="_SEP01" localSheetId="11" hidden="1">{"Statement of Income",#N/A,TRUE,"Mar99";"Balance Sheet",#N/A,TRUE,"Mar99"}</definedName>
    <definedName name="_Sep03" localSheetId="11" hidden="1">{"Statement of Income",#N/A,TRUE,"Mar99";"Balance Sheet",#N/A,TRUE,"Mar99"}</definedName>
    <definedName name="_sg1" localSheetId="11">#REF!</definedName>
    <definedName name="_sgd97" localSheetId="11">#REF!</definedName>
    <definedName name="_sgd98" localSheetId="11">#REF!</definedName>
    <definedName name="_sop3" localSheetId="11" hidden="1">{"data",#N/A,FALSE,"client (3)";"margins",#N/A,FALSE,"client (3)";"multiple",#N/A,FALSE,"client (3)"}</definedName>
    <definedName name="_Sort" localSheetId="11" hidden="1">#REF!</definedName>
    <definedName name="_t2" localSheetId="11" hidden="1">{"'Sheet1'!$A$5:$G$42"}</definedName>
    <definedName name="_t9" localSheetId="11"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Table1_In1" localSheetId="11" hidden="1">#REF!</definedName>
    <definedName name="_Table3_In2" localSheetId="11" hidden="1">#REF!</definedName>
    <definedName name="_tm1" localSheetId="11" hidden="1">{#N/A,#N/A,FALSE,"Pharm";#N/A,#N/A,FALSE,"WWCM"}</definedName>
    <definedName name="_TMAutoChart1Names" localSheetId="11" hidden="1">{"Timeline","Chart 6","Timeline Chart 6"}</definedName>
    <definedName name="_TMAutoChart1Refs" localSheetId="11" hidden="1">{"","","'Timeline'!$F$16","'Timeline'!$F$25","","","","","",""}</definedName>
    <definedName name="_TMAutoChart2Names" localSheetId="11" hidden="1">{"Timeline","Chart 6","Timeline Chart 6"}</definedName>
    <definedName name="_TMAutoChart2Refs" localSheetId="11" hidden="1">{"","","'Timeline'!$F$16","'Timeline'!$H$25","","","","","",""}</definedName>
    <definedName name="_v2" localSheetId="11" hidden="1">{"arpm1995",#N/A,FALSE,"Summary 95-96";"bus_long_distance",#N/A,FALSE,"Summary 95-96";"mins_per_day",#N/A,FALSE,"Summary 95-96";"minutes1995",#N/A,FALSE,"Summary 95-96";"rev_per_day",#N/A,FALSE,"Summary 95-96";"view1995",#N/A,FALSE,"Summary 95-96"}</definedName>
    <definedName name="_ver1" localSheetId="1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w1" localSheetId="11" hidden="1">{"PVGraph2",#N/A,FALSE,"PV Data"}</definedName>
    <definedName name="_w2" localSheetId="11" hidden="1">{"PVGraph2",#N/A,FALSE,"PV Data"}</definedName>
    <definedName name="_w3" localSheetId="11" hidden="1">{"PVGraph2",#N/A,FALSE,"PV Data"}</definedName>
    <definedName name="_wrn1" localSheetId="11" hidden="1">{#N/A,#N/A,FALSE,"DCF";#N/A,#N/A,FALSE,"WACC";#N/A,#N/A,FALSE,"Sales_EBIT";#N/A,#N/A,FALSE,"Capex_Depreciation";#N/A,#N/A,FALSE,"WC";#N/A,#N/A,FALSE,"Interest";#N/A,#N/A,FALSE,"Assumptions"}</definedName>
    <definedName name="_wrn2" localSheetId="11" hidden="1">{#N/A,#N/A,FALSE,"ASSUMPTIONS";#N/A,#N/A,FALSE,"Valuation Summary";"page1",#N/A,FALSE,"PRESENTATION";"page2",#N/A,FALSE,"PRESENTATION";#N/A,#N/A,FALSE,"ORIGINAL_ROLLBACK"}</definedName>
    <definedName name="_wrn3" localSheetId="11" hidden="1">{#N/A,#N/A,FALSE,"ASSUMPTIONS";#N/A,#N/A,FALSE,"Valuation Summary";"page1",#N/A,FALSE,"PRESENTATION";"page2",#N/A,FALSE,"PRESENTATION";#N/A,#N/A,FALSE,"ORIGINAL_ROLLBACK"}</definedName>
    <definedName name="_wrn9" localSheetId="11" hidden="1">{"FCB_ALL",#N/A,FALSE,"FCB"}</definedName>
    <definedName name="_ww2" localSheetId="11" hidden="1">{#N/A,#N/A,FALSE,"Admin";#N/A,#N/A,FALSE,"Other"}</definedName>
    <definedName name="_X1" localSheetId="11" hidden="1">{"Summary",#N/A,FALSE,"Details (2)"}</definedName>
    <definedName name="_X2" localSheetId="11" hidden="1">{#N/A,#N/A,FALSE,"Other";#N/A,#N/A,FALSE,"Ace";#N/A,#N/A,FALSE,"Derm"}</definedName>
    <definedName name="_xlcn.LinkedTable_Table11" localSheetId="11" hidden="1">#REF!</definedName>
    <definedName name="_y2" localSheetId="11" hidden="1">{"PVGraph2",#N/A,FALSE,"PV Data"}</definedName>
    <definedName name="_Zcomps1" localSheetId="11" hidden="1">{0,0,0,0,1,-4105,42.5196850393701,42.5196850393701,42.5196850393701,42.5196850393701,2,TRUE,TRUE,FALSE,FALSE,FALSE,#N/A,1,85,1,1,"","","","&amp;""Kennerly,Roman Bold""&amp;14L&amp;12EHMAN &amp;14 B&amp;12ROTHERS","","",FALSE}</definedName>
    <definedName name="_Zcomps2" localSheetId="11" hidden="1">{0,0,0,0,1,-4105,28.3464566929134,28.3464566929134,28.346456664,28.3464566929134,2,TRUE,TRUE,FALSE,FALSE,FALSE,#N/A,1,85,1,2,"","","","&amp;""Kennerly,Roman Bold""&amp;14L&amp;12EHMAN &amp;14 B&amp;12ROTHERS","","",FALSE}</definedName>
    <definedName name="A" localSheetId="11" hidden="1">#REF!</definedName>
    <definedName name="aa" localSheetId="11" hidden="1">{#N/A,#N/A,FALSE,"Pharm";#N/A,#N/A,FALSE,"WWCM"}</definedName>
    <definedName name="aa.2" localSheetId="11" hidden="1">{#N/A,#N/A,FALSE,"Cashflow Analysis";#N/A,#N/A,FALSE,"Sensitivity Analysis";#N/A,#N/A,FALSE,"PV";#N/A,#N/A,FALSE,"Pro Forma"}</definedName>
    <definedName name="aaa" localSheetId="11" hidden="1">{#N/A,#N/A,FALSE,"Pharm";#N/A,#N/A,FALSE,"WWCM"}</definedName>
    <definedName name="aaaa" localSheetId="11" hidden="1">{#N/A,#N/A,FALSE,"REPORT"}</definedName>
    <definedName name="aaaaa" localSheetId="11" hidden="1">{#N/A,#N/A,FALSE,"REPORT"}</definedName>
    <definedName name="aaaaaa" localSheetId="11" hidden="1">{#N/A,#N/A,FALSE,"REPORT"}</definedName>
    <definedName name="aaaaaaa" localSheetId="11" hidden="1">{"barlup",#N/A,FALSE,"evabnk97";"gillespey",#N/A,FALSE,"evabnk97";"koon",#N/A,FALSE,"evabnk97";"schreur",#N/A,FALSE,"evabnk97";"stone",#N/A,FALSE,"evabnk97";"wichmann",#N/A,FALSE,"evabnk97";"wright",#N/A,FALSE,"evabnk97"}</definedName>
    <definedName name="aaaaaaaaaa" localSheetId="11" hidden="1">{"FCB_ALL",#N/A,FALSE,"FCB";"GREY_ALL",#N/A,FALSE,"GREY"}</definedName>
    <definedName name="aaaaaaaaaaa" localSheetId="11" hidden="1">{#N/A,#N/A,FALSE,"REPORT"}</definedName>
    <definedName name="aaaaaaaaaaaa" localSheetId="11" hidden="1">{#N/A,#N/A,TRUE,"BUD VS ACT AUST 96";#N/A,#N/A,TRUE,"96 COMP P&amp;L-AUST";#N/A,#N/A,TRUE,"COMP BS-AUSTRALIA";#N/A,#N/A,TRUE,"B/S - AUSTR."}</definedName>
    <definedName name="aaaaaaaaaaaaaaa" localSheetId="11" hidden="1">{#N/A,#N/A,FALSE,"Pharm";#N/A,#N/A,FALSE,"WWCM"}</definedName>
    <definedName name="aaasb" localSheetId="11" hidden="1">{#N/A,#N/A,FALSE,"Pharm";#N/A,#N/A,FALSE,"WWCM"}</definedName>
    <definedName name="aab" localSheetId="11" hidden="1">{#N/A,#N/A,FALSE,"Pharm";#N/A,#N/A,FALSE,"WWCM"}</definedName>
    <definedName name="aaddd" localSheetId="11" hidden="1">{#N/A,#N/A,FALSE,"REPORT"}</definedName>
    <definedName name="aas" localSheetId="11" hidden="1">{#N/A,#N/A,FALSE,"1";#N/A,#N/A,FALSE,"2";#N/A,#N/A,FALSE,"16 - 17";#N/A,#N/A,FALSE,"18 - 19";#N/A,#N/A,FALSE,"26";#N/A,#N/A,FALSE,"27";#N/A,#N/A,FALSE,"28"}</definedName>
    <definedName name="aassas" localSheetId="11" hidden="1">{"PR1","pr1",TRUE,"Sch PR-1"}</definedName>
    <definedName name="abc" localSheetId="11" hidden="1">{#N/A,#N/A,FALSE,"REPORT"}</definedName>
    <definedName name="abc.abc" localSheetId="11" hidden="1">{"cash flow - FY02",#N/A,FALSE,"P &amp; L";"cash flow - FY03",#N/A,FALSE,"P &amp; L"}</definedName>
    <definedName name="abc.abc2" localSheetId="11" hidden="1">{"cash flow - FY02",#N/A,FALSE,"P &amp; L";"cash flow - FY03",#N/A,FALSE,"P &amp; L"}</definedName>
    <definedName name="Abrisa" localSheetId="11" hidden="1">{"FY04_Assets",#N/A,FALSE,"Fin Stmt Budget";"FY04_Liabilities",#N/A,FALSE,"Fin Stmt Budget";"FY04_Inc_Stmt",#N/A,FALSE,"Fin Stmt Budget";"FY04_SOCF",#N/A,FALSE,"Fin Stmt Budget"}</definedName>
    <definedName name="absfghbtg" localSheetId="11" hidden="1">#REF!,#REF!,#REF!,#REF!,#REF!,#REF!,#REF!,#REF!,#REF!,#REF!,#REF!,#REF!,#REF!,#REF!,#REF!,#REF!,#REF!,#REF!,#REF!,#REF!,#REF!,#REF!,#REF!,#REF!,#REF!,#REF!,#REF!,#REF!,#REF!,#REF!,#REF!,#REF!,#REF!,#REF!,#REF!,#REF!,#REF!,#REF!,#REF!,#REF!,#REF!,#REF!,#REF!,#REF!,#REF!,#REF!,#REF!,#REF!,#REF!,#REF!,#REF!,#REF!,#REF!,#REF!</definedName>
    <definedName name="acc" localSheetId="11" hidden="1">{"Accretion",#N/A,FALSE,"Assum"}</definedName>
    <definedName name="Accessforecast" localSheetId="11" hidden="1">{"SUM",#N/A,FALSE,"Details (2)"}</definedName>
    <definedName name="actual" localSheetId="11" hidden="1">#REF!</definedName>
    <definedName name="adasa" localSheetId="11" hidden="1">{"'Sheet1'!$A$1:$J$121"}</definedName>
    <definedName name="adasdasdasdasd" localSheetId="11" hidden="1">{"PR1","pr1",TRUE,"Sch PR-1"}</definedName>
    <definedName name="ADBeg" localSheetId="11">#REF!</definedName>
    <definedName name="adcd" localSheetId="11" hidden="1">{#N/A,#N/A,FALSE,"Sheet8";#N/A,#N/A,FALSE,"Sheet7"}</definedName>
    <definedName name="ADCurr" localSheetId="11">#REF!</definedName>
    <definedName name="adf"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 localSheetId="11" hidden="1">{#N/A,#N/A,FALSE,"Aging Summary";#N/A,#N/A,FALSE,"Ratio Analysis";#N/A,#N/A,FALSE,"Test 120 Day Accts";#N/A,#N/A,FALSE,"Tickmarks"}</definedName>
    <definedName name="adfadf" localSheetId="11" hidden="1">{"'Sheet1'!$A$1:$J$121"}</definedName>
    <definedName name="adfadfasfdadf"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dfda"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sdfasfdasdf"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gasdysty" localSheetId="11" hidden="1">{#N/A,#N/A,FALSE,"REPORT"}</definedName>
    <definedName name="adfsfjfjky" localSheetId="11" hidden="1">{#N/A,#N/A,FALSE,"REPORT"}</definedName>
    <definedName name="ADFWAE" localSheetId="11" hidden="1">{"summary1",#N/A,TRUE,"Comps";"summary2",#N/A,TRUE,"Comps";"summary3",#N/A,TRUE,"Comps"}</definedName>
    <definedName name="adgad" localSheetId="1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had" localSheetId="11" hidden="1">{"'Sheet1'!$A$1:$J$121"}</definedName>
    <definedName name="ads" localSheetId="11" hidden="1">{"inputs raw data",#N/A,TRUE,"INPUT"}</definedName>
    <definedName name="adsew" localSheetId="11" hidden="1">{"FCB_ALL",#N/A,FALSE,"FCB"}</definedName>
    <definedName name="ADSFA" localSheetId="11" hidden="1">{"inputs raw data",#N/A,TRUE,"INPUT"}</definedName>
    <definedName name="adsfaw" localSheetId="11" hidden="1">{"FCB_ALL",#N/A,FALSE,"FCB";"GREY_ALL",#N/A,FALSE,"GREY"}</definedName>
    <definedName name="adsfca" localSheetId="11" hidden="1">{"FCB_ALL",#N/A,FALSE,"FCB";"GREY_ALL",#N/A,FALSE,"GREY"}</definedName>
    <definedName name="adsfeklj" localSheetId="11" hidden="1">{"FCB_ALL",#N/A,FALSE,"FCB"}</definedName>
    <definedName name="adsfkl" localSheetId="11" hidden="1">{"FCB_ALL",#N/A,FALSE,"FCB";"GREY_ALL",#N/A,FALSE,"GREY"}</definedName>
    <definedName name="adsga" localSheetId="11" hidden="1">{"FCB_ALL",#N/A,FALSE,"FCB"}</definedName>
    <definedName name="adsgawe" localSheetId="11" hidden="1">{"FCB_ALL",#N/A,FALSE,"FCB"}</definedName>
    <definedName name="adwdlkj" localSheetId="11" hidden="1">{"FCB_ALL",#N/A,FALSE,"FCB"}</definedName>
    <definedName name="ae" localSheetId="11" hidden="1">{"'Edit'!$A$1:$V$2277"}</definedName>
    <definedName name="AEWEW" localSheetId="11" hidden="1">{"inputs raw data",#N/A,TRUE,"INPUT"}</definedName>
    <definedName name="aewfwe" localSheetId="11" hidden="1">{#N/A,#N/A,FALSE,"Brad_DCFM";#N/A,#N/A,FALSE,"Nick_DCFM";#N/A,#N/A,FALSE,"Mobile_DCFM"}</definedName>
    <definedName name="afd" localSheetId="11" hidden="1">{#N/A,#N/A,FALSE,"VALSUM";#N/A,#N/A,FALSE,"MKT.COMPS";#N/A,#N/A,FALSE,"ACQ.MULT.";#N/A,#N/A,FALSE,"DCF - LBO"}</definedName>
    <definedName name="AFDADSFDAS" localSheetId="11" hidden="1">{#N/A,#N/A,FALSE,"REPORT"}</definedName>
    <definedName name="afge" localSheetId="11" hidden="1">{"FCB_ALL",#N/A,FALSE,"FCB";"GREY_ALL",#N/A,FALSE,"GREY"}</definedName>
    <definedName name="africa" localSheetId="11" hidden="1">{#N/A,#N/A,FALSE,"CNS";#N/A,#N/A,FALSE,"Serz";#N/A,#N/A,FALSE,"Ace"}</definedName>
    <definedName name="agafdhsdh" localSheetId="11" hidden="1">{#N/A,#N/A,FALSE,"REPORT"}</definedName>
    <definedName name="age"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1New"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New"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ne" localSheetId="11" hidden="1">{"FCB_ALL",#N/A,FALSE,"FCB";"GREY_ALL",#N/A,FALSE,"GREY"}</definedName>
    <definedName name="agng" localSheetId="11" hidden="1">{#N/A,#N/A,FALSE,"Aging Summary";#N/A,#N/A,FALSE,"Ratio Analysis";#N/A,#N/A,FALSE,"Test 120 Day Accts";#N/A,#N/A,FALSE,"Tickmarks"}</definedName>
    <definedName name="agsgaghgfj" localSheetId="11" hidden="1">{#N/A,#N/A,FALSE,"Pharm";#N/A,#N/A,FALSE,"WWCM"}</definedName>
    <definedName name="ahge" localSheetId="11" hidden="1">{"FCB_ALL",#N/A,FALSE,"FCB";"GREY_ALL",#N/A,FALSE,"GREY"}</definedName>
    <definedName name="AJHFkjDGHF" localSheetId="11" hidden="1">{"Annual_Income",#N/A,FALSE,"Report Page";"Balance_Cash_Flow",#N/A,FALSE,"Report Page";"Quarterly_Income",#N/A,FALSE,"Report Page"}</definedName>
    <definedName name="alb" localSheetId="11" hidden="1">{#N/A,#N/A,FALSE,"Summary";#N/A,#N/A,FALSE,"Edit";#N/A,#N/A,FALSE,"MedProf";#N/A,#N/A,FALSE,"Proj Mgt";#N/A,#N/A,FALSE,"Creat Svc";#N/A,#N/A,FALSE,"Meet Svc";#N/A,#N/A,FALSE,"Non-OCC";#N/A,#N/A,FALSE,"Client Svc";#N/A,#N/A,FALSE,"Bus Dev";#N/A,#N/A,FALSE,"Indirect"}</definedName>
    <definedName name="alex" localSheetId="11" hidden="1">{#N/A,#N/A,FALSE,"REPORT"}</definedName>
    <definedName name="alexan" localSheetId="11" hidden="1">{#N/A,#N/A,FALSE,"REPORT"}</definedName>
    <definedName name="alfredo" localSheetId="11" hidden="1">{#N/A,#N/A,FALSE,"CNS_ADJ";"Balance Consolidado",#N/A,FALSE,"BCEC_CNS";#N/A,#N/A,FALSE,"USGAAP_ADJ"}</definedName>
    <definedName name="allchanges1" localSheetId="11">#REF!</definedName>
    <definedName name="allchanges2" localSheetId="11">#REF!</definedName>
    <definedName name="alloc" localSheetId="11">#REF!</definedName>
    <definedName name="amt" localSheetId="11" hidden="1">{#N/A,#N/A,FALSE,"REPORT"}</definedName>
    <definedName name="ana" localSheetId="11" hidden="1">{#N/A,#N/A,FALSE,"Sheet1";#N/A,#N/A,FALSE,"Sheet2";#N/A,#N/A,FALSE,"Sheet3";#N/A,#N/A,FALSE,"Sheet4";#N/A,#N/A,FALSE,"Sheet5";#N/A,#N/A,FALSE,"Sheet6"}</definedName>
    <definedName name="andy" localSheetId="11" hidden="1">{#N/A,#N/A,FALSE,"REPORT"}</definedName>
    <definedName name="annualforc" localSheetId="11" hidden="1">{#N/A,#N/A,FALSE,"FAB VENDORS";"BUD SUM",#N/A,FALSE,"BUD SUM WO TEX"}</definedName>
    <definedName name="anything" localSheetId="11" hidden="1">{#N/A,#N/A,FALSE,"Output";#N/A,#N/A,FALSE,"Cover Sheet";#N/A,#N/A,FALSE,"Current Mkt. Projections"}</definedName>
    <definedName name="Apr00" localSheetId="11" hidden="1">{"Statement of Income",#N/A,TRUE,"Mar99";"Balance Sheet",#N/A,TRUE,"Mar99"}</definedName>
    <definedName name="Apr00TB" localSheetId="11" hidden="1">{"Statement of Income",#N/A,TRUE,"Mar99";"Balance Sheet",#N/A,TRUE,"Mar99"}</definedName>
    <definedName name="aq" localSheetId="11" hidden="1">{"'Edit'!$A$1:$V$2277"}</definedName>
    <definedName name="ardoutput" localSheetId="1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arew" localSheetId="11" hidden="1">{"cap_structure",#N/A,FALSE,"Graph-Mkt Cap";"price",#N/A,FALSE,"Graph-Price";"ebit",#N/A,FALSE,"Graph-EBITDA";"ebitda",#N/A,FALSE,"Graph-EBITDA"}</definedName>
    <definedName name="arg" localSheetId="11" hidden="1">{"inputs raw data",#N/A,TRUE,"INPUT"}</definedName>
    <definedName name="AS" localSheetId="11" hidden="1">{#N/A,#N/A,FALSE,"Pharm";#N/A,#N/A,FALSE,"WWCM"}</definedName>
    <definedName name="AS2TickmarkLS" localSheetId="11" hidden="1">#REF!</definedName>
    <definedName name="asa" localSheetId="11" hidden="1">{"FCB_ALL",#N/A,FALSE,"FCB"}</definedName>
    <definedName name="asas" localSheetId="11" hidden="1">{#N/A,#N/A,FALSE,"Pharm";#N/A,#N/A,FALSE,"WWCM"}</definedName>
    <definedName name="asasasasas" localSheetId="11" hidden="1">{"PR1","pr1",TRUE,"Sch PR-1"}</definedName>
    <definedName name="asd" localSheetId="11" hidden="1">{#N/A,#N/A,FALSE,"Pharm";#N/A,#N/A,FALSE,"WWCM"}</definedName>
    <definedName name="asdaw" localSheetId="11" hidden="1">{"FCB_ALL",#N/A,FALSE,"FCB"}</definedName>
    <definedName name="asdfadg"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sdfadsf" localSheetId="11" hidden="1">{"'Sheet1'!$A$1:$J$121"}</definedName>
    <definedName name="asdfag" localSheetId="11" hidden="1">{"DTCONSOASSUMPTIONS1",#N/A,FALSE,"CONSO";"DTCONSOASSUMPTIONS2",#N/A,FALSE,"CONSO";"DTCONSOASSUMPTIONS3",#N/A,FALSE,"CONSO";"DTCONSOINCOME",#N/A,FALSE,"CONSO";"DTCOOSAEBITDA",#N/A,FALSE,"COOSA";"DTCONSOCASHFLOW",#N/A,FALSE,"CONSO";"DTCONSOBALANCESHEET",#N/A,FALSE,"CONSO";"DTCONSOCAPEX1",#N/A,FALSE,"CONSO";"DTCONSOCAPEX2",#N/A,FALSE,"CONSO";"DTCONSOCAPEX3",#N/A,FALSE,"CONSO";"DTDONNAASSUMPTIONS1",#N/A,FALSE,"PAPER DONNACONA";"DTDONNAASSUMPTIONS2",#N/A,FALSE,"PAPER DONNACONA";"DTDONNAASSUMPTIONS3",#N/A,FALSE,"PAPER DONNACONA";"DTDONNAINCOME",#N/A,FALSE,"PAPER DONNACONA";"DTDONNACASHFLOW",#N/A,FALSE,"PAPER DONNACONA";"DTDONNABALANCESHEET",#N/A,FALSE,"PAPER DONNACONA";"DTDONNACAPEX",#N/A,FALSE,"PAPER DONNACONA";"DTDOLBEAUASSUMPTIONS1",#N/A,FALSE,"PAPER DOLBEAU";"DTDOLBEAUASSUMPTIONS2",#N/A,FALSE,"PAPER DOLBEAU";"DTDOLBEAUASSUMPTIONS3",#N/A,FALSE,"PAPER DOLBEAU";"DTDOLBEAUINCOME",#N/A,FALSE,"PAPER DOLBEAU";"DTDOLBEAUCASHFLOW",#N/A,FALSE,"PAPER DOLBEAU";"DTDOLBEAUBALANCESHEET",#N/A,FALSE,"PAPER DOLBEAU";"DTDOLBEAUCAPEX",#N/A,FALSE,"PAPER DOLBEAU";"DTLUMBERASSUMPTIONS1",#N/A,FALSE,"LUMBER";"DTLUMBERASSUMPTIONS2",#N/A,FALSE,"LUMBER";"DTLUMBERASSUMPTIONS3",#N/A,FALSE,"LUMBER";"DTLUMBERINCOME",#N/A,FALSE,"LUMBER";"DTLUMBERCASHFLOW",#N/A,FALSE,"LUMBER";"DTLUMBERBALANCESHEET",#N/A,FALSE,"LUMBER";"DTLUMBERCAPEX",#N/A,FALSE,"LUMBER";"DTCOOSAASSUMPTIONS1",#N/A,FALSE,"COOSA";"DTCOOSAASSUMPTION2",#N/A,FALSE,"COOSA";"DTCOOSAASSUMPTIONS3",#N/A,FALSE,"COOSA";"DTCOOSAINCOME",#N/A,FALSE,"COOSA";"DTCOOSACASHFLOW",#N/A,FALSE,"COOSA";"DTCOOSABALANCESHEET",#N/A,FALSE,"COOSA";"DTCOOSACAPEX",#N/A,FALSE,"COOSA";"DTELIMINATIONINCOME",#N/A,FALSE,"ELIMINATION";"DTELIMINATIONCASHFLOW",#N/A,FALSE,"ELIMINATION";"DTELIMINATIONBALANCESHEET",#N/A,FALSE,"ELIMINATION";"DTHEADOFFICEASSUMPTIONS",#N/A,FALSE,"H.OFFICE";"DTHEADOFFICEINCOME",#N/A,FALSE,"H.OFFICE";"DTHEADOFFICECASHFLOW",#N/A,FALSE,"H.OFFICE";"DTHEADOFFICEBALANCESHEET",#N/A,FALSE,"H.OFFICE";"DTHEADOFFICECAPEX",#N/A,FALSE,"H.OFFICE";"DTSEGMENTED",#N/A,FALSE,"SEGMENTED INFO";"DTTAX1",#N/A,FALSE,"impôt";"DTTAX2",#N/A,FALSE,"impôt"}</definedName>
    <definedName name="asdfasdfas" localSheetId="11" hidden="1">{#N/A,#N/A,FALSE,"Sheet1";#N/A,#N/A,FALSE,"Sheet2";#N/A,#N/A,FALSE,"Sheet3";#N/A,#N/A,FALSE,"Sheet4";#N/A,#N/A,FALSE,"Sheet5";#N/A,#N/A,FALSE,"Sheet6"}</definedName>
    <definedName name="asdfe" localSheetId="11" hidden="1">{"FCB_ALL",#N/A,FALSE,"FCB"}</definedName>
    <definedName name="asdfg" localSheetId="11" hidden="1">{#N/A,#N/A,FALSE,"Pharm";#N/A,#N/A,FALSE,"WWCM"}</definedName>
    <definedName name="asdfn" localSheetId="11" hidden="1">{"FCB_ALL",#N/A,FALSE,"FCB";"GREY_ALL",#N/A,FALSE,"GREY"}</definedName>
    <definedName name="asdfSDF" localSheetId="11" hidden="1">{#N/A,#N/A,FALSE,"Sheet1";#N/A,#N/A,FALSE,"Sheet2";#N/A,#N/A,FALSE,"Sheet3";#N/A,#N/A,FALSE,"Sheet4";#N/A,#N/A,FALSE,"Sheet5";#N/A,#N/A,FALSE,"Sheet6"}</definedName>
    <definedName name="asdgaew" localSheetId="11" hidden="1">{"FCB_ALL",#N/A,FALSE,"FCB"}</definedName>
    <definedName name="asdgahdfhth" localSheetId="11" hidden="1">{#N/A,#N/A,FALSE,"REPORT"}</definedName>
    <definedName name="asdgayery" localSheetId="11" hidden="1">{#N/A,#N/A,FALSE,"Pharm";#N/A,#N/A,FALSE,"WWCM"}</definedName>
    <definedName name="asdgfdytyet" localSheetId="11" hidden="1">{#N/A,#N/A,FALSE,"REPORT"}</definedName>
    <definedName name="asdgtryukuio" localSheetId="11" hidden="1">{#N/A,#N/A,FALSE,"REPORT"}</definedName>
    <definedName name="asdjgkl" localSheetId="11" hidden="1">{#N/A,#N/A,FALSE,"Pharm";#N/A,#N/A,FALSE,"WWCM"}</definedName>
    <definedName name="asdr5" localSheetId="11" hidden="1">{"FCB_ALL",#N/A,FALSE,"FCB";"GREY_ALL",#N/A,FALSE,"GREY"}</definedName>
    <definedName name="asfasdf" localSheetId="11" hidden="1">#REF!</definedName>
    <definedName name="asfd" localSheetId="11" hidden="1">{"FCB_ALL",#N/A,FALSE,"FCB"}</definedName>
    <definedName name="asffghujyki" localSheetId="11" hidden="1">{#N/A,#N/A,FALSE,"Pharm";#N/A,#N/A,FALSE,"WWCM"}</definedName>
    <definedName name="ASSA" localSheetId="11" hidden="1">{#N/A,#N/A,FALSE,"1";#N/A,#N/A,FALSE,"2";#N/A,#N/A,FALSE,"16 - 17";#N/A,#N/A,FALSE,"18 - 19";#N/A,#N/A,FALSE,"26";#N/A,#N/A,FALSE,"27";#N/A,#N/A,FALSE,"28"}</definedName>
    <definedName name="assasdafsda" localSheetId="11" hidden="1">{"PR1","pr1",TRUE,"Sch PR-1"}</definedName>
    <definedName name="ASSIGNED_STATES" localSheetId="11">#REF!</definedName>
    <definedName name="ASSS" localSheetId="11" hidden="1">{"FCB_ALL",#N/A,FALSE,"FCB"}</definedName>
    <definedName name="assssss" localSheetId="11" hidden="1">{"FCB_ALL",#N/A,FALSE,"FCB"}</definedName>
    <definedName name="assum" localSheetId="11" hidden="1">{"'Sheet1'!$A$5:$G$42"}</definedName>
    <definedName name="att" localSheetId="11" hidden="1">{#N/A,#N/A,FALSE,"COVER PAGE";#N/A,#N/A,FALSE,"Page 2";#N/A,#N/A,FALSE,"Page 2";#N/A,#N/A,FALSE,"Page 4";#N/A,#N/A,FALSE,"Page5";#N/A,#N/A,FALSE,"Page 6";#N/A,#N/A,FALSE,"Page 7";#N/A,#N/A,FALSE,"Page 8";#N/A,#N/A,FALSE,"Page 10";#N/A,#N/A,FALSE,"Long-Term OCF Mult.";#N/A,#N/A,FALSE,"PCS Comp";#N/A,#N/A,FALSE,"OCS-CAPEX";#N/A,#N/A,FALSE,"Blank"}</definedName>
    <definedName name="aust" localSheetId="11" hidden="1">{#N/A,#N/A,TRUE,"BUD VS ACT AUST 96";#N/A,#N/A,TRUE,"96 COMP P&amp;L-AUST";#N/A,#N/A,TRUE,"COMP BS-AUSTRALIA";#N/A,#N/A,TRUE,"B/S - AUSTR."}</definedName>
    <definedName name="ave"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we" localSheetId="11" hidden="1">{#N/A,#N/A,FALSE,"COVER";#N/A,#N/A,FALSE,"Index";#N/A,#N/A,FALSE,"Non-Earning";#N/A,#N/A,FALSE,"Commercial";#N/A,#N/A,FALSE,"Detailed"}</definedName>
    <definedName name="awea" localSheetId="11" hidden="1">{"FCB_ALL",#N/A,FALSE,"FCB";"GREY_ALL",#N/A,FALSE,"GREY"}</definedName>
    <definedName name="AX" localSheetId="11" hidden="1">{#N/A,#N/A,FALSE,"Pharm";#N/A,#N/A,FALSE,"WWCM"}</definedName>
    <definedName name="ayman" localSheetId="11" hidden="1">{#N/A,#N/A,FALSE,"1";#N/A,#N/A,FALSE,"2";#N/A,#N/A,FALSE,"16 - 17";#N/A,#N/A,FALSE,"18 - 19";#N/A,#N/A,FALSE,"26";#N/A,#N/A,FALSE,"27";#N/A,#N/A,FALSE,"28"}</definedName>
    <definedName name="ayman1" localSheetId="11" hidden="1">{#N/A,#N/A,FALSE,"Pharm";#N/A,#N/A,FALSE,"WWCM"}</definedName>
    <definedName name="ayman2" localSheetId="11" hidden="1">{#N/A,#N/A,FALSE,"Pharm";#N/A,#N/A,FALSE,"WWCM"}</definedName>
    <definedName name="ayman7" localSheetId="11" hidden="1">{#N/A,#N/A,FALSE,"REPORT"}</definedName>
    <definedName name="ayman8" localSheetId="11" hidden="1">{#N/A,#N/A,FALSE,"REPORT"}</definedName>
    <definedName name="az" localSheetId="11" hidden="1">{#N/A,#N/A,FALSE,"Pharm";#N/A,#N/A,FALSE,"WWCM"}</definedName>
    <definedName name="azeazr" localSheetId="11" hidden="1">{#N/A,#N/A,FALSE,"Sales Graph";#N/A,#N/A,FALSE,"BUC Graph";#N/A,#N/A,FALSE,"P&amp;L - YTD"}</definedName>
    <definedName name="azerety" localSheetId="11" hidden="1">{#N/A,#N/A,FALSE,"Pharm";#N/A,#N/A,FALSE,"WWCM"}</definedName>
    <definedName name="b" localSheetId="11" hidden="1">{"barlup",#N/A,FALSE,"evabnk97";"gillespey",#N/A,FALSE,"evabnk97";"koon",#N/A,FALSE,"evabnk97";"schreur",#N/A,FALSE,"evabnk97";"stone",#N/A,FALSE,"evabnk97";"wichmann",#N/A,FALSE,"evabnk97";"wright",#N/A,FALSE,"evabnk97"}</definedName>
    <definedName name="ba" localSheetId="11" hidden="1">{"FCB_ALL",#N/A,FALSE,"FCB";"GREY_ALL",#N/A,FALSE,"GREY"}</definedName>
    <definedName name="Bank" localSheetId="11" hidden="1">{TRUE,TRUE,-1.25,-15.5,456.75,279.75,FALSE,FALSE,TRUE,TRUE,0,1,21,1,127,6,3,4,TRUE,TRUE,3,TRUE,1,TRUE,100,"Swvu.profits.","ACwvu.profits.",1,FALSE,FALSE,0.511811023622047,0.511811023622047,0.511811023622047,0.511811023622047,1,"","",FALSE,FALSE,FALSE,FALSE,1,#N/A,1,1,#DIV/0!,FALSE,"Rwvu.profits.",#N/A,FALSE,FALSE}</definedName>
    <definedName name="barrera" localSheetId="11" hidden="1">{#N/A,#N/A,FALSE,"RESUMEN ECON.";#N/A,#N/A,FALSE,"Costos de R.H.";#N/A,#N/A,FALSE,"COSTO HW";#N/A,#N/A,FALSE,"CUADROS";#N/A,#N/A,FALSE,"SCADA´s";#N/A,#N/A,FALSE,"PRECIOS EQUIPOS"}</definedName>
    <definedName name="bb" localSheetId="11" hidden="1">{#N/A,#N/A,FALSE,"Assessment";#N/A,#N/A,FALSE,"Staffing";#N/A,#N/A,FALSE,"Hires";#N/A,#N/A,FALSE,"Assumptions"}</definedName>
    <definedName name="bbb" localSheetId="11" hidden="1">{#N/A,#N/A,FALSE,"Pharm";#N/A,#N/A,FALSE,"WWCM"}</definedName>
    <definedName name="bbbb" localSheetId="11" hidden="1">{#N/A,#N/A,FALSE,"REPORT"}</definedName>
    <definedName name="bbbbb" localSheetId="11" hidden="1">{#N/A,#N/A,FALSE,"Pharm";#N/A,#N/A,FALSE,"WWCM"}</definedName>
    <definedName name="BBBBBB" localSheetId="11" hidden="1">{#N/A,#N/A,FALSE,"REPORT"}</definedName>
    <definedName name="BBBBBBBBB" localSheetId="11" hidden="1">{#N/A,#N/A,FALSE,"REPORT"}</definedName>
    <definedName name="bbbbbbbbbbbbb" localSheetId="11" hidden="1">{#N/A,#N/A,FALSE,"Pharm";#N/A,#N/A,FALSE,"WWCM"}</definedName>
    <definedName name="BD" localSheetId="11" hidden="1">{"EBITDA",#N/A,TRUE,"P&amp;L Net of Disc Ops";"output net of disc ops",#N/A,TRUE,"Revenue";"input",#N/A,TRUE,"Revenue";"output",#N/A,TRUE,"DC";"Input",#N/A,TRUE,"DC";"MTN and MCN",#N/A,TRUE,"Margin";"output detail line items",#N/A,TRUE,"SGA";"personnel by year",#N/A,TRUE,"Payroll";#N/A,#N/A,TRUE,"CapEx"}</definedName>
    <definedName name="Bear" localSheetId="11" hidden="1">{#N/A,#N/A,FALSE,"TS";#N/A,#N/A,FALSE,"Combo";#N/A,#N/A,FALSE,"FAIR";#N/A,#N/A,FALSE,"RBC";#N/A,#N/A,FALSE,"xxxx";#N/A,#N/A,FALSE,"A_D";#N/A,#N/A,FALSE,"WACC";#N/A,#N/A,FALSE,"DCF";#N/A,#N/A,FALSE,"LBO";#N/A,#N/A,FALSE,"AcqMults";#N/A,#N/A,FALSE,"CompMults"}</definedName>
    <definedName name="Bebefits" localSheetId="11" hidden="1">{"summary",#N/A,FALSE,"3 yr average";"comps",#N/A,FALSE,"3 yr average"}</definedName>
    <definedName name="Beg_Bal" localSheetId="11">#REF!</definedName>
    <definedName name="Beginning_Balance" localSheetId="11">-FV(Interest_Rate/12,#REF!-1,-#REF!,'Pro Forma Financials (Q1)'!Loan_Amount)</definedName>
    <definedName name="bill" localSheetId="11" hidden="1">{"PAGE 1",#N/A,FALSE,"WEST_OT"}</definedName>
    <definedName name="bill1" localSheetId="11" hidden="1">{"PAGE 1",#N/A,FALSE,"WEST_OT"}</definedName>
    <definedName name="bill2" localSheetId="11" hidden="1">{"PAGE 1",#N/A,FALSE,"WEST_OT"}</definedName>
    <definedName name="bill3" localSheetId="11" hidden="1">{"PAGE 1",#N/A,FALSE,"WEST_OT"}</definedName>
    <definedName name="billrev2" localSheetId="11" hidden="1">{"PAGE 1",#N/A,FALSE,"WEST_OT"}</definedName>
    <definedName name="bilol" localSheetId="11" hidden="1">{#N/A,#N/A,FALSE,"VALSUM";#N/A,#N/A,FALSE,"MKT.COMPS";#N/A,#N/A,FALSE,"ACQ.MULT.";#N/A,#N/A,FALSE,"DCF - LBO"}</definedName>
    <definedName name="BL" localSheetId="11" hidden="1">#REF!</definedName>
    <definedName name="BLANKS"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PH1" localSheetId="11" hidden="1">#REF!</definedName>
    <definedName name="BLPH15" localSheetId="11" hidden="1">#REF!</definedName>
    <definedName name="BLUE" localSheetId="11" hidden="1">{#N/A,#N/A,FALSE,"Barranca"}</definedName>
    <definedName name="BLUE1" localSheetId="11" hidden="1">{#N/A,#N/A,FALSE,"Total";#N/A,#N/A,FALSE,"Sew";#N/A,#N/A,FALSE,"Finish";#N/A,#N/A,FALSE,"CUT";#N/A,#N/A,FALSE,"Mill 5";#N/A,#N/A,FALSE,"Mill 6";#N/A,#N/A,FALSE,"Mill 8";#N/A,#N/A,FALSE,"Mill 9";#N/A,#N/A,FALSE,"Mill 10";#N/A,#N/A,FALSE,"Mill 12";#N/A,#N/A,FALSE,"Mill 15";#N/A,#N/A,FALSE,"Mill 17"}</definedName>
    <definedName name="BM" localSheetId="11" hidden="1">{"EBITDA",#N/A,TRUE,"P&amp;L Net of Disc Ops";"output net of disc ops",#N/A,TRUE,"Revenue";"input",#N/A,TRUE,"Revenue";"output",#N/A,TRUE,"DC";"Input",#N/A,TRUE,"DC";"MTN and MCN",#N/A,TRUE,"Margin";"output detail line items",#N/A,TRUE,"SGA";"personnel by year",#N/A,TRUE,"Payroll";#N/A,#N/A,TRUE,"CapEx"}</definedName>
    <definedName name="BNE_MESSAGES_HIDDEN" localSheetId="11" hidden="1">#REF!</definedName>
    <definedName name="bnm" localSheetId="11" hidden="1">{#N/A,#N/A,FALSE,"REPORT"}</definedName>
    <definedName name="bnnn" localSheetId="11" hidden="1">{"consolidated",#N/A,FALSE,"Sheet1";"cms",#N/A,FALSE,"Sheet1";"fse",#N/A,FALSE,"Sheet1"}</definedName>
    <definedName name="Bracket_0" localSheetId="11">#REF!</definedName>
    <definedName name="Bracket_1" localSheetId="11">#REF!</definedName>
    <definedName name="Bracket_2" localSheetId="11">#REF!</definedName>
    <definedName name="Brightline" localSheetId="11" hidden="1">{"Curr Month",#N/A,FALSE,"Curr Mo";"Total West",#N/A,FALSE,"Curr Mo";"YTD",#N/A,FALSE,"Curr Mo";"12 Months",#N/A,FALSE,"Curr Mo";"13 Months",#N/A,FALSE,"Curr Mo";"14 Months",#N/A,FALSE,"Curr Mo";"15 Months",#N/A,FALSE,"Curr Mo";"43 Months",#N/A,FALSE,"Curr Mo";"45 Months",#N/A,FALSE,"Curr Mo";"63 Months",#N/A,FALSE,"Curr Mo"}</definedName>
    <definedName name="Briteline" localSheetId="11" hidden="1">{"Curr Month",#N/A,FALSE,"Curr Mo";"Total West",#N/A,FALSE,"Curr Mo";"YTD",#N/A,FALSE,"Curr Mo";"12 Months",#N/A,FALSE,"Curr Mo";"13 Months",#N/A,FALSE,"Curr Mo";"14 Months",#N/A,FALSE,"Curr Mo";"15 Months",#N/A,FALSE,"Curr Mo";"43 Months",#N/A,FALSE,"Curr Mo";"45 Months",#N/A,FALSE,"Curr Mo";"63 Months",#N/A,FALSE,"Curr Mo"}</definedName>
    <definedName name="briteline___" localSheetId="11" hidden="1">{"Curr Month",#N/A,FALSE,"Curr Mo";"Total West",#N/A,FALSE,"Curr Mo";"YTD",#N/A,FALSE,"Curr Mo";"12 Months",#N/A,FALSE,"Curr Mo";"13 Months",#N/A,FALSE,"Curr Mo";"14 Months",#N/A,FALSE,"Curr Mo";"15 Months",#N/A,FALSE,"Curr Mo";"43 Months",#N/A,FALSE,"Curr Mo";"45 Months",#N/A,FALSE,"Curr Mo";"63 Months",#N/A,FALSE,"Curr Mo"}</definedName>
    <definedName name="BROWN"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S" localSheetId="11">#REF!</definedName>
    <definedName name="BSDate" localSheetId="11">#REF!</definedName>
    <definedName name="BSSSS" localSheetId="11" hidden="1">#REF!</definedName>
    <definedName name="budget1" localSheetId="11" hidden="1">{"Overview",#N/A,TRUE,"Overview";"New Gen",#N/A,TRUE,"New Gen";"cap-ex",#N/A,TRUE,"Consol cap-ex";"cap-ex",#N/A,TRUE,"APC cap-ex";"cap-ex",#N/A,TRUE,"GPC cap-ex";"cap-ex",#N/A,TRUE,"GUL cap-ex";"cap-ex",#N/A,TRUE,"MPC cap-ex";"cap-ex",#N/A,TRUE,"SAV cap-ex";"cap-ex",#N/A,TRUE,"SEGCO cap-ex";"cap-ex",#N/A,TRUE,"SWE cap-ex"}</definedName>
    <definedName name="BudgetSumm" localSheetId="11" hidden="1">{#N/A,#N/A,FALSE,"Cashflow Analysis";#N/A,#N/A,FALSE,"Sensitivity Analysis";#N/A,#N/A,FALSE,"PV";#N/A,#N/A,FALSE,"Pro Forma"}</definedName>
    <definedName name="BudgetSumm.2" localSheetId="11" hidden="1">{#N/A,#N/A,FALSE,"Cashflow Analysis";#N/A,#N/A,FALSE,"Sensitivity Analysis";#N/A,#N/A,FALSE,"PV";#N/A,#N/A,FALSE,"Pro Forma"}</definedName>
    <definedName name="c.LTMYear" localSheetId="11" hidden="1">#REF!</definedName>
    <definedName name="cade" localSheetId="11" hidden="1">{"FCB_ALL",#N/A,FALSE,"FCB"}</definedName>
    <definedName name="cads" localSheetId="11" hidden="1">{"FCB_ALL",#N/A,FALSE,"FCB"}</definedName>
    <definedName name="cadsf" localSheetId="11" hidden="1">{"FCB_ALL",#N/A,FALSE,"FCB"}</definedName>
    <definedName name="caega" localSheetId="11" hidden="1">{"FCB_ALL",#N/A,FALSE,"FCB"}</definedName>
    <definedName name="caer" localSheetId="11" hidden="1">{"FCB_ALL",#N/A,FALSE,"FCB"}</definedName>
    <definedName name="cagare" localSheetId="11" hidden="1">{"FCB_ALL",#N/A,FALSE,"FCB"}</definedName>
    <definedName name="cancel" localSheetId="11" hidden="1">{"PARTNERS CAPITAL STMT",#N/A,FALSE,"Partners Capital"}</definedName>
    <definedName name="cancel2" localSheetId="11" hidden="1">{"PNLProjDL",#N/A,FALSE,"PROJCO";"PNLParDL",#N/A,FALSE,"Parent"}</definedName>
    <definedName name="cancel3" localSheetId="11" hidden="1">{"Summary",#N/A,FALSE,"MICMULT";"Income Statement",#N/A,FALSE,"MICMULT";"Cash Flows",#N/A,FALSE,"MICMULT"}</definedName>
    <definedName name="cap.pos" localSheetId="11"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apacity" localSheetId="11" hidden="1">{#N/A,#N/A,FALSE,"IPO";#N/A,#N/A,FALSE,"DCF";#N/A,#N/A,FALSE,"LBO";#N/A,#N/A,FALSE,"MULT_VAL";#N/A,#N/A,FALSE,"Status Quo";#N/A,#N/A,FALSE,"Recap"}</definedName>
    <definedName name="CapCase" localSheetId="11">#REF!</definedName>
    <definedName name="CapContCurr" localSheetId="11">#REF!</definedName>
    <definedName name="CapContPrior" localSheetId="11">#REF!</definedName>
    <definedName name="cash" localSheetId="11">#REF!</definedName>
    <definedName name="CASH_PRICE" localSheetId="11">#REF!</definedName>
    <definedName name="cavde" localSheetId="11" hidden="1">{"FCB_ALL",#N/A,FALSE,"FCB"}</definedName>
    <definedName name="cc" localSheetId="11" hidden="1">{"bs",#N/A,FALSE,"SCF"}</definedName>
    <definedName name="ccc" localSheetId="11" hidden="1">{#N/A,#N/A,TRUE,"Summary";#N/A,#N/A,TRUE,"Assumptions";#N/A,#N/A,TRUE,"Comparison";#N/A,#N/A,TRUE,"Financials";#N/A,#N/A,TRUE,"Plan v. Act"}</definedName>
    <definedName name="cccc" localSheetId="11" hidden="1">{#N/A,#N/A,FALSE,"Assessment";#N/A,#N/A,FALSE,"Staffing";#N/A,#N/A,FALSE,"Hires";#N/A,#N/A,FALSE,"Assumptions"}</definedName>
    <definedName name="CCOmps" localSheetId="11" hidden="1">{"page1",#N/A,TRUE,"PRICING";"page2",#N/A,TRUE,"PRICING"}</definedName>
    <definedName name="cd0" localSheetId="11" hidden="1">{#N/A,#N/A,FALSE,"Job Sched"}</definedName>
    <definedName name="cdsds" localSheetId="11" hidden="1">{#N/A,#N/A,TRUE,"BUD VS ACT AUST 96";#N/A,#N/A,TRUE,"96 COMP P&amp;L-AUST";#N/A,#N/A,TRUE,"COMP BS-AUSTRALIA";#N/A,#N/A,TRUE,"B/S - AUSTR."}</definedName>
    <definedName name="CDW" localSheetId="11" hidden="1">{#N/A,#N/A,FALSE,"Job Sched"}</definedName>
    <definedName name="CFFleet" localSheetId="11" hidden="1">{#N/A,#N/A,FALSE,"Cover";#N/A,#N/A,FALSE,"TOC";#N/A,#N/A,FALSE,"IS";#N/A,#N/A,FALSE,"Mo. IS";#N/A,#N/A,FALSE,"Cont By Div";#N/A,#N/A,FALSE,"BS";#N/A,#N/A,FALSE,"CF";#N/A,#N/A,FALSE,"Inventory"}</definedName>
    <definedName name="cgaf" localSheetId="11" hidden="1">{"FCB_ALL",#N/A,FALSE,"FCB"}</definedName>
    <definedName name="cgafde" localSheetId="11" hidden="1">{"FCB_ALL",#N/A,FALSE,"FCB"}</definedName>
    <definedName name="ChangeRange" localSheetId="11" hidden="1">#REF!</definedName>
    <definedName name="Chart" localSheetId="11" hidden="1">{#N/A,#N/A,FALSE,"Pharm";#N/A,#N/A,FALSE,"WWCM"}</definedName>
    <definedName name="chartNew" localSheetId="11" hidden="1">{#N/A,#N/A,FALSE,"SUMMARY";#N/A,#N/A,FALSE,"mcsh";#N/A,#N/A,FALSE,"vol&amp;rev";#N/A,#N/A,FALSE,"wkgcap";#N/A,#N/A,FALSE,"DEPR&amp;DT";#N/A,#N/A,FALSE,"ASSETS";#N/A,#N/A,FALSE,"NI&amp;OTH&amp;DIV";#N/A,#N/A,FALSE,"CASHFLOW";#N/A,#N/A,FALSE,"CAPEMPL";#N/A,#N/A,FALSE,"ROCE"}</definedName>
    <definedName name="check2" localSheetId="11" hidden="1">{#N/A,#N/A,FALSE,"Cashflow Analysis";#N/A,#N/A,FALSE,"Sensitivity Analysis";#N/A,#N/A,FALSE,"PV";#N/A,#N/A,FALSE,"Pro Forma"}</definedName>
    <definedName name="cheryl" localSheetId="11" hidden="1">{#N/A,#N/A,FALSE,"Barranca"}</definedName>
    <definedName name="chgeas" localSheetId="11" hidden="1">{"FCB_ALL",#N/A,FALSE,"FCB"}</definedName>
    <definedName name="chosie" localSheetId="11" hidden="1">{#N/A,#N/A,FALSE,"Pharm";#N/A,#N/A,FALSE,"WWCM"}</definedName>
    <definedName name="CIQANR_13a80e60b0854509a2f63c71534b92b8" localSheetId="11" hidden="1">#REF!</definedName>
    <definedName name="CIQANR_147f2cd0dc8f4e11822d613cc9a62d00" localSheetId="11" hidden="1">#REF!</definedName>
    <definedName name="CIQWBGuid" localSheetId="11" hidden="1">"204096d0-3f23-466d-acef-0208527d2ad2"</definedName>
    <definedName name="Circ" localSheetId="11">#REF!</definedName>
    <definedName name="CIRCABBA" localSheetId="11">#REF!</definedName>
    <definedName name="CircAcq4" localSheetId="11">#REF!</definedName>
    <definedName name="cmmt" localSheetId="11">#REF!</definedName>
    <definedName name="COGstandard" localSheetId="11" hidden="1">{#N/A,#N/A,FALSE,"Pharm";#N/A,#N/A,FALSE,"WWCM"}</definedName>
    <definedName name="comm" localSheetId="11" hidden="1">{"PAGE 1",#N/A,FALSE,"WEST_OT"}</definedName>
    <definedName name="comm2" localSheetId="11" hidden="1">{"PAGE 1",#N/A,FALSE,"WEST_OT"}</definedName>
    <definedName name="comm3" localSheetId="11" hidden="1">{"PAGE 1",#N/A,FALSE,"WEST_OT"}</definedName>
    <definedName name="commrev2" localSheetId="11" hidden="1">{"PAGE 1",#N/A,FALSE,"WEST_OT"}</definedName>
    <definedName name="Company" localSheetId="11">#REF!</definedName>
    <definedName name="CompanyFilter" localSheetId="11">#REF!</definedName>
    <definedName name="Compco1" localSheetId="11" hidden="1">{"Page1",#N/A,FALSE,"CompCo";"Page2",#N/A,FALSE,"CompCo"}</definedName>
    <definedName name="Compco2" localSheetId="11" hidden="1">{"Page1",#N/A,FALSE,"CompCo";"Page2",#N/A,FALSE,"CompCo"}</definedName>
    <definedName name="compound_period" localSheetId="11">INDEX({2,12,4,1},MATCH(#REF!,'Pro Forma Financials (Q1)'!compound_periods,0))</definedName>
    <definedName name="compound_periods" localSheetId="11">{"Semi-Annually";"Monthly";"Quarterly";"Annually"}</definedName>
    <definedName name="conflict" localSheetId="11" hidden="1">{"arpm1995",#N/A,FALSE,"Summary 95-96";"bus_long_distance",#N/A,FALSE,"Summary 95-96";"mins_per_day",#N/A,FALSE,"Summary 95-96";"minutes1995",#N/A,FALSE,"Summary 95-96";"rev_per_day",#N/A,FALSE,"Summary 95-96";"view1995",#N/A,FALSE,"Summary 95-96"}</definedName>
    <definedName name="consumer" localSheetId="11" hidden="1">{"'Sheet1'!$A$5:$G$42"}</definedName>
    <definedName name="ContentsHelp" localSheetId="11" hidden="1">#REF!</definedName>
    <definedName name="copin" localSheetId="11" hidden="1">{#N/A,#N/A,TRUE,"RESUMEN ECON.";#N/A,#N/A,TRUE,"Costos de R.H.";#N/A,#N/A,TRUE,"COSTO HW";#N/A,#N/A,TRUE,"CUADROS";#N/A,#N/A,TRUE,"SCADA´s";#N/A,#N/A,TRUE,"PRECIOS EQUIPOS"}</definedName>
    <definedName name="copon" localSheetId="11" hidden="1">{#N/A,#N/A,FALSE,"RESUMEN ECON.";#N/A,#N/A,FALSE,"Costos de R.H.";#N/A,#N/A,FALSE,"COSTO HW";#N/A,#N/A,FALSE,"CUADROS";#N/A,#N/A,FALSE,"SCADA´s";#N/A,#N/A,FALSE,"PRECIOS EQUIPOS"}</definedName>
    <definedName name="COPY" localSheetId="11" hidden="1">{#N/A,#N/A,FALSE,"Pharm";#N/A,#N/A,FALSE,"WWCM"}</definedName>
    <definedName name="copy1" localSheetId="11" hidden="1">{#N/A,#N/A,FALSE,"Pharm";#N/A,#N/A,FALSE,"WWCM"}</definedName>
    <definedName name="COPY2" localSheetId="11" hidden="1">{#N/A,#N/A,FALSE,"Pharm";#N/A,#N/A,FALSE,"WWCM"}</definedName>
    <definedName name="copy233" localSheetId="11" hidden="1">{#N/A,#N/A,FALSE,"Pharm";#N/A,#N/A,FALSE,"WWCM"}</definedName>
    <definedName name="copy33" localSheetId="11" hidden="1">{#N/A,#N/A,FALSE,"Pharm";#N/A,#N/A,FALSE,"WWCM"}</definedName>
    <definedName name="copy38" localSheetId="11" hidden="1">{#N/A,#N/A,FALSE,"Pharm";#N/A,#N/A,FALSE,"WWCM"}</definedName>
    <definedName name="corp" localSheetId="11" hidden="1">{#N/A,#N/A,TRUE,"BUD VS ACT AUST 96";#N/A,#N/A,TRUE,"96 COMP P&amp;L-AUST";#N/A,#N/A,TRUE,"COMP BS-AUSTRALIA";#N/A,#N/A,TRUE,"B/S - AUSTR."}</definedName>
    <definedName name="Costes" localSheetId="11" hidden="1">{#N/A,#N/A,TRUE,"RESUMEN ECON.";#N/A,#N/A,TRUE,"Costos de R.H.";#N/A,#N/A,TRUE,"COSTO HW";#N/A,#N/A,TRUE,"CUADROS";#N/A,#N/A,TRUE,"SCADA´s";#N/A,#N/A,TRUE,"PRECIOS EQUIPOS"}</definedName>
    <definedName name="costofrev" localSheetId="11" hidden="1">{"qtrly summ-FY01",#N/A,FALSE,"P &amp; L";"monthly P&amp;L-FY01",#N/A,FALSE,"P &amp; L";"cash flow - FY01",#N/A,FALSE,"P &amp; L";"P&amp;L FY01",#N/A,FALSE,"P &amp; L";"BS FY01",#N/A,FALSE,"P &amp; L";"staffing - FY01",#N/A,FALSE,"P &amp; L"}</definedName>
    <definedName name="coun" localSheetId="11" hidden="1">{#N/A,#N/A,FALSE,"Assessment";#N/A,#N/A,FALSE,"Staffing";#N/A,#N/A,FALSE,"Hires";#N/A,#N/A,FALSE,"Assumptions"}</definedName>
    <definedName name="COUNTRY" localSheetId="11" hidden="1">{#N/A,#N/A,FALSE,"Assessment";#N/A,#N/A,FALSE,"Staffing";#N/A,#N/A,FALSE,"Hires";#N/A,#N/A,FALSE,"Assumptions"}</definedName>
    <definedName name="cpvs" localSheetId="11"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reateTable" localSheetId="11" hidden="1">#REF!</definedName>
    <definedName name="credit1" localSheetId="11" hidden="1">{#N/A,#N/A,TRUE,"Overview";#N/A,#N/A,TRUE,"New Gen"}</definedName>
    <definedName name="CSG" localSheetId="11" hidden="1">{"cap_structure",#N/A,FALSE,"Graph-Mkt Cap";"price",#N/A,FALSE,"Graph-Price";"ebit",#N/A,FALSE,"Graph-EBITDA";"ebitda",#N/A,FALSE,"Graph-EBITDA"}</definedName>
    <definedName name="Cur_Month_Actual" localSheetId="11">#REF!</definedName>
    <definedName name="CurrentLoan" localSheetId="11">(#REF!*#REF!*#REF!*#REF!)&gt;0</definedName>
    <definedName name="cvade" localSheetId="11" hidden="1">{"FCB_ALL",#N/A,FALSE,"FCB"}</definedName>
    <definedName name="cvb" localSheetId="11" hidden="1">{#N/A,#N/A,FALSE,"TABLE_1 YTD";#N/A,#N/A,FALSE,"TABLE_1A QTD";#N/A,#N/A,FALSE,"NORMAL_SPREAD_QTD";#N/A,#N/A,FALSE,"NORMAL_SPREAD_YTD";#N/A,#N/A,FALSE,"TAX_EQV";#N/A,#N/A,FALSE,"TAX EQUIV_INPUT";#N/A,#N/A,FALSE,"NET FROM FER";#N/A,#N/A,FALSE,"COVER"}</definedName>
    <definedName name="Cwvu.GREY_ALL." localSheetId="11" hidden="1">#REF!</definedName>
    <definedName name="cxgxgfgfs" localSheetId="11" hidden="1">{#N/A,#N/A,FALSE,"Cashflow Analysis";#N/A,#N/A,FALSE,"Sensitivity Analysis";#N/A,#N/A,FALSE,"PV";#N/A,#N/A,FALSE,"Pro Forma"}</definedName>
    <definedName name="cxgxgfgfs.2" localSheetId="11" hidden="1">{#N/A,#N/A,FALSE,"Cashflow Analysis";#N/A,#N/A,FALSE,"Sensitivity Analysis";#N/A,#N/A,FALSE,"PV";#N/A,#N/A,FALSE,"Pro Forma"}</definedName>
    <definedName name="D" localSheetId="11" hidden="1">#REF!</definedName>
    <definedName name="DAD" localSheetId="11" hidden="1">{#N/A,#N/A,FALSE,"REPORT"}</definedName>
    <definedName name="DADF" localSheetId="11" hidden="1">{#N/A,#N/A,FALSE,"REPORT"}</definedName>
    <definedName name="dadfa" localSheetId="1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aeklj" localSheetId="11" hidden="1">{"FCB_ALL",#N/A,FALSE,"FCB"}</definedName>
    <definedName name="daewkl" localSheetId="11" hidden="1">{"FCB_ALL",#N/A,FALSE,"FCB";"GREY_ALL",#N/A,FALSE,"GREY"}</definedName>
    <definedName name="daf" localSheetId="11" hidden="1">{#N/A,#N/A,FALSE,"1";#N/A,#N/A,FALSE,"2";#N/A,#N/A,FALSE,"16 - 17";#N/A,#N/A,FALSE,"18 - 19";#N/A,#N/A,FALSE,"26";#N/A,#N/A,FALSE,"27";#N/A,#N/A,FALSE,"28"}</definedName>
    <definedName name="dafa" localSheetId="1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AFAD" localSheetId="11" hidden="1">{"cap_structure",#N/A,FALSE,"Graph-Mkt Cap";"price",#N/A,FALSE,"Graph-Price";"ebit",#N/A,FALSE,"Graph-EBITDA";"ebitda",#N/A,FALSE,"Graph-EBITDA"}</definedName>
    <definedName name="dakfkjafgkeaj" localSheetId="11" hidden="1">{#N/A,#N/A,FALSE,"Pharm";#N/A,#N/A,FALSE,"WWCM"}</definedName>
    <definedName name="das" localSheetId="11" hidden="1">{"FCB_ALL",#N/A,FALSE,"FCB";"GREY_ALL",#N/A,FALSE,"GREY"}</definedName>
    <definedName name="dasfdsa" localSheetId="11" hidden="1">{"SUM",#N/A,FALSE,"Details (2)"}</definedName>
    <definedName name="dasgfdag" localSheetId="11" hidden="1">{"FCB_ALL",#N/A,FALSE,"FCB"}</definedName>
    <definedName name="dasklej" localSheetId="11" hidden="1">{"FCB_ALL",#N/A,FALSE,"FCB"}</definedName>
    <definedName name="Data" localSheetId="11">#REF!</definedName>
    <definedName name="_xlnm.Database" localSheetId="11">#REF!</definedName>
    <definedName name="david" localSheetId="11" hidden="1">{#N/A,#N/A,FALSE,"ACQ_GRAPHS";#N/A,#N/A,FALSE,"T_1 GRAPHS";#N/A,#N/A,FALSE,"T_2 GRAPHS";#N/A,#N/A,FALSE,"COMB_GRAPHS"}</definedName>
    <definedName name="DCF_" localSheetId="1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d" localSheetId="11" hidden="1">{#N/A,#N/A,FALSE,"Pharm";#N/A,#N/A,FALSE,"WWCM"}</definedName>
    <definedName name="ddd" localSheetId="11" hidden="1">{#N/A,#N/A,FALSE,"Pharm";#N/A,#N/A,FALSE,"WWCM"}</definedName>
    <definedName name="ddd_1" localSheetId="11" hidden="1">{"'ATP'!$E$6"}</definedName>
    <definedName name="ddd_11" localSheetId="11" hidden="1">{"'ATP'!$E$6"}</definedName>
    <definedName name="dddaz" localSheetId="11" hidden="1">{#N/A,#N/A,FALSE,"Pharm";#N/A,#N/A,FALSE,"WWCM"}</definedName>
    <definedName name="dddd" localSheetId="11" hidden="1">{#N/A,#N/A,TRUE,"BUD VS ACT AUST 96";#N/A,#N/A,TRUE,"96 COMP P&amp;L-AUST";#N/A,#N/A,TRUE,"COMP BS-AUSTRALIA";#N/A,#N/A,TRUE,"B/S - AUSTR."}</definedName>
    <definedName name="dddddd" localSheetId="11" hidden="1">{#N/A,#N/A,FALSE,"Pharm";#N/A,#N/A,FALSE,"WWCM"}</definedName>
    <definedName name="ddddddd" localSheetId="11" hidden="1">{"Income Statement",#N/A,FALSE,"Income Statement";"Balance Sheet",#N/A,FALSE,"Balance Sheet";"Cash Flow",#N/A,FALSE,"Cash Flow";"Ratios",#N/A,FALSE,"Ratios"}</definedName>
    <definedName name="DE" localSheetId="1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bbie" localSheetId="11" hidden="1">{"FY03_Assets",#N/A,FALSE,"Fin Stmt Budget";"FY03_Liabilities",#N/A,FALSE,"Fin Stmt Budget";"FY03_Inc_Stmt",#N/A,FALSE,"Fin Stmt Budget";"FY03_SOCF",#N/A,FALSE,"Fin Stmt Budget"}</definedName>
    <definedName name="Dec95JobSched" localSheetId="11" hidden="1">{#N/A,#N/A,FALSE,"Job Sched"}</definedName>
    <definedName name="dede" localSheetId="11" hidden="1">{#N/A,#N/A,FALSE,"Pharm";#N/A,#N/A,FALSE,"WWCM"}</definedName>
    <definedName name="DEDED" localSheetId="11" hidden="1">{#N/A,#N/A,FALSE,"Card";#N/A,#N/A,FALSE,"Prav";#N/A,#N/A,FALSE,"Irbe";#N/A,#N/A,FALSE,"Plavix";#N/A,#N/A,FALSE,"Capt";#N/A,#N/A,FALSE,"Fosi"}</definedName>
    <definedName name="DEDEDZE" localSheetId="11" hidden="1">{#N/A,#N/A,FALSE,"Pharm";#N/A,#N/A,FALSE,"WWCM"}</definedName>
    <definedName name="DEDZD" localSheetId="11" hidden="1">{#N/A,#N/A,FALSE,"Pharm";#N/A,#N/A,FALSE,"WWCM"}</definedName>
    <definedName name="DEE" localSheetId="11" hidden="1">{#N/A,#N/A,FALSE,"Pharm";#N/A,#N/A,FALSE,"WWCM"}</definedName>
    <definedName name="def"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delete" localSheetId="11" hidden="1">{"STMT OF CASH FLOWS",#N/A,FALSE,"Cash Flows Indirect"}</definedName>
    <definedName name="delete2" localSheetId="11" hidden="1">{"BALANCE SHEET ACCTS",#N/A,TRUE,"Working Trial Balance";"INCOME STMT ACCTS",#N/A,TRUE,"Working Trial Balance"}</definedName>
    <definedName name="DeleteRange" localSheetId="11" hidden="1">#REF!</definedName>
    <definedName name="depn" localSheetId="11" hidden="1">{#N/A,#N/A,FALSE,"P&amp;L";#N/A,#N/A,FALSE,"fund";#N/A,#N/A,FALSE,"B.S.";#N/A,#N/A,FALSE,"tax-P&amp;L";#N/A,#N/A,FALSE,"tax-tarif1"}</definedName>
    <definedName name="depn2" localSheetId="11" hidden="1">{#N/A,#N/A,FALSE,"P&amp;L";#N/A,#N/A,FALSE,"fund";#N/A,#N/A,FALSE,"B.S.";#N/A,#N/A,FALSE,"tax-P&amp;L";#N/A,#N/A,FALSE,"tax-tarif1"}</definedName>
    <definedName name="Depr_Method" localSheetId="11">#REF!</definedName>
    <definedName name="DEZLFEZKLHF" localSheetId="11" hidden="1">{#N/A,#N/A,FALSE,"Pharm";#N/A,#N/A,FALSE,"WWCM"}</definedName>
    <definedName name="df" localSheetId="11" hidden="1">{#N/A,#N/A,TRUE,"A";#N/A,#N/A,TRUE,"B";#N/A,#N/A,TRUE,"C";#N/A,#N/A,TRUE,"D";#N/A,#N/A,TRUE,"E"}</definedName>
    <definedName name="dfa" localSheetId="11" hidden="1">{"Annual_Income",#N/A,FALSE,"Report Page";"Balance_Cash_Flow",#N/A,FALSE,"Report Page";"Quarterly_Income",#N/A,FALSE,"Report Page"}</definedName>
    <definedName name="dfasdf" localSheetId="11" hidden="1">#REF!</definedName>
    <definedName name="dfd" localSheetId="11" hidden="1">{"BS",#N/A,FALSE,"USA"}</definedName>
    <definedName name="dfdas" localSheetId="11" hidden="1">{"FCB_ALL",#N/A,FALSE,"FCB";"GREY_ALL",#N/A,FALSE,"GREY"}</definedName>
    <definedName name="dfdas1" localSheetId="11" hidden="1">{"FCB_ALL",#N/A,FALSE,"FCB";"GREY_ALL",#N/A,FALSE,"GREY"}</definedName>
    <definedName name="DFDD" localSheetId="11" hidden="1">{#N/A,#N/A,FALSE,"REPORT"}</definedName>
    <definedName name="dfdf"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dfd" localSheetId="11" hidden="1">{"FCB_ALL",#N/A,FALSE,"FCB";"GREY_ALL",#N/A,FALSE,"GREY"}</definedName>
    <definedName name="dfdfdd" localSheetId="11" hidden="1">{"FCB_ALL",#N/A,FALSE,"FCB";"GREY_ALL",#N/A,FALSE,"GREY"}</definedName>
    <definedName name="dfdfdfd" localSheetId="11" hidden="1">{"FCB_ALL",#N/A,FALSE,"FCB"}</definedName>
    <definedName name="dfdfdfd1" localSheetId="11" hidden="1">{"FCB_ALL",#N/A,FALSE,"FCB"}</definedName>
    <definedName name="dfdsf" localSheetId="11" hidden="1">{"FCB_ALL",#N/A,FALSE,"FCB";"GREY_ALL",#N/A,FALSE,"GREY"}</definedName>
    <definedName name="dfg" localSheetId="11">#REF!</definedName>
    <definedName name="dfgd" localSheetId="11" hidden="1">{#N/A,#N/A,FALSE,"Cashflow Analysis";#N/A,#N/A,FALSE,"Sensitivity Analysis";#N/A,#N/A,FALSE,"PV";#N/A,#N/A,FALSE,"Pro Forma"}</definedName>
    <definedName name="dfgdgd" localSheetId="11" hidden="1">{"FCB_ALL",#N/A,FALSE,"FCB"}</definedName>
    <definedName name="dfgdxfv" localSheetId="11" hidden="1">{"FCB_ALL",#N/A,FALSE,"FCB"}</definedName>
    <definedName name="dfgsdf" localSheetId="11" hidden="1">{"FCB_ALL",#N/A,FALSE,"FCB"}</definedName>
    <definedName name="dfhzfd" localSheetId="11" hidden="1">{"'Sheet1'!$A$5:$G$42"}</definedName>
    <definedName name="dfk"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1New"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New"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r" localSheetId="11" hidden="1">{#N/A,#N/A,FALSE,"Pharm";#N/A,#N/A,FALSE,"WWCM"}</definedName>
    <definedName name="dfs" localSheetId="11" hidden="1">{#N/A,#N/A,FALSE,"Cover";#N/A,#N/A,FALSE,"TOC";#N/A,#N/A,FALSE,"IS";#N/A,#N/A,FALSE,"Mo. IS";#N/A,#N/A,FALSE,"Cont By Div";#N/A,#N/A,FALSE,"BS";#N/A,#N/A,FALSE,"CF";#N/A,#N/A,FALSE,"Inventory"}</definedName>
    <definedName name="dfsa" localSheetId="11" hidden="1">#REF!</definedName>
    <definedName name="dfsafd" localSheetId="1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localSheetId="1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sa" localSheetId="11" hidden="1">#REF!</definedName>
    <definedName name="dfsafs" localSheetId="1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localSheetId="1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gsdfg" localSheetId="11" hidden="1">{#N/A,#N/A,FALSE,"Cover";#N/A,#N/A,FALSE,"TOC";#N/A,#N/A,FALSE,"IS";#N/A,#N/A,FALSE,"Mo. IS";#N/A,#N/A,FALSE,"Cont By Div";#N/A,#N/A,FALSE,"BS";#N/A,#N/A,FALSE,"CF";#N/A,#N/A,FALSE,"Inventory"}</definedName>
    <definedName name="dg"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gdg" localSheetId="11" hidden="1">{#N/A,#N/A,FALSE,"Calc";#N/A,#N/A,FALSE,"Sensitivity";#N/A,#N/A,FALSE,"LT Earn.Dil.";#N/A,#N/A,FALSE,"Dil. AVP"}</definedName>
    <definedName name="dgdgss" localSheetId="11" hidden="1">{"consolidated",#N/A,FALSE,"Sheet1";"cms",#N/A,FALSE,"Sheet1";"fse",#N/A,FALSE,"Sheet1"}</definedName>
    <definedName name="dgh" localSheetId="11" hidden="1">{"summary",#N/A,FALSE,"3 yr average";"comps",#N/A,FALSE,"3 yr average"}</definedName>
    <definedName name="dgtdf" localSheetId="11" hidden="1">{"FCB_ALL",#N/A,FALSE,"FCB"}</definedName>
    <definedName name="DHG" localSheetId="11" hidden="1">{"cap_structure",#N/A,FALSE,"Graph-Mkt Cap";"price",#N/A,FALSE,"Graph-Price";"ebit",#N/A,FALSE,"Graph-EBITDA";"ebitda",#N/A,FALSE,"Graph-EBITDA"}</definedName>
    <definedName name="dis" localSheetId="11" hidden="1">{#N/A,#N/A,FALSE,"Cashflow Analysis";#N/A,#N/A,FALSE,"Sensitivity Analysis";#N/A,#N/A,FALSE,"PV";#N/A,#N/A,FALSE,"Pro Forma"}</definedName>
    <definedName name="dis.2" localSheetId="11" hidden="1">{#N/A,#N/A,FALSE,"Cashflow Analysis";#N/A,#N/A,FALSE,"Sensitivity Analysis";#N/A,#N/A,FALSE,"PV";#N/A,#N/A,FALSE,"Pro Forma"}</definedName>
    <definedName name="Discout" localSheetId="11">#REF!</definedName>
    <definedName name="DistCurr" localSheetId="11">#REF!</definedName>
    <definedName name="DistPrior" localSheetId="11">#REF!</definedName>
    <definedName name="djd"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1New"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jdjd" localSheetId="11" hidden="1">{#N/A,#N/A,TRUE,"BUD VS ACT AUST 96";#N/A,#N/A,TRUE,"96 COMP P&amp;L-AUST";#N/A,#N/A,TRUE,"COMP BS-AUSTRALIA";#N/A,#N/A,TRUE,"B/S - AUSTR."}</definedName>
    <definedName name="djdNew"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ksljd" localSheetId="11" hidden="1">{#N/A,#N/A,FALSE,"Other";#N/A,#N/A,FALSE,"Ace";#N/A,#N/A,FALSE,"Derm"}</definedName>
    <definedName name="dkfjdfNew"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1"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gahirghigf" localSheetId="11" hidden="1">{#N/A,#N/A,FALSE,"Pharm";#N/A,#N/A,FALSE,"WWCM"}</definedName>
    <definedName name="dkj"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reyer" localSheetId="11" hidden="1">{"FCB_ALL",#N/A,FALSE,"FCB"}</definedName>
    <definedName name="drgd" localSheetId="11" hidden="1">{"FCB_ALL",#N/A,FALSE,"FCB"}</definedName>
    <definedName name="drtd" localSheetId="11" hidden="1">{"FCB_ALL",#N/A,FALSE,"FCB"}</definedName>
    <definedName name="drtg" localSheetId="11" hidden="1">{"FCB_ALL",#N/A,FALSE,"FCB"}</definedName>
    <definedName name="drtgdg" localSheetId="11" hidden="1">{"FCB_ALL",#N/A,FALSE,"FCB"}</definedName>
    <definedName name="ds" localSheetId="11" hidden="1">#REF!</definedName>
    <definedName name="dsafd" localSheetId="1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lkj" localSheetId="11" hidden="1">{"FCB_ALL",#N/A,FALSE,"FCB";"GREY_ALL",#N/A,FALSE,"GREY"}</definedName>
    <definedName name="dsaflkje" localSheetId="11" hidden="1">{"FCB_ALL",#N/A,FALSE,"FCB"}</definedName>
    <definedName name="dsafwlekj" localSheetId="11" hidden="1">{"FCB_ALL",#N/A,FALSE,"FCB";"GREY_ALL",#N/A,FALSE,"GREY"}</definedName>
    <definedName name="dsd" localSheetId="11" hidden="1">#REF!</definedName>
    <definedName name="dsea" localSheetId="11" hidden="1">{"FCB_ALL",#N/A,FALSE,"FCB"}</definedName>
    <definedName name="dsfgr" localSheetId="11" hidden="1">{"FCB_ALL",#N/A,FALSE,"FCB"}</definedName>
    <definedName name="dsfsd" localSheetId="11" hidden="1">{"Total",#N/A,FALSE,"Six Fields";"PDP",#N/A,FALSE,"Six Fields";"PNP",#N/A,FALSE,"Six Fields";"PUD",#N/A,FALSE,"Six Fields";"Prob",#N/A,FALSE,"Six Fields"}</definedName>
    <definedName name="dsfsffss" localSheetId="11" hidden="1">{#N/A,#N/A,FALSE,"Pharm";#N/A,#N/A,FALSE,"WWCM"}</definedName>
    <definedName name="dsg" localSheetId="11" hidden="1">{#N/A,#N/A,FALSE,"Calc";#N/A,#N/A,FALSE,"Sensitivity";#N/A,#N/A,FALSE,"LT Earn.Dil.";#N/A,#N/A,FALSE,"Dil. AVP"}</definedName>
    <definedName name="dtjhj" localSheetId="11" hidden="1">{#N/A,#N/A,FALSE,"Phase I";#N/A,#N/A,FALSE,"Phase II";#N/A,#N/A,FALSE,"Phase III"}</definedName>
    <definedName name="dtmm" localSheetId="1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due" localSheetId="11" hidden="1">{#N/A,#N/A,FALSE,"INPUTS";#N/A,#N/A,FALSE,"PROFORMA BSHEET";#N/A,#N/A,FALSE,"COMBINED";#N/A,#N/A,FALSE,"ACQUIROR";#N/A,#N/A,FALSE,"TARGET 1";#N/A,#N/A,FALSE,"TARGET 2";#N/A,#N/A,FALSE,"HIGH YIELD";#N/A,#N/A,FALSE,"OVERFUND"}</definedName>
    <definedName name="Dummy" localSheetId="11" hidden="1">{"Summary",#N/A,FALSE,"Summary"}</definedName>
    <definedName name="Dummy_1" localSheetId="11" hidden="1">{"Summary",#N/A,FALSE,"Summary"}</definedName>
    <definedName name="Dummy_1_1" localSheetId="11" hidden="1">{"Summary",#N/A,FALSE,"Summary"}</definedName>
    <definedName name="Dummy_1_2" localSheetId="11" hidden="1">{"Summary",#N/A,FALSE,"Summary"}</definedName>
    <definedName name="Dummy_1_3" localSheetId="11" hidden="1">{"Summary",#N/A,FALSE,"Summary"}</definedName>
    <definedName name="Dummy_1_4" localSheetId="11" hidden="1">{"Summary",#N/A,FALSE,"Summary"}</definedName>
    <definedName name="Dummy_2" localSheetId="11" hidden="1">{"Summary",#N/A,FALSE,"Summary"}</definedName>
    <definedName name="Dummy_3" localSheetId="11" hidden="1">{"Summary",#N/A,FALSE,"Summary"}</definedName>
    <definedName name="Dummy_4" localSheetId="11" hidden="1">{"Summary",#N/A,FALSE,"Summary"}</definedName>
    <definedName name="Dummy_5" localSheetId="11" hidden="1">{"Summary",#N/A,FALSE,"Summary"}</definedName>
    <definedName name="Dummy1" localSheetId="11" hidden="1">{"Summary",#N/A,FALSE,"Summary"}</definedName>
    <definedName name="Dummy1_1" localSheetId="11" hidden="1">{"Summary",#N/A,FALSE,"Summary"}</definedName>
    <definedName name="Dummy1_1_1" localSheetId="11" hidden="1">{"Summary",#N/A,FALSE,"Summary"}</definedName>
    <definedName name="Dummy1_1_2" localSheetId="11" hidden="1">{"Summary",#N/A,FALSE,"Summary"}</definedName>
    <definedName name="Dummy1_1_3" localSheetId="11" hidden="1">{"Summary",#N/A,FALSE,"Summary"}</definedName>
    <definedName name="Dummy1_1_4" localSheetId="11" hidden="1">{"Summary",#N/A,FALSE,"Summary"}</definedName>
    <definedName name="Dummy1_2" localSheetId="11" hidden="1">{"Summary",#N/A,FALSE,"Summary"}</definedName>
    <definedName name="Dummy1_3" localSheetId="11" hidden="1">{"Summary",#N/A,FALSE,"Summary"}</definedName>
    <definedName name="Dummy1_4" localSheetId="11" hidden="1">{"Summary",#N/A,FALSE,"Summary"}</definedName>
    <definedName name="Dummy1_5" localSheetId="11" hidden="1">{"Summary",#N/A,FALSE,"Summary"}</definedName>
    <definedName name="dvv" localSheetId="11" hidden="1">{#N/A,#N/A,TRUE,"NIE_C";#N/A,#N/A,TRUE,"NIE";#N/A,#N/A,TRUE,"NIE_D";#N/A,#N/A,TRUE,"NIE_D_CC";#N/A,#N/A,TRUE,"HEA -- EXP"}</definedName>
    <definedName name="E" localSheetId="11" hidden="1">#REF!</definedName>
    <definedName name="East" localSheetId="11"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Eastcoast" localSheetId="11" hidden="1">{"FY04_Assets",#N/A,FALSE,"Fin Stmt Budget";"FY04_Liabilities",#N/A,FALSE,"Fin Stmt Budget";"FY04_Inc_Stmt",#N/A,FALSE,"Fin Stmt Budget";"FY04_SOCF",#N/A,FALSE,"Fin Stmt Budget"}</definedName>
    <definedName name="Eastern" localSheetId="11" hidden="1">{"FY03_Assets",#N/A,FALSE,"Fin Stmt Budget";"FY03_Liabilities",#N/A,FALSE,"Fin Stmt Budget";"FY03_Inc_Stmt",#N/A,FALSE,"Fin Stmt Budget";"FY03_SOCF",#N/A,FALSE,"Fin Stmt Budget"}</definedName>
    <definedName name="Econscen" localSheetId="11">#REF!</definedName>
    <definedName name="ed" localSheetId="11"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edr" localSheetId="11"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ee" localSheetId="11"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EEE" localSheetId="11" hidden="1">{#N/A,#N/A,FALSE,"Pharm";#N/A,#N/A,FALSE,"WWCM"}</definedName>
    <definedName name="eeeee" localSheetId="11" hidden="1">{#N/A,#N/A,FALSE,"Pharm";#N/A,#N/A,FALSE,"WWCM"}</definedName>
    <definedName name="eerr" localSheetId="11" hidden="1">{"Alle Perioden",#N/A,FALSE,"Erf";"Alle Perioden",#N/A,FALSE,"Ang";"Alle Perioden",#N/A,FALSE,"BV";"Alle Perioden",#N/A,FALSE,"BE";"Alle Perioden",#N/A,FALSE,"Re";"Alle Perioden",#N/A,FALSE,"Vol"}</definedName>
    <definedName name="ef" localSheetId="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eferferfge" localSheetId="11"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in" localSheetId="11" hidden="1">{#N/A,#N/A,FALSE,"Output";#N/A,#N/A,FALSE,"Cover Sheet";#N/A,#N/A,FALSE,"Current Mkt. Projections"}</definedName>
    <definedName name="efn" localSheetId="11" hidden="1">{#N/A,#N/A,TRUE,"DCF Summary";#N/A,#N/A,TRUE,"Casema";#N/A,#N/A,TRUE,"UK";#N/A,#N/A,TRUE,"RCF";#N/A,#N/A,TRUE,"Intercable CZ";#N/A,#N/A,TRUE,"Interkabel P";#N/A,#N/A,TRUE,"LBO-Total";#N/A,#N/A,TRUE,"LBO-Casema"}</definedName>
    <definedName name="ejejejej" localSheetId="11"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ejkfgkjze" localSheetId="11" hidden="1">{#N/A,#N/A,FALSE,"Pharm";#N/A,#N/A,FALSE,"WWCM"}</definedName>
    <definedName name="Elecout" localSheetId="11">#REF!</definedName>
    <definedName name="elo" localSheetId="11">#REF!</definedName>
    <definedName name="eloCS" localSheetId="11">#REF!</definedName>
    <definedName name="emily" localSheetId="11" hidden="1">{#N/A,#N/A,FALSE,"Calc";#N/A,#N/A,FALSE,"Sensitivity";#N/A,#N/A,FALSE,"LT Earn.Dil.";#N/A,#N/A,FALSE,"Dil. AVP"}</definedName>
    <definedName name="EndDate1" localSheetId="11">#REF!</definedName>
    <definedName name="Eng" localSheetId="11" hidden="1">{"PAGE 1",#N/A,FALSE,"WEST_OT"}</definedName>
    <definedName name="EPC" localSheetId="11" hidden="1">{#N/A,#N/A,FALSE,"RESUMEN ECON.";#N/A,#N/A,FALSE,"Costos de R.H.";#N/A,#N/A,FALSE,"COSTO HW";#N/A,#N/A,FALSE,"CUADROS";#N/A,#N/A,FALSE,"SCADA´s";#N/A,#N/A,FALSE,"PRECIOS EQUIPOS"}</definedName>
    <definedName name="equity" localSheetId="11" hidden="1">{"Balance Sheet",#N/A,FALSE,"Annual Summary";"Cashflows",#N/A,FALSE,"Annual Summary";"Summary Earnings",#N/A,FALSE,"Annual Summary"}</definedName>
    <definedName name="er" localSheetId="1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raseMe" localSheetId="11" hidden="1">{#N/A,#N/A,FALSE,"Job Sched"}</definedName>
    <definedName name="erd" localSheetId="11" hidden="1">{#N/A,#N/A,FALSE,"Pharm";#N/A,#N/A,FALSE,"WWCM"}</definedName>
    <definedName name="erer" localSheetId="11" hidden="1">{"FCB_ALL",#N/A,FALSE,"FCB";"GREY_ALL",#N/A,FALSE,"GREY"}</definedName>
    <definedName name="erere" localSheetId="11" hidden="1">{"arpm1995",#N/A,FALSE,"Summary 95-96";"bus_long_distance",#N/A,FALSE,"Summary 95-96";"mins_per_day",#N/A,FALSE,"Summary 95-96";"minutes1995",#N/A,FALSE,"Summary 95-96";"rev_per_day",#N/A,FALSE,"Summary 95-96";"view1995",#N/A,FALSE,"Summary 95-96"}</definedName>
    <definedName name="ererer" localSheetId="11" hidden="1">{"arpm1995",#N/A,FALSE,"Summary 95-96";"bus_long_distance",#N/A,FALSE,"Summary 95-96";"mins_per_day",#N/A,FALSE,"Summary 95-96";"minutes1995",#N/A,FALSE,"Summary 95-96";"rev_per_day",#N/A,FALSE,"Summary 95-96";"view1995",#N/A,FALSE,"Summary 95-96"}</definedName>
    <definedName name="erewre" localSheetId="11" hidden="1">{"arpm1995",#N/A,FALSE,"Summary 95-96";"bus_long_distance",#N/A,FALSE,"Summary 95-96";"mins_per_day",#N/A,FALSE,"Summary 95-96";"minutes1995",#N/A,FALSE,"Summary 95-96";"rev_per_day",#N/A,FALSE,"Summary 95-96";"view1995",#N/A,FALSE,"Summary 95-96"}</definedName>
    <definedName name="erg" localSheetId="11" hidden="1">{#N/A,#N/A,FALSE,"ACQ_GRAPHS";#N/A,#N/A,FALSE,"T_1 GRAPHS";#N/A,#N/A,FALSE,"T_2 GRAPHS";#N/A,#N/A,FALSE,"COMB_GRAPHS"}</definedName>
    <definedName name="erryeyetyuu" localSheetId="11" hidden="1">{#N/A,#N/A,FALSE,"Pharm";#N/A,#N/A,FALSE,"WWCM"}</definedName>
    <definedName name="ers" localSheetId="11" hidden="1">{"FCB_ALL",#N/A,FALSE,"FCB";"GREY_ALL",#N/A,FALSE,"GREY"}</definedName>
    <definedName name="ersdf" localSheetId="11" hidden="1">{"FCB_ALL",#N/A,FALSE,"FCB";"GREY_ALL",#N/A,FALSE,"GREY"}</definedName>
    <definedName name="erser" localSheetId="11" hidden="1">{"FCB_ALL",#N/A,FALSE,"FCB"}</definedName>
    <definedName name="es" localSheetId="11" hidden="1">{"FCB_ALL",#N/A,FALSE,"FCB"}</definedName>
    <definedName name="esr" localSheetId="11" hidden="1">{"FCB_ALL",#N/A,FALSE,"FCB"}</definedName>
    <definedName name="esrs" localSheetId="11" hidden="1">{"FCB_ALL",#N/A,FALSE,"FCB"}</definedName>
    <definedName name="ESSAI" localSheetId="11" hidden="1">{#N/A,#N/A,FALSE,"Pharm";#N/A,#N/A,FALSE,"WWCM"}</definedName>
    <definedName name="esw" localSheetId="11" hidden="1">{#N/A,#N/A,FALSE,"TABLE_1 YTD- VALUES LAST YR(2)"}</definedName>
    <definedName name="etet" localSheetId="11" hidden="1">{#N/A,#N/A,FALSE,"Calc";#N/A,#N/A,FALSE,"Sensitivity";#N/A,#N/A,FALSE,"LT Earn.Dil.";#N/A,#N/A,FALSE,"Dil. AVP"}</definedName>
    <definedName name="ev.Calculation" localSheetId="11" hidden="1">2</definedName>
    <definedName name="ewwe" localSheetId="11" hidden="1">{#N/A,#N/A,FALSE,"REPORT"}</definedName>
    <definedName name="excel" localSheetId="11" hidden="1">{"cash flow - FY00",#N/A,FALSE,"P &amp; L";"cash flow - FY01",#N/A,FALSE,"P &amp; L"}</definedName>
    <definedName name="excel2" localSheetId="11" hidden="1">{"cash flow - FY00",#N/A,FALSE,"P &amp; L";"cash flow - FY01",#N/A,FALSE,"P &amp; L"}</definedName>
    <definedName name="ExitYr" localSheetId="11">#REF!</definedName>
    <definedName name="Expenses" localSheetId="11" hidden="1">{"SUM",#N/A,FALSE,"Details (2)"}</definedName>
    <definedName name="eyh" localSheetId="11" hidden="1">{#N/A,#N/A,FALSE,"BS";#N/A,#N/A,FALSE,"PL";#N/A,#N/A,FALSE,"SOE";#N/A,#N/A,FALSE,"SCF"}</definedName>
    <definedName name="f" localSheetId="11" hidden="1">#REF!</definedName>
    <definedName name="fadsf" localSheetId="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adsfsd" localSheetId="11" hidden="1">{#N/A,#N/A,FALSE,"MKT.COMPS";#N/A,#N/A,FALSE,"DCF - LBO"}</definedName>
    <definedName name="fafs" localSheetId="11" hidden="1">{#N/A,#N/A,FALSE,"Brad BANM_S";#N/A,#N/A,FALSE,"Brad SAM_BANM";#N/A,#N/A,FALSE,"Brad_LD";#N/A,#N/A,FALSE,"BANM-&gt;S";#N/A,#N/A,FALSE,"BANM_S";#N/A,#N/A,FALSE,"S-&gt;BANM";#N/A,#N/A,FALSE,"SAM_BANM";#N/A,#N/A,FALSE,"BANM";#N/A,#N/A,FALSE,"Sam"}</definedName>
    <definedName name="FarrellWitchita" localSheetId="11" hidden="1">{"FCB_ALL",#N/A,FALSE,"FCB"}</definedName>
    <definedName name="fasdfs" localSheetId="11" hidden="1">{#N/A,#N/A,FALSE,"Aging Summary";#N/A,#N/A,FALSE,"Ratio Analysis";#N/A,#N/A,FALSE,"Test 120 Day Accts";#N/A,#N/A,FALSE,"Tickmarks"}</definedName>
    <definedName name="fd"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FDFD" localSheetId="11" hidden="1">{#N/A,#N/A,FALSE,"Pharm";#N/A,#N/A,FALSE,"WWCM"}</definedName>
    <definedName name="fdgad" localSheetId="11" hidden="1">{"inputs raw data",#N/A,TRUE,"INPUT"}</definedName>
    <definedName name="fdgfdg" localSheetId="11" hidden="1">{"FCB_ALL",#N/A,FALSE,"FCB";"GREY_ALL",#N/A,FALSE,"GREY"}</definedName>
    <definedName name="fds" localSheetId="11" hidden="1">{#N/A,#N/A,FALSE,"Pharm";#N/A,#N/A,FALSE,"WWCM"}</definedName>
    <definedName name="fdsafdas" localSheetId="11" hidden="1">{"Summary",#N/A,FALSE,"Details (2)"}</definedName>
    <definedName name="fdsag" localSheetId="11" hidden="1">{"FCB_ALL",#N/A,FALSE,"FCB"}</definedName>
    <definedName name="fdsakfjds" localSheetId="11" hidden="1">{"FCB_ALL",#N/A,FALSE,"FCB";"GREY_ALL",#N/A,FALSE,"GREY"}</definedName>
    <definedName name="fdsg" localSheetId="11" hidden="1">{"FCB_ALL",#N/A,FALSE,"FCB"}</definedName>
    <definedName name="feb02tb" localSheetId="11" hidden="1">{"Statement of Income",#N/A,TRUE,"Mar99";"Balance Sheet",#N/A,TRUE,"Mar99"}</definedName>
    <definedName name="fees" localSheetId="11">#REF!</definedName>
    <definedName name="ff" localSheetId="11" hidden="1">{#N/A,#N/A,FALSE,"Pharm";#N/A,#N/A,FALSE,"WWCM"}</definedName>
    <definedName name="fff" localSheetId="11" hidden="1">{#N/A,#N/A,FALSE,"Pharm";#N/A,#N/A,FALSE,"WWCM"}</definedName>
    <definedName name="ffff" localSheetId="11" hidden="1">{#N/A,#N/A,TRUE,"BUD VS ACT AUST 96";#N/A,#N/A,TRUE,"96 COMP P&amp;L-AUST";#N/A,#N/A,TRUE,"COMP BS-AUSTRALIA";#N/A,#N/A,TRUE,"B/S - AUSTR."}</definedName>
    <definedName name="ffffff.2" localSheetId="11" hidden="1">{#N/A,#N/A,FALSE,"Cashflow Analysis";#N/A,#N/A,FALSE,"Sensitivity Analysis";#N/A,#N/A,FALSE,"PV";#N/A,#N/A,FALSE,"Pro Forma"}</definedName>
    <definedName name="fffffff" localSheetId="11" hidden="1">{#N/A,#N/A,FALSE,"Pharm";#N/A,#N/A,FALSE,"WWCM"}</definedName>
    <definedName name="ffffffffff"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fg" localSheetId="11" hidden="1">{#N/A,#N/A,FALSE,"REPORT"}</definedName>
    <definedName name="fgf" localSheetId="11" hidden="1">{#N/A,#N/A,FALSE,"COVER";#N/A,#N/A,FALSE,"RATIOS";#N/A,#N/A,FALSE,"LEVERAGE";#N/A,#N/A,FALSE,"TIER-1";#N/A,#N/A,FALSE,"RISK BASED ASSETS";#N/A,#N/A,FALSE,"TIER-2"}</definedName>
    <definedName name="fgfdg" localSheetId="11" hidden="1">{"FCB_ALL",#N/A,FALSE,"FCB";"GREY_ALL",#N/A,FALSE,"GREY"}</definedName>
    <definedName name="fgj" localSheetId="11" hidden="1">{#N/A,#N/A,FALSE,"ACQ_GRAPHS";#N/A,#N/A,FALSE,"T_1 GRAPHS";#N/A,#N/A,FALSE,"T_2 GRAPHS";#N/A,#N/A,FALSE,"COMB_GRAPHS"}</definedName>
    <definedName name="fgkjkh" localSheetId="11" hidden="1">{#N/A,#N/A,FALSE,"REPORT"}</definedName>
    <definedName name="fgr" localSheetId="11" hidden="1">{#N/A,#N/A,FALSE,"BS";#N/A,#N/A,FALSE,"PL_10Q";#N/A,#N/A,FALSE,"SOE";#N/A,#N/A,FALSE,"SCF";#N/A,#N/A,FALSE,"Sel Fn Data QTD 10Q";#N/A,#N/A,FALSE,"Table 1 YTD 10Q";#N/A,#N/A,FALSE,"Table 1 QTD 10Q";#N/A,#N/A,FALSE,"Tables 2 to 3 PL";#N/A,#N/A,FALSE,"Tables 4 and 5ALLL";#N/A,#N/A,FALSE,"Tables 6 to 8 ALLL ";#N/A,#N/A,FALSE,"Table 9 to 12 - Balance Sheet"}</definedName>
    <definedName name="fgsg" localSheetId="11" hidden="1">{"consolidated",#N/A,FALSE,"Sheet1";"cms",#N/A,FALSE,"Sheet1";"fse",#N/A,FALSE,"Sheet1"}</definedName>
    <definedName name="fhg" localSheetId="1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j"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ficha" localSheetId="11" hidden="1">{#N/A,#N/A,FALSE,"RESUMEN ECON.";#N/A,#N/A,FALSE,"Costos de R.H.";#N/A,#N/A,FALSE,"COSTO HW";#N/A,#N/A,FALSE,"CUADROS";#N/A,#N/A,FALSE,"SCADA´s";#N/A,#N/A,FALSE,"PRECIOS EQUIPOS"}</definedName>
    <definedName name="Final_Summary" localSheetId="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inancial" localSheetId="11" hidden="1">{#N/A,#N/A,FALSE,"1996 Monthly Detail";#N/A,#N/A,FALSE,"1996 CashFlow";#N/A,#N/A,FALSE,"PNL By Dept";#N/A,#N/A,FALSE,"1997 Quarterly Detail";#N/A,#N/A,FALSE,"1998 Quarterly Detail";#N/A,#N/A,FALSE,"1997 Cash Flow";#N/A,#N/A,FALSE,"1998 Cash Flow"}</definedName>
    <definedName name="financials" localSheetId="11" hidden="1">{"PAGE1",#N/A,FALSE,"BID (3)";"PAGE2",#N/A,FALSE,"BID (3)"}</definedName>
    <definedName name="fine" localSheetId="11" hidden="1">{#N/A,#N/A,FALSE,"RESUMEN ECON.";#N/A,#N/A,FALSE,"Costos de R.H.";#N/A,#N/A,FALSE,"COSTO HW";#N/A,#N/A,FALSE,"CUADROS";#N/A,#N/A,FALSE,"SCADA´s";#N/A,#N/A,FALSE,"PRECIOS EQUIPOS"}</definedName>
    <definedName name="fish" localSheetId="11" hidden="1">{#N/A,#N/A,FALSE,"VALSUM";#N/A,#N/A,FALSE,"MKT.COMPS";#N/A,#N/A,FALSE,"ACQ.MULT.";#N/A,#N/A,FALSE,"DCF - LBO"}</definedName>
    <definedName name="FJEZK" localSheetId="11" hidden="1">{#N/A,#N/A,FALSE,"Pharm";#N/A,#N/A,FALSE,"WWCM"}</definedName>
    <definedName name="fm" localSheetId="11" hidden="1">{"summary1",#N/A,TRUE,"Comps";"summary2",#N/A,TRUE,"Comps";"summary3",#N/A,TRUE,"Comps"}</definedName>
    <definedName name="FMVRATE" localSheetId="11">#REF!</definedName>
    <definedName name="FOHV" localSheetId="11">#REF!</definedName>
    <definedName name="FootnoteDefaults" localSheetId="11" hidden="1">{1;TRUE;5;"Times New Roman";FALSE;FALSE;TRUE;18;8;-4.5;-4;1;2;2;1;TRUE;5}</definedName>
    <definedName name="fpdate" localSheetId="11">#REF!</definedName>
    <definedName name="france" localSheetId="11" hidden="1">{#N/A,#N/A,FALSE,"COMP BS-FRANCE";#N/A,#N/A,FALSE,"96 COMP P&amp;L-FRANCE";#N/A,#N/A,FALSE,"BUD VS ACT FRAN 96";#N/A,#N/A,FALSE,"B/S - FRANCE"}</definedName>
    <definedName name="FRANCE1" localSheetId="11" hidden="1">{#N/A,#N/A,FALSE,"COMP BS-FRANCE";#N/A,#N/A,FALSE,"96 COMP P&amp;L-FRANCE";#N/A,#N/A,FALSE,"BUD VS ACT FRAN 96";#N/A,#N/A,FALSE,"B/S - FRANCE"}</definedName>
    <definedName name="frequency" localSheetId="11">{"Annually";"Semi-Annually";"Quarterly";"Bi-Monthly";"Monthly";"Semi-Monthly";"Bi-Weekly";"Weekly"}</definedName>
    <definedName name="FRF" localSheetId="11" hidden="1">{#N/A,#N/A,FALSE,"1";#N/A,#N/A,FALSE,"2";#N/A,#N/A,FALSE,"16 - 17";#N/A,#N/A,FALSE,"18 - 19";#N/A,#N/A,FALSE,"26";#N/A,#N/A,FALSE,"27";#N/A,#N/A,FALSE,"28"}</definedName>
    <definedName name="FRFERFE" localSheetId="11" hidden="1">{#N/A,#N/A,FALSE,"Pharm";#N/A,#N/A,FALSE,"WWCM"}</definedName>
    <definedName name="Frght_Discnt" localSheetId="11">#REF!</definedName>
    <definedName name="fsdafdsa" localSheetId="11" hidden="1">{"SUM",#N/A,FALSE,"Details (2)"}</definedName>
    <definedName name="fsdg" localSheetId="11">#REF!</definedName>
    <definedName name="fsdsfafd" localSheetId="11" hidden="1">{"CSheet",#N/A,FALSE,"C";"SmCap",#N/A,FALSE,"VAL1";"GulfCoast",#N/A,FALSE,"VAL1";"nav",#N/A,FALSE,"NAV";"Summary",#N/A,FALSE,"NAV"}</definedName>
    <definedName name="fsfs" localSheetId="11" hidden="1">{#N/A,#N/A,FALSE,"Calc";#N/A,#N/A,FALSE,"Sensitivity";#N/A,#N/A,FALSE,"LT Earn.Dil.";#N/A,#N/A,FALSE,"Dil. AVP"}</definedName>
    <definedName name="fsfsd" localSheetId="11" hidden="1">{#N/A,#N/A,TRUE,"RESUMEN ECON.";#N/A,#N/A,TRUE,"Costos de R.H.";#N/A,#N/A,TRUE,"COSTO HW";#N/A,#N/A,TRUE,"CUADROS";#N/A,#N/A,TRUE,"SCADA´s";#N/A,#N/A,TRUE,"PRECIOS EQUIPOS"}</definedName>
    <definedName name="fsgdr" localSheetId="11" hidden="1">{"FCB_ALL",#N/A,FALSE,"FCB"}</definedName>
    <definedName name="FSLine" localSheetId="11">#REF!</definedName>
    <definedName name="FSoPacific" localSheetId="11" hidden="1">{"BS",#N/A,FALSE,"USA"}</definedName>
    <definedName name="fsr" localSheetId="11" hidden="1">{"FCB_ALL",#N/A,FALSE,"FCB"}</definedName>
    <definedName name="fsv" localSheetId="11" hidden="1">{"FCB_ALL",#N/A,FALSE,"FCB";"GREY_ALL",#N/A,FALSE,"GREY"}</definedName>
    <definedName name="ftyf" localSheetId="11" hidden="1">{"FCB_ALL",#N/A,FALSE,"FCB";"GREY_ALL",#N/A,FALSE,"GREY"}</definedName>
    <definedName name="Fuckoff" localSheetId="11" hidden="1">{"Input Sheet",#N/A,FALSE,"Input";"New Co",#N/A,FALSE,"NEWCO";"Acq Cash Flow",#N/A,FALSE,"Acq. CF";"Target Cash Flow",#N/A,FALSE,"Tgt. CF";"Operational Merger",#N/A,FALSE,"OP Merger";"Acq Balance Sheet",#N/A,FALSE,"Acq. BS";"Target Balance Sheet",#N/A,FALSE,"Tgt. BS";"BOE Comp",#N/A,FALSE,"BOEComp"}</definedName>
    <definedName name="fuelco_wrn.test1." localSheetId="11" hidden="1">{"Income Statement",#N/A,FALSE,"CFMODEL";"Balance Sheet",#N/A,FALSE,"CFMODEL"}</definedName>
    <definedName name="fuelco_wrn.test2." localSheetId="11" hidden="1">{"SourcesUses",#N/A,TRUE,"CFMODEL";"TransOverview",#N/A,TRUE,"CFMODEL"}</definedName>
    <definedName name="fuelco_wrn.test3." localSheetId="11" hidden="1">{"SourcesUses",#N/A,TRUE,#N/A;"TransOverview",#N/A,TRUE,"CFMODEL"}</definedName>
    <definedName name="fuelco_wrn.test4." localSheetId="11" hidden="1">{"SourcesUses",#N/A,TRUE,"FundsFlow";"TransOverview",#N/A,TRUE,"FundsFlow"}</definedName>
    <definedName name="fundIV" localSheetId="1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1" localSheetId="1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VG" localSheetId="11" hidden="1">{#N/A,#N/A,FALSE,"Pharm";#N/A,#N/A,FALSE,"WWCM"}</definedName>
    <definedName name="g" localSheetId="11" hidden="1">{#N/A,#N/A,FALSE,"Pharm";#N/A,#N/A,FALSE,"WWCM"}</definedName>
    <definedName name="GA" localSheetId="11" hidden="1">{#N/A,#N/A,FALSE,"Job Sched"}</definedName>
    <definedName name="GAAP" localSheetId="11">#REF!</definedName>
    <definedName name="gadew" localSheetId="11" hidden="1">{"FCB_ALL",#N/A,FALSE,"FCB"}</definedName>
    <definedName name="gadfsh" localSheetId="11" hidden="1">{"FCB_ALL",#N/A,FALSE,"FCB"}</definedName>
    <definedName name="gads" localSheetId="11" hidden="1">{"FCB_ALL",#N/A,FALSE,"FCB"}</definedName>
    <definedName name="gadse" localSheetId="11" hidden="1">{"FCB_ALL",#N/A,FALSE,"FCB"}</definedName>
    <definedName name="Gasout" localSheetId="11">#REF!</definedName>
    <definedName name="Gatewayforecast" localSheetId="11" hidden="1">{"SUM",#N/A,FALSE,"Details (2)"}</definedName>
    <definedName name="gawea" localSheetId="11" hidden="1">{"FCB_ALL",#N/A,FALSE,"FCB"}</definedName>
    <definedName name="gawen" localSheetId="11" hidden="1">{"FCB_ALL",#N/A,FALSE,"FCB"}</definedName>
    <definedName name="gdfgdf" localSheetId="11" hidden="1">{#N/A,#N/A,FALSE,"Pharm";#N/A,#N/A,FALSE,"WWCM"}</definedName>
    <definedName name="GeelCapexFcst" localSheetId="11" hidden="1">{#N/A,#N/A,FALSE,"SUMMARY";#N/A,#N/A,FALSE,"mcsh";#N/A,#N/A,FALSE,"vol&amp;rev";#N/A,#N/A,FALSE,"wkgcap";#N/A,#N/A,FALSE,"DEPR&amp;DT";#N/A,#N/A,FALSE,"ASSETS";#N/A,#N/A,FALSE,"NI&amp;OTH&amp;DIV";#N/A,#N/A,FALSE,"CASHFLOW";#N/A,#N/A,FALSE,"CAPEMPL";#N/A,#N/A,FALSE,"ROCE"}</definedName>
    <definedName name="gegeg" localSheetId="11" hidden="1">{#N/A,#N/A,FALSE,"Cashflow Analysis";#N/A,#N/A,FALSE,"Sensitivity Analysis";#N/A,#N/A,FALSE,"PV";#N/A,#N/A,FALSE,"Pro Forma"}</definedName>
    <definedName name="gegeg.2" localSheetId="11" hidden="1">{#N/A,#N/A,FALSE,"Cashflow Analysis";#N/A,#N/A,FALSE,"Sensitivity Analysis";#N/A,#N/A,FALSE,"PV";#N/A,#N/A,FALSE,"Pro Forma"}</definedName>
    <definedName name="gfasd" localSheetId="11" hidden="1">{"FCB_ALL",#N/A,FALSE,"FCB"}</definedName>
    <definedName name="gfdjhjh" localSheetId="11" hidden="1">{#N/A,#N/A,FALSE,"Pharm";#N/A,#N/A,FALSE,"WWCM"}</definedName>
    <definedName name="gfhs" localSheetId="11" hidden="1">{"summary1",#N/A,TRUE,"Comps";"summary2",#N/A,TRUE,"Comps";"summary3",#N/A,TRUE,"Comps"}</definedName>
    <definedName name="gfsdn" localSheetId="11" hidden="1">{"FCB_ALL",#N/A,FALSE,"FCB";"GREY_ALL",#N/A,FALSE,"GREY"}</definedName>
    <definedName name="GG" localSheetId="11" hidden="1">{#N/A,#N/A,FALSE,"PL-FS";#N/A,#N/A,FALSE,"PL"}</definedName>
    <definedName name="gg.2" localSheetId="11" hidden="1">{#N/A,#N/A,FALSE,"Cashflow Analysis";#N/A,#N/A,FALSE,"Sensitivity Analysis";#N/A,#N/A,FALSE,"PV";#N/A,#N/A,FALSE,"Pro Forma"}</definedName>
    <definedName name="ghjfg" localSheetId="11" hidden="1">{#N/A,#N/A,TRUE,"ALLL";#N/A,#N/A,TRUE,"DEL";#N/A,#N/A,TRUE,"Reserve Analysis";#N/A,#N/A,TRUE,"C_OFF HISTORY";#N/A,#N/A,TRUE,"ALLL_QTR";#N/A,#N/A,TRUE,"HEA_M";#N/A,#N/A,TRUE,"BL_DET";#N/A,#N/A,TRUE,"3YRS+";#N/A,#N/A,TRUE,"CONSTR_DET"}</definedName>
    <definedName name="ghjggjh" localSheetId="11" hidden="1">{#N/A,#N/A,FALSE,"Pharm";#N/A,#N/A,FALSE,"WWCM"}</definedName>
    <definedName name="ghmtymk" localSheetId="11" hidden="1">{#N/A,#N/A,FALSE,"INPUTS";#N/A,#N/A,FALSE,"PROFORMA BSHEET";#N/A,#N/A,FALSE,"COMBINED";#N/A,#N/A,FALSE,"ACQUIROR";#N/A,#N/A,FALSE,"TARGET 1";#N/A,#N/A,FALSE,"TARGET 2";#N/A,#N/A,FALSE,"HIGH YIELD";#N/A,#N/A,FALSE,"OVERFUND"}</definedName>
    <definedName name="ghtj" localSheetId="11" hidden="1">{#N/A,#N/A,FALSE,"ACQ_GRAPHS";#N/A,#N/A,FALSE,"T_1 GRAPHS";#N/A,#N/A,FALSE,"T_2 GRAPHS";#N/A,#N/A,FALSE,"COMB_GRAPHS"}</definedName>
    <definedName name="gilb.wrn.test2." localSheetId="11" hidden="1">{"SourcesUses",#N/A,TRUE,"CFMODEL";"TransOverview",#N/A,TRUE,"CFMODEL"}</definedName>
    <definedName name="gilb.wrn.test3." localSheetId="11" hidden="1">{"SourcesUses",#N/A,TRUE,#N/A;"TransOverview",#N/A,TRUE,"CFMODEL"}</definedName>
    <definedName name="gilb.wrn.test4." localSheetId="11" hidden="1">{"SourcesUses",#N/A,TRUE,"FundsFlow";"TransOverview",#N/A,TRUE,"FundsFlow"}</definedName>
    <definedName name="gilb_wrn.test1" localSheetId="11" hidden="1">{"Income Statement",#N/A,FALSE,"CFMODEL";"Balance Sheet",#N/A,FALSE,"CFMODEL"}</definedName>
    <definedName name="gkn" localSheetId="11" hidden="1">{#N/A,#N/A,FALSE,"COVER PAGE";#N/A,#N/A,FALSE,"Page 2";#N/A,#N/A,FALSE,"Page 2";#N/A,#N/A,FALSE,"Page 4";#N/A,#N/A,FALSE,"Page5";#N/A,#N/A,FALSE,"Page 6";#N/A,#N/A,FALSE,"Page 7";#N/A,#N/A,FALSE,"Page 8";#N/A,#N/A,FALSE,"Page 10";#N/A,#N/A,FALSE,"Long-Term OCF Mult.";#N/A,#N/A,FALSE,"PCS Comp";#N/A,#N/A,FALSE,"OCS-CAPEX";#N/A,#N/A,FALSE,"Blank"}</definedName>
    <definedName name="GKUY"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lobal1" localSheetId="11" hidden="1">{#N/A,#N/A,FALSE,"Pharm";#N/A,#N/A,FALSE,"WWCM"}</definedName>
    <definedName name="gmghm" localSheetId="1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gnr" localSheetId="1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o" localSheetId="11" hidden="1">{"TOTAL",#N/A,FALSE,"A";"FISCAL94",#N/A,FALSE,"A";"FISCAL95",#N/A,FALSE,"A";"FISCAL96",#N/A,FALSE,"A";"misc page",#N/A,FALSE,"A"}</definedName>
    <definedName name="graph" localSheetId="11" hidden="1">{#N/A,#N/A,FALSE,"REPORT"}</definedName>
    <definedName name="gt" localSheetId="11" hidden="1">{#N/A,#N/A,FALSE,"COVER";#N/A,#N/A,FALSE,"Index";#N/A,#N/A,FALSE,"Non-Earning";#N/A,#N/A,FALSE,"Commercial";#N/A,#N/A,FALSE,"Detailed"}</definedName>
    <definedName name="gtrwegrwegw" localSheetId="11" hidden="1">{"Summary",#N/A,FALSE,"Details (2)"}</definedName>
    <definedName name="gty" localSheetId="11" hidden="1">{"arpm1995",#N/A,FALSE,"Summary 95-96";"bus_long_distance",#N/A,FALSE,"Summary 95-96";"mins_per_day",#N/A,FALSE,"Summary 95-96";"minutes1995",#N/A,FALSE,"Summary 95-96";"rev_per_day",#N/A,FALSE,"Summary 95-96";"view1995",#N/A,FALSE,"Summary 95-96"}</definedName>
    <definedName name="h" localSheetId="11" hidden="1">{#N/A,#N/A,FALSE,"REPORT"}</definedName>
    <definedName name="hbkg" localSheetId="11" hidden="1">{#N/A,#N/A,FALSE,"COVER";#N/A,#N/A,FALSE,"Index";#N/A,#N/A,FALSE,"Non-Earning";#N/A,#N/A,FALSE,"Non-Earning-Recovery";#N/A,#N/A,FALSE,"Leasing_Equipo";#N/A,#N/A,FALSE,"Leasing_Auto";#N/A,#N/A,FALSE,"Leasing_Legal"}</definedName>
    <definedName name="HD"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Header" localSheetId="11">#REF!</definedName>
    <definedName name="Header1" localSheetId="11" hidden="1">IF(COUNTA(#REF!)=0,0,INDEX(#REF!,MATCH(ROW(#REF!),#REF!,TRUE)))+1</definedName>
    <definedName name="Header2" localSheetId="11" hidden="1">#REF!-1 &amp; "." &amp; MAX(1,COUNTA(INDEX(#REF!,MATCH(#REF!-1,#REF!,FALSE)):#REF!))</definedName>
    <definedName name="HEI" localSheetId="11" hidden="1">{"AQUIRORDCF",#N/A,FALSE,"Merger consequences";"Acquirorassns",#N/A,FALSE,"Merger consequences"}</definedName>
    <definedName name="hello2" localSheetId="11" hidden="1">{#N/A,#N/A,FALSE,"Index";"Stmts_Qtrs",#N/A,FALSE,"Summary";"Stmts_24 mo",#N/A,FALSE,"Summary";"Summary_24",#N/A,FALSE,"Revenue";"Month_24",#N/A,FALSE,"Engineering";"Month_24",#N/A,FALSE,"Marketing";"Month_24",#N/A,FALSE,"G &amp; A";"Month_24",#N/A,FALSE,"Manufacturing"}</definedName>
    <definedName name="Help" localSheetId="11" hidden="1">{#N/A,#N/A,FALSE,"COVER PAGE";#N/A,#N/A,FALSE,"Page 2";#N/A,#N/A,FALSE,"Page 2";#N/A,#N/A,FALSE,"Page 4";#N/A,#N/A,FALSE,"Page5";#N/A,#N/A,FALSE,"Page 6";#N/A,#N/A,FALSE,"Page 7";#N/A,#N/A,FALSE,"Page 8";#N/A,#N/A,FALSE,"Page 10";#N/A,#N/A,FALSE,"Long-Term OCF Mult.";#N/A,#N/A,FALSE,"PCS Comp";#N/A,#N/A,FALSE,"OCS-CAPEX";#N/A,#N/A,FALSE,"Blank"}</definedName>
    <definedName name="help1" localSheetId="11" hidden="1">{#N/A,#N/A,FALSE,"Total";#N/A,#N/A,FALSE,"Sew";#N/A,#N/A,FALSE,"Finish";#N/A,#N/A,FALSE,"CUT";#N/A,#N/A,FALSE,"Mill 5";#N/A,#N/A,FALSE,"Mill 6";#N/A,#N/A,FALSE,"Mill 8";#N/A,#N/A,FALSE,"Mill 9";#N/A,#N/A,FALSE,"Mill 10";#N/A,#N/A,FALSE,"Mill 12";#N/A,#N/A,FALSE,"Mill 15";#N/A,#N/A,FALSE,"Mill 17"}</definedName>
    <definedName name="hfd" localSheetId="11" hidden="1">{"FCB_ALL",#N/A,FALSE,"FCB";"GREY_ALL",#N/A,FALSE,"GREY"}</definedName>
    <definedName name="HFinGraph" localSheetId="11" hidden="1">{#N/A,#N/A,FALSE,"Pharm";#N/A,#N/A,FALSE,"WWCM"}</definedName>
    <definedName name="hfydf" localSheetId="11" hidden="1">{"FCB_ALL",#N/A,FALSE,"FCB"}</definedName>
    <definedName name="hgsrt" localSheetId="11" hidden="1">{"FCB_ALL",#N/A,FALSE,"FCB";"GREY_ALL",#N/A,FALSE,"GREY"}</definedName>
    <definedName name="hh" localSheetId="11" hidden="1">{#N/A,#N/A,TRUE,"DCF Summary";#N/A,#N/A,TRUE,"Casema";#N/A,#N/A,TRUE,"UK";#N/A,#N/A,TRUE,"RCF";#N/A,#N/A,TRUE,"Intercable CZ";#N/A,#N/A,TRUE,"Interkabel P";#N/A,#N/A,TRUE,"LBO-Total";#N/A,#N/A,TRUE,"LBO-Casema"}</definedName>
    <definedName name="hhh" localSheetId="11" hidden="1">{#N/A,#N/A,FALSE,"Job Sched"}</definedName>
    <definedName name="hhhh" localSheetId="11" hidden="1">{"SUM",#N/A,FALSE,"Details (2)"}</definedName>
    <definedName name="Hi" localSheetId="11" hidden="1">{#N/A,#N/A,FALSE,"FAB VENDORS";"BUD SUM",#N/A,FALSE,"BUD SUM WO TEX"}</definedName>
    <definedName name="Hibh" localSheetId="11" hidden="1">{#N/A,#N/A,FALSE,"Pharm";#N/A,#N/A,FALSE,"WWCM"}</definedName>
    <definedName name="High" localSheetId="11" hidden="1">{#N/A,#N/A,FALSE,"Pharm";#N/A,#N/A,FALSE,"WWCM"}</definedName>
    <definedName name="hjf" localSheetId="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jh" localSheetId="11" hidden="1">{#N/A,#N/A,FALSE,"Page 1";#N/A,#N/A,FALSE,"Page 2";#N/A,#N/A,FALSE,"Page 3";#N/A,#N/A,FALSE,"Page 4";#N/A,#N/A,FALSE,"Page 5"}</definedName>
    <definedName name="hjhjffukfuk" localSheetId="11" hidden="1">{#N/A,#N/A,FALSE,"Pharm";#N/A,#N/A,FALSE,"WWCM"}</definedName>
    <definedName name="hjhjfkfukywrte" localSheetId="11" hidden="1">{#N/A,#N/A,FALSE,"Pharm";#N/A,#N/A,FALSE,"WWCM"}</definedName>
    <definedName name="hjhjhj" localSheetId="11" hidden="1">{#N/A,#N/A,FALSE,"Index";"Stmts_Qtrs",#N/A,FALSE,"Summary";"Stmts_24 mo",#N/A,FALSE,"Summary";"Summary_24",#N/A,FALSE,"Revenue";"Month_24",#N/A,FALSE,"Engineering";"Month_24",#N/A,FALSE,"Marketing";"Month_24",#N/A,FALSE,"G &amp; A";"Month_24",#N/A,FALSE,"Manufacturing"}</definedName>
    <definedName name="hjhjhj2" localSheetId="11" hidden="1">{#N/A,#N/A,FALSE,"Index";"Stmts_Qtrs",#N/A,FALSE,"Summary";"Stmts_24 mo",#N/A,FALSE,"Summary";"Summary_24",#N/A,FALSE,"Revenue";"Month_24",#N/A,FALSE,"Engineering";"Month_24",#N/A,FALSE,"Marketing";"Month_24",#N/A,FALSE,"G &amp; A";"Month_24",#N/A,FALSE,"Manufacturing"}</definedName>
    <definedName name="hjhkjkl" localSheetId="11" hidden="1">{#N/A,#N/A,FALSE,"Pharm";#N/A,#N/A,FALSE,"WWCM"}</definedName>
    <definedName name="hjjjkk" localSheetId="11" hidden="1">{#N/A,#N/A,FALSE,"REPORT"}</definedName>
    <definedName name="hjjkk" localSheetId="11" hidden="1">{#N/A,#N/A,FALSE,"Pharm";#N/A,#N/A,FALSE,"WWCM"}</definedName>
    <definedName name="hjkk" localSheetId="11" hidden="1">{#N/A,#N/A,FALSE,"Pharm";#N/A,#N/A,FALSE,"WWCM"}</definedName>
    <definedName name="HKSH" localSheetId="11" hidden="1">{#N/A,#N/A,FALSE,"REPORT"}</definedName>
    <definedName name="HMG" localSheetId="11" hidden="1">{#N/A,#N/A,FALSE,"REPORT"}</definedName>
    <definedName name="hn._I018" localSheetId="11" hidden="1">#REF!</definedName>
    <definedName name="hn._I024" localSheetId="11" hidden="1">#REF!</definedName>
    <definedName name="hn.Delete015" localSheetId="11" hidden="1">#REF!,#REF!,#REF!,#REF!,#REF!</definedName>
    <definedName name="hn.PrivateLTMYear" localSheetId="11" hidden="1">#REF!</definedName>
    <definedName name="hod" localSheetId="11" hidden="1">{#N/A,#N/A,FALSE,"TS";#N/A,#N/A,FALSE,"Combo";#N/A,#N/A,FALSE,"FAIR";#N/A,#N/A,FALSE,"RBC";#N/A,#N/A,FALSE,"xxxx";#N/A,#N/A,FALSE,"A_D";#N/A,#N/A,FALSE,"WACC";#N/A,#N/A,FALSE,"DCF";#N/A,#N/A,FALSE,"LBO";#N/A,#N/A,FALSE,"AcqMults";#N/A,#N/A,FALSE,"CompMults"}</definedName>
    <definedName name="home" localSheetId="11" hidden="1">{"WACC_filecopy",#N/A,FALSE,"Inputs";"Beta_filecopy",#N/A,FALSE,"Inputs";"SCF_filecopy",#N/A,FALSE,"Inputs";"ProBS_filecopy",#N/A,FALSE,"Inputs";"BS_filecopy",#N/A,FALSE,"Inputs";"ProIS_filecopy",#N/A,FALSE,"Inputs";"IS_filecopy",#N/A,FALSE,"Inputs"}</definedName>
    <definedName name="HOMFE" localSheetId="11" hidden="1">{#N/A,#N/A,FALSE,"Assessment";#N/A,#N/A,FALSE,"Staffing";#N/A,#N/A,FALSE,"Hires";#N/A,#N/A,FALSE,"Assumptions"}</definedName>
    <definedName name="houy" localSheetId="11" hidden="1">{#N/A,#N/A,FALSE,"AD_Purchase";#N/A,#N/A,FALSE,"Credit";#N/A,#N/A,FALSE,"PF Acquisition";#N/A,#N/A,FALSE,"PF Offering"}</definedName>
    <definedName name="HQ" localSheetId="11" hidden="1">{#N/A,#N/A,FALSE,"6405";#N/A,#N/A,FALSE,"6406";#N/A,#N/A,FALSE,"6409";#N/A,#N/A,FALSE,"6425";#N/A,#N/A,FALSE,"6426";#N/A,#N/A,FALSE,"6427";#N/A,#N/A,FALSE,"6440";#N/A,#N/A,FALSE,"6441";#N/A,#N/A,FALSE,"6442";#N/A,#N/A,FALSE,"6443"}</definedName>
    <definedName name="HTML_Control" localSheetId="11" hidden="1">{"'Sheet1'!$A$1:$J$121"}</definedName>
    <definedName name="HTML_Control_1" localSheetId="11" hidden="1">{"'ATP'!$E$6"}</definedName>
    <definedName name="HTML_Control_BS" localSheetId="11" hidden="1">{"'Sheet1'!$A$1:$L$21"}</definedName>
    <definedName name="HTML_Header" localSheetId="11" hidden="1">"Sheet1"</definedName>
    <definedName name="HTML_LastUpdate" localSheetId="11" hidden="1">"10/21/99"</definedName>
    <definedName name="HTML_Name" localSheetId="11" hidden="1">"Paulette Peoples"</definedName>
    <definedName name="HTML_PathFile" localSheetId="11" hidden="1">"\\Bhincres01\groups\Mkt_Dev\EXECMKTR\RIGS\RigBible\Web NA.htm"</definedName>
    <definedName name="HTML_Title" localSheetId="11" hidden="1">"Total North America"</definedName>
    <definedName name="HTMLControl" localSheetId="11" hidden="1">{"'Edit'!$A$1:$V$2277"}</definedName>
    <definedName name="htyuityuiotio" localSheetId="11" hidden="1">{#N/A,#N/A,FALSE,"REPORT"}</definedName>
    <definedName name="hu"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Hypertention" localSheetId="11" hidden="1">{#N/A,#N/A,FALSE,"Pharm";#N/A,#N/A,FALSE,"WWCM"}</definedName>
    <definedName name="hypo" localSheetId="11" hidden="1">{#N/A,#N/A,FALSE,"Pharm";#N/A,#N/A,FALSE,"WWCM"}</definedName>
    <definedName name="I" localSheetId="11" hidden="1">#REF!</definedName>
    <definedName name="iiiii"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iiiiiiiiiiiiiiiiiiii"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nmovilizado2" localSheetId="11" hidden="1">{#N/A,#N/A,FALSE,"CNS_ADJ";"Balance Consolidado",#N/A,FALSE,"BCEC_CNS";#N/A,#N/A,FALSE,"USGAAP_ADJ"}</definedName>
    <definedName name="Int" localSheetId="11">#REF!</definedName>
    <definedName name="Interco2" localSheetId="11" hidden="1">{#N/A,#N/A,FALSE,"Job Sched"}</definedName>
    <definedName name="IP" localSheetId="11" hidden="1">{#N/A,#N/A,FALSE,"Pharm";#N/A,#N/A,FALSE,"WWCM"}</definedName>
    <definedName name="IPRD_mites" localSheetId="11" hidden="1">{"bs",#N/A,FALSE,"SCF"}</definedName>
    <definedName name="IPRD_Pollen" localSheetId="11" hidden="1">{"bs",#N/A,FALSE,"SCF"}</definedName>
    <definedName name="IQ_EXPENSE_CODE_" localSheetId="11" hidden="1">"001"</definedName>
    <definedName name="IQ_NAMES_REVISION_DATE_" localSheetId="11" hidden="1">41024.009837963</definedName>
    <definedName name="IQB_BOOKMARK_LOCATION_0" localSheetId="11" hidden="1">#REF!</definedName>
    <definedName name="IQR111711P10" localSheetId="11" hidden="1">#REF!</definedName>
    <definedName name="IQR111711P101" localSheetId="11" hidden="1">#REF!</definedName>
    <definedName name="IQRB17" localSheetId="11" hidden="1">"$B$18:$B$22"</definedName>
    <definedName name="IQRCompaniesH12" localSheetId="11" hidden="1">#REF!</definedName>
    <definedName name="IQRCompaniesH13" localSheetId="11" hidden="1">#REF!</definedName>
    <definedName name="IQRCompaniesH14" localSheetId="11" hidden="1">#REF!</definedName>
    <definedName name="IQRPeopleH12" localSheetId="11" hidden="1">#REF!</definedName>
    <definedName name="IQRPeopleH13" localSheetId="11" hidden="1">#REF!</definedName>
    <definedName name="IQRPeopleH14" localSheetId="11" hidden="1">#REF!</definedName>
    <definedName name="Irbe" localSheetId="11" hidden="1">{#N/A,#N/A,FALSE,"Pharm";#N/A,#N/A,FALSE,"WWCM"}</definedName>
    <definedName name="ISCaseName" localSheetId="11">#REF!</definedName>
    <definedName name="ISG" localSheetId="11" hidden="1">{#N/A,#N/A,FALSE,"REPORT"}</definedName>
    <definedName name="iv" localSheetId="11"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iyrt" localSheetId="11" hidden="1">{#N/A,#N/A,TRUE,"A";#N/A,#N/A,TRUE,"B";#N/A,#N/A,TRUE,"C";#N/A,#N/A,TRUE,"D";#N/A,#N/A,TRUE,"E"}</definedName>
    <definedName name="j" localSheetId="11" hidden="1">{#N/A,#N/A,FALSE,"REPORT"}</definedName>
    <definedName name="jb" localSheetId="11" hidden="1">{"summary1",#N/A,TRUE,"Comps";"summary2",#N/A,TRUE,"Comps";"summary3",#N/A,TRUE,"Comps"}</definedName>
    <definedName name="jde" localSheetId="11" hidden="1">{#N/A,#N/A,TRUE,"BUD VS ACT AUST 96";#N/A,#N/A,TRUE,"96 COMP P&amp;L-AUST";#N/A,#N/A,TRUE,"COMP BS-AUSTRALIA";#N/A,#N/A,TRUE,"B/S - AUSTR."}</definedName>
    <definedName name="jdfjesjds" localSheetId="11" hidden="1">{#N/A,#N/A,TRUE,"BUD VS ACT AUST 96";#N/A,#N/A,TRUE,"96 COMP P&amp;L-AUST";#N/A,#N/A,TRUE,"COMP BS-AUSTRALIA";#N/A,#N/A,TRUE,"B/S - AUSTR."}</definedName>
    <definedName name="jen" localSheetId="11" hidden="1">{TRUE,TRUE,-1.25,-15.5,456.75,279.75,FALSE,FALSE,TRUE,TRUE,0,1,8,1,4,6,3,4,TRUE,TRUE,3,TRUE,1,TRUE,100,"Swvu.turnover.","ACwvu.turnover.",1,FALSE,FALSE,0.511811023622047,0.511811023622047,0.511811023622047,0.511811023622047,1,"","",FALSE,FALSE,FALSE,FALSE,1,#N/A,1,1,#DIV/0!,FALSE,"Rwvu.turnover.",#N/A,FALSE,FALSE}</definedName>
    <definedName name="jgjgfjgfjf" localSheetId="11" hidden="1">{#N/A,#N/A,FALSE,"COMP BS-FRANCE";#N/A,#N/A,FALSE,"96 COMP P&amp;L-FRANCE";#N/A,#N/A,FALSE,"BUD VS ACT FRAN 96";#N/A,#N/A,FALSE,"B/S - FRANCE"}</definedName>
    <definedName name="jhy" localSheetId="11" hidden="1">{#N/A,#N/A,TRUE,"Sel Fn Data QTD";#N/A,#N/A,TRUE,"TABLE_1 SPREAD ANALYSIS";#N/A,#N/A,TRUE,"Tables 2 to 3 PL";#N/A,#N/A,TRUE,"Tables 4 and 5 ALLL";#N/A,#N/A,TRUE,"Tables 6 to 8 ALLL NPA";#N/A,#N/A,TRUE,"Table 9 to 10 - Balance Sheet";#N/A,#N/A,TRUE,"Table 11 to 12 - Equity"}</definedName>
    <definedName name="jjj" localSheetId="11" hidden="1">{#N/A,#N/A,FALSE,"REPORT"}</definedName>
    <definedName name="jk" localSheetId="11" hidden="1">#REF!</definedName>
    <definedName name="jkl" localSheetId="11" hidden="1">{#N/A,#N/A,FALSE,"REPORT"}</definedName>
    <definedName name="JMBM" localSheetId="11" hidden="1">{#N/A,#N/A,TRUE,"RESUMEN ECON.";#N/A,#N/A,TRUE,"Costos de R.H.";#N/A,#N/A,TRUE,"COSTO HW";#N/A,#N/A,TRUE,"CUADROS";#N/A,#N/A,TRUE,"SCADA´s";#N/A,#N/A,TRUE,"PRECIOS EQUIPOS"}</definedName>
    <definedName name="JMBMI" localSheetId="11" hidden="1">{#N/A,#N/A,TRUE,"RESUMEN ECON.";#N/A,#N/A,TRUE,"Costos de R.H.";#N/A,#N/A,TRUE,"COSTO HW";#N/A,#N/A,TRUE,"CUADROS";#N/A,#N/A,TRUE,"SCADA´s";#N/A,#N/A,TRUE,"PRECIOS EQUIPOS"}</definedName>
    <definedName name="jnhkjk" localSheetId="11" hidden="1">{#N/A,#N/A,TRUE,"BUD VS ACT AUST 96";#N/A,#N/A,TRUE,"96 COMP P&amp;L-AUST";#N/A,#N/A,TRUE,"COMP BS-AUSTRALIA";#N/A,#N/A,TRUE,"B/S - AUSTR."}</definedName>
    <definedName name="jnjnhjn" localSheetId="11" hidden="1">{#N/A,#N/A,TRUE,"BUD VS ACT AUST 96";#N/A,#N/A,TRUE,"96 COMP P&amp;L-AUST";#N/A,#N/A,TRUE,"COMP BS-AUSTRALIA";#N/A,#N/A,TRUE,"B/S - AUSTR."}</definedName>
    <definedName name="JNPRpublish" localSheetId="11" hidden="1">{#N/A,#N/A,FALSE,"Index";"Stmts_Qtrs",#N/A,FALSE,"Summary";"Stmts_24 mo",#N/A,FALSE,"Summary";"Summary_24",#N/A,FALSE,"Revenue";"Month_24",#N/A,FALSE,"Engineering";"Month_24",#N/A,FALSE,"Marketing";"Month_24",#N/A,FALSE,"G &amp; A";"Month_24",#N/A,FALSE,"Manufacturing"}</definedName>
    <definedName name="Joe" localSheetId="11" hidden="1">{"FY04_Assets",#N/A,FALSE,"Fin Stmt Budget";"FY04_Liabilities",#N/A,FALSE,"Fin Stmt Budget";"FY04_Inc_Stmt",#N/A,FALSE,"Fin Stmt Budget";"FY04_SOCF",#N/A,FALSE,"Fin Stmt Budget"}</definedName>
    <definedName name="Joost" localSheetId="1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JUAN" localSheetId="11" hidden="1">{#N/A,#N/A,FALSE,"RESUMEN ECON.";#N/A,#N/A,FALSE,"Costos de R.H.";#N/A,#N/A,FALSE,"COSTO HW";#N/A,#N/A,FALSE,"CUADROS";#N/A,#N/A,FALSE,"SCADA´s";#N/A,#N/A,FALSE,"PRECIOS EQUIPOS"}</definedName>
    <definedName name="judy" localSheetId="11" hidden="1">{#N/A,#N/A,FALSE,"Pharm";#N/A,#N/A,FALSE,"WWCM"}</definedName>
    <definedName name="judy1" localSheetId="11" hidden="1">{#N/A,#N/A,FALSE,"Pharm";#N/A,#N/A,FALSE,"WWCM"}</definedName>
    <definedName name="JUMABA" localSheetId="11" hidden="1">{#N/A,#N/A,TRUE,"RESUMEN ECON.";#N/A,#N/A,TRUE,"Costos de R.H.";#N/A,#N/A,TRUE,"COSTO HW";#N/A,#N/A,TRUE,"CUADROS";#N/A,#N/A,TRUE,"SCADA´s";#N/A,#N/A,TRUE,"PRECIOS EQUIPOS"}</definedName>
    <definedName name="junk" localSheetId="11" hidden="1">#REF!</definedName>
    <definedName name="junk3" localSheetId="11" hidden="1">{"BS",#N/A,FALSE,"USA"}</definedName>
    <definedName name="junkme" localSheetId="11" hidden="1">{#N/A,#N/A,TRUE,"Status Report";#N/A,#N/A,TRUE,"Current Forecast";#N/A,#N/A,TRUE,"Last Forecast";#N/A,#N/A,TRUE,"BP";#N/A,#N/A,TRUE,"LY"}</definedName>
    <definedName name="k" localSheetId="1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2__CVPARAMS__" localSheetId="11" hidden="1">"Any by Any!$C$14:$D$35;"</definedName>
    <definedName name="K2__WBEVMODE__" localSheetId="11" hidden="1">1</definedName>
    <definedName name="K2__WBREFOPTIONS__" localSheetId="11" hidden="1">134217772</definedName>
    <definedName name="ka" localSheetId="11" hidden="1">{"TOTAL",#N/A,FALSE,"A";"FISCAL94",#N/A,FALSE,"A";"FISCAL95",#N/A,FALSE,"A";"FISCAL96",#N/A,FALSE,"A";"misc page",#N/A,FALSE,"A"}</definedName>
    <definedName name="kas" localSheetId="11" hidden="1">{"TOTAL",#N/A,FALSE,"A";"FISCAL94",#N/A,FALSE,"A";"FISCAL95",#N/A,FALSE,"A";"FISCAL96",#N/A,FALSE,"A";"misc page",#N/A,FALSE,"A"}</definedName>
    <definedName name="KDJD" localSheetId="11"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Kfw" localSheetId="11" hidden="1">{"coversht",#N/A,TRUE,"TOC";"assmp1",#N/A,TRUE,"ASS";"assmp2",#N/A,TRUE,"ASS";"cashfl1",#N/A,TRUE,"CF";"return1",#N/A,TRUE,"Return";"return2",#N/A,TRUE,"Return";"EIncome",#N/A,TRUE,"EINC";"rev1",#N/A,TRUE,"Rev";"rev2",#N/A,TRUE,"Rev";"exp1",#N/A,TRUE,"Exp";"exp2",#N/A,TRUE,"Exp";"exp3",#N/A,TRUE,"Exp";"exp4",#N/A,TRUE,"Exp";"MaintRes",#N/A,TRUE,"MRES";"drwdn1",#N/A,TRUE,"Drwdn";"drwdn2",#N/A,TRUE,"Drwdn";"drwdn3",#N/A,TRUE,"Drwdn";"debt1",#N/A,TRUE,"Fin";"debt2",#N/A,TRUE,"Fin";"tax1",#N/A,TRUE,"TAXES";"tax2",#N/A,TRUE,"TAXES";"Deprec",#N/A,TRUE,"DEPR";"Balsht1",#N/A,TRUE,"BS_IS";"Balsht2",#N/A,TRUE,"BS_IS";"Ref1",#N/A,TRUE,"REF1";"Ref2",#N/A,TRUE,"REF2";"Ref3",#N/A,TRUE,"REF3";"Ref4",#N/A,TRUE,"REF4"}</definedName>
    <definedName name="kgkg" localSheetId="11" hidden="1">{#N/A,#N/A,FALSE,"COVER";#N/A,#N/A,FALSE,"Index";#N/A,#N/A,FALSE,"Non-Earning";#N/A,#N/A,FALSE,"Non-Earning_Recovery"}</definedName>
    <definedName name="KGKHJ" localSheetId="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j" localSheetId="11" hidden="1">{"CASHFLOW",#N/A,FALSE,"Northpointe"}</definedName>
    <definedName name="kjo" localSheetId="11" hidden="1">{#N/A,#N/A,FALSE,"SUMMARY";#N/A,#N/A,FALSE,"mcsh";#N/A,#N/A,FALSE,"vol&amp;rev";#N/A,#N/A,FALSE,"wkgcap";#N/A,#N/A,FALSE,"DEPR&amp;DT";#N/A,#N/A,FALSE,"ASSETS";#N/A,#N/A,FALSE,"NI&amp;OTH&amp;DIV";#N/A,#N/A,FALSE,"CASHFLOW";#N/A,#N/A,FALSE,"CAPEMPL";#N/A,#N/A,FALSE,"ROCE"}</definedName>
    <definedName name="kk" localSheetId="11" hidden="1">{#N/A,#N/A,TRUE,"Sel Fn Data QTD";#N/A,#N/A,TRUE,"Table 1 YTD";#N/A,#N/A,TRUE,"Tables 2 to 4 PL";#N/A,#N/A,TRUE,"Tables 5 to 9 ALLL";#N/A,#N/A,TRUE,"Table 10 to 13 - Balance Sheet"}</definedName>
    <definedName name="kkk" localSheetId="11" hidden="1">{#N/A,#N/A,FALSE,"Pharm";#N/A,#N/A,FALSE,"WWCM"}</definedName>
    <definedName name="kkkk" localSheetId="11" hidden="1">{#N/A,#N/A,TRUE,"BUD VS ACT AUST 96";#N/A,#N/A,TRUE,"96 COMP P&amp;L-AUST";#N/A,#N/A,TRUE,"COMP BS-AUSTRALIA";#N/A,#N/A,TRUE,"B/S - AUSTR."}</definedName>
    <definedName name="kkkkkkk" localSheetId="11" hidden="1">{#N/A,#N/A,TRUE,"BUD VS ACT AUST 96";#N/A,#N/A,TRUE,"96 COMP P&amp;L-AUST";#N/A,#N/A,TRUE,"COMP BS-AUSTRALIA";#N/A,#N/A,TRUE,"B/S - AUSTR."}</definedName>
    <definedName name="klklkl" localSheetId="11" hidden="1">{#N/A,#N/A,TRUE,"BUD VS ACT AUST 96";#N/A,#N/A,TRUE,"96 COMP P&amp;L-AUST";#N/A,#N/A,TRUE,"COMP BS-AUSTRALIA";#N/A,#N/A,TRUE,"B/S - AUSTR."}</definedName>
    <definedName name="klklklkl" localSheetId="11" hidden="1">{#N/A,#N/A,FALSE,"Index";"Stmts_Qtrs",#N/A,FALSE,"Summary";"Stmts_24 mo",#N/A,FALSE,"Summary";"Summary_24",#N/A,FALSE,"Revenue";"Month_24",#N/A,FALSE,"Engineering";"Month_24",#N/A,FALSE,"Marketing";"Month_24",#N/A,FALSE,"G &amp; A";"Month_24",#N/A,FALSE,"Manufacturing"}</definedName>
    <definedName name="kslkjkjlkjd" localSheetId="11" hidden="1">{#N/A,#N/A,FALSE,"REPORT"}</definedName>
    <definedName name="ku" localSheetId="11" hidden="1">{#N/A,#N/A,TRUE,"BUD VS ACT AUST 96";#N/A,#N/A,TRUE,"96 COMP P&amp;L-AUST";#N/A,#N/A,TRUE,"COMP BS-AUSTRALIA";#N/A,#N/A,TRUE,"B/S - AUSTR."}</definedName>
    <definedName name="L" localSheetId="11" hidden="1">#REF!</definedName>
    <definedName name="Labourcost__h" localSheetId="11">#REF!</definedName>
    <definedName name="LaonPeriodCurrent" localSheetId="11">#REF!</definedName>
    <definedName name="LBOAnalysis2" localSheetId="11" hidden="1">{"WACC_clientcopy",#N/A,FALSE,"Inputs";"Beta_clientcopy",#N/A,FALSE,"Inputs";"SCF_clientcopy",#N/A,FALSE,"Inputs";"ProBS_clientcopy",#N/A,FALSE,"Inputs";"BS_clientcopy",#N/A,FALSE,"Inputs";"ProIS_clientcopy",#N/A,FALSE,"Inputs";"IS_clientcopy",#N/A,FALSE,"Inputs";"Ratios_clientcopy",#N/A,FALSE,"Ratios"}</definedName>
    <definedName name="LBOCreditConsol" localSheetId="11" hidden="1">{"FCB_ALL",#N/A,FALSE,"FCB"}</definedName>
    <definedName name="lee" localSheetId="11" hidden="1">{#N/A,#N/A,FALSE,"Pharm";#N/A,#N/A,FALSE,"WWCM"}</definedName>
    <definedName name="lfj" localSheetId="11" hidden="1">{#N/A,#N/A,FALSE,"TABLE_1 YTD";#N/A,#N/A,FALSE,"TABLE_1A QTD";#N/A,#N/A,FALSE,"NORMAL_SPREAD_QTD";#N/A,#N/A,FALSE,"NORMAL_SPREAD_YTD";#N/A,#N/A,FALSE,"TAX_EQV";#N/A,#N/A,FALSE,"TAX EQUIV_INPUT";#N/A,#N/A,FALSE,"NET FROM FER";#N/A,#N/A,FALSE,"COVER"}</definedName>
    <definedName name="Lifeguard" localSheetId="11">#REF!</definedName>
    <definedName name="lkj" localSheetId="11" hidden="1">#REF!</definedName>
    <definedName name="lklkl" localSheetId="11" hidden="1">{"consolidated",#N/A,FALSE,"Sheet1";"cms",#N/A,FALSE,"Sheet1";"fse",#N/A,FALSE,"Sheet1"}</definedName>
    <definedName name="ll" localSheetId="11" hidden="1">{#N/A,#N/A,FALSE,"PL-FS";#N/A,#N/A,FALSE,"PL"}</definedName>
    <definedName name="LLCP" localSheetId="11" hidden="1">{"PAGE1",#N/A,FALSE,"BID (3)";"PAGE2",#N/A,FALSE,"BID (3)"}</definedName>
    <definedName name="LLL" localSheetId="11" hidden="1">{#N/A,#N/A,FALSE,"ACQ_GRAPHS";#N/A,#N/A,FALSE,"T_1 GRAPHS";#N/A,#N/A,FALSE,"T_2 GRAPHS";#N/A,#N/A,FALSE,"COMB_GRAPHS"}</definedName>
    <definedName name="lllll" localSheetId="11" hidden="1">{"Summary",#N/A,FALSE,"Details (2)"}</definedName>
    <definedName name="lllllllll" localSheetId="11" hidden="1">{"SUM",#N/A,FALSE,"Details (2)"}</definedName>
    <definedName name="lllllllllllllllllll" localSheetId="11" hidden="1">{"Summary",#N/A,FALSE,"Details (2)"}</definedName>
    <definedName name="lnk_Print_Area" localSheetId="11" hidden="1">#REF!</definedName>
    <definedName name="Loan_Amount" localSheetId="11">#REF!</definedName>
    <definedName name="Loan_Not_Paid" localSheetId="11">IF(#REF!&lt;='Pro Forma Financials (Q1)'!Number_of_Payments,1,0)</definedName>
    <definedName name="Loan2016" localSheetId="11">(#REF!*#REF!*#REF!*#REF!)&gt;0</definedName>
    <definedName name="Loan2017" localSheetId="11">(#REF!*#REF!*#REF!*#REF!)&gt;0</definedName>
    <definedName name="Loan2018" localSheetId="11">(#REF!*#REF!*#REF!*#REF!)&gt;0</definedName>
    <definedName name="Local" localSheetId="11" hidden="1">{"arpm1995",#N/A,FALSE,"Summary 95-96";"bus_long_distance",#N/A,FALSE,"Summary 95-96";"mins_per_day",#N/A,FALSE,"Summary 95-96";"minutes1995",#N/A,FALSE,"Summary 95-96";"rev_per_day",#N/A,FALSE,"Summary 95-96";"view1995",#N/A,FALSE,"Summary 95-96"}</definedName>
    <definedName name="LOCAL_MYSQL_DATE_FORMAT" localSheetId="1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tion" localSheetId="11">#REF!</definedName>
    <definedName name="LOI" localSheetId="11" hidden="1">{#N/A,#N/A,FALSE,"TABLE_1 YTD";#N/A,#N/A,FALSE,"TABLE_1A QTD";#N/A,#N/A,FALSE,"NORMAL_SPREAD_QTD";#N/A,#N/A,FALSE,"NORMAL_SPREAD_YTD";#N/A,#N/A,FALSE,"TAX_EQV";#N/A,#N/A,FALSE,"TAX EQUIV_INPUT";#N/A,#N/A,FALSE,"NET FROM FER";#N/A,#N/A,FALSE,"COVER"}</definedName>
    <definedName name="LookupIndex" localSheetId="11">#REF!</definedName>
    <definedName name="m" localSheetId="11" hidden="1">{#N/A,#N/A,FALSE,"CNS";#N/A,#N/A,FALSE,"Serz";#N/A,#N/A,FALSE,"Ace"}</definedName>
    <definedName name="M_A" localSheetId="11" hidden="1">{#N/A,#N/A,FALSE,"Rev Grwth";#N/A,#N/A,FALSE,"Op Inc Grwth";#N/A,#N/A,FALSE,"Net Grwth";#N/A,#N/A,FALSE,"EPS Growth"}</definedName>
    <definedName name="M_PlaceofPath" localSheetId="11" hidden="1">"F:\ABARBER\apb\VBA Models\jnj_vdf.xls"</definedName>
    <definedName name="MACTCostout" localSheetId="11">#REF!</definedName>
    <definedName name="MACTInvout" localSheetId="11">#REF!</definedName>
    <definedName name="Management" localSheetId="11" hidden="1">{#N/A,"Faber45",FALSE,"LBPROFOR";#N/A,"Faber50",FALSE,"LBPROFOR";#N/A,"Faber55",FALSE,"LBPROFOR";#N/A,"Faber60",FALSE,"LBPROFOR"}</definedName>
    <definedName name="Managemnt" localSheetId="11" hidden="1">{#N/A,"Faber45",FALSE,"LBPROFOR";#N/A,"Faber50",FALSE,"LBPROFOR";#N/A,"Faber55",FALSE,"LBPROFOR";#N/A,"Faber60",FALSE,"LBPROFOR"}</definedName>
    <definedName name="Mar00" localSheetId="11" hidden="1">{"Statement of Income",#N/A,TRUE,"Mar99";"Balance Sheet",#N/A,TRUE,"Mar99"}</definedName>
    <definedName name="Mar00TB" localSheetId="11" hidden="1">{"Statement of Income",#N/A,TRUE,"Mar99";"Balance Sheet",#N/A,TRUE,"Mar99"}</definedName>
    <definedName name="mar00tb1" localSheetId="11" hidden="1">{"Statement of Income",#N/A,TRUE,"Mar99";"Balance Sheet",#N/A,TRUE,"Mar99"}</definedName>
    <definedName name="Mark" localSheetId="11" hidden="1">{"WACC_clientcopy",#N/A,FALSE,"Inputs";"Beta_clientcopy",#N/A,FALSE,"Inputs";"SCF_clientcopy",#N/A,FALSE,"Inputs";"ProBS_clientcopy",#N/A,FALSE,"Inputs";"BS_clientcopy",#N/A,FALSE,"Inputs";"ProIS_clientcopy",#N/A,FALSE,"Inputs";"IS_clientcopy",#N/A,FALSE,"Inputs";"Ratios_clientcopy",#N/A,FALSE,"Ratios"}</definedName>
    <definedName name="mason?" localSheetId="11" hidden="1">{#N/A,#N/A,FALSE,"Data &amp; Key Results";#N/A,#N/A,FALSE,"Summary Template";#N/A,#N/A,FALSE,"Budget";#N/A,#N/A,FALSE,"Present Value Comparison";#N/A,#N/A,FALSE,"Cashflow";#N/A,#N/A,FALSE,"Income";#N/A,#N/A,FALSE,"Inputs"}</definedName>
    <definedName name="mason2" localSheetId="11" hidden="1">{#N/A,#N/A,FALSE,"Data &amp; Key Results";#N/A,#N/A,FALSE,"Summary Template";#N/A,#N/A,FALSE,"Budget";#N/A,#N/A,FALSE,"Present Value Comparison";#N/A,#N/A,FALSE,"Cashflow";#N/A,#N/A,FALSE,"Income";#N/A,#N/A,FALSE,"Inputs"}</definedName>
    <definedName name="mason3" localSheetId="11" hidden="1">{#N/A,#N/A,FALSE,"Data &amp; Key Results";#N/A,#N/A,FALSE,"Summary Template";#N/A,#N/A,FALSE,"Budget";#N/A,#N/A,FALSE,"Present Value Comparison";#N/A,#N/A,FALSE,"Cashflow";#N/A,#N/A,FALSE,"Income";#N/A,#N/A,FALSE,"Inputs"}</definedName>
    <definedName name="mason4" localSheetId="11" hidden="1">{#N/A,#N/A,FALSE,"Data &amp; Key Results";#N/A,#N/A,FALSE,"Summary Template";#N/A,#N/A,FALSE,"Budget";#N/A,#N/A,FALSE,"Present Value Comparison";#N/A,#N/A,FALSE,"Cashflow";#N/A,#N/A,FALSE,"Income";#N/A,#N/A,FALSE,"Inputs"}</definedName>
    <definedName name="mason5" localSheetId="11" hidden="1">{#N/A,#N/A,FALSE,"Data &amp; Key Results";#N/A,#N/A,FALSE,"Summary Template";#N/A,#N/A,FALSE,"Budget";#N/A,#N/A,FALSE,"Present Value Comparison";#N/A,#N/A,FALSE,"Cashflow";#N/A,#N/A,FALSE,"Income";#N/A,#N/A,FALSE,"Inputs"}</definedName>
    <definedName name="masonII" localSheetId="11" hidden="1">{#N/A,#N/A,FALSE,"Data &amp; Key Results";#N/A,#N/A,FALSE,"Summary Template";#N/A,#N/A,FALSE,"Budget";#N/A,#N/A,FALSE,"Present Value Comparison";#N/A,#N/A,FALSE,"Cashflow";#N/A,#N/A,FALSE,"Income";#N/A,#N/A,FALSE,"Inputs"}</definedName>
    <definedName name="matrix" localSheetId="11"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MDI" localSheetId="11" hidden="1">{#N/A,#N/A,FALSE,"SUMMARY";#N/A,#N/A,FALSE,"mcsh";#N/A,#N/A,FALSE,"vol&amp;rev";#N/A,#N/A,FALSE,"wkgcap";#N/A,#N/A,FALSE,"DEPR&amp;DT";#N/A,#N/A,FALSE,"ASSETS";#N/A,#N/A,FALSE,"NI&amp;OTH&amp;DIV";#N/A,#N/A,FALSE,"CASHFLOW";#N/A,#N/A,FALSE,"CAPEMPL";#N/A,#N/A,FALSE,"ROCE"}</definedName>
    <definedName name="MerrillPrintIt" localSheetId="11" hidden="1">#REF!</definedName>
    <definedName name="Method_abbrev" localSheetId="11">#REF!</definedName>
    <definedName name="mfgr" localSheetId="11" hidden="1">{"PAGE 1",#N/A,FALSE,"WEST_OT"}</definedName>
    <definedName name="mfgtest" localSheetId="11" hidden="1">{"PAGE 1",#N/A,FALSE,"WEST_OT"}</definedName>
    <definedName name="MGHM"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gmt" localSheetId="11" hidden="1">{#N/A,"Faber45",FALSE,"LBPROFOR";#N/A,"Faber50",FALSE,"LBPROFOR";#N/A,"Faber55",FALSE,"LBPROFOR";#N/A,"Faber60",FALSE,"LBPROFOR"}</definedName>
    <definedName name="Mgmt." localSheetId="11" hidden="1">{#N/A,"Faber45",FALSE,"LBPROFOR";#N/A,"Faber50",FALSE,"LBPROFOR";#N/A,"Faber55",FALSE,"LBPROFOR";#N/A,"Faber60",FALSE,"LBPROFOR"}</definedName>
    <definedName name="mgmtfee" localSheetId="11">#REF!</definedName>
    <definedName name="mhj"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idwest" localSheetId="11" hidden="1">{"FY02_Assets",#N/A,FALSE,"Fin Stmt Budget";"FY02_Liabilities",#N/A,FALSE,"Fin Stmt Budget";"FY02_Inc_Stmt",#N/A,FALSE,"Fin Stmt Budget";"FY02_SOCF",#N/A,FALSE,"Fin Stmt Budget"}</definedName>
    <definedName name="Mie" localSheetId="11" hidden="1">#REF!</definedName>
    <definedName name="min" localSheetId="11" hidden="1">{#N/A,#N/A,FALSE,"REPORT"}</definedName>
    <definedName name="mina" localSheetId="11" hidden="1">{#N/A,#N/A,FALSE,"REPORT"}</definedName>
    <definedName name="misc"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mj" localSheetId="11" hidden="1">{#N/A,#N/A,FALSE,"FY97";#N/A,#N/A,FALSE,"FY98";#N/A,#N/A,FALSE,"FY99";#N/A,#N/A,FALSE,"FY00";#N/A,#N/A,FALSE,"FY01"}</definedName>
    <definedName name="mkj" localSheetId="11" hidden="1">{#N/A,#N/A,TRUE,"A";#N/A,#N/A,TRUE,"B";#N/A,#N/A,TRUE,"C";#N/A,#N/A,TRUE,"D";#N/A,#N/A,TRUE,"E"}</definedName>
    <definedName name="mkting_adv" localSheetId="11" hidden="1">{#N/A,#N/A,FALSE,"ASSUMPTIONS";#N/A,#N/A,FALSE,"Valuation Summary";"page1",#N/A,FALSE,"PRESENTATION";"page2",#N/A,FALSE,"PRESENTATION";#N/A,#N/A,FALSE,"ORIGINAL_ROLLBACK"}</definedName>
    <definedName name="mkting_adver" localSheetId="11" hidden="1">{#N/A,#N/A,FALSE,"ASSUMPTIONS";#N/A,#N/A,FALSE,"Valuation Summary";"page1",#N/A,FALSE,"PRESENTATION";"page2",#N/A,FALSE,"PRESENTATION";#N/A,#N/A,FALSE,"ORIGINAL_ROLLBACK"}</definedName>
    <definedName name="MLNK00d48aea1172490e8970884bfd0bc5ab" localSheetId="11" hidden="1">#REF!</definedName>
    <definedName name="MLNK00d8e64d840b46bea261783566ad72fd" localSheetId="11" hidden="1">#REF!</definedName>
    <definedName name="MLNK010e3d03325640fbbfa78190084e5e55" localSheetId="11" hidden="1">#REF!</definedName>
    <definedName name="MLNK0d71dc310fad49ec85da7434597cd6be" localSheetId="11" hidden="1">#REF!</definedName>
    <definedName name="MLNK0db0f33ed0324031b6b3ea38ff41c6b3" localSheetId="11" hidden="1">#REF!</definedName>
    <definedName name="MLNK24a3535198864783b147b6db4dfd1e1e" localSheetId="11" hidden="1">#REF!</definedName>
    <definedName name="MLNK24cd202804cc4c9ab3044945bd3e3713" localSheetId="11" hidden="1">#REF!</definedName>
    <definedName name="MLNK38ca0951e89f4f1d8ade9594aad915ad" localSheetId="11" hidden="1">#REF!</definedName>
    <definedName name="MLNK3933a2df57e34583986032bdeb424b65" localSheetId="11" hidden="1">#REF!</definedName>
    <definedName name="MLNK4ae1162da6924edbb77eb864286b52ec" localSheetId="11" hidden="1">#REF!</definedName>
    <definedName name="MLNK4afa9175c2a44f87b0416e8f4fa9153d" localSheetId="11" hidden="1">#REF!</definedName>
    <definedName name="MLNK5c2fdb53616843338a76ee87fba723a1" localSheetId="11" hidden="1">#REF!</definedName>
    <definedName name="MLNK5c93849b1c694866a7fdca906433d872" localSheetId="11" hidden="1">#REF!</definedName>
    <definedName name="MLNK5cb6067cb22d4404a352867a368c4dd3" localSheetId="11" hidden="1">#REF!</definedName>
    <definedName name="MLNK5cc120250dba49fc954ce969f59c29e4" localSheetId="11" hidden="1">#REF!</definedName>
    <definedName name="MLNK6b80abdc8fe740cfac848fac6ef04b6f" localSheetId="11" hidden="1">#REF!</definedName>
    <definedName name="MLNK6b92bb4e16d6422caedcf892b957e8dc" localSheetId="11" hidden="1">#REF!</definedName>
    <definedName name="MLNK74e35ae32fbd45038a8ca8786ddc5481" localSheetId="11" hidden="1">#REF!</definedName>
    <definedName name="MLNK74e85bd6385d4993b531d38f2f3836c0" localSheetId="11" hidden="1">#REF!</definedName>
    <definedName name="MLNK74f8fb9fd04744b0826b8e01af33e003" localSheetId="11" hidden="1">#REF!</definedName>
    <definedName name="MLNK7575c400d762409d9d7d3f247f474ee7" localSheetId="11" hidden="1">#REF!</definedName>
    <definedName name="MLNK966e51b421e543fa85b22020f4b131f7" localSheetId="11" hidden="1">#REF!</definedName>
    <definedName name="MLNK9682ca475ff54cbfb2f968b54a63e991" localSheetId="11" hidden="1">#REF!</definedName>
    <definedName name="MLNK970f77a437ad4eba93f82bc0a2c68793" localSheetId="11" hidden="1">#REF!</definedName>
    <definedName name="MLNK97272fb83d9a4d15ab6e0d44b4c2c8f5" localSheetId="11" hidden="1">#REF!</definedName>
    <definedName name="MLNK99a873284b354cc99f3774743c4cbac9" localSheetId="11" hidden="1">#REF!</definedName>
    <definedName name="MLNK99b9d957895544fda8e9670506643b77" localSheetId="11" hidden="1">#REF!</definedName>
    <definedName name="MLNK99bfb5c3951b44f481d1626f7cba5805" localSheetId="11" hidden="1">#REF!</definedName>
    <definedName name="MLNK99de40bd629144c7ba32aae377c57f70" localSheetId="11" hidden="1">#REF!</definedName>
    <definedName name="MLNK9f2762af21cb4bddb176751640ceebfe" localSheetId="11" hidden="1">#REF!</definedName>
    <definedName name="MLNK9f2cc9d5eedf40d9be4150e48c60c1dd" localSheetId="11" hidden="1">#REF!</definedName>
    <definedName name="MLNKb70e0287e1c84373ae29e8b329df47f8" localSheetId="11" hidden="1">#REF!</definedName>
    <definedName name="MLNKbb0818788be947d5849c08d5af71dccc" localSheetId="11" hidden="1">#REF!</definedName>
    <definedName name="MLNKbb5357eb56b4420ea6d73a7234b157c0" localSheetId="11" hidden="1">#REF!</definedName>
    <definedName name="MLNKc8c13711c8f146a2bed6a2a829026a3a" localSheetId="11" hidden="1">#REF!</definedName>
    <definedName name="MLNKc96440fe196b463188ebf018d89175e5" localSheetId="11" hidden="1">#REF!</definedName>
    <definedName name="MLNKc9c57b72996149a49a1298c36e44b823" localSheetId="11" hidden="1">#REF!</definedName>
    <definedName name="MLNKca1a1b8dbfbd452ba55a0e395ea793b3" localSheetId="11" hidden="1">#REF!</definedName>
    <definedName name="MLNKd1a73aa7a5624f9e8a8c5ab9b419c185" localSheetId="11" hidden="1">#REF!</definedName>
    <definedName name="MLNKd1b79e4e7aef43368318ed1e172c8dbd" localSheetId="11" hidden="1">#REF!</definedName>
    <definedName name="MLNKd1bfe69c1e284d6fba0c9353cc855643" localSheetId="11" hidden="1">#REF!</definedName>
    <definedName name="MLNKd1c69d0883884061b336aab57325eb3d" localSheetId="11" hidden="1">#REF!</definedName>
    <definedName name="MLNKd1e91ca61c1d4db08628df8a82893192" localSheetId="11" hidden="1">#REF!</definedName>
    <definedName name="MLNKd1eb0891b31448f6a2a42787308f57d0" localSheetId="11" hidden="1">#REF!</definedName>
    <definedName name="MLNKd25edf542942433c8b7b8a7ffaa24bec" localSheetId="11" hidden="1">#REF!</definedName>
    <definedName name="MLNKd30907edbba3423cb347492441fee011" localSheetId="11" hidden="1">#REF!</definedName>
    <definedName name="MLNKdb820b3d009f40ce8e422db2741d580f" localSheetId="11" hidden="1">#REF!</definedName>
    <definedName name="MLNKdb864bfe86424f5e87f6b1bb724e6820" localSheetId="11" hidden="1">#REF!</definedName>
    <definedName name="MLNKdbcdd2701ff140beb988f8d81263cfb6" localSheetId="11" hidden="1">#REF!</definedName>
    <definedName name="MLNKdbf5ffa69fb145d38b68f2930b8783c8" localSheetId="11" hidden="1">#REF!</definedName>
    <definedName name="MLNKdeefa2bfaa414bce9e904db535a538f9" localSheetId="11" hidden="1">#REF!</definedName>
    <definedName name="MLNKdf07d88462fd4bfd9dc7f95442e82542" localSheetId="11" hidden="1">#REF!</definedName>
    <definedName name="MLNKe2eb1cfb3a68470b9c8fea946d494a0a" localSheetId="11" hidden="1">#REF!</definedName>
    <definedName name="mlw" localSheetId="11" hidden="1">{#N/A,#N/A,FALSE,"Pharm";#N/A,#N/A,FALSE,"WWCM"}</definedName>
    <definedName name="mmmmm" localSheetId="11" hidden="1">{#N/A,#N/A,FALSE,"Calc";#N/A,#N/A,FALSE,"Sensitivity";#N/A,#N/A,FALSE,"LT Earn.Dil.";#N/A,#N/A,FALSE,"Dil. AVP"}</definedName>
    <definedName name="mnkj" localSheetId="11" hidden="1">{#N/A,#N/A,TRUE,"BUD VS ACT AUST 96";#N/A,#N/A,TRUE,"96 COMP P&amp;L-AUST";#N/A,#N/A,TRUE,"COMP BS-AUSTRALIA";#N/A,#N/A,TRUE,"B/S - AUSTR."}</definedName>
    <definedName name="model" localSheetId="11" hidden="1">{#N/A,#N/A,FALSE,"Rev Grwth";#N/A,#N/A,FALSE,"Op Inc Grwth";#N/A,#N/A,FALSE,"Net Grwth";#N/A,#N/A,FALSE,"EPS Growth"}</definedName>
    <definedName name="model2" localSheetId="11" hidden="1">{#N/A,#N/A,FALSE,"Rev Grwth";#N/A,#N/A,FALSE,"Op Inc Grwth";#N/A,#N/A,FALSE,"Net Grwth";#N/A,#N/A,FALSE,"EPS Growth"}</definedName>
    <definedName name="Month" localSheetId="11">#REF!</definedName>
    <definedName name="Monthly_Payment" localSheetId="11">-PMT(Interest_Rate/12,'Pro Forma Financials (Q1)'!Number_of_Payments,'Pro Forma Financials (Q1)'!Loan_Amount)</definedName>
    <definedName name="months_per_period" localSheetId="11">INDEX({12,6,3,2,1,0.5,0.5,0.25},MATCH(#REF!,'Pro Forma Financials (Q1)'!frequency,0))</definedName>
    <definedName name="MPO" localSheetId="11" hidden="1">{#N/A,#N/A,TRUE,"BS_A";#N/A,#N/A,TRUE,"BS_L";#N/A,#N/A,TRUE,"PL";#N/A,#N/A,TRUE,"NET";#N/A,#N/A,TRUE,"MAR_2";#N/A,#N/A,TRUE,"MAR";#N/A,#N/A,TRUE,"NII";#N/A,#N/A,TRUE,"NIE";#N/A,#N/A,TRUE,"FS_BS";#N/A,#N/A,TRUE,"FS_PL";#N/A,#N/A,TRUE,"HEA"}</definedName>
    <definedName name="mw" localSheetId="11" hidden="1">{#N/A,#N/A,FALSE,"Pharm";#N/A,#N/A,FALSE,"WWCM"}</definedName>
    <definedName name="Name" localSheetId="11">#REF!</definedName>
    <definedName name="nameconf1" localSheetId="11" hidden="1">{#N/A,#N/A,TRUE,"Sch-1a";#N/A,#N/A,TRUE,"Sch-1b";#N/A,#N/A,TRUE,"Sch-1c";#N/A,#N/A,TRUE,"Sch-1d";#N/A,#N/A,TRUE,"Sch-2a";#N/A,#N/A,TRUE,"Sch-2b";#N/A,#N/A,TRUE,"Sch-2c";#N/A,#N/A,TRUE,"Sch-3a";#N/A,#N/A,TRUE,"Sch-3b";#N/A,#N/A,TRUE,"Sch-3c";#N/A,#N/A,TRUE,"Sch-3d";#N/A,#N/A,TRUE,"Sch-3e"}</definedName>
    <definedName name="naveeds" localSheetId="11" hidden="1">{"CSheet",#N/A,FALSE,"C";"SmCap",#N/A,FALSE,"VAL1";"GulfCoast",#N/A,FALSE,"VAL1";"nav",#N/A,FALSE,"NAV";"Summary",#N/A,FALSE,"NAV"}</definedName>
    <definedName name="ncas" localSheetId="11" hidden="1">{"FCB_ALL",#N/A,FALSE,"FCB";"GREY_ALL",#N/A,FALSE,"GREY"}</definedName>
    <definedName name="NCBN" localSheetId="11" hidden="1">{#N/A,#N/A,FALSE,"BS";#N/A,#N/A,FALSE,"PL_10Q";#N/A,#N/A,FALSE,"SOE";#N/A,#N/A,FALSE,"SCF";#N/A,#N/A,FALSE,"Sel Fn Data QTD 10Q";#N/A,#N/A,FALSE,"Table 1 YTD 10Q";#N/A,#N/A,FALSE,"Table 1 QTD 10Q";#N/A,#N/A,FALSE,"Tables 2 to 3 PL";#N/A,#N/A,FALSE,"Tables 4 and 5ALLL";#N/A,#N/A,FALSE,"Tables 6 to 8 ALLL ";#N/A,#N/A,FALSE,"Table 9 to 12 - Balance Sheet"}</definedName>
    <definedName name="nck"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tIncCurr" localSheetId="11">#REF!</definedName>
    <definedName name="NetIncPrior" localSheetId="11">#REF!</definedName>
    <definedName name="new" localSheetId="11" hidden="1">{"SourcesUses",#N/A,TRUE,"CFMODEL";"TransOverview",#N/A,TRUE,"CFMODEL"}</definedName>
    <definedName name="Newco_Tax" localSheetId="11">#REF!</definedName>
    <definedName name="newdata" localSheetId="11" hidden="1">{"PAGE 1",#N/A,FALSE,"WEST_OT"}</definedName>
    <definedName name="newdata2" localSheetId="11" hidden="1">{"PAGE 1",#N/A,FALSE,"WEST_OT"}</definedName>
    <definedName name="NewLoan2014" localSheetId="11">(#REF!*#REF!*#REF!*#REF!)&gt;0</definedName>
    <definedName name="NewMaster" localSheetId="11">#REF!</definedName>
    <definedName name="newnewnew" localSheetId="11" hidden="1">{#N/A,#N/A,FALSE,"Pharm";#N/A,#N/A,FALSE,"WWCM"}</definedName>
    <definedName name="NewRange" localSheetId="11" hidden="1">#REF!</definedName>
    <definedName name="Newsprint.summary" localSheetId="11" hidden="1">{#N/A,#N/A,FALSE,"Furnish";#N/A,#N/A,FALSE,"Labor Productivity";#N/A,#N/A,FALSE,"Producer";#N/A,#N/A,FALSE,"PM Productivity";#N/A,#N/A,FALSE,"Regions &amp; Delivered";#N/A,#N/A,FALSE,"Product &amp; Delivered";#N/A,#N/A,FALSE,"Delivered Cost";#N/A,#N/A,FALSE,"Cash Cost"}</definedName>
    <definedName name="NICHOLE" localSheetId="11" hidden="1">{#N/A,#N/A,FALSE,"Total";#N/A,#N/A,FALSE,"Sew";#N/A,#N/A,FALSE,"Finish";#N/A,#N/A,FALSE,"CUT";#N/A,#N/A,FALSE,"Mill 5";#N/A,#N/A,FALSE,"Mill 6";#N/A,#N/A,FALSE,"Mill 8";#N/A,#N/A,FALSE,"Mill 9";#N/A,#N/A,FALSE,"Mill 10";#N/A,#N/A,FALSE,"Mill 12";#N/A,#N/A,FALSE,"Mill 15";#N/A,#N/A,FALSE,"Mill 17"}</definedName>
    <definedName name="NMCVM" localSheetId="11" hidden="1">{#N/A,#N/A,FALSE,"TABLE_1 YTD- VALUES LAST YR(2)"}</definedName>
    <definedName name="nmnmm" localSheetId="11" hidden="1">{#N/A,#N/A,FALSE,"Index";"Stmts_Qtrs",#N/A,FALSE,"Summary";"Stmts_24 mo",#N/A,FALSE,"Summary";"Summary_24",#N/A,FALSE,"Revenue";"Month_24",#N/A,FALSE,"Engineering";"Month_24",#N/A,FALSE,"Marketing";"Month_24",#N/A,FALSE,"G &amp; A";"Month_24",#N/A,FALSE,"Manufacturing"}</definedName>
    <definedName name="nn" localSheetId="11" hidden="1">{#N/A,#N/A,FALSE,"Sheet1";#N/A,#N/A,FALSE,"Sheet2";#N/A,#N/A,FALSE,"Sheet3";#N/A,#N/A,FALSE,"Sheet4";#N/A,#N/A,FALSE,"Sheet5";#N/A,#N/A,FALSE,"Sheet6"}</definedName>
    <definedName name="nnn" localSheetId="11" hidden="1">{#N/A,#N/A,FALSE,"Assessment";#N/A,#N/A,FALSE,"Staffing";#N/A,#N/A,FALSE,"Hires";#N/A,#N/A,FALSE,"Assumptions"}</definedName>
    <definedName name="nnnn" localSheetId="11" hidden="1">{#N/A,#N/A,FALSE,"Job Sched"}</definedName>
    <definedName name="no" localSheetId="11" hidden="1">{"'Sheet1'!$A$5:$G$42"}</definedName>
    <definedName name="no_1" localSheetId="11" hidden="1">{"'Sheet1'!$A$5:$G$42"}</definedName>
    <definedName name="NOBL" localSheetId="11" hidden="1">{"AQUIRORDCF",#N/A,FALSE,"Merger consequences";"Acquirorassns",#N/A,FALSE,"Merger consequences"}</definedName>
    <definedName name="noidea" localSheetId="11" hidden="1">{#N/A,#N/A,FALSE,"Calc";#N/A,#N/A,FALSE,"Sensitivity";#N/A,#N/A,FALSE,"LT Earn.Dil.";#N/A,#N/A,FALSE,"Dil. AVP"}</definedName>
    <definedName name="nono" localSheetId="11" hidden="1">{#N/A,#N/A,FALSE,"Objectives"}</definedName>
    <definedName name="normal" localSheetId="11" hidden="1">{"arpm1995",#N/A,FALSE,"Summary 95-96";"bus_long_distance",#N/A,FALSE,"Summary 95-96";"mins_per_day",#N/A,FALSE,"Summary 95-96";"minutes1995",#N/A,FALSE,"Summary 95-96";"rev_per_day",#N/A,FALSE,"Summary 95-96";"view1995",#N/A,FALSE,"Summary 95-96"}</definedName>
    <definedName name="NoteTextNames" localSheetId="11" hidden="1">{"Text 9";"Text 10";"Text 11";"Text 12"}</definedName>
    <definedName name="nothegsd" localSheetId="11" hidden="1">{"Summary",#N/A,FALSE,"Details (2)"}</definedName>
    <definedName name="nouv" localSheetId="11" hidden="1">{#N/A,#N/A,FALSE,"Pharm";#N/A,#N/A,FALSE,"WWCM"}</definedName>
    <definedName name="Nov00" localSheetId="11" hidden="1">{"Statement of Income",#N/A,TRUE,"Mar99";"Balance Sheet",#N/A,TRUE,"Mar99"}</definedName>
    <definedName name="Nov00TB" localSheetId="11" hidden="1">{"Statement of Income",#N/A,TRUE,"Mar99";"Balance Sheet",#N/A,TRUE,"Mar99"}</definedName>
    <definedName name="nper" localSheetId="11">'Pro Forma Financials (Q1)'!term*'Pro Forma Financials (Q1)'!periods_per_year</definedName>
    <definedName name="Num_Pmt_Per_Year" localSheetId="11">#REF!</definedName>
    <definedName name="Number_of_Payments" localSheetId="11">MATCH(0.01,End_Bal,-1)+1</definedName>
    <definedName name="o" localSheetId="11" hidden="1">{#N/A,#N/A,FALSE,"New Depr Sch-150% DB";#N/A,#N/A,FALSE,"Cash Flows RLP";#N/A,#N/A,FALSE,"IRR";#N/A,#N/A,FALSE,"Proforma IS";#N/A,#N/A,FALSE,"Assumptions"}</definedName>
    <definedName name="Oct00" localSheetId="11" hidden="1">{"Statement of Income",#N/A,TRUE,"Mar99";"Balance Sheet",#N/A,TRUE,"Mar99"}</definedName>
    <definedName name="Oct00TB" localSheetId="11" hidden="1">{"Statement of Income",#N/A,TRUE,"Mar99";"Balance Sheet",#N/A,TRUE,"Mar99"}</definedName>
    <definedName name="Octob00" localSheetId="11" hidden="1">{"Statement of Income",#N/A,TRUE,"Mar99";"Balance Sheet",#N/A,TRUE,"Mar99"}</definedName>
    <definedName name="Octob00TB" localSheetId="11" hidden="1">{"Statement of Income",#N/A,TRUE,"Mar99";"Balance Sheet",#N/A,TRUE,"Mar99"}</definedName>
    <definedName name="OI" localSheetId="11" hidden="1">{#N/A,#N/A,FALSE,"COVER";#N/A,#N/A,FALSE,"Index";#N/A,#N/A,FALSE,"Non-Earning";#N/A,#N/A,FALSE,"Non-Earning_Recovery"}</definedName>
    <definedName name="oiu" localSheetId="11" hidden="1">{#N/A,#N/A,FALSE,"COVER";#N/A,#N/A,FALSE,"RATIOS";#N/A,#N/A,FALSE,"LEVERAGE";#N/A,#N/A,FALSE,"TIER-1";#N/A,#N/A,FALSE,"RISK BASED ASSETS";#N/A,#N/A,FALSE,"TIER-2"}</definedName>
    <definedName name="oiwea" localSheetId="11" hidden="1">{"FCB_ALL",#N/A,FALSE,"FCB";"GREY_ALL",#N/A,FALSE,"GREY"}</definedName>
    <definedName name="OK" localSheetId="11" hidden="1">{#N/A,#N/A,FALSE,"REPORT"}</definedName>
    <definedName name="okay" localSheetId="11" hidden="1">{#N/A,#N/A,FALSE,"Admin";#N/A,#N/A,FALSE,"Other"}</definedName>
    <definedName name="olddata" localSheetId="11" hidden="1">{"PAGE 1",#N/A,FALSE,"WEST_OT"}</definedName>
    <definedName name="olddata1" localSheetId="11" hidden="1">{"PAGE 1",#N/A,FALSE,"WEST_OT"}</definedName>
    <definedName name="olddata2" localSheetId="11" hidden="1">{"PAGE 1",#N/A,FALSE,"WEST_OT"}</definedName>
    <definedName name="olddata3" localSheetId="11" hidden="1">{"PAGE 1",#N/A,FALSE,"WEST_OT"}</definedName>
    <definedName name="oldkey1" localSheetId="11" hidden="1">#REF!</definedName>
    <definedName name="oldsort" localSheetId="11" hidden="1">#REF!</definedName>
    <definedName name="on" localSheetId="11" hidden="1">{"TOTAL",#N/A,FALSE,"A";"FISCAL94",#N/A,FALSE,"A";"FISCAL95",#N/A,FALSE,"A";"FISCAL96",#N/A,FALSE,"A";"misc page",#N/A,FALSE,"A"}</definedName>
    <definedName name="ookok" localSheetId="11" hidden="1">{#N/A,#N/A,TRUE,"BUD VS ACT AUST 96";#N/A,#N/A,TRUE,"96 COMP P&amp;L-AUST";#N/A,#N/A,TRUE,"COMP BS-AUSTRALIA";#N/A,#N/A,TRUE,"B/S - AUSTR."}</definedName>
    <definedName name="ooo" localSheetId="11" hidden="1">{#N/A,#N/A,FALSE,"REPORT"}</definedName>
    <definedName name="ooooo" localSheetId="11" hidden="1">{#N/A,#N/A,FALSE,"Calc";#N/A,#N/A,FALSE,"Sensitivity";#N/A,#N/A,FALSE,"LT Earn.Dil.";#N/A,#N/A,FALSE,"Dil. AVP"}</definedName>
    <definedName name="OOU" localSheetId="11" hidden="1">{#N/A,#N/A,FALSE,"BS";#N/A,#N/A,FALSE,"PL_10Q";#N/A,#N/A,FALSE,"SOE";#N/A,#N/A,FALSE,"SCF"}</definedName>
    <definedName name="OPER" localSheetId="11" hidden="1">{"SUM",#N/A,FALSE,"Details (2)"}</definedName>
    <definedName name="OperatorServicesFi" localSheetId="11" hidden="1">{"SUM",#N/A,FALSE,"Details (2)"}</definedName>
    <definedName name="Opscen" localSheetId="11">#REF!</definedName>
    <definedName name="org_H_per_pot_cleaning" localSheetId="11">#REF!</definedName>
    <definedName name="org_H_per_pot_harvest" localSheetId="11">#REF!</definedName>
    <definedName name="Other" localSheetId="11" hidden="1">{#N/A,#N/A,FALSE,"Page 1";#N/A,#N/A,FALSE,"Page 2";#N/A,#N/A,FALSE,"Page 3";#N/A,#N/A,FALSE,"Page 4";#N/A,#N/A,FALSE,"Page 5"}</definedName>
    <definedName name="other33" localSheetId="11" hidden="1">{#N/A,#N/A,FALSE,"Pharm";#N/A,#N/A,FALSE,"WWCM"}</definedName>
    <definedName name="othermar" localSheetId="11" hidden="1">{#N/A,#N/A,FALSE,"Pharm";#N/A,#N/A,FALSE,"WWCM"}</definedName>
    <definedName name="ouhio" localSheetId="11" hidden="1">{"Summary",#N/A,FALSE,"Details (2)"}</definedName>
    <definedName name="ouououiouopupo" localSheetId="11" hidden="1">{#N/A,#N/A,FALSE,"BS";#N/A,#N/A,FALSE,"PL";#N/A,#N/A,FALSE,"SOE";#N/A,#N/A,FALSE,"SCF"}</definedName>
    <definedName name="ououp0" localSheetId="11" hidden="1">{#N/A,#N/A,FALSE,"TABLE_1 YTD- VALUES LAST YR(2)"}</definedName>
    <definedName name="Outlook" localSheetId="11" hidden="1">{"arpm1995",#N/A,FALSE,"Summary 95-96";"bus_long_distance",#N/A,FALSE,"Summary 95-96";"mins_per_day",#N/A,FALSE,"Summary 95-96";"minutes1995",#N/A,FALSE,"Summary 95-96";"rev_per_day",#N/A,FALSE,"Summary 95-96";"view1995",#N/A,FALSE,"Summary 95-96"}</definedName>
    <definedName name="p" localSheetId="1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Page1" localSheetId="11">#REF!</definedName>
    <definedName name="Page2" localSheetId="11">#REF!</definedName>
    <definedName name="Page3" localSheetId="11">#REF!</definedName>
    <definedName name="panther_wrn.test1." localSheetId="11" hidden="1">{"Income Statement",#N/A,FALSE,"CFMODEL";"Balance Sheet",#N/A,FALSE,"CFMODEL"}</definedName>
    <definedName name="panther_wrn.test2." localSheetId="11" hidden="1">{"SourcesUses",#N/A,TRUE,"CFMODEL";"TransOverview",#N/A,TRUE,"CFMODEL"}</definedName>
    <definedName name="panther_wrn.test3." localSheetId="11" hidden="1">{"SourcesUses",#N/A,TRUE,#N/A;"TransOverview",#N/A,TRUE,"CFMODEL"}</definedName>
    <definedName name="panther_wrn.test4." localSheetId="11" hidden="1">{"SourcesUses",#N/A,TRUE,"FundsFlow";"TransOverview",#N/A,TRUE,"FundsFlow"}</definedName>
    <definedName name="patty" localSheetId="11" hidden="1">{"PAGE 1",#N/A,FALSE,"WEST_OT"}</definedName>
    <definedName name="Pay_Date" localSheetId="11">#REF!</definedName>
    <definedName name="Pay_Num" localSheetId="11">#REF!</definedName>
    <definedName name="Payment_Date" localSheetId="11">DATE(YEAR(Loan_Start),MONTH(Loan_Start)+#REF!,DAY(Loan_Start))</definedName>
    <definedName name="Payment_Number" localSheetId="11">ROW()-Header_Row</definedName>
    <definedName name="PaymentPerYear2016" localSheetId="11">#REF!</definedName>
    <definedName name="PaymentsPerYear" localSheetId="11">#REF!</definedName>
    <definedName name="PaymentsPerYear2014" localSheetId="11">#REF!</definedName>
    <definedName name="PDM" localSheetId="11" hidden="1">{#N/A,#N/A,FALSE,"Summary";#N/A,#N/A,FALSE,"Signatures";#N/A,#N/A,FALSE,"FL Current";#N/A,#N/A,FALSE,"Assumptions";#N/A,#N/A,FALSE,"Assumptions";#N/A,#N/A,FALSE,"Assumptions";#N/A,#N/A,FALSE,"FL Last";#N/A,#N/A,FALSE,"FL Orig";#N/A,#N/A,FALSE,"C to G Explain"}</definedName>
    <definedName name="Pechous" localSheetId="11" hidden="1">{"FY01_Assets",#N/A,FALSE,"Fin Stmt Budget";"FY01_Liabilities",#N/A,FALSE,"Fin Stmt Budget";"FY01_Inc_Stmt",#N/A,FALSE,"Fin Stmt Budget";"FY01_SOCF",#N/A,FALSE,"Fin Stmt Budget"}</definedName>
    <definedName name="Pecos" localSheetId="11"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x" localSheetId="11"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pe" localSheetId="11" hidden="1">{#N/A,#N/A,FALSE,"Pharm";#N/A,#N/A,FALSE,"WWCM"}</definedName>
    <definedName name="PEPE4" localSheetId="11" hidden="1">{#N/A,#N/A,FALSE,"Pharm";#N/A,#N/A,FALSE,"WWCM"}</definedName>
    <definedName name="PEPE5" localSheetId="11" hidden="1">{#N/A,#N/A,FALSE,"Pharm";#N/A,#N/A,FALSE,"WWCM"}</definedName>
    <definedName name="PERIOD2" localSheetId="11">#REF!</definedName>
    <definedName name="periods_per_year" localSheetId="11">INDEX({1,2,4,6,12,24,26,52},MATCH(#REF!,'Pro Forma Financials (Q1)'!frequency,0))</definedName>
    <definedName name="perm" localSheetId="11" hidden="1">{"PAGE 1",#N/A,FALSE,"WEST_OT"}</definedName>
    <definedName name="perm1" localSheetId="11" hidden="1">{"PAGE 1",#N/A,FALSE,"WEST_OT"}</definedName>
    <definedName name="perm3" localSheetId="11" hidden="1">{"PAGE 1",#N/A,FALSE,"WEST_OT"}</definedName>
    <definedName name="perm4" localSheetId="11" hidden="1">{"PAGE 1",#N/A,FALSE,"WEST_OT"}</definedName>
    <definedName name="perm5" localSheetId="11" hidden="1">{"PAGE 2",#N/A,FALSE,"WEST_OT"}</definedName>
    <definedName name="perm6" localSheetId="11" hidden="1">{"PAGE 2",#N/A,FALSE,"WEST_OT"}</definedName>
    <definedName name="perm7" localSheetId="11" hidden="1">{"PAGE 1",#N/A,FALSE,"WEST_OT"}</definedName>
    <definedName name="PeterTEST" localSheetId="11" hidden="1">{#N/A,#N/A,TRUE,"Acq-Ass";#N/A,#N/A,TRUE,"Acq-IS";#N/A,#N/A,TRUE,"Acq-BS";#N/A,#N/A,TRUE,"Acq-CF"}</definedName>
    <definedName name="pharma" localSheetId="11" hidden="1">{#N/A,#N/A,FALSE,"Sales Graph";#N/A,#N/A,FALSE,"PSBM";#N/A,#N/A,FALSE,"BUC Graph";#N/A,#N/A,FALSE,"P&amp;L - YTD"}</definedName>
    <definedName name="Pitchbook" localSheetId="11" hidden="1">{#N/A,#N/A,TRUE,"Sheet16"}</definedName>
    <definedName name="pkg.gom" localSheetId="11" hidden="1">{"2000PPE",#N/A,FALSE,"PPE 2000";"2000DD",#N/A,FALSE,"DrydocksOther"}</definedName>
    <definedName name="pl" localSheetId="11" hidden="1">{#N/A,#N/A,FALSE,"REPORT"}</definedName>
    <definedName name="plan2" localSheetId="11" hidden="1">{"'Sheet1'!$A$5:$G$42"}</definedName>
    <definedName name="PlanVLE" localSheetId="11" hidden="1">{#N/A,#N/A,FALSE,"SUMMARY";#N/A,#N/A,FALSE,"mcsh";#N/A,#N/A,FALSE,"vol&amp;rev";#N/A,#N/A,FALSE,"wkgcap";#N/A,#N/A,FALSE,"DEPR&amp;DT";#N/A,#N/A,FALSE,"ASSETS";#N/A,#N/A,FALSE,"NI&amp;OTH&amp;DIV";#N/A,#N/A,FALSE,"CASHFLOW";#N/A,#N/A,FALSE,"CAPEMPL";#N/A,#N/A,FALSE,"ROCE"}</definedName>
    <definedName name="Plastics" localSheetId="11" hidden="1">{"Curr Month",#N/A,FALSE,"Months";"All Months",#N/A,FALSE,"Months";"YTD",#N/A,FALSE,"Months";"01 Months",#N/A,FALSE,"01";"03 Months",#N/A,FALSE,"Months";"05 Months",#N/A,FALSE,"Months";"06 Months",#N/A,FALSE,"Months";"08 Months",#N/A,FALSE,"Months";"09 Months",#N/A,FALSE,"Months";"10 Months",#N/A,FALSE,"Months";"11 Months",#N/A,FALSE,"Months";"12 Months",#N/A,FALSE,"Months";"13 Months",#N/A,FALSE,"Months";"14 Months",#N/A,FALSE,"Months";"15 Months",#N/A,FALSE,"Months";"23 Months",#N/A,FALSE,"Months";"24 Months",#N/A,FALSE,"Months";"25 Months",#N/A,FALSE,"Months";"43 Months",#N/A,FALSE,"Months";"45 Months",#N/A,FALSE,"Months";"50 Months",#N/A,FALSE,"Months"}</definedName>
    <definedName name="plbudget04" localSheetId="11" hidden="1">{#N/A,#N/A,FALSE,"INPUTS";#N/A,#N/A,FALSE,"PROFORMA BSHEET";#N/A,#N/A,FALSE,"COMBINED";#N/A,#N/A,FALSE,"ACQUIROR";#N/A,#N/A,FALSE,"TARGET 1";#N/A,#N/A,FALSE,"TARGET 2";#N/A,#N/A,FALSE,"HIGH YIELD";#N/A,#N/A,FALSE,"OVERFUND"}</definedName>
    <definedName name="PLCepi" localSheetId="11" hidden="1">{#N/A,#N/A,FALSE,"REPORT"}</definedName>
    <definedName name="PLDate" localSheetId="11">#REF!</definedName>
    <definedName name="PLProcef" localSheetId="11" hidden="1">{#N/A,#N/A,FALSE,"REPORT"}</definedName>
    <definedName name="PLTaxol" localSheetId="11" hidden="1">{#N/A,#N/A,FALSE,"REPORT"}</definedName>
    <definedName name="Pnl" localSheetId="11" hidden="1">{#N/A,#N/A,FALSE,"Pharm";#N/A,#N/A,FALSE,"WWCM"}</definedName>
    <definedName name="po" localSheetId="11" hidden="1">{#N/A,#N/A,FALSE,"BS";#N/A,#N/A,FALSE,"PL_10Q";#N/A,#N/A,FALSE,"SOE";#N/A,#N/A,FALSE,"SCF";#N/A,#N/A,FALSE,"Sel Fn Data QTD 10Q";#N/A,#N/A,FALSE,"Table 1 YTD 10Q";#N/A,#N/A,FALSE,"Table 1 QTD 10Q";#N/A,#N/A,FALSE,"Tables 2 to 3 PL";#N/A,#N/A,FALSE,"Tables 4 and 5ALLL";#N/A,#N/A,FALSE,"Tables 6 to 8 ALLL ";#N/A,#N/A,FALSE,"Table 9 to 12 - Balance Sheet"}</definedName>
    <definedName name="poi" localSheetId="11" hidden="1">{#N/A,#N/A,FALSE,"PL-FS";#N/A,#N/A,FALSE,"PL"}</definedName>
    <definedName name="Poolmgr" localSheetId="11">#REF!</definedName>
    <definedName name="port29" localSheetId="11" hidden="1">{#N/A,#N/A,FALSE,"Pharm";#N/A,#N/A,FALSE,"WWCM"}</definedName>
    <definedName name="poso_wrn.test1." localSheetId="11" hidden="1">{"Income Statement",#N/A,FALSE,"CFMODEL";"Balance Sheet",#N/A,FALSE,"CFMODEL"}</definedName>
    <definedName name="poso_wrn.test2." localSheetId="11" hidden="1">{"SourcesUses",#N/A,TRUE,"CFMODEL";"TransOverview",#N/A,TRUE,"CFMODEL"}</definedName>
    <definedName name="poso_wrn.test3." localSheetId="11" hidden="1">{"SourcesUses",#N/A,TRUE,#N/A;"TransOverview",#N/A,TRUE,"CFMODEL"}</definedName>
    <definedName name="poso_wrn.test4." localSheetId="11" hidden="1">{"SourcesUses",#N/A,TRUE,"FundsFlow";"TransOverview",#N/A,TRUE,"FundsFlow"}</definedName>
    <definedName name="Powerop3" localSheetId="11">#REF!</definedName>
    <definedName name="pp" localSheetId="11">#REF!</definedName>
    <definedName name="ppp" localSheetId="11" hidden="1">{#N/A,#N/A,FALSE,"summ";#N/A,#N/A,FALSE,"q1";#N/A,#N/A,FALSE,"summ_alt";#N/A,#N/A,FALSE,"stock_nozero";#N/A,#N/A,FALSE,"1995"}</definedName>
    <definedName name="pppp" localSheetId="11" hidden="1">{"Summary",#N/A,FALSE,"Details (2)"}</definedName>
    <definedName name="pppp2" localSheetId="11" hidden="1">{"Summary",#N/A,FALSE,"Details (2)"}</definedName>
    <definedName name="ppppp" localSheetId="11" hidden="1">{"SUM",#N/A,FALSE,"Details (2)"}</definedName>
    <definedName name="pppppp" localSheetId="11" hidden="1">{"Summary",#N/A,FALSE,"Details (2)"}</definedName>
    <definedName name="ppppppp" localSheetId="11" hidden="1">{"SUM",#N/A,FALSE,"Details (2)"}</definedName>
    <definedName name="pppppppp" localSheetId="11" hidden="1">{"Summary",#N/A,FALSE,"Details (2)"}</definedName>
    <definedName name="ppppppppp" localSheetId="11" hidden="1">{"SUM",#N/A,FALSE,"Details (2)"}</definedName>
    <definedName name="pppppppppp" localSheetId="11" hidden="1">{"Summary",#N/A,FALSE,"Details (2)"}</definedName>
    <definedName name="ppppppppppp" localSheetId="11" hidden="1">{"SUM",#N/A,FALSE,"Details (2)"}</definedName>
    <definedName name="pppppppppppp" localSheetId="11" hidden="1">{"Summary",#N/A,FALSE,"Details (2)"}</definedName>
    <definedName name="ppppppppppppp" localSheetId="11" hidden="1">{"SUM",#N/A,FALSE,"Details (2)"}</definedName>
    <definedName name="ppppppppppppppp" localSheetId="11" hidden="1">{"Summary",#N/A,FALSE,"Details (2)"}</definedName>
    <definedName name="pppppppppppppppp" localSheetId="11" hidden="1">{"SUM",#N/A,FALSE,"Details (2)"}</definedName>
    <definedName name="ppppppppppppppppp" localSheetId="11" hidden="1">{"Summary",#N/A,FALSE,"Details (2)"}</definedName>
    <definedName name="ppppppppppppppppppppppppppp" localSheetId="11" hidden="1">{"FCB_ALL",#N/A,FALSE,"FCB"}</definedName>
    <definedName name="PPS" localSheetId="1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prd" localSheetId="11" hidden="1">{"Netbacks",#N/A,FALSE,"Netbacks"}</definedName>
    <definedName name="prd." localSheetId="11" hidden="1">{"IS Years",#N/A,FALSE,"Income Statement";"IS Q96",#N/A,FALSE,"Income Statement";"IS Q97",#N/A,FALSE,"Income Statement";"Corporate",#N/A,FALSE,"Corporate Profile";"Netbacks",#N/A,FALSE,"Netbacks"}</definedName>
    <definedName name="Presentation" localSheetId="1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v_Mkv" localSheetId="11">#REF!</definedName>
    <definedName name="prgrp" localSheetId="11" hidden="1">{"cap_structure",#N/A,FALSE,"Graph-Mkt Cap";"price",#N/A,FALSE,"Graph-Price";"ebit",#N/A,FALSE,"Graph-EBITDA";"ebitda",#N/A,FALSE,"Graph-EBITDA"}</definedName>
    <definedName name="Princ" localSheetId="11">#REF!</definedName>
    <definedName name="Print_Area_Reset" localSheetId="11">OFFSET(Full_Print,0,0,[0]!Last_Row)</definedName>
    <definedName name="print4" localSheetId="11"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End" localSheetId="11" hidden="1">#REF!</definedName>
    <definedName name="PrintStart" localSheetId="11" hidden="1">#REF!</definedName>
    <definedName name="Procef" localSheetId="11" hidden="1">{#N/A,#N/A,FALSE,"Pharm";#N/A,#N/A,FALSE,"WWCM"}</definedName>
    <definedName name="prod" localSheetId="11" hidden="1">{#N/A,#N/A,FALSE,"Pharm";#N/A,#N/A,FALSE,"WWCM"}</definedName>
    <definedName name="profimp2" localSheetId="11" hidden="1">{"PAGE 1",#N/A,FALSE,"WEST_OT"}</definedName>
    <definedName name="profimp3" localSheetId="11" hidden="1">{"PAGE 2",#N/A,FALSE,"WEST_OT"}</definedName>
    <definedName name="profimp5" localSheetId="11" hidden="1">{"PAGE 1",#N/A,FALSE,"WEST_OT"}</definedName>
    <definedName name="profimptest" localSheetId="11" hidden="1">{"PAGE 2",#N/A,FALSE,"WEST_OT"}</definedName>
    <definedName name="Project" localSheetId="11">#REF!</definedName>
    <definedName name="project_name" localSheetId="11">#REF!</definedName>
    <definedName name="ptg" localSheetId="11" hidden="1">{#N/A,#N/A,TRUE,"RESUMEN ECON.";#N/A,#N/A,TRUE,"Costos de R.H.";#N/A,#N/A,TRUE,"COSTO HW";#N/A,#N/A,TRUE,"CUADROS";#N/A,#N/A,TRUE,"SCADA´s";#N/A,#N/A,TRUE,"PRECIOS EQUIPOS"}</definedName>
    <definedName name="pvdsk" localSheetId="11"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q" localSheetId="11" hidden="1">{"CSheet",#N/A,FALSE,"C";"SmCap",#N/A,FALSE,"VAL1";"GulfCoast",#N/A,FALSE,"VAL1";"nav",#N/A,FALSE,"NAV";"Summary",#N/A,FALSE,"NAV"}</definedName>
    <definedName name="Q1Variances" localSheetId="11" hidden="1">{#N/A,#N/A,FALSE,"Revised Plan description";#N/A,#N/A,FALSE,"Mth Sum";#N/A,#N/A,FALSE,"YTD Sum";#N/A,#N/A,FALSE,"Mth Rev Sum";#N/A,#N/A,FALSE,"YTD Rev Sum";#N/A,#N/A,FALSE,"Direct Margin";#N/A,#N/A,FALSE,"Data MarginvsPlan";#N/A,#N/A,FALSE,"Local MarginvsPlan";#N/A,#N/A,FALSE,"Internet MarginvsPlan";#N/A,#N/A,FALSE,"LD Margin vs Plan ";#N/A,#N/A,FALSE,"Data Margin YTDvsPlan";#N/A,#N/A,FALSE,"Local Margin YTDvsPlan";#N/A,#N/A,FALSE,"Internet Margin YTDvsPlan";#N/A,#N/A,FALSE,"LD Margin YTD vs Plan";#N/A,#N/A,FALSE,"SC vs Pr Month ";#N/A,#N/A,FALSE,"SVC Detail Mth vs Pr Mth";#N/A,#N/A,FALSE,"Ind vs Pr Month ";#N/A,#N/A,FALSE,"SGA (Elem) vs Pr Month";#N/A,#N/A,FALSE,"SGA (BU) vs Pr Mth";#N/A,#N/A,FALSE,"SC vs Plan";#N/A,#N/A,FALSE,"SVC Detail Mth vsPlan ";#N/A,#N/A,FALSE,"Ind vs Plan";#N/A,#N/A,FALSE,"SGA (Elem) vs Plan";#N/A,#N/A,FALSE,"SGA (BU) vs Plan";#N/A,#N/A,FALSE,"SC vs YTD 00";#N/A,#N/A,FALSE,"SGA (Elem) vs YTD 00";#N/A,#N/A,FALSE,"SGA (BU) YTD vs YTD 00";#N/A,#N/A,FALSE,"SC vs YTD Plan ";#N/A,#N/A,FALSE,"SVC YTD Detail Mth vsPlan ";#N/A,#N/A,FALSE,"SGA (Elem) vs YTD Plan";#N/A,#N/A,FALSE,"SGA (BU) YTD vs Plan";#N/A,#N/A,FALSE,"CapExp";#N/A,#N/A,FALSE,"EBITDA";#N/A,#N/A,FALSE,"Mth trends";#N/A,#N/A,FALSE,"Inc. Statement";#N/A,#N/A,FALSE,"Balance Sheet";#N/A,#N/A,FALSE,"Cash Flow"}</definedName>
    <definedName name="qaz" localSheetId="11" hidden="1">{#N/A,#N/A,FALSE,"Pharm";#N/A,#N/A,FALSE,"WWCM"}</definedName>
    <definedName name="qertweyu" localSheetId="11" hidden="1">{#N/A,#N/A,FALSE,"REPORT"}</definedName>
    <definedName name="qetryywt" localSheetId="11" hidden="1">{#N/A,#N/A,FALSE,"REPORT"}</definedName>
    <definedName name="qg" localSheetId="11" hidden="1">{#N/A,#N/A,FALSE,"RESUMEN ECON.";#N/A,#N/A,FALSE,"Costos de R.H.";#N/A,#N/A,FALSE,"COSTO HW";#N/A,#N/A,FALSE,"CUADROS";#N/A,#N/A,FALSE,"SCADA´s";#N/A,#N/A,FALSE,"PRECIOS EQUIPOS"}</definedName>
    <definedName name="QofE2" localSheetId="11"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qq" localSheetId="11" hidden="1">{#N/A,#N/A,FALSE,"March Details"}</definedName>
    <definedName name="qqq" localSheetId="11" hidden="1">{#N/A,#N/A,FALSE,"Pharm";#N/A,#N/A,FALSE,"WWCM"}</definedName>
    <definedName name="qqqqqqqq" localSheetId="11" hidden="1">{"Report",#N/A,FALSE,"March Details"}</definedName>
    <definedName name="qqwtweryey" localSheetId="11" hidden="1">{#N/A,#N/A,FALSE,"REPORT"}</definedName>
    <definedName name="qre"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Qtroperations" localSheetId="11" hidden="1">{"arpm1995",#N/A,FALSE,"Summary 95-96";"bus_long_distance",#N/A,FALSE,"Summary 95-96";"mins_per_day",#N/A,FALSE,"Summary 95-96";"minutes1995",#N/A,FALSE,"Summary 95-96";"rev_per_day",#N/A,FALSE,"Summary 95-96";"view1995",#N/A,FALSE,"Summary 95-96"}</definedName>
    <definedName name="Quarter1Percent" localSheetId="11">#REF!</definedName>
    <definedName name="Quarter2Percent" localSheetId="11">#REF!</definedName>
    <definedName name="Quarter3Percent" localSheetId="11">#REF!</definedName>
    <definedName name="qw" localSheetId="11" hidden="1">{#N/A,#N/A,FALSE,"REPORT"}</definedName>
    <definedName name="qw2fkgur" localSheetId="11" hidden="1">{#N/A,#N/A,FALSE,"Valuation Assumptions";#N/A,#N/A,FALSE,"Summary";#N/A,#N/A,FALSE,"DCF";#N/A,#N/A,FALSE,"Valuation";#N/A,#N/A,FALSE,"WACC";#N/A,#N/A,FALSE,"UBVH";#N/A,#N/A,FALSE,"Free Cash Flow"}</definedName>
    <definedName name="qwe" localSheetId="11" hidden="1">{#N/A,#N/A,TRUE,"BS_A";#N/A,#N/A,TRUE,"BS_L";#N/A,#N/A,TRUE,"PL";#N/A,#N/A,TRUE,"NET";#N/A,#N/A,TRUE,"MAR_2";#N/A,#N/A,TRUE,"MAR";#N/A,#N/A,TRUE,"NII";#N/A,#N/A,TRUE,"NIE";#N/A,#N/A,TRUE,"FS_BS";#N/A,#N/A,TRUE,"FS_PL";#N/A,#N/A,TRUE,"HEA"}</definedName>
    <definedName name="qwert"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wertqry" localSheetId="11" hidden="1">{#N/A,#N/A,FALSE,"REPORT"}</definedName>
    <definedName name="qwetqryetytu" localSheetId="11" hidden="1">{#N/A,#N/A,FALSE,"Pharm";#N/A,#N/A,FALSE,"WWCM"}</definedName>
    <definedName name="QWQ" localSheetId="11" hidden="1">{#N/A,#N/A,FALSE,"PL-FS";#N/A,#N/A,FALSE,"PL"}</definedName>
    <definedName name="qwqe" localSheetId="11" hidden="1">{#N/A,#N/A,FALSE,"Comp - War";#N/A,#N/A,FALSE,"Comp - War"}</definedName>
    <definedName name="radg" localSheetId="11" hidden="1">{"FCB_ALL",#N/A,FALSE,"FCB";"GREY_ALL",#N/A,FALSE,"GREY"}</definedName>
    <definedName name="rate" localSheetId="11">#REF!</definedName>
    <definedName name="RawsFIT" localSheetId="11" hidden="1">{#N/A,#N/A,TRUE,"Summary";#N/A,#N/A,TRUE,"Assumptions";#N/A,#N/A,TRUE,"Comparison";#N/A,#N/A,TRUE,"Financials";#N/A,#N/A,TRUE,"Plan v. Act"}</definedName>
    <definedName name="RECurr" localSheetId="11">#REF!</definedName>
    <definedName name="redo" localSheetId="11" hidden="1">{#N/A,#N/A,FALSE,"ACQ_GRAPHS";#N/A,#N/A,FALSE,"T_1 GRAPHS";#N/A,#N/A,FALSE,"T_2 GRAPHS";#N/A,#N/A,FALSE,"COMB_GRAPHS"}</definedName>
    <definedName name="reewrew" localSheetId="11" hidden="1">{"arpm1995",#N/A,FALSE,"Summary 95-96";"bus_long_distance",#N/A,FALSE,"Summary 95-96";"mins_per_day",#N/A,FALSE,"Summary 95-96";"minutes1995",#N/A,FALSE,"Summary 95-96";"rev_per_day",#N/A,FALSE,"Summary 95-96";"view1995",#N/A,FALSE,"Summary 95-96"}</definedName>
    <definedName name="reggie" localSheetId="11" hidden="1">{#N/A,#N/A,FALSE,"Pharm";#N/A,#N/A,FALSE,"WWCM"}</definedName>
    <definedName name="Regnew" localSheetId="11" hidden="1">{"arpm1995",#N/A,FALSE,"Summary 95-96";"bus_long_distance",#N/A,FALSE,"Summary 95-96";"mins_per_day",#N/A,FALSE,"Summary 95-96";"minutes1995",#N/A,FALSE,"Summary 95-96";"rev_per_day",#N/A,FALSE,"Summary 95-96";"view1995",#N/A,FALSE,"Summary 95-96"}</definedName>
    <definedName name="Related" localSheetId="11" hidden="1">{#N/A,#N/A,FALSE,"Job Sched"}</definedName>
    <definedName name="Report" localSheetId="11">#REF!</definedName>
    <definedName name="ReportPage1" localSheetId="11" hidden="1">{"Annual_Income",#N/A,FALSE,"Report Page";"Balance_Cash_Flow",#N/A,FALSE,"Report Page";"Quarterly_Income",#N/A,FALSE,"Report Page"}</definedName>
    <definedName name="REPrior" localSheetId="11">#REF!</definedName>
    <definedName name="reps" localSheetId="11" hidden="1">{"FY03_Assets",#N/A,FALSE,"Fin Stmt Budget";"FY03_Liabilities",#N/A,FALSE,"Fin Stmt Budget";"FY03_Inc_Stmt",#N/A,FALSE,"Fin Stmt Budget";"FY03_SOCF",#N/A,FALSE,"Fin Stmt Budget"}</definedName>
    <definedName name="rere" localSheetId="11" hidden="1">{"arpm1995",#N/A,FALSE,"Summary 95-96";"bus_long_distance",#N/A,FALSE,"Summary 95-96";"mins_per_day",#N/A,FALSE,"Summary 95-96";"minutes1995",#N/A,FALSE,"Summary 95-96";"rev_per_day",#N/A,FALSE,"Summary 95-96";"view1995",#N/A,FALSE,"Summary 95-96"}</definedName>
    <definedName name="rerer" localSheetId="11" hidden="1">{"arpm1995",#N/A,FALSE,"Summary 95-96";"bus_long_distance",#N/A,FALSE,"Summary 95-96";"mins_per_day",#N/A,FALSE,"Summary 95-96";"minutes1995",#N/A,FALSE,"Summary 95-96";"rev_per_day",#N/A,FALSE,"Summary 95-96";"view1995",#N/A,FALSE,"Summary 95-96"}</definedName>
    <definedName name="rerewr" localSheetId="11" hidden="1">{"arpm1995",#N/A,FALSE,"Summary 95-96";"bus_long_distance",#N/A,FALSE,"Summary 95-96";"mins_per_day",#N/A,FALSE,"Summary 95-96";"minutes1995",#N/A,FALSE,"Summary 95-96";"rev_per_day",#N/A,FALSE,"Summary 95-96";"view1995",#N/A,FALSE,"Summary 95-96"}</definedName>
    <definedName name="rerewty4etr" localSheetId="11" hidden="1">{"arpm1995",#N/A,FALSE,"Summary 95-96";"bus_long_distance",#N/A,FALSE,"Summary 95-96";"mins_per_day",#N/A,FALSE,"Summary 95-96";"minutes1995",#N/A,FALSE,"Summary 95-96";"rev_per_day",#N/A,FALSE,"Summary 95-96";"view1995",#N/A,FALSE,"Summary 95-96"}</definedName>
    <definedName name="reryt4y" localSheetId="11" hidden="1">{"arpm1995",#N/A,FALSE,"Summary 95-96";"bus_long_distance",#N/A,FALSE,"Summary 95-96";"mins_per_day",#N/A,FALSE,"Summary 95-96";"minutes1995",#N/A,FALSE,"Summary 95-96";"rev_per_day",#N/A,FALSE,"Summary 95-96";"view1995",#N/A,FALSE,"Summary 95-96"}</definedName>
    <definedName name="Reserve" localSheetId="11" hidden="1">{#N/A,#N/A,TRUE,"Sch-1a";#N/A,#N/A,TRUE,"Sch-1b";#N/A,#N/A,TRUE,"Sch-1c";#N/A,#N/A,TRUE,"Sch-1d";#N/A,#N/A,TRUE,"Sch-2a";#N/A,#N/A,TRUE,"Sch-2b";#N/A,#N/A,TRUE,"Sch-2c";#N/A,#N/A,TRUE,"Sch-3a";#N/A,#N/A,TRUE,"Sch-3b";#N/A,#N/A,TRUE,"Sch-3c";#N/A,#N/A,TRUE,"Sch-3d";#N/A,#N/A,TRUE,"Sch-3e"}</definedName>
    <definedName name="ReserveGuidance" localSheetId="11">#REF!</definedName>
    <definedName name="resources" localSheetId="11" hidden="1">{#N/A,#N/A,FALSE,"Assessment";#N/A,#N/A,FALSE,"Staffing";#N/A,#N/A,FALSE,"Hires";#N/A,#N/A,FALSE,"Assumptions"}</definedName>
    <definedName name="resp." localSheetId="11" hidden="1">{#N/A,#N/A,FALSE,"Pharm";#N/A,#N/A,FALSE,"WWCM"}</definedName>
    <definedName name="RestatedActuals" localSheetId="11" hidden="1">{#N/A,#N/A,FALSE,"Aging Summary";#N/A,#N/A,FALSE,"Ratio Analysis";#N/A,#N/A,FALSE,"Test 120 Day Accts";#N/A,#N/A,FALSE,"Tickmarks"}</definedName>
    <definedName name="Retail" localSheetId="11" hidden="1">{"'Sheet1'!$A$5:$G$42"}</definedName>
    <definedName name="rf2e" localSheetId="11" hidden="1">{#N/A,#N/A,FALSE,"Pharm";#N/A,#N/A,FALSE,"WWCM"}</definedName>
    <definedName name="rfr" localSheetId="1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rft" localSheetId="11" hidden="1">{#N/A,#N/A,TRUE,"RESUMEN ECON.";#N/A,#N/A,TRUE,"Costos de R.H.";#N/A,#N/A,TRUE,"COSTO HW";#N/A,#N/A,TRUE,"CUADROS";#N/A,#N/A,TRUE,"SCADA´s";#N/A,#N/A,TRUE,"PRECIOS EQUIPOS"}</definedName>
    <definedName name="rich" localSheetId="11" hidden="1">{"Capital Plan CA Schedule",#N/A,TRUE,"Capital Plan";"Capital Plan Summary",#N/A,TRUE,"Capital Plan"}</definedName>
    <definedName name="Rick" localSheetId="11"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RM" localSheetId="11">#REF!</definedName>
    <definedName name="Rocket" localSheetId="11">#REF!</definedName>
    <definedName name="Rocket_Deal_Month" localSheetId="11">#REF!</definedName>
    <definedName name="RPA" localSheetId="11" hidden="1">{#N/A,#N/A,FALSE,"Cashflow Analysis";#N/A,#N/A,FALSE,"Sensitivity Analysis";#N/A,#N/A,FALSE,"PV";#N/A,#N/A,FALSE,"Pro Forma"}</definedName>
    <definedName name="RPA.2" localSheetId="11" hidden="1">{#N/A,#N/A,FALSE,"Cashflow Analysis";#N/A,#N/A,FALSE,"Sensitivity Analysis";#N/A,#N/A,FALSE,"PV";#N/A,#N/A,FALSE,"Pro Forma"}</definedName>
    <definedName name="rrrrr" localSheetId="11" hidden="1">{#N/A,#N/A,FALSE,"Pharm";#N/A,#N/A,FALSE,"WWCM"}</definedName>
    <definedName name="rrrrrr" localSheetId="11" hidden="1">{"'Edit'!$A$1:$V$2277"}</definedName>
    <definedName name="rse" localSheetId="11" hidden="1">{"FCB_ALL",#N/A,FALSE,"FCB"}</definedName>
    <definedName name="rt" localSheetId="11" hidden="1">{"inputs raw data",#N/A,TRUE,"INPUT"}</definedName>
    <definedName name="rtu" localSheetId="11" hidden="1">{#N/A,#N/A,TRUE,"RESUMEN ECON.";#N/A,#N/A,TRUE,"Costos de R.H.";#N/A,#N/A,TRUE,"COSTO HW";#N/A,#N/A,TRUE,"CUADROS";#N/A,#N/A,TRUE,"SCADA´s";#N/A,#N/A,TRUE,"PRECIOS EQUIPOS"}</definedName>
    <definedName name="rustey" localSheetId="11"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rwert" localSheetId="11" hidden="1">{#N/A,#N/A,FALSE,"Pharm";#N/A,#N/A,FALSE,"WWCM"}</definedName>
    <definedName name="rwjf" localSheetId="11" hidden="1">{#N/A,#N/A,FALSE,"BS";#N/A,#N/A,FALSE,"PL";#N/A,#N/A,FALSE,"SOE";#N/A,#N/A,FALSE,"SCF"}</definedName>
    <definedName name="ryj" localSheetId="11" hidden="1">{#N/A,#N/A,FALSE,"ACQ_GRAPHS";#N/A,#N/A,FALSE,"T_1 GRAPHS";#N/A,#N/A,FALSE,"T_2 GRAPHS";#N/A,#N/A,FALSE,"COMB_GRAPHS"}</definedName>
    <definedName name="s" localSheetId="11">#REF!</definedName>
    <definedName name="sa"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sad" localSheetId="11" hidden="1">#REF!</definedName>
    <definedName name="sadfsdfsdfsaf" localSheetId="11" hidden="1">{"wpocash",#N/A,FALSE,"WPOALLT";"wpoinc",#N/A,FALSE,"WPOALLT";"wpobroad",#N/A,FALSE,"WPOALLT";"wpocable",#N/A,FALSE,"WPOALLT";"wpoexcl",#N/A,FALSE,"WPOALLT";"wponwsweek",#N/A,FALSE,"WPOALLT";"wpopost",#N/A,FALSE,"WPOALLT"}</definedName>
    <definedName name="sagf"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sally" localSheetId="11" hidden="1">{#N/A,#N/A,FALSE,"Pharm";#N/A,#N/A,FALSE,"WWCM"}</definedName>
    <definedName name="sandy" localSheetId="11">#REF!</definedName>
    <definedName name="sasdfkj" localSheetId="11" hidden="1">{"FCB_ALL",#N/A,FALSE,"FCB"}</definedName>
    <definedName name="ScenarioList" localSheetId="11">OFFSET(#REF!,1,0,COUNTA(#REF!)-1,1)</definedName>
    <definedName name="Scenarios" comment="A-1" localSheetId="11">#REF!</definedName>
    <definedName name="Sched_Pay" localSheetId="11">#REF!</definedName>
    <definedName name="Scheduled_Extra_Payments" localSheetId="11">#REF!</definedName>
    <definedName name="SD" localSheetId="11" hidden="1">{#N/A,#N/A,FALSE,"Pharm";#N/A,#N/A,FALSE,"WWCM"}</definedName>
    <definedName name="sdafe" localSheetId="11" hidden="1">{"FCB_ALL",#N/A,FALSE,"FCB";"GREY_ALL",#N/A,FALSE,"GREY"}</definedName>
    <definedName name="sdafgs" localSheetId="11" hidden="1">{#N/A,#N/A,FALSE,"Pharm";#N/A,#N/A,FALSE,"WWCM"}</definedName>
    <definedName name="sdaflkej" localSheetId="11" hidden="1">{"FCB_ALL",#N/A,FALSE,"FCB";"GREY_ALL",#N/A,FALSE,"GREY"}</definedName>
    <definedName name="sdafsdafsaf" localSheetId="11" hidden="1">{"wpocash",#N/A,FALSE,"WPOALLT";"wpoinc",#N/A,FALSE,"WPOALLT";"wpobroad",#N/A,FALSE,"WPOALLT";"wpocable",#N/A,FALSE,"WPOALLT";"wpoexcl",#N/A,FALSE,"WPOALLT";"wponwsweek",#N/A,FALSE,"WPOALLT";"wpopost",#N/A,FALSE,"WPOALLT"}</definedName>
    <definedName name="sdas" localSheetId="11" hidden="1">{"Total",#N/A,FALSE,"Six Fields";"PDP",#N/A,FALSE,"Six Fields";"PNP",#N/A,FALSE,"Six Fields";"PUD",#N/A,FALSE,"Six Fields";"Prob",#N/A,FALSE,"Six Fields"}</definedName>
    <definedName name="sdasd" localSheetId="11" hidden="1">{"FCB_ALL",#N/A,FALSE,"FCB";"GREY_ALL",#N/A,FALSE,"GREY"}</definedName>
    <definedName name="sdf" localSheetId="11" hidden="1">#REF!</definedName>
    <definedName name="sdfasr" localSheetId="11" hidden="1">{"FCB_ALL",#N/A,FALSE,"FCB"}</definedName>
    <definedName name="sdfdsf" localSheetId="11" hidden="1">{"SourcesUses",#N/A,TRUE,#N/A;"TransOverview",#N/A,TRUE,"CFMODEL"}</definedName>
    <definedName name="sdfg" localSheetId="11" hidden="1">{"summary",#N/A,FALSE,"3 yr average";"comps",#N/A,FALSE,"3 yr average"}</definedName>
    <definedName name="sdfga"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sdfh" localSheetId="11" hidden="1">{#N/A,#N/A,FALSE,"Pharm";#N/A,#N/A,FALSE,"WWCM"}</definedName>
    <definedName name="sdfsdfsdfsafsdf" localSheetId="11" hidden="1">{"FCB_ALL",#N/A,FALSE,"FCB"}</definedName>
    <definedName name="sdft" localSheetId="11" hidden="1">{#N/A,#N/A,FALSE,"SUMMARY";#N/A,#N/A,FALSE,"mcsh";#N/A,#N/A,FALSE,"vol&amp;rev";#N/A,#N/A,FALSE,"wkgcap";#N/A,#N/A,FALSE,"DEPR&amp;DT";#N/A,#N/A,FALSE,"ASSETS";#N/A,#N/A,FALSE,"NI&amp;OTH&amp;DIV";#N/A,#N/A,FALSE,"CASHFLOW";#N/A,#N/A,FALSE,"CAPEMPL";#N/A,#N/A,FALSE,"ROCE"}</definedName>
    <definedName name="sdgagf" localSheetId="11" hidden="1">{#N/A,#N/A,FALSE,"Pharm";#N/A,#N/A,FALSE,"WWCM"}</definedName>
    <definedName name="sdhr" localSheetId="11" hidden="1">{"FCB_ALL",#N/A,FALSE,"FCB";"GREY_ALL",#N/A,FALSE,"GREY"}</definedName>
    <definedName name="sds" localSheetId="11" hidden="1">{#N/A,#N/A,TRUE,"ProFormaProfit";#N/A,#N/A,TRUE,"ProFormaCash";#N/A,#N/A,TRUE,"Depreciation";#N/A,#N/A,TRUE,"Assets";#N/A,#N/A,TRUE,"Revenue";#N/A,#N/A,TRUE,"EstimatedPurchase"}</definedName>
    <definedName name="sdsadasd" localSheetId="11" hidden="1">{#N/A,#N/A,FALSE,"Pharm";#N/A,#N/A,FALSE,"WWCM"}</definedName>
    <definedName name="sdsd" localSheetId="11" hidden="1">{#N/A,#N/A,FALSE,"REPORT"}</definedName>
    <definedName name="sdsds" localSheetId="11" hidden="1">{"PR1","pr1",TRUE,"Sch PR-1"}</definedName>
    <definedName name="sdw" localSheetId="11" hidden="1">{#N/A,#N/A,FALSE,"Admin";#N/A,#N/A,FALSE,"Other"}</definedName>
    <definedName name="sdz" localSheetId="11" hidden="1">{"FCB_ALL",#N/A,FALSE,"FCB"}</definedName>
    <definedName name="secondaries" localSheetId="11" hidden="1">{#N/A,#N/A,FALSE,"Summary";#N/A,#N/A,FALSE,"Pending";#N/A,#N/A,FALSE,"Oct'97";#N/A,#N/A,FALSE,"Sept'97";#N/A,#N/A,FALSE,"Aug'97";#N/A,#N/A,FALSE,"Jul'97";#N/A,#N/A,FALSE,"Jun'97";#N/A,#N/A,FALSE,"May'97";#N/A,#N/A,FALSE,"Apr'97";#N/A,#N/A,FALSE,"Mar'97";#N/A,#N/A,FALSE,"Feb'97";#N/A,#N/A,FALSE,"Jan'97"}</definedName>
    <definedName name="Select_Month" localSheetId="11">#REF!</definedName>
    <definedName name="select_scenario" localSheetId="11">#REF!</definedName>
    <definedName name="sensitivity" localSheetId="11">#REF!</definedName>
    <definedName name="Sept" localSheetId="11" hidden="1">{"assets",#N/A,FALSE,"BSCON894"}</definedName>
    <definedName name="sf" localSheetId="11" hidden="1">{#N/A,#N/A,FALSE,"Sales Graph";#N/A,#N/A,FALSE,"BUC Graph";#N/A,#N/A,FALSE,"P&amp;L - YTD"}</definedName>
    <definedName name="SFD" localSheetId="11" hidden="1">{#N/A,#N/A,FALSE,"TABLE_1 YTD";#N/A,#N/A,FALSE,"TABLE_1A QTD";#N/A,#N/A,FALSE,"NORMAL_SPREAD_QTD";#N/A,#N/A,FALSE,"NORMAL_SPREAD_YTD";#N/A,#N/A,FALSE,"TAX_EQV";#N/A,#N/A,FALSE,"TAX EQUIV_INPUT";#N/A,#N/A,FALSE,"NET FROM FER";#N/A,#N/A,FALSE,"COVER"}</definedName>
    <definedName name="sfdgsar" localSheetId="11" hidden="1">{"FCB_ALL",#N/A,FALSE,"FCB";"GREY_ALL",#N/A,FALSE,"GREY"}</definedName>
    <definedName name="sfdirect" localSheetId="11" hidden="1">{#N/A,#N/A,FALSE,"REPORT"}</definedName>
    <definedName name="sfgv" localSheetId="11" hidden="1">{"consolidated",#N/A,FALSE,"Sheet1";"cms",#N/A,FALSE,"Sheet1";"fse",#N/A,FALSE,"Sheet1"}</definedName>
    <definedName name="sfj" localSheetId="11" hidden="1">{"PR1","pr1",TRUE,"Sch PR-1"}</definedName>
    <definedName name="sfq" localSheetId="11" hidden="1">{#N/A,#N/A,FALSE,"Calc";#N/A,#N/A,FALSE,"Sensitivity";#N/A,#N/A,FALSE,"LT Earn.Dil.";#N/A,#N/A,FALSE,"Dil. AVP"}</definedName>
    <definedName name="sg" localSheetId="11">#REF!</definedName>
    <definedName name="sga" localSheetId="11">#REF!</definedName>
    <definedName name="sgdg" localSheetId="11" hidden="1">{#N/A,#N/A,FALSE,"Calc";#N/A,#N/A,FALSE,"Sensitivity";#N/A,#N/A,FALSE,"LT Earn.Dil.";#N/A,#N/A,FALSE,"Dil. AVP"}</definedName>
    <definedName name="sgsx" localSheetId="11" hidden="1">{"consolidated",#N/A,FALSE,"Sheet1";"cms",#N/A,FALSE,"Sheet1";"fse",#N/A,FALSE,"Sheet1"}</definedName>
    <definedName name="shg" localSheetId="11" hidden="1">{#N/A,#N/A,FALSE,"Index";#N/A,#N/A,FALSE,"IncStmt";#N/A,#N/A,FALSE,"Ratios";#N/A,#N/A,FALSE,"CashFlows";#N/A,#N/A,FALSE,"Ins1";#N/A,#N/A,FALSE,"Ins2";#N/A,#N/A,FALSE,"SelfFund";#N/A,#N/A,FALSE,"SGA";#N/A,#N/A,FALSE,"Recon";#N/A,#N/A,FALSE,"Earnings";#N/A,#N/A,FALSE,"Earnings (2)";#N/A,#N/A,FALSE,"Stock";#N/A,#N/A,FALSE,"Stock (2)";#N/A,#N/A,FALSE,"PeerRatios";#N/A,#N/A,FALSE,"PeerRanks"}</definedName>
    <definedName name="shit" localSheetId="11" hidden="1">{#N/A,"Base",FALSE,"Dividend";#N/A,"Conservative",FALSE,"Dividend";#N/A,"Downside",FALSE,"Dividend"}</definedName>
    <definedName name="Simple" localSheetId="11" hidden="1">{#N/A,#N/A,FALSE,"RESUMEN ECON.";#N/A,#N/A,FALSE,"Costos de R.H.";#N/A,#N/A,FALSE,"COSTO HW";#N/A,#N/A,FALSE,"CUADROS";#N/A,#N/A,FALSE,"SCADA´s";#N/A,#N/A,FALSE,"PRECIOS EQUIPOS"}</definedName>
    <definedName name="size" localSheetId="11">#REF!</definedName>
    <definedName name="SizingColumn" localSheetId="11">#REF!</definedName>
    <definedName name="SizingColumn1" localSheetId="11">#REF!</definedName>
    <definedName name="SKFs" localSheetId="11">#REF!</definedName>
    <definedName name="SLEVIN"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T" localSheetId="11" hidden="1">{"SUM",#N/A,FALSE,"Details (2)"}</definedName>
    <definedName name="sofie" localSheetId="1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solver_adj" localSheetId="11" hidden="1">#REF!</definedName>
    <definedName name="solver_lhs1" localSheetId="11" hidden="1">#REF!</definedName>
    <definedName name="solver_opt" localSheetId="11" hidden="1">#REF!</definedName>
    <definedName name="SPM" localSheetId="11" hidden="1">{#N/A,#N/A,FALSE,"Cashflow Analysis";#N/A,#N/A,FALSE,"Sensitivity Analysis";#N/A,#N/A,FALSE,"PV";#N/A,#N/A,FALSE,"Pro Forma"}</definedName>
    <definedName name="SPM.2" localSheetId="11" hidden="1">{#N/A,#N/A,FALSE,"Cashflow Analysis";#N/A,#N/A,FALSE,"Sensitivity Analysis";#N/A,#N/A,FALSE,"PV";#N/A,#N/A,FALSE,"Pro Forma"}</definedName>
    <definedName name="ssdfsd" localSheetId="11" hidden="1">{"Balance Sheets",#N/A,FALSE,"Subject";"Income Statements - As Reported",#N/A,FALSE,"Subject";"Income Statements - Adjusted",#N/A,FALSE,"Subject";"Ratios",#N/A,FALSE,"Subject";"Representative Earnings",#N/A,FALSE,"Subject"}</definedName>
    <definedName name="sss" localSheetId="11" hidden="1">{#N/A,#N/A,FALSE,"Pharm";#N/A,#N/A,FALSE,"WWCM"}</definedName>
    <definedName name="sssss" localSheetId="11" hidden="1">{#N/A,#N/A,FALSE,"Calc";#N/A,#N/A,FALSE,"Sensitivity";#N/A,#N/A,FALSE,"LT Earn.Dil.";#N/A,#N/A,FALSE,"Dil. AVP"}</definedName>
    <definedName name="sssssss" localSheetId="11" hidden="1">{"PR1","pr1",TRUE,"Sch PR-1"}</definedName>
    <definedName name="staffing2" localSheetId="11" hidden="1">{#N/A,#N/A,FALSE,"Assessment";#N/A,#N/A,FALSE,"Staffing";#N/A,#N/A,FALSE,"Hires";#N/A,#N/A,FALSE,"Assumptions"}</definedName>
    <definedName name="Staffing3" localSheetId="11" hidden="1">{#N/A,#N/A,FALSE,"Assessment";#N/A,#N/A,FALSE,"Staffing";#N/A,#N/A,FALSE,"Hires";#N/A,#N/A,FALSE,"Assumptions"}</definedName>
    <definedName name="stands" localSheetId="11" hidden="1">{"FCB_ALL",#N/A,FALSE,"FCB";"GREY_ALL",#N/A,FALSE,"GREY"}</definedName>
    <definedName name="stands1" localSheetId="11" hidden="1">{"FCB_ALL",#N/A,FALSE,"FCB";"GREY_ALL",#N/A,FALSE,"GREY"}</definedName>
    <definedName name="Staril" localSheetId="11" hidden="1">{#N/A,#N/A,FALSE,"REPORT"}</definedName>
    <definedName name="StartDate1" localSheetId="11">#REF!</definedName>
    <definedName name="StartDate2" localSheetId="11">#REF!</definedName>
    <definedName name="StratPlanAP" localSheetId="11" hidden="1">{#N/A,#N/A,FALSE,"Pharm";#N/A,#N/A,FALSE,"WWCM"}</definedName>
    <definedName name="stud13" localSheetId="1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stuff" localSheetId="11" hidden="1">#REF!</definedName>
    <definedName name="stuffs" localSheetId="11" hidden="1">{"TOTAL",#N/A,FALSE,"A";"FISCAL94",#N/A,FALSE,"A";"FISCAL95",#N/A,FALSE,"A";"FISCAL96",#N/A,FALSE,"A";"misc page",#N/A,FALSE,"A"}</definedName>
    <definedName name="suck" localSheetId="11" hidden="1">#REF!</definedName>
    <definedName name="sucker" localSheetId="11" hidden="1">#REF!</definedName>
    <definedName name="Sum_Perf_Fee" localSheetId="11">#REF!+#REF!</definedName>
    <definedName name="SUMMARY_BOOK" localSheetId="11" hidden="1">{"page1",#N/A,FALSE,"GIRLBO";"page2",#N/A,FALSE,"GIRLBO";"page3",#N/A,FALSE,"GIRLBO";"page4",#N/A,FALSE,"GIRLBO";"page5",#N/A,FALSE,"GIRLBO"}</definedName>
    <definedName name="supp" localSheetId="11" hidden="1">{#N/A,#N/A,FALSE,"Comp Balance";#N/A,#N/A,FALSE,"Sum Balance ";#N/A,#N/A,FALSE,"Balance Trend";#N/A,#N/A,FALSE,"Comp PL";#N/A,#N/A,FALSE,"PL";#N/A,#N/A,FALSE,"Sum PL";#N/A,#N/A,FALSE,"PL Trend";#N/A,#N/A,FALSE,"Change"}</definedName>
    <definedName name="switch" localSheetId="11" hidden="1">{"arpm1995",#N/A,FALSE,"Summary 95-96";"bus_long_distance",#N/A,FALSE,"Summary 95-96";"mins_per_day",#N/A,FALSE,"Summary 95-96";"minutes1995",#N/A,FALSE,"Summary 95-96";"rev_per_day",#N/A,FALSE,"Summary 95-96";"view1995",#N/A,FALSE,"Summary 95-96"}</definedName>
    <definedName name="SX" localSheetId="1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t" localSheetId="11" hidden="1">#REF!</definedName>
    <definedName name="t2_1" localSheetId="11" hidden="1">{"'Sheet1'!$A$5:$G$42"}</definedName>
    <definedName name="Tax" localSheetId="11">#REF!</definedName>
    <definedName name="taxol" localSheetId="11" hidden="1">{#N/A,#N/A,FALSE,"Pharm";#N/A,#N/A,FALSE,"WWCM"}</definedName>
    <definedName name="TaxRate" localSheetId="11">#REF!</definedName>
    <definedName name="tdhjm" localSheetId="11" hidden="1">{#N/A,#N/A,FALSE,"INPUTS";#N/A,#N/A,FALSE,"PROFORMA BSHEET";#N/A,#N/A,FALSE,"COMBINED";#N/A,#N/A,FALSE,"HIGH YIELD";#N/A,#N/A,FALSE,"COMB_GRAPHS"}</definedName>
    <definedName name="tdjtmk" localSheetId="11" hidden="1">{#N/A,#N/A,FALSE,"ACQ_GRAPHS";#N/A,#N/A,FALSE,"T_1 GRAPHS";#N/A,#N/A,FALSE,"T_2 GRAPHS";#N/A,#N/A,FALSE,"COMB_GRAPHS"}</definedName>
    <definedName name="TECH" localSheetId="11">#REF!</definedName>
    <definedName name="Tem" localSheetId="11" hidden="1">{#N/A,#N/A,FALSE,"Pharm";#N/A,#N/A,FALSE,"WWCM"}</definedName>
    <definedName name="TEMP" localSheetId="11" hidden="1">{"PAGE 1",#N/A,FALSE,"WEST_OT"}</definedName>
    <definedName name="Temp_2" localSheetId="11" hidden="1">{#N/A,#N/A,FALSE,"Assessment";#N/A,#N/A,FALSE,"Staffing";#N/A,#N/A,FALSE,"Hires";#N/A,#N/A,FALSE,"Assumptions"}</definedName>
    <definedName name="Temp_3" localSheetId="11" hidden="1">{#N/A,#N/A,FALSE,"Assessment";#N/A,#N/A,FALSE,"Staffing";#N/A,#N/A,FALSE,"Hires";#N/A,#N/A,FALSE,"Assumptions"}</definedName>
    <definedName name="temp1" localSheetId="11" hidden="1">{"PAGE 1",#N/A,FALSE,"WEST_OT"}</definedName>
    <definedName name="temp2" localSheetId="11" hidden="1">{"PAGE 1",#N/A,FALSE,"WEST_OT"}</definedName>
    <definedName name="temp3" localSheetId="11" hidden="1">{"PAGE 1",#N/A,FALSE,"WEST_OT"}</definedName>
    <definedName name="tempq" localSheetId="1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q2" localSheetId="11"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3" localSheetId="11"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tempq4" localSheetId="11"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tempq5" localSheetId="11"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tempq6" localSheetId="11" hidden="1">{#N/A,#N/A,TRUE,"FD IV Portfolio Summary ";#N/A,#N/A,TRUE,"Western";#N/A,#N/A,TRUE,"Kranson";#N/A,#N/A,TRUE,"ARC";#N/A,#N/A,TRUE,"Precise";#N/A,#N/A,TRUE,"WNA"}</definedName>
    <definedName name="tempq7" localSheetId="11"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8" localSheetId="11"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teq" localSheetId="11" hidden="1">{#N/A,#N/A,FALSE,"Pharm";#N/A,#N/A,FALSE,"WWCM"}</definedName>
    <definedName name="Tequin" localSheetId="11" hidden="1">{#N/A,#N/A,FALSE,"Pharm";#N/A,#N/A,FALSE,"WWCM"}</definedName>
    <definedName name="tequinol" localSheetId="11" hidden="1">{#N/A,#N/A,FALSE,"REPORT"}</definedName>
    <definedName name="Ter" localSheetId="11">#REF!</definedName>
    <definedName name="TerFMV" localSheetId="11">#REF!</definedName>
    <definedName name="term" localSheetId="11">#REF!</definedName>
    <definedName name="tesg4" localSheetId="11" hidden="1">{"PAGE 1",#N/A,FALSE,"WEST_OT"}</definedName>
    <definedName name="test" localSheetId="11" hidden="1">{#N/A,#N/A,FALSE,"Pharm";#N/A,#N/A,FALSE,"WWCM"}</definedName>
    <definedName name="test1" localSheetId="11" hidden="1">{"PAGE 1",#N/A,FALSE,"WEST_OT"}</definedName>
    <definedName name="test10" localSheetId="11" hidden="1">{"PAGE 1",#N/A,FALSE,"WEST_OT"}</definedName>
    <definedName name="test11" localSheetId="11" hidden="1">{"PAGE 1",#N/A,FALSE,"WEST_OT"}</definedName>
    <definedName name="test12" localSheetId="11" hidden="1">{"PAGE 2",#N/A,FALSE,"WEST_OT"}</definedName>
    <definedName name="test13" localSheetId="11" hidden="1">{"PAGE 2",#N/A,FALSE,"WEST_OT"}</definedName>
    <definedName name="test14" localSheetId="11" hidden="1">{"PAGE 1",#N/A,FALSE,"WEST_OT"}</definedName>
    <definedName name="test15" localSheetId="11" hidden="1">{"PAGE 1",#N/A,FALSE,"WEST_OT"}</definedName>
    <definedName name="test2" localSheetId="11">Scheduled_Payment+Extra_Payment</definedName>
    <definedName name="test20" localSheetId="11" hidden="1">{"PAGE 1",#N/A,FALSE,"WEST_OT"}</definedName>
    <definedName name="test21" localSheetId="11" hidden="1">{"PAGE 1",#N/A,FALSE,"WEST_OT"}</definedName>
    <definedName name="test22" localSheetId="11" hidden="1">{"PAGE 1",#N/A,FALSE,"WEST_OT"}</definedName>
    <definedName name="test23" localSheetId="11" hidden="1">{"PAGE 1",#N/A,FALSE,"WEST_OT"}</definedName>
    <definedName name="test24" localSheetId="11" hidden="1">{"PAGE 1",#N/A,FALSE,"WEST_OT"}</definedName>
    <definedName name="test25" localSheetId="11" hidden="1">{"PAGE 1",#N/A,FALSE,"WEST_OT"}</definedName>
    <definedName name="test26" localSheetId="11" hidden="1">{"PAGE 1",#N/A,FALSE,"WEST_OT"}</definedName>
    <definedName name="test27" localSheetId="11" hidden="1">{"PAGE 1",#N/A,FALSE,"WEST_OT"}</definedName>
    <definedName name="test28" localSheetId="11" hidden="1">{"PAGE 1",#N/A,FALSE,"WEST_OT"}</definedName>
    <definedName name="test29" localSheetId="11" hidden="1">{"PAGE 1",#N/A,FALSE,"WEST_OT"}</definedName>
    <definedName name="test3" localSheetId="11" hidden="1">{"PAGE 1",#N/A,FALSE,"WEST_OT"}</definedName>
    <definedName name="test30" localSheetId="11" hidden="1">{"PAGE 2",#N/A,FALSE,"WEST_OT"}</definedName>
    <definedName name="test31" localSheetId="11" hidden="1">{"PAGE 1",#N/A,FALSE,"WEST_OT"}</definedName>
    <definedName name="test32" localSheetId="11" hidden="1">{"PAGE 1",#N/A,FALSE,"WEST_OT"}</definedName>
    <definedName name="test33" localSheetId="11" hidden="1">{"PAGE 1",#N/A,FALSE,"WEST_OT"}</definedName>
    <definedName name="test34" localSheetId="11" hidden="1">{"PAGE 1",#N/A,FALSE,"WEST_OT"}</definedName>
    <definedName name="test35" localSheetId="11" hidden="1">{"PAGE 1",#N/A,FALSE,"WEST_OT"}</definedName>
    <definedName name="test36" localSheetId="11" hidden="1">{"PAGE 1",#N/A,FALSE,"WEST_OT"}</definedName>
    <definedName name="test37" localSheetId="11" hidden="1">{"PAGE 2",#N/A,FALSE,"WEST_OT"}</definedName>
    <definedName name="test38" localSheetId="11" hidden="1">{"PAGE 1",#N/A,FALSE,"WEST_OT"}</definedName>
    <definedName name="test39" localSheetId="11" hidden="1">{"PAGE 1",#N/A,FALSE,"WEST_OT"}</definedName>
    <definedName name="test4" localSheetId="11" hidden="1">{"PAGE 1",#N/A,FALSE,"WEST_OT"}</definedName>
    <definedName name="test40" localSheetId="11" hidden="1">{"PAGE 2",#N/A,FALSE,"WEST_OT"}</definedName>
    <definedName name="test41" localSheetId="11" hidden="1">{"PAGE 1",#N/A,FALSE,"WEST_OT"}</definedName>
    <definedName name="test42" localSheetId="11" hidden="1">{"PAGE 1",#N/A,FALSE,"WEST_OT"}</definedName>
    <definedName name="test43" localSheetId="11" hidden="1">{"PAGE 2",#N/A,FALSE,"WEST_OT"}</definedName>
    <definedName name="test44" localSheetId="11" hidden="1">{"PAGE 2",#N/A,FALSE,"WEST_OT"}</definedName>
    <definedName name="test45" localSheetId="11" hidden="1">{"PAGE 1",#N/A,FALSE,"WEST_OT"}</definedName>
    <definedName name="test46" localSheetId="11" hidden="1">{"PAGE 1",#N/A,FALSE,"WEST_OT"}</definedName>
    <definedName name="test5" localSheetId="11" hidden="1">{"PAGE 1",#N/A,FALSE,"WEST_OT"}</definedName>
    <definedName name="test6" localSheetId="11" hidden="1">{"PAGE 2",#N/A,FALSE,"WEST_OT"}</definedName>
    <definedName name="test7" localSheetId="11" hidden="1">{"PAGE 2",#N/A,FALSE,"WEST_OT"}</definedName>
    <definedName name="test8" localSheetId="11" hidden="1">{"PAGE 1",#N/A,FALSE,"WEST_OT"}</definedName>
    <definedName name="test9" localSheetId="11" hidden="1">{"PAGE 1",#N/A,FALSE,"WEST_OT"}</definedName>
    <definedName name="teste" localSheetId="11" hidden="1">{#N/A,#N/A,FALSE,"Pharm";#N/A,#N/A,FALSE,"WWCM"}</definedName>
    <definedName name="TESYT" localSheetId="11" hidden="1">{#N/A,#N/A,TRUE,"BUD VS ACT AUST 96";#N/A,#N/A,TRUE,"96 COMP P&amp;L-AUST";#N/A,#N/A,TRUE,"COMP BS-AUSTRALIA";#N/A,#N/A,TRUE,"B/S - AUSTR."}</definedName>
    <definedName name="tetas" localSheetId="11" hidden="1">{#N/A,#N/A,FALSE,"RESUMEN ECON.";#N/A,#N/A,FALSE,"Costos de R.H.";#N/A,#N/A,FALSE,"COSTO HW";#N/A,#N/A,FALSE,"CUADROS";#N/A,#N/A,FALSE,"SCADA´s";#N/A,#N/A,FALSE,"PRECIOS EQUIPOS"}</definedName>
    <definedName name="tgj" localSheetId="11" hidden="1">{#N/A,#N/A,FALSE,"INPUTS";#N/A,#N/A,FALSE,"PROFORMA BSHEET";#N/A,#N/A,FALSE,"COMBINED";#N/A,#N/A,FALSE,"ACQUIROR";#N/A,#N/A,FALSE,"TARGET 1";#N/A,#N/A,FALSE,"TARGET 2";#N/A,#N/A,FALSE,"HIGH YIELD";#N/A,#N/A,FALSE,"OVERFUND"}</definedName>
    <definedName name="thth" localSheetId="11" hidden="1">{#N/A,#N/A,FALSE,"Calc";#N/A,#N/A,FALSE,"Sensitivity";#N/A,#N/A,FALSE,"LT Earn.Dil.";#N/A,#N/A,FALSE,"Dil. AVP"}</definedName>
    <definedName name="Titan" localSheetId="11" hidden="1">{"kricash",#N/A,FALSE,"INC";"kriinc",#N/A,FALSE,"INC";"krimiami",#N/A,FALSE,"INC";"kriother",#N/A,FALSE,"INC";"kripapers",#N/A,FALSE,"INC"}</definedName>
    <definedName name="Titles" localSheetId="11">#REF!</definedName>
    <definedName name="tl" localSheetId="11" hidden="1">{#N/A,#N/A,FALSE,"FAB VENDORS";"BUD SUM",#N/A,FALSE,"BUD SUM WO TEX"}</definedName>
    <definedName name="Total_Payment" localSheetId="11">Scheduled_Payment+Extra_Payment</definedName>
    <definedName name="TotalAssetsCurr" localSheetId="11">#REF!</definedName>
    <definedName name="tre" localSheetId="11" hidden="1">{#N/A,#N/A,TRUE,"Sch-5a";#N/A,#N/A,TRUE,"Sch-5b";#N/A,#N/A,TRUE,"Sch-5c";#N/A,#N/A,TRUE,"Sch-5d";#N/A,#N/A,TRUE,"Sch-6a";#N/A,#N/A,TRUE,"Sch-6b";#N/A,#N/A,TRUE,"Sch-6c";#N/A,#N/A,TRUE,"Sch-6d";#N/A,#N/A,TRUE,"Sch-6e"}</definedName>
    <definedName name="trevor" localSheetId="11" hidden="1">{#N/A,#N/A,FALSE,"FAB VENDORS";"BUD SUM",#N/A,FALSE,"BUD SUM WO TEX"}</definedName>
    <definedName name="Trust2" localSheetId="11" hidden="1">{#N/A,#N/A,FALSE,"Summary";#N/A,#N/A,FALSE,"Financials";#N/A,#N/A,FALSE,"Returns";#N/A,#N/A,FALSE,"Open";#N/A,#N/A,FALSE,"Assumptions"}</definedName>
    <definedName name="tryeuyit" localSheetId="11" hidden="1">{#N/A,#N/A,FALSE,"Pharm";#N/A,#N/A,FALSE,"WWCM"}</definedName>
    <definedName name="tss" localSheetId="11" hidden="1">{#N/A,#N/A,TRUE,"ProFormaProfit";#N/A,#N/A,TRUE,"ProFormaCash";#N/A,#N/A,TRUE,"Depreciation";#N/A,#N/A,TRUE,"Assets";#N/A,#N/A,TRUE,"Revenue";#N/A,#N/A,TRUE,"EstimatedPurchase"}</definedName>
    <definedName name="ttt" localSheetId="11" hidden="1">{#N/A,#N/A,FALSE,"COMP BS-FRANCE";#N/A,#N/A,FALSE,"96 COMP P&amp;L-FRANCE";#N/A,#N/A,FALSE,"BUD VS ACT FRAN 96";#N/A,#N/A,FALSE,"B/S - FRANCE"}</definedName>
    <definedName name="tttt" localSheetId="11" hidden="1">{#N/A,#N/A,FALSE,"COVER";#N/A,#N/A,FALSE,"Key Fin Performance";#N/A,#N/A,FALSE,"Ratios";#N/A,#N/A,FALSE,"Trended";#N/A,#N/A,FALSE,"Trended Op Ex";#N/A,#N/A,FALSE,"P&amp;L Act vs Plan";#N/A,#N/A,FALSE,"P&amp;L Fcst";#N/A,#N/A,FALSE,"Top Customers";#N/A,#N/A,FALSE,"Backlog";#N/A,#N/A,FALSE,"Design Win Summary";#N/A,#N/A,FALSE,"Key Wins and Losses";#N/A,#N/A,FALSE,"Dev Program Summary - King"}</definedName>
    <definedName name="ttttttt" localSheetId="11"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U" localSheetId="11" hidden="1">{#N/A,#N/A,FALSE,"CNS_ADJ";"Balance Consolidado",#N/A,FALSE,"BCEC_CNS";#N/A,#N/A,FALSE,"USGAAP_ADJ"}</definedName>
    <definedName name="Tulsa" localSheetId="11" hidden="1">{#N/A,#N/A,FALSE,"Report Data";#N/A,#N/A,FALSE,"COMP POOL";#N/A,#N/A,FALSE,"COMP POOL NB95";#N/A,#N/A,FALSE,"COMP POOL NB94"}</definedName>
    <definedName name="tut" localSheetId="11" hidden="1">{#N/A,#N/A,TRUE,"ProFormaProfit";#N/A,#N/A,TRUE,"ProFormaCash";#N/A,#N/A,TRUE,"Depreciation";#N/A,#N/A,TRUE,"Assets";#N/A,#N/A,TRUE,"Revenue";#N/A,#N/A,TRUE,"EstimatedPurchase"}</definedName>
    <definedName name="tuv" localSheetId="11" hidden="1">{#N/A,#N/A,TRUE,"Sch-5a";#N/A,#N/A,TRUE,"Sch-5b";#N/A,#N/A,TRUE,"Sch-5c";#N/A,#N/A,TRUE,"Sch-5d";#N/A,#N/A,TRUE,"Sch-6a";#N/A,#N/A,TRUE,"Sch-6b";#N/A,#N/A,TRUE,"Sch-6c";#N/A,#N/A,TRUE,"Sch-6d";#N/A,#N/A,TRUE,"Sch-6e"}</definedName>
    <definedName name="two.print" localSheetId="11" hidden="1">{"month",#N/A,FALSE,"LOPL594";"ytd",#N/A,FALSE,"LOPL594"}</definedName>
    <definedName name="tx_roll_cy" localSheetId="11">#REF!,#REF!</definedName>
    <definedName name="tx_roll_py" localSheetId="11">#REF!,#REF!</definedName>
    <definedName name="tx_roll_py1" localSheetId="11">#REF!,#REF!</definedName>
    <definedName name="tyler" localSheetId="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tyler1" localSheetId="1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u" localSheetId="11" hidden="1">{"MARCH",#N/A,FALSE,"CONSO OPEX 5899";"FullOpex",#N/A,FALSE,"CONSO OPEX 5899"}</definedName>
    <definedName name="tyuiktyu" localSheetId="11" hidden="1">{#N/A,#N/A,FALSE,"COVER";#N/A,#N/A,FALSE,"Index";#N/A,#N/A,FALSE,"Non-Earning";#N/A,#N/A,FALSE,"Mortgage_Legal";#N/A,#N/A,FALSE,"Mortgages"}</definedName>
    <definedName name="tyutytyi" localSheetId="11" hidden="1">{#N/A,#N/A,FALSE,"Pharm";#N/A,#N/A,FALSE,"WWCM"}</definedName>
    <definedName name="tyyufkjkhjd" localSheetId="11" hidden="1">{#N/A,#N/A,FALSE,"Pharm";#N/A,#N/A,FALSE,"WWCM"}</definedName>
    <definedName name="u" localSheetId="11" hidden="1">{"CSheet",#N/A,FALSE,"C";"SmCap",#N/A,FALSE,"VAL1";"GulfCoast",#N/A,FALSE,"VAL1";"nav",#N/A,FALSE,"NAV";"Summary",#N/A,FALSE,"NAV"}</definedName>
    <definedName name="UK" localSheetId="11" hidden="1">{#N/A,#N/A,TRUE,"BUD VS ACT AUST 96";#N/A,#N/A,TRUE,"96 COMP P&amp;L-AUST";#N/A,#N/A,TRUE,"COMP BS-AUSTRALIA";#N/A,#N/A,TRUE,"B/S - AUSTR."}</definedName>
    <definedName name="Unit" localSheetId="11" hidden="1">{#N/A,#N/A,FALSE,"Pharm";#N/A,#N/A,FALSE,"WWCM"}</definedName>
    <definedName name="United" localSheetId="1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US" localSheetId="11">#REF!</definedName>
    <definedName name="usd" localSheetId="11">#REF!</definedName>
    <definedName name="uyfkf"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R" localSheetId="1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ValuationDate" localSheetId="11">#REF!</definedName>
    <definedName name="Value.2" localSheetId="11" hidden="1">{#N/A,#N/A,FALSE,"Cashflow Analysis";#N/A,#N/A,FALSE,"Sensitivity Analysis";#N/A,#N/A,FALSE,"PV";#N/A,#N/A,FALSE,"Pro Forma"}</definedName>
    <definedName name="value1" localSheetId="11" hidden="1">{#N/A,#N/A,FALSE,"Cashflow Analysis";#N/A,#N/A,FALSE,"Sensitivity Analysis";#N/A,#N/A,FALSE,"PV";#N/A,#N/A,FALSE,"Pro Forma"}</definedName>
    <definedName name="value1.2" localSheetId="11" hidden="1">{#N/A,#N/A,FALSE,"Cashflow Analysis";#N/A,#N/A,FALSE,"Sensitivity Analysis";#N/A,#N/A,FALSE,"PV";#N/A,#N/A,FALSE,"Pro Forma"}</definedName>
    <definedName name="Values_Entered" localSheetId="11">IF('Pro Forma Financials (Q1)'!Loan_Amount*Interest_Rate*Loan_Years*Loan_Start&gt;0,1,0)</definedName>
    <definedName name="Var_type" localSheetId="11">#REF!</definedName>
    <definedName name="varianc" localSheetId="11" hidden="1">{#N/A,#N/A,TRUE,"Mth Sum";#N/A,#N/A,TRUE,"YTD Sum";#N/A,#N/A,TRUE,"Mth Rev Sum";#N/A,#N/A,TRUE,"YTD Rev Sum";#N/A,#N/A,TRUE,"SC vs Pr Month (Revised)";#N/A,#N/A,TRUE,"SVC Detail Mth vs Pr Mth (Rev)";#N/A,#N/A,TRUE,"SGA (Elem) vs Pr Month";#N/A,#N/A,TRUE,"SGA (BU) vs Pr Mth";#N/A,#N/A,TRUE,"SC vs Plan (Revised)";#N/A,#N/A,TRUE,"SVC Detail Mth vsPlan (Rev)";#N/A,#N/A,TRUE,"SGA (Elem) vs Plan";#N/A,#N/A,TRUE,"SGA (BU) vs Plan(Rev)";#N/A,#N/A,TRUE,"SC vs YTD 00 (Revised)";#N/A,#N/A,TRUE,"SGA (Elem) vs YTD 00";#N/A,#N/A,TRUE,"SGA (BU) YTD vs YTD 00";#N/A,#N/A,TRUE,"SC vs YTD Plan (Revised)";#N/A,#N/A,TRUE,"SVC YTD Detail Mth vsPlan (Rev)";#N/A,#N/A,TRUE,"SGA (Elem) vs YTD Plan";#N/A,#N/A,TRUE,"SGA (BU) YTD vs Plan(Rev)";#N/A,#N/A,TRUE,"CapExp";#N/A,#N/A,TRUE,"EBITDA(Flash)";#N/A,#N/A,TRUE,"NetInc(Flash)";#N/A,#N/A,TRUE,"Gross Margin(Flash)";#N/A,#N/A,TRUE,"Mth trends(Flash)";#N/A,#N/A,TRUE,"HeadcountP01";#N/A,#N/A,TRUE,"Headcount P00";#N/A,#N/A,TRUE,"Inc. Statement";#N/A,#N/A,TRUE,"Balance Sheet";#N/A,#N/A,TRUE,"Cash Flow"}</definedName>
    <definedName name="Veneco" localSheetId="11" hidden="1">{"one",#N/A,TRUE,"Alaska";"two",#N/A,TRUE,"Alaska";"three",#N/A,TRUE,"Alaska";"four",#N/A,TRUE,"Alaska"}</definedName>
    <definedName name="vertex42_copyright" localSheetId="11" hidden="1">"© 2015 Vertex42 LLC"</definedName>
    <definedName name="vertex42_id" localSheetId="11" hidden="1">"waterfall-chart.xlsx"</definedName>
    <definedName name="vertex42_title" localSheetId="11" hidden="1">"Waterfall Chart Template"</definedName>
    <definedName name="viajes" localSheetId="11" hidden="1">{#N/A,#N/A,TRUE,"RESUMEN ECON.";#N/A,#N/A,TRUE,"Costos de R.H.";#N/A,#N/A,TRUE,"COSTO HW";#N/A,#N/A,TRUE,"CUADROS";#N/A,#N/A,TRUE,"SCADA´s";#N/A,#N/A,TRUE,"PRECIOS EQUIPOS"}</definedName>
    <definedName name="viajes2" localSheetId="11" hidden="1">{#N/A,#N/A,TRUE,"RESUMEN ECON.";#N/A,#N/A,TRUE,"Costos de R.H.";#N/A,#N/A,TRUE,"COSTO HW";#N/A,#N/A,TRUE,"CUADROS";#N/A,#N/A,TRUE,"SCADA´s";#N/A,#N/A,TRUE,"PRECIOS EQUIPOS"}</definedName>
    <definedName name="Viastar" localSheetId="11" hidden="1">{#N/A,#N/A,FALSE,"Assumptions";#N/A,#N/A,FALSE,"N-IS-Sum";#N/A,#N/A,FALSE,"N-St-Sum";#N/A,#N/A,FALSE,"Inc Stmt";#N/A,#N/A,FALSE,"Stats"}</definedName>
    <definedName name="victor" localSheetId="11" hidden="1">{"multiple",#N/A,FALSE,"client";"margins",#N/A,FALSE,"client";"data",#N/A,FALSE,"client"}</definedName>
    <definedName name="vnbs" localSheetId="11" hidden="1">{"FCB_ALL",#N/A,FALSE,"FCB"}</definedName>
    <definedName name="vo" localSheetId="11" hidden="1">{"consolidated",#N/A,FALSE,"Sheet1";"cms",#N/A,FALSE,"Sheet1";"fse",#N/A,FALSE,"Sheet1"}</definedName>
    <definedName name="vsr" localSheetId="11" hidden="1">{"FCB_ALL",#N/A,FALSE,"FCB"}</definedName>
    <definedName name="vv" localSheetId="11" hidden="1">{"cash_marc",#N/A,FALSE,"dec95cr.xls"}</definedName>
    <definedName name="vvvv" localSheetId="11" hidden="1">{#N/A,#N/A,FALSE,"Cashflow Analysis";#N/A,#N/A,FALSE,"Sensitivity Analysis";#N/A,#N/A,FALSE,"PV";#N/A,#N/A,FALSE,"Pro Forma"}</definedName>
    <definedName name="VVVV.2" localSheetId="11" hidden="1">{#N/A,#N/A,FALSE,"Cashflow Analysis";#N/A,#N/A,FALSE,"Sensitivity Analysis";#N/A,#N/A,FALSE,"PV";#N/A,#N/A,FALSE,"Pro Forma"}</definedName>
    <definedName name="VZDX" localSheetId="11"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 localSheetId="11" hidden="1">{"ReportTop",#N/A,FALSE,"report top"}</definedName>
    <definedName name="wafe" localSheetId="11" hidden="1">{"summary1",#N/A,TRUE,"Comps";"summary2",#N/A,TRUE,"Comps";"summary3",#N/A,TRUE,"Comps"}</definedName>
    <definedName name="was" localSheetId="11" hidden="1">{#N/A,#N/A,FALSE,"Sales Graph";#N/A,#N/A,FALSE,"BUC Graph";#N/A,#N/A,FALSE,"P&amp;L - YTD"}</definedName>
    <definedName name="wb" localSheetId="11" hidden="1">{#N/A,#N/A,FALSE,"Pharm";#N/A,#N/A,FALSE,"WWCM"}</definedName>
    <definedName name="wc" localSheetId="11" hidden="1">{#N/A,#N/A,FALSE,"Pharm";#N/A,#N/A,FALSE,"WWCM"}</definedName>
    <definedName name="wc.3"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e" localSheetId="11" hidden="1">{#N/A,#N/A,FALSE,"Pharm";#N/A,#N/A,FALSE,"WWCM"}</definedName>
    <definedName name="WEA" localSheetId="1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d" localSheetId="11" hidden="1">{#N/A,#N/A,FALSE,"INPUTS";#N/A,#N/A,FALSE,"PROFORMA BSHEET";#N/A,#N/A,FALSE,"COMBINED";#N/A,#N/A,FALSE,"ACQUIROR";#N/A,#N/A,FALSE,"TARGET 1";#N/A,#N/A,FALSE,"TARGET 2";#N/A,#N/A,FALSE,"HIGH YIELD";#N/A,#N/A,FALSE,"OVERFUND"}</definedName>
    <definedName name="wef" localSheetId="11" hidden="1">{#N/A,#N/A,FALSE,"INPUTS";#N/A,#N/A,FALSE,"PROFORMA BSHEET";#N/A,#N/A,FALSE,"COMBINED";#N/A,#N/A,FALSE,"HIGH YIELD";#N/A,#N/A,FALSE,"COMB_GRAPHS"}</definedName>
    <definedName name="wefaf" localSheetId="1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faff" localSheetId="11" hidden="1">{#N/A,#N/A,FALSE,"Assum";#N/A,#N/A,FALSE,"IS";#N/A,#N/A,FALSE,"Op-BS";#N/A,#N/A,FALSE,"BSCF";#N/A,#N/A,FALSE,"Brad_IS";#N/A,#N/A,FALSE,"Brad_BSCF";#N/A,#N/A,FALSE,"Nick_IS";#N/A,#N/A,FALSE,"Nick_BSCF";#N/A,#N/A,FALSE,"Mobile_IS";#N/A,#N/A,FALSE,"Mobile_BSCF";#N/A,#N/A,FALSE,"Syn+Elim";#N/A,#N/A,FALSE,"Ratings"}</definedName>
    <definedName name="wefyjtf" localSheetId="1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ekwn" localSheetId="11" hidden="1">{"'Edit'!$A$1:$V$2277"}</definedName>
    <definedName name="welw" localSheetId="11" hidden="1">{"'Edit'!$A$1:$V$2277"}</definedName>
    <definedName name="WEQQE" localSheetId="11" hidden="1">{"summary1",#N/A,TRUE,"Comps";"summary2",#N/A,TRUE,"Comps";"summary3",#N/A,TRUE,"Comps"}</definedName>
    <definedName name="wererer" localSheetId="11" hidden="1">{"arpm1995",#N/A,FALSE,"Summary 95-96";"bus_long_distance",#N/A,FALSE,"Summary 95-96";"mins_per_day",#N/A,FALSE,"Summary 95-96";"minutes1995",#N/A,FALSE,"Summary 95-96";"rev_per_day",#N/A,FALSE,"Summary 95-96";"view1995",#N/A,FALSE,"Summary 95-96"}</definedName>
    <definedName name="werrr" localSheetId="11" hidden="1">{#N/A,#N/A,FALSE,"Pharm";#N/A,#N/A,FALSE,"WWCM"}</definedName>
    <definedName name="wg" localSheetId="11" hidden="1">{"ReportTop",#N/A,FALSE,"report top"}</definedName>
    <definedName name="What?" localSheetId="11" hidden="1">{#N/A,#N/A,TRUE,"Summary";#N/A,#N/A,TRUE,"Financials"}</definedName>
    <definedName name="What2?" localSheetId="11" hidden="1">{#N/A,#N/A,TRUE,"Summary";#N/A,#N/A,TRUE,"Financials";#N/A,#N/A,TRUE,"Assumptions";#N/A,#N/A,TRUE,"Pro Forma";#N/A,#N/A,TRUE,"Debt";#N/A,#N/A,TRUE,"Amortization";#N/A,#N/A,TRUE,"GG Returns"}</definedName>
    <definedName name="What3?" localSheetId="11" hidden="1">{#N/A,#N/A,TRUE,"Summary";#N/A,#N/A,TRUE,"Assumptions";#N/A,#N/A,TRUE,"Comparison";#N/A,#N/A,TRUE,"Financials";#N/A,#N/A,TRUE,"Plan v. Act"}</definedName>
    <definedName name="WHO" localSheetId="11" hidden="1">{#N/A,#N/A,FALSE,"SUMMARY";#N/A,#N/A,FALSE,"DETAIL";#N/A,#N/A,FALSE,"VARIANCE"}</definedName>
    <definedName name="wholesaleforecast" localSheetId="11" hidden="1">{"SUM",#N/A,FALSE,"Details (2)"}</definedName>
    <definedName name="willem" localSheetId="1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orking" localSheetId="11" hidden="1">{#N/A,#N/A,FALSE,"REPORT"}</definedName>
    <definedName name="wpw" localSheetId="11" hidden="1">{#N/A,#N/A,FALSE,"TopTen Failures";#N/A,#N/A,FALSE,"Top Ten %";#N/A,#N/A,FALSE,"Fail Code 5 mo. Totals (%)"}</definedName>
    <definedName name="wqe" localSheetId="11" hidden="1">{#N/A,#N/A,TRUE,"Sch-1a";#N/A,#N/A,TRUE,"Sch-1b";#N/A,#N/A,TRUE,"Sch-1c";#N/A,#N/A,TRUE,"Sch-1d";#N/A,#N/A,TRUE,"Sch-2a";#N/A,#N/A,TRUE,"Sch-2b";#N/A,#N/A,TRUE,"Sch-2c";#N/A,#N/A,TRUE,"Sch-3a";#N/A,#N/A,TRUE,"Sch-3b";#N/A,#N/A,TRUE,"Sch-3c";#N/A,#N/A,TRUE,"Sch-3d";#N/A,#N/A,TRUE,"Sch-3e"}</definedName>
    <definedName name="wqefh" localSheetId="11" hidden="1">{#N/A,#N/A,FALSE,"ACQ_GRAPHS";#N/A,#N/A,FALSE,"T_1 GRAPHS";#N/A,#N/A,FALSE,"T_2 GRAPHS";#N/A,#N/A,FALSE,"COMB_GRAPHS"}</definedName>
    <definedName name="wr" localSheetId="11" hidden="1">{"Cashflow chart",#N/A,TRUE,"A";"Rev Assumptions",#N/A,TRUE,"B";"Rev Reconcilliation 1",#N/A,TRUE,"B";"Rev Reconcilliation 2",#N/A,TRUE,"B";"exp 1",#N/A,TRUE,"C";"exp 2",#N/A,TRUE,"C";"exp3",#N/A,TRUE,"C";"cap 1",#N/A,TRUE,"D";"exp4",#N/A,TRUE,"C";"cap 2",#N/A,TRUE,"D";"cap 3",#N/A,TRUE,"D";"inputs",#N/A,TRUE,"E"}</definedName>
    <definedName name="wr_1" localSheetId="11" hidden="1">{"Cashflow chart",#N/A,TRUE,"A";"Rev Assumptions",#N/A,TRUE,"B";"Rev Reconcilliation 1",#N/A,TRUE,"B";"Rev Reconcilliation 2",#N/A,TRUE,"B";"exp 1",#N/A,TRUE,"C";"exp 2",#N/A,TRUE,"C";"exp3",#N/A,TRUE,"C";"cap 1",#N/A,TRUE,"D";"exp4",#N/A,TRUE,"C";"cap 2",#N/A,TRUE,"D";"cap 3",#N/A,TRUE,"D";"inputs",#N/A,TRUE,"E"}</definedName>
    <definedName name="wrd.2._.pagers.3" localSheetId="11" hidden="1">{"Cover",#N/A,FALSE,"Cover";"Summary",#N/A,FALSE,"Summarpage"}</definedName>
    <definedName name="wrd.2_.pagers.3" localSheetId="11" hidden="1">{"Cover",#N/A,FALSE,"Cover";"Summary",#N/A,FALSE,"Summarpage"}</definedName>
    <definedName name="wrer" localSheetId="11" hidden="1">{"arpm1995",#N/A,FALSE,"Summary 95-96";"bus_long_distance",#N/A,FALSE,"Summary 95-96";"mins_per_day",#N/A,FALSE,"Summary 95-96";"minutes1995",#N/A,FALSE,"Summary 95-96";"rev_per_day",#N/A,FALSE,"Summary 95-96";"view1995",#N/A,FALSE,"Summary 95-96"}</definedName>
    <definedName name="wrn" localSheetId="11" hidden="1">{"FCB_ALL",#N/A,FALSE,"FCB"}</definedName>
    <definedName name="wrn.1"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1." localSheetId="11" hidden="1">{#N/A,#N/A,FALSE,"Calc";#N/A,#N/A,FALSE,"Sensitivity";#N/A,#N/A,FALSE,"LT Earn.Dil.";#N/A,#N/A,FALSE,"Dil. AVP"}</definedName>
    <definedName name="wrn.100._.Monthly._.Package." localSheetId="11" hidden="1">{#N/A,#N/A,FALSE,"0";#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57";#N/A,#N/A,FALSE,"58";#N/A,#N/A,FALSE,"59";#N/A,#N/A,FALSE,"60";#N/A,#N/A,FALSE,"61";#N/A,#N/A,FALSE,"62";#N/A,#N/A,FALSE,"63";#N/A,#N/A,FALSE,"64";#N/A,#N/A,FALSE,"65";#N/A,#N/A,FALSE,"66";#N/A,#N/A,FALSE,"67";#N/A,#N/A,FALSE,"68";#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N/A,#N/A,FALSE,"95";#N/A,#N/A,FALSE,"96";#N/A,#N/A,FALSE,"97";#N/A,#N/A,FALSE,"98";#N/A,#N/A,FALSE,"99";#N/A,#N/A,FALSE,"100";#N/A,#N/A,FALSE,"101";#N/A,#N/A,FALSE,"102";#N/A,#N/A,FALSE,"103";#N/A,#N/A,FALSE,"104";#N/A,#N/A,FALSE,"105";#N/A,#N/A,FALSE,"106";#N/A,#N/A,FALSE,"107";#N/A,#N/A,FALSE,"108";#N/A,#N/A,FALSE,"109";#N/A,#N/A,FALSE,"110";#N/A,#N/A,FALSE,"111";#N/A,#N/A,FALSE,"112";#N/A,#N/A,FALSE,"113";#N/A,#N/A,FALSE,"114";#N/A,#N/A,FALSE,"115"}</definedName>
    <definedName name="wrn.10K._.FS._.AND._.TABLES." localSheetId="11"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rn.10Q._.FS._.AND._.TABLES." localSheetId="11" hidden="1">{#N/A,#N/A,FALSE,"BS";#N/A,#N/A,FALSE,"PL_10Q";#N/A,#N/A,FALSE,"SOE";#N/A,#N/A,FALSE,"SCF";#N/A,#N/A,FALSE,"Sel Fn Data QTD 10Q";#N/A,#N/A,FALSE,"Table 1 YTD 10Q";#N/A,#N/A,FALSE,"Table 1 QTD 10Q";#N/A,#N/A,FALSE,"Tables 2 to 3 PL";#N/A,#N/A,FALSE,"Tables 4 and 5ALLL";#N/A,#N/A,FALSE,"Tables 6 to 8 ALLL ";#N/A,#N/A,FALSE,"Table 9 to 12 - Balance Sheet"}</definedName>
    <definedName name="wrn.10Q._.TABLES." localSheetId="11" hidden="1">{#N/A,#N/A,FALSE,"TABLE_1 YTD";#N/A,#N/A,FALSE,"TABLE_1A QTD"}</definedName>
    <definedName name="wrn.111111" localSheetId="11" hidden="1">{#N/A,#N/A,FALSE,"Pharm";#N/A,#N/A,FALSE,"WWCM"}</definedName>
    <definedName name="wrn.12_30._.Adv._.Book." localSheetId="11" hidden="1">{#N/A,#N/A,TRUE,"Fd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name="wrn.123100._.Port._.Review." localSheetId="11" hidden="1">{#N/A,#N/A,TRUE,"Port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name="wrn.1998._.FINANCIAL._.STATEMENTS." localSheetId="11" hidden="1">{"QTR2PGIBS",#N/A,FALSE,"Qtr 2 PGI";"QTR2PGIPL",#N/A,FALSE,"Qtr 2 PGI";"QTR2PGICF",#N/A,FALSE,"Qtr 2 PGI";"98QTR2BS",#N/A,FALSE,"Qtr 2";"98QTR2PL",#N/A,FALSE,"Qtr 2";"98QTR2CF",#N/A,FALSE,"Qtr 2";"QTR3PGIBS",#N/A,FALSE,"Qtr 3 PGI";"QTR3PGIPL",#N/A,FALSE,"Qtr 3 PGI";"QTR3PGICF",#N/A,FALSE,"Qtr 3 PGI";"98QTR3BS",#N/A,FALSE,"Qtr 3";"98QTR3PL",#N/A,FALSE,"Qtr 3";"98QTR3CF",#N/A,FALSE,"Qtr 3";"QTR4PGIBS",#N/A,FALSE,"Qtr 4 PGI";"QTR4PGIPL",#N/A,FALSE,"Qtr 4 PGI";"QTR4PGIPLYTD",#N/A,FALSE,"Qtr 4 PGI";"QTR4PGICF",#N/A,FALSE,"Qtr 4 PGI";"QTR4PGICFYTD",#N/A,FALSE,"Qtr 4 PGI";"98QTR4BS",#N/A,FALSE,"Qtr 4";"98QTR4PL",#N/A,FALSE,"Qtr 4";"98QTR4CF",#N/A,FALSE,"Qtr 4";"98QTR4PLYTD",#N/A,FALSE,"Qtr 4";"98QTR4CFYTD",#N/A,FALSE,"Qtr 4"}</definedName>
    <definedName name="wrn.1998._.IPO._.Update." localSheetId="11" hidden="1">{#N/A,#N/A,FALSE,"Summary";#N/A,#N/A,FALSE,"Pending";#N/A,#N/A,FALSE,"Aug'98";#N/A,#N/A,FALSE,"July'98";#N/A,#N/A,FALSE,"June'98";#N/A,#N/A,FALSE,"May'98";#N/A,#N/A,FALSE,"Apr'98";#N/A,#N/A,FALSE,"Mar'98";#N/A,#N/A,FALSE,"Feb'98";#N/A,#N/A,FALSE,"Jan'98"}</definedName>
    <definedName name="wrn.2._.pagers." localSheetId="11" hidden="1">{"Cover",#N/A,FALSE,"Cover";"Summary",#N/A,FALSE,"Summarpage"}</definedName>
    <definedName name="wrn.2._.pagers.2" localSheetId="11" hidden="1">{"Cover",#N/A,FALSE,"Cover";"Summary",#N/A,FALSE,"Summarpage"}</definedName>
    <definedName name="wrn.2._.pagers.3" localSheetId="11" hidden="1">{"Cover",#N/A,FALSE,"Cover";"Summary",#N/A,FALSE,"Summarpage"}</definedName>
    <definedName name="wrn.2._.pagers.4" localSheetId="11" hidden="1">{"Cover",#N/A,FALSE,"Cover";"Summary",#N/A,FALSE,"Summarpage"}</definedName>
    <definedName name="wrn.2._.pagers.5" localSheetId="11" hidden="1">{"Cover",#N/A,FALSE,"Cover";"Summary",#N/A,FALSE,"Summarpage"}</definedName>
    <definedName name="wrn.2._.pagers.6" localSheetId="11" hidden="1">{"Cover",#N/A,FALSE,"Cover";"Summary",#N/A,FALSE,"Summarpage"}</definedName>
    <definedName name="wrn.2._.pagers.8" localSheetId="11" hidden="1">{"Cover",#N/A,FALSE,"Cover";"Summary",#N/A,FALSE,"Summarpage"}</definedName>
    <definedName name="wrn.2._pagers.4" localSheetId="11" hidden="1">{"Cover",#N/A,FALSE,"Cover";"Summary",#N/A,FALSE,"Summarpage"}</definedName>
    <definedName name="wrn.2_5_99._.Scenarios." localSheetId="11" hidden="1">{#N/A,"Scenario 4; Book Value",FALSE,"Stream INPUTS";#N/A,"Scenario 4; Market Value",FALSE,"Stream INPUTS";#N/A,"Scenario 5; Book Value",FALSE,"Stream INPUTS";#N/A,"Scenario 5; Market Value",FALSE,"Stream INPUTS"}</definedName>
    <definedName name="wrn.2000._.Package._.GOM." localSheetId="11" hidden="1">{"2000PPE",#N/A,FALSE,"PPE 2000";"2000DD",#N/A,FALSE,"DrydocksOther"}</definedName>
    <definedName name="wrn.2003._.Detail._.in._.Dollars." localSheetId="11" hidden="1">{#N/A,#N/A,FALSE,"2003 Est";#N/A,#N/A,FALSE,"2003 Pr";#N/A,#N/A,FALSE,"2003 Plan"}</definedName>
    <definedName name="wrn.2003._.Detail._.per._.pax." localSheetId="11" hidden="1">{#N/A,#N/A,FALSE,"2003 Est per pax";#N/A,#N/A,FALSE,"2003 Pr per pax";#N/A,#N/A,FALSE,"2003 Plan per pax"}</definedName>
    <definedName name="wrn.2003._.RM._.Reports." localSheetId="11" hidden="1">{#N/A,#N/A,FALSE,"Prd Summ 03Prvs03E";#N/A,#N/A,FALSE,"Prd Summ 03Pvs03E"}</definedName>
    <definedName name="wrn.2004._.Budget." localSheetId="11" hidden="1">{#N/A,#N/A,FALSE,"Wynd";#N/A,#N/A,FALSE,"Wynd Sales-100";#N/A,#N/A,FALSE,"Wynd Marketing-200";#N/A,#N/A,FALSE,"Wynd IT-300";#N/A,#N/A,FALSE,"Wynd NOC-321";#N/A,#N/A,FALSE,"Wynd Admin-400";#N/A,#N/A,FALSE,"Wynd Operations-500"}</definedName>
    <definedName name="wrn.2004._.Detail._.in._.Dollars." localSheetId="11" hidden="1">{#N/A,#N/A,FALSE,"2004 Est";#N/A,#N/A,FALSE,"2004 Pr Est";#N/A,#N/A,FALSE,"2004 Plan"}</definedName>
    <definedName name="wrn.2004._.Detail._.per._.pax." localSheetId="11" hidden="1">{#N/A,#N/A,FALSE,"2004 Est per pax";#N/A,#N/A,FALSE,"2004 Pr per pax";#N/A,#N/A,FALSE,"2004 Plan per pax"}</definedName>
    <definedName name="wrn.2004._.RM._.Reports." localSheetId="11" hidden="1">{#N/A,#N/A,FALSE,"Prd Summ 04Pvs04E";#N/A,#N/A,FALSE,"Prd Summ 04Prvs04E";#N/A,#N/A,FALSE,"Prd Summ 03Evs04E"}</definedName>
    <definedName name="wrn.3.00._.Adv.._.Board." localSheetId="11" hidden="1">{#N/A,#N/A,TRUE,"Fd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name="wrn.3cases." localSheetId="11" hidden="1">{#N/A,"Base",FALSE,"Dividend";#N/A,"Conservative",FALSE,"Dividend";#N/A,"Downside",FALSE,"Dividend"}</definedName>
    <definedName name="wrn.5._.Year._.Plan." localSheetId="11" hidden="1">{"Consolidated assumptions 1",#N/A,FALSE,"CONSO";"Consolidated assumptions 2",#N/A,FALSE,"CONSO";"Consolidated assumptions 3",#N/A,FALSE,"CONSO";"Consolidated earnings",#N/A,FALSE,"CONSO";"Consolidated Cash Flow",#N/A,FALSE,"CONSO";"Consolidated Balance Sheet",#N/A,FALSE,"CONSO";"Consolidated Cap-Ex",#N/A,FALSE,"CONSO";"Paper Donnacona summary assumptions",#N/A,FALSE,"PAPER DONNACONA";"Paper Donnacona earnings",#N/A,FALSE,"PAPER DONNACONA";"Paper Donnacona Cash Flow",#N/A,FALSE,"PAPER DONNACONA";"Paper Donnacona Balance Sheet",#N/A,FALSE,"PAPER DONNACONA";"Paper Donnacona Cap-ex",#N/A,FALSE,"PAPER DONNACONA";"Paper Dolbeau summary assumptions",#N/A,FALSE,"PAPER DOLBEAU";"Paper Dolbeau earnings",#N/A,FALSE,"PAPER DOLBEAU";"Paper Dolbeau Cash Flow",#N/A,FALSE,"PAPER DOLBEAU";"Paper Dolbeau Balance Sheet",#N/A,FALSE,"PAPER DOLBEAU";"Paper Dolbeau Cap-ex",#N/A,FALSE,"PAPER DOLBEAU";"Lumber assumptions 1",#N/A,FALSE,"LUMBER";"Lumber assumptions 2",#N/A,FALSE,"LUMBER";"Lumber earnings",#N/A,FALSE,"LUMBER";"Lumber Cash Flow",#N/A,FALSE,"LUMBER";"Lumber Balance Sheet",#N/A,FALSE,"LUMBER";"Lumber Cap-ex",#N/A,FALSE,"LUMBER";"Coosa assumptions 1",#N/A,FALSE,"COOSA";"Coosa assumptions 2",#N/A,FALSE,"COOSA";"Coosa earnings",#N/A,FALSE,"COOSA";"Coosa Cash Flow",#N/A,FALSE,"COOSA";"Coosa Balance Sheet",#N/A,FALSE,"COOSA";"Coosa Cap-ex",#N/A,FALSE,"COOSA";"Head Office assumptions",#N/A,FALSE,"H.OFFICE";"Head Office earnings",#N/A,FALSE,"H.OFFICE";"Head Office Cash Flow",#N/A,FALSE,"H.OFFICE";"Head Office Balance Sheet",#N/A,FALSE,"H.OFFICE";"Head Office Cap-ex",#N/A,FALSE,"H.OFFICE";"Tax 1",#N/A,FALSE,"impôt";"Tax 2",#N/A,FALSE,"impôt"}</definedName>
    <definedName name="wrn.730." localSheetId="11" hidden="1">{#N/A,#N/A,FALSE,"REPORT"}</definedName>
    <definedName name="wrn.731" localSheetId="11" hidden="1">{#N/A,#N/A,FALSE,"REPORT"}</definedName>
    <definedName name="wrn.750." localSheetId="11" hidden="1">{#N/A,#N/A,FALSE,"REPORT"}</definedName>
    <definedName name="wrn.7501" localSheetId="11" hidden="1">{#N/A,#N/A,FALSE,"REPORT"}</definedName>
    <definedName name="wrn.760.16." localSheetId="11" hidden="1">{#N/A,#N/A,FALSE,"REPORT"}</definedName>
    <definedName name="wrn.7900" localSheetId="11" hidden="1">{#N/A,#N/A,FALSE,"REPORT"}</definedName>
    <definedName name="wrn.8964sch." localSheetId="11" hidden="1">{"Membership",#N/A,FALSE,"8964SCH";"Membership2",#N/A,FALSE,"8964SCH"}</definedName>
    <definedName name="wrn.9_30._.Adv._.Board." localSheetId="11" hidden="1">{#N/A,#N/A,TRUE,"Fd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name="wrn.9_30._.LP._.Meeting." localSheetId="11" hidden="1">{#N/A,#N/A,TRUE,"Fund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name="wrn.905" localSheetId="11" hidden="1">{#N/A,#N/A,FALSE,"REPORT"}</definedName>
    <definedName name="wrn.96._.Plan." localSheetId="11" hidden="1">{#N/A,#N/A,TRUE,"INPUT Sale &amp; PS GP Plan";#N/A,#N/A,TRUE,"INPUT TTB GP &amp; Elim";#N/A,#N/A,TRUE,"INPUT OCOS";#N/A,#N/A,TRUE,"INPUT Op Exp PLAN";#N/A,#N/A,TRUE,"PRINT P &amp; L FCST";#N/A,#N/A,TRUE,"INPUT Sales &amp; GP FCST";#N/A,#N/A,TRUE,"Print Sales &amp; GP Growth";#N/A,#N/A,TRUE,"capexp";#N/A,#N/A,TRUE,"MC-Regional P&amp;L and Cash Flow";#N/A,#N/A,TRUE,"MC - Standard Account";#N/A,#N/A,TRUE,"MC - List of Customer Names";#N/A,#N/A,TRUE,"MC - Product Line";#N/A,#N/A,TRUE,"Assumptions";#N/A,#N/A,TRUE,"Up-Down";#N/A,#N/A,TRUE,"OPEX Growth";#N/A,#N/A,TRUE,"HPO-Selling";#N/A,#N/A,TRUE,"HPO-Distribution";#N/A,#N/A,TRUE,"HPO-Transportation";#N/A,#N/A,TRUE,"HPO-Trans Charged";#N/A,#N/A,TRUE,"HPO-Bad Debt";#N/A,#N/A,TRUE,"HP-Other G&amp;A"}</definedName>
    <definedName name="wrn.96_.Plan1." localSheetId="11" hidden="1">{#N/A,#N/A,TRUE,"INPUT Sale &amp; PS GP Plan";#N/A,#N/A,TRUE,"INPUT TTB GP &amp; Elim";#N/A,#N/A,TRUE,"INPUT OCOS";#N/A,#N/A,TRUE,"INPUT Op Exp PLAN";#N/A,#N/A,TRUE,"PRINT P &amp; L FCST";#N/A,#N/A,TRUE,"INPUT Sales &amp; GP FCST";#N/A,#N/A,TRUE,"Print Sales &amp; GP Growth";#N/A,#N/A,TRUE,"capexp";#N/A,#N/A,TRUE,"MC-Regional P&amp;L and Cash Flow";#N/A,#N/A,TRUE,"MC - Standard Account";#N/A,#N/A,TRUE,"MC - List of Customer Names";#N/A,#N/A,TRUE,"MC - Product Line";#N/A,#N/A,TRUE,"Assumptions";#N/A,#N/A,TRUE,"Up-Down";#N/A,#N/A,TRUE,"OPEX Growth";#N/A,#N/A,TRUE,"HPO-Selling";#N/A,#N/A,TRUE,"HPO-Distribution";#N/A,#N/A,TRUE,"HPO-Transportation";#N/A,#N/A,TRUE,"HPO-Trans Charged";#N/A,#N/A,TRUE,"HPO-Bad Debt";#N/A,#N/A,TRUE,"HP-Other G&amp;A"}</definedName>
    <definedName name="wrn.99999" localSheetId="11" hidden="1">{#N/A,#N/A,FALSE,"REPORT"}</definedName>
    <definedName name="wrn.A_VALUATION." localSheetId="11" hidden="1">{#N/A,#N/A,FALSE,"A_D";#N/A,#N/A,FALSE,"WACC";#N/A,#N/A,FALSE,"DCF";#N/A,#N/A,FALSE,"A";#N/A,#N/A,FALSE,"LBO";#N/A,#N/A,FALSE,"C";#N/A,#N/A,FALSE,"impd";#N/A,#N/A,FALSE,"comps"}</definedName>
    <definedName name="wrn.aaa" localSheetId="11" hidden="1">{#N/A,#N/A,FALSE,"Pharm";#N/A,#N/A,FALSE,"WWCM"}</definedName>
    <definedName name="wrn.aaaaaaa" localSheetId="11" hidden="1">{#N/A,#N/A,FALSE,"Pharm";#N/A,#N/A,FALSE,"WWCM"}</definedName>
    <definedName name="wrn.abc" localSheetId="11" hidden="1">{#N/A,#N/A,FALSE,"Index";#N/A,#N/A,FALSE,"IncStmt";#N/A,#N/A,FALSE,"Ratios";#N/A,#N/A,FALSE,"CashFlows";#N/A,#N/A,FALSE,"Ins1";#N/A,#N/A,FALSE,"Ins2";#N/A,#N/A,FALSE,"SelfFund";#N/A,#N/A,FALSE,"SGA";#N/A,#N/A,FALSE,"Recon";#N/A,#N/A,FALSE,"Earnings";#N/A,#N/A,FALSE,"Earnings (2)";#N/A,#N/A,FALSE,"Stock";#N/A,#N/A,FALSE,"Stock (2)";#N/A,#N/A,FALSE,"PeerRatios";#N/A,#N/A,FALSE,"PeerRanks"}</definedName>
    <definedName name="wrn.Accounts." localSheetId="11" hidden="1">{"turnover",#N/A,FALSE;"profits",#N/A,FALSE;"cash",#N/A,FALSE}</definedName>
    <definedName name="wrn.Accr_Dil." localSheetId="11" hidden="1">{#N/A,#N/A,FALSE,"Debt Accr";#N/A,#N/A,FALSE,"Stock Accr";#N/A,#N/A,FALSE,"Debt Stock Accr"}</definedName>
    <definedName name="wrn.Accretion." localSheetId="11" hidden="1">{"Accretion",#N/A,FALSE,"Assum"}</definedName>
    <definedName name="wrn.ACCT._.PACKAGE._.REPORT." localSheetId="11" hidden="1">{#N/A,#N/A,TRUE,"Highlights";#N/A,#N/A,TRUE,"BS_Oriental International Bank";#N/A,#N/A,TRUE,"P&amp;L_Oriental International Bank";#N/A,#N/A,TRUE,"Revenues Report_OIB";#N/A,#N/A,TRUE,"Expenses OIB";#N/A,#N/A,TRUE,"Margin_ORIENTAL INTL BANK";#N/A,#N/A,TRUE,"PL Quarterly_OIB";#N/A,#N/A,TRUE,"COVER"}</definedName>
    <definedName name="wrn.ACI." localSheetId="11" hidden="1">{"ACI IS",#N/A,FALSE,"ACI - IS";"ACI BS",#N/A,FALSE,"ACI - BS";"ACI Detail IS",#N/A,FALSE,"ACI - Detail IS";"ACI Detail IS Supplemental Info",#N/A,FALSE,"ACI - Detail IS";"ACI Monthly 1999",#N/A,FALSE,"ACI Monthly";"ACI Monthly 1998",#N/A,FALSE,"ACI Monthly";"ACI Monthly 1997",#N/A,FALSE,"ACI Monthly"}</definedName>
    <definedName name="wrn.AcqState." localSheetId="11" hidden="1">{#N/A,#N/A,TRUE,"Acq-Ass";#N/A,#N/A,TRUE,"Acq-IS";#N/A,#N/A,TRUE,"Acq-BS";#N/A,#N/A,TRUE,"Acq-CF"}</definedName>
    <definedName name="wrn.AcqState1" localSheetId="11" hidden="1">{#N/A,#N/A,TRUE,"Acq-Ass";#N/A,#N/A,TRUE,"Acq-IS";#N/A,#N/A,TRUE,"Acq-BS";#N/A,#N/A,TRUE,"Acq-CF"}</definedName>
    <definedName name="wrn.Acquiror." localSheetId="11" hidden="1">{#N/A,#N/A,TRUE,"Acq-Ass";#N/A,#N/A,TRUE,"Acq-IS";#N/A,#N/A,TRUE,"Acq-BS";#N/A,#N/A,TRUE,"Acq-CF";#N/A,#N/A,TRUE,"Acq-Proj";#N/A,#N/A,TRUE,"Acq-CapEx";#N/A,#N/A,TRUE,"Acq-Debt";#N/A,#N/A,TRUE,"Acq-Int";#N/A,#N/A,TRUE,"Acq-BD";#N/A,#N/A,TRUE,"Acq-TD";#N/A,#N/A,TRUE,"Acq-Taxes";#N/A,#N/A,TRUE,"Acq-Credit";#N/A,#N/A,TRUE,"Acq-Val";#N/A,#N/A,TRUE,"Acq-Mult Val"}</definedName>
    <definedName name="wrn.Acquisition_matrix." localSheetId="11" hidden="1">{"Acq_matrix",#N/A,FALSE,"Acquisition Matrix"}</definedName>
    <definedName name="wrn.AcqVal." localSheetId="11" hidden="1">{#N/A,#N/A,FALSE,"Acq-Val";#N/A,#N/A,FALSE,"Acq-Mult Val"}</definedName>
    <definedName name="wrn.adj95." localSheetId="11" hidden="1">{"adj95mult",#N/A,FALSE,"COMPCO";"adj95est",#N/A,FALSE,"COMPCO"}</definedName>
    <definedName name="wrn.adj95a" localSheetId="11" hidden="1">{"adj95mult",#N/A,FALSE,"COMPCO";"adj95est",#N/A,FALSE,"COMPCO"}</definedName>
    <definedName name="wrn.AGING._.ALL." localSheetId="11" hidden="1">{#N/A,#N/A,FALSE,"CURR-AG";#N/A,#N/A,FALSE,"BDS-AG";#N/A,#N/A,FALSE,"GOLD-AG";#N/A,#N/A,FALSE,"EXOT-AG";#N/A,#N/A,FALSE,"EQTY-AG";#N/A,#N/A,FALSE,"EMG RP-AG";#N/A,#N/A,FALSE,"$REPO-AG";#N/A,#N/A,FALSE,"PFD EQTY-AG";#N/A,#N/A,FALSE,"EMG BDS-AG";#N/A,#N/A,FALSE,"LATIN$-AG";#N/A,#N/A,FALSE,"DERIV-AG";#N/A,#N/A,FALSE,"EAST$-AG";#N/A,#N/A,FALSE,"NON-MEX-AG";#N/A,#N/A,FALSE,"ELECT-AG"}</definedName>
    <definedName name="wrn.Aging._.and._.Trend._.Analysis." localSheetId="11" hidden="1">{#N/A,#N/A,FALSE,"Aging Summary";#N/A,#N/A,FALSE,"Ratio Analysis";#N/A,#N/A,FALSE,"Test 120 Day Accts";#N/A,#N/A,FALSE,"Tickmarks"}</definedName>
    <definedName name="wrn.Aging._.and._.Trend._.Analysis._1" localSheetId="11" hidden="1">{#N/A,#N/A,FALSE,"Aging Summary";#N/A,#N/A,FALSE,"Ratio Analysis";#N/A,#N/A,FALSE,"Test 120 Day Accts";#N/A,#N/A,FALSE,"Tickmarks"}</definedName>
    <definedName name="wrn.Aging._.and._.Trend._.Analysis._1_1" localSheetId="11" hidden="1">{#N/A,#N/A,FALSE,"Aging Summary";#N/A,#N/A,FALSE,"Ratio Analysis";#N/A,#N/A,FALSE,"Test 120 Day Accts";#N/A,#N/A,FALSE,"Tickmarks"}</definedName>
    <definedName name="wrn.Aging._.and._.Trend._.Analysis._1_2" localSheetId="11" hidden="1">{#N/A,#N/A,FALSE,"Aging Summary";#N/A,#N/A,FALSE,"Ratio Analysis";#N/A,#N/A,FALSE,"Test 120 Day Accts";#N/A,#N/A,FALSE,"Tickmarks"}</definedName>
    <definedName name="wrn.Aging._.and._.Trend._.Analysis._1_3" localSheetId="11" hidden="1">{#N/A,#N/A,FALSE,"Aging Summary";#N/A,#N/A,FALSE,"Ratio Analysis";#N/A,#N/A,FALSE,"Test 120 Day Accts";#N/A,#N/A,FALSE,"Tickmarks"}</definedName>
    <definedName name="wrn.Aging._.and._.Trend._.Analysis._1_4" localSheetId="11" hidden="1">{#N/A,#N/A,FALSE,"Aging Summary";#N/A,#N/A,FALSE,"Ratio Analysis";#N/A,#N/A,FALSE,"Test 120 Day Accts";#N/A,#N/A,FALSE,"Tickmarks"}</definedName>
    <definedName name="wrn.Aging._.and._.Trend._.Analysis._2" localSheetId="11" hidden="1">{#N/A,#N/A,FALSE,"Aging Summary";#N/A,#N/A,FALSE,"Ratio Analysis";#N/A,#N/A,FALSE,"Test 120 Day Accts";#N/A,#N/A,FALSE,"Tickmarks"}</definedName>
    <definedName name="wrn.Aging._.and._.Trend._.Analysis._3" localSheetId="11" hidden="1">{#N/A,#N/A,FALSE,"Aging Summary";#N/A,#N/A,FALSE,"Ratio Analysis";#N/A,#N/A,FALSE,"Test 120 Day Accts";#N/A,#N/A,FALSE,"Tickmarks"}</definedName>
    <definedName name="wrn.Aging._.and._.Trend._.Analysis._4" localSheetId="11" hidden="1">{#N/A,#N/A,FALSE,"Aging Summary";#N/A,#N/A,FALSE,"Ratio Analysis";#N/A,#N/A,FALSE,"Test 120 Day Accts";#N/A,#N/A,FALSE,"Tickmarks"}</definedName>
    <definedName name="wrn.Aging._.and._.Trend._.Analysis._5" localSheetId="11" hidden="1">{#N/A,#N/A,FALSE,"Aging Summary";#N/A,#N/A,FALSE,"Ratio Analysis";#N/A,#N/A,FALSE,"Test 120 Day Accts";#N/A,#N/A,FALSE,"Tickmarks"}</definedName>
    <definedName name="wrn.ALAN." localSheetId="11" hidden="1">{"CREDIT STATISTICS",#N/A,FALSE,"STATS";"CF_AND_IS",#N/A,FALSE,"PLAN";"DEBT SCHEDULE",#N/A,FALSE,"PLAN";"SUBSCRIBERS",#N/A,FALSE,"PLAN";"DETAIL_REV",#N/A,FALSE,"PLAN";"DETAIL_EXPENSE",#N/A,FALSE,"PLAN";"SALES_AND EXP_DRIVERS",#N/A,FALSE,"PLAN";"FIXED ASSETS",#N/A,FALSE,"PLAN";"DEPRECIATION SCHEDULE",#N/A,FALSE,"PLAN"}</definedName>
    <definedName name="wrn.Alex." localSheetId="11" hidden="1">{#N/A,#N/A,FALSE,"TradeSumm";#N/A,#N/A,FALSE,"StatsSumm"}</definedName>
    <definedName name="wrn.all." localSheetId="11" hidden="1">{#N/A,#N/A,TRUE,"Title_Page";#N/A,#N/A,TRUE,"Tax_Income_Sum";#N/A,#N/A,TRUE,"GL_Mgmt_Rec";#N/A,#N/A,TRUE,"Long_Term_Accrual";#N/A,#N/A,TRUE,"Reserves";#N/A,#N/A,TRUE,"Contributions";#N/A,#N/A,TRUE,"R&amp;D Credit";#N/A,#N/A,TRUE,"Unicap";#N/A,#N/A,TRUE,"Other_Income";#N/A,#N/A,TRUE,"Other_Deduction";#N/A,#N/A,TRUE,"Increase_RE";#N/A,#N/A,TRUE,"Decrease_RE";#N/A,#N/A,TRUE,"Cafe_Subsidy";#N/A,#N/A,TRUE,"Std. Reclass Adjstmnts";#N/A,#N/A,TRUE,"LT Accruals BT-1A";#N/A,#N/A,TRUE,"Sch. M-1 Adjstmnts"}</definedName>
    <definedName name="wrn.All._.Financials." localSheetId="11" hidden="1">{#N/A,#N/A,TRUE,"Assumptions";#N/A,#N/A,TRUE,"Op Projection";#N/A,#N/A,TRUE,"Capital";#N/A,#N/A,TRUE,"Income";#N/A,#N/A,TRUE,"Balance";#N/A,#N/A,TRUE,"Sources&amp;Uses"}</definedName>
    <definedName name="wrn.All._.First._.Pass._.Schedules." localSheetId="11"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graphs." localSheetId="11" hidden="1">{#N/A,#N/A,FALSE,"total telco cost ";#N/A,#N/A,FALSE,"# min per month EEA";#N/A,#N/A,FALSE,"# min per month LSA";#N/A,#N/A,FALSE,"# min per month 800";#N/A,#N/A,FALSE,"# min per month WATS";#N/A,#N/A,FALSE,"# min per month X-BORDER";#N/A,#N/A,FALSE,"# min per month Intl";#N/A,#N/A,FALSE,"mthly revenue";#N/A,#N/A,FALSE,"total telco cost as % of rev";#N/A,#N/A,FALSE,"res per bus revenue min split";#N/A,#N/A,FALSE,"# DALS";#N/A,#N/A,FALSE,"% of total min by axs type";#N/A,#N/A,FALSE,"telco cost per rev minute";#N/A,#N/A,FALSE,"rev per rev minute";#N/A,#N/A,FALSE,"contribution per minute"}</definedName>
    <definedName name="wrn.all._.gulp._.sheets." localSheetId="11"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input." localSheetId="1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AGES." localSheetId="11" hidden="1">{#N/A,#N/A,FALSE,"puboff";#N/A,#N/A,FALSE,"financials";#N/A,#N/A,FALSE,"valuation";#N/A,#N/A,FALSE,"split"}</definedName>
    <definedName name="wrn.all._.print." localSheetId="11" hidden="1">{#N/A,#N/A,FALSE,"Summary";#N/A,#N/A,FALSE,"Edit";#N/A,#N/A,FALSE,"MedProf";#N/A,#N/A,FALSE,"Proj Mgt";#N/A,#N/A,FALSE,"Creat Svc";#N/A,#N/A,FALSE,"Meet Svc";#N/A,#N/A,FALSE,"Non-OCC";#N/A,#N/A,FALSE,"Client Svc";#N/A,#N/A,FALSE,"Bus Dev";#N/A,#N/A,FALSE,"Indirect"}</definedName>
    <definedName name="wrn.All._.Scenarios." localSheetId="11" hidden="1">{#N/A,"Mine Allocated; Keep AC",FALSE,"Transaction Summary";#N/A,"Mine Allocated; Sell AC",FALSE,"Transaction Summary";#N/A,"Commodity; Keep AC",FALSE,"Transaction Summary";#N/A,"Commodity; Sell AC",FALSE,"Transaction Summary";#N/A,"Step-Up; Keep AC",FALSE,"Transaction Summary";#N/A,"Step-Up; Sell AC",FALSE,"Transaction Summary"}</definedName>
    <definedName name="wrn.All._.Schedules." localSheetId="11" hidden="1">{#N/A,#N/A,FALSE,"Assumptions";#N/A,#N/A,FALSE,"Inc Stmt";#N/A,#N/A,FALSE,"Stats";#N/A,#N/A,FALSE,"Existing Business";#N/A,#N/A,FALSE,"New Business";#N/A,#N/A,FALSE,"Labor";#N/A,#N/A,FALSE,"Vehicles";#N/A,#N/A,FALSE,"Facilities";#N/A,#N/A,FALSE,"Indirect Costs";#N/A,#N/A,FALSE,"Capital";#N/A,#N/A,FALSE,"CABR Form";#N/A,#N/A,FALSE,"Corp Costs"}</definedName>
    <definedName name="wrn.ALL._.SHEETS." localSheetId="11" hidden="1">{#N/A,#N/A,FALSE,"Adj Proj";#N/A,#N/A,FALSE,"Sheet1";#N/A,#N/A,FALSE,"LBO";#N/A,#N/A,FALSE,"LBOMER";#N/A,#N/A,FALSE,"WACC";#N/A,#N/A,FALSE,"DCF";#N/A,#N/A,FALSE,"DCFMER";#N/A,#N/A,FALSE,"Pooling";#N/A,#N/A,FALSE,"income";#N/A,#N/A,FALSE,"Offer"}</definedName>
    <definedName name="wrn.ALL._.STATEMENTS." localSheetId="11" hidden="1">{"BALANCE SHEET",#N/A,FALSE,"Balance Sheet";"INCOME STATEMENT",#N/A,FALSE,"Income Statement";"STMT OF CASH FLOWS",#N/A,FALSE,"Cash Flows Indirect";"PARTNERS CAPITAL STMT",#N/A,FALSE,"Partners Capital"}</definedName>
    <definedName name="wrn.All._.Views." localSheetId="11" hidden="1">{#N/A,#N/A,FALSE,"Summary";#N/A,#N/A,FALSE,"Signatures";#N/A,#N/A,FALSE,"FL Current";#N/A,#N/A,FALSE,"Assumptions";#N/A,#N/A,FALSE,"Assumptions";#N/A,#N/A,FALSE,"Assumptions";#N/A,#N/A,FALSE,"FL Last";#N/A,#N/A,FALSE,"FL Orig";#N/A,#N/A,FALSE,"C to G Explain"}</definedName>
    <definedName name="wrn.All._.Worksheets." localSheetId="11"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ll._1" localSheetId="11"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1_1" localSheetId="11"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1_2" localSheetId="11"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1_3" localSheetId="11"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1_4" localSheetId="11"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2" localSheetId="11"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3" localSheetId="11"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4" localSheetId="11"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5" localSheetId="11"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2" localSheetId="11" hidden="1">{#N/A,#N/A,FALSE,"DCF";#N/A,#N/A,FALSE,"WACC";#N/A,#N/A,FALSE,"Sales_EBIT";#N/A,#N/A,FALSE,"Capex_Depreciation";#N/A,#N/A,FALSE,"WC";#N/A,#N/A,FALSE,"Interest";#N/A,#N/A,FALSE,"Assumptions"}</definedName>
    <definedName name="wrn.all.views.1" localSheetId="11" hidden="1">{#N/A,#N/A,FALSE,"Summary";#N/A,#N/A,FALSE,"Signatures";#N/A,#N/A,FALSE,"FL Current";#N/A,#N/A,FALSE,"Assumptions";#N/A,#N/A,FALSE,"Assumptions";#N/A,#N/A,FALSE,"Assumptions";#N/A,#N/A,FALSE,"FL Last";#N/A,#N/A,FALSE,"FL Orig";#N/A,#N/A,FALSE,"C to G Explain"}</definedName>
    <definedName name="wrn.all.views.1a" localSheetId="11" hidden="1">{#N/A,#N/A,FALSE,"Summary";#N/A,#N/A,FALSE,"Signatures";#N/A,#N/A,FALSE,"FL Current";#N/A,#N/A,FALSE,"Assumptions";#N/A,#N/A,FALSE,"Assumptions";#N/A,#N/A,FALSE,"Assumptions";#N/A,#N/A,FALSE,"FL Last";#N/A,#N/A,FALSE,"FL Orig";#N/A,#N/A,FALSE,"C to G Explain"}</definedName>
    <definedName name="wrn.all_1" localSheetId="11" hidden="1">{#N/A,#N/A,FALSE,"total telco cost ";#N/A,#N/A,FALSE,"# min per month EEA";#N/A,#N/A,FALSE,"# min per month LSA";#N/A,#N/A,FALSE,"# min per month 800";#N/A,#N/A,FALSE,"# min per month WATS";#N/A,#N/A,FALSE,"# min per month X-BORDER";#N/A,#N/A,FALSE,"# min per month Intl";#N/A,#N/A,FALSE,"mthly revenue";#N/A,#N/A,FALSE,"total telco cost as % of rev";#N/A,#N/A,FALSE,"res per bus revenue min split";#N/A,#N/A,FALSE,"# DALS";#N/A,#N/A,FALSE,"% of total min by axs type";#N/A,#N/A,FALSE,"telco cost per rev minute";#N/A,#N/A,FALSE,"rev per rev minute";#N/A,#N/A,FALSE,"contribution per minute"}</definedName>
    <definedName name="wrn.All_Models." localSheetId="11" hidden="1">{#N/A,#N/A,FALSE,"Summary";#N/A,#N/A,FALSE,"Projections";#N/A,#N/A,FALSE,"Mkt Mults";#N/A,#N/A,FALSE,"DCF";#N/A,#N/A,FALSE,"Accr Dil";#N/A,#N/A,FALSE,"PIC LBO";#N/A,#N/A,FALSE,"MULT10_4";#N/A,#N/A,FALSE,"CBI LBO"}</definedName>
    <definedName name="wrn.All_Sheets." localSheetId="11" hidden="1">{#N/A,#N/A,FALSE,"Projections";#N/A,#N/A,FALSE,"Contribution_Stock";#N/A,#N/A,FALSE,"PF_Combo_Stock";#N/A,#N/A,FALSE,"Projections";#N/A,#N/A,FALSE,"Contribution_Cash";#N/A,#N/A,FALSE,"PF_Combo_Cash";#N/A,#N/A,FALSE,"IPO_Cash"}</definedName>
    <definedName name="wrn.ALL2." localSheetId="11" hidden="1">{#N/A,#N/A,FALSE,"DCF";#N/A,#N/A,FALSE,"WACC";#N/A,#N/A,FALSE,"Sales_EBIT";#N/A,#N/A,FALSE,"Capex_Depreciation";#N/A,#N/A,FALSE,"WC";#N/A,#N/A,FALSE,"Interest";#N/A,#N/A,FALSE,"Assumptions"}</definedName>
    <definedName name="wrn.all3" localSheetId="11" hidden="1">{#N/A,#N/A,FALSE,"assumptions";#N/A,#N/A,FALSE,"v_projcy";#N/A,#N/A,FALSE,"tar_proj";#N/A,#N/A,FALSE,"contrib_annual";#N/A,#N/A,FALSE,"Proforma";#N/A,#N/A,FALSE,"purc_97";#N/A,#N/A,FALSE,"syn_purc_97";#N/A,#N/A,FALSE,"pool_97";#N/A,#N/A,FALSE,"syn_pool_97";#N/A,#N/A,FALSE,"pool1_FY2"}</definedName>
    <definedName name="wrn.ALL4" localSheetId="11" hidden="1">{#N/A,#N/A,FALSE,"ASSUMPTIONS";#N/A,#N/A,FALSE,"Valuation Summary";"page1",#N/A,FALSE,"PRESENTATION";"page2",#N/A,FALSE,"PRESENTATION";#N/A,#N/A,FALSE,"ORIGINAL_ROLLBACK"}</definedName>
    <definedName name="wrn.ALL5" localSheetId="11" hidden="1">{#N/A,#N/A,FALSE,"ASSUMPTIONS";#N/A,#N/A,FALSE,"Valuation Summary";"page1",#N/A,FALSE,"PRESENTATION";"page2",#N/A,FALSE,"PRESENTATION";#N/A,#N/A,FALSE,"ORIGINAL_ROLLBACK"}</definedName>
    <definedName name="wrn.ALL6" localSheetId="11" hidden="1">{#N/A,#N/A,FALSE,"ASSUMPTIONS";#N/A,#N/A,FALSE,"Valuation Summary";"page1",#N/A,FALSE,"PRESENTATION";"page2",#N/A,FALSE,"PRESENTATION";#N/A,#N/A,FALSE,"ORIGINAL_ROLLBACK"}</definedName>
    <definedName name="wrn.ALL8" localSheetId="11" hidden="1">{#N/A,#N/A,FALSE,"ASSUMPTIONS";#N/A,#N/A,FALSE,"Valuation Summary";"page1",#N/A,FALSE,"PRESENTATION";"page2",#N/A,FALSE,"PRESENTATION";#N/A,#N/A,FALSE,"ORIGINAL_ROLLBACK"}</definedName>
    <definedName name="wrn.ALLbutPREMIUM." localSheetId="11" hidden="1">{#N/A,#N/A,FALSE,"Projections";#N/A,#N/A,FALSE,"AccrDil";#N/A,#N/A,FALSE,"PurchPriMult";#N/A,#N/A,FALSE,"Mults7_13";#N/A,#N/A,FALSE,"Mkt Mults";#N/A,#N/A,FALSE,"Acq Mults";#N/A,#N/A,FALSE,"StockPrices";#N/A,#N/A,FALSE,"Prem Paid";#N/A,#N/A,FALSE,"DCF";#N/A,#N/A,FALSE,"AUTO";#N/A,#N/A,FALSE,"Relative Trading";#N/A,#N/A,FALSE,"Mkt Val";#N/A,#N/A,FALSE,"Acq Val"}</definedName>
    <definedName name="wrn.AllDivisions." localSheetId="11" hidden="1">{#N/A,#N/A,TRUE,"buffalo";#N/A,#N/A,TRUE,"chatt";#N/A,#N/A,TRUE,"Griffith";#N/A,#N/A,TRUE,"Hammond";#N/A,#N/A,TRUE,"Harvey";#N/A,#N/A,TRUE,"texas";#N/A,#N/A,TRUE,"Combined"}</definedName>
    <definedName name="wrn.AllModels." localSheetId="11" hidden="1">{#N/A,#N/A,FALSE,"AD_Purchase";#N/A,#N/A,FALSE,"Credit";#N/A,#N/A,FALSE,"PF Acquisition";#N/A,#N/A,FALSE,"PF Offering"}</definedName>
    <definedName name="wrn.allpages." localSheetId="11" hidden="1">{#N/A,#N/A,TRUE,"Historicals";#N/A,#N/A,TRUE,"Charts";#N/A,#N/A,TRUE,"Forecasts"}</definedName>
    <definedName name="wrn.Annexes._.de._.coûts." localSheetId="11" hidden="1">{#N/A,#N/A,FALSE,"Coût des ventes";#N/A,#N/A,FALSE,"Hypothèse - coûts directs";#N/A,#N/A,FALSE,"FGF";#N/A,#N/A,FALSE,"Frais de vente";#N/A,#N/A,FALSE,"Frais d'administration";#N/A,#N/A,FALSE,"Frais financiers";#N/A,#N/A,FALSE,"Achats - Débours";#N/A,#N/A,FALSE,"Salaires";#N/A,#N/A,FALSE,"Taxes"}</definedName>
    <definedName name="wrn.Annual._.Report." localSheetId="11" hidden="1">{#N/A,#N/A,FALSE,"TABLE_1 YTD- VALUES LAST YR(2)"}</definedName>
    <definedName name="wrn.Anteilig._.alle._.Perioden." localSheetId="11" hidden="1">{"Alle Perioden",#N/A,FALSE,"Erf";"Alle Perioden",#N/A,FALSE,"Ang";"Alle Perioden",#N/A,FALSE,"BV";"Alle Perioden",#N/A,FALSE,"BE";"Alle Perioden",#N/A,FALSE,"Re";"Alle Perioden",#N/A,FALSE,"Vol"}</definedName>
    <definedName name="wrn.Anteilig._.erste._.elf._.Perioden." localSheetId="11" hidden="1">{"Erste elf Perioden",#N/A,FALSE,"Erf";"Erste elf Perioden",#N/A,FALSE,"Ang";"Erste elf Perioden",#N/A,FALSE,"BV";"Erste elf Perioden",#N/A,FALSE,"BE";"Erste elf Perioden",#N/A,FALSE,"Vol";"Erste elf Perioden",#N/A,FALSE,"Re"}</definedName>
    <definedName name="wrn.April._.Consolidated." localSheetId="11" hidden="1">{#N/A,#N/A,FALSE,"Consol BS";#N/A,#N/A,FALSE,"Consol IS";#N/A,#N/A,FALSE,"Cash Flow";#N/A,#N/A,FALSE,"Consol Equity";#N/A,#N/A,FALSE,"BS vs. Plan";#N/A,#N/A,FALSE,"Mo vs. Plan";#N/A,#N/A,FALSE,"Mo. vs. Prior Yr";#N/A,#N/A,FALSE,"YTD vs. Plan";#N/A,#N/A,FALSE,"YTD vs. Prior Yr";#N/A,#N/A,FALSE,"Cash Flow Mo vs. Plan";#N/A,#N/A,FALSE,"Cash Flow Mo vs. Prior Yr";#N/A,#N/A,FALSE,"Cash Flow YTD vs. Plan";#N/A,#N/A,FALSE,"Cash Flow YTD vs. Prior Yr";#N/A,#N/A,FALSE,"Seg BS";#N/A,#N/A,FALSE,"Seg IS";#N/A,#N/A,FALSE,"Seg Cash";#N/A,#N/A,FALSE,"Str IS";#N/A,#N/A,FALSE,"Art IS";#N/A,#N/A,FALSE,"History BS";#N/A,#N/A,FALSE,"History IS";#N/A,#N/A,FALSE,"History Cash";#N/A,#N/A,FALSE,"Imp IS";#N/A,#N/A,FALSE,"Gross to Net";#N/A,#N/A,FALSE,"Ratio Summary";#N/A,#N/A,FALSE,"Union";#N/A,#N/A,FALSE,"Midwest";#N/A,#N/A,FALSE,"Ratios - 5";#N/A,#N/A,FALSE,"Ratios - 6";#N/A,#N/A,FALSE,"Ratios - 7";#N/A,#N/A,FALSE,"Ratios - 8";#N/A,#N/A,FALSE,"Ratios - 9"}</definedName>
    <definedName name="wrn.April._.Financials." localSheetId="11" hidden="1">{"Statement of Income",#N/A,TRUE,"Mar99";"Balance Sheet",#N/A,TRUE,"Mar99"}</definedName>
    <definedName name="wrn.April._.other._.sched.." localSheetId="11" hidden="1">{#N/A,#N/A,FALSE,"Union";#N/A,#N/A,FALSE,"Reserves";#N/A,#N/A,FALSE,"Head Ct";#N/A,#N/A,FALSE,"Str AR";#N/A,#N/A,FALSE,"Str AP";#N/A,#N/A,FALSE,"Art AR";#N/A,#N/A,FALSE,"Art AP";#N/A,#N/A,FALSE,"Imp AR";#N/A,#N/A,FALSE,"Imp AP"}</definedName>
    <definedName name="wrn.AQUIROR._.DCF." localSheetId="11" hidden="1">{"AQUIRORDCF",#N/A,FALSE,"Merger consequences";"Acquirorassns",#N/A,FALSE,"Merger consequences"}</definedName>
    <definedName name="wrn.AR._.PACKAGE." localSheetId="11" hidden="1">{#N/A,#N/A,FALSE,"BR-Gross";#N/A,#N/A,FALSE,"AGING COMP";#N/A,#N/A,FALSE,"BR-Net";#N/A,#N/A,FALSE,"RECSUB";#N/A,#N/A,FALSE,"BILL94";#N/A,#N/A,FALSE,"L.D.S. Rep 1"}</definedName>
    <definedName name="wrn.asg." localSheetId="11" hidden="1">{#N/A,#N/A,FALSE,"Exh 1";#N/A,#N/A,FALSE,"Exh 2";#N/A,#N/A,FALSE,"Exh 2a";#N/A,#N/A,FALSE,"Exh 3";#N/A,#N/A,FALSE,"Exhib 4";#N/A,#N/A,FALSE,"eh 5";#N/A,#N/A,FALSE,"Exh 6"}</definedName>
    <definedName name="wrn.Asia." localSheetId="1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Total._.Variance." localSheetId="11" hidden="1">{#N/A,#N/A,FALSE,"Asia"}</definedName>
    <definedName name="wrn.assets." localSheetId="11" hidden="1">{"assets",#N/A,FALSE,"BSCON894"}</definedName>
    <definedName name="wrn.Assumption._.Book." localSheetId="11" hidden="1">{#N/A,#N/A,FALSE,"Model Assumptions"}</definedName>
    <definedName name="wrn.Assumptions." localSheetId="11" hidden="1">{"Assumptions",#N/A,FALSE,"Assum"}</definedName>
    <definedName name="wrn.AUST._.FINANCIALS." localSheetId="11" hidden="1">{#N/A,#N/A,TRUE,"BUD VS ACT AUST 96";#N/A,#N/A,TRUE,"96 COMP P&amp;L-AUST";#N/A,#N/A,TRUE,"COMP BS-AUSTRALIA";#N/A,#N/A,TRUE,"B/S - AUSTR."}</definedName>
    <definedName name="wrn.Auto._.Comp." localSheetId="11" hidden="1">{#N/A,#N/A,FALSE,"Sheet1"}</definedName>
    <definedName name="wrn.Backup." localSheetId="11" hidden="1">{#N/A,#N/A,FALSE,"Balance";#N/A,#N/A,FALSE,"TDFX";#N/A,#N/A,FALSE,"TDDDF";#N/A,#N/A,FALSE,"ADI";#N/A,#N/A,FALSE,"CUBE";#N/A,#N/A,FALSE,"DIMD";#N/A,#N/A,FALSE,"ZRAN";#N/A,#N/A,FALSE,"GNMC"}</definedName>
    <definedName name="wrn.BALANCE._.SHEET." localSheetId="11" hidden="1">{"BALANCE SHEET",#N/A,FALSE,"Balance Sheet"}</definedName>
    <definedName name="wrn.balance._.sheet2." localSheetId="11" hidden="1">{"bs",#N/A,FALSE,"SCF"}</definedName>
    <definedName name="wrn.balance._.sheet3." localSheetId="11" hidden="1">{"bs",#N/A,FALSE,"SCF"}</definedName>
    <definedName name="wrn.balance._.sheet4." localSheetId="11" hidden="1">{"bs",#N/A,FALSE,"SCF"}</definedName>
    <definedName name="wrn.Balance._.Sheets." localSheetId="11" hidden="1">{#N/A,#N/A,FALSE,"Bal sht";"Qtrly Bal Sht",#N/A,FALSE,"Bal sht - QTR"}</definedName>
    <definedName name="wrn.Balance._.sheets._.FY01._.to._.FY03." localSheetId="11" hidden="1">{"BS FY01",#N/A,FALSE,"P &amp; L";"BS FY02",#N/A,FALSE,"P &amp; L";"BS FY03",#N/A,FALSE,"P &amp; L"}</definedName>
    <definedName name="wrn.balance._sheet2." localSheetId="11" hidden="1">{"bs",#N/A,FALSE,"SCF"}</definedName>
    <definedName name="wrn.bank._.model." localSheetId="11" hidden="1">{"banks",#N/A,FALSE,"BASIC"}</definedName>
    <definedName name="wrn.Bank._.of._.America." localSheetId="11" hidden="1">{#N/A,#N/A,TRUE,"Cover_Page";#N/A,#N/A,TRUE,"Balance Sheet FY12";#N/A,#N/A,TRUE,"Debt Covenants_BofA_Cons";#N/A,#N/A,TRUE,"Consolidated-Cash Flow";#N/A,#N/A,TRUE,"CY_Per Inc FY12";#N/A,#N/A,TRUE,"Income FY12";#N/A,#N/A,TRUE,"Consolidated"}</definedName>
    <definedName name="wrn.Bank._.Report." localSheetId="11"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ers." localSheetId="11"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wrn.Barranca." localSheetId="11" hidden="1">{#N/A,#N/A,FALSE,"Barranca"}</definedName>
    <definedName name="wrn.Basic." localSheetId="11" hidden="1">{#N/A,#N/A,FALSE,"Cover";#N/A,#N/A,FALSE,"Assumptions";#N/A,#N/A,FALSE,"Acquirer";#N/A,#N/A,FALSE,"Target";#N/A,#N/A,FALSE,"Income Statement";#N/A,#N/A,FALSE,"Summary Tables"}</definedName>
    <definedName name="wrn.Basic._.Report." localSheetId="11" hidden="1">{#N/A,#N/A,FALSE,"New Depr Sch-150% DB";#N/A,#N/A,FALSE,"Cash Flows RLP";#N/A,#N/A,FALSE,"IRR";#N/A,#N/A,FALSE,"Proforma IS";#N/A,#N/A,FALSE,"Assumptions"}</definedName>
    <definedName name="wrn.basics." localSheetId="11" hidden="1">{#N/A,#N/A,FALSE,"TSUM";#N/A,#N/A,FALSE,"shares";#N/A,#N/A,FALSE,"earnout";#N/A,#N/A,FALSE,"Heaty";#N/A,#N/A,FALSE,"self-tend";#N/A,#N/A,FALSE,"self-sum"}</definedName>
    <definedName name="wrn.BD._.FINAL." localSheetId="11" hidden="1">{#N/A,#N/A,FALSE,"Cover";#N/A,#N/A,FALSE,"Index";#N/A,#N/A,FALSE,"HL";#N/A,#N/A,FALSE,"BS ACCTS";#N/A,#N/A,FALSE,"Table";#N/A,#N/A,FALSE,"Summ";#N/A,#N/A,FALSE,"ComAn-finished";#N/A,#N/A,FALSE,"SmbAn-FINISHED";#N/A,#N/A,FALSE,"RebAn";#N/A,#N/A,FALSE,"ComR";#N/A,#N/A,FALSE,"SmbR-FINISHED";#N/A,#N/A,FALSE,"RebR-FINISHED";#N/A,#N/A,FALSE,"RC";#N/A,#N/A,FALSE,"NetR";#N/A,#N/A,FALSE,"Non-Trade";#N/A,#N/A,FALSE,"Notes Receivables";#N/A,#N/A,FALSE,"ComP-diteck-FINISHED";#N/A,#N/A,FALSE,"SmbP-finished";#N/A,#N/A,FALSE,"RebP-DITECK-FINISHED";#N/A,#N/A,FALSE,"NetP";#N/A,#N/A,FALSE,"AllcompanyG";#N/A,#N/A,FALSE,"AR 91+&gt;100K"}</definedName>
    <definedName name="wrn.BD._.Preliminary." localSheetId="11" hidden="1">{#N/A,#N/A,FALSE,"Cover";#N/A,#N/A,FALSE,"Index";#N/A,#N/A,FALSE,"HL";#N/A,#N/A,FALSE,"Table";#N/A,#N/A,FALSE,"Summ";#N/A,#N/A,FALSE,"ComR";#N/A,#N/A,FALSE,"SmbR-FINISHED";#N/A,#N/A,FALSE,"RebR-FINISHED";#N/A,#N/A,FALSE,"Specific Provision";#N/A,#N/A,FALSE,"NetR";#N/A,#N/A,FALSE,"Non-Trade";#N/A,#N/A,FALSE,"ComP-diteck-FINISHED";#N/A,#N/A,FALSE,"SmbP-finished";#N/A,#N/A,FALSE,"RebP-DITECK-FINISHED";#N/A,#N/A,FALSE,"NetP";#N/A,#N/A,FALSE,"AllcompanyG";#N/A,#N/A,FALSE,"AR 91+&gt;100K"}</definedName>
    <definedName name="wrn.BGEN." localSheetId="11" hidden="1">{"Revenue",#N/A,FALSE,"Revenue";"QEarn1",#N/A,FALSE,"Qearn";"QEarn2",#N/A,FALSE,"Qearn";"QMargin",#N/A,FALSE,"Margin";"Cashflow",#N/A,FALSE,"Cashflow";"Product Pipeline",#N/A,FALSE,"Product Pipeline";"Comment Model",#N/A,FALSE,"Comment P&amp;L"}</definedName>
    <definedName name="wrn.BID." localSheetId="11" hidden="1">{"PAGE1",#N/A,FALSE,"BID (3)";"PAGE2",#N/A,FALSE,"BID (3)"}</definedName>
    <definedName name="wrn.BidCo." localSheetId="11" hidden="1">{#N/A,#N/A,FALSE,"BidCo Assumptions";#N/A,#N/A,FALSE,"Credit Stats";#N/A,#N/A,FALSE,"Bidco Summary";#N/A,#N/A,FALSE,"BIDCO Consolidated"}</definedName>
    <definedName name="wrn.BKD." localSheetId="11" hidden="1">{#N/A,#N/A,FALSE,"Cover_Page";#N/A,#N/A,FALSE,"Balance Sheet FY12";#N/A,#N/A,FALSE,"Debt Covenants_US Bank_Cons";#N/A,#N/A,FALSE,"Debt Covenants_BofA_Cons";#N/A,#N/A,FALSE,"Consolidated-Cash Flow";#N/A,#N/A,FALSE,"CY_Per Inc FY12";#N/A,#N/A,FALSE,"Income FY12";#N/A,#N/A,FALSE,"Consolidated"}</definedName>
    <definedName name="wrn.bm" localSheetId="1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oard._.Package." localSheetId="11" hidden="1">{#N/A,#N/A,FALSE,"Summary";#N/A,#N/A,FALSE,"GOAM";#N/A,#N/A,FALSE,"WYND";#N/A,#N/A,FALSE,"Presentation BS";#N/A,#N/A,FALSE,"P&amp;L CUMM";#N/A,#N/A,FALSE,"Cash Flow CUMM";#N/A,#N/A,FALSE,"Equity";#N/A,#N/A,FALSE,"P&amp;L QTD";#N/A,#N/A,FALSE,"Cash Flow Qtr";#N/A,#N/A,FALSE,"P&amp;L MONTH";#N/A,#N/A,FALSE,"Cash Flow Month"}</definedName>
    <definedName name="wrn.Breakout." localSheetId="11" hidden="1">{#N/A,#N/A,FALSE,"BreakoutFY95";#N/A,#N/A,FALSE,"BreakoutFY96";#N/A,#N/A,FALSE,"BreakoutFY97";#N/A,#N/A,FALSE,"BreakoutFY98"}</definedName>
    <definedName name="wrn.Budget." localSheetId="11" hidden="1">{"Instructions",#N/A,FALSE,"INPUT";"Sharing",#N/A,FALSE,"Sharing";"InputArea",#N/A,FALSE,"INPUT";"Budget",#N/A,FALSE,"INPUT"}</definedName>
    <definedName name="wrn.Budget._.Analysis." localSheetId="11" hidden="1">{#N/A,#N/A,FALSE,"Mill 5"}</definedName>
    <definedName name="wrn.BUDGET2004." localSheetId="11" hidden="1">{#N/A,#N/A,FALSE,"BUD04 HEA";#N/A,#N/A,FALSE,"BUD04 Earnings";#N/A,#N/A,FALSE,"BUD04 Expenses"}</definedName>
    <definedName name="wrn.budgetb." localSheetId="11" hidden="1">{#N/A,#N/A,FALSE,"Total REGN by Month";#N/A,#N/A,FALSE,"Total REGN Board Formats ";#N/A,#N/A,FALSE,"Summary By Dept";#N/A,#N/A,FALSE,"Research";#N/A,#N/A,FALSE,"Protein Science";#N/A,#N/A,FALSE,"Development";#N/A,#N/A,FALSE,"Regulatory";#N/A,#N/A,FALSE,"Clinical";#N/A,#N/A,FALSE,"Pilot Plant";#N/A,#N/A,FALSE,"Site Services";#N/A,#N/A,FALSE,"Administration";#N/A,#N/A,FALSE,"Legal";#N/A,#N/A,FALSE,"Rensselaer";#N/A,#N/A,FALSE,"Corporate";#N/A,#N/A,FALSE,"Plug-Tarrytown";#N/A,#N/A,FALSE,"Plug-Rensselaer"}</definedName>
    <definedName name="wrn.Buildups." localSheetId="11" hidden="1">{"ACQ",#N/A,FALSE,"ACQUISITIONS";"ACQF",#N/A,FALSE,"ACQUISITIONS";"PF",#N/A,FALSE,"PROYECTOVILA";"PV",#N/A,FALSE,"PROYECTOVILA";"Fee Dev",#N/A,FALSE,"DEVELOPMENT GROWTH";"gd",#N/A,FALSE,"DEVELOPMENT GROWTH"}</definedName>
    <definedName name="wrn.bullshit1." localSheetId="11" hidden="1">{#N/A,#N/A,FALSE,"Sheet1";#N/A,#N/A,FALSE,"Summary";#N/A,#N/A,FALSE,"proj1";#N/A,#N/A,FALSE,"proj2"}</definedName>
    <definedName name="wrn.Business._.Report." localSheetId="11" hidden="1">{#N/A,#N/A,FALSE,"Header";#N/A,#N/A,FALSE,"Distribution";#N/A,#N/A,FALSE,"Contents";#N/A,#N/A,FALSE,"Key Deliverables 1";#N/A,#N/A,FALSE,"Key Deliverables 2";#N/A,#N/A,FALSE,"OH&amp;S";#N/A,#N/A,FALSE,"Profit";#N/A,#N/A,FALSE,"EBIT";#N/A,#N/A,FALSE,"Revenue (1)";#N/A,#N/A,FALSE,"Revenue (2)";#N/A,#N/A,FALSE,"Revenue (3)";#N/A,#N/A,FALSE,"Manufacturing Variance";#N/A,#N/A,FALSE,"Repairs &amp; Maintenance";#N/A,#N/A,FALSE,"Fixed Costs";#N/A,#N/A,FALSE,"Operating Costs";#N/A,#N/A,FALSE,"Cash 1";#N/A,#N/A,FALSE,"Cash 2";#N/A,#N/A,FALSE,"Working Capital";#N/A,#N/A,FALSE,"Capex";#N/A,#N/A,FALSE,"Balance Sheet";#N/A,#N/A,FALSE,"Legal";#N/A,#N/A,FALSE,"Five Year History";#N/A,#N/A,FALSE,"No. Twos"}</definedName>
    <definedName name="wrn.Business._.Report._1" localSheetId="11" hidden="1">{#N/A,#N/A,FALSE,"Header";#N/A,#N/A,FALSE,"Distribution";#N/A,#N/A,FALSE,"Contents";#N/A,#N/A,FALSE,"Key Deliverables 1";#N/A,#N/A,FALSE,"Key Deliverables 2";#N/A,#N/A,FALSE,"OH&amp;S";#N/A,#N/A,FALSE,"Profit";#N/A,#N/A,FALSE,"EBIT";#N/A,#N/A,FALSE,"Revenue (1)";#N/A,#N/A,FALSE,"Revenue (2)";#N/A,#N/A,FALSE,"Revenue (3)";#N/A,#N/A,FALSE,"Manufacturing Variance";#N/A,#N/A,FALSE,"Repairs &amp; Maintenance";#N/A,#N/A,FALSE,"Fixed Costs";#N/A,#N/A,FALSE,"Operating Costs";#N/A,#N/A,FALSE,"Cash 1";#N/A,#N/A,FALSE,"Cash 2";#N/A,#N/A,FALSE,"Working Capital";#N/A,#N/A,FALSE,"Capex";#N/A,#N/A,FALSE,"Balance Sheet";#N/A,#N/A,FALSE,"Legal";#N/A,#N/A,FALSE,"Five Year History";#N/A,#N/A,FALSE,"No. Twos"}</definedName>
    <definedName name="wrn.CAG." localSheetId="11" hidden="1">{#N/A,#N/A,FALSE,"CAG"}</definedName>
    <definedName name="wrn.calc_all." localSheetId="11" hidden="1">{"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ANWEST._.GLOBAL." localSheetId="11" hidden="1">{"BS",#N/A,FALSE;"RE",#N/A,FALSE;"IS",#N/A,FALSE;"CASH",#N/A,FALSE}</definedName>
    <definedName name="wrn.Cap._.Budget9_27." localSheetId="11" hidden="1">{"Overview",#N/A,TRUE,"Overview";"New Gen",#N/A,TRUE,"New Gen";"cap-ex",#N/A,TRUE,"Consol cap-ex";"cap-ex",#N/A,TRUE,"APC cap-ex";"cap-ex",#N/A,TRUE,"GPC cap-ex";"cap-ex",#N/A,TRUE,"GUL cap-ex";"cap-ex",#N/A,TRUE,"MPC cap-ex";"cap-ex",#N/A,TRUE,"SAV cap-ex";"cap-ex",#N/A,TRUE,"SEGCO cap-ex";"cap-ex",#N/A,TRUE,"SWE cap-ex"}</definedName>
    <definedName name="wrn.Capital._.Plan._.Report." localSheetId="11" hidden="1">{"Capital Plan CA Schedule",#N/A,TRUE,"Capital Plan";"Capital Plan Summary",#N/A,TRUE,"Capital Plan"}</definedName>
    <definedName name="wrn.Cardiovasculars." localSheetId="11" hidden="1">{#N/A,#N/A,FALSE,"Card";#N/A,#N/A,FALSE,"Prav";#N/A,#N/A,FALSE,"Irbe";#N/A,#N/A,FALSE,"Plavix";#N/A,#N/A,FALSE,"Capt";#N/A,#N/A,FALSE,"Fosi"}</definedName>
    <definedName name="wrn.Carterco." localSheetId="11" hidden="1">{#N/A,#N/A,FALSE,"Carterco"}</definedName>
    <definedName name="wrn.Cash._.Flow." localSheetId="11" hidden="1">{"Cash Flow",#N/A,FALSE,"Cash Flow"}</definedName>
    <definedName name="wrn.cash._.flow._.FY00._.and._.FY01." localSheetId="11" hidden="1">{"cash flow - FY00",#N/A,FALSE,"P &amp; L";"cash flow - FY01",#N/A,FALSE,"P &amp; L"}</definedName>
    <definedName name="wrn.cash._.flow._.FY02._.and._.FY03." localSheetId="11" hidden="1">{"cash flow - FY02",#N/A,FALSE,"P &amp; L";"cash flow - FY03",#N/A,FALSE,"P &amp; L"}</definedName>
    <definedName name="wrn.cash2." localSheetId="11" hidden="1">{#N/A,#N/A,FALSE,"KGFORE94"}</definedName>
    <definedName name="wrn.CEA._.Budget._.months._.sterling." localSheetId="1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years._.sterling." localSheetId="11"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USD." localSheetId="11" hidden="1">{"CEA Group Budget years USD",#N/A,TRUE,"Profit and Loss";"CEA Group Budget years USD",#N/A,TRUE,"Firm capex";"CEA Group Budget years USD",#N/A,TRUE,"Gross profit analysis";"CEA Group Budget years USD",#N/A,TRUE,"Cashflow";"CEA Group Budget years USD",#N/A,TRUE,"Balance Sheet"}</definedName>
    <definedName name="wrn.CEA._.Group._.budget._.months._.USD." localSheetId="11" hidden="1">{"CEA Group budget months USD",#N/A,TRUE,"Profit and Loss";"CEA Group budget months USD",#N/A,TRUE,"Firm capex";"CEA Group budget months USD",#N/A,TRUE,"Gross profit analysis";"CEA Group budget months USD",#N/A,TRUE,"Cashflow";"CEA Group budget months USD",#N/A,TRUE,"Balance Sheet"}</definedName>
    <definedName name="wrn.CEGH._.Budget._.months._.sterling." localSheetId="11"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USD." localSheetId="11"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years._.sterling." localSheetId="11"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USD." localSheetId="11" hidden="1">{"CEGH Budget years USD",#N/A,TRUE,"Profit and Loss";"CEGH Budget years USD",#N/A,TRUE,"Firm capex";"CEGH Budget years USD",#N/A,TRUE,"Gross profit analysis";"CEGH Budget years USD",#N/A,TRUE,"Cashflow";"CEGH Budget years USD",#N/A,TRUE,"Balance Sheet"}</definedName>
    <definedName name="wrn.CEGH._.sub._.group._.months._.sterling." localSheetId="11"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USD." localSheetId="11" hidden="1">{"CEGH sub group months USD",#N/A,TRUE,"Profit and Loss";"CEGH sub group months USD",#N/A,TRUE,"Firm capex";"CEGH sub group months USD",#N/A,TRUE,"Cashflow";"CEGH sub group months USD",#N/A,TRUE,"Balance Sheet"}</definedName>
    <definedName name="wrn.CEGH._.sub._.group._.years._.sterling." localSheetId="11" hidden="1">{"CEGH sub-group budget years sterling",#N/A,TRUE,"Profit and Loss";"CEGH sub-group budget years sterling",#N/A,TRUE,"Firm capex";"CEGH sub-group budget years sterling",#N/A,TRUE,"Cashflow";"CEGH sub-group budget years sterling",#N/A,TRUE,"Balance Sheet"}</definedName>
    <definedName name="wrn.CEGH._.sub._.group._.years._.USD." localSheetId="11" hidden="1">{"CEGH sub-group years USD",#N/A,TRUE,"Profit and Loss";"CEGH sub-group years USD",#N/A,TRUE,"Firm capex";"CEGH sub-group years USD",#N/A,TRUE,"Cashflow";"CEGH sub-group years USD",#N/A,TRUE,"Balance Sheet"}</definedName>
    <definedName name="wrn.CEI._.Budget._.months._.sterling." localSheetId="11"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USD." localSheetId="11" hidden="1">{"CEI budget months USD",#N/A,TRUE,"Profit and Loss";"CEI budget months USD",#N/A,TRUE,"Firm capex";"CEI budget months USD",#N/A,TRUE,"Gross profit analysis";"CEI budget months USD",#N/A,TRUE,"Cashflow";"CEI budget months USD",#N/A,TRUE,"Balance Sheet"}</definedName>
    <definedName name="wrn.CEI._.Budget._.years._.sterling." localSheetId="11" hidden="1">{"CEI Budget years sterling",#N/A,TRUE,"Profit and Loss";"CEI Budget years sterling",#N/A,TRUE,"Firm capex";"CEI Budget years sterling",#N/A,TRUE,"Gross profit analysis";"CEI Budget years sterling",#N/A,TRUE,"Cashflow";"CEI Budget years sterling",#N/A,TRUE,"Balance Sheet"}</definedName>
    <definedName name="wrn.CEI._.Budget._.years._.USD." localSheetId="11" hidden="1">{"CEI Budget years USD",#N/A,TRUE,"Profit and Loss";"CEI Budget years USD",#N/A,TRUE,"Firm capex";"CEI Budget years USD",#N/A,TRUE,"Gross profit analysis";"CEI Budget years USD",#N/A,TRUE,"Cashflow";"CEI Budget years USD",#N/A,TRUE,"Balance Sheet"}</definedName>
    <definedName name="wrn.Central._.Nervous._.System." localSheetId="11" hidden="1">{#N/A,#N/A,FALSE,"CNS";#N/A,#N/A,FALSE,"Serz";#N/A,#N/A,FALSE,"Ace"}</definedName>
    <definedName name="wrn.chart._.1998" localSheetId="11" hidden="1">{#N/A,#N/A,FALSE,"Summary";#N/A,#N/A,FALSE,"Pending";#N/A,#N/A,FALSE,"Jan'98";#N/A,#N/A,FALSE,"Feb'98";#N/A,#N/A,FALSE,"Mar'98";#N/A,#N/A,FALSE,"Apr'98";#N/A,#N/A,FALSE,"May'98";#N/A,#N/A,FALSE,"June'98";#N/A,#N/A,FALSE,"July'98"}</definedName>
    <definedName name="wrn.Chart._.Printouts." localSheetId="11" hidden="1">{"2 Area",#N/A,TRUE,"Area";"2 Bar",#N/A,TRUE,"Area";"SSB Bar",#N/A,TRUE,"Area";"2 Stacked Bar",#N/A,TRUE,"Area";"2 Stacked Bar 100",#N/A,TRUE,"Area";"2 Stacked Col",#N/A,TRUE,"Area";"2 Stacked Col 100",#N/A,TRUE,"Area";"2 HiLow",#N/A,TRUE,"Area";"2 Line",#N/A,TRUE,"Area";"2 Scatter",#N/A,TRUE,"Area";"2 ColumnLine",#N/A,TRUE,"Area";"2 ScatterLine",#N/A,TRUE,"Area";"2 Football",#N/A,TRUE,"Area";"2 DAPS",#N/A,TRUE,"Area";"2 Rover",#N/A,TRUE,"Area";"2 Student1",#N/A,TRUE,"Area";"2 Student2",#N/A,TRUE,"Area";"2 Student3",#N/A,TRUE,"Area";"2 Column",#N/A,TRUE,"Area";"2 League",#N/A,TRUE,"Area";"2 Pies",#N/A,TRUE,"Area"}</definedName>
    <definedName name="wrn.client." localSheetId="11" hidden="1">{"multiple",#N/A,FALSE,"client";"margins",#N/A,FALSE,"client";"data",#N/A,FALSE,"client"}</definedName>
    <definedName name="wrn.Client3." localSheetId="11" hidden="1">{"data",#N/A,FALSE,"client (3)";"margins",#N/A,FALSE,"client (3)";"multiple",#N/A,FALSE,"client (3)"}</definedName>
    <definedName name="wrn.client4." localSheetId="11" hidden="1">{"multiple",#N/A,FALSE,"client (4)";"margins",#N/A,FALSE,"client (4)";"data",#N/A,FALSE,"client (4)"}</definedName>
    <definedName name="wrn.clientcopy." localSheetId="1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1." localSheetId="11" hidden="1">{"WACC_clientcopy",#N/A,FALSE,"Inputs";"Beta_clientcopy",#N/A,FALSE,"Inputs";"SCF_clientcopy",#N/A,FALSE,"Inputs";"ProBS_clientcopy",#N/A,FALSE,"Inputs";"BS_clientcopy",#N/A,FALSE,"Inputs";"ProIS_clientcopy",#N/A,FALSE,"Inputs";"IS_clientcopy",#N/A,FALSE,"Inputs";"Ratios_clientcopy",#N/A,FALSE,"Ratios"}</definedName>
    <definedName name="wrn.clientcopy2." localSheetId="11" hidden="1">{"WACC_clientcopy",#N/A,FALSE,"Inputs";"Beta_clientcopy",#N/A,FALSE,"Inputs";"SCF_clientcopy",#N/A,FALSE,"Inputs";"ProBS_clientcopy",#N/A,FALSE,"Inputs";"BS_clientcopy",#N/A,FALSE,"Inputs";"ProIS_clientcopy",#N/A,FALSE,"Inputs";"IS_clientcopy",#N/A,FALSE,"Inputs";"Ratios_clientcopy",#N/A,FALSE,"Ratios"}</definedName>
    <definedName name="wrn.clientcopy3." localSheetId="11" hidden="1">{"WACC_clientcopy",#N/A,FALSE,"Inputs";"Beta_clientcopy",#N/A,FALSE,"Inputs";"SCF_clientcopy",#N/A,FALSE,"Inputs";"ProBS_clientcopy",#N/A,FALSE,"Inputs";"BS_clientcopy",#N/A,FALSE,"Inputs";"ProIS_clientcopy",#N/A,FALSE,"Inputs";"IS_clientcopy",#N/A,FALSE,"Inputs";"Ratios_clientcopy",#N/A,FALSE,"Ratios"}</definedName>
    <definedName name="WRN.CM" localSheetId="11" hidden="1">{#N/A,#N/A,FALSE,"FAB VENDORS";"BUD SUM",#N/A,FALSE,"BUD SUM WO TEX"}</definedName>
    <definedName name="WRN.CM1" localSheetId="11" hidden="1">{#N/A,#N/A,FALSE,"FAB VENDORS";"BUD SUM",#N/A,FALSE,"BUD SUM WO TEX"}</definedName>
    <definedName name="wrn.COGS." localSheetId="11" hidden="1">{"Balt COGS",#N/A,FALSE,"COGS";"Balt Sum",#N/A,FALSE,"SUM";"Balt Defd Var",#N/A,FALSE,"DEFD VAR";"Balt Input Usage",#N/A,FALSE,"INPUT";"Balt Input PPV",#N/A,FALSE,"INPUT"}</definedName>
    <definedName name="wrn.Combination." localSheetId="11"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ED." localSheetId="11" hidden="1">{#N/A,#N/A,FALSE,"INPUTS";#N/A,#N/A,FALSE,"PROFORMA BSHEET";#N/A,#N/A,FALSE,"COMBINED";#N/A,#N/A,FALSE,"HIGH YIELD";#N/A,#N/A,FALSE,"COMB_GRAPHS"}</definedName>
    <definedName name="wrn.ComboResults." localSheetId="11" hidden="1">{#N/A,#N/A,FALSE,"Combo-Ass ";#N/A,#N/A,FALSE,"Combo-AD sum";#N/A,#N/A,FALSE,"Combo-Syn Sens";#N/A,#N/A,FALSE,"Combo-Contr";#N/A,#N/A,FALSE,"Combo-Credit Sum";#N/A,#N/A,FALSE,"Combo-Credit";#N/A,#N/A,FALSE,"Combo-AD";#N/A,#N/A,FALSE,"Combo-AD CF"}</definedName>
    <definedName name="wrn.ComboState." localSheetId="11" hidden="1">{#N/A,#N/A,FALSE,"Combo-Ass ";#N/A,#N/A,FALSE,"Combo-IS";#N/A,#N/A,FALSE,"Combo-BS";#N/A,#N/A,FALSE,"Combo-CF"}</definedName>
    <definedName name="wrn.COMMISSIONER." localSheetId="11" hidden="1">{#N/A,#N/A,FALSE,"BS_OCIF OIB";#N/A,#N/A,FALSE,"PL_OCIF OIB";#N/A,#N/A,FALSE,"SCH_A-B_OCIF OIB";#N/A,#N/A,FALSE,"AVG_CALC OIB"}</definedName>
    <definedName name="wrn.Comp._.and._.Prices." localSheetId="11" hidden="1">{#N/A,#N/A,FALSE,"comp";#N/A,#N/A,FALSE,"Alpha";#N/A,#N/A,FALSE,"Hi";#N/A,#N/A,FALSE,"Lo";#N/A,#N/A,FALSE,"Mkt. Cap";#N/A,#N/A,FALSE,"Categ."}</definedName>
    <definedName name="wrn.Comparisons." localSheetId="11" hidden="1">{#N/A,#N/A,FALSE," IS Comparison";#N/A,#N/A,FALSE,"BS Comparison";#N/A,#N/A,FALSE," SCF Comparison"}</definedName>
    <definedName name="wrn.COMPCO." localSheetId="11" hidden="1">{"Page1",#N/A,FALSE,"CompCo";"Page2",#N/A,FALSE,"CompCo"}</definedName>
    <definedName name="wrn.Compco._.Only." localSheetId="11" hidden="1">{"vi1",#N/A,FALSE,"6_30_96";"vi2",#N/A,FALSE,"6_30_96";"vi3",#N/A,FALSE,"6_30_96"}</definedName>
    <definedName name="wrn.compco2" localSheetId="11" hidden="1">{"mult96",#N/A,FALSE,"PETCOMP";"est96",#N/A,FALSE,"PETCOMP";"mult95",#N/A,FALSE,"PETCOMP";"est95",#N/A,FALSE,"PETCOMP";"multltm",#N/A,FALSE,"PETCOMP";"resultltm",#N/A,FALSE,"PETCOMP"}</definedName>
    <definedName name="wrn.compco3" localSheetId="11" hidden="1">{"mult96",#N/A,FALSE,"PETCOMP";"est96",#N/A,FALSE,"PETCOMP";"mult95",#N/A,FALSE,"PETCOMP";"est95",#N/A,FALSE,"PETCOMP";"multltm",#N/A,FALSE,"PETCOMP";"resultltm",#N/A,FALSE,"PETCOMP"}</definedName>
    <definedName name="wrn.Complete."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Budget." localSheetId="11"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Report." localSheetId="11" hidden="1">{#N/A,#N/A,FALSE,"Assumptions";#N/A,#N/A,FALSE,"Proforma IS";#N/A,#N/A,FALSE,"Cash Flows RLP";#N/A,#N/A,FALSE,"IRR";#N/A,#N/A,FALSE,"New Depr Sch-150% DB";#N/A,#N/A,FALSE,"Comments"}</definedName>
    <definedName name="wrn.Complete.2"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4"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4"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6"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7"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9"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4"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5"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6"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7"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8"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9"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Report." localSheetId="1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s." localSheetId="11" hidden="1">{#N/A,#N/A,FALSE,"Comps"}</definedName>
    <definedName name="wrn.comps._.and._.DCF_LBO." localSheetId="11" hidden="1">{#N/A,#N/A,FALSE,"MKT.COMPS";#N/A,#N/A,FALSE,"DCF - LBO"}</definedName>
    <definedName name="wrn.comps._1" localSheetId="11" hidden="1">{#N/A,#N/A,FALSE,"Comp"}</definedName>
    <definedName name="wrn.comps._1_1" localSheetId="11" hidden="1">{#N/A,#N/A,FALSE,"Comp"}</definedName>
    <definedName name="wrn.comps._1_2" localSheetId="11" hidden="1">{#N/A,#N/A,FALSE,"Comp"}</definedName>
    <definedName name="wrn.comps._1_3" localSheetId="11" hidden="1">{#N/A,#N/A,FALSE,"Comp"}</definedName>
    <definedName name="wrn.comps._1_4" localSheetId="11" hidden="1">{#N/A,#N/A,FALSE,"Comp"}</definedName>
    <definedName name="wrn.comps._2" localSheetId="11" hidden="1">{#N/A,#N/A,FALSE,"Comp"}</definedName>
    <definedName name="wrn.comps._3" localSheetId="11" hidden="1">{#N/A,#N/A,FALSE,"Comp"}</definedName>
    <definedName name="wrn.comps._4" localSheetId="11" hidden="1">{#N/A,#N/A,FALSE,"Comp"}</definedName>
    <definedName name="wrn.comps._5" localSheetId="11" hidden="1">{#N/A,#N/A,FALSE,"Comp"}</definedName>
    <definedName name="wrn.comps.whatisthis" localSheetId="11" hidden="1">{#N/A,#N/A,FALSE,"Comp"}</definedName>
    <definedName name="wrn.comps.whatisthis_1" localSheetId="11" hidden="1">{#N/A,#N/A,FALSE,"Comp"}</definedName>
    <definedName name="wrn.comps.whatisthis_1_1" localSheetId="11" hidden="1">{#N/A,#N/A,FALSE,"Comp"}</definedName>
    <definedName name="wrn.comps.whatisthis_1_2" localSheetId="11" hidden="1">{#N/A,#N/A,FALSE,"Comp"}</definedName>
    <definedName name="wrn.comps.whatisthis_1_3" localSheetId="11" hidden="1">{#N/A,#N/A,FALSE,"Comp"}</definedName>
    <definedName name="wrn.comps.whatisthis_1_4" localSheetId="11" hidden="1">{#N/A,#N/A,FALSE,"Comp"}</definedName>
    <definedName name="wrn.comps.whatisthis_2" localSheetId="11" hidden="1">{#N/A,#N/A,FALSE,"Comp"}</definedName>
    <definedName name="wrn.comps.whatisthis_3" localSheetId="11" hidden="1">{#N/A,#N/A,FALSE,"Comp"}</definedName>
    <definedName name="wrn.comps.whatisthis_4" localSheetId="11" hidden="1">{#N/A,#N/A,FALSE,"Comp"}</definedName>
    <definedName name="wrn.comps.whatisthis_5" localSheetId="11" hidden="1">{#N/A,#N/A,FALSE,"Comp"}</definedName>
    <definedName name="wrn.Consol." localSheetId="11" hidden="1">{#N/A,#N/A,FALSE,"COVER";#N/A,#N/A,FALSE,"Key Fin'l Performance";#N/A,#N/A,FALSE,"Q2 Target P &amp; L";#N/A,#N/A,FALSE,"Comp. Margin $";#N/A,#N/A,FALSE,"Standard Margin";#N/A,#N/A,FALSE,"Bus Sector";#N/A,#N/A,FALSE,"EBG &amp; GAAP Recon";#N/A,#N/A,FALSE,"EBG P&amp;L Act vs Plan";#N/A,#N/A,FALSE,"EBG P&amp;L Fcst";#N/A,#N/A,FALSE,"EBG P&amp;L Trend";#N/A,#N/A,FALSE,"Key Metrics";#N/A,#N/A,FALSE,"Cum Net Income Chart";#N/A,#N/A,FALSE,"Rev &amp; Mrgn Trend";#N/A,#N/A,FALSE,"Trended Op Ex";#N/A,#N/A,FALSE,"Consol BS";#N/A,#N/A,FALSE,"Consol BS vs Plan";#N/A,#N/A,FALSE,"Consol CF vs Plan";#N/A,#N/A,FALSE,"Asset &amp; Eq Measures";#N/A,#N/A,FALSE,"CCC _PHIL";#N/A,#N/A,FALSE,"Rev &amp; Booking Trend";#N/A,#N/A,FALSE,"Comp Rev Trend VM";#N/A,#N/A,FALSE,"Comp Bookings Trend VM";#N/A,#N/A,FALSE,"Top Customers";#N/A,#N/A,FALSE,"Backlog - Consolidated";#N/A,#N/A,FALSE,"Design Win Summary - Consol";#N/A,#N/A,FALSE,"Headcount Summary";#N/A,#N/A,FALSE,"Std Rpt Pkg Table Contents";#N/A,#N/A,FALSE,"Competitive data";#N/A,#N/A,FALSE,"Glossary"}</definedName>
    <definedName name="wrn.CONSOLIDACIÓN." localSheetId="11" hidden="1">{#N/A,#N/A,FALSE,"CNS_ADJ";"Balance Consolidado",#N/A,FALSE,"BCEC_CNS";#N/A,#N/A,FALSE,"USGAAP_ADJ"}</definedName>
    <definedName name="wrn.Consolidado." localSheetId="11" hidden="1">{#N/A,#N/A,FALSE,"COVER";#N/A,#N/A,FALSE,"Index";#N/A,#N/A,FALSE,"Non-Earning";#N/A,#N/A,FALSE,"Non-Earning_Recovery"}</definedName>
    <definedName name="wrn.Consolidated." localSheetId="11" hidden="1">{#N/A,#N/A,FALSE,"Cover";#N/A,#N/A,FALSE,"Key Indicator";#N/A,#N/A,FALSE,"Key Metrics";#N/A,#N/A,FALSE,"Sectors";#N/A,#N/A,FALSE,"Geo &amp; ASIC";#N/A,#N/A,FALSE,"P&amp;L Comp";#N/A,#N/A,FALSE,"Rev by Grp &amp; VM";#N/A,#N/A,FALSE,"Group Rev Trend";#N/A,#N/A,FALSE,"Margin";#N/A,#N/A,FALSE,"Balance Sheet";#N/A,#N/A,FALSE,"Cash Flow";#N/A,#N/A,FALSE,"GAAP P&amp;L";#N/A,#N/A,FALSE,"P&amp;L Trend";#N/A,#N/A,FALSE,"P&amp;L-ASIC";#N/A,#N/A,FALSE,"P&amp;L-ASSP";#N/A,#N/A,FALSE,"Mfg Recon";#N/A,#N/A,FALSE,"EPS";#N/A,#N/A,FALSE,"Rev Mrgn";#N/A,#N/A,FALSE,"Op Exp";#N/A,#N/A,FALSE,"CCC";#N/A,#N/A,FALSE,"Asset &amp; Equity";#N/A,#N/A,FALSE,"Rev Bkg Bklg";#N/A,#N/A,FALSE,"Bkg Trend";#N/A,#N/A,FALSE,"Booking Linearity";#N/A,#N/A,FALSE,"Top 10";#N/A,#N/A,FALSE,"Design Win";#N/A,#N/A,FALSE,"Headcount"}</definedName>
    <definedName name="wrn.Consolidated._.Statements." localSheetId="11" hidden="1">{"view1",#N/A,FALSE,"EARN (US$)";"view1",#N/A,FALSE,"DASTBS (US$)";"view1",#N/A,FALSE,"DASTCF (US$)"}</definedName>
    <definedName name="wrn.Consolidating." localSheetId="11" hidden="1">{"Consolidated IS",#N/A,FALSE,"Consolidated IS";"Consolidated Detail IS",#N/A,FALSE,"Consolidated Detail IS";"Consolidated Detail Supplemental Info",#N/A,FALSE,"Consolidated Detail IS";"Consolidated CF",#N/A,FALSE,"Consolidated CF";"Consolidated BS",#N/A,FALSE,"Consolidated BS";"Consolidating 1999 Detail IS",#N/A,FALSE,"1999 Detail IS";"Consolidated 1999 Supplemental Info",#N/A,FALSE,"1999 Detail IS";"Consolidating 1998 Detail IS",#N/A,FALSE,"1998 Detail IS";"Consolidating 1998 Supplemental Info",#N/A,FALSE,"1998 Detail IS";"Consolidating 1997 Detail IS",#N/A,FALSE,"1997 Detail IS";"Consolidated 1997 Supplemental Info",#N/A,FALSE,"1997 Detail IS"}</definedName>
    <definedName name="wrn.CONSOLIDATION." localSheetId="11" hidden="1">{"PAGE1",#N/A,FALSE,"Consolidation";"PAGE2",#N/A,FALSE,"Consolidation";"PAGE3",#N/A,FALSE,"Consolidation";"PAGE4",#N/A,FALSE,"Consolidation";"PAGE5",#N/A,FALSE,"Consolidation";"PAGE6",#N/A,FALSE,"Consolidation";"PAGE7",#N/A,FALSE,"Consolidation"}</definedName>
    <definedName name="wrn.Consumer._.Medicines." localSheetId="11" hidden="1">{#N/A,#N/A,FALSE,"OTC";#N/A,#N/A,FALSE,"Ther";#N/A,#N/A,FALSE,"Temp";#N/A,#N/A,FALSE,"Exce";#N/A,#N/A,FALSE,"Buff";#N/A,#N/A,FALSE,"Picot";#N/A,#N/A,FALSE,"Luftal";#N/A,#N/A,FALSE,"Comt"}</definedName>
    <definedName name="wrn.Continous._.Page._.Numbers._.DCF." localSheetId="11"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RACT._.WIP._.1997." localSheetId="11" hidden="1">{#N/A,#N/A,FALSE,"A"}</definedName>
    <definedName name="wrn.contributory._.asset._.charges." localSheetId="11" hidden="1">{"contributory1",#N/A,FALSE,"Contributory Assets Detail";"contributory2",#N/A,FALSE,"Contributory Assets Detail"}</definedName>
    <definedName name="wrn.CORPO." localSheetId="11" hidden="1">{#N/A,#N/A,FALSE,"DIV.CORPO"}</definedName>
    <definedName name="wrn.Corporate." localSheetId="11" hidden="1">{"Corporate",#N/A,FALSE,"Corporate Profile"}</definedName>
    <definedName name="wrn.CORR." localSheetId="11" hidden="1">{"INCSTMT1",#N/A,FALSE,"COR";"INCSTMT2",#N/A,FALSE,"COR"}</definedName>
    <definedName name="wrn.cotop." localSheetId="11" hidden="1">{"ReportTop",#N/A,FALSE,"report top"}</definedName>
    <definedName name="wrn.cotop2." localSheetId="11" hidden="1">{"ReportTop",#N/A,FALSE,"report top"}</definedName>
    <definedName name="wrn.Cover." localSheetId="11" hidden="1">{"coverall",#N/A,FALSE,"Definitions";"cover1",#N/A,FALSE,"Definitions";"cover2",#N/A,FALSE,"Definitions";"cover3",#N/A,FALSE,"Definitions";"cover4",#N/A,FALSE,"Definitions";"cover5",#N/A,FALSE,"Definitions";"blank",#N/A,FALSE,"Definitions"}</definedName>
    <definedName name="wrn.Covers." localSheetId="11" hidden="1">{"view1",#N/A,FALSE,"MOTEARN";"view1",#N/A,FALSE,"Bal Sht";"view1",#N/A,FALSE,"Cash Flows"}</definedName>
    <definedName name="wrn.CPB." localSheetId="11" hidden="1">{#N/A,#N/A,FALSE,"CPB"}</definedName>
    <definedName name="wrn.Credit._.Summary." localSheetId="11" hidden="1">{#N/A,#N/A,FALSE,"Credit Summary"}</definedName>
    <definedName name="wrn.CW." localSheetId="11" hidden="1">{#N/A,#N/A,FALSE,"FAB VENDORS";"BUD SUM",#N/A,FALSE,"BUD SUM WO TEX"}</definedName>
    <definedName name="wrn.Daily." localSheetId="11" hidden="1">{#N/A,#N/A,FALSE,"Input";#N/A,#N/A,FALSE,"BBC";#N/A,#N/A,FALSE,"Sch A";#N/A,#N/A,FALSE,"Sch B";#N/A,#N/A,FALSE,"Ineligible"}</definedName>
    <definedName name="wrn.DAILY._.SALES." localSheetId="11" hidden="1">{"New York",#N/A,FALSE,"NY";"London Et Al",#N/A,FALSE,"NY";"Cash Balance",#N/A,FALSE,"NY"}</definedName>
    <definedName name="wrn.DATA." localSheetId="11" hidden="1">{#N/A,#N/A,FALSE,"WTI";#N/A,#N/A,FALSE,"Cdn Oil";#N/A,#N/A,FALSE,"Cdn Gas";#N/A,#N/A,FALSE,"CDN Gas Exports";#N/A,#N/A,FALSE,"CDN Gas Prod";#N/A,#N/A,FALSE,"CDN Gas Wells";#N/A,#N/A,FALSE,"US Gas";#N/A,#N/A,FALSE,"US Gas Prod";#N/A,#N/A,FALSE,"US Gas Wells";#N/A,#N/A,FALSE,"US Work Gas";#N/A,#N/A,FALSE,"US Rig Count";#N/A,#N/A,FALSE,"US Gas End-Use";#N/A,#N/A,FALSE,"Chem"}</definedName>
    <definedName name="wrn.DataVPN." localSheetId="11" hidden="1">{"Cashflow chart",#N/A,TRUE,"A";"Rev Assumptions",#N/A,TRUE,"B";"Rev Reconcilliation 1",#N/A,TRUE,"B";"Rev Reconcilliation 2",#N/A,TRUE,"B";"exp 1",#N/A,TRUE,"C";"exp 2",#N/A,TRUE,"C";"exp3",#N/A,TRUE,"C";"cap 1",#N/A,TRUE,"D";"exp4",#N/A,TRUE,"C";"cap 2",#N/A,TRUE,"D";"cap 3",#N/A,TRUE,"D";"inputs",#N/A,TRUE,"E"}</definedName>
    <definedName name="wrn.DataVPN1" localSheetId="11" hidden="1">{"Cashflow chart",#N/A,TRUE,"A";"Rev Assumptions",#N/A,TRUE,"B";"Rev Reconcilliation 1",#N/A,TRUE,"B";"Rev Reconcilliation 2",#N/A,TRUE,"B";"exp 1",#N/A,TRUE,"C";"exp 2",#N/A,TRUE,"C";"exp3",#N/A,TRUE,"C";"cap 1",#N/A,TRUE,"D";"exp4",#N/A,TRUE,"C";"cap 2",#N/A,TRUE,"D";"cap 3",#N/A,TRUE,"D";"inputs",#N/A,TRUE,"E"}</definedName>
    <definedName name="wrn.dcf." localSheetId="11" hidden="1">{"mgmt forecast",#N/A,FALSE,"Mgmt Forecast";"dcf table",#N/A,FALSE,"Mgmt Forecast";"sensitivity",#N/A,FALSE,"Mgmt Forecast";"table inputs",#N/A,FALSE,"Mgmt Forecast";"calculations",#N/A,FALSE,"Mgmt Forecast"}</definedName>
    <definedName name="wrn.DCF._.Only." localSheetId="11" hidden="1">{#N/A,#N/A,FALSE,"DCF Summary";#N/A,#N/A,FALSE,"Casema";#N/A,#N/A,FALSE,"Casema NoTel";#N/A,#N/A,FALSE,"UK";#N/A,#N/A,FALSE,"RCF";#N/A,#N/A,FALSE,"Intercable CZ";#N/A,#N/A,FALSE,"Interkabel P"}</definedName>
    <definedName name="wrn.DCF._.Valuation." localSheetId="11" hidden="1">{"value box",#N/A,TRUE,"DPL Inc. Fin Statements";"unlevered free cash flows",#N/A,TRUE,"DPL Inc. Fin Statements"}</definedName>
    <definedName name="wrn.dcf._1" localSheetId="11" hidden="1">{"mgmt forecast",#N/A,FALSE,"Mgmt Forecast";"dcf table",#N/A,FALSE,"Mgmt Forecast";"sensitivity",#N/A,FALSE,"Mgmt Forecast";"table inputs",#N/A,FALSE,"Mgmt Forecast";"calculations",#N/A,FALSE,"Mgmt Forecast"}</definedName>
    <definedName name="wrn.dcf._1_1" localSheetId="11" hidden="1">{"mgmt forecast",#N/A,FALSE,"Mgmt Forecast";"dcf table",#N/A,FALSE,"Mgmt Forecast";"sensitivity",#N/A,FALSE,"Mgmt Forecast";"table inputs",#N/A,FALSE,"Mgmt Forecast";"calculations",#N/A,FALSE,"Mgmt Forecast"}</definedName>
    <definedName name="wrn.dcf._1_2" localSheetId="11" hidden="1">{"mgmt forecast",#N/A,FALSE,"Mgmt Forecast";"dcf table",#N/A,FALSE,"Mgmt Forecast";"sensitivity",#N/A,FALSE,"Mgmt Forecast";"table inputs",#N/A,FALSE,"Mgmt Forecast";"calculations",#N/A,FALSE,"Mgmt Forecast"}</definedName>
    <definedName name="wrn.dcf._1_3" localSheetId="11" hidden="1">{"mgmt forecast",#N/A,FALSE,"Mgmt Forecast";"dcf table",#N/A,FALSE,"Mgmt Forecast";"sensitivity",#N/A,FALSE,"Mgmt Forecast";"table inputs",#N/A,FALSE,"Mgmt Forecast";"calculations",#N/A,FALSE,"Mgmt Forecast"}</definedName>
    <definedName name="wrn.dcf._1_4" localSheetId="11" hidden="1">{"mgmt forecast",#N/A,FALSE,"Mgmt Forecast";"dcf table",#N/A,FALSE,"Mgmt Forecast";"sensitivity",#N/A,FALSE,"Mgmt Forecast";"table inputs",#N/A,FALSE,"Mgmt Forecast";"calculations",#N/A,FALSE,"Mgmt Forecast"}</definedName>
    <definedName name="wrn.dcf._2" localSheetId="11" hidden="1">{"mgmt forecast",#N/A,FALSE,"Mgmt Forecast";"dcf table",#N/A,FALSE,"Mgmt Forecast";"sensitivity",#N/A,FALSE,"Mgmt Forecast";"table inputs",#N/A,FALSE,"Mgmt Forecast";"calculations",#N/A,FALSE,"Mgmt Forecast"}</definedName>
    <definedName name="wrn.dcf._3" localSheetId="11" hidden="1">{"mgmt forecast",#N/A,FALSE,"Mgmt Forecast";"dcf table",#N/A,FALSE,"Mgmt Forecast";"sensitivity",#N/A,FALSE,"Mgmt Forecast";"table inputs",#N/A,FALSE,"Mgmt Forecast";"calculations",#N/A,FALSE,"Mgmt Forecast"}</definedName>
    <definedName name="wrn.dcf._4" localSheetId="11" hidden="1">{"mgmt forecast",#N/A,FALSE,"Mgmt Forecast";"dcf table",#N/A,FALSE,"Mgmt Forecast";"sensitivity",#N/A,FALSE,"Mgmt Forecast";"table inputs",#N/A,FALSE,"Mgmt Forecast";"calculations",#N/A,FALSE,"Mgmt Forecast"}</definedName>
    <definedName name="wrn.dcf._5" localSheetId="11" hidden="1">{"mgmt forecast",#N/A,FALSE,"Mgmt Forecast";"dcf table",#N/A,FALSE,"Mgmt Forecast";"sensitivity",#N/A,FALSE,"Mgmt Forecast";"table inputs",#N/A,FALSE,"Mgmt Forecast";"calculations",#N/A,FALSE,"Mgmt Forecast"}</definedName>
    <definedName name="wrn.DCF_Terminal_Value_qchm." localSheetId="11" hidden="1">{"qchm_dcf",#N/A,FALSE,"QCHMDCF2";"qchm_terminal",#N/A,FALSE,"QCHMDCF2"}</definedName>
    <definedName name="wrn.DCFEpervier." localSheetId="11"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ebt." localSheetId="11" hidden="1">{"debt summary",#N/A,FALSE,"Debt";"loan details",#N/A,FALSE,"Debt"}</definedName>
    <definedName name="wrn.Delchamps." localSheetId="11" hidden="1">{"Operating Data",#N/A,TRUE,"Sheet1";"Valuation Matrix",#N/A,TRUE,"Sheet1";"Sales Analysis",#N/A,TRUE,"Sheet1";"Closed Remodelled New",#N/A,TRUE,"Sheet1";"Competitive and FSP",#N/A,TRUE,"Sheet1";"Working Capital and Capex",#N/A,TRUE,"Sheet1";"depreciation",#N/A,TRUE,"Sheet1"}</definedName>
    <definedName name="wrn.Delinc_Comercial." localSheetId="11" hidden="1">{#N/A,#N/A,FALSE,"COVER";#N/A,#N/A,FALSE,"Index";#N/A,#N/A,FALSE,"Non-Earning";#N/A,#N/A,FALSE,"Commercial";#N/A,#N/A,FALSE,"Detailed"}</definedName>
    <definedName name="wrn.Deltek._.Upload." localSheetId="11" hidden="1">{#N/A,#N/A,FALSE,"Delt Data"}</definedName>
    <definedName name="wrn.depmatrix." localSheetId="11" hidden="1">{"depmatrix",#N/A,FALSE,"DECATUR-DIMMIT"}</definedName>
    <definedName name="wrn.Detail." localSheetId="11" hidden="1">{"SalaryPer",#N/A,FALSE,"INPUT";"WageRate",#N/A,FALSE,"INPUT";"Salary",#N/A,FALSE,"INPUT";"Overtime",#N/A,FALSE,"INPUT";"PagerPay",#N/A,FALSE,"INPUT";"FringeTable",#N/A,FALSE,"INPUT";"Fringes",#N/A,FALSE,"INPUT";"ProfitSharing",#N/A,FALSE,"INPUT"}</definedName>
    <definedName name="wrn.Detail._.Balance._.Sheet." localSheetId="11" hidden="1">{#N/A,#N/A,FALSE,"Detail"}</definedName>
    <definedName name="wrn.Detail._.Income._.Statement." localSheetId="11" hidden="1">{"Facility Detail",#N/A,FALSE,"P&amp;L Detail"}</definedName>
    <definedName name="wrn.Detail_Projection." localSheetId="11" hidden="1">{#N/A,#N/A,FALSE,"Detail YTD"}</definedName>
    <definedName name="wrn.Detailed._.Profit._.and._.Loss." localSheetId="11" hidden="1">{#N/A,#N/A,FALSE,"P&amp;L CONSOLIDATED";#N/A,#N/A,FALSE,"Cyperus";#N/A,#N/A,FALSE,"ANP";#N/A,#N/A,FALSE,"PRNE CORE"}</definedName>
    <definedName name="wrn.devdeal." localSheetId="11" hidden="1">{"top",#N/A,TRUE,"Detail";"next",#N/A,TRUE,"Detail";"then",#N/A,TRUE,"Detail";"and",#N/A,TRUE,"Detail";"inaddition",#N/A,TRUE,"Detail";"finally",#N/A,TRUE,"Detail"}</definedName>
    <definedName name="wrn.Dilution." localSheetId="11" hidden="1">{#N/A,#N/A,FALSE,"FY 1997 (NR)";#N/A,#N/A,FALSE,"FY 1998 (NR)";#N/A,#N/A,FALSE,"Balance";#N/A,#N/A,FALSE,"Matrix (NR)"}</definedName>
    <definedName name="wrn.djall." localSheetId="11" hidden="1">{"djcash",#N/A,FALSE,"DJann";"djinc",#N/A,FALSE,"DJann";"djtaxes",#N/A,FALSE,"DJann";"djbuspub",#N/A,FALSE,"DJann";"djwall",#N/A,FALSE,"DJann";"djcompprs",#N/A,FALSE,"DJann";"djteler",#N/A,FALSE,"DJann"}</definedName>
    <definedName name="wrn.document." localSheetId="11" hidden="1">{"consolidated",#N/A,FALSE,"Sheet1";"cms",#N/A,FALSE,"Sheet1";"fse",#N/A,FALSE,"Sheet1"}</definedName>
    <definedName name="wrn.documentation." localSheetId="11" hidden="1">{"documentation1",#N/A,FALSE,"Documentation";"documentation2",#N/A,FALSE,"Documentation"}</definedName>
    <definedName name="wrn.DOM._.TRAF._.STATS." localSheetId="11" hidden="1">{#N/A,#N/A,FALSE,"Form 41 Commuter Domestic";#N/A,#N/A,FALSE,"FORM41--COMMUTER % CHG";#N/A,#N/A,FALSE,"Total Domestic Traffic Stats";#N/A,#N/A,FALSE,"TOTAL DOM TRAFFIC--% CHG";#N/A,#N/A,FALSE,"TotDomTraf-Large Carriers Only";#N/A,#N/A,FALSE,"TOTDOMTRAF-LARGECAR% CHG"}</definedName>
    <definedName name="wrn.DPI._.Summary." localSheetId="11" hidden="1">{#N/A,#N/A,TRUE,"Summary";#N/A,#N/A,TRUE,"Financials"}</definedName>
    <definedName name="wrn.Druck." localSheetId="11" hidden="1">{#N/A,#N/A,FALSE,"Phase I";#N/A,#N/A,FALSE,"Phase II";#N/A,#N/A,FALSE,"Phase III"}</definedName>
    <definedName name="wrn.DTPLAN." localSheetId="11" hidden="1">{"DTCONSOASSUMPTIONS1",#N/A,FALSE,"CONSO";"DTCONSOASSUMPTIONS2",#N/A,FALSE,"CONSO";"DTCONSOASSUMPTIONS3",#N/A,FALSE,"CONSO";"DTCONSOINCOME",#N/A,FALSE,"CONSO";"DTCOOSAEBITDA",#N/A,FALSE,"COOSA";"DTCONSOCASHFLOW",#N/A,FALSE,"CONSO";"DTCONSOBALANCESHEET",#N/A,FALSE,"CONSO";"DTCONSOCAPEX1",#N/A,FALSE,"CONSO";"DTCONSOCAPEX2",#N/A,FALSE,"CONSO";"DTCONSOCAPEX3",#N/A,FALSE,"CONSO";"DTDONNAASSUMPTIONS1",#N/A,FALSE,"PAPER DONNACONA";"DTDONNAASSUMPTIONS2",#N/A,FALSE,"PAPER DONNACONA";"DTDONNAASSUMPTIONS3",#N/A,FALSE,"PAPER DONNACONA";"DTDONNAINCOME",#N/A,FALSE,"PAPER DONNACONA";"DTDONNACASHFLOW",#N/A,FALSE,"PAPER DONNACONA";"DTDONNABALANCESHEET",#N/A,FALSE,"PAPER DONNACONA";"DTDONNACAPEX",#N/A,FALSE,"PAPER DONNACONA";"DTDOLBEAUASSUMPTIONS1",#N/A,FALSE,"PAPER DOLBEAU";"DTDOLBEAUASSUMPTIONS2",#N/A,FALSE,"PAPER DOLBEAU";"DTDOLBEAUASSUMPTIONS3",#N/A,FALSE,"PAPER DOLBEAU";"DTDOLBEAUINCOME",#N/A,FALSE,"PAPER DOLBEAU";"DTDOLBEAUCASHFLOW",#N/A,FALSE,"PAPER DOLBEAU";"DTDOLBEAUBALANCESHEET",#N/A,FALSE,"PAPER DOLBEAU";"DTDOLBEAUCAPEX",#N/A,FALSE,"PAPER DOLBEAU";"DTLUMBERASSUMPTIONS1",#N/A,FALSE,"LUMBER";"DTLUMBERASSUMPTIONS2",#N/A,FALSE,"LUMBER";"DTLUMBERASSUMPTIONS3",#N/A,FALSE,"LUMBER";"DTLUMBERINCOME",#N/A,FALSE,"LUMBER";"DTLUMBERCASHFLOW",#N/A,FALSE,"LUMBER";"DTLUMBERBALANCESHEET",#N/A,FALSE,"LUMBER";"DTLUMBERCAPEX",#N/A,FALSE,"LUMBER";"DTCOOSAASSUMPTIONS1",#N/A,FALSE,"COOSA";"DTCOOSAASSUMPTION2",#N/A,FALSE,"COOSA";"DTCOOSAASSUMPTIONS3",#N/A,FALSE,"COOSA";"DTCOOSAINCOME",#N/A,FALSE,"COOSA";"DTCOOSACASHFLOW",#N/A,FALSE,"COOSA";"DTCOOSABALANCESHEET",#N/A,FALSE,"COOSA";"DTCOOSACAPEX",#N/A,FALSE,"COOSA";"DTELIMINATIONINCOME",#N/A,FALSE,"ELIMINATION";"DTELIMINATIONCASHFLOW",#N/A,FALSE,"ELIMINATION";"DTELIMINATIONBALANCESHEET",#N/A,FALSE,"ELIMINATION";"DTHEADOFFICEASSUMPTIONS",#N/A,FALSE,"H.OFFICE";"DTHEADOFFICEINCOME",#N/A,FALSE,"H.OFFICE";"DTHEADOFFICECASHFLOW",#N/A,FALSE,"H.OFFICE";"DTHEADOFFICEBALANCESHEET",#N/A,FALSE,"H.OFFICE";"DTHEADOFFICECAPEX",#N/A,FALSE,"H.OFFICE";"DTSEGMENTED",#N/A,FALSE,"SEGMENTED INFO";"DTTAX1",#N/A,FALSE,"impôt";"DTTAX2",#N/A,FALSE,"impôt"}</definedName>
    <definedName name="wrn.Earnings._.Model."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bitda." localSheetId="11" hidden="1">{#N/A,#N/A,FALSE,"2003_Input - P&amp;L"}</definedName>
    <definedName name="wrn.ebitda2" localSheetId="11" hidden="1">{#N/A,#N/A,FALSE,"2003_Input - P&amp;L"}</definedName>
    <definedName name="wrn.Economic._.Value._.Added._.Analysis." localSheetId="11" hidden="1">{"EVA",#N/A,FALSE,"EVA";"WACC",#N/A,FALSE,"WACC"}</definedName>
    <definedName name="wrn.econtab." localSheetId="11" hidden="1">{#N/A,#N/A,FALSE,"TABLE1";#N/A,#N/A,FALSE,"TABLE2";#N/A,#N/A,FALSE,"TABLE3";#N/A,#N/A,FALSE,"TABLE4";#N/A,#N/A,FALSE,"TABLE5"}</definedName>
    <definedName name="wrn.ecpall." localSheetId="11" hidden="1">{"ecpcash",#N/A,FALSE,"ECPann";"ecpinc",#N/A,FALSE,"ECPann";"ecpindia",#N/A,FALSE,"ECPann";"ecpmun",#N/A,FALSE,"ECPann";"ecpphoenix",#N/A,FALSE,"ECPann";"ecpothe",#N/A,FALSE,"ECPann";"ecpbalsht",#N/A,FALSE,"ECPann"}</definedName>
    <definedName name="wrn.EE4._.Budget._.months._.sterling." localSheetId="11" hidden="1">{"EE4 Budget months only sterling",#N/A,TRUE,"Profit and Loss";"EE4 Budget months only sterling",#N/A,TRUE,"Firm capex";"EE4 Budget months only sterling",#N/A,TRUE,"Cashflow";"EE4 Budget months only sterling",#N/A,TRUE,"Balance Sheet"}</definedName>
    <definedName name="wrn.EE4._.Budget._.months._.USD." localSheetId="11" hidden="1">{"EE4 Budget months only in USD",#N/A,TRUE,"Profit and Loss";"EE4 Budget months only in USD",#N/A,TRUE,"Firm capex";"EE4 Budget months only in USD",#N/A,TRUE,"Cashflow";"EE4 Budget months only in USD",#N/A,TRUE,"Balance Sheet"}</definedName>
    <definedName name="wrn.EE4._.budget._.years._.sterling." localSheetId="11" hidden="1">{"EE4 Budget years sterling",#N/A,TRUE,"Profit and Loss";"EE4 Budget years sterling",#N/A,TRUE,"Firm capex";"EE4 Budget years sterling",#N/A,TRUE,"Cashflow";"EE4 Budget years sterling",#N/A,TRUE,"Balance Sheet"}</definedName>
    <definedName name="wrn.EE4._.Budget._.years._.USD." localSheetId="11" hidden="1">{"EE4 Budget years USD",#N/A,TRUE,"Profit and Loss";"EE4 Budget years USD",#N/A,TRUE,"Firm capex";"EE4 Budget years USD",#N/A,TRUE,"Cashflow";"EE4 Budget years USD",#N/A,TRUE,"Balance Sheet"}</definedName>
    <definedName name="wrn.EF._.Complet." localSheetId="11" hidden="1">{#N/A,#N/A,TRUE,"1";#N/A,#N/A,TRUE,"1.2";#N/A,#N/A,TRUE,"2";#N/A,#N/A,TRUE,"4";#N/A,#N/A,TRUE,"11";#N/A,#N/A,TRUE,"11.9";#N/A,#N/A,TRUE,"A";#N/A,#N/A,TRUE,"B";#N/A,#N/A,TRUE,"C"}</definedName>
    <definedName name="wrn.Einhundert._.Prozent._.alle._.Perioden." localSheetId="11" hidden="1">{"Alle Perioden",#N/A,FALSE,"Erf";"Alle Perioden",#N/A,FALSE,"BV100";"Alle Perioden",#N/A,FALSE,"BE100";"Alle Perioden",#N/A,FALSE,"Re100";"Alle Perioden",#N/A,FALSE,"Vol100"}</definedName>
    <definedName name="wrn.Einhundert._.Prozent._.erste._.elf._.Perioden." localSheetId="11" hidden="1">{"Erste elf Perioden",#N/A,FALSE,"Erf";"Erste elf Perioden",#N/A,FALSE,"BV100";"Erste elf Perioden",#N/A,FALSE,"BE100";"Erste elf Perioden",#N/A,FALSE,"Re100";"Erste elf Perioden",#N/A,FALSE,"Vol100"}</definedName>
    <definedName name="wrn.Enitre._.Model." localSheetId="11" hidden="1">{"Input Sheet",#N/A,FALSE,"Input";"New Co",#N/A,FALSE,"NEWCO";"Acq Cash Flow",#N/A,FALSE,"Acq. CF";"Target Cash Flow",#N/A,FALSE,"Tgt. CF";"Operational Merger",#N/A,FALSE,"OP Merger";"Acq Balance Sheet",#N/A,FALSE,"Acq. BS";"Target Balance Sheet",#N/A,FALSE,"Tgt. BS";"BOE Comp",#N/A,FALSE,"BOEComp"}</definedName>
    <definedName name="wrn.ESPP." localSheetId="11" hidden="1">{#N/A,#N/A,FALSE,"REPORT"}</definedName>
    <definedName name="wrn.ETATS." localSheetId="11" hidden="1">{"TABLE",#N/A,TRUE,"Feuil1";"CONSO",#N/A,TRUE,"Feuil1";"STHUB1",#N/A,TRUE,"Feuil1";"STHUB2",#N/A,TRUE,"Feuil1";"PROSERV",#N/A,TRUE,"Feuil1";"GROUPE",#N/A,TRUE,"Feuil1";"BERTHELET",#N/A,TRUE,"Feuil1";"MEILLEURES",#N/A,TRUE,"Feuil1";"TRICORP",#N/A,TRUE,"Feuil1"}</definedName>
    <definedName name="wrn.Europe." localSheetId="1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xam._.Workpapers._.1." localSheetId="1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ecutive._.summary._.reports." localSheetId="11" hidden="1">{"4 year overview",#N/A,FALSE,"P &amp; L";"key indicators",#N/A,FALSE,"P &amp; L"}</definedName>
    <definedName name="wrn.EXHIBITS." localSheetId="11" hidden="1">{"summary1",#N/A,FALSE,"Summary of Values";"weighted average returns",#N/A,FALSE,"WACC and WARA";"revenue graph",#N/A,FALSE,"Revenue Graph";"historical acquirer",#N/A,FALSE,"Historical Performance";"historical target",#N/A,FALSE,"Historical Performance";"revenue detail 1",#N/A,FALSE,"Revenue Detail";"revenue detail 2",#N/A,FALSE,"Revenue Detail";"revenue detail 3",#N/A,FALSE,"Revenue Detail";"revenue detail 4",#N/A,FALSE,"Revenue Detail";"gross_margin1",#N/A,FALSE,"Gross Margin Detail";"gross_margin2",#N/A,FALSE,"Gross Margin Detail";"developed income statement",#N/A,FALSE,"Abbreviated Income Statement";"inprocess income statement",#N/A,FALSE,"Abbreviated Income Statement";"developed valuation",#N/A,FALSE,"Valuation Analysis";"inprocess valuation",#N/A,FALSE,"Valuation Analysis";"trademark1",#N/A,FALSE,"Trademark(s) and Trade Name(s)";"contributory1",#N/A,FALSE,"Contributory Assets Detail";"contributory2",#N/A,FALSE,"Contributory Assets Detail";"fixed asset detail",#N/A,FALSE,"Fixed Asset Detail"}</definedName>
    <definedName name="wrn.EXP2." localSheetId="11" hidden="1">{#N/A,#N/A,TRUE,"NIE_C";#N/A,#N/A,TRUE,"NIE";#N/A,#N/A,TRUE,"NIE_D";#N/A,#N/A,TRUE,"NIE_D_CC";#N/A,#N/A,TRUE,"HEA -- EXP"}</definedName>
    <definedName name="wrn.External." localSheetId="11" hidden="1">{"External_Annual_Income",#N/A,FALSE,"External";"External_Quarterly_Income",#N/A,FALSE,"External"}</definedName>
    <definedName name="wrn.external.2" localSheetId="11" hidden="1">{"External_Annual_Income",#N/A,FALSE,"External";"External_Quarterly_Income",#N/A,FALSE,"External"}</definedName>
    <definedName name="wrn.Facility._.Profit._.and._.Loss." localSheetId="11" hidden="1">{"Domestic Prisons - Prior to 1998 - 1",#N/A,FALSE,"Domestic Prisons";"Domestic Prisons - Prior to 1998 - 2",#N/A,FALSE,"Domestic Prisons";"Domestic Prisons - 1998",#N/A,FALSE,"Domestic Prisons";"Domestic Prisons - 1999",#N/A,FALSE,"Domestic Prisons";"Domestic Prisons - 2000",#N/A,FALSE,"Domestic Prisons";"Domestic Prisons - 2001",#N/A,FALSE,"Domestic Prisons"}</definedName>
    <definedName name="wrn.fc" localSheetId="11" hidden="1">{"FCB_ALL",#N/A,FALSE,"FCB"}</definedName>
    <definedName name="wrn.fc12" localSheetId="11" hidden="1">{"FCB_ALL",#N/A,FALSE,"FCB"}</definedName>
    <definedName name="wrn.fcb" localSheetId="11" hidden="1">{"FCB_ALL",#N/A,FALSE,"FCB"}</definedName>
    <definedName name="wrn.FCB." localSheetId="11" hidden="1">{"FCB_ALL",#N/A,FALSE,"FCB"}</definedName>
    <definedName name="wrn.fcb._dcf" localSheetId="11" hidden="1">{"FCB_ALL",#N/A,FALSE,"FCB"}</definedName>
    <definedName name="wrn.fcb.1" localSheetId="11" hidden="1">{"FCB_ALL",#N/A,FALSE,"FCB"}</definedName>
    <definedName name="wrn.fcb.9" localSheetId="11" hidden="1">{"FCB_ALL",#N/A,FALSE,"FCB"}</definedName>
    <definedName name="wrn.fcb1" localSheetId="11" hidden="1">{"FCB_ALL",#N/A,FALSE,"FCB"}</definedName>
    <definedName name="wrn.fcb10" localSheetId="11" hidden="1">{"FCB_ALL",#N/A,FALSE,"FCB"}</definedName>
    <definedName name="wrn.fcb11" localSheetId="11" hidden="1">{"FCB_ALL",#N/A,FALSE,"FCB"}</definedName>
    <definedName name="wrn.fcb2" localSheetId="11" hidden="1">{"FCB_ALL",#N/A,FALSE,"FCB"}</definedName>
    <definedName name="wrn.fcb2_dcf" localSheetId="11" hidden="1">{"FCB_ALL",#N/A,FALSE,"FCB"}</definedName>
    <definedName name="wrn.fcb3" localSheetId="11" hidden="1">{"FCB_ALL",#N/A,FALSE,"FCB"}</definedName>
    <definedName name="wrn.fcb4" localSheetId="11" hidden="1">{"FCB_ALL",#N/A,FALSE,"FCB"}</definedName>
    <definedName name="wrn.fcb5" localSheetId="11" hidden="1">{"FCB_ALL",#N/A,FALSE,"FCB"}</definedName>
    <definedName name="wrn.fcb6" localSheetId="11" hidden="1">{"FCB_ALL",#N/A,FALSE,"FCB"}</definedName>
    <definedName name="wrn.fcb7" localSheetId="11" hidden="1">{"FCB_ALL",#N/A,FALSE,"FCB"}</definedName>
    <definedName name="wrn.fcb8" localSheetId="11" hidden="1">{"FCB_ALL",#N/A,FALSE,"FCB"}</definedName>
    <definedName name="wrn.fcb9" localSheetId="11" hidden="1">{"FCB_ALL",#N/A,FALSE,"FCB"}</definedName>
    <definedName name="wrn.fcopy2" localSheetId="11" hidden="1">{"WACC_filecopy",#N/A,FALSE,"Inputs";"Beta_filecopy",#N/A,FALSE,"Inputs";"SCF_filecopy",#N/A,FALSE,"Inputs";"ProBS_filecopy",#N/A,FALSE,"Inputs";"BS_filecopy",#N/A,FALSE,"Inputs";"ProIS_filecopy",#N/A,FALSE,"Inputs";"IS_filecopy",#N/A,FALSE,"Inputs"}</definedName>
    <definedName name="wrn.FDII6_01PortReview." localSheetId="11" hidden="1">{#N/A,#N/A,TRUE,"Port Summary II";#N/A,#N/A,TRUE,"BV Valuation";#N/A,#N/A,TRUE,"FV Valuation";#N/A,#N/A,TRUE,"JRI";#N/A,#N/A,TRUE,"Weasler";#N/A,#N/A,TRUE,"Stronghaven";#N/A,#N/A,TRUE,"Connor";#N/A,#N/A,TRUE,"HWC";#N/A,#N/A,TRUE,"Temple"}</definedName>
    <definedName name="wrn.FdIII6_30_01PortRev.." localSheetId="11" hidden="1">{#N/A,#N/A,TRUE,"Beacon";#N/A,#N/A,TRUE,"CII";#N/A,#N/A,TRUE,"MCA";#N/A,#N/A,TRUE,"Elm";#N/A,#N/A,TRUE,"Tharco";#N/A,#N/A,TRUE,"Dee H";#N/A,#N/A,TRUE,"Hunt Valve";#N/A,#N/A,TRUE,"KBA";#N/A,#N/A,TRUE,"Glassmaster";#N/A,#N/A,TRUE,"MLS";#N/A,#N/A,TRUE,"CBSA";#N/A,#N/A,TRUE,"ACE";#N/A,#N/A,TRUE,"United Central";#N/A,#N/A,TRUE,"Jakel";#N/A,#N/A,TRUE,"Lake City "}</definedName>
    <definedName name="wrn.FER." localSheetId="11" hidden="1">{#N/A,#N/A,TRUE,"BS_A";#N/A,#N/A,TRUE,"BS_L";#N/A,#N/A,TRUE,"PL";#N/A,#N/A,TRUE,"NET";#N/A,#N/A,TRUE,"MAR_2";#N/A,#N/A,TRUE,"MAR";#N/A,#N/A,TRUE,"NII";#N/A,#N/A,TRUE,"NIE";#N/A,#N/A,TRUE,"FS_BS";#N/A,#N/A,TRUE,"FS_PL";#N/A,#N/A,TRUE,"HEA"}</definedName>
    <definedName name="wrn.FER_EXPENSES." localSheetId="11" hidden="1">{#N/A,#N/A,TRUE,"NIE_C";#N/A,#N/A,TRUE,"NIE";#N/A,#N/A,TRUE,"NIE_D";#N/A,#N/A,TRUE,"HEA -- EXP"}</definedName>
    <definedName name="wrn.FER_NIA." localSheetId="11" hidden="1">{#N/A,#N/A,FALSE,"HEA NIA";#N/A,#N/A,FALSE,"CHART";#N/A,#N/A,FALSE,"NIA";#N/A,#N/A,FALSE,"WF_DET"}</definedName>
    <definedName name="wrn.FER_REVENUES." localSheetId="11" hidden="1">{#N/A,#N/A,TRUE,"NII_C";#N/A,#N/A,TRUE,"NII";#N/A,#N/A,TRUE,"NII_D";#N/A,#N/A,TRUE,"HEA --REV"}</definedName>
    <definedName name="wrn.filecopy." localSheetId="1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1." localSheetId="11" hidden="1">{"WACC_filecopy",#N/A,FALSE,"Inputs";"Beta_filecopy",#N/A,FALSE,"Inputs";"SCF_filecopy",#N/A,FALSE,"Inputs";"ProBS_filecopy",#N/A,FALSE,"Inputs";"BS_filecopy",#N/A,FALSE,"Inputs";"ProIS_filecopy",#N/A,FALSE,"Inputs";"IS_filecopy",#N/A,FALSE,"Inputs"}</definedName>
    <definedName name="wrn.filecopy2." localSheetId="11" hidden="1">{"WACC_filecopy",#N/A,FALSE,"Inputs";"Beta_filecopy",#N/A,FALSE,"Inputs";"SCF_filecopy",#N/A,FALSE,"Inputs";"ProBS_filecopy",#N/A,FALSE,"Inputs";"BS_filecopy",#N/A,FALSE,"Inputs";"ProIS_filecopy",#N/A,FALSE,"Inputs";"IS_filecopy",#N/A,FALSE,"Inputs"}</definedName>
    <definedName name="wrn.Filter." localSheetId="11" hidden="1">{#N/A,#N/A,FALSE,"Assump2";#N/A,#N/A,FALSE,"Income2";#N/A,#N/A,FALSE,"Balance2";#N/A,#N/A,FALSE,"DCF Filter";#N/A,#N/A,FALSE,"Trans Assump2";#N/A,#N/A,FALSE,"Combined Income2";#N/A,#N/A,FALSE,"Combined Balance2"}</definedName>
    <definedName name="wrn.FIN97." localSheetId="11" hidden="1">{#N/A,#N/A,FALSE,"FIN97 DETAIL"}</definedName>
    <definedName name="wrn.financial._.package." localSheetId="11" hidden="1">{#N/A,#N/A,FALSE,"BALANCE SHEET";#N/A,#N/A,FALSE,"IS";#N/A,#N/A,FALSE,"ISCOMPAR";#N/A,#N/A,FALSE,"ADD RETMAR";#N/A,#N/A,FALSE,"VARIOUS COMP";#N/A,#N/A,FALSE,"RATIOS";#N/A,#N/A,FALSE,"GRAPHS"}</definedName>
    <definedName name="wrn.Financial._.Statements._.all._.detail." localSheetId="11" hidden="1">{#N/A,#N/A,TRUE,"P&amp;L CONSOLIDATED";#N/A,#N/A,TRUE,"Cyperus";#N/A,#N/A,TRUE,"ANP";#N/A,#N/A,TRUE,"South Africa";#N/A,#N/A,TRUE,"PRNE CORE";#N/A,#N/A,TRUE,"Targeting";#N/A,#N/A,TRUE,"Distribution";#N/A,#N/A,TRUE,"A - Disclose";#N/A,#N/A,TRUE,"B - Others";#N/A,#N/A,TRUE,"Measurement";#N/A,#N/A,TRUE,"OVERHEADS";#N/A,#N/A,TRUE,"Consolidated B Sheet";#N/A,#N/A,TRUE,"Consolidated Cashflow"}</definedName>
    <definedName name="wrn.Financial_Package." localSheetId="11" hidden="1">{#N/A,#N/A,FALSE,"Cover";#N/A,#N/A,FALSE,"TOC";#N/A,#N/A,FALSE,"IS";#N/A,#N/A,FALSE,"Mo. IS";#N/A,#N/A,FALSE,"Cont By Div";#N/A,#N/A,FALSE,"BS";#N/A,#N/A,FALSE,"CF";#N/A,#N/A,FALSE,"Inventory"}</definedName>
    <definedName name="wrn.Financials." localSheetId="11" hidden="1">{#N/A,#N/A,TRUE,"Income Statement";#N/A,#N/A,TRUE,"Balance Sheet";#N/A,#N/A,TRUE,"Cash Flow"}</definedName>
    <definedName name="wrn.FINANCIALS._.10K." localSheetId="11" hidden="1">{#N/A,#N/A,FALSE,"BS";#N/A,#N/A,FALSE,"PL_10K";#N/A,#N/A,FALSE,"SOE";#N/A,#N/A,FALSE,"SCF"}</definedName>
    <definedName name="wrn.FINANCIALS._.10Q." localSheetId="11" hidden="1">{#N/A,#N/A,FALSE,"BS";#N/A,#N/A,FALSE,"PL_10Q";#N/A,#N/A,FALSE,"SOE";#N/A,#N/A,FALSE,"SCF"}</definedName>
    <definedName name="wrn.Financials_long." localSheetId="11" hidden="1">{"IS",#N/A,FALSE,"Financials2 (Expanded)";"bsa",#N/A,FALSE,"Financials2 (Expanded)";"BS",#N/A,FALSE,"Financials2 (Expanded)";"CF",#N/A,FALSE,"Financials2 (Expanded)"}</definedName>
    <definedName name="wrn.finmodel." localSheetId="11" hidden="1">{#N/A,#N/A,FALSE,"Fin Model"}</definedName>
    <definedName name="wrn.finmodel._1" localSheetId="11" hidden="1">{#N/A,#N/A,FALSE,"Fin Model"}</definedName>
    <definedName name="wrn.finmodel._1_1" localSheetId="11" hidden="1">{#N/A,#N/A,FALSE,"Fin Model"}</definedName>
    <definedName name="wrn.finmodel._1_2" localSheetId="11" hidden="1">{#N/A,#N/A,FALSE,"Fin Model"}</definedName>
    <definedName name="wrn.finmodel._1_3" localSheetId="11" hidden="1">{#N/A,#N/A,FALSE,"Fin Model"}</definedName>
    <definedName name="wrn.finmodel._1_4" localSheetId="11" hidden="1">{#N/A,#N/A,FALSE,"Fin Model"}</definedName>
    <definedName name="wrn.finmodel._2" localSheetId="11" hidden="1">{#N/A,#N/A,FALSE,"Fin Model"}</definedName>
    <definedName name="wrn.finmodel._3" localSheetId="11" hidden="1">{#N/A,#N/A,FALSE,"Fin Model"}</definedName>
    <definedName name="wrn.finmodel._4" localSheetId="11" hidden="1">{#N/A,#N/A,FALSE,"Fin Model"}</definedName>
    <definedName name="wrn.finmodel._5" localSheetId="11" hidden="1">{#N/A,#N/A,FALSE,"Fin Model"}</definedName>
    <definedName name="wrn.first2." localSheetId="11" hidden="1">{#N/A,#N/A,FALSE,"sum-don";#N/A,#N/A,FALSE,"inc-don"}</definedName>
    <definedName name="wrn.first3." localSheetId="11" hidden="1">{#N/A,#N/A,FALSE,"Summary";#N/A,#N/A,FALSE,"proj1";#N/A,#N/A,FALSE,"proj2"}</definedName>
    <definedName name="wrn.first4." localSheetId="11" hidden="1">{#N/A,#N/A,FALSE,"Summary";#N/A,#N/A,FALSE,"proj1";#N/A,#N/A,FALSE,"proj2";#N/A,#N/A,FALSE,"DCF"}</definedName>
    <definedName name="wrn.FISV._.5._.year._.model." localSheetId="11" hidden="1">{"Assns Fax",#N/A,FALSE,"Assumptions";"Financial View",#N/A,FALSE,"Earnings";"DCF View",#N/A,FALSE,"Earnings";"Sensitivity",#N/A,FALSE,"DCF"}</definedName>
    <definedName name="wrn.fleck." localSheetId="11" hidden="1">{"first",#N/A,FALSE,"FLEXPAC2";"second",#N/A,FALSE,"FLEXPAC2"}</definedName>
    <definedName name="wrn.fleckcompac." localSheetId="11" hidden="1">{"one",#N/A,FALSE,"FLEXPAC2";"two",#N/A,FALSE,"FLEXPAC2";"three",#N/A,FALSE,"FLEXPAC2"}</definedName>
    <definedName name="wrn.Followon._.1998" localSheetId="11" hidden="1">{#N/A,#N/A,FALSE,"Summary";#N/A,#N/A,FALSE,"Pending";#N/A,#N/A,FALSE,"Jan'98";#N/A,#N/A,FALSE,"Feb'98";#N/A,#N/A,FALSE,"Mar'98";#N/A,#N/A,FALSE,"Apr'98";#N/A,#N/A,FALSE,"May'98";#N/A,#N/A,FALSE,"June'98";#N/A,#N/A,FALSE,"July'98"}</definedName>
    <definedName name="wrn.FORECAST." localSheetId="11" hidden="1">{"TOT",#N/A,FALSE,"ASFCST99";"TOTINT",#N/A,FALSE,"ASFCST99";"DOM",#N/A,FALSE,"ASFCST99";"NORTHATL",#N/A,FALSE,"ASFCST99";"PACIFIC",#N/A,FALSE,"ASFCST99";"LATAM",#N/A,FALSE,"ASFCST99"}</definedName>
    <definedName name="wrn.forecast2qf." localSheetId="11" hidden="1">{#N/A,#N/A,FALSE,"REV 110 PRNE (Bureau-Frankfurt)";#N/A,#N/A,FALSE,"REV 120 PRNE (Bureau - Paris)"}</definedName>
    <definedName name="wrn.forms." localSheetId="11" hidden="1">{#N/A,#N/A,FALSE,"Set-Up";#N/A,#N/A,FALSE,"Comparison";#N/A,#N/A,FALSE,"AR";#N/A,#N/A,FALSE,"Inv";#N/A,#N/A,FALSE,"Concentrations";#N/A,#N/A,FALSE,"Past Dues";#N/A,#N/A,FALSE,"Trends";#N/A,#N/A,FALSE,"AR Trends";#N/A,#N/A,FALSE,"Inv Trends"}</definedName>
    <definedName name="wrn.FRANCE._.FINANCIALS." localSheetId="11" hidden="1">{#N/A,#N/A,FALSE,"COMP BS-FRANCE";#N/A,#N/A,FALSE,"96 COMP P&amp;L-FRANCE";#N/A,#N/A,FALSE,"BUD VS ACT FRAN 96";#N/A,#N/A,FALSE,"B/S - FRANCE"}</definedName>
    <definedName name="wrn.FS._.AND._.TBLS._.10K." localSheetId="11"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wrn.FS_2005." localSheetId="11" hidden="1">{"BS-Yearly",#N/A,TRUE,"BS-Year";"BS-Monthly-2005",#N/A,TRUE,"BS"}</definedName>
    <definedName name="wrn.full." localSheetId="11" hidden="1">{"vi1",#N/A,FALSE,"Pagcc";"vi2",#N/A,FALSE,"Pagcc";"vi3",#N/A,FALSE,"Pagcc";"vi4",#N/A,FALSE,"Pagcc";"vi5",#N/A,FALSE,"Pagcc";#N/A,#N/A,FALSE,"Contribution"}</definedName>
    <definedName name="wrn.Full._.Budget." localSheetId="11" hidden="1">{#N/A,#N/A,FALSE,"IS-Month";#N/A,#N/A,FALSE,"IS-Qtr";#N/A,#N/A,FALSE,"Bal";#N/A,#N/A,FALSE,"Flow";#N/A,#N/A,FALSE,"Volumes";#N/A,#N/A,FALSE,"LOE";#N/A,#N/A,FALSE,"Revenues";#N/A,#N/A,FALSE,"OpMar";#N/A,#N/A,FALSE,"DD&amp;A";#N/A,#N/A,FALSE,"Oil $";#N/A,#N/A,FALSE,"Gas $";#N/A,#N/A,FALSE,"Swaps";#N/A,#N/A,FALSE,"CAPEX";#N/A,#N/A,FALSE,"G&amp;A";#N/A,#N/A,FALSE,"Debt";#N/A,#N/A,FALSE,"Interest"}</definedName>
    <definedName name="wrn.Full._.Financials." localSheetId="11" hidden="1">{#N/A,#N/A,TRUE,"Financials";#N/A,#N/A,TRUE,"Operating Statistics";#N/A,#N/A,TRUE,"Capex &amp; Depreciation";#N/A,#N/A,TRUE,"Debt"}</definedName>
    <definedName name="wrn.Full._.Model." localSheetId="11" hidden="1">{#N/A,#N/A,FALSE,"Cov";#N/A,#N/A,FALSE,"sum (2)";#N/A,#N/A,FALSE,"bs";#N/A,#N/A,FALSE,"is";#N/A,#N/A,FALSE,"pis";#N/A,#N/A,FALSE,"cf";#N/A,#N/A,FALSE,"wc";#N/A,#N/A,FALSE,"ltd";#N/A,#N/A,FALSE,"cover";#N/A,#N/A,FALSE,"irr (2)";#N/A,#N/A,FALSE,"in"}</definedName>
    <definedName name="wrn.Full._.Monty." localSheetId="11" hidden="1">{"ROIC",#N/A,FALSE,"ROIC";"Graphs",#N/A,FALSE,"TY analysis";"fcf",#N/A,FALSE,"FCF";"Matrix_2004",#N/A,FALSE,"MATRIX(2004)";"matrix_2008",#N/A,FALSE,"MATRIX(2008)";"FS_Condensed",#N/A,FALSE,"Financial Statements2";"TAXES",#N/A,FALSE,"Taxes";"DEBT_INVEST",#N/A,FALSE,"Debt&amp;Investment Schedule";"Main_menu",#N/A,FALSE,"Main Menu"}</definedName>
    <definedName name="wrn.Full._.Package." localSheetId="11" hidden="1">{#N/A,#N/A,FALSE,"COVER";#N/A,#N/A,FALSE,"INDEX";#N/A,#N/A,FALSE,"P1000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Full._.Print._.Out." localSheetId="11"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1" localSheetId="11"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1_1" localSheetId="11"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1_2" localSheetId="11"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1_3" localSheetId="11"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1_4" localSheetId="11"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2" localSheetId="11"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3" localSheetId="11"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4" localSheetId="11"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5" localSheetId="11"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report." localSheetId="1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Workbook._.Report." localSheetId="11" hidden="1">{"Balance Sheet Summary",#N/A,TRUE,"Balance Sheet";"Cash Flow Summary",#N/A,TRUE,"Cash Flow";"Capital Plan CA Schedule",#N/A,TRUE,"Capital Plan";"Capital Plan Summary",#N/A,TRUE,"Capital Plan"}</definedName>
    <definedName name="wrn.Full_Template." localSheetId="11"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wrn.Fund._.II." localSheetId="11"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wrn.Fund._.II._.Adv.._.Brd._.June._.2000." localSheetId="11" hidden="1">{#N/A,#N/A,TRUE,"FD II Portfolio Summary";#N/A,#N/A,TRUE,"JRI";#N/A,#N/A,TRUE,"NDS";#N/A,#N/A,TRUE,"Weasler";#N/A,#N/A,TRUE,"Stronghaven";#N/A,#N/A,TRUE,"Connor";#N/A,#N/A,TRUE,"Docu";#N/A,#N/A,TRUE,"HWC";#N/A,#N/A,TRUE,"Temple"}</definedName>
    <definedName name="wrn.Fund._.II._.Adv._.Mtg.." localSheetId="1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wrn.Fund._.II._.Mtg.." localSheetId="11"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Fund._.III." localSheetId="11"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wrn.Fund._.III._.Adv.._.Brd.._.June._.2000." localSheetId="11"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wrn.Fund._.III._.Adv._.Mtg.." localSheetId="11"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wrn.Fund._.IV._.Adv.._.Brd.._.June._.2000." localSheetId="11" hidden="1">{#N/A,#N/A,TRUE,"FD IV Portfolio Summary ";#N/A,#N/A,TRUE,"Western";#N/A,#N/A,TRUE,"Kranson";#N/A,#N/A,TRUE,"ARC";#N/A,#N/A,TRUE,"Precise";#N/A,#N/A,TRUE,"WNA"}</definedName>
    <definedName name="wrn.FUNDING._.ANALYSIS._.PRINT." localSheetId="11" hidden="1">{"0TOC",#N/A,TRUE,"Sheet2";"1 2 3","A Scenario 1",TRUE,"STAND ALONE";"1 2 3","A SCenario 2",TRUE,"STAND ALONE";"1 2 3","A Scenario 3",TRUE,"STAND ALONE";"4","A Scenario 4",TRUE,"STAND ALONE";"5","A Scenario 5",TRUE,"EDWARD SCENARIOS";"6","A Scenario 6",TRUE,"EDWARD SCENARIOS";"7","A Scenario 7",TRUE,"SAM SCENARIOS";"8","A Scenario 8",TRUE,"SAM SCENARIOS";"9 - Nutmeg",#N/A,TRUE,"NUTMEG";"10 - LA",#N/A,TRUE,"LATAM CASH";"11 - Stream nds",#N/A,TRUE,"STREAM - NDS"}</definedName>
    <definedName name="wrn.Funnel._.Report." localSheetId="11" hidden="1">{#N/A,#N/A,FALSE,"funnel";#N/A,#N/A,FALSE,"AE Summary";#N/A,#N/A,FALSE,"Product Summary"}</definedName>
    <definedName name="wrn.FY00._.all._.reports." localSheetId="11" hidden="1">{"cash flow - FY00",#N/A,FALSE,"P &amp; L";"qtrly summ-FY00",#N/A,FALSE,"P &amp; L";"monthly P&amp;L-FY00",#N/A,FALSE,"P &amp; L";"P&amp;L FY00",#N/A,FALSE,"P &amp; L";"BS FY00",#N/A,FALSE,"P &amp; L";"staffing - FY00",#N/A,FALSE,"P &amp; L"}</definedName>
    <definedName name="wrn.FY01._.all._.reports." localSheetId="11" hidden="1">{"qtrly summ-FY01",#N/A,FALSE,"P &amp; L";"monthly P&amp;L-FY01",#N/A,FALSE,"P &amp; L";"cash flow - FY01",#N/A,FALSE,"P &amp; L";"P&amp;L FY01",#N/A,FALSE,"P &amp; L";"BS FY01",#N/A,FALSE,"P &amp; L";"staffing - FY01",#N/A,FALSE,"P &amp; L"}</definedName>
    <definedName name="wrn.FY01_Fin_Stmts." localSheetId="11" hidden="1">{"FY01_Assets",#N/A,FALSE,"Fin Stmt Budget";"FY01_Liabilities",#N/A,FALSE,"Fin Stmt Budget";"FY01_Inc_Stmt",#N/A,FALSE,"Fin Stmt Budget";"FY01_SOCF",#N/A,FALSE,"Fin Stmt Budget"}</definedName>
    <definedName name="wrn.FY02._.all._.reports." localSheetId="11" hidden="1">{"cash flow - FY02",#N/A,FALSE,"P &amp; L";"qtrly summ-FY02",#N/A,FALSE,"P &amp; L";"monthly P&amp;L-FY02",#N/A,FALSE,"P &amp; L";"P&amp;L FY02",#N/A,FALSE,"P &amp; L";"BS FY02",#N/A,FALSE,"P &amp; L";"staffing - FY02",#N/A,FALSE,"P &amp; L"}</definedName>
    <definedName name="wrn.FY02_Fin_Stmts." localSheetId="11" hidden="1">{"FY02_Assets",#N/A,FALSE,"Fin Stmt Budget";"FY02_Liabilities",#N/A,FALSE,"Fin Stmt Budget";"FY02_Inc_Stmt",#N/A,FALSE,"Fin Stmt Budget";"FY02_SOCF",#N/A,FALSE,"Fin Stmt Budget"}</definedName>
    <definedName name="wrn.FY03._.all._.reports." localSheetId="11" hidden="1">{"cash flow - FY03",#N/A,FALSE,"P &amp; L";"qtrly summ-FY03",#N/A,FALSE,"P &amp; L";"monthly P&amp;L-FY03",#N/A,FALSE,"P &amp; L";"P&amp;L FY03",#N/A,FALSE,"P &amp; L";"BS FY03",#N/A,FALSE,"P &amp; L";"staffing - FY03",#N/A,FALSE,"P &amp; L"}</definedName>
    <definedName name="wrn.FY03_Fin_Stmts." localSheetId="11" hidden="1">{"FY03_Assets",#N/A,FALSE,"Fin Stmt Budget";"FY03_Liabilities",#N/A,FALSE,"Fin Stmt Budget";"FY03_Inc_Stmt",#N/A,FALSE,"Fin Stmt Budget";"FY03_SOCF",#N/A,FALSE,"Fin Stmt Budget"}</definedName>
    <definedName name="wrn.FY04_Fin._.Stmts." localSheetId="11" hidden="1">{"FY04_Assets",#N/A,FALSE,"Fin Stmt Budget";"FY04_Liabilities",#N/A,FALSE,"Fin Stmt Budget";"FY04_Inc_Stmt",#N/A,FALSE,"Fin Stmt Budget";"FY04_SOCF",#N/A,FALSE,"Fin Stmt Budget"}</definedName>
    <definedName name="wrn.FY06" localSheetId="11" hidden="1">{"FY04_Assets",#N/A,FALSE,"Fin Stmt Budget";"FY04_Liabilities",#N/A,FALSE,"Fin Stmt Budget";"FY04_Inc_Stmt",#N/A,FALSE,"Fin Stmt Budget";"FY04_SOCF",#N/A,FALSE,"Fin Stmt Budget"}</definedName>
    <definedName name="wrn.FY07" localSheetId="11" hidden="1">{"FY01_Assets",#N/A,FALSE,"Fin Stmt Budget";"FY01_Liabilities",#N/A,FALSE,"Fin Stmt Budget";"FY01_Inc_Stmt",#N/A,FALSE,"Fin Stmt Budget";"FY01_SOCF",#N/A,FALSE,"Fin Stmt Budget"}</definedName>
    <definedName name="wrn.FY07_fin" localSheetId="11" hidden="1">{"FY04_Assets",#N/A,FALSE,"Fin Stmt Budget";"FY04_Liabilities",#N/A,FALSE,"Fin Stmt Budget";"FY04_Inc_Stmt",#N/A,FALSE,"Fin Stmt Budget";"FY04_SOCF",#N/A,FALSE,"Fin Stmt Budget"}</definedName>
    <definedName name="wrn.FY96sbp99" localSheetId="11" hidden="1">{#N/A,#N/A,FALSE,"FY97";#N/A,#N/A,FALSE,"FY98";#N/A,#N/A,FALSE,"FY99";#N/A,#N/A,FALSE,"FY00";#N/A,#N/A,FALSE,"FY01"}</definedName>
    <definedName name="wrn.FY97SBP." localSheetId="11" hidden="1">{#N/A,#N/A,FALSE,"FY97";#N/A,#N/A,FALSE,"FY98";#N/A,#N/A,FALSE,"FY99";#N/A,#N/A,FALSE,"FY00";#N/A,#N/A,FALSE,"FY01"}</definedName>
    <definedName name="wrn.FY97SBP2" localSheetId="11" hidden="1">{#N/A,#N/A,FALSE,"FY97";#N/A,#N/A,FALSE,"FY98";#N/A,#N/A,FALSE,"FY99";#N/A,#N/A,FALSE,"FY00";#N/A,#N/A,FALSE,"FY01"}</definedName>
    <definedName name="wrn.GCIall." localSheetId="11" hidden="1">{"gcicash",#N/A,FALSE,"GCIINC";"gciinc",#N/A,FALSE,"GCIINC";"gciexclusa",#N/A,FALSE,"GCIINC";"usatdy",#N/A,FALSE,"GCIINC"}</definedName>
    <definedName name="wrn.General._.OTC." localSheetId="11" hidden="1">{#N/A,#N/A,FALSE,"Title Page (3)";#N/A,#N/A,FALSE,"YTD - OTC";#N/A,#N/A,FALSE,"MTH - OTC"}</definedName>
    <definedName name="wrn.General._.Pharm." localSheetId="11" hidden="1">{#N/A,#N/A,FALSE,"Title Page (2)";#N/A,#N/A,FALSE,"YTD - Pharm";#N/A,#N/A,FALSE,"MTH - Pharm"}</definedName>
    <definedName name="wrn.General._.Total." localSheetId="11" hidden="1">{#N/A,#N/A,FALSE,"Title Page (4)";#N/A,#N/A,FALSE,"YTD - Total";#N/A,#N/A,FALSE,"MTH - Total"}</definedName>
    <definedName name="wrn.Gesamtausdruck._.alle._.Perioden." localSheetId="11" hidden="1">{"Alle Perioden",#N/A,FALSE,"Erf";"Alle Perioden",#N/A,FALSE,"Ang";"Alle Perioden",#N/A,FALSE,"BV";"Alle Perioden",#N/A,FALSE,"BE";"Alle Perioden",#N/A,FALSE,"Re";"Alle Perioden",#N/A,FALSE,"Vol";"Alle Perioden",#N/A,FALSE,"BV100";"Alle Perioden",#N/A,FALSE,"BE100";"Alle Perioden",#N/A,FALSE,"Re100";"Alle Perioden",#N/A,FALSE,"Vol100"}</definedName>
    <definedName name="wrn.Gesamtausdruck._.erste._.elf._.Perioden." localSheetId="11" hidden="1">{"Erste elf Perioden",#N/A,FALSE,"Erf";"Erste elf Perioden",#N/A,FALSE,"Ang";"Erste elf Perioden",#N/A,FALSE,"BV";"Erste elf Perioden",#N/A,FALSE,"BE";"Erste elf Perioden",#N/A,FALSE,"Re";"Erste elf Perioden",#N/A,FALSE,"Vol";"Erste elf Perioden",#N/A,FALSE,"BV100";"Erste elf Perioden",#N/A,FALSE,"BE100";"Erste elf Perioden",#N/A,FALSE,"Re100";"Erste elf Perioden",#N/A,FALSE,"Vol100"}</definedName>
    <definedName name="wrn.GIS." localSheetId="11" hidden="1">{#N/A,#N/A,FALSE,"GIS"}</definedName>
    <definedName name="wrn.GJE_NBR_7_Print_Job." localSheetId="11" hidden="1">{"Accrual_Calculation",#N/A,FALSE,"Comp Calc";"SJE#7",#N/A,FALSE,"GJE"}</definedName>
    <definedName name="wrn.graph." localSheetId="11" hidden="1">{"graph",#N/A,FALSE,"RIGCOUNT";"graph",#N/A,FALSE,"ON_OFFSHORE";"graph",#N/A,FALSE,"crewcnt";"graph",#N/A,FALSE,"OILvGAS";"graph",#N/A,FALSE,"OFF_RIGCOUNT";"graph",#N/A,FALSE,"indep perf";"graph",#N/A,FALSE,"oil serv perf"}</definedName>
    <definedName name="wrn.GRAPHS." localSheetId="11" hidden="1">{#N/A,#N/A,FALSE,"ACQ_GRAPHS";#N/A,#N/A,FALSE,"T_1 GRAPHS";#N/A,#N/A,FALSE,"T_2 GRAPHS";#N/A,#N/A,FALSE,"COMB_GRAPHS"}</definedName>
    <definedName name="wrn.gross._.margin._.detail." localSheetId="11" hidden="1">{"gross_margin1",#N/A,FALSE,"Gross Margin Detail";"gross_margin2",#N/A,FALSE,"Gross Margin Detail"}</definedName>
    <definedName name="wrn.Gross._.Profit._.Report." localSheetId="11" hidden="1">{"Monthly",#N/A,FALSE,"Phosphate Gross Profit";"Quarterly",#N/A,FALSE,"Phosphate Gross Profit"}</definedName>
    <definedName name="wrn.Group._.budget._.months._.only." localSheetId="11" hidden="1">{"Group Budget months only",#N/A,TRUE,"Profit and Loss";"Group Budget months only",#N/A,TRUE,"Firm capex";"Group Budget months only",#N/A,TRUE,"Gross profit analysis";"Group Budget months only",#N/A,TRUE,"Cashflow";"Group Budget months only",#N/A,TRUE,"Balance Sheet"}</definedName>
    <definedName name="wrn.Group._.budget._.years._.only." localSheetId="11" hidden="1">{"Group Budget years only",#N/A,TRUE,"Profit and Loss";"Group Budget years only",#N/A,TRUE,"Firm capex";"Group Budget years only",#N/A,TRUE,"Gross profit analysis";"Group Budget years only",#N/A,TRUE,"Cashflow";"Group Budget years only",#N/A,TRUE,"Balance Sheet"}</definedName>
    <definedName name="wrn.Growth." localSheetId="11" hidden="1">{#N/A,#N/A,FALSE,"Rev Grwth";#N/A,#N/A,FALSE,"Op Inc Grwth";#N/A,#N/A,FALSE,"Net Grwth";#N/A,#N/A,FALSE,"EPS Growth"}</definedName>
    <definedName name="wrn.Guillaume." localSheetId="11" hidden="1">{"MARCH",#N/A,FALSE,"CONSO OPEX 5899";"FullOpex",#N/A,FALSE,"CONSO OPEX 5899"}</definedName>
    <definedName name="wrn.HAMMOND." localSheetId="11"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NDOUT." localSheetId="11" hidden="1">{#N/A,#N/A,FALSE,"COVER PAGE";#N/A,#N/A,FALSE,"Page 2";#N/A,#N/A,FALSE,"Page 2";#N/A,#N/A,FALSE,"Page 4";#N/A,#N/A,FALSE,"Page5";#N/A,#N/A,FALSE,"Page 6";#N/A,#N/A,FALSE,"Page 7";#N/A,#N/A,FALSE,"Page 8";#N/A,#N/A,FALSE,"Page 10";#N/A,#N/A,FALSE,"Long-Term OCF Mult.";#N/A,#N/A,FALSE,"PCS Comp";#N/A,#N/A,FALSE,"OCS-CAPEX";#N/A,#N/A,FALSE,"Blank"}</definedName>
    <definedName name="wrn.HEAT." localSheetId="11" hidden="1">{#N/A,#N/A,FALSE,"Heat";#N/A,#N/A,FALSE,"DCF";#N/A,#N/A,FALSE,"LBO";#N/A,#N/A,FALSE,"A";#N/A,#N/A,FALSE,"C";#N/A,#N/A,FALSE,"impd";#N/A,#N/A,FALSE,"Accr-Dilu"}</definedName>
    <definedName name="wrn.historical." localSheetId="11" hidden="1">{"historical_is_annual",#N/A,FALSE,"historical is";"historical_is_annual_cs",#N/A,FALSE,"historical is";"historical_is_annual_growth",#N/A,FALSE,"historical is";"historical_is_quarter",#N/A,FALSE,"historical is";"historical_is_quarter_cs",#N/A,FALSE,"historical is";"historical_is_quarter_growth",#N/A,FALSE,"historical is";"historical_bs_annual",#N/A,FALSE,"historical is";"historical_bs_annaul_cs",#N/A,FALSE,"historical is";"historical_bs_annaul_growth",#N/A,FALSE,"historical is";"historical_bs_quarter",#N/A,FALSE,"historical is";"historical_bs_quarter_cs",#N/A,FALSE,"historical is";"historical_bs_quarter_growth",#N/A,FALSE,"historical is";"historical_cf",#N/A,FALSE,"historical is";"historical_workcap",#N/A,FALSE,"historical is";"historical_ratios_1",#N/A,FALSE,"historical is";"historical_ratios_2",#N/A,FALSE,"historical is";"historical_ratios_3",#N/A,FALSE,"historical is"}</definedName>
    <definedName name="wrn.historical._.performance." localSheetId="11" hidden="1">{"historical acquirer",#N/A,FALSE,"Historical Performance";"historical target",#N/A,FALSE,"Historical Performance"}</definedName>
    <definedName name="wrn.historical._.rev._.backup." localSheetId="11" hidden="1">{"rev_history_revenueDetail",#N/A,FALSE,"historical rev us";"rev_history_minutesDetail",#N/A,FALSE,"historical rev us"}</definedName>
    <definedName name="wrn.HNZ." localSheetId="11" hidden="1">{#N/A,#N/A,FALSE,"HNZ"}</definedName>
    <definedName name="wrn.HSSH._.budget._.months._.NLG." localSheetId="11"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sterling." localSheetId="11"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years._.NLG." localSheetId="11" hidden="1">{"HSSH Budget years NLG",#N/A,TRUE,"Profit and Loss";"HSSH Budget years NLG",#N/A,TRUE,"Firm capex";"HSSH Budget years NLG",#N/A,TRUE,"Gross profit analysis";"HSSH Budget years NLG",#N/A,TRUE,"Cashflow";"HSSH Budget years NLG",#N/A,TRUE,"Balance Sheet"}</definedName>
    <definedName name="wrn.HSSH._.Budget._.years._.sterling." localSheetId="11" hidden="1">{"HSSH Budget years sterling",#N/A,TRUE,"Profit and Loss";"HSSH Budget years sterling",#N/A,TRUE,"Firm capex";"HSSH Budget years sterling",#N/A,TRUE,"Gross profit analysis";"HSSH Budget years sterling",#N/A,TRUE,"Cashflow";"HSSH Budget years sterling",#N/A,TRUE,"Balance Sheet"}</definedName>
    <definedName name="wrn.Hydraulic." localSheetId="11"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localSheetId="11" hidden="1">{#N/A,#N/A,FALSE,"HuscoCombined-Summ";#N/A,#N/A,FALSE,"HuscoCombined-Income";#N/A,#N/A,FALSE,"HuscoCombined-Offering";#N/A,#N/A,FALSE,"Husco-Income";#N/A,#N/A,FALSE,"TargetEngineer";#N/A,#N/A,FALSE,"TargetAcqCalc";#N/A,#N/A,FALSE,"Husco-Acq"}</definedName>
    <definedName name="wrn.IDPH." localSheetId="11" hidden="1">{"Rituxan Revenues",#N/A,FALSE,"B cell Revenues";"QEarn1",#N/A,FALSE,"Qearn";"QEarn2",#N/A,FALSE,"Qearn";"QMargin",#N/A,FALSE,"qmargin";"Cashflow",#N/A,FALSE,"cashflow";"Product Pipeline",#N/A,FALSE,"Product Pipeline"}</definedName>
    <definedName name="wrn.II._.PortRev33102." localSheetId="11" hidden="1">{#N/A,#N/A,TRUE,"Port Summary II";#N/A,#N/A,TRUE,"BV Valuation";#N/A,#N/A,TRUE,"FV Valuation";#N/A,#N/A,TRUE,"JRI";#N/A,#N/A,TRUE,"Weasler";#N/A,#N/A,TRUE,"Stronghaven";#N/A,#N/A,TRUE,"Connor";#N/A,#N/A,TRUE,"HWC";#N/A,#N/A,TRUE,"Temple"}</definedName>
    <definedName name="wrn.III." localSheetId="11" hidden="1">{"CASHFLOW",#N/A,FALSE,"Northpointe"}</definedName>
    <definedName name="wrn.III1." localSheetId="11" hidden="1">{"CASHFLOW",#N/A,FALSE,"Northpointe"}</definedName>
    <definedName name="wrn.Ilijan._.Print." localSheetId="11"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mp_sommaire." localSheetId="11" hidden="1">{"imp_Sommaire",#N/A,FALSE,"REV IMMOBILIER"}</definedName>
    <definedName name="wrn.imp_Tous." localSheetId="11" hidden="1">{"imp_0196",#N/A,FALSE,"0019";"imp_0000",#N/A,FALSE,"0000";"imp_0214",#N/A,FALSE,"0214";"imp_0143",#N/A,FALSE,"0143";"imp_0144",#N/A,FALSE,"0144";"imp_0154",#N/A,FALSE,"0154";"imp_0155",#N/A,FALSE,"0155";"imp_0161",#N/A,FALSE,"0161";"imp_0205",#N/A,FALSE,"0205";"imp_0196",#N/A,FALSE,"0196"}</definedName>
    <definedName name="wrn.Income." localSheetId="11" hidden="1">{#N/A,#N/A,TRUE,"Income";#N/A,#N/A,TRUE,"IncomeDetail";#N/A,#N/A,TRUE,"Balance";#N/A,#N/A,TRUE,"BalDetail"}</definedName>
    <definedName name="wrn.Income._.State." localSheetId="11" hidden="1">{#N/A,#N/A,FALSE,"Income statement";#N/A,#N/A,FALSE,"Income Statement by Plant"}</definedName>
    <definedName name="wrn.Income._.State._.and._.CapEx." localSheetId="11" hidden="1">{#N/A,#N/A,FALSE,"Income statement";#N/A,#N/A,FALSE,"Income Statement by Plant"}</definedName>
    <definedName name="wrn.INCOME._.STATEMENT." localSheetId="11" hidden="1">{"INCOME STATEMENT",#N/A,FALSE,"Income Statement"}</definedName>
    <definedName name="wrn.Income._.Statement._1" localSheetId="11" hidden="1">{"% Growth",#N/A,FALSE,"Income Statement";"% of GDAR",#N/A,FALSE,"Income Statement"}</definedName>
    <definedName name="wrn.Income._.Statement._1_1" localSheetId="11" hidden="1">{"% Growth",#N/A,FALSE,"Income Statement";"% of GDAR",#N/A,FALSE,"Income Statement"}</definedName>
    <definedName name="wrn.Income._.Statement._1_2" localSheetId="11" hidden="1">{"% Growth",#N/A,FALSE,"Income Statement";"% of GDAR",#N/A,FALSE,"Income Statement"}</definedName>
    <definedName name="wrn.Income._.Statement._1_3" localSheetId="11" hidden="1">{"% Growth",#N/A,FALSE,"Income Statement";"% of GDAR",#N/A,FALSE,"Income Statement"}</definedName>
    <definedName name="wrn.Income._.Statement._1_4" localSheetId="11" hidden="1">{"% Growth",#N/A,FALSE,"Income Statement";"% of GDAR",#N/A,FALSE,"Income Statement"}</definedName>
    <definedName name="wrn.Income._.Statement._2" localSheetId="11" hidden="1">{"% Growth",#N/A,FALSE,"Income Statement";"% of GDAR",#N/A,FALSE,"Income Statement"}</definedName>
    <definedName name="wrn.Income._.Statement._3" localSheetId="11" hidden="1">{"% Growth",#N/A,FALSE,"Income Statement";"% of GDAR",#N/A,FALSE,"Income Statement"}</definedName>
    <definedName name="wrn.Income._.Statement._4" localSheetId="11" hidden="1">{"% Growth",#N/A,FALSE,"Income Statement";"% of GDAR",#N/A,FALSE,"Income Statement"}</definedName>
    <definedName name="wrn.Income._.Statement._5" localSheetId="11" hidden="1">{"% Growth",#N/A,FALSE,"Income Statement";"% of GDAR",#N/A,FALSE,"Income Statement"}</definedName>
    <definedName name="wrn.Income._.Statements." localSheetId="11" hidden="1">{"Income Statement",#N/A,FALSE,"P&amp;L - $";"Quarterly Income Statement",#N/A,FALSE,"P&amp;L Detail"}</definedName>
    <definedName name="wrn.INDEPS." localSheetId="11" hidden="1">{"page1",#N/A,FALSE,"TIND_CC1";"page2",#N/A,FALSE,"TIND_CC1";"page3",#N/A,FALSE,"TIND_CC1";"page4",#N/A,FALSE,"TIND_CC1";"page5",#N/A,FALSE,"TIND_CC1"}</definedName>
    <definedName name="wrn.Individual._.Statements." localSheetId="11" hidden="1">{"barlup",#N/A,FALSE,"evabnk97";"gillespey",#N/A,FALSE,"evabnk97";"koon",#N/A,FALSE,"evabnk97";"schreur",#N/A,FALSE,"evabnk97";"stone",#N/A,FALSE,"evabnk97";"wichmann",#N/A,FALSE,"evabnk97";"wright",#N/A,FALSE,"evabnk97"}</definedName>
    <definedName name="wrn.Industry.xls." localSheetId="11" hidden="1">{#N/A,#N/A,FALSE,"Earnings";#N/A,#N/A,FALSE,"Overview";#N/A,#N/A,FALSE,"Summary";#N/A,#N/A,FALSE,"Summary II";#N/A,#N/A,FALSE,"R&amp;D";#N/A,#N/A,FALSE,"R&amp;D Forecast";#N/A,#N/A,FALSE,"Tax Adj";#N/A,#N/A,FALSE,"Goodwill";#N/A,#N/A,FALSE,"FX ";#N/A,#N/A,FALSE,"Consolidation";#N/A,#N/A,FALSE,"Provisions"}</definedName>
    <definedName name="wrn.Infectious._.Diseases." localSheetId="11" hidden="1">{#N/A,#N/A,FALSE,"Anti";#N/A,#N/A,FALSE,"Cefa";#N/A,#N/A,FALSE,"Ceph";#N/A,#N/A,FALSE,"Cefp";#N/A,#N/A,FALSE,"Cefe";#N/A,#N/A,FALSE,"Pens";#N/A,#N/A,FALSE,"Ampi";#N/A,#N/A,FALSE,"Amox";#N/A,#N/A,FALSE,"Isox";#N/A,#N/A,FALSE,"Aztr";#N/A,#N/A,FALSE,"Videx";#N/A,#N/A,FALSE,"Zerit"}</definedName>
    <definedName name="wrn.info." localSheetId="11" hidden="1">{#N/A,#N/A,FALSE,"INFORMATIQUE"}</definedName>
    <definedName name="wrn.input._.and._.output." localSheetId="11" hidden="1">{"EBITDA",#N/A,TRUE,"P&amp;L Net of Disc Ops";"output net of disc ops",#N/A,TRUE,"Revenue";"input",#N/A,TRUE,"Revenue";"output",#N/A,TRUE,"DC";"Input",#N/A,TRUE,"DC";"MTN and MCN",#N/A,TRUE,"Margin";"output detail line items",#N/A,TRUE,"SGA";"personnel by year",#N/A,TRUE,"Payroll";#N/A,#N/A,TRUE,"CapEx"}</definedName>
    <definedName name="wrn.Input._.Print._.Area." localSheetId="11" hidden="1">{#N/A,#N/A,FALSE,"inputs";#N/A,#N/A,FALSE,"inputs"}</definedName>
    <definedName name="wrn.Inputs." localSheetId="11" hidden="1">{"ABF inputs",#N/A,FALSE,"ABF";"ICI inputs",#N/A,FALSE,"ICI"}</definedName>
    <definedName name="wrn.Instructor._.Tips." localSheetId="11" hidden="1">{"Area 1",#N/A,TRUE,"Area";"Bar 1",#N/A,TRUE,"Area";"Salomon Bar 1",#N/A,TRUE,"Area";"Stacked Bar 1",#N/A,TRUE,"Area";"Stacked Bar 100 1",#N/A,TRUE,"Area";"Stacked Col 1",#N/A,TRUE,"Area";"Stacked Col 100 1",#N/A,TRUE,"Area";"HiLow 1",#N/A,TRUE,"Area";"Line 1",#N/A,TRUE,"Area";"Scatter 1",#N/A,TRUE,"Area";"ColLine 1",#N/A,TRUE,"Area";"Scatterline 1",#N/A,TRUE,"Area";"Football 1",#N/A,TRUE,"Area";"DAPS 1",#N/A,TRUE,"Area";"Rover 1",#N/A,TRUE,"Area";"Exchange 1",#N/A,TRUE,"Area";"Histogram 1",#N/A,TRUE,"Area";"Price Vol 1",#N/A,TRUE,"Area";"Interactive 1",#N/A,TRUE,"Area";"Column 1",#N/A,TRUE,"Area";"League 1",#N/A,TRUE,"Area";"Pie 1",#N/A,TRUE,"Area"}</definedName>
    <definedName name="wrn.Internal." localSheetId="11" hidden="1">{#N/A,#N/A,TRUE,"COVER INT";#N/A,#N/A,TRUE,"SUMMARY INT";#N/A,#N/A,TRUE,"INCOME STMT INT";#N/A,#N/A,TRUE,"IS TREND";#N/A,#N/A,TRUE,"BALANCE SHEET INT";#N/A,#N/A,TRUE,"BS TREND";#N/A,#N/A,TRUE,"CASH FLOW INT";#N/A,#N/A,TRUE,"CF TREND";#N/A,#N/A,TRUE,"SALES BY TERR INT";#N/A,#N/A,TRUE,"UNITS INT";#N/A,#N/A,TRUE,"PRODUCT SALES INT";#N/A,#N/A,TRUE,"ASP's INT";#N/A,#N/A,TRUE,"GROSS MARGINS INT";#N/A,#N/A,TRUE,"MARGINS PER UNIT INT";#N/A,#N/A,TRUE,"INVENTORY INT";#N/A,#N/A,TRUE,"HEADCOUNT INT";#N/A,#N/A,TRUE,"DEBT STRUCTURE Int";#N/A,#N/A,TRUE," AR"}</definedName>
    <definedName name="wrn.Internal._.Report._.for._.Martha." localSheetId="11"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vestment._.Summary." localSheetId="11" hidden="1">{#N/A,#N/A,TRUE,"Summary";#N/A,#N/A,TRUE,"Financials";#N/A,#N/A,TRUE,"Assumptions";#N/A,#N/A,TRUE,"Pro Forma";#N/A,#N/A,TRUE,"Debt";#N/A,#N/A,TRUE,"Amortization";#N/A,#N/A,TRUE,"GG Returns"}</definedName>
    <definedName name="wrn.IPIX." localSheetId="11" hidden="1">{#N/A,#N/A,FALSE,"Report Print"}</definedName>
    <definedName name="wrn.IPO." localSheetId="11" hidden="1">{#N/A,#N/A,FALSE,"Summary";#N/A,#N/A,FALSE,"Jan'97";#N/A,#N/A,FALSE,"Feb'97";#N/A,#N/A,FALSE,"Mar'97";#N/A,#N/A,FALSE,"Apr'97";#N/A,#N/A,FALSE,"May'97";#N/A,#N/A,FALSE,"Jun'97";#N/A,#N/A,FALSE,"Jul'97";#N/A,#N/A,FALSE,"Aug'97";#N/A,#N/A,FALSE,"Sept'97";#N/A,#N/A,FALSE,"Oct'97";#N/A,#N/A,FALSE,"Nov'97";#N/A,#N/A,FALSE,"Dec'97";#N/A,#N/A,FALSE,"Pending"}</definedName>
    <definedName name="wrn.IPO._.1998." localSheetId="11" hidden="1">{#N/A,#N/A,FALSE,"Summary";#N/A,#N/A,FALSE,"Pending";#N/A,#N/A,FALSE,"Jan'98";#N/A,#N/A,FALSE,"Feb'98";#N/A,#N/A,FALSE,"Mar'98";#N/A,#N/A,FALSE,"Apr'98";#N/A,#N/A,FALSE,"May'98";#N/A,#N/A,FALSE,"June'98";#N/A,#N/A,FALSE,"July'98"}</definedName>
    <definedName name="wrn.IPO._.Analysis." localSheetId="11" hidden="1">{#N/A,#N/A,FALSE,"Summary";#N/A,#N/A,FALSE,"Pending";#N/A,#N/A,FALSE,"Oct'97";#N/A,#N/A,FALSE,"Sept'97";#N/A,#N/A,FALSE,"Aug'97";#N/A,#N/A,FALSE,"Jul'97";#N/A,#N/A,FALSE,"Jun'97";#N/A,#N/A,FALSE,"May'97";#N/A,#N/A,FALSE,"Apr'97";#N/A,#N/A,FALSE,"Mar'97";#N/A,#N/A,FALSE,"Feb'97";#N/A,#N/A,FALSE,"Jan'97"}</definedName>
    <definedName name="wrn.IPO._.Valuation." localSheetId="11" hidden="1">{"assumptions",#N/A,FALSE,"Scenario 1";"valuation",#N/A,FALSE,"Scenario 1"}</definedName>
    <definedName name="wrn.ipovalue." localSheetId="11" hidden="1">{#N/A,#N/A,FALSE,"puboff";#N/A,#N/A,FALSE,"valuation";#N/A,#N/A,FALSE,"finanalsis";#N/A,#N/A,FALSE,"split";#N/A,#N/A,FALSE,"ownership"}</definedName>
    <definedName name="wrn.IS._.Q96." localSheetId="11" hidden="1">{"IS Q96",#N/A,FALSE,"Income Statement"}</definedName>
    <definedName name="wrn.IS._.Q97." localSheetId="11" hidden="1">{"IS Q97",#N/A,FALSE,"Income Statement"}</definedName>
    <definedName name="wrn.IS._.Years." localSheetId="11" hidden="1">{"IS Years",#N/A,FALSE,"Income Statement"}</definedName>
    <definedName name="wrn.IS_BS_SCF." localSheetId="11" hidden="1">{#N/A,#N/A,FALSE,"Income Statement";#N/A,#N/A,FALSE,"Balance Sheet";#N/A,#N/A,FALSE,"Cash Flow"}</definedName>
    <definedName name="wrn.ISCG._.model." localSheetId="11" hidden="1">{#N/A,#N/A,FALSE,"Second";#N/A,#N/A,FALSE,"ownership";#N/A,#N/A,FALSE,"Valuation";#N/A,#N/A,FALSE,"Eqiv";#N/A,#N/A,FALSE,"Mults";#N/A,#N/A,FALSE,"ISCG Graphics"}</definedName>
    <definedName name="wrn.IV." localSheetId="11" hidden="1">{"CASHFLOW",#N/A,FALSE,"Northpointe"}</definedName>
    <definedName name="wrn.JANI._.REBATES." localSheetId="11" hidden="1">{"TOTAL",#N/A,FALSE,"A";"FISCAL94",#N/A,FALSE,"A";"FISCAL95",#N/A,FALSE,"A";"FISCAL96",#N/A,FALSE,"A";"misc page",#N/A,FALSE,"A"}</definedName>
    <definedName name="wrn.jerrys_copy." localSheetId="11"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ODM._.Graphs." localSheetId="11" hidden="1">{"graph",#N/A,FALSE,"WWJU";"graph",#N/A,FALSE,"WWSEM";"graph",#N/A,FALSE,"GOMJU";"graph",#N/A,FALSE,"GOMSEM";"graph",#N/A,FALSE,"NSJU";"graph",#N/A,FALSE,"NSSEM";"graph",#N/A,FALSE,"WAJU";"graph",#N/A,FALSE,"STOCKPRI";"graph",#N/A,FALSE,"CFTEV";"graph",#N/A,FALSE,"NAV-RCV";"graph",#N/A,FALSE,"CRUDEWW"}</definedName>
    <definedName name="wrn.July._.Final." localSheetId="11" hidden="1">{#N/A,#N/A,TRUE,"Mth Sum";#N/A,#N/A,TRUE,"YTD Sum";#N/A,#N/A,TRUE,"Mth Rev Sum";#N/A,#N/A,TRUE,"YTD Rev Sum";#N/A,#N/A,TRUE,"SC vs Pr Month (Revised)";#N/A,#N/A,TRUE,"SVC Detail Mth vs Pr Mth (Rev)";#N/A,#N/A,TRUE,"SGA (Elem) vs Pr Month";#N/A,#N/A,TRUE,"SGA (BU) vs Pr Mth";#N/A,#N/A,TRUE,"SC vs Plan (Revised)";#N/A,#N/A,TRUE,"SVC Detail Mth vsPlan (Rev)";#N/A,#N/A,TRUE,"SGA (Elem) vs Plan";#N/A,#N/A,TRUE,"SGA (BU) vs Plan(Rev)";#N/A,#N/A,TRUE,"SC vs YTD 00 (Revised)";#N/A,#N/A,TRUE,"SGA (Elem) vs YTD 00";#N/A,#N/A,TRUE,"SGA (BU) YTD vs YTD 00";#N/A,#N/A,TRUE,"SC vs YTD Plan (Revised)";#N/A,#N/A,TRUE,"SVC YTD Detail Mth vsPlan (Rev)";#N/A,#N/A,TRUE,"SGA (Elem) vs YTD Plan";#N/A,#N/A,TRUE,"SGA (BU) YTD vs Plan(Rev)";#N/A,#N/A,TRUE,"CapExp";#N/A,#N/A,TRUE,"EBITDA(Flash)";#N/A,#N/A,TRUE,"NetInc(Flash)";#N/A,#N/A,TRUE,"Gross Margin(Flash)";#N/A,#N/A,TRUE,"Mth trends(Flash)";#N/A,#N/A,TRUE,"HeadcountP01";#N/A,#N/A,TRUE,"Headcount P00";#N/A,#N/A,TRUE,"Inc. Statement";#N/A,#N/A,TRUE,"Balance Sheet";#N/A,#N/A,TRUE,"Cash Flow"}</definedName>
    <definedName name="wrn.July._.Presentation." localSheetId="11" hidden="1">{#N/A,#N/A,FALSE,"Revised Plan description";#N/A,#N/A,FALSE,"Mth Sum";#N/A,#N/A,FALSE,"YTD Sum";#N/A,#N/A,FALSE,"Mth Rev Sum";#N/A,#N/A,FALSE,"YTD Rev Sum";#N/A,#N/A,FALSE,"Direct Margin";#N/A,#N/A,FALSE,"Data MarginvsPlan";#N/A,#N/A,FALSE,"Local MarginvsPlan";#N/A,#N/A,FALSE,"Internet MarginvsPlan";#N/A,#N/A,FALSE,"LD Margin vs Plan ";#N/A,#N/A,FALSE,"Data Margin YTDvsPlan";#N/A,#N/A,FALSE,"Local Margin YTDvsPlan";#N/A,#N/A,FALSE,"Internet Margin YTDvsPlan";#N/A,#N/A,FALSE,"LD Margin YTD vs Plan";#N/A,#N/A,FALSE,"SC vs Pr Month ";#N/A,#N/A,FALSE,"SVC Detail Mth vs Pr Mth";#N/A,#N/A,FALSE,"Ind vs Pr Month ";#N/A,#N/A,FALSE,"SGA (Elem) vs Pr Month";#N/A,#N/A,FALSE,"SGA (BU) vs Pr Mth";#N/A,#N/A,FALSE,"SC vs Plan";#N/A,#N/A,FALSE,"SVC Detail Mth vsPlan ";#N/A,#N/A,FALSE,"Ind vs Plan";#N/A,#N/A,FALSE,"SGA (Elem) vs Plan";#N/A,#N/A,FALSE,"SGA (BU) vs Plan";#N/A,#N/A,FALSE,"SC vs YTD 00";#N/A,#N/A,FALSE,"SGA (Elem) vs YTD 00";#N/A,#N/A,FALSE,"SGA (BU) YTD vs YTD 00";#N/A,#N/A,FALSE,"SC vs YTD Plan ";#N/A,#N/A,FALSE,"SVC YTD Detail Mth vsPlan ";#N/A,#N/A,FALSE,"SGA (Elem) vs YTD Plan";#N/A,#N/A,FALSE,"SGA (BU) YTD vs Plan";#N/A,#N/A,FALSE,"CapExp";#N/A,#N/A,FALSE,"EBITDA";#N/A,#N/A,FALSE,"Mth trends";#N/A,#N/A,FALSE,"Inc. Statement";#N/A,#N/A,FALSE,"Balance Sheet";#N/A,#N/A,FALSE,"Cash Flow"}</definedName>
    <definedName name="wrn.Just._.Sorts." localSheetId="11" hidden="1">{#N/A,#N/A,FALSE,"Hi";#N/A,#N/A,FALSE,"Lo";#N/A,#N/A,FALSE,"Mkt. Cap";#N/A,#N/A,FALSE,"Alpha"}</definedName>
    <definedName name="wrn.K." localSheetId="11" hidden="1">{#N/A,#N/A,FALSE,"K"}</definedName>
    <definedName name="wrn.K3._.Annual." localSheetId="11" hidden="1">{"K3Cash",#N/A,FALSE,"Ann";"K3Income",#N/A,FALSE,"Ann";"K3Educ",#N/A,FALSE,"Ann";"K3media",#N/A,FALSE,"Ann";"K3Info",#N/A,FALSE,"Ann";"K3Valuation",#N/A,FALSE,"Ann"}</definedName>
    <definedName name="wrn.K3._.Quarterly." localSheetId="11" hidden="1">{"K3 first",#N/A,FALSE,"Qtr.";"K3 second",#N/A,FALSE,"Qtr.";"K3 Third",#N/A,FALSE,"Qtr.";"K3 Fourth",#N/A,FALSE,"Qtr.";"K3 Full",#N/A,FALSE,"Qtr."}</definedName>
    <definedName name="wrn.kriall." localSheetId="11" hidden="1">{"kricash",#N/A,FALSE,"INC";"kriinc",#N/A,FALSE,"INC";"krimiami",#N/A,FALSE,"INC";"kriother",#N/A,FALSE,"INC";"kripapers",#N/A,FALSE,"INC"}</definedName>
    <definedName name="wrn.LBO._.Summary." localSheetId="11" hidden="1">{"LBO Summary",#N/A,FALSE,"Summary"}</definedName>
    <definedName name="wrn.Lease_Deli." localSheetId="11" hidden="1">{#N/A,#N/A,FALSE,"COVER";#N/A,#N/A,FALSE,"Index";#N/A,#N/A,FALSE,"Non-Earning";#N/A,#N/A,FALSE,"Non-Earning-Recovery";#N/A,#N/A,FALSE,"Leasing_Equipo";#N/A,#N/A,FALSE,"Leasing_Auto";#N/A,#N/A,FALSE,"Leasing_Legal"}</definedName>
    <definedName name="wrn.liab." localSheetId="11" hidden="1">{#N/A,#N/A,FALSE,"BSCON894"}</definedName>
    <definedName name="wrn.LM._.Gear." localSheetId="11" hidden="1">{"LM Gear IS",#N/A,FALSE,"LM Gear - IS";"LM Gear BS",#N/A,FALSE,"LM Gear BS";"LM Gear Detail IS",#N/A,FALSE,"LM Gear - Detail IS";"LM Gear Detail IS Supplemental Info",#N/A,FALSE,"LM Gear - Detail IS";"LM Gear Monthly 1999",#N/A,FALSE,"LM Gear Monthly";"LM Gear Monthly 1998",#N/A,FALSE,"LM Gear Monthly";"LM Gear Monthly 1997",#N/A,FALSE,"LM Gear Monthly"}</definedName>
    <definedName name="wrn.LP._.Committee._.Book." localSheetId="11"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LP._.Committee._.June._.13.._.2000." localSheetId="11"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wrn.LUXCOS." localSheetId="11" hidden="1">{"LUX_ASSET",#N/A,FALSE,"CII-Q494.XLS";"LUX_LIAB",#N/A,FALSE,"CII-Q494.XLS";"LUX_INC",#N/A,FALSE,"CII-Q494.XLS";"LUXje",#N/A,FALSE,"CII-Q494.XLS"}</definedName>
    <definedName name="wrn.m_cash." localSheetId="11" hidden="1">{"cash_marc",#N/A,FALSE,"dec95cr.xls"}</definedName>
    <definedName name="wrn.Mahmoud." localSheetId="11" hidden="1">{#N/A,#N/A,FALSE,"Objectives"}</definedName>
    <definedName name="wrn.Main._.Fields." localSheetId="1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Report._.All._.Sections." localSheetId="1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e." localSheetId="11" hidden="1">{"Assumptions",#N/A,TRUE,"Assumptions";"Income",#N/A,TRUE,"Income";"Balance",#N/A,TRUE,"Balance"}</definedName>
    <definedName name="wrn.Maine2." localSheetId="11"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nagement._.Control._.Report." localSheetId="11" hidden="1">{#N/A,#N/A,TRUE,"Sheet1 (2)";#N/A,#N/A,TRUE,"Sheet1 (3)";#N/A,#N/A,TRUE,"Sheet1 (4)";#N/A,#N/A,TRUE,"Sheet1 (5)";#N/A,#N/A,TRUE,"Sheet1 (8)";#N/A,#N/A,TRUE,"Sheet1 (9)";#N/A,#N/A,TRUE,"Sheet1 (10)";#N/A,#N/A,TRUE,"Sheet1 (6)";#N/A,#N/A,TRUE,"Sheet1 (7)";#N/A,#N/A,TRUE,"Sheet1 (11)";#N/A,#N/A,TRUE,"Sheet2 (2)";#N/A,#N/A,TRUE,"Sheet3 (2)";#N/A,#N/A,TRUE,"Sheet4 (2)";#N/A,#N/A,TRUE,"Sheet9 (2)";#N/A,#N/A,TRUE,"Sheet8 (2)";#N/A,#N/A,TRUE,"Sheet7 (2)";#N/A,#N/A,TRUE,"Sheet5 (2)";#N/A,#N/A,TRUE,"Sheet2 (3)";#N/A,#N/A,TRUE,"Sheet6 (2)";#N/A,#N/A,TRUE,"Sheet 6A";#N/A,#N/A,TRUE,"Sheet2 (4)";#N/A,#N/A,TRUE,"Sheet2 (5)";#N/A,#N/A,TRUE,"Sheet3 (3)";#N/A,#N/A,TRUE,"Sheet3 (4)";#N/A,#N/A,TRUE,"Sheet4 (3)";#N/A,#N/A,TRUE,"Sheet4 (4)";#N/A,#N/A,TRUE,"Sheet8 (3)";#N/A,#N/A,TRUE,"Sheet8 (4)";#N/A,#N/A,TRUE,"Sheet5 (3)";#N/A,#N/A,TRUE,"Sheet5 (4)";#N/A,#N/A,TRUE,"Sheet10 (2)";#N/A,#N/A,TRUE,"Sheet7 (3)";#N/A,#N/A,TRUE,"Sheet6 (3)";#N/A,#N/A,TRUE,"Sheet5 (5)";#N/A,#N/A,TRUE,"Sheet9 (3)";#N/A,#N/A,TRUE,"Sheet4 (5)";#N/A,#N/A,TRUE,"Sheet12 (2)";#N/A,#N/A,TRUE,"Sheet11 (2)";#N/A,#N/A,TRUE,"Sheet13 (2)";#N/A,#N/A,TRUE,"Sheet14 (2)";#N/A,#N/A,TRUE,"Sheet15 (2)";#N/A,#N/A,TRUE,"Sheet16 (2)";#N/A,#N/A,TRUE,"Sheet1 (12)";#N/A,#N/A,TRUE,"Sheet3 (5)";#N/A,#N/A,TRUE,"Sheet7 (4)";#N/A,#N/A,TRUE,"Sheet2 (6)";#N/A,#N/A,TRUE,"sheet1 (13)";#N/A,#N/A,TRUE,"sheet2 (7)";#N/A,#N/A,TRUE,"sheet10 (3)";#N/A,#N/A,TRUE,"sheet11 (3)";#N/A,#N/A,TRUE,"sheet3 (6)";#N/A,#N/A,TRUE,"sheet4 (6)";#N/A,#N/A,TRUE,"sheet5 (6)";#N/A,#N/A,TRUE,"sheet6 (4)";#N/A,#N/A,TRUE,"sheet7 (5)";#N/A,#N/A,TRUE,"sheet8 (5)";#N/A,#N/A,TRUE,"sheet9 (4)";#N/A,#N/A,TRUE,"Sheet1 (14)";#N/A,#N/A,TRUE,"Sheet2 (8)";#N/A,#N/A,TRUE,"Sheet3 (8)";#N/A,#N/A,TRUE,"Sheet3 (7)";#N/A,#N/A,TRUE,"Sheet4 (7)";#N/A,#N/A,TRUE,"Sheet5 (7)";#N/A,#N/A,TRUE,"Sheet6 (5)";#N/A,#N/A,TRUE,"Sheet1";#N/A,#N/A,TRUE,"Sheet2"}</definedName>
    <definedName name="wrn.March._.Financials." localSheetId="11" hidden="1">{"Statement of Income",#N/A,TRUE,"Mar99";"Balance Sheet",#N/A,TRUE,"Mar99"}</definedName>
    <definedName name="wrn.MARGIN." localSheetId="11" hidden="1">{#N/A,#N/A,TRUE,"MAR";#N/A,#N/A,TRUE,"MAR_2"}</definedName>
    <definedName name="wrn.Margins." localSheetId="11" hidden="1">{#N/A,#N/A,FALSE,"Margins - GrossR&amp;D";#N/A,#N/A,FALSE,"Margins - sg&amp;a";#N/A,#N/A,FALSE,"Margins - Oper-net"}</definedName>
    <definedName name="wrn.Mason._.Deliverables." localSheetId="11" hidden="1">{#N/A,#N/A,FALSE,"Data &amp; Key Results";#N/A,#N/A,FALSE,"Summary Template";#N/A,#N/A,FALSE,"Budget";#N/A,#N/A,FALSE,"Present Value Comparison";#N/A,#N/A,FALSE,"Cashflow";#N/A,#N/A,FALSE,"Income";#N/A,#N/A,FALSE,"Inputs"}</definedName>
    <definedName name="wrn.Master." localSheetId="11" hidden="1">{#N/A,#N/A,TRUE,"ProFormaProfit";#N/A,#N/A,TRUE,"ProFormaCash";#N/A,#N/A,TRUE,"Depreciation";#N/A,#N/A,TRUE,"Assets";#N/A,#N/A,TRUE,"Revenue";#N/A,#N/A,TRUE,"EstimatedPurchase"}</definedName>
    <definedName name="wrn.Master_Income." localSheetId="11" hidden="1">{"Annual_Income",#N/A,FALSE,"Master Model";"Quarterly_Income",#N/A,FALSE,"Master Model"}</definedName>
    <definedName name="wrn.MCCRK." localSheetId="11" hidden="1">{#N/A,#N/A,FALSE,"MCCRK"}</definedName>
    <definedName name="wrn.MDA._.Tables." localSheetId="11" hidden="1">{#N/A,#N/A,TRUE,"Sel Fn Data QTD";#N/A,#N/A,TRUE,"TABLE_1 SPREAD ANALYSIS";#N/A,#N/A,TRUE,"Tables 2 to 3 PL";#N/A,#N/A,TRUE,"Tables 4 and 5 ALLL";#N/A,#N/A,TRUE,"Tables 6 to 8 ALLL NPA";#N/A,#N/A,TRUE,"Table 9 to 10 - Balance Sheet";#N/A,#N/A,TRUE,"Table 11 to 12 - Equity"}</definedName>
    <definedName name="wrn.MDA._.TABLES._.10Q." localSheetId="11" hidden="1">{#N/A,#N/A,FALSE,"Table 1 QTD";#N/A,#N/A,FALSE,"Table 1 YTD";#N/A,#N/A,FALSE,"Tables 2 to 4 PL";#N/A,#N/A,FALSE,"Tables 5 to 9 ALLL";#N/A,#N/A,FALSE,"Table 10 to 13 - Balance Sheet"}</definedName>
    <definedName name="wrn.MDA_TABLES._.10K." localSheetId="11" hidden="1">{#N/A,#N/A,FALSE,"SFD 5 YRS 10k";#N/A,#N/A,FALSE,"Table 1 Annual 10K";#N/A,#N/A,FALSE,"Tables 2 to 3 PL";#N/A,#N/A,FALSE,"Tables 4 and 5ALLL";#N/A,#N/A,FALSE,"Tables 6 to 8 ALLL ";#N/A,#N/A,FALSE,"Table 9 to 12 - Balance Sheet";#N/A,#N/A,FALSE,"Table 14 10K SFD by Quarter";#N/A,#N/A,FALSE,"Tbl 15 - 16 10K risk cashflow"}</definedName>
    <definedName name="wrn.MDA_TABLES._.10Q." localSheetId="11" hidden="1">{#N/A,#N/A,TRUE,"Sel Fn Data QTD";#N/A,#N/A,TRUE,"Table 1 YTD";#N/A,#N/A,TRUE,"Table 1 QTD";#N/A,#N/A,TRUE,"Tables 2 to 3 PL";#N/A,#N/A,TRUE,"Tables 4 and 5ALLL";#N/A,#N/A,TRUE,"Tables 6 to 8 ALLL ";#N/A,#N/A,TRUE,"Table 9 to 12 - Balance Sheet"}</definedName>
    <definedName name="wrn.MDA_TABLES._.10Q._.SEPT." localSheetId="11" hidden="1">{#N/A,#N/A,TRUE,"Sel Fn Data QTD";#N/A,#N/A,TRUE,"Table 1 YTD";#N/A,#N/A,TRUE,"Tables 2 to 4 PL";#N/A,#N/A,TRUE,"Tables 5 to 9 ALLL";#N/A,#N/A,TRUE,"Table 10 to 13 - Balance Sheet"}</definedName>
    <definedName name="wrn.MEDI." localSheetId="11" hidden="1">{"Revenues",#N/A,FALSE,"Revenues";"QEarn1",#N/A,FALSE,"Qearn";"QEarn2",#N/A,FALSE,"Qearn";"QMargin",#N/A,FALSE,"Qmargin";"Cashflow",#N/A,FALSE,"Cashflow";"Product Pipeline",#N/A,FALSE,"Product Pipeline";"First Call Tables",#N/A,FALSE,"First Call Tables";"Comment P&amp;L",#N/A,FALSE,"Comment P&amp;L"}</definedName>
    <definedName name="wrn.merge." localSheetId="11" hidden="1">{#N/A,#N/A,FALSE,"IPO";#N/A,#N/A,FALSE,"DCF";#N/A,#N/A,FALSE,"LBO";#N/A,#N/A,FALSE,"MULT_VAL";#N/A,#N/A,FALSE,"Status Quo";#N/A,#N/A,FALSE,"Recap"}</definedName>
    <definedName name="wrn.Merger." localSheetId="11" hidden="1">{#N/A,#N/A,FALSE,"Overview";#N/A,#N/A,FALSE,"Summary";#N/A,#N/A,FALSE,"Unph Hist";#N/A,#N/A,FALSE,"Combination";#N/A,#N/A,FALSE,"IOC Proj Base";#N/A,#N/A,FALSE,"Bal";#N/A,#N/A,FALSE,"IOC Bal";#N/A,#N/A,FALSE,"IOC CF";#N/A,#N/A,FALSE,"UNPH Proj"}</definedName>
    <definedName name="wrn.merger._.analysis." localSheetId="11"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erger._.analysis.II" localSheetId="11"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erger._.analysis.III" localSheetId="11"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erger._.analysis.IIII" localSheetId="11"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erger._.analysis.IV" localSheetId="11"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hpall." localSheetId="11" hidden="1">{"mhpcash",#N/A,FALSE,"MHPNEWX";"mhpinc",#N/A,FALSE,"MHPNEWX";"mhptax",#N/A,FALSE,"MHPNEWX";"mhpbroad",#N/A,FALSE,"MHPNEWX";"mhpeduc",#N/A,FALSE,"MHPNEWX";"mhpfin",#N/A,FALSE,"MHPNEWX";"mhpinfo",#N/A,FALSE,"MHPNEWX"}</definedName>
    <definedName name="wrn.mikes_copy." localSheetId="11"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LLARES." localSheetId="11" hidden="1">{#N/A,#N/A,TRUE,"RESUMEN ECON.";#N/A,#N/A,TRUE,"Costos de R.H.";#N/A,#N/A,TRUE,"COSTO HW";#N/A,#N/A,TRUE,"CUADROS";#N/A,#N/A,TRUE,"SCADA´s";#N/A,#N/A,TRUE,"PRECIOS EQUIPOS"}</definedName>
    <definedName name="wrn.model." localSheetId="11" hidden="1">{"page1",#N/A,FALSE,"GIRLBO";"page2",#N/A,FALSE,"GIRLBO";"page3",#N/A,FALSE,"GIRLBO";"page4",#N/A,FALSE,"GIRLBO";"page5",#N/A,FALSE,"GIRLBO"}</definedName>
    <definedName name="wrn.Month." localSheetId="11" hidden="1">{#N/A,#N/A,FALSE,"Comp Balance";#N/A,#N/A,FALSE,"Sum Balance ";#N/A,#N/A,FALSE,"Balance Trend";#N/A,#N/A,FALSE,"Comp PL";#N/A,#N/A,FALSE,"PL";#N/A,#N/A,FALSE,"Sum PL";#N/A,#N/A,FALSE,"PL Trend";#N/A,#N/A,FALSE,"Change"}</definedName>
    <definedName name="wrn.Month._.End._.Print._.Out." localSheetId="11" hidden="1">{"Yen Denominated",#N/A,FALSE,"A-R Aging (JPY)";"Dollar Denominated",#N/A,FALSE,"A-R Aging (JPY)";"Yen Denominated",#N/A,FALSE,"A-R Control (JPY)";"Dollar Denominated",#N/A,FALSE,"A-R Control (JPY)";#N/A,#N/A,FALSE,"A-R Aging (USD)";#N/A,#N/A,FALSE,"A-R Control (USD)";"Aussie Denominated",#N/A,FALSE,"A-R Aging (AUD)";"Dollar Denominated",#N/A,FALSE,"A-R Aging (AUD)";"Aussie Denominated",#N/A,FALSE,"A-R Control (AUD)";"Dollar Denominated",#N/A,FALSE,"A-R Control (AUD)";#N/A,#N/A,FALSE,"A-R Aging Recon.";#N/A,#N/A,FALSE,"A-R Control Recon.";#N/A,#N/A,FALSE,"Cash App (JPY- NAB)";#N/A,#N/A,FALSE,"Cash App (JPY-Citi)";#N/A,#N/A,FALSE,"Cash App (USD)";#N/A,#N/A,FALSE,"Cash App (AUD)";#N/A,#N/A,FALSE,"Cash Disb (AUD)";#N/A,#N/A,FALSE,"Cash Disb (JPY-NAB)";#N/A,#N/A,FALSE,"Cash Disb (JPY-Citi)";#N/A,#N/A,FALSE,"Cash Disb (USD)";#N/A,#N/A,FALSE,"Cash Receipts (AUD)";#N/A,#N/A,FALSE,"Cash Receipts (JPY-NAB)";#N/A,#N/A,FALSE,"Cash Receipts (JPY-Citi)";#N/A,#N/A,FALSE,"Cash Receipts (USD)";#N/A,#N/A,FALSE,"Bank Rec (AUD)";#N/A,#N/A,FALSE,"Bank Rec (JPY-NAB)";#N/A,#N/A,FALSE,"Bank Rec (JPY-Citi)";#N/A,#N/A,FALSE,"Bank Rec (USD)";#N/A,#N/A,FALSE,"Petty Cash (AUD)";#N/A,#N/A,FALSE,"Petty Cash (JPY)";#N/A,#N/A,FALSE,"Head &amp; Ticket Counts";#N/A,#N/A,FALSE,"Payroll"}</definedName>
    <definedName name="wrn.MONTH_END." localSheetId="11" hidden="1">{#N/A,#N/A,FALSE,"SUMMARY";#N/A,#N/A,FALSE,"DETAIL";#N/A,#N/A,FALSE,"VARIANCE"}</definedName>
    <definedName name="wrn.MONTH_REPORT." localSheetId="11" hidden="1">{#N/A,#N/A,TRUE,"ALLL";#N/A,#N/A,TRUE,"DEL";#N/A,#N/A,TRUE,"Reserve Analysis";#N/A,#N/A,TRUE,"C_OFF HISTORY";#N/A,#N/A,TRUE,"ALLL_QTR";#N/A,#N/A,TRUE,"HEA_M";#N/A,#N/A,TRUE,"BL_DET";#N/A,#N/A,TRUE,"3YRS+";#N/A,#N/A,TRUE,"CONSTR_DET"}</definedName>
    <definedName name="wrn.MONTH_REPORT_BOD." localSheetId="11" hidden="1">{#N/A,#N/A,FALSE,"HEA_M";#N/A,#N/A,FALSE,"ALLL";#N/A,#N/A,FALSE,"DEL";#N/A,#N/A,FALSE,"Reserve Analysis";#N/A,#N/A,FALSE,"C_OFF HISTORY";#N/A,#N/A,FALSE,"ALLL_QTR"}</definedName>
    <definedName name="wrn.Month_Report_Mgmt." localSheetId="11" hidden="1">{#N/A,#N/A,FALSE,"HEA_M";#N/A,#N/A,FALSE,"ALLL";#N/A,#N/A,FALSE,"DEL";#N/A,#N/A,FALSE,"Reserve Analysis";#N/A,#N/A,FALSE,"C_OFF HISTORY";#N/A,#N/A,FALSE,"ALLL_QTR";#N/A,#N/A,FALSE,"RR Review";#N/A,#N/A,FALSE,"MORT. SS 1YRS+";#N/A,#N/A,FALSE,"MORT. DOUBFUL 1YEAR+";#N/A,#N/A,FALSE,"MORT. LOSS 1YEAR+";#N/A,#N/A,FALSE,"Watch List Report";#N/A,#N/A,FALSE,"CONSTR_DET"}</definedName>
    <definedName name="wrn.Monthly._.Financials." localSheetId="11" hidden="1">{#N/A,#N/A,FALSE,"mfg - consol";#N/A,#N/A,FALSE,"mfg - flo";#N/A,#N/A,FALSE,"mfg - lindsay"}</definedName>
    <definedName name="wrn.MONTHLY._.INVENTORY._.SCHEDULE." localSheetId="11" hidden="1">{#N/A,#N/A,FALSE,"Sheet1";#N/A,#N/A,FALSE,"Sheet2";#N/A,#N/A,FALSE,"Sheet3";#N/A,#N/A,FALSE,"Sheet4";#N/A,#N/A,FALSE,"Sheet5";#N/A,#N/A,FALSE,"Sheet6"}</definedName>
    <definedName name="wrn.Monthly._.Report." localSheetId="11" hidden="1">{#N/A,#N/A,FALSE,"Summary Page";#N/A,#N/A,FALSE,"Collections Listing";#N/A,#N/A,FALSE,"Lessee 60 days past due";#N/A,#N/A,FALSE,"Revenues--Lend Base JP Morgan";#N/A,#N/A,FALSE,"JP Morgan Debt Amort Schedule";#N/A,#N/A,FALSE,"Covenant Analysis"}</definedName>
    <definedName name="wrn.Months." localSheetId="11" hidden="1">{"Curr Month",#N/A,FALSE,"Curr Mo";"All Months",#N/A,FALSE,"Curr Mo";"YTD",#N/A,FALSE,"Curr Mo";"1001",#N/A,FALSE,"Curr Mo";"1002",#N/A,FALSE,"Curr Mo";"4012",#N/A,FALSE,"Curr Mo";"4017",#N/A,FALSE,"Curr Mo";"1050",#N/A,FALSE,"Curr Mo";"1009",#N/A,FALSE,"Curr Mo";"4079",#N/A,FALSE,"Curr Mo";"4077",#N/A,FALSE,"Curr Mo";"1005",#N/A,FALSE,"Curr Mo";"1008",#N/A,FALSE,"Curr Mo";"1011",#N/A,FALSE,"Curr Mo";"1006",#N/A,FALSE,"Curr Mo";"1024",#N/A,FALSE,"Curr Mo";"1003",#N/A,FALSE,"Curr Mo";"1025",#N/A,FALSE,"Curr Mo";"4013",#N/A,FALSE,"Curr Mo";"1091",#N/A,FALSE,"Curr Mo";"1010",#N/A,FALSE,"Curr Mo";"1023",#N/A,FALSE,"Curr Mo";"4014",#N/A,FALSE,"Curr Mo";"1043",#N/A,FALSE,"Curr Mo";"1014",#N/A,FALSE,"Curr Mo";"1015",#N/A,FALSE,"Curr Mo";"1012",#N/A,FALSE,"Curr Mo";"1061",#N/A,FALSE,"Curr Mo";"1045",#N/A,FALSE,"Curr Mo";"4058",#N/A,FALSE,"Curr Mo";"1033",#N/A,FALSE,"Curr Mo";"1103",#N/A,FALSE,"Curr Mo";"4007",#N/A,FALSE,"Curr Mo";"4021",#N/A,FALSE,"Curr Mo";"4026",#N/A,FALSE,"Curr Mo";"4022",#N/A,FALSE,"Curr Mo";"4050",#N/A,FALSE,"Curr Mo";"4032",#N/A,FALSE,"Curr Mo";"4089",#N/A,FALSE,"Curr Mo";"1042",#N/A,FALSE,"Curr Mo";"1048",#N/A,FALSE,"Curr Mo";"4049",#N/A,FALSE,"Curr Mo"}</definedName>
    <definedName name="wrn.Mortgage." localSheetId="11" hidden="1">{#N/A,#N/A,FALSE,"COVER";#N/A,#N/A,FALSE,"Index";#N/A,#N/A,FALSE,"Non-Earning";#N/A,#N/A,FALSE,"Mortgage_Legal";#N/A,#N/A,FALSE,"Mortgages"}</definedName>
    <definedName name="wrn.Most._.Likely._.Scenarios." localSheetId="11" hidden="1">{#N/A,"Mine Allocated, Keep AC",FALSE,"Stream INPUTS";#N/A,"All Preferred, Sell AC",FALSE,"Stream INPUTS";#N/A,"Step Up, Sell AC",FALSE,"Stream INPUTS";#N/A,"All Preferred, BRONCO buys AC",FALSE,"Stream INPUTS"}</definedName>
    <definedName name="wrn.MRA." localSheetId="11" hidden="1">{"MRA IS",#N/A,FALSE,"MRA - IS";"MRA BS",#N/A,FALSE,"MRA - BS";"MRA Detail IS",#N/A,FALSE,"MRA - Detail IS";"MRA Detail IS Supplemental Info",#N/A,FALSE,"MRA - Detail IS";"MRA Monthly 1999",#N/A,FALSE,"MRA Monthly";"MRA Monthly IS 1998",#N/A,FALSE,"MRA Monthly";"MRA Monthly IS 1997",#N/A,FALSE,"MRA Monthly"}</definedName>
    <definedName name="wrn.Munsell." localSheetId="11" hidden="1">{#N/A,#N/A,FALSE,"Index";#N/A,#N/A,FALSE,"IncStmt";#N/A,#N/A,FALSE,"Ratios";#N/A,#N/A,FALSE,"CashFlows";#N/A,#N/A,FALSE,"Ins1";#N/A,#N/A,FALSE,"Ins2";#N/A,#N/A,FALSE,"SelfFund";#N/A,#N/A,FALSE,"SGA";#N/A,#N/A,FALSE,"Recon";#N/A,#N/A,FALSE,"Earnings";#N/A,#N/A,FALSE,"Earnings (2)";#N/A,#N/A,FALSE,"Stock";#N/A,#N/A,FALSE,"Stock (2)";#N/A,#N/A,FALSE,"PeerRatios";#N/A,#N/A,FALSE,"PeerRanks"}</definedName>
    <definedName name="wrn.NA." localSheetId="11" hidden="1">{#N/A,#N/A,FALSE,"NA"}</definedName>
    <definedName name="wrn.Neds." localSheetId="11" hidden="1">{"page1",#N/A,TRUE,"PRICING";"page2",#N/A,TRUE,"PRICING"}</definedName>
    <definedName name="wrn.Netbacks." localSheetId="11" hidden="1">{"Netbacks",#N/A,FALSE,"Netbacks"}</definedName>
    <definedName name="wrn.new." localSheetId="11" hidden="1">{"new1",#N/A,FALSE,"FLEXPAC2";"new2",#N/A,FALSE,"FLEXPAC2"}</definedName>
    <definedName name="wrn.newest." localSheetId="11" hidden="1">{#N/A,#N/A,TRUE,"TS";#N/A,#N/A,TRUE,"Combo";#N/A,#N/A,TRUE,"FAIR";#N/A,#N/A,TRUE,"RBC";#N/A,#N/A,TRUE,"xxxx"}</definedName>
    <definedName name="wrn.nuevahoja." localSheetId="11" hidden="1">{#N/A,#N/A,FALSE,"CNS_ADJ";"Balance Consolidado",#N/A,FALSE,"BCEC_CNS";#N/A,#N/A,FALSE,"USGAAP_ADJ"}</definedName>
    <definedName name="wrn.nytaann." localSheetId="11" hidden="1">{"nytacash",#N/A,FALSE,"GLOBEINC";"nytainc",#N/A,FALSE,"GLOBEINC";"nytanyt",#N/A,FALSE,"GLOBEINC";"nytareg",#N/A,FALSE,"GLOBEINC";"nytaglobe",#N/A,FALSE,"GLOBEINC";"nytapprttl",#N/A,FALSE,"GLOBEINC"}</definedName>
    <definedName name="wrn.Oncology." localSheetId="11" hidden="1">{#N/A,#N/A,FALSE,"Onco";#N/A,#N/A,FALSE,"Taxol";#N/A,#N/A,FALSE,"UFT";#N/A,#N/A,FALSE,"Carb"}</definedName>
    <definedName name="wrn.one." localSheetId="11" hidden="1">{"page1",#N/A,FALSE,"A";"page2",#N/A,FALSE,"A"}</definedName>
    <definedName name="wrn.One._.Pager._.plus._.Technicals." localSheetId="11" hidden="1">{#N/A,#N/A,FALSE,"One Pager";#N/A,#N/A,FALSE,"Technical"}</definedName>
    <definedName name="wrn.OPERATIONS." localSheetId="11" hidden="1">{#N/A,#N/A,FALSE,"PL-FS";#N/A,#N/A,FALSE,"PL"}</definedName>
    <definedName name="wrn.Opportunity._.Assessment." localSheetId="11" hidden="1">{#N/A,#N/A,TRUE,"Summary";#N/A,#N/A,TRUE,"Assumptions";#N/A,#N/A,TRUE,"Comparison";#N/A,#N/A,TRUE,"Financials";#N/A,#N/A,TRUE,"Plan v. Act"}</definedName>
    <definedName name="wrn.ops._.costs." localSheetId="11" hidden="1">{"page1",#N/A,FALSE,"APCI Operations Detail  ";"page2",#N/A,FALSE,"APCI Operations Detail  ";"page3",#N/A,FALSE,"APCI Operations Detail  ";"page4",#N/A,FALSE,"APCI Operations Detail  "}</definedName>
    <definedName name="wrn.OPSUMM." localSheetId="11" hidden="1">{#N/A,#N/A,FALSE,"BAGOSLEA"}</definedName>
    <definedName name="wrn.OTC._.Market._.Report." localSheetId="11" hidden="1">{#N/A,#N/A,FALSE,"Sales Graph";#N/A,#N/A,FALSE,"BUC Graph";#N/A,#N/A,FALSE,"P&amp;L - YTD"}</definedName>
    <definedName name="wrn.Other._.Pharm." localSheetId="11" hidden="1">{#N/A,#N/A,FALSE,"Other";#N/A,#N/A,FALSE,"Ace";#N/A,#N/A,FALSE,"Derm"}</definedName>
    <definedName name="wrn.Output." localSheetId="1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vhd." localSheetId="11" hidden="1">{#N/A,#N/A,FALSE,"OVHDSUM"}</definedName>
    <definedName name="wrn.ovhd1." localSheetId="11" hidden="1">{#N/A,#N/A,FALSE,"OVHDSUM"}</definedName>
    <definedName name="wrn.p" localSheetId="11" hidden="1">{#N/A,#N/A,FALSE,"1";#N/A,#N/A,FALSE,"2";#N/A,#N/A,FALSE,"16 - 17";#N/A,#N/A,FALSE,"18 - 19";#N/A,#N/A,FALSE,"26";#N/A,#N/A,FALSE,"27";#N/A,#N/A,FALSE,"28"}</definedName>
    <definedName name="wrn.packer._.1." localSheetId="1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GE._.1." localSheetId="11" hidden="1">{#N/A,#N/A,FALSE,"Job Sched"}</definedName>
    <definedName name="wrn.PAGE._.2." localSheetId="11" hidden="1">{"PAGE 2",#N/A,FALSE,"WEST_OT"}</definedName>
    <definedName name="wrn.PAGE._.3." localSheetId="11" hidden="1">{"PAGE 2",#N/A,FALSE,"WEST_OT"}</definedName>
    <definedName name="wrn.page57to67." localSheetId="11" hidden="1">{#N/A,#N/A,FALSE,"57";#N/A,#N/A,FALSE,"58";#N/A,#N/A,FALSE,"59";#N/A,#N/A,FALSE,"60";#N/A,#N/A,FALSE,"60A";#N/A,#N/A,FALSE,"61";#N/A,#N/A,FALSE,"62";#N/A,#N/A,FALSE,"63";#N/A,#N/A,FALSE,"63A";#N/A,#N/A,FALSE,"64";#N/A,#N/A,FALSE,"65";#N/A,#N/A,FALSE,"66";#N/A,#N/A,FALSE,"67"}</definedName>
    <definedName name="wrn.page57to67._1" localSheetId="11" hidden="1">{#N/A,#N/A,FALSE,"57";#N/A,#N/A,FALSE,"58";#N/A,#N/A,FALSE,"59";#N/A,#N/A,FALSE,"60";#N/A,#N/A,FALSE,"60A";#N/A,#N/A,FALSE,"61";#N/A,#N/A,FALSE,"62";#N/A,#N/A,FALSE,"63";#N/A,#N/A,FALSE,"63A";#N/A,#N/A,FALSE,"64";#N/A,#N/A,FALSE,"65";#N/A,#N/A,FALSE,"66";#N/A,#N/A,FALSE,"67"}</definedName>
    <definedName name="wrn.page57to67._1_1" localSheetId="11" hidden="1">{#N/A,#N/A,FALSE,"57";#N/A,#N/A,FALSE,"58";#N/A,#N/A,FALSE,"59";#N/A,#N/A,FALSE,"60";#N/A,#N/A,FALSE,"60A";#N/A,#N/A,FALSE,"61";#N/A,#N/A,FALSE,"62";#N/A,#N/A,FALSE,"63";#N/A,#N/A,FALSE,"63A";#N/A,#N/A,FALSE,"64";#N/A,#N/A,FALSE,"65";#N/A,#N/A,FALSE,"66";#N/A,#N/A,FALSE,"67"}</definedName>
    <definedName name="wrn.page57to67._1_2" localSheetId="11" hidden="1">{#N/A,#N/A,FALSE,"57";#N/A,#N/A,FALSE,"58";#N/A,#N/A,FALSE,"59";#N/A,#N/A,FALSE,"60";#N/A,#N/A,FALSE,"60A";#N/A,#N/A,FALSE,"61";#N/A,#N/A,FALSE,"62";#N/A,#N/A,FALSE,"63";#N/A,#N/A,FALSE,"63A";#N/A,#N/A,FALSE,"64";#N/A,#N/A,FALSE,"65";#N/A,#N/A,FALSE,"66";#N/A,#N/A,FALSE,"67"}</definedName>
    <definedName name="wrn.page57to67._1_3" localSheetId="11" hidden="1">{#N/A,#N/A,FALSE,"57";#N/A,#N/A,FALSE,"58";#N/A,#N/A,FALSE,"59";#N/A,#N/A,FALSE,"60";#N/A,#N/A,FALSE,"60A";#N/A,#N/A,FALSE,"61";#N/A,#N/A,FALSE,"62";#N/A,#N/A,FALSE,"63";#N/A,#N/A,FALSE,"63A";#N/A,#N/A,FALSE,"64";#N/A,#N/A,FALSE,"65";#N/A,#N/A,FALSE,"66";#N/A,#N/A,FALSE,"67"}</definedName>
    <definedName name="wrn.page57to67._1_4" localSheetId="11" hidden="1">{#N/A,#N/A,FALSE,"57";#N/A,#N/A,FALSE,"58";#N/A,#N/A,FALSE,"59";#N/A,#N/A,FALSE,"60";#N/A,#N/A,FALSE,"60A";#N/A,#N/A,FALSE,"61";#N/A,#N/A,FALSE,"62";#N/A,#N/A,FALSE,"63";#N/A,#N/A,FALSE,"63A";#N/A,#N/A,FALSE,"64";#N/A,#N/A,FALSE,"65";#N/A,#N/A,FALSE,"66";#N/A,#N/A,FALSE,"67"}</definedName>
    <definedName name="wrn.page57to67._2" localSheetId="11" hidden="1">{#N/A,#N/A,FALSE,"57";#N/A,#N/A,FALSE,"58";#N/A,#N/A,FALSE,"59";#N/A,#N/A,FALSE,"60";#N/A,#N/A,FALSE,"60A";#N/A,#N/A,FALSE,"61";#N/A,#N/A,FALSE,"62";#N/A,#N/A,FALSE,"63";#N/A,#N/A,FALSE,"63A";#N/A,#N/A,FALSE,"64";#N/A,#N/A,FALSE,"65";#N/A,#N/A,FALSE,"66";#N/A,#N/A,FALSE,"67"}</definedName>
    <definedName name="wrn.page57to67._3" localSheetId="11" hidden="1">{#N/A,#N/A,FALSE,"57";#N/A,#N/A,FALSE,"58";#N/A,#N/A,FALSE,"59";#N/A,#N/A,FALSE,"60";#N/A,#N/A,FALSE,"60A";#N/A,#N/A,FALSE,"61";#N/A,#N/A,FALSE,"62";#N/A,#N/A,FALSE,"63";#N/A,#N/A,FALSE,"63A";#N/A,#N/A,FALSE,"64";#N/A,#N/A,FALSE,"65";#N/A,#N/A,FALSE,"66";#N/A,#N/A,FALSE,"67"}</definedName>
    <definedName name="wrn.page57to67._4" localSheetId="11" hidden="1">{#N/A,#N/A,FALSE,"57";#N/A,#N/A,FALSE,"58";#N/A,#N/A,FALSE,"59";#N/A,#N/A,FALSE,"60";#N/A,#N/A,FALSE,"60A";#N/A,#N/A,FALSE,"61";#N/A,#N/A,FALSE,"62";#N/A,#N/A,FALSE,"63";#N/A,#N/A,FALSE,"63A";#N/A,#N/A,FALSE,"64";#N/A,#N/A,FALSE,"65";#N/A,#N/A,FALSE,"66";#N/A,#N/A,FALSE,"67"}</definedName>
    <definedName name="wrn.page57to67._5" localSheetId="11" hidden="1">{#N/A,#N/A,FALSE,"57";#N/A,#N/A,FALSE,"58";#N/A,#N/A,FALSE,"59";#N/A,#N/A,FALSE,"60";#N/A,#N/A,FALSE,"60A";#N/A,#N/A,FALSE,"61";#N/A,#N/A,FALSE,"62";#N/A,#N/A,FALSE,"63";#N/A,#N/A,FALSE,"63A";#N/A,#N/A,FALSE,"64";#N/A,#N/A,FALSE,"65";#N/A,#N/A,FALSE,"66";#N/A,#N/A,FALSE,"67"}</definedName>
    <definedName name="wrn.Pages._.28._.to._.50." localSheetId="11"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 localSheetId="11"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_1" localSheetId="11"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_2" localSheetId="11"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_3" localSheetId="11"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_4" localSheetId="11"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2" localSheetId="11"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3" localSheetId="11"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4" localSheetId="11"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5" localSheetId="11"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51._.to._.66." localSheetId="11" hidden="1">{#N/A,#N/A,FALSE,"51";#N/A,#N/A,FALSE,"52";#N/A,#N/A,FALSE,"53";#N/A,#N/A,FALSE,"54";#N/A,#N/A,FALSE,"55";#N/A,#N/A,FALSE,"55A";#N/A,#N/A,FALSE,"56";#N/A,#N/A,FALSE,"57";#N/A,#N/A,FALSE,"57A";#N/A,#N/A,FALSE,"58";#N/A,#N/A,FALSE,"59";#N/A,#N/A,FALSE,"60";#N/A,#N/A,FALSE,"60A";#N/A,#N/A,FALSE,"61";#N/A,#N/A,FALSE,"62";#N/A,#N/A,FALSE,"63";#N/A,#N/A,FALSE,"63A";#N/A,#N/A,FALSE,"64";#N/A,#N/A,FALSE,"65";#N/A,#N/A,FALSE,"66"}</definedName>
    <definedName name="wrn.Pages._.51._.to._.66._1" localSheetId="11" hidden="1">{#N/A,#N/A,FALSE,"51";#N/A,#N/A,FALSE,"52";#N/A,#N/A,FALSE,"53";#N/A,#N/A,FALSE,"54";#N/A,#N/A,FALSE,"55";#N/A,#N/A,FALSE,"55A";#N/A,#N/A,FALSE,"56";#N/A,#N/A,FALSE,"57";#N/A,#N/A,FALSE,"57A";#N/A,#N/A,FALSE,"58";#N/A,#N/A,FALSE,"59";#N/A,#N/A,FALSE,"60";#N/A,#N/A,FALSE,"60A";#N/A,#N/A,FALSE,"61";#N/A,#N/A,FALSE,"62";#N/A,#N/A,FALSE,"63";#N/A,#N/A,FALSE,"63A";#N/A,#N/A,FALSE,"64";#N/A,#N/A,FALSE,"65";#N/A,#N/A,FALSE,"66"}</definedName>
    <definedName name="wrn.Pages._.51._.to._.66._1_1" localSheetId="11" hidden="1">{#N/A,#N/A,FALSE,"51";#N/A,#N/A,FALSE,"52";#N/A,#N/A,FALSE,"53";#N/A,#N/A,FALSE,"54";#N/A,#N/A,FALSE,"55";#N/A,#N/A,FALSE,"55A";#N/A,#N/A,FALSE,"56";#N/A,#N/A,FALSE,"57";#N/A,#N/A,FALSE,"57A";#N/A,#N/A,FALSE,"58";#N/A,#N/A,FALSE,"59";#N/A,#N/A,FALSE,"60";#N/A,#N/A,FALSE,"60A";#N/A,#N/A,FALSE,"61";#N/A,#N/A,FALSE,"62";#N/A,#N/A,FALSE,"63";#N/A,#N/A,FALSE,"63A";#N/A,#N/A,FALSE,"64";#N/A,#N/A,FALSE,"65";#N/A,#N/A,FALSE,"66"}</definedName>
    <definedName name="wrn.Pages._.51._.to._.66._1_2" localSheetId="11" hidden="1">{#N/A,#N/A,FALSE,"51";#N/A,#N/A,FALSE,"52";#N/A,#N/A,FALSE,"53";#N/A,#N/A,FALSE,"54";#N/A,#N/A,FALSE,"55";#N/A,#N/A,FALSE,"55A";#N/A,#N/A,FALSE,"56";#N/A,#N/A,FALSE,"57";#N/A,#N/A,FALSE,"57A";#N/A,#N/A,FALSE,"58";#N/A,#N/A,FALSE,"59";#N/A,#N/A,FALSE,"60";#N/A,#N/A,FALSE,"60A";#N/A,#N/A,FALSE,"61";#N/A,#N/A,FALSE,"62";#N/A,#N/A,FALSE,"63";#N/A,#N/A,FALSE,"63A";#N/A,#N/A,FALSE,"64";#N/A,#N/A,FALSE,"65";#N/A,#N/A,FALSE,"66"}</definedName>
    <definedName name="wrn.Pages._.51._.to._.66._1_3" localSheetId="11" hidden="1">{#N/A,#N/A,FALSE,"51";#N/A,#N/A,FALSE,"52";#N/A,#N/A,FALSE,"53";#N/A,#N/A,FALSE,"54";#N/A,#N/A,FALSE,"55";#N/A,#N/A,FALSE,"55A";#N/A,#N/A,FALSE,"56";#N/A,#N/A,FALSE,"57";#N/A,#N/A,FALSE,"57A";#N/A,#N/A,FALSE,"58";#N/A,#N/A,FALSE,"59";#N/A,#N/A,FALSE,"60";#N/A,#N/A,FALSE,"60A";#N/A,#N/A,FALSE,"61";#N/A,#N/A,FALSE,"62";#N/A,#N/A,FALSE,"63";#N/A,#N/A,FALSE,"63A";#N/A,#N/A,FALSE,"64";#N/A,#N/A,FALSE,"65";#N/A,#N/A,FALSE,"66"}</definedName>
    <definedName name="wrn.Pages._.51._.to._.66._1_4" localSheetId="11" hidden="1">{#N/A,#N/A,FALSE,"51";#N/A,#N/A,FALSE,"52";#N/A,#N/A,FALSE,"53";#N/A,#N/A,FALSE,"54";#N/A,#N/A,FALSE,"55";#N/A,#N/A,FALSE,"55A";#N/A,#N/A,FALSE,"56";#N/A,#N/A,FALSE,"57";#N/A,#N/A,FALSE,"57A";#N/A,#N/A,FALSE,"58";#N/A,#N/A,FALSE,"59";#N/A,#N/A,FALSE,"60";#N/A,#N/A,FALSE,"60A";#N/A,#N/A,FALSE,"61";#N/A,#N/A,FALSE,"62";#N/A,#N/A,FALSE,"63";#N/A,#N/A,FALSE,"63A";#N/A,#N/A,FALSE,"64";#N/A,#N/A,FALSE,"65";#N/A,#N/A,FALSE,"66"}</definedName>
    <definedName name="wrn.Pages._.51._.to._.66._2" localSheetId="11" hidden="1">{#N/A,#N/A,FALSE,"51";#N/A,#N/A,FALSE,"52";#N/A,#N/A,FALSE,"53";#N/A,#N/A,FALSE,"54";#N/A,#N/A,FALSE,"55";#N/A,#N/A,FALSE,"55A";#N/A,#N/A,FALSE,"56";#N/A,#N/A,FALSE,"57";#N/A,#N/A,FALSE,"57A";#N/A,#N/A,FALSE,"58";#N/A,#N/A,FALSE,"59";#N/A,#N/A,FALSE,"60";#N/A,#N/A,FALSE,"60A";#N/A,#N/A,FALSE,"61";#N/A,#N/A,FALSE,"62";#N/A,#N/A,FALSE,"63";#N/A,#N/A,FALSE,"63A";#N/A,#N/A,FALSE,"64";#N/A,#N/A,FALSE,"65";#N/A,#N/A,FALSE,"66"}</definedName>
    <definedName name="wrn.Pages._.51._.to._.66._3" localSheetId="11" hidden="1">{#N/A,#N/A,FALSE,"51";#N/A,#N/A,FALSE,"52";#N/A,#N/A,FALSE,"53";#N/A,#N/A,FALSE,"54";#N/A,#N/A,FALSE,"55";#N/A,#N/A,FALSE,"55A";#N/A,#N/A,FALSE,"56";#N/A,#N/A,FALSE,"57";#N/A,#N/A,FALSE,"57A";#N/A,#N/A,FALSE,"58";#N/A,#N/A,FALSE,"59";#N/A,#N/A,FALSE,"60";#N/A,#N/A,FALSE,"60A";#N/A,#N/A,FALSE,"61";#N/A,#N/A,FALSE,"62";#N/A,#N/A,FALSE,"63";#N/A,#N/A,FALSE,"63A";#N/A,#N/A,FALSE,"64";#N/A,#N/A,FALSE,"65";#N/A,#N/A,FALSE,"66"}</definedName>
    <definedName name="wrn.Pages._.51._.to._.66._4" localSheetId="11" hidden="1">{#N/A,#N/A,FALSE,"51";#N/A,#N/A,FALSE,"52";#N/A,#N/A,FALSE,"53";#N/A,#N/A,FALSE,"54";#N/A,#N/A,FALSE,"55";#N/A,#N/A,FALSE,"55A";#N/A,#N/A,FALSE,"56";#N/A,#N/A,FALSE,"57";#N/A,#N/A,FALSE,"57A";#N/A,#N/A,FALSE,"58";#N/A,#N/A,FALSE,"59";#N/A,#N/A,FALSE,"60";#N/A,#N/A,FALSE,"60A";#N/A,#N/A,FALSE,"61";#N/A,#N/A,FALSE,"62";#N/A,#N/A,FALSE,"63";#N/A,#N/A,FALSE,"63A";#N/A,#N/A,FALSE,"64";#N/A,#N/A,FALSE,"65";#N/A,#N/A,FALSE,"66"}</definedName>
    <definedName name="wrn.Pages._.51._.to._.66._5" localSheetId="11" hidden="1">{#N/A,#N/A,FALSE,"51";#N/A,#N/A,FALSE,"52";#N/A,#N/A,FALSE,"53";#N/A,#N/A,FALSE,"54";#N/A,#N/A,FALSE,"55";#N/A,#N/A,FALSE,"55A";#N/A,#N/A,FALSE,"56";#N/A,#N/A,FALSE,"57";#N/A,#N/A,FALSE,"57A";#N/A,#N/A,FALSE,"58";#N/A,#N/A,FALSE,"59";#N/A,#N/A,FALSE,"60";#N/A,#N/A,FALSE,"60A";#N/A,#N/A,FALSE,"61";#N/A,#N/A,FALSE,"62";#N/A,#N/A,FALSE,"63";#N/A,#N/A,FALSE,"63A";#N/A,#N/A,FALSE,"64";#N/A,#N/A,FALSE,"65";#N/A,#N/A,FALSE,"66"}</definedName>
    <definedName name="wrn.pages._.88._.to._.end." localSheetId="11"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 localSheetId="11"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_1" localSheetId="11"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_2" localSheetId="11"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_3" localSheetId="11"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_4" localSheetId="11"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2" localSheetId="11"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3" localSheetId="11"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4" localSheetId="11"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5" localSheetId="11"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ing._.Compco." localSheetId="11" hidden="1">{"financials",#N/A,TRUE,"6_30_96";"footnotes",#N/A,TRUE,"6_30_96";"valuation",#N/A,TRUE,"6_30_96"}</definedName>
    <definedName name="wrn.PARTNERS._.CAPITAL._.STMT." localSheetId="11" hidden="1">{"PARTNERS CAPITAL STMT",#N/A,FALSE,"Partners Capital"}</definedName>
    <definedName name="wrn.Penn._.PSC._.part._.1." localSheetId="1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 localSheetId="1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_1" localSheetId="1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_2" localSheetId="1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_3" localSheetId="1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_4" localSheetId="1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2" localSheetId="1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3" localSheetId="1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4" localSheetId="1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5" localSheetId="1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2." localSheetId="11"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 localSheetId="11"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_1" localSheetId="11"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_2" localSheetId="11"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_3" localSheetId="11"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_4" localSheetId="11"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2" localSheetId="11"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3" localSheetId="11"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4" localSheetId="11"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5" localSheetId="11"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harm._.Market._.Report." localSheetId="11" hidden="1">{#N/A,#N/A,FALSE,"Sales Graph";#N/A,#N/A,FALSE,"PSBM";#N/A,#N/A,FALSE,"BUC Graph";#N/A,#N/A,FALSE,"P&amp;L - YTD"}</definedName>
    <definedName name="wrn.Pharmaceuticals." localSheetId="1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se._.in." localSheetId="11" hidden="1">{"Phase in summary",#N/A,FALSE,"P&amp;L Phased"}</definedName>
    <definedName name="wrn.PL._.Detail." localSheetId="11" hidden="1">{#N/A,#N/A,FALSE,"P&amp;L Detail";#N/A,#N/A,FALSE,"P&amp;L Detail";#N/A,#N/A,FALSE,"P&amp;L Detail"}</definedName>
    <definedName name="wrn.PLC._.Co.._.budget._.months." localSheetId="11"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mpany._.budget._.years." localSheetId="11" hidden="1">{"PLC Company Budget years",#N/A,TRUE,"Profit and Loss";"PLC Company Budget years",#N/A,TRUE,"Firm capex";"PLC Company Budget years",#N/A,TRUE,"Gross profit analysis";"PLC Company Budget years",#N/A,TRUE,"Cashflow";"PLC Company Budget years",#N/A,TRUE,"Balance Sheet"}</definedName>
    <definedName name="wrn.PLX." localSheetId="11" hidden="1">{"cred comp",#N/A,FALSE,"Comparable Credit Analysis";"IS",#N/A,FALSE,"IS";"Sensitivity",#N/A,FALSE,"Sensitivity";"BS",#N/A,FALSE,"BS";"Bond Summary",#N/A,FALSE,"B Summary";"AD",#N/A,FALSE,"Accretion";"NAV",#N/A,FALSE,"NAV";"SU",#N/A,FALSE,"S&amp;U";"acq. study",#N/A,FALSE,"Acq. Study";"F Charges",#N/A,FALSE,"Fixed Charges"}</definedName>
    <definedName name="wrn.ppp" localSheetId="11" hidden="1">{#N/A,#N/A,FALSE,"1";#N/A,#N/A,FALSE,"2";#N/A,#N/A,FALSE,"16 - 17";#N/A,#N/A,FALSE,"18 - 19";#N/A,#N/A,FALSE,"26";#N/A,#N/A,FALSE,"27";#N/A,#N/A,FALSE,"28"}</definedName>
    <definedName name="wrn.PRES_OUT." localSheetId="11" hidden="1">{"page1",#N/A,FALSE,"PRESENTATION";"page2",#N/A,FALSE,"PRESENTATION";#N/A,#N/A,FALSE,"Valuation Summary"}</definedName>
    <definedName name="wrn.PRES_OUT2" localSheetId="11" hidden="1">{"page1",#N/A,FALSE,"PRESENTATION";"page2",#N/A,FALSE,"PRESENTATION";#N/A,#N/A,FALSE,"Valuation Summary"}</definedName>
    <definedName name="wrn.Pres_OUT3" localSheetId="11" hidden="1">{"page1",#N/A,FALSE,"PRESENTATION";"page2",#N/A,FALSE,"PRESENTATION";#N/A,#N/A,FALSE,"Valuation Summary"}</definedName>
    <definedName name="wrn.PRES_OUT4" localSheetId="11" hidden="1">{"page1",#N/A,FALSE,"PRESENTATION";"page2",#N/A,FALSE,"PRESENTATION";#N/A,#N/A,FALSE,"Valuation Summary"}</definedName>
    <definedName name="wrn.PRES_OUT5" localSheetId="11" hidden="1">{"page1",#N/A,FALSE,"PRESENTATION";"page2",#N/A,FALSE,"PRESENTATION";#N/A,#N/A,FALSE,"Valuation Summary"}</definedName>
    <definedName name="wrn.PRES_OUT6" localSheetId="11" hidden="1">{"page1",#N/A,FALSE,"PRESENTATION";"page2",#N/A,FALSE,"PRESENTATION";#N/A,#N/A,FALSE,"Valuation Summary"}</definedName>
    <definedName name="wrn.PRES_OUT8" localSheetId="11" hidden="1">{"page1",#N/A,FALSE,"PRESENTATION";"page2",#N/A,FALSE,"PRESENTATION";#N/A,#N/A,FALSE,"Valuation Summary"}</definedName>
    <definedName name="wrn.prin2._.all." localSheetId="11" hidden="1">{#N/A,#N/A,FALSE,"Pharm";#N/A,#N/A,FALSE,"WWCM"}</definedName>
    <definedName name="wrn.prin3" localSheetId="11" hidden="1">{#N/A,#N/A,FALSE,"Pharm";#N/A,#N/A,FALSE,"WWCM"}</definedName>
    <definedName name="wrn.print" localSheetId="11" hidden="1">{#N/A,#N/A,FALSE,"Pharm";#N/A,#N/A,FALSE,"WWCM"}</definedName>
    <definedName name="wrn.print." localSheetId="11" hidden="1">{#N/A,#N/A,FALSE,"Japan 2003";#N/A,#N/A,FALSE,"Sheet2"}</definedName>
    <definedName name="wrn.Print._.24." localSheetId="11" hidden="1">{#N/A,#N/A,FALSE,"Index";"Stmts_Qtrs",#N/A,FALSE,"Summary";"Stmts_24 mo",#N/A,FALSE,"Summary";"Summary_24",#N/A,FALSE,"Revenue";"Month_24",#N/A,FALSE,"Engineering";"Month_24",#N/A,FALSE,"Marketing";"Month_24",#N/A,FALSE,"G &amp; A";"Month_24",#N/A,FALSE,"Manufacturing"}</definedName>
    <definedName name="wrn.Print._.All." localSheetId="11" hidden="1">{"IS Years",#N/A,FALSE,"Income Statement";"IS Q96",#N/A,FALSE,"Income Statement";"IS Q97",#N/A,FALSE,"Income Statement";"Corporate",#N/A,FALSE,"Corporate Profile";"Netbacks",#N/A,FALSE,"Netbacks"}</definedName>
    <definedName name="wrn.Print._.All._.Pages." localSheetId="11" hidden="1">{"LBO Summary",#N/A,FALSE,"Summary";"Income Statement",#N/A,FALSE,"Model";"Cash Flow",#N/A,FALSE,"Model";"Balance Sheet",#N/A,FALSE,"Model";"Working Capital",#N/A,FALSE,"Model";"Pro Forma Balance Sheets",#N/A,FALSE,"PFBS";"Debt Balances",#N/A,FALSE,"Model";"Fee Schedules",#N/A,FALSE,"Model"}</definedName>
    <definedName name="wrn.Print._.All._.Worksheets." localSheetId="11" hidden="1">{#N/A,#N/A,FALSE,"Capitaliztion Matrix";#N/A,#N/A,FALSE,"4YR P&amp;L";#N/A,#N/A,FALSE,"Program Contributions";#N/A,#N/A,FALSE,"P&amp;L Trans YR 2";#N/A,#N/A,FALSE,"Rev &amp; EBITDA YR2";#N/A,#N/A,FALSE,"P&amp;L Trans YR 1";#N/A,#N/A,FALSE,"Rev &amp; EBITDA YR1"}</definedName>
    <definedName name="wrn.PRINT._.ALL.2" localSheetId="11" hidden="1">{#N/A,#N/A,FALSE,"Pharm";#N/A,#N/A,FALSE,"WWCM"}</definedName>
    <definedName name="wrn.print._.all2" localSheetId="11" hidden="1">{#N/A,#N/A,FALSE,"Pharm";#N/A,#N/A,FALSE,"WWCM"}</definedName>
    <definedName name="wrn.PRINT._.FULL." localSheetId="11" hidden="1">{#N/A,#N/A,FALSE,"face";#N/A,#N/A,FALSE,"RETURN SUMMARY ";#N/A,#N/A,FALSE,"return RS";#N/A,#N/A,FALSE,"return US$";#N/A,#N/A,FALSE,"Key Ratio";#N/A,#N/A,FALSE,"input";#N/A,#N/A,FALSE,"fnplan";#N/A,#N/A,FALSE,"RsKW";#N/A,#N/A,FALSE,"RsKW value";#N/A,#N/A,FALSE,"gen&amp;fuel";#N/A,#N/A,FALSE,"O&amp;M+admin";#N/A,#N/A,FALSE,"dep_rskw";#N/A,#N/A,FALSE,"wc_tariff";#N/A,#N/A,FALSE,"tax-tarif1";#N/A,#N/A,FALSE,"ROE";#N/A,#N/A,FALSE,"P&amp;L";#N/A,#N/A,FALSE,"fund";#N/A,#N/A,FALSE,"B.S.";#N/A,#N/A,FALSE,"wc-P&amp;L";#N/A,#N/A,FALSE,"tax-P&amp;L";#N/A,#N/A,FALSE,"dep-p&amp;l";#N/A,#N/A,FALSE,"Project Cost P&amp;L";#N/A,#N/A,FALSE,"IDCa";#N/A,#N/A,FALSE,"TN_PCOST";#N/A,#N/A,FALSE,"Local Debt in $ CEA";#N/A,#N/A,FALSE,"Debt Service"}</definedName>
    <definedName name="wrn.print._.graphs." localSheetId="11" hidden="1">{"cap_structure",#N/A,FALSE,"Graph-Mkt Cap";"price",#N/A,FALSE,"Graph-Price";"ebit",#N/A,FALSE,"Graph-EBITDA";"ebitda",#N/A,FALSE,"Graph-EBITDA"}</definedName>
    <definedName name="wrn.Print._.Model." localSheetId="11"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nthly._.Book." localSheetId="11" hidden="1">{#N/A,#N/A,FALSE,"Cover_Sht";#N/A,#N/A,FALSE,"FR_Contents";#N/A,#N/A,FALSE,"Con_ytd_p&amp;l";#N/A,#N/A,FALSE,"Jas_ytd_p&amp;l";#N/A,#N/A,FALSE,"Roy_ytd_p&amp;l";#N/A,#N/A,FALSE,"Customer_p&amp;l";#N/A,#N/A,FALSE,"Con_prd_p&amp;l";#N/A,#N/A,FALSE,"Jas_prd_p&amp;l";#N/A,#N/A,FALSE,"Roy_prd_p&amp;l";#N/A,#N/A,FALSE,"Cur_proj";#N/A,#N/A,FALSE,"Bal_Sht";#N/A,#N/A,FALSE,"Cash_Flow";#N/A,#N/A,FALSE,"AR_TB";#N/A,#N/A,FALSE,"Cap_Exp";#N/A,#N/A,FALSE,"Manpwr"}</definedName>
    <definedName name="wrn.Print._.Out._.1." localSheetId="11" hidden="1">{"Five Year",#N/A,FALSE,"Summary (2)";"Month 1 and Years",#N/A,FALSE,"Cash Budget"}</definedName>
    <definedName name="wrn.Print._.Pages." localSheetId="11" hidden="1">{#N/A,#N/A,FALSE,"Page 1";#N/A,#N/A,FALSE,"Page 2";#N/A,#N/A,FALSE,"Page 3";#N/A,#N/A,FALSE,"Page 4";#N/A,#N/A,FALSE,"Page 5"}</definedName>
    <definedName name="wrn.Print._.PNL._.Download." localSheetId="11" hidden="1">{"PNLProjDL",#N/A,FALSE,"PROJCO";"PNLParDL",#N/A,FALSE,"Parent"}</definedName>
    <definedName name="wrn.print._.raw._.data._.entry." localSheetId="11" hidden="1">{"inputs raw data",#N/A,TRUE,"INPUT"}</definedName>
    <definedName name="wrn.print._.raw._data._.entry2." localSheetId="11" hidden="1">{"inputs raw data",#N/A,TRUE,"INPUT"}</definedName>
    <definedName name="wrn.print._.summary._.sheets." localSheetId="11" hidden="1">{"summary1",#N/A,TRUE,"Comps";"summary2",#N/A,TRUE,"Comps";"summary3",#N/A,TRUE,"Comps"}</definedName>
    <definedName name="wrn.print._.summary._.sheets.2" localSheetId="11" hidden="1">{"summary1",#N/A,TRUE,"Comps";"summary2",#N/A,TRUE,"Comps";"summary3",#N/A,TRUE,"Comps"}</definedName>
    <definedName name="wrn.Print._.whole._.Report." localSheetId="11"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all1." localSheetId="11" hidden="1">{#N/A,#N/A,FALSE,"Pharm";#N/A,#N/A,FALSE,"WWCM"}</definedName>
    <definedName name="wrn.Print_Buyer." localSheetId="11" hidden="1">{#N/A,"DR",FALSE,"increm pf";#N/A,"MAMSI",FALSE,"increm pf";#N/A,"MAXI",FALSE,"increm pf";#N/A,"PCAM",FALSE,"increm pf";#N/A,"PHSV",FALSE,"increm pf";#N/A,"SIE",FALSE,"increm pf"}</definedName>
    <definedName name="wrn.Print_Earnings_template." localSheetId="11" hidden="1">{"by_month",#N/A,TRUE,"template";"destec_month",#N/A,TRUE,"template";"by_quarter",#N/A,TRUE,"template";"destec_quarter",#N/A,TRUE,"template";"by_year",#N/A,TRUE,"template";"destec_annual",#N/A,TRUE,"template"}</definedName>
    <definedName name="wrn.Print_Target." localSheetId="1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Var_page." localSheetId="11" hidden="1">{"var_page",#N/A,FALSE,"template"}</definedName>
    <definedName name="wrn.print_variance." localSheetId="11" hidden="1">{"var_report",#N/A,FALSE,"template"}</definedName>
    <definedName name="wrn.Print_Variance_Page." localSheetId="11" hidden="1">{"variance_page",#N/A,FALSE,"template"}</definedName>
    <definedName name="wrn.print2" localSheetId="11" hidden="1">{#N/A,#N/A,FALSE,"Pharm";#N/A,#N/A,FALSE,"WWCM"}</definedName>
    <definedName name="wrn.PRINT2." localSheetId="11" hidden="1">{"PAGE1",#N/A,FALSE,"ADJMODL";"PAGE2",#N/A,FALSE,"ADJMODL";"PAGE3",#N/A,FALSE,"ADJMODL";"PAGE4",#N/A,FALSE,"ADJMODL";"PAGE5",#N/A,FALSE,"ADJMODL";"PAGE6",#N/A,FALSE,"ADJMODL";"PAGE7",#N/A,FALSE,"ADJMODL";"PAGE8",#N/A,FALSE,"ADJMODL"}</definedName>
    <definedName name="wrn.print3." localSheetId="11"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ac." localSheetId="11" hidden="1">{#N/A,#N/A,FALSE,"Op-BS";#N/A,#N/A,FALSE,"Assum";#N/A,#N/A,FALSE,"IS";#N/A,#N/A,FALSE,"Syn+Elim";#N/A,#N/A,FALSE,"BSCF";#N/A,#N/A,FALSE,"Blue_IS";#N/A,#N/A,FALSE,"Blue_BSCF";#N/A,#N/A,FALSE,"Ratings"}</definedName>
    <definedName name="wrn.PrintAll." localSheetId="11" hidden="1">{"PA1",#N/A,TRUE,"BORDMW";"pa2",#N/A,TRUE,"BORDMW";"PA3",#N/A,TRUE,"BORDMW";"PA4",#N/A,TRUE,"BORDMW"}</definedName>
    <definedName name="wrn.printqtr." localSheetId="11" hidden="1">{"nytasecond",#N/A,FALSE,"NYTQTRS";"nytafirst",#N/A,FALSE,"NYTQTRS";"nytathird",#N/A,FALSE,"NYTQTRS";"nytafourth",#N/A,FALSE,"NYTQTRS";"nytafull",#N/A,FALSE,"NYTQTRS"}</definedName>
    <definedName name="wrn.PRINTREP." localSheetId="11" hidden="1">{"PRINTREP",#N/A,FALSE,"Sheet1"}</definedName>
    <definedName name="wrn.PRNE._.Profit._.and._.Loss._.detail." localSheetId="11" hidden="1">{#N/A,#N/A,TRUE,"PRNE CORE";#N/A,#N/A,TRUE,"Targeting";#N/A,#N/A,TRUE,"Distribution";#N/A,#N/A,TRUE,"Measurement"}</definedName>
    <definedName name="wrn.PROD._.PLAN._.OPTION._.4." localSheetId="11" hidden="1">{"TOP 4",#N/A,FALSE,"MVR_SUM OPTION 4 BY MO";"TOP 3A",#N/A,FALSE,"MVR_SUM OPTION 3A BY MO";"TOP OPT 4 VS 3A",#N/A,FALSE,"MVR_SUM OPTION 4 VS 3A BY MO";#N/A,#N/A,FALSE,"MVR_SUM OPTION 4 SUM";#N/A,#N/A,FALSE,"PROD PLAN 4";#N/A,#N/A,FALSE,"PROD PLAN 3A";#N/A,#N/A,FALSE,"PROD UNITS 4 VS 3A";#N/A,#N/A,FALSE,"DLV 4 VS 3A";#N/A,#N/A,FALSE,"SPD 4 VS 3A";#N/A,#N/A,FALSE,"ABS 4 VS 3A"}</definedName>
    <definedName name="wrn.products" localSheetId="11" hidden="1">{#N/A,#N/A,FALSE,"1";#N/A,#N/A,FALSE,"2";#N/A,#N/A,FALSE,"16 - 17";#N/A,#N/A,FALSE,"18 - 19";#N/A,#N/A,FALSE,"26";#N/A,#N/A,FALSE,"27";#N/A,#N/A,FALSE,"28"}</definedName>
    <definedName name="wrn.Products." localSheetId="11" hidden="1">{#N/A,#N/A,FALSE,"1";#N/A,#N/A,FALSE,"2";#N/A,#N/A,FALSE,"16 - 17";#N/A,#N/A,FALSE,"18 - 19";#N/A,#N/A,FALSE,"26";#N/A,#N/A,FALSE,"27";#N/A,#N/A,FALSE,"28"}</definedName>
    <definedName name="wrn.Proforma." localSheetId="11" hidden="1">{"coversht",#N/A,TRUE,"TOC";"assmp1",#N/A,TRUE,"ASS";"assmp2",#N/A,TRUE,"ASS";"cashfl1",#N/A,TRUE,"CF";"return1",#N/A,TRUE,"Return";"return2",#N/A,TRUE,"Return";"EIncome",#N/A,TRUE,"EINC";"rev1",#N/A,TRUE,"Rev";"rev2",#N/A,TRUE,"Rev";"exp1",#N/A,TRUE,"Exp";"exp2",#N/A,TRUE,"Exp";"exp3",#N/A,TRUE,"Exp";"exp4",#N/A,TRUE,"Exp";"MaintRes",#N/A,TRUE,"MRES";"drwdn1",#N/A,TRUE,"Drwdn";"drwdn2",#N/A,TRUE,"Drwdn";"drwdn3",#N/A,TRUE,"Drwdn";"debt1",#N/A,TRUE,"Fin";"debt2",#N/A,TRUE,"Fin";"tax1",#N/A,TRUE,"TAXES";"tax2",#N/A,TRUE,"TAXES";"Deprec",#N/A,TRUE,"DEPR";"Balsht1",#N/A,TRUE,"BS_IS";"Balsht2",#N/A,TRUE,"BS_IS";"Ref1",#N/A,TRUE,"REF1";"Ref2",#N/A,TRUE,"REF2";"Ref3",#N/A,TRUE,"REF3";"Ref4",#N/A,TRUE,"REF4"}</definedName>
    <definedName name="wrn.Project._.Summary." localSheetId="11" hidden="1">{"Summary",#N/A,FALSE,"MICMULT";"Income Statement",#N/A,FALSE,"MICMULT";"Cash Flows",#N/A,FALSE,"MICMULT"}</definedName>
    <definedName name="wrn.pror" localSheetId="11" hidden="1">{#N/A,#N/A,FALSE,"Pharm";#N/A,#N/A,FALSE,"WWCM"}</definedName>
    <definedName name="wrn.PROVSS." localSheetId="11" hidden="1">{"FOOTNOTE",#N/A,FALSE,"PROV";"SUMMARY",#N/A,FALSE,"PROV";"RATE",#N/A,FALSE,"PROV";"PROV CALC",#N/A,FALSE,"PROV";"PROV TO TR",#N/A,FALSE,"PROV";"TAX ACCOUNT ANAL",#N/A,FALSE,"PROV"}</definedName>
    <definedName name="wrn.Pulp." localSheetId="11" hidden="1">{"Pulp Production",#N/A,FALSE,"Pulp";"Pulp Earnings",#N/A,FALSE,"Pulp"}</definedName>
    <definedName name="wrn.Pulp.2" localSheetId="11" hidden="1">{"Pulp Production",#N/A,FALSE,"Pulp";"Pulp Earnings",#N/A,FALSE,"Pulp"}</definedName>
    <definedName name="wrn.Pulp.3" localSheetId="11" hidden="1">{"Pulp Production",#N/A,FALSE,"Pulp";"Pulp Earnings",#N/A,FALSE,"Pulp"}</definedName>
    <definedName name="wrn.Pulp.3.2" localSheetId="11" hidden="1">{"Pulp Production",#N/A,FALSE,"Pulp";"Pulp Earnings",#N/A,FALSE,"Pulp"}</definedName>
    <definedName name="wrn.Pulp.3.4" localSheetId="11" hidden="1">{"Pulp Production",#N/A,FALSE,"Pulp";"Pulp Earnings",#N/A,FALSE,"Pulp"}</definedName>
    <definedName name="wrn.Pulp.3.6" localSheetId="11" hidden="1">{"Pulp Production",#N/A,FALSE,"Pulp";"Pulp Earnings",#N/A,FALSE,"Pulp"}</definedName>
    <definedName name="wrn.Pulp.4" localSheetId="11" hidden="1">{"Pulp Production",#N/A,FALSE,"Pulp";"Pulp Earnings",#N/A,FALSE,"Pulp"}</definedName>
    <definedName name="wrn.Pulp.5" localSheetId="11" hidden="1">{"Pulp Production",#N/A,FALSE,"Pulp";"Pulp Earnings",#N/A,FALSE,"Pulp"}</definedName>
    <definedName name="wrn.Pulp.6" localSheetId="11" hidden="1">{"Pulp Production",#N/A,FALSE,"Pulp";"Pulp Earnings",#N/A,FALSE,"Pulp"}</definedName>
    <definedName name="wrn.Pulp.7" localSheetId="11" hidden="1">{"Pulp Production",#N/A,FALSE,"Pulp";"Pulp Earnings",#N/A,FALSE,"Pulp"}</definedName>
    <definedName name="wrn.Pulp.8" localSheetId="11" hidden="1">{"Pulp Production",#N/A,FALSE,"Pulp";"Pulp Earnings",#N/A,FALSE,"Pulp"}</definedName>
    <definedName name="wrn.Pulp.9" localSheetId="11" hidden="1">{"Pulp Production",#N/A,FALSE,"Pulp";"Pulp Earnings",#N/A,FALSE,"Pulp"}</definedName>
    <definedName name="wrn.Pump." localSheetId="11" hidden="1">{#N/A,#N/A,FALSE,"Assump";#N/A,#N/A,FALSE,"Income";#N/A,#N/A,FALSE,"Balance";#N/A,#N/A,FALSE,"DCF Pump";#N/A,#N/A,FALSE,"Trans Assump";#N/A,#N/A,FALSE,"Combined Income";#N/A,#N/A,FALSE,"Combined Balance"}</definedName>
    <definedName name="wrn.Qtr._.3." localSheetId="11" hidden="1">{"QTR3PL",#N/A,FALSE,"Qtr 3";"QTR3PLYTD",#N/A,FALSE,"Qtr 3";"QTR3BS",#N/A,FALSE,"Qtr 3";"QTR3CF",#N/A,FALSE,"Qtr 3";"QTR3CFYTD",#N/A,FALSE,"Qtr 3";"QTR3PGIPL",#N/A,FALSE,"Qtr 3";"QTR3PGIPLYTD",#N/A,FALSE,"Qtr 3";"QTR3PGIBS",#N/A,FALSE,"Qtr 3";"QTR3PGICF",#N/A,FALSE,"Qtr 3";"QTR3PGICFYTD",#N/A,FALSE,"Qtr 3"}</definedName>
    <definedName name="wrn.QTR1." localSheetId="11" hidden="1">{"QTR1PGIBS",#N/A,FALSE,"Qtr 1 PGI";"QTR1PGIPL",#N/A,FALSE,"Qtr 1 PGI";"QTR1PGICF",#N/A,FALSE,"Qtr 1 PGI";"QTR1BS",#N/A,FALSE,"Qtr 1 ";"QTR1PL",#N/A,FALSE,"Qtr 1 ";"QTR1CF",#N/A,FALSE,"Qtr 1 "}</definedName>
    <definedName name="wrn.Qtr2." localSheetId="11" hidden="1">{"QTR2PL",#N/A,FALSE,"Qtr 2";"QTR2PLYTD",#N/A,FALSE,"Qtr 2";"QTR2BS",#N/A,FALSE,"Qtr 2";"QTR2CF",#N/A,FALSE,"Qtr 2";"QTR2CFYTD",#N/A,FALSE,"Qtr 2";"QTR2PGIPL",#N/A,FALSE,"Qtr 2 PGI";"QTR2PGIPLYTD",#N/A,FALSE,"Qtr 2 PGI";"QTR2PGIBS",#N/A,FALSE,"Qtr 2 PGI";"QTR2PGICF",#N/A,FALSE,"Qtr 2 PGI";"QTR2PGICFYTD",#N/A,FALSE,"Qtr 2 PGI"}</definedName>
    <definedName name="wrn.qtrly._.PL._.summary._.FY01._.to._.FY03." localSheetId="11" hidden="1">{"qtrly summ-FY01",#N/A,FALSE,"P &amp; L";"qtrly summ-FY02",#N/A,FALSE,"P &amp; L";"qtrly summ-FY03",#N/A,FALSE,"P &amp; L"}</definedName>
    <definedName name="wrn.Quarterly._.Income._.Statement." localSheetId="11" hidden="1">{"Quarterly Income Statement",#N/A,FALSE,"P&amp;L Detail"}</definedName>
    <definedName name="wrn.Quarters." localSheetId="11" hidden="1">{"All Qtrs",#N/A,FALSE,"Curr Mo";"1001Q",#N/A,FALSE,"Curr Mo";"1002Q",#N/A,FALSE,"Curr Mo";"4012Q",#N/A,FALSE,"Curr Mo";"4017Q",#N/A,FALSE,"Curr Mo";"1050Q",#N/A,FALSE,"Curr Mo";"1009Q",#N/A,FALSE,"Curr Mo";"4079Q",#N/A,FALSE,"Curr Mo";"4077Q",#N/A,FALSE,"Curr Mo";"1005Q",#N/A,FALSE,"Curr Mo";"1008Q",#N/A,FALSE,"Curr Mo";"1011Q",#N/A,FALSE,"Curr Mo";"1006Q",#N/A,FALSE,"Curr Mo";"1024Q",#N/A,FALSE,"Curr Mo";"1003Q",#N/A,FALSE,"Curr Mo";"1025q",#N/A,FALSE,"Curr Mo";"4013Q",#N/A,FALSE,"Curr Mo";"1091Q",#N/A,FALSE,"Curr Mo";"1010Q",#N/A,FALSE,"Curr Mo";"1023Q",#N/A,FALSE,"Curr Mo";"4014Q",#N/A,FALSE,"Curr Mo";"1043Q",#N/A,FALSE,"Curr Mo";"1014Q",#N/A,FALSE,"Curr Mo";"1015Q",#N/A,FALSE,"Curr Mo";"1012Q",#N/A,FALSE,"Curr Mo";"1061Q",#N/A,FALSE,"Curr Mo";"1045Q",#N/A,FALSE,"Curr Mo";"4058Q",#N/A,FALSE,"Curr Mo";"1033Q",#N/A,FALSE,"Curr Mo";"1103Q",#N/A,FALSE,"Curr Mo";"4007Q",#N/A,FALSE,"Curr Mo";"4021Q",#N/A,FALSE,"Curr Mo";"4026Q",#N/A,FALSE,"Curr Mo";"4022Q",#N/A,FALSE,"Curr Mo";"4050Q",#N/A,FALSE,"Curr Mo";"4032Q",#N/A,FALSE,"Curr Mo";"4089Q",#N/A,FALSE,"Curr Mo";"1042Q",#N/A,FALSE,"Curr Mo";"1048Q",#N/A,FALSE,"Curr Mo";"4049Q",#N/A,FALSE,"Curr Mo"}</definedName>
    <definedName name="wrn.RANKED._.REC._.LLC." localSheetId="11" hidden="1">{#N/A,#N/A,FALSE,"BONDS";#N/A,#N/A,FALSE,"NON-LATIN";#N/A,#N/A,FALSE,"HY BONDS";#N/A,#N/A,FALSE,"LA-ASIAN";#N/A,#N/A,FALSE,"EMG REPO";#N/A,#N/A,FALSE,"TREASURY REPO";#N/A,#N/A,FALSE,"EMG BONDS";#N/A,#N/A,FALSE,"CREDIT DERIV";#N/A,#N/A,FALSE,"CORP DERIV"}</definedName>
    <definedName name="wrn.RANKED._.REV._.GRP._.LLC." localSheetId="11" hidden="1">{#N/A,#N/A,FALSE,"CURRENCY";#N/A,#N/A,FALSE,"BONDS";#N/A,#N/A,FALSE,"GOLD";#N/A,#N/A,FALSE,"EXOTICS";#N/A,#N/A,FALSE,"NON-LATIN";#N/A,#N/A,FALSE,"HY BONDS";#N/A,#N/A,FALSE,"LA-ASIAN";#N/A,#N/A,FALSE,"EMG REPO";#N/A,#N/A,FALSE,"TREASURY REPO";#N/A,#N/A,FALSE,"EMG BONDS";#N/A,#N/A,FALSE,"EM OPTIONS";#N/A,#N/A,FALSE,"CREDIT DERIV";#N/A,#N/A,FALSE,"CORP DERIV";#N/A,#N/A,FALSE,"NON-MEX SPOT";#N/A,#N/A,FALSE,"ELECTRICITY";#N/A,#N/A,FALSE,"FE ASIA SPOT";#N/A,#N/A,FALSE,"MEX  FWD NDF"}</definedName>
    <definedName name="wrn.Rapport." localSheetId="11" hidden="1">{#N/A,#N/A,FALSE,"SHEET1";#N/A,#N/A,FALSE,"SHEET2";#N/A,#N/A,FALSE,"SHEET3";#N/A,#N/A,FALSE,"SHEET4"}</definedName>
    <definedName name="wrn.Rapport._.complet." localSheetId="11" hidden="1">{#N/A,#N/A,FALSE,"Bilan d'ouverture";#N/A,#N/A,FALSE,"Résultats";#N/A,#N/A,FALSE,"Ventes";#N/A,#N/A,FALSE,"Hypothèse - fabrication";#N/A,#N/A,FALSE,"Hypothèse - coûts directs";#N/A,#N/A,FALSE,"Coût des ventes";#N/A,#N/A,FALSE,"Fabrication";#N/A,#N/A,FALSE,"FGF";#N/A,#N/A,FALSE,"Frais de vente";#N/A,#N/A,FALSE,"Frais d'administration";#N/A,#N/A,FALSE,"Frais financiers";#N/A,#N/A,FALSE,"Bilan";#N/A,#N/A,FALSE,"Trésorerie";#N/A,#N/A,FALSE,"Situation";#N/A,#N/A,FALSE,"Comptes clients";#N/A,#N/A,FALSE,"Perc";#N/A,#N/A,FALSE,"Stocks";#N/A,#N/A,FALSE,"FPA";#N/A,#N/A,FALSE,"Immobilisations";#N/A,#N/A,FALSE,"Autres actifs";#N/A,#N/A,FALSE,"Fournisseurs";#N/A,#N/A,FALSE,"Achats";#N/A,#N/A,FALSE,"Débours";#N/A,#N/A,FALSE,"Achats - Débours";#N/A,#N/A,FALSE,"Salaires";#N/A,#N/A,FALSE,"Taxes";#N/A,#N/A,FALSE,"DLT"}</definedName>
    <definedName name="wrn.Rapport._.détaillé." localSheetId="11" hidden="1">{#N/A,#N/A,TRUE,"Bilan";#N/A,#N/A,TRUE,"Résultats";#N/A,#N/A,TRUE,"Trésorerie";#N/A,#N/A,TRUE,"DLT";#N/A,#N/A,TRUE,"Situation";#N/A,#N/A,TRUE,"FGF";#N/A,#N/A,TRUE,"Frais de vente";#N/A,#N/A,TRUE,"Frais d'administration";#N/A,#N/A,TRUE,"Frais financiers"}</definedName>
    <definedName name="wrn.Rapport._.sommaire." localSheetId="11" hidden="1">{#N/A,#N/A,TRUE,"Bilan";#N/A,#N/A,TRUE,"Résultats";#N/A,#N/A,TRUE,"Trésorerie";#N/A,#N/A,TRUE,"DLT";#N/A,#N/A,TRUE,"Situation"}</definedName>
    <definedName name="wrn.Ratios." localSheetId="11" hidden="1">{"Ratios",#N/A,FALSE,"Ratios"}</definedName>
    <definedName name="wrn.Recovery." localSheetId="11" hidden="1">{#N/A,#N/A,FALSE,"COVER";#N/A,#N/A,FALSE,"Index";#N/A,#N/A,FALSE,"Summ_Products_Rec.97-98";#N/A,#N/A,FALSE,"QTR_Comp.";#N/A,#N/A,FALSE,"Summ_Detail_Rec.97-98";#N/A,#N/A,FALSE,"Summ_Agencies_Rec.97-98"}</definedName>
    <definedName name="wrn.red_take." localSheetId="11" hidden="1">{"red_take_pg1",#N/A,FALSE,"reduced_take";"red_take_pg2",#N/A,FALSE,"reduced_take";"red_take_pg3",#N/A,FALSE,"reduced_take";"red_take_pg4",#N/A,FALSE,"reduced_take";"red_take_pg5",#N/A,FALSE,"reduced_take";"red_take_pg6",#N/A,FALSE,"reduced_take"}</definedName>
    <definedName name="wrn.Reforcast._.Print." localSheetId="11" hidden="1">{#N/A,#N/A,FALSE,"RF Inc Stmt";#N/A,#N/A,FALSE,"RF-IS-1";#N/A,#N/A,FALSE,"RF-IS-2"}</definedName>
    <definedName name="wrn.Reforecast." localSheetId="11"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gions._.Bank." localSheetId="11" hidden="1">{#N/A,#N/A,FALSE,"Cover_Page";#N/A,#N/A,FALSE,"Balance Sheet FY12";#N/A,#N/A,FALSE,"Consolidated-Cash Flow";#N/A,#N/A,FALSE,"CY_Per Inc FY12"}</definedName>
    <definedName name="wrn.RELEVANTSHEETS." localSheetId="11" hidden="1">{#N/A,#N/A,FALSE,"AD_Purch";#N/A,#N/A,FALSE,"Projections";#N/A,#N/A,FALSE,"DCF";#N/A,#N/A,FALSE,"Mkt Val"}</definedName>
    <definedName name="wrn.Relvals." localSheetId="11" hidden="1">{"weekly",#N/A,FALSE,"HLTH_BND";"weekly",#N/A,FALSE,"PAP_BOND";#N/A,#N/A,FALSE,"RET_BND";"weekly",#N/A,FALSE,"CHM_BND";#N/A,#N/A,FALSE,"MOVIES";#N/A,#N/A,FALSE,"CABLE";#N/A,#N/A,FALSE,"BDCSTRV"}</definedName>
    <definedName name="wrn.rep_page." localSheetId="11" hidden="1">{"Annual_Income",#N/A,FALSE,"Report Page";"Balance_Cash_Flow",#N/A,FALSE,"Report Page";"Quarterly_Income",#N/A,FALSE,"Report Page"}</definedName>
    <definedName name="wrn.report" localSheetId="1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_.2." localSheetId="11" hidden="1">{#N/A,#N/A,TRUE,"Pivots-Employee";#N/A,"Scenerio2",TRUE,"Assumptions Summary"}</definedName>
    <definedName name="wrn.REPORT._.C." localSheetId="11" hidden="1">{#N/A,#N/A,TRUE,"Sch-5a";#N/A,#N/A,TRUE,"Sch-5b";#N/A,#N/A,TRUE,"Sch-5c";#N/A,#N/A,TRUE,"Sch-5d";#N/A,#N/A,TRUE,"Sch-6a";#N/A,#N/A,TRUE,"Sch-6b";#N/A,#N/A,TRUE,"Sch-6c";#N/A,#N/A,TRUE,"Sch-6d";#N/A,#N/A,TRUE,"Sch-6e"}</definedName>
    <definedName name="wrn.Report._.Summary." localSheetId="11" hidden="1">{#N/A,#N/A,FALSE,"March Details"}</definedName>
    <definedName name="wrn.Report_Page." localSheetId="11" hidden="1">{"Annual_Income",#N/A,FALSE,"Report Page";"Balance_Cash_Flow",#N/A,FALSE,"Report Page";"Quarterly_Income",#N/A,FALSE,"Report Page"}</definedName>
    <definedName name="wrn.Report_PR_1." localSheetId="11" hidden="1">{"PR1","pr1",TRUE,"Sch PR-1"}</definedName>
    <definedName name="wrn.Report1." localSheetId="11" hidden="1">{#N/A,#N/A,FALSE,"IS";#N/A,#N/A,FALSE,"BS";#N/A,#N/A,FALSE,"CF";#N/A,#N/A,FALSE,"CE";#N/A,#N/A,FALSE,"Depr";#N/A,#N/A,FALSE,"APAL"}</definedName>
    <definedName name="wrn.REPORTING._.PACKAGE." localSheetId="11" hidden="1">{#N/A,#N/A,TRUE,"Cover";#N/A,#N/A,TRUE,"BS";#N/A,#N/A,TRUE,"BS (2)";#N/A,#N/A,TRUE,"BS (3)";#N/A,#N/A,TRUE,"Supp Info-BS";#N/A,#N/A,TRUE,"IS";#N/A,#N/A,TRUE,"IS (2)";#N/A,#N/A,TRUE,"IS (3)";#N/A,#N/A,TRUE,"Supp Info-IS";#N/A,#N/A,TRUE,"CF";#N/A,#N/A,TRUE,"Supp Info-CF";#N/A,#N/A,TRUE,"SH";#N/A,#N/A,TRUE,"Supp Info-SH"}</definedName>
    <definedName name="wrn.reports." localSheetId="11" hidden="1">{"summary",#N/A,FALSE,"3 yr average";"comps",#N/A,FALSE,"3 yr average"}</definedName>
    <definedName name="wrn.RESERVE._.SCHEDULE." localSheetId="11" hidden="1">{#N/A,#N/A,FALSE,"Sheet8";#N/A,#N/A,FALSE,"Sheet7"}</definedName>
    <definedName name="wrn.Results." localSheetId="11" hidden="1">{#N/A,#N/A,FALSE,"PR report 1";#N/A,#N/A,FALSE,"PR report 2";#N/A,#N/A,FALSE,"PR report 3";#N/A,#N/A,FALSE,"HBE Rev";#N/A,#N/A,FALSE,"PR report 4";#N/A,#N/A,FALSE,"Wiggin Rev";#N/A,#N/A,FALSE,"NH Rev"}</definedName>
    <definedName name="wrn.revenue._.detail." localSheetId="11" hidden="1">{"revenue detail 1",#N/A,FALSE,"Revenue Detail";"revenue detail 2",#N/A,FALSE,"Revenue Detail";"revenue detail 3",#N/A,FALSE,"Revenue Detail";"revenue detail 4",#N/A,FALSE,"Revenue Detail"}</definedName>
    <definedName name="wrn.revenue._.graph." localSheetId="11" hidden="1">{"revenue graph",#N/A,FALSE,"Revenue Graph"}</definedName>
    <definedName name="wrn.revenue._.historical." localSheetId="11" hidden="1">{"rev_summary2",#N/A,FALSE,"historical min us";"rev_summary1",#N/A,FALSE,"historical min us";"rev_perMinuteSummary",#N/A,FALSE,"hist rev per minute summary";"rev_worldwide_rev",#N/A,FALSE,"historical min us";"rev_worldwide_minutes",#N/A,FALSE,"historical min us";"rev_rev_ROW",#N/A,FALSE,"historical min us";"rev_other",#N/A,FALSE,"historical min us"}</definedName>
    <definedName name="wrn.Revised._.Cap._.Budget." localSheetId="11" hidden="1">{#N/A,#N/A,TRUE,"Overview";#N/A,#N/A,TRUE,"New Gen"}</definedName>
    <definedName name="wrn.Revised._.Capital._.Budget." localSheetId="11" hidden="1">{#N/A,#N/A,TRUE,"Overview";#N/A,#N/A,TRUE,"New Gen";#N/A,#N/A,TRUE,"Consol cap-ex";#N/A,#N/A,TRUE,"APC cap-ex";#N/A,#N/A,TRUE,"GPC cap-ex";#N/A,#N/A,TRUE,"GUL cap-ex";#N/A,#N/A,TRUE,"MPC cap-ex";#N/A,#N/A,TRUE,"SAV cap-ex";#N/A,#N/A,TRUE,"SEGCO cap-ex";#N/A,#N/A,TRUE,"SWE cap-ex"}</definedName>
    <definedName name="wrn.Ricobayo._.I." localSheetId="11" hidden="1">{#N/A,#N/A,FALSE,"RESUMEN ECON.";#N/A,#N/A,FALSE,"Costos de R.H.";#N/A,#N/A,FALSE,"COSTO HW";#N/A,#N/A,FALSE,"CUADROS";#N/A,#N/A,FALSE,"SCADA´s";#N/A,#N/A,FALSE,"PRECIOS EQUIPOS"}</definedName>
    <definedName name="wrn.Riverwood_comp_model." localSheetId="11" hidden="1">{#N/A,#N/A,FALSE,"Che-Ga";#N/A,#N/A,FALSE,"Iv-Sm";#N/A,#N/A,FALSE,"So-We";#N/A,#N/A,FALSE,"Me-Po";#N/A,#N/A,FALSE,"Be-Bo";#N/A,#N/A,FALSE,"Cha-Ki";#N/A,#N/A,FALSE,"In";#N/A,#N/A,FALSE,"Schedule 23";#N/A,#N/A,FALSE,"Schedule 22";#N/A,#N/A,FALSE,"WACC"}</definedName>
    <definedName name="wrn.Roll._.Up._.Fields." localSheetId="11" hidden="1">{"Total",#N/A,FALSE,"Six Fields";"PDP",#N/A,FALSE,"Six Fields";"PNP",#N/A,FALSE,"Six Fields";"PUD",#N/A,FALSE,"Six Fields";"Prob",#N/A,FALSE,"Six Fields"}</definedName>
    <definedName name="wrn.RustyPresentation." localSheetId="11" hidden="1">{#N/A,#N/A,TRUE,"TransCore Summary";#N/A,#N/A,TRUE,"TransCore IS";#N/A,#N/A,TRUE,"TransCore Balance";#N/A,#N/A,TRUE,"TransCore Backlog";#N/A,#N/A,TRUE,"Syntonic IS";#N/A,#N/A,TRUE,"Syntonic Bal";#N/A,#N/A,TRUE,"Systems IS";#N/A,#N/A,TRUE,"Systems Bal"}</definedName>
    <definedName name="wrn.sales." localSheetId="11" hidden="1">{"sales",#N/A,FALSE,"Sales";"sales existing",#N/A,FALSE,"Sales";"sales rd1",#N/A,FALSE,"Sales";"sales rd2",#N/A,FALSE,"Sales"}</definedName>
    <definedName name="wrn.San._.Pedro." localSheetId="11" hidden="1">{#N/A,#N/A,FALSE,"San Pedro"}</definedName>
    <definedName name="wrn.SB_PRES." localSheetId="11" hidden="1">{#N/A,#N/A,TRUE,"Sheet16"}</definedName>
    <definedName name="wrn.SBEI." localSheetId="11" hidden="1">{#N/A,#N/A,TRUE,"Table1";#N/A,#N/A,TRUE,"Table2";#N/A,#N/A,TRUE,"Table3";#N/A,#N/A,TRUE,"Table4";#N/A,#N/A,TRUE,"Table5";#N/A,#N/A,TRUE,"Table6";#N/A,#N/A,TRUE,"Table7";#N/A,#N/A,TRUE,"Table8";#N/A,#N/A,TRUE,"Table9";#N/A,#N/A,TRUE,"Table10";#N/A,#N/A,TRUE,"Table11";#N/A,#N/A,TRUE,"Table12";#N/A,#N/A,TRUE,"Table13";#N/A,#N/A,TRUE,"Table14"}</definedName>
    <definedName name="wrn.Schedules." localSheetId="11" hidden="1">{#N/A,#N/A,FALSE,"Sch. 1";#N/A,#N/A,FALSE,"Sch. 2";#N/A,#N/A,FALSE,"Sch. 3";#N/A,#N/A,FALSE,"Sch. 4";#N/A,#N/A,FALSE,"Sch. 5";#N/A,#N/A,FALSE,"Sch 6.";#N/A,#N/A,FALSE,"Sch. 7";#N/A,#N/A,FALSE,"Sch. 8";#N/A,#N/A,FALSE,"Sch. 9";#N/A,#N/A,FALSE,"Sch. 10";#N/A,#N/A,FALSE,"Sch. 13"}</definedName>
    <definedName name="wrn.Scripts." localSheetId="11" hidden="1">{"ENBREL",#N/A,FALSE,"Sheet1";"RenaGel",#N/A,FALSE,"Sheet1";"HIV PI",#N/A,FALSE,"Sheet1";"MS",#N/A,FALSE,"Sheet1"}</definedName>
    <definedName name="wrn.Segments." localSheetId="11" hidden="1">{"view1",#N/A,FALSE,"Consolidated";"view2",#N/A,FALSE,"Consolidated (sum)";"view1",#N/A,FALSE,"Gen Sys";"view1",#N/A,FALSE,"Semicon";"view1",#N/A,FALSE,"Mess|Med";"view1",#N/A,FALSE,"Land Mob";"view1",#N/A,FALSE,"Other Prod";"view1",#N/A,FALSE,"Adj|Elim"}</definedName>
    <definedName name="wrn.Sell._.AC._.Scenarios." localSheetId="11" hidden="1">{#N/A,"Mine Allocated, Sell AC",FALSE,"INPUTS";#N/A,"All Preferred, Sell AC",FALSE,"INPUTS";#N/A,"Step Up, Sell AC",FALSE,"INPUTS"}</definedName>
    <definedName name="wrn.SemiCap." localSheetId="11" hidden="1">{#N/A,#N/A,FALSE,"from high";#N/A,#N/A,FALSE,"from low";#N/A,#N/A,FALSE,"Market Cap";#N/A,#N/A,FALSE,"Alpha"}</definedName>
    <definedName name="wrn.Senior._.Mgr._.Review." localSheetId="11" hidden="1">{#N/A,#N/A,TRUE,"Y1-F00"}</definedName>
    <definedName name="wrn.Sensitivity." localSheetId="11" hidden="1">{"sen cf",#N/A,FALSE,"MODEL";"sen earn",#N/A,FALSE,"MODEL";"sen debt",#N/A,FALSE,"MODEL";"sen nav",#N/A,FALSE,"MODEL"}</definedName>
    <definedName name="wrn.Sensitivity._.Analysis." localSheetId="11" hidden="1">{"Sensitivity Tables",#N/A,FALSE,"DCF"}</definedName>
    <definedName name="wrn.Set." localSheetId="11" hidden="1">{#N/A,#N/A,FALSE,"High";#N/A,#N/A,FALSE,"Low";#N/A,#N/A,FALSE,"MarketCap";#N/A,#N/A,FALSE,"Alpha"}</definedName>
    <definedName name="wrn.SHORT." localSheetId="11" hidden="1">{"CREDIT STATISTICS",#N/A,FALSE,"STATS";"CF_AND_IS",#N/A,FALSE,"PLAN";"BALSHEET",#N/A,FALSE,"BALANCE SHEET"}</definedName>
    <definedName name="wrn.Short._.Form._.Print._.Out." localSheetId="11" hidden="1">{#N/A,#N/A,FALSE,"General Assumptions";#N/A,#N/A,FALSE,"Accounts";#N/A,#N/A,FALSE,"OperatingAssumptions";#N/A,#N/A,FALSE,"Cashflow";#N/A,#N/A,FALSE,"Debt";#N/A,#N/A,FALSE,"Ops Summary";#N/A,#N/A,FALSE,"Summary"}</definedName>
    <definedName name="wrn.Short._.Form._.Print._.Out._1" localSheetId="11" hidden="1">{#N/A,#N/A,FALSE,"General Assumptions";#N/A,#N/A,FALSE,"Accounts";#N/A,#N/A,FALSE,"OperatingAssumptions";#N/A,#N/A,FALSE,"Cashflow";#N/A,#N/A,FALSE,"Debt";#N/A,#N/A,FALSE,"Ops Summary";#N/A,#N/A,FALSE,"Summary"}</definedName>
    <definedName name="wrn.Short._.Form._.Print._.Out._1_1" localSheetId="11" hidden="1">{#N/A,#N/A,FALSE,"General Assumptions";#N/A,#N/A,FALSE,"Accounts";#N/A,#N/A,FALSE,"OperatingAssumptions";#N/A,#N/A,FALSE,"Cashflow";#N/A,#N/A,FALSE,"Debt";#N/A,#N/A,FALSE,"Ops Summary";#N/A,#N/A,FALSE,"Summary"}</definedName>
    <definedName name="wrn.Short._.Form._.Print._.Out._1_2" localSheetId="11" hidden="1">{#N/A,#N/A,FALSE,"General Assumptions";#N/A,#N/A,FALSE,"Accounts";#N/A,#N/A,FALSE,"OperatingAssumptions";#N/A,#N/A,FALSE,"Cashflow";#N/A,#N/A,FALSE,"Debt";#N/A,#N/A,FALSE,"Ops Summary";#N/A,#N/A,FALSE,"Summary"}</definedName>
    <definedName name="wrn.Short._.Form._.Print._.Out._1_3" localSheetId="11" hidden="1">{#N/A,#N/A,FALSE,"General Assumptions";#N/A,#N/A,FALSE,"Accounts";#N/A,#N/A,FALSE,"OperatingAssumptions";#N/A,#N/A,FALSE,"Cashflow";#N/A,#N/A,FALSE,"Debt";#N/A,#N/A,FALSE,"Ops Summary";#N/A,#N/A,FALSE,"Summary"}</definedName>
    <definedName name="wrn.Short._.Form._.Print._.Out._1_4" localSheetId="11" hidden="1">{#N/A,#N/A,FALSE,"General Assumptions";#N/A,#N/A,FALSE,"Accounts";#N/A,#N/A,FALSE,"OperatingAssumptions";#N/A,#N/A,FALSE,"Cashflow";#N/A,#N/A,FALSE,"Debt";#N/A,#N/A,FALSE,"Ops Summary";#N/A,#N/A,FALSE,"Summary"}</definedName>
    <definedName name="wrn.Short._.Form._.Print._.Out._2" localSheetId="11" hidden="1">{#N/A,#N/A,FALSE,"General Assumptions";#N/A,#N/A,FALSE,"Accounts";#N/A,#N/A,FALSE,"OperatingAssumptions";#N/A,#N/A,FALSE,"Cashflow";#N/A,#N/A,FALSE,"Debt";#N/A,#N/A,FALSE,"Ops Summary";#N/A,#N/A,FALSE,"Summary"}</definedName>
    <definedName name="wrn.Short._.Form._.Print._.Out._3" localSheetId="11" hidden="1">{#N/A,#N/A,FALSE,"General Assumptions";#N/A,#N/A,FALSE,"Accounts";#N/A,#N/A,FALSE,"OperatingAssumptions";#N/A,#N/A,FALSE,"Cashflow";#N/A,#N/A,FALSE,"Debt";#N/A,#N/A,FALSE,"Ops Summary";#N/A,#N/A,FALSE,"Summary"}</definedName>
    <definedName name="wrn.Short._.Form._.Print._.Out._4" localSheetId="11" hidden="1">{#N/A,#N/A,FALSE,"General Assumptions";#N/A,#N/A,FALSE,"Accounts";#N/A,#N/A,FALSE,"OperatingAssumptions";#N/A,#N/A,FALSE,"Cashflow";#N/A,#N/A,FALSE,"Debt";#N/A,#N/A,FALSE,"Ops Summary";#N/A,#N/A,FALSE,"Summary"}</definedName>
    <definedName name="wrn.Short._.Form._.Print._.Out._5" localSheetId="11" hidden="1">{#N/A,#N/A,FALSE,"General Assumptions";#N/A,#N/A,FALSE,"Accounts";#N/A,#N/A,FALSE,"OperatingAssumptions";#N/A,#N/A,FALSE,"Cashflow";#N/A,#N/A,FALSE,"Debt";#N/A,#N/A,FALSE,"Ops Summary";#N/A,#N/A,FALSE,"Summary"}</definedName>
    <definedName name="wrn.Side._.by._.Side." localSheetId="11" hidden="1">{"Side 99",#N/A,FALSE,"S&amp;U Side by Side"}</definedName>
    <definedName name="wrn.SJE_NBR_1_Job." localSheetId="11" hidden="1">{"SJE_#1A",#N/A,FALSE,"SJE1A";"Payroll_Summary_Report",#N/A,FALSE,"Summary";"SJE_#1B",#N/A,FALSE,"SJE1B";"WC_Grouping",#N/A,FALSE,"WC Payroll"}</definedName>
    <definedName name="wrn.SJE11_Print_Job." localSheetId="11" hidden="1">{"SJE #11",#N/A,FALSE,"Sheet1"}</definedName>
    <definedName name="wrn.SJE12_PRINT_JOB." localSheetId="11" hidden="1">{"SJE#12",#N/A,FALSE,"Sheet1"}</definedName>
    <definedName name="wrn.SJE2_PRINTJOB." localSheetId="11" hidden="1">{"TAX_CALCULATION",#N/A,FALSE,"Accrual Calc";"SJE#2A",#N/A,FALSE,"Accrual GJE";"SJE#2B",#N/A,FALSE,"Reversal GJE"}</definedName>
    <definedName name="wrn.sje22." localSheetId="11" hidden="1">{"sje #22",#N/A,FALSE,"SJE #22";"calc",#N/A,FALSE,"CALC"}</definedName>
    <definedName name="wrn.SJE3_Print_Job." localSheetId="11" hidden="1">{"Accrual_Calc",#N/A,FALSE,"JE DETAIL";"SJE#3A",#N/A,FALSE,"JE DETAIL";"SJE#3B",#N/A,FALSE,"JE DETAIL"}</definedName>
    <definedName name="wrn.SJE4_PRINT_JOB." localSheetId="11" hidden="1">{"sje#4",#N/A,FALSE,"Sheet1"}</definedName>
    <definedName name="wrn.SJE4A_PRINT_JOB." localSheetId="11" hidden="1">{"SJE#4A",#N/A,FALSE,"Sheet1"}</definedName>
    <definedName name="wrn.SJE5_PRINT_JOB." localSheetId="11" hidden="1">{"SJE#5",#N/A,FALSE,"Sheet1"}</definedName>
    <definedName name="wrn.Sommaire." localSheetId="11" hidden="1">{#N/A,#N/A,TRUE,"Summary";#N/A,#N/A,TRUE,"NARRATIF";#N/A,#N/A,TRUE,"SALES";#N/A,#N/A,TRUE,"NOPAT";#N/A,#N/A,TRUE,"CASH";#N/A,#N/A,TRUE,"UA";#N/A,#N/A,TRUE,"spares"}</definedName>
    <definedName name="wrn.sspall." localSheetId="11" hidden="1">{"sspcash",#N/A,FALSE,"EWSINCX";"sspinc",#N/A,FALSE,"EWSINCX";"ssptax",#N/A,FALSE,"EWSINCX";"ssppub",#N/A,FALSE,"EWSINCX";"sspperchgetc",#N/A,FALSE,"EWSINCX";"sspevan",#N/A,FALSE,"EWSINCX";"sspbroad",#N/A,FALSE,"EWSINCX";"sspbroadcont",#N/A,FALSE,"EWSINCX";"sspcable",#N/A,FALSE,"EWSINCX";"sspent",#N/A,FALSE,"EWSINCX"}</definedName>
    <definedName name="wrn.Staffing." localSheetId="11" hidden="1">{#N/A,#N/A,TRUE,"Development Personnel";#N/A,#N/A,TRUE,"Customer Service Personnel";#N/A,#N/A,TRUE,"Customer Service Personnel";#N/A,#N/A,TRUE,"Marketing Personnel";#N/A,#N/A,TRUE,"Technical Services Personnel";#N/A,#N/A,TRUE,"IS Personnel";#N/A,#N/A,TRUE,"Customer Support Personnel";#N/A,#N/A,TRUE,"spEDIcenter Personnel";#N/A,#N/A,TRUE,"Sales Personnel";#N/A,#N/A,TRUE,"International Personnel";#N/A,#N/A,TRUE,"G&amp;A Personnel"}</definedName>
    <definedName name="wrn.Staffing1" localSheetId="11" hidden="1">{#N/A,#N/A,FALSE,"Assessment";#N/A,#N/A,FALSE,"Staffing";#N/A,#N/A,FALSE,"Hires";#N/A,#N/A,FALSE,"Assumptions"}</definedName>
    <definedName name="wrn.stand_alone_both" localSheetId="11" hidden="1">{"FCB_ALL",#N/A,FALSE,"FCB";"GREY_ALL",#N/A,FALSE,"GREY"}</definedName>
    <definedName name="wrn.STAND_ALONE_BOTH." localSheetId="11" hidden="1">{"FCB_ALL",#N/A,FALSE,"FCB";"GREY_ALL",#N/A,FALSE,"GREY"}</definedName>
    <definedName name="wrn.Stand_alone_both._dcf" localSheetId="11" hidden="1">{"FCB_ALL",#N/A,FALSE,"FCB";"GREY_ALL",#N/A,FALSE,"GREY"}</definedName>
    <definedName name="wrn.stand_alone_both.1" localSheetId="11" hidden="1">{"FCB_ALL",#N/A,FALSE,"FCB";"GREY_ALL",#N/A,FALSE,"GREY"}</definedName>
    <definedName name="wrn.stand_alone_both1" localSheetId="11" hidden="1">{"FCB_ALL",#N/A,FALSE,"FCB";"GREY_ALL",#N/A,FALSE,"GREY"}</definedName>
    <definedName name="wrn.stand_alone_both9" localSheetId="11" hidden="1">{"FCB_ALL",#N/A,FALSE,"FCB";"GREY_ALL",#N/A,FALSE,"GREY"}</definedName>
    <definedName name="wrn.standaloneboth1" localSheetId="11" hidden="1">{"FCB_ALL",#N/A,FALSE,"FCB";"GREY_ALL",#N/A,FALSE,"GREY"}</definedName>
    <definedName name="wrn.Standard._.Reports." localSheetId="1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wrn.Statements." localSheetId="11" hidden="1">{#N/A,#N/A,FALSE,"CostOfService";#N/A,#N/A,FALSE,"BalanceSheet";#N/A,#N/A,FALSE,"IncomeStmt";#N/A,#N/A,FALSE,"CashFlow";#N/A,#N/A,FALSE,"RateBase"}</definedName>
    <definedName name="wrn.statemetns1." localSheetId="11" hidden="1">{#N/A,#N/A,FALSE,"CostOfService";#N/A,#N/A,FALSE,"BalanceSheet";#N/A,#N/A,FALSE,"IncomeStmt";#N/A,#N/A,FALSE,"CashFlow";#N/A,#N/A,FALSE,"RateBase"}</definedName>
    <definedName name="wrn.Statistics." localSheetId="11" hidden="1">{"Std Poor",#N/A,FALSE,"S&amp;P";"Sum Stats",#N/A,FALSE,"Stats"}</definedName>
    <definedName name="wrn.STMT._.OF._.CASH._.FLOWS." localSheetId="11" hidden="1">{"STMT OF CASH FLOWS",#N/A,FALSE,"Cash Flows Indirect"}</definedName>
    <definedName name="wrn.Structure." localSheetId="11" hidden="1">{#N/A,#N/A,FALSE,"Structure";#N/A,#N/A,FALSE,"Proj-Cal";#N/A,#N/A,FALSE,"Market"}</definedName>
    <definedName name="wrn.Subject._.Worksheet." localSheetId="11" hidden="1">{"Balance Sheets",#N/A,FALSE,"Subject";"Income Statements - As Reported",#N/A,FALSE,"Subject";"Income Statements - Adjusted",#N/A,FALSE,"Subject";"Ratios",#N/A,FALSE,"Subject";"Representative Earnings",#N/A,FALSE,"Subject"}</definedName>
    <definedName name="wrn.subs." localSheetId="11" hidden="1">{#N/A,#N/A,FALSE,"Comp - War";#N/A,#N/A,FALSE,"Comp - War"}</definedName>
    <definedName name="wrn.SUM." localSheetId="11" hidden="1">{"SUM",#N/A,FALSE,"Details (2)"}</definedName>
    <definedName name="wrn.sumarry_96_980" localSheetId="11" hidden="1">{"arpm1995",#N/A,FALSE,"Summary 95-96";"bus_long_distance",#N/A,FALSE,"Summary 95-96";"mins_per_day",#N/A,FALSE,"Summary 95-96";"minutes1995",#N/A,FALSE,"Summary 95-96";"rev_per_day",#N/A,FALSE,"Summary 95-96";"view1995",#N/A,FALSE,"Summary 95-96"}</definedName>
    <definedName name="wrn.Summ." localSheetId="11" hidden="1">{#N/A,#N/A,TRUE,"Months 2003";#N/A,#N/A,TRUE,"Months 2004";#N/A,#N/A,TRUE,"Months 2005"}</definedName>
    <definedName name="wrn.summ4." localSheetId="11" hidden="1">{#N/A,#N/A,FALSE,"summ";#N/A,#N/A,FALSE,"q1";#N/A,#N/A,FALSE,"summ_alt";#N/A,#N/A,FALSE,"stock_nozero";#N/A,#N/A,FALSE,"1995"}</definedName>
    <definedName name="wrn.summaries." localSheetId="11"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y." localSheetId="11" hidden="1">{"Sum1",#N/A,FALSE,"Reserve Report";"Sum2",#N/A,FALSE,"Reserve Report";"Sum3",#N/A,FALSE,"Reserve Report";"Sum4",#N/A,FALSE,"Reserve Report"}</definedName>
    <definedName name="wrn.Summary._.Financials." localSheetId="11" hidden="1">{"Balance Sheet",#N/A,FALSE,"Annual Summary";"Cashflows",#N/A,FALSE,"Annual Summary";"Summary Earnings",#N/A,FALSE,"Annual Summary"}</definedName>
    <definedName name="wrn.Summary._.of._.Details2." localSheetId="11" hidden="1">{"Summary",#N/A,FALSE,"Details (2)"}</definedName>
    <definedName name="wrn.summary._.schedules." localSheetId="11" hidden="1">{"summary1",#N/A,FALSE,"Summary of Values";"summary2",#N/A,FALSE,"Summary of Values"}</definedName>
    <definedName name="wrn.Summary._1" localSheetId="11" hidden="1">{"Summary",#N/A,FALSE,"Summary"}</definedName>
    <definedName name="wrn.Summary._1_1" localSheetId="11" hidden="1">{"Summary",#N/A,FALSE,"Summary"}</definedName>
    <definedName name="wrn.Summary._1_2" localSheetId="11" hidden="1">{"Summary",#N/A,FALSE,"Summary"}</definedName>
    <definedName name="wrn.Summary._1_3" localSheetId="11" hidden="1">{"Summary",#N/A,FALSE,"Summary"}</definedName>
    <definedName name="wrn.Summary._1_4" localSheetId="11" hidden="1">{"Summary",#N/A,FALSE,"Summary"}</definedName>
    <definedName name="wrn.Summary._2" localSheetId="11" hidden="1">{"Summary",#N/A,FALSE,"Summary"}</definedName>
    <definedName name="wrn.Summary._3" localSheetId="11" hidden="1">{"Summary",#N/A,FALSE,"Summary"}</definedName>
    <definedName name="wrn.Summary._4" localSheetId="11" hidden="1">{"Summary",#N/A,FALSE,"Summary"}</definedName>
    <definedName name="wrn.Summary._5" localSheetId="11" hidden="1">{"Summary",#N/A,FALSE,"Summary"}</definedName>
    <definedName name="wrn.summary_95_890" localSheetId="11" hidden="1">{"arpm1995",#N/A,FALSE,"Summary 95-96";"bus_long_distance",#N/A,FALSE,"Summary 95-96";"mins_per_day",#N/A,FALSE,"Summary 95-96";"minutes1995",#N/A,FALSE,"Summary 95-96";"rev_per_day",#N/A,FALSE,"Summary 95-96";"view1995",#N/A,FALSE,"Summary 95-96"}</definedName>
    <definedName name="wrn.summary_95_950" localSheetId="11" hidden="1">{"arpm1995",#N/A,FALSE,"Summary 95-96";"bus_long_distance",#N/A,FALSE,"Summary 95-96";"mins_per_day",#N/A,FALSE,"Summary 95-96";"minutes1995",#N/A,FALSE,"Summary 95-96";"rev_per_day",#N/A,FALSE,"Summary 95-96";"view1995",#N/A,FALSE,"Summary 95-96"}</definedName>
    <definedName name="wrn.summary_95_96." localSheetId="11" hidden="1">{"arpm1995",#N/A,FALSE,"Summary 95-96";"bus_long_distance",#N/A,FALSE,"Summary 95-96";"mins_per_day",#N/A,FALSE,"Summary 95-96";"minutes1995",#N/A,FALSE,"Summary 95-96";"rev_per_day",#N/A,FALSE,"Summary 95-96";"view1995",#N/A,FALSE,"Summary 95-96"}</definedName>
    <definedName name="wrn.summary_95_960" localSheetId="11" hidden="1">{"arpm1995",#N/A,FALSE,"Summary 95-96";"bus_long_distance",#N/A,FALSE,"Summary 95-96";"mins_per_day",#N/A,FALSE,"Summary 95-96";"minutes1995",#N/A,FALSE,"Summary 95-96";"rev_per_day",#N/A,FALSE,"Summary 95-96";"view1995",#N/A,FALSE,"Summary 95-96"}</definedName>
    <definedName name="wrn.summary_95_961." localSheetId="11" hidden="1">{"arpm1995",#N/A,FALSE,"Summary 95-96";"bus_long_distance",#N/A,FALSE,"Summary 95-96";"mins_per_day",#N/A,FALSE,"Summary 95-96";"minutes1995",#N/A,FALSE,"Summary 95-96";"rev_per_day",#N/A,FALSE,"Summary 95-96";"view1995",#N/A,FALSE,"Summary 95-96"}</definedName>
    <definedName name="wrn.summary_95_963" localSheetId="11" hidden="1">{"arpm1995",#N/A,FALSE,"Summary 95-96";"bus_long_distance",#N/A,FALSE,"Summary 95-96";"mins_per_day",#N/A,FALSE,"Summary 95-96";"minutes1995",#N/A,FALSE,"Summary 95-96";"rev_per_day",#N/A,FALSE,"Summary 95-96";"view1995",#N/A,FALSE,"Summary 95-96"}</definedName>
    <definedName name="wrn.summary_95_966" localSheetId="11" hidden="1">{"arpm1995",#N/A,FALSE,"Summary 95-96";"bus_long_distance",#N/A,FALSE,"Summary 95-96";"mins_per_day",#N/A,FALSE,"Summary 95-96";"minutes1995",#N/A,FALSE,"Summary 95-96";"rev_per_day",#N/A,FALSE,"Summary 95-96";"view1995",#N/A,FALSE,"Summary 95-96"}</definedName>
    <definedName name="wrn.summary_95_967" localSheetId="11" hidden="1">{"arpm1995",#N/A,FALSE,"Summary 95-96";"bus_long_distance",#N/A,FALSE,"Summary 95-96";"mins_per_day",#N/A,FALSE,"Summary 95-96";"minutes1995",#N/A,FALSE,"Summary 95-96";"rev_per_day",#N/A,FALSE,"Summary 95-96";"view1995",#N/A,FALSE,"Summary 95-96"}</definedName>
    <definedName name="wrn.summary_95_968" localSheetId="11" hidden="1">{"arpm1995",#N/A,FALSE,"Summary 95-96";"bus_long_distance",#N/A,FALSE,"Summary 95-96";"mins_per_day",#N/A,FALSE,"Summary 95-96";"minutes1995",#N/A,FALSE,"Summary 95-96";"rev_per_day",#N/A,FALSE,"Summary 95-96";"view1995",#N/A,FALSE,"Summary 95-96"}</definedName>
    <definedName name="wrn.summary_95_968w" localSheetId="11" hidden="1">{"arpm1995",#N/A,FALSE,"Summary 95-96";"bus_long_distance",#N/A,FALSE,"Summary 95-96";"mins_per_day",#N/A,FALSE,"Summary 95-96";"minutes1995",#N/A,FALSE,"Summary 95-96";"rev_per_day",#N/A,FALSE,"Summary 95-96";"view1995",#N/A,FALSE,"Summary 95-96"}</definedName>
    <definedName name="wrn.summary_95_969" localSheetId="11" hidden="1">{"arpm1995",#N/A,FALSE,"Summary 95-96";"bus_long_distance",#N/A,FALSE,"Summary 95-96";"mins_per_day",#N/A,FALSE,"Summary 95-96";"minutes1995",#N/A,FALSE,"Summary 95-96";"rev_per_day",#N/A,FALSE,"Summary 95-96";"view1995",#N/A,FALSE,"Summary 95-96"}</definedName>
    <definedName name="wrn.summary_95_97" localSheetId="11" hidden="1">{"arpm1995",#N/A,FALSE,"Summary 95-96";"bus_long_distance",#N/A,FALSE,"Summary 95-96";"mins_per_day",#N/A,FALSE,"Summary 95-96";"minutes1995",#N/A,FALSE,"Summary 95-96";"rev_per_day",#N/A,FALSE,"Summary 95-96";"view1995",#N/A,FALSE,"Summary 95-96"}</definedName>
    <definedName name="wrn.summary_95_970" localSheetId="11" hidden="1">{"arpm1995",#N/A,FALSE,"Summary 95-96";"bus_long_distance",#N/A,FALSE,"Summary 95-96";"mins_per_day",#N/A,FALSE,"Summary 95-96";"minutes1995",#N/A,FALSE,"Summary 95-96";"rev_per_day",#N/A,FALSE,"Summary 95-96";"view1995",#N/A,FALSE,"Summary 95-96"}</definedName>
    <definedName name="wrn.summary_95_971" localSheetId="11" hidden="1">{"arpm1995",#N/A,FALSE,"Summary 95-96";"bus_long_distance",#N/A,FALSE,"Summary 95-96";"mins_per_day",#N/A,FALSE,"Summary 95-96";"minutes1995",#N/A,FALSE,"Summary 95-96";"rev_per_day",#N/A,FALSE,"Summary 95-96";"view1995",#N/A,FALSE,"Summary 95-96"}</definedName>
    <definedName name="wrn.summary_95_98" localSheetId="11" hidden="1">{"arpm1995",#N/A,FALSE,"Summary 95-96";"bus_long_distance",#N/A,FALSE,"Summary 95-96";"mins_per_day",#N/A,FALSE,"Summary 95-96";"minutes1995",#N/A,FALSE,"Summary 95-96";"rev_per_day",#N/A,FALSE,"Summary 95-96";"view1995",#N/A,FALSE,"Summary 95-96"}</definedName>
    <definedName name="wrn.summary_95_982" localSheetId="11" hidden="1">{"arpm1995",#N/A,FALSE,"Summary 95-96";"bus_long_distance",#N/A,FALSE,"Summary 95-96";"mins_per_day",#N/A,FALSE,"Summary 95-96";"minutes1995",#N/A,FALSE,"Summary 95-96";"rev_per_day",#N/A,FALSE,"Summary 95-96";"view1995",#N/A,FALSE,"Summary 95-96"}</definedName>
    <definedName name="wrn.summary_96_915" localSheetId="11" hidden="1">{"arpm1995",#N/A,FALSE,"Summary 95-96";"bus_long_distance",#N/A,FALSE,"Summary 95-96";"mins_per_day",#N/A,FALSE,"Summary 95-96";"minutes1995",#N/A,FALSE,"Summary 95-96";"rev_per_day",#N/A,FALSE,"Summary 95-96";"view1995",#N/A,FALSE,"Summary 95-96"}</definedName>
    <definedName name="wrn.summary_96_97" localSheetId="11" hidden="1">{"arpm1995",#N/A,FALSE,"Summary 95-96";"bus_long_distance",#N/A,FALSE,"Summary 95-96";"mins_per_day",#N/A,FALSE,"Summary 95-96";"minutes1995",#N/A,FALSE,"Summary 95-96";"rev_per_day",#N/A,FALSE,"Summary 95-96";"view1995",#N/A,FALSE,"Summary 95-96"}</definedName>
    <definedName name="wrn.summary_96_970" localSheetId="11" hidden="1">{"arpm1995",#N/A,FALSE,"Summary 95-96";"bus_long_distance",#N/A,FALSE,"Summary 95-96";"mins_per_day",#N/A,FALSE,"Summary 95-96";"minutes1995",#N/A,FALSE,"Summary 95-96";"rev_per_day",#N/A,FALSE,"Summary 95-96";"view1995",#N/A,FALSE,"Summary 95-96"}</definedName>
    <definedName name="wrn.summary_96_973" localSheetId="11" hidden="1">{"arpm1995",#N/A,FALSE,"Summary 95-96";"bus_long_distance",#N/A,FALSE,"Summary 95-96";"mins_per_day",#N/A,FALSE,"Summary 95-96";"minutes1995",#N/A,FALSE,"Summary 95-96";"rev_per_day",#N/A,FALSE,"Summary 95-96";"view1995",#N/A,FALSE,"Summary 95-96"}</definedName>
    <definedName name="wrn.summary_96_974" localSheetId="11" hidden="1">{"arpm1995",#N/A,FALSE,"Summary 95-96";"bus_long_distance",#N/A,FALSE,"Summary 95-96";"mins_per_day",#N/A,FALSE,"Summary 95-96";"minutes1995",#N/A,FALSE,"Summary 95-96";"rev_per_day",#N/A,FALSE,"Summary 95-96";"view1995",#N/A,FALSE,"Summary 95-96"}</definedName>
    <definedName name="wrn.summary_96_977" localSheetId="11" hidden="1">{"arpm1995",#N/A,FALSE,"Summary 95-96";"bus_long_distance",#N/A,FALSE,"Summary 95-96";"mins_per_day",#N/A,FALSE,"Summary 95-96";"minutes1995",#N/A,FALSE,"Summary 95-96";"rev_per_day",#N/A,FALSE,"Summary 95-96";"view1995",#N/A,FALSE,"Summary 95-96"}</definedName>
    <definedName name="wrn.summary_96_977_1" localSheetId="11" hidden="1">{"arpm1995",#N/A,FALSE,"Summary 95-96";"bus_long_distance",#N/A,FALSE,"Summary 95-96";"mins_per_day",#N/A,FALSE,"Summary 95-96";"minutes1995",#N/A,FALSE,"Summary 95-96";"rev_per_day",#N/A,FALSE,"Summary 95-96";"view1995",#N/A,FALSE,"Summary 95-96"}</definedName>
    <definedName name="wrn.summary_96_978" localSheetId="11" hidden="1">{"arpm1995",#N/A,FALSE,"Summary 95-96";"bus_long_distance",#N/A,FALSE,"Summary 95-96";"mins_per_day",#N/A,FALSE,"Summary 95-96";"minutes1995",#N/A,FALSE,"Summary 95-96";"rev_per_day",#N/A,FALSE,"Summary 95-96";"view1995",#N/A,FALSE,"Summary 95-96"}</definedName>
    <definedName name="wrn.summary_96_97x" localSheetId="11" hidden="1">{"arpm1995",#N/A,FALSE,"Summary 95-96";"bus_long_distance",#N/A,FALSE,"Summary 95-96";"mins_per_day",#N/A,FALSE,"Summary 95-96";"minutes1995",#N/A,FALSE,"Summary 95-96";"rev_per_day",#N/A,FALSE,"Summary 95-96";"view1995",#N/A,FALSE,"Summary 95-96"}</definedName>
    <definedName name="wrn.summary_96_987" localSheetId="11" hidden="1">{"arpm1995",#N/A,FALSE,"Summary 95-96";"bus_long_distance",#N/A,FALSE,"Summary 95-96";"mins_per_day",#N/A,FALSE,"Summary 95-96";"minutes1995",#N/A,FALSE,"Summary 95-96";"rev_per_day",#N/A,FALSE,"Summary 95-96";"view1995",#N/A,FALSE,"Summary 95-96"}</definedName>
    <definedName name="wrn.SUPP_SCHD." localSheetId="11" hidden="1">{#N/A,#N/A,TRUE,"A";#N/A,#N/A,TRUE,"B";#N/A,#N/A,TRUE,"C";#N/A,#N/A,TRUE,"D";#N/A,#N/A,TRUE,"E"}</definedName>
    <definedName name="wrn.Supplemental_Reports." localSheetId="11" hidden="1">{#N/A,#N/A,FALSE,"Report Data";#N/A,#N/A,FALSE,"COMP POOL";#N/A,#N/A,FALSE,"COMP POOL NB95";#N/A,#N/A,FALSE,"COMP POOL NB94"}</definedName>
    <definedName name="wrn.Support." localSheetId="11" hidden="1">{#N/A,#N/A,FALSE,"TRIAL INPUT";#N/A,#N/A,FALSE,"AVG INPUT COPY";#N/A,#N/A,FALSE,"INVESTMENTS_INPUT"}</definedName>
    <definedName name="wrn.t_cash." localSheetId="11" hidden="1">{"cash_tes",#N/A,FALSE,"dec95cr.xls"}</definedName>
    <definedName name="wrn.Tables." localSheetId="11" hidden="1">{"view1",#N/A,FALSE,"Tables";"view2",#N/A,FALSE,"Tables";"view3",#N/A,FALSE,"Tables"}</definedName>
    <definedName name="wrn.Tables._.and._.Support." localSheetId="11" hidden="1">{#N/A,#N/A,FALSE,"TABLE_1 YTD";#N/A,#N/A,FALSE,"TABLE_1A QTD";#N/A,#N/A,FALSE,"NORMAL_SPREAD_QTD";#N/A,#N/A,FALSE,"NORMAL_SPREAD_YTD";#N/A,#N/A,FALSE,"TAX_EQV";#N/A,#N/A,FALSE,"TAX EQUIV_INPUT";#N/A,#N/A,FALSE,"NET FROM FER";#N/A,#N/A,FALSE,"COVER"}</definedName>
    <definedName name="wrn.Target." localSheetId="11" hidden="1">{#N/A,#N/A,TRUE,"Tar-Ass";#N/A,#N/A,TRUE,"Tar-IS";#N/A,#N/A,TRUE,"Tar-BS";#N/A,#N/A,TRUE,"Tar-CF";#N/A,#N/A,TRUE,"Tar-Adg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_.DCF." localSheetId="11" hidden="1">{"targetdcf",#N/A,FALSE,"Merger consequences";"TARGETASSU",#N/A,FALSE,"Merger consequences";"TERMINAL VALUE",#N/A,FALSE,"Merger consequences"}</definedName>
    <definedName name="wrn.TargetLBO." localSheetId="11" hidden="1">{#N/A,#N/A,TRUE,"Tar-Ass";#N/A,#N/A,TRUE,"Tar-Ass LBO";#N/A,#N/A,TRUE,"LBO Ret";#N/A,#N/A,TRUE,"Tar-BS LBO";#N/A,#N/A,TRUE,"Tar-IS LBO";#N/A,#N/A,TRUE,"Tar-CF LBO";#N/A,#N/A,TRUE,"Tar-Debt LBO";#N/A,#N/A,TRUE,"Tar-Int LBO";#N/A,#N/A,TRUE,"Tar-Taxes LBO";#N/A,#N/A,TRUE,"Tar-Val LBO"}</definedName>
    <definedName name="wrn.TargetState." localSheetId="11" hidden="1">{#N/A,#N/A,FALSE,"Tar-Ass";#N/A,#N/A,FALSE,"Tar-IS";#N/A,#N/A,FALSE,"Tar-BS";#N/A,#N/A,FALSE,"Tar-Adg BS";#N/A,#N/A,FALSE,"Tar-CF"}</definedName>
    <definedName name="wrn.TargetVal." localSheetId="11" hidden="1">{#N/A,#N/A,TRUE,"Val - sum";#N/A,#N/A,TRUE,"Val - Sum1";#N/A,#N/A,TRUE,"Val - sum2";#N/A,#N/A,TRUE,"Val - Sum3";#N/A,#N/A,TRUE,"Tar-DCF";#N/A,#N/A,TRUE,"Tar-Val LBO";#N/A,#N/A,TRUE,"Tar-Mult Val"}</definedName>
    <definedName name="wrn.Tariff._.working." localSheetId="11" hidden="1">{#N/A,#N/A,TRUE,"input";#N/A,#N/A,TRUE,"fnplan";#N/A,#N/A,TRUE,"Key Ratio";#N/A,#N/A,TRUE,"Gen_BrkDn";#N/A,#N/A,TRUE,"RsKW";#N/A,#N/A,TRUE,"gen&amp;fuel";#N/A,#N/A,TRUE,"fuel_price";#N/A,#N/A,TRUE,"O&amp;M+admin";#N/A,#N/A,TRUE,"int(GB-debt)";#N/A,#N/A,TRUE,"dep_rskw";#N/A,#N/A,TRUE,"wc_tariff";#N/A,#N/A,TRUE,"tax-tarif1";#N/A,#N/A,TRUE,"ROE";#N/A,#N/A,TRUE,"TN_PCOST";#N/A,#N/A,TRUE,"fincost-tec";#N/A,#N/A,TRUE,"IDCa";#N/A,#N/A,TRUE,"fcloan(G)";#N/A,#N/A,TRUE,"fcloan(NO-G) ";#N/A,#N/A,TRUE,"Local Debt in $";#N/A,#N/A,TRUE,"Rsloan -CEA";#N/A,#N/A,TRUE,"SHL1 in $";#N/A,#N/A,TRUE,"SHL-1-INRs"}</definedName>
    <definedName name="wrn.TB._.ALL._.ACCTS." localSheetId="11" hidden="1">{"BALANCE SHEET ACCTS",#N/A,TRUE,"Working Trial Balance";"INCOME STMT ACCTS",#N/A,TRUE,"Working Trial Balance"}</definedName>
    <definedName name="wrn.TB._.BALANCE._.SHEET." localSheetId="11" hidden="1">{"BALANCE SHEET ACCTS",#N/A,FALSE,"Working Trial Balance"}</definedName>
    <definedName name="wrn.TB._.EXPLANATIONS." localSheetId="11" hidden="1">{"EXPLANATIONS",#N/A,FALSE,"Working Trial Balance"}</definedName>
    <definedName name="wrn.TB._.INCOME._.STMT." localSheetId="11" hidden="1">{"INCOME STMT ACCTS",#N/A,FALSE,"Working Trial Balance"}</definedName>
    <definedName name="wrn.technology." localSheetId="11" hidden="1">{"developed valuation",#N/A,FALSE,"Valuation Analysis";"developed income statement",#N/A,FALSE,"Abbreviated Income Statement";"inprocess valuation",#N/A,FALSE,"Valuation Analysis";"inprocess income statement",#N/A,FALSE,"Abbreviated Income Statement"}</definedName>
    <definedName name="wrn.test." localSheetId="11" hidden="1">{"test2",#N/A,TRUE,"Prices"}</definedName>
    <definedName name="wrn.Test._1" localSheetId="11" hidden="1">{#N/A,#N/A,FALSE,"P&amp;L";#N/A,#N/A,FALSE,"BS"}</definedName>
    <definedName name="wrn.Test._1_1" localSheetId="11" hidden="1">{#N/A,#N/A,FALSE,"P&amp;L";#N/A,#N/A,FALSE,"BS"}</definedName>
    <definedName name="wrn.Test._1_2" localSheetId="11" hidden="1">{#N/A,#N/A,FALSE,"P&amp;L";#N/A,#N/A,FALSE,"BS"}</definedName>
    <definedName name="wrn.Test._1_3" localSheetId="11" hidden="1">{#N/A,#N/A,FALSE,"P&amp;L";#N/A,#N/A,FALSE,"BS"}</definedName>
    <definedName name="wrn.Test._1_4" localSheetId="11" hidden="1">{#N/A,#N/A,FALSE,"P&amp;L";#N/A,#N/A,FALSE,"BS"}</definedName>
    <definedName name="wrn.Test._2" localSheetId="11" hidden="1">{#N/A,#N/A,FALSE,"P&amp;L";#N/A,#N/A,FALSE,"BS"}</definedName>
    <definedName name="wrn.Test._3" localSheetId="11" hidden="1">{#N/A,#N/A,FALSE,"P&amp;L";#N/A,#N/A,FALSE,"BS"}</definedName>
    <definedName name="wrn.Test._4" localSheetId="11" hidden="1">{#N/A,#N/A,FALSE,"P&amp;L";#N/A,#N/A,FALSE,"BS"}</definedName>
    <definedName name="wrn.Test._5" localSheetId="11" hidden="1">{#N/A,#N/A,FALSE,"P&amp;L";#N/A,#N/A,FALSE,"BS"}</definedName>
    <definedName name="wrn.test1." localSheetId="11" hidden="1">{"Income Statement",#N/A,FALSE,"CFMODEL";"Balance Sheet",#N/A,FALSE,"CFMODEL"}</definedName>
    <definedName name="wrn.test2." localSheetId="11" hidden="1">{"SourcesUses",#N/A,TRUE,"CFMODEL";"TransOverview",#N/A,TRUE,"CFMODEL"}</definedName>
    <definedName name="wrn.test3." localSheetId="11" hidden="1">{"SourcesUses",#N/A,TRUE,#N/A;"TransOverview",#N/A,TRUE,"CFMODEL"}</definedName>
    <definedName name="wrn.test4." localSheetId="11" hidden="1">{"SourcesUses",#N/A,TRUE,"FundsFlow";"TransOverview",#N/A,TRUE,"FundsFlow"}</definedName>
    <definedName name="wrn.TheWholeEnchilada." localSheetId="11" hidden="1">{"CSheet",#N/A,FALSE,"C";"SmCap",#N/A,FALSE,"VAL1";"GulfCoast",#N/A,FALSE,"VAL1";"nav",#N/A,FALSE,"NAV";"Summary",#N/A,FALSE,"NAV"}</definedName>
    <definedName name="wrn.TMCALL." localSheetId="11" hidden="1">{"tmccash",#N/A,FALSE,"INCX";"tmcinc",#N/A,FALSE,"INCX";"tmcpretx",#N/A,FALSE,"INCX";"tmcadrev",#N/A,FALSE,"INCX";"tmcbooks",#N/A,FALSE,"INCX"}</definedName>
    <definedName name="wrn.tobacco." localSheetId="11" hidden="1">{"income",#N/A,FALSE,"TOBACCO";"value",#N/A,FALSE,"TOBACCO";"assum1",#N/A,FALSE,"TOBACCO";"assum2",#N/A,FALSE,"TOBACCO";"swisher",#N/A,FALSE,"TOBACCO";"martin",#N/A,FALSE,"TOBACCO";"helme1",#N/A,FALSE,"TOBACCO";"helme2",#N/A,FALSE,"TOBACCO";"HELME3",#N/A,FALSE,"TOBACCO";"depmatrix",#N/A,FALSE,"TOBACCO"}</definedName>
    <definedName name="wrn.tobsum." localSheetId="11" hidden="1">{"income",#N/A,FALSE,"TOBACCO";"value",#N/A,FALSE,"TOBACCO";"assum1",#N/A,FALSE,"TOBACCO"}</definedName>
    <definedName name="wrn.TOOL." localSheetId="1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tal." localSheetId="11" hidden="1">{#N/A,#N/A,FALSE,"US Healthcare";#N/A,#N/A,FALSE,"US Mfg";#N/A,#N/A,FALSE,"SURGICAL";#N/A,#N/A,FALSE,"IVSD";#N/A,#N/A,FALSE,"USDIST-FLD SLS";#N/A,#N/A,FALSE,"USDIST-FLD SLS";#N/A,#N/A,FALSE,"HEALTH SYS";#N/A,#N/A,FALSE,"Unallocated USHC";#N/A,#N/A,FALSE,"ACT INIT.";#N/A,#N/A,FALSE,"PS Hos Elim";#N/A,#N/A,FALSE,"OPELIM";#N/A,#N/A,FALSE,"Net Sales 96";#N/A,#N/A,FALSE,"SG&amp;A 96";#N/A,#N/A,FALSE,"Pretax 96";#N/A,#N/A,FALSE,"Net Income 96";#N/A,#N/A,FALSE,"Cash Flow 96";#N/A,#N/A,FALSE,"96 Actual GP$";#N/A,#N/A,FALSE,"96 Actual GP%";#N/A,#N/A,FALSE,"96 Actual Tax Rate";#N/A,#N/A,FALSE,"96 Capital Exp.";#N/A,#N/A,FALSE,"EVA"}</definedName>
    <definedName name="wrn.Total._.Business." localSheetId="1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Company._.Reforecast._.Print." localSheetId="11"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urrent._.scenario." localSheetId="11" hidden="1">{"assumptions",#N/A,TRUE,"assumptions";"PandL",#N/A,TRUE,"Merged entity";"sens",#N/A,TRUE,"assumptions";"pres1",#N/A,TRUE,"for presentation"}</definedName>
    <definedName name="wrn.Total._.Market._.Report." localSheetId="11" hidden="1">{#N/A,#N/A,FALSE,"Sales Graph";#N/A,#N/A,FALSE,"BUC Graph";#N/A,#N/A,FALSE,"P&amp;L - YTD"}</definedName>
    <definedName name="wrn.Total._.Print." localSheetId="11"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Proved." localSheetId="11" hidden="1">{"Total",#N/A,FALSE,"Total Proved";"PDP",#N/A,FALSE,"Total Proved";"PNP",#N/A,FALSE,"Total Proved";"PUD",#N/A,FALSE,"Total Proved"}</definedName>
    <definedName name="wrn.Total._.Proved._.plus._.Probable." localSheetId="11" hidden="1">{"Total",#N/A,FALSE,"Total Proved + Probable";"PDP",#N/A,FALSE,"Total Proved + Probable";"PNP",#N/A,FALSE,"Total Proved + Probable";"PUD",#N/A,FALSE,"Total Proved + Probable";"Prob",#N/A,FALSE,"Total Proved + Probable"}</definedName>
    <definedName name="wrn.total._.year." localSheetId="11" hidden="1">{#N/A,#N/A,FALSE,"2003_Input - P&amp;L"}</definedName>
    <definedName name="wrn.total1." localSheetId="11" hidden="1">{#N/A,#N/A,FALSE,"US Healthcare";#N/A,#N/A,FALSE,"US Mfg";#N/A,#N/A,FALSE,"SURGICAL";#N/A,#N/A,FALSE,"IVSD";#N/A,#N/A,FALSE,"USDIST-FLD SLS";#N/A,#N/A,FALSE,"USDIST-FLD SLS";#N/A,#N/A,FALSE,"HEALTH SYS";#N/A,#N/A,FALSE,"Unallocated USHC";#N/A,#N/A,FALSE,"ACT INIT.";#N/A,#N/A,FALSE,"PS Hos Elim";#N/A,#N/A,FALSE,"OPELIM";#N/A,#N/A,FALSE,"Net Sales 96";#N/A,#N/A,FALSE,"SG&amp;A 96";#N/A,#N/A,FALSE,"Pretax 96";#N/A,#N/A,FALSE,"Net Income 96";#N/A,#N/A,FALSE,"Cash Flow 96";#N/A,#N/A,FALSE,"96 Actual GP$";#N/A,#N/A,FALSE,"96 Actual GP%";#N/A,#N/A,FALSE,"96 Actual Tax Rate";#N/A,#N/A,FALSE,"96 Capital Exp.";#N/A,#N/A,FALSE,"EVA"}</definedName>
    <definedName name="wrn.Tout._.Sauf._.BG." localSheetId="1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rack." localSheetId="11" hidden="1">{#N/A,#N/A,FALSE,"Inc Stmt";#N/A,#N/A,FALSE,"Indirect Costs";#N/A,#N/A,FALSE,"Capital"}</definedName>
    <definedName name="wrn.trademark._.and._.trade._.name." localSheetId="11" hidden="1">{"trademark1",#N/A,FALSE,"Trademark(s) and Trade Name(s)"}</definedName>
    <definedName name="wrn.Trading._.Summary." localSheetId="11" hidden="1">{#N/A,#N/A,FALSE,"Trading Summary"}</definedName>
    <definedName name="wrn.TransPrcd_123." localSheetId="11" hidden="1">{#N/A,#N/A,TRUE,"TransPrcd 1";#N/A,#N/A,TRUE,"TransPrcd 2";#N/A,#N/A,TRUE,"TransPrcd 3"}</definedName>
    <definedName name="wrn.trball." localSheetId="11" hidden="1">{"trbcash",#N/A,FALSE,"INCPF";"trbinc",#N/A,FALSE,"INCPF";"trbchic",#N/A,FALSE,"INCPF";"trbadrev",#N/A,FALSE,"INCPF";"trbstns",#N/A,FALSE,"INCPF";"trbtvstns",#N/A,FALSE,"INCPF"}</definedName>
    <definedName name="wrn.tsp." localSheetId="11" hidden="1">{#N/A,#N/A,FALSE,"Summary";#N/A,#N/A,FALSE,"Financials";#N/A,#N/A,FALSE,"Returns";#N/A,#N/A,FALSE,"Open";#N/A,#N/A,FALSE,"Assumptions"}</definedName>
    <definedName name="wrn.twofin." localSheetId="11" hidden="1">{"bscompare",#N/A,FALSE,"Bal Sheet"}</definedName>
    <definedName name="wrn.Typhoon." localSheetId="11" hidden="1">{"Agg Output",#N/A,FALSE,"Operational Drivers Output";"NW Output",#N/A,FALSE,"Operational Drivers Output";"South Output",#N/A,FALSE,"Operational Drivers Output";"Central Output",#N/A,FALSE,"Operational Drivers Output"}</definedName>
    <definedName name="wrn.UK." localSheetId="11" hidden="1">{#N/A,#N/A,TRUE,"Combined";#N/A,#N/A,TRUE,"HotRoll";#N/A,#N/A,TRUE,"Gadd";#N/A,#N/A,TRUE,"Wesson";#N/A,#N/A,TRUE,"BrightBar";#N/A,#N/A,TRUE,"GB Longmore";#N/A,#N/A,TRUE,"MES";#N/A,#N/A,TRUE,"Wesson Bright";#N/A,#N/A,TRUE,"Macreadys";#N/A,#N/A,TRUE,"HeadOffice"}</definedName>
    <definedName name="wrn.US._.Bank." localSheetId="11" hidden="1">{#N/A,#N/A,TRUE,"Cover_Page";#N/A,#N/A,TRUE,"Balance Sheet FY12";#N/A,#N/A,TRUE,"Debt Covenants_US Bank_Cons";#N/A,#N/A,TRUE,"Consolidated-Cash Flow";#N/A,#N/A,TRUE,"CY_Per Inc FY12";#N/A,#N/A,TRUE,"Income FY12";#N/A,#N/A,TRUE,"Consolidated"}</definedName>
    <definedName name="wrn.USA._.Consolidated._.Report." localSheetId="11" hidden="1">{#N/A,#N/A,TRUE,"Consolidated B Sheet";#N/A,#N/A,TRUE,"Consolidated Cashflow";#N/A,#N/A,TRUE,"P&amp;L CONSOLIDATED"}</definedName>
    <definedName name="wrn.USR." localSheetId="11" hidden="1">{#N/A,#N/A,FALSE,"TopTen Failures";#N/A,#N/A,FALSE,"Top Ten %";#N/A,#N/A,FALSE,"Fail Code 5 mo. Totals (%)"}</definedName>
    <definedName name="wrn.Utility._.Accrual." localSheetId="11" hidden="1">{"Balt Util Water",#N/A,TRUE,"UTIL";"Balt Util Elect",#N/A,TRUE,"UTIL";"Balt Util JE",#N/A,TRUE,"UTIL"}</definedName>
    <definedName name="wrn.VALUATION." localSheetId="11" hidden="1">{#N/A,#N/A,FALSE,"Valuation Assumptions";#N/A,#N/A,FALSE,"Summary";#N/A,#N/A,FALSE,"DCF";#N/A,#N/A,FALSE,"Valuation";#N/A,#N/A,FALSE,"WACC";#N/A,#N/A,FALSE,"UBVH";#N/A,#N/A,FALSE,"Free Cash Flow"}</definedName>
    <definedName name="wrn.Valuation._.Summaries." localSheetId="11" hidden="1">{#N/A,#N/A,FALSE,"Cover Sheet";#N/A,#N/A,FALSE,"Financial Assumptions";#N/A,#N/A,FALSE,"DCFOverviewPower";#N/A,#N/A,FALSE,"DCFOverviewGas";#N/A,#N/A,FALSE,"DCFOverviewWater";#N/A,#N/A,FALSE,"DCFOverviewVersorgung"}</definedName>
    <definedName name="wrn.Value." localSheetId="11" hidden="1">{#N/A,#N/A,FALSE,"Cashflow Analysis";#N/A,#N/A,FALSE,"Sensitivity Analysis";#N/A,#N/A,FALSE,"PV";#N/A,#N/A,FALSE,"Pro Forma"}</definedName>
    <definedName name="wrn.Value.2" localSheetId="11" hidden="1">{#N/A,#N/A,FALSE,"Cashflow Analysis";#N/A,#N/A,FALSE,"Sensitivity Analysis";#N/A,#N/A,FALSE,"PV";#N/A,#N/A,FALSE,"Pro Forma"}</definedName>
    <definedName name="wrn.Variance._.REports." localSheetId="11" hidden="1">{#N/A,#N/A,FALSE,"Summary";#N/A,#N/A,FALSE,"04E Summ";#N/A,#N/A,FALSE,"04Pvs03E Summ";#N/A,#N/A,FALSE,"03E Summ"}</definedName>
    <definedName name="wrn.Versorgungs._.GmbH._.Data." localSheetId="11" hidden="1">{#N/A,#N/A,FALSE,"DCFCoverVersorgung";#N/A,#N/A,FALSE,"DCFOverviewVersorgung";#N/A,#N/A,FALSE,"PlanVersorgung";#N/A,#N/A,FALSE,"DCFVersorgung";#N/A,#N/A,FALSE,"ValueVersorgung";#N/A,#N/A,FALSE,"WaccVersorgung";#N/A,#N/A,FALSE,"WaccVersorgung";#N/A,#N/A,FALSE,"WaccCompVersorgung";#N/A,#N/A,FALSE,"MatrixVersorgung"}</definedName>
    <definedName name="wrn.VRTX." localSheetId="11" hidden="1">{"Revenues",#N/A,FALSE,"Revenue";"qearn1",#N/A,FALSE,"Qearn";"qearn2",#N/A,FALSE,"Qearn";#N/A,#N/A,FALSE,"Qmargin";"cashflow",#N/A,FALSE,"Cashflow";"Product Pipeline",#N/A,FALSE,"Product Pipeline"}</definedName>
    <definedName name="wrn.Wacc." localSheetId="11" hidden="1">{"Area1",#N/A,FALSE,"OREWACC";"Area2",#N/A,FALSE,"OREWACC"}</definedName>
    <definedName name="wrn.Warrant._.analysis." localSheetId="11" hidden="1">{#N/A,#N/A,FALSE,"sum (2)";#N/A,#N/A,FALSE,"bs";#N/A,#N/A,FALSE,"is";#N/A,#N/A,FALSE,"cf";#N/A,#N/A,FALSE,"ltd";#N/A,#N/A,FALSE,"irr (2)"}</definedName>
    <definedName name="wrn.WATERTOWN._.BUDGET." localSheetId="11" hidden="1">{#N/A,#N/A,TRUE,"Inc. St.";#N/A,#N/A,TRUE,"SalesLabor";#N/A,#N/A,TRUE,"Labor";#N/A,#N/A,TRUE,"TEMP.";#N/A,#N/A,TRUE,"Manuf.";#N/A,#N/A,TRUE,"Repairs";#N/A,#N/A,TRUE,"G&amp;A";#N/A,#N/A,TRUE,"Inv.";#N/A,#N/A,TRUE,"Cap.X";#N/A,#N/A,TRUE,"Leases"}</definedName>
    <definedName name="wrn.Web._.Portfolio._.Companies._.June._.2000." localSheetId="11"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wrn.Western._.Metal." localSheetId="11" hidden="1">{#N/A,#N/A,FALSE,"Western";#N/A,#N/A,FALSE,"Inc. St.";#N/A,#N/A,FALSE,"Hist.";#N/A,#N/A,FALSE,"SalesLabor";#N/A,#N/A,FALSE,"Labor";#N/A,#N/A,FALSE,"Manuf.";#N/A,#N/A,FALSE,"Repairs";#N/A,#N/A,FALSE,"G&amp;A";#N/A,#N/A,FALSE,"Inv.";#N/A,#N/A,FALSE,"Cap. X"}</definedName>
    <definedName name="wrn.WHOLE." localSheetId="11" hidden="1">{#N/A,#N/A,FALSE,"assumptions";#N/A,#N/A,FALSE,"contrib_annual";#N/A,#N/A,FALSE,"historic";#N/A,#N/A,FALSE,"Proforma";#N/A,#N/A,FALSE,"CALENDARIZED";#N/A,#N/A,FALSE,"Has_gets";#N/A,#N/A,FALSE,"DILUTION"}</definedName>
    <definedName name="wrn.wicor." localSheetId="11" hidden="1">{#N/A,#N/A,FALSE,"FACTSHEETS";#N/A,#N/A,FALSE,"pump";#N/A,#N/A,FALSE,"filter"}</definedName>
    <definedName name="wrn.work._.paper._.shcedules." localSheetId="11" hidden="1">{"summary1",#N/A,FALSE,"Summary of Values";"summary2",#N/A,FALSE,"Summary of Values";"weighted average returns",#N/A,FALSE,"WACC and WARA";"fixed asset detail",#N/A,FALSE,"Fixed Asset Detail"}</definedName>
    <definedName name="wrn.wpoall." localSheetId="11" hidden="1">{"wpocash",#N/A,FALSE,"WPOALLT";"wpoinc",#N/A,FALSE,"WPOALLT";"wpoexcl",#N/A,FALSE,"WPOALLT";"wpocable",#N/A,FALSE,"WPOALLT";"wpobroad",#N/A,FALSE,"WPOALLT";"wpopost",#N/A,FALSE,"WPOALLT";"wponwsweek",#N/A,FALSE,"WPOALLT"}</definedName>
    <definedName name="wrn.WWY." localSheetId="11" hidden="1">{#N/A,#N/A,FALSE,"WWY"}</definedName>
    <definedName name="wrn_eva" localSheetId="11" hidden="1">{"EVA",#N/A,FALSE,"EVA";"WACC",#N/A,FALSE,"WACC"}</definedName>
    <definedName name="wrn_otpt" localSheetId="11" hidden="1">{"DCF","UPSIDE CASE",FALSE,"Sheet1";"DCF","BASE CASE",FALSE,"Sheet1";"DCF","DOWNSIDE CASE",FALSE,"Sheet1"}</definedName>
    <definedName name="wrn_summary_95_952" localSheetId="11" hidden="1">{"arpm1995",#N/A,FALSE,"Summary 95-96";"bus_long_distance",#N/A,FALSE,"Summary 95-96";"mins_per_day",#N/A,FALSE,"Summary 95-96";"minutes1995",#N/A,FALSE,"Summary 95-96";"rev_per_day",#N/A,FALSE,"Summary 95-96";"view1995",#N/A,FALSE,"Summary 95-96"}</definedName>
    <definedName name="wrn_summary_95_952_1" localSheetId="11" hidden="1">{"arpm1995",#N/A,FALSE,"Summary 95-96";"bus_long_distance",#N/A,FALSE,"Summary 95-96";"mins_per_day",#N/A,FALSE,"Summary 95-96";"minutes1995",#N/A,FALSE,"Summary 95-96";"rev_per_day",#N/A,FALSE,"Summary 95-96";"view1995",#N/A,FALSE,"Summary 95-96"}</definedName>
    <definedName name="wrn1.Statements." localSheetId="11" hidden="1">{#N/A,#N/A,FALSE,"CostOfService";#N/A,#N/A,FALSE,"BalanceSheet";#N/A,#N/A,FALSE,"IncomeStmt";#N/A,#N/A,FALSE,"CashFlow";#N/A,#N/A,FALSE,"RateBase"}</definedName>
    <definedName name="wrn2.All." localSheetId="11" hidden="1">{#N/A,#N/A,FALSE,"Structure";#N/A,#N/A,FALSE,"Shares";#N/A,#N/A,FALSE,"Market";#N/A,#N/A,FALSE,"Proj-Cal";#N/A,#N/A,FALSE,"Margins - GrossR&amp;D";#N/A,#N/A,FALSE,"Margins - sg&amp;a";#N/A,#N/A,FALSE,"Margins - Oper-net";#N/A,#N/A,FALSE,"Rev Grwth";#N/A,#N/A,FALSE,"Op Inc Grwth";#N/A,#N/A,FALSE,"Net Grwth";#N/A,#N/A,FALSE,"EPS Growth";#N/A,#N/A,FALSE,"Balance";#N/A,#N/A,FALSE,"TDFX";#N/A,#N/A,FALSE,"CUBE";#N/A,#N/A,FALSE,"TDDDF";#N/A,#N/A,FALSE,"DIMD";#N/A,#N/A,FALSE,"ELNT";#N/A,#N/A,FALSE,"ZRAN";#N/A,#N/A,FALSE,"FDJA";#N/A,#N/A,FALSE,"GNMC"}</definedName>
    <definedName name="wrn3.ALL." localSheetId="11" hidden="1">{#N/A,#N/A,FALSE,"DCF";#N/A,#N/A,FALSE,"WACC";#N/A,#N/A,FALSE,"Sales_EBIT";#N/A,#N/A,FALSE,"Capex_Depreciation";#N/A,#N/A,FALSE,"WC";#N/A,#N/A,FALSE,"Interest";#N/A,#N/A,FALSE,"Assumptions"}</definedName>
    <definedName name="wrna.prod" localSheetId="11" hidden="1">{#N/A,#N/A,FALSE,"1";#N/A,#N/A,FALSE,"2";#N/A,#N/A,FALSE,"16 - 17";#N/A,#N/A,FALSE,"18 - 19";#N/A,#N/A,FALSE,"26";#N/A,#N/A,FALSE,"27";#N/A,#N/A,FALSE,"28"}</definedName>
    <definedName name="wrnc"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2"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fy97" localSheetId="11" hidden="1">{#N/A,#N/A,FALSE,"FY97";#N/A,#N/A,FALSE,"FY98";#N/A,#N/A,FALSE,"FY99";#N/A,#N/A,FALSE,"FY00";#N/A,#N/A,FALSE,"FY01"}</definedName>
    <definedName name="wrnrep" localSheetId="11" hidden="1">{"summary",#N/A,FALSE,"3 yr average";"comps",#N/A,FALSE,"3 yr average"}</definedName>
    <definedName name="WRR" localSheetId="11" hidden="1">{#N/A,#N/A,FALSE,"Pharm";#N/A,#N/A,FALSE,"WWCM"}</definedName>
    <definedName name="wrrr" localSheetId="11" hidden="1">{"arpm1995",#N/A,FALSE,"Summary 95-96";"bus_long_distance",#N/A,FALSE,"Summary 95-96";"mins_per_day",#N/A,FALSE,"Summary 95-96";"minutes1995",#N/A,FALSE,"Summary 95-96";"rev_per_day",#N/A,FALSE,"Summary 95-96";"view1995",#N/A,FALSE,"Summary 95-96"}</definedName>
    <definedName name="wrrrrr" localSheetId="11" hidden="1">{#N/A,#N/A,FALSE,"REPORT"}</definedName>
    <definedName name="wt" localSheetId="11" hidden="1">{#N/A,#N/A,FALSE,"FY97";#N/A,#N/A,FALSE,"FY98";#N/A,#N/A,FALSE,"FY99";#N/A,#N/A,FALSE,"FY00";#N/A,#N/A,FALSE,"FY01"}</definedName>
    <definedName name="wtere" localSheetId="11" hidden="1">{"arpm1995",#N/A,FALSE,"Summary 95-96";"bus_long_distance",#N/A,FALSE,"Summary 95-96";"mins_per_day",#N/A,FALSE,"Summary 95-96";"minutes1995",#N/A,FALSE,"Summary 95-96";"rev_per_day",#N/A,FALSE,"Summary 95-96";"view1995",#N/A,FALSE,"Summary 95-96"}</definedName>
    <definedName name="wv" localSheetId="11" hidden="1">{#N/A,#N/A,FALSE,"Pharm";#N/A,#N/A,FALSE,"WWCM"}</definedName>
    <definedName name="wvu.cash." localSheetId="11" hidden="1">{TRUE,TRUE,-1.25,-15.5,456.75,279.75,FALSE,FALSE,TRUE,TRUE,0,1,18,1,199,6,3,4,TRUE,TRUE,3,TRUE,1,TRUE,100,"Swvu.cash.","ACwvu.cash.",1,FALSE,FALSE,0.511811023622047,0.511811023622047,0.511811023622047,0.511811023622047,1,"","",FALSE,FALSE,FALSE,FALSE,1,#N/A,1,1,#DIV/0!,FALSE,"Rwvu.cash.",#N/A,FALSE,FALSE}</definedName>
    <definedName name="wvu.inputs._.raw._.data."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profits." localSheetId="11" hidden="1">{TRUE,TRUE,-1.25,-15.5,456.75,279.75,FALSE,FALSE,TRUE,TRUE,0,1,21,1,127,6,3,4,TRUE,TRUE,3,TRUE,1,TRUE,100,"Swvu.profits.","ACwvu.profits.",1,FALSE,FALSE,0.511811023622047,0.511811023622047,0.511811023622047,0.511811023622047,1,"","",FALSE,FALSE,FALSE,FALSE,1,#N/A,1,1,#DIV/0!,FALSE,"Rwvu.profits.",#N/A,FALSE,FALSE}</definedName>
    <definedName name="wvu.summary1." localSheetId="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1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1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6"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turnover." localSheetId="11" hidden="1">{TRUE,TRUE,-1.25,-15.5,456.75,279.75,FALSE,FALSE,TRUE,TRUE,0,1,8,1,4,6,3,4,TRUE,TRUE,3,TRUE,1,TRUE,100,"Swvu.turnover.","ACwvu.turnover.",1,FALSE,FALSE,0.511811023622047,0.511811023622047,0.511811023622047,0.511811023622047,1,"","",FALSE,FALSE,FALSE,FALSE,1,#N/A,1,1,#DIV/0!,FALSE,"Rwvu.turnover.",#N/A,FALSE,FALSE}</definedName>
    <definedName name="ww" localSheetId="11" hidden="1">{#N/A,#N/A,FALSE,"Pharm";#N/A,#N/A,FALSE,"WWCM"}</definedName>
    <definedName name="wwewrt" localSheetId="11" hidden="1">{#N/A,#N/A,FALSE,"RESUMEN ECON.";#N/A,#N/A,FALSE,"Costos de R.H.";#N/A,#N/A,FALSE,"COSTO HW";#N/A,#N/A,FALSE,"CUADROS";#N/A,#N/A,FALSE,"SCADA´s";#N/A,#N/A,FALSE,"PRECIOS EQUIPOS"}</definedName>
    <definedName name="www" localSheetId="11" hidden="1">{#N/A,#N/A,TRUE,"BUD VS ACT AUST 96";#N/A,#N/A,TRUE,"96 COMP P&amp;L-AUST";#N/A,#N/A,TRUE,"COMP BS-AUSTRALIA";#N/A,#N/A,TRUE,"B/S - AUSTR."}</definedName>
    <definedName name="www.nuevahoja." localSheetId="11" hidden="1">{#N/A,#N/A,FALSE,"CNS_ADJ";"Balance Consolidado",#N/A,FALSE,"BCEC_CNS";#N/A,#N/A,FALSE,"USGAAP_ADJ"}</definedName>
    <definedName name="wwww" localSheetId="11" hidden="1">{#N/A,#N/A,TRUE,"BUD VS ACT AUST 96";#N/A,#N/A,TRUE,"96 COMP P&amp;L-AUST";#N/A,#N/A,TRUE,"COMP BS-AUSTRALIA";#N/A,#N/A,TRUE,"B/S - AUSTR."}</definedName>
    <definedName name="wx" localSheetId="11" hidden="1">{#N/A,#N/A,FALSE,"Pharm";#N/A,#N/A,FALSE,"WWCM"}</definedName>
    <definedName name="x" localSheetId="11" hidden="1">{#N/A,#N/A,FALSE,"REPORT"}</definedName>
    <definedName name="xc" localSheetId="11"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xcv" localSheetId="11" hidden="1">{#N/A,#N/A,FALSE,"Pharm";#N/A,#N/A,FALSE,"WWCM"}</definedName>
    <definedName name="xjey1" localSheetId="11" hidden="1">#REF!</definedName>
    <definedName name="XS" localSheetId="11" hidden="1">{#N/A,#N/A,FALSE,"REV 110 PRNE (Bureau-Frankfurt)";#N/A,#N/A,FALSE,"REV 120 PRNE (Bureau - Paris)"}</definedName>
    <definedName name="xsort2" localSheetId="11" hidden="1">#REF!</definedName>
    <definedName name="xvc" localSheetId="11" hidden="1">{"FCB_ALL",#N/A,FALSE,"FCB"}</definedName>
    <definedName name="xx" localSheetId="11" hidden="1">{#N/A,#N/A,FALSE,"REPORT"}</definedName>
    <definedName name="xxd" localSheetId="11" hidden="1">{#N/A,#N/A,FALSE,"Cashflow Analysis";#N/A,#N/A,FALSE,"Sensitivity Analysis";#N/A,#N/A,FALSE,"PV";#N/A,#N/A,FALSE,"Pro Forma"}</definedName>
    <definedName name="xxd.2" localSheetId="11" hidden="1">{#N/A,#N/A,FALSE,"Cashflow Analysis";#N/A,#N/A,FALSE,"Sensitivity Analysis";#N/A,#N/A,FALSE,"PV";#N/A,#N/A,FALSE,"Pro Forma"}</definedName>
    <definedName name="XXX" localSheetId="11" hidden="1">{#N/A,#N/A,FALSE,"Other";#N/A,#N/A,FALSE,"Ace";#N/A,#N/A,FALSE,"Derm"}</definedName>
    <definedName name="xxxx" localSheetId="11" hidden="1">{"PAGE 1",#N/A,FALSE,"WEST_OT"}</definedName>
    <definedName name="xxxxx" localSheetId="11" hidden="1">{#N/A,#N/A,FALSE,"Pharm";#N/A,#N/A,FALSE,"WWCM"}</definedName>
    <definedName name="xyz" localSheetId="11" hidden="1">{#N/A,#N/A,TRUE,"Total";#N/A,#N/A,TRUE,"U.S. Devl.";#N/A,#N/A,TRUE,"U.S. Headcount"}</definedName>
    <definedName name="y" localSheetId="11" hidden="1">{#N/A,#N/A,FALSE,"Pharm";#N/A,#N/A,FALSE,"WWCM"}</definedName>
    <definedName name="Year1_plan" localSheetId="11">#REF!</definedName>
    <definedName name="Year2_plan" localSheetId="11">#REF!</definedName>
    <definedName name="yes" localSheetId="11" hidden="1">{#N/A,#N/A,FALSE,"Admin";#N/A,#N/A,FALSE,"Other"}</definedName>
    <definedName name="YGJ"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yq" localSheetId="11" hidden="1">{#N/A,#N/A,FALSE,"CNS_ADJ";"Balance Consolidado",#N/A,FALSE,"BCEC_CNS";#N/A,#N/A,FALSE,"USGAAP_ADJ"}</definedName>
    <definedName name="yrd" localSheetId="11" hidden="1">{"PAGE 1",#N/A,FALSE,"WEST_OT"}</definedName>
    <definedName name="YTY" localSheetId="11" hidden="1">{#N/A,#N/A,FALSE,"TABLE_1 YTD";#N/A,#N/A,FALSE,"TABLE_1A QTD";#N/A,#N/A,FALSE,"NORMAL_SPREAD_QTD";#N/A,#N/A,FALSE,"NORMAL_SPREAD_YTD";#N/A,#N/A,FALSE,"TAX_EQV";#N/A,#N/A,FALSE,"TAX EQUIV_INPUT";#N/A,#N/A,FALSE,"NET FROM FER";#N/A,#N/A,FALSE,"COVER"}</definedName>
    <definedName name="yy" localSheetId="11" hidden="1">{#N/A,#N/A,FALSE,"COVER";#N/A,#N/A,FALSE,"Index";#N/A,#N/A,FALSE,"Summ_Products_Rec.97-98";#N/A,#N/A,FALSE,"QTR_Comp.";#N/A,#N/A,FALSE,"Summ_Detail_Rec.97-98";#N/A,#N/A,FALSE,"Summ_Agencies_Rec.97-98"}</definedName>
    <definedName name="yyy" localSheetId="11" hidden="1">{#N/A,#N/A,FALSE,"Other";#N/A,#N/A,FALSE,"Ace";#N/A,#N/A,FALSE,"Derm"}</definedName>
    <definedName name="z" localSheetId="11" hidden="1">{"CSheet",#N/A,FALSE,"C";"SmCap",#N/A,FALSE,"VAL1";"GulfCoast",#N/A,FALSE,"VAL1";"nav",#N/A,FALSE,"NAV";"Summary",#N/A,FALSE,"NAV"}</definedName>
    <definedName name="Z_24BF9755_66DA_11D4_A31E_00C0F0154575_.wvu.PrintArea" localSheetId="11" hidden="1">#REF!</definedName>
    <definedName name="Z_4FA7459B_7D59_11D3_B819_444553540000_.wvu.Cols" localSheetId="11" hidden="1">#REF!,#REF!</definedName>
    <definedName name="Z_4FA7459B_7D59_11D3_B819_444553540000_.wvu.Rows" localSheetId="11" hidden="1">#REF!</definedName>
    <definedName name="Z_603CDB61_4585_11D3_9E2C_00105AA4333D_.wvu.PrintArea" localSheetId="11" hidden="1">#REF!</definedName>
    <definedName name="Z_603CDB63_4585_11D3_9E2C_00105AA4333D_.wvu.PrintArea" localSheetId="11" hidden="1">#REF!</definedName>
    <definedName name="Z_603CDB64_4585_11D3_9E2C_00105AA4333D_.wvu.PrintArea" localSheetId="11" hidden="1">#REF!</definedName>
    <definedName name="Z_702CE201_67EF_11D2_8E81_00104BCAECA1_.wvu.PrintTitles" localSheetId="11" hidden="1">#REF!,#REF!</definedName>
    <definedName name="Z_870DA93B_C7EC_11D1_935A_00A0C95F1362_.wvu.PrintArea" localSheetId="11" hidden="1">#REF!</definedName>
    <definedName name="Z_995DB91B_DC87_11D2_BCA9_00C04F8BBE86_.wvu.PrintArea" localSheetId="11" hidden="1">#REF!</definedName>
    <definedName name="Z_995DB91E_DC87_11D2_BCA9_00C04F8BBE86_.wvu.PrintArea" localSheetId="11" hidden="1">#REF!</definedName>
    <definedName name="Z_B21BDB45_3C17_11D2_913A_00A024D72BFF_.wvu.PrintArea" localSheetId="11" hidden="1">#REF!</definedName>
    <definedName name="Z_B21BDB45_3C17_11D2_913A_00A024D72BFF_.wvu.PrintTitles" localSheetId="11" hidden="1">#REF!,#REF!</definedName>
    <definedName name="Z_B21BDB46_3C17_11D2_913A_00A024D72BFF_.wvu.PrintArea" localSheetId="11" hidden="1">#REF!</definedName>
    <definedName name="Z_B21BDB46_3C17_11D2_913A_00A024D72BFF_.wvu.PrintTitles" localSheetId="11" hidden="1">#REF!,#REF!</definedName>
    <definedName name="Z_B21BDBC3_3C17_11D2_913A_00A024D72BFF_.wvu.PrintArea" localSheetId="11" hidden="1">#REF!</definedName>
    <definedName name="Z_B21BDBC3_3C17_11D2_913A_00A024D72BFF_.wvu.PrintTitles" localSheetId="11" hidden="1">#REF!,#REF!</definedName>
    <definedName name="Z_B21BDBC4_3C17_11D2_913A_00A024D72BFF_.wvu.PrintArea" localSheetId="11" hidden="1">#REF!</definedName>
    <definedName name="Z_B21BDBC4_3C17_11D2_913A_00A024D72BFF_.wvu.PrintTitles" localSheetId="11" hidden="1">#REF!,#REF!</definedName>
    <definedName name="Z_C229C740_74EF_11D3_8C05_00105AA43A7F_.wvu.Cols" localSheetId="11" hidden="1">#REF!</definedName>
    <definedName name="Z_C229C740_74EF_11D3_8C05_00105AA43A7F_.wvu.PrintTitles" localSheetId="11" hidden="1">#REF!,#REF!</definedName>
    <definedName name="Z_C229C740_74EF_11D3_8C05_00105AA43A7F_.wvu.Rows" localSheetId="11" hidden="1">#REF!,#REF!,#REF!,#REF!,#REF!,#REF!,#REF!,#REF!,#REF!,#REF!,#REF!,#REF!,#REF!,#REF!,#REF!,#REF!,#REF!,#REF!,#REF!,#REF!,#REF!,#REF!,#REF!,#REF!,#REF!,#REF!,#REF!,#REF!,#REF!,#REF!,#REF!,#REF!,#REF!,#REF!,#REF!,#REF!,#REF!,#REF!,#REF!,#REF!,#REF!,#REF!,#REF!,#REF!,#REF!,#REF!,#REF!,#REF!,#REF!,#REF!,#REF!,#REF!,#REF!,#REF!</definedName>
    <definedName name="Z_D774FBF2_C14B_4E8C_A09D_6327FECC4D99_.wvu.Cols" localSheetId="11" hidden="1">#REF!</definedName>
    <definedName name="zaq" localSheetId="11" hidden="1">{#N/A,#N/A,FALSE,"Calc";#N/A,#N/A,FALSE,"Sensitivity";#N/A,#N/A,FALSE,"LT Earn.Dil.";#N/A,#N/A,FALSE,"Dil. AVP"}</definedName>
    <definedName name="zb" localSheetId="11" hidden="1">{#N/A,#N/A,FALSE,"Sheet1";#N/A,#N/A,FALSE,"Sheet2";#N/A,#N/A,FALSE,"Sheet3";#N/A,#N/A,FALSE,"Sheet4";#N/A,#N/A,FALSE,"Sheet5";#N/A,#N/A,FALSE,"Sheet6"}</definedName>
    <definedName name="zbt" localSheetId="1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dfgxzdfg" localSheetId="11" hidden="1">{"ReportTop",#N/A,FALSE,"report top"}</definedName>
    <definedName name="zer" localSheetId="11" hidden="1">{#N/A,#N/A,FALSE,"Calc";#N/A,#N/A,FALSE,"Sensitivity";#N/A,#N/A,FALSE,"LT Earn.Dil.";#N/A,#N/A,FALSE,"Dil. AVP"}</definedName>
    <definedName name="zhu" localSheetId="11" hidden="1">{#N/A,#N/A,FALSE,"REPORT"}</definedName>
    <definedName name="zhutr" localSheetId="11" hidden="1">{#N/A,#N/A,FALSE,"REPORT"}</definedName>
    <definedName name="zs" localSheetId="11" hidden="1">{"FCB_ALL",#N/A,FALSE,"FCB"}</definedName>
    <definedName name="zsdas" localSheetId="11" hidden="1">{"FCB_ALL",#N/A,FALSE,"FCB"}</definedName>
    <definedName name="ZSZ" localSheetId="1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xczz" localSheetId="11" hidden="1">{"FCB_ALL",#N/A,FALSE,"FCB"}</definedName>
    <definedName name="zxxx" localSheetId="11" hidden="1">{"arpm1995",#N/A,FALSE,"Summary 95-96";"bus_long_distance",#N/A,FALSE,"Summary 95-96";"mins_per_day",#N/A,FALSE,"Summary 95-96";"minutes1995",#N/A,FALSE,"Summary 95-96";"rev_per_day",#N/A,FALSE,"Summary 95-96";"view1995",#N/A,FALSE,"Summary 95-96"}</definedName>
    <definedName name="zxxx_1" localSheetId="11" hidden="1">{"arpm1995",#N/A,FALSE,"Summary 95-96";"bus_long_distance",#N/A,FALSE,"Summary 95-96";"mins_per_day",#N/A,FALSE,"Summary 95-96";"minutes1995",#N/A,FALSE,"Summary 95-96";"rev_per_day",#N/A,FALSE,"Summary 95-96";"view1995",#N/A,FALSE,"Summary 95-96"}</definedName>
    <definedName name="zy" localSheetId="11" hidden="1">{#N/A,#N/A,TRUE,"BUD VS ACT AUST 96";#N/A,#N/A,TRUE,"96 COMP P&amp;L-AUST";#N/A,#N/A,TRUE,"COMP BS-AUSTRALIA";#N/A,#N/A,TRUE,"B/S - AUSTR."}</definedName>
    <definedName name="zza4pg" localSheetId="11" hidden="1">{#N/A,#N/A,FALSE,"REPORT"}</definedName>
    <definedName name="zzee" localSheetId="11" hidden="1">{#N/A,#N/A,FALSE,"Pharm";#N/A,#N/A,FALSE,"WWCM"}</definedName>
    <definedName name="zzzz" localSheetId="11" hidden="1">{#N/A,#N/A,FALSE,"COMP BS-FRANCE";#N/A,#N/A,FALSE,"96 COMP P&amp;L-FRANCE";#N/A,#N/A,FALSE,"BUD VS ACT FRAN 96";#N/A,#N/A,FALSE,"B/S - FRANCE"}</definedName>
    <definedName name="zzzzz" localSheetId="11" hidden="1">{#N/A,#N/A,FALSE,"REPORT"}</definedName>
    <definedName name="고" localSheetId="11" hidden="1">{#N/A,#N/A,FALSE,"REPORT"}</definedName>
    <definedName name="ㄶㅇ노ㅗㄶ호" localSheetId="11" hidden="1">{#N/A,#N/A,FALSE,"REPORT"}</definedName>
    <definedName name="미애" localSheetId="11" hidden="1">{#N/A,#N/A,FALSE,"REPORT"}</definedName>
    <definedName name="\" localSheetId="12" hidden="1">{"kricash",#N/A,FALSE,"INC";"kriinc",#N/A,FALSE,"INC";"krimiami",#N/A,FALSE,"INC";"kriother",#N/A,FALSE,"INC";"kripapers",#N/A,FALSE,"INC"}</definedName>
    <definedName name="____________________________ww2" localSheetId="12" hidden="1">{#N/A,#N/A,FALSE,"Admin";#N/A,#N/A,FALSE,"Other"}</definedName>
    <definedName name="______________ww2" localSheetId="12" hidden="1">{#N/A,#N/A,FALSE,"Admin";#N/A,#N/A,FALSE,"Other"}</definedName>
    <definedName name="_____________t2" localSheetId="12" hidden="1">{"'Sheet1'!$A$5:$G$42"}</definedName>
    <definedName name="_____________wrn2" localSheetId="12" hidden="1">{"arpm1995",#N/A,FALSE,"Summary 95-96";"bus_long_distance",#N/A,FALSE,"Summary 95-96";"mins_per_day",#N/A,FALSE,"Summary 95-96";"minutes1995",#N/A,FALSE,"Summary 95-96";"rev_per_day",#N/A,FALSE,"Summary 95-96";"view1995",#N/A,FALSE,"Summary 95-96"}</definedName>
    <definedName name="_____________ww2" localSheetId="12" hidden="1">{#N/A,#N/A,FALSE,"Admin";#N/A,#N/A,FALSE,"Other"}</definedName>
    <definedName name="____________t2" localSheetId="12" hidden="1">{"'Sheet1'!$A$5:$G$42"}</definedName>
    <definedName name="____________wrn2" localSheetId="12" hidden="1">{"arpm1995",#N/A,FALSE,"Summary 95-96";"bus_long_distance",#N/A,FALSE,"Summary 95-96";"mins_per_day",#N/A,FALSE,"Summary 95-96";"minutes1995",#N/A,FALSE,"Summary 95-96";"rev_per_day",#N/A,FALSE,"Summary 95-96";"view1995",#N/A,FALSE,"Summary 95-96"}</definedName>
    <definedName name="____________ww2" localSheetId="12" hidden="1">{#N/A,#N/A,FALSE,"Admin";#N/A,#N/A,FALSE,"Other"}</definedName>
    <definedName name="___________ww2" localSheetId="12" hidden="1">{#N/A,#N/A,FALSE,"Admin";#N/A,#N/A,FALSE,"Other"}</definedName>
    <definedName name="__________t2" localSheetId="12" hidden="1">{"'Sheet1'!$A$5:$G$42"}</definedName>
    <definedName name="__________wrn2" localSheetId="12" hidden="1">{"arpm1995",#N/A,FALSE,"Summary 95-96";"bus_long_distance",#N/A,FALSE,"Summary 95-96";"mins_per_day",#N/A,FALSE,"Summary 95-96";"minutes1995",#N/A,FALSE,"Summary 95-96";"rev_per_day",#N/A,FALSE,"Summary 95-96";"view1995",#N/A,FALSE,"Summary 95-96"}</definedName>
    <definedName name="__________ww2" localSheetId="12" hidden="1">{#N/A,#N/A,FALSE,"Admin";#N/A,#N/A,FALSE,"Other"}</definedName>
    <definedName name="_________I2" localSheetId="12" hidden="1">{"PVGraph2",#N/A,FALSE,"PV Data"}</definedName>
    <definedName name="_________I3" localSheetId="12" hidden="1">{"PVGraph2",#N/A,FALSE,"PV Data"}</definedName>
    <definedName name="_________t2" localSheetId="12" hidden="1">{"'Sheet1'!$A$5:$G$42"}</definedName>
    <definedName name="_________w1" localSheetId="12" hidden="1">{"PVGraph2",#N/A,FALSE,"PV Data"}</definedName>
    <definedName name="_________w2" localSheetId="12" hidden="1">{"PVGraph2",#N/A,FALSE,"PV Data"}</definedName>
    <definedName name="_________w3" localSheetId="12" hidden="1">{"PVGraph2",#N/A,FALSE,"PV Data"}</definedName>
    <definedName name="_________wrn2" localSheetId="12" hidden="1">{"arpm1995",#N/A,FALSE,"Summary 95-96";"bus_long_distance",#N/A,FALSE,"Summary 95-96";"mins_per_day",#N/A,FALSE,"Summary 95-96";"minutes1995",#N/A,FALSE,"Summary 95-96";"rev_per_day",#N/A,FALSE,"Summary 95-96";"view1995",#N/A,FALSE,"Summary 95-96"}</definedName>
    <definedName name="_________ww2" localSheetId="12" hidden="1">{#N/A,#N/A,FALSE,"Admin";#N/A,#N/A,FALSE,"Other"}</definedName>
    <definedName name="_________y2" localSheetId="12" hidden="1">{"PVGraph2",#N/A,FALSE,"PV Data"}</definedName>
    <definedName name="________I2" localSheetId="12" hidden="1">{"PVGraph2",#N/A,FALSE,"PV Data"}</definedName>
    <definedName name="________I3" localSheetId="12" hidden="1">{"PVGraph2",#N/A,FALSE,"PV Data"}</definedName>
    <definedName name="________t2" localSheetId="12" hidden="1">{"'Sheet1'!$A$5:$G$42"}</definedName>
    <definedName name="________w1" localSheetId="12" hidden="1">{"PVGraph2",#N/A,FALSE,"PV Data"}</definedName>
    <definedName name="________w2" localSheetId="12" hidden="1">{"PVGraph2",#N/A,FALSE,"PV Data"}</definedName>
    <definedName name="________w3" localSheetId="12" hidden="1">{"PVGraph2",#N/A,FALSE,"PV Data"}</definedName>
    <definedName name="________wrn2" localSheetId="12" hidden="1">{"arpm1995",#N/A,FALSE,"Summary 95-96";"bus_long_distance",#N/A,FALSE,"Summary 95-96";"mins_per_day",#N/A,FALSE,"Summary 95-96";"minutes1995",#N/A,FALSE,"Summary 95-96";"rev_per_day",#N/A,FALSE,"Summary 95-96";"view1995",#N/A,FALSE,"Summary 95-96"}</definedName>
    <definedName name="________ww2" localSheetId="12" hidden="1">{#N/A,#N/A,FALSE,"Admin";#N/A,#N/A,FALSE,"Other"}</definedName>
    <definedName name="________y2" localSheetId="12" hidden="1">{"PVGraph2",#N/A,FALSE,"PV Data"}</definedName>
    <definedName name="_______I2" localSheetId="12" hidden="1">{"PVGraph2",#N/A,FALSE,"PV Data"}</definedName>
    <definedName name="_______I3" localSheetId="12" hidden="1">{"PVGraph2",#N/A,FALSE,"PV Data"}</definedName>
    <definedName name="_______t2" localSheetId="12" hidden="1">{"'Sheet1'!$A$5:$G$42"}</definedName>
    <definedName name="_______w1" localSheetId="12" hidden="1">{"PVGraph2",#N/A,FALSE,"PV Data"}</definedName>
    <definedName name="_______w2" localSheetId="12" hidden="1">{"PVGraph2",#N/A,FALSE,"PV Data"}</definedName>
    <definedName name="_______w3" localSheetId="12" hidden="1">{"PVGraph2",#N/A,FALSE,"PV Data"}</definedName>
    <definedName name="_______wrn2" localSheetId="12" hidden="1">{"arpm1995",#N/A,FALSE,"Summary 95-96";"bus_long_distance",#N/A,FALSE,"Summary 95-96";"mins_per_day",#N/A,FALSE,"Summary 95-96";"minutes1995",#N/A,FALSE,"Summary 95-96";"rev_per_day",#N/A,FALSE,"Summary 95-96";"view1995",#N/A,FALSE,"Summary 95-96"}</definedName>
    <definedName name="_______ww2" localSheetId="12" hidden="1">{#N/A,#N/A,FALSE,"Admin";#N/A,#N/A,FALSE,"Other"}</definedName>
    <definedName name="_______y2" localSheetId="12" hidden="1">{"PVGraph2",#N/A,FALSE,"PV Data"}</definedName>
    <definedName name="______I2" localSheetId="12" hidden="1">{"PVGraph2",#N/A,FALSE,"PV Data"}</definedName>
    <definedName name="______I3" localSheetId="12" hidden="1">{"PVGraph2",#N/A,FALSE,"PV Data"}</definedName>
    <definedName name="______t2" localSheetId="12" hidden="1">{"'Sheet1'!$A$5:$G$42"}</definedName>
    <definedName name="______w1" localSheetId="12" hidden="1">{"PVGraph2",#N/A,FALSE,"PV Data"}</definedName>
    <definedName name="______w2" localSheetId="12" hidden="1">{"PVGraph2",#N/A,FALSE,"PV Data"}</definedName>
    <definedName name="______w3" localSheetId="12" hidden="1">{"PVGraph2",#N/A,FALSE,"PV Data"}</definedName>
    <definedName name="______WHO2" localSheetId="12" hidden="1">{#N/A,#N/A,FALSE,"SUMMARY";#N/A,#N/A,FALSE,"DETAIL";#N/A,#N/A,FALSE,"VARIANCE"}</definedName>
    <definedName name="______wrn2" localSheetId="12" hidden="1">{"arpm1995",#N/A,FALSE,"Summary 95-96";"bus_long_distance",#N/A,FALSE,"Summary 95-96";"mins_per_day",#N/A,FALSE,"Summary 95-96";"minutes1995",#N/A,FALSE,"Summary 95-96";"rev_per_day",#N/A,FALSE,"Summary 95-96";"view1995",#N/A,FALSE,"Summary 95-96"}</definedName>
    <definedName name="______ww2" localSheetId="12" hidden="1">{#N/A,#N/A,FALSE,"Admin";#N/A,#N/A,FALSE,"Other"}</definedName>
    <definedName name="______y2" localSheetId="12" hidden="1">{"PVGraph2",#N/A,FALSE,"PV Data"}</definedName>
    <definedName name="_____I2" localSheetId="12" hidden="1">{"PVGraph2",#N/A,FALSE,"PV Data"}</definedName>
    <definedName name="_____I3" localSheetId="12" hidden="1">{"PVGraph2",#N/A,FALSE,"PV Data"}</definedName>
    <definedName name="_____t2" localSheetId="12" hidden="1">{"'Sheet1'!$A$5:$G$42"}</definedName>
    <definedName name="_____w1" localSheetId="12" hidden="1">{"PVGraph2",#N/A,FALSE,"PV Data"}</definedName>
    <definedName name="_____w2" localSheetId="12" hidden="1">{"PVGraph2",#N/A,FALSE,"PV Data"}</definedName>
    <definedName name="_____w3" localSheetId="12" hidden="1">{"PVGraph2",#N/A,FALSE,"PV Data"}</definedName>
    <definedName name="_____wrn2" localSheetId="12" hidden="1">{#N/A,#N/A,FALSE,"ASSUMPTIONS";#N/A,#N/A,FALSE,"Valuation Summary";"page1",#N/A,FALSE,"PRESENTATION";"page2",#N/A,FALSE,"PRESENTATION";#N/A,#N/A,FALSE,"ORIGINAL_ROLLBACK"}</definedName>
    <definedName name="_____wrn3" localSheetId="12" hidden="1">{#N/A,#N/A,FALSE,"ASSUMPTIONS";#N/A,#N/A,FALSE,"Valuation Summary";"page1",#N/A,FALSE,"PRESENTATION";"page2",#N/A,FALSE,"PRESENTATION";#N/A,#N/A,FALSE,"ORIGINAL_ROLLBACK"}</definedName>
    <definedName name="_____ww2" localSheetId="12" hidden="1">{#N/A,#N/A,FALSE,"Admin";#N/A,#N/A,FALSE,"Other"}</definedName>
    <definedName name="_____y2" localSheetId="12" hidden="1">{"PVGraph2",#N/A,FALSE,"PV Data"}</definedName>
    <definedName name="____age1" localSheetId="1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fk1" localSheetId="1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jd1" localSheetId="1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kj1" localSheetId="1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I2" localSheetId="12" hidden="1">{"PVGraph2",#N/A,FALSE,"PV Data"}</definedName>
    <definedName name="____I3" localSheetId="12" hidden="1">{"PVGraph2",#N/A,FALSE,"PV Data"}</definedName>
    <definedName name="____o1" localSheetId="12" hidden="1">{#N/A,#N/A,FALSE,"SUMMARY";#N/A,#N/A,FALSE,"mcsh";#N/A,#N/A,FALSE,"vol&amp;rev";#N/A,#N/A,FALSE,"wkgcap";#N/A,#N/A,FALSE,"DEPR&amp;DT";#N/A,#N/A,FALSE,"ASSETS";#N/A,#N/A,FALSE,"NI&amp;OTH&amp;DIV";#N/A,#N/A,FALSE,"CASHFLOW";#N/A,#N/A,FALSE,"CAPEMPL";#N/A,#N/A,FALSE,"ROCE"}</definedName>
    <definedName name="____t2" localSheetId="12" hidden="1">{"'Sheet1'!$A$5:$G$42"}</definedName>
    <definedName name="____w1" localSheetId="12" hidden="1">{"PVGraph2",#N/A,FALSE,"PV Data"}</definedName>
    <definedName name="____w2" localSheetId="12" hidden="1">{"PVGraph2",#N/A,FALSE,"PV Data"}</definedName>
    <definedName name="____w3" localSheetId="12" hidden="1">{"PVGraph2",#N/A,FALSE,"PV Data"}</definedName>
    <definedName name="____WHO2" localSheetId="12" hidden="1">{#N/A,#N/A,FALSE,"SUMMARY";#N/A,#N/A,FALSE,"DETAIL";#N/A,#N/A,FALSE,"VARIANCE"}</definedName>
    <definedName name="____wr3" localSheetId="12" hidden="1">{#N/A,#N/A,FALSE,"ASSUMPTIONS";#N/A,#N/A,FALSE,"Valuation Summary";"page1",#N/A,FALSE,"PRESENTATION";"page2",#N/A,FALSE,"PRESENTATION";#N/A,#N/A,FALSE,"ORIGINAL_ROLLBACK"}</definedName>
    <definedName name="____wrn2" localSheetId="12" hidden="1">{#N/A,#N/A,FALSE,"ASSUMPTIONS";#N/A,#N/A,FALSE,"Valuation Summary";"page1",#N/A,FALSE,"PRESENTATION";"page2",#N/A,FALSE,"PRESENTATION";#N/A,#N/A,FALSE,"ORIGINAL_ROLLBACK"}</definedName>
    <definedName name="____wrn3" localSheetId="12" hidden="1">{#N/A,#N/A,FALSE,"ASSUMPTIONS";#N/A,#N/A,FALSE,"Valuation Summary";"page1",#N/A,FALSE,"PRESENTATION";"page2",#N/A,FALSE,"PRESENTATION";#N/A,#N/A,FALSE,"ORIGINAL_ROLLBACK"}</definedName>
    <definedName name="____ww2" localSheetId="12" hidden="1">{#N/A,#N/A,FALSE,"Admin";#N/A,#N/A,FALSE,"Other"}</definedName>
    <definedName name="____y2" localSheetId="12" hidden="1">{"PVGraph2",#N/A,FALSE,"PV Data"}</definedName>
    <definedName name="___I2" localSheetId="12" hidden="1">{"PVGraph2",#N/A,FALSE,"PV Data"}</definedName>
    <definedName name="___I3" localSheetId="12" hidden="1">{"PVGraph2",#N/A,FALSE,"PV Data"}</definedName>
    <definedName name="___o1" localSheetId="12" hidden="1">{#N/A,#N/A,FALSE,"SUMMARY";#N/A,#N/A,FALSE,"mcsh";#N/A,#N/A,FALSE,"vol&amp;rev";#N/A,#N/A,FALSE,"wkgcap";#N/A,#N/A,FALSE,"DEPR&amp;DT";#N/A,#N/A,FALSE,"ASSETS";#N/A,#N/A,FALSE,"NI&amp;OTH&amp;DIV";#N/A,#N/A,FALSE,"CASHFLOW";#N/A,#N/A,FALSE,"CAPEMPL";#N/A,#N/A,FALSE,"ROCE"}</definedName>
    <definedName name="___t2" localSheetId="12" hidden="1">{"'Sheet1'!$A$5:$G$42"}</definedName>
    <definedName name="___w1" localSheetId="12" hidden="1">{"PVGraph2",#N/A,FALSE,"PV Data"}</definedName>
    <definedName name="___w2" localSheetId="12" hidden="1">{"PVGraph2",#N/A,FALSE,"PV Data"}</definedName>
    <definedName name="___w3" localSheetId="12" hidden="1">{"PVGraph2",#N/A,FALSE,"PV Data"}</definedName>
    <definedName name="___wrn2" localSheetId="12" hidden="1">{#N/A,#N/A,FALSE,"ASSUMPTIONS";#N/A,#N/A,FALSE,"Valuation Summary";"page1",#N/A,FALSE,"PRESENTATION";"page2",#N/A,FALSE,"PRESENTATION";#N/A,#N/A,FALSE,"ORIGINAL_ROLLBACK"}</definedName>
    <definedName name="___wrn3" localSheetId="12" hidden="1">{#N/A,#N/A,FALSE,"ASSUMPTIONS";#N/A,#N/A,FALSE,"Valuation Summary";"page1",#N/A,FALSE,"PRESENTATION";"page2",#N/A,FALSE,"PRESENTATION";#N/A,#N/A,FALSE,"ORIGINAL_ROLLBACK"}</definedName>
    <definedName name="___ww2" localSheetId="12" hidden="1">{#N/A,#N/A,FALSE,"Admin";#N/A,#N/A,FALSE,"Other"}</definedName>
    <definedName name="___y2" localSheetId="12" hidden="1">{"PVGraph2",#N/A,FALSE,"PV Data"}</definedName>
    <definedName name="__123Graph_A" localSheetId="12" hidden="1">'[1]Sales 2003'!#REF!</definedName>
    <definedName name="__123Graph_ACOMP" localSheetId="12" hidden="1">[2]Detail!$C$4:$C$15</definedName>
    <definedName name="__123Graph_AGraph1" localSheetId="12" hidden="1">'[2]Old Median Price'!$I$3:$I$30</definedName>
    <definedName name="__123Graph_AGraph10" localSheetId="12" hidden="1">'[2]Old Volume'!$D$2:$D$32</definedName>
    <definedName name="__123Graph_AGraph11" localSheetId="12" hidden="1">'[2]Old Volume'!$D$2:$D$32</definedName>
    <definedName name="__123Graph_AGraph3" localSheetId="12" hidden="1">'[2]Condo Price'!$J$27:$J$57</definedName>
    <definedName name="__123Graph_AGraph5" localSheetId="12" hidden="1">'[2]Condo Price'!$E$27:$E$58</definedName>
    <definedName name="__123Graph_AGraph6" localSheetId="12" hidden="1">'[2]Old Volume'!$D$2:$D$31</definedName>
    <definedName name="__123Graph_AGraph7" localSheetId="12" hidden="1">'[2]Old Median Price'!$I$2:$I$32</definedName>
    <definedName name="__123Graph_AGraph8" localSheetId="12" hidden="1">'[2]Old Volume'!$E$2:$E$32</definedName>
    <definedName name="__123Graph_AHISTORY" localSheetId="12" hidden="1">[2]Detail!$C$4:$C$63</definedName>
    <definedName name="__123Graph_BCOMP" localSheetId="12" hidden="1">[2]Detail!$C$16:$C$27</definedName>
    <definedName name="__123Graph_BGraph8" localSheetId="12" hidden="1">'[2]Old Volume'!$F$2:$F$32</definedName>
    <definedName name="__123Graph_C" localSheetId="12" hidden="1">[3]D!#REF!</definedName>
    <definedName name="__123Graph_CCOMP" localSheetId="12" hidden="1">[2]Detail!$C$28:$C$39</definedName>
    <definedName name="__123Graph_CGraph8" localSheetId="12" hidden="1">'[2]Old Volume'!$G$2:$G$32</definedName>
    <definedName name="__123Graph_D" localSheetId="12" hidden="1">[4]Proforma!#REF!</definedName>
    <definedName name="__123Graph_DCOMP" localSheetId="12" hidden="1">[2]Detail!$C$40:$C$51</definedName>
    <definedName name="__123Graph_DGraph8" localSheetId="12" hidden="1">'[2]Old Volume'!$D$2:$D$32</definedName>
    <definedName name="__123Graph_E" localSheetId="12" hidden="1">[3]D!#REF!</definedName>
    <definedName name="__123Graph_ECOMP" localSheetId="12" hidden="1">[2]Detail!$C$52:$C$63</definedName>
    <definedName name="__123Graph_F" localSheetId="12" hidden="1">[3]D!#REF!</definedName>
    <definedName name="__123Graph_LBL_A" localSheetId="12" hidden="1">[2]Detail!$E$4:$E$75</definedName>
    <definedName name="__123Graph_LBL_ACOMP" localSheetId="12" hidden="1">[2]Detail!$A$4:$A$15</definedName>
    <definedName name="__123Graph_LBL_AHISTORY" localSheetId="12" hidden="1">[2]Detail!$E$4:$E$63</definedName>
    <definedName name="__123Graph_LBL_BCOMP" localSheetId="12" hidden="1">[2]Detail!$A$16:$A$27</definedName>
    <definedName name="__123Graph_LBL_CCOMP" localSheetId="12" hidden="1">[2]Detail!$A$28:$A$39</definedName>
    <definedName name="__123Graph_LBL_DCOMP" localSheetId="12" hidden="1">[2]Detail!$A$40:$A$51</definedName>
    <definedName name="__123Graph_LBL_ECOMP" localSheetId="12" hidden="1">[2]Detail!$A$52:$A$63</definedName>
    <definedName name="__123Graph_X" localSheetId="12" hidden="1">[2]Detail!$B$4:$B$75</definedName>
    <definedName name="__123Graph_XCOMP" localSheetId="12" hidden="1">[2]Detail!$B$4:$B$15</definedName>
    <definedName name="__123Graph_XGraph11" localSheetId="12" hidden="1">'[2]Old Volume'!$A$2:$A$32</definedName>
    <definedName name="__123Graph_XGraph3" localSheetId="12" hidden="1">'[2]Condo Price'!$A$27:$A$57</definedName>
    <definedName name="__123Graph_XGraph5" localSheetId="12" hidden="1">'[2]Condo Price'!$A$27:$A$58</definedName>
    <definedName name="__123Graph_XHISTORY" localSheetId="12" hidden="1">[2]Detail!$B$4:$B$63</definedName>
    <definedName name="__4__123Graph_ACHART_1" localSheetId="12" hidden="1">'[5]Sales 2003'!#REF!</definedName>
    <definedName name="__7__123Graph_ACHART_1" localSheetId="12" hidden="1">'[6]Sales 2003'!#REF!</definedName>
    <definedName name="__a1" localSheetId="12" hidden="1">{#N/A,#N/A,FALSE,"Pharm";#N/A,#N/A,FALSE,"WWCM"}</definedName>
    <definedName name="__A11" localSheetId="12" hidden="1">{#N/A,#N/A,FALSE,"Umsatz 99";#N/A,#N/A,FALSE,"ER 99 "}</definedName>
    <definedName name="__aaa1" localSheetId="12" hidden="1">{#N/A,#N/A,FALSE,"REPORT"}</definedName>
    <definedName name="__aas1" localSheetId="12" hidden="1">{#N/A,#N/A,FALSE,"REPORT"}</definedName>
    <definedName name="__ACS2000" localSheetId="12" hidden="1">{#N/A,#N/A,FALSE,"REPORT"}</definedName>
    <definedName name="__APW_RESTORE_DATA1__" localSheetId="12" hidden="1">#REF!,#REF!,#REF!,#REF!,#REF!</definedName>
    <definedName name="__APW_RESTORE_DATA1050__" localSheetId="12" hidden="1">#REF!,#REF!</definedName>
    <definedName name="__APW_RESTORE_DATA1111__" localSheetId="12" hidden="1">#REF!,#REF!</definedName>
    <definedName name="__APW_RESTORE_DATA1409__" localSheetId="12" hidden="1">#REF!,#REF!,#REF!,#REF!,#REF!,#REF!,#REF!,#REF!,#REF!,#REF!,#REF!,#REF!,#REF!,#REF!</definedName>
    <definedName name="__APW_RESTORE_DATA1410__" localSheetId="12" hidden="1">#REF!,#REF!,#REF!,#REF!,#REF!,#REF!,#REF!,#REF!,#REF!,#REF!,#REF!,#REF!</definedName>
    <definedName name="__APW_RESTORE_DATA1411__" localSheetId="12" hidden="1">#REF!,#REF!,#REF!,#REF!,#REF!,#REF!,#REF!,#REF!,#REF!,#REF!,#REF!,#REF!,#REF!</definedName>
    <definedName name="__APW_RESTORE_DATA1412__" localSheetId="12" hidden="1">#REF!,#REF!,#REF!,#REF!,#REF!,#REF!,#REF!,#REF!,#REF!,#REF!,#REF!,#REF!,#REF!,#REF!</definedName>
    <definedName name="__APW_RESTORE_DATA1413__" localSheetId="12" hidden="1">#REF!,#REF!,#REF!,#REF!,#REF!,#REF!,#REF!,#REF!,#REF!,#REF!,#REF!,#REF!,#REF!,#REF!</definedName>
    <definedName name="__APW_RESTORE_DATA190__" localSheetId="12" hidden="1">#REF!,#REF!,#REF!,#REF!,#REF!</definedName>
    <definedName name="__b111" localSheetId="12" hidden="1">{#N/A,#N/A,FALSE,"Pharm";#N/A,#N/A,FALSE,"WWCM"}</definedName>
    <definedName name="__c" localSheetId="12" hidden="1">{"Fiesta Facer Page",#N/A,FALSE,"Q_C_S";"Fiesta Main Page",#N/A,FALSE,"V_L";"Fiesta 95BP Struct",#N/A,FALSE,"StructBP";"Fiesta Post 95BP Struct",#N/A,FALSE,"AdjStructBP"}</definedName>
    <definedName name="__FDS_USED_FOR_REUSING_RANGE_IDS_RECYCLE" localSheetId="12" hidden="1">{3,6,6,3,3,1,6,4,3}</definedName>
    <definedName name="__I2" localSheetId="12" hidden="1">{"PVGraph2",#N/A,FALSE,"PV Data"}</definedName>
    <definedName name="__I3" localSheetId="12" hidden="1">{"PVGraph2",#N/A,FALSE,"PV Data"}</definedName>
    <definedName name="__IntlFixupTable" localSheetId="12" hidden="1">#REF!</definedName>
    <definedName name="__new1" localSheetId="12" hidden="1">{#N/A,#N/A,FALSE,"Pharm";#N/A,#N/A,FALSE,"WWCM"}</definedName>
    <definedName name="__o1" localSheetId="12" hidden="1">{#N/A,#N/A,FALSE,"SUMMARY";#N/A,#N/A,FALSE,"mcsh";#N/A,#N/A,FALSE,"vol&amp;rev";#N/A,#N/A,FALSE,"wkgcap";#N/A,#N/A,FALSE,"DEPR&amp;DT";#N/A,#N/A,FALSE,"ASSETS";#N/A,#N/A,FALSE,"NI&amp;OTH&amp;DIV";#N/A,#N/A,FALSE,"CASHFLOW";#N/A,#N/A,FALSE,"CAPEMPL";#N/A,#N/A,FALSE,"ROCE"}</definedName>
    <definedName name="__p1" localSheetId="12" hidden="1">{"SUM",#N/A,FALSE,"Details (2)"}</definedName>
    <definedName name="__pp2" localSheetId="12" hidden="1">{"Summary",#N/A,FALSE,"Details (2)"}</definedName>
    <definedName name="__ppp1" localSheetId="12" hidden="1">{"SUM",#N/A,FALSE,"Details (2)"}</definedName>
    <definedName name="__q2" localSheetId="12" hidden="1">{"Summary",#N/A,FALSE,"Details (2)"}</definedName>
    <definedName name="__q4" localSheetId="12" hidden="1">{"Summary",#N/A,FALSE,"Details (2)"}</definedName>
    <definedName name="__q5" localSheetId="12" hidden="1">{"SUM",#N/A,FALSE,"Details (2)"}</definedName>
    <definedName name="__Qtr4" localSheetId="12">#REF!</definedName>
    <definedName name="__r" localSheetId="12" hidden="1">{#N/A,#N/A,FALSE,"Pharm";#N/A,#N/A,FALSE,"WWCM"}</definedName>
    <definedName name="__t2" localSheetId="12" hidden="1">{"'Sheet1'!$A$5:$G$42"}</definedName>
    <definedName name="__tm1" localSheetId="12" hidden="1">{#N/A,#N/A,FALSE,"Pharm";#N/A,#N/A,FALSE,"WWCM"}</definedName>
    <definedName name="__v2" localSheetId="12" hidden="1">{"arpm1995",#N/A,FALSE,"Summary 95-96";"bus_long_distance",#N/A,FALSE,"Summary 95-96";"mins_per_day",#N/A,FALSE,"Summary 95-96";"minutes1995",#N/A,FALSE,"Summary 95-96";"rev_per_day",#N/A,FALSE,"Summary 95-96";"view1995",#N/A,FALSE,"Summary 95-96"}</definedName>
    <definedName name="__w1" localSheetId="12" hidden="1">{"PVGraph2",#N/A,FALSE,"PV Data"}</definedName>
    <definedName name="__w2" localSheetId="12" hidden="1">{"PVGraph2",#N/A,FALSE,"PV Data"}</definedName>
    <definedName name="__w3" localSheetId="12" hidden="1">{"PVGraph2",#N/A,FALSE,"PV Data"}</definedName>
    <definedName name="__WHO2" localSheetId="12" hidden="1">{#N/A,#N/A,FALSE,"SUMMARY";#N/A,#N/A,FALSE,"DETAIL";#N/A,#N/A,FALSE,"VARIANCE"}</definedName>
    <definedName name="__wrn2" localSheetId="12" hidden="1">{#N/A,#N/A,FALSE,"ASSUMPTIONS";#N/A,#N/A,FALSE,"Valuation Summary";"page1",#N/A,FALSE,"PRESENTATION";"page2",#N/A,FALSE,"PRESENTATION";#N/A,#N/A,FALSE,"ORIGINAL_ROLLBACK"}</definedName>
    <definedName name="__wrn3" localSheetId="12" hidden="1">{#N/A,#N/A,FALSE,"ASSUMPTIONS";#N/A,#N/A,FALSE,"Valuation Summary";"page1",#N/A,FALSE,"PRESENTATION";"page2",#N/A,FALSE,"PRESENTATION";#N/A,#N/A,FALSE,"ORIGINAL_ROLLBACK"}</definedName>
    <definedName name="__ww2" localSheetId="12" hidden="1">{#N/A,#N/A,FALSE,"Admin";#N/A,#N/A,FALSE,"Other"}</definedName>
    <definedName name="__X1" localSheetId="12" hidden="1">{"Summary",#N/A,FALSE,"Details (2)"}</definedName>
    <definedName name="__X2" localSheetId="12" hidden="1">{#N/A,#N/A,FALSE,"Other";#N/A,#N/A,FALSE,"Ace";#N/A,#N/A,FALSE,"Derm"}</definedName>
    <definedName name="__y2" localSheetId="12" hidden="1">{"PVGraph2",#N/A,FALSE,"PV Data"}</definedName>
    <definedName name="_1__123Graph_ACHART_1" localSheetId="12" hidden="1">'[7]Edge 10797 Drilling Inventory'!#REF!</definedName>
    <definedName name="_1__123Graph_ACHART_4" localSheetId="12" hidden="1">'[8]INC BY DEPT'!#REF!</definedName>
    <definedName name="_1__FDSAUDITLINK__" localSheetId="12" hidden="1">{"fdsup://Directions/FactSet Auditing Viewer?action=AUDIT_VALUE&amp;DB=129&amp;ID1=610036&amp;VALUEID=05192&amp;SDATE=201101&amp;PERIODTYPE=QTR_STD&amp;SCFT=3&amp;window=popup_no_bar&amp;width=385&amp;height=120&amp;START_MAXIMIZED=FALSE&amp;creator=factset&amp;display_string=Audit"}</definedName>
    <definedName name="_10__123Graph_LBL_ACHART_1" localSheetId="12" hidden="1">'[7]Edge 10797 Drilling Inventory'!#REF!</definedName>
    <definedName name="_10__123Graph_LBL_ACHART_2" localSheetId="12" hidden="1">'[7]Edge 10797 Drilling Inventory'!#REF!</definedName>
    <definedName name="_10__123Graph_LBL_ACHART_3" localSheetId="12" hidden="1">'[7]Edge 10797 Drilling Inventory'!#REF!</definedName>
    <definedName name="_10__FDSAUDITLINK__" localSheetId="12" hidden="1">{"fdsup://Directions/FactSet Auditing Viewer?action=AUDIT_VALUE&amp;DB=129&amp;ID1=613566&amp;VALUEID=05192&amp;SDATE=201101&amp;PERIODTYPE=QTR_STD&amp;SCFT=3&amp;window=popup_no_bar&amp;width=385&amp;height=120&amp;START_MAXIMIZED=FALSE&amp;creator=factset&amp;display_string=Audit"}</definedName>
    <definedName name="_10_0__123Graph_ACHAR" localSheetId="12" hidden="1">'[9]YTD Totals'!#REF!</definedName>
    <definedName name="_104__123Graph_LBL_BCHART_2" localSheetId="12" hidden="1">'[7]Edge 10797 Drilling Inventory'!#REF!</definedName>
    <definedName name="_108__123Graph_LBL_BCHART_1" localSheetId="12" hidden="1">'[7]Edge 10797 Drilling Inventory'!#REF!</definedName>
    <definedName name="_109__123Graph_ACHART_4" localSheetId="12" hidden="1">'[7]Edge 10797 Drilling Inventory'!#REF!</definedName>
    <definedName name="_11__123Graph_LBL_ACHART_2" localSheetId="12" hidden="1">'[7]Edge 10797 Drilling Inventory'!#REF!</definedName>
    <definedName name="_11__123Graph_LBL_ACHART_3" localSheetId="12" hidden="1">'[7]Edge 10797 Drilling Inventory'!#REF!</definedName>
    <definedName name="_11__123Graph_LBL_ACHART_4" localSheetId="12" hidden="1">'[7]Edge 10797 Drilling Inventory'!#REF!</definedName>
    <definedName name="_11__FDSAUDITLINK__" localSheetId="12" hidden="1">{"fdsup://Directions/FactSet Auditing Viewer?action=AUDIT_VALUE&amp;DB=129&amp;ID1=B2QKWK&amp;VALUEID=05194&amp;SDATE=201101&amp;PERIODTYPE=QTR_STD&amp;SCFT=3&amp;window=popup_no_bar&amp;width=385&amp;height=120&amp;START_MAXIMIZED=FALSE&amp;creator=factset&amp;display_string=Audit"}</definedName>
    <definedName name="_112__123Graph_LBL_BCHART_3" localSheetId="12" hidden="1">'[7]Edge 10797 Drilling Inventory'!#REF!</definedName>
    <definedName name="_112__FDSAUDITLINK__" localSheetId="12"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7__123Graph_LBL_BCHART_2" localSheetId="12" hidden="1">'[7]Edge 10797 Drilling Inventory'!#REF!</definedName>
    <definedName name="_12__123Graph_ACHART_2" localSheetId="12" hidden="1">'[7]Edge 10797 Drilling Inventory'!#REF!</definedName>
    <definedName name="_12__123Graph_ACHART_3" localSheetId="12" hidden="1">'[7]Edge 10797 Drilling Inventory'!#REF!</definedName>
    <definedName name="_12__123Graph_ACHART_4" localSheetId="12" hidden="1">'[7]Edge 10797 Drilling Inventory'!#REF!</definedName>
    <definedName name="_12__123Graph_LBL_ACHART_3" localSheetId="12" hidden="1">'[7]Edge 10797 Drilling Inventory'!#REF!</definedName>
    <definedName name="_12__123Graph_LBL_ACHART_4" localSheetId="12" hidden="1">'[7]Edge 10797 Drilling Inventory'!#REF!</definedName>
    <definedName name="_12__123Graph_LBL_BCHART_1" localSheetId="12" hidden="1">'[7]Edge 10797 Drilling Inventory'!#REF!</definedName>
    <definedName name="_12__FDSAUDITLINK__" localSheetId="12" hidden="1">{"fdsup://Directions/FactSet Auditing Viewer?action=AUDIT_VALUE&amp;DB=129&amp;ID1=613566&amp;VALUEID=05194&amp;SDATE=201101&amp;PERIODTYPE=QTR_STD&amp;SCFT=3&amp;window=popup_no_bar&amp;width=385&amp;height=120&amp;START_MAXIMIZED=FALSE&amp;creator=factset&amp;display_string=Audit"}</definedName>
    <definedName name="_12_0__123Graph_BCHAR" localSheetId="12" hidden="1">'[9]YTD Totals'!#REF!</definedName>
    <definedName name="_120__123Graph_XCHART_1" localSheetId="12" hidden="1">'[7]Edge 10797 Drilling Inventory'!#REF!</definedName>
    <definedName name="_120__FDSAUDITLINK__" localSheetId="12"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6__123Graph_LBL_BCHART_3" localSheetId="12" hidden="1">'[7]Edge 10797 Drilling Inventory'!#REF!</definedName>
    <definedName name="_128__123Graph_XCHART_2" localSheetId="12" hidden="1">'[7]Edge 10797 Drilling Inventory'!#REF!</definedName>
    <definedName name="_13__123Graph_ACHART_1" localSheetId="12" hidden="1">'[10]Sales 2003'!#REF!</definedName>
    <definedName name="_13__123Graph_LBL_ACHART_4" localSheetId="12" hidden="1">'[7]Edge 10797 Drilling Inventory'!#REF!</definedName>
    <definedName name="_13__123Graph_LBL_BCHART_1" localSheetId="12" hidden="1">'[7]Edge 10797 Drilling Inventory'!#REF!</definedName>
    <definedName name="_13__123Graph_LBL_BCHART_2" localSheetId="12" hidden="1">'[7]Edge 10797 Drilling Inventory'!#REF!</definedName>
    <definedName name="_13__FDSAUDITLINK__" localSheetId="12" hidden="1">{"fdsup://Directions/FactSet Auditing Viewer?action=AUDIT_VALUE&amp;DB=129&amp;ID1=B62G7K&amp;VALUEID=05194&amp;SDATE=201101&amp;PERIODTYPE=QTR_STD&amp;SCFT=3&amp;window=popup_no_bar&amp;width=385&amp;height=120&amp;START_MAXIMIZED=FALSE&amp;creator=factset&amp;display_string=Audit"}</definedName>
    <definedName name="_135__123Graph_XCHART_1" localSheetId="12" hidden="1">'[7]Edge 10797 Drilling Inventory'!#REF!</definedName>
    <definedName name="_136__123Graph_BCHART_1" localSheetId="12" hidden="1">'[7]Edge 10797 Drilling Inventory'!#REF!</definedName>
    <definedName name="_136__123Graph_XCHART_3" localSheetId="12" hidden="1">'[7]Edge 10797 Drilling Inventory'!#REF!</definedName>
    <definedName name="_14__123Graph_ACHART_1" localSheetId="12" hidden="1">[11]BSS!#REF!</definedName>
    <definedName name="_14__123Graph_BCHART_1" localSheetId="12" hidden="1">[11]BSS!#REF!</definedName>
    <definedName name="_14__123Graph_LBL_BCHART_1" localSheetId="12" hidden="1">'[7]Edge 10797 Drilling Inventory'!#REF!</definedName>
    <definedName name="_14__123Graph_LBL_BCHART_2" localSheetId="12" hidden="1">'[7]Edge 10797 Drilling Inventory'!#REF!</definedName>
    <definedName name="_14__123Graph_LBL_BCHART_3" localSheetId="12" hidden="1">'[7]Edge 10797 Drilling Inventory'!#REF!</definedName>
    <definedName name="_14__FDSAUDITLINK__" localSheetId="12" hidden="1">{"fdsup://Directions/FactSet Auditing Viewer?action=AUDIT_VALUE&amp;DB=129&amp;ID1=B01LXY&amp;VALUEID=05194&amp;SDATE=201101&amp;PERIODTYPE=QTR_STD&amp;SCFT=3&amp;window=popup_no_bar&amp;width=385&amp;height=120&amp;START_MAXIMIZED=FALSE&amp;creator=factset&amp;display_string=Audit"}</definedName>
    <definedName name="_14_0__123Graph_CCHAR" localSheetId="12" hidden="1">'[9]YTD Totals'!#REF!</definedName>
    <definedName name="_144__123Graph_XCHART_2" localSheetId="12" hidden="1">'[7]Edge 10797 Drilling Inventory'!#REF!</definedName>
    <definedName name="_144__123Graph_XCHART_4" localSheetId="12" hidden="1">'[7]Edge 10797 Drilling Inventory'!#REF!</definedName>
    <definedName name="_144__FDSAUDITLINK__" localSheetId="12"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5__123Graph_ACHART_3" localSheetId="12" hidden="1">'[7]Edge 10797 Drilling Inventory'!#REF!</definedName>
    <definedName name="_15__123Graph_BCHART_1" localSheetId="12" hidden="1">'[7]Edge 10797 Drilling Inventory'!#REF!</definedName>
    <definedName name="_15__123Graph_CCHART_1" localSheetId="12" hidden="1">[11]BSS!#REF!</definedName>
    <definedName name="_15__123Graph_LBL_BCHART_2" localSheetId="12" hidden="1">'[7]Edge 10797 Drilling Inventory'!#REF!</definedName>
    <definedName name="_15__123Graph_LBL_BCHART_3" localSheetId="12" hidden="1">'[7]Edge 10797 Drilling Inventory'!#REF!</definedName>
    <definedName name="_15__123Graph_XCHART_1" localSheetId="12" hidden="1">'[7]Edge 10797 Drilling Inventory'!#REF!</definedName>
    <definedName name="_15__FDSAUDITLINK__" localSheetId="12" hidden="1">{"fdsup://Directions/FactSet Auditing Viewer?action=AUDIT_VALUE&amp;DB=129&amp;ID1=B12C0T&amp;VALUEID=05194&amp;SDATE=201101&amp;PERIODTYPE=QTR_STD&amp;SCFT=3&amp;window=popup_no_bar&amp;width=385&amp;height=120&amp;START_MAXIMIZED=FALSE&amp;creator=factset&amp;display_string=Audit"}</definedName>
    <definedName name="_153__123Graph_XCHART_3" localSheetId="12" hidden="1">'[7]Edge 10797 Drilling Inventory'!#REF!</definedName>
    <definedName name="_16__123Graph_ACHART_2" localSheetId="12" hidden="1">'[7]Edge 10797 Drilling Inventory'!#REF!</definedName>
    <definedName name="_16__123Graph_ACHART_4" localSheetId="12" hidden="1">'[7]Edge 10797 Drilling Inventory'!#REF!</definedName>
    <definedName name="_16__123Graph_BCHART_1" localSheetId="12" hidden="1">[11]BSS!#REF!</definedName>
    <definedName name="_16__123Graph_LBL_ACHART_1" localSheetId="12" hidden="1">[11]BSS!#REF!</definedName>
    <definedName name="_16__123Graph_LBL_BCHART_3" localSheetId="12" hidden="1">'[7]Edge 10797 Drilling Inventory'!#REF!</definedName>
    <definedName name="_16__123Graph_XCHART_1" localSheetId="12" hidden="1">'[7]Edge 10797 Drilling Inventory'!#REF!</definedName>
    <definedName name="_16__123Graph_XCHART_2" localSheetId="12" hidden="1">'[7]Edge 10797 Drilling Inventory'!#REF!</definedName>
    <definedName name="_16__FDSAUDITLINK__" localSheetId="12" hidden="1">{"fdsup://Directions/FactSet Auditing Viewer?action=AUDIT_VALUE&amp;DB=129&amp;ID1=615525&amp;VALUEID=05192&amp;SDATE=201101&amp;PERIODTYPE=QTR_STD&amp;SCFT=3&amp;window=popup_no_bar&amp;width=385&amp;height=120&amp;START_MAXIMIZED=FALSE&amp;creator=factset&amp;display_string=Audit"}</definedName>
    <definedName name="_16_0__123Graph_LBL_ACHAR" localSheetId="12" hidden="1">'[9]YTD Totals'!#REF!</definedName>
    <definedName name="_160__FDSAUDITLINK__" localSheetId="12"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2__123Graph_XCHART_4" localSheetId="12" hidden="1">'[7]Edge 10797 Drilling Inventory'!#REF!</definedName>
    <definedName name="_163__123Graph_BCHART_2" localSheetId="12" hidden="1">'[7]Edge 10797 Drilling Inventory'!#REF!</definedName>
    <definedName name="_17__123Graph_XCHART_1" localSheetId="12" hidden="1">'[7]Edge 10797 Drilling Inventory'!#REF!</definedName>
    <definedName name="_17__123Graph_XCHART_2" localSheetId="12" hidden="1">'[7]Edge 10797 Drilling Inventory'!#REF!</definedName>
    <definedName name="_17__123Graph_XCHART_3" localSheetId="12" hidden="1">'[7]Edge 10797 Drilling Inventory'!#REF!</definedName>
    <definedName name="_17__FDSAUDITLINK__" localSheetId="12" hidden="1">{"fdsup://Directions/FactSet Auditing Viewer?action=AUDIT_VALUE&amp;DB=129&amp;ID1=651312&amp;VALUEID=05194&amp;SDATE=201101&amp;PERIODTYPE=QTR_STD&amp;SCFT=3&amp;window=popup_no_bar&amp;width=385&amp;height=120&amp;START_MAXIMIZED=FALSE&amp;creator=factset&amp;display_string=Audit"}</definedName>
    <definedName name="_18__123Graph_ACHART_2" localSheetId="12" hidden="1">'[7]Edge 10797 Drilling Inventory'!#REF!</definedName>
    <definedName name="_18__123Graph_ACHART_4" localSheetId="12" hidden="1">'[7]Edge 10797 Drilling Inventory'!#REF!</definedName>
    <definedName name="_18__123Graph_BCHART_2" localSheetId="12" hidden="1">'[7]Edge 10797 Drilling Inventory'!#REF!</definedName>
    <definedName name="_18__123Graph_CCHART_1" localSheetId="12" hidden="1">[11]BSS!#REF!</definedName>
    <definedName name="_18__123Graph_XCHART_2" localSheetId="12" hidden="1">'[7]Edge 10797 Drilling Inventory'!#REF!</definedName>
    <definedName name="_18__123Graph_XCHART_3" localSheetId="12" hidden="1">'[7]Edge 10797 Drilling Inventory'!#REF!</definedName>
    <definedName name="_18__123Graph_XCHART_4" localSheetId="12" hidden="1">'[7]Edge 10797 Drilling Inventory'!#REF!</definedName>
    <definedName name="_18__FDSAUDITLINK__" localSheetId="12" hidden="1">{"fdsup://Directions/FactSet Auditing Viewer?action=AUDIT_VALUE&amp;DB=129&amp;ID1=610036&amp;VALUEID=05194&amp;SDATE=201101&amp;PERIODTYPE=QTR_STD&amp;SCFT=3&amp;window=popup_no_bar&amp;width=385&amp;height=120&amp;START_MAXIMIZED=FALSE&amp;creator=factset&amp;display_string=Audit"}</definedName>
    <definedName name="_18_0__123Graph_ACHAR" localSheetId="12" hidden="1">'[9]YTD Totals'!#REF!</definedName>
    <definedName name="_19__123Graph_ACHART_1" localSheetId="12" hidden="1">'[12]Sales 2003'!#REF!</definedName>
    <definedName name="_19__123Graph_XCHART_3" localSheetId="12" hidden="1">'[7]Edge 10797 Drilling Inventory'!#REF!</definedName>
    <definedName name="_19__123Graph_XCHART_4" localSheetId="12" hidden="1">'[7]Edge 10797 Drilling Inventory'!#REF!</definedName>
    <definedName name="_19__FDSAUDITLINK__" localSheetId="12" hidden="1">{"fdsup://directions/FAT Viewer?action=UPDATE&amp;creator=factset&amp;DYN_ARGS=TRUE&amp;DOC_NAME=FAT:FQL_AUDITING_CLIENT_TEMPLATE.FAT&amp;display_string=Audit&amp;VAR:KEY=RIVODUVABY&amp;VAR:QUERY=RkZfREVCVChRVFIsMCk=&amp;WINDOW=FIRST_POPUP&amp;HEIGHT=450&amp;WIDTH=450&amp;START_MAXIMIZED=FALSE&amp;VA","R:CALENDAR=US&amp;VAR:SYMBOL=B1TJG9&amp;VAR:INDEX=0"}</definedName>
    <definedName name="_19_0__123Graph_ACHAR" localSheetId="12" hidden="1">'[9]YTD Totals'!#REF!</definedName>
    <definedName name="_19_0__123Graph_BCHAR" localSheetId="12" hidden="1">'[9]YTD Totals'!#REF!</definedName>
    <definedName name="_190__123Graph_BCHART_3" localSheetId="12" hidden="1">'[7]Edge 10797 Drilling Inventory'!#REF!</definedName>
    <definedName name="_2__123Graph_ACHART_1" localSheetId="12" hidden="1">'[7]Edge 10797 Drilling Inventory'!#REF!</definedName>
    <definedName name="_2__123Graph_ACHART_2" localSheetId="12" hidden="1">'[7]Edge 10797 Drilling Inventory'!#REF!</definedName>
    <definedName name="_2__123Graph_BCHART_1" localSheetId="12" hidden="1">#REF!</definedName>
    <definedName name="_2__123Graph_BCHART_4" localSheetId="12" hidden="1">'[8]INC BY DEPT'!#REF!</definedName>
    <definedName name="_2__FDSAUDITLINK__" localSheetId="12" hidden="1">{"fdsup://Directions/FactSet Auditing Viewer?action=AUDIT_VALUE&amp;DB=129&amp;ID1=718981&amp;VALUEID=01004&amp;SDATE=2010&amp;PERIODTYPE=ANN_STD&amp;SCFT=3&amp;window=popup_no_bar&amp;width=385&amp;height=120&amp;START_MAXIMIZED=FALSE&amp;creator=factset&amp;display_string=Audit"}</definedName>
    <definedName name="_20__123Graph_BCHART_1" localSheetId="12" hidden="1">'[7]Edge 10797 Drilling Inventory'!#REF!</definedName>
    <definedName name="_20__123Graph_LBL_ACHART_1" localSheetId="12" hidden="1">[11]BSS!#REF!</definedName>
    <definedName name="_20__123Graph_XCHART_4" localSheetId="12" hidden="1">'[7]Edge 10797 Drilling Inventory'!#REF!</definedName>
    <definedName name="_20__FDSAUDITLINK__" localSheetId="12" hidden="1">{"fdsup://directions/FAT Viewer?action=UPDATE&amp;creator=factset&amp;DYN_ARGS=TRUE&amp;DOC_NAME=FAT:FQL_AUDITING_CLIENT_TEMPLATE.FAT&amp;display_string=Audit&amp;VAR:KEY=NOROXQDYDA&amp;VAR:QUERY=RkZfREVCVChRVFIsMCk=&amp;WINDOW=FIRST_POPUP&amp;HEIGHT=450&amp;WIDTH=450&amp;START_MAXIMIZED=FALSE&amp;VA","R:CALENDAR=US&amp;VAR:SYMBOL=B2QKWK&amp;VAR:INDEX=0"}</definedName>
    <definedName name="_20_0__123Graph_BCHAR" localSheetId="12" hidden="1">'[9]YTD Totals'!#REF!</definedName>
    <definedName name="_20_0__123Graph_CCHAR" localSheetId="12" hidden="1">'[9]YTD Totals'!#REF!</definedName>
    <definedName name="_206__FDSAUDITLINK__" localSheetId="12"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1__123Graph_BCHART_1" localSheetId="12" hidden="1">'[7]Edge 10797 Drilling Inventory'!#REF!</definedName>
    <definedName name="_21__123Graph_BCHART_3" localSheetId="12" hidden="1">'[7]Edge 10797 Drilling Inventory'!#REF!</definedName>
    <definedName name="_21__FDSAUDITLINK__" localSheetId="12" hidden="1">{"fdsup://directions/FAT Viewer?action=UPDATE&amp;creator=factset&amp;DYN_ARGS=TRUE&amp;DOC_NAME=FAT:FQL_AUDITING_CLIENT_TEMPLATE.FAT&amp;display_string=Audit&amp;VAR:KEY=BWBYDQBYRG&amp;VAR:QUERY=RkZfREVCVChRVFIsMCk=&amp;WINDOW=FIRST_POPUP&amp;HEIGHT=450&amp;WIDTH=450&amp;START_MAXIMIZED=FALSE&amp;VA","R:CALENDAR=US&amp;VAR:SYMBOL=626404&amp;VAR:INDEX=0"}</definedName>
    <definedName name="_21_0__123Graph_CCHAR" localSheetId="12" hidden="1">'[9]YTD Totals'!#REF!</definedName>
    <definedName name="_21_0__123Graph_LBL_ACHAR" localSheetId="12" hidden="1">'[9]YTD Totals'!#REF!</definedName>
    <definedName name="_217__123Graph_LBL_ACHART_1" localSheetId="12" hidden="1">'[7]Edge 10797 Drilling Inventory'!#REF!</definedName>
    <definedName name="_22__FDSAUDITLINK__" localSheetId="12" hidden="1">{"fdsup://directions/FAT Viewer?action=UPDATE&amp;creator=factset&amp;DYN_ARGS=TRUE&amp;DOC_NAME=FAT:FQL_AUDITING_CLIENT_TEMPLATE.FAT&amp;display_string=Audit&amp;VAR:KEY=TQLCLGJUJU&amp;VAR:QUERY=RkZfREVCVChRVFIsMCk=&amp;WINDOW=FIRST_POPUP&amp;HEIGHT=450&amp;WIDTH=450&amp;START_MAXIMIZED=FALSE&amp;VA","R:CALENDAR=US&amp;VAR:SYMBOL=613566&amp;VAR:INDEX=0"}</definedName>
    <definedName name="_22_0__123Graph_LBL_ACHAR" localSheetId="12" hidden="1">'[9]YTD Totals'!#REF!</definedName>
    <definedName name="_23__FDSAUDITLINK__" localSheetId="12" hidden="1">{"fdsup://directions/FAT Viewer?action=UPDATE&amp;creator=factset&amp;DYN_ARGS=TRUE&amp;DOC_NAME=FAT:FQL_AUDITING_CLIENT_TEMPLATE.FAT&amp;display_string=Audit&amp;VAR:KEY=NYXYJIPEVY&amp;VAR:QUERY=RkZfREVCVChRVFIsMCk=&amp;WINDOW=FIRST_POPUP&amp;HEIGHT=450&amp;WIDTH=450&amp;START_MAXIMIZED=FALSE&amp;VA","R:CALENDAR=US&amp;VAR:SYMBOL=B62G7K&amp;VAR:INDEX=0"}</definedName>
    <definedName name="_24__123Graph_ACHART_3" localSheetId="12" hidden="1">'[7]Edge 10797 Drilling Inventory'!#REF!</definedName>
    <definedName name="_24__123Graph_BCHART_2" localSheetId="12" hidden="1">'[7]Edge 10797 Drilling Inventory'!#REF!</definedName>
    <definedName name="_24__123Graph_LBL_ACHART_1" localSheetId="12" hidden="1">'[7]Edge 10797 Drilling Inventory'!#REF!</definedName>
    <definedName name="_24__FDSAUDITLINK__" localSheetId="12" hidden="1">{"fdsup://directions/FAT Viewer?action=UPDATE&amp;creator=factset&amp;DYN_ARGS=TRUE&amp;DOC_NAME=FAT:FQL_AUDITING_CLIENT_TEMPLATE.FAT&amp;display_string=Audit&amp;VAR:KEY=NSBMVWPMXC&amp;VAR:QUERY=RkZfREVCVChRVFIsMCk=&amp;WINDOW=FIRST_POPUP&amp;HEIGHT=450&amp;WIDTH=450&amp;START_MAXIMIZED=FALSE&amp;VA","R:CALENDAR=US&amp;VAR:SYMBOL=B601QS&amp;VAR:INDEX=0"}</definedName>
    <definedName name="_24_0__123Graph_ACHAR" localSheetId="12" hidden="1">'[9]YTD Totals'!#REF!</definedName>
    <definedName name="_244__123Graph_LBL_ACHART_2" localSheetId="12" hidden="1">'[7]Edge 10797 Drilling Inventory'!#REF!</definedName>
    <definedName name="_25__FDSAUDITLINK__" localSheetId="12" hidden="1">{"fdsup://directions/FAT Viewer?action=UPDATE&amp;creator=factset&amp;DYN_ARGS=TRUE&amp;DOC_NAME=FAT:FQL_AUDITING_CLIENT_TEMPLATE.FAT&amp;display_string=Audit&amp;VAR:KEY=RGRCNQPWVG&amp;VAR:QUERY=RkZfREVCVChRVFIsMCk=&amp;WINDOW=FIRST_POPUP&amp;HEIGHT=450&amp;WIDTH=450&amp;START_MAXIMIZED=FALSE&amp;VA","R:CALENDAR=US&amp;VAR:SYMBOL=B2Q4CS&amp;VAR:INDEX=0"}</definedName>
    <definedName name="_26__123Graph_ACHART_1" localSheetId="12" hidden="1">[11]BSS!#REF!</definedName>
    <definedName name="_26__FDSAUDITLINK__" localSheetId="12" hidden="1">{"fdsup://directions/FAT Viewer?action=UPDATE&amp;creator=factset&amp;DYN_ARGS=TRUE&amp;DOC_NAME=FAT:FQL_AUDITING_CLIENT_TEMPLATE.FAT&amp;display_string=Audit&amp;VAR:KEY=LINIDUNITC&amp;VAR:QUERY=RkZfREVCVChRVFIsMCk=&amp;WINDOW=FIRST_POPUP&amp;HEIGHT=450&amp;WIDTH=450&amp;START_MAXIMIZED=FALSE&amp;VA","R:CALENDAR=US&amp;VAR:SYMBOL=670625&amp;VAR:INDEX=0"}</definedName>
    <definedName name="_26_0__123Graph_BCHAR" localSheetId="12" hidden="1">'[9]YTD Totals'!#REF!</definedName>
    <definedName name="_27__123Graph_ACHART_3" localSheetId="12" hidden="1">'[7]Edge 10797 Drilling Inventory'!#REF!</definedName>
    <definedName name="_27__123Graph_BCHART_3" localSheetId="12" hidden="1">'[7]Edge 10797 Drilling Inventory'!#REF!</definedName>
    <definedName name="_27__123Graph_LBL_ACHART_2" localSheetId="12" hidden="1">'[7]Edge 10797 Drilling Inventory'!#REF!</definedName>
    <definedName name="_27__FDSAUDITLINK__" localSheetId="12" hidden="1">{"fdsup://directions/FAT Viewer?action=UPDATE&amp;creator=factset&amp;DYN_ARGS=TRUE&amp;DOC_NAME=FAT:FQL_AUDITING_CLIENT_TEMPLATE.FAT&amp;display_string=Audit&amp;VAR:KEY=ZYZAZOHSNG&amp;VAR:QUERY=RkZfREVCVChRVFIsMCk=&amp;WINDOW=FIRST_POPUP&amp;HEIGHT=450&amp;WIDTH=450&amp;START_MAXIMIZED=FALSE&amp;VA","R:CALENDAR=US&amp;VAR:SYMBOL=B01T14&amp;VAR:INDEX=0"}</definedName>
    <definedName name="_271__123Graph_LBL_ACHART_3" localSheetId="12" hidden="1">'[7]Edge 10797 Drilling Inventory'!#REF!</definedName>
    <definedName name="_28__123Graph_ACHART_1" localSheetId="12" hidden="1">'[7]Edge 10797 Drilling Inventory'!#REF!</definedName>
    <definedName name="_28__123Graph_BCHART_1" localSheetId="12" hidden="1">[11]BSS!#REF!</definedName>
    <definedName name="_28__123Graph_BCHART_3" localSheetId="12" hidden="1">'[7]Edge 10797 Drilling Inventory'!#REF!</definedName>
    <definedName name="_28__FDSAUDITLINK__" localSheetId="12" hidden="1">{"fdsup://directions/FAT Viewer?action=UPDATE&amp;creator=factset&amp;DYN_ARGS=TRUE&amp;DOC_NAME=FAT:FQL_AUDITING_CLIENT_TEMPLATE.FAT&amp;display_string=Audit&amp;VAR:KEY=ZCBIPGHWJS&amp;VAR:QUERY=RkZfREVCVChRVFIsMCk=&amp;WINDOW=FIRST_POPUP&amp;HEIGHT=450&amp;WIDTH=450&amp;START_MAXIMIZED=FALSE&amp;VA","R:CALENDAR=US&amp;VAR:SYMBOL=627137&amp;VAR:INDEX=0"}</definedName>
    <definedName name="_28_0__123Graph_CCHAR" localSheetId="12" hidden="1">'[9]YTD Totals'!#REF!</definedName>
    <definedName name="_29__FDSAUDITLINK__" localSheetId="12" hidden="1">{"fdsup://directions/FAT Viewer?action=UPDATE&amp;creator=factset&amp;DYN_ARGS=TRUE&amp;DOC_NAME=FAT:FQL_AUDITING_CLIENT_TEMPLATE.FAT&amp;display_string=Audit&amp;VAR:KEY=CLCRSDAPSX&amp;VAR:QUERY=RkZfREVCVChRVFIsMCk=&amp;WINDOW=FIRST_POPUP&amp;HEIGHT=450&amp;WIDTH=450&amp;START_MAXIMIZED=FALSE&amp;VA","R:CALENDAR=US&amp;VAR:SYMBOL=B4TX8S&amp;VAR:INDEX=0"}</definedName>
    <definedName name="_298__123Graph_LBL_ACHART_4" localSheetId="12" hidden="1">'[7]Edge 10797 Drilling Inventory'!#REF!</definedName>
    <definedName name="_3__123Graph_ACHART_1" localSheetId="12" hidden="1">'[7]Edge 10797 Drilling Inventory'!#REF!</definedName>
    <definedName name="_3__123Graph_ACHART_2" localSheetId="12" hidden="1">'[7]Edge 10797 Drilling Inventory'!#REF!</definedName>
    <definedName name="_3__123Graph_ACHART_3" localSheetId="12" hidden="1">'[7]Edge 10797 Drilling Inventory'!#REF!</definedName>
    <definedName name="_3__123Graph_LBL_ACHART_4" localSheetId="12" hidden="1">'[8]INC BY DEPT'!#REF!</definedName>
    <definedName name="_3__FDSAUDITLINK__" localSheetId="12" hidden="1">{"fdsup://directions/FAT Viewer?action=UPDATE&amp;creator=factset&amp;DYN_ARGS=TRUE&amp;DOC_NAME=FAT:FQL_AUDITING_CLIENT_TEMPLATE.FAT&amp;display_string=Audit&amp;VAR:KEY=NYZOXGHULC&amp;VAR:QUERY=RkZfREVCVChRVFIsMCk=&amp;WINDOW=FIRST_POPUP&amp;HEIGHT=450&amp;WIDTH=450&amp;START_MAXIMIZED=FALSE&amp;VA","R:CALENDAR=US&amp;VAR:SYMBOL=615525&amp;VAR:INDEX=0"}</definedName>
    <definedName name="_30__123Graph_CCHART_1" localSheetId="12" hidden="1">[11]BSS!#REF!</definedName>
    <definedName name="_30__123Graph_LBL_ACHART_1" localSheetId="12" hidden="1">'[7]Edge 10797 Drilling Inventory'!#REF!</definedName>
    <definedName name="_30__123Graph_LBL_ACHART_3" localSheetId="12" hidden="1">'[7]Edge 10797 Drilling Inventory'!#REF!</definedName>
    <definedName name="_30__FDSAUDITLINK__" localSheetId="12" hidden="1">{"fdsup://directions/FAT Viewer?action=UPDATE&amp;creator=factset&amp;DYN_ARGS=TRUE&amp;DOC_NAME=FAT:FQL_AUDITING_CLIENT_TEMPLATE.FAT&amp;display_string=Audit&amp;VAR:KEY=FCXYFCHWXA&amp;VAR:QUERY=RkZfREVCVChRVFIsMCk=&amp;WINDOW=FIRST_POPUP&amp;HEIGHT=450&amp;WIDTH=450&amp;START_MAXIMIZED=FALSE&amp;VA","R:CALENDAR=US&amp;VAR:SYMBOL=641167&amp;VAR:INDEX=0"}</definedName>
    <definedName name="_30_0__123Graph_LBL_ACHAR" localSheetId="12" hidden="1">'[9]YTD Totals'!#REF!</definedName>
    <definedName name="_31__FDSAUDITLINK__" localSheetId="12" hidden="1">{"fdsup://directions/FAT Viewer?action=UPDATE&amp;creator=factset&amp;DYN_ARGS=TRUE&amp;DOC_NAME=FAT:FQL_AUDITING_CLIENT_TEMPLATE.FAT&amp;display_string=Audit&amp;VAR:KEY=ZWDYLGNOZS&amp;VAR:QUERY=RkZfREVCVChRVFIsMCk=&amp;WINDOW=FIRST_POPUP&amp;HEIGHT=450&amp;WIDTH=450&amp;START_MAXIMIZED=FALSE&amp;VA","R:CALENDAR=US&amp;VAR:SYMBOL=642566&amp;VAR:INDEX=0"}</definedName>
    <definedName name="_32__123Graph_ACHART_4" localSheetId="12" hidden="1">'[7]Edge 10797 Drilling Inventory'!#REF!</definedName>
    <definedName name="_32__123Graph_LBL_ACHART_1" localSheetId="12" hidden="1">'[7]Edge 10797 Drilling Inventory'!#REF!</definedName>
    <definedName name="_325__123Graph_LBL_BCHART_1" localSheetId="12" hidden="1">'[7]Edge 10797 Drilling Inventory'!#REF!</definedName>
    <definedName name="_33__123Graph_LBL_ACHART_2" localSheetId="12" hidden="1">'[7]Edge 10797 Drilling Inventory'!#REF!</definedName>
    <definedName name="_33__123Graph_LBL_ACHART_4" localSheetId="12" hidden="1">'[7]Edge 10797 Drilling Inventory'!#REF!</definedName>
    <definedName name="_33__FDSAUDITLINK__" localSheetId="12" hidden="1">{"fdsup://directions/FAT Viewer?action=UPDATE&amp;creator=factset&amp;DYN_ARGS=TRUE&amp;DOC_NAME=FAT:FQL_AUDITING_CLIENT_TEMPLATE.FAT&amp;display_string=Audit&amp;VAR:KEY=BYZORMPCHQ&amp;VAR:QUERY=RkZfREVCVChRVFIsMCk=&amp;WINDOW=FIRST_POPUP&amp;HEIGHT=450&amp;WIDTH=450&amp;START_MAXIMIZED=FALSE&amp;VA","R:CALENDAR=US&amp;VAR:SYMBOL=649613&amp;VAR:INDEX=0"}</definedName>
    <definedName name="_34__FDSAUDITLINK__" localSheetId="12" hidden="1">{"fdsup://directions/FAT Viewer?action=UPDATE&amp;creator=factset&amp;DYN_ARGS=TRUE&amp;DOC_NAME=FAT:FQL_AUDITING_CLIENT_TEMPLATE.FAT&amp;display_string=Audit&amp;VAR:KEY=IRGRQDQTWB&amp;VAR:QUERY=RkZfREVCVChRVFIsMCk=&amp;WINDOW=FIRST_POPUP&amp;HEIGHT=450&amp;WIDTH=450&amp;START_MAXIMIZED=FALSE&amp;VA","R:CALENDAR=US&amp;VAR:SYMBOL=680580&amp;VAR:INDEX=0"}</definedName>
    <definedName name="_35__FDSAUDITLINK__" localSheetId="12" hidden="1">{"fdsup://directions/FAT Viewer?action=UPDATE&amp;creator=factset&amp;DYN_ARGS=TRUE&amp;DOC_NAME=FAT:FQL_AUDITING_CLIENT_TEMPLATE.FAT&amp;display_string=Audit&amp;VAR:KEY=ZYZAZOHSNG&amp;VAR:QUERY=RkZfREVCVChRVFIsMCk=&amp;WINDOW=FIRST_POPUP&amp;HEIGHT=450&amp;WIDTH=450&amp;START_MAXIMIZED=FALSE&amp;VA","R:CALENDAR=US&amp;VAR:SYMBOL=B01T14&amp;VAR:INDEX=0"}</definedName>
    <definedName name="_352__123Graph_LBL_BCHART_2" localSheetId="12" hidden="1">'[7]Edge 10797 Drilling Inventory'!#REF!</definedName>
    <definedName name="_353__FDSAUDITLINK__" localSheetId="12"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6__123Graph_ACHART_4" localSheetId="12" hidden="1">'[7]Edge 10797 Drilling Inventory'!#REF!</definedName>
    <definedName name="_36__123Graph_LBL_ACHART_2" localSheetId="12" hidden="1">'[7]Edge 10797 Drilling Inventory'!#REF!</definedName>
    <definedName name="_36__123Graph_LBL_ACHART_3" localSheetId="12" hidden="1">'[7]Edge 10797 Drilling Inventory'!#REF!</definedName>
    <definedName name="_36__123Graph_LBL_BCHART_1" localSheetId="12" hidden="1">'[7]Edge 10797 Drilling Inventory'!#REF!</definedName>
    <definedName name="_36__FDSAUDITLINK__" localSheetId="12" hidden="1">{"fdsup://directions/FAT Viewer?action=UPDATE&amp;creator=factset&amp;DYN_ARGS=TRUE&amp;DOC_NAME=FAT:FQL_AUDITING_CLIENT_TEMPLATE.FAT&amp;display_string=Audit&amp;VAR:KEY=BOFAPUNSFW&amp;VAR:QUERY=RkZfREVCVChRVFIsMCk=&amp;WINDOW=FIRST_POPUP&amp;HEIGHT=450&amp;WIDTH=450&amp;START_MAXIMIZED=FALSE&amp;VA","R:CALENDAR=US&amp;VAR:SYMBOL=615593&amp;VAR:INDEX=0"}</definedName>
    <definedName name="_36_0__123Graph_ACHAR" localSheetId="12" hidden="1">'[9]YTD Totals'!#REF!</definedName>
    <definedName name="_37__FDSAUDITLINK__" localSheetId="12" hidden="1">{"fdsup://directions/FAT Viewer?action=UPDATE&amp;creator=factset&amp;DYN_ARGS=TRUE&amp;DOC_NAME=FAT:FQL_AUDITING_CLIENT_TEMPLATE.FAT&amp;display_string=Audit&amp;VAR:KEY=NCDWZYHQLY&amp;VAR:QUERY=RkZfREVCVChRVFIsMCk=&amp;WINDOW=FIRST_POPUP&amp;HEIGHT=450&amp;WIDTH=450&amp;START_MAXIMIZED=FALSE&amp;VA","R:CALENDAR=US&amp;VAR:SYMBOL=616216&amp;VAR:INDEX=0"}</definedName>
    <definedName name="_371__FDSAUDITLINK__" localSheetId="12"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9__123Graph_LBL_BCHART_3" localSheetId="12" hidden="1">'[7]Edge 10797 Drilling Inventory'!#REF!</definedName>
    <definedName name="_38__FDSAUDITLINK__" localSheetId="12" hidden="1">{"fdsup://directions/FAT Viewer?action=UPDATE&amp;creator=factset&amp;DYN_ARGS=TRUE&amp;DOC_NAME=FAT:FQL_AUDITING_CLIENT_TEMPLATE.FAT&amp;display_string=Audit&amp;VAR:KEY=LIHILQPEHS&amp;VAR:QUERY=RkZfREVCVChRVFIsMCk=&amp;WINDOW=FIRST_POPUP&amp;HEIGHT=450&amp;WIDTH=450&amp;START_MAXIMIZED=FALSE&amp;VA","R:CALENDAR=US&amp;VAR:SYMBOL=B01LXY&amp;VAR:INDEX=0"}</definedName>
    <definedName name="_38_0__123Graph_BCHAR" localSheetId="12" hidden="1">'[9]YTD Totals'!#REF!</definedName>
    <definedName name="_39__123Graph_LBL_ACHART_4" localSheetId="12" hidden="1">'[7]Edge 10797 Drilling Inventory'!#REF!</definedName>
    <definedName name="_39__123Graph_LBL_BCHART_2" localSheetId="12" hidden="1">'[7]Edge 10797 Drilling Inventory'!#REF!</definedName>
    <definedName name="_39__FDSAUDITLINK__" localSheetId="12" hidden="1">{"fdsup://directions/FAT Viewer?action=UPDATE&amp;creator=factset&amp;DYN_ARGS=TRUE&amp;DOC_NAME=FAT:FQL_AUDITING_CLIENT_TEMPLATE.FAT&amp;display_string=Audit&amp;VAR:KEY=BKHSXEZQRI&amp;VAR:QUERY=RkZfREVCVChRVFIsMCk=&amp;WINDOW=FIRST_POPUP&amp;HEIGHT=450&amp;WIDTH=450&amp;START_MAXIMIZED=FALSE&amp;VA","R:CALENDAR=US&amp;VAR:SYMBOL=B12C0T&amp;VAR:INDEX=0"}</definedName>
    <definedName name="_4__123Graph_ACHART_1" localSheetId="12" hidden="1">'[7]Edge 10797 Drilling Inventory'!#REF!</definedName>
    <definedName name="_4__123Graph_ACHART_2" localSheetId="12" hidden="1">'[7]Edge 10797 Drilling Inventory'!#REF!</definedName>
    <definedName name="_4__123Graph_ACHART_3" localSheetId="12" hidden="1">'[7]Edge 10797 Drilling Inventory'!#REF!</definedName>
    <definedName name="_4__123Graph_ACHART_4" localSheetId="12" hidden="1">'[7]Edge 10797 Drilling Inventory'!#REF!</definedName>
    <definedName name="_4__123Graph_BCHART_1" localSheetId="12" hidden="1">[11]BSS!#REF!</definedName>
    <definedName name="_4__123Graph_LBL_BCHART_4" localSheetId="12" hidden="1">'[8]INC BY DEPT'!#REF!</definedName>
    <definedName name="_4__FDSAUDITLINK__" localSheetId="12" hidden="1">{"fdsup://Directions/FactSet Auditing Viewer?action=AUDIT_VALUE&amp;DB=129&amp;ID1=B01LXY&amp;VALUEID=05192&amp;SDATE=201101&amp;PERIODTYPE=QTR_STD&amp;SCFT=3&amp;window=popup_no_bar&amp;width=385&amp;height=120&amp;START_MAXIMIZED=FALSE&amp;creator=factset&amp;display_string=Audit"}</definedName>
    <definedName name="_40__123Graph_BCHART_1" localSheetId="12" hidden="1">'[7]Edge 10797 Drilling Inventory'!#REF!</definedName>
    <definedName name="_40__123Graph_LBL_ACHART_3" localSheetId="12" hidden="1">'[7]Edge 10797 Drilling Inventory'!#REF!</definedName>
    <definedName name="_40__FDSAUDITLINK__" localSheetId="12" hidden="1">{"fdsup://Directions/FactSet Auditing Viewer?action=AUDIT_VALUE&amp;DB=129&amp;ID1=615525&amp;VALUEID=05194&amp;SDATE=201101&amp;PERIODTYPE=QTR_STD&amp;SCFT=3&amp;window=popup_no_bar&amp;width=385&amp;height=120&amp;START_MAXIMIZED=FALSE&amp;creator=factset&amp;display_string=Audit"}</definedName>
    <definedName name="_40_0__123Graph_CCHAR" localSheetId="12" hidden="1">'[9]YTD Totals'!#REF!</definedName>
    <definedName name="_406__123Graph_XCHART_1" localSheetId="12" hidden="1">'[7]Edge 10797 Drilling Inventory'!#REF!</definedName>
    <definedName name="_41__FDSAUDITLINK__" localSheetId="12" hidden="1">{"fdsup://directions/FAT Viewer?action=UPDATE&amp;creator=factset&amp;DYN_ARGS=TRUE&amp;DOC_NAME=FAT:FQL_AUDITING_CLIENT_TEMPLATE.FAT&amp;display_string=Audit&amp;VAR:KEY=NCPODUVUTY&amp;VAR:QUERY=RkZfREVCVChRVFIsMCk=&amp;WINDOW=FIRST_POPUP&amp;HEIGHT=450&amp;WIDTH=450&amp;START_MAXIMIZED=FALSE&amp;VA","R:CALENDAR=US&amp;VAR:SYMBOL=651312&amp;VAR:INDEX=0"}</definedName>
    <definedName name="_42__123Graph_LBL_BCHART_1" localSheetId="12" hidden="1">'[7]Edge 10797 Drilling Inventory'!#REF!</definedName>
    <definedName name="_42__123Graph_LBL_BCHART_3" localSheetId="12" hidden="1">'[7]Edge 10797 Drilling Inventory'!#REF!</definedName>
    <definedName name="_42__FDSAUDITLINK__" localSheetId="12" hidden="1">{"fdsup://directions/FAT Viewer?action=UPDATE&amp;creator=factset&amp;DYN_ARGS=TRUE&amp;DOC_NAME=FAT:FQL_AUDITING_CLIENT_TEMPLATE.FAT&amp;display_string=Audit&amp;VAR:KEY=TCLSBADEBM&amp;VAR:QUERY=RkZfREVCVChRVFIsMCk=&amp;WINDOW=FIRST_POPUP&amp;HEIGHT=450&amp;WIDTH=450&amp;START_MAXIMIZED=FALSE&amp;VA","R:CALENDAR=US&amp;VAR:SYMBOL=610036&amp;VAR:INDEX=0"}</definedName>
    <definedName name="_42_0__123Graph_LBL_ACHAR" localSheetId="12" hidden="1">'[9]YTD Totals'!#REF!</definedName>
    <definedName name="_42wrn.²Ä1­Ó¤ë1_Ü20¤H." localSheetId="12" hidden="1">{#N/A,#N/A,FALSE,"²Ä1­Ó¤ë"}</definedName>
    <definedName name="_43__FDSAUDITLINK__" localSheetId="12" hidden="1">{"fdsup://directions/FAT Viewer?action=UPDATE&amp;creator=factset&amp;DYN_ARGS=TRUE&amp;DOC_NAME=FAT:FQL_AUDITING_CLIENT_TEMPLATE.FAT&amp;display_string=Audit&amp;VAR:KEY=TCVWVCXSPG&amp;VAR:QUERY=RkZfREVCVChRVFIsMCk=&amp;WINDOW=FIRST_POPUP&amp;HEIGHT=450&amp;WIDTH=450&amp;START_MAXIMIZED=FALSE&amp;VA","R:CALENDAR=US&amp;VAR:SYMBOL=B5Q3JZ&amp;VAR:INDEX=0"}</definedName>
    <definedName name="_433__123Graph_XCHART_2" localSheetId="12" hidden="1">'[7]Edge 10797 Drilling Inventory'!#REF!</definedName>
    <definedName name="_44__123Graph_LBL_ACHART_4" localSheetId="12" hidden="1">'[7]Edge 10797 Drilling Inventory'!#REF!</definedName>
    <definedName name="_44__FDSAUDITLINK__" localSheetId="12" hidden="1">{"fdsup://directions/FAT Viewer?action=UPDATE&amp;creator=factset&amp;DYN_ARGS=TRUE&amp;DOC_NAME=FAT:FQL_AUDITING_CLIENT_TEMPLATE.FAT&amp;display_string=Audit&amp;VAR:KEY=FKRWBWPYJQ&amp;VAR:QUERY=RkZfREVCVChRVFIsMCk=&amp;WINDOW=FIRST_POPUP&amp;HEIGHT=450&amp;WIDTH=450&amp;START_MAXIMIZED=FALSE&amp;VA","R:CALENDAR=US&amp;VAR:SYMBOL=B2Q5H5&amp;VAR:INDEX=0"}</definedName>
    <definedName name="_45__123Graph_BCHART_1" localSheetId="12" hidden="1">'[7]Edge 10797 Drilling Inventory'!#REF!</definedName>
    <definedName name="_45__123Graph_LBL_BCHART_2" localSheetId="12" hidden="1">'[7]Edge 10797 Drilling Inventory'!#REF!</definedName>
    <definedName name="_45__123Graph_XCHART_1" localSheetId="12" hidden="1">'[7]Edge 10797 Drilling Inventory'!#REF!</definedName>
    <definedName name="_45__FDSAUDITLINK__" localSheetId="12" hidden="1">{"fdsup://directions/FAT Viewer?action=UPDATE&amp;creator=factset&amp;DYN_ARGS=TRUE&amp;DOC_NAME=FAT:FQL_AUDITING_CLIENT_TEMPLATE.FAT&amp;display_string=Audit&amp;VAR:KEY=OPGHWHAPUT&amp;VAR:QUERY=RkZfREVCVChRVFIsMCk=&amp;WINDOW=FIRST_POPUP&amp;HEIGHT=450&amp;WIDTH=450&amp;START_MAXIMIZED=FALSE&amp;VA","R:CALENDAR=US&amp;VAR:SYMBOL=658923&amp;VAR:INDEX=0"}</definedName>
    <definedName name="_46__FDSAUDITLINK__" localSheetId="12" hidden="1">{"fdsup://directions/FAT Viewer?action=UPDATE&amp;creator=factset&amp;DYN_ARGS=TRUE&amp;DOC_NAME=FAT:FQL_AUDITING_CLIENT_TEMPLATE.FAT&amp;display_string=Audit&amp;VAR:KEY=DUDADIPCVA&amp;VAR:QUERY=RkZfREVCVChRVFIsMCk=&amp;WINDOW=FIRST_POPUP&amp;HEIGHT=450&amp;WIDTH=450&amp;START_MAXIMIZED=FALSE&amp;VA","R:CALENDAR=US&amp;VAR:SYMBOL=B01FLR&amp;VAR:INDEX=0"}</definedName>
    <definedName name="_460__123Graph_XCHART_3" localSheetId="12" hidden="1">'[7]Edge 10797 Drilling Inventory'!#REF!</definedName>
    <definedName name="_47__FDSAUDITLINK__" localSheetId="12" hidden="1">{"fdsup://Directions/FactSet Auditing Viewer?action=AUDIT_VALUE&amp;DB=129&amp;ID1=627137&amp;VALUEID=05194&amp;SDATE=201102&amp;PERIODTYPE=QTR_STD&amp;SCFT=3&amp;window=popup_no_bar&amp;width=385&amp;height=120&amp;START_MAXIMIZED=FALSE&amp;creator=factset&amp;display_string=Audit"}</definedName>
    <definedName name="_48__123Graph_BCHART_2" localSheetId="12" hidden="1">'[7]Edge 10797 Drilling Inventory'!#REF!</definedName>
    <definedName name="_48__123Graph_LBL_BCHART_1" localSheetId="12" hidden="1">'[7]Edge 10797 Drilling Inventory'!#REF!</definedName>
    <definedName name="_48__123Graph_LBL_BCHART_3" localSheetId="12" hidden="1">'[7]Edge 10797 Drilling Inventory'!#REF!</definedName>
    <definedName name="_48__123Graph_XCHART_2" localSheetId="12" hidden="1">'[7]Edge 10797 Drilling Inventory'!#REF!</definedName>
    <definedName name="_48__FDSAUDITLINK__" localSheetId="12" hidden="1">{"fdsup://Directions/FactSet Auditing Viewer?action=AUDIT_VALUE&amp;DB=129&amp;ID1=627137&amp;VALUEID=05192&amp;SDATE=201102&amp;PERIODTYPE=QTR_STD&amp;SCFT=3&amp;window=popup_no_bar&amp;width=385&amp;height=120&amp;START_MAXIMIZED=FALSE&amp;creator=factset&amp;display_string=Audit"}</definedName>
    <definedName name="_481__FDSAUDITLINK__" localSheetId="12" hidden="1">{"fdsup://directions/FAT Viewer?action=UPDATE&amp;creator=factset&amp;DYN_ARGS=TRUE&amp;DOC_NAME=FAT:FQL_AUDITING_CLIENT_TEMPLATE.FAT&amp;display_string=Audit&amp;VAR:KEY=FKZMDKTUXA&amp;VAR:QUERY=KEZGX0JQU19UQU5HKFFUUiw0MDE0MylARkZfQlBTX1RBTkcoQU5OLDQwMTQzKSk=&amp;WINDOW=FIRST_POPUP&amp;H","EIGHT=450&amp;WIDTH=450&amp;START_MAXIMIZED=FALSE&amp;VAR:CALENDAR=US&amp;VAR:SYMBOL=002939&amp;VAR:INDEX=0"}</definedName>
    <definedName name="_487__123Graph_XCHART_4" localSheetId="12" hidden="1">'[7]Edge 10797 Drilling Inventory'!#REF!</definedName>
    <definedName name="_49__FDSAUDITLINK__" localSheetId="12" hidden="1">{"fdsup://directions/FAT Viewer?action=UPDATE&amp;creator=factset&amp;DYN_ARGS=TRUE&amp;DOC_NAME=FAT:FQL_AUDITING_CLIENT_TEMPLATE.FAT&amp;display_string=Audit&amp;VAR:KEY=YLCVWFIZGL&amp;VAR:QUERY=RkZfREVCVChRVFIsMCk=&amp;WINDOW=FIRST_POPUP&amp;HEIGHT=450&amp;WIDTH=450&amp;START_MAXIMIZED=FALSE&amp;VA","R:CALENDAR=US&amp;VAR:SYMBOL=652766&amp;VAR:INDEX=0"}</definedName>
    <definedName name="_5__123Graph_ACHART_3" localSheetId="12" hidden="1">'[7]Edge 10797 Drilling Inventory'!#REF!</definedName>
    <definedName name="_5__123Graph_ACHART_4" localSheetId="12" hidden="1">'[7]Edge 10797 Drilling Inventory'!#REF!</definedName>
    <definedName name="_5__123Graph_BCHART_1" localSheetId="12" hidden="1">'[7]Edge 10797 Drilling Inventory'!#REF!</definedName>
    <definedName name="_5__123Graph_XCHART_4" localSheetId="12" hidden="1">'[8]INC BY DEPT'!#REF!</definedName>
    <definedName name="_5__FDSAUDITLINK__" localSheetId="12" hidden="1">{"fdsup://Directions/FactSet Auditing Viewer?action=AUDIT_VALUE&amp;DB=129&amp;ID1=529412&amp;VALUEID=01004&amp;SDATE=2010&amp;PERIODTYPE=ANN_STD&amp;SCFT=3&amp;window=popup_no_bar&amp;width=385&amp;height=120&amp;START_MAXIMIZED=FALSE&amp;creator=factset&amp;display_string=Audit"}</definedName>
    <definedName name="_50__123Graph_ACHART_1" localSheetId="12" hidden="1">[11]BSS!#REF!</definedName>
    <definedName name="_50__FDSAUDITLINK__" localSheetId="12" hidden="1">{"fdsup://Directions/FactSet Auditing Viewer?action=AUDIT_VALUE&amp;DB=129&amp;ID1=680580&amp;VALUEID=05194&amp;SDATE=201101&amp;PERIODTYPE=QTR_STD&amp;SCFT=3&amp;window=popup_no_bar&amp;width=385&amp;height=120&amp;START_MAXIMIZED=FALSE&amp;creator=factset&amp;display_string=Audit"}</definedName>
    <definedName name="_51__123Graph_XCHART_1" localSheetId="12" hidden="1">'[7]Edge 10797 Drilling Inventory'!#REF!</definedName>
    <definedName name="_51__123Graph_XCHART_3" localSheetId="12" hidden="1">'[7]Edge 10797 Drilling Inventory'!#REF!</definedName>
    <definedName name="_51__FDSAUDITLINK__" localSheetId="12" hidden="1">{"fdsup://Directions/FactSet Auditing Viewer?action=AUDIT_VALUE&amp;DB=129&amp;ID1=616216&amp;VALUEID=05194&amp;SDATE=201101&amp;PERIODTYPE=QTR_STD&amp;SCFT=3&amp;window=popup_no_bar&amp;width=385&amp;height=120&amp;START_MAXIMIZED=FALSE&amp;creator=factset&amp;display_string=Audit"}</definedName>
    <definedName name="_52__123Graph_BCHART_1" localSheetId="12" hidden="1">[11]BSS!#REF!</definedName>
    <definedName name="_52__123Graph_LBL_BCHART_2" localSheetId="12" hidden="1">'[7]Edge 10797 Drilling Inventory'!#REF!</definedName>
    <definedName name="_52__FDSAUDITLINK__" localSheetId="12" hidden="1">{"fdsup://Directions/FactSet Auditing Viewer?action=AUDIT_VALUE&amp;DB=129&amp;ID1=B01T14&amp;VALUEID=05194&amp;SDATE=201101&amp;PERIODTYPE=QTR_STD&amp;SCFT=3&amp;window=popup_no_bar&amp;width=385&amp;height=120&amp;START_MAXIMIZED=FALSE&amp;creator=factset&amp;display_string=Audit"}</definedName>
    <definedName name="_53__FDSAUDITLINK__" localSheetId="12" hidden="1">{"fdsup://Directions/FactSet Auditing Viewer?action=AUDIT_VALUE&amp;DB=129&amp;ID1=B01LXY&amp;VALUEID=05194&amp;SDATE=201101&amp;PERIODTYPE=QTR_STD&amp;SCFT=3&amp;window=popup_no_bar&amp;width=385&amp;height=120&amp;START_MAXIMIZED=FALSE&amp;creator=factset&amp;display_string=Audit"}</definedName>
    <definedName name="_54__123Graph_BCHART_2" localSheetId="12" hidden="1">'[7]Edge 10797 Drilling Inventory'!#REF!</definedName>
    <definedName name="_54__123Graph_CCHART_1" localSheetId="12" hidden="1">[11]BSS!#REF!</definedName>
    <definedName name="_54__123Graph_XCHART_2" localSheetId="12" hidden="1">'[7]Edge 10797 Drilling Inventory'!#REF!</definedName>
    <definedName name="_54__123Graph_XCHART_4" localSheetId="12" hidden="1">'[7]Edge 10797 Drilling Inventory'!#REF!</definedName>
    <definedName name="_54__FDSAUDITLINK__" localSheetId="12" hidden="1">{"fdsup://Directions/FactSet Auditing Viewer?action=AUDIT_VALUE&amp;DB=129&amp;ID1=616216&amp;VALUEID=05194&amp;SDATE=201101&amp;PERIODTYPE=QTR_STD&amp;SCFT=3&amp;window=popup_no_bar&amp;width=385&amp;height=120&amp;START_MAXIMIZED=FALSE&amp;creator=factset&amp;display_string=Audit"}</definedName>
    <definedName name="_55__123Graph_ACHART_2" localSheetId="12" hidden="1">'[7]Edge 10797 Drilling Inventory'!#REF!</definedName>
    <definedName name="_55__FDSAUDITLINK__" localSheetId="12" hidden="1">{"fdsup://Directions/FactSet Auditing Viewer?action=AUDIT_VALUE&amp;DB=129&amp;ID1=649613&amp;VALUEID=05192&amp;SDATE=201101&amp;PERIODTYPE=QTR_STD&amp;SCFT=3&amp;window=popup_no_bar&amp;width=385&amp;height=120&amp;START_MAXIMIZED=FALSE&amp;creator=factset&amp;display_string=Audit"}</definedName>
    <definedName name="_56__123Graph_BCHART_3" localSheetId="12" hidden="1">'[7]Edge 10797 Drilling Inventory'!#REF!</definedName>
    <definedName name="_56__123Graph_LBL_ACHART_1" localSheetId="12" hidden="1">[11]BSS!#REF!</definedName>
    <definedName name="_56__123Graph_LBL_BCHART_3" localSheetId="12" hidden="1">'[7]Edge 10797 Drilling Inventory'!#REF!</definedName>
    <definedName name="_56__FDSAUDITLINK__" localSheetId="12" hidden="1">{"fdsup://Directions/FactSet Auditing Viewer?action=AUDIT_VALUE&amp;DB=129&amp;ID1=680580&amp;VALUEID=05192&amp;SDATE=201101&amp;PERIODTYPE=QTR_STD&amp;SCFT=3&amp;window=popup_no_bar&amp;width=385&amp;height=120&amp;START_MAXIMIZED=FALSE&amp;creator=factset&amp;display_string=Audit"}</definedName>
    <definedName name="_57__123Graph_XCHART_3" localSheetId="12" hidden="1">'[7]Edge 10797 Drilling Inventory'!#REF!</definedName>
    <definedName name="_57__FDSAUDITLINK__" localSheetId="12" hidden="1">{"fdsup://Directions/FactSet Auditing Viewer?action=AUDIT_VALUE&amp;DB=129&amp;ID1=616216&amp;VALUEID=05192&amp;SDATE=201101&amp;PERIODTYPE=QTR_STD&amp;SCFT=3&amp;window=popup_no_bar&amp;width=385&amp;height=120&amp;START_MAXIMIZED=FALSE&amp;creator=factset&amp;display_string=Audit"}</definedName>
    <definedName name="_58__FDSAUDITLINK__" localSheetId="12" hidden="1">{"fdsup://Directions/FactSet Auditing Viewer?action=AUDIT_VALUE&amp;DB=129&amp;ID1=B01T14&amp;VALUEID=05192&amp;SDATE=201101&amp;PERIODTYPE=QTR_STD&amp;SCFT=3&amp;window=popup_no_bar&amp;width=385&amp;height=120&amp;START_MAXIMIZED=FALSE&amp;creator=factset&amp;display_string=Audit"}</definedName>
    <definedName name="_59__FDSAUDITLINK__" localSheetId="12" hidden="1">{"fdsup://Directions/FactSet Auditing Viewer?action=AUDIT_VALUE&amp;DB=129&amp;ID1=B01LXY&amp;VALUEID=05192&amp;SDATE=201101&amp;PERIODTYPE=QTR_STD&amp;SCFT=3&amp;window=popup_no_bar&amp;width=385&amp;height=120&amp;START_MAXIMIZED=FALSE&amp;creator=factset&amp;display_string=Audit"}</definedName>
    <definedName name="_6__123Graph_ACHART_2" localSheetId="12" hidden="1">'[7]Edge 10797 Drilling Inventory'!#REF!</definedName>
    <definedName name="_6__123Graph_ACHART_4" localSheetId="12" hidden="1">'[7]Edge 10797 Drilling Inventory'!#REF!</definedName>
    <definedName name="_6__123Graph_BCHART_1" localSheetId="12" hidden="1">'[7]Edge 10797 Drilling Inventory'!#REF!</definedName>
    <definedName name="_6__123Graph_BCHART_2" localSheetId="12" hidden="1">'[7]Edge 10797 Drilling Inventory'!#REF!</definedName>
    <definedName name="_6__123Graph_CCHART_1" localSheetId="12" hidden="1">[11]BSS!#REF!</definedName>
    <definedName name="_6__FDSAUDITLINK__" localSheetId="12" hidden="1">{"fdsup://Directions/FactSet Auditing Viewer?action=AUDIT_VALUE&amp;DB=129&amp;ID1=B2Q4CS&amp;VALUEID=05192&amp;SDATE=201101&amp;PERIODTYPE=QTR_STD&amp;SCFT=3&amp;window=popup_no_bar&amp;width=385&amp;height=120&amp;START_MAXIMIZED=FALSE&amp;creator=factset&amp;display_string=Audit"}</definedName>
    <definedName name="_60__123Graph_XCHART_1" localSheetId="12" hidden="1">'[7]Edge 10797 Drilling Inventory'!#REF!</definedName>
    <definedName name="_60__123Graph_XCHART_4" localSheetId="12" hidden="1">'[7]Edge 10797 Drilling Inventory'!#REF!</definedName>
    <definedName name="_60__FDSAUDITLINK__" localSheetId="12" hidden="1">{"fdsup://Directions/FactSet Auditing Viewer?action=AUDIT_VALUE&amp;DB=129&amp;ID1=616216&amp;VALUEID=05192&amp;SDATE=201101&amp;PERIODTYPE=QTR_STD&amp;SCFT=3&amp;window=popup_no_bar&amp;width=385&amp;height=120&amp;START_MAXIMIZED=FALSE&amp;creator=factset&amp;display_string=Audit"}</definedName>
    <definedName name="_60_0__123Graph_ACHAR" localSheetId="12" hidden="1">'[9]YTD Totals'!#REF!</definedName>
    <definedName name="_61__FDSAUDITLINK__" localSheetId="12" hidden="1">{"fdsup://directions/FAT Viewer?action=UPDATE&amp;creator=factset&amp;DYN_ARGS=TRUE&amp;DOC_NAME=FAT:FQL_AUDITING_CLIENT_TEMPLATE.FAT&amp;display_string=Audit&amp;VAR:KEY=HOZMZUDYTG&amp;VAR:QUERY=RkZfREVCVChRVFIsMCk=&amp;WINDOW=FIRST_POPUP&amp;HEIGHT=450&amp;WIDTH=450&amp;START_MAXIMIZED=FALSE&amp;VA","R:CALENDAR=US&amp;VAR:SYMBOL=671897&amp;VAR:INDEX=0"}</definedName>
    <definedName name="_62__FDSAUDITLINK__" localSheetId="12" hidden="1">{"fdsup://directions/FAT Viewer?action=UPDATE&amp;creator=factset&amp;DYN_ARGS=TRUE&amp;DOC_NAME=FAT:FQL_AUDITING_CLIENT_TEMPLATE.FAT&amp;display_string=Audit&amp;VAR:KEY=HOZMZUDYTG&amp;VAR:QUERY=RkZfREVCVChRVFIsMCk=&amp;WINDOW=FIRST_POPUP&amp;HEIGHT=450&amp;WIDTH=450&amp;START_MAXIMIZED=FALSE&amp;VA","R:CALENDAR=US&amp;VAR:SYMBOL=671897&amp;VAR:INDEX=0"}</definedName>
    <definedName name="_62_0__123Graph_BCHAR" localSheetId="12" hidden="1">'[9]YTD Totals'!#REF!</definedName>
    <definedName name="_63__123Graph_BCHART_3" localSheetId="12" hidden="1">'[7]Edge 10797 Drilling Inventory'!#REF!</definedName>
    <definedName name="_63__FDSAUDITLINK__" localSheetId="12" hidden="1">{"fdsup://directions/FAT Viewer?action=UPDATE&amp;creator=factset&amp;DYN_ARGS=TRUE&amp;DOC_NAME=FAT:FQL_AUDITING_CLIENT_TEMPLATE.FAT&amp;display_string=Audit&amp;VAR:KEY=HOZMZUDYTG&amp;VAR:QUERY=RkZfREVCVChRVFIsMCk=&amp;WINDOW=FIRST_POPUP&amp;HEIGHT=450&amp;WIDTH=450&amp;START_MAXIMIZED=FALSE&amp;VA","R:CALENDAR=US&amp;VAR:SYMBOL=671897&amp;VAR:INDEX=0"}</definedName>
    <definedName name="_64__123Graph_LBL_ACHART_1" localSheetId="12" hidden="1">'[7]Edge 10797 Drilling Inventory'!#REF!</definedName>
    <definedName name="_64__123Graph_XCHART_2" localSheetId="12" hidden="1">'[7]Edge 10797 Drilling Inventory'!#REF!</definedName>
    <definedName name="_64__FDSAUDITLINK__" localSheetId="12" hidden="1">{"fdsup://Directions/FactSet Auditing Viewer?action=AUDIT_VALUE&amp;DB=129&amp;ID1=615593&amp;VALUEID=05192&amp;SDATE=201101&amp;PERIODTYPE=QTR_STD&amp;SCFT=3&amp;window=popup_no_bar&amp;width=385&amp;height=120&amp;START_MAXIMIZED=FALSE&amp;creator=factset&amp;display_string=Audit"}</definedName>
    <definedName name="_64_0__123Graph_CCHAR" localSheetId="12" hidden="1">'[9]YTD Totals'!#REF!</definedName>
    <definedName name="_65__FDSAUDITLINK__" localSheetId="12" hidden="1">{"fdsup://Directions/FactSet Auditing Viewer?action=AUDIT_VALUE&amp;DB=129&amp;ID1=615593&amp;VALUEID=05194&amp;SDATE=201101&amp;PERIODTYPE=QTR_STD&amp;SCFT=3&amp;window=popup_no_bar&amp;width=385&amp;height=120&amp;START_MAXIMIZED=FALSE&amp;creator=factset&amp;display_string=Audit"}</definedName>
    <definedName name="_66__FDSAUDITLINK__" localSheetId="12" hidden="1">{"fdsup://Directions/FactSet Auditing Viewer?action=AUDIT_VALUE&amp;DB=129&amp;ID1=B62B9W&amp;VALUEID=05192&amp;SDATE=201101&amp;PERIODTYPE=QTR_STD&amp;SCFT=3&amp;window=popup_no_bar&amp;width=385&amp;height=120&amp;START_MAXIMIZED=FALSE&amp;creator=factset&amp;display_string=Audit"}</definedName>
    <definedName name="_66_0__123Graph_LBL_ACHAR" localSheetId="12" hidden="1">'[9]YTD Totals'!#REF!</definedName>
    <definedName name="_67__FDSAUDITLINK__" localSheetId="12" hidden="1">{"fdsup://Directions/FactSet Auditing Viewer?action=AUDIT_VALUE&amp;DB=129&amp;ID1=B62B9W&amp;VALUEID=05194&amp;SDATE=201101&amp;PERIODTYPE=QTR_STD&amp;SCFT=3&amp;window=popup_no_bar&amp;width=385&amp;height=120&amp;START_MAXIMIZED=FALSE&amp;creator=factset&amp;display_string=Audit"}</definedName>
    <definedName name="_68__123Graph_XCHART_3" localSheetId="12" hidden="1">'[7]Edge 10797 Drilling Inventory'!#REF!</definedName>
    <definedName name="_68__FDSAUDITLINK__" localSheetId="12" hidden="1">{"fdsup://Directions/FactSet Auditing Viewer?action=AUDIT_VALUE&amp;DB=129&amp;ID1=B12C0T&amp;VALUEID=05192&amp;SDATE=201101&amp;PERIODTYPE=QTR_STD&amp;SCFT=3&amp;window=popup_no_bar&amp;width=385&amp;height=120&amp;START_MAXIMIZED=FALSE&amp;creator=factset&amp;display_string=Audit"}</definedName>
    <definedName name="_69__FDSAUDITLINK__" localSheetId="12" hidden="1">{"fdsup://Directions/FactSet Auditing Viewer?action=AUDIT_VALUE&amp;DB=129&amp;ID1=B12C0T&amp;VALUEID=05194&amp;SDATE=201101&amp;PERIODTYPE=QTR_STD&amp;SCFT=3&amp;window=popup_no_bar&amp;width=385&amp;height=120&amp;START_MAXIMIZED=FALSE&amp;creator=factset&amp;display_string=Audit"}</definedName>
    <definedName name="_7__123Graph_ACHART_1" localSheetId="12" hidden="1">'[6]Sales 2003'!#REF!</definedName>
    <definedName name="_7__123Graph_BCHART_1" localSheetId="12" hidden="1">'[7]Edge 10797 Drilling Inventory'!#REF!</definedName>
    <definedName name="_7__123Graph_BCHART_2" localSheetId="12" hidden="1">'[7]Edge 10797 Drilling Inventory'!#REF!</definedName>
    <definedName name="_7__123Graph_BCHART_3" localSheetId="12" hidden="1">'[7]Edge 10797 Drilling Inventory'!#REF!</definedName>
    <definedName name="_7__FDSAUDITLINK__" localSheetId="12" hidden="1">{"fdsup://Directions/FactSet Auditing Viewer?action=AUDIT_VALUE&amp;DB=129&amp;ID1=B601QS&amp;VALUEID=05192&amp;SDATE=201101&amp;PERIODTYPE=QTR_STD&amp;SCFT=3&amp;window=popup_no_bar&amp;width=385&amp;height=120&amp;START_MAXIMIZED=FALSE&amp;creator=factset&amp;display_string=Audit"}</definedName>
    <definedName name="_70__FDSAUDITLINK__" localSheetId="12" hidden="1">{"fdsup://Directions/FactSet Auditing Viewer?action=AUDIT_VALUE&amp;DB=129&amp;ID1=B12C0T&amp;VALUEID=05192&amp;SDATE=201101&amp;PERIODTYPE=QTR_STD&amp;SCFT=3&amp;window=popup_no_bar&amp;width=385&amp;height=120&amp;START_MAXIMIZED=FALSE&amp;creator=factset&amp;display_string=Audit"}</definedName>
    <definedName name="_71__FDSAUDITLINK__" localSheetId="12" hidden="1">{"fdsup://Directions/FactSet Auditing Viewer?action=AUDIT_VALUE&amp;DB=129&amp;ID1=B12C0T&amp;VALUEID=05194&amp;SDATE=201101&amp;PERIODTYPE=QTR_STD&amp;SCFT=3&amp;window=popup_no_bar&amp;width=385&amp;height=120&amp;START_MAXIMIZED=FALSE&amp;creator=factset&amp;display_string=Audit"}</definedName>
    <definedName name="_72__123Graph_LBL_ACHART_1" localSheetId="12" hidden="1">'[7]Edge 10797 Drilling Inventory'!#REF!</definedName>
    <definedName name="_72__123Graph_LBL_ACHART_2" localSheetId="12" hidden="1">'[7]Edge 10797 Drilling Inventory'!#REF!</definedName>
    <definedName name="_72__123Graph_XCHART_4" localSheetId="12" hidden="1">'[7]Edge 10797 Drilling Inventory'!#REF!</definedName>
    <definedName name="_72__FDSAUDITLINK__" localSheetId="12" hidden="1">{"fdsup://directions/FAT Viewer?action=UPDATE&amp;creator=factset&amp;DYN_ARGS=TRUE&amp;DOC_NAME=FAT:FQL_AUDITING_CLIENT_TEMPLATE.FAT&amp;display_string=Audit&amp;VAR:KEY=EPKPEBABGZ&amp;VAR:QUERY=RkZfREVCVChRVFIsMCk=&amp;WINDOW=FIRST_POPUP&amp;HEIGHT=450&amp;WIDTH=450&amp;START_MAXIMIZED=FALSE&amp;VA","R:CALENDAR=US&amp;VAR:SYMBOL=B62B9W&amp;VAR:INDEX=0"}</definedName>
    <definedName name="_73__FDSAUDITLINK__" localSheetId="12" hidden="1">{"fdsup://Directions/FactSet Auditing Viewer?action=AUDIT_VALUE&amp;DB=129&amp;ID1=B0YCFG&amp;VALUEID=05192&amp;SDATE=201101&amp;PERIODTYPE=QTR_STD&amp;SCFT=3&amp;window=popup_no_bar&amp;width=385&amp;height=120&amp;START_MAXIMIZED=FALSE&amp;creator=factset&amp;display_string=Audit"}</definedName>
    <definedName name="_74__FDSAUDITLINK__" localSheetId="12" hidden="1">{"fdsup://Directions/FactSet Auditing Viewer?action=AUDIT_VALUE&amp;DB=129&amp;ID1=B0YCFG&amp;VALUEID=05194&amp;SDATE=201101&amp;PERIODTYPE=QTR_STD&amp;SCFT=3&amp;window=popup_no_bar&amp;width=385&amp;height=120&amp;START_MAXIMIZED=FALSE&amp;creator=factset&amp;display_string=Audit"}</definedName>
    <definedName name="_75__FDSAUDITLINK__" localSheetId="12" hidden="1">{"fdsup://Directions/FactSet Auditing Viewer?action=AUDIT_VALUE&amp;DB=129&amp;ID1=649613&amp;VALUEID=05192&amp;SDATE=201101&amp;PERIODTYPE=QTR_STD&amp;SCFT=3&amp;window=popup_no_bar&amp;width=385&amp;height=120&amp;START_MAXIMIZED=FALSE&amp;creator=factset&amp;display_string=Audit"}</definedName>
    <definedName name="_76__FDSAUDITLINK__" localSheetId="12" hidden="1">{"fdsup://Directions/FactSet Auditing Viewer?action=AUDIT_VALUE&amp;DB=129&amp;ID1=B12C0T&amp;VALUEID=05192&amp;SDATE=201101&amp;PERIODTYPE=QTR_STD&amp;SCFT=3&amp;window=popup_no_bar&amp;width=385&amp;height=120&amp;START_MAXIMIZED=FALSE&amp;creator=factset&amp;display_string=Audit"}</definedName>
    <definedName name="_77__FDSAUDITLINK__" localSheetId="12" hidden="1">{"fdsup://Directions/FactSet Auditing Viewer?action=AUDIT_VALUE&amp;DB=129&amp;ID1=B12C0T&amp;VALUEID=05192&amp;SDATE=201101&amp;PERIODTYPE=QTR_STD&amp;SCFT=3&amp;window=popup_no_bar&amp;width=385&amp;height=120&amp;START_MAXIMIZED=FALSE&amp;creator=factset&amp;display_string=Audit"}</definedName>
    <definedName name="_78__FDSAUDITLINK__" localSheetId="12" hidden="1">{"fdsup://Directions/FactSet Auditing Viewer?action=AUDIT_VALUE&amp;DB=129&amp;ID1=B12C0T&amp;VALUEID=05192&amp;SDATE=201101&amp;PERIODTYPE=QTR_STD&amp;SCFT=3&amp;window=popup_no_bar&amp;width=385&amp;height=120&amp;START_MAXIMIZED=FALSE&amp;creator=factset&amp;display_string=Audit"}</definedName>
    <definedName name="_79__FDSAUDITLINK__" localSheetId="12" hidden="1">{"fdsup://Directions/FactSet Auditing Viewer?action=AUDIT_VALUE&amp;DB=129&amp;ID1=680580&amp;VALUEID=05194&amp;SDATE=201101&amp;PERIODTYPE=QTR_STD&amp;SCFT=3&amp;window=popup_no_bar&amp;width=385&amp;height=120&amp;START_MAXIMIZED=FALSE&amp;creator=factset&amp;display_string=Audit"}</definedName>
    <definedName name="_8__123Graph_ACHART_1" localSheetId="12" hidden="1">'[7]Edge 10797 Drilling Inventory'!#REF!</definedName>
    <definedName name="_8__123Graph_ACHART_2" localSheetId="12" hidden="1">'[7]Edge 10797 Drilling Inventory'!#REF!</definedName>
    <definedName name="_8__123Graph_BCHART_2" localSheetId="12" hidden="1">'[7]Edge 10797 Drilling Inventory'!#REF!</definedName>
    <definedName name="_8__123Graph_BCHART_3" localSheetId="12" hidden="1">'[7]Edge 10797 Drilling Inventory'!#REF!</definedName>
    <definedName name="_8__123Graph_LBL_ACHART_1" localSheetId="12" hidden="1">[11]BSS!#REF!</definedName>
    <definedName name="_8__FDSAUDITLINK__" localSheetId="12" hidden="1">{"fdsup://Directions/FactSet Auditing Viewer?action=AUDIT_VALUE&amp;DB=129&amp;ID1=002939&amp;VALUEID=01004&amp;SDATE=2010&amp;PERIODTYPE=ANN_STD&amp;SCFT=3&amp;window=popup_no_bar&amp;width=385&amp;height=120&amp;START_MAXIMIZED=FALSE&amp;creator=factset&amp;display_string=Audit"}</definedName>
    <definedName name="_80__123Graph_LBL_ACHART_3" localSheetId="12" hidden="1">'[7]Edge 10797 Drilling Inventory'!#REF!</definedName>
    <definedName name="_80__FDSAUDITLINK__" localSheetId="12" hidden="1">{"fdsup://Directions/FactSet Auditing Viewer?action=AUDIT_VALUE&amp;DB=129&amp;ID1=680580&amp;VALUEID=05192&amp;SDATE=201101&amp;PERIODTYPE=QTR_STD&amp;SCFT=3&amp;window=popup_no_bar&amp;width=385&amp;height=120&amp;START_MAXIMIZED=FALSE&amp;creator=factset&amp;display_string=Audit"}</definedName>
    <definedName name="_81__123Graph_LBL_ACHART_2" localSheetId="12" hidden="1">'[7]Edge 10797 Drilling Inventory'!#REF!</definedName>
    <definedName name="_81__FDSAUDITLINK__" localSheetId="12" hidden="1">{"fdsup://Directions/FactSet Auditing Viewer?action=AUDIT_VALUE&amp;DB=129&amp;ID1=B0YCFG&amp;VALUEID=05192&amp;SDATE=201101&amp;PERIODTYPE=QTR_STD&amp;SCFT=3&amp;window=popup_no_bar&amp;width=385&amp;height=120&amp;START_MAXIMIZED=FALSE&amp;creator=factset&amp;display_string=Audit"}</definedName>
    <definedName name="_82__123Graph_ACHART_3" localSheetId="12" hidden="1">'[7]Edge 10797 Drilling Inventory'!#REF!</definedName>
    <definedName name="_82__FDSAUDITLINK__" localSheetId="12" hidden="1">{"fdsup://Directions/FactSet Auditing Viewer?action=AUDIT_VALUE&amp;DB=129&amp;ID1=B62B9W&amp;VALUEID=05192&amp;SDATE=201101&amp;PERIODTYPE=QTR_STD&amp;SCFT=3&amp;window=popup_no_bar&amp;width=385&amp;height=120&amp;START_MAXIMIZED=FALSE&amp;creator=factset&amp;display_string=Audit"}</definedName>
    <definedName name="_83__FDSAUDITLINK__" localSheetId="12" hidden="1">{"fdsup://directions/FAT Viewer?action=UPDATE&amp;creator=factset&amp;DYN_ARGS=TRUE&amp;DOC_NAME=FAT:FQL_AUDITING_CLIENT_TEMPLATE.FAT&amp;display_string=Audit&amp;VAR:KEY=OPGHWHAPUT&amp;VAR:QUERY=RkZfREVCVChRVFIsMCk=&amp;WINDOW=FIRST_POPUP&amp;HEIGHT=450&amp;WIDTH=450&amp;START_MAXIMIZED=FALSE&amp;VA","R:CALENDAR=US&amp;VAR:SYMBOL=658923&amp;VAR:INDEX=0"}</definedName>
    <definedName name="_84__FDSAUDITLINK__" localSheetId="12" hidden="1">{"fdsup://directions/FAT Viewer?action=UPDATE&amp;creator=factset&amp;DYN_ARGS=TRUE&amp;DOC_NAME=FAT:FQL_AUDITING_CLIENT_TEMPLATE.FAT&amp;display_string=Audit&amp;VAR:KEY=YZAZOHSNGH&amp;VAR:QUERY=RkZfREVCVChRVFIsMCk=&amp;WINDOW=FIRST_POPUP&amp;HEIGHT=450&amp;WIDTH=450&amp;START_MAXIMIZED=FALSE&amp;VA","R:CALENDAR=US&amp;VAR:SYMBOL=B01T14&amp;VAR:INDEX=0"}</definedName>
    <definedName name="_85__FDSAUDITLINK__" localSheetId="12" hidden="1">{"fdsup://directions/FAT Viewer?action=UPDATE&amp;creator=factset&amp;DYN_ARGS=TRUE&amp;DOC_NAME=FAT:FQL_AUDITING_CLIENT_TEMPLATE.FAT&amp;display_string=Audit&amp;VAR:KEY=YZAZOHSNGH&amp;VAR:QUERY=RkZfREVCVChRVFIsMCk=&amp;WINDOW=FIRST_POPUP&amp;HEIGHT=450&amp;WIDTH=450&amp;START_MAXIMIZED=FALSE&amp;VA","R:CALENDAR=US&amp;VAR:SYMBOL=B01T14&amp;VAR:INDEX=0"}</definedName>
    <definedName name="_88__123Graph_LBL_ACHART_4" localSheetId="12" hidden="1">'[7]Edge 10797 Drilling Inventory'!#REF!</definedName>
    <definedName name="_9__123Graph_ACHART_1" localSheetId="12" hidden="1">'[7]Edge 10797 Drilling Inventory'!#REF!</definedName>
    <definedName name="_9__123Graph_ACHART_3" localSheetId="12" hidden="1">'[7]Edge 10797 Drilling Inventory'!#REF!</definedName>
    <definedName name="_9__123Graph_BCHART_3" localSheetId="12" hidden="1">'[7]Edge 10797 Drilling Inventory'!#REF!</definedName>
    <definedName name="_9__123Graph_LBL_ACHART_1" localSheetId="12" hidden="1">'[7]Edge 10797 Drilling Inventory'!#REF!</definedName>
    <definedName name="_9__123Graph_LBL_ACHART_2" localSheetId="12" hidden="1">'[7]Edge 10797 Drilling Inventory'!#REF!</definedName>
    <definedName name="_9__FDSAUDITLINK__" localSheetId="12" hidden="1">{"fdsup://Directions/FactSet Auditing Viewer?action=AUDIT_VALUE&amp;DB=129&amp;ID1=B2QKWK&amp;VALUEID=05192&amp;SDATE=201101&amp;PERIODTYPE=QTR_STD&amp;SCFT=3&amp;window=popup_no_bar&amp;width=385&amp;height=120&amp;START_MAXIMIZED=FALSE&amp;creator=factset&amp;display_string=Audit"}</definedName>
    <definedName name="_90__123Graph_LBL_ACHART_3" localSheetId="12" hidden="1">'[7]Edge 10797 Drilling Inventory'!#REF!</definedName>
    <definedName name="_96__123Graph_LBL_BCHART_1" localSheetId="12" hidden="1">'[7]Edge 10797 Drilling Inventory'!#REF!</definedName>
    <definedName name="_99__123Graph_LBL_ACHART_4" localSheetId="12" hidden="1">'[7]Edge 10797 Drilling Inventory'!#REF!</definedName>
    <definedName name="_a1" localSheetId="12" hidden="1">{#N/A,#N/A,FALSE,"Pharm";#N/A,#N/A,FALSE,"WWCM"}</definedName>
    <definedName name="_A11" localSheetId="12" hidden="1">{#N/A,#N/A,FALSE,"Umsatz 99";#N/A,#N/A,FALSE,"ER 99 "}</definedName>
    <definedName name="_aaa1" localSheetId="12" hidden="1">{#N/A,#N/A,FALSE,"REPORT"}</definedName>
    <definedName name="_aas1" localSheetId="12" hidden="1">{#N/A,#N/A,FALSE,"REPORT"}</definedName>
    <definedName name="_ACS2000" localSheetId="12" hidden="1">{#N/A,#N/A,FALSE,"REPORT"}</definedName>
    <definedName name="_Actual_for_2004_Measure" localSheetId="12" hidden="1">[13]pcQueryData!$A$6</definedName>
    <definedName name="_ADS1" localSheetId="12" hidden="1">{"FCB_ALL",#N/A,FALSE,"FCB"}</definedName>
    <definedName name="_age1" localSheetId="1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Apr03" localSheetId="12" hidden="1">{"Statement of Income",#N/A,TRUE,"Mar99";"Balance Sheet",#N/A,TRUE,"Mar99"}</definedName>
    <definedName name="_Apr04" localSheetId="12" hidden="1">{"Statement of Income",#N/A,TRUE,"Mar99";"Balance Sheet",#N/A,TRUE,"Mar99"}</definedName>
    <definedName name="_as1" localSheetId="12" hidden="1">{"FCB_ALL",#N/A,FALSE,"FCB"}</definedName>
    <definedName name="_AS2" localSheetId="12" hidden="1">{"FCB_ALL",#N/A,FALSE,"FCB"}</definedName>
    <definedName name="_as3" localSheetId="12" hidden="1">{"FCB_ALL",#N/A,FALSE,"FCB"}</definedName>
    <definedName name="_AS4" localSheetId="12" hidden="1">{"FCB_ALL",#N/A,FALSE,"FCB"}</definedName>
    <definedName name="_as6" localSheetId="12" hidden="1">{"FCB_ALL",#N/A,FALSE,"FCB"}</definedName>
    <definedName name="_AS7" localSheetId="12" hidden="1">{"FCB_ALL",#N/A,FALSE,"FCB"}</definedName>
    <definedName name="_aug04" localSheetId="12" hidden="1">{"Statement of Income",#N/A,TRUE,"Mar99";"Balance Sheet",#N/A,TRUE,"Mar99"}</definedName>
    <definedName name="_b111" localSheetId="12" hidden="1">{#N/A,#N/A,FALSE,"Pharm";#N/A,#N/A,FALSE,"WWCM"}</definedName>
    <definedName name="_bdm.009bf12725d4456aa5aaf02394719683.edm" localSheetId="12" hidden="1">[14]Synergies!$1:$1048576</definedName>
    <definedName name="_bdm.02fd679d145d41ba97140b66ebb9860a.edm" localSheetId="12" hidden="1">'[15]SaaS Output'!$1:$1048576</definedName>
    <definedName name="_bdm.030d8fea3f6442edbb9937e5d03c81c9.edm" localSheetId="12" hidden="1">'[15]SaaS Output'!$1:$1048576</definedName>
    <definedName name="_bdm.03945fe231b841a188fbf996e953adad.edm" localSheetId="12" hidden="1">'[14]Summary P&amp;L'!$1:$1048576</definedName>
    <definedName name="_bdm.05dcfce1f65440a69cd7666001e95dd4.edm" localSheetId="12" hidden="1">'[15]SaaS Output'!$1:$1048576</definedName>
    <definedName name="_bdm.06aba940d10f4e9891315ec61059704a.edm" localSheetId="12" hidden="1">#REF!</definedName>
    <definedName name="_bdm.09e26870c38b4357a6aea2e373b7c6f1.edm" localSheetId="12" hidden="1">#REF!</definedName>
    <definedName name="_bdm.0c27711082264dd6b5cca30486d67157.edm" localSheetId="12" hidden="1">#REF!</definedName>
    <definedName name="_bdm.0ecff46e37b340048eaa524490633844.edm" localSheetId="12" hidden="1">#REF!</definedName>
    <definedName name="_bdm.0f344057a599479ea2b6147d4d0e3c5f.edm" localSheetId="12" hidden="1">#REF!</definedName>
    <definedName name="_bdm.107A9799626E4FC8B49DB037971FCDD2.edm" localSheetId="12" hidden="1">#REF!</definedName>
    <definedName name="_bdm.110fe0472f1e41cf8edfb7d9fbf72439.edm" localSheetId="12" hidden="1">#REF!</definedName>
    <definedName name="_bdm.12f0aa224e09430cad2ed60790ffe470.edm" localSheetId="12" hidden="1">#REF!</definedName>
    <definedName name="_bdm.1420e4c1048149d99f99db2566dfb5b6.edm" localSheetId="12" hidden="1">#REF!</definedName>
    <definedName name="_bdm.1497adb1f2b54105a4df4bc37a84c6c4.edm" localSheetId="12" hidden="1">#REF!</definedName>
    <definedName name="_bdm.159c29f033b4443f9b50eb6475401247.edm" localSheetId="12" hidden="1">[14]Synergies!$1:$1048576</definedName>
    <definedName name="_bdm.17e02fe5752445528e7f27708042f0e8.edm" localSheetId="12" hidden="1">'[15]SaaS Output'!$1:$1048576</definedName>
    <definedName name="_bdm.1965d84e9dac42d2be9d9bf87fe61145.edm" localSheetId="12" hidden="1">#REF!</definedName>
    <definedName name="_bdm.1a29c1eb2dc64e088b7ad86656a9e874.edm" localSheetId="12" hidden="1">#REF!</definedName>
    <definedName name="_bdm.1a8de28cc6974690bbf0cff346208b17.edm" localSheetId="12" hidden="1">#REF!</definedName>
    <definedName name="_bdm.1b397b7c00064e61aa76d0144b785fe0.edm" localSheetId="12" hidden="1">#REF!</definedName>
    <definedName name="_bdm.1c518483f1b34bf589326925c6ad47f2.edm" localSheetId="12" hidden="1">#REF!</definedName>
    <definedName name="_bdm.214561e77c784af08279f1e267b69e4c.edm" localSheetId="12" hidden="1">#REF!</definedName>
    <definedName name="_bdm.2238af81b1df48a99cdf3fc2eac364e0.edm" localSheetId="12" hidden="1">#REF!</definedName>
    <definedName name="_bdm.234f7a16e72f40a0845104532184609f.edm" localSheetId="12" hidden="1">#REF!</definedName>
    <definedName name="_bdm.26445cecadca4d17a13d767e2fdc29fb.edm" localSheetId="12" hidden="1">#REF!</definedName>
    <definedName name="_bdm.26e841ef35ab4eb6affb63c417cc4c35.edm" localSheetId="12" hidden="1">#REF!</definedName>
    <definedName name="_bdm.29702e413a104ff5a9371b3ec0f1e346.edm" localSheetId="12" hidden="1">#REF!</definedName>
    <definedName name="_bdm.2a74673ecafc406ebd20d27a2d20d8db.edm" localSheetId="12" hidden="1">#REF!</definedName>
    <definedName name="_bdm.2aeb20c3e92449beb4f64a19da293aae.edm" localSheetId="12" hidden="1">#REF!</definedName>
    <definedName name="_bdm.3243e94bedbf4599a63778c5179a9b09.edm" localSheetId="12" hidden="1">#REF!</definedName>
    <definedName name="_bdm.332938db69b349d08ea559a761998da8.edm" localSheetId="12" hidden="1">#REF!</definedName>
    <definedName name="_bdm.337d4b73824f4d859b407e98c14cdc2c.edm" localSheetId="12" hidden="1">'[15]Summary Conclusions'!$1:$1048576</definedName>
    <definedName name="_bdm.33f753569bdc4b8fae2126d83823e39f.edm" localSheetId="12" hidden="1">#REF!</definedName>
    <definedName name="_bdm.34148ce3126341a6aeb54118b1f26dec.edm" localSheetId="12" hidden="1">'[15]B2C Precedent'!$1:$1048576</definedName>
    <definedName name="_bdm.3749b8233bd94fbb97c5bf2340186fff.edm" localSheetId="12" hidden="1">#REF!</definedName>
    <definedName name="_bdm.3b8b6c75df1847e2b4c8054302cc61b8.edm" localSheetId="12" hidden="1">#REF!</definedName>
    <definedName name="_bdm.3bbbdad2c6ff46689a0c5056d2bca420.edm" localSheetId="12" hidden="1">#REF!</definedName>
    <definedName name="_bdm.3c295d39c4ca459f94ea51cb739309b9.edm" localSheetId="12" hidden="1">#REF!</definedName>
    <definedName name="_bdm.3d44ff302dec418caa121a69637939de.edm" localSheetId="12" hidden="1">'[16]Valuation Summary'!$1:$1048576</definedName>
    <definedName name="_bdm.3ff788f17261479cbec114b2a7e70115.edm" localSheetId="12" hidden="1">'[16]Valuation Summary'!$1:$1048576</definedName>
    <definedName name="_bdm.40c00a0e24f04b29a9e840764f8bba5c.edm" localSheetId="12" hidden="1">'[14]Summary BS'!$1:$1048576</definedName>
    <definedName name="_bdm.41291a97341f414c839ef174f521a6aa.edm" localSheetId="12" hidden="1">#REF!</definedName>
    <definedName name="_bdm.431049536a46430195f38e91376e18c5.edm" localSheetId="12" hidden="1">'[14]Summary P&amp;L'!$1:$1048576</definedName>
    <definedName name="_bdm.440ce4c88b06424d942f877ea996d545.edm" localSheetId="12" hidden="1">#REF!</definedName>
    <definedName name="_bdm.4658cca5cdd7473ca15d96df5d621730.edm" localSheetId="12" hidden="1">[14]Synergies!$1:$1048576</definedName>
    <definedName name="_bdm.47285f811d0143979ceb9834d0043a8d.edm" localSheetId="12" hidden="1">#REF!</definedName>
    <definedName name="_bdm.4793426885c9444abf823324ab3235cf.edm" localSheetId="12" hidden="1">'[15]B2B Precedent'!$1:$1048576</definedName>
    <definedName name="_bdm.4823498195f64b0fa90e1a741418009c.edm" localSheetId="12" hidden="1">#REF!</definedName>
    <definedName name="_bdm.49565361dbda41eab60069382827a057.edm" localSheetId="12" hidden="1">#REF!</definedName>
    <definedName name="_bdm.4b976145f4354280b5dfdcf53ed4a35d.edm" localSheetId="12" hidden="1">'[16]Valuation Summary'!$1:$1048576</definedName>
    <definedName name="_bdm.4ba32c98de44461182b68f817f541280.edm" localSheetId="12" hidden="1">'[15]B2C Precedent'!$1:$1048576</definedName>
    <definedName name="_bdm.4bc3f84aac74476fb6b30639df9457e6.edm" localSheetId="12" hidden="1">#REF!</definedName>
    <definedName name="_bdm.4e117f14a5fb40aca6cc852c0bbbcd68.edm" localSheetId="12" hidden="1">'[16]Valuation Summary'!$1:$1048576</definedName>
    <definedName name="_bdm.4ef2c5541ab64e54a6ad014710ad6d70.edm" localSheetId="12" hidden="1">'[14]Summary P&amp;L'!$1:$1048576</definedName>
    <definedName name="_bdm.4fd121ca66564828a3b31134ce8761d6.edm" localSheetId="12" hidden="1">#REF!</definedName>
    <definedName name="_bdm.50b4ef2a499a462c8df81a25b5f7264e.edm" localSheetId="12" hidden="1">'[16]Valuation Summary'!$1:$1048576</definedName>
    <definedName name="_bdm.5106d6fac1884fc58adde7492ad261f1.edm" localSheetId="12" hidden="1">'[14]Summary BS'!$1:$1048576</definedName>
    <definedName name="_bdm.514bf1bf66e044e7aba861d99d7b9e9c.edm" localSheetId="12" hidden="1">'[14]Summary P&amp;L'!$1:$1048576</definedName>
    <definedName name="_bdm.51a0e3e475cb4a7eae26e5743a8751aa.edm" localSheetId="12" hidden="1">'[15]B2B Precedent'!$1:$1048576</definedName>
    <definedName name="_bdm.53962b8914a949afb9e140a76fa9e3fd.edm" localSheetId="12" hidden="1">'[15]B2B Precedent'!$1:$1048576</definedName>
    <definedName name="_bdm.56759a0aaab9447da1feaf28376f3f18.edm" localSheetId="12" hidden="1">#REF!</definedName>
    <definedName name="_bdm.573d212a20654bf5ab778dee601afd58.edm" localSheetId="12" hidden="1">'[15]B2C Precedent'!$1:$1048576</definedName>
    <definedName name="_bdm.57d903146e3d4850abdc49aa9f296d63.edm" localSheetId="12" hidden="1">'[15]B2C Precedent'!$1:$1048576</definedName>
    <definedName name="_bdm.5847cc8080794a41857de6938659f571.edm" localSheetId="12" hidden="1">[14]Synergies!$1:$1048576</definedName>
    <definedName name="_bdm.585db46637e84fdbb9c96eb7fa844a10.edm" localSheetId="12" hidden="1">#REF!</definedName>
    <definedName name="_bdm.5a9550d1794142fca9aee1e5d136e99b.edm" localSheetId="12" hidden="1">'[15]SaaS Output'!$1:$1048576</definedName>
    <definedName name="_bdm.5B55EC15D59D494AA5E3D74BF9AE6CDB.edm" localSheetId="12" hidden="1">#REF!</definedName>
    <definedName name="_bdm.5c152d30ac0747f79c24f036e6a05020.edm" localSheetId="12" hidden="1">#REF!</definedName>
    <definedName name="_bdm.5d3c0e326a334d279f76e57f90740956.edm" localSheetId="12" hidden="1">#REF!</definedName>
    <definedName name="_bdm.5d44ab69fbb040c7bc1f0362425a561d.edm" localSheetId="12" hidden="1">#REF!</definedName>
    <definedName name="_bdm.617c28e3bf3143568adc3a4d9b531865.edm" localSheetId="12" hidden="1">'[16]Valuation Summary'!$1:$1048576</definedName>
    <definedName name="_bdm.6517d25ae5414d19b53ecc71e4866bb9.edm" localSheetId="12" hidden="1">#REF!</definedName>
    <definedName name="_bdm.66202a0bdac64c43a5a7f83fd8de7c9f.edm" localSheetId="12" hidden="1">#REF!</definedName>
    <definedName name="_bdm.6690f7a1b49046cd92e6613dfaef875d.edm" localSheetId="12" hidden="1">#REF!</definedName>
    <definedName name="_bdm.6744826fa0a84f48a7412377f4d55fba.edm" localSheetId="12" hidden="1">'[15]SaaS Output'!$1:$1048576</definedName>
    <definedName name="_bdm.68bfd4388f7043ed9321ec5178f77d37.edm" localSheetId="12" hidden="1">#REF!</definedName>
    <definedName name="_bdm.695146503cea4412b0664012f646045f.edm" localSheetId="12" hidden="1">#REF!</definedName>
    <definedName name="_bdm.69c201d82a644eca8a9fbed036d32601.edm" localSheetId="12" hidden="1">#REF!</definedName>
    <definedName name="_bdm.6ba6e74e6eb748d583cd9321429e307b.edm" localSheetId="12" hidden="1">#REF!</definedName>
    <definedName name="_bdm.6d7dc00e546f4af4a97581b467c60e24.edm" localSheetId="12" hidden="1">#REF!</definedName>
    <definedName name="_bdm.6eb18a8db4e446b28c802ec87abb9678.edm" localSheetId="12" hidden="1">'[15]B2B Precedent'!$1:$1048576</definedName>
    <definedName name="_bdm.6ef4e8c9112541f6b7d3df8797f5dd48.edm" localSheetId="12" hidden="1">'[16]Valuation Summary'!$1:$1048576</definedName>
    <definedName name="_bdm.705bdc931efa45a38c8e79cc7b403c80.edm" localSheetId="12" hidden="1">#REF!</definedName>
    <definedName name="_bdm.72599d5820f046f79580d875534f093a.edm" localSheetId="12" hidden="1">#REF!</definedName>
    <definedName name="_bdm.72733edca7d54cd2b5c4d91c4dca0d87.edm" localSheetId="12" hidden="1">#REF!</definedName>
    <definedName name="_bdm.72ddd337e3fa4eacaaab8d3cd0a6781c.edm" localSheetId="12" hidden="1">'[16]Valuation Summary'!$1:$1048576</definedName>
    <definedName name="_bdm.740fc54ffb42446ca63ea59791c98f7f.edm" localSheetId="12" hidden="1">#REF!</definedName>
    <definedName name="_bdm.743876be619f4b52801a576ad0fe44b2.edm" localSheetId="12" hidden="1">'[14]Summary P&amp;L'!$1:$1048576</definedName>
    <definedName name="_bdm.752f7def96f14bc3accad76e5e3cdd88.edm" localSheetId="12" hidden="1">#REF!</definedName>
    <definedName name="_bdm.759585e16e7748679500ad71118a6d6e.edm" localSheetId="12" hidden="1">'[15]Saas Precedent'!$1:$1048576</definedName>
    <definedName name="_bdm.77e9decbb7fb448aa095208fe0d7e92e.edm" localSheetId="12" hidden="1">'[15]SaaS Output'!$1:$1048576</definedName>
    <definedName name="_bdm.77eb6f822121492aa3868cae88abcecb.edm" localSheetId="12" hidden="1">#REF!</definedName>
    <definedName name="_bdm.7b3daf2bbd48461a903ceba3efd1f98f.edm" localSheetId="12" hidden="1">'[14]Summary BS'!$1:$1048576</definedName>
    <definedName name="_bdm.7cab456764a843c5a0f973d6cb3d7e6f.edm" localSheetId="12" hidden="1">'[16]Valuation Summary'!$1:$1048576</definedName>
    <definedName name="_bdm.7e2ade1d496b41699589357f401fda88.edm" localSheetId="12" hidden="1">#REF!</definedName>
    <definedName name="_bdm.80de3299fc444467872f9c1f5362b194.edm" localSheetId="12" hidden="1">[14]Synergies!$1:$1048576</definedName>
    <definedName name="_bdm.81cf058de8eb44c0968677f4f1b16ca0.edm" localSheetId="12" hidden="1">#REF!</definedName>
    <definedName name="_bdm.8270c8391a854536a57f9a2ef1f3e700.edm" localSheetId="12" hidden="1">'[15]Saas Precedent'!$1:$1048576</definedName>
    <definedName name="_bdm.84e52997677e4d24b08c10da4c726f80.edm" localSheetId="12" hidden="1">#REF!</definedName>
    <definedName name="_bdm.8579f21d031b403b887d0d942946dca6.edm" localSheetId="12" hidden="1">'[15]B2C Precedent'!$1:$1048576</definedName>
    <definedName name="_bdm.87829f9add7842d196825301219fd187.edm" localSheetId="12" hidden="1">'[15]B2B Precedent'!$1:$1048576</definedName>
    <definedName name="_bdm.88462335defc4036849a815ca4416c8c.edm" localSheetId="12" hidden="1">#REF!</definedName>
    <definedName name="_bdm.89af515db2d24d9daeefaccc0480a5fd.edm" localSheetId="12" hidden="1">'[15]SaaS Output'!$1:$1048576</definedName>
    <definedName name="_bdm.8a3c598aee154ff6931ce6dd468ddaea.edm" localSheetId="12" hidden="1">#REF!</definedName>
    <definedName name="_bdm.8a44d1c95ac34250b264a3a864fcb86b.edm" localSheetId="12" hidden="1">#REF!</definedName>
    <definedName name="_bdm.8a55a33b552e451fb03ec997b9731453.edm" localSheetId="12" hidden="1">#REF!</definedName>
    <definedName name="_bdm.8acce3f26cf3435eadd77bf53e776142.edm" localSheetId="12" hidden="1">'[15]Summary Conclusions'!$1:$1048576</definedName>
    <definedName name="_bdm.8b735da0ebee4c2aa21cfc2dd862b1f6.edm" localSheetId="12" hidden="1">'[15]B2C Precedent'!$1:$1048576</definedName>
    <definedName name="_bdm.8c6844f36d254a2e8c83479dd4b5ba66.edm" localSheetId="12" hidden="1">'[15]B2C Precedent'!$1:$1048576</definedName>
    <definedName name="_bdm.8c9a430faa154994a2270cae796eb559.edm" localSheetId="12" hidden="1">#REF!</definedName>
    <definedName name="_bdm.8cdb7ccd95d74af990906609ea35dfbc.edm" localSheetId="12" hidden="1">#REF!</definedName>
    <definedName name="_bdm.8dfc430906c342bd882d6a98b39b69f1.edm" localSheetId="12" hidden="1">#REF!</definedName>
    <definedName name="_bdm.8fee786ed9404fafa730e21479774b05.edm" localSheetId="12" hidden="1">[14]Synergies!$1:$1048576</definedName>
    <definedName name="_bdm.9091c479dd1b47ec874324364a5b9ae3.edm" localSheetId="12" hidden="1">#REF!</definedName>
    <definedName name="_bdm.913e03f58e1f4452963c57a381265ee7.edm" localSheetId="12" hidden="1">#REF!</definedName>
    <definedName name="_bdm.91bb3967f5ab43638490196a74a3b859.edm" localSheetId="12" hidden="1">[14]Synergies!$1:$1048576</definedName>
    <definedName name="_bdm.93ca406dc6834ae69565065edc9c2485.edm" localSheetId="12" hidden="1">#REF!</definedName>
    <definedName name="_bdm.941d8a5b190745d6a951854dfcf9005b.edm" localSheetId="12" hidden="1">[14]Synergies!$1:$1048576</definedName>
    <definedName name="_bdm.959e76887e7543758f2e98344fea62e5.edm" localSheetId="12" hidden="1">#REF!</definedName>
    <definedName name="_bdm.9686b5ad8e454bdc831589f3096d9a75.edm" localSheetId="12" hidden="1">#REF!</definedName>
    <definedName name="_bdm.96ee6eb46f9a4d5ca04dbb22b806a387.edm" localSheetId="12" hidden="1">'[15]Saas Precedent'!$1:$1048576</definedName>
    <definedName name="_bdm.97f1ead495c84670898d6dfa5bee1f4f.edm" localSheetId="12" hidden="1">[14]Synergies!$1:$1048576</definedName>
    <definedName name="_bdm.9bf3eba9f5f6408b818855474c2e88be.edm" localSheetId="12" hidden="1">'[15]B2C Precedent'!$1:$1048576</definedName>
    <definedName name="_bdm.9c5955bcfec749a298665d8a8f29553a.edm" localSheetId="12" hidden="1">'[15]SaaS Output'!$1:$1048576</definedName>
    <definedName name="_bdm.9CDC35CDB7B143079762F320F757C403.edm" localSheetId="12" hidden="1">#REF!</definedName>
    <definedName name="_bdm.9fb81551161744a787e2a30fecbf0e58.edm" localSheetId="12" hidden="1">'[16]Valuation Summary'!$1:$1048576</definedName>
    <definedName name="_bdm.a0309f58e97b4c6d8322611907706b6a.edm" localSheetId="12" hidden="1">#REF!</definedName>
    <definedName name="_bdm.a1e0c8fa41d44456bd3fd7eb5a5d9627.edm" localSheetId="12" hidden="1">#REF!</definedName>
    <definedName name="_bdm.a2767cf6f5294501949b9f3c21b3776d.edm" localSheetId="12" hidden="1">#REF!</definedName>
    <definedName name="_bdm.a4ade6bf31a84e6bacb74a8df69fca58.edm" localSheetId="12" hidden="1">#REF!</definedName>
    <definedName name="_bdm.a4e32d05834443d8bb3ab6ac58bacc29.edm" localSheetId="12" hidden="1">'[15]SaaS Output'!$1:$1048576</definedName>
    <definedName name="_bdm.a65ba98f020746a282c74583788716a5.edm" localSheetId="12" hidden="1">'[14]Summary BS'!$1:$1048576</definedName>
    <definedName name="_bdm.a69419b31f744796b987db38ad0d649e.edm" localSheetId="12" hidden="1">#REF!</definedName>
    <definedName name="_bdm.a7155ec8dbbd466e9e9760143496bc24.edm" localSheetId="12" hidden="1">#REF!</definedName>
    <definedName name="_bdm.a8e01da119ca4d9c97d0184b931b4420.edm" localSheetId="12" hidden="1">#REF!</definedName>
    <definedName name="_bdm.a9bdb66125344bda87e3559b597fcebb.edm" localSheetId="12" hidden="1">[14]Synergies!$1:$1048576</definedName>
    <definedName name="_bdm.A9E8F2214015449F99BBFDAC629C22DB.edm" localSheetId="12" hidden="1">#REF!</definedName>
    <definedName name="_bdm.ab7b7b42d23245188962b044b04613e6.edm" localSheetId="12" hidden="1">#REF!</definedName>
    <definedName name="_bdm.acacaaab71bd41e0b29ad58a8364f331.edm" localSheetId="12" hidden="1">#REF!</definedName>
    <definedName name="_bdm.ace1aaa519c24574890ddd820cc2d91c.edm" localSheetId="12" hidden="1">'[15]Saas Precedent'!$1:$1048576</definedName>
    <definedName name="_bdm.acefef0cf05b4befa5daff43bfd4bb8b.edm" localSheetId="12" hidden="1">#REF!</definedName>
    <definedName name="_bdm.b1683122ac6b4606ba091a2d30a53c97.edm" localSheetId="12" hidden="1">#REF!</definedName>
    <definedName name="_bdm.b1eabde8290f4838b117aaead9446cfd.edm" localSheetId="12" hidden="1">'[14]Summary P&amp;L'!$1:$1048576</definedName>
    <definedName name="_bdm.b4d515774e7a423c8064201e48a64c9c.edm" localSheetId="12" hidden="1">#REF!</definedName>
    <definedName name="_bdm.b5041e810ee848ba875604fcd0842afa.edm" localSheetId="12" hidden="1">'[14]Summary BS'!$1:$1048576</definedName>
    <definedName name="_bdm.b5d441b04f98485b9fa2305f394ea693.edm" localSheetId="12" hidden="1">#REF!</definedName>
    <definedName name="_bdm.B5E1CE290D664EC9908CE120B7DDB7AD.edm" localSheetId="12" hidden="1">'[17]Output_Revenue Bridge'!$A:$IV</definedName>
    <definedName name="_bdm.b6296d9d69be44d3b0ab376cc7a2077d.edm" localSheetId="12" hidden="1">#REF!</definedName>
    <definedName name="_bdm.b66241962f6f4cf6a41d86d230025c5f.edm" localSheetId="12" hidden="1">#REF!</definedName>
    <definedName name="_bdm.B78A2F570E0D4F80A27689B75CAACA19.edm" localSheetId="12" hidden="1">#REF!</definedName>
    <definedName name="_bdm.ba0e971b62974a1f9760da1d7cb28c92.edm" localSheetId="12" hidden="1">'[14]Summary BS'!$1:$1048576</definedName>
    <definedName name="_bdm.bae08ec90f6946df8081afc258d047e2.edm" localSheetId="12" hidden="1">#REF!</definedName>
    <definedName name="_bdm.bb2880eacbfa40f28db22aef1696cb1f.edm" localSheetId="12" hidden="1">#REF!</definedName>
    <definedName name="_bdm.bc8b6fd2b37a4ce0be52c1d86876776c.edm" localSheetId="12" hidden="1">'[15]SaaS Output'!$1:$1048576</definedName>
    <definedName name="_bdm.bd64d8e91eb7459492d2479b62de5090.edm" localSheetId="12" hidden="1">'[15]SaaS Output'!$1:$1048576</definedName>
    <definedName name="_bdm.bf1dc11590534f868048842401151fd0.edm" localSheetId="12" hidden="1">'[15]SaaS Output'!$1:$1048576</definedName>
    <definedName name="_bdm.bfdbf5fa636b44d9a2044c3bf3f4fce1.edm" localSheetId="12" hidden="1">#REF!</definedName>
    <definedName name="_bdm.c337c662ace64983b75f1598939e1ca0.edm" localSheetId="12" hidden="1">#REF!</definedName>
    <definedName name="_bdm.c82f6d59ab0f4183ab7982284f6ca023.edm" localSheetId="12" hidden="1">#REF!</definedName>
    <definedName name="_bdm.c8bf4ff180e749a491185ffa426301d6.edm" localSheetId="12" hidden="1">'[15]B2B Precedent'!$1:$1048576</definedName>
    <definedName name="_bdm.c95f0efb7afc4bddb5661b316a446c20.edm" localSheetId="12" hidden="1">#REF!</definedName>
    <definedName name="_bdm.c9a47520da6949a2b5aaba1c8d616fa7.edm" localSheetId="12" hidden="1">'[15]SaaS Output'!$1:$1048576</definedName>
    <definedName name="_bdm.ca0246c24b4a411e9c1357fe5fe0d343.edm" localSheetId="12" hidden="1">'[14]Summary BS'!$1:$1048576</definedName>
    <definedName name="_bdm.CAAD75B892744DA7A396804116BF19C2.edm" localSheetId="12" hidden="1">#REF!</definedName>
    <definedName name="_bdm.CCC9810E33DE4D12B7AF2ADB20F5BEB6.edm" localSheetId="12" hidden="1">#REF!</definedName>
    <definedName name="_bdm.cd3bb972c60f4b6799bf04a025053b04.edm" localSheetId="12" hidden="1">'[15]B2B Precedent'!$1:$1048576</definedName>
    <definedName name="_bdm.cddae0b36de9441ab74dcccc5f4a8df5.edm" localSheetId="12" hidden="1">'[16]Valuation Summary'!$1:$1048576</definedName>
    <definedName name="_bdm.ceef965ab9254e0fb3aeb937de166942.edm" localSheetId="12" hidden="1">'[15]Summary Conclusions'!$1:$1048576</definedName>
    <definedName name="_bdm.d1968915ea1d488ba2e70cb188c7112f.edm" localSheetId="12" hidden="1">#REF!</definedName>
    <definedName name="_bdm.d1ca68b227d84bca98bb89dba783a220.edm" localSheetId="12" hidden="1">#REF!</definedName>
    <definedName name="_bdm.d267de5bccac46c4a3b6fd653ff128a9.edm" localSheetId="12" hidden="1">#REF!</definedName>
    <definedName name="_bdm.d46160ba463e4ec58df8f8883b774659.edm" localSheetId="12" hidden="1">'[14]Summary BS'!$1:$1048576</definedName>
    <definedName name="_bdm.d53f47b82daf45e4868929e6a4a61b28.edm" localSheetId="12" hidden="1">#REF!</definedName>
    <definedName name="_bdm.d5905c45accc467d8e0cbecfbdb6d351.edm" localSheetId="12" hidden="1">#REF!</definedName>
    <definedName name="_bdm.d7f5d97357e74fae932e40d0c0b10322.edm" localSheetId="12" hidden="1">'[15]B2C Precedent'!$1:$1048576</definedName>
    <definedName name="_bdm.da19e4131cb1467a902e377b3a70585c.edm" localSheetId="12" hidden="1">#REF!</definedName>
    <definedName name="_bdm.DB532E19E1024187875B38658C500AFB.edm" localSheetId="12" hidden="1">#REF!</definedName>
    <definedName name="_bdm.dcae2f7028fe4979b995dfb76193bf08.edm" localSheetId="12" hidden="1">#REF!</definedName>
    <definedName name="_bdm.df41725d793e46f38e1f8990b163397d.edm" localSheetId="12" hidden="1">#REF!</definedName>
    <definedName name="_bdm.e0356664aff14693a7cb956860956da6.edm" localSheetId="12" hidden="1">'[15]SaaS Output'!$1:$1048576</definedName>
    <definedName name="_bdm.e35c9784e4ad47a7a5c78064174100d9.edm" localSheetId="12" hidden="1">#REF!</definedName>
    <definedName name="_bdm.e570225ffa854d47a1516065465b8c39.edm" localSheetId="12" hidden="1">#REF!</definedName>
    <definedName name="_bdm.e6bcf26036b34f4db6695a8b5c33b57a.edm" localSheetId="12" hidden="1">#REF!</definedName>
    <definedName name="_bdm.e6dccd4ab8d3434685207de9b0e69c8f.edm" localSheetId="12" hidden="1">'[15]SaaS Output'!$1:$1048576</definedName>
    <definedName name="_bdm.ea29e06f9ded4e86b9cbf4762b02bddd.edm" localSheetId="12" hidden="1">#REF!</definedName>
    <definedName name="_bdm.ebbe593872c146e495157e215b93eeb9.edm" localSheetId="12" hidden="1">#REF!</definedName>
    <definedName name="_bdm.ec392cdd89b246f6b0eb47f49d8944e6.edm" localSheetId="12" hidden="1">[14]Synergies!$1:$1048576</definedName>
    <definedName name="_bdm.edcc4b88f07b4d1a888964801b0caace.edm" localSheetId="12" hidden="1">'[15]Summary Conclusions'!$1:$1048576</definedName>
    <definedName name="_bdm.efcbd69260ea4ab6b13dddaadc5672f1.edm" localSheetId="12" hidden="1">'[14]Summary P&amp;L'!$1:$1048576</definedName>
    <definedName name="_bdm.f0cf77fbe11444718a99346b2348416b.edm" localSheetId="12" hidden="1">'[14]Summary P&amp;L'!$1:$1048576</definedName>
    <definedName name="_bdm.f482b124e8ea49738352fda7cfb1cf72.edm" localSheetId="12" hidden="1">'[15]B2C Precedent'!$1:$1048576</definedName>
    <definedName name="_bdm.f657bf8812554f2393edb0592314ae5c.edm" localSheetId="12" hidden="1">#REF!</definedName>
    <definedName name="_bdm.f65f2519a1cc483eb303d30ed9683ea7.edm" localSheetId="12" hidden="1">#REF!</definedName>
    <definedName name="_bdm.f7b60a177fac4ea7a512e4515a187e3d.edm" localSheetId="12" hidden="1">'[16]Valuation Summary'!$1:$1048576</definedName>
    <definedName name="_bdm.f98f720359e04de195dafd5feb1f2931.edm" localSheetId="12" hidden="1">#REF!</definedName>
    <definedName name="_bdm.fad79cfd8c724f4fb4fa4bd50bf3e80c.edm" localSheetId="12" hidden="1">'[15]B2C Precedent'!$1:$1048576</definedName>
    <definedName name="_bdm.fae8c1993a0348c6bd3f3f88bca1680b.edm" localSheetId="12" hidden="1">#REF!</definedName>
    <definedName name="_bdm.faefdaef13054963acdeec03973192fb.edm" localSheetId="12" hidden="1">#REF!</definedName>
    <definedName name="_bdm.FB8D8AB244B64BB9B4F5F5A4C5205085.edm" localSheetId="12" hidden="1">#REF!</definedName>
    <definedName name="_bdm.fbf2cf8320134cd6b6acb7e0469adae4.edm" localSheetId="12" hidden="1">#REF!</definedName>
    <definedName name="_bdm.fbf95f80a8a345a8a68e5f1c32ce5841.edm" localSheetId="12" hidden="1">#REF!</definedName>
    <definedName name="_bdm.fc1c10be5f384f7f9699c11635fbdb69.edm" localSheetId="12" hidden="1">#REF!</definedName>
    <definedName name="_bdm.fc61fabc452f40daa3bf7256b8675373.edm" localSheetId="12" hidden="1">#REF!</definedName>
    <definedName name="_bdm.fcc3c2e62e6a4d5688d33611eff53a3d.edm" localSheetId="12" hidden="1">'[15]Saas Precedent'!$1:$1048576</definedName>
    <definedName name="_bdm.fcf6e00ad80b48a6998240808bbc7a82.edm" localSheetId="12" hidden="1">'[15]SaaS Output'!$1:$1048576</definedName>
    <definedName name="_Budget_for_Measure" localSheetId="12" hidden="1">[13]pcQueryData!$A$5</definedName>
    <definedName name="_c" localSheetId="12" hidden="1">{"Fiesta Facer Page",#N/A,FALSE,"Q_C_S";"Fiesta Main Page",#N/A,FALSE,"V_L";"Fiesta 95BP Struct",#N/A,FALSE,"StructBP";"Fiesta Post 95BP Struct",#N/A,FALSE,"AdjStructBP"}</definedName>
    <definedName name="_cd1" localSheetId="12" hidden="1">{#N/A,#N/A,FALSE,"Job Sched"}</definedName>
    <definedName name="_cd2" localSheetId="12" hidden="1">{#N/A,#N/A,FALSE,"Job Sched"}</definedName>
    <definedName name="_CD3" localSheetId="12" hidden="1">{#N/A,#N/A,FALSE,"Job Sched"}</definedName>
    <definedName name="_cd4" localSheetId="12" hidden="1">{#N/A,#N/A,FALSE,"Job Sched"}</definedName>
    <definedName name="_Cd5" localSheetId="12" hidden="1">{#N/A,#N/A,FALSE,"A"}</definedName>
    <definedName name="_cd8" localSheetId="12" hidden="1">{#N/A,#N/A,FALSE,"Job Sched"}</definedName>
    <definedName name="_Dec01" localSheetId="12" hidden="1">{"Statement of Income",#N/A,TRUE,"Mar99";"Balance Sheet",#N/A,TRUE,"Mar99"}</definedName>
    <definedName name="_df1" localSheetId="12" hidden="1">{#N/A,#N/A,FALSE,"Calc";#N/A,#N/A,FALSE,"Sensitivity";#N/A,#N/A,FALSE,"LT Earn.Dil.";#N/A,#N/A,FALSE,"Dil. AVP"}</definedName>
    <definedName name="_df2" localSheetId="12" hidden="1">{#N/A,#N/A,FALSE,"Calc";#N/A,#N/A,FALSE,"Sensitivity";#N/A,#N/A,FALSE,"LT Earn.Dil.";#N/A,#N/A,FALSE,"Dil. AVP"}</definedName>
    <definedName name="_dfd1" localSheetId="12" hidden="1">{"FCB_ALL",#N/A,FALSE,"FCB";"GREY_ALL",#N/A,FALSE,"GREY"}</definedName>
    <definedName name="_dfk1" localSheetId="1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ist_Values" localSheetId="12" hidden="1">#REF!</definedName>
    <definedName name="_djd1" localSheetId="1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kj1" localSheetId="1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ex1" localSheetId="12">#REF!</definedName>
    <definedName name="_fas123" localSheetId="12" hidden="1">{"Balance Sheet",#N/A,FALSE,"Annual Summary";"Cashflows",#N/A,FALSE,"Annual Summary";"Summary Earnings",#N/A,FALSE,"Annual Summary"}</definedName>
    <definedName name="_feb01" localSheetId="12" hidden="1">{"Statement of Income",#N/A,TRUE,"Mar99";"Balance Sheet",#N/A,TRUE,"Mar99"}</definedName>
    <definedName name="_feb02" localSheetId="12" hidden="1">{"Statement of Income",#N/A,TRUE,"Mar99";"Balance Sheet",#N/A,TRUE,"Mar99"}</definedName>
    <definedName name="_Fill" localSheetId="12" hidden="1">#REF!</definedName>
    <definedName name="_for_YTD_Year" localSheetId="12" hidden="1">[18]pcQueryData!$A$4</definedName>
    <definedName name="_fy97" localSheetId="12" hidden="1">{#N/A,#N/A,FALSE,"FY97";#N/A,#N/A,FALSE,"FY98";#N/A,#N/A,FALSE,"FY99";#N/A,#N/A,FALSE,"FY00";#N/A,#N/A,FALSE,"FY01"}</definedName>
    <definedName name="_hd1" localSheetId="12" hidden="1">{#N/A,#N/A,FALSE,"Calc";#N/A,#N/A,FALSE,"Sensitivity";#N/A,#N/A,FALSE,"LT Earn.Dil.";#N/A,#N/A,FALSE,"Dil. AVP"}</definedName>
    <definedName name="_hd2" localSheetId="12" hidden="1">{#N/A,#N/A,FALSE,"Calc";#N/A,#N/A,FALSE,"Sensitivity";#N/A,#N/A,FALSE,"LT Earn.Dil.";#N/A,#N/A,FALSE,"Dil. AVP"}</definedName>
    <definedName name="_I2" localSheetId="12" hidden="1">{"PVGraph2",#N/A,FALSE,"PV Data"}</definedName>
    <definedName name="_I3" localSheetId="12" hidden="1">{"PVGraph2",#N/A,FALSE,"PV Data"}</definedName>
    <definedName name="_isg2" localSheetId="12" hidden="1">{#N/A,#N/A,FALSE,"REPORT"}</definedName>
    <definedName name="_Jun02" localSheetId="12" hidden="1">{"Statement of Income",#N/A,TRUE,"Mar99";"Balance Sheet",#N/A,TRUE,"Mar99"}</definedName>
    <definedName name="_Key1" localSheetId="12" hidden="1">'[7]Edge 10797 Drilling Inventory'!#REF!</definedName>
    <definedName name="_Key2" localSheetId="12" hidden="1">#REF!</definedName>
    <definedName name="_Mar03" localSheetId="12" hidden="1">{"Statement of Income",#N/A,TRUE,"Mar99";"Balance Sheet",#N/A,TRUE,"Mar99"}</definedName>
    <definedName name="_Mar04" localSheetId="12" hidden="1">{"Statement of Income",#N/A,TRUE,"Mar99";"Balance Sheet",#N/A,TRUE,"Mar99"}</definedName>
    <definedName name="_mfg2" localSheetId="12" hidden="1">{"PAGE 1",#N/A,FALSE,"WEST_OT"}</definedName>
    <definedName name="_mfg3" localSheetId="12" hidden="1">{"PAGE 1",#N/A,FALSE,"WEST_OT"}</definedName>
    <definedName name="_mfg4" localSheetId="12" hidden="1">{"PAGE 1",#N/A,FALSE,"WEST_OT"}</definedName>
    <definedName name="_mfg5" localSheetId="12" hidden="1">{"PAGE 1",#N/A,FALSE,"WEST_OT"}</definedName>
    <definedName name="_new1" localSheetId="12" hidden="1">{#N/A,#N/A,FALSE,"Pharm";#N/A,#N/A,FALSE,"WWCM"}</definedName>
    <definedName name="_new22" localSheetId="12" hidden="1">{#N/A,#N/A,FALSE,"Income";#N/A,#N/A,FALSE,"Cost of Goods Sold";#N/A,#N/A,FALSE,"Other Costs";#N/A,#N/A,FALSE,"Other Income";#N/A,#N/A,FALSE,"Taxes";#N/A,#N/A,FALSE,"Other Deductions";#N/A,#N/A,FALSE,"Compensation of Officers"}</definedName>
    <definedName name="_nt97" localSheetId="12">#REF!</definedName>
    <definedName name="_o1" localSheetId="12" hidden="1">{#N/A,#N/A,FALSE,"SUMMARY";#N/A,#N/A,FALSE,"mcsh";#N/A,#N/A,FALSE,"vol&amp;rev";#N/A,#N/A,FALSE,"wkgcap";#N/A,#N/A,FALSE,"DEPR&amp;DT";#N/A,#N/A,FALSE,"ASSETS";#N/A,#N/A,FALSE,"NI&amp;OTH&amp;DIV";#N/A,#N/A,FALSE,"CASHFLOW";#N/A,#N/A,FALSE,"CAPEMPL";#N/A,#N/A,FALSE,"ROCE"}</definedName>
    <definedName name="_OCT01" localSheetId="12" hidden="1">{"Statement of Income",#N/A,TRUE,"Mar99";"Balance Sheet",#N/A,TRUE,"Mar99"}</definedName>
    <definedName name="_OCT03" localSheetId="12" hidden="1">{"Statement of Income",#N/A,TRUE,"Mar99";"Balance Sheet",#N/A,TRUE,"Mar99"}</definedName>
    <definedName name="_OK2" localSheetId="12" hidden="1">{#N/A,#N/A,FALSE,"Cover";#N/A,#N/A,FALSE,"LUMI";#N/A,#N/A,FALSE,"COMD";#N/A,#N/A,FALSE,"Valuation";#N/A,#N/A,FALSE,"Assumptions";#N/A,#N/A,FALSE,"Pooling";#N/A,#N/A,FALSE,"BalanceSheet"}</definedName>
    <definedName name="_old2" localSheetId="12" hidden="1">{#N/A,#N/A,FALSE,"Income";#N/A,#N/A,FALSE,"Cost of Goods Sold";#N/A,#N/A,FALSE,"Other Costs";#N/A,#N/A,FALSE,"Other Income";#N/A,#N/A,FALSE,"Taxes";#N/A,#N/A,FALSE,"Other Deductions";#N/A,#N/A,FALSE,"Compensation of Officers"}</definedName>
    <definedName name="_org_H_per_pot_others" localSheetId="12">'[19]Suppl, Labor ORG'!$C$23</definedName>
    <definedName name="_p1" localSheetId="12" hidden="1">{"SUM",#N/A,FALSE,"Details (2)"}</definedName>
    <definedName name="_Parse_In" localSheetId="12" hidden="1">#REF!</definedName>
    <definedName name="_Parse_Out" localSheetId="12" hidden="1">#REF!</definedName>
    <definedName name="_php97" localSheetId="12">'[20]exchange rate'!$B$6</definedName>
    <definedName name="_PL2" localSheetId="12"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4" localSheetId="12" hidden="1">{#N/A,#N/A,FALSE,"Report Data";#N/A,#N/A,FALSE,"COMP POOL";#N/A,#N/A,FALSE,"COMP POOL NB95";#N/A,#N/A,FALSE,"COMP POOL NB94"}</definedName>
    <definedName name="_PL5" localSheetId="12"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p2" localSheetId="12" hidden="1">{"Summary",#N/A,FALSE,"Details (2)"}</definedName>
    <definedName name="_ppp1" localSheetId="12" hidden="1">{"SUM",#N/A,FALSE,"Details (2)"}</definedName>
    <definedName name="_q2" localSheetId="12" hidden="1">{"Summary",#N/A,FALSE,"Details (2)"}</definedName>
    <definedName name="_q4" localSheetId="12" hidden="1">{"Summary",#N/A,FALSE,"Details (2)"}</definedName>
    <definedName name="_q5" localSheetId="12" hidden="1">{"SUM",#N/A,FALSE,"Details (2)"}</definedName>
    <definedName name="_r" localSheetId="12" hidden="1">{#N/A,#N/A,FALSE,"Pharm";#N/A,#N/A,FALSE,"WWCM"}</definedName>
    <definedName name="_Regression_Out" localSheetId="12" hidden="1">#REF!</definedName>
    <definedName name="_Regression_X" localSheetId="12" hidden="1">#REF!</definedName>
    <definedName name="_Regression_Y" localSheetId="12" hidden="1">#REF!</definedName>
    <definedName name="_Rf_Feb_Act_for_YTD" localSheetId="12" hidden="1">[13]pcQueryData!$A$4</definedName>
    <definedName name="_Rf_Oct_Act_for_2003_YTD" localSheetId="12" hidden="1">[13]pcQueryData!$A$3</definedName>
    <definedName name="_rm97" localSheetId="12">'[20]exchange rate'!$B$4</definedName>
    <definedName name="_SEP01" localSheetId="12" hidden="1">{"Statement of Income",#N/A,TRUE,"Mar99";"Balance Sheet",#N/A,TRUE,"Mar99"}</definedName>
    <definedName name="_Sep03" localSheetId="12" hidden="1">{"Statement of Income",#N/A,TRUE,"Mar99";"Balance Sheet",#N/A,TRUE,"Mar99"}</definedName>
    <definedName name="_sg1" localSheetId="12">[21]rate!$B$2</definedName>
    <definedName name="_sgd97" localSheetId="12">'[20]exchange rate'!$B$5</definedName>
    <definedName name="_sop3" localSheetId="12" hidden="1">{"data",#N/A,FALSE,"client (3)";"margins",#N/A,FALSE,"client (3)";"multiple",#N/A,FALSE,"client (3)"}</definedName>
    <definedName name="_Sort" localSheetId="12" hidden="1">'[7]Edge 10797 Drilling Inventory'!#REF!</definedName>
    <definedName name="_t2" localSheetId="12" hidden="1">{"'Sheet1'!$A$5:$G$42"}</definedName>
    <definedName name="_t9" localSheetId="12"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Table1_In1" localSheetId="12" hidden="1">[22]merger!#REF!</definedName>
    <definedName name="_Table1_Out" localSheetId="12" hidden="1">[22]merger!#REF!</definedName>
    <definedName name="_Table2_In1" localSheetId="12" hidden="1">[22]merger!#REF!</definedName>
    <definedName name="_Table2_In2" localSheetId="12" hidden="1">'[4]#REF'!$M$14</definedName>
    <definedName name="_Table2_Out" localSheetId="12" hidden="1">#REF!</definedName>
    <definedName name="_Table3_In2" localSheetId="12" hidden="1">'[23]Malara 2005 AR (2)'!$P$12:$P$12</definedName>
    <definedName name="_tm1" localSheetId="12" hidden="1">{#N/A,#N/A,FALSE,"Pharm";#N/A,#N/A,FALSE,"WWCM"}</definedName>
    <definedName name="_TMAutoChart1Names" localSheetId="12" hidden="1">{"Timeline","Chart 6","Timeline Chart 6"}</definedName>
    <definedName name="_TMAutoChart1Refs" localSheetId="12" hidden="1">{"","","'Timeline'!$F$16","'Timeline'!$F$25","","","","","",""}</definedName>
    <definedName name="_TMAutoChart2Names" localSheetId="12" hidden="1">{"Timeline","Chart 6","Timeline Chart 6"}</definedName>
    <definedName name="_TMAutoChart2Refs" localSheetId="12" hidden="1">{"","","'Timeline'!$F$16","'Timeline'!$H$25","","","","","",""}</definedName>
    <definedName name="_v2" localSheetId="12" hidden="1">{"arpm1995",#N/A,FALSE,"Summary 95-96";"bus_long_distance",#N/A,FALSE,"Summary 95-96";"mins_per_day",#N/A,FALSE,"Summary 95-96";"minutes1995",#N/A,FALSE,"Summary 95-96";"rev_per_day",#N/A,FALSE,"Summary 95-96";"view1995",#N/A,FALSE,"Summary 95-96"}</definedName>
    <definedName name="_ver1" localSheetId="12"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w1" localSheetId="12" hidden="1">{"PVGraph2",#N/A,FALSE,"PV Data"}</definedName>
    <definedName name="_w2" localSheetId="12" hidden="1">{"PVGraph2",#N/A,FALSE,"PV Data"}</definedName>
    <definedName name="_w3" localSheetId="12" hidden="1">{"PVGraph2",#N/A,FALSE,"PV Data"}</definedName>
    <definedName name="_wrn1" localSheetId="12" hidden="1">{#N/A,#N/A,FALSE,"DCF";#N/A,#N/A,FALSE,"WACC";#N/A,#N/A,FALSE,"Sales_EBIT";#N/A,#N/A,FALSE,"Capex_Depreciation";#N/A,#N/A,FALSE,"WC";#N/A,#N/A,FALSE,"Interest";#N/A,#N/A,FALSE,"Assumptions"}</definedName>
    <definedName name="_wrn2" localSheetId="12" hidden="1">{#N/A,#N/A,FALSE,"ASSUMPTIONS";#N/A,#N/A,FALSE,"Valuation Summary";"page1",#N/A,FALSE,"PRESENTATION";"page2",#N/A,FALSE,"PRESENTATION";#N/A,#N/A,FALSE,"ORIGINAL_ROLLBACK"}</definedName>
    <definedName name="_wrn3" localSheetId="12" hidden="1">{#N/A,#N/A,FALSE,"ASSUMPTIONS";#N/A,#N/A,FALSE,"Valuation Summary";"page1",#N/A,FALSE,"PRESENTATION";"page2",#N/A,FALSE,"PRESENTATION";#N/A,#N/A,FALSE,"ORIGINAL_ROLLBACK"}</definedName>
    <definedName name="_wrn9" localSheetId="12" hidden="1">{"FCB_ALL",#N/A,FALSE,"FCB"}</definedName>
    <definedName name="_ww2" localSheetId="12" hidden="1">{#N/A,#N/A,FALSE,"Admin";#N/A,#N/A,FALSE,"Other"}</definedName>
    <definedName name="_X1" localSheetId="12" hidden="1">{"Summary",#N/A,FALSE,"Details (2)"}</definedName>
    <definedName name="_X2" localSheetId="12" hidden="1">{#N/A,#N/A,FALSE,"Other";#N/A,#N/A,FALSE,"Ace";#N/A,#N/A,FALSE,"Derm"}</definedName>
    <definedName name="_xlcn.LinkedTable_Table11" localSheetId="12" hidden="1">[24]!Table1</definedName>
    <definedName name="_xlcn.WorksheetConnection_CapexA19F431" localSheetId="12" hidden="1">#REF!</definedName>
    <definedName name="_xlcn.WorksheetConnection_FES_Direct_Margin_Detail_20160523.xlsxTable_dynamicsslsql01_SLFRANKLIN_xFES_Margin_21" localSheetId="12" hidden="1">[25]!Table_dynamicsslsql01_SLFRANKLIN_xFES_Margin_2[#Data]</definedName>
    <definedName name="_xlcn.WorksheetConnection_FES_Direct_Margin_Detail_20160523.xlsxTable_dynamicsslsql01_SLFRANKLIN_xFES_Program_Listing__21" localSheetId="12" hidden="1">[25]!Table_dynamicsslsql01_SLFRANKLIN_xFES_Program_Listing__2[#Data]</definedName>
    <definedName name="_xlcn.WorksheetConnection_FES_Program_Margin_Analysis.xlsxFES_Margin1" localSheetId="12" hidden="1">[26]!FES_Margin[#Data]</definedName>
    <definedName name="_xlcn.WorksheetConnection_FES_Program_Margin_Analysis.xlsxPrograms1" localSheetId="12" hidden="1">[26]!Programs[#Data]</definedName>
    <definedName name="_y2" localSheetId="12" hidden="1">{"PVGraph2",#N/A,FALSE,"PV Data"}</definedName>
    <definedName name="_Zcomps1" localSheetId="12" hidden="1">{0,0,0,0,1,-4105,42.5196850393701,42.5196850393701,42.5196850393701,42.5196850393701,2,TRUE,TRUE,FALSE,FALSE,FALSE,#N/A,1,85,1,1,"","","","&amp;""Kennerly,Roman Bold""&amp;14L&amp;12EHMAN &amp;14 B&amp;12ROTHERS","","",FALSE}</definedName>
    <definedName name="_Zcomps2" localSheetId="12" hidden="1">{0,0,0,0,1,-4105,28.3464566929134,28.3464566929134,28.346456664,28.3464566929134,2,TRUE,TRUE,FALSE,FALSE,FALSE,#N/A,1,85,1,2,"","","","&amp;""Kennerly,Roman Bold""&amp;14L&amp;12EHMAN &amp;14 B&amp;12ROTHERS","","",FALSE}</definedName>
    <definedName name="a" localSheetId="12">'[19]Suppl, Labor ORG'!$B$22</definedName>
    <definedName name="aa" localSheetId="12" hidden="1">{#N/A,#N/A,FALSE,"Pharm";#N/A,#N/A,FALSE,"WWCM"}</definedName>
    <definedName name="aa.2" localSheetId="12" hidden="1">{#N/A,#N/A,FALSE,"Cashflow Analysis";#N/A,#N/A,FALSE,"Sensitivity Analysis";#N/A,#N/A,FALSE,"PV";#N/A,#N/A,FALSE,"Pro Forma"}</definedName>
    <definedName name="aaa" localSheetId="12" hidden="1">{"BS",#N/A,FALSE,"USA"}</definedName>
    <definedName name="aaaa" localSheetId="12" hidden="1">{#N/A,#N/A,FALSE,"REPORT"}</definedName>
    <definedName name="aaaaa" localSheetId="12" hidden="1">{#N/A,#N/A,TRUE,"BUD VS ACT AUST 96";#N/A,#N/A,TRUE,"96 COMP P&amp;L-AUST";#N/A,#N/A,TRUE,"COMP BS-AUSTRALIA";#N/A,#N/A,TRUE,"B/S - AUSTR."}</definedName>
    <definedName name="aaaaaa" localSheetId="12" hidden="1">{#N/A,#N/A,FALSE,"REPORT"}</definedName>
    <definedName name="aaaaaaa" localSheetId="12" hidden="1">{"barlup",#N/A,FALSE,"evabnk97";"gillespey",#N/A,FALSE,"evabnk97";"koon",#N/A,FALSE,"evabnk97";"schreur",#N/A,FALSE,"evabnk97";"stone",#N/A,FALSE,"evabnk97";"wichmann",#N/A,FALSE,"evabnk97";"wright",#N/A,FALSE,"evabnk97"}</definedName>
    <definedName name="aaaaaaaaaa" localSheetId="12" hidden="1">{"FCB_ALL",#N/A,FALSE,"FCB";"GREY_ALL",#N/A,FALSE,"GREY"}</definedName>
    <definedName name="aaaaaaaaaaa" localSheetId="12" hidden="1">{#N/A,#N/A,FALSE,"REPORT"}</definedName>
    <definedName name="aaaaaaaaaaaa" localSheetId="12" hidden="1">{#N/A,#N/A,TRUE,"BUD VS ACT AUST 96";#N/A,#N/A,TRUE,"96 COMP P&amp;L-AUST";#N/A,#N/A,TRUE,"COMP BS-AUSTRALIA";#N/A,#N/A,TRUE,"B/S - AUSTR."}</definedName>
    <definedName name="aaaaaaaaaaaaaaa" localSheetId="12" hidden="1">{#N/A,#N/A,FALSE,"Pharm";#N/A,#N/A,FALSE,"WWCM"}</definedName>
    <definedName name="aaasb" localSheetId="12" hidden="1">{#N/A,#N/A,FALSE,"Pharm";#N/A,#N/A,FALSE,"WWCM"}</definedName>
    <definedName name="aab" localSheetId="12" hidden="1">{#N/A,#N/A,FALSE,"Pharm";#N/A,#N/A,FALSE,"WWCM"}</definedName>
    <definedName name="aaddd" localSheetId="12" hidden="1">{#N/A,#N/A,FALSE,"REPORT"}</definedName>
    <definedName name="aas" localSheetId="12" hidden="1">{#N/A,#N/A,FALSE,"1";#N/A,#N/A,FALSE,"2";#N/A,#N/A,FALSE,"16 - 17";#N/A,#N/A,FALSE,"18 - 19";#N/A,#N/A,FALSE,"26";#N/A,#N/A,FALSE,"27";#N/A,#N/A,FALSE,"28"}</definedName>
    <definedName name="aassas" localSheetId="12" hidden="1">{"PR1","pr1",TRUE,"Sch PR-1"}</definedName>
    <definedName name="ABC" localSheetId="12" hidden="1">{#N/A,#N/A,TRUE,"BUD VS ACT AUST 96";#N/A,#N/A,TRUE,"96 COMP P&amp;L-AUST";#N/A,#N/A,TRUE,"COMP BS-AUSTRALIA";#N/A,#N/A,TRUE,"B/S - AUSTR."}</definedName>
    <definedName name="abc.abc" localSheetId="12" hidden="1">{"cash flow - FY02",#N/A,FALSE,"P &amp; L";"cash flow - FY03",#N/A,FALSE,"P &amp; L"}</definedName>
    <definedName name="abc.abc2" localSheetId="12" hidden="1">{"cash flow - FY02",#N/A,FALSE,"P &amp; L";"cash flow - FY03",#N/A,FALSE,"P &amp; L"}</definedName>
    <definedName name="Abrisa" localSheetId="12" hidden="1">{"FY04_Assets",#N/A,FALSE,"Fin Stmt Budget";"FY04_Liabilities",#N/A,FALSE,"Fin Stmt Budget";"FY04_Inc_Stmt",#N/A,FALSE,"Fin Stmt Budget";"FY04_SOCF",#N/A,FALSE,"Fin Stmt Budget"}</definedName>
    <definedName name="absfghbtg" localSheetId="12" hidden="1">#REF!,#REF!,#REF!,#REF!,#REF!,#REF!,#REF!,#REF!,#REF!,#REF!,#REF!,#REF!,#REF!,#REF!,#REF!,#REF!,#REF!,#REF!,#REF!,#REF!,#REF!,#REF!,#REF!,#REF!,#REF!,#REF!,#REF!,#REF!,#REF!,#REF!,#REF!,#REF!,#REF!,#REF!,#REF!,#REF!,#REF!,#REF!,#REF!,#REF!,#REF!,#REF!,#REF!,#REF!,#REF!,#REF!,#REF!,#REF!,#REF!,#REF!,#REF!,#REF!,#REF!,#REF!</definedName>
    <definedName name="acc" localSheetId="12" hidden="1">{"Accretion",#N/A,FALSE,"Assum"}</definedName>
    <definedName name="Accessforecast" localSheetId="12" hidden="1">{"SUM",#N/A,FALSE,"Details (2)"}</definedName>
    <definedName name="actual" localSheetId="12" hidden="1">[13]pcQueryData!$A$6</definedName>
    <definedName name="adasa" localSheetId="12" hidden="1">{"'Sheet1'!$A$1:$J$121"}</definedName>
    <definedName name="adasdasdasdasd" localSheetId="12" hidden="1">{"PR1","pr1",TRUE,"Sch PR-1"}</definedName>
    <definedName name="ADBeg" localSheetId="12">#REF!</definedName>
    <definedName name="adcd" localSheetId="12" hidden="1">{#N/A,#N/A,FALSE,"Sheet8";#N/A,#N/A,FALSE,"Sheet7"}</definedName>
    <definedName name="ADCurr" localSheetId="12">#REF!</definedName>
    <definedName name="adf" localSheetId="1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 localSheetId="12" hidden="1">{#N/A,#N/A,FALSE,"Aging Summary";#N/A,#N/A,FALSE,"Ratio Analysis";#N/A,#N/A,FALSE,"Test 120 Day Accts";#N/A,#N/A,FALSE,"Tickmarks"}</definedName>
    <definedName name="adfadf" localSheetId="12" hidden="1">{"'Sheet1'!$A$1:$J$121"}</definedName>
    <definedName name="adfadfasfdadf" localSheetId="1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dfda" localSheetId="1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sdfasfdasdf" localSheetId="1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gasdysty" localSheetId="12" hidden="1">{#N/A,#N/A,FALSE,"REPORT"}</definedName>
    <definedName name="adfsfjfjky" localSheetId="12" hidden="1">{#N/A,#N/A,FALSE,"REPORT"}</definedName>
    <definedName name="ADFWAE" localSheetId="12" hidden="1">{"summary1",#N/A,TRUE,"Comps";"summary2",#N/A,TRUE,"Comps";"summary3",#N/A,TRUE,"Comps"}</definedName>
    <definedName name="adgad" localSheetId="1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had" localSheetId="12" hidden="1">{"'Sheet1'!$A$1:$J$121"}</definedName>
    <definedName name="ads" localSheetId="12" hidden="1">{"inputs raw data",#N/A,TRUE,"INPUT"}</definedName>
    <definedName name="adsew" localSheetId="12" hidden="1">{"FCB_ALL",#N/A,FALSE,"FCB"}</definedName>
    <definedName name="ADSFA" localSheetId="12" hidden="1">{"inputs raw data",#N/A,TRUE,"INPUT"}</definedName>
    <definedName name="adsfaw" localSheetId="12" hidden="1">{"FCB_ALL",#N/A,FALSE,"FCB";"GREY_ALL",#N/A,FALSE,"GREY"}</definedName>
    <definedName name="adsfca" localSheetId="12" hidden="1">{"FCB_ALL",#N/A,FALSE,"FCB";"GREY_ALL",#N/A,FALSE,"GREY"}</definedName>
    <definedName name="adsfeklj" localSheetId="12" hidden="1">{"FCB_ALL",#N/A,FALSE,"FCB"}</definedName>
    <definedName name="adsfkl" localSheetId="12" hidden="1">{"FCB_ALL",#N/A,FALSE,"FCB";"GREY_ALL",#N/A,FALSE,"GREY"}</definedName>
    <definedName name="adsga" localSheetId="12" hidden="1">{"FCB_ALL",#N/A,FALSE,"FCB"}</definedName>
    <definedName name="adsgawe" localSheetId="12" hidden="1">{"FCB_ALL",#N/A,FALSE,"FCB"}</definedName>
    <definedName name="adwdlkj" localSheetId="12" hidden="1">{"FCB_ALL",#N/A,FALSE,"FCB"}</definedName>
    <definedName name="ae" localSheetId="12" hidden="1">{"'Edit'!$A$1:$V$2277"}</definedName>
    <definedName name="AEWEW" localSheetId="12" hidden="1">{"inputs raw data",#N/A,TRUE,"INPUT"}</definedName>
    <definedName name="aewfwe" localSheetId="12" hidden="1">{#N/A,#N/A,FALSE,"Brad_DCFM";#N/A,#N/A,FALSE,"Nick_DCFM";#N/A,#N/A,FALSE,"Mobile_DCFM"}</definedName>
    <definedName name="afd" localSheetId="12" hidden="1">{#N/A,#N/A,FALSE,"VALSUM";#N/A,#N/A,FALSE,"MKT.COMPS";#N/A,#N/A,FALSE,"ACQ.MULT.";#N/A,#N/A,FALSE,"DCF - LBO"}</definedName>
    <definedName name="AFDADSFDAS" localSheetId="12" hidden="1">{#N/A,#N/A,FALSE,"REPORT"}</definedName>
    <definedName name="afge" localSheetId="12" hidden="1">{"FCB_ALL",#N/A,FALSE,"FCB";"GREY_ALL",#N/A,FALSE,"GREY"}</definedName>
    <definedName name="africa" localSheetId="12" hidden="1">{#N/A,#N/A,FALSE,"CNS";#N/A,#N/A,FALSE,"Serz";#N/A,#N/A,FALSE,"Ace"}</definedName>
    <definedName name="agafdhsdh" localSheetId="12" hidden="1">{#N/A,#N/A,FALSE,"REPORT"}</definedName>
    <definedName name="age" localSheetId="1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1New" localSheetId="1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New" localSheetId="1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ne" localSheetId="12" hidden="1">{"FCB_ALL",#N/A,FALSE,"FCB";"GREY_ALL",#N/A,FALSE,"GREY"}</definedName>
    <definedName name="agng" localSheetId="12" hidden="1">{#N/A,#N/A,FALSE,"Aging Summary";#N/A,#N/A,FALSE,"Ratio Analysis";#N/A,#N/A,FALSE,"Test 120 Day Accts";#N/A,#N/A,FALSE,"Tickmarks"}</definedName>
    <definedName name="agsgaghgfj" localSheetId="12" hidden="1">{#N/A,#N/A,FALSE,"Pharm";#N/A,#N/A,FALSE,"WWCM"}</definedName>
    <definedName name="ahge" localSheetId="12" hidden="1">{"FCB_ALL",#N/A,FALSE,"FCB";"GREY_ALL",#N/A,FALSE,"GREY"}</definedName>
    <definedName name="AJHFkjDGHF" localSheetId="12" hidden="1">{"Annual_Income",#N/A,FALSE,"Report Page";"Balance_Cash_Flow",#N/A,FALSE,"Report Page";"Quarterly_Income",#N/A,FALSE,"Report Page"}</definedName>
    <definedName name="alb" localSheetId="12" hidden="1">{#N/A,#N/A,FALSE,"Summary";#N/A,#N/A,FALSE,"Edit";#N/A,#N/A,FALSE,"MedProf";#N/A,#N/A,FALSE,"Proj Mgt";#N/A,#N/A,FALSE,"Creat Svc";#N/A,#N/A,FALSE,"Meet Svc";#N/A,#N/A,FALSE,"Non-OCC";#N/A,#N/A,FALSE,"Client Svc";#N/A,#N/A,FALSE,"Bus Dev";#N/A,#N/A,FALSE,"Indirect"}</definedName>
    <definedName name="alex" localSheetId="12" hidden="1">{#N/A,#N/A,FALSE,"REPORT"}</definedName>
    <definedName name="alexan" localSheetId="12" hidden="1">{#N/A,#N/A,FALSE,"REPORT"}</definedName>
    <definedName name="alfredo" localSheetId="12" hidden="1">{#N/A,#N/A,FALSE,"CNS_ADJ";"Balance Consolidado",#N/A,FALSE,"BCEC_CNS";#N/A,#N/A,FALSE,"USGAAP_ADJ"}</definedName>
    <definedName name="allchanges1" localSheetId="12">#REF!</definedName>
    <definedName name="amt" localSheetId="12" hidden="1">{#N/A,#N/A,FALSE,"REPORT"}</definedName>
    <definedName name="ana" localSheetId="12" hidden="1">{#N/A,#N/A,FALSE,"Sheet1";#N/A,#N/A,FALSE,"Sheet2";#N/A,#N/A,FALSE,"Sheet3";#N/A,#N/A,FALSE,"Sheet4";#N/A,#N/A,FALSE,"Sheet5";#N/A,#N/A,FALSE,"Sheet6"}</definedName>
    <definedName name="andy" localSheetId="12" hidden="1">{#N/A,#N/A,FALSE,"REPORT"}</definedName>
    <definedName name="annualforc" localSheetId="12" hidden="1">{#N/A,#N/A,FALSE,"FAB VENDORS";"BUD SUM",#N/A,FALSE,"BUD SUM WO TEX"}</definedName>
    <definedName name="anything" localSheetId="12" hidden="1">{#N/A,#N/A,FALSE,"Output";#N/A,#N/A,FALSE,"Cover Sheet";#N/A,#N/A,FALSE,"Current Mkt. Projections"}</definedName>
    <definedName name="Apr00" localSheetId="12" hidden="1">{"Statement of Income",#N/A,TRUE,"Mar99";"Balance Sheet",#N/A,TRUE,"Mar99"}</definedName>
    <definedName name="Apr00TB" localSheetId="12" hidden="1">{"Statement of Income",#N/A,TRUE,"Mar99";"Balance Sheet",#N/A,TRUE,"Mar99"}</definedName>
    <definedName name="aq" localSheetId="12" hidden="1">{"'Edit'!$A$1:$V$2277"}</definedName>
    <definedName name="ardoutput" localSheetId="12"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arew" localSheetId="12" hidden="1">{"cap_structure",#N/A,FALSE,"Graph-Mkt Cap";"price",#N/A,FALSE,"Graph-Price";"ebit",#N/A,FALSE,"Graph-EBITDA";"ebitda",#N/A,FALSE,"Graph-EBITDA"}</definedName>
    <definedName name="arg" localSheetId="12" hidden="1">{"inputs raw data",#N/A,TRUE,"INPUT"}</definedName>
    <definedName name="AS" localSheetId="12"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AS2TickmarkLS" localSheetId="12" hidden="1">#REF!</definedName>
    <definedName name="asa" localSheetId="12" hidden="1">{"FCB_ALL",#N/A,FALSE,"FCB"}</definedName>
    <definedName name="asas" localSheetId="12" hidden="1">{#N/A,#N/A,FALSE,"Pharm";#N/A,#N/A,FALSE,"WWCM"}</definedName>
    <definedName name="asasasasas" localSheetId="12" hidden="1">{"PR1","pr1",TRUE,"Sch PR-1"}</definedName>
    <definedName name="asd" localSheetId="12" hidden="1">{#N/A,#N/A,FALSE,"Pharm";#N/A,#N/A,FALSE,"WWCM"}</definedName>
    <definedName name="asdaw" localSheetId="12" hidden="1">{"FCB_ALL",#N/A,FALSE,"FCB"}</definedName>
    <definedName name="asdfadg" localSheetId="1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sdfadsf" localSheetId="12" hidden="1">{"'Sheet1'!$A$1:$J$121"}</definedName>
    <definedName name="asdfag" localSheetId="12" hidden="1">{"DTCONSOASSUMPTIONS1",#N/A,FALSE,"CONSO";"DTCONSOASSUMPTIONS2",#N/A,FALSE,"CONSO";"DTCONSOASSUMPTIONS3",#N/A,FALSE,"CONSO";"DTCONSOINCOME",#N/A,FALSE,"CONSO";"DTCOOSAEBITDA",#N/A,FALSE,"COOSA";"DTCONSOCASHFLOW",#N/A,FALSE,"CONSO";"DTCONSOBALANCESHEET",#N/A,FALSE,"CONSO";"DTCONSOCAPEX1",#N/A,FALSE,"CONSO";"DTCONSOCAPEX2",#N/A,FALSE,"CONSO";"DTCONSOCAPEX3",#N/A,FALSE,"CONSO";"DTDONNAASSUMPTIONS1",#N/A,FALSE,"PAPER DONNACONA";"DTDONNAASSUMPTIONS2",#N/A,FALSE,"PAPER DONNACONA";"DTDONNAASSUMPTIONS3",#N/A,FALSE,"PAPER DONNACONA";"DTDONNAINCOME",#N/A,FALSE,"PAPER DONNACONA";"DTDONNACASHFLOW",#N/A,FALSE,"PAPER DONNACONA";"DTDONNABALANCESHEET",#N/A,FALSE,"PAPER DONNACONA";"DTDONNACAPEX",#N/A,FALSE,"PAPER DONNACONA";"DTDOLBEAUASSUMPTIONS1",#N/A,FALSE,"PAPER DOLBEAU";"DTDOLBEAUASSUMPTIONS2",#N/A,FALSE,"PAPER DOLBEAU";"DTDOLBEAUASSUMPTIONS3",#N/A,FALSE,"PAPER DOLBEAU";"DTDOLBEAUINCOME",#N/A,FALSE,"PAPER DOLBEAU";"DTDOLBEAUCASHFLOW",#N/A,FALSE,"PAPER DOLBEAU";"DTDOLBEAUBALANCESHEET",#N/A,FALSE,"PAPER DOLBEAU";"DTDOLBEAUCAPEX",#N/A,FALSE,"PAPER DOLBEAU";"DTLUMBERASSUMPTIONS1",#N/A,FALSE,"LUMBER";"DTLUMBERASSUMPTIONS2",#N/A,FALSE,"LUMBER";"DTLUMBERASSUMPTIONS3",#N/A,FALSE,"LUMBER";"DTLUMBERINCOME",#N/A,FALSE,"LUMBER";"DTLUMBERCASHFLOW",#N/A,FALSE,"LUMBER";"DTLUMBERBALANCESHEET",#N/A,FALSE,"LUMBER";"DTLUMBERCAPEX",#N/A,FALSE,"LUMBER";"DTCOOSAASSUMPTIONS1",#N/A,FALSE,"COOSA";"DTCOOSAASSUMPTION2",#N/A,FALSE,"COOSA";"DTCOOSAASSUMPTIONS3",#N/A,FALSE,"COOSA";"DTCOOSAINCOME",#N/A,FALSE,"COOSA";"DTCOOSACASHFLOW",#N/A,FALSE,"COOSA";"DTCOOSABALANCESHEET",#N/A,FALSE,"COOSA";"DTCOOSACAPEX",#N/A,FALSE,"COOSA";"DTELIMINATIONINCOME",#N/A,FALSE,"ELIMINATION";"DTELIMINATIONCASHFLOW",#N/A,FALSE,"ELIMINATION";"DTELIMINATIONBALANCESHEET",#N/A,FALSE,"ELIMINATION";"DTHEADOFFICEASSUMPTIONS",#N/A,FALSE,"H.OFFICE";"DTHEADOFFICEINCOME",#N/A,FALSE,"H.OFFICE";"DTHEADOFFICECASHFLOW",#N/A,FALSE,"H.OFFICE";"DTHEADOFFICEBALANCESHEET",#N/A,FALSE,"H.OFFICE";"DTHEADOFFICECAPEX",#N/A,FALSE,"H.OFFICE";"DTSEGMENTED",#N/A,FALSE,"SEGMENTED INFO";"DTTAX1",#N/A,FALSE,"impôt";"DTTAX2",#N/A,FALSE,"impôt"}</definedName>
    <definedName name="asdfasdfas" localSheetId="12" hidden="1">{#N/A,#N/A,FALSE,"Sheet1";#N/A,#N/A,FALSE,"Sheet2";#N/A,#N/A,FALSE,"Sheet3";#N/A,#N/A,FALSE,"Sheet4";#N/A,#N/A,FALSE,"Sheet5";#N/A,#N/A,FALSE,"Sheet6"}</definedName>
    <definedName name="asdfe" localSheetId="12" hidden="1">{"FCB_ALL",#N/A,FALSE,"FCB"}</definedName>
    <definedName name="asdfg" localSheetId="12" hidden="1">{#N/A,#N/A,FALSE,"Pharm";#N/A,#N/A,FALSE,"WWCM"}</definedName>
    <definedName name="asdfn" localSheetId="12" hidden="1">{"FCB_ALL",#N/A,FALSE,"FCB";"GREY_ALL",#N/A,FALSE,"GREY"}</definedName>
    <definedName name="asdfSDF" localSheetId="12" hidden="1">{#N/A,#N/A,FALSE,"Sheet1";#N/A,#N/A,FALSE,"Sheet2";#N/A,#N/A,FALSE,"Sheet3";#N/A,#N/A,FALSE,"Sheet4";#N/A,#N/A,FALSE,"Sheet5";#N/A,#N/A,FALSE,"Sheet6"}</definedName>
    <definedName name="asdgaew" localSheetId="12" hidden="1">{"FCB_ALL",#N/A,FALSE,"FCB"}</definedName>
    <definedName name="asdgahdfhth" localSheetId="12" hidden="1">{#N/A,#N/A,FALSE,"REPORT"}</definedName>
    <definedName name="asdgayery" localSheetId="12" hidden="1">{#N/A,#N/A,FALSE,"Pharm";#N/A,#N/A,FALSE,"WWCM"}</definedName>
    <definedName name="asdgfdytyet" localSheetId="12" hidden="1">{#N/A,#N/A,FALSE,"REPORT"}</definedName>
    <definedName name="asdgtryukuio" localSheetId="12" hidden="1">{#N/A,#N/A,FALSE,"REPORT"}</definedName>
    <definedName name="asdjgkl" localSheetId="12" hidden="1">{#N/A,#N/A,FALSE,"Pharm";#N/A,#N/A,FALSE,"WWCM"}</definedName>
    <definedName name="asdr5" localSheetId="12" hidden="1">{"FCB_ALL",#N/A,FALSE,"FCB";"GREY_ALL",#N/A,FALSE,"GREY"}</definedName>
    <definedName name="asfasdf" localSheetId="12" hidden="1">#REF!</definedName>
    <definedName name="asfd" localSheetId="12" hidden="1">{"FCB_ALL",#N/A,FALSE,"FCB"}</definedName>
    <definedName name="asffghujyki" localSheetId="12" hidden="1">{#N/A,#N/A,FALSE,"Pharm";#N/A,#N/A,FALSE,"WWCM"}</definedName>
    <definedName name="ASSA" localSheetId="12" hidden="1">{#N/A,#N/A,FALSE,"1";#N/A,#N/A,FALSE,"2";#N/A,#N/A,FALSE,"16 - 17";#N/A,#N/A,FALSE,"18 - 19";#N/A,#N/A,FALSE,"26";#N/A,#N/A,FALSE,"27";#N/A,#N/A,FALSE,"28"}</definedName>
    <definedName name="assasdafsda" localSheetId="12" hidden="1">{"PR1","pr1",TRUE,"Sch PR-1"}</definedName>
    <definedName name="ASSIGNED_STATES" localSheetId="12">#REF!</definedName>
    <definedName name="ASSS" localSheetId="12" hidden="1">{"FCB_ALL",#N/A,FALSE,"FCB"}</definedName>
    <definedName name="assssss" localSheetId="12" hidden="1">{"FCB_ALL",#N/A,FALSE,"FCB"}</definedName>
    <definedName name="assum" localSheetId="12" hidden="1">{"'Sheet1'!$A$5:$G$42"}</definedName>
    <definedName name="att" localSheetId="12" hidden="1">{#N/A,#N/A,FALSE,"COVER PAGE";#N/A,#N/A,FALSE,"Page 2";#N/A,#N/A,FALSE,"Page 2";#N/A,#N/A,FALSE,"Page 4";#N/A,#N/A,FALSE,"Page5";#N/A,#N/A,FALSE,"Page 6";#N/A,#N/A,FALSE,"Page 7";#N/A,#N/A,FALSE,"Page 8";#N/A,#N/A,FALSE,"Page 10";#N/A,#N/A,FALSE,"Long-Term OCF Mult.";#N/A,#N/A,FALSE,"PCS Comp";#N/A,#N/A,FALSE,"OCS-CAPEX";#N/A,#N/A,FALSE,"Blank"}</definedName>
    <definedName name="aust" localSheetId="12" hidden="1">{#N/A,#N/A,TRUE,"BUD VS ACT AUST 96";#N/A,#N/A,TRUE,"96 COMP P&amp;L-AUST";#N/A,#N/A,TRUE,"COMP BS-AUSTRALIA";#N/A,#N/A,TRUE,"B/S - AUSTR."}</definedName>
    <definedName name="ave" localSheetId="1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we" localSheetId="12" hidden="1">{#N/A,#N/A,FALSE,"COVER";#N/A,#N/A,FALSE,"Index";#N/A,#N/A,FALSE,"Non-Earning";#N/A,#N/A,FALSE,"Commercial";#N/A,#N/A,FALSE,"Detailed"}</definedName>
    <definedName name="awea" localSheetId="12" hidden="1">{"FCB_ALL",#N/A,FALSE,"FCB";"GREY_ALL",#N/A,FALSE,"GREY"}</definedName>
    <definedName name="AX" localSheetId="12" hidden="1">{#N/A,#N/A,FALSE,"Pharm";#N/A,#N/A,FALSE,"WWCM"}</definedName>
    <definedName name="ayman" localSheetId="12" hidden="1">{#N/A,#N/A,FALSE,"1";#N/A,#N/A,FALSE,"2";#N/A,#N/A,FALSE,"16 - 17";#N/A,#N/A,FALSE,"18 - 19";#N/A,#N/A,FALSE,"26";#N/A,#N/A,FALSE,"27";#N/A,#N/A,FALSE,"28"}</definedName>
    <definedName name="ayman1" localSheetId="12" hidden="1">{#N/A,#N/A,FALSE,"Pharm";#N/A,#N/A,FALSE,"WWCM"}</definedName>
    <definedName name="ayman2" localSheetId="12" hidden="1">{#N/A,#N/A,FALSE,"Pharm";#N/A,#N/A,FALSE,"WWCM"}</definedName>
    <definedName name="ayman7" localSheetId="12" hidden="1">{#N/A,#N/A,FALSE,"REPORT"}</definedName>
    <definedName name="ayman8" localSheetId="12" hidden="1">{#N/A,#N/A,FALSE,"REPORT"}</definedName>
    <definedName name="az" localSheetId="12" hidden="1">{#N/A,#N/A,FALSE,"Pharm";#N/A,#N/A,FALSE,"WWCM"}</definedName>
    <definedName name="azeazr" localSheetId="12" hidden="1">{#N/A,#N/A,FALSE,"Sales Graph";#N/A,#N/A,FALSE,"BUC Graph";#N/A,#N/A,FALSE,"P&amp;L - YTD"}</definedName>
    <definedName name="azerety" localSheetId="12" hidden="1">{#N/A,#N/A,FALSE,"Pharm";#N/A,#N/A,FALSE,"WWCM"}</definedName>
    <definedName name="b" localSheetId="12" hidden="1">{"barlup",#N/A,FALSE,"evabnk97";"gillespey",#N/A,FALSE,"evabnk97";"koon",#N/A,FALSE,"evabnk97";"schreur",#N/A,FALSE,"evabnk97";"stone",#N/A,FALSE,"evabnk97";"wichmann",#N/A,FALSE,"evabnk97";"wright",#N/A,FALSE,"evabnk97"}</definedName>
    <definedName name="ba" localSheetId="12" hidden="1">{"FCB_ALL",#N/A,FALSE,"FCB";"GREY_ALL",#N/A,FALSE,"GREY"}</definedName>
    <definedName name="Bank" localSheetId="12" hidden="1">{TRUE,TRUE,-1.25,-15.5,456.75,279.75,FALSE,FALSE,TRUE,TRUE,0,1,21,1,127,6,3,4,TRUE,TRUE,3,TRUE,1,TRUE,100,"Swvu.profits.","ACwvu.profits.",1,FALSE,FALSE,0.511811023622047,0.511811023622047,0.511811023622047,0.511811023622047,1,"","",FALSE,FALSE,FALSE,FALSE,1,#N/A,1,1,#DIV/0!,FALSE,"Rwvu.profits.",#N/A,FALSE,FALSE}</definedName>
    <definedName name="barrera" localSheetId="12" hidden="1">{#N/A,#N/A,FALSE,"RESUMEN ECON.";#N/A,#N/A,FALSE,"Costos de R.H.";#N/A,#N/A,FALSE,"COSTO HW";#N/A,#N/A,FALSE,"CUADROS";#N/A,#N/A,FALSE,"SCADA´s";#N/A,#N/A,FALSE,"PRECIOS EQUIPOS"}</definedName>
    <definedName name="bb" localSheetId="12" hidden="1">{#N/A,#N/A,FALSE,"Assessment";#N/A,#N/A,FALSE,"Staffing";#N/A,#N/A,FALSE,"Hires";#N/A,#N/A,FALSE,"Assumptions"}</definedName>
    <definedName name="bbb" localSheetId="12" hidden="1">{#N/A,#N/A,FALSE,"Pharm";#N/A,#N/A,FALSE,"WWCM"}</definedName>
    <definedName name="bbbb" localSheetId="12" hidden="1">{#N/A,#N/A,FALSE,"REPORT"}</definedName>
    <definedName name="bbbbb" localSheetId="12" hidden="1">{#N/A,#N/A,TRUE,"BUD VS ACT AUST 96";#N/A,#N/A,TRUE,"96 COMP P&amp;L-AUST";#N/A,#N/A,TRUE,"COMP BS-AUSTRALIA";#N/A,#N/A,TRUE,"B/S - AUSTR."}</definedName>
    <definedName name="BBBBBB" localSheetId="12" hidden="1">{#N/A,#N/A,FALSE,"REPORT"}</definedName>
    <definedName name="BBBBBBBBB" localSheetId="12" hidden="1">{#N/A,#N/A,FALSE,"REPORT"}</definedName>
    <definedName name="bbbbbbbbbbbbb" localSheetId="12" hidden="1">{#N/A,#N/A,FALSE,"Pharm";#N/A,#N/A,FALSE,"WWCM"}</definedName>
    <definedName name="BD" localSheetId="12" hidden="1">{"EBITDA",#N/A,TRUE,"P&amp;L Net of Disc Ops";"output net of disc ops",#N/A,TRUE,"Revenue";"input",#N/A,TRUE,"Revenue";"output",#N/A,TRUE,"DC";"Input",#N/A,TRUE,"DC";"MTN and MCN",#N/A,TRUE,"Margin";"output detail line items",#N/A,TRUE,"SGA";"personnel by year",#N/A,TRUE,"Payroll";#N/A,#N/A,TRUE,"CapEx"}</definedName>
    <definedName name="Bear" localSheetId="12" hidden="1">{#N/A,#N/A,FALSE,"TS";#N/A,#N/A,FALSE,"Combo";#N/A,#N/A,FALSE,"FAIR";#N/A,#N/A,FALSE,"RBC";#N/A,#N/A,FALSE,"xxxx";#N/A,#N/A,FALSE,"A_D";#N/A,#N/A,FALSE,"WACC";#N/A,#N/A,FALSE,"DCF";#N/A,#N/A,FALSE,"LBO";#N/A,#N/A,FALSE,"AcqMults";#N/A,#N/A,FALSE,"CompMults"}</definedName>
    <definedName name="Bebefits" localSheetId="12" hidden="1">{"summary",#N/A,FALSE,"3 yr average";"comps",#N/A,FALSE,"3 yr average"}</definedName>
    <definedName name="Beg_Bal" localSheetId="12">#REF!</definedName>
    <definedName name="Beginning_Balance" localSheetId="12">-FV(Interest_Rate/12,#REF!-1,-#REF!,Loan_Amount)</definedName>
    <definedName name="bill" localSheetId="12" hidden="1">{"PAGE 1",#N/A,FALSE,"WEST_OT"}</definedName>
    <definedName name="bill1" localSheetId="12" hidden="1">{"PAGE 1",#N/A,FALSE,"WEST_OT"}</definedName>
    <definedName name="bill2" localSheetId="12" hidden="1">{"PAGE 1",#N/A,FALSE,"WEST_OT"}</definedName>
    <definedName name="bill3" localSheetId="12" hidden="1">{"PAGE 1",#N/A,FALSE,"WEST_OT"}</definedName>
    <definedName name="billrev2" localSheetId="12" hidden="1">{"PAGE 1",#N/A,FALSE,"WEST_OT"}</definedName>
    <definedName name="bilol" localSheetId="12" hidden="1">{#N/A,#N/A,FALSE,"VALSUM";#N/A,#N/A,FALSE,"MKT.COMPS";#N/A,#N/A,FALSE,"ACQ.MULT.";#N/A,#N/A,FALSE,"DCF - LBO"}</definedName>
    <definedName name="BL" localSheetId="12" hidden="1">'[27]Feed Page'!#REF!</definedName>
    <definedName name="BLANKS" localSheetId="1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PH1" localSheetId="12" hidden="1">#REF!</definedName>
    <definedName name="BLPH15" localSheetId="12" hidden="1">'[28]Feed Page'!#REF!</definedName>
    <definedName name="BLPH16" localSheetId="12" hidden="1">'[28]Feed Page'!#REF!</definedName>
    <definedName name="BLPH176" localSheetId="12" hidden="1">'[28]Feed Page'!#REF!</definedName>
    <definedName name="BLPH177" localSheetId="12" hidden="1">'[28]Feed Page'!#REF!</definedName>
    <definedName name="BLPH178" localSheetId="12" hidden="1">'[28]Feed Page'!#REF!</definedName>
    <definedName name="BLPH179" localSheetId="12" hidden="1">'[28]Feed Page'!#REF!</definedName>
    <definedName name="BLPH180" localSheetId="12" hidden="1">'[28]Feed Page'!#REF!</definedName>
    <definedName name="BLPH181" localSheetId="12" hidden="1">'[28]Feed Page'!#REF!</definedName>
    <definedName name="BLPH182" localSheetId="12" hidden="1">'[28]Feed Page'!#REF!</definedName>
    <definedName name="BLPH183" localSheetId="12" hidden="1">'[28]Feed Page'!#REF!</definedName>
    <definedName name="BLPH184" localSheetId="12" hidden="1">'[28]Feed Page'!#REF!</definedName>
    <definedName name="BLPH195" localSheetId="12" hidden="1">#REF!</definedName>
    <definedName name="BLPH196" localSheetId="12" hidden="1">#REF!</definedName>
    <definedName name="BLPH197" localSheetId="12" hidden="1">#REF!</definedName>
    <definedName name="BLPH198" localSheetId="12" hidden="1">#REF!</definedName>
    <definedName name="BLPH199" localSheetId="12" hidden="1">#REF!</definedName>
    <definedName name="BLPH2" localSheetId="12" hidden="1">#REF!</definedName>
    <definedName name="BLPH200" localSheetId="12" hidden="1">#REF!</definedName>
    <definedName name="BLPH201" localSheetId="12" hidden="1">#REF!</definedName>
    <definedName name="BLPH202" localSheetId="12" hidden="1">#REF!</definedName>
    <definedName name="BLPH203" localSheetId="12" hidden="1">#REF!</definedName>
    <definedName name="BLPH204" localSheetId="12" hidden="1">#REF!</definedName>
    <definedName name="BLPH205" localSheetId="12" hidden="1">#REF!</definedName>
    <definedName name="BLPH206" localSheetId="12" hidden="1">#REF!</definedName>
    <definedName name="BLPH207" localSheetId="12" hidden="1">#REF!</definedName>
    <definedName name="BLPH208" localSheetId="12" hidden="1">#REF!</definedName>
    <definedName name="BLPH209" localSheetId="12" hidden="1">#REF!</definedName>
    <definedName name="BLPH210" localSheetId="12" hidden="1">#REF!</definedName>
    <definedName name="BLPH211" localSheetId="12" hidden="1">#REF!</definedName>
    <definedName name="BLPH212" localSheetId="12" hidden="1">#REF!</definedName>
    <definedName name="BLPH213" localSheetId="12" hidden="1">#REF!</definedName>
    <definedName name="BLPH214" localSheetId="12" hidden="1">#REF!</definedName>
    <definedName name="BLPH215" localSheetId="12" hidden="1">#REF!</definedName>
    <definedName name="BLPH216" localSheetId="12" hidden="1">#REF!</definedName>
    <definedName name="BLPH217" localSheetId="12" hidden="1">#REF!</definedName>
    <definedName name="BLPH218" localSheetId="12" hidden="1">#REF!</definedName>
    <definedName name="BLPH219" localSheetId="12" hidden="1">#REF!</definedName>
    <definedName name="BLPH220" localSheetId="12" hidden="1">#REF!</definedName>
    <definedName name="BLPH221" localSheetId="12" hidden="1">#REF!</definedName>
    <definedName name="BLPH222" localSheetId="12" hidden="1">#REF!</definedName>
    <definedName name="BLPH223" localSheetId="12" hidden="1">#REF!</definedName>
    <definedName name="BLPH224" localSheetId="12" hidden="1">#REF!</definedName>
    <definedName name="BLPH225" localSheetId="12" hidden="1">#REF!</definedName>
    <definedName name="BLPH226" localSheetId="12" hidden="1">#REF!</definedName>
    <definedName name="BLPH227" localSheetId="12" hidden="1">#REF!</definedName>
    <definedName name="BLPH228" localSheetId="12" hidden="1">#REF!</definedName>
    <definedName name="BLPH229" localSheetId="12" hidden="1">#REF!</definedName>
    <definedName name="BLPH230" localSheetId="12" hidden="1">#REF!</definedName>
    <definedName name="BLPH231" localSheetId="12" hidden="1">#REF!</definedName>
    <definedName name="BLPH232" localSheetId="12" hidden="1">#REF!</definedName>
    <definedName name="BLPH233" localSheetId="12" hidden="1">#REF!</definedName>
    <definedName name="BLPH234" localSheetId="12" hidden="1">#REF!</definedName>
    <definedName name="BLPH235" localSheetId="12" hidden="1">#REF!</definedName>
    <definedName name="BLPH236" localSheetId="12" hidden="1">#REF!</definedName>
    <definedName name="BLPH237" localSheetId="12" hidden="1">#REF!</definedName>
    <definedName name="BLPH238" localSheetId="12" hidden="1">#REF!</definedName>
    <definedName name="BLPH239" localSheetId="12" hidden="1">#REF!</definedName>
    <definedName name="BLPH240" localSheetId="12" hidden="1">#REF!</definedName>
    <definedName name="BLPH241" localSheetId="12" hidden="1">#REF!</definedName>
    <definedName name="BLPH242" localSheetId="12" hidden="1">#REF!</definedName>
    <definedName name="BLPH243" localSheetId="12" hidden="1">#REF!</definedName>
    <definedName name="BLPH244" localSheetId="12" hidden="1">#REF!</definedName>
    <definedName name="BLPH245" localSheetId="12" hidden="1">#REF!</definedName>
    <definedName name="BLPH246" localSheetId="12" hidden="1">#REF!</definedName>
    <definedName name="BLPH247" localSheetId="12" hidden="1">#REF!</definedName>
    <definedName name="BLPH248" localSheetId="12" hidden="1">#REF!</definedName>
    <definedName name="BLPH249" localSheetId="12" hidden="1">#REF!</definedName>
    <definedName name="BLPH250" localSheetId="12" hidden="1">#REF!</definedName>
    <definedName name="BLPH251" localSheetId="12" hidden="1">#REF!</definedName>
    <definedName name="BLPH252" localSheetId="12" hidden="1">#REF!</definedName>
    <definedName name="BLPH253" localSheetId="12" hidden="1">#REF!</definedName>
    <definedName name="BLPH254" localSheetId="12" hidden="1">#REF!</definedName>
    <definedName name="BLPH255" localSheetId="12" hidden="1">#REF!</definedName>
    <definedName name="BLPH256" localSheetId="12" hidden="1">#REF!</definedName>
    <definedName name="BLPH257" localSheetId="12" hidden="1">#REF!</definedName>
    <definedName name="BLPH258" localSheetId="12" hidden="1">#REF!</definedName>
    <definedName name="BLPH259" localSheetId="12" hidden="1">#REF!</definedName>
    <definedName name="BLPH260" localSheetId="12" hidden="1">#REF!</definedName>
    <definedName name="BLPH261" localSheetId="12" hidden="1">#REF!</definedName>
    <definedName name="BLPH262" localSheetId="12" hidden="1">#REF!</definedName>
    <definedName name="BLPH263" localSheetId="12" hidden="1">#REF!</definedName>
    <definedName name="BLPH264" localSheetId="12" hidden="1">#REF!</definedName>
    <definedName name="BLPH265" localSheetId="12" hidden="1">#REF!</definedName>
    <definedName name="BLPH266" localSheetId="12" hidden="1">#REF!</definedName>
    <definedName name="BLPH267" localSheetId="12" hidden="1">#REF!</definedName>
    <definedName name="BLPH268" localSheetId="12" hidden="1">#REF!</definedName>
    <definedName name="BLPH269" localSheetId="12" hidden="1">#REF!</definedName>
    <definedName name="BLPH270" localSheetId="12" hidden="1">#REF!</definedName>
    <definedName name="BLPH271" localSheetId="12" hidden="1">#REF!</definedName>
    <definedName name="BLPH272" localSheetId="12" hidden="1">#REF!</definedName>
    <definedName name="BLPH273" localSheetId="12" hidden="1">#REF!</definedName>
    <definedName name="BLPH274" localSheetId="12" hidden="1">#REF!</definedName>
    <definedName name="BLPH275" localSheetId="12" hidden="1">#REF!</definedName>
    <definedName name="BLPH276" localSheetId="12" hidden="1">#REF!</definedName>
    <definedName name="BLPH277" localSheetId="12" hidden="1">#REF!</definedName>
    <definedName name="BLPH278" localSheetId="12" hidden="1">#REF!</definedName>
    <definedName name="BLPH279" localSheetId="12" hidden="1">#REF!</definedName>
    <definedName name="BLPH280" localSheetId="12" hidden="1">#REF!</definedName>
    <definedName name="BLPH281" localSheetId="12" hidden="1">#REF!</definedName>
    <definedName name="BLPH282" localSheetId="12" hidden="1">#REF!</definedName>
    <definedName name="BLPH283" localSheetId="12" hidden="1">#REF!</definedName>
    <definedName name="BLPH284" localSheetId="12" hidden="1">#REF!</definedName>
    <definedName name="BLPH285" localSheetId="12" hidden="1">#REF!</definedName>
    <definedName name="BLPH286" localSheetId="12" hidden="1">#REF!</definedName>
    <definedName name="BLPH287" localSheetId="12" hidden="1">#REF!</definedName>
    <definedName name="BLPH288" localSheetId="12" hidden="1">#REF!</definedName>
    <definedName name="BLPH289" localSheetId="12" hidden="1">#REF!</definedName>
    <definedName name="BLPH290" localSheetId="12" hidden="1">#REF!</definedName>
    <definedName name="BLPH291" localSheetId="12" hidden="1">#REF!</definedName>
    <definedName name="BLPH292" localSheetId="12" hidden="1">#REF!</definedName>
    <definedName name="BLPH293" localSheetId="12" hidden="1">#REF!</definedName>
    <definedName name="BLPH294" localSheetId="12" hidden="1">#REF!</definedName>
    <definedName name="BLPH295" localSheetId="12" hidden="1">#REF!</definedName>
    <definedName name="BLPH296" localSheetId="12" hidden="1">#REF!</definedName>
    <definedName name="BLPH297" localSheetId="12" hidden="1">#REF!</definedName>
    <definedName name="BLPH298" localSheetId="12" hidden="1">#REF!</definedName>
    <definedName name="BLPH299" localSheetId="12" hidden="1">#REF!</definedName>
    <definedName name="BLPH3" localSheetId="12" hidden="1">#REF!</definedName>
    <definedName name="BLPH300" localSheetId="12" hidden="1">#REF!</definedName>
    <definedName name="BLPH301" localSheetId="12" hidden="1">#REF!</definedName>
    <definedName name="BLPH302" localSheetId="12" hidden="1">#REF!</definedName>
    <definedName name="BLPH303" localSheetId="12" hidden="1">#REF!</definedName>
    <definedName name="BLPH304" localSheetId="12" hidden="1">#REF!</definedName>
    <definedName name="BLPH305" localSheetId="12" hidden="1">#REF!</definedName>
    <definedName name="BLPH306" localSheetId="12" hidden="1">#REF!</definedName>
    <definedName name="BLPH307" localSheetId="12" hidden="1">#REF!</definedName>
    <definedName name="BLPH308" localSheetId="12" hidden="1">#REF!</definedName>
    <definedName name="BLPH309" localSheetId="12" hidden="1">#REF!</definedName>
    <definedName name="BLPH310" localSheetId="12" hidden="1">#REF!</definedName>
    <definedName name="BLPH311" localSheetId="12" hidden="1">#REF!</definedName>
    <definedName name="BLPH312" localSheetId="12" hidden="1">#REF!</definedName>
    <definedName name="BLPH313" localSheetId="12" hidden="1">#REF!</definedName>
    <definedName name="BLPH314" localSheetId="12" hidden="1">#REF!</definedName>
    <definedName name="BLPH315" localSheetId="12" hidden="1">#REF!</definedName>
    <definedName name="BLPH316" localSheetId="12" hidden="1">#REF!</definedName>
    <definedName name="BLPH317" localSheetId="12" hidden="1">#REF!</definedName>
    <definedName name="BLPH318" localSheetId="12" hidden="1">#REF!</definedName>
    <definedName name="BLPH319" localSheetId="12" hidden="1">#REF!</definedName>
    <definedName name="BLPH320" localSheetId="12" hidden="1">#REF!</definedName>
    <definedName name="BLPH321" localSheetId="12" hidden="1">#REF!</definedName>
    <definedName name="BLPH322" localSheetId="12" hidden="1">#REF!</definedName>
    <definedName name="BLPH323" localSheetId="12" hidden="1">#REF!</definedName>
    <definedName name="BLPH324" localSheetId="12" hidden="1">#REF!</definedName>
    <definedName name="BLPH325" localSheetId="12" hidden="1">#REF!</definedName>
    <definedName name="BLPH326" localSheetId="12" hidden="1">#REF!</definedName>
    <definedName name="BLPH327" localSheetId="12" hidden="1">#REF!</definedName>
    <definedName name="BLPH328" localSheetId="12" hidden="1">#REF!</definedName>
    <definedName name="BLPH329" localSheetId="12" hidden="1">#REF!</definedName>
    <definedName name="BLPH330" localSheetId="12" hidden="1">#REF!</definedName>
    <definedName name="BLPH331" localSheetId="12" hidden="1">#REF!</definedName>
    <definedName name="BLPH332" localSheetId="12" hidden="1">#REF!</definedName>
    <definedName name="BLPH333" localSheetId="12" hidden="1">#REF!</definedName>
    <definedName name="BLPH334" localSheetId="12" hidden="1">#REF!</definedName>
    <definedName name="BLPH335" localSheetId="12" hidden="1">#REF!</definedName>
    <definedName name="BLPH336" localSheetId="12" hidden="1">#REF!</definedName>
    <definedName name="BLPH337" localSheetId="12" hidden="1">#REF!</definedName>
    <definedName name="BLPH338" localSheetId="12" hidden="1">#REF!</definedName>
    <definedName name="BLPH339" localSheetId="12" hidden="1">#REF!</definedName>
    <definedName name="BLPH340" localSheetId="12" hidden="1">#REF!</definedName>
    <definedName name="BLPH341" localSheetId="12" hidden="1">#REF!</definedName>
    <definedName name="BLPH342" localSheetId="12" hidden="1">#REF!</definedName>
    <definedName name="BLPH343" localSheetId="12" hidden="1">#REF!</definedName>
    <definedName name="BLPH344" localSheetId="12" hidden="1">#REF!</definedName>
    <definedName name="BLPH345" localSheetId="12" hidden="1">#REF!</definedName>
    <definedName name="BLPH346" localSheetId="12" hidden="1">#REF!</definedName>
    <definedName name="BLPH347" localSheetId="12" hidden="1">#REF!</definedName>
    <definedName name="BLPH348" localSheetId="12" hidden="1">#REF!</definedName>
    <definedName name="BLPH349" localSheetId="12" hidden="1">#REF!</definedName>
    <definedName name="BLPH35" localSheetId="12" hidden="1">'[28]Feed Page'!#REF!</definedName>
    <definedName name="BLPH350" localSheetId="12" hidden="1">#REF!</definedName>
    <definedName name="BLPH351" localSheetId="12" hidden="1">#REF!</definedName>
    <definedName name="BLPH352" localSheetId="12" hidden="1">#REF!</definedName>
    <definedName name="BLPH353" localSheetId="12" hidden="1">#REF!</definedName>
    <definedName name="BLPH354" localSheetId="12" hidden="1">#REF!</definedName>
    <definedName name="BLPH355" localSheetId="12" hidden="1">#REF!</definedName>
    <definedName name="BLPH356" localSheetId="12" hidden="1">#REF!</definedName>
    <definedName name="BLPH357" localSheetId="12" hidden="1">#REF!</definedName>
    <definedName name="BLPH358" localSheetId="12" hidden="1">#REF!</definedName>
    <definedName name="BLPH359" localSheetId="12" hidden="1">#REF!</definedName>
    <definedName name="BLPH36" localSheetId="12" hidden="1">'[28]Feed Page'!#REF!</definedName>
    <definedName name="BLPH360" localSheetId="12" hidden="1">#REF!</definedName>
    <definedName name="BLPH361" localSheetId="12" hidden="1">#REF!</definedName>
    <definedName name="BLPH362" localSheetId="12" hidden="1">#REF!</definedName>
    <definedName name="BLPH363" localSheetId="12" hidden="1">#REF!</definedName>
    <definedName name="BLPH364" localSheetId="12" hidden="1">#REF!</definedName>
    <definedName name="BLPH365" localSheetId="12" hidden="1">#REF!</definedName>
    <definedName name="BLPH366" localSheetId="12" hidden="1">#REF!</definedName>
    <definedName name="BLPH367" localSheetId="12" hidden="1">#REF!</definedName>
    <definedName name="BLPH368" localSheetId="12" hidden="1">#REF!</definedName>
    <definedName name="BLPH369" localSheetId="12" hidden="1">#REF!</definedName>
    <definedName name="BLPH370" localSheetId="12" hidden="1">#REF!</definedName>
    <definedName name="BLPH371" localSheetId="12" hidden="1">#REF!</definedName>
    <definedName name="BLPH372" localSheetId="12" hidden="1">#REF!</definedName>
    <definedName name="BLPH373" localSheetId="12" hidden="1">#REF!</definedName>
    <definedName name="BLPH374" localSheetId="12" hidden="1">#REF!</definedName>
    <definedName name="BLPH375" localSheetId="12" hidden="1">#REF!</definedName>
    <definedName name="BLPH376" localSheetId="12" hidden="1">#REF!</definedName>
    <definedName name="BLPH377" localSheetId="12" hidden="1">#REF!</definedName>
    <definedName name="BLPH378" localSheetId="12" hidden="1">#REF!</definedName>
    <definedName name="BLPH379" localSheetId="12" hidden="1">#REF!</definedName>
    <definedName name="BLPH380" localSheetId="12" hidden="1">#REF!</definedName>
    <definedName name="BLPH381" localSheetId="12" hidden="1">#REF!</definedName>
    <definedName name="BLPH382" localSheetId="12" hidden="1">#REF!</definedName>
    <definedName name="BLPH383" localSheetId="12" hidden="1">#REF!</definedName>
    <definedName name="BLPH384" localSheetId="12" hidden="1">#REF!</definedName>
    <definedName name="BLPH385" localSheetId="12" hidden="1">#REF!</definedName>
    <definedName name="BLPH386" localSheetId="12" hidden="1">#REF!</definedName>
    <definedName name="BLPH387" localSheetId="12" hidden="1">#REF!</definedName>
    <definedName name="BLPH388" localSheetId="12" hidden="1">#REF!</definedName>
    <definedName name="BLPH389" localSheetId="12" hidden="1">#REF!</definedName>
    <definedName name="BLPH390" localSheetId="12" hidden="1">#REF!</definedName>
    <definedName name="BLPH391" localSheetId="12" hidden="1">#REF!</definedName>
    <definedName name="BLPH392" localSheetId="12" hidden="1">#REF!</definedName>
    <definedName name="BLPH393" localSheetId="12" hidden="1">#REF!</definedName>
    <definedName name="BLPH394" localSheetId="12" hidden="1">#REF!</definedName>
    <definedName name="BLPH395" localSheetId="12" hidden="1">#REF!</definedName>
    <definedName name="BLPH396" localSheetId="12" hidden="1">#REF!</definedName>
    <definedName name="BLPH397" localSheetId="12" hidden="1">#REF!</definedName>
    <definedName name="BLPH398" localSheetId="12" hidden="1">#REF!</definedName>
    <definedName name="BLPH399" localSheetId="12" hidden="1">#REF!</definedName>
    <definedName name="BLPH4" localSheetId="12" hidden="1">#REF!</definedName>
    <definedName name="BLPH400" localSheetId="12" hidden="1">#REF!</definedName>
    <definedName name="BLPH401" localSheetId="12" hidden="1">#REF!</definedName>
    <definedName name="BLPH402" localSheetId="12" hidden="1">#REF!</definedName>
    <definedName name="BLPH403" localSheetId="12" hidden="1">#REF!</definedName>
    <definedName name="BLPH404" localSheetId="12" hidden="1">#REF!</definedName>
    <definedName name="BLPH405" localSheetId="12" hidden="1">#REF!</definedName>
    <definedName name="BLPH406" localSheetId="12" hidden="1">#REF!</definedName>
    <definedName name="BLPH407" localSheetId="12" hidden="1">#REF!</definedName>
    <definedName name="BLPH408" localSheetId="12" hidden="1">#REF!</definedName>
    <definedName name="BLPH409" localSheetId="12" hidden="1">#REF!</definedName>
    <definedName name="BLPH410" localSheetId="12" hidden="1">#REF!</definedName>
    <definedName name="BLPH411" localSheetId="12" hidden="1">#REF!</definedName>
    <definedName name="BLPH412" localSheetId="12" hidden="1">#REF!</definedName>
    <definedName name="BLPH413" localSheetId="12" hidden="1">#REF!</definedName>
    <definedName name="BLPH414" localSheetId="12" hidden="1">#REF!</definedName>
    <definedName name="BLPH415" localSheetId="12" hidden="1">#REF!</definedName>
    <definedName name="BLPH416" localSheetId="12" hidden="1">#REF!</definedName>
    <definedName name="BLPH417" localSheetId="12" hidden="1">#REF!</definedName>
    <definedName name="BLPH418" localSheetId="12" hidden="1">#REF!</definedName>
    <definedName name="BLPH419" localSheetId="12" hidden="1">#REF!</definedName>
    <definedName name="BLPH420" localSheetId="12" hidden="1">#REF!</definedName>
    <definedName name="BLPH421" localSheetId="12" hidden="1">#REF!</definedName>
    <definedName name="BLPH422" localSheetId="12" hidden="1">#REF!</definedName>
    <definedName name="BLPH423" localSheetId="12" hidden="1">#REF!</definedName>
    <definedName name="BLPH424" localSheetId="12" hidden="1">#REF!</definedName>
    <definedName name="BLPH425" localSheetId="12" hidden="1">#REF!</definedName>
    <definedName name="BLPH426" localSheetId="12" hidden="1">#REF!</definedName>
    <definedName name="BLPH427" localSheetId="12" hidden="1">#REF!</definedName>
    <definedName name="BLPH428" localSheetId="12" hidden="1">#REF!</definedName>
    <definedName name="BLPH429" localSheetId="12" hidden="1">#REF!</definedName>
    <definedName name="BLPH430" localSheetId="12" hidden="1">#REF!</definedName>
    <definedName name="BLPH431" localSheetId="12" hidden="1">#REF!</definedName>
    <definedName name="BLPH432" localSheetId="12" hidden="1">#REF!</definedName>
    <definedName name="BLPH433" localSheetId="12" hidden="1">#REF!</definedName>
    <definedName name="BLPH434" localSheetId="12" hidden="1">#REF!</definedName>
    <definedName name="BLPH435" localSheetId="12" hidden="1">#REF!</definedName>
    <definedName name="BLPH436" localSheetId="12" hidden="1">#REF!</definedName>
    <definedName name="BLPH437" localSheetId="12" hidden="1">#REF!</definedName>
    <definedName name="BLPH438" localSheetId="12" hidden="1">#REF!</definedName>
    <definedName name="BLPH439" localSheetId="12" hidden="1">#REF!</definedName>
    <definedName name="BLPH440" localSheetId="12" hidden="1">#REF!</definedName>
    <definedName name="BLPH441" localSheetId="12" hidden="1">#REF!</definedName>
    <definedName name="BLPH442" localSheetId="12" hidden="1">#REF!</definedName>
    <definedName name="BLPH443" localSheetId="12" hidden="1">#REF!</definedName>
    <definedName name="BLPH444" localSheetId="12" hidden="1">#REF!</definedName>
    <definedName name="BLPH445" localSheetId="12" hidden="1">#REF!</definedName>
    <definedName name="BLPH446" localSheetId="12" hidden="1">#REF!</definedName>
    <definedName name="BLPH447" localSheetId="12" hidden="1">#REF!</definedName>
    <definedName name="BLPH448" localSheetId="12" hidden="1">#REF!</definedName>
    <definedName name="BLPH459" localSheetId="12" hidden="1">#REF!</definedName>
    <definedName name="BLPH460" localSheetId="12" hidden="1">#REF!</definedName>
    <definedName name="BLPH461" localSheetId="12" hidden="1">#REF!</definedName>
    <definedName name="BLPH462" localSheetId="12" hidden="1">#REF!</definedName>
    <definedName name="BLPH463" localSheetId="12" hidden="1">#REF!</definedName>
    <definedName name="BLPH464" localSheetId="12" hidden="1">#REF!</definedName>
    <definedName name="BLPH465" localSheetId="12" hidden="1">#REF!</definedName>
    <definedName name="BLPH466" localSheetId="12" hidden="1">#REF!</definedName>
    <definedName name="BLPH467" localSheetId="12" hidden="1">#REF!</definedName>
    <definedName name="BLPH468" localSheetId="12" hidden="1">#REF!</definedName>
    <definedName name="BLPH469" localSheetId="12" hidden="1">#REF!</definedName>
    <definedName name="BLPH470" localSheetId="12" hidden="1">#REF!</definedName>
    <definedName name="BLPH471" localSheetId="12" hidden="1">#REF!</definedName>
    <definedName name="BLPH472" localSheetId="12" hidden="1">#REF!</definedName>
    <definedName name="BLPH473" localSheetId="12" hidden="1">#REF!</definedName>
    <definedName name="BLPH474" localSheetId="12" hidden="1">#REF!</definedName>
    <definedName name="BLPH475" localSheetId="12" hidden="1">#REF!</definedName>
    <definedName name="BLPH476" localSheetId="12" hidden="1">#REF!</definedName>
    <definedName name="BLPH477" localSheetId="12" hidden="1">#REF!</definedName>
    <definedName name="BLPH478" localSheetId="12" hidden="1">#REF!</definedName>
    <definedName name="BLPH479" localSheetId="12" hidden="1">#REF!</definedName>
    <definedName name="BLPH480" localSheetId="12" hidden="1">#REF!</definedName>
    <definedName name="BLPH481" localSheetId="12" hidden="1">#REF!</definedName>
    <definedName name="BLPH482" localSheetId="12" hidden="1">#REF!</definedName>
    <definedName name="BLPH483" localSheetId="12" hidden="1">#REF!</definedName>
    <definedName name="BLPH484" localSheetId="12" hidden="1">#REF!</definedName>
    <definedName name="BLPH485" localSheetId="12" hidden="1">#REF!</definedName>
    <definedName name="BLPH486" localSheetId="12" hidden="1">#REF!</definedName>
    <definedName name="BLPH487" localSheetId="12" hidden="1">#REF!</definedName>
    <definedName name="BLPH488" localSheetId="12" hidden="1">#REF!</definedName>
    <definedName name="BLPH489" localSheetId="12" hidden="1">#REF!</definedName>
    <definedName name="BLPH490" localSheetId="12" hidden="1">#REF!</definedName>
    <definedName name="BLPH491" localSheetId="12" hidden="1">#REF!</definedName>
    <definedName name="BLPH492" localSheetId="12" hidden="1">#REF!</definedName>
    <definedName name="BLPH493" localSheetId="12" hidden="1">#REF!</definedName>
    <definedName name="BLPH494" localSheetId="12" hidden="1">#REF!</definedName>
    <definedName name="BLPH495" localSheetId="12" hidden="1">#REF!</definedName>
    <definedName name="BLPH496" localSheetId="12" hidden="1">#REF!</definedName>
    <definedName name="BLPH497" localSheetId="12" hidden="1">#REF!</definedName>
    <definedName name="BLPH498" localSheetId="12" hidden="1">#REF!</definedName>
    <definedName name="BLPH499" localSheetId="12" hidden="1">#REF!</definedName>
    <definedName name="BLPH50" localSheetId="12" hidden="1">'[28]Feed Page'!#REF!</definedName>
    <definedName name="BLPH51" localSheetId="12" hidden="1">'[28]Feed Page'!#REF!</definedName>
    <definedName name="BLPH6" localSheetId="12" hidden="1">'[28]Feed Page'!#REF!</definedName>
    <definedName name="BLUE" localSheetId="12" hidden="1">{#N/A,#N/A,FALSE,"Barranca"}</definedName>
    <definedName name="BLUE1" localSheetId="12" hidden="1">{#N/A,#N/A,FALSE,"Total";#N/A,#N/A,FALSE,"Sew";#N/A,#N/A,FALSE,"Finish";#N/A,#N/A,FALSE,"CUT";#N/A,#N/A,FALSE,"Mill 5";#N/A,#N/A,FALSE,"Mill 6";#N/A,#N/A,FALSE,"Mill 8";#N/A,#N/A,FALSE,"Mill 9";#N/A,#N/A,FALSE,"Mill 10";#N/A,#N/A,FALSE,"Mill 12";#N/A,#N/A,FALSE,"Mill 15";#N/A,#N/A,FALSE,"Mill 17"}</definedName>
    <definedName name="BM" localSheetId="12" hidden="1">{"EBITDA",#N/A,TRUE,"P&amp;L Net of Disc Ops";"output net of disc ops",#N/A,TRUE,"Revenue";"input",#N/A,TRUE,"Revenue";"output",#N/A,TRUE,"DC";"Input",#N/A,TRUE,"DC";"MTN and MCN",#N/A,TRUE,"Margin";"output detail line items",#N/A,TRUE,"SGA";"personnel by year",#N/A,TRUE,"Payroll";#N/A,#N/A,TRUE,"CapEx"}</definedName>
    <definedName name="BNE_MESSAGES_HIDDEN" localSheetId="12" hidden="1">#REF!</definedName>
    <definedName name="bnm" localSheetId="12" hidden="1">{#N/A,#N/A,FALSE,"REPORT"}</definedName>
    <definedName name="bnnn" localSheetId="12" hidden="1">{"consolidated",#N/A,FALSE,"Sheet1";"cms",#N/A,FALSE,"Sheet1";"fse",#N/A,FALSE,"Sheet1"}</definedName>
    <definedName name="Bracket_0" localSheetId="12">#REF!</definedName>
    <definedName name="Bracket_1" localSheetId="12">#REF!</definedName>
    <definedName name="Bracket_2" localSheetId="12">#REF!</definedName>
    <definedName name="Bracket_3" localSheetId="12">#REF!</definedName>
    <definedName name="Bracket_4" localSheetId="12">#REF!</definedName>
    <definedName name="Bracket_5" localSheetId="12">#REF!</definedName>
    <definedName name="Bracket_6" localSheetId="12">#REF!</definedName>
    <definedName name="Bracket_7" localSheetId="12">#REF!</definedName>
    <definedName name="Bracket_8" localSheetId="12">#REF!</definedName>
    <definedName name="Brightline" localSheetId="12" hidden="1">{"Curr Month",#N/A,FALSE,"Curr Mo";"Total West",#N/A,FALSE,"Curr Mo";"YTD",#N/A,FALSE,"Curr Mo";"12 Months",#N/A,FALSE,"Curr Mo";"13 Months",#N/A,FALSE,"Curr Mo";"14 Months",#N/A,FALSE,"Curr Mo";"15 Months",#N/A,FALSE,"Curr Mo";"43 Months",#N/A,FALSE,"Curr Mo";"45 Months",#N/A,FALSE,"Curr Mo";"63 Months",#N/A,FALSE,"Curr Mo"}</definedName>
    <definedName name="Briteline" localSheetId="12" hidden="1">{"Curr Month",#N/A,FALSE,"Curr Mo";"Total West",#N/A,FALSE,"Curr Mo";"YTD",#N/A,FALSE,"Curr Mo";"12 Months",#N/A,FALSE,"Curr Mo";"13 Months",#N/A,FALSE,"Curr Mo";"14 Months",#N/A,FALSE,"Curr Mo";"15 Months",#N/A,FALSE,"Curr Mo";"43 Months",#N/A,FALSE,"Curr Mo";"45 Months",#N/A,FALSE,"Curr Mo";"63 Months",#N/A,FALSE,"Curr Mo"}</definedName>
    <definedName name="briteline___" localSheetId="12" hidden="1">{"Curr Month",#N/A,FALSE,"Curr Mo";"Total West",#N/A,FALSE,"Curr Mo";"YTD",#N/A,FALSE,"Curr Mo";"12 Months",#N/A,FALSE,"Curr Mo";"13 Months",#N/A,FALSE,"Curr Mo";"14 Months",#N/A,FALSE,"Curr Mo";"15 Months",#N/A,FALSE,"Curr Mo";"43 Months",#N/A,FALSE,"Curr Mo";"45 Months",#N/A,FALSE,"Curr Mo";"63 Months",#N/A,FALSE,"Curr Mo"}</definedName>
    <definedName name="BROWN" localSheetId="1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S" localSheetId="12">#REF!</definedName>
    <definedName name="BSSSS" localSheetId="12" hidden="1">[4]Proforma!#REF!</definedName>
    <definedName name="budget1" localSheetId="12" hidden="1">{"Overview",#N/A,TRUE,"Overview";"New Gen",#N/A,TRUE,"New Gen";"cap-ex",#N/A,TRUE,"Consol cap-ex";"cap-ex",#N/A,TRUE,"APC cap-ex";"cap-ex",#N/A,TRUE,"GPC cap-ex";"cap-ex",#N/A,TRUE,"GUL cap-ex";"cap-ex",#N/A,TRUE,"MPC cap-ex";"cap-ex",#N/A,TRUE,"SAV cap-ex";"cap-ex",#N/A,TRUE,"SEGCO cap-ex";"cap-ex",#N/A,TRUE,"SWE cap-ex"}</definedName>
    <definedName name="BudgetSumm" localSheetId="12" hidden="1">{#N/A,#N/A,FALSE,"Cashflow Analysis";#N/A,#N/A,FALSE,"Sensitivity Analysis";#N/A,#N/A,FALSE,"PV";#N/A,#N/A,FALSE,"Pro Forma"}</definedName>
    <definedName name="BudgetSumm.2" localSheetId="12" hidden="1">{#N/A,#N/A,FALSE,"Cashflow Analysis";#N/A,#N/A,FALSE,"Sensitivity Analysis";#N/A,#N/A,FALSE,"PV";#N/A,#N/A,FALSE,"Pro Forma"}</definedName>
    <definedName name="c.LTMYear" localSheetId="12" hidden="1">#REF!</definedName>
    <definedName name="cade" localSheetId="12" hidden="1">{"FCB_ALL",#N/A,FALSE,"FCB"}</definedName>
    <definedName name="cads" localSheetId="12" hidden="1">{"FCB_ALL",#N/A,FALSE,"FCB"}</definedName>
    <definedName name="cadsf" localSheetId="12" hidden="1">{"FCB_ALL",#N/A,FALSE,"FCB"}</definedName>
    <definedName name="caega" localSheetId="12" hidden="1">{"FCB_ALL",#N/A,FALSE,"FCB"}</definedName>
    <definedName name="caer" localSheetId="12" hidden="1">{"FCB_ALL",#N/A,FALSE,"FCB"}</definedName>
    <definedName name="cagare" localSheetId="12" hidden="1">{"FCB_ALL",#N/A,FALSE,"FCB"}</definedName>
    <definedName name="cancel" localSheetId="12" hidden="1">{"PARTNERS CAPITAL STMT",#N/A,FALSE,"Partners Capital"}</definedName>
    <definedName name="cancel2" localSheetId="12" hidden="1">{"PNLProjDL",#N/A,FALSE,"PROJCO";"PNLParDL",#N/A,FALSE,"Parent"}</definedName>
    <definedName name="cancel3" localSheetId="12" hidden="1">{"Summary",#N/A,FALSE,"MICMULT";"Income Statement",#N/A,FALSE,"MICMULT";"Cash Flows",#N/A,FALSE,"MICMULT"}</definedName>
    <definedName name="cap.pos" localSheetId="1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apacity" localSheetId="12" hidden="1">{#N/A,#N/A,FALSE,"IPO";#N/A,#N/A,FALSE,"DCF";#N/A,#N/A,FALSE,"LBO";#N/A,#N/A,FALSE,"MULT_VAL";#N/A,#N/A,FALSE,"Status Quo";#N/A,#N/A,FALSE,"Recap"}</definedName>
    <definedName name="CapCase" localSheetId="12">#REF!</definedName>
    <definedName name="cavde" localSheetId="12" hidden="1">{"FCB_ALL",#N/A,FALSE,"FCB"}</definedName>
    <definedName name="cc" localSheetId="12" hidden="1">{"bs",#N/A,FALSE,"SCF"}</definedName>
    <definedName name="ccc" localSheetId="12" hidden="1">{#N/A,#N/A,TRUE,"Summary";#N/A,#N/A,TRUE,"Assumptions";#N/A,#N/A,TRUE,"Comparison";#N/A,#N/A,TRUE,"Financials";#N/A,#N/A,TRUE,"Plan v. Act"}</definedName>
    <definedName name="cccc" localSheetId="12" hidden="1">{#N/A,#N/A,FALSE,"Assessment";#N/A,#N/A,FALSE,"Staffing";#N/A,#N/A,FALSE,"Hires";#N/A,#N/A,FALSE,"Assumptions"}</definedName>
    <definedName name="CCOmps" localSheetId="12" hidden="1">{"page1",#N/A,TRUE,"PRICING";"page2",#N/A,TRUE,"PRICING"}</definedName>
    <definedName name="cd0" localSheetId="12" hidden="1">{#N/A,#N/A,FALSE,"Job Sched"}</definedName>
    <definedName name="cdsds" localSheetId="12" hidden="1">{#N/A,#N/A,TRUE,"BUD VS ACT AUST 96";#N/A,#N/A,TRUE,"96 COMP P&amp;L-AUST";#N/A,#N/A,TRUE,"COMP BS-AUSTRALIA";#N/A,#N/A,TRUE,"B/S - AUSTR."}</definedName>
    <definedName name="CDW" localSheetId="12" hidden="1">{#N/A,#N/A,FALSE,"Job Sched"}</definedName>
    <definedName name="CFFleet" localSheetId="12" hidden="1">{#N/A,#N/A,FALSE,"Cover";#N/A,#N/A,FALSE,"TOC";#N/A,#N/A,FALSE,"IS";#N/A,#N/A,FALSE,"Mo. IS";#N/A,#N/A,FALSE,"Cont By Div";#N/A,#N/A,FALSE,"BS";#N/A,#N/A,FALSE,"CF";#N/A,#N/A,FALSE,"Inventory"}</definedName>
    <definedName name="cgaf" localSheetId="12" hidden="1">{"FCB_ALL",#N/A,FALSE,"FCB"}</definedName>
    <definedName name="cgafde" localSheetId="12" hidden="1">{"FCB_ALL",#N/A,FALSE,"FCB"}</definedName>
    <definedName name="ChangeRange" localSheetId="12" hidden="1">[29]!ChangeRange</definedName>
    <definedName name="Chart" localSheetId="12" hidden="1">{#N/A,#N/A,FALSE,"Pharm";#N/A,#N/A,FALSE,"WWCM"}</definedName>
    <definedName name="chartNew" localSheetId="12" hidden="1">{#N/A,#N/A,FALSE,"SUMMARY";#N/A,#N/A,FALSE,"mcsh";#N/A,#N/A,FALSE,"vol&amp;rev";#N/A,#N/A,FALSE,"wkgcap";#N/A,#N/A,FALSE,"DEPR&amp;DT";#N/A,#N/A,FALSE,"ASSETS";#N/A,#N/A,FALSE,"NI&amp;OTH&amp;DIV";#N/A,#N/A,FALSE,"CASHFLOW";#N/A,#N/A,FALSE,"CAPEMPL";#N/A,#N/A,FALSE,"ROCE"}</definedName>
    <definedName name="check2" localSheetId="12" hidden="1">{#N/A,#N/A,FALSE,"Cashflow Analysis";#N/A,#N/A,FALSE,"Sensitivity Analysis";#N/A,#N/A,FALSE,"PV";#N/A,#N/A,FALSE,"Pro Forma"}</definedName>
    <definedName name="cheryl" localSheetId="12" hidden="1">{#N/A,#N/A,FALSE,"Barranca"}</definedName>
    <definedName name="chgeas" localSheetId="12" hidden="1">{"FCB_ALL",#N/A,FALSE,"FCB"}</definedName>
    <definedName name="chosie" localSheetId="12" hidden="1">{#N/A,#N/A,FALSE,"Pharm";#N/A,#N/A,FALSE,"WWCM"}</definedName>
    <definedName name="CIQWBGuid" localSheetId="12" hidden="1">"1869515b-2ebb-45a5-a673-ca1112c5987b"</definedName>
    <definedName name="Circ" localSheetId="12">[30]Assumptions!$U$5</definedName>
    <definedName name="CircHP" localSheetId="12">#REF!</definedName>
    <definedName name="CircMaster" localSheetId="12">'[31]General Assumptions'!$F$8</definedName>
    <definedName name="cmmt" localSheetId="12">#REF!</definedName>
    <definedName name="CO2out" localSheetId="12">[32]Control!$F$409</definedName>
    <definedName name="CoalHV" localSheetId="12">'[32]Price Page Factors'!$A$4</definedName>
    <definedName name="Coalout" localSheetId="12">[32]Control!$F$379</definedName>
    <definedName name="code" localSheetId="12">#REF!</definedName>
    <definedName name="COGstandard" localSheetId="12" hidden="1">{#N/A,#N/A,FALSE,"Pharm";#N/A,#N/A,FALSE,"WWCM"}</definedName>
    <definedName name="comm" localSheetId="12" hidden="1">{"PAGE 1",#N/A,FALSE,"WEST_OT"}</definedName>
    <definedName name="comm2" localSheetId="12" hidden="1">{"PAGE 1",#N/A,FALSE,"WEST_OT"}</definedName>
    <definedName name="comm3" localSheetId="12" hidden="1">{"PAGE 1",#N/A,FALSE,"WEST_OT"}</definedName>
    <definedName name="commrev2" localSheetId="12" hidden="1">{"PAGE 1",#N/A,FALSE,"WEST_OT"}</definedName>
    <definedName name="Company" localSheetId="12">'[33]Drop downs'!$C$2:$C$6</definedName>
    <definedName name="Compco1" localSheetId="12" hidden="1">{"Page1",#N/A,FALSE,"CompCo";"Page2",#N/A,FALSE,"CompCo"}</definedName>
    <definedName name="Compco2" localSheetId="12" hidden="1">{"Page1",#N/A,FALSE,"CompCo";"Page2",#N/A,FALSE,"CompCo"}</definedName>
    <definedName name="compound_period" localSheetId="12">INDEX({2,12,4,1},MATCH(#REF!,'EBITDA Adjustments 2026'!compound_periods,0))</definedName>
    <definedName name="compound_periods" localSheetId="12">{"Semi-Annually";"Monthly";"Quarterly";"Annually"}</definedName>
    <definedName name="conflict" localSheetId="12" hidden="1">{"arpm1995",#N/A,FALSE,"Summary 95-96";"bus_long_distance",#N/A,FALSE,"Summary 95-96";"mins_per_day",#N/A,FALSE,"Summary 95-96";"minutes1995",#N/A,FALSE,"Summary 95-96";"rev_per_day",#N/A,FALSE,"Summary 95-96";"view1995",#N/A,FALSE,"Summary 95-96"}</definedName>
    <definedName name="consumer" localSheetId="12" hidden="1">{"'Sheet1'!$A$5:$G$42"}</definedName>
    <definedName name="ContentsHelp" localSheetId="12" hidden="1">[29]!ContentsHelp</definedName>
    <definedName name="copin" localSheetId="12" hidden="1">{#N/A,#N/A,TRUE,"RESUMEN ECON.";#N/A,#N/A,TRUE,"Costos de R.H.";#N/A,#N/A,TRUE,"COSTO HW";#N/A,#N/A,TRUE,"CUADROS";#N/A,#N/A,TRUE,"SCADA´s";#N/A,#N/A,TRUE,"PRECIOS EQUIPOS"}</definedName>
    <definedName name="copon" localSheetId="12" hidden="1">{#N/A,#N/A,FALSE,"RESUMEN ECON.";#N/A,#N/A,FALSE,"Costos de R.H.";#N/A,#N/A,FALSE,"COSTO HW";#N/A,#N/A,FALSE,"CUADROS";#N/A,#N/A,FALSE,"SCADA´s";#N/A,#N/A,FALSE,"PRECIOS EQUIPOS"}</definedName>
    <definedName name="COPY" localSheetId="12" hidden="1">{#N/A,#N/A,FALSE,"Pharm";#N/A,#N/A,FALSE,"WWCM"}</definedName>
    <definedName name="copy1" localSheetId="12" hidden="1">{#N/A,#N/A,FALSE,"Pharm";#N/A,#N/A,FALSE,"WWCM"}</definedName>
    <definedName name="COPY2" localSheetId="12" hidden="1">{#N/A,#N/A,FALSE,"Pharm";#N/A,#N/A,FALSE,"WWCM"}</definedName>
    <definedName name="copy233" localSheetId="12" hidden="1">{#N/A,#N/A,FALSE,"Pharm";#N/A,#N/A,FALSE,"WWCM"}</definedName>
    <definedName name="copy33" localSheetId="12" hidden="1">{#N/A,#N/A,FALSE,"Pharm";#N/A,#N/A,FALSE,"WWCM"}</definedName>
    <definedName name="copy38" localSheetId="12" hidden="1">{#N/A,#N/A,FALSE,"Pharm";#N/A,#N/A,FALSE,"WWCM"}</definedName>
    <definedName name="corp" localSheetId="12" hidden="1">{#N/A,#N/A,TRUE,"BUD VS ACT AUST 96";#N/A,#N/A,TRUE,"96 COMP P&amp;L-AUST";#N/A,#N/A,TRUE,"COMP BS-AUSTRALIA";#N/A,#N/A,TRUE,"B/S - AUSTR."}</definedName>
    <definedName name="Costes" localSheetId="12" hidden="1">{#N/A,#N/A,TRUE,"RESUMEN ECON.";#N/A,#N/A,TRUE,"Costos de R.H.";#N/A,#N/A,TRUE,"COSTO HW";#N/A,#N/A,TRUE,"CUADROS";#N/A,#N/A,TRUE,"SCADA´s";#N/A,#N/A,TRUE,"PRECIOS EQUIPOS"}</definedName>
    <definedName name="costofrev" localSheetId="12" hidden="1">{"qtrly summ-FY01",#N/A,FALSE,"P &amp; L";"monthly P&amp;L-FY01",#N/A,FALSE,"P &amp; L";"cash flow - FY01",#N/A,FALSE,"P &amp; L";"P&amp;L FY01",#N/A,FALSE,"P &amp; L";"BS FY01",#N/A,FALSE,"P &amp; L";"staffing - FY01",#N/A,FALSE,"P &amp; L"}</definedName>
    <definedName name="coun" localSheetId="12" hidden="1">{#N/A,#N/A,FALSE,"Assessment";#N/A,#N/A,FALSE,"Staffing";#N/A,#N/A,FALSE,"Hires";#N/A,#N/A,FALSE,"Assumptions"}</definedName>
    <definedName name="COUNTRY" localSheetId="12" hidden="1">{#N/A,#N/A,FALSE,"Assessment";#N/A,#N/A,FALSE,"Staffing";#N/A,#N/A,FALSE,"Hires";#N/A,#N/A,FALSE,"Assumptions"}</definedName>
    <definedName name="cpvs" localSheetId="1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reateTable" localSheetId="12" hidden="1">[29]!CreateTable</definedName>
    <definedName name="credit1" localSheetId="12" hidden="1">{#N/A,#N/A,TRUE,"Overview";#N/A,#N/A,TRUE,"New Gen"}</definedName>
    <definedName name="CSG" localSheetId="12" hidden="1">{"cap_structure",#N/A,FALSE,"Graph-Mkt Cap";"price",#N/A,FALSE,"Graph-Price";"ebit",#N/A,FALSE,"Graph-EBITDA";"ebitda",#N/A,FALSE,"Graph-EBITDA"}</definedName>
    <definedName name="Cur_Month_Actual" localSheetId="12">[34]data!$A$2:$A$61124</definedName>
    <definedName name="CurrentLoan" localSheetId="12">(#REF!*#REF!*#REF!*#REF!)&gt;0</definedName>
    <definedName name="cvade" localSheetId="12" hidden="1">{"FCB_ALL",#N/A,FALSE,"FCB"}</definedName>
    <definedName name="cvb" localSheetId="12" hidden="1">{#N/A,#N/A,FALSE,"TABLE_1 YTD";#N/A,#N/A,FALSE,"TABLE_1A QTD";#N/A,#N/A,FALSE,"NORMAL_SPREAD_QTD";#N/A,#N/A,FALSE,"NORMAL_SPREAD_YTD";#N/A,#N/A,FALSE,"TAX_EQV";#N/A,#N/A,FALSE,"TAX EQUIV_INPUT";#N/A,#N/A,FALSE,"NET FROM FER";#N/A,#N/A,FALSE,"COVER"}</definedName>
    <definedName name="Cwvu.GREY_ALL." localSheetId="12" hidden="1">[35]INQ!#REF!</definedName>
    <definedName name="cxgxgfgfs" localSheetId="12" hidden="1">{#N/A,#N/A,FALSE,"Cashflow Analysis";#N/A,#N/A,FALSE,"Sensitivity Analysis";#N/A,#N/A,FALSE,"PV";#N/A,#N/A,FALSE,"Pro Forma"}</definedName>
    <definedName name="cxgxgfgfs.2" localSheetId="12" hidden="1">{#N/A,#N/A,FALSE,"Cashflow Analysis";#N/A,#N/A,FALSE,"Sensitivity Analysis";#N/A,#N/A,FALSE,"PV";#N/A,#N/A,FALSE,"Pro Forma"}</definedName>
    <definedName name="D" localSheetId="12" hidden="1">#REF!</definedName>
    <definedName name="DAD" localSheetId="12" hidden="1">{#N/A,#N/A,FALSE,"REPORT"}</definedName>
    <definedName name="DADF" localSheetId="12" hidden="1">{#N/A,#N/A,FALSE,"REPORT"}</definedName>
    <definedName name="dadfa" localSheetId="1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aeklj" localSheetId="12" hidden="1">{"FCB_ALL",#N/A,FALSE,"FCB"}</definedName>
    <definedName name="daewkl" localSheetId="12" hidden="1">{"FCB_ALL",#N/A,FALSE,"FCB";"GREY_ALL",#N/A,FALSE,"GREY"}</definedName>
    <definedName name="daf" localSheetId="12" hidden="1">{#N/A,#N/A,FALSE,"1";#N/A,#N/A,FALSE,"2";#N/A,#N/A,FALSE,"16 - 17";#N/A,#N/A,FALSE,"18 - 19";#N/A,#N/A,FALSE,"26";#N/A,#N/A,FALSE,"27";#N/A,#N/A,FALSE,"28"}</definedName>
    <definedName name="dafa" localSheetId="1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AFAD" localSheetId="12" hidden="1">{"cap_structure",#N/A,FALSE,"Graph-Mkt Cap";"price",#N/A,FALSE,"Graph-Price";"ebit",#N/A,FALSE,"Graph-EBITDA";"ebitda",#N/A,FALSE,"Graph-EBITDA"}</definedName>
    <definedName name="dakfkjafgkeaj" localSheetId="12" hidden="1">{#N/A,#N/A,FALSE,"Pharm";#N/A,#N/A,FALSE,"WWCM"}</definedName>
    <definedName name="das" localSheetId="12" hidden="1">{"FCB_ALL",#N/A,FALSE,"FCB";"GREY_ALL",#N/A,FALSE,"GREY"}</definedName>
    <definedName name="dasfdsa" localSheetId="12" hidden="1">{"SUM",#N/A,FALSE,"Details (2)"}</definedName>
    <definedName name="dasgfdag" localSheetId="12" hidden="1">{"FCB_ALL",#N/A,FALSE,"FCB"}</definedName>
    <definedName name="dasklej" localSheetId="12" hidden="1">{"FCB_ALL",#N/A,FALSE,"FCB"}</definedName>
    <definedName name="Data" localSheetId="12">#REF!</definedName>
    <definedName name="david" localSheetId="12" hidden="1">{#N/A,#N/A,FALSE,"ACQ_GRAPHS";#N/A,#N/A,FALSE,"T_1 GRAPHS";#N/A,#N/A,FALSE,"T_2 GRAPHS";#N/A,#N/A,FALSE,"COMB_GRAPHS"}</definedName>
    <definedName name="DCF_" localSheetId="1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d" localSheetId="12" hidden="1">{#N/A,#N/A,FALSE,"Pharm";#N/A,#N/A,FALSE,"WWCM"}</definedName>
    <definedName name="ddd" localSheetId="12" hidden="1">{"'ATP'!$E$6"}</definedName>
    <definedName name="ddd_1" localSheetId="12" hidden="1">{"'ATP'!$E$6"}</definedName>
    <definedName name="ddd_11" localSheetId="12" hidden="1">{"'ATP'!$E$6"}</definedName>
    <definedName name="dddaz" localSheetId="12" hidden="1">{#N/A,#N/A,FALSE,"Pharm";#N/A,#N/A,FALSE,"WWCM"}</definedName>
    <definedName name="dddd" localSheetId="12" hidden="1">{"'ATP'!$E$6"}</definedName>
    <definedName name="dddddd" localSheetId="12" hidden="1">{#N/A,#N/A,FALSE,"Pharm";#N/A,#N/A,FALSE,"WWCM"}</definedName>
    <definedName name="ddddddd" localSheetId="12" hidden="1">{"Income Statement",#N/A,FALSE,"Income Statement";"Balance Sheet",#N/A,FALSE,"Balance Sheet";"Cash Flow",#N/A,FALSE,"Cash Flow";"Ratios",#N/A,FALSE,"Ratios"}</definedName>
    <definedName name="DE" localSheetId="12"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bbie" localSheetId="12" hidden="1">{"FY03_Assets",#N/A,FALSE,"Fin Stmt Budget";"FY03_Liabilities",#N/A,FALSE,"Fin Stmt Budget";"FY03_Inc_Stmt",#N/A,FALSE,"Fin Stmt Budget";"FY03_SOCF",#N/A,FALSE,"Fin Stmt Budget"}</definedName>
    <definedName name="Dec95JobSched" localSheetId="12" hidden="1">{#N/A,#N/A,FALSE,"Job Sched"}</definedName>
    <definedName name="dede" localSheetId="12" hidden="1">{#N/A,#N/A,FALSE,"Pharm";#N/A,#N/A,FALSE,"WWCM"}</definedName>
    <definedName name="DEDED" localSheetId="12" hidden="1">{#N/A,#N/A,FALSE,"Card";#N/A,#N/A,FALSE,"Prav";#N/A,#N/A,FALSE,"Irbe";#N/A,#N/A,FALSE,"Plavix";#N/A,#N/A,FALSE,"Capt";#N/A,#N/A,FALSE,"Fosi"}</definedName>
    <definedName name="DEDEDZE" localSheetId="12" hidden="1">{#N/A,#N/A,FALSE,"Pharm";#N/A,#N/A,FALSE,"WWCM"}</definedName>
    <definedName name="DEDZD" localSheetId="12" hidden="1">{#N/A,#N/A,FALSE,"Pharm";#N/A,#N/A,FALSE,"WWCM"}</definedName>
    <definedName name="DEE" localSheetId="12" hidden="1">{#N/A,#N/A,FALSE,"Pharm";#N/A,#N/A,FALSE,"WWCM"}</definedName>
    <definedName name="def" localSheetId="1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delete" localSheetId="12" hidden="1">{"STMT OF CASH FLOWS",#N/A,FALSE,"Cash Flows Indirect"}</definedName>
    <definedName name="delete2" localSheetId="12" hidden="1">{"BALANCE SHEET ACCTS",#N/A,TRUE,"Working Trial Balance";"INCOME STMT ACCTS",#N/A,TRUE,"Working Trial Balance"}</definedName>
    <definedName name="DeleteRange" localSheetId="12" hidden="1">[29]!DeleteRange</definedName>
    <definedName name="DeleteTable" localSheetId="12" hidden="1">[29]!DeleteTable</definedName>
    <definedName name="depn" localSheetId="12" hidden="1">{#N/A,#N/A,FALSE,"P&amp;L";#N/A,#N/A,FALSE,"fund";#N/A,#N/A,FALSE,"B.S.";#N/A,#N/A,FALSE,"tax-P&amp;L";#N/A,#N/A,FALSE,"tax-tarif1"}</definedName>
    <definedName name="depn2" localSheetId="12" hidden="1">{#N/A,#N/A,FALSE,"P&amp;L";#N/A,#N/A,FALSE,"fund";#N/A,#N/A,FALSE,"B.S.";#N/A,#N/A,FALSE,"tax-P&amp;L";#N/A,#N/A,FALSE,"tax-tarif1"}</definedName>
    <definedName name="Depr_Method" localSheetId="12">#REF!</definedName>
    <definedName name="dev_tech" localSheetId="12" hidden="1">[36]AACLIENT!#REF!</definedName>
    <definedName name="DEZLFEZKLHF" localSheetId="12" hidden="1">{#N/A,#N/A,FALSE,"Pharm";#N/A,#N/A,FALSE,"WWCM"}</definedName>
    <definedName name="df" localSheetId="12" hidden="1">{#N/A,#N/A,TRUE,"A";#N/A,#N/A,TRUE,"B";#N/A,#N/A,TRUE,"C";#N/A,#N/A,TRUE,"D";#N/A,#N/A,TRUE,"E"}</definedName>
    <definedName name="dfa" localSheetId="12" hidden="1">{"Annual_Income",#N/A,FALSE,"Report Page";"Balance_Cash_Flow",#N/A,FALSE,"Report Page";"Quarterly_Income",#N/A,FALSE,"Report Page"}</definedName>
    <definedName name="dfasdf" localSheetId="12" hidden="1">#REF!</definedName>
    <definedName name="dfd" localSheetId="12" hidden="1">{"BS",#N/A,FALSE,"USA"}</definedName>
    <definedName name="dfdas" localSheetId="12" hidden="1">{"FCB_ALL",#N/A,FALSE,"FCB";"GREY_ALL",#N/A,FALSE,"GREY"}</definedName>
    <definedName name="dfdas1" localSheetId="12" hidden="1">{"FCB_ALL",#N/A,FALSE,"FCB";"GREY_ALL",#N/A,FALSE,"GREY"}</definedName>
    <definedName name="DFDD" localSheetId="12" hidden="1">{#N/A,#N/A,FALSE,"REPORT"}</definedName>
    <definedName name="dfdf"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dfd" localSheetId="12" hidden="1">{"FCB_ALL",#N/A,FALSE,"FCB";"GREY_ALL",#N/A,FALSE,"GREY"}</definedName>
    <definedName name="dfdfdd" localSheetId="12" hidden="1">{"FCB_ALL",#N/A,FALSE,"FCB";"GREY_ALL",#N/A,FALSE,"GREY"}</definedName>
    <definedName name="dfdfdfd" localSheetId="12" hidden="1">{"FCB_ALL",#N/A,FALSE,"FCB"}</definedName>
    <definedName name="dfdfdfd1" localSheetId="12" hidden="1">{"FCB_ALL",#N/A,FALSE,"FCB"}</definedName>
    <definedName name="dfdsf" localSheetId="12" hidden="1">{"FCB_ALL",#N/A,FALSE,"FCB";"GREY_ALL",#N/A,FALSE,"GREY"}</definedName>
    <definedName name="dfg" localSheetId="12">#REF!</definedName>
    <definedName name="dfgd" localSheetId="12" hidden="1">{#N/A,#N/A,FALSE,"Cashflow Analysis";#N/A,#N/A,FALSE,"Sensitivity Analysis";#N/A,#N/A,FALSE,"PV";#N/A,#N/A,FALSE,"Pro Forma"}</definedName>
    <definedName name="dfgdgd" localSheetId="12" hidden="1">{"FCB_ALL",#N/A,FALSE,"FCB"}</definedName>
    <definedName name="dfgdxfv" localSheetId="12" hidden="1">{"FCB_ALL",#N/A,FALSE,"FCB"}</definedName>
    <definedName name="dfgsdf" localSheetId="12" hidden="1">{"FCB_ALL",#N/A,FALSE,"FCB"}</definedName>
    <definedName name="dfhzfd" localSheetId="12" hidden="1">{"'Sheet1'!$A$5:$G$42"}</definedName>
    <definedName name="dfk" localSheetId="1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1New" localSheetId="1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New" localSheetId="1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r" localSheetId="12" hidden="1">{#N/A,#N/A,FALSE,"Pharm";#N/A,#N/A,FALSE,"WWCM"}</definedName>
    <definedName name="dfs" localSheetId="12" hidden="1">{#N/A,#N/A,FALSE,"Cover";#N/A,#N/A,FALSE,"TOC";#N/A,#N/A,FALSE,"IS";#N/A,#N/A,FALSE,"Mo. IS";#N/A,#N/A,FALSE,"Cont By Div";#N/A,#N/A,FALSE,"BS";#N/A,#N/A,FALSE,"CF";#N/A,#N/A,FALSE,"Inventory"}</definedName>
    <definedName name="dfsa" localSheetId="12" hidden="1">[37]pcQueryData!$A$6</definedName>
    <definedName name="dfsafd" localSheetId="1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localSheetId="1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sa" localSheetId="12" hidden="1">[37]pcQueryData!$A$6</definedName>
    <definedName name="dfsafs" localSheetId="1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localSheetId="1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gsdfg" localSheetId="12" hidden="1">{#N/A,#N/A,FALSE,"Cover";#N/A,#N/A,FALSE,"TOC";#N/A,#N/A,FALSE,"IS";#N/A,#N/A,FALSE,"Mo. IS";#N/A,#N/A,FALSE,"Cont By Div";#N/A,#N/A,FALSE,"BS";#N/A,#N/A,FALSE,"CF";#N/A,#N/A,FALSE,"Inventory"}</definedName>
    <definedName name="dg"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gdg" localSheetId="12" hidden="1">{#N/A,#N/A,FALSE,"Calc";#N/A,#N/A,FALSE,"Sensitivity";#N/A,#N/A,FALSE,"LT Earn.Dil.";#N/A,#N/A,FALSE,"Dil. AVP"}</definedName>
    <definedName name="dgdgss" localSheetId="12" hidden="1">{"consolidated",#N/A,FALSE,"Sheet1";"cms",#N/A,FALSE,"Sheet1";"fse",#N/A,FALSE,"Sheet1"}</definedName>
    <definedName name="dgh" localSheetId="12" hidden="1">{"summary",#N/A,FALSE,"3 yr average";"comps",#N/A,FALSE,"3 yr average"}</definedName>
    <definedName name="dgtdf" localSheetId="12" hidden="1">{"FCB_ALL",#N/A,FALSE,"FCB"}</definedName>
    <definedName name="DHG" localSheetId="12" hidden="1">{"cap_structure",#N/A,FALSE,"Graph-Mkt Cap";"price",#N/A,FALSE,"Graph-Price";"ebit",#N/A,FALSE,"Graph-EBITDA";"ebitda",#N/A,FALSE,"Graph-EBITDA"}</definedName>
    <definedName name="dis" localSheetId="12" hidden="1">{#N/A,#N/A,FALSE,"Cashflow Analysis";#N/A,#N/A,FALSE,"Sensitivity Analysis";#N/A,#N/A,FALSE,"PV";#N/A,#N/A,FALSE,"Pro Forma"}</definedName>
    <definedName name="dis.2" localSheetId="12" hidden="1">{#N/A,#N/A,FALSE,"Cashflow Analysis";#N/A,#N/A,FALSE,"Sensitivity Analysis";#N/A,#N/A,FALSE,"PV";#N/A,#N/A,FALSE,"Pro Forma"}</definedName>
    <definedName name="Discout" localSheetId="12">#REF!</definedName>
    <definedName name="djd" localSheetId="1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1New" localSheetId="1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jdjd" localSheetId="12" hidden="1">{#N/A,#N/A,TRUE,"BUD VS ACT AUST 96";#N/A,#N/A,TRUE,"96 COMP P&amp;L-AUST";#N/A,#N/A,TRUE,"COMP BS-AUSTRALIA";#N/A,#N/A,TRUE,"B/S - AUSTR."}</definedName>
    <definedName name="djdNew" localSheetId="1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ksljd" localSheetId="12" hidden="1">{#N/A,#N/A,FALSE,"Other";#N/A,#N/A,FALSE,"Ace";#N/A,#N/A,FALSE,"Derm"}</definedName>
    <definedName name="dkfjdfNew" localSheetId="1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 localSheetId="1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1" localSheetId="1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gahirghigf" localSheetId="12" hidden="1">{#N/A,#N/A,FALSE,"Pharm";#N/A,#N/A,FALSE,"WWCM"}</definedName>
    <definedName name="dkj" localSheetId="1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reyer" localSheetId="12" hidden="1">{"FCB_ALL",#N/A,FALSE,"FCB"}</definedName>
    <definedName name="drgd" localSheetId="12" hidden="1">{"FCB_ALL",#N/A,FALSE,"FCB"}</definedName>
    <definedName name="drtd" localSheetId="12" hidden="1">{"FCB_ALL",#N/A,FALSE,"FCB"}</definedName>
    <definedName name="drtg" localSheetId="12" hidden="1">{"FCB_ALL",#N/A,FALSE,"FCB"}</definedName>
    <definedName name="drtgdg" localSheetId="12" hidden="1">{"FCB_ALL",#N/A,FALSE,"FCB"}</definedName>
    <definedName name="ds" localSheetId="12" hidden="1">'[6]Sales 2003'!#REF!</definedName>
    <definedName name="dsafd" localSheetId="1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lkj" localSheetId="12" hidden="1">{"FCB_ALL",#N/A,FALSE,"FCB";"GREY_ALL",#N/A,FALSE,"GREY"}</definedName>
    <definedName name="dsaflkje" localSheetId="12" hidden="1">{"FCB_ALL",#N/A,FALSE,"FCB"}</definedName>
    <definedName name="dsafwlekj" localSheetId="12" hidden="1">{"FCB_ALL",#N/A,FALSE,"FCB";"GREY_ALL",#N/A,FALSE,"GREY"}</definedName>
    <definedName name="dsd" localSheetId="12" hidden="1">'[6]Sales 2003'!#REF!</definedName>
    <definedName name="dsea" localSheetId="12" hidden="1">{"FCB_ALL",#N/A,FALSE,"FCB"}</definedName>
    <definedName name="dsfgr" localSheetId="12" hidden="1">{"FCB_ALL",#N/A,FALSE,"FCB"}</definedName>
    <definedName name="dsfsd" localSheetId="12" hidden="1">{"Total",#N/A,FALSE,"Six Fields";"PDP",#N/A,FALSE,"Six Fields";"PNP",#N/A,FALSE,"Six Fields";"PUD",#N/A,FALSE,"Six Fields";"Prob",#N/A,FALSE,"Six Fields"}</definedName>
    <definedName name="dsfsffss" localSheetId="12" hidden="1">{#N/A,#N/A,FALSE,"Pharm";#N/A,#N/A,FALSE,"WWCM"}</definedName>
    <definedName name="dsg" localSheetId="12" hidden="1">{#N/A,#N/A,FALSE,"Calc";#N/A,#N/A,FALSE,"Sensitivity";#N/A,#N/A,FALSE,"LT Earn.Dil.";#N/A,#N/A,FALSE,"Dil. AVP"}</definedName>
    <definedName name="dtjhj" localSheetId="12" hidden="1">{#N/A,#N/A,FALSE,"Phase I";#N/A,#N/A,FALSE,"Phase II";#N/A,#N/A,FALSE,"Phase III"}</definedName>
    <definedName name="dtmm" localSheetId="12"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due" localSheetId="12" hidden="1">{#N/A,#N/A,FALSE,"INPUTS";#N/A,#N/A,FALSE,"PROFORMA BSHEET";#N/A,#N/A,FALSE,"COMBINED";#N/A,#N/A,FALSE,"ACQUIROR";#N/A,#N/A,FALSE,"TARGET 1";#N/A,#N/A,FALSE,"TARGET 2";#N/A,#N/A,FALSE,"HIGH YIELD";#N/A,#N/A,FALSE,"OVERFUND"}</definedName>
    <definedName name="Dummy" localSheetId="12" hidden="1">{"Summary",#N/A,FALSE,"Summary"}</definedName>
    <definedName name="Dummy_1" localSheetId="12" hidden="1">{"Summary",#N/A,FALSE,"Summary"}</definedName>
    <definedName name="Dummy_1_1" localSheetId="12" hidden="1">{"Summary",#N/A,FALSE,"Summary"}</definedName>
    <definedName name="Dummy_1_2" localSheetId="12" hidden="1">{"Summary",#N/A,FALSE,"Summary"}</definedName>
    <definedName name="Dummy_1_3" localSheetId="12" hidden="1">{"Summary",#N/A,FALSE,"Summary"}</definedName>
    <definedName name="Dummy_1_4" localSheetId="12" hidden="1">{"Summary",#N/A,FALSE,"Summary"}</definedName>
    <definedName name="Dummy_2" localSheetId="12" hidden="1">{"Summary",#N/A,FALSE,"Summary"}</definedName>
    <definedName name="Dummy_3" localSheetId="12" hidden="1">{"Summary",#N/A,FALSE,"Summary"}</definedName>
    <definedName name="Dummy_4" localSheetId="12" hidden="1">{"Summary",#N/A,FALSE,"Summary"}</definedName>
    <definedName name="Dummy_5" localSheetId="12" hidden="1">{"Summary",#N/A,FALSE,"Summary"}</definedName>
    <definedName name="Dummy1" localSheetId="12" hidden="1">{"Summary",#N/A,FALSE,"Summary"}</definedName>
    <definedName name="Dummy1_1" localSheetId="12" hidden="1">{"Summary",#N/A,FALSE,"Summary"}</definedName>
    <definedName name="Dummy1_1_1" localSheetId="12" hidden="1">{"Summary",#N/A,FALSE,"Summary"}</definedName>
    <definedName name="Dummy1_1_2" localSheetId="12" hidden="1">{"Summary",#N/A,FALSE,"Summary"}</definedName>
    <definedName name="Dummy1_1_3" localSheetId="12" hidden="1">{"Summary",#N/A,FALSE,"Summary"}</definedName>
    <definedName name="Dummy1_1_4" localSheetId="12" hidden="1">{"Summary",#N/A,FALSE,"Summary"}</definedName>
    <definedName name="Dummy1_2" localSheetId="12" hidden="1">{"Summary",#N/A,FALSE,"Summary"}</definedName>
    <definedName name="Dummy1_3" localSheetId="12" hidden="1">{"Summary",#N/A,FALSE,"Summary"}</definedName>
    <definedName name="Dummy1_4" localSheetId="12" hidden="1">{"Summary",#N/A,FALSE,"Summary"}</definedName>
    <definedName name="Dummy1_5" localSheetId="12" hidden="1">{"Summary",#N/A,FALSE,"Summary"}</definedName>
    <definedName name="dvv" localSheetId="12" hidden="1">{#N/A,#N/A,TRUE,"NIE_C";#N/A,#N/A,TRUE,"NIE";#N/A,#N/A,TRUE,"NIE_D";#N/A,#N/A,TRUE,"NIE_D_CC";#N/A,#N/A,TRUE,"HEA -- EXP"}</definedName>
    <definedName name="E" localSheetId="12" hidden="1">#REF!</definedName>
    <definedName name="East" localSheetId="12"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Eastcoast" localSheetId="12" hidden="1">{"FY04_Assets",#N/A,FALSE,"Fin Stmt Budget";"FY04_Liabilities",#N/A,FALSE,"Fin Stmt Budget";"FY04_Inc_Stmt",#N/A,FALSE,"Fin Stmt Budget";"FY04_SOCF",#N/A,FALSE,"Fin Stmt Budget"}</definedName>
    <definedName name="Eastern" localSheetId="12" hidden="1">{"FY03_Assets",#N/A,FALSE,"Fin Stmt Budget";"FY03_Liabilities",#N/A,FALSE,"Fin Stmt Budget";"FY03_Inc_Stmt",#N/A,FALSE,"Fin Stmt Budget";"FY03_SOCF",#N/A,FALSE,"Fin Stmt Budget"}</definedName>
    <definedName name="Econscen" localSheetId="12">[32]Control!$D$19</definedName>
    <definedName name="ed" localSheetId="12"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edr" localSheetId="12"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ee" localSheetId="12"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EEE" localSheetId="12" hidden="1">{#N/A,#N/A,FALSE,"Pharm";#N/A,#N/A,FALSE,"WWCM"}</definedName>
    <definedName name="eeeee" localSheetId="12" hidden="1">{#N/A,#N/A,FALSE,"Pharm";#N/A,#N/A,FALSE,"WWCM"}</definedName>
    <definedName name="eerr" localSheetId="12" hidden="1">{"Alle Perioden",#N/A,FALSE,"Erf";"Alle Perioden",#N/A,FALSE,"Ang";"Alle Perioden",#N/A,FALSE,"BV";"Alle Perioden",#N/A,FALSE,"BE";"Alle Perioden",#N/A,FALSE,"Re";"Alle Perioden",#N/A,FALSE,"Vol"}</definedName>
    <definedName name="ef" localSheetId="1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eferferfge" localSheetId="12"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in" localSheetId="12" hidden="1">{#N/A,#N/A,FALSE,"Output";#N/A,#N/A,FALSE,"Cover Sheet";#N/A,#N/A,FALSE,"Current Mkt. Projections"}</definedName>
    <definedName name="efn" localSheetId="12" hidden="1">{#N/A,#N/A,TRUE,"DCF Summary";#N/A,#N/A,TRUE,"Casema";#N/A,#N/A,TRUE,"UK";#N/A,#N/A,TRUE,"RCF";#N/A,#N/A,TRUE,"Intercable CZ";#N/A,#N/A,TRUE,"Interkabel P";#N/A,#N/A,TRUE,"LBO-Total";#N/A,#N/A,TRUE,"LBO-Casema"}</definedName>
    <definedName name="ejejejej" localSheetId="12"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ejkfgkjze" localSheetId="12" hidden="1">{#N/A,#N/A,FALSE,"Pharm";#N/A,#N/A,FALSE,"WWCM"}</definedName>
    <definedName name="Elecout" localSheetId="12">[32]Control!$F$399</definedName>
    <definedName name="emily" localSheetId="12" hidden="1">{#N/A,#N/A,FALSE,"Calc";#N/A,#N/A,FALSE,"Sensitivity";#N/A,#N/A,FALSE,"LT Earn.Dil.";#N/A,#N/A,FALSE,"Dil. AVP"}</definedName>
    <definedName name="EndDate1" localSheetId="12">#REF!</definedName>
    <definedName name="Eng" localSheetId="12" hidden="1">{"PAGE 1",#N/A,FALSE,"WEST_OT"}</definedName>
    <definedName name="EPC" localSheetId="12" hidden="1">{#N/A,#N/A,FALSE,"RESUMEN ECON.";#N/A,#N/A,FALSE,"Costos de R.H.";#N/A,#N/A,FALSE,"COSTO HW";#N/A,#N/A,FALSE,"CUADROS";#N/A,#N/A,FALSE,"SCADA´s";#N/A,#N/A,FALSE,"PRECIOS EQUIPOS"}</definedName>
    <definedName name="equity" localSheetId="12" hidden="1">{"Balance Sheet",#N/A,FALSE,"Annual Summary";"Cashflows",#N/A,FALSE,"Annual Summary";"Summary Earnings",#N/A,FALSE,"Annual Summary"}</definedName>
    <definedName name="er" localSheetId="1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raseMe" localSheetId="12" hidden="1">{#N/A,#N/A,FALSE,"Job Sched"}</definedName>
    <definedName name="erd" localSheetId="12" hidden="1">{#N/A,#N/A,FALSE,"Pharm";#N/A,#N/A,FALSE,"WWCM"}</definedName>
    <definedName name="erer" localSheetId="12" hidden="1">{"FCB_ALL",#N/A,FALSE,"FCB";"GREY_ALL",#N/A,FALSE,"GREY"}</definedName>
    <definedName name="erere" localSheetId="12" hidden="1">{"arpm1995",#N/A,FALSE,"Summary 95-96";"bus_long_distance",#N/A,FALSE,"Summary 95-96";"mins_per_day",#N/A,FALSE,"Summary 95-96";"minutes1995",#N/A,FALSE,"Summary 95-96";"rev_per_day",#N/A,FALSE,"Summary 95-96";"view1995",#N/A,FALSE,"Summary 95-96"}</definedName>
    <definedName name="ererer" localSheetId="12" hidden="1">{"arpm1995",#N/A,FALSE,"Summary 95-96";"bus_long_distance",#N/A,FALSE,"Summary 95-96";"mins_per_day",#N/A,FALSE,"Summary 95-96";"minutes1995",#N/A,FALSE,"Summary 95-96";"rev_per_day",#N/A,FALSE,"Summary 95-96";"view1995",#N/A,FALSE,"Summary 95-96"}</definedName>
    <definedName name="erewre" localSheetId="12" hidden="1">{"arpm1995",#N/A,FALSE,"Summary 95-96";"bus_long_distance",#N/A,FALSE,"Summary 95-96";"mins_per_day",#N/A,FALSE,"Summary 95-96";"minutes1995",#N/A,FALSE,"Summary 95-96";"rev_per_day",#N/A,FALSE,"Summary 95-96";"view1995",#N/A,FALSE,"Summary 95-96"}</definedName>
    <definedName name="erg" localSheetId="12" hidden="1">{#N/A,#N/A,FALSE,"ACQ_GRAPHS";#N/A,#N/A,FALSE,"T_1 GRAPHS";#N/A,#N/A,FALSE,"T_2 GRAPHS";#N/A,#N/A,FALSE,"COMB_GRAPHS"}</definedName>
    <definedName name="erryeyetyuu" localSheetId="12" hidden="1">{#N/A,#N/A,FALSE,"Pharm";#N/A,#N/A,FALSE,"WWCM"}</definedName>
    <definedName name="ers" localSheetId="12" hidden="1">{"FCB_ALL",#N/A,FALSE,"FCB";"GREY_ALL",#N/A,FALSE,"GREY"}</definedName>
    <definedName name="ersdf" localSheetId="12" hidden="1">{"FCB_ALL",#N/A,FALSE,"FCB";"GREY_ALL",#N/A,FALSE,"GREY"}</definedName>
    <definedName name="erser" localSheetId="12" hidden="1">{"FCB_ALL",#N/A,FALSE,"FCB"}</definedName>
    <definedName name="es" localSheetId="12" hidden="1">{"FCB_ALL",#N/A,FALSE,"FCB"}</definedName>
    <definedName name="esr" localSheetId="12" hidden="1">{"FCB_ALL",#N/A,FALSE,"FCB"}</definedName>
    <definedName name="esrs" localSheetId="12" hidden="1">{"FCB_ALL",#N/A,FALSE,"FCB"}</definedName>
    <definedName name="ESSAI" localSheetId="12" hidden="1">{#N/A,#N/A,FALSE,"Pharm";#N/A,#N/A,FALSE,"WWCM"}</definedName>
    <definedName name="esw" localSheetId="12" hidden="1">{#N/A,#N/A,FALSE,"TABLE_1 YTD- VALUES LAST YR(2)"}</definedName>
    <definedName name="etet" localSheetId="12" hidden="1">{#N/A,#N/A,FALSE,"Calc";#N/A,#N/A,FALSE,"Sensitivity";#N/A,#N/A,FALSE,"LT Earn.Dil.";#N/A,#N/A,FALSE,"Dil. AVP"}</definedName>
    <definedName name="ev.Calculation" localSheetId="12" hidden="1">2</definedName>
    <definedName name="ewwe" localSheetId="12" hidden="1">{#N/A,#N/A,FALSE,"REPORT"}</definedName>
    <definedName name="excel" localSheetId="12" hidden="1">{"cash flow - FY00",#N/A,FALSE,"P &amp; L";"cash flow - FY01",#N/A,FALSE,"P &amp; L"}</definedName>
    <definedName name="excel2" localSheetId="12" hidden="1">{"cash flow - FY00",#N/A,FALSE,"P &amp; L";"cash flow - FY01",#N/A,FALSE,"P &amp; L"}</definedName>
    <definedName name="Expenses" localSheetId="12" hidden="1">{"SUM",#N/A,FALSE,"Details (2)"}</definedName>
    <definedName name="ExtraPayments2014" localSheetId="12">'[38]Merger Loan'!$D$10</definedName>
    <definedName name="ExtraPaymentsRealEstate" localSheetId="12">'[38]Primary Loan'!$D$10</definedName>
    <definedName name="eyh" localSheetId="12" hidden="1">{#N/A,#N/A,FALSE,"BS";#N/A,#N/A,FALSE,"PL";#N/A,#N/A,FALSE,"SOE";#N/A,#N/A,FALSE,"SCF"}</definedName>
    <definedName name="f" localSheetId="12" hidden="1">'[9]YTD Totals'!#REF!</definedName>
    <definedName name="fadsf" localSheetId="1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adsfsd" localSheetId="12" hidden="1">{#N/A,#N/A,FALSE,"MKT.COMPS";#N/A,#N/A,FALSE,"DCF - LBO"}</definedName>
    <definedName name="fafs" localSheetId="12" hidden="1">{#N/A,#N/A,FALSE,"Brad BANM_S";#N/A,#N/A,FALSE,"Brad SAM_BANM";#N/A,#N/A,FALSE,"Brad_LD";#N/A,#N/A,FALSE,"BANM-&gt;S";#N/A,#N/A,FALSE,"BANM_S";#N/A,#N/A,FALSE,"S-&gt;BANM";#N/A,#N/A,FALSE,"SAM_BANM";#N/A,#N/A,FALSE,"BANM";#N/A,#N/A,FALSE,"Sam"}</definedName>
    <definedName name="FarrellWitchita" localSheetId="12" hidden="1">{"FCB_ALL",#N/A,FALSE,"FCB"}</definedName>
    <definedName name="fasdfs" localSheetId="12" hidden="1">{#N/A,#N/A,FALSE,"Aging Summary";#N/A,#N/A,FALSE,"Ratio Analysis";#N/A,#N/A,FALSE,"Test 120 Day Accts";#N/A,#N/A,FALSE,"Tickmarks"}</definedName>
    <definedName name="fd"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FDFD" localSheetId="12" hidden="1">{#N/A,#N/A,FALSE,"Pharm";#N/A,#N/A,FALSE,"WWCM"}</definedName>
    <definedName name="fdgad" localSheetId="12" hidden="1">{"inputs raw data",#N/A,TRUE,"INPUT"}</definedName>
    <definedName name="fdgfdg" localSheetId="12" hidden="1">{"FCB_ALL",#N/A,FALSE,"FCB";"GREY_ALL",#N/A,FALSE,"GREY"}</definedName>
    <definedName name="fds" localSheetId="12" hidden="1">{#N/A,#N/A,FALSE,"Pharm";#N/A,#N/A,FALSE,"WWCM"}</definedName>
    <definedName name="fdsafdas" localSheetId="12" hidden="1">{"Summary",#N/A,FALSE,"Details (2)"}</definedName>
    <definedName name="fdsag" localSheetId="12" hidden="1">{"FCB_ALL",#N/A,FALSE,"FCB"}</definedName>
    <definedName name="fdsakfjds" localSheetId="12" hidden="1">{"FCB_ALL",#N/A,FALSE,"FCB";"GREY_ALL",#N/A,FALSE,"GREY"}</definedName>
    <definedName name="fdsg" localSheetId="12" hidden="1">{"FCB_ALL",#N/A,FALSE,"FCB"}</definedName>
    <definedName name="feb02tb" localSheetId="12" hidden="1">{"Statement of Income",#N/A,TRUE,"Mar99";"Balance Sheet",#N/A,TRUE,"Mar99"}</definedName>
    <definedName name="fees" localSheetId="12">#REF!</definedName>
    <definedName name="ff" localSheetId="12" hidden="1">{#N/A,#N/A,FALSE,"Pharm";#N/A,#N/A,FALSE,"WWCM"}</definedName>
    <definedName name="fff" localSheetId="12" hidden="1">{#N/A,#N/A,FALSE,"Pharm";#N/A,#N/A,FALSE,"WWCM"}</definedName>
    <definedName name="ffff" localSheetId="12" hidden="1">{#N/A,#N/A,TRUE,"BUD VS ACT AUST 96";#N/A,#N/A,TRUE,"96 COMP P&amp;L-AUST";#N/A,#N/A,TRUE,"COMP BS-AUSTRALIA";#N/A,#N/A,TRUE,"B/S - AUSTR."}</definedName>
    <definedName name="ffffff.2" localSheetId="12" hidden="1">{#N/A,#N/A,FALSE,"Cashflow Analysis";#N/A,#N/A,FALSE,"Sensitivity Analysis";#N/A,#N/A,FALSE,"PV";#N/A,#N/A,FALSE,"Pro Forma"}</definedName>
    <definedName name="fffffff" localSheetId="12" hidden="1">{#N/A,#N/A,FALSE,"Pharm";#N/A,#N/A,FALSE,"WWCM"}</definedName>
    <definedName name="ffffffffff" localSheetId="1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fg" localSheetId="12"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fgf" localSheetId="12" hidden="1">{#N/A,#N/A,FALSE,"COVER";#N/A,#N/A,FALSE,"RATIOS";#N/A,#N/A,FALSE,"LEVERAGE";#N/A,#N/A,FALSE,"TIER-1";#N/A,#N/A,FALSE,"RISK BASED ASSETS";#N/A,#N/A,FALSE,"TIER-2"}</definedName>
    <definedName name="fgfdg" localSheetId="12" hidden="1">{"FCB_ALL",#N/A,FALSE,"FCB";"GREY_ALL",#N/A,FALSE,"GREY"}</definedName>
    <definedName name="fgj" localSheetId="12" hidden="1">{#N/A,#N/A,FALSE,"ACQ_GRAPHS";#N/A,#N/A,FALSE,"T_1 GRAPHS";#N/A,#N/A,FALSE,"T_2 GRAPHS";#N/A,#N/A,FALSE,"COMB_GRAPHS"}</definedName>
    <definedName name="fgkjkh" localSheetId="12" hidden="1">{#N/A,#N/A,FALSE,"REPORT"}</definedName>
    <definedName name="fgr" localSheetId="12" hidden="1">{#N/A,#N/A,FALSE,"BS";#N/A,#N/A,FALSE,"PL_10Q";#N/A,#N/A,FALSE,"SOE";#N/A,#N/A,FALSE,"SCF";#N/A,#N/A,FALSE,"Sel Fn Data QTD 10Q";#N/A,#N/A,FALSE,"Table 1 YTD 10Q";#N/A,#N/A,FALSE,"Table 1 QTD 10Q";#N/A,#N/A,FALSE,"Tables 2 to 3 PL";#N/A,#N/A,FALSE,"Tables 4 and 5ALLL";#N/A,#N/A,FALSE,"Tables 6 to 8 ALLL ";#N/A,#N/A,FALSE,"Table 9 to 12 - Balance Sheet"}</definedName>
    <definedName name="fgsg" localSheetId="12" hidden="1">{"consolidated",#N/A,FALSE,"Sheet1";"cms",#N/A,FALSE,"Sheet1";"fse",#N/A,FALSE,"Sheet1"}</definedName>
    <definedName name="fhg" localSheetId="1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j" localSheetId="12" hidden="1">{TRUE,TRUE,-1.25,-15.5,604.5,369,FALSE,FALSE,TRUE,TRUE,0,1,83,1,38,4,5,4,TRUE,TRUE,3,TRUE,1,TRUE,75,"Swvu.inputs._.raw._.data.","ACwvu.inputs._.raw._.data.",#N/A,FALSE,FALSE,0.5,0.5,0.5,0.5,2,"&amp;F","&amp;A&amp;RPage &amp;P",FALSE,FALSE,FALSE,FALSE,1,60,#N/A,#N/A,"=R1C61:R53C89","=C1:C5",#N/A,#N/A,FALSE,FALSE,FALSE,1,600,600,FALSE,FALSE,TRUE,TRUE,TRUE}</definedName>
    <definedName name="ficha" localSheetId="12" hidden="1">{#N/A,#N/A,FALSE,"RESUMEN ECON.";#N/A,#N/A,FALSE,"Costos de R.H.";#N/A,#N/A,FALSE,"COSTO HW";#N/A,#N/A,FALSE,"CUADROS";#N/A,#N/A,FALSE,"SCADA´s";#N/A,#N/A,FALSE,"PRECIOS EQUIPOS"}</definedName>
    <definedName name="Final_Summary" localSheetId="1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inancial" localSheetId="12" hidden="1">{#N/A,#N/A,FALSE,"1996 Monthly Detail";#N/A,#N/A,FALSE,"1996 CashFlow";#N/A,#N/A,FALSE,"PNL By Dept";#N/A,#N/A,FALSE,"1997 Quarterly Detail";#N/A,#N/A,FALSE,"1998 Quarterly Detail";#N/A,#N/A,FALSE,"1997 Cash Flow";#N/A,#N/A,FALSE,"1998 Cash Flow"}</definedName>
    <definedName name="financials" localSheetId="12" hidden="1">{"PAGE1",#N/A,FALSE,"BID (3)";"PAGE2",#N/A,FALSE,"BID (3)"}</definedName>
    <definedName name="fine" localSheetId="12" hidden="1">{#N/A,#N/A,FALSE,"RESUMEN ECON.";#N/A,#N/A,FALSE,"Costos de R.H.";#N/A,#N/A,FALSE,"COSTO HW";#N/A,#N/A,FALSE,"CUADROS";#N/A,#N/A,FALSE,"SCADA´s";#N/A,#N/A,FALSE,"PRECIOS EQUIPOS"}</definedName>
    <definedName name="fish" localSheetId="12" hidden="1">{#N/A,#N/A,FALSE,"VALSUM";#N/A,#N/A,FALSE,"MKT.COMPS";#N/A,#N/A,FALSE,"ACQ.MULT.";#N/A,#N/A,FALSE,"DCF - LBO"}</definedName>
    <definedName name="FJEZK" localSheetId="12" hidden="1">{#N/A,#N/A,FALSE,"Pharm";#N/A,#N/A,FALSE,"WWCM"}</definedName>
    <definedName name="fm" localSheetId="12" hidden="1">{"summary1",#N/A,TRUE,"Comps";"summary2",#N/A,TRUE,"Comps";"summary3",#N/A,TRUE,"Comps"}</definedName>
    <definedName name="FMVRATE" localSheetId="12">[39]Control!$B$20</definedName>
    <definedName name="FOHV" localSheetId="12">'[32]Price Page Factors'!$A$5</definedName>
    <definedName name="FootnoteDefaults" localSheetId="12" hidden="1">{1;TRUE;5;"Times New Roman";FALSE;FALSE;TRUE;18;8;-4.5;-4;1;2;2;1;TRUE;5}</definedName>
    <definedName name="france" localSheetId="12" hidden="1">{#N/A,#N/A,FALSE,"COMP BS-FRANCE";#N/A,#N/A,FALSE,"96 COMP P&amp;L-FRANCE";#N/A,#N/A,FALSE,"BUD VS ACT FRAN 96";#N/A,#N/A,FALSE,"B/S - FRANCE"}</definedName>
    <definedName name="FRANCE1" localSheetId="12" hidden="1">{#N/A,#N/A,FALSE,"COMP BS-FRANCE";#N/A,#N/A,FALSE,"96 COMP P&amp;L-FRANCE";#N/A,#N/A,FALSE,"BUD VS ACT FRAN 96";#N/A,#N/A,FALSE,"B/S - FRANCE"}</definedName>
    <definedName name="frequency" localSheetId="12">{"Annually";"Semi-Annually";"Quarterly";"Bi-Monthly";"Monthly";"Semi-Monthly";"Bi-Weekly";"Weekly"}</definedName>
    <definedName name="FRF" localSheetId="12" hidden="1">{#N/A,#N/A,FALSE,"1";#N/A,#N/A,FALSE,"2";#N/A,#N/A,FALSE,"16 - 17";#N/A,#N/A,FALSE,"18 - 19";#N/A,#N/A,FALSE,"26";#N/A,#N/A,FALSE,"27";#N/A,#N/A,FALSE,"28"}</definedName>
    <definedName name="FRFERFE" localSheetId="12" hidden="1">{#N/A,#N/A,FALSE,"Pharm";#N/A,#N/A,FALSE,"WWCM"}</definedName>
    <definedName name="Frght_Discnt" localSheetId="12">'[32]Price Page Factors'!$A$2</definedName>
    <definedName name="fsdafdsa" localSheetId="12" hidden="1">{"SUM",#N/A,FALSE,"Details (2)"}</definedName>
    <definedName name="fsdg" localSheetId="12">[39]Control!$B$19</definedName>
    <definedName name="fsdsfafd" localSheetId="12" hidden="1">{"CSheet",#N/A,FALSE,"C";"SmCap",#N/A,FALSE,"VAL1";"GulfCoast",#N/A,FALSE,"VAL1";"nav",#N/A,FALSE,"NAV";"Summary",#N/A,FALSE,"NAV"}</definedName>
    <definedName name="fsfs" localSheetId="12" hidden="1">{#N/A,#N/A,FALSE,"Calc";#N/A,#N/A,FALSE,"Sensitivity";#N/A,#N/A,FALSE,"LT Earn.Dil.";#N/A,#N/A,FALSE,"Dil. AVP"}</definedName>
    <definedName name="fsfsd" localSheetId="12" hidden="1">{#N/A,#N/A,TRUE,"RESUMEN ECON.";#N/A,#N/A,TRUE,"Costos de R.H.";#N/A,#N/A,TRUE,"COSTO HW";#N/A,#N/A,TRUE,"CUADROS";#N/A,#N/A,TRUE,"SCADA´s";#N/A,#N/A,TRUE,"PRECIOS EQUIPOS"}</definedName>
    <definedName name="fsgdr" localSheetId="12" hidden="1">{"FCB_ALL",#N/A,FALSE,"FCB"}</definedName>
    <definedName name="FSLine" localSheetId="12">[34]data!$J$2:$J$61124</definedName>
    <definedName name="FSoPacific" localSheetId="12" hidden="1">{"BS",#N/A,FALSE,"USA"}</definedName>
    <definedName name="fsr" localSheetId="12" hidden="1">{"FCB_ALL",#N/A,FALSE,"FCB"}</definedName>
    <definedName name="fsv" localSheetId="12" hidden="1">{"FCB_ALL",#N/A,FALSE,"FCB";"GREY_ALL",#N/A,FALSE,"GREY"}</definedName>
    <definedName name="ftyf" localSheetId="12" hidden="1">{"FCB_ALL",#N/A,FALSE,"FCB";"GREY_ALL",#N/A,FALSE,"GREY"}</definedName>
    <definedName name="Fuckoff" localSheetId="12" hidden="1">{"Input Sheet",#N/A,FALSE,"Input";"New Co",#N/A,FALSE,"NEWCO";"Acq Cash Flow",#N/A,FALSE,"Acq. CF";"Target Cash Flow",#N/A,FALSE,"Tgt. CF";"Operational Merger",#N/A,FALSE,"OP Merger";"Acq Balance Sheet",#N/A,FALSE,"Acq. BS";"Target Balance Sheet",#N/A,FALSE,"Tgt. BS";"BOE Comp",#N/A,FALSE,"BOEComp"}</definedName>
    <definedName name="fuelco_wrn.test1." localSheetId="12" hidden="1">{"Income Statement",#N/A,FALSE,"CFMODEL";"Balance Sheet",#N/A,FALSE,"CFMODEL"}</definedName>
    <definedName name="fuelco_wrn.test2." localSheetId="12" hidden="1">{"SourcesUses",#N/A,TRUE,"CFMODEL";"TransOverview",#N/A,TRUE,"CFMODEL"}</definedName>
    <definedName name="fuelco_wrn.test3." localSheetId="12" hidden="1">{"SourcesUses",#N/A,TRUE,#N/A;"TransOverview",#N/A,TRUE,"CFMODEL"}</definedName>
    <definedName name="fuelco_wrn.test4." localSheetId="12" hidden="1">{"SourcesUses",#N/A,TRUE,"FundsFlow";"TransOverview",#N/A,TRUE,"FundsFlow"}</definedName>
    <definedName name="fundIV" localSheetId="12"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1" localSheetId="12"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VG" localSheetId="12" hidden="1">{#N/A,#N/A,FALSE,"Pharm";#N/A,#N/A,FALSE,"WWCM"}</definedName>
    <definedName name="g" localSheetId="12" hidden="1">{#N/A,#N/A,FALSE,"Pharm";#N/A,#N/A,FALSE,"WWCM"}</definedName>
    <definedName name="GA" localSheetId="12" hidden="1">{#N/A,#N/A,FALSE,"Job Sched"}</definedName>
    <definedName name="GAAP" localSheetId="12">#REF!</definedName>
    <definedName name="gadew" localSheetId="12" hidden="1">{"FCB_ALL",#N/A,FALSE,"FCB"}</definedName>
    <definedName name="gadfsh" localSheetId="12" hidden="1">{"FCB_ALL",#N/A,FALSE,"FCB"}</definedName>
    <definedName name="gads" localSheetId="12" hidden="1">{"FCB_ALL",#N/A,FALSE,"FCB"}</definedName>
    <definedName name="gadse" localSheetId="12" hidden="1">{"FCB_ALL",#N/A,FALSE,"FCB"}</definedName>
    <definedName name="Gasout" localSheetId="12">[32]Control!$F$389</definedName>
    <definedName name="Gatewayforecast" localSheetId="12" hidden="1">{"SUM",#N/A,FALSE,"Details (2)"}</definedName>
    <definedName name="gawea" localSheetId="12" hidden="1">{"FCB_ALL",#N/A,FALSE,"FCB"}</definedName>
    <definedName name="gawen" localSheetId="12" hidden="1">{"FCB_ALL",#N/A,FALSE,"FCB"}</definedName>
    <definedName name="gdfgdf" localSheetId="12" hidden="1">{#N/A,#N/A,FALSE,"Pharm";#N/A,#N/A,FALSE,"WWCM"}</definedName>
    <definedName name="GeelCapexFcst" localSheetId="12" hidden="1">{#N/A,#N/A,FALSE,"SUMMARY";#N/A,#N/A,FALSE,"mcsh";#N/A,#N/A,FALSE,"vol&amp;rev";#N/A,#N/A,FALSE,"wkgcap";#N/A,#N/A,FALSE,"DEPR&amp;DT";#N/A,#N/A,FALSE,"ASSETS";#N/A,#N/A,FALSE,"NI&amp;OTH&amp;DIV";#N/A,#N/A,FALSE,"CASHFLOW";#N/A,#N/A,FALSE,"CAPEMPL";#N/A,#N/A,FALSE,"ROCE"}</definedName>
    <definedName name="gegeg" localSheetId="12" hidden="1">{#N/A,#N/A,FALSE,"Cashflow Analysis";#N/A,#N/A,FALSE,"Sensitivity Analysis";#N/A,#N/A,FALSE,"PV";#N/A,#N/A,FALSE,"Pro Forma"}</definedName>
    <definedName name="gegeg.2" localSheetId="12" hidden="1">{#N/A,#N/A,FALSE,"Cashflow Analysis";#N/A,#N/A,FALSE,"Sensitivity Analysis";#N/A,#N/A,FALSE,"PV";#N/A,#N/A,FALSE,"Pro Forma"}</definedName>
    <definedName name="gfasd" localSheetId="12" hidden="1">{"FCB_ALL",#N/A,FALSE,"FCB"}</definedName>
    <definedName name="gfdjhjh" localSheetId="12" hidden="1">{#N/A,#N/A,FALSE,"Pharm";#N/A,#N/A,FALSE,"WWCM"}</definedName>
    <definedName name="gfhs" localSheetId="12" hidden="1">{"summary1",#N/A,TRUE,"Comps";"summary2",#N/A,TRUE,"Comps";"summary3",#N/A,TRUE,"Comps"}</definedName>
    <definedName name="gfsdn" localSheetId="12" hidden="1">{"FCB_ALL",#N/A,FALSE,"FCB";"GREY_ALL",#N/A,FALSE,"GREY"}</definedName>
    <definedName name="GG" localSheetId="12" hidden="1">{#N/A,#N/A,FALSE,"PL-FS";#N/A,#N/A,FALSE,"PL"}</definedName>
    <definedName name="gg.2" localSheetId="12" hidden="1">{#N/A,#N/A,FALSE,"Cashflow Analysis";#N/A,#N/A,FALSE,"Sensitivity Analysis";#N/A,#N/A,FALSE,"PV";#N/A,#N/A,FALSE,"Pro Forma"}</definedName>
    <definedName name="ghjfg" localSheetId="12" hidden="1">{#N/A,#N/A,TRUE,"ALLL";#N/A,#N/A,TRUE,"DEL";#N/A,#N/A,TRUE,"Reserve Analysis";#N/A,#N/A,TRUE,"C_OFF HISTORY";#N/A,#N/A,TRUE,"ALLL_QTR";#N/A,#N/A,TRUE,"HEA_M";#N/A,#N/A,TRUE,"BL_DET";#N/A,#N/A,TRUE,"3YRS+";#N/A,#N/A,TRUE,"CONSTR_DET"}</definedName>
    <definedName name="ghjggjh" localSheetId="12" hidden="1">{#N/A,#N/A,FALSE,"Pharm";#N/A,#N/A,FALSE,"WWCM"}</definedName>
    <definedName name="ghmtymk" localSheetId="12" hidden="1">{#N/A,#N/A,FALSE,"INPUTS";#N/A,#N/A,FALSE,"PROFORMA BSHEET";#N/A,#N/A,FALSE,"COMBINED";#N/A,#N/A,FALSE,"ACQUIROR";#N/A,#N/A,FALSE,"TARGET 1";#N/A,#N/A,FALSE,"TARGET 2";#N/A,#N/A,FALSE,"HIGH YIELD";#N/A,#N/A,FALSE,"OVERFUND"}</definedName>
    <definedName name="ghtj" localSheetId="12" hidden="1">{#N/A,#N/A,FALSE,"ACQ_GRAPHS";#N/A,#N/A,FALSE,"T_1 GRAPHS";#N/A,#N/A,FALSE,"T_2 GRAPHS";#N/A,#N/A,FALSE,"COMB_GRAPHS"}</definedName>
    <definedName name="gilb.wrn.test2." localSheetId="12" hidden="1">{"SourcesUses",#N/A,TRUE,"CFMODEL";"TransOverview",#N/A,TRUE,"CFMODEL"}</definedName>
    <definedName name="gilb.wrn.test3." localSheetId="12" hidden="1">{"SourcesUses",#N/A,TRUE,#N/A;"TransOverview",#N/A,TRUE,"CFMODEL"}</definedName>
    <definedName name="gilb.wrn.test4." localSheetId="12" hidden="1">{"SourcesUses",#N/A,TRUE,"FundsFlow";"TransOverview",#N/A,TRUE,"FundsFlow"}</definedName>
    <definedName name="gilb_wrn.test1" localSheetId="12" hidden="1">{"Income Statement",#N/A,FALSE,"CFMODEL";"Balance Sheet",#N/A,FALSE,"CFMODEL"}</definedName>
    <definedName name="gkn" localSheetId="12" hidden="1">{#N/A,#N/A,FALSE,"COVER PAGE";#N/A,#N/A,FALSE,"Page 2";#N/A,#N/A,FALSE,"Page 2";#N/A,#N/A,FALSE,"Page 4";#N/A,#N/A,FALSE,"Page5";#N/A,#N/A,FALSE,"Page 6";#N/A,#N/A,FALSE,"Page 7";#N/A,#N/A,FALSE,"Page 8";#N/A,#N/A,FALSE,"Page 10";#N/A,#N/A,FALSE,"Long-Term OCF Mult.";#N/A,#N/A,FALSE,"PCS Comp";#N/A,#N/A,FALSE,"OCS-CAPEX";#N/A,#N/A,FALSE,"Blank"}</definedName>
    <definedName name="GKUY" localSheetId="1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lobal1" localSheetId="12" hidden="1">{#N/A,#N/A,FALSE,"Pharm";#N/A,#N/A,FALSE,"WWCM"}</definedName>
    <definedName name="gmghm" localSheetId="12"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gnr" localSheetId="1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o" localSheetId="12" hidden="1">{"TOTAL",#N/A,FALSE,"A";"FISCAL94",#N/A,FALSE,"A";"FISCAL95",#N/A,FALSE,"A";"FISCAL96",#N/A,FALSE,"A";"misc page",#N/A,FALSE,"A"}</definedName>
    <definedName name="graph" localSheetId="12" hidden="1">{#N/A,#N/A,FALSE,"REPORT"}</definedName>
    <definedName name="gt" localSheetId="12" hidden="1">{#N/A,#N/A,FALSE,"COVER";#N/A,#N/A,FALSE,"Index";#N/A,#N/A,FALSE,"Non-Earning";#N/A,#N/A,FALSE,"Commercial";#N/A,#N/A,FALSE,"Detailed"}</definedName>
    <definedName name="gtrwegrwegw" localSheetId="12" hidden="1">{"Summary",#N/A,FALSE,"Details (2)"}</definedName>
    <definedName name="gty" localSheetId="12" hidden="1">{"arpm1995",#N/A,FALSE,"Summary 95-96";"bus_long_distance",#N/A,FALSE,"Summary 95-96";"mins_per_day",#N/A,FALSE,"Summary 95-96";"minutes1995",#N/A,FALSE,"Summary 95-96";"rev_per_day",#N/A,FALSE,"Summary 95-96";"view1995",#N/A,FALSE,"Summary 95-96"}</definedName>
    <definedName name="h" localSheetId="12" hidden="1">{#N/A,#N/A,FALSE,"REPORT"}</definedName>
    <definedName name="hbkg" localSheetId="12" hidden="1">{#N/A,#N/A,FALSE,"COVER";#N/A,#N/A,FALSE,"Index";#N/A,#N/A,FALSE,"Non-Earning";#N/A,#N/A,FALSE,"Non-Earning-Recovery";#N/A,#N/A,FALSE,"Leasing_Equipo";#N/A,#N/A,FALSE,"Leasing_Auto";#N/A,#N/A,FALSE,"Leasing_Legal"}</definedName>
    <definedName name="HD" localSheetId="12" hidden="1">{TRUE,TRUE,-1.25,-15.5,604.5,369,FALSE,FALSE,TRUE,TRUE,0,1,83,1,38,4,5,4,TRUE,TRUE,3,TRUE,1,TRUE,75,"Swvu.inputs._.raw._.data.","ACwvu.inputs._.raw._.data.",#N/A,FALSE,FALSE,0.5,0.5,0.5,0.5,2,"&amp;F","&amp;A&amp;RPage &amp;P",FALSE,FALSE,FALSE,FALSE,1,60,#N/A,#N/A,"=R1C61:R53C89","=C1:C5",#N/A,#N/A,FALSE,FALSE,FALSE,1,600,600,FALSE,FALSE,TRUE,TRUE,TRUE}</definedName>
    <definedName name="Header" localSheetId="12">#REF!</definedName>
    <definedName name="Header1" localSheetId="12" hidden="1">IF(COUNTA(#REF!)=0,0,INDEX(#REF!,MATCH(ROW(#REF!),#REF!,TRUE)))+1</definedName>
    <definedName name="Header2" localSheetId="12" hidden="1">#REF!-1 &amp; "." &amp; MAX(1,COUNTA(INDEX(#REF!,MATCH(#REF!-1,#REF!,FALSE)):#REF!))</definedName>
    <definedName name="HEI" localSheetId="12" hidden="1">{"AQUIRORDCF",#N/A,FALSE,"Merger consequences";"Acquirorassns",#N/A,FALSE,"Merger consequences"}</definedName>
    <definedName name="hello2" localSheetId="12" hidden="1">{#N/A,#N/A,FALSE,"Index";"Stmts_Qtrs",#N/A,FALSE,"Summary";"Stmts_24 mo",#N/A,FALSE,"Summary";"Summary_24",#N/A,FALSE,"Revenue";"Month_24",#N/A,FALSE,"Engineering";"Month_24",#N/A,FALSE,"Marketing";"Month_24",#N/A,FALSE,"G &amp; A";"Month_24",#N/A,FALSE,"Manufacturing"}</definedName>
    <definedName name="Help" localSheetId="12" hidden="1">{#N/A,#N/A,FALSE,"COVER PAGE";#N/A,#N/A,FALSE,"Page 2";#N/A,#N/A,FALSE,"Page 2";#N/A,#N/A,FALSE,"Page 4";#N/A,#N/A,FALSE,"Page5";#N/A,#N/A,FALSE,"Page 6";#N/A,#N/A,FALSE,"Page 7";#N/A,#N/A,FALSE,"Page 8";#N/A,#N/A,FALSE,"Page 10";#N/A,#N/A,FALSE,"Long-Term OCF Mult.";#N/A,#N/A,FALSE,"PCS Comp";#N/A,#N/A,FALSE,"OCS-CAPEX";#N/A,#N/A,FALSE,"Blank"}</definedName>
    <definedName name="help1" localSheetId="12" hidden="1">{#N/A,#N/A,FALSE,"Total";#N/A,#N/A,FALSE,"Sew";#N/A,#N/A,FALSE,"Finish";#N/A,#N/A,FALSE,"CUT";#N/A,#N/A,FALSE,"Mill 5";#N/A,#N/A,FALSE,"Mill 6";#N/A,#N/A,FALSE,"Mill 8";#N/A,#N/A,FALSE,"Mill 9";#N/A,#N/A,FALSE,"Mill 10";#N/A,#N/A,FALSE,"Mill 12";#N/A,#N/A,FALSE,"Mill 15";#N/A,#N/A,FALSE,"Mill 17"}</definedName>
    <definedName name="hfd" localSheetId="12" hidden="1">{"FCB_ALL",#N/A,FALSE,"FCB";"GREY_ALL",#N/A,FALSE,"GREY"}</definedName>
    <definedName name="HFinGraph" localSheetId="12" hidden="1">{#N/A,#N/A,FALSE,"Pharm";#N/A,#N/A,FALSE,"WWCM"}</definedName>
    <definedName name="hfydf" localSheetId="12" hidden="1">{"FCB_ALL",#N/A,FALSE,"FCB"}</definedName>
    <definedName name="hgsrt" localSheetId="12" hidden="1">{"FCB_ALL",#N/A,FALSE,"FCB";"GREY_ALL",#N/A,FALSE,"GREY"}</definedName>
    <definedName name="hh" localSheetId="12" hidden="1">{#N/A,#N/A,TRUE,"DCF Summary";#N/A,#N/A,TRUE,"Casema";#N/A,#N/A,TRUE,"UK";#N/A,#N/A,TRUE,"RCF";#N/A,#N/A,TRUE,"Intercable CZ";#N/A,#N/A,TRUE,"Interkabel P";#N/A,#N/A,TRUE,"LBO-Total";#N/A,#N/A,TRUE,"LBO-Casema"}</definedName>
    <definedName name="hhh" localSheetId="12" hidden="1">{#N/A,#N/A,FALSE,"Job Sched"}</definedName>
    <definedName name="hhhh" localSheetId="12" hidden="1">{"SUM",#N/A,FALSE,"Details (2)"}</definedName>
    <definedName name="Hi" localSheetId="12" hidden="1">{#N/A,#N/A,FALSE,"FAB VENDORS";"BUD SUM",#N/A,FALSE,"BUD SUM WO TEX"}</definedName>
    <definedName name="Hibh" localSheetId="12" hidden="1">{#N/A,#N/A,FALSE,"Pharm";#N/A,#N/A,FALSE,"WWCM"}</definedName>
    <definedName name="High" localSheetId="12" hidden="1">{#N/A,#N/A,FALSE,"Pharm";#N/A,#N/A,FALSE,"WWCM"}</definedName>
    <definedName name="hjf" localSheetId="1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jh" localSheetId="12" hidden="1">{#N/A,#N/A,FALSE,"Page 1";#N/A,#N/A,FALSE,"Page 2";#N/A,#N/A,FALSE,"Page 3";#N/A,#N/A,FALSE,"Page 4";#N/A,#N/A,FALSE,"Page 5"}</definedName>
    <definedName name="hjhjffukfuk" localSheetId="12" hidden="1">{#N/A,#N/A,FALSE,"Pharm";#N/A,#N/A,FALSE,"WWCM"}</definedName>
    <definedName name="hjhjfkfukywrte" localSheetId="12" hidden="1">{#N/A,#N/A,FALSE,"Pharm";#N/A,#N/A,FALSE,"WWCM"}</definedName>
    <definedName name="hjhjhj" localSheetId="12" hidden="1">{#N/A,#N/A,FALSE,"Index";"Stmts_Qtrs",#N/A,FALSE,"Summary";"Stmts_24 mo",#N/A,FALSE,"Summary";"Summary_24",#N/A,FALSE,"Revenue";"Month_24",#N/A,FALSE,"Engineering";"Month_24",#N/A,FALSE,"Marketing";"Month_24",#N/A,FALSE,"G &amp; A";"Month_24",#N/A,FALSE,"Manufacturing"}</definedName>
    <definedName name="hjhjhj2" localSheetId="12" hidden="1">{#N/A,#N/A,FALSE,"Index";"Stmts_Qtrs",#N/A,FALSE,"Summary";"Stmts_24 mo",#N/A,FALSE,"Summary";"Summary_24",#N/A,FALSE,"Revenue";"Month_24",#N/A,FALSE,"Engineering";"Month_24",#N/A,FALSE,"Marketing";"Month_24",#N/A,FALSE,"G &amp; A";"Month_24",#N/A,FALSE,"Manufacturing"}</definedName>
    <definedName name="hjhkjkl" localSheetId="12" hidden="1">{#N/A,#N/A,FALSE,"Pharm";#N/A,#N/A,FALSE,"WWCM"}</definedName>
    <definedName name="hjjjkk" localSheetId="12" hidden="1">{#N/A,#N/A,FALSE,"REPORT"}</definedName>
    <definedName name="hjjkk" localSheetId="12" hidden="1">{#N/A,#N/A,FALSE,"Pharm";#N/A,#N/A,FALSE,"WWCM"}</definedName>
    <definedName name="hjkk" localSheetId="12" hidden="1">{#N/A,#N/A,FALSE,"Pharm";#N/A,#N/A,FALSE,"WWCM"}</definedName>
    <definedName name="HKSH" localSheetId="12" hidden="1">{#N/A,#N/A,FALSE,"REPORT"}</definedName>
    <definedName name="HMG" localSheetId="12" hidden="1">{#N/A,#N/A,FALSE,"REPORT"}</definedName>
    <definedName name="hn._I018" localSheetId="12" hidden="1">#REF!</definedName>
    <definedName name="hn._I024" localSheetId="12" hidden="1">#REF!</definedName>
    <definedName name="hn._I028" localSheetId="12" hidden="1">#REF!</definedName>
    <definedName name="hn._I029" localSheetId="12" hidden="1">#REF!</definedName>
    <definedName name="hn._I030" localSheetId="12" hidden="1">#REF!</definedName>
    <definedName name="hn._I031" localSheetId="12" hidden="1">#REF!</definedName>
    <definedName name="hn._I059" localSheetId="12" hidden="1">#REF!</definedName>
    <definedName name="hn._I071" localSheetId="12" hidden="1">#REF!</definedName>
    <definedName name="hn._I075" localSheetId="12" hidden="1">#REF!</definedName>
    <definedName name="hn._I083" localSheetId="12" hidden="1">#REF!</definedName>
    <definedName name="hn._I085" localSheetId="12" hidden="1">#REF!</definedName>
    <definedName name="hn._P001" localSheetId="12" hidden="1">#REF!</definedName>
    <definedName name="hn._P004" localSheetId="12" hidden="1">#REF!</definedName>
    <definedName name="hn._P014" localSheetId="12" hidden="1">#REF!</definedName>
    <definedName name="hn._P016" localSheetId="12" hidden="1">#REF!</definedName>
    <definedName name="hn._P021" localSheetId="12" hidden="1">#REF!</definedName>
    <definedName name="hn._P024" localSheetId="12" hidden="1">#REF!</definedName>
    <definedName name="hn.Add015" localSheetId="12" hidden="1">#REF!</definedName>
    <definedName name="hn.Delete015" localSheetId="12" hidden="1">#REF!,#REF!,#REF!,#REF!,#REF!</definedName>
    <definedName name="hn.PrivateLTMYear" localSheetId="12" hidden="1">#REF!</definedName>
    <definedName name="hod" localSheetId="12" hidden="1">{#N/A,#N/A,FALSE,"TS";#N/A,#N/A,FALSE,"Combo";#N/A,#N/A,FALSE,"FAIR";#N/A,#N/A,FALSE,"RBC";#N/A,#N/A,FALSE,"xxxx";#N/A,#N/A,FALSE,"A_D";#N/A,#N/A,FALSE,"WACC";#N/A,#N/A,FALSE,"DCF";#N/A,#N/A,FALSE,"LBO";#N/A,#N/A,FALSE,"AcqMults";#N/A,#N/A,FALSE,"CompMults"}</definedName>
    <definedName name="home" localSheetId="12" hidden="1">{"WACC_filecopy",#N/A,FALSE,"Inputs";"Beta_filecopy",#N/A,FALSE,"Inputs";"SCF_filecopy",#N/A,FALSE,"Inputs";"ProBS_filecopy",#N/A,FALSE,"Inputs";"BS_filecopy",#N/A,FALSE,"Inputs";"ProIS_filecopy",#N/A,FALSE,"Inputs";"IS_filecopy",#N/A,FALSE,"Inputs"}</definedName>
    <definedName name="HOMFE" localSheetId="12" hidden="1">{#N/A,#N/A,FALSE,"Assessment";#N/A,#N/A,FALSE,"Staffing";#N/A,#N/A,FALSE,"Hires";#N/A,#N/A,FALSE,"Assumptions"}</definedName>
    <definedName name="houy" localSheetId="12" hidden="1">{#N/A,#N/A,FALSE,"AD_Purchase";#N/A,#N/A,FALSE,"Credit";#N/A,#N/A,FALSE,"PF Acquisition";#N/A,#N/A,FALSE,"PF Offering"}</definedName>
    <definedName name="HQ" localSheetId="12" hidden="1">{#N/A,#N/A,FALSE,"6405";#N/A,#N/A,FALSE,"6406";#N/A,#N/A,FALSE,"6409";#N/A,#N/A,FALSE,"6425";#N/A,#N/A,FALSE,"6426";#N/A,#N/A,FALSE,"6427";#N/A,#N/A,FALSE,"6440";#N/A,#N/A,FALSE,"6441";#N/A,#N/A,FALSE,"6442";#N/A,#N/A,FALSE,"6443"}</definedName>
    <definedName name="HTML_Control" localSheetId="12" hidden="1">{"'ATP'!$E$6"}</definedName>
    <definedName name="HTML_Control_1" localSheetId="12" hidden="1">{"'ATP'!$E$6"}</definedName>
    <definedName name="HTML_Control_BS" localSheetId="12" hidden="1">{"'Sheet1'!$A$1:$L$21"}</definedName>
    <definedName name="HTML_Header" localSheetId="12" hidden="1">""</definedName>
    <definedName name="HTML_LastUpdate" localSheetId="12" hidden="1">"2/4/99"</definedName>
    <definedName name="HTML_Name" localSheetId="12" hidden="1">"Marianne Kim"</definedName>
    <definedName name="HTML_PathFile" localSheetId="12" hidden="1">"h:\home\MJK\atp.htm"</definedName>
    <definedName name="HTML_Title" localSheetId="12" hidden="1">"atp"</definedName>
    <definedName name="HTMLControl" localSheetId="12" hidden="1">{"'Edit'!$A$1:$V$2277"}</definedName>
    <definedName name="htyuityuiotio" localSheetId="12" hidden="1">{#N/A,#N/A,FALSE,"REPORT"}</definedName>
    <definedName name="hu" localSheetId="1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Hypertention" localSheetId="12" hidden="1">{#N/A,#N/A,FALSE,"Pharm";#N/A,#N/A,FALSE,"WWCM"}</definedName>
    <definedName name="hypo" localSheetId="12" hidden="1">{#N/A,#N/A,FALSE,"Pharm";#N/A,#N/A,FALSE,"WWCM"}</definedName>
    <definedName name="I" localSheetId="12" hidden="1">#REF!</definedName>
    <definedName name="iiiii" localSheetId="1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 localSheetId="1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iiiiiiiiiiiiiiiiiiii" localSheetId="1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nmovilizado2" localSheetId="12" hidden="1">{#N/A,#N/A,FALSE,"CNS_ADJ";"Balance Consolidado",#N/A,FALSE,"BCEC_CNS";#N/A,#N/A,FALSE,"USGAAP_ADJ"}</definedName>
    <definedName name="Int" localSheetId="12">#REF!</definedName>
    <definedName name="Interco2" localSheetId="12" hidden="1">{#N/A,#N/A,FALSE,"Job Sched"}</definedName>
    <definedName name="InterestRate2014" localSheetId="12">'[38]Merger Loan'!$D$5</definedName>
    <definedName name="InterestRateRealEstate" localSheetId="12">'[38]Primary Loan'!$D$5</definedName>
    <definedName name="IntroPrintArea" localSheetId="12" hidden="1">#REF!</definedName>
    <definedName name="Invout" localSheetId="12">[32]Control!$F$419</definedName>
    <definedName name="IP" localSheetId="12" hidden="1">{#N/A,#N/A,FALSE,"Pharm";#N/A,#N/A,FALSE,"WWCM"}</definedName>
    <definedName name="IPRD_mites" localSheetId="12" hidden="1">{"bs",#N/A,FALSE,"SCF"}</definedName>
    <definedName name="IPRD_Pollen" localSheetId="12" hidden="1">{"bs",#N/A,FALSE,"SCF"}</definedName>
    <definedName name="IQ_EXPENSE_CODE_" localSheetId="12" hidden="1">"General Advisory"</definedName>
    <definedName name="IQ_NAMES_REVISION_DATE_" localSheetId="12" hidden="1">40449.4288773148</definedName>
    <definedName name="IQB_BOOKMARK_LOCATION_0" localSheetId="12" hidden="1">[40]Standalone!#REF!</definedName>
    <definedName name="IQR111711P10" localSheetId="12" hidden="1">#REF!</definedName>
    <definedName name="IQR111711P101" localSheetId="12" hidden="1">#REF!</definedName>
    <definedName name="IQR111711P102" localSheetId="12" hidden="1">#REF!</definedName>
    <definedName name="IQR111711P103" localSheetId="12" hidden="1">#REF!</definedName>
    <definedName name="IQR111711P104" localSheetId="12" hidden="1">#REF!</definedName>
    <definedName name="IQR111711P106" localSheetId="12" hidden="1">#REF!</definedName>
    <definedName name="IQR111711P107" localSheetId="12" hidden="1">#REF!</definedName>
    <definedName name="IQR111711P110" localSheetId="12" hidden="1">#REF!</definedName>
    <definedName name="IQR111711P111" localSheetId="12" hidden="1">#REF!</definedName>
    <definedName name="IQR111711P112" localSheetId="12" hidden="1">#REF!</definedName>
    <definedName name="IQR111711P113" localSheetId="12" hidden="1">#REF!</definedName>
    <definedName name="IQR111711P114" localSheetId="12" hidden="1">#REF!</definedName>
    <definedName name="IQR111711P117" localSheetId="12" hidden="1">#REF!</definedName>
    <definedName name="IQR111711P119" localSheetId="12" hidden="1">#REF!</definedName>
    <definedName name="IQR111711P120" localSheetId="12" hidden="1">#REF!</definedName>
    <definedName name="IQR111711P122" localSheetId="12" hidden="1">#REF!</definedName>
    <definedName name="IQR111711P123" localSheetId="12" hidden="1">#REF!</definedName>
    <definedName name="IQR111711P124" localSheetId="12" hidden="1">#REF!</definedName>
    <definedName name="IQR111711P127" localSheetId="12" hidden="1">#REF!</definedName>
    <definedName name="IQR111711P128" localSheetId="12" hidden="1">#REF!</definedName>
    <definedName name="IQR111711P13" localSheetId="12" hidden="1">#REF!</definedName>
    <definedName name="IQR111711P131" localSheetId="12" hidden="1">#REF!</definedName>
    <definedName name="IQR111711P132" localSheetId="12" hidden="1">#REF!</definedName>
    <definedName name="IQR111711P134" localSheetId="12" hidden="1">#REF!</definedName>
    <definedName name="IQR111711P135" localSheetId="12" hidden="1">#REF!</definedName>
    <definedName name="IQR111711P136" localSheetId="12" hidden="1">#REF!</definedName>
    <definedName name="IQR111711P138" localSheetId="12" hidden="1">#REF!</definedName>
    <definedName name="IQR111711P139" localSheetId="12" hidden="1">#REF!</definedName>
    <definedName name="IQR111711P14" localSheetId="12" hidden="1">#REF!</definedName>
    <definedName name="IQR111711P140" localSheetId="12" hidden="1">#REF!</definedName>
    <definedName name="IQR111711P141" localSheetId="12" hidden="1">#REF!</definedName>
    <definedName name="IQR111711P142" localSheetId="12" hidden="1">#REF!</definedName>
    <definedName name="IQR111711P143" localSheetId="12" hidden="1">#REF!</definedName>
    <definedName name="IQR111711P144" localSheetId="12" hidden="1">#REF!</definedName>
    <definedName name="IQR111711P145" localSheetId="12" hidden="1">#REF!</definedName>
    <definedName name="IQR111711P148" localSheetId="12" hidden="1">#REF!</definedName>
    <definedName name="IQR111711P149" localSheetId="12" hidden="1">#REF!</definedName>
    <definedName name="IQR111711P150" localSheetId="12" hidden="1">#REF!</definedName>
    <definedName name="IQR111711P153" localSheetId="12" hidden="1">#REF!</definedName>
    <definedName name="IQR111711P155" localSheetId="12" hidden="1">#REF!</definedName>
    <definedName name="IQR111711P156" localSheetId="12" hidden="1">#REF!</definedName>
    <definedName name="IQR111711P161" localSheetId="12" hidden="1">#REF!</definedName>
    <definedName name="IQR111711P163" localSheetId="12" hidden="1">#REF!</definedName>
    <definedName name="IQR111711P167" localSheetId="12" hidden="1">#REF!</definedName>
    <definedName name="IQR111711P168" localSheetId="12" hidden="1">#REF!</definedName>
    <definedName name="IQR111711P169" localSheetId="12" hidden="1">#REF!</definedName>
    <definedName name="IQR111711P17" localSheetId="12" hidden="1">#REF!</definedName>
    <definedName name="IQR111711P170" localSheetId="12" hidden="1">#REF!</definedName>
    <definedName name="IQR111711P172" localSheetId="12" hidden="1">#REF!</definedName>
    <definedName name="IQR111711P174" localSheetId="12" hidden="1">#REF!</definedName>
    <definedName name="IQR111711P175" localSheetId="12" hidden="1">#REF!</definedName>
    <definedName name="IQR111711P179" localSheetId="12" hidden="1">#REF!</definedName>
    <definedName name="IQR111711P18" localSheetId="12" hidden="1">#REF!</definedName>
    <definedName name="IQR111711P182" localSheetId="12" hidden="1">#REF!</definedName>
    <definedName name="IQR111711P183" localSheetId="12" hidden="1">#REF!</definedName>
    <definedName name="IQR111711P187" localSheetId="12" hidden="1">#REF!</definedName>
    <definedName name="IQR111711P188" localSheetId="12" hidden="1">#REF!</definedName>
    <definedName name="IQR111711P190" localSheetId="12" hidden="1">#REF!</definedName>
    <definedName name="IQR111711P192" localSheetId="12" hidden="1">#REF!</definedName>
    <definedName name="IQR111711P193" localSheetId="12" hidden="1">#REF!</definedName>
    <definedName name="IQR111711P195" localSheetId="12" hidden="1">#REF!</definedName>
    <definedName name="IQR111711P196" localSheetId="12" hidden="1">#REF!</definedName>
    <definedName name="IQR111711P198" localSheetId="12" hidden="1">#REF!</definedName>
    <definedName name="IQR111711P199" localSheetId="12" hidden="1">#REF!</definedName>
    <definedName name="IQR111711P200" localSheetId="12" hidden="1">#REF!</definedName>
    <definedName name="IQR111711P202" localSheetId="12" hidden="1">#REF!</definedName>
    <definedName name="IQR111711P205" localSheetId="12" hidden="1">#REF!</definedName>
    <definedName name="IQR111711P206" localSheetId="12" hidden="1">#REF!</definedName>
    <definedName name="IQR111711P207" localSheetId="12" hidden="1">#REF!</definedName>
    <definedName name="IQR111711P208" localSheetId="12" hidden="1">#REF!</definedName>
    <definedName name="IQR111711P21" localSheetId="12" hidden="1">#REF!</definedName>
    <definedName name="IQR111711P210" localSheetId="12" hidden="1">#REF!</definedName>
    <definedName name="IQR111711P211" localSheetId="12" hidden="1">#REF!</definedName>
    <definedName name="IQR111711P212" localSheetId="12" hidden="1">#REF!</definedName>
    <definedName name="IQR111711P213" localSheetId="12" hidden="1">#REF!</definedName>
    <definedName name="IQR111711P214" localSheetId="12" hidden="1">#REF!</definedName>
    <definedName name="IQR111711P215" localSheetId="12" hidden="1">#REF!</definedName>
    <definedName name="IQR111711P216" localSheetId="12" hidden="1">#REF!</definedName>
    <definedName name="IQR111711P218" localSheetId="12" hidden="1">#REF!</definedName>
    <definedName name="IQR111711P219" localSheetId="12" hidden="1">#REF!</definedName>
    <definedName name="IQR111711P222" localSheetId="12" hidden="1">#REF!</definedName>
    <definedName name="IQR111711P223" localSheetId="12" hidden="1">#REF!</definedName>
    <definedName name="IQR111711P224" localSheetId="12" hidden="1">#REF!</definedName>
    <definedName name="IQR111711P225" localSheetId="12" hidden="1">#REF!</definedName>
    <definedName name="IQR111711P227" localSheetId="12" hidden="1">#REF!</definedName>
    <definedName name="IQR111711P229" localSheetId="12" hidden="1">#REF!</definedName>
    <definedName name="IQR111711P23" localSheetId="12" hidden="1">#REF!</definedName>
    <definedName name="IQR111711P230" localSheetId="12" hidden="1">#REF!</definedName>
    <definedName name="IQR111711P232" localSheetId="12" hidden="1">#REF!</definedName>
    <definedName name="IQR111711P233" localSheetId="12" hidden="1">#REF!</definedName>
    <definedName name="IQR111711P234" localSheetId="12" hidden="1">#REF!</definedName>
    <definedName name="IQR111711P237" localSheetId="12" hidden="1">#REF!</definedName>
    <definedName name="IQR111711P238" localSheetId="12" hidden="1">#REF!</definedName>
    <definedName name="IQR111711P239" localSheetId="12" hidden="1">#REF!</definedName>
    <definedName name="IQR111711P24" localSheetId="12" hidden="1">#REF!</definedName>
    <definedName name="IQR111711P240" localSheetId="12" hidden="1">#REF!</definedName>
    <definedName name="IQR111711P242" localSheetId="12" hidden="1">#REF!</definedName>
    <definedName name="IQR111711P243" localSheetId="12" hidden="1">#REF!</definedName>
    <definedName name="IQR111711P245" localSheetId="12" hidden="1">#REF!</definedName>
    <definedName name="IQR111711P247" localSheetId="12" hidden="1">#REF!</definedName>
    <definedName name="IQR111711P248" localSheetId="12" hidden="1">#REF!</definedName>
    <definedName name="IQR111711P249" localSheetId="12" hidden="1">#REF!</definedName>
    <definedName name="IQR111711P25" localSheetId="12" hidden="1">#REF!</definedName>
    <definedName name="IQR111711P252" localSheetId="12" hidden="1">#REF!</definedName>
    <definedName name="IQR111711P253" localSheetId="12" hidden="1">#REF!</definedName>
    <definedName name="IQR111711P254" localSheetId="12" hidden="1">#REF!</definedName>
    <definedName name="IQR111711P255" localSheetId="12" hidden="1">#REF!</definedName>
    <definedName name="IQR111711P256" localSheetId="12" hidden="1">#REF!</definedName>
    <definedName name="IQR111711P257" localSheetId="12" hidden="1">#REF!</definedName>
    <definedName name="IQR111711P258" localSheetId="12" hidden="1">#REF!</definedName>
    <definedName name="IQR111711P259" localSheetId="12" hidden="1">#REF!</definedName>
    <definedName name="IQR111711P26" localSheetId="12" hidden="1">#REF!</definedName>
    <definedName name="IQR111711P260" localSheetId="12" hidden="1">#REF!</definedName>
    <definedName name="IQR111711P261" localSheetId="12" hidden="1">#REF!</definedName>
    <definedName name="IQR111711P263" localSheetId="12" hidden="1">#REF!</definedName>
    <definedName name="IQR111711P264" localSheetId="12" hidden="1">#REF!</definedName>
    <definedName name="IQR111711P265" localSheetId="12" hidden="1">#REF!</definedName>
    <definedName name="IQR111711P266" localSheetId="12" hidden="1">#REF!</definedName>
    <definedName name="IQR111711P267" localSheetId="12" hidden="1">#REF!</definedName>
    <definedName name="IQR111711P269" localSheetId="12" hidden="1">#REF!</definedName>
    <definedName name="IQR111711P27" localSheetId="12" hidden="1">#REF!</definedName>
    <definedName name="IQR111711P270" localSheetId="12" hidden="1">#REF!</definedName>
    <definedName name="IQR111711P271" localSheetId="12" hidden="1">#REF!</definedName>
    <definedName name="IQR111711P275" localSheetId="12" hidden="1">#REF!</definedName>
    <definedName name="IQR111711P276" localSheetId="12" hidden="1">#REF!</definedName>
    <definedName name="IQR111711P278" localSheetId="12" hidden="1">#REF!</definedName>
    <definedName name="IQR111711P279" localSheetId="12" hidden="1">#REF!</definedName>
    <definedName name="IQR111711P28" localSheetId="12" hidden="1">#REF!</definedName>
    <definedName name="IQR111711P280" localSheetId="12" hidden="1">#REF!</definedName>
    <definedName name="IQR111711P281" localSheetId="12" hidden="1">#REF!</definedName>
    <definedName name="IQR111711P282" localSheetId="12" hidden="1">#REF!</definedName>
    <definedName name="IQR111711P284" localSheetId="12" hidden="1">#REF!</definedName>
    <definedName name="IQR111711P285" localSheetId="12" hidden="1">#REF!</definedName>
    <definedName name="IQR111711P286" localSheetId="12" hidden="1">#REF!</definedName>
    <definedName name="IQR111711P289" localSheetId="12" hidden="1">#REF!</definedName>
    <definedName name="IQR111711P29" localSheetId="12" hidden="1">#REF!</definedName>
    <definedName name="IQR111711P290" localSheetId="12" hidden="1">#REF!</definedName>
    <definedName name="IQR111711P292" localSheetId="12" hidden="1">#REF!</definedName>
    <definedName name="IQR111711P294" localSheetId="12" hidden="1">#REF!</definedName>
    <definedName name="IQR111711P295" localSheetId="12" hidden="1">#REF!</definedName>
    <definedName name="IQR111711P297" localSheetId="12" hidden="1">#REF!</definedName>
    <definedName name="IQR111711P299" localSheetId="12" hidden="1">#REF!</definedName>
    <definedName name="IQR111711P30" localSheetId="12" hidden="1">#REF!</definedName>
    <definedName name="IQR111711P300" localSheetId="12" hidden="1">#REF!</definedName>
    <definedName name="IQR111711P301" localSheetId="12" hidden="1">#REF!</definedName>
    <definedName name="IQR111711P303" localSheetId="12" hidden="1">#REF!</definedName>
    <definedName name="IQR111711P304" localSheetId="12" hidden="1">#REF!</definedName>
    <definedName name="IQR111711P306" localSheetId="12" hidden="1">#REF!</definedName>
    <definedName name="IQR111711P307" localSheetId="12" hidden="1">#REF!</definedName>
    <definedName name="IQR111711P308" localSheetId="12" hidden="1">#REF!</definedName>
    <definedName name="IQR111711P309" localSheetId="12" hidden="1">#REF!</definedName>
    <definedName name="IQR111711P31" localSheetId="12" hidden="1">#REF!</definedName>
    <definedName name="IQR111711P311" localSheetId="12" hidden="1">#REF!</definedName>
    <definedName name="IQR111711P312" localSheetId="12" hidden="1">#REF!</definedName>
    <definedName name="IQR111711P313" localSheetId="12" hidden="1">#REF!</definedName>
    <definedName name="IQR111711P314" localSheetId="12" hidden="1">#REF!</definedName>
    <definedName name="IQR111711P315" localSheetId="12" hidden="1">#REF!</definedName>
    <definedName name="IQR111711P318" localSheetId="12" hidden="1">#REF!</definedName>
    <definedName name="IQR111711P319" localSheetId="12" hidden="1">#REF!</definedName>
    <definedName name="IQR111711P32" localSheetId="12" hidden="1">#REF!</definedName>
    <definedName name="IQR111711P320" localSheetId="12" hidden="1">#REF!</definedName>
    <definedName name="IQR111711P321" localSheetId="12" hidden="1">#REF!</definedName>
    <definedName name="IQR111711P322" localSheetId="12" hidden="1">#REF!</definedName>
    <definedName name="IQR111711P323" localSheetId="12" hidden="1">#REF!</definedName>
    <definedName name="IQR111711P324" localSheetId="12" hidden="1">#REF!</definedName>
    <definedName name="IQR111711P325" localSheetId="12" hidden="1">#REF!</definedName>
    <definedName name="IQR111711P327" localSheetId="12" hidden="1">#REF!</definedName>
    <definedName name="IQR111711P328" localSheetId="12" hidden="1">#REF!</definedName>
    <definedName name="IQR111711P329" localSheetId="12" hidden="1">#REF!</definedName>
    <definedName name="IQR111711P33" localSheetId="12" hidden="1">#REF!</definedName>
    <definedName name="IQR111711P330" localSheetId="12" hidden="1">#REF!</definedName>
    <definedName name="IQR111711P331" localSheetId="12" hidden="1">#REF!</definedName>
    <definedName name="IQR111711P333" localSheetId="12" hidden="1">#REF!</definedName>
    <definedName name="IQR111711P335" localSheetId="12" hidden="1">#REF!</definedName>
    <definedName name="IQR111711P336" localSheetId="12" hidden="1">#REF!</definedName>
    <definedName name="IQR111711P337" localSheetId="12" hidden="1">#REF!</definedName>
    <definedName name="IQR111711P338" localSheetId="12" hidden="1">#REF!</definedName>
    <definedName name="IQR111711P339" localSheetId="12" hidden="1">#REF!</definedName>
    <definedName name="IQR111711P34" localSheetId="12" hidden="1">#REF!</definedName>
    <definedName name="IQR111711P340" localSheetId="12" hidden="1">#REF!</definedName>
    <definedName name="IQR111711P341" localSheetId="12" hidden="1">#REF!</definedName>
    <definedName name="IQR111711P343" localSheetId="12" hidden="1">#REF!</definedName>
    <definedName name="IQR111711P345" localSheetId="12" hidden="1">#REF!</definedName>
    <definedName name="IQR111711P346" localSheetId="12" hidden="1">#REF!</definedName>
    <definedName name="IQR111711P347" localSheetId="12" hidden="1">#REF!</definedName>
    <definedName name="IQR111711P348" localSheetId="12" hidden="1">#REF!</definedName>
    <definedName name="IQR111711P349" localSheetId="12" hidden="1">#REF!</definedName>
    <definedName name="IQR111711P350" localSheetId="12" hidden="1">#REF!</definedName>
    <definedName name="IQR111711P352" localSheetId="12" hidden="1">#REF!</definedName>
    <definedName name="IQR111711P353" localSheetId="12" hidden="1">#REF!</definedName>
    <definedName name="IQR111711P354" localSheetId="12" hidden="1">#REF!</definedName>
    <definedName name="IQR111711P355" localSheetId="12" hidden="1">#REF!</definedName>
    <definedName name="IQR111711P356" localSheetId="12" hidden="1">#REF!</definedName>
    <definedName name="IQR111711P358" localSheetId="12" hidden="1">#REF!</definedName>
    <definedName name="IQR111711P36" localSheetId="12" hidden="1">#REF!</definedName>
    <definedName name="IQR111711P361" localSheetId="12" hidden="1">#REF!</definedName>
    <definedName name="IQR111711P362" localSheetId="12" hidden="1">#REF!</definedName>
    <definedName name="IQR111711P364" localSheetId="12" hidden="1">#REF!</definedName>
    <definedName name="IQR111711P367" localSheetId="12" hidden="1">#REF!</definedName>
    <definedName name="IQR111711P368" localSheetId="12" hidden="1">#REF!</definedName>
    <definedName name="IQR111711P369" localSheetId="12" hidden="1">#REF!</definedName>
    <definedName name="IQR111711P37" localSheetId="12" hidden="1">#REF!</definedName>
    <definedName name="IQR111711P370" localSheetId="12" hidden="1">#REF!</definedName>
    <definedName name="IQR111711P372" localSheetId="12" hidden="1">#REF!</definedName>
    <definedName name="IQR111711P374" localSheetId="12" hidden="1">#REF!</definedName>
    <definedName name="IQR111711P375" localSheetId="12" hidden="1">#REF!</definedName>
    <definedName name="IQR111711P378" localSheetId="12" hidden="1">#REF!</definedName>
    <definedName name="IQR111711P379" localSheetId="12" hidden="1">#REF!</definedName>
    <definedName name="IQR111711P38" localSheetId="12" hidden="1">#REF!</definedName>
    <definedName name="IQR111711P380" localSheetId="12" hidden="1">#REF!</definedName>
    <definedName name="IQR111711P381" localSheetId="12" hidden="1">#REF!</definedName>
    <definedName name="IQR111711P41" localSheetId="12" hidden="1">#REF!</definedName>
    <definedName name="IQR111711P42" localSheetId="12" hidden="1">#REF!</definedName>
    <definedName name="IQR111711P43" localSheetId="12" hidden="1">#REF!</definedName>
    <definedName name="IQR111711P44" localSheetId="12" hidden="1">#REF!</definedName>
    <definedName name="IQR111711P46" localSheetId="12" hidden="1">#REF!</definedName>
    <definedName name="IQR111711P48" localSheetId="12" hidden="1">#REF!</definedName>
    <definedName name="IQR111711P50" localSheetId="12" hidden="1">#REF!</definedName>
    <definedName name="IQR111711P51" localSheetId="12" hidden="1">#REF!</definedName>
    <definedName name="IQR111711P55" localSheetId="12" hidden="1">#REF!</definedName>
    <definedName name="IQR111711P56" localSheetId="12" hidden="1">#REF!</definedName>
    <definedName name="IQR111711P57" localSheetId="12" hidden="1">#REF!</definedName>
    <definedName name="IQR111711P58" localSheetId="12" hidden="1">#REF!</definedName>
    <definedName name="IQR111711P59" localSheetId="12" hidden="1">#REF!</definedName>
    <definedName name="IQR111711P62" localSheetId="12" hidden="1">#REF!</definedName>
    <definedName name="IQR111711P64" localSheetId="12" hidden="1">#REF!</definedName>
    <definedName name="IQR111711P65" localSheetId="12" hidden="1">#REF!</definedName>
    <definedName name="IQR111711P66" localSheetId="12" hidden="1">#REF!</definedName>
    <definedName name="IQR111711P67" localSheetId="12" hidden="1">#REF!</definedName>
    <definedName name="IQR111711P69" localSheetId="12" hidden="1">#REF!</definedName>
    <definedName name="IQR111711P70" localSheetId="12" hidden="1">#REF!</definedName>
    <definedName name="IQR111711P71" localSheetId="12" hidden="1">#REF!</definedName>
    <definedName name="IQR111711P74" localSheetId="12" hidden="1">#REF!</definedName>
    <definedName name="IQR111711P75" localSheetId="12" hidden="1">#REF!</definedName>
    <definedName name="IQR111711P76" localSheetId="12" hidden="1">#REF!</definedName>
    <definedName name="IQR111711P77" localSheetId="12" hidden="1">#REF!</definedName>
    <definedName name="IQR111711P79" localSheetId="12" hidden="1">#REF!</definedName>
    <definedName name="IQR111711P81" localSheetId="12" hidden="1">#REF!</definedName>
    <definedName name="IQR111711P83" localSheetId="12" hidden="1">#REF!</definedName>
    <definedName name="IQR111711P87" localSheetId="12" hidden="1">#REF!</definedName>
    <definedName name="IQR111711P88" localSheetId="12" hidden="1">#REF!</definedName>
    <definedName name="IQR111711P9" localSheetId="12" hidden="1">#REF!</definedName>
    <definedName name="IQR111711P91" localSheetId="12" hidden="1">#REF!</definedName>
    <definedName name="IQR111711P92" localSheetId="12" hidden="1">#REF!</definedName>
    <definedName name="IQR111711P93" localSheetId="12" hidden="1">#REF!</definedName>
    <definedName name="IQR111711P94" localSheetId="12" hidden="1">#REF!</definedName>
    <definedName name="IQR111711P95" localSheetId="12" hidden="1">#REF!</definedName>
    <definedName name="IQR111711P96" localSheetId="12" hidden="1">#REF!</definedName>
    <definedName name="IQR111711P98" localSheetId="12" hidden="1">#REF!</definedName>
    <definedName name="IQR111711Q112" localSheetId="12" hidden="1">#REF!</definedName>
    <definedName name="IQR111711Q113" localSheetId="12" hidden="1">#REF!</definedName>
    <definedName name="IQR111711Q14" localSheetId="12" hidden="1">#REF!</definedName>
    <definedName name="IQR111711Q148" localSheetId="12" hidden="1">#REF!</definedName>
    <definedName name="IQR111711Q149" localSheetId="12" hidden="1">#REF!</definedName>
    <definedName name="IQR111711Q17" localSheetId="12" hidden="1">#REF!</definedName>
    <definedName name="IQR111711Q174" localSheetId="12" hidden="1">#REF!</definedName>
    <definedName name="IQR111711Q175" localSheetId="12" hidden="1">#REF!</definedName>
    <definedName name="IQR111711Q187" localSheetId="12" hidden="1">#REF!</definedName>
    <definedName name="IQR111711Q188" localSheetId="12" hidden="1">#REF!</definedName>
    <definedName name="IQR111711Q224" localSheetId="12" hidden="1">#REF!</definedName>
    <definedName name="IQR111711Q225" localSheetId="12" hidden="1">#REF!</definedName>
    <definedName name="IQR111711Q242" localSheetId="12" hidden="1">#REF!</definedName>
    <definedName name="IQR111711Q243" localSheetId="12" hidden="1">#REF!</definedName>
    <definedName name="IQR111711Q270" localSheetId="12" hidden="1">#REF!</definedName>
    <definedName name="IQR111711Q271" localSheetId="12" hidden="1">#REF!</definedName>
    <definedName name="IQR111711Q289" localSheetId="12" hidden="1">#REF!</definedName>
    <definedName name="IQR111711Q290" localSheetId="12" hidden="1">#REF!</definedName>
    <definedName name="IQR111711Q313" localSheetId="12" hidden="1">#REF!</definedName>
    <definedName name="IQR111711Q314" localSheetId="12" hidden="1">#REF!</definedName>
    <definedName name="IQR111711Q330" localSheetId="12" hidden="1">#REF!</definedName>
    <definedName name="IQR111711Q331" localSheetId="12" hidden="1">#REF!</definedName>
    <definedName name="IQR111711Q43" localSheetId="12" hidden="1">#REF!</definedName>
    <definedName name="IQR111711Q44" localSheetId="12" hidden="1">#REF!</definedName>
    <definedName name="IQR111711Q69" localSheetId="12" hidden="1">#REF!</definedName>
    <definedName name="IQR111711Q70" localSheetId="12" hidden="1">#REF!</definedName>
    <definedName name="IQR111711Q74" localSheetId="12" hidden="1">#REF!</definedName>
    <definedName name="IQR111711Q75" localSheetId="12" hidden="1">#REF!</definedName>
    <definedName name="IQR111711Q76" localSheetId="12" hidden="1">#REF!</definedName>
    <definedName name="IQR111711Q77" localSheetId="12" hidden="1">#REF!</definedName>
    <definedName name="IQR111711Q9" localSheetId="12" hidden="1">#REF!</definedName>
    <definedName name="IQRB17" localSheetId="12" hidden="1">"$B$18:$B$77"</definedName>
    <definedName name="IQRCompaniesH12" localSheetId="12" hidden="1">[41]Companies!$I$12:$M$12</definedName>
    <definedName name="IQRCompaniesH13" localSheetId="12" hidden="1">[41]Companies!$I$13:$M$13</definedName>
    <definedName name="IQRCompaniesH14" localSheetId="12" hidden="1">[42]Companies!$I$14:$M$14</definedName>
    <definedName name="IQRCompaniesH15" localSheetId="12" hidden="1">[42]Companies!$I$15:$M$15</definedName>
    <definedName name="IQRCompaniesH16" localSheetId="12" hidden="1">[41]Companies!$I$16:$M$16</definedName>
    <definedName name="IQRCompaniesH17" localSheetId="12" hidden="1">[41]Companies!$I$17:$M$17</definedName>
    <definedName name="IQRCompaniesH18" localSheetId="12" hidden="1">[41]Companies!$I$18:$M$18</definedName>
    <definedName name="IQRCompaniesH19" localSheetId="12" hidden="1">[41]Companies!$I$19:$M$19</definedName>
    <definedName name="IQRCompaniesH22" localSheetId="12" hidden="1">[43]Companies!$I$22:$M$22</definedName>
    <definedName name="IQRCompaniesH23" localSheetId="12" hidden="1">[43]Companies!$I$23:$M$23</definedName>
    <definedName name="IQRCompaniesH24" localSheetId="12" hidden="1">[43]Companies!$I$24:$M$24</definedName>
    <definedName name="IQRCompaniesH25" localSheetId="12" hidden="1">[43]Companies!$I$25:$M$25</definedName>
    <definedName name="IQRCompaniesH26" localSheetId="12" hidden="1">[43]Companies!$I$26:$M$26</definedName>
    <definedName name="IQRCompaniesH27" localSheetId="12" hidden="1">[43]Companies!$I$27:$M$27</definedName>
    <definedName name="IQRCompaniesH28" localSheetId="12" hidden="1">[43]Companies!$I$28:$M$28</definedName>
    <definedName name="IQRCompaniesH29" localSheetId="12" hidden="1">[43]Companies!$I$29:$M$29</definedName>
    <definedName name="IQRCompaniesH30" localSheetId="12" hidden="1">[43]Companies!$I$30:$M$30</definedName>
    <definedName name="IQRCompaniesH31" localSheetId="12" hidden="1">[43]Companies!$I$31:$M$31</definedName>
    <definedName name="IQRCompaniesH32" localSheetId="12" hidden="1">[43]Companies!$I$32:$M$32</definedName>
    <definedName name="IQRCompaniesH33" localSheetId="12" hidden="1">[43]Companies!$I$33:$J$33</definedName>
    <definedName name="IQRCompaniesH34" localSheetId="12" hidden="1">[43]Companies!$I$34:$M$34</definedName>
    <definedName name="IQRCompaniesH35" localSheetId="12" hidden="1">[43]Companies!$I$35:$M$35</definedName>
    <definedName name="IQRCompaniesH36" localSheetId="12" hidden="1">[43]Companies!$I$36:$M$36</definedName>
    <definedName name="IQRCompaniesH38" localSheetId="12" hidden="1">[43]Companies!$I$38:$M$38</definedName>
    <definedName name="IQRCompaniesH39" localSheetId="12" hidden="1">[43]Companies!$I$39:$M$39</definedName>
    <definedName name="IQRCompaniesH40" localSheetId="12" hidden="1">[43]Companies!$I$40:$M$40</definedName>
    <definedName name="IQRCompaniesH41" localSheetId="12" hidden="1">[43]Companies!$I$41:$M$41</definedName>
    <definedName name="IQRCompaniesH42" localSheetId="12" hidden="1">[43]Companies!$I$42:$M$42</definedName>
    <definedName name="IQRCompaniesH43" localSheetId="12" hidden="1">[43]Companies!$I$43:$M$43</definedName>
    <definedName name="IQRCompaniesH44" localSheetId="12" hidden="1">[43]Companies!$I$44:$L$44</definedName>
    <definedName name="IQRCompaniesH46" localSheetId="12" hidden="1">[43]Companies!$I$46:$M$46</definedName>
    <definedName name="IQRCompaniesH47" localSheetId="12" hidden="1">[43]Companies!$I$47:$M$47</definedName>
    <definedName name="IQRCompaniesH48" localSheetId="12" hidden="1">[43]Companies!$I$48:$M$48</definedName>
    <definedName name="IQRCompaniesH49" localSheetId="12" hidden="1">[43]Companies!$I$49:$M$49</definedName>
    <definedName name="IQRCompaniesH50" localSheetId="12" hidden="1">[43]Companies!$I$50:$M$50</definedName>
    <definedName name="IQRCompaniesH51" localSheetId="12" hidden="1">[43]Companies!$I$51:$M$51</definedName>
    <definedName name="IQRCompaniesH52" localSheetId="12" hidden="1">[43]Companies!$I$52:$M$52</definedName>
    <definedName name="IQRCompaniesH54" localSheetId="12" hidden="1">[43]Companies!$I$54:$M$54</definedName>
    <definedName name="IQRCompaniesH55" localSheetId="12" hidden="1">[43]Companies!$I$55:$M$55</definedName>
    <definedName name="IQRCompaniesH56" localSheetId="12" hidden="1">[43]Companies!$I$56:$M$56</definedName>
    <definedName name="IQRCompaniesH57" localSheetId="12" hidden="1">[43]Companies!$I$57:$M$57</definedName>
    <definedName name="IQRCompaniesH58" localSheetId="12" hidden="1">[43]Companies!$I$58:$M$58</definedName>
    <definedName name="IQRCompaniesH59" localSheetId="12" hidden="1">[43]Companies!$I$59:$M$59</definedName>
    <definedName name="IQRCompaniesN12" localSheetId="12" hidden="1">[41]Companies!$O$12:$S$12</definedName>
    <definedName name="IQRCompaniesN13" localSheetId="12" hidden="1">[41]Companies!$O$13:$S$13</definedName>
    <definedName name="IQRCompaniesN14" localSheetId="12" hidden="1">[41]Companies!$O$14:$S$14</definedName>
    <definedName name="IQRCompaniesN15" localSheetId="12" hidden="1">[41]Companies!$O$15:$S$15</definedName>
    <definedName name="IQRCompaniesN16" localSheetId="12" hidden="1">[41]Companies!$O$16:$S$16</definedName>
    <definedName name="IQRCompaniesN17" localSheetId="12" hidden="1">[41]Companies!$O$17:$S$17</definedName>
    <definedName name="IQRCompaniesN18" localSheetId="12" hidden="1">[41]Companies!$O$18:$S$18</definedName>
    <definedName name="IQRCompaniesN19" localSheetId="12" hidden="1">[41]Companies!$O$19:$S$19</definedName>
    <definedName name="IQRCompaniesN22" localSheetId="12" hidden="1">[43]Companies!$O$22:$S$22</definedName>
    <definedName name="IQRCompaniesN23" localSheetId="12" hidden="1">[43]Companies!$O$23:$S$23</definedName>
    <definedName name="IQRCompaniesN24" localSheetId="12" hidden="1">[43]Companies!$O$24:$S$24</definedName>
    <definedName name="IQRCompaniesN25" localSheetId="12" hidden="1">[43]Companies!$O$25:$S$25</definedName>
    <definedName name="IQRCompaniesN26" localSheetId="12" hidden="1">[43]Companies!$O$26:$S$26</definedName>
    <definedName name="IQRCompaniesN27" localSheetId="12" hidden="1">[43]Companies!$O$27:$S$27</definedName>
    <definedName name="IQRCompaniesN28" localSheetId="12" hidden="1">[43]Companies!$O$28:$S$28</definedName>
    <definedName name="IQRCompaniesN29" localSheetId="12" hidden="1">[43]Companies!$O$29:$S$29</definedName>
    <definedName name="IQRCompaniesN30" localSheetId="12" hidden="1">[43]Companies!$O$30:$S$30</definedName>
    <definedName name="IQRCompaniesN31" localSheetId="12" hidden="1">[43]Companies!$O$31:$S$31</definedName>
    <definedName name="IQRCompaniesN32" localSheetId="12" hidden="1">[43]Companies!$O$32:$S$32</definedName>
    <definedName name="IQRCompaniesN33" localSheetId="12" hidden="1">[43]Companies!$O$33:$P$33</definedName>
    <definedName name="IQRCompaniesN34" localSheetId="12" hidden="1">[43]Companies!$O$34:$S$34</definedName>
    <definedName name="IQRCompaniesN35" localSheetId="12" hidden="1">[43]Companies!$O$35:$S$35</definedName>
    <definedName name="IQRCompaniesN36" localSheetId="12" hidden="1">[43]Companies!$O$36:$S$36</definedName>
    <definedName name="IQRCompaniesN38" localSheetId="12" hidden="1">[43]Companies!$O$38:$S$38</definedName>
    <definedName name="IQRCompaniesN39" localSheetId="12" hidden="1">[43]Companies!$O$39:$S$39</definedName>
    <definedName name="IQRCompaniesN40" localSheetId="12" hidden="1">[43]Companies!$O$40:$S$40</definedName>
    <definedName name="IQRCompaniesN41" localSheetId="12" hidden="1">[43]Companies!$O$41:$S$41</definedName>
    <definedName name="IQRCompaniesN42" localSheetId="12" hidden="1">[43]Companies!$O$42:$S$42</definedName>
    <definedName name="IQRCompaniesN43" localSheetId="12" hidden="1">[43]Companies!$O$43:$S$43</definedName>
    <definedName name="IQRCompaniesN44" localSheetId="12" hidden="1">[43]Companies!$O$44:$R$44</definedName>
    <definedName name="IQRCompaniesN46" localSheetId="12" hidden="1">[43]Companies!$O$46:$S$46</definedName>
    <definedName name="IQRCompaniesN47" localSheetId="12" hidden="1">[43]Companies!$O$47:$S$47</definedName>
    <definedName name="IQRCompaniesN48" localSheetId="12" hidden="1">[43]Companies!$O$48:$S$48</definedName>
    <definedName name="IQRCompaniesN49" localSheetId="12" hidden="1">[43]Companies!$O$49:$S$49</definedName>
    <definedName name="IQRCompaniesN50" localSheetId="12" hidden="1">[43]Companies!$O$50:$S$50</definedName>
    <definedName name="IQRCompaniesN51" localSheetId="12" hidden="1">[43]Companies!$O$51:$S$51</definedName>
    <definedName name="IQRCompaniesN52" localSheetId="12" hidden="1">[43]Companies!$O$52:$S$52</definedName>
    <definedName name="IQRCompaniesN54" localSheetId="12" hidden="1">[43]Companies!$O$54:$S$54</definedName>
    <definedName name="IQRCompaniesN55" localSheetId="12" hidden="1">[43]Companies!$O$55:$S$55</definedName>
    <definedName name="IQRCompaniesN56" localSheetId="12" hidden="1">[43]Companies!$O$56:$S$56</definedName>
    <definedName name="IQRCompaniesN57" localSheetId="12" hidden="1">[43]Companies!$O$57:$S$57</definedName>
    <definedName name="IQRCompaniesN58" localSheetId="12" hidden="1">[43]Companies!$O$58:$S$58</definedName>
    <definedName name="IQRCompaniesN59" localSheetId="12" hidden="1">[43]Companies!$O$59:$S$59</definedName>
    <definedName name="IQRCustomIndexX10" localSheetId="12" hidden="1">#REF!</definedName>
    <definedName name="IQRPeopleH12" localSheetId="12" hidden="1">[41]People!$I$12:$L$12</definedName>
    <definedName name="IQRPeopleH13" localSheetId="12" hidden="1">[41]People!$I$13:$M$13</definedName>
    <definedName name="IQRPeopleH14" localSheetId="12" hidden="1">[41]People!$I$14:$L$14</definedName>
    <definedName name="IQRPeopleH15" localSheetId="12" hidden="1">[41]People!$I$15:$K$15</definedName>
    <definedName name="IQRPeopleN12" localSheetId="12" hidden="1">[41]People!$O$12:$R$12</definedName>
    <definedName name="IQRPeopleN13" localSheetId="12" hidden="1">[41]People!$O$13:$S$13</definedName>
    <definedName name="IQRPeopleN14" localSheetId="12" hidden="1">[41]People!$O$14:$R$14</definedName>
    <definedName name="IQRPeopleN15" localSheetId="12" hidden="1">[41]People!$O$15:$Q$15</definedName>
    <definedName name="Irbe" localSheetId="12" hidden="1">{#N/A,#N/A,FALSE,"Pharm";#N/A,#N/A,FALSE,"WWCM"}</definedName>
    <definedName name="ISCaseName" localSheetId="12">#REF!</definedName>
    <definedName name="ISG" localSheetId="12" hidden="1">{#N/A,#N/A,FALSE,"REPORT"}</definedName>
    <definedName name="iv" localSheetId="12"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iyrt" localSheetId="12" hidden="1">{#N/A,#N/A,TRUE,"A";#N/A,#N/A,TRUE,"B";#N/A,#N/A,TRUE,"C";#N/A,#N/A,TRUE,"D";#N/A,#N/A,TRUE,"E"}</definedName>
    <definedName name="j" localSheetId="12" hidden="1">#REF!</definedName>
    <definedName name="jb" localSheetId="12" hidden="1">{"summary1",#N/A,TRUE,"Comps";"summary2",#N/A,TRUE,"Comps";"summary3",#N/A,TRUE,"Comps"}</definedName>
    <definedName name="jde" localSheetId="12" hidden="1">{#N/A,#N/A,TRUE,"BUD VS ACT AUST 96";#N/A,#N/A,TRUE,"96 COMP P&amp;L-AUST";#N/A,#N/A,TRUE,"COMP BS-AUSTRALIA";#N/A,#N/A,TRUE,"B/S - AUSTR."}</definedName>
    <definedName name="jdfjesjds" localSheetId="12" hidden="1">{#N/A,#N/A,TRUE,"BUD VS ACT AUST 96";#N/A,#N/A,TRUE,"96 COMP P&amp;L-AUST";#N/A,#N/A,TRUE,"COMP BS-AUSTRALIA";#N/A,#N/A,TRUE,"B/S - AUSTR."}</definedName>
    <definedName name="jen" localSheetId="12" hidden="1">{TRUE,TRUE,-1.25,-15.5,456.75,279.75,FALSE,FALSE,TRUE,TRUE,0,1,8,1,4,6,3,4,TRUE,TRUE,3,TRUE,1,TRUE,100,"Swvu.turnover.","ACwvu.turnover.",1,FALSE,FALSE,0.511811023622047,0.511811023622047,0.511811023622047,0.511811023622047,1,"","",FALSE,FALSE,FALSE,FALSE,1,#N/A,1,1,#DIV/0!,FALSE,"Rwvu.turnover.",#N/A,FALSE,FALSE}</definedName>
    <definedName name="jgjgfjgfjf" localSheetId="12" hidden="1">{#N/A,#N/A,FALSE,"COMP BS-FRANCE";#N/A,#N/A,FALSE,"96 COMP P&amp;L-FRANCE";#N/A,#N/A,FALSE,"BUD VS ACT FRAN 96";#N/A,#N/A,FALSE,"B/S - FRANCE"}</definedName>
    <definedName name="jhy" localSheetId="12" hidden="1">{#N/A,#N/A,TRUE,"Sel Fn Data QTD";#N/A,#N/A,TRUE,"TABLE_1 SPREAD ANALYSIS";#N/A,#N/A,TRUE,"Tables 2 to 3 PL";#N/A,#N/A,TRUE,"Tables 4 and 5 ALLL";#N/A,#N/A,TRUE,"Tables 6 to 8 ALLL NPA";#N/A,#N/A,TRUE,"Table 9 to 10 - Balance Sheet";#N/A,#N/A,TRUE,"Table 11 to 12 - Equity"}</definedName>
    <definedName name="jjj" localSheetId="12" hidden="1">{#N/A,#N/A,FALSE,"REPORT"}</definedName>
    <definedName name="jk" localSheetId="12" hidden="1">#REF!</definedName>
    <definedName name="jkl" localSheetId="12" hidden="1">{#N/A,#N/A,FALSE,"REPORT"}</definedName>
    <definedName name="JMBM" localSheetId="12" hidden="1">{#N/A,#N/A,TRUE,"RESUMEN ECON.";#N/A,#N/A,TRUE,"Costos de R.H.";#N/A,#N/A,TRUE,"COSTO HW";#N/A,#N/A,TRUE,"CUADROS";#N/A,#N/A,TRUE,"SCADA´s";#N/A,#N/A,TRUE,"PRECIOS EQUIPOS"}</definedName>
    <definedName name="JMBMI" localSheetId="12" hidden="1">{#N/A,#N/A,TRUE,"RESUMEN ECON.";#N/A,#N/A,TRUE,"Costos de R.H.";#N/A,#N/A,TRUE,"COSTO HW";#N/A,#N/A,TRUE,"CUADROS";#N/A,#N/A,TRUE,"SCADA´s";#N/A,#N/A,TRUE,"PRECIOS EQUIPOS"}</definedName>
    <definedName name="jnhkjk" localSheetId="12" hidden="1">{#N/A,#N/A,TRUE,"BUD VS ACT AUST 96";#N/A,#N/A,TRUE,"96 COMP P&amp;L-AUST";#N/A,#N/A,TRUE,"COMP BS-AUSTRALIA";#N/A,#N/A,TRUE,"B/S - AUSTR."}</definedName>
    <definedName name="jnjnhjn" localSheetId="12" hidden="1">{#N/A,#N/A,TRUE,"BUD VS ACT AUST 96";#N/A,#N/A,TRUE,"96 COMP P&amp;L-AUST";#N/A,#N/A,TRUE,"COMP BS-AUSTRALIA";#N/A,#N/A,TRUE,"B/S - AUSTR."}</definedName>
    <definedName name="JNPRpublish" localSheetId="12" hidden="1">{#N/A,#N/A,FALSE,"Index";"Stmts_Qtrs",#N/A,FALSE,"Summary";"Stmts_24 mo",#N/A,FALSE,"Summary";"Summary_24",#N/A,FALSE,"Revenue";"Month_24",#N/A,FALSE,"Engineering";"Month_24",#N/A,FALSE,"Marketing";"Month_24",#N/A,FALSE,"G &amp; A";"Month_24",#N/A,FALSE,"Manufacturing"}</definedName>
    <definedName name="Joe" localSheetId="12" hidden="1">{"FY04_Assets",#N/A,FALSE,"Fin Stmt Budget";"FY04_Liabilities",#N/A,FALSE,"Fin Stmt Budget";"FY04_Inc_Stmt",#N/A,FALSE,"Fin Stmt Budget";"FY04_SOCF",#N/A,FALSE,"Fin Stmt Budget"}</definedName>
    <definedName name="Joost" localSheetId="12"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JUAN" localSheetId="12" hidden="1">{#N/A,#N/A,FALSE,"RESUMEN ECON.";#N/A,#N/A,FALSE,"Costos de R.H.";#N/A,#N/A,FALSE,"COSTO HW";#N/A,#N/A,FALSE,"CUADROS";#N/A,#N/A,FALSE,"SCADA´s";#N/A,#N/A,FALSE,"PRECIOS EQUIPOS"}</definedName>
    <definedName name="judy" localSheetId="12" hidden="1">{#N/A,#N/A,FALSE,"Pharm";#N/A,#N/A,FALSE,"WWCM"}</definedName>
    <definedName name="judy1" localSheetId="12" hidden="1">{#N/A,#N/A,FALSE,"Pharm";#N/A,#N/A,FALSE,"WWCM"}</definedName>
    <definedName name="JUMABA" localSheetId="12" hidden="1">{#N/A,#N/A,TRUE,"RESUMEN ECON.";#N/A,#N/A,TRUE,"Costos de R.H.";#N/A,#N/A,TRUE,"COSTO HW";#N/A,#N/A,TRUE,"CUADROS";#N/A,#N/A,TRUE,"SCADA´s";#N/A,#N/A,TRUE,"PRECIOS EQUIPOS"}</definedName>
    <definedName name="junk" localSheetId="12" hidden="1">#REF!</definedName>
    <definedName name="junk2" localSheetId="12" hidden="1">#REF!</definedName>
    <definedName name="junk3" localSheetId="12" hidden="1">{"BS",#N/A,FALSE,"USA"}</definedName>
    <definedName name="junkme" localSheetId="12" hidden="1">{#N/A,#N/A,TRUE,"Status Report";#N/A,#N/A,TRUE,"Current Forecast";#N/A,#N/A,TRUE,"Last Forecast";#N/A,#N/A,TRUE,"BP";#N/A,#N/A,TRUE,"LY"}</definedName>
    <definedName name="k" localSheetId="12" hidden="1">{#N/A,#N/A,FALSE,"BS";#N/A,#N/A,FALSE,"PL";#N/A,#N/A,FALSE,"SOE";#N/A,#N/A,FALSE,"SCF"}</definedName>
    <definedName name="K2__CVPARAMS__" localSheetId="12" hidden="1">"Any by Any!$C$14:$D$35;"</definedName>
    <definedName name="K2__WBEVMODE__" localSheetId="12" hidden="1">1</definedName>
    <definedName name="K2__WBREFOPTIONS__" localSheetId="12" hidden="1">134217772</definedName>
    <definedName name="ka" localSheetId="12" hidden="1">{"TOTAL",#N/A,FALSE,"A";"FISCAL94",#N/A,FALSE,"A";"FISCAL95",#N/A,FALSE,"A";"FISCAL96",#N/A,FALSE,"A";"misc page",#N/A,FALSE,"A"}</definedName>
    <definedName name="kas" localSheetId="12" hidden="1">{"TOTAL",#N/A,FALSE,"A";"FISCAL94",#N/A,FALSE,"A";"FISCAL95",#N/A,FALSE,"A";"FISCAL96",#N/A,FALSE,"A";"misc page",#N/A,FALSE,"A"}</definedName>
    <definedName name="KDJD" localSheetId="12"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Kfw" localSheetId="12" hidden="1">{"coversht",#N/A,TRUE,"TOC";"assmp1",#N/A,TRUE,"ASS";"assmp2",#N/A,TRUE,"ASS";"cashfl1",#N/A,TRUE,"CF";"return1",#N/A,TRUE,"Return";"return2",#N/A,TRUE,"Return";"EIncome",#N/A,TRUE,"EINC";"rev1",#N/A,TRUE,"Rev";"rev2",#N/A,TRUE,"Rev";"exp1",#N/A,TRUE,"Exp";"exp2",#N/A,TRUE,"Exp";"exp3",#N/A,TRUE,"Exp";"exp4",#N/A,TRUE,"Exp";"MaintRes",#N/A,TRUE,"MRES";"drwdn1",#N/A,TRUE,"Drwdn";"drwdn2",#N/A,TRUE,"Drwdn";"drwdn3",#N/A,TRUE,"Drwdn";"debt1",#N/A,TRUE,"Fin";"debt2",#N/A,TRUE,"Fin";"tax1",#N/A,TRUE,"TAXES";"tax2",#N/A,TRUE,"TAXES";"Deprec",#N/A,TRUE,"DEPR";"Balsht1",#N/A,TRUE,"BS_IS";"Balsht2",#N/A,TRUE,"BS_IS";"Ref1",#N/A,TRUE,"REF1";"Ref2",#N/A,TRUE,"REF2";"Ref3",#N/A,TRUE,"REF3";"Ref4",#N/A,TRUE,"REF4"}</definedName>
    <definedName name="kgkg" localSheetId="12" hidden="1">{#N/A,#N/A,FALSE,"COVER";#N/A,#N/A,FALSE,"Index";#N/A,#N/A,FALSE,"Non-Earning";#N/A,#N/A,FALSE,"Non-Earning_Recovery"}</definedName>
    <definedName name="KGKHJ" localSheetId="1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j" localSheetId="12" hidden="1">{"CASHFLOW",#N/A,FALSE,"Northpointe"}</definedName>
    <definedName name="kjo" localSheetId="12" hidden="1">{#N/A,#N/A,FALSE,"SUMMARY";#N/A,#N/A,FALSE,"mcsh";#N/A,#N/A,FALSE,"vol&amp;rev";#N/A,#N/A,FALSE,"wkgcap";#N/A,#N/A,FALSE,"DEPR&amp;DT";#N/A,#N/A,FALSE,"ASSETS";#N/A,#N/A,FALSE,"NI&amp;OTH&amp;DIV";#N/A,#N/A,FALSE,"CASHFLOW";#N/A,#N/A,FALSE,"CAPEMPL";#N/A,#N/A,FALSE,"ROCE"}</definedName>
    <definedName name="kk" localSheetId="12" hidden="1">{#N/A,#N/A,TRUE,"Sel Fn Data QTD";#N/A,#N/A,TRUE,"Table 1 YTD";#N/A,#N/A,TRUE,"Tables 2 to 4 PL";#N/A,#N/A,TRUE,"Tables 5 to 9 ALLL";#N/A,#N/A,TRUE,"Table 10 to 13 - Balance Sheet"}</definedName>
    <definedName name="kkk" localSheetId="12" hidden="1">{#N/A,#N/A,TRUE,"BUD VS ACT AUST 96";#N/A,#N/A,TRUE,"96 COMP P&amp;L-AUST";#N/A,#N/A,TRUE,"COMP BS-AUSTRALIA";#N/A,#N/A,TRUE,"B/S - AUSTR."}</definedName>
    <definedName name="kkkk" localSheetId="12" hidden="1">{#N/A,#N/A,TRUE,"BUD VS ACT AUST 96";#N/A,#N/A,TRUE,"96 COMP P&amp;L-AUST";#N/A,#N/A,TRUE,"COMP BS-AUSTRALIA";#N/A,#N/A,TRUE,"B/S - AUSTR."}</definedName>
    <definedName name="kkkkkkk" localSheetId="12" hidden="1">{#N/A,#N/A,TRUE,"BUD VS ACT AUST 96";#N/A,#N/A,TRUE,"96 COMP P&amp;L-AUST";#N/A,#N/A,TRUE,"COMP BS-AUSTRALIA";#N/A,#N/A,TRUE,"B/S - AUSTR."}</definedName>
    <definedName name="klklkl" localSheetId="12" hidden="1">{#N/A,#N/A,TRUE,"BUD VS ACT AUST 96";#N/A,#N/A,TRUE,"96 COMP P&amp;L-AUST";#N/A,#N/A,TRUE,"COMP BS-AUSTRALIA";#N/A,#N/A,TRUE,"B/S - AUSTR."}</definedName>
    <definedName name="klklklkl" localSheetId="12" hidden="1">{#N/A,#N/A,FALSE,"Index";"Stmts_Qtrs",#N/A,FALSE,"Summary";"Stmts_24 mo",#N/A,FALSE,"Summary";"Summary_24",#N/A,FALSE,"Revenue";"Month_24",#N/A,FALSE,"Engineering";"Month_24",#N/A,FALSE,"Marketing";"Month_24",#N/A,FALSE,"G &amp; A";"Month_24",#N/A,FALSE,"Manufacturing"}</definedName>
    <definedName name="kslkjkjlkjd" localSheetId="12" hidden="1">{#N/A,#N/A,FALSE,"REPORT"}</definedName>
    <definedName name="ku" localSheetId="12" hidden="1">{#N/A,#N/A,TRUE,"BUD VS ACT AUST 96";#N/A,#N/A,TRUE,"96 COMP P&amp;L-AUST";#N/A,#N/A,TRUE,"COMP BS-AUSTRALIA";#N/A,#N/A,TRUE,"B/S - AUSTR."}</definedName>
    <definedName name="L" localSheetId="12" hidden="1">#REF!</definedName>
    <definedName name="Labourcost__h" localSheetId="12">'[19]Suppl, Labor ORG'!$H$13</definedName>
    <definedName name="LBOAnalysis2" localSheetId="12" hidden="1">{"WACC_clientcopy",#N/A,FALSE,"Inputs";"Beta_clientcopy",#N/A,FALSE,"Inputs";"SCF_clientcopy",#N/A,FALSE,"Inputs";"ProBS_clientcopy",#N/A,FALSE,"Inputs";"BS_clientcopy",#N/A,FALSE,"Inputs";"ProIS_clientcopy",#N/A,FALSE,"Inputs";"IS_clientcopy",#N/A,FALSE,"Inputs";"Ratios_clientcopy",#N/A,FALSE,"Ratios"}</definedName>
    <definedName name="LBOCreditConsol" localSheetId="12" hidden="1">{"FCB_ALL",#N/A,FALSE,"FCB"}</definedName>
    <definedName name="lee" localSheetId="12" hidden="1">{#N/A,#N/A,FALSE,"Pharm";#N/A,#N/A,FALSE,"WWCM"}</definedName>
    <definedName name="lfj" localSheetId="12" hidden="1">{#N/A,#N/A,FALSE,"TABLE_1 YTD";#N/A,#N/A,FALSE,"TABLE_1A QTD";#N/A,#N/A,FALSE,"NORMAL_SPREAD_QTD";#N/A,#N/A,FALSE,"NORMAL_SPREAD_YTD";#N/A,#N/A,FALSE,"TAX_EQV";#N/A,#N/A,FALSE,"TAX EQUIV_INPUT";#N/A,#N/A,FALSE,"NET FROM FER";#N/A,#N/A,FALSE,"COVER"}</definedName>
    <definedName name="Lifeguard" localSheetId="12">[44]Assumptions!$D$16</definedName>
    <definedName name="lkj" localSheetId="12" hidden="1">#REF!</definedName>
    <definedName name="lklkl" localSheetId="12" hidden="1">{"consolidated",#N/A,FALSE,"Sheet1";"cms",#N/A,FALSE,"Sheet1";"fse",#N/A,FALSE,"Sheet1"}</definedName>
    <definedName name="ll" localSheetId="12" hidden="1">{#N/A,#N/A,FALSE,"PL-FS";#N/A,#N/A,FALSE,"PL"}</definedName>
    <definedName name="LLCP" localSheetId="12" hidden="1">{"PAGE1",#N/A,FALSE,"BID (3)";"PAGE2",#N/A,FALSE,"BID (3)"}</definedName>
    <definedName name="lll" localSheetId="12">#REF!</definedName>
    <definedName name="lllll" localSheetId="12" hidden="1">{"Summary",#N/A,FALSE,"Details (2)"}</definedName>
    <definedName name="lllllllll" localSheetId="12" hidden="1">{"SUM",#N/A,FALSE,"Details (2)"}</definedName>
    <definedName name="lllllllllllllllllll" localSheetId="12" hidden="1">{"Summary",#N/A,FALSE,"Details (2)"}</definedName>
    <definedName name="lnk_Print_Area" localSheetId="12" hidden="1">#REF!</definedName>
    <definedName name="Loan_Not_Paid" localSheetId="12">IF(#REF!&lt;='EBITDA Adjustments 2026'!Number_of_Payments,1,0)</definedName>
    <definedName name="Loan2016" localSheetId="12">(#REF!*#REF!*#REF!*#REF!)&gt;0</definedName>
    <definedName name="Loan2017" localSheetId="12">(#REF!*#REF!*#REF!*#REF!)&gt;0</definedName>
    <definedName name="Loan2018" localSheetId="12">(#REF!*#REF!*#REF!*#REF!)&gt;0</definedName>
    <definedName name="LoanAmount2014" localSheetId="12">'[38]Merger Loan'!$D$4</definedName>
    <definedName name="LoanAmountRealEstate" localSheetId="12">'[38]Primary Loan'!$D$4</definedName>
    <definedName name="LoanIsGood" localSheetId="12">(#REF!*#REF!*#REF!*#REF!)&gt;0</definedName>
    <definedName name="LoanPeriod2014" localSheetId="12">'[38]Merger Loan'!$D$6</definedName>
    <definedName name="LoanPeriodRealEstate" localSheetId="12">'[38]Primary Loan'!$D$6</definedName>
    <definedName name="LoanRealEstate" localSheetId="12">('[38]Primary Loan'!$D$4*'[38]Primary Loan'!$D$5*'[38]Primary Loan'!$D$6*'[38]Primary Loan'!$D$8)&gt;0</definedName>
    <definedName name="LoanStartDate2014" localSheetId="12">'[38]Merger Loan'!$D$8</definedName>
    <definedName name="LoanStartDateRealEstate" localSheetId="12">'[38]Primary Loan'!$D$8</definedName>
    <definedName name="Local" localSheetId="12" hidden="1">{"arpm1995",#N/A,FALSE,"Summary 95-96";"bus_long_distance",#N/A,FALSE,"Summary 95-96";"mins_per_day",#N/A,FALSE,"Summary 95-96";"minutes1995",#N/A,FALSE,"Summary 95-96";"rev_per_day",#N/A,FALSE,"Summary 95-96";"view1995",#N/A,FALSE,"Summary 95-96"}</definedName>
    <definedName name="LOCAL_MYSQL_DATE_FORMAT" localSheetId="1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tion" localSheetId="12">'[33]Drop downs'!$A$2:$A$25</definedName>
    <definedName name="LOI" localSheetId="12" hidden="1">{#N/A,#N/A,FALSE,"TABLE_1 YTD";#N/A,#N/A,FALSE,"TABLE_1A QTD";#N/A,#N/A,FALSE,"NORMAL_SPREAD_QTD";#N/A,#N/A,FALSE,"NORMAL_SPREAD_YTD";#N/A,#N/A,FALSE,"TAX_EQV";#N/A,#N/A,FALSE,"TAX EQUIV_INPUT";#N/A,#N/A,FALSE,"NET FROM FER";#N/A,#N/A,FALSE,"COVER"}</definedName>
    <definedName name="LookupIndex" localSheetId="12">#REF!</definedName>
    <definedName name="m" localSheetId="12" hidden="1">{#N/A,#N/A,FALSE,"COVER";#N/A,#N/A,FALSE,"Index";#N/A,#N/A,FALSE,"Non-Earning";#N/A,#N/A,FALSE,"Commercial";#N/A,#N/A,FALSE,"Detailed"}</definedName>
    <definedName name="M_A" localSheetId="12" hidden="1">{#N/A,#N/A,FALSE,"Rev Grwth";#N/A,#N/A,FALSE,"Op Inc Grwth";#N/A,#N/A,FALSE,"Net Grwth";#N/A,#N/A,FALSE,"EPS Growth"}</definedName>
    <definedName name="M_PlaceofPath" localSheetId="12" hidden="1">"G:\blabla"</definedName>
    <definedName name="MACTCostout" localSheetId="12">[32]Control!$F$449</definedName>
    <definedName name="MACTInvout" localSheetId="12">[32]Control!$F$429</definedName>
    <definedName name="Management" localSheetId="12" hidden="1">{#N/A,"Faber45",FALSE,"LBPROFOR";#N/A,"Faber50",FALSE,"LBPROFOR";#N/A,"Faber55",FALSE,"LBPROFOR";#N/A,"Faber60",FALSE,"LBPROFOR"}</definedName>
    <definedName name="Managemnt" localSheetId="12" hidden="1">{#N/A,"Faber45",FALSE,"LBPROFOR";#N/A,"Faber50",FALSE,"LBPROFOR";#N/A,"Faber55",FALSE,"LBPROFOR";#N/A,"Faber60",FALSE,"LBPROFOR"}</definedName>
    <definedName name="Mar00" localSheetId="12" hidden="1">{"Statement of Income",#N/A,TRUE,"Mar99";"Balance Sheet",#N/A,TRUE,"Mar99"}</definedName>
    <definedName name="Mar00TB" localSheetId="12" hidden="1">{"Statement of Income",#N/A,TRUE,"Mar99";"Balance Sheet",#N/A,TRUE,"Mar99"}</definedName>
    <definedName name="mar00tb1" localSheetId="12" hidden="1">{"Statement of Income",#N/A,TRUE,"Mar99";"Balance Sheet",#N/A,TRUE,"Mar99"}</definedName>
    <definedName name="Mark" localSheetId="12" hidden="1">{"WACC_clientcopy",#N/A,FALSE,"Inputs";"Beta_clientcopy",#N/A,FALSE,"Inputs";"SCF_clientcopy",#N/A,FALSE,"Inputs";"ProBS_clientcopy",#N/A,FALSE,"Inputs";"BS_clientcopy",#N/A,FALSE,"Inputs";"ProIS_clientcopy",#N/A,FALSE,"Inputs";"IS_clientcopy",#N/A,FALSE,"Inputs";"Ratios_clientcopy",#N/A,FALSE,"Ratios"}</definedName>
    <definedName name="mason?" localSheetId="12" hidden="1">{#N/A,#N/A,FALSE,"Data &amp; Key Results";#N/A,#N/A,FALSE,"Summary Template";#N/A,#N/A,FALSE,"Budget";#N/A,#N/A,FALSE,"Present Value Comparison";#N/A,#N/A,FALSE,"Cashflow";#N/A,#N/A,FALSE,"Income";#N/A,#N/A,FALSE,"Inputs"}</definedName>
    <definedName name="mason2" localSheetId="12" hidden="1">{#N/A,#N/A,FALSE,"Data &amp; Key Results";#N/A,#N/A,FALSE,"Summary Template";#N/A,#N/A,FALSE,"Budget";#N/A,#N/A,FALSE,"Present Value Comparison";#N/A,#N/A,FALSE,"Cashflow";#N/A,#N/A,FALSE,"Income";#N/A,#N/A,FALSE,"Inputs"}</definedName>
    <definedName name="mason3" localSheetId="12" hidden="1">{#N/A,#N/A,FALSE,"Data &amp; Key Results";#N/A,#N/A,FALSE,"Summary Template";#N/A,#N/A,FALSE,"Budget";#N/A,#N/A,FALSE,"Present Value Comparison";#N/A,#N/A,FALSE,"Cashflow";#N/A,#N/A,FALSE,"Income";#N/A,#N/A,FALSE,"Inputs"}</definedName>
    <definedName name="mason4" localSheetId="12" hidden="1">{#N/A,#N/A,FALSE,"Data &amp; Key Results";#N/A,#N/A,FALSE,"Summary Template";#N/A,#N/A,FALSE,"Budget";#N/A,#N/A,FALSE,"Present Value Comparison";#N/A,#N/A,FALSE,"Cashflow";#N/A,#N/A,FALSE,"Income";#N/A,#N/A,FALSE,"Inputs"}</definedName>
    <definedName name="mason5" localSheetId="12" hidden="1">{#N/A,#N/A,FALSE,"Data &amp; Key Results";#N/A,#N/A,FALSE,"Summary Template";#N/A,#N/A,FALSE,"Budget";#N/A,#N/A,FALSE,"Present Value Comparison";#N/A,#N/A,FALSE,"Cashflow";#N/A,#N/A,FALSE,"Income";#N/A,#N/A,FALSE,"Inputs"}</definedName>
    <definedName name="masonII" localSheetId="12" hidden="1">{#N/A,#N/A,FALSE,"Data &amp; Key Results";#N/A,#N/A,FALSE,"Summary Template";#N/A,#N/A,FALSE,"Budget";#N/A,#N/A,FALSE,"Present Value Comparison";#N/A,#N/A,FALSE,"Cashflow";#N/A,#N/A,FALSE,"Income";#N/A,#N/A,FALSE,"Inputs"}</definedName>
    <definedName name="matrix" localSheetId="12"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MDI" localSheetId="12" hidden="1">{#N/A,#N/A,FALSE,"SUMMARY";#N/A,#N/A,FALSE,"mcsh";#N/A,#N/A,FALSE,"vol&amp;rev";#N/A,#N/A,FALSE,"wkgcap";#N/A,#N/A,FALSE,"DEPR&amp;DT";#N/A,#N/A,FALSE,"ASSETS";#N/A,#N/A,FALSE,"NI&amp;OTH&amp;DIV";#N/A,#N/A,FALSE,"CASHFLOW";#N/A,#N/A,FALSE,"CAPEMPL";#N/A,#N/A,FALSE,"ROCE"}</definedName>
    <definedName name="MerrillPrintIt" localSheetId="12" hidden="1">[29]!MerrillPrintIt</definedName>
    <definedName name="mfgr" localSheetId="12" hidden="1">{"PAGE 1",#N/A,FALSE,"WEST_OT"}</definedName>
    <definedName name="mfgtest" localSheetId="12" hidden="1">{"PAGE 1",#N/A,FALSE,"WEST_OT"}</definedName>
    <definedName name="MGHM" localSheetId="1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gmt" localSheetId="12" hidden="1">{#N/A,"Faber45",FALSE,"LBPROFOR";#N/A,"Faber50",FALSE,"LBPROFOR";#N/A,"Faber55",FALSE,"LBPROFOR";#N/A,"Faber60",FALSE,"LBPROFOR"}</definedName>
    <definedName name="Mgmt." localSheetId="12" hidden="1">{#N/A,"Faber45",FALSE,"LBPROFOR";#N/A,"Faber50",FALSE,"LBPROFOR";#N/A,"Faber55",FALSE,"LBPROFOR";#N/A,"Faber60",FALSE,"LBPROFOR"}</definedName>
    <definedName name="mgmtfee" localSheetId="12">#REF!</definedName>
    <definedName name="mhj" localSheetId="1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idwest" localSheetId="12" hidden="1">{"FY02_Assets",#N/A,FALSE,"Fin Stmt Budget";"FY02_Liabilities",#N/A,FALSE,"Fin Stmt Budget";"FY02_Inc_Stmt",#N/A,FALSE,"Fin Stmt Budget";"FY02_SOCF",#N/A,FALSE,"Fin Stmt Budget"}</definedName>
    <definedName name="Mie" localSheetId="12" hidden="1">[4]Proforma!#REF!</definedName>
    <definedName name="min" localSheetId="12" hidden="1">{#N/A,#N/A,FALSE,"REPORT"}</definedName>
    <definedName name="mina" localSheetId="12" hidden="1">{#N/A,#N/A,FALSE,"REPORT"}</definedName>
    <definedName name="misc"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mj" localSheetId="12" hidden="1">{#N/A,#N/A,FALSE,"FY97";#N/A,#N/A,FALSE,"FY98";#N/A,#N/A,FALSE,"FY99";#N/A,#N/A,FALSE,"FY00";#N/A,#N/A,FALSE,"FY01"}</definedName>
    <definedName name="mkj" localSheetId="12" hidden="1">{#N/A,#N/A,TRUE,"A";#N/A,#N/A,TRUE,"B";#N/A,#N/A,TRUE,"C";#N/A,#N/A,TRUE,"D";#N/A,#N/A,TRUE,"E"}</definedName>
    <definedName name="mkting_adv" localSheetId="12" hidden="1">{#N/A,#N/A,FALSE,"ASSUMPTIONS";#N/A,#N/A,FALSE,"Valuation Summary";"page1",#N/A,FALSE,"PRESENTATION";"page2",#N/A,FALSE,"PRESENTATION";#N/A,#N/A,FALSE,"ORIGINAL_ROLLBACK"}</definedName>
    <definedName name="mkting_adver" localSheetId="12" hidden="1">{#N/A,#N/A,FALSE,"ASSUMPTIONS";#N/A,#N/A,FALSE,"Valuation Summary";"page1",#N/A,FALSE,"PRESENTATION";"page2",#N/A,FALSE,"PRESENTATION";#N/A,#N/A,FALSE,"ORIGINAL_ROLLBACK"}</definedName>
    <definedName name="MLNK00d48aea1172490e8970884bfd0bc5ab" localSheetId="12" hidden="1">#REF!</definedName>
    <definedName name="MLNK00d8e64d840b46bea261783566ad72fd" localSheetId="12" hidden="1">#REF!</definedName>
    <definedName name="MLNK018bfad56a014b6f84cfc7fb40567079" localSheetId="12" hidden="1">#REF!</definedName>
    <definedName name="MLNK01c3f180173548f9b3518767c367e255" localSheetId="12" hidden="1">#REF!</definedName>
    <definedName name="MLNK02152b7ac4cf43e68ef13bfa3f5e34b5" localSheetId="12" hidden="1">#REF!</definedName>
    <definedName name="MLNK02aea829eba74d478a4d07f5e53d1edd" localSheetId="12" hidden="1">    '[45]Monthly Backlog Analysis'!$1:$1048576</definedName>
    <definedName name="MLNK02b436c54d1d4f1fb7ece854589ebc3b" localSheetId="12" hidden="1">[46]Mobiltex!#REF!</definedName>
    <definedName name="MLNK02ddb7e50a9a4088ad89faf3155f305e" localSheetId="12" hidden="1">#REF!</definedName>
    <definedName name="MLNK0365e2134fd54e1c8a59696978fd7f3d" localSheetId="12" hidden="1">#REF!</definedName>
    <definedName name="MLNK037a70f6dc4c4ccc86d3bc951b2599a8" localSheetId="12" hidden="1">'[47]Soli - Cap Table'!#REF!</definedName>
    <definedName name="MLNK03d895c600f84237af0a9f6d50dde8ed" localSheetId="12" hidden="1">#REF!</definedName>
    <definedName name="MLNK04075ac9c75d447c8a0ebdbdc9a54c65" localSheetId="12" hidden="1">#REF!</definedName>
    <definedName name="MLNK044a71679f47458eaf36d10fdaae790f" localSheetId="12" hidden="1">#REF!</definedName>
    <definedName name="MLNK049def977a854a32b6d9fae794c51186" localSheetId="12" hidden="1">#REF!</definedName>
    <definedName name="MLNK04b34d7237ff4693803d53b078679e77" localSheetId="12" hidden="1">#REF!</definedName>
    <definedName name="MLNK04baecedd8f843f7b8ab7f1e046494dc" localSheetId="12" hidden="1">#REF!</definedName>
    <definedName name="MLNK04c12b15290e4102b331188b33f480a5" localSheetId="12" hidden="1">#REF!</definedName>
    <definedName name="MLNK04e5a28d84a040ef8f83d3c026042dad" localSheetId="12" hidden="1">#REF!</definedName>
    <definedName name="MLNK04ed437773d6468f978a880d6fea840e" localSheetId="12" hidden="1">#REF!</definedName>
    <definedName name="MLNK052f3789d18e4da4b8a206db6d662f8c" localSheetId="12" hidden="1">#REF!</definedName>
    <definedName name="MLNK055891053a474c2da6a013d17eafcd56" localSheetId="12" hidden="1">#REF!</definedName>
    <definedName name="MLNK055957a194f74f8e9bafb258f3f928dc" localSheetId="12" hidden="1">#REF!</definedName>
    <definedName name="MLNK060e2b647fc847038ccaa50e705b32b2" localSheetId="12" hidden="1">#REF!</definedName>
    <definedName name="MLNK064c2e8abed14178b8e9385f23e95e0f" localSheetId="12" hidden="1">#REF!</definedName>
    <definedName name="MLNK070510d453cb48d1938cdcf099afbdfc" localSheetId="12" hidden="1">#REF!</definedName>
    <definedName name="MLNK077f2649cfa54691bf98644e2b70ea32" localSheetId="12" hidden="1">#REF!</definedName>
    <definedName name="MLNK07a48200f15c4498a1034433e59fb9ee" localSheetId="12" hidden="1">#REF!</definedName>
    <definedName name="MLNK0810a7425db84fdbafb57121a4c1bdc7" localSheetId="12" hidden="1">#REF!</definedName>
    <definedName name="MLNK082f62a9898f4a6ebf0892b9a8dee313" localSheetId="12" hidden="1">#REF!</definedName>
    <definedName name="MLNK0837b19ae8b44ca0afd72e4ea716841d" localSheetId="12" hidden="1">#REF!</definedName>
    <definedName name="MLNK089379dd25fc469a8b451627548465a0" localSheetId="12" hidden="1">#REF!</definedName>
    <definedName name="MLNK08b0d9ab9b7f4a019f01558fa42f52cc" localSheetId="12" hidden="1">#REF!</definedName>
    <definedName name="MLNK0932a8a0f6734900b5db162af6d4008b" localSheetId="12" hidden="1">#REF!</definedName>
    <definedName name="MLNK09676ee764e448008376f2bfff9e384d" localSheetId="12" hidden="1">#REF!</definedName>
    <definedName name="MLNK0a25e559e0ca40d3b117c10dde841c8d" localSheetId="12" hidden="1">#REF!</definedName>
    <definedName name="MLNK0a4500987a0d44bea968f35f842414e7" localSheetId="12" hidden="1">#REF!</definedName>
    <definedName name="MLNK0b0460e4acf542378be2a3d79b7df220" localSheetId="12" hidden="1">#REF!</definedName>
    <definedName name="MLNK0b4b5f3a99ce4b28b1cca53ba01bc3c8" localSheetId="12" hidden="1">#REF!</definedName>
    <definedName name="MLNK0b60f77ace8b4dd786fd1017a509d59f" localSheetId="12" hidden="1">#REF!</definedName>
    <definedName name="MLNK0b6138e25adf4209b99f73f49521a659" localSheetId="12" hidden="1">#REF!</definedName>
    <definedName name="MLNK0b6d7acf1537445c8df3df619eeadc70" localSheetId="12" hidden="1">   '[45]Annual Backlog Analysis'!$1:$1048576</definedName>
    <definedName name="MLNK0c19dec1a7144650b526abd40fd3e1c9" localSheetId="12" hidden="1">#REF!</definedName>
    <definedName name="MLNK0c29236af04547d8895347a76fdbff29" localSheetId="12" hidden="1">#REF!</definedName>
    <definedName name="MLNK0c5c90a12de446c89616d37cadb8f863" localSheetId="12" hidden="1">#REF!</definedName>
    <definedName name="MLNK0ca8413a6a4e48109c00e972f8591f15" localSheetId="12" hidden="1">#REF!</definedName>
    <definedName name="MLNK0d71dc310fad49ec85da7434597cd6be" localSheetId="12" hidden="1">#REF!</definedName>
    <definedName name="MLNK0db0f33ed0324031b6b3ea38ff41c6b3" localSheetId="12" hidden="1">#REF!</definedName>
    <definedName name="MLNK0e30595ea35a4b91a9f0400f7da90810" localSheetId="12" hidden="1">#REF!</definedName>
    <definedName name="MLNK0ebc8ed7c46c46d58e01b3a65cc25bad" localSheetId="12" hidden="1">#REF!</definedName>
    <definedName name="MLNK0ec975729a544ee48ecaa4993f759464" localSheetId="12" hidden="1">#REF!</definedName>
    <definedName name="MLNK0f4d9d09d85b4de0b9b261242c3c6f1c" localSheetId="12" hidden="1">   '[45]Annual Backlog Analysis'!$C$11:$I$35</definedName>
    <definedName name="MLNK0f79f0b17a0c4338ba2c447b8558f837" localSheetId="12" hidden="1">#REF!</definedName>
    <definedName name="MLNK0fa679e88a084677a1120db6a61735ad" localSheetId="12" hidden="1">[48]Output!#REF!</definedName>
    <definedName name="MLNK102a6a0da87b49bd8c869ffdcb8f6a5c" localSheetId="12" hidden="1">#REF!</definedName>
    <definedName name="MLNK107e4e6ac1144bfaa2bc2084e05a38b1" localSheetId="12" hidden="1">#REF!</definedName>
    <definedName name="MLNK11662eaef76e4b34a9367a4acb7fe680" localSheetId="12" hidden="1">        '[49]Output (v2)'!$1:$1048576</definedName>
    <definedName name="MLNK11ad7f67537f4d04b5b5e34d17a1dfe7" localSheetId="12" hidden="1">#REF!</definedName>
    <definedName name="MLNK11e2a30c9b564beeb398ac3e535a96de" localSheetId="12" hidden="1">#REF!</definedName>
    <definedName name="MLNK127813a1a6254a548e091fd36e1fbb47" localSheetId="12" hidden="1">#REF!</definedName>
    <definedName name="MLNK12defab03df94ea382b71e4a83c23c96" localSheetId="12" hidden="1">#REF!</definedName>
    <definedName name="MLNK12f7145ce43446359e563854d28497d8" localSheetId="12" hidden="1">#REF!</definedName>
    <definedName name="MLNK134f38e34bcd4dbc84982cc9d8fa79cc" localSheetId="12" hidden="1">#REF!</definedName>
    <definedName name="MLNK1352b7f45b1d412299a3ad4b5f3b89fc" localSheetId="12" hidden="1">#REF!</definedName>
    <definedName name="MLNK136a8efde5d14d7880780cb4288214c8" localSheetId="12" hidden="1">#REF!</definedName>
    <definedName name="MLNK13ddbac3ec9a4aa09442d2baa6c598cb" localSheetId="12" hidden="1">#REF!</definedName>
    <definedName name="MLNK14e06d7cc4024f199e311d3b65bbb63c" localSheetId="12" hidden="1">#REF!</definedName>
    <definedName name="MLNK1502445670b740809babbf80893a2fc6" localSheetId="12" hidden="1">#REF!</definedName>
    <definedName name="MLNK152443f4dc284530ae9feab3cf399049" localSheetId="12" hidden="1">    '[45]Monthly Backlog Analysis'!$1:$1048576</definedName>
    <definedName name="MLNK15426febeea146dbb161891fa048bd4e" localSheetId="12" hidden="1">#REF!</definedName>
    <definedName name="MLNK155ed824d11e499683ac57119c33dda9" localSheetId="12" hidden="1">#REF!</definedName>
    <definedName name="MLNK15ce2520bab04a56a1b91f68d2bb2193" localSheetId="12" hidden="1">#REF!</definedName>
    <definedName name="MLNK168568dec16c423ea55308759534aead" localSheetId="12" hidden="1">#REF!</definedName>
    <definedName name="MLNK16a713e7610a41beb1e604353d934383" localSheetId="12" hidden="1">#REF!</definedName>
    <definedName name="MLNK16bb90555bb549c4a8cb4cd97a93e068" localSheetId="12" hidden="1">#REF!</definedName>
    <definedName name="MLNK17543382e2bf4b3eaa92152d6f293baf" localSheetId="12" hidden="1">#REF!</definedName>
    <definedName name="MLNK1878ac2ef4984cf88c7f6be575c72b35" localSheetId="12" hidden="1">#REF!</definedName>
    <definedName name="MLNK187aae0e1b444d2daa05f7fc058c71f3" localSheetId="12" hidden="1">#REF!</definedName>
    <definedName name="MLNK18c91ea14fe44af7b5151b4160cd85ee" localSheetId="12" hidden="1">#REF!</definedName>
    <definedName name="MLNK18d67e4ee034443ba5648d0dda6747bc" localSheetId="12" hidden="1">#REF!</definedName>
    <definedName name="MLNK18d7e2cdfe3c4b23bb4430da28ad21ed" localSheetId="12" hidden="1">'[50]Cap Table'!#REF!</definedName>
    <definedName name="MLNK18ea120670984a17b7a93b6d9eb58e17" localSheetId="12" hidden="1">#REF!</definedName>
    <definedName name="MLNK18eb0f4412cb40a4ae711508efd03722" localSheetId="12" hidden="1">#REF!</definedName>
    <definedName name="MLNK1942f939dd30413084b5900bc3a48e91" localSheetId="12" hidden="1">#REF!</definedName>
    <definedName name="MLNK197a4e305f8e4a28923e9685bfe5755d" localSheetId="12" hidden="1">#REF!</definedName>
    <definedName name="MLNK19da6caece2e4a0da0e0510020408a9f" localSheetId="12" hidden="1">#REF!</definedName>
    <definedName name="MLNK19e4b88b136243d6893d84d396dd2bd5" localSheetId="12" hidden="1">  '[45]Hisorical &amp; Projected IS'!$1:$1048576</definedName>
    <definedName name="MLNK1a54210510d0478faa44db0489c964ab" localSheetId="12" hidden="1">#REF!</definedName>
    <definedName name="MLNK1ae0caeeb3404a96b18ca5f13d361dff" localSheetId="12" hidden="1">#REF!</definedName>
    <definedName name="MLNK1b25ef79157c4ecc86be17ec702147dd" localSheetId="12" hidden="1">#REF!</definedName>
    <definedName name="MLNK1b323a4c2490472c854bc05124ef80d4" localSheetId="12" hidden="1">#REF!</definedName>
    <definedName name="MLNK1b3e86fde2dd4141aabb68ae999a4618" localSheetId="12" hidden="1">#REF!</definedName>
    <definedName name="MLNK1bd17cb664b04a428b34b4b1a0645b8c" localSheetId="12" hidden="1">#REF!</definedName>
    <definedName name="MLNK1bde29be2bb04b7dba98a0a15c3656f7" localSheetId="12" hidden="1">'[51]Summary IS'!#REF!</definedName>
    <definedName name="MLNK1c5a2340dcf14e12be7f6bb726377d0e" localSheetId="12" hidden="1">#REF!</definedName>
    <definedName name="MLNK1c83a07ed2a14eb297a3aafd495ea8f8" localSheetId="12" hidden="1">#REF!</definedName>
    <definedName name="MLNK1cbe96a220924eddb8390adadf496f4d" localSheetId="12" hidden="1">#REF!</definedName>
    <definedName name="MLNK1ccc525d461f4385af0cd2b35871489f" localSheetId="12" hidden="1">   '[45]Annual Backlog Analysis'!$C$12:$I$34</definedName>
    <definedName name="MLNK1ce918b7705549a0afa18a494254a124" localSheetId="12" hidden="1">#REF!</definedName>
    <definedName name="MLNK1d1e5a3b1a924e08b4662e46be3f2d38" localSheetId="12" hidden="1">#REF!</definedName>
    <definedName name="MLNK1d87f7352fcc4050afa51b0b23b6df7b" localSheetId="12" hidden="1">#REF!</definedName>
    <definedName name="MLNK1db60897d9174faa80ff6d287eeac8b8" localSheetId="12" hidden="1">#REF!</definedName>
    <definedName name="MLNK1dd499f1d55b466eb23c641e6a6136f8" localSheetId="12" hidden="1">#REF!</definedName>
    <definedName name="MLNK1de8cf250711483ba35281509ce426a3" localSheetId="12" hidden="1">#REF!</definedName>
    <definedName name="MLNK1eb887c9286a439a884bc331ae8bd4c8" localSheetId="12" hidden="1">#REF!</definedName>
    <definedName name="MLNK1ec749ccabbf4bccb4158cf9db8fa5a8" localSheetId="12" hidden="1">#REF!</definedName>
    <definedName name="MLNK1ed9a9c015714d9884c43ad771630ae0" localSheetId="12" hidden="1">    '[45]Quarterly Backlog Analysis'!$1:$1048576</definedName>
    <definedName name="MLNK1fd1a613b4e042338ae9b944d7c75226" localSheetId="12" hidden="1">#REF!</definedName>
    <definedName name="MLNK2001e30c2e79462fb212bee2d523546c" localSheetId="12" hidden="1">#REF!</definedName>
    <definedName name="MLNK2004611481114fd7836a787ce7cbc787" localSheetId="12" hidden="1">#REF!</definedName>
    <definedName name="MLNK200f8b4ac20f454f8d2e8d1e53220a6e" localSheetId="12" hidden="1">#REF!</definedName>
    <definedName name="MLNK205684d319924bf28951b6697b190691" localSheetId="12" hidden="1">#REF!</definedName>
    <definedName name="MLNK2070a8a62489433ea2ef832a7b27ce8e" localSheetId="12" hidden="1">#REF!</definedName>
    <definedName name="MLNK20db4d3c94964f3a8f93dbbc366d2cfd" localSheetId="12" hidden="1">#REF!</definedName>
    <definedName name="MLNK20dfbb85d3b7401c99660bb1244ed3a9" localSheetId="12" hidden="1">#REF!</definedName>
    <definedName name="MLNK20ec3ff50f064852adb8fd689f113130" localSheetId="12" hidden="1">#REF!</definedName>
    <definedName name="MLNK21060abefe22464881ffa9dc4087f34a" localSheetId="12" hidden="1">#REF!</definedName>
    <definedName name="MLNK21407499ba784667b4908f9c47c07ba0" localSheetId="12" hidden="1">#REF!</definedName>
    <definedName name="MLNK215d6ec32f3f4db6a3d798cc5297a671" localSheetId="12" hidden="1">#REF!</definedName>
    <definedName name="MLNK216741f5dafc4782a31735a1bbf0c00b" localSheetId="12" hidden="1">#REF!</definedName>
    <definedName name="MLNK21819cd4be3747afaafe7fd6af1a80dd" localSheetId="12" hidden="1">#REF!</definedName>
    <definedName name="MLNK229a2b2b0c4a440a8dbf3b003bd22daf" localSheetId="12" hidden="1">        '[49]Output (v3)'!$1:$1048576</definedName>
    <definedName name="MLNK22c1dd1486eb4d0bbe8b6967d445e8fa" localSheetId="12" hidden="1">#REF!</definedName>
    <definedName name="MLNK22ce0c9beddd4f4da71913428d79398c" localSheetId="12" hidden="1">   '[45]Monthly Backlog Analysis'!$1:$1048576</definedName>
    <definedName name="MLNK22e9426a49e8430ba371851947a600ab" localSheetId="12" hidden="1">#REF!</definedName>
    <definedName name="MLNK233feeaa85db4459a7b9b00424fa2ff8" localSheetId="12" hidden="1">#REF!</definedName>
    <definedName name="MLNK23a22acb0ce643cfab0c7c09267827be" localSheetId="12" hidden="1">#REF!</definedName>
    <definedName name="MLNK23aa398038ca4900a96aa29fa7fbdd3c" localSheetId="12" hidden="1">#REF!</definedName>
    <definedName name="MLNK23e7d64cf91849bf971cdd0e2506b3b9" localSheetId="12" hidden="1">#REF!</definedName>
    <definedName name="MLNK242f346894804e1886d2cf64cec38165" localSheetId="12" hidden="1">#REF!</definedName>
    <definedName name="MLNK246384bbcf194625b2933d5f1c38b570" localSheetId="12" hidden="1">#REF!</definedName>
    <definedName name="MLNK2474a500bbc54ae7929db86934bc6273" localSheetId="12" hidden="1">#REF!</definedName>
    <definedName name="MLNK24a3535198864783b147b6db4dfd1e1e" localSheetId="12" hidden="1">#REF!</definedName>
    <definedName name="MLNK24cd202804cc4c9ab3044945bd3e3713" localSheetId="12" hidden="1">#REF!</definedName>
    <definedName name="MLNK2573f5f2b0a147228dcc43cff2d4ac48" localSheetId="12" hidden="1">#REF!</definedName>
    <definedName name="MLNK25774000f4c845548c231c7e9e2d28e9" localSheetId="12" hidden="1">#REF!</definedName>
    <definedName name="MLNK259ca339584144f5926618d12b15da3e" localSheetId="12" hidden="1">#REF!</definedName>
    <definedName name="MLNK25a89f60adf6498fb802aaec26c25d00" localSheetId="12" hidden="1">#REF!</definedName>
    <definedName name="MLNK25f9e2e8d5514c5489f2b23bea37f935" localSheetId="12" hidden="1">#REF!</definedName>
    <definedName name="MLNK266463e15e3f4d399b527a36514bf327" localSheetId="12" hidden="1">  '[45]Hisorical &amp; Projected IS'!$B$34:$G$46</definedName>
    <definedName name="MLNK26c398595c9545efbd82dca4a520047a" localSheetId="12" hidden="1">#REF!</definedName>
    <definedName name="MLNK26cda75b65fd41048c6f187517f0d6ba" localSheetId="12" hidden="1">#REF!</definedName>
    <definedName name="MLNK27b413fbc3074fa8a7204f0e322ac122" localSheetId="12" hidden="1">#REF!</definedName>
    <definedName name="MLNK27f4b8570bad4ba0ad262108ff4c0490" localSheetId="12" hidden="1">#REF!</definedName>
    <definedName name="MLNK28d3e9b39a374a92b8582fe6c1b20cff" localSheetId="12" hidden="1">#REF!</definedName>
    <definedName name="MLNK291cdfb6f516442784c0baf3b12fde25" localSheetId="12" hidden="1">#REF!</definedName>
    <definedName name="MLNK29814a5538324abfbbc2da617e73d6f7" localSheetId="12" hidden="1">#REF!</definedName>
    <definedName name="MLNK299ae3da7f4f4b678de7f52a7f43c2db" localSheetId="12" hidden="1">#REF!</definedName>
    <definedName name="MLNK29c57d71f4d746e7898935907da19e0c" localSheetId="12" hidden="1">#REF!</definedName>
    <definedName name="MLNK29ddfe4369a14c9fbcc6eadd5635ac97" localSheetId="12" hidden="1">#REF!</definedName>
    <definedName name="MLNK29e39640eaab48838edc89ddf6129fad" localSheetId="12" hidden="1">#REF!</definedName>
    <definedName name="MLNK29e84db5458b45658bb97db4ee5141fa" localSheetId="12" hidden="1">#REF!</definedName>
    <definedName name="MLNK2a3ee11a92fa4dcda90e91c5ac75f4b8" localSheetId="12" hidden="1">#REF!</definedName>
    <definedName name="MLNK2a66a9a6067d41c4b732299fbf08c3ff" localSheetId="12" hidden="1">#REF!</definedName>
    <definedName name="MLNK2abee68d748f43408f3c78ff1aab5cd8" localSheetId="12" hidden="1">#REF!</definedName>
    <definedName name="MLNK2b2c36ff82434559965b4adeae9bae8e" localSheetId="12" hidden="1">#REF!</definedName>
    <definedName name="MLNK2b452caa83434d14a5a8bf95fbfefdb4" localSheetId="12" hidden="1">#REF!</definedName>
    <definedName name="MLNK2b85baa9501840b6827700471c774d80" localSheetId="12" hidden="1">#REF!</definedName>
    <definedName name="MLNK2b9b059d0a2a4ffeafce19ba06c9cdb7" localSheetId="12" hidden="1">#REF!</definedName>
    <definedName name="MLNK2c18432822ef4f83a820c2daed1e8bc0" localSheetId="12" hidden="1">#REF!</definedName>
    <definedName name="MLNK2c1d34afd9114e0cb98026253739a18c" localSheetId="12" hidden="1">   '[45]Hisorical &amp; Projected IS'!$1:$1048576</definedName>
    <definedName name="MLNK2c9088fbcd634d40b09e37e4e2d3a7c4" localSheetId="12" hidden="1">#REF!</definedName>
    <definedName name="MLNK2db7e1032d8c4d67a7116fb19fe6fa4a" localSheetId="12" hidden="1">#REF!</definedName>
    <definedName name="MLNK2dde9e6c41854b1e9663e48deaceee5a" localSheetId="12" hidden="1">  '[45]Hisorical &amp; Projected IS'!$B$34:$G$46</definedName>
    <definedName name="MLNK2e229c7e6c1a4a3eb10431ebf4b8170e" localSheetId="12" hidden="1">#REF!</definedName>
    <definedName name="MLNK2e460db3c1dc4d9696b0d3ab336335e7" localSheetId="12" hidden="1">#REF!</definedName>
    <definedName name="MLNK2e74d86902b44d1fb46c4e137bcb62a8" localSheetId="12" hidden="1">#REF!</definedName>
    <definedName name="MLNK2e90962703ad48c792ea668d84149920" localSheetId="12" hidden="1">#REF!</definedName>
    <definedName name="MLNK2f0b5324375b449b94bf8a49a9cb7754" localSheetId="12" hidden="1">#REF!</definedName>
    <definedName name="MLNK2f4a112b947843ec96ec0f617edea6b0" localSheetId="12" hidden="1">      '[45]Monthly Backlog Analysis'!$1:$1048576</definedName>
    <definedName name="MLNK2fcc315946d0479abaaccbea735dcd40" localSheetId="12" hidden="1">#REF!</definedName>
    <definedName name="MLNK2fdab45756db44ec9d00cc9a3ff181d6" localSheetId="12" hidden="1">            '[49]Output (v5)'!$1:$1048576</definedName>
    <definedName name="MLNK300a116a290b4ed4b3002b11ff01efdb" localSheetId="12" hidden="1">#REF!</definedName>
    <definedName name="MLNK303b4d13bf9d4ab6b918ec321bc7d36d" localSheetId="12" hidden="1">#REF!</definedName>
    <definedName name="MLNK30b27c2cda9f470faea966f90bdec659" localSheetId="12" hidden="1">#REF!</definedName>
    <definedName name="MLNK3183f1eaa02944f8af9a4551bab49622" localSheetId="12" hidden="1">#REF!</definedName>
    <definedName name="MLNK3191c7771c5c4908bde70ad7e0523638" localSheetId="12" hidden="1">#REF!</definedName>
    <definedName name="MLNK31c437e513bd43708561c0a56b16836b" localSheetId="12" hidden="1">#REF!</definedName>
    <definedName name="MLNK330402a1548a4d9db672e63636a88dba" localSheetId="12" hidden="1">   '[45]Annual Backlog Analysis'!$1:$1048576</definedName>
    <definedName name="MLNK33217662758946f9a7f766d1fe4702be" localSheetId="12" hidden="1">#REF!</definedName>
    <definedName name="MLNK33aa50c1f4864f5f92625202d233ad79" localSheetId="12" hidden="1">#REF!</definedName>
    <definedName name="MLNK3407049f52d24608aa04c9e1dae82693" localSheetId="12" hidden="1">     '[45]Quarterly Backlog Analysis'!$C$11:$I$33</definedName>
    <definedName name="MLNK34ea0417da44458e98269b90c5445c1b" localSheetId="12" hidden="1">#REF!</definedName>
    <definedName name="MLNK35525a34df824ef08bc71bc6c1025b5e" localSheetId="12" hidden="1">#REF!</definedName>
    <definedName name="MLNK355f5c4e8de5414fa6caf0579afc5a94" localSheetId="12" hidden="1">#REF!</definedName>
    <definedName name="MLNK35912bca35884e638463d146863134bb" localSheetId="12" hidden="1">#REF!</definedName>
    <definedName name="MLNK35b610b967514c518799192b3a025611" localSheetId="12" hidden="1">#REF!</definedName>
    <definedName name="MLNK35bcc842081945b9a4877e95b7f82936" localSheetId="12" hidden="1">#REF!</definedName>
    <definedName name="MLNK36d2e358aee44ad3a469ecc7f1efc28f" localSheetId="12" hidden="1">#REF!</definedName>
    <definedName name="MLNK374c68b7739746d4a370cfaacf277aa1" localSheetId="12" hidden="1">#REF!</definedName>
    <definedName name="MLNK377cc58e48c24bb3914f519d36986e16" localSheetId="12" hidden="1">#REF!</definedName>
    <definedName name="MLNK3818a537fd50435c8443f12af0070f8a" localSheetId="12" hidden="1">  '[45]Monthly Backlog Analysis'!$C$10:$J$35</definedName>
    <definedName name="MLNK3841ed7b84fe495094681d8873f2c710" localSheetId="12" hidden="1">#REF!</definedName>
    <definedName name="MLNK3894a42fcffc46fa83b48f2f455a1892" localSheetId="12" hidden="1">#REF!</definedName>
    <definedName name="MLNK38a93eff606b42d3964eda691fb0138d" localSheetId="12" hidden="1">#REF!</definedName>
    <definedName name="MLNK38ca0951e89f4f1d8ade9594aad915ad" localSheetId="12" hidden="1">#REF!</definedName>
    <definedName name="MLNK3995b3421bea4957ab58a57e281927c9" localSheetId="12" hidden="1">#REF!</definedName>
    <definedName name="MLNK39c8079a2bfc484bbd9a6c6b4d07de1d" localSheetId="12" hidden="1">#REF!</definedName>
    <definedName name="MLNK39ed8c9a242a490181548740f180a9c9" localSheetId="12" hidden="1">#REF!</definedName>
    <definedName name="MLNK3a756cbdc0c6474a83ad9659a5ffb5d6" localSheetId="12" hidden="1">#REF!</definedName>
    <definedName name="MLNK3a7d26cf39d04e13a1e0f59b3cf1ac34" localSheetId="12" hidden="1">'[51]Summary IS'!#REF!</definedName>
    <definedName name="MLNK3aee124db8a44e39804dcd74f89a6664" localSheetId="12" hidden="1">#REF!</definedName>
    <definedName name="MLNK3afd6ec422124a4280bd560d99a5eba9" localSheetId="12" hidden="1">#REF!</definedName>
    <definedName name="MLNK3b42315a9d964ea4ba34b4278796ab20" localSheetId="12" hidden="1">#REF!</definedName>
    <definedName name="MLNK3b490f78d86c43a4ba5da5a64039855e" localSheetId="12" hidden="1">#REF!</definedName>
    <definedName name="MLNK3b524faec4ae4e4bb7710c9aa7bb1e5f" localSheetId="12" hidden="1">    '[45]Quarterly Backlog Analysis'!$1:$1048576</definedName>
    <definedName name="MLNK3b541a2e3a954b89b9cd12b0eb03591c" localSheetId="12" hidden="1">     '[45]Quarterly Backlog Analysis'!$1:$1048576</definedName>
    <definedName name="MLNK3b95ca2726664ee2b57b97a4c60f7da9" localSheetId="12" hidden="1">#REF!</definedName>
    <definedName name="MLNK3c627e7ee5f448969942c7a9faa6081b" localSheetId="12" hidden="1">#REF!</definedName>
    <definedName name="MLNK3cb3fb700bc44cc9837e39daf9249550" localSheetId="12" hidden="1">#REF!</definedName>
    <definedName name="MLNK3cd376d99e2b4eeda28f2f45624a5c45" localSheetId="12" hidden="1">#REF!</definedName>
    <definedName name="MLNK3ce12ae9f8b347e1b969b8686bfdfe72" localSheetId="12" hidden="1">#REF!</definedName>
    <definedName name="MLNK3d93ff247b44478fad5e45e535c9514e" localSheetId="12" hidden="1">#REF!</definedName>
    <definedName name="MLNK3e136b76f6f0458d807d686e90e781c2" localSheetId="12" hidden="1">#REF!</definedName>
    <definedName name="MLNK3e53ca36e1e74f2b9c3887f1a57e2dd3" localSheetId="12" hidden="1">   '[45]Annual Backlog Analysis'!$1:$1048576</definedName>
    <definedName name="MLNK3e6b5949989744febe30c0ce950b887b" localSheetId="12" hidden="1">#REF!</definedName>
    <definedName name="MLNK3e76f131abb041509d7aac5ad4e4f4da" localSheetId="12" hidden="1">#REF!</definedName>
    <definedName name="MLNK3f20583318934e1a985b3fb218f6cf2f" localSheetId="12" hidden="1">#REF!</definedName>
    <definedName name="MLNK3f343bad37a9439397dbd6fcde7d8de4" localSheetId="12" hidden="1">#REF!</definedName>
    <definedName name="MLNK401f5f02698d4243848666f8a851e686" localSheetId="12" hidden="1">#REF!</definedName>
    <definedName name="MLNK4087003224b14ff29dc20d806f658a35" localSheetId="12" hidden="1">#REF!</definedName>
    <definedName name="MLNK40b9f550cd2d40e1a23c9d58b10442b6" localSheetId="12" hidden="1">#REF!</definedName>
    <definedName name="MLNK40de5072625a45d0b118893f9b406066" localSheetId="12" hidden="1">#REF!</definedName>
    <definedName name="MLNK4119008fa8f04941acb729f1d48f780c" localSheetId="12" hidden="1">#REF!</definedName>
    <definedName name="MLNK421e897f741d4952aa632d335e71ed1c" localSheetId="12" hidden="1">#REF!</definedName>
    <definedName name="MLNK42b4cb02d65643168912e34a2a4d7f2e" localSheetId="12" hidden="1">#REF!</definedName>
    <definedName name="MLNK430cf43e8a734ab98b65790d0ec28b85" localSheetId="12" hidden="1">#REF!</definedName>
    <definedName name="MLNK43b4ade77b1b480587ab3b6070bdaf61" localSheetId="12" hidden="1">#REF!</definedName>
    <definedName name="MLNK43f1a5f6b89847a58b6fdae96b57e2dd" localSheetId="12" hidden="1">#REF!</definedName>
    <definedName name="MLNK43f4fd00cbce4f15849d903369f771dc" localSheetId="12" hidden="1">    '[45]Quarterly Backlog Analysis'!$C$12:$I$34</definedName>
    <definedName name="MLNK442a5197cad145db945ab21b9c8b200c" localSheetId="12" hidden="1">#REF!</definedName>
    <definedName name="MLNK448cf67a0a33444fb7741e08a9b2165f" localSheetId="12" hidden="1">#REF!</definedName>
    <definedName name="MLNK453cab05e6a44c15b72976e09a9831ae" localSheetId="12" hidden="1">#REF!</definedName>
    <definedName name="MLNK454cea6ef9f8417a9c84129b9df206cc" localSheetId="12" hidden="1">#REF!</definedName>
    <definedName name="MLNK460dc94c4f3242dda7f460196f9e1836" localSheetId="12" hidden="1">#REF!</definedName>
    <definedName name="MLNK468781f1a56c4f7b9056af3f150c3d01" localSheetId="12" hidden="1">#REF!</definedName>
    <definedName name="MLNK4698963d1cd64c3cbb3c00339b2715ab" localSheetId="12" hidden="1">#REF!</definedName>
    <definedName name="MLNK46ac64f69e41430dbae711c8a31227b2" localSheetId="12" hidden="1">#REF!</definedName>
    <definedName name="MLNK46c2d3a36bf2488490292708b8f9feb5" localSheetId="12" hidden="1">#REF!</definedName>
    <definedName name="MLNK46cd212686fd4aff871cbe473595c1f4" localSheetId="12" hidden="1">#REF!</definedName>
    <definedName name="MLNK470a094db47f45bd86aa09e2eec85f94" localSheetId="12" hidden="1">#REF!</definedName>
    <definedName name="MLNK482a72a757504185abeb196b4c2e8eac" localSheetId="12" hidden="1">#REF!</definedName>
    <definedName name="MLNK4879f7a0100442f19df60debe3894898" localSheetId="12" hidden="1">#REF!</definedName>
    <definedName name="MLNK48e61342d81b4a01bdca4ce46a298839" localSheetId="12" hidden="1">#REF!</definedName>
    <definedName name="MLNK496a65f951294504bd0cc429c0620946" localSheetId="12" hidden="1">#REF!</definedName>
    <definedName name="MLNK497b1f6578814ea499f2045816063c56" localSheetId="12" hidden="1">#REF!</definedName>
    <definedName name="MLNK49db4a5128f84b5a944ba5c6aa4f2e5e" localSheetId="12" hidden="1">#REF!</definedName>
    <definedName name="MLNK4a0aaaa4ade34633a6f39809db59ce93" localSheetId="12" hidden="1">'[50]TS HP Internal Scenario Outputs'!#REF!</definedName>
    <definedName name="MLNK4a4f1de30419440b9e6fce86c1c3ea6d" localSheetId="12" hidden="1">#REF!</definedName>
    <definedName name="MLNK4a5be1ff9d6d417494e78d1077939115" localSheetId="12" hidden="1">#REF!</definedName>
    <definedName name="MLNK4a82332111354264ba7c54403cfab047" localSheetId="12" hidden="1">#REF!</definedName>
    <definedName name="MLNK4ae1162da6924edbb77eb864286b52ec" localSheetId="12" hidden="1">#REF!</definedName>
    <definedName name="MLNK4b3b9b2c509a49709ab64ea8279021ed" localSheetId="12" hidden="1">#REF!</definedName>
    <definedName name="MLNK4b40bbbaef344de0ab2a1c4c1549a012" localSheetId="12" hidden="1">#REF!</definedName>
    <definedName name="MLNK4b869de81adf428db1532acf496b0194" localSheetId="12" hidden="1">#REF!</definedName>
    <definedName name="MLNK4b8c43bd0f2d489388c97469ffb92dc2" localSheetId="12" hidden="1">#REF!</definedName>
    <definedName name="MLNK4b94666561864b68b487863d6d2c00ee" localSheetId="12" hidden="1">#REF!</definedName>
    <definedName name="MLNK4ba48b82125544feb54b63a50d2993a1" localSheetId="12" hidden="1">#REF!</definedName>
    <definedName name="MLNK4bf9ca0a4035470ab9854379328e9681" localSheetId="12" hidden="1">#REF!</definedName>
    <definedName name="MLNK4c724cf6bfd64d28bbd8ce74243815c2" localSheetId="12" hidden="1">#REF!</definedName>
    <definedName name="MLNK4cea7123f087461caaba1948592ef750" localSheetId="12" hidden="1">#REF!</definedName>
    <definedName name="MLNK4d2809775cd446e6a90014faac5dd8f5" localSheetId="12" hidden="1">#REF!</definedName>
    <definedName name="MLNK4d47096029b64b53b114e1f22b3b0f38" localSheetId="12" hidden="1">#REF!</definedName>
    <definedName name="MLNK4d7fda9b12f74ae49bf48ef6c5fd5340" localSheetId="12" hidden="1">#REF!</definedName>
    <definedName name="MLNK4d9e0f11ae5e428c937ce9be516b6a99" localSheetId="12" hidden="1">#REF!</definedName>
    <definedName name="MLNK4dfd8bb2b1b14ccea2701f57b93d553e" localSheetId="12" hidden="1">#REF!</definedName>
    <definedName name="MLNK4e3e032ebe97403cb7ac1878b9b13549" localSheetId="12" hidden="1">#REF!</definedName>
    <definedName name="MLNK4e9bdae243794a8daf62540f83c5aa10" localSheetId="12" hidden="1">#REF!</definedName>
    <definedName name="MLNK4f073a15c1c24d208e8dfdb08ee6d013" localSheetId="12" hidden="1">#REF!</definedName>
    <definedName name="MLNK4f20d2d4b620405a80207905474c0026" localSheetId="12" hidden="1">#REF!</definedName>
    <definedName name="MLNK4fb339189826401080c6579bbdb2860a" localSheetId="12" hidden="1">#REF!</definedName>
    <definedName name="MLNK5066a176457140b4ab8fef34359475b7" localSheetId="12" hidden="1">#REF!</definedName>
    <definedName name="MLNK509c50b0f30e41d2861594506e9a5b3d" localSheetId="12" hidden="1">#REF!</definedName>
    <definedName name="MLNK511a685c54b44dd0b4c40d4291f00c35" localSheetId="12" hidden="1">#REF!</definedName>
    <definedName name="MLNK51237db6785d4bbaacf9f6889f6cfabc" localSheetId="12" hidden="1">  '[45]Hisorical &amp; Projected IS'!$1:$1048576</definedName>
    <definedName name="MLNK5147170441994c8481cf8227dd3a195d" localSheetId="12" hidden="1">      '[49]Output (v2)'!$1:$1048576</definedName>
    <definedName name="MLNK51d3be7e8f4c44fa944705c24ac7c692" localSheetId="12" hidden="1">#REF!</definedName>
    <definedName name="MLNK5223518531274ba9b8944e931c5091f4" localSheetId="12" hidden="1">#REF!</definedName>
    <definedName name="MLNK5273f113756f4c699300085097bea1ac" localSheetId="12" hidden="1">#REF!</definedName>
    <definedName name="MLNK52a3c800b810441686324242468860af" localSheetId="12" hidden="1">#REF!</definedName>
    <definedName name="MLNK52b773a93c594b90828c2297469b7d75" localSheetId="12" hidden="1">#REF!</definedName>
    <definedName name="MLNK530a9e4d4663448eab3b6c97dcffbca7" localSheetId="12" hidden="1">  '[45]Monthly Backlog Analysis'!$1:$1048576</definedName>
    <definedName name="MLNK539da7e8b6df4b1ba62b9857d1c8b428" localSheetId="12" hidden="1">'[51]Summary IS'!#REF!</definedName>
    <definedName name="MLNK53f4f99dd75b45668a7dbec1b7261904" localSheetId="12" hidden="1">#REF!</definedName>
    <definedName name="MLNK5419c38a82504718a60b37b75c6058c5" localSheetId="12" hidden="1">#REF!</definedName>
    <definedName name="MLNK546b60d4cec643f6b1f022d2fd84673e" localSheetId="12" hidden="1">#REF!</definedName>
    <definedName name="MLNK549b1164492642239189c8432acac595" localSheetId="12" hidden="1">#REF!</definedName>
    <definedName name="MLNK54aa1b85a6384b7e8738b9f361971039" localSheetId="12" hidden="1">#REF!</definedName>
    <definedName name="MLNK558089d3077d4fdc8ad112fbee95b79f" localSheetId="12" hidden="1">#REF!</definedName>
    <definedName name="MLNK558420cb2c3f4942b970d972a1f4004b" localSheetId="12" hidden="1">#REF!</definedName>
    <definedName name="MLNK55a655decbf6419eb2c91cf936552e1a" localSheetId="12" hidden="1">#REF!</definedName>
    <definedName name="MLNK55b544fbbb9f458cbe95286ff80bd221" localSheetId="12" hidden="1">  '[45]Monthly Backlog Analysis'!$C$11:$J$34</definedName>
    <definedName name="MLNK55b7396a5c5a4d428b86a86e0c9af448" localSheetId="12" hidden="1">#REF!</definedName>
    <definedName name="MLNK55e46825f9514c48852aa1b226b92cfc" localSheetId="12" hidden="1">#REF!</definedName>
    <definedName name="MLNK564779ce4b57458fae9e72aa61a4f78d" localSheetId="12" hidden="1">#REF!</definedName>
    <definedName name="MLNK5662e450df734a6bbd33a33ee472c231" localSheetId="12" hidden="1">'[46]AI Waterfall'!#REF!</definedName>
    <definedName name="MLNK56784cfee8224356b96f48647bfb4487" localSheetId="12" hidden="1">#REF!</definedName>
    <definedName name="MLNK56818b66a82348ce99c0452d8f653c3f" localSheetId="12" hidden="1">#REF!</definedName>
    <definedName name="MLNK568ef48cd24247c9ba996982414db3d5" localSheetId="12" hidden="1">#REF!</definedName>
    <definedName name="MLNK56c96016bd5e4d99bb7a035622aac533" localSheetId="12" hidden="1">#REF!</definedName>
    <definedName name="MLNK56c97d0b00a9420f86ab98f9461c3369" localSheetId="12" hidden="1">#REF!</definedName>
    <definedName name="MLNK5712d7caec4d4e1284cfaab2fc1b2380" localSheetId="12" hidden="1">#REF!</definedName>
    <definedName name="MLNK572500526c264b7b95065377003ddae5" localSheetId="12" hidden="1">#REF!</definedName>
    <definedName name="MLNK5790592d66964954b49e1e6a2cdff298" localSheetId="12" hidden="1">#REF!</definedName>
    <definedName name="MLNK57ba1a57437c45af8dca541162dd478f" localSheetId="12" hidden="1">#REF!</definedName>
    <definedName name="MLNK58053737ae524582b77cbd888ce85d75" localSheetId="12" hidden="1">#REF!</definedName>
    <definedName name="MLNK58227a099e774037a2c4ee46ba51169b" localSheetId="12" hidden="1">#REF!</definedName>
    <definedName name="MLNK5868995cab8141f58d146ceb5ab8e064" localSheetId="12" hidden="1">#REF!</definedName>
    <definedName name="MLNK589b4b4e9d114498b6438732af4079c6" localSheetId="12" hidden="1">#REF!</definedName>
    <definedName name="MLNK58cc0fc20f5f40bfabbdb8766eb0af9c" localSheetId="12" hidden="1">#REF!</definedName>
    <definedName name="MLNK58d4fc78b4664492bb3fa144423113d2" localSheetId="12" hidden="1">#REF!</definedName>
    <definedName name="MLNK58f9115d080d4d92853e40c2f2eb0758" localSheetId="12" hidden="1">#REF!</definedName>
    <definedName name="MLNK59309990db734d9c8a821e2b8d52b8dd" localSheetId="12" hidden="1">#REF!</definedName>
    <definedName name="MLNK5a29ce186d6741829000c9e915ae9c66" localSheetId="12" hidden="1">#REF!</definedName>
    <definedName name="MLNK5a37a43bf2834901840d23cbb0abc044" localSheetId="12" hidden="1">#REF!</definedName>
    <definedName name="MLNK5a5cc9398b0e4a1490756fe52cdfdf29" localSheetId="12" hidden="1">  '[45]Monthly Backlog Analysis'!$1:$1048576</definedName>
    <definedName name="MLNK5bb2c057790241afa9be0bea799d3060" localSheetId="12" hidden="1">    '[45]Monthly Backlog Analysis'!$1:$1048576</definedName>
    <definedName name="MLNK5bc72c653a64456ca35790155aeeb15c" localSheetId="12" hidden="1">#REF!</definedName>
    <definedName name="MLNK5bd8f2fa23a449f68bf9122fc9634158" localSheetId="12" hidden="1">#REF!</definedName>
    <definedName name="MLNK5c118afdb7424a12984646f92bdb0baf" localSheetId="12" hidden="1">#REF!</definedName>
    <definedName name="MLNK5c2fdb53616843338a76ee87fba723a1" localSheetId="12" hidden="1">   '[52]PSS - Adjustments'!$1:$1048576</definedName>
    <definedName name="MLNK5c93849b1c694866a7fdca906433d872" localSheetId="12" hidden="1">#REF!</definedName>
    <definedName name="MLNK5cb6067cb22d4404a352867a368c4dd3" localSheetId="12" hidden="1">#REF!</definedName>
    <definedName name="MLNK5cc120250dba49fc954ce969f59c29e4" localSheetId="12" hidden="1">#REF!</definedName>
    <definedName name="MLNK5d504a170b0b424b845a2fbdf8ae212e" localSheetId="12" hidden="1">#REF!</definedName>
    <definedName name="MLNK5d9cc9b2b2fd4b2799819c19126f0e1b" localSheetId="12" hidden="1">#REF!</definedName>
    <definedName name="MLNK5de520c386f4498e87cf292a9422b147" localSheetId="12" hidden="1">#REF!</definedName>
    <definedName name="MLNK5e56288a2d444a9ebdffbc6047357d41" localSheetId="12" hidden="1">    '[45]Hisorical &amp; Projected IS'!$B$2:$G$32</definedName>
    <definedName name="MLNK5e8dd6ee2dc24c0eb99cc80145bc853f" localSheetId="12" hidden="1">#REF!</definedName>
    <definedName name="MLNK5f035044afad4ac69ff0cf10ce95cacb" localSheetId="12" hidden="1">  '[45]Monthly Backlog Analysis'!$C$11:$J$34</definedName>
    <definedName name="MLNK5f489b36a3dd4ffca654ca893fdc01e1" localSheetId="12" hidden="1">#REF!</definedName>
    <definedName name="MLNK60d659c3c8bc4afb8091990511f37424" localSheetId="12" hidden="1">#REF!</definedName>
    <definedName name="MLNK612c822e116041a1be89ae4a415e8374" localSheetId="12" hidden="1">#REF!</definedName>
    <definedName name="MLNK6210b0a7eff74c16936439a65bb1d85a" localSheetId="12" hidden="1">#REF!</definedName>
    <definedName name="MLNK625fe00e4639425ba812d96c8e9ceea9" localSheetId="12" hidden="1">   '[45]Annual Backlog Analysis'!$1:$1048576</definedName>
    <definedName name="MLNK6305bc950df74e6a89faf0e38f7282b2" localSheetId="12" hidden="1">   '[45]Annual Backlog Analysis'!$C$12:$I$34</definedName>
    <definedName name="MLNK631f5f318f32460cb70ce1837416f6f6" localSheetId="12" hidden="1">#REF!</definedName>
    <definedName name="MLNK6383911c3c664c0887824cfe4ea1f93b" localSheetId="12" hidden="1">    '[45]Monthly Backlog Analysis'!$1:$1048576</definedName>
    <definedName name="MLNK63ac4582cfe047bbb516377b722c0c61" localSheetId="12" hidden="1">#REF!</definedName>
    <definedName name="MLNK652441e2374d4a8fae70b563e0916718" localSheetId="12" hidden="1">#REF!</definedName>
    <definedName name="MLNK655665b4820d4dc3b01557425e02aa4b" localSheetId="12" hidden="1">#REF!</definedName>
    <definedName name="MLNK65839af1b13744b0a4faaeb49d4fe140" localSheetId="12" hidden="1">#REF!</definedName>
    <definedName name="MLNK6593c6ab73264e69b4374330ab13c8e1" localSheetId="12" hidden="1">#REF!</definedName>
    <definedName name="MLNK65a6ee50c38f4a1787e6ee66d8745808" localSheetId="12" hidden="1">'[51]Summary IS'!#REF!</definedName>
    <definedName name="MLNK65e75eb4a985451a9cb2467efa5a31db" localSheetId="12" hidden="1">#REF!</definedName>
    <definedName name="MLNK66416141c4ce46b0a586f7ee596245db" localSheetId="12" hidden="1">#REF!</definedName>
    <definedName name="MLNK66624990299547b2b64d531ab9be5b30" localSheetId="12" hidden="1">#REF!</definedName>
    <definedName name="MLNK66fe63e2714d498394dcacd64546234b" localSheetId="12" hidden="1">#REF!</definedName>
    <definedName name="MLNK678d9ffd405846fabeb219bf563b4a86" localSheetId="12" hidden="1">#REF!</definedName>
    <definedName name="MLNK679e121181984bc4926c0389f80b9c90" localSheetId="12" hidden="1">#REF!</definedName>
    <definedName name="MLNK68871f2145af4dca900f0d21af672263" localSheetId="12" hidden="1">#REF!</definedName>
    <definedName name="MLNK68aecd16316b4ec5a6fee43a0404a643" localSheetId="12" hidden="1">#REF!</definedName>
    <definedName name="MLNK6903e22c8a4146488153f7a43fa6c9fc" localSheetId="12" hidden="1">#REF!</definedName>
    <definedName name="MLNK6a265b582ea3449ba161933f47d6ad8a" localSheetId="12" hidden="1">#REF!</definedName>
    <definedName name="MLNK6aa03d44785e4ed68239ea75127de48e" localSheetId="12" hidden="1">#REF!</definedName>
    <definedName name="MLNK6b16945314434b04a97d34c9050e2320" localSheetId="12" hidden="1">#REF!</definedName>
    <definedName name="MLNK6b5ce047d68b41dcaede68d1e499e9d9" localSheetId="12" hidden="1">#REF!</definedName>
    <definedName name="MLNK6b5e31c5a8134a35aa3b61e6a3c34f1c" localSheetId="12" hidden="1">#REF!</definedName>
    <definedName name="MLNK6b80abdc8fe740cfac848fac6ef04b6f" localSheetId="12" hidden="1">#REF!</definedName>
    <definedName name="MLNK6b92bb4e16d6422caedcf892b957e8dc" localSheetId="12" hidden="1">#REF!</definedName>
    <definedName name="MLNK6ca7e7164c8c49318c0a92737f4ed103" localSheetId="12" hidden="1">#REF!</definedName>
    <definedName name="MLNK6d68e9d61ca0416884aa1cfee1a494eb" localSheetId="12" hidden="1">#REF!</definedName>
    <definedName name="MLNK6d94a81eaf0143b5be6d1ba1c9c84842" localSheetId="12" hidden="1">#REF!</definedName>
    <definedName name="MLNK6e486e2d5a334a39b4877bea72d7eb92" localSheetId="12" hidden="1">#REF!</definedName>
    <definedName name="MLNK6e727159858a4f6fa12f1184ada87026" localSheetId="12" hidden="1">#REF!</definedName>
    <definedName name="MLNK6e72f843939c45e6ad1bb202d76f95fd" localSheetId="12" hidden="1">#REF!</definedName>
    <definedName name="MLNK6e783f0d518148e08e2aaef094f77e6b" localSheetId="12" hidden="1">'[51]Summary IS'!#REF!</definedName>
    <definedName name="MLNK6fed978a0f5a4a4cbe4ee5d4155e5ec5" localSheetId="12" hidden="1">#REF!</definedName>
    <definedName name="MLNK7019e39e85c246f1ae9e0ef6fc958370" localSheetId="12" hidden="1">#REF!</definedName>
    <definedName name="MLNK7021f5ebbdd84a45ba6a7ba23cb30771" localSheetId="12" hidden="1">#REF!</definedName>
    <definedName name="MLNK7057dc7973694314b60de6b163b24838" localSheetId="12" hidden="1">'[51]Summary IS'!#REF!</definedName>
    <definedName name="MLNK70646e4a8e034cd78f431f91898c66c0" localSheetId="12" hidden="1">#REF!</definedName>
    <definedName name="MLNK70a58cfbfa8f452e814ded09c65137f4" localSheetId="12" hidden="1">#REF!</definedName>
    <definedName name="MLNK70a874c7f368487cbe704d484fc1af16" localSheetId="12" hidden="1">#REF!</definedName>
    <definedName name="MLNK70d038176d214bb3be6757c4606f55b5" localSheetId="12" hidden="1">    '[45]Quarterly Backlog Analysis'!$C$12:$I$34</definedName>
    <definedName name="MLNK711e7c92b77c4bdba0a8fd967f51d09a" localSheetId="12" hidden="1">#REF!</definedName>
    <definedName name="MLNK713d8596e8df4275ab2d2f003c345043" localSheetId="12" hidden="1">'[51]Summary IS'!#REF!</definedName>
    <definedName name="MLNK7165b3d004ff4cdb8cf06f37aad03417" localSheetId="12" hidden="1">#REF!</definedName>
    <definedName name="MLNK7190e0b0ca724135b422646f09ee97eb" localSheetId="12" hidden="1">#REF!</definedName>
    <definedName name="MLNK71b4daf60a6b45208f07199ac429da30" localSheetId="12" hidden="1">#REF!</definedName>
    <definedName name="MLNK71b5bf4bc0224e8981e090b52946baaf" localSheetId="12" hidden="1">#REF!</definedName>
    <definedName name="MLNK71c0b0997c344b909a6256f3f9e7b2f4" localSheetId="12" hidden="1">    '[45]Monthly Backlog Analysis'!$1:$1048576</definedName>
    <definedName name="MLNK729c511e6fb8406388008eaec1c014b6" localSheetId="12" hidden="1">#REF!</definedName>
    <definedName name="MLNK73535d6b26d34f28bcc1383ca23ae898" localSheetId="12" hidden="1">#REF!</definedName>
    <definedName name="MLNK7390ef6b69464b07902bf436ab3f0c81" localSheetId="12" hidden="1">#REF!</definedName>
    <definedName name="MLNK739e1434b02c46f6bdc88efd2f1ba994" localSheetId="12" hidden="1">#REF!</definedName>
    <definedName name="MLNK73bdb994b87f4972a5708ca53b7466f0" localSheetId="12" hidden="1">#REF!</definedName>
    <definedName name="MLNK73ca829c394b452098090ce23a806c68" localSheetId="12" hidden="1">  '[45]Monthly Backlog Analysis'!$1:$1048576</definedName>
    <definedName name="MLNK73d1a15bdc8b4cb7a1eba62c68ef7775" localSheetId="12" hidden="1">#REF!</definedName>
    <definedName name="MLNK742224d381f2494b857b969c2e07aa13" localSheetId="12" hidden="1">#REF!</definedName>
    <definedName name="MLNK74aaf3c2da574df69615013232ece008" localSheetId="12" hidden="1">#REF!</definedName>
    <definedName name="MLNK74ac2ebf8f2a4931b8cde3dabac0a546" localSheetId="12" hidden="1">#REF!</definedName>
    <definedName name="MLNK74e35ae32fbd45038a8ca8786ddc5481" localSheetId="12" hidden="1">       '[52]PSS - Adjustments'!$1:$1048576</definedName>
    <definedName name="MLNK74e85bd6385d4993b531d38f2f3836c0" localSheetId="12" hidden="1">#REF!</definedName>
    <definedName name="MLNK7575c400d762409d9d7d3f247f474ee7" localSheetId="12" hidden="1">#REF!</definedName>
    <definedName name="MLNK758fdcdb07a04274a7c7bedbf4c52f8d" localSheetId="12" hidden="1">#REF!</definedName>
    <definedName name="MLNK759a8f014d2945aba9553db2fee209c0" localSheetId="12" hidden="1">#REF!</definedName>
    <definedName name="MLNK75db4195e5d141d3a7eec873d4cc3a5e" localSheetId="12" hidden="1">#REF!</definedName>
    <definedName name="MLNK763a9f01ebb64e43939b2276d58ab053" localSheetId="12" hidden="1">#REF!</definedName>
    <definedName name="MLNK76a07ad73c6943b0b9490c28c2773a72" localSheetId="12" hidden="1">#REF!</definedName>
    <definedName name="MLNK78474ea8ccc645299e21f8fb8f2831bb" localSheetId="12" hidden="1">#REF!</definedName>
    <definedName name="MLNK784d795970424f398fc3fdd199378fee" localSheetId="12" hidden="1">#REF!</definedName>
    <definedName name="MLNK786446f9adf44b9c8e69153a249119f0" localSheetId="12" hidden="1">#REF!</definedName>
    <definedName name="MLNK7887505795504f1da6c968aa806eab0b" localSheetId="12" hidden="1">#REF!</definedName>
    <definedName name="MLNK78cdf337446c4c4fa061d0ca0ea856da" localSheetId="12" hidden="1">#REF!</definedName>
    <definedName name="MLNK79f1f52cffc2440d893df1536bc81db2" localSheetId="12" hidden="1">#REF!</definedName>
    <definedName name="MLNK7a261d36437c4a978a819df4ce0f5c46" localSheetId="12" hidden="1">#REF!</definedName>
    <definedName name="MLNK7a38c2826a99439c9e40971bcc5ad261" localSheetId="12" hidden="1">#REF!</definedName>
    <definedName name="MLNK7b537a5989264eddabc292d4476e8379" localSheetId="12" hidden="1">#REF!</definedName>
    <definedName name="MLNK7b7b0f44588f4b009d65026d66428372" localSheetId="12" hidden="1">   '[45]Annual Backlog Analysis'!$1:$1048576</definedName>
    <definedName name="MLNK7bd30f6b03154f80b4ece3b807f67f53" localSheetId="12" hidden="1">#REF!</definedName>
    <definedName name="MLNK7bec44c0ba524dd5968ece36d71dd645" localSheetId="12" hidden="1">#REF!</definedName>
    <definedName name="MLNK7c2d7cae1ba24e14af55455df7615e04" localSheetId="12" hidden="1">#REF!</definedName>
    <definedName name="MLNK7c5f539d49fd45b29663fcc382404a18" localSheetId="12" hidden="1">#REF!</definedName>
    <definedName name="MLNK7c6376d3e24e49f68f4a6c8210e18b82" localSheetId="12" hidden="1">#REF!</definedName>
    <definedName name="MLNK7c808528906245c8bc83cd2434e1f4a3" localSheetId="12" hidden="1">#REF!</definedName>
    <definedName name="MLNK7c8b44994a5b434f8af642c9c7bd1904" localSheetId="12" hidden="1">#REF!</definedName>
    <definedName name="MLNK7ccb8304142d4079b335f546155f0e48" localSheetId="12" hidden="1">#REF!</definedName>
    <definedName name="MLNK7cdcd9ff45e94baa8c22f1bbb7a0756c" localSheetId="12" hidden="1">#REF!</definedName>
    <definedName name="MLNK7ce7df4de2444df2ae72af9f72d99cf3" localSheetId="12" hidden="1">#REF!</definedName>
    <definedName name="MLNK7d792593e60b4a4cbb48428d4a2a5258" localSheetId="12" hidden="1">   '[45]Hisorical &amp; Projected IS'!$B$2:$M$32</definedName>
    <definedName name="MLNK7d839fb3a2534df1af4fe0c1fb45f03b" localSheetId="12" hidden="1">#REF!</definedName>
    <definedName name="MLNK7dde91cd40a0482ca0661c225c13de3c" localSheetId="12" hidden="1">#REF!</definedName>
    <definedName name="MLNK7dfeefbfedf84d17b41a6bc802339b65" localSheetId="12" hidden="1">#REF!</definedName>
    <definedName name="MLNK7e722a65711d41bbb1f89dac8f1d179f" localSheetId="12" hidden="1">#REF!</definedName>
    <definedName name="MLNK7f00420c94b84d218a5ffd741e2618a4" localSheetId="12" hidden="1">#REF!</definedName>
    <definedName name="MLNK7f381db745e745038123354ce5695f85" localSheetId="12" hidden="1">#REF!</definedName>
    <definedName name="MLNK7f3a5242886546ca971d4b3fd26e0d39" localSheetId="12" hidden="1">#REF!</definedName>
    <definedName name="MLNK7f9b2a8b4c6e4ee79f750e916a643062" localSheetId="12" hidden="1">#REF!</definedName>
    <definedName name="MLNK80c806ee2fb84b6f95cb413fb747a5d7" localSheetId="12" hidden="1">  '[45]Hisorical &amp; Projected IS'!$1:$1048576</definedName>
    <definedName name="MLNK81d991a8444b423ba181c00b1581fd58" localSheetId="12" hidden="1">#REF!</definedName>
    <definedName name="MLNK822c71a676b44b90a0ae9ee8e8922351" localSheetId="12" hidden="1">#REF!</definedName>
    <definedName name="MLNK82a32cd08bcd424db6b53342a4ef2b53" localSheetId="12" hidden="1">#REF!</definedName>
    <definedName name="MLNK8389a0e593704536bf47bf8d77e09b85" localSheetId="12" hidden="1">#REF!</definedName>
    <definedName name="MLNK849be104a79e4e71843072e3fc579178" localSheetId="12" hidden="1">#REF!</definedName>
    <definedName name="MLNK8519166dded446979824141450c07732" localSheetId="12" hidden="1">#REF!</definedName>
    <definedName name="MLNK85d104ed1abd4ee8b2b7b9e36d1a40a0" localSheetId="12" hidden="1">#REF!</definedName>
    <definedName name="MLNK86084a0d926c4d1c99f2a4ed620b0d92" localSheetId="12" hidden="1">#REF!</definedName>
    <definedName name="MLNK863d7154b90b4ff58eb8073dda6f1db2" localSheetId="12" hidden="1">#REF!</definedName>
    <definedName name="MLNK864586187871466fbdc98181e8196c2a" localSheetId="12" hidden="1">#REF!</definedName>
    <definedName name="MLNK86a67f44935b46d39bd52fc31318d3e4" localSheetId="12" hidden="1">#REF!</definedName>
    <definedName name="MLNK86b0faed08ae4756b1f81b4c70bd37cf" localSheetId="12" hidden="1">#REF!</definedName>
    <definedName name="MLNK86d18c4991324b9fafd6c780bbc49371" localSheetId="12" hidden="1">#REF!</definedName>
    <definedName name="MLNK87b6ef3680c1458098edca561c2b518e" localSheetId="12" hidden="1">#REF!</definedName>
    <definedName name="MLNK87bdc6b5081740989afaa8649fe51684" localSheetId="12" hidden="1">#REF!</definedName>
    <definedName name="MLNK881676dd88434d38bc231dee73778ff4" localSheetId="12" hidden="1">#REF!</definedName>
    <definedName name="MLNK882742a4574d4c398317209f734ccdee" localSheetId="12" hidden="1">#REF!</definedName>
    <definedName name="MLNK88545d5be9e044c59846f9198223107a" localSheetId="12" hidden="1">  '[45]Hisorical &amp; Projected IS'!$B$2:$M$32</definedName>
    <definedName name="MLNK88bff6d610804cce9a482ca53b2475a0" localSheetId="12" hidden="1">#REF!</definedName>
    <definedName name="MLNK88e70c518ed8483ebc887df4719632e4" localSheetId="12" hidden="1">#REF!</definedName>
    <definedName name="MLNK88f32ac2f3294394b8e9f43317d7102f" localSheetId="12" hidden="1">#REF!</definedName>
    <definedName name="MLNK88f6c9c50f6a42c18f38f2c69d3c79c5" localSheetId="12" hidden="1">#REF!</definedName>
    <definedName name="MLNK8933050fa3184006bc16fa96753bd521" localSheetId="12" hidden="1">      '[49]Output (v2)'!$1:$1048576</definedName>
    <definedName name="MLNK893be7aee6af45089f821ffc6ae622f7" localSheetId="12" hidden="1">#REF!</definedName>
    <definedName name="MLNK8940cbfbd55a452991b13e1c94d646f7" localSheetId="12" hidden="1">#REF!</definedName>
    <definedName name="MLNK89953e64f7ca478889eab0480ca166d9" localSheetId="12" hidden="1">#REF!</definedName>
    <definedName name="MLNK8a2ff150aff945afbc20a79562761a81" localSheetId="12" hidden="1">#REF!</definedName>
    <definedName name="MLNK8a4b37d8c34843689209c16083a16b7c" localSheetId="12" hidden="1">#REF!</definedName>
    <definedName name="MLNK8a981875db4a4df2b0ed552232b8345b" localSheetId="12" hidden="1">#REF!</definedName>
    <definedName name="MLNK8ac46e84006242f594877756c7f92d2a" localSheetId="12" hidden="1">#REF!</definedName>
    <definedName name="MLNK8acbb2a77cd04fcdb24d3585bb94e8e9" localSheetId="12" hidden="1">#REF!</definedName>
    <definedName name="MLNK8b131d72e5df48faa6c8c6406e26e418" localSheetId="12" hidden="1">#REF!</definedName>
    <definedName name="MLNK8b17f146ac5a48cd8e81eb109aeee3ae" localSheetId="12" hidden="1">#REF!</definedName>
    <definedName name="MLNK8b1c0c139e9b4073820ad2a10e7f1051" localSheetId="12" hidden="1">#REF!</definedName>
    <definedName name="MLNK8c682d93591c4c73845ba2c1082c48d3" localSheetId="12" hidden="1">#REF!</definedName>
    <definedName name="MLNK8ca39cedf68a4e92b18af441f524f826" localSheetId="12" hidden="1">    '[45]Hisorical &amp; Projected IS'!$B$2:$M$32</definedName>
    <definedName name="MLNK8cd52f4b903543658de827aa52acf74e" localSheetId="12" hidden="1">#REF!</definedName>
    <definedName name="MLNK8cd7576df60d45e4ab0d7685e326e025" localSheetId="12" hidden="1">  '[45]Monthly Backlog Analysis'!$C$10:$J$35</definedName>
    <definedName name="MLNK8ce6ecbf737e488693deed1af93ced57" localSheetId="12" hidden="1">#REF!</definedName>
    <definedName name="MLNK8d141d7d47ad4fc987d59f39088ad916" localSheetId="12" hidden="1">#REF!</definedName>
    <definedName name="MLNK8d5b78eefde24124bc22e5eb2b874604" localSheetId="12" hidden="1">#REF!</definedName>
    <definedName name="MLNK8d9df6cfe2df4e9d9a85e67b518205c5" localSheetId="12" hidden="1">   '[45]Monthly Backlog Analysis'!$1:$1048576</definedName>
    <definedName name="MLNK8e8302d4806d4976b250563630d06974" localSheetId="12" hidden="1">#REF!</definedName>
    <definedName name="MLNK8e9b770ba4eb41da82ee651f9a564109" localSheetId="12" hidden="1">#REF!</definedName>
    <definedName name="MLNK8eb9e48b9b3943249f666798d00edc23" localSheetId="12" hidden="1">   '[45]Annual Backlog Analysis'!$C$11:$I$35</definedName>
    <definedName name="MLNK8ee0b1d9a7224f788d9779b3dc0499e0" localSheetId="12" hidden="1">#REF!</definedName>
    <definedName name="MLNK8f76434663af42e390fdbde44d3710ec" localSheetId="12" hidden="1">  '[45]Hisorical &amp; Projected IS'!$1:$1048576</definedName>
    <definedName name="MLNK8fbbfa99afb24b5b9f5f0a743e480b73" localSheetId="12" hidden="1">            '[49]Output (v5)'!$1:$1048576</definedName>
    <definedName name="MLNK9004dc033f374e6a928f9b0ebb5d8196" localSheetId="12" hidden="1">#REF!</definedName>
    <definedName name="MLNK907ffb3c3f914b5ea9e24fe283c6cb99" localSheetId="12" hidden="1">#REF!</definedName>
    <definedName name="MLNK90c4ba7186d54322a67fb04486a8cbf3" localSheetId="12" hidden="1">#REF!</definedName>
    <definedName name="MLNK90c8fccee84a4a48a0b07e6aaa673094" localSheetId="12" hidden="1">#REF!</definedName>
    <definedName name="MLNK90e25c2ecaa64d57bb26958b4d223428" localSheetId="12" hidden="1">#REF!</definedName>
    <definedName name="MLNK9110823f14ea42ec8690146557817cd4" localSheetId="12" hidden="1">#REF!</definedName>
    <definedName name="MLNK913274e26d0b40a5a0c25c58b5a6b52f" localSheetId="12" hidden="1">#REF!</definedName>
    <definedName name="MLNK91662700859a4b5887ea4b2f311dfaa8" localSheetId="12" hidden="1">#REF!</definedName>
    <definedName name="MLNK91bae33c68f54070a9d0dc2c0bf12ef3" localSheetId="12" hidden="1">#REF!</definedName>
    <definedName name="MLNK920e55f9c749413d8ea87ac117500e67" localSheetId="12" hidden="1">#REF!</definedName>
    <definedName name="MLNK928b582d16334ef39533249c3737cef4" localSheetId="12" hidden="1">#REF!</definedName>
    <definedName name="MLNK9345a567a3bf4c0b9f86177bd2d75271" localSheetId="12" hidden="1">#REF!</definedName>
    <definedName name="MLNK935339d4ac524564b97af65f9a80c75b" localSheetId="12" hidden="1">    '[45]Quarterly Backlog Analysis'!$1:$1048576</definedName>
    <definedName name="MLNK936d3bc27d9c4e9e91d566d1f8df6d3b" localSheetId="12" hidden="1">#REF!</definedName>
    <definedName name="MLNK93a6b4cbf6b64733bce6c55ea49a34a4" localSheetId="12" hidden="1">#REF!</definedName>
    <definedName name="MLNK93dc54b8a75d41609138168388503de4" localSheetId="12" hidden="1">    '[45]Quarterly Backlog Analysis'!$C$11:$I$33</definedName>
    <definedName name="MLNK93e5daee684d41bcb8fcce607e193642" localSheetId="12" hidden="1">#REF!</definedName>
    <definedName name="MLNK93efc9b05acc4e65ba52a3a8e903e6ca" localSheetId="12" hidden="1">  '[45]Hisorical &amp; Projected IS'!$B$2:$G$32</definedName>
    <definedName name="MLNK94328738fd3c4600af18be2154210e21" localSheetId="12" hidden="1">#REF!</definedName>
    <definedName name="MLNK945d6f39e1f24984b04097fbaf17eeea" localSheetId="12" hidden="1">#REF!</definedName>
    <definedName name="MLNK94c72ece7a1f4a7ebecf1f9109589a25" localSheetId="12" hidden="1">#REF!</definedName>
    <definedName name="MLNK9637ccf249e443078a50f7c2eb385852" localSheetId="12" hidden="1">#REF!</definedName>
    <definedName name="MLNK966e51b421e543fa85b22020f4b131f7" localSheetId="12" hidden="1">'[53]Cash Flow Statement'!#REF!</definedName>
    <definedName name="MLNK9682ca475ff54cbfb2f968b54a63e991" localSheetId="12" hidden="1">#REF!</definedName>
    <definedName name="MLNK970f77a437ad4eba93f82bc0a2c68793" localSheetId="12" hidden="1">#REF!</definedName>
    <definedName name="MLNK97df538a2fdf490296fd305add5f1023" localSheetId="12" hidden="1">#REF!</definedName>
    <definedName name="MLNK97e64800be9a4f7e916bf03b564bb072" localSheetId="12" hidden="1">#REF!</definedName>
    <definedName name="MLNK98db6856c4d2485bb082192eb338e7ec" localSheetId="12" hidden="1">#REF!</definedName>
    <definedName name="MLNK98f7f2b7a3444132ab2e3711160705fd" localSheetId="12" hidden="1">#REF!</definedName>
    <definedName name="MLNK99a873284b354cc99f3774743c4cbac9" localSheetId="12" hidden="1">'[53]Cash Flow Statement'!#REF!</definedName>
    <definedName name="MLNK99b9d957895544fda8e9670506643b77" localSheetId="12" hidden="1">#REF!</definedName>
    <definedName name="MLNK99de40bd629144c7ba32aae377c57f70" localSheetId="12" hidden="1">#REF!</definedName>
    <definedName name="MLNK9a4f673c06ec41419cc6dcbbb88e0dea" localSheetId="12" hidden="1">#REF!</definedName>
    <definedName name="MLNK9ab5b092e0124e1fb5be58e7bfd4270d" localSheetId="12" hidden="1">#REF!</definedName>
    <definedName name="MLNK9b2728c6c65a4ed1bdce5cd1b8f5f78f" localSheetId="12" hidden="1">#REF!</definedName>
    <definedName name="MLNK9b41319e0b864c8e96fa51ea09d8f5dc" localSheetId="12" hidden="1">    '[45]Quarterly Backlog Analysis'!$C$11:$I$33</definedName>
    <definedName name="MLNK9bf4240de0604471b0871b323169dcca" localSheetId="12" hidden="1">#REF!</definedName>
    <definedName name="MLNK9bf7c40dc1ea40a1b552234224cb0d1b" localSheetId="12" hidden="1">#REF!</definedName>
    <definedName name="MLNK9d772ca29969447bb894388d70fa9a5f" localSheetId="12" hidden="1">#REF!</definedName>
    <definedName name="MLNK9de5e20a27e5484e8caf6c4a9f1e8125" localSheetId="12" hidden="1">'[54]Cap Table'!#REF!</definedName>
    <definedName name="MLNK9df90ae49f6a429a93387ed77e0be2b2" localSheetId="12" hidden="1">#REF!</definedName>
    <definedName name="MLNK9e49aa41542f4b3c85f3ee6589fc1063" localSheetId="12" hidden="1">#REF!</definedName>
    <definedName name="MLNK9e7f8dc99eff4dbd87d347cb01f0c5da" localSheetId="12" hidden="1">#REF!</definedName>
    <definedName name="MLNK9ec928e25a7346ee9e4798135a8b5762" localSheetId="12" hidden="1">#REF!</definedName>
    <definedName name="MLNK9f020ac1a5274c5d9ef891b85fdf676a" localSheetId="12" hidden="1">#REF!</definedName>
    <definedName name="MLNK9f2762af21cb4bddb176751640ceebfe" localSheetId="12" hidden="1">#REF!</definedName>
    <definedName name="MLNK9f2cc9d5eedf40d9be4150e48c60c1dd" localSheetId="12" hidden="1">#REF!</definedName>
    <definedName name="MLNK9f5e9f25b1b94a1c81bdc28b15d167c0" localSheetId="12" hidden="1">#REF!</definedName>
    <definedName name="MLNK9f725d2247114d82b0a748016fb73ccf" localSheetId="12" hidden="1">#REF!</definedName>
    <definedName name="MLNK9f9c1ebd4e6a4e589df75a77d68c31d2" localSheetId="12" hidden="1">#REF!</definedName>
    <definedName name="MLNK9fa7fdd6b58347fc9b2a237257153f2f" localSheetId="12" hidden="1">#REF!</definedName>
    <definedName name="MLNK9fb16ef3f8724c15939d445b614c75a4" localSheetId="12" hidden="1">#REF!</definedName>
    <definedName name="MLNK9fb8406726c54571934f80236f646acb" localSheetId="12" hidden="1">#REF!</definedName>
    <definedName name="MLNKa117dc0d16c24ef4bc030284d2153e7a" localSheetId="12" hidden="1">#REF!</definedName>
    <definedName name="MLNKa1b5fc7caf74424b8bbf75e731066ab0" localSheetId="12" hidden="1">#REF!</definedName>
    <definedName name="MLNKa25cae9dc8c74628915f296fa982e1fb" localSheetId="12" hidden="1">#REF!</definedName>
    <definedName name="MLNKa25dac6dae19404dabf4485a3b9d91d0" localSheetId="12" hidden="1">#REF!</definedName>
    <definedName name="MLNKa33f5b922c52401198b5e559799f8eef" localSheetId="12" hidden="1">#REF!</definedName>
    <definedName name="MLNKa3757b762c2e45c2b706f345388b4016" localSheetId="12" hidden="1">      '[49]Output (v2)'!$1:$1048576</definedName>
    <definedName name="MLNKa45576fee98240168d709e07360f099b" localSheetId="12" hidden="1">#REF!</definedName>
    <definedName name="MLNKa4bfc61416724e8488baa1e1bf692f7c" localSheetId="12" hidden="1">#REF!</definedName>
    <definedName name="MLNKa4e5105d657d4972a79e03058f83813b" localSheetId="12" hidden="1">#REF!</definedName>
    <definedName name="MLNKa53b01afe9d84156971b84c816278a45" localSheetId="12" hidden="1">#REF!</definedName>
    <definedName name="MLNKa5ec9fd3c1204d3ab4000afcd26c7311" localSheetId="12" hidden="1">#REF!</definedName>
    <definedName name="MLNKa673c0a3d6bb45a7a16c3391a9561fb9" localSheetId="12" hidden="1">#REF!</definedName>
    <definedName name="MLNKa6dd1b101c6a4ddb975ed96014483413" localSheetId="12" hidden="1">#REF!</definedName>
    <definedName name="MLNKa6fb886c6532415487930914f9a76842" localSheetId="12" hidden="1">#REF!</definedName>
    <definedName name="MLNKa7219183ccd0431194753052ff289c50" localSheetId="12" hidden="1">#REF!</definedName>
    <definedName name="MLNKa77db0f4971f4e9fadc9a15aca25114d" localSheetId="12" hidden="1">#REF!</definedName>
    <definedName name="MLNKa7817aa319db4731a9e2c933aca0719c" localSheetId="12" hidden="1">#REF!</definedName>
    <definedName name="MLNKa79f5b516b0c4aeda36380d76754f2e0" localSheetId="12" hidden="1">#REF!</definedName>
    <definedName name="MLNKa7a3d6f9d11a4a809ee5ff79e0c8ad5c" localSheetId="12" hidden="1">#REF!</definedName>
    <definedName name="MLNKa7b98c7307644bba8c90bc9645775b57" localSheetId="12" hidden="1">#REF!</definedName>
    <definedName name="MLNKa7cbd9564e6a4d41a87053734022f2d1" localSheetId="12" hidden="1">#REF!</definedName>
    <definedName name="MLNKa809189b6c7e4fa2b3ae96d51831f9ea" localSheetId="12" hidden="1">#REF!</definedName>
    <definedName name="MLNKa82355c2dc8a40d18ae14c0e7773cd80" localSheetId="12" hidden="1">#REF!</definedName>
    <definedName name="MLNKa82dec760367413abef062bc8720b820" localSheetId="12" hidden="1">#REF!</definedName>
    <definedName name="MLNKa880b52119f24168b7a1e28ca812d64f" localSheetId="12" hidden="1">#REF!</definedName>
    <definedName name="MLNKa89b4ee9c2de4f7eaf93310b35832ee5" localSheetId="12" hidden="1">#REF!</definedName>
    <definedName name="MLNKa8c37bf10f834510876329f05782f34d" localSheetId="12" hidden="1">#REF!</definedName>
    <definedName name="MLNKa8f3d4c184744dae8769be0444935a46" localSheetId="12" hidden="1">  '[45]Hisorical &amp; Projected IS'!$B$48:$G$64</definedName>
    <definedName name="MLNKa95e6c6ba069403f8a62b2744d732b98" localSheetId="12" hidden="1">#REF!</definedName>
    <definedName name="MLNKa97d26cd09d849ab9bdeca389fa24805" localSheetId="12" hidden="1">#REF!</definedName>
    <definedName name="MLNKa99d23553c9945fdac7282c4bcddb259" localSheetId="12" hidden="1">    '[45]Hisorical &amp; Projected IS'!$B$2:$G$32</definedName>
    <definedName name="MLNKaa67f20dd8a94b71ac72a5a448c66d86" localSheetId="12" hidden="1">#REF!</definedName>
    <definedName name="MLNKaa74c66e7c434db5af69edf87207fc75" localSheetId="12" hidden="1">        '[49]Output (v3)'!$1:$1048576</definedName>
    <definedName name="MLNKab02c2991b6b431a8d270be0189e9571" localSheetId="12" hidden="1">#REF!</definedName>
    <definedName name="MLNKabd116d5eb4e4f30891777cbe2c1269d" localSheetId="12" hidden="1">        '[49]Output (v3)'!$1:$1048576</definedName>
    <definedName name="MLNKac086cabe5fa4e69ba8eb0262dea9354" localSheetId="12" hidden="1">    '[45]Monthly Backlog Analysis'!$1:$1048576</definedName>
    <definedName name="MLNKac1a14571d9b4a148bd3859b6b0e020b" localSheetId="12" hidden="1">#REF!</definedName>
    <definedName name="MLNKac42ad8b02784fb2b0c9f96bd99bb08a" localSheetId="12" hidden="1">#REF!</definedName>
    <definedName name="MLNKac716c0503d44271adc268c475933c7b" localSheetId="12" hidden="1">#REF!</definedName>
    <definedName name="MLNKad14749d5f984baa9b7886bdde649cf3" localSheetId="12" hidden="1">  '[45]Hisorical &amp; Projected IS'!$1:$1048576</definedName>
    <definedName name="MLNKae2bd731278143659ca73b7e3c820374" localSheetId="12" hidden="1">#REF!</definedName>
    <definedName name="MLNKaea5c256d3804e37a62ac031b17c2a94" localSheetId="12" hidden="1">#REF!</definedName>
    <definedName name="MLNKaf0cbd3c6eb94c84b3215a78955725ce" localSheetId="12" hidden="1">#REF!</definedName>
    <definedName name="MLNKaf0dac759b4745cb803ecfc7dac9891a" localSheetId="12" hidden="1">#REF!</definedName>
    <definedName name="MLNKaf147c40d8394d2ab23b5751d90c86c5" localSheetId="12" hidden="1">#REF!</definedName>
    <definedName name="MLNKaf4053b80ea64fcf8f78ae61be88485c" localSheetId="12" hidden="1">#REF!</definedName>
    <definedName name="MLNKafefbe6104aa47c6b2421ad86fe83664" localSheetId="12" hidden="1">#REF!</definedName>
    <definedName name="MLNKb016ba4ea42f4ab9a46441c8afd6fd0b" localSheetId="12" hidden="1">#REF!</definedName>
    <definedName name="MLNKb026e7e791854d31b7bb7758362b4c54" localSheetId="12" hidden="1">#REF!</definedName>
    <definedName name="MLNKb02de38dd13d495d8a2f90addc300534" localSheetId="12" hidden="1">#REF!</definedName>
    <definedName name="MLNKb0a22b8da9e349b0a219bcb103ca5e26" localSheetId="12" hidden="1">#REF!</definedName>
    <definedName name="MLNKb0b7baf2c9da4ebb925fcd533e96f887" localSheetId="12" hidden="1">   '[45]Annual Backlog Analysis'!$C$11:$I$35</definedName>
    <definedName name="MLNKb1f4aa7639a64f0bb4faf48bcfffa77e" localSheetId="12" hidden="1">#REF!</definedName>
    <definedName name="MLNKb1f744c776484ca18efc7c1044adf418" localSheetId="12" hidden="1">#REF!</definedName>
    <definedName name="MLNKb261eaaffa0c4dce86de3c724754f93e" localSheetId="12" hidden="1">#REF!</definedName>
    <definedName name="MLNKb277a11827bb4cd4ba5526b2f9840a44" localSheetId="12" hidden="1">#REF!</definedName>
    <definedName name="MLNKb2901e1f50a84f918b6ead78ee99678a" localSheetId="12" hidden="1">#REF!</definedName>
    <definedName name="MLNKb2b99e6a58ac4865b2554ef3d1971577" localSheetId="12" hidden="1">#REF!</definedName>
    <definedName name="MLNKb2c15ca540cc43de87cb92d3c45b905e" localSheetId="12" hidden="1">#REF!</definedName>
    <definedName name="MLNKb30365b9692843388d1fd11a48afb7de" localSheetId="12" hidden="1">#REF!</definedName>
    <definedName name="MLNKb34eced05fc4474da889379a0eeab0c8" localSheetId="12" hidden="1">#REF!</definedName>
    <definedName name="MLNKb359d3fb47314fe2954621c0d9a0460e" localSheetId="12" hidden="1">#REF!</definedName>
    <definedName name="MLNKb394646e412b46e4bd36ca82f51a7ef4" localSheetId="12" hidden="1">#REF!</definedName>
    <definedName name="MLNKb4bc7e3573744fbd9426e78684dcc3ab" localSheetId="12" hidden="1">#REF!</definedName>
    <definedName name="MLNKb4dd3fcc101940d492434368874f4bb3" localSheetId="12" hidden="1">#REF!</definedName>
    <definedName name="MLNKb5282d98527f4904ba52287e9cb5399b" localSheetId="12" hidden="1">#REF!</definedName>
    <definedName name="MLNKb56d95f79c694ba18d515de86ff406ad" localSheetId="12" hidden="1">#REF!</definedName>
    <definedName name="MLNKb5c891d151b145b786e0f50677531611" localSheetId="12" hidden="1">#REF!</definedName>
    <definedName name="MLNKb60c585591ff435499adcbcedc787ee9" localSheetId="12" hidden="1">#REF!</definedName>
    <definedName name="MLNKb62f70a233c04d8ab7ba5cbf108488fc" localSheetId="12" hidden="1">#REF!</definedName>
    <definedName name="MLNKb70e0287e1c84373ae29e8b329df47f8" localSheetId="12" hidden="1">#REF!</definedName>
    <definedName name="MLNKb721f99c3bd5494da0bbba9b39253294" localSheetId="12" hidden="1">#REF!</definedName>
    <definedName name="MLNKb7d31e1e2081409396b6285609a8a1c5" localSheetId="12" hidden="1">  '[45]Hisorical &amp; Projected IS'!$1:$1048576</definedName>
    <definedName name="MLNKb80123ad714847a49302cb5808ce1193" localSheetId="12" hidden="1">#REF!</definedName>
    <definedName name="MLNKb858ba554cba45c2b1e6497959577cb6" localSheetId="12" hidden="1">#REF!</definedName>
    <definedName name="MLNKb8793bbdc4cd4502a30b4e9de8fa112e" localSheetId="12" hidden="1">#REF!</definedName>
    <definedName name="MLNKb962f77597134701a87ab3689de2ade2" localSheetId="12" hidden="1">  '[45]Hisorical &amp; Projected IS'!$B$2:$G$32</definedName>
    <definedName name="MLNKb96c898e66e64db6be18f3516577e540" localSheetId="12" hidden="1">#REF!</definedName>
    <definedName name="MLNKb9d8b3738506449f8b18eddc44e701a7" localSheetId="12" hidden="1">  '[45]Hisorical &amp; Projected IS'!$1:$1048576</definedName>
    <definedName name="MLNKb9dc16a2f02e4193b0c9daf0b4dc531d" localSheetId="12" hidden="1">#REF!</definedName>
    <definedName name="MLNKbb02b748687641bc809fdb4b8b3361a4" localSheetId="12" hidden="1">#REF!</definedName>
    <definedName name="MLNKbb0818788be947d5849c08d5af71dccc" localSheetId="12" hidden="1">#REF!</definedName>
    <definedName name="MLNKbb5357eb56b4420ea6d73a7234b157c0" localSheetId="12" hidden="1">#REF!</definedName>
    <definedName name="MLNKbb6fbd47bf084dbc9553f91d139a05a9" localSheetId="12" hidden="1">#REF!</definedName>
    <definedName name="MLNKbb86d3d2a0f24dd2bbc238b0e1bc07d0" localSheetId="12" hidden="1">#REF!</definedName>
    <definedName name="MLNKbb88464955b04e74890527baf9dc3dca" localSheetId="12" hidden="1">#REF!</definedName>
    <definedName name="MLNKbc061df9fe0246f589d6e8f30e7ba972" localSheetId="12" hidden="1">    '[45]Hisorical &amp; Projected IS'!$1:$1048576</definedName>
    <definedName name="MLNKbc1fe6c37f4d4ab5bd8ff0e9ab1e3940" localSheetId="12" hidden="1">#REF!</definedName>
    <definedName name="MLNKbc46897c4edd49a3b339f17c312cec25" localSheetId="12" hidden="1">#REF!</definedName>
    <definedName name="MLNKbc9384b6216847feb02bc9296c7eedb4" localSheetId="12" hidden="1">#REF!</definedName>
    <definedName name="MLNKbd76be2c1b68486a83af5de8bdbcfe39" localSheetId="12" hidden="1">#REF!</definedName>
    <definedName name="MLNKbddc92dbcd424513a26fec3a36608c07" localSheetId="12" hidden="1">#REF!</definedName>
    <definedName name="MLNKbe8a9067fdd943ef81522cfc5fa7313f" localSheetId="12" hidden="1">#REF!</definedName>
    <definedName name="MLNKbe8c0371e2f4475bbef96d2aed55eff3" localSheetId="12" hidden="1">#REF!</definedName>
    <definedName name="MLNKbeb2a85a7d5e4ac58ab6701f6b711fbb" localSheetId="12" hidden="1">#REF!</definedName>
    <definedName name="MLNKbefbd14f401445f6b6822f51bdc13266" localSheetId="12" hidden="1">#REF!</definedName>
    <definedName name="MLNKbf8530991c7842458de3c4951292490e" localSheetId="12" hidden="1">#REF!</definedName>
    <definedName name="MLNKbf9802cd3cc24b93b0e5cdc8298b13dd" localSheetId="12" hidden="1">#REF!</definedName>
    <definedName name="MLNKbfc259e67d194e33929daf85cda46659" localSheetId="12" hidden="1">#REF!</definedName>
    <definedName name="MLNKbfe3b2005f2742068b1031a3e3f8a2c6" localSheetId="12" hidden="1">'[51]Summary IS'!#REF!</definedName>
    <definedName name="MLNKc028b05ec1474697ae0f46d24ddade90" localSheetId="12" hidden="1">#REF!</definedName>
    <definedName name="MLNKc068bc95c85b4cad94c1afcc3efc523e" localSheetId="12" hidden="1">#REF!</definedName>
    <definedName name="MLNKc06d473cc53e493ba7441c705e9ad9c0" localSheetId="12" hidden="1">#REF!</definedName>
    <definedName name="MLNKc0c4d37d92a04564baea50424d14fdf5" localSheetId="12" hidden="1">    '[45]Monthly Backlog Analysis'!$1:$1048576</definedName>
    <definedName name="MLNKc15800ad3ce64a799cbdf8cb51764dd3" localSheetId="12" hidden="1">#REF!</definedName>
    <definedName name="MLNKc15a042a1cbc44198e3f9d1f75834286" localSheetId="12" hidden="1">#REF!</definedName>
    <definedName name="MLNKc162c015d35146d1b78e079093f33a77" localSheetId="12" hidden="1">#REF!</definedName>
    <definedName name="MLNKc1dc26d0f03a46858e757bd1d4377f75" localSheetId="12" hidden="1">#REF!</definedName>
    <definedName name="MLNKc2253feafb7f4fffbad2c16fe7a3916b" localSheetId="12" hidden="1">   '[45]Monthly Backlog Analysis'!$1:$1048576</definedName>
    <definedName name="MLNKc26338d459b741348648c7ac47c31ac0" localSheetId="12" hidden="1">#REF!</definedName>
    <definedName name="MLNKc2efd8ffcaa34e59b60518bbb305fc63" localSheetId="12" hidden="1">#REF!</definedName>
    <definedName name="MLNKc3c336515a70492995ab6aca70041fcd" localSheetId="12" hidden="1">#REF!</definedName>
    <definedName name="MLNKc41080187ee240b3a67ecf6f0308555a" localSheetId="12" hidden="1">#REF!</definedName>
    <definedName name="MLNKc46028cf5e4d492d9dea2018869aaaed" localSheetId="12" hidden="1">#REF!</definedName>
    <definedName name="MLNKc4793f350dca4664921b6dcbcbf53581" localSheetId="12" hidden="1">    '[45]Hisorical &amp; Projected IS'!$1:$1048576</definedName>
    <definedName name="MLNKc50218c9156a467781e411dbd3d48136" localSheetId="12" hidden="1">#REF!</definedName>
    <definedName name="MLNKc5130a94ec1244b7a7361d362b309207" localSheetId="12" hidden="1">#REF!</definedName>
    <definedName name="MLNKc52f5a42071748faace2c1e249d2015f" localSheetId="12" hidden="1">#REF!</definedName>
    <definedName name="MLNKc5917d86d84245a19e71228e902d9570" localSheetId="12" hidden="1">#REF!</definedName>
    <definedName name="MLNKc59c2c879bb947b281e7464f5d9cc03a" localSheetId="12" hidden="1">#REF!</definedName>
    <definedName name="MLNKc5a2959bebff4f91b09362097725d98e" localSheetId="12" hidden="1">'[51]Summary IS'!#REF!</definedName>
    <definedName name="MLNKc5e456f02ef14641ab6d200a8799727b" localSheetId="12" hidden="1">#REF!</definedName>
    <definedName name="MLNKc63f950ad18249aa861fef09073db1d6" localSheetId="12" hidden="1">    '[45]Quarterly Backlog Analysis'!$C$12:$I$34</definedName>
    <definedName name="MLNKc659f995effe4b579c38ff91fa57e987" localSheetId="12" hidden="1">#REF!</definedName>
    <definedName name="MLNKc6aefbd14cfb45458e4c047f71737189" localSheetId="12" hidden="1">#REF!</definedName>
    <definedName name="MLNKc704294fb3b1488bb0ba0585a590b398" localSheetId="12" hidden="1">#REF!</definedName>
    <definedName name="MLNKc74e60fbf854453db17e8684ea5bce66" localSheetId="12" hidden="1">#REF!</definedName>
    <definedName name="MLNKc78948282baa424d84a9383779c84fd8" localSheetId="12" hidden="1">#REF!</definedName>
    <definedName name="MLNKc7bd4a1a060f4aaa8c20cc94cfe1d136" localSheetId="12" hidden="1">#REF!</definedName>
    <definedName name="MLNKc7f38e5cfeaf42f9988e20e95383f2db" localSheetId="12" hidden="1">#REF!</definedName>
    <definedName name="MLNKc84748cc10dd4256933f02e2c927b5a9" localSheetId="12" hidden="1">#REF!</definedName>
    <definedName name="MLNKc8b6fbc053ad4a09b0fc6be79636d8a0" localSheetId="12" hidden="1">#REF!</definedName>
    <definedName name="MLNKc8b73752472f48b2bccfdaba1c6b6f7b" localSheetId="12" hidden="1">#REF!</definedName>
    <definedName name="MLNKc8c13711c8f146a2bed6a2a829026a3a" localSheetId="12" hidden="1">'[53]Cash Flow Statement'!#REF!</definedName>
    <definedName name="MLNKc96440fe196b463188ebf018d89175e5" localSheetId="12" hidden="1">#REF!</definedName>
    <definedName name="MLNKc9c57b72996149a49a1298c36e44b823" localSheetId="12" hidden="1">#REF!</definedName>
    <definedName name="MLNKca1a1b8dbfbd452ba55a0e395ea793b3" localSheetId="12" hidden="1">#REF!</definedName>
    <definedName name="MLNKca6ff9cfcc2342938b8d0d06d521994a" localSheetId="12" hidden="1">#REF!</definedName>
    <definedName name="MLNKcbc35652dd604c5399c23d2cf3fc6c75" localSheetId="12" hidden="1">#REF!</definedName>
    <definedName name="MLNKcbd71f619082476689d69b3dbeedeac6" localSheetId="12" hidden="1">#REF!</definedName>
    <definedName name="MLNKcc96c218311c4662b164636e42f56ff7" localSheetId="12" hidden="1">#REF!</definedName>
    <definedName name="MLNKcd99621c65174ed2ada3f53847230fd8" localSheetId="12" hidden="1">#REF!</definedName>
    <definedName name="MLNKce77c2f032d04ee79c255f6e39b36c47" localSheetId="12" hidden="1">#REF!</definedName>
    <definedName name="MLNKcec893d18ba74351a83a8b40b0d5efd9" localSheetId="12" hidden="1">#REF!</definedName>
    <definedName name="MLNKcfda49d4838e4081a1e44ac95a0dc186" localSheetId="12" hidden="1">#REF!</definedName>
    <definedName name="MLNKd0545dd1a5434d3f9970307092995492" localSheetId="12" hidden="1">#REF!</definedName>
    <definedName name="MLNKd0acfc2eb6a54c42914a931ced4f1d48" localSheetId="12" hidden="1">#REF!</definedName>
    <definedName name="MLNKd0fe1099bbf4459088b43f18d16a11f1" localSheetId="12" hidden="1">   '[45]Annual Backlog Analysis'!$C$11:$I$35</definedName>
    <definedName name="MLNKd1a73aa7a5624f9e8a8c5ab9b419c185" localSheetId="12" hidden="1">'[53]Cash Flow Statement'!#REF!</definedName>
    <definedName name="MLNKd1b79e4e7aef43368318ed1e172c8dbd" localSheetId="12" hidden="1">#REF!</definedName>
    <definedName name="MLNKd1bfe69c1e284d6fba0c9353cc855643" localSheetId="12" hidden="1">#REF!</definedName>
    <definedName name="MLNKd1c69d0883884061b336aab57325eb3d" localSheetId="12" hidden="1">#REF!</definedName>
    <definedName name="MLNKd1e91ca61c1d4db08628df8a82893192" localSheetId="12" hidden="1">     '[52]PSS - Adjustments'!$B$4:$B$37</definedName>
    <definedName name="MLNKd1eb0891b31448f6a2a42787308f57d0" localSheetId="12" hidden="1">#REF!</definedName>
    <definedName name="MLNKd25edf542942433c8b7b8a7ffaa24bec" localSheetId="12" hidden="1">#REF!</definedName>
    <definedName name="MLNKd30907edbba3423cb347492441fee011" localSheetId="12" hidden="1">#REF!</definedName>
    <definedName name="MLNKd36364ccf3554d17be4e90cf90af8fff" localSheetId="12" hidden="1">#REF!</definedName>
    <definedName name="MLNKd39ac37ab737442ca2d9b1b6321f0bc6" localSheetId="12" hidden="1">#REF!</definedName>
    <definedName name="MLNKd4318cd5f5444700b610edf92c08ff61" localSheetId="12" hidden="1">#REF!</definedName>
    <definedName name="MLNKd4caca0d68e14854ba184d3cb6571648" localSheetId="12" hidden="1">#REF!</definedName>
    <definedName name="MLNKd4ece25b0836456690f432756db42070" localSheetId="12" hidden="1">#REF!</definedName>
    <definedName name="MLNKd4ee53c7dd364f0285ddf36588313749" localSheetId="12" hidden="1">#REF!</definedName>
    <definedName name="MLNKd5331428b6a8460799e1af1965ef25b1" localSheetId="12" hidden="1">#REF!</definedName>
    <definedName name="MLNKd6b82239b64548989b79a51dc8935db6" localSheetId="12" hidden="1">#REF!</definedName>
    <definedName name="MLNKd73ad899cda541a8982e3f2d5aa1956e" localSheetId="12" hidden="1">#REF!</definedName>
    <definedName name="MLNKd8d24d9706354d54a8737ff792d1c649" localSheetId="12" hidden="1">  '[45]Hisorical &amp; Projected IS'!$1:$1048576</definedName>
    <definedName name="MLNKd8e056c4de3e4a3b863d5b0fe931d713" localSheetId="12" hidden="1">#REF!</definedName>
    <definedName name="MLNKd8f4c3b0fd084f6ba73e89ad0a9afd0a" localSheetId="12" hidden="1">#REF!</definedName>
    <definedName name="MLNKd98a6631865c40838e2bd40a4ed891f0" localSheetId="12" hidden="1">#REF!</definedName>
    <definedName name="MLNKda1152c4cc0c422f84e177462720e4e9" localSheetId="12" hidden="1">#REF!</definedName>
    <definedName name="MLNKdad976f7fd5f4e2b8d5894157ebede88" localSheetId="12" hidden="1">#REF!</definedName>
    <definedName name="MLNKdaf6c5baad5440ac9bc69ff1570d9d9a" localSheetId="12" hidden="1">#REF!</definedName>
    <definedName name="MLNKdb820b3d009f40ce8e422db2741d580f" localSheetId="12" hidden="1"> '[52]PSS - Adjustments'!$B$4:$B$37</definedName>
    <definedName name="MLNKdb864bfe86424f5e87f6b1bb724e6820" localSheetId="12" hidden="1">#REF!</definedName>
    <definedName name="MLNKdbcdd2701ff140beb988f8d81263cfb6" localSheetId="12" hidden="1">#REF!</definedName>
    <definedName name="MLNKdbf5ffa69fb145d38b68f2930b8783c8" localSheetId="12" hidden="1">#REF!</definedName>
    <definedName name="MLNKdc10587df1364384b7698f37a398df57" localSheetId="12" hidden="1">#REF!</definedName>
    <definedName name="MLNKdc921760362b49f09e4e76d8b6a7b69d" localSheetId="12" hidden="1">#REF!</definedName>
    <definedName name="MLNKdcc1ef51c49e470a9212dd480f00d5c5" localSheetId="12" hidden="1">#REF!</definedName>
    <definedName name="MLNKdce35bbf22604ffa92e90dfce593145a" localSheetId="12" hidden="1">#REF!</definedName>
    <definedName name="MLNKdcfa7180c18943a0898fa020b54f44e5" localSheetId="12" hidden="1">#REF!</definedName>
    <definedName name="MLNKdd16275dc64b4808b13920b3578e8113" localSheetId="12" hidden="1">#REF!</definedName>
    <definedName name="MLNKdd36a7854d414eb6b4c775afa248a0ac" localSheetId="12" hidden="1">#REF!</definedName>
    <definedName name="MLNKdd80ddbbaa7c428dbef178217ed5c495" localSheetId="12" hidden="1">#REF!</definedName>
    <definedName name="MLNKde8006bacfc346d6b4df8727d916822c" localSheetId="12" hidden="1">#REF!</definedName>
    <definedName name="MLNKded61ea6701f47b787ab31230f494da4" localSheetId="12" hidden="1">  '[45]Monthly Backlog Analysis'!$1:$1048576</definedName>
    <definedName name="MLNKdeefa2bfaa414bce9e904db535a538f9" localSheetId="12" hidden="1">#REF!</definedName>
    <definedName name="MLNKdf07d88462fd4bfd9dc7f95442e82542" localSheetId="12" hidden="1">#REF!</definedName>
    <definedName name="MLNKdf2238e63cba47398e2681a8c2bfaa54" localSheetId="12" hidden="1">#REF!</definedName>
    <definedName name="MLNKdf654a64333a494fa6e088e037163da8" localSheetId="12" hidden="1">#REF!</definedName>
    <definedName name="MLNKdfa802fe092a4977907fea92b409c1e1" localSheetId="12" hidden="1">#REF!</definedName>
    <definedName name="MLNKdfb4ba7c52e647f4a074b2c2f375cbcc" localSheetId="12" hidden="1">   '[45]Monthly Backlog Analysis'!$C$10:$J$35</definedName>
    <definedName name="MLNKe04bf971879347c7982b1173e2d29a2a" localSheetId="12" hidden="1">#REF!</definedName>
    <definedName name="MLNKe090e26510014cdeb8e67a5d5a96ba13" localSheetId="12" hidden="1">#REF!</definedName>
    <definedName name="MLNKe09293ca8bf645f5ac49304a5e99835a" localSheetId="12" hidden="1">#REF!</definedName>
    <definedName name="MLNKe097181bd7e94b59b0bf560b50f4a59a" localSheetId="12" hidden="1">#REF!</definedName>
    <definedName name="MLNKe0c53436419d42a685619d07b8f478b9" localSheetId="12" hidden="1">#REF!</definedName>
    <definedName name="MLNKe0e0cfd6df4745e9ad359e10947fe8c7" localSheetId="12" hidden="1">#REF!</definedName>
    <definedName name="MLNKe1ac4738cbfe4e66ab2c077b0dc4db99" localSheetId="12" hidden="1">#REF!</definedName>
    <definedName name="MLNKe1dc33bbbf3240bdbcf7d611be0084b0" localSheetId="12" hidden="1">  '[45]Hisorical &amp; Projected IS'!$B$2:$M$32</definedName>
    <definedName name="MLNKe2a086a7b5c14ff5800311a557761726" localSheetId="12" hidden="1">#REF!</definedName>
    <definedName name="MLNKe2b28c59c20b4889b245155e6c10512a" localSheetId="12" hidden="1">  '[45]Hisorical &amp; Projected IS'!$B$2:$M$32</definedName>
    <definedName name="MLNKe2eb1cfb3a68470b9c8fea946d494a0a" localSheetId="12" hidden="1">#REF!</definedName>
    <definedName name="MLNKe301b7ee170d422480db09afd5555b9d" localSheetId="12" hidden="1">#REF!</definedName>
    <definedName name="MLNKe35ef9b20e8c4b09a97c3424b90a59ab" localSheetId="12" hidden="1">#REF!</definedName>
    <definedName name="MLNKe3741771fafe452fbc166f1b31abb306" localSheetId="12" hidden="1">#REF!</definedName>
    <definedName name="MLNKe3aafe139b4c4da5b49582c83a2ca89e" localSheetId="12" hidden="1">#REF!</definedName>
    <definedName name="MLNKe3e4123999434a0dbf6ee6dd2e2e74c2" localSheetId="12" hidden="1">#REF!</definedName>
    <definedName name="MLNKe419df6c3bac4cd5a289cd1919df434c" localSheetId="12" hidden="1">#REF!</definedName>
    <definedName name="MLNKe46d45e2188d48f4864afc164943f2a4" localSheetId="12" hidden="1">#REF!</definedName>
    <definedName name="MLNKe4afc91282184093a934ea945b892c20" localSheetId="12" hidden="1">#REF!</definedName>
    <definedName name="MLNKe58b4f9954594a68919adf5d39ec4f38" localSheetId="12" hidden="1">#REF!</definedName>
    <definedName name="MLNKe5f7520d114649c68b8a2a9313d7a076" localSheetId="12" hidden="1">#REF!</definedName>
    <definedName name="MLNKe6017dab58bc41efb29a306689344160" localSheetId="12" hidden="1">#REF!</definedName>
    <definedName name="MLNKe67783f9386045fab4a95e47d8eed990" localSheetId="12" hidden="1">#REF!</definedName>
    <definedName name="MLNKe695c665be334e03b8dbb3226f06b070" localSheetId="12" hidden="1">#REF!</definedName>
    <definedName name="MLNKe69c7e47ace84fdabba07cd9364eb119" localSheetId="12" hidden="1">#REF!</definedName>
    <definedName name="MLNKe6acb0e24b0d4721896077e31c09a598" localSheetId="12" hidden="1">#REF!</definedName>
    <definedName name="MLNKe714491b1f6a4ca1815ea51cdc0d9809" localSheetId="12" hidden="1">#REF!</definedName>
    <definedName name="MLNKe718831ad10d4537b33e4eb72d3f42c8" localSheetId="12" hidden="1">#REF!</definedName>
    <definedName name="MLNKe754afffd77a4d84aa91d88468789915" localSheetId="12" hidden="1">#REF!</definedName>
    <definedName name="MLNKe75b05fb183c4a99b36e3ee9052825c3" localSheetId="12" hidden="1">#REF!</definedName>
    <definedName name="MLNKe75bfc86c5c340b58c80decac0c459df" localSheetId="12" hidden="1">#REF!</definedName>
    <definedName name="MLNKe7b2e230834f442ab919ab2ecb1d014e" localSheetId="12" hidden="1">#REF!</definedName>
    <definedName name="MLNKe7d255d2ea4045708a682a35478c4a53" localSheetId="12" hidden="1">#REF!</definedName>
    <definedName name="MLNKe7f13861e6d2486aaed4a2efd709d77f" localSheetId="12" hidden="1">#REF!</definedName>
    <definedName name="MLNKe81326c08cbd4af5aca80814f87f4e2d" localSheetId="12" hidden="1">#REF!</definedName>
    <definedName name="MLNKe81814586d854858aad8987dc9d39618" localSheetId="12" hidden="1">    '[45]Monthly Backlog Analysis'!$1:$1048576</definedName>
    <definedName name="MLNKe8606b21ad0646a883f1e4e117985e38" localSheetId="12" hidden="1">#REF!</definedName>
    <definedName name="MLNKe87eba5671a54589ba2b3005504069f5" localSheetId="12" hidden="1">#REF!</definedName>
    <definedName name="MLNKe882e6930c9d4facbc5ea027ed00bd00" localSheetId="12" hidden="1">#REF!</definedName>
    <definedName name="MLNKe8bbf428f7b741fda970875cb350ca06" localSheetId="12" hidden="1">#REF!</definedName>
    <definedName name="MLNKe9691c94eb924535b492835020e075c4" localSheetId="12" hidden="1">#REF!</definedName>
    <definedName name="MLNKea15f6d358e7409d912b7bd4dea3a161" localSheetId="12" hidden="1">#REF!</definedName>
    <definedName name="MLNKea75e391dd194d1aa3ca8ad47d767efd" localSheetId="12" hidden="1">    '[45]Hisorical &amp; Projected IS'!$1:$1048576</definedName>
    <definedName name="MLNKeabbe4aeee6047609b732161a9b667c5" localSheetId="12" hidden="1">#REF!</definedName>
    <definedName name="MLNKeb80b5cd4cd44fbba7a7bfb840cd3cdd" localSheetId="12" hidden="1">   '[45]Annual Backlog Analysis'!$1:$1048576</definedName>
    <definedName name="MLNKeb94e17874554a428430ccc272790bb9" localSheetId="12" hidden="1">#REF!</definedName>
    <definedName name="MLNKebe9a349e0f9446c99a03332b6951f2f" localSheetId="12" hidden="1">#REF!</definedName>
    <definedName name="MLNKec2e06f2daf8473e9eb2730d329d99f6" localSheetId="12" hidden="1">#REF!</definedName>
    <definedName name="MLNKec9eca812169465a8fa174402115bbe5" localSheetId="12" hidden="1">#REF!</definedName>
    <definedName name="MLNKece6d007c0f24cbb975070e5fd99dd6a" localSheetId="12" hidden="1">#REF!</definedName>
    <definedName name="MLNKed63a1a3f60d4cb9a6eea667a88f3bae" localSheetId="12" hidden="1">#REF!</definedName>
    <definedName name="MLNKedad7bc6cf7c48458c71bbdca16f9636" localSheetId="12" hidden="1">#REF!</definedName>
    <definedName name="MLNKedf41ed864b04234a4ba254b23ff76a3" localSheetId="12" hidden="1">#REF!</definedName>
    <definedName name="MLNKee3a74249ae848caabbc83e007ef01b0" localSheetId="12" hidden="1">#REF!</definedName>
    <definedName name="MLNKee560b513f474eb28eac354d60ec6a21" localSheetId="12" hidden="1">        '[45]Monthly Backlog Analysis'!$1:$1048576</definedName>
    <definedName name="MLNKeecdb8d7190e4f8c808622a7226be5e5" localSheetId="12" hidden="1">#REF!</definedName>
    <definedName name="MLNKef1b927cfe704d81a46a8bc2f477a2fa" localSheetId="12" hidden="1">#REF!</definedName>
    <definedName name="MLNKef65e7171ed04845a0e5c901f7dbaa01" localSheetId="12" hidden="1">    '[45]Quarterly Backlog Analysis'!$1:$1048576</definedName>
    <definedName name="MLNKf026ec19a29e4e81a40d0f3d93f4b72a" localSheetId="12" hidden="1">#REF!</definedName>
    <definedName name="MLNKf05580bcd2874e4ea76da70598d259c5" localSheetId="12" hidden="1">  '[45]Hisorical &amp; Projected IS'!$1:$1048576</definedName>
    <definedName name="MLNKf092f36ff0f74b25a58d312b2ebc9377" localSheetId="12" hidden="1">#REF!</definedName>
    <definedName name="MLNKf0bcc9f4176d4a49ab0f9727901687cc" localSheetId="12" hidden="1">#REF!</definedName>
    <definedName name="MLNKf187bf23ebf6455abeeb8dcfe68f1a02" localSheetId="12" hidden="1">[55]Outputs!#REF!</definedName>
    <definedName name="MLNKf1ce7c1f71ca4b5dbd297a8314c35f0d" localSheetId="12" hidden="1">#REF!</definedName>
    <definedName name="MLNKf1d741c373f34620ba9db75e559d6492" localSheetId="12" hidden="1">#REF!</definedName>
    <definedName name="MLNKf1e1e702f443436db370aefe1af4b4af" localSheetId="12" hidden="1">#REF!</definedName>
    <definedName name="MLNKf1fc313dfb8c49c9ad656524cf038dd4" localSheetId="12" hidden="1">#REF!</definedName>
    <definedName name="MLNKf22d86e83dc74649878809d6d5084ff5" localSheetId="12" hidden="1">#REF!</definedName>
    <definedName name="MLNKf34374e0248843038ab5daf7c14052b3" localSheetId="12" hidden="1">#REF!</definedName>
    <definedName name="MLNKf344c94dee6743acb54f67936df14787" localSheetId="12" hidden="1">#REF!</definedName>
    <definedName name="MLNKf49077d8fce6408495d3e0d6d993dd80" localSheetId="12" hidden="1">  '[45]Hisorical &amp; Projected IS'!$B$2:$M$32</definedName>
    <definedName name="MLNKf4c706ec50fc4f89a88d8e3dd66e6443" localSheetId="12" hidden="1">#REF!</definedName>
    <definedName name="MLNKf589f5d4860d4c168e084a35ada47455" localSheetId="12" hidden="1">#REF!</definedName>
    <definedName name="MLNKf5d530e37ea3487f8215dece0e743f02" localSheetId="12" hidden="1">#REF!</definedName>
    <definedName name="MLNKf62372b10e7546899a27aba86588940f" localSheetId="12" hidden="1">#REF!</definedName>
    <definedName name="MLNKf655751cc8844c7f812a2493aeecffe0" localSheetId="12" hidden="1">#REF!</definedName>
    <definedName name="MLNKf65576a79529435e96ea56a9f989a6c1" localSheetId="12" hidden="1">#REF!</definedName>
    <definedName name="MLNKf66035223f4444779699efe602c3bb34" localSheetId="12" hidden="1">#REF!</definedName>
    <definedName name="MLNKf7e8acfd8b604c459d0a277eec871150" localSheetId="12" hidden="1">#REF!</definedName>
    <definedName name="MLNKf8373b71f8f04deb98bc961f11b3339a" localSheetId="12" hidden="1">#REF!</definedName>
    <definedName name="MLNKf83b8907730540f7ad62729b856f69cd" localSheetId="12" hidden="1">#REF!</definedName>
    <definedName name="MLNKf864eed95e984ae99caedb517dee0d9a" localSheetId="12" hidden="1">#REF!</definedName>
    <definedName name="MLNKf8965499dbe140ae94eaca5543729810" localSheetId="12" hidden="1">#REF!</definedName>
    <definedName name="MLNKf8e3a1f924af457f9b8e9eb2627b2e2d" localSheetId="12" hidden="1">#REF!</definedName>
    <definedName name="MLNKf8f37e5ba04b4a2b9dacd71d668832f0" localSheetId="12" hidden="1">#REF!</definedName>
    <definedName name="MLNKfa3e27c8c53342ceaacbb15388eb3dd1" localSheetId="12" hidden="1">#REF!</definedName>
    <definedName name="MLNKfaa67a026dd9454f9e7abfa18fd2ea98" localSheetId="12" hidden="1">#REF!</definedName>
    <definedName name="MLNKfb30cc3b31544b5faf150bb880655370" localSheetId="12" hidden="1">#REF!</definedName>
    <definedName name="MLNKfb5a28e2d52642d8ae374a24aa2f515b" localSheetId="12" hidden="1">#REF!</definedName>
    <definedName name="MLNKfbd34e9c5e9a46d68b7d7c6b4ac63d0c" localSheetId="12" hidden="1">#REF!</definedName>
    <definedName name="MLNKfc5606f237434fc18abf8ce6d3503626" localSheetId="12" hidden="1">    '[45]Quarterly Backlog Analysis'!$1:$1048576</definedName>
    <definedName name="MLNKfc65f694760547b99ecbf623bd883e7a" localSheetId="12" hidden="1">#REF!</definedName>
    <definedName name="MLNKfd0d9b768299437b92b717f7f627c62c" localSheetId="12" hidden="1">#REF!</definedName>
    <definedName name="MLNKfd5d209ad5e74b14990c5e6a54b9f9db" localSheetId="12" hidden="1">#REF!</definedName>
    <definedName name="MLNKfebe3ae174e74e728322fa727b235f1f" localSheetId="12" hidden="1">#REF!</definedName>
    <definedName name="MLNKff5ecd00ef6847669fb191968d8809a5" localSheetId="12" hidden="1">#REF!</definedName>
    <definedName name="MLNKffa830e55d954992a7bc24b31840c35a" localSheetId="12" hidden="1">#REF!</definedName>
    <definedName name="MLNKffb594f36bc542278515f6018b380411" localSheetId="12" hidden="1">#REF!</definedName>
    <definedName name="mlw" localSheetId="12" hidden="1">{#N/A,#N/A,FALSE,"Pharm";#N/A,#N/A,FALSE,"WWCM"}</definedName>
    <definedName name="mmmmm" localSheetId="12" hidden="1">{#N/A,#N/A,FALSE,"Calc";#N/A,#N/A,FALSE,"Sensitivity";#N/A,#N/A,FALSE,"LT Earn.Dil.";#N/A,#N/A,FALSE,"Dil. AVP"}</definedName>
    <definedName name="mnkj" localSheetId="12" hidden="1">{#N/A,#N/A,TRUE,"BUD VS ACT AUST 96";#N/A,#N/A,TRUE,"96 COMP P&amp;L-AUST";#N/A,#N/A,TRUE,"COMP BS-AUSTRALIA";#N/A,#N/A,TRUE,"B/S - AUSTR."}</definedName>
    <definedName name="model" localSheetId="12" hidden="1">{#N/A,#N/A,FALSE,"Rev Grwth";#N/A,#N/A,FALSE,"Op Inc Grwth";#N/A,#N/A,FALSE,"Net Grwth";#N/A,#N/A,FALSE,"EPS Growth"}</definedName>
    <definedName name="model2" localSheetId="12" hidden="1">{#N/A,#N/A,FALSE,"Rev Grwth";#N/A,#N/A,FALSE,"Op Inc Grwth";#N/A,#N/A,FALSE,"Net Grwth";#N/A,#N/A,FALSE,"EPS Growth"}</definedName>
    <definedName name="Month" localSheetId="12">#REF!</definedName>
    <definedName name="Monthly_Payment" localSheetId="12">-PMT(Interest_Rate/12,'EBITDA Adjustments 2026'!Number_of_Payments,Loan_Amount)</definedName>
    <definedName name="months_per_period" localSheetId="12">INDEX({12,6,3,2,1,0.5,0.5,0.25},MATCH(#REF!,'EBITDA Adjustments 2026'!frequency,0))</definedName>
    <definedName name="MPO" localSheetId="12" hidden="1">{#N/A,#N/A,TRUE,"BS_A";#N/A,#N/A,TRUE,"BS_L";#N/A,#N/A,TRUE,"PL";#N/A,#N/A,TRUE,"NET";#N/A,#N/A,TRUE,"MAR_2";#N/A,#N/A,TRUE,"MAR";#N/A,#N/A,TRUE,"NII";#N/A,#N/A,TRUE,"NIE";#N/A,#N/A,TRUE,"FS_BS";#N/A,#N/A,TRUE,"FS_PL";#N/A,#N/A,TRUE,"HEA"}</definedName>
    <definedName name="mw" localSheetId="12" hidden="1">{#N/A,#N/A,FALSE,"Pharm";#N/A,#N/A,FALSE,"WWCM"}</definedName>
    <definedName name="Name" localSheetId="12">#REF!</definedName>
    <definedName name="nameconf1" localSheetId="12" hidden="1">{#N/A,#N/A,TRUE,"Sch-1a";#N/A,#N/A,TRUE,"Sch-1b";#N/A,#N/A,TRUE,"Sch-1c";#N/A,#N/A,TRUE,"Sch-1d";#N/A,#N/A,TRUE,"Sch-2a";#N/A,#N/A,TRUE,"Sch-2b";#N/A,#N/A,TRUE,"Sch-2c";#N/A,#N/A,TRUE,"Sch-3a";#N/A,#N/A,TRUE,"Sch-3b";#N/A,#N/A,TRUE,"Sch-3c";#N/A,#N/A,TRUE,"Sch-3d";#N/A,#N/A,TRUE,"Sch-3e"}</definedName>
    <definedName name="naveeds" localSheetId="12" hidden="1">{"CSheet",#N/A,FALSE,"C";"SmCap",#N/A,FALSE,"VAL1";"GulfCoast",#N/A,FALSE,"VAL1";"nav",#N/A,FALSE,"NAV";"Summary",#N/A,FALSE,"NAV"}</definedName>
    <definedName name="ncas" localSheetId="12" hidden="1">{"FCB_ALL",#N/A,FALSE,"FCB";"GREY_ALL",#N/A,FALSE,"GREY"}</definedName>
    <definedName name="NCBN" localSheetId="12" hidden="1">{#N/A,#N/A,FALSE,"BS";#N/A,#N/A,FALSE,"PL_10Q";#N/A,#N/A,FALSE,"SOE";#N/A,#N/A,FALSE,"SCF";#N/A,#N/A,FALSE,"Sel Fn Data QTD 10Q";#N/A,#N/A,FALSE,"Table 1 YTD 10Q";#N/A,#N/A,FALSE,"Table 1 QTD 10Q";#N/A,#N/A,FALSE,"Tables 2 to 3 PL";#N/A,#N/A,FALSE,"Tables 4 and 5ALLL";#N/A,#N/A,FALSE,"Tables 6 to 8 ALLL ";#N/A,#N/A,FALSE,"Table 9 to 12 - Balance Sheet"}</definedName>
    <definedName name="nck"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w" localSheetId="12" hidden="1">{"SourcesUses",#N/A,TRUE,"CFMODEL";"TransOverview",#N/A,TRUE,"CFMODEL"}</definedName>
    <definedName name="Newco_Tax" localSheetId="12">'[33]Operation Control'!$J$6</definedName>
    <definedName name="newdata" localSheetId="12" hidden="1">{"PAGE 1",#N/A,FALSE,"WEST_OT"}</definedName>
    <definedName name="newdata2" localSheetId="12" hidden="1">{"PAGE 1",#N/A,FALSE,"WEST_OT"}</definedName>
    <definedName name="NewLoan2014" localSheetId="12">('[38]Merger Loan'!$D$4*'[38]Merger Loan'!$D$5*'[38]Merger Loan'!$D$6*'[38]Merger Loan'!$D$8)&gt;0</definedName>
    <definedName name="NewMaster" localSheetId="12">'[56]Balance Sheet'!$E$5:$BN$504</definedName>
    <definedName name="newnewnew" localSheetId="12" hidden="1">{#N/A,#N/A,FALSE,"Pharm";#N/A,#N/A,FALSE,"WWCM"}</definedName>
    <definedName name="NewRange" localSheetId="12" hidden="1">[29]!NewRange</definedName>
    <definedName name="Newsprint.summary" localSheetId="12" hidden="1">{#N/A,#N/A,FALSE,"Furnish";#N/A,#N/A,FALSE,"Labor Productivity";#N/A,#N/A,FALSE,"Producer";#N/A,#N/A,FALSE,"PM Productivity";#N/A,#N/A,FALSE,"Regions &amp; Delivered";#N/A,#N/A,FALSE,"Product &amp; Delivered";#N/A,#N/A,FALSE,"Delivered Cost";#N/A,#N/A,FALSE,"Cash Cost"}</definedName>
    <definedName name="NICHOLE" localSheetId="12" hidden="1">{#N/A,#N/A,FALSE,"Total";#N/A,#N/A,FALSE,"Sew";#N/A,#N/A,FALSE,"Finish";#N/A,#N/A,FALSE,"CUT";#N/A,#N/A,FALSE,"Mill 5";#N/A,#N/A,FALSE,"Mill 6";#N/A,#N/A,FALSE,"Mill 8";#N/A,#N/A,FALSE,"Mill 9";#N/A,#N/A,FALSE,"Mill 10";#N/A,#N/A,FALSE,"Mill 12";#N/A,#N/A,FALSE,"Mill 15";#N/A,#N/A,FALSE,"Mill 17"}</definedName>
    <definedName name="NMCVM" localSheetId="12" hidden="1">{#N/A,#N/A,FALSE,"TABLE_1 YTD- VALUES LAST YR(2)"}</definedName>
    <definedName name="nmnmm" localSheetId="12" hidden="1">{#N/A,#N/A,FALSE,"Index";"Stmts_Qtrs",#N/A,FALSE,"Summary";"Stmts_24 mo",#N/A,FALSE,"Summary";"Summary_24",#N/A,FALSE,"Revenue";"Month_24",#N/A,FALSE,"Engineering";"Month_24",#N/A,FALSE,"Marketing";"Month_24",#N/A,FALSE,"G &amp; A";"Month_24",#N/A,FALSE,"Manufacturing"}</definedName>
    <definedName name="nn" localSheetId="12" hidden="1">{#N/A,#N/A,FALSE,"Sheet1";#N/A,#N/A,FALSE,"Sheet2";#N/A,#N/A,FALSE,"Sheet3";#N/A,#N/A,FALSE,"Sheet4";#N/A,#N/A,FALSE,"Sheet5";#N/A,#N/A,FALSE,"Sheet6"}</definedName>
    <definedName name="nnn" localSheetId="12" hidden="1">{#N/A,#N/A,FALSE,"Assessment";#N/A,#N/A,FALSE,"Staffing";#N/A,#N/A,FALSE,"Hires";#N/A,#N/A,FALSE,"Assumptions"}</definedName>
    <definedName name="nnnn" localSheetId="12" hidden="1">{#N/A,#N/A,FALSE,"Job Sched"}</definedName>
    <definedName name="no" localSheetId="12" hidden="1">{"'Sheet1'!$A$5:$G$42"}</definedName>
    <definedName name="no_1" localSheetId="12" hidden="1">{"'Sheet1'!$A$5:$G$42"}</definedName>
    <definedName name="NOBL" localSheetId="12" hidden="1">{"AQUIRORDCF",#N/A,FALSE,"Merger consequences";"Acquirorassns",#N/A,FALSE,"Merger consequences"}</definedName>
    <definedName name="noidea" localSheetId="12" hidden="1">{#N/A,#N/A,FALSE,"Calc";#N/A,#N/A,FALSE,"Sensitivity";#N/A,#N/A,FALSE,"LT Earn.Dil.";#N/A,#N/A,FALSE,"Dil. AVP"}</definedName>
    <definedName name="nono" localSheetId="12" hidden="1">{#N/A,#N/A,FALSE,"Objectives"}</definedName>
    <definedName name="normal" localSheetId="12" hidden="1">{"arpm1995",#N/A,FALSE,"Summary 95-96";"bus_long_distance",#N/A,FALSE,"Summary 95-96";"mins_per_day",#N/A,FALSE,"Summary 95-96";"minutes1995",#N/A,FALSE,"Summary 95-96";"rev_per_day",#N/A,FALSE,"Summary 95-96";"view1995",#N/A,FALSE,"Summary 95-96"}</definedName>
    <definedName name="NoteTextNames" localSheetId="12" hidden="1">{"Text 9";"Text 10";"Text 11";"Text 12"}</definedName>
    <definedName name="nothegsd" localSheetId="12" hidden="1">{"Summary",#N/A,FALSE,"Details (2)"}</definedName>
    <definedName name="nouv" localSheetId="12" hidden="1">{#N/A,#N/A,FALSE,"Pharm";#N/A,#N/A,FALSE,"WWCM"}</definedName>
    <definedName name="Nov00" localSheetId="12" hidden="1">{"Statement of Income",#N/A,TRUE,"Mar99";"Balance Sheet",#N/A,TRUE,"Mar99"}</definedName>
    <definedName name="Nov00TB" localSheetId="12" hidden="1">{"Statement of Income",#N/A,TRUE,"Mar99";"Balance Sheet",#N/A,TRUE,"Mar99"}</definedName>
    <definedName name="nper" localSheetId="12">term*'EBITDA Adjustments 2026'!periods_per_year</definedName>
    <definedName name="Num_Pmt_Per_Year" localSheetId="12">#REF!</definedName>
    <definedName name="Number_of_Payments" localSheetId="12">MATCH(0.01,End_Bal,-1)+1</definedName>
    <definedName name="o" localSheetId="12" hidden="1">{#N/A,#N/A,FALSE,"New Depr Sch-150% DB";#N/A,#N/A,FALSE,"Cash Flows RLP";#N/A,#N/A,FALSE,"IRR";#N/A,#N/A,FALSE,"Proforma IS";#N/A,#N/A,FALSE,"Assumptions"}</definedName>
    <definedName name="Oct00" localSheetId="12" hidden="1">{"Statement of Income",#N/A,TRUE,"Mar99";"Balance Sheet",#N/A,TRUE,"Mar99"}</definedName>
    <definedName name="Oct00TB" localSheetId="12" hidden="1">{"Statement of Income",#N/A,TRUE,"Mar99";"Balance Sheet",#N/A,TRUE,"Mar99"}</definedName>
    <definedName name="Octob00" localSheetId="12" hidden="1">{"Statement of Income",#N/A,TRUE,"Mar99";"Balance Sheet",#N/A,TRUE,"Mar99"}</definedName>
    <definedName name="Octob00TB" localSheetId="12" hidden="1">{"Statement of Income",#N/A,TRUE,"Mar99";"Balance Sheet",#N/A,TRUE,"Mar99"}</definedName>
    <definedName name="OI" localSheetId="12" hidden="1">{#N/A,#N/A,FALSE,"COVER";#N/A,#N/A,FALSE,"Index";#N/A,#N/A,FALSE,"Non-Earning";#N/A,#N/A,FALSE,"Non-Earning_Recovery"}</definedName>
    <definedName name="oiu" localSheetId="12" hidden="1">{#N/A,#N/A,FALSE,"COVER";#N/A,#N/A,FALSE,"RATIOS";#N/A,#N/A,FALSE,"LEVERAGE";#N/A,#N/A,FALSE,"TIER-1";#N/A,#N/A,FALSE,"RISK BASED ASSETS";#N/A,#N/A,FALSE,"TIER-2"}</definedName>
    <definedName name="oiwea" localSheetId="12" hidden="1">{"FCB_ALL",#N/A,FALSE,"FCB";"GREY_ALL",#N/A,FALSE,"GREY"}</definedName>
    <definedName name="OK" localSheetId="12" hidden="1">{#N/A,#N/A,FALSE,"REPORT"}</definedName>
    <definedName name="okay" localSheetId="12" hidden="1">{#N/A,#N/A,FALSE,"Admin";#N/A,#N/A,FALSE,"Other"}</definedName>
    <definedName name="olddata" localSheetId="12" hidden="1">{"PAGE 1",#N/A,FALSE,"WEST_OT"}</definedName>
    <definedName name="olddata1" localSheetId="12" hidden="1">{"PAGE 1",#N/A,FALSE,"WEST_OT"}</definedName>
    <definedName name="olddata2" localSheetId="12" hidden="1">{"PAGE 1",#N/A,FALSE,"WEST_OT"}</definedName>
    <definedName name="olddata3" localSheetId="12" hidden="1">{"PAGE 1",#N/A,FALSE,"WEST_OT"}</definedName>
    <definedName name="oldkey1" localSheetId="12" hidden="1">#REF!</definedName>
    <definedName name="oldsort" localSheetId="12" hidden="1">#REF!</definedName>
    <definedName name="on" localSheetId="12" hidden="1">{"TOTAL",#N/A,FALSE,"A";"FISCAL94",#N/A,FALSE,"A";"FISCAL95",#N/A,FALSE,"A";"FISCAL96",#N/A,FALSE,"A";"misc page",#N/A,FALSE,"A"}</definedName>
    <definedName name="ookok" localSheetId="12" hidden="1">{#N/A,#N/A,TRUE,"BUD VS ACT AUST 96";#N/A,#N/A,TRUE,"96 COMP P&amp;L-AUST";#N/A,#N/A,TRUE,"COMP BS-AUSTRALIA";#N/A,#N/A,TRUE,"B/S - AUSTR."}</definedName>
    <definedName name="ooo" localSheetId="12" hidden="1">{#N/A,#N/A,FALSE,"REPORT"}</definedName>
    <definedName name="ooooo" localSheetId="12" hidden="1">{#N/A,#N/A,FALSE,"Calc";#N/A,#N/A,FALSE,"Sensitivity";#N/A,#N/A,FALSE,"LT Earn.Dil.";#N/A,#N/A,FALSE,"Dil. AVP"}</definedName>
    <definedName name="OOU" localSheetId="12" hidden="1">{#N/A,#N/A,FALSE,"BS";#N/A,#N/A,FALSE,"PL_10Q";#N/A,#N/A,FALSE,"SOE";#N/A,#N/A,FALSE,"SCF"}</definedName>
    <definedName name="OPER" localSheetId="12" hidden="1">{"SUM",#N/A,FALSE,"Details (2)"}</definedName>
    <definedName name="OperatorServicesFi" localSheetId="12" hidden="1">{"SUM",#N/A,FALSE,"Details (2)"}</definedName>
    <definedName name="Opscen" localSheetId="12">#REF!</definedName>
    <definedName name="org_H_per_pot_cleaning" localSheetId="12">'[19]Suppl, Labor ORG'!$C$21</definedName>
    <definedName name="org_H_per_pot_harvest" localSheetId="12">'[19]Suppl, Labor ORG'!$C$18</definedName>
    <definedName name="org_H_per_pot_maintenance" localSheetId="12">'[19]Suppl, Labor ORG'!$C$22</definedName>
    <definedName name="org_H_per_pot_nursery" localSheetId="12">'[19]Suppl, Labor ORG'!$C$16</definedName>
    <definedName name="org_H_per_pot_others" localSheetId="12">'[19]Suppl, Labor ORG'!$C$23</definedName>
    <definedName name="org_H_per_pot_packing" localSheetId="12">'[19]Suppl, Labor ORG'!$C$19</definedName>
    <definedName name="org_H_per_pot_planting" localSheetId="12">'[19]Suppl, Labor ORG'!$C$17</definedName>
    <definedName name="org_H_per_pot_sowing" localSheetId="12">'[19]Suppl, Labor ORG'!$C$15</definedName>
    <definedName name="org_H_per_pot_wastehandl" localSheetId="12">'[19]Suppl, Labor ORG'!$C$20</definedName>
    <definedName name="org_pots_per_h" localSheetId="12">'[19]Suppl, Labor ORG'!$B$13</definedName>
    <definedName name="org_proc_time_cleaning" localSheetId="12">'[19]Suppl, Labor ORG'!$B$21</definedName>
    <definedName name="org_proc_time_harvest" localSheetId="12">'[19]Suppl, Labor ORG'!$B$18</definedName>
    <definedName name="org_proc_time_maint" localSheetId="12">'[19]Suppl, Labor ORG'!$B$22</definedName>
    <definedName name="org_proc_time_nursery" localSheetId="12">'[19]Suppl, Labor ORG'!$B$16</definedName>
    <definedName name="org_proc_time_others" localSheetId="12">'[19]Suppl, Labor ORG'!$B$23</definedName>
    <definedName name="org_proc_time_packing" localSheetId="12">'[19]Suppl, Labor ORG'!$B$19</definedName>
    <definedName name="org_proc_time_planting" localSheetId="12">'[19]Suppl, Labor ORG'!$B$17</definedName>
    <definedName name="org_proc_time_sowing" localSheetId="12">'[19]Suppl, Labor ORG'!$B$15</definedName>
    <definedName name="org_proc_time_wastehandl" localSheetId="12">'[19]Suppl, Labor ORG'!$B$20</definedName>
    <definedName name="Other" localSheetId="12" hidden="1">{#N/A,#N/A,FALSE,"Page 1";#N/A,#N/A,FALSE,"Page 2";#N/A,#N/A,FALSE,"Page 3";#N/A,#N/A,FALSE,"Page 4";#N/A,#N/A,FALSE,"Page 5"}</definedName>
    <definedName name="other33" localSheetId="12" hidden="1">{#N/A,#N/A,FALSE,"Pharm";#N/A,#N/A,FALSE,"WWCM"}</definedName>
    <definedName name="othermar" localSheetId="12" hidden="1">{#N/A,#N/A,FALSE,"Pharm";#N/A,#N/A,FALSE,"WWCM"}</definedName>
    <definedName name="ouhio" localSheetId="12" hidden="1">{"Summary",#N/A,FALSE,"Details (2)"}</definedName>
    <definedName name="ouououiouopupo" localSheetId="12" hidden="1">{#N/A,#N/A,FALSE,"BS";#N/A,#N/A,FALSE,"PL";#N/A,#N/A,FALSE,"SOE";#N/A,#N/A,FALSE,"SCF"}</definedName>
    <definedName name="ououp0" localSheetId="12" hidden="1">{#N/A,#N/A,FALSE,"TABLE_1 YTD- VALUES LAST YR(2)"}</definedName>
    <definedName name="Outlook" localSheetId="12" hidden="1">{"arpm1995",#N/A,FALSE,"Summary 95-96";"bus_long_distance",#N/A,FALSE,"Summary 95-96";"mins_per_day",#N/A,FALSE,"Summary 95-96";"minutes1995",#N/A,FALSE,"Summary 95-96";"rev_per_day",#N/A,FALSE,"Summary 95-96";"view1995",#N/A,FALSE,"Summary 95-96"}</definedName>
    <definedName name="p" localSheetId="12"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Page1" localSheetId="12">#REF!</definedName>
    <definedName name="panther_wrn.test1." localSheetId="12" hidden="1">{"Income Statement",#N/A,FALSE,"CFMODEL";"Balance Sheet",#N/A,FALSE,"CFMODEL"}</definedName>
    <definedName name="panther_wrn.test2." localSheetId="12" hidden="1">{"SourcesUses",#N/A,TRUE,"CFMODEL";"TransOverview",#N/A,TRUE,"CFMODEL"}</definedName>
    <definedName name="panther_wrn.test3." localSheetId="12" hidden="1">{"SourcesUses",#N/A,TRUE,#N/A;"TransOverview",#N/A,TRUE,"CFMODEL"}</definedName>
    <definedName name="panther_wrn.test4." localSheetId="12" hidden="1">{"SourcesUses",#N/A,TRUE,"FundsFlow";"TransOverview",#N/A,TRUE,"FundsFlow"}</definedName>
    <definedName name="patty" localSheetId="12" hidden="1">{"PAGE 1",#N/A,FALSE,"WEST_OT"}</definedName>
    <definedName name="Pay_Date" localSheetId="12">#REF!</definedName>
    <definedName name="Payment_Date" localSheetId="12">DATE(YEAR(Loan_Start),MONTH(Loan_Start)+#REF!,DAY(Loan_Start))</definedName>
    <definedName name="Payment_Number" localSheetId="12">ROW()-Header_Row</definedName>
    <definedName name="PaymentPerYear2016" localSheetId="12">#REF!</definedName>
    <definedName name="PaymentsPerYear2014" localSheetId="12">'[38]Merger Loan'!$D$7</definedName>
    <definedName name="PaymentsPerYearRealEstate" localSheetId="12">'[38]Primary Loan'!$D$7</definedName>
    <definedName name="PBInvout" localSheetId="12">[32]Control!$F$439</definedName>
    <definedName name="PDM" localSheetId="12" hidden="1">{#N/A,#N/A,FALSE,"Summary";#N/A,#N/A,FALSE,"Signatures";#N/A,#N/A,FALSE,"FL Current";#N/A,#N/A,FALSE,"Assumptions";#N/A,#N/A,FALSE,"Assumptions";#N/A,#N/A,FALSE,"Assumptions";#N/A,#N/A,FALSE,"FL Last";#N/A,#N/A,FALSE,"FL Orig";#N/A,#N/A,FALSE,"C to G Explain"}</definedName>
    <definedName name="Pechous" localSheetId="12" hidden="1">{"FY01_Assets",#N/A,FALSE,"Fin Stmt Budget";"FY01_Liabilities",#N/A,FALSE,"Fin Stmt Budget";"FY01_Inc_Stmt",#N/A,FALSE,"Fin Stmt Budget";"FY01_SOCF",#N/A,FALSE,"Fin Stmt Budget"}</definedName>
    <definedName name="Pecos" localSheetId="12"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x" localSheetId="12"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pe" localSheetId="12" hidden="1">{#N/A,#N/A,FALSE,"Pharm";#N/A,#N/A,FALSE,"WWCM"}</definedName>
    <definedName name="PEPE4" localSheetId="12" hidden="1">{#N/A,#N/A,FALSE,"Pharm";#N/A,#N/A,FALSE,"WWCM"}</definedName>
    <definedName name="PEPE5" localSheetId="12" hidden="1">{#N/A,#N/A,FALSE,"Pharm";#N/A,#N/A,FALSE,"WWCM"}</definedName>
    <definedName name="periods_per_year" localSheetId="12">INDEX({1,2,4,6,12,24,26,52},MATCH(#REF!,'EBITDA Adjustments 2026'!frequency,0))</definedName>
    <definedName name="perm" localSheetId="12" hidden="1">{"PAGE 1",#N/A,FALSE,"WEST_OT"}</definedName>
    <definedName name="perm1" localSheetId="12" hidden="1">{"PAGE 1",#N/A,FALSE,"WEST_OT"}</definedName>
    <definedName name="perm3" localSheetId="12" hidden="1">{"PAGE 1",#N/A,FALSE,"WEST_OT"}</definedName>
    <definedName name="perm4" localSheetId="12" hidden="1">{"PAGE 1",#N/A,FALSE,"WEST_OT"}</definedName>
    <definedName name="perm5" localSheetId="12" hidden="1">{"PAGE 2",#N/A,FALSE,"WEST_OT"}</definedName>
    <definedName name="perm6" localSheetId="12" hidden="1">{"PAGE 2",#N/A,FALSE,"WEST_OT"}</definedName>
    <definedName name="perm7" localSheetId="12" hidden="1">{"PAGE 1",#N/A,FALSE,"WEST_OT"}</definedName>
    <definedName name="PeterTEST" localSheetId="12" hidden="1">{#N/A,#N/A,TRUE,"Acq-Ass";#N/A,#N/A,TRUE,"Acq-IS";#N/A,#N/A,TRUE,"Acq-BS";#N/A,#N/A,TRUE,"Acq-CF"}</definedName>
    <definedName name="pharma" localSheetId="12" hidden="1">{#N/A,#N/A,FALSE,"Sales Graph";#N/A,#N/A,FALSE,"PSBM";#N/A,#N/A,FALSE,"BUC Graph";#N/A,#N/A,FALSE,"P&amp;L - YTD"}</definedName>
    <definedName name="Pitchbook" localSheetId="12" hidden="1">{#N/A,#N/A,TRUE,"Sheet16"}</definedName>
    <definedName name="pkg.gom" localSheetId="12" hidden="1">{"2000PPE",#N/A,FALSE,"PPE 2000";"2000DD",#N/A,FALSE,"DrydocksOther"}</definedName>
    <definedName name="pl" localSheetId="12" hidden="1">{#N/A,#N/A,FALSE,"REPORT"}</definedName>
    <definedName name="plan2" localSheetId="12" hidden="1">{"'Sheet1'!$A$5:$G$42"}</definedName>
    <definedName name="PlanVLE" localSheetId="12" hidden="1">{#N/A,#N/A,FALSE,"SUMMARY";#N/A,#N/A,FALSE,"mcsh";#N/A,#N/A,FALSE,"vol&amp;rev";#N/A,#N/A,FALSE,"wkgcap";#N/A,#N/A,FALSE,"DEPR&amp;DT";#N/A,#N/A,FALSE,"ASSETS";#N/A,#N/A,FALSE,"NI&amp;OTH&amp;DIV";#N/A,#N/A,FALSE,"CASHFLOW";#N/A,#N/A,FALSE,"CAPEMPL";#N/A,#N/A,FALSE,"ROCE"}</definedName>
    <definedName name="Plastics" localSheetId="12" hidden="1">{"Curr Month",#N/A,FALSE,"Months";"All Months",#N/A,FALSE,"Months";"YTD",#N/A,FALSE,"Months";"01 Months",#N/A,FALSE,"01";"03 Months",#N/A,FALSE,"Months";"05 Months",#N/A,FALSE,"Months";"06 Months",#N/A,FALSE,"Months";"08 Months",#N/A,FALSE,"Months";"09 Months",#N/A,FALSE,"Months";"10 Months",#N/A,FALSE,"Months";"11 Months",#N/A,FALSE,"Months";"12 Months",#N/A,FALSE,"Months";"13 Months",#N/A,FALSE,"Months";"14 Months",#N/A,FALSE,"Months";"15 Months",#N/A,FALSE,"Months";"23 Months",#N/A,FALSE,"Months";"24 Months",#N/A,FALSE,"Months";"25 Months",#N/A,FALSE,"Months";"43 Months",#N/A,FALSE,"Months";"45 Months",#N/A,FALSE,"Months";"50 Months",#N/A,FALSE,"Months"}</definedName>
    <definedName name="plbudget04" localSheetId="12" hidden="1">{#N/A,#N/A,FALSE,"INPUTS";#N/A,#N/A,FALSE,"PROFORMA BSHEET";#N/A,#N/A,FALSE,"COMBINED";#N/A,#N/A,FALSE,"ACQUIROR";#N/A,#N/A,FALSE,"TARGET 1";#N/A,#N/A,FALSE,"TARGET 2";#N/A,#N/A,FALSE,"HIGH YIELD";#N/A,#N/A,FALSE,"OVERFUND"}</definedName>
    <definedName name="PLCepi" localSheetId="12" hidden="1">{#N/A,#N/A,FALSE,"REPORT"}</definedName>
    <definedName name="PLDate" localSheetId="12">#REF!</definedName>
    <definedName name="PLProcef" localSheetId="12" hidden="1">{#N/A,#N/A,FALSE,"REPORT"}</definedName>
    <definedName name="PLTaxol" localSheetId="12" hidden="1">{#N/A,#N/A,FALSE,"REPORT"}</definedName>
    <definedName name="Pnl" localSheetId="12" hidden="1">{#N/A,#N/A,FALSE,"Pharm";#N/A,#N/A,FALSE,"WWCM"}</definedName>
    <definedName name="po" localSheetId="12" hidden="1">{#N/A,#N/A,FALSE,"BS";#N/A,#N/A,FALSE,"PL_10Q";#N/A,#N/A,FALSE,"SOE";#N/A,#N/A,FALSE,"SCF";#N/A,#N/A,FALSE,"Sel Fn Data QTD 10Q";#N/A,#N/A,FALSE,"Table 1 YTD 10Q";#N/A,#N/A,FALSE,"Table 1 QTD 10Q";#N/A,#N/A,FALSE,"Tables 2 to 3 PL";#N/A,#N/A,FALSE,"Tables 4 and 5ALLL";#N/A,#N/A,FALSE,"Tables 6 to 8 ALLL ";#N/A,#N/A,FALSE,"Table 9 to 12 - Balance Sheet"}</definedName>
    <definedName name="poi" localSheetId="12" hidden="1">{#N/A,#N/A,FALSE,"PL-FS";#N/A,#N/A,FALSE,"PL"}</definedName>
    <definedName name="Poolmgr" localSheetId="12">[44]Assumptions!$D$15</definedName>
    <definedName name="port29" localSheetId="12" hidden="1">{#N/A,#N/A,FALSE,"Pharm";#N/A,#N/A,FALSE,"WWCM"}</definedName>
    <definedName name="poso_wrn.test1." localSheetId="12" hidden="1">{"Income Statement",#N/A,FALSE,"CFMODEL";"Balance Sheet",#N/A,FALSE,"CFMODEL"}</definedName>
    <definedName name="poso_wrn.test2." localSheetId="12" hidden="1">{"SourcesUses",#N/A,TRUE,"CFMODEL";"TransOverview",#N/A,TRUE,"CFMODEL"}</definedName>
    <definedName name="poso_wrn.test3." localSheetId="12" hidden="1">{"SourcesUses",#N/A,TRUE,#N/A;"TransOverview",#N/A,TRUE,"CFMODEL"}</definedName>
    <definedName name="poso_wrn.test4." localSheetId="12" hidden="1">{"SourcesUses",#N/A,TRUE,"FundsFlow";"TransOverview",#N/A,TRUE,"FundsFlow"}</definedName>
    <definedName name="pp" localSheetId="12">[57]pp!$B$1</definedName>
    <definedName name="ppp" localSheetId="12" hidden="1">{#N/A,#N/A,FALSE,"summ";#N/A,#N/A,FALSE,"q1";#N/A,#N/A,FALSE,"summ_alt";#N/A,#N/A,FALSE,"stock_nozero";#N/A,#N/A,FALSE,"1995"}</definedName>
    <definedName name="pppp" localSheetId="12" hidden="1">{"Summary",#N/A,FALSE,"Details (2)"}</definedName>
    <definedName name="pppp2" localSheetId="12" hidden="1">{"Summary",#N/A,FALSE,"Details (2)"}</definedName>
    <definedName name="ppppp" localSheetId="12" hidden="1">{"SUM",#N/A,FALSE,"Details (2)"}</definedName>
    <definedName name="pppppp" localSheetId="12" hidden="1">{"Summary",#N/A,FALSE,"Details (2)"}</definedName>
    <definedName name="ppppppp" localSheetId="12" hidden="1">{"SUM",#N/A,FALSE,"Details (2)"}</definedName>
    <definedName name="pppppppp" localSheetId="12" hidden="1">{"Summary",#N/A,FALSE,"Details (2)"}</definedName>
    <definedName name="ppppppppp" localSheetId="12" hidden="1">{"SUM",#N/A,FALSE,"Details (2)"}</definedName>
    <definedName name="pppppppppp" localSheetId="12" hidden="1">{"Summary",#N/A,FALSE,"Details (2)"}</definedName>
    <definedName name="ppppppppppp" localSheetId="12" hidden="1">{"SUM",#N/A,FALSE,"Details (2)"}</definedName>
    <definedName name="pppppppppppp" localSheetId="12" hidden="1">{"Summary",#N/A,FALSE,"Details (2)"}</definedName>
    <definedName name="ppppppppppppp" localSheetId="12" hidden="1">{"SUM",#N/A,FALSE,"Details (2)"}</definedName>
    <definedName name="ppppppppppppppp" localSheetId="12" hidden="1">{"Summary",#N/A,FALSE,"Details (2)"}</definedName>
    <definedName name="pppppppppppppppp" localSheetId="12" hidden="1">{"SUM",#N/A,FALSE,"Details (2)"}</definedName>
    <definedName name="ppppppppppppppppp" localSheetId="12" hidden="1">{"Summary",#N/A,FALSE,"Details (2)"}</definedName>
    <definedName name="ppppppppppppppppppppppppppp" localSheetId="12" hidden="1">{"FCB_ALL",#N/A,FALSE,"FCB"}</definedName>
    <definedName name="PPS" localSheetId="12"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prd" localSheetId="12" hidden="1">{"Netbacks",#N/A,FALSE,"Netbacks"}</definedName>
    <definedName name="prd." localSheetId="12" hidden="1">{"IS Years",#N/A,FALSE,"Income Statement";"IS Q96",#N/A,FALSE,"Income Statement";"IS Q97",#N/A,FALSE,"Income Statement";"Corporate",#N/A,FALSE,"Corporate Profile";"Netbacks",#N/A,FALSE,"Netbacks"}</definedName>
    <definedName name="Presentation" localSheetId="1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v_Mkv" localSheetId="12">#REF!</definedName>
    <definedName name="prgrp" localSheetId="12" hidden="1">{"cap_structure",#N/A,FALSE,"Graph-Mkt Cap";"price",#N/A,FALSE,"Graph-Price";"ebit",#N/A,FALSE,"Graph-EBITDA";"ebitda",#N/A,FALSE,"Graph-EBITDA"}</definedName>
    <definedName name="Princ" localSheetId="12">#REF!</definedName>
    <definedName name="Print_Area_Reset" localSheetId="12">OFFSET(Full_Print,0,0,Last_Row)</definedName>
    <definedName name="print4" localSheetId="12"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End" localSheetId="12" hidden="1">#REF!</definedName>
    <definedName name="Procef" localSheetId="12" hidden="1">{#N/A,#N/A,FALSE,"Pharm";#N/A,#N/A,FALSE,"WWCM"}</definedName>
    <definedName name="prod" localSheetId="12" hidden="1">{#N/A,#N/A,FALSE,"Pharm";#N/A,#N/A,FALSE,"WWCM"}</definedName>
    <definedName name="profimp2" localSheetId="12" hidden="1">{"PAGE 1",#N/A,FALSE,"WEST_OT"}</definedName>
    <definedName name="profimp3" localSheetId="12" hidden="1">{"PAGE 2",#N/A,FALSE,"WEST_OT"}</definedName>
    <definedName name="profimp5" localSheetId="12" hidden="1">{"PAGE 1",#N/A,FALSE,"WEST_OT"}</definedName>
    <definedName name="profimptest" localSheetId="12" hidden="1">{"PAGE 2",#N/A,FALSE,"WEST_OT"}</definedName>
    <definedName name="Project" localSheetId="12">#REF!</definedName>
    <definedName name="ptg" localSheetId="12" hidden="1">{#N/A,#N/A,TRUE,"RESUMEN ECON.";#N/A,#N/A,TRUE,"Costos de R.H.";#N/A,#N/A,TRUE,"COSTO HW";#N/A,#N/A,TRUE,"CUADROS";#N/A,#N/A,TRUE,"SCADA´s";#N/A,#N/A,TRUE,"PRECIOS EQUIPOS"}</definedName>
    <definedName name="pvdsk" localSheetId="12"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q" localSheetId="12" hidden="1">{"CSheet",#N/A,FALSE,"C";"SmCap",#N/A,FALSE,"VAL1";"GulfCoast",#N/A,FALSE,"VAL1";"nav",#N/A,FALSE,"NAV";"Summary",#N/A,FALSE,"NAV"}</definedName>
    <definedName name="Q1Variances" localSheetId="12" hidden="1">{#N/A,#N/A,FALSE,"Revised Plan description";#N/A,#N/A,FALSE,"Mth Sum";#N/A,#N/A,FALSE,"YTD Sum";#N/A,#N/A,FALSE,"Mth Rev Sum";#N/A,#N/A,FALSE,"YTD Rev Sum";#N/A,#N/A,FALSE,"Direct Margin";#N/A,#N/A,FALSE,"Data MarginvsPlan";#N/A,#N/A,FALSE,"Local MarginvsPlan";#N/A,#N/A,FALSE,"Internet MarginvsPlan";#N/A,#N/A,FALSE,"LD Margin vs Plan ";#N/A,#N/A,FALSE,"Data Margin YTDvsPlan";#N/A,#N/A,FALSE,"Local Margin YTDvsPlan";#N/A,#N/A,FALSE,"Internet Margin YTDvsPlan";#N/A,#N/A,FALSE,"LD Margin YTD vs Plan";#N/A,#N/A,FALSE,"SC vs Pr Month ";#N/A,#N/A,FALSE,"SVC Detail Mth vs Pr Mth";#N/A,#N/A,FALSE,"Ind vs Pr Month ";#N/A,#N/A,FALSE,"SGA (Elem) vs Pr Month";#N/A,#N/A,FALSE,"SGA (BU) vs Pr Mth";#N/A,#N/A,FALSE,"SC vs Plan";#N/A,#N/A,FALSE,"SVC Detail Mth vsPlan ";#N/A,#N/A,FALSE,"Ind vs Plan";#N/A,#N/A,FALSE,"SGA (Elem) vs Plan";#N/A,#N/A,FALSE,"SGA (BU) vs Plan";#N/A,#N/A,FALSE,"SC vs YTD 00";#N/A,#N/A,FALSE,"SGA (Elem) vs YTD 00";#N/A,#N/A,FALSE,"SGA (BU) YTD vs YTD 00";#N/A,#N/A,FALSE,"SC vs YTD Plan ";#N/A,#N/A,FALSE,"SVC YTD Detail Mth vsPlan ";#N/A,#N/A,FALSE,"SGA (Elem) vs YTD Plan";#N/A,#N/A,FALSE,"SGA (BU) YTD vs Plan";#N/A,#N/A,FALSE,"CapExp";#N/A,#N/A,FALSE,"EBITDA";#N/A,#N/A,FALSE,"Mth trends";#N/A,#N/A,FALSE,"Inc. Statement";#N/A,#N/A,FALSE,"Balance Sheet";#N/A,#N/A,FALSE,"Cash Flow"}</definedName>
    <definedName name="qaz" localSheetId="12" hidden="1">{#N/A,#N/A,FALSE,"Pharm";#N/A,#N/A,FALSE,"WWCM"}</definedName>
    <definedName name="qertweyu" localSheetId="12" hidden="1">{#N/A,#N/A,FALSE,"REPORT"}</definedName>
    <definedName name="qetryywt" localSheetId="12" hidden="1">{#N/A,#N/A,FALSE,"REPORT"}</definedName>
    <definedName name="qg" localSheetId="12" hidden="1">{#N/A,#N/A,FALSE,"RESUMEN ECON.";#N/A,#N/A,FALSE,"Costos de R.H.";#N/A,#N/A,FALSE,"COSTO HW";#N/A,#N/A,FALSE,"CUADROS";#N/A,#N/A,FALSE,"SCADA´s";#N/A,#N/A,FALSE,"PRECIOS EQUIPOS"}</definedName>
    <definedName name="QofE2" localSheetId="12"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qq" localSheetId="12" hidden="1">{#N/A,#N/A,FALSE,"March Details"}</definedName>
    <definedName name="qqq" localSheetId="12" hidden="1">{#N/A,#N/A,FALSE,"Pharm";#N/A,#N/A,FALSE,"WWCM"}</definedName>
    <definedName name="qqqqqqqq" localSheetId="12" hidden="1">{"Report",#N/A,FALSE,"March Details"}</definedName>
    <definedName name="qqwtweryey" localSheetId="12" hidden="1">{#N/A,#N/A,FALSE,"REPORT"}</definedName>
    <definedName name="qre" localSheetId="12" hidden="1">{TRUE,TRUE,-1.25,-15.5,604.5,369,FALSE,FALSE,TRUE,TRUE,0,1,83,1,38,4,5,4,TRUE,TRUE,3,TRUE,1,TRUE,75,"Swvu.inputs._.raw._.data.","ACwvu.inputs._.raw._.data.",#N/A,FALSE,FALSE,0.5,0.5,0.5,0.5,2,"&amp;F","&amp;A&amp;RPage &amp;P",FALSE,FALSE,FALSE,FALSE,1,60,#N/A,#N/A,"=R1C61:R53C89","=C1:C5",#N/A,#N/A,FALSE,FALSE,FALSE,1,600,600,FALSE,FALSE,TRUE,TRUE,TRUE}</definedName>
    <definedName name="Qtroperations" localSheetId="12" hidden="1">{"arpm1995",#N/A,FALSE,"Summary 95-96";"bus_long_distance",#N/A,FALSE,"Summary 95-96";"mins_per_day",#N/A,FALSE,"Summary 95-96";"minutes1995",#N/A,FALSE,"Summary 95-96";"rev_per_day",#N/A,FALSE,"Summary 95-96";"view1995",#N/A,FALSE,"Summary 95-96"}</definedName>
    <definedName name="Quarter1Percent" localSheetId="12">#REF!</definedName>
    <definedName name="qw" localSheetId="12" hidden="1">{#N/A,#N/A,FALSE,"REPORT"}</definedName>
    <definedName name="qw2fkgur" localSheetId="12" hidden="1">{#N/A,#N/A,FALSE,"Valuation Assumptions";#N/A,#N/A,FALSE,"Summary";#N/A,#N/A,FALSE,"DCF";#N/A,#N/A,FALSE,"Valuation";#N/A,#N/A,FALSE,"WACC";#N/A,#N/A,FALSE,"UBVH";#N/A,#N/A,FALSE,"Free Cash Flow"}</definedName>
    <definedName name="qwe" localSheetId="12" hidden="1">{#N/A,#N/A,TRUE,"BS_A";#N/A,#N/A,TRUE,"BS_L";#N/A,#N/A,TRUE,"PL";#N/A,#N/A,TRUE,"NET";#N/A,#N/A,TRUE,"MAR_2";#N/A,#N/A,TRUE,"MAR";#N/A,#N/A,TRUE,"NII";#N/A,#N/A,TRUE,"NIE";#N/A,#N/A,TRUE,"FS_BS";#N/A,#N/A,TRUE,"FS_PL";#N/A,#N/A,TRUE,"HEA"}</definedName>
    <definedName name="qwert" localSheetId="1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wertqry" localSheetId="12" hidden="1">{#N/A,#N/A,FALSE,"REPORT"}</definedName>
    <definedName name="qwetqryetytu" localSheetId="12" hidden="1">{#N/A,#N/A,FALSE,"Pharm";#N/A,#N/A,FALSE,"WWCM"}</definedName>
    <definedName name="QWQ" localSheetId="12" hidden="1">{#N/A,#N/A,FALSE,"PL-FS";#N/A,#N/A,FALSE,"PL"}</definedName>
    <definedName name="qwqe" localSheetId="12" hidden="1">{#N/A,#N/A,FALSE,"Comp - War";#N/A,#N/A,FALSE,"Comp - War"}</definedName>
    <definedName name="radg" localSheetId="12" hidden="1">{"FCB_ALL",#N/A,FALSE,"FCB";"GREY_ALL",#N/A,FALSE,"GREY"}</definedName>
    <definedName name="rate" localSheetId="12">#REF!</definedName>
    <definedName name="RawsFIT" localSheetId="12" hidden="1">{#N/A,#N/A,TRUE,"Summary";#N/A,#N/A,TRUE,"Assumptions";#N/A,#N/A,TRUE,"Comparison";#N/A,#N/A,TRUE,"Financials";#N/A,#N/A,TRUE,"Plan v. Act"}</definedName>
    <definedName name="RECurr" localSheetId="12">#REF!</definedName>
    <definedName name="RedefinePrintTableRange" localSheetId="12" hidden="1">[29]POWER5!RedefinePrintTableRange</definedName>
    <definedName name="redo" localSheetId="12" hidden="1">{#N/A,#N/A,FALSE,"ACQ_GRAPHS";#N/A,#N/A,FALSE,"T_1 GRAPHS";#N/A,#N/A,FALSE,"T_2 GRAPHS";#N/A,#N/A,FALSE,"COMB_GRAPHS"}</definedName>
    <definedName name="reewrew" localSheetId="12" hidden="1">{"arpm1995",#N/A,FALSE,"Summary 95-96";"bus_long_distance",#N/A,FALSE,"Summary 95-96";"mins_per_day",#N/A,FALSE,"Summary 95-96";"minutes1995",#N/A,FALSE,"Summary 95-96";"rev_per_day",#N/A,FALSE,"Summary 95-96";"view1995",#N/A,FALSE,"Summary 95-96"}</definedName>
    <definedName name="reggie" localSheetId="12" hidden="1">{#N/A,#N/A,FALSE,"Pharm";#N/A,#N/A,FALSE,"WWCM"}</definedName>
    <definedName name="Regnew" localSheetId="12" hidden="1">{"arpm1995",#N/A,FALSE,"Summary 95-96";"bus_long_distance",#N/A,FALSE,"Summary 95-96";"mins_per_day",#N/A,FALSE,"Summary 95-96";"minutes1995",#N/A,FALSE,"Summary 95-96";"rev_per_day",#N/A,FALSE,"Summary 95-96";"view1995",#N/A,FALSE,"Summary 95-96"}</definedName>
    <definedName name="Related" localSheetId="12" hidden="1">{#N/A,#N/A,FALSE,"Job Sched"}</definedName>
    <definedName name="Report" localSheetId="12">#REF!</definedName>
    <definedName name="ReportPage1" localSheetId="12" hidden="1">{"Annual_Income",#N/A,FALSE,"Report Page";"Balance_Cash_Flow",#N/A,FALSE,"Report Page";"Quarterly_Income",#N/A,FALSE,"Report Page"}</definedName>
    <definedName name="REPrior" localSheetId="12">#REF!</definedName>
    <definedName name="reps" localSheetId="12" hidden="1">{"FY03_Assets",#N/A,FALSE,"Fin Stmt Budget";"FY03_Liabilities",#N/A,FALSE,"Fin Stmt Budget";"FY03_Inc_Stmt",#N/A,FALSE,"Fin Stmt Budget";"FY03_SOCF",#N/A,FALSE,"Fin Stmt Budget"}</definedName>
    <definedName name="rere" localSheetId="12" hidden="1">{"arpm1995",#N/A,FALSE,"Summary 95-96";"bus_long_distance",#N/A,FALSE,"Summary 95-96";"mins_per_day",#N/A,FALSE,"Summary 95-96";"minutes1995",#N/A,FALSE,"Summary 95-96";"rev_per_day",#N/A,FALSE,"Summary 95-96";"view1995",#N/A,FALSE,"Summary 95-96"}</definedName>
    <definedName name="rerer" localSheetId="12" hidden="1">{"arpm1995",#N/A,FALSE,"Summary 95-96";"bus_long_distance",#N/A,FALSE,"Summary 95-96";"mins_per_day",#N/A,FALSE,"Summary 95-96";"minutes1995",#N/A,FALSE,"Summary 95-96";"rev_per_day",#N/A,FALSE,"Summary 95-96";"view1995",#N/A,FALSE,"Summary 95-96"}</definedName>
    <definedName name="rerewr" localSheetId="12" hidden="1">{"arpm1995",#N/A,FALSE,"Summary 95-96";"bus_long_distance",#N/A,FALSE,"Summary 95-96";"mins_per_day",#N/A,FALSE,"Summary 95-96";"minutes1995",#N/A,FALSE,"Summary 95-96";"rev_per_day",#N/A,FALSE,"Summary 95-96";"view1995",#N/A,FALSE,"Summary 95-96"}</definedName>
    <definedName name="rerewty4etr" localSheetId="12" hidden="1">{"arpm1995",#N/A,FALSE,"Summary 95-96";"bus_long_distance",#N/A,FALSE,"Summary 95-96";"mins_per_day",#N/A,FALSE,"Summary 95-96";"minutes1995",#N/A,FALSE,"Summary 95-96";"rev_per_day",#N/A,FALSE,"Summary 95-96";"view1995",#N/A,FALSE,"Summary 95-96"}</definedName>
    <definedName name="reryt4y" localSheetId="12" hidden="1">{"arpm1995",#N/A,FALSE,"Summary 95-96";"bus_long_distance",#N/A,FALSE,"Summary 95-96";"mins_per_day",#N/A,FALSE,"Summary 95-96";"minutes1995",#N/A,FALSE,"Summary 95-96";"rev_per_day",#N/A,FALSE,"Summary 95-96";"view1995",#N/A,FALSE,"Summary 95-96"}</definedName>
    <definedName name="Reserve" localSheetId="12" hidden="1">{#N/A,#N/A,TRUE,"Sch-1a";#N/A,#N/A,TRUE,"Sch-1b";#N/A,#N/A,TRUE,"Sch-1c";#N/A,#N/A,TRUE,"Sch-1d";#N/A,#N/A,TRUE,"Sch-2a";#N/A,#N/A,TRUE,"Sch-2b";#N/A,#N/A,TRUE,"Sch-2c";#N/A,#N/A,TRUE,"Sch-3a";#N/A,#N/A,TRUE,"Sch-3b";#N/A,#N/A,TRUE,"Sch-3c";#N/A,#N/A,TRUE,"Sch-3d";#N/A,#N/A,TRUE,"Sch-3e"}</definedName>
    <definedName name="ReserveGuidance" localSheetId="12">#REF!</definedName>
    <definedName name="resources" localSheetId="12" hidden="1">{#N/A,#N/A,FALSE,"Assessment";#N/A,#N/A,FALSE,"Staffing";#N/A,#N/A,FALSE,"Hires";#N/A,#N/A,FALSE,"Assumptions"}</definedName>
    <definedName name="resp." localSheetId="12" hidden="1">{#N/A,#N/A,FALSE,"Pharm";#N/A,#N/A,FALSE,"WWCM"}</definedName>
    <definedName name="RestatedActuals" localSheetId="12" hidden="1">{#N/A,#N/A,FALSE,"Aging Summary";#N/A,#N/A,FALSE,"Ratio Analysis";#N/A,#N/A,FALSE,"Test 120 Day Accts";#N/A,#N/A,FALSE,"Tickmarks"}</definedName>
    <definedName name="Retail" localSheetId="12" hidden="1">{"'Sheet1'!$A$5:$G$42"}</definedName>
    <definedName name="rf2e" localSheetId="12" hidden="1">{#N/A,#N/A,FALSE,"Pharm";#N/A,#N/A,FALSE,"WWCM"}</definedName>
    <definedName name="rfr" localSheetId="12"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rft" localSheetId="12" hidden="1">{#N/A,#N/A,TRUE,"RESUMEN ECON.";#N/A,#N/A,TRUE,"Costos de R.H.";#N/A,#N/A,TRUE,"COSTO HW";#N/A,#N/A,TRUE,"CUADROS";#N/A,#N/A,TRUE,"SCADA´s";#N/A,#N/A,TRUE,"PRECIOS EQUIPOS"}</definedName>
    <definedName name="rich" localSheetId="12" hidden="1">{"Capital Plan CA Schedule",#N/A,TRUE,"Capital Plan";"Capital Plan Summary",#N/A,TRUE,"Capital Plan"}</definedName>
    <definedName name="Rick" localSheetId="12"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RM" localSheetId="12">[58]Sheet1!$B$1</definedName>
    <definedName name="Rocket" localSheetId="12">'[33]Operation Control Rocket'!$G$1</definedName>
    <definedName name="Rocket_Deal_Month" localSheetId="12">'[33]Operation Control Rocket'!$K$6</definedName>
    <definedName name="RPA" localSheetId="12" hidden="1">{#N/A,#N/A,FALSE,"Cashflow Analysis";#N/A,#N/A,FALSE,"Sensitivity Analysis";#N/A,#N/A,FALSE,"PV";#N/A,#N/A,FALSE,"Pro Forma"}</definedName>
    <definedName name="RPA.2" localSheetId="12" hidden="1">{#N/A,#N/A,FALSE,"Cashflow Analysis";#N/A,#N/A,FALSE,"Sensitivity Analysis";#N/A,#N/A,FALSE,"PV";#N/A,#N/A,FALSE,"Pro Forma"}</definedName>
    <definedName name="rrrrr" localSheetId="12" hidden="1">{#N/A,#N/A,FALSE,"Pharm";#N/A,#N/A,FALSE,"WWCM"}</definedName>
    <definedName name="rrrrrr" localSheetId="12" hidden="1">{"'Edit'!$A$1:$V$2277"}</definedName>
    <definedName name="rse" localSheetId="12" hidden="1">{"FCB_ALL",#N/A,FALSE,"FCB"}</definedName>
    <definedName name="rt" localSheetId="12" hidden="1">{"inputs raw data",#N/A,TRUE,"INPUT"}</definedName>
    <definedName name="rtu" localSheetId="12" hidden="1">{#N/A,#N/A,TRUE,"RESUMEN ECON.";#N/A,#N/A,TRUE,"Costos de R.H.";#N/A,#N/A,TRUE,"COSTO HW";#N/A,#N/A,TRUE,"CUADROS";#N/A,#N/A,TRUE,"SCADA´s";#N/A,#N/A,TRUE,"PRECIOS EQUIPOS"}</definedName>
    <definedName name="rustey" localSheetId="12"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rwert" localSheetId="12" hidden="1">{#N/A,#N/A,FALSE,"Pharm";#N/A,#N/A,FALSE,"WWCM"}</definedName>
    <definedName name="rwjf" localSheetId="12" hidden="1">{#N/A,#N/A,FALSE,"BS";#N/A,#N/A,FALSE,"PL";#N/A,#N/A,FALSE,"SOE";#N/A,#N/A,FALSE,"SCF"}</definedName>
    <definedName name="ryj" localSheetId="12" hidden="1">{#N/A,#N/A,FALSE,"ACQ_GRAPHS";#N/A,#N/A,FALSE,"T_1 GRAPHS";#N/A,#N/A,FALSE,"T_2 GRAPHS";#N/A,#N/A,FALSE,"COMB_GRAPHS"}</definedName>
    <definedName name="s" localSheetId="12">#REF!</definedName>
    <definedName name="sa" localSheetId="1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sad" localSheetId="12" hidden="1">'[6]Sales 2003'!#REF!</definedName>
    <definedName name="sadfsdfsdfsaf" localSheetId="12" hidden="1">{"wpocash",#N/A,FALSE,"WPOALLT";"wpoinc",#N/A,FALSE,"WPOALLT";"wpobroad",#N/A,FALSE,"WPOALLT";"wpocable",#N/A,FALSE,"WPOALLT";"wpoexcl",#N/A,FALSE,"WPOALLT";"wponwsweek",#N/A,FALSE,"WPOALLT";"wpopost",#N/A,FALSE,"WPOALLT"}</definedName>
    <definedName name="sagf" localSheetId="12" hidden="1">{TRUE,TRUE,-1.25,-15.5,604.5,369,FALSE,FALSE,TRUE,TRUE,0,1,83,1,38,4,5,4,TRUE,TRUE,3,TRUE,1,TRUE,75,"Swvu.inputs._.raw._.data.","ACwvu.inputs._.raw._.data.",#N/A,FALSE,FALSE,0.5,0.5,0.5,0.5,2,"&amp;F","&amp;A&amp;RPage &amp;P",FALSE,FALSE,FALSE,FALSE,1,60,#N/A,#N/A,"=R1C61:R53C89","=C1:C5",#N/A,#N/A,FALSE,FALSE,FALSE,1,600,600,FALSE,FALSE,TRUE,TRUE,TRUE}</definedName>
    <definedName name="sally" localSheetId="12" hidden="1">{#N/A,#N/A,FALSE,"Pharm";#N/A,#N/A,FALSE,"WWCM"}</definedName>
    <definedName name="sandy" localSheetId="12">[59]page2!$G$1</definedName>
    <definedName name="sasdfkj" localSheetId="12" hidden="1">{"FCB_ALL",#N/A,FALSE,"FCB"}</definedName>
    <definedName name="Scenarios" comment="A-1" localSheetId="12">#REF!</definedName>
    <definedName name="ScheduledNumberofPayments2014" localSheetId="12">'[38]Merger Loan'!$I$5</definedName>
    <definedName name="ScheduledNumberOfPaymentsRealEstate" localSheetId="12">'[38]Primary Loan'!$I$5</definedName>
    <definedName name="ScheduledPayment2014" localSheetId="12">'[38]Merger Loan'!$I$4</definedName>
    <definedName name="ScheduledPaymentRealEstate" localSheetId="12">'[38]Primary Loan'!$I$4</definedName>
    <definedName name="SD" localSheetId="12" hidden="1">{#N/A,#N/A,FALSE,"Pharm";#N/A,#N/A,FALSE,"WWCM"}</definedName>
    <definedName name="sdafe" localSheetId="12" hidden="1">{"FCB_ALL",#N/A,FALSE,"FCB";"GREY_ALL",#N/A,FALSE,"GREY"}</definedName>
    <definedName name="sdafgs" localSheetId="12" hidden="1">{#N/A,#N/A,FALSE,"Pharm";#N/A,#N/A,FALSE,"WWCM"}</definedName>
    <definedName name="sdaflkej" localSheetId="12" hidden="1">{"FCB_ALL",#N/A,FALSE,"FCB";"GREY_ALL",#N/A,FALSE,"GREY"}</definedName>
    <definedName name="sdafsdafsaf" localSheetId="12" hidden="1">{"wpocash",#N/A,FALSE,"WPOALLT";"wpoinc",#N/A,FALSE,"WPOALLT";"wpobroad",#N/A,FALSE,"WPOALLT";"wpocable",#N/A,FALSE,"WPOALLT";"wpoexcl",#N/A,FALSE,"WPOALLT";"wponwsweek",#N/A,FALSE,"WPOALLT";"wpopost",#N/A,FALSE,"WPOALLT"}</definedName>
    <definedName name="sdas" localSheetId="12" hidden="1">{"Total",#N/A,FALSE,"Six Fields";"PDP",#N/A,FALSE,"Six Fields";"PNP",#N/A,FALSE,"Six Fields";"PUD",#N/A,FALSE,"Six Fields";"Prob",#N/A,FALSE,"Six Fields"}</definedName>
    <definedName name="sdasd" localSheetId="12" hidden="1">{"FCB_ALL",#N/A,FALSE,"FCB";"GREY_ALL",#N/A,FALSE,"GREY"}</definedName>
    <definedName name="sdf" localSheetId="12" hidden="1">#REF!</definedName>
    <definedName name="sdfasr" localSheetId="12" hidden="1">{"FCB_ALL",#N/A,FALSE,"FCB"}</definedName>
    <definedName name="sdfdsf" localSheetId="12" hidden="1">{"SourcesUses",#N/A,TRUE,#N/A;"TransOverview",#N/A,TRUE,"CFMODEL"}</definedName>
    <definedName name="sdfg" localSheetId="12" hidden="1">{"summary",#N/A,FALSE,"3 yr average";"comps",#N/A,FALSE,"3 yr average"}</definedName>
    <definedName name="sdfga" localSheetId="12" hidden="1">{TRUE,TRUE,-1.25,-15.5,604.5,369,FALSE,FALSE,TRUE,TRUE,0,1,83,1,38,4,5,4,TRUE,TRUE,3,TRUE,1,TRUE,75,"Swvu.inputs._.raw._.data.","ACwvu.inputs._.raw._.data.",#N/A,FALSE,FALSE,0.5,0.5,0.5,0.5,2,"&amp;F","&amp;A&amp;RPage &amp;P",FALSE,FALSE,FALSE,FALSE,1,60,#N/A,#N/A,"=R1C61:R53C89","=C1:C5",#N/A,#N/A,FALSE,FALSE,FALSE,1,600,600,FALSE,FALSE,TRUE,TRUE,TRUE}</definedName>
    <definedName name="sdfh" localSheetId="12" hidden="1">{#N/A,#N/A,FALSE,"Pharm";#N/A,#N/A,FALSE,"WWCM"}</definedName>
    <definedName name="sdfsdfsdfsafsdf" localSheetId="12" hidden="1">{"FCB_ALL",#N/A,FALSE,"FCB"}</definedName>
    <definedName name="sdft" localSheetId="12" hidden="1">{#N/A,#N/A,FALSE,"SUMMARY";#N/A,#N/A,FALSE,"mcsh";#N/A,#N/A,FALSE,"vol&amp;rev";#N/A,#N/A,FALSE,"wkgcap";#N/A,#N/A,FALSE,"DEPR&amp;DT";#N/A,#N/A,FALSE,"ASSETS";#N/A,#N/A,FALSE,"NI&amp;OTH&amp;DIV";#N/A,#N/A,FALSE,"CASHFLOW";#N/A,#N/A,FALSE,"CAPEMPL";#N/A,#N/A,FALSE,"ROCE"}</definedName>
    <definedName name="sdgagf" localSheetId="12" hidden="1">{#N/A,#N/A,FALSE,"Pharm";#N/A,#N/A,FALSE,"WWCM"}</definedName>
    <definedName name="sdhr" localSheetId="12" hidden="1">{"FCB_ALL",#N/A,FALSE,"FCB";"GREY_ALL",#N/A,FALSE,"GREY"}</definedName>
    <definedName name="sds" localSheetId="12" hidden="1">{#N/A,#N/A,TRUE,"ProFormaProfit";#N/A,#N/A,TRUE,"ProFormaCash";#N/A,#N/A,TRUE,"Depreciation";#N/A,#N/A,TRUE,"Assets";#N/A,#N/A,TRUE,"Revenue";#N/A,#N/A,TRUE,"EstimatedPurchase"}</definedName>
    <definedName name="sdsadasd" localSheetId="12" hidden="1">{#N/A,#N/A,FALSE,"Pharm";#N/A,#N/A,FALSE,"WWCM"}</definedName>
    <definedName name="sdsd" localSheetId="12" hidden="1">{#N/A,#N/A,FALSE,"REPORT"}</definedName>
    <definedName name="sdsds" localSheetId="12" hidden="1">{"PR1","pr1",TRUE,"Sch PR-1"}</definedName>
    <definedName name="sdw" localSheetId="12" hidden="1">{#N/A,#N/A,FALSE,"Admin";#N/A,#N/A,FALSE,"Other"}</definedName>
    <definedName name="sdz" localSheetId="12" hidden="1">{"FCB_ALL",#N/A,FALSE,"FCB"}</definedName>
    <definedName name="secondaries" localSheetId="12" hidden="1">{#N/A,#N/A,FALSE,"Summary";#N/A,#N/A,FALSE,"Pending";#N/A,#N/A,FALSE,"Oct'97";#N/A,#N/A,FALSE,"Sept'97";#N/A,#N/A,FALSE,"Aug'97";#N/A,#N/A,FALSE,"Jul'97";#N/A,#N/A,FALSE,"Jun'97";#N/A,#N/A,FALSE,"May'97";#N/A,#N/A,FALSE,"Apr'97";#N/A,#N/A,FALSE,"Mar'97";#N/A,#N/A,FALSE,"Feb'97";#N/A,#N/A,FALSE,"Jan'97"}</definedName>
    <definedName name="Select_Month" localSheetId="12">#REF!</definedName>
    <definedName name="select_scenario" localSheetId="12">'[60]DATA INPUT'!$B$8</definedName>
    <definedName name="sensitivity" localSheetId="12">'[33]Sensitivity Control'!$C$4</definedName>
    <definedName name="Sept" localSheetId="12" hidden="1">{"assets",#N/A,FALSE,"BSCON894"}</definedName>
    <definedName name="sf" localSheetId="12" hidden="1">{#N/A,#N/A,FALSE,"Sales Graph";#N/A,#N/A,FALSE,"BUC Graph";#N/A,#N/A,FALSE,"P&amp;L - YTD"}</definedName>
    <definedName name="SFD" localSheetId="12" hidden="1">{#N/A,#N/A,FALSE,"TABLE_1 YTD";#N/A,#N/A,FALSE,"TABLE_1A QTD";#N/A,#N/A,FALSE,"NORMAL_SPREAD_QTD";#N/A,#N/A,FALSE,"NORMAL_SPREAD_YTD";#N/A,#N/A,FALSE,"TAX_EQV";#N/A,#N/A,FALSE,"TAX EQUIV_INPUT";#N/A,#N/A,FALSE,"NET FROM FER";#N/A,#N/A,FALSE,"COVER"}</definedName>
    <definedName name="sfdgsar" localSheetId="12" hidden="1">{"FCB_ALL",#N/A,FALSE,"FCB";"GREY_ALL",#N/A,FALSE,"GREY"}</definedName>
    <definedName name="sfdirect" localSheetId="12" hidden="1">{#N/A,#N/A,FALSE,"REPORT"}</definedName>
    <definedName name="sfgv" localSheetId="12" hidden="1">{"consolidated",#N/A,FALSE,"Sheet1";"cms",#N/A,FALSE,"Sheet1";"fse",#N/A,FALSE,"Sheet1"}</definedName>
    <definedName name="sfj" localSheetId="12" hidden="1">{"PR1","pr1",TRUE,"Sch PR-1"}</definedName>
    <definedName name="sfq" localSheetId="12" hidden="1">{#N/A,#N/A,FALSE,"Calc";#N/A,#N/A,FALSE,"Sensitivity";#N/A,#N/A,FALSE,"LT Earn.Dil.";#N/A,#N/A,FALSE,"Dil. AVP"}</definedName>
    <definedName name="sg" localSheetId="12">[21]rate!$B$2</definedName>
    <definedName name="sgdg" localSheetId="12" hidden="1">{#N/A,#N/A,FALSE,"Calc";#N/A,#N/A,FALSE,"Sensitivity";#N/A,#N/A,FALSE,"LT Earn.Dil.";#N/A,#N/A,FALSE,"Dil. AVP"}</definedName>
    <definedName name="sgsx" localSheetId="12" hidden="1">{"consolidated",#N/A,FALSE,"Sheet1";"cms",#N/A,FALSE,"Sheet1";"fse",#N/A,FALSE,"Sheet1"}</definedName>
    <definedName name="shg" localSheetId="12" hidden="1">{#N/A,#N/A,FALSE,"Index";#N/A,#N/A,FALSE,"IncStmt";#N/A,#N/A,FALSE,"Ratios";#N/A,#N/A,FALSE,"CashFlows";#N/A,#N/A,FALSE,"Ins1";#N/A,#N/A,FALSE,"Ins2";#N/A,#N/A,FALSE,"SelfFund";#N/A,#N/A,FALSE,"SGA";#N/A,#N/A,FALSE,"Recon";#N/A,#N/A,FALSE,"Earnings";#N/A,#N/A,FALSE,"Earnings (2)";#N/A,#N/A,FALSE,"Stock";#N/A,#N/A,FALSE,"Stock (2)";#N/A,#N/A,FALSE,"PeerRatios";#N/A,#N/A,FALSE,"PeerRanks"}</definedName>
    <definedName name="shit" localSheetId="12" hidden="1">{#N/A,"Base",FALSE,"Dividend";#N/A,"Conservative",FALSE,"Dividend";#N/A,"Downside",FALSE,"Dividend"}</definedName>
    <definedName name="Simple" localSheetId="12" hidden="1">{#N/A,#N/A,FALSE,"RESUMEN ECON.";#N/A,#N/A,FALSE,"Costos de R.H.";#N/A,#N/A,FALSE,"COSTO HW";#N/A,#N/A,FALSE,"CUADROS";#N/A,#N/A,FALSE,"SCADA´s";#N/A,#N/A,FALSE,"PRECIOS EQUIPOS"}</definedName>
    <definedName name="size" localSheetId="12">#REF!</definedName>
    <definedName name="SizingColumn1" localSheetId="12">'[56]Balance Sheet'!$E$1</definedName>
    <definedName name="SKFs" localSheetId="12">#REF!</definedName>
    <definedName name="SLEVIN" localSheetId="1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T" localSheetId="12" hidden="1">{"SUM",#N/A,FALSE,"Details (2)"}</definedName>
    <definedName name="sofie" localSheetId="12"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solver_adj" localSheetId="12" hidden="1">[61]DIL4!#REF!</definedName>
    <definedName name="solver_lhs1" localSheetId="12" hidden="1">[61]DIL4!#REF!</definedName>
    <definedName name="solver_opt" localSheetId="12" hidden="1">[61]DIL4!#REF!</definedName>
    <definedName name="SPM" localSheetId="12" hidden="1">{#N/A,#N/A,FALSE,"Cashflow Analysis";#N/A,#N/A,FALSE,"Sensitivity Analysis";#N/A,#N/A,FALSE,"PV";#N/A,#N/A,FALSE,"Pro Forma"}</definedName>
    <definedName name="SPM.2" localSheetId="12" hidden="1">{#N/A,#N/A,FALSE,"Cashflow Analysis";#N/A,#N/A,FALSE,"Sensitivity Analysis";#N/A,#N/A,FALSE,"PV";#N/A,#N/A,FALSE,"Pro Forma"}</definedName>
    <definedName name="ssd" localSheetId="12" hidden="1">#REF!</definedName>
    <definedName name="ssdfsd" localSheetId="12" hidden="1">{"Balance Sheets",#N/A,FALSE,"Subject";"Income Statements - As Reported",#N/A,FALSE,"Subject";"Income Statements - Adjusted",#N/A,FALSE,"Subject";"Ratios",#N/A,FALSE,"Subject";"Representative Earnings",#N/A,FALSE,"Subject"}</definedName>
    <definedName name="sss" localSheetId="12" hidden="1">{#N/A,#N/A,FALSE,"Form 41 Commuter Domestic";#N/A,#N/A,FALSE,"FORM41--COMMUTER % CHG";#N/A,#N/A,FALSE,"Total Domestic Traffic Stats";#N/A,#N/A,FALSE,"TOTAL DOM TRAFFIC--% CHG";#N/A,#N/A,FALSE,"TotDomTraf-Large Carriers Only";#N/A,#N/A,FALSE,"TOTDOMTRAF-LARGECAR% CHG"}</definedName>
    <definedName name="sssss" localSheetId="12" hidden="1">{#N/A,#N/A,FALSE,"Calc";#N/A,#N/A,FALSE,"Sensitivity";#N/A,#N/A,FALSE,"LT Earn.Dil.";#N/A,#N/A,FALSE,"Dil. AVP"}</definedName>
    <definedName name="sssssss" localSheetId="12" hidden="1">{"PR1","pr1",TRUE,"Sch PR-1"}</definedName>
    <definedName name="staffing2" localSheetId="12" hidden="1">{#N/A,#N/A,FALSE,"Assessment";#N/A,#N/A,FALSE,"Staffing";#N/A,#N/A,FALSE,"Hires";#N/A,#N/A,FALSE,"Assumptions"}</definedName>
    <definedName name="Staffing3" localSheetId="12" hidden="1">{#N/A,#N/A,FALSE,"Assessment";#N/A,#N/A,FALSE,"Staffing";#N/A,#N/A,FALSE,"Hires";#N/A,#N/A,FALSE,"Assumptions"}</definedName>
    <definedName name="stands" localSheetId="12" hidden="1">{"FCB_ALL",#N/A,FALSE,"FCB";"GREY_ALL",#N/A,FALSE,"GREY"}</definedName>
    <definedName name="stands1" localSheetId="12" hidden="1">{"FCB_ALL",#N/A,FALSE,"FCB";"GREY_ALL",#N/A,FALSE,"GREY"}</definedName>
    <definedName name="Staril" localSheetId="12" hidden="1">{#N/A,#N/A,FALSE,"REPORT"}</definedName>
    <definedName name="StratPlanAP" localSheetId="12" hidden="1">{#N/A,#N/A,FALSE,"Pharm";#N/A,#N/A,FALSE,"WWCM"}</definedName>
    <definedName name="stud13" localSheetId="12"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stuff" localSheetId="12" hidden="1">[36]AACLIENT!#REF!</definedName>
    <definedName name="stuffs" localSheetId="12" hidden="1">{"TOTAL",#N/A,FALSE,"A";"FISCAL94",#N/A,FALSE,"A";"FISCAL95",#N/A,FALSE,"A";"FISCAL96",#N/A,FALSE,"A";"misc page",#N/A,FALSE,"A"}</definedName>
    <definedName name="suck" localSheetId="12" hidden="1">'[6]Sales 2003'!#REF!</definedName>
    <definedName name="sucker" localSheetId="12" hidden="1">'[6]Sales 2003'!#REF!</definedName>
    <definedName name="SUMMARY_BOOK" localSheetId="12" hidden="1">{"page1",#N/A,FALSE,"GIRLBO";"page2",#N/A,FALSE,"GIRLBO";"page3",#N/A,FALSE,"GIRLBO";"page4",#N/A,FALSE,"GIRLBO";"page5",#N/A,FALSE,"GIRLBO"}</definedName>
    <definedName name="supp" localSheetId="12" hidden="1">{#N/A,#N/A,FALSE,"Comp Balance";#N/A,#N/A,FALSE,"Sum Balance ";#N/A,#N/A,FALSE,"Balance Trend";#N/A,#N/A,FALSE,"Comp PL";#N/A,#N/A,FALSE,"PL";#N/A,#N/A,FALSE,"Sum PL";#N/A,#N/A,FALSE,"PL Trend";#N/A,#N/A,FALSE,"Change"}</definedName>
    <definedName name="switch" localSheetId="12" hidden="1">{"arpm1995",#N/A,FALSE,"Summary 95-96";"bus_long_distance",#N/A,FALSE,"Summary 95-96";"mins_per_day",#N/A,FALSE,"Summary 95-96";"minutes1995",#N/A,FALSE,"Summary 95-96";"rev_per_day",#N/A,FALSE,"Summary 95-96";"view1995",#N/A,FALSE,"Summary 95-96"}</definedName>
    <definedName name="SX" localSheetId="12"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t2_1" localSheetId="12" hidden="1">{"'Sheet1'!$A$5:$G$42"}</definedName>
    <definedName name="taxol" localSheetId="12" hidden="1">{#N/A,#N/A,FALSE,"Pharm";#N/A,#N/A,FALSE,"WWCM"}</definedName>
    <definedName name="TaxRate" localSheetId="12">'[31]General Assumptions'!$M$6</definedName>
    <definedName name="tdhjm" localSheetId="12" hidden="1">{#N/A,#N/A,FALSE,"INPUTS";#N/A,#N/A,FALSE,"PROFORMA BSHEET";#N/A,#N/A,FALSE,"COMBINED";#N/A,#N/A,FALSE,"HIGH YIELD";#N/A,#N/A,FALSE,"COMB_GRAPHS"}</definedName>
    <definedName name="tdjtmk" localSheetId="12" hidden="1">{#N/A,#N/A,FALSE,"ACQ_GRAPHS";#N/A,#N/A,FALSE,"T_1 GRAPHS";#N/A,#N/A,FALSE,"T_2 GRAPHS";#N/A,#N/A,FALSE,"COMB_GRAPHS"}</definedName>
    <definedName name="TECH" localSheetId="12">'[33]Technology Plan Control'!$C$23</definedName>
    <definedName name="Tem" localSheetId="12" hidden="1">{#N/A,#N/A,FALSE,"Pharm";#N/A,#N/A,FALSE,"WWCM"}</definedName>
    <definedName name="TEMP" localSheetId="12" hidden="1">{"PAGE 1",#N/A,FALSE,"WEST_OT"}</definedName>
    <definedName name="Temp_2" localSheetId="12" hidden="1">{#N/A,#N/A,FALSE,"Assessment";#N/A,#N/A,FALSE,"Staffing";#N/A,#N/A,FALSE,"Hires";#N/A,#N/A,FALSE,"Assumptions"}</definedName>
    <definedName name="Temp_3" localSheetId="12" hidden="1">{#N/A,#N/A,FALSE,"Assessment";#N/A,#N/A,FALSE,"Staffing";#N/A,#N/A,FALSE,"Hires";#N/A,#N/A,FALSE,"Assumptions"}</definedName>
    <definedName name="temp1" localSheetId="12" hidden="1">{"PAGE 1",#N/A,FALSE,"WEST_OT"}</definedName>
    <definedName name="temp2" localSheetId="12" hidden="1">{"PAGE 1",#N/A,FALSE,"WEST_OT"}</definedName>
    <definedName name="temp3" localSheetId="12" hidden="1">{"PAGE 1",#N/A,FALSE,"WEST_OT"}</definedName>
    <definedName name="tempq" localSheetId="12"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q2" localSheetId="1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3" localSheetId="12"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tempq4" localSheetId="12"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tempq5" localSheetId="12"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tempq6" localSheetId="12" hidden="1">{#N/A,#N/A,TRUE,"FD IV Portfolio Summary ";#N/A,#N/A,TRUE,"Western";#N/A,#N/A,TRUE,"Kranson";#N/A,#N/A,TRUE,"ARC";#N/A,#N/A,TRUE,"Precise";#N/A,#N/A,TRUE,"WNA"}</definedName>
    <definedName name="tempq7" localSheetId="1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8" localSheetId="12"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teq" localSheetId="12" hidden="1">{#N/A,#N/A,FALSE,"Pharm";#N/A,#N/A,FALSE,"WWCM"}</definedName>
    <definedName name="Tequin" localSheetId="12" hidden="1">{#N/A,#N/A,FALSE,"Pharm";#N/A,#N/A,FALSE,"WWCM"}</definedName>
    <definedName name="tequinol" localSheetId="12" hidden="1">{#N/A,#N/A,FALSE,"REPORT"}</definedName>
    <definedName name="Ter" localSheetId="12">#REF!</definedName>
    <definedName name="tes" localSheetId="12" hidden="1">#REF!</definedName>
    <definedName name="tesg4" localSheetId="12" hidden="1">{"PAGE 1",#N/A,FALSE,"WEST_OT"}</definedName>
    <definedName name="test" localSheetId="12" hidden="1">{#N/A,#N/A,FALSE,"Pharm";#N/A,#N/A,FALSE,"WWCM"}</definedName>
    <definedName name="test1" localSheetId="12" hidden="1">{"PAGE 1",#N/A,FALSE,"WEST_OT"}</definedName>
    <definedName name="test10" localSheetId="12" hidden="1">{"PAGE 1",#N/A,FALSE,"WEST_OT"}</definedName>
    <definedName name="test11" localSheetId="12" hidden="1">{"PAGE 1",#N/A,FALSE,"WEST_OT"}</definedName>
    <definedName name="test12" localSheetId="12" hidden="1">{"PAGE 2",#N/A,FALSE,"WEST_OT"}</definedName>
    <definedName name="test13" localSheetId="12" hidden="1">{"PAGE 2",#N/A,FALSE,"WEST_OT"}</definedName>
    <definedName name="test14" localSheetId="12" hidden="1">{"PAGE 1",#N/A,FALSE,"WEST_OT"}</definedName>
    <definedName name="test15" localSheetId="12" hidden="1">{"PAGE 1",#N/A,FALSE,"WEST_OT"}</definedName>
    <definedName name="test2" localSheetId="12">Scheduled_Payment+Extra_Payment</definedName>
    <definedName name="test20" localSheetId="12" hidden="1">{"PAGE 1",#N/A,FALSE,"WEST_OT"}</definedName>
    <definedName name="test21" localSheetId="12" hidden="1">{"PAGE 1",#N/A,FALSE,"WEST_OT"}</definedName>
    <definedName name="test22" localSheetId="12" hidden="1">{"PAGE 1",#N/A,FALSE,"WEST_OT"}</definedName>
    <definedName name="test23" localSheetId="12" hidden="1">{"PAGE 1",#N/A,FALSE,"WEST_OT"}</definedName>
    <definedName name="test24" localSheetId="12" hidden="1">{"PAGE 1",#N/A,FALSE,"WEST_OT"}</definedName>
    <definedName name="test25" localSheetId="12" hidden="1">{"PAGE 1",#N/A,FALSE,"WEST_OT"}</definedName>
    <definedName name="test26" localSheetId="12" hidden="1">{"PAGE 1",#N/A,FALSE,"WEST_OT"}</definedName>
    <definedName name="test27" localSheetId="12" hidden="1">{"PAGE 1",#N/A,FALSE,"WEST_OT"}</definedName>
    <definedName name="test28" localSheetId="12" hidden="1">{"PAGE 1",#N/A,FALSE,"WEST_OT"}</definedName>
    <definedName name="test29" localSheetId="12" hidden="1">{"PAGE 1",#N/A,FALSE,"WEST_OT"}</definedName>
    <definedName name="test3" localSheetId="12" hidden="1">{"PAGE 1",#N/A,FALSE,"WEST_OT"}</definedName>
    <definedName name="test30" localSheetId="12" hidden="1">{"PAGE 2",#N/A,FALSE,"WEST_OT"}</definedName>
    <definedName name="test31" localSheetId="12" hidden="1">{"PAGE 1",#N/A,FALSE,"WEST_OT"}</definedName>
    <definedName name="test32" localSheetId="12" hidden="1">{"PAGE 1",#N/A,FALSE,"WEST_OT"}</definedName>
    <definedName name="test33" localSheetId="12" hidden="1">{"PAGE 1",#N/A,FALSE,"WEST_OT"}</definedName>
    <definedName name="test34" localSheetId="12" hidden="1">{"PAGE 1",#N/A,FALSE,"WEST_OT"}</definedName>
    <definedName name="test35" localSheetId="12" hidden="1">{"PAGE 1",#N/A,FALSE,"WEST_OT"}</definedName>
    <definedName name="test36" localSheetId="12" hidden="1">{"PAGE 1",#N/A,FALSE,"WEST_OT"}</definedName>
    <definedName name="test37" localSheetId="12" hidden="1">{"PAGE 2",#N/A,FALSE,"WEST_OT"}</definedName>
    <definedName name="test38" localSheetId="12" hidden="1">{"PAGE 1",#N/A,FALSE,"WEST_OT"}</definedName>
    <definedName name="test39" localSheetId="12" hidden="1">{"PAGE 1",#N/A,FALSE,"WEST_OT"}</definedName>
    <definedName name="test4" localSheetId="12" hidden="1">{"PAGE 1",#N/A,FALSE,"WEST_OT"}</definedName>
    <definedName name="test40" localSheetId="12" hidden="1">{"PAGE 2",#N/A,FALSE,"WEST_OT"}</definedName>
    <definedName name="test41" localSheetId="12" hidden="1">{"PAGE 1",#N/A,FALSE,"WEST_OT"}</definedName>
    <definedName name="test42" localSheetId="12" hidden="1">{"PAGE 1",#N/A,FALSE,"WEST_OT"}</definedName>
    <definedName name="test43" localSheetId="12" hidden="1">{"PAGE 2",#N/A,FALSE,"WEST_OT"}</definedName>
    <definedName name="test44" localSheetId="12" hidden="1">{"PAGE 2",#N/A,FALSE,"WEST_OT"}</definedName>
    <definedName name="test45" localSheetId="12" hidden="1">{"PAGE 1",#N/A,FALSE,"WEST_OT"}</definedName>
    <definedName name="test46" localSheetId="12" hidden="1">{"PAGE 1",#N/A,FALSE,"WEST_OT"}</definedName>
    <definedName name="test5" localSheetId="12" hidden="1">{"PAGE 1",#N/A,FALSE,"WEST_OT"}</definedName>
    <definedName name="test6" localSheetId="12" hidden="1">{"PAGE 2",#N/A,FALSE,"WEST_OT"}</definedName>
    <definedName name="test7" localSheetId="12" hidden="1">{"PAGE 2",#N/A,FALSE,"WEST_OT"}</definedName>
    <definedName name="test8" localSheetId="12" hidden="1">{"PAGE 1",#N/A,FALSE,"WEST_OT"}</definedName>
    <definedName name="test9" localSheetId="12" hidden="1">{"PAGE 1",#N/A,FALSE,"WEST_OT"}</definedName>
    <definedName name="teste" localSheetId="12" hidden="1">{#N/A,#N/A,FALSE,"Pharm";#N/A,#N/A,FALSE,"WWCM"}</definedName>
    <definedName name="TESYT" localSheetId="12" hidden="1">{#N/A,#N/A,TRUE,"BUD VS ACT AUST 96";#N/A,#N/A,TRUE,"96 COMP P&amp;L-AUST";#N/A,#N/A,TRUE,"COMP BS-AUSTRALIA";#N/A,#N/A,TRUE,"B/S - AUSTR."}</definedName>
    <definedName name="tetas" localSheetId="12" hidden="1">{#N/A,#N/A,FALSE,"RESUMEN ECON.";#N/A,#N/A,FALSE,"Costos de R.H.";#N/A,#N/A,FALSE,"COSTO HW";#N/A,#N/A,FALSE,"CUADROS";#N/A,#N/A,FALSE,"SCADA´s";#N/A,#N/A,FALSE,"PRECIOS EQUIPOS"}</definedName>
    <definedName name="tgj" localSheetId="12" hidden="1">{#N/A,#N/A,FALSE,"INPUTS";#N/A,#N/A,FALSE,"PROFORMA BSHEET";#N/A,#N/A,FALSE,"COMBINED";#N/A,#N/A,FALSE,"ACQUIROR";#N/A,#N/A,FALSE,"TARGET 1";#N/A,#N/A,FALSE,"TARGET 2";#N/A,#N/A,FALSE,"HIGH YIELD";#N/A,#N/A,FALSE,"OVERFUND"}</definedName>
    <definedName name="thth" localSheetId="12" hidden="1">{#N/A,#N/A,FALSE,"Calc";#N/A,#N/A,FALSE,"Sensitivity";#N/A,#N/A,FALSE,"LT Earn.Dil.";#N/A,#N/A,FALSE,"Dil. AVP"}</definedName>
    <definedName name="Titan" localSheetId="12" hidden="1">{"kricash",#N/A,FALSE,"INC";"kriinc",#N/A,FALSE,"INC";"krimiami",#N/A,FALSE,"INC";"kriother",#N/A,FALSE,"INC";"kripapers",#N/A,FALSE,"INC"}</definedName>
    <definedName name="Titles" localSheetId="12">#REF!</definedName>
    <definedName name="tl" localSheetId="12" hidden="1">{#N/A,#N/A,FALSE,"FAB VENDORS";"BUD SUM",#N/A,FALSE,"BUD SUM WO TEX"}</definedName>
    <definedName name="Total_Payment" localSheetId="12">Scheduled_Payment+Extra_Payment</definedName>
    <definedName name="TotalAssetsCurr" localSheetId="12">#REF!</definedName>
    <definedName name="tre" localSheetId="12" hidden="1">{#N/A,#N/A,TRUE,"Sch-5a";#N/A,#N/A,TRUE,"Sch-5b";#N/A,#N/A,TRUE,"Sch-5c";#N/A,#N/A,TRUE,"Sch-5d";#N/A,#N/A,TRUE,"Sch-6a";#N/A,#N/A,TRUE,"Sch-6b";#N/A,#N/A,TRUE,"Sch-6c";#N/A,#N/A,TRUE,"Sch-6d";#N/A,#N/A,TRUE,"Sch-6e"}</definedName>
    <definedName name="trevor" localSheetId="12" hidden="1">{#N/A,#N/A,FALSE,"FAB VENDORS";"BUD SUM",#N/A,FALSE,"BUD SUM WO TEX"}</definedName>
    <definedName name="Trust2" localSheetId="12" hidden="1">{#N/A,#N/A,FALSE,"Summary";#N/A,#N/A,FALSE,"Financials";#N/A,#N/A,FALSE,"Returns";#N/A,#N/A,FALSE,"Open";#N/A,#N/A,FALSE,"Assumptions"}</definedName>
    <definedName name="tryeuyit" localSheetId="12" hidden="1">{#N/A,#N/A,FALSE,"Pharm";#N/A,#N/A,FALSE,"WWCM"}</definedName>
    <definedName name="tss" localSheetId="12" hidden="1">{#N/A,#N/A,TRUE,"ProFormaProfit";#N/A,#N/A,TRUE,"ProFormaCash";#N/A,#N/A,TRUE,"Depreciation";#N/A,#N/A,TRUE,"Assets";#N/A,#N/A,TRUE,"Revenue";#N/A,#N/A,TRUE,"EstimatedPurchase"}</definedName>
    <definedName name="ttt" localSheetId="12" hidden="1">{#N/A,#N/A,FALSE,"COMP BS-FRANCE";#N/A,#N/A,FALSE,"96 COMP P&amp;L-FRANCE";#N/A,#N/A,FALSE,"BUD VS ACT FRAN 96";#N/A,#N/A,FALSE,"B/S - FRANCE"}</definedName>
    <definedName name="tttt" localSheetId="12" hidden="1">{#N/A,#N/A,FALSE,"COVER";#N/A,#N/A,FALSE,"Key Fin Performance";#N/A,#N/A,FALSE,"Ratios";#N/A,#N/A,FALSE,"Trended";#N/A,#N/A,FALSE,"Trended Op Ex";#N/A,#N/A,FALSE,"P&amp;L Act vs Plan";#N/A,#N/A,FALSE,"P&amp;L Fcst";#N/A,#N/A,FALSE,"Top Customers";#N/A,#N/A,FALSE,"Backlog";#N/A,#N/A,FALSE,"Design Win Summary";#N/A,#N/A,FALSE,"Key Wins and Losses";#N/A,#N/A,FALSE,"Dev Program Summary - King"}</definedName>
    <definedName name="ttttttt" localSheetId="12"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U" localSheetId="12" hidden="1">{#N/A,#N/A,FALSE,"CNS_ADJ";"Balance Consolidado",#N/A,FALSE,"BCEC_CNS";#N/A,#N/A,FALSE,"USGAAP_ADJ"}</definedName>
    <definedName name="Tulsa" localSheetId="12" hidden="1">{#N/A,#N/A,FALSE,"Report Data";#N/A,#N/A,FALSE,"COMP POOL";#N/A,#N/A,FALSE,"COMP POOL NB95";#N/A,#N/A,FALSE,"COMP POOL NB94"}</definedName>
    <definedName name="tut" localSheetId="12" hidden="1">{#N/A,#N/A,TRUE,"ProFormaProfit";#N/A,#N/A,TRUE,"ProFormaCash";#N/A,#N/A,TRUE,"Depreciation";#N/A,#N/A,TRUE,"Assets";#N/A,#N/A,TRUE,"Revenue";#N/A,#N/A,TRUE,"EstimatedPurchase"}</definedName>
    <definedName name="tuv" localSheetId="12" hidden="1">{#N/A,#N/A,TRUE,"Sch-5a";#N/A,#N/A,TRUE,"Sch-5b";#N/A,#N/A,TRUE,"Sch-5c";#N/A,#N/A,TRUE,"Sch-5d";#N/A,#N/A,TRUE,"Sch-6a";#N/A,#N/A,TRUE,"Sch-6b";#N/A,#N/A,TRUE,"Sch-6c";#N/A,#N/A,TRUE,"Sch-6d";#N/A,#N/A,TRUE,"Sch-6e"}</definedName>
    <definedName name="two.print" localSheetId="12" hidden="1">{"month",#N/A,FALSE,"LOPL594";"ytd",#N/A,FALSE,"LOPL594"}</definedName>
    <definedName name="tx_roll_cy" localSheetId="12">#REF!,#REF!</definedName>
    <definedName name="tyler" localSheetId="1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tyler1" localSheetId="1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u" localSheetId="12" hidden="1">{"MARCH",#N/A,FALSE,"CONSO OPEX 5899";"FullOpex",#N/A,FALSE,"CONSO OPEX 5899"}</definedName>
    <definedName name="tyuiktyu" localSheetId="12" hidden="1">{#N/A,#N/A,FALSE,"COVER";#N/A,#N/A,FALSE,"Index";#N/A,#N/A,FALSE,"Non-Earning";#N/A,#N/A,FALSE,"Mortgage_Legal";#N/A,#N/A,FALSE,"Mortgages"}</definedName>
    <definedName name="tyutytyi" localSheetId="12" hidden="1">{#N/A,#N/A,FALSE,"Pharm";#N/A,#N/A,FALSE,"WWCM"}</definedName>
    <definedName name="tyyufkjkhjd" localSheetId="12" hidden="1">{#N/A,#N/A,FALSE,"Pharm";#N/A,#N/A,FALSE,"WWCM"}</definedName>
    <definedName name="u" localSheetId="12" hidden="1">{"CSheet",#N/A,FALSE,"C";"SmCap",#N/A,FALSE,"VAL1";"GulfCoast",#N/A,FALSE,"VAL1";"nav",#N/A,FALSE,"NAV";"Summary",#N/A,FALSE,"NAV"}</definedName>
    <definedName name="UK" localSheetId="12" hidden="1">{#N/A,#N/A,TRUE,"BUD VS ACT AUST 96";#N/A,#N/A,TRUE,"96 COMP P&amp;L-AUST";#N/A,#N/A,TRUE,"COMP BS-AUSTRALIA";#N/A,#N/A,TRUE,"B/S - AUSTR."}</definedName>
    <definedName name="Unit" localSheetId="12" hidden="1">{#N/A,#N/A,FALSE,"Pharm";#N/A,#N/A,FALSE,"WWCM"}</definedName>
    <definedName name="United" localSheetId="12"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US" localSheetId="12">#REF!</definedName>
    <definedName name="Useful_Life" localSheetId="12">'[33]Deal Control Rocket'!$D$26</definedName>
    <definedName name="uyfkf" localSheetId="1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R" localSheetId="1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ValuationDate" localSheetId="12">'[31]General Assumptions'!$F$6</definedName>
    <definedName name="Value.2" localSheetId="12" hidden="1">{#N/A,#N/A,FALSE,"Cashflow Analysis";#N/A,#N/A,FALSE,"Sensitivity Analysis";#N/A,#N/A,FALSE,"PV";#N/A,#N/A,FALSE,"Pro Forma"}</definedName>
    <definedName name="value1" localSheetId="12" hidden="1">{#N/A,#N/A,FALSE,"Cashflow Analysis";#N/A,#N/A,FALSE,"Sensitivity Analysis";#N/A,#N/A,FALSE,"PV";#N/A,#N/A,FALSE,"Pro Forma"}</definedName>
    <definedName name="value1.2" localSheetId="12" hidden="1">{#N/A,#N/A,FALSE,"Cashflow Analysis";#N/A,#N/A,FALSE,"Sensitivity Analysis";#N/A,#N/A,FALSE,"PV";#N/A,#N/A,FALSE,"Pro Forma"}</definedName>
    <definedName name="Values_Entered" localSheetId="12">IF(Loan_Amount*Interest_Rate*Loan_Years*Loan_Start&gt;0,1,0)</definedName>
    <definedName name="Var_type" localSheetId="12">'[33]Drop downs'!$G$2:$G$25</definedName>
    <definedName name="varianc" localSheetId="12" hidden="1">{#N/A,#N/A,TRUE,"Mth Sum";#N/A,#N/A,TRUE,"YTD Sum";#N/A,#N/A,TRUE,"Mth Rev Sum";#N/A,#N/A,TRUE,"YTD Rev Sum";#N/A,#N/A,TRUE,"SC vs Pr Month (Revised)";#N/A,#N/A,TRUE,"SVC Detail Mth vs Pr Mth (Rev)";#N/A,#N/A,TRUE,"SGA (Elem) vs Pr Month";#N/A,#N/A,TRUE,"SGA (BU) vs Pr Mth";#N/A,#N/A,TRUE,"SC vs Plan (Revised)";#N/A,#N/A,TRUE,"SVC Detail Mth vsPlan (Rev)";#N/A,#N/A,TRUE,"SGA (Elem) vs Plan";#N/A,#N/A,TRUE,"SGA (BU) vs Plan(Rev)";#N/A,#N/A,TRUE,"SC vs YTD 00 (Revised)";#N/A,#N/A,TRUE,"SGA (Elem) vs YTD 00";#N/A,#N/A,TRUE,"SGA (BU) YTD vs YTD 00";#N/A,#N/A,TRUE,"SC vs YTD Plan (Revised)";#N/A,#N/A,TRUE,"SVC YTD Detail Mth vsPlan (Rev)";#N/A,#N/A,TRUE,"SGA (Elem) vs YTD Plan";#N/A,#N/A,TRUE,"SGA (BU) YTD vs Plan(Rev)";#N/A,#N/A,TRUE,"CapExp";#N/A,#N/A,TRUE,"EBITDA(Flash)";#N/A,#N/A,TRUE,"NetInc(Flash)";#N/A,#N/A,TRUE,"Gross Margin(Flash)";#N/A,#N/A,TRUE,"Mth trends(Flash)";#N/A,#N/A,TRUE,"HeadcountP01";#N/A,#N/A,TRUE,"Headcount P00";#N/A,#N/A,TRUE,"Inc. Statement";#N/A,#N/A,TRUE,"Balance Sheet";#N/A,#N/A,TRUE,"Cash Flow"}</definedName>
    <definedName name="Veneco" localSheetId="12" hidden="1">{"one",#N/A,TRUE,"Alaska";"two",#N/A,TRUE,"Alaska";"three",#N/A,TRUE,"Alaska";"four",#N/A,TRUE,"Alaska"}</definedName>
    <definedName name="vertex42_copyright" localSheetId="12" hidden="1">"© 2009-2017 Vertex42 LLC"</definedName>
    <definedName name="vertex42_id" localSheetId="12" hidden="1">"depreciation-schedule.xlsx"</definedName>
    <definedName name="vertex42_title" localSheetId="12" hidden="1">"Depreciation Schedule Template"</definedName>
    <definedName name="viajes" localSheetId="12" hidden="1">{#N/A,#N/A,TRUE,"RESUMEN ECON.";#N/A,#N/A,TRUE,"Costos de R.H.";#N/A,#N/A,TRUE,"COSTO HW";#N/A,#N/A,TRUE,"CUADROS";#N/A,#N/A,TRUE,"SCADA´s";#N/A,#N/A,TRUE,"PRECIOS EQUIPOS"}</definedName>
    <definedName name="viajes2" localSheetId="12" hidden="1">{#N/A,#N/A,TRUE,"RESUMEN ECON.";#N/A,#N/A,TRUE,"Costos de R.H.";#N/A,#N/A,TRUE,"COSTO HW";#N/A,#N/A,TRUE,"CUADROS";#N/A,#N/A,TRUE,"SCADA´s";#N/A,#N/A,TRUE,"PRECIOS EQUIPOS"}</definedName>
    <definedName name="Viastar" localSheetId="12" hidden="1">{#N/A,#N/A,FALSE,"Assumptions";#N/A,#N/A,FALSE,"N-IS-Sum";#N/A,#N/A,FALSE,"N-St-Sum";#N/A,#N/A,FALSE,"Inc Stmt";#N/A,#N/A,FALSE,"Stats"}</definedName>
    <definedName name="victor" localSheetId="12" hidden="1">{"multiple",#N/A,FALSE,"client";"margins",#N/A,FALSE,"client";"data",#N/A,FALSE,"client"}</definedName>
    <definedName name="vnbs" localSheetId="12" hidden="1">{"FCB_ALL",#N/A,FALSE,"FCB"}</definedName>
    <definedName name="vo" localSheetId="12" hidden="1">{"consolidated",#N/A,FALSE,"Sheet1";"cms",#N/A,FALSE,"Sheet1";"fse",#N/A,FALSE,"Sheet1"}</definedName>
    <definedName name="vsr" localSheetId="12" hidden="1">{"FCB_ALL",#N/A,FALSE,"FCB"}</definedName>
    <definedName name="vv" localSheetId="12" hidden="1">{"cash_marc",#N/A,FALSE,"dec95cr.xls"}</definedName>
    <definedName name="vvvv" localSheetId="12" hidden="1">{#N/A,#N/A,FALSE,"Cashflow Analysis";#N/A,#N/A,FALSE,"Sensitivity Analysis";#N/A,#N/A,FALSE,"PV";#N/A,#N/A,FALSE,"Pro Forma"}</definedName>
    <definedName name="VVVV.2" localSheetId="12" hidden="1">{#N/A,#N/A,FALSE,"Cashflow Analysis";#N/A,#N/A,FALSE,"Sensitivity Analysis";#N/A,#N/A,FALSE,"PV";#N/A,#N/A,FALSE,"Pro Forma"}</definedName>
    <definedName name="VZDX" localSheetId="12"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 localSheetId="12" hidden="1">{"ReportTop",#N/A,FALSE,"report top"}</definedName>
    <definedName name="wafe" localSheetId="12" hidden="1">{"summary1",#N/A,TRUE,"Comps";"summary2",#N/A,TRUE,"Comps";"summary3",#N/A,TRUE,"Comps"}</definedName>
    <definedName name="was" localSheetId="12" hidden="1">{#N/A,#N/A,FALSE,"Sales Graph";#N/A,#N/A,FALSE,"BUC Graph";#N/A,#N/A,FALSE,"P&amp;L - YTD"}</definedName>
    <definedName name="wb" localSheetId="12" hidden="1">{#N/A,#N/A,FALSE,"Pharm";#N/A,#N/A,FALSE,"WWCM"}</definedName>
    <definedName name="wc" localSheetId="12" hidden="1">{#N/A,#N/A,FALSE,"Pharm";#N/A,#N/A,FALSE,"WWCM"}</definedName>
    <definedName name="wc.3" localSheetId="1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E" localSheetId="12" hidden="1">{#N/A,#N/A,FALSE,"COVER";#N/A,#N/A,FALSE,"Index";#N/A,#N/A,FALSE,"Non-Earning";#N/A,#N/A,FALSE,"Commercial";#N/A,#N/A,FALSE,"Detailed"}</definedName>
    <definedName name="WEA" localSheetId="1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d" localSheetId="12" hidden="1">{#N/A,#N/A,FALSE,"INPUTS";#N/A,#N/A,FALSE,"PROFORMA BSHEET";#N/A,#N/A,FALSE,"COMBINED";#N/A,#N/A,FALSE,"ACQUIROR";#N/A,#N/A,FALSE,"TARGET 1";#N/A,#N/A,FALSE,"TARGET 2";#N/A,#N/A,FALSE,"HIGH YIELD";#N/A,#N/A,FALSE,"OVERFUND"}</definedName>
    <definedName name="wef" localSheetId="12" hidden="1">{#N/A,#N/A,FALSE,"INPUTS";#N/A,#N/A,FALSE,"PROFORMA BSHEET";#N/A,#N/A,FALSE,"COMBINED";#N/A,#N/A,FALSE,"HIGH YIELD";#N/A,#N/A,FALSE,"COMB_GRAPHS"}</definedName>
    <definedName name="wefaf" localSheetId="1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faff" localSheetId="12" hidden="1">{#N/A,#N/A,FALSE,"Assum";#N/A,#N/A,FALSE,"IS";#N/A,#N/A,FALSE,"Op-BS";#N/A,#N/A,FALSE,"BSCF";#N/A,#N/A,FALSE,"Brad_IS";#N/A,#N/A,FALSE,"Brad_BSCF";#N/A,#N/A,FALSE,"Nick_IS";#N/A,#N/A,FALSE,"Nick_BSCF";#N/A,#N/A,FALSE,"Mobile_IS";#N/A,#N/A,FALSE,"Mobile_BSCF";#N/A,#N/A,FALSE,"Syn+Elim";#N/A,#N/A,FALSE,"Ratings"}</definedName>
    <definedName name="wefyjtf" localSheetId="12"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ekwn" localSheetId="12" hidden="1">{"'Edit'!$A$1:$V$2277"}</definedName>
    <definedName name="welw" localSheetId="12" hidden="1">{"'Edit'!$A$1:$V$2277"}</definedName>
    <definedName name="WEQQE" localSheetId="12" hidden="1">{"summary1",#N/A,TRUE,"Comps";"summary2",#N/A,TRUE,"Comps";"summary3",#N/A,TRUE,"Comps"}</definedName>
    <definedName name="wererer" localSheetId="12" hidden="1">{"arpm1995",#N/A,FALSE,"Summary 95-96";"bus_long_distance",#N/A,FALSE,"Summary 95-96";"mins_per_day",#N/A,FALSE,"Summary 95-96";"minutes1995",#N/A,FALSE,"Summary 95-96";"rev_per_day",#N/A,FALSE,"Summary 95-96";"view1995",#N/A,FALSE,"Summary 95-96"}</definedName>
    <definedName name="werrr" localSheetId="12" hidden="1">{#N/A,#N/A,FALSE,"Pharm";#N/A,#N/A,FALSE,"WWCM"}</definedName>
    <definedName name="wg" localSheetId="12" hidden="1">{"ReportTop",#N/A,FALSE,"report top"}</definedName>
    <definedName name="What?" localSheetId="12" hidden="1">{#N/A,#N/A,TRUE,"Summary";#N/A,#N/A,TRUE,"Financials"}</definedName>
    <definedName name="What2?" localSheetId="12" hidden="1">{#N/A,#N/A,TRUE,"Summary";#N/A,#N/A,TRUE,"Financials";#N/A,#N/A,TRUE,"Assumptions";#N/A,#N/A,TRUE,"Pro Forma";#N/A,#N/A,TRUE,"Debt";#N/A,#N/A,TRUE,"Amortization";#N/A,#N/A,TRUE,"GG Returns"}</definedName>
    <definedName name="What3?" localSheetId="12" hidden="1">{#N/A,#N/A,TRUE,"Summary";#N/A,#N/A,TRUE,"Assumptions";#N/A,#N/A,TRUE,"Comparison";#N/A,#N/A,TRUE,"Financials";#N/A,#N/A,TRUE,"Plan v. Act"}</definedName>
    <definedName name="WHO" localSheetId="12" hidden="1">{#N/A,#N/A,FALSE,"SUMMARY";#N/A,#N/A,FALSE,"DETAIL";#N/A,#N/A,FALSE,"VARIANCE"}</definedName>
    <definedName name="wholesaleforecast" localSheetId="12" hidden="1">{"SUM",#N/A,FALSE,"Details (2)"}</definedName>
    <definedName name="willem" localSheetId="12"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orking" localSheetId="12" hidden="1">{#N/A,#N/A,FALSE,"REPORT"}</definedName>
    <definedName name="wpw" localSheetId="12" hidden="1">{#N/A,#N/A,FALSE,"TopTen Failures";#N/A,#N/A,FALSE,"Top Ten %";#N/A,#N/A,FALSE,"Fail Code 5 mo. Totals (%)"}</definedName>
    <definedName name="wqe" localSheetId="12" hidden="1">{#N/A,#N/A,TRUE,"Sch-1a";#N/A,#N/A,TRUE,"Sch-1b";#N/A,#N/A,TRUE,"Sch-1c";#N/A,#N/A,TRUE,"Sch-1d";#N/A,#N/A,TRUE,"Sch-2a";#N/A,#N/A,TRUE,"Sch-2b";#N/A,#N/A,TRUE,"Sch-2c";#N/A,#N/A,TRUE,"Sch-3a";#N/A,#N/A,TRUE,"Sch-3b";#N/A,#N/A,TRUE,"Sch-3c";#N/A,#N/A,TRUE,"Sch-3d";#N/A,#N/A,TRUE,"Sch-3e"}</definedName>
    <definedName name="wqefh" localSheetId="12" hidden="1">{#N/A,#N/A,FALSE,"ACQ_GRAPHS";#N/A,#N/A,FALSE,"T_1 GRAPHS";#N/A,#N/A,FALSE,"T_2 GRAPHS";#N/A,#N/A,FALSE,"COMB_GRAPHS"}</definedName>
    <definedName name="wr" localSheetId="12" hidden="1">{"Cashflow chart",#N/A,TRUE,"A";"Rev Assumptions",#N/A,TRUE,"B";"Rev Reconcilliation 1",#N/A,TRUE,"B";"Rev Reconcilliation 2",#N/A,TRUE,"B";"exp 1",#N/A,TRUE,"C";"exp 2",#N/A,TRUE,"C";"exp3",#N/A,TRUE,"C";"cap 1",#N/A,TRUE,"D";"exp4",#N/A,TRUE,"C";"cap 2",#N/A,TRUE,"D";"cap 3",#N/A,TRUE,"D";"inputs",#N/A,TRUE,"E"}</definedName>
    <definedName name="wr_1" localSheetId="12" hidden="1">{"Cashflow chart",#N/A,TRUE,"A";"Rev Assumptions",#N/A,TRUE,"B";"Rev Reconcilliation 1",#N/A,TRUE,"B";"Rev Reconcilliation 2",#N/A,TRUE,"B";"exp 1",#N/A,TRUE,"C";"exp 2",#N/A,TRUE,"C";"exp3",#N/A,TRUE,"C";"cap 1",#N/A,TRUE,"D";"exp4",#N/A,TRUE,"C";"cap 2",#N/A,TRUE,"D";"cap 3",#N/A,TRUE,"D";"inputs",#N/A,TRUE,"E"}</definedName>
    <definedName name="wrd.2._.pagers.3" localSheetId="12" hidden="1">{"Cover",#N/A,FALSE,"Cover";"Summary",#N/A,FALSE,"Summarpage"}</definedName>
    <definedName name="wrd.2_.pagers.3" localSheetId="12" hidden="1">{"Cover",#N/A,FALSE,"Cover";"Summary",#N/A,FALSE,"Summarpage"}</definedName>
    <definedName name="wrer" localSheetId="12" hidden="1">{"arpm1995",#N/A,FALSE,"Summary 95-96";"bus_long_distance",#N/A,FALSE,"Summary 95-96";"mins_per_day",#N/A,FALSE,"Summary 95-96";"minutes1995",#N/A,FALSE,"Summary 95-96";"rev_per_day",#N/A,FALSE,"Summary 95-96";"view1995",#N/A,FALSE,"Summary 95-96"}</definedName>
    <definedName name="wrn" localSheetId="12" hidden="1">{"FCB_ALL",#N/A,FALSE,"FCB"}</definedName>
    <definedName name="wrn.1" localSheetId="1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1." localSheetId="12" hidden="1">{#N/A,#N/A,FALSE,"Calc";#N/A,#N/A,FALSE,"Sensitivity";#N/A,#N/A,FALSE,"LT Earn.Dil.";#N/A,#N/A,FALSE,"Dil. AVP"}</definedName>
    <definedName name="wrn.100._.Monthly._.Package." localSheetId="12" hidden="1">{#N/A,#N/A,FALSE,"0";#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57";#N/A,#N/A,FALSE,"58";#N/A,#N/A,FALSE,"59";#N/A,#N/A,FALSE,"60";#N/A,#N/A,FALSE,"61";#N/A,#N/A,FALSE,"62";#N/A,#N/A,FALSE,"63";#N/A,#N/A,FALSE,"64";#N/A,#N/A,FALSE,"65";#N/A,#N/A,FALSE,"66";#N/A,#N/A,FALSE,"67";#N/A,#N/A,FALSE,"68";#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N/A,#N/A,FALSE,"95";#N/A,#N/A,FALSE,"96";#N/A,#N/A,FALSE,"97";#N/A,#N/A,FALSE,"98";#N/A,#N/A,FALSE,"99";#N/A,#N/A,FALSE,"100";#N/A,#N/A,FALSE,"101";#N/A,#N/A,FALSE,"102";#N/A,#N/A,FALSE,"103";#N/A,#N/A,FALSE,"104";#N/A,#N/A,FALSE,"105";#N/A,#N/A,FALSE,"106";#N/A,#N/A,FALSE,"107";#N/A,#N/A,FALSE,"108";#N/A,#N/A,FALSE,"109";#N/A,#N/A,FALSE,"110";#N/A,#N/A,FALSE,"111";#N/A,#N/A,FALSE,"112";#N/A,#N/A,FALSE,"113";#N/A,#N/A,FALSE,"114";#N/A,#N/A,FALSE,"115"}</definedName>
    <definedName name="wrn.10K._.FS._.AND._.TABLES." localSheetId="12"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rn.10Q._.FS._.AND._.TABLES." localSheetId="12" hidden="1">{#N/A,#N/A,FALSE,"BS";#N/A,#N/A,FALSE,"PL_10Q";#N/A,#N/A,FALSE,"SOE";#N/A,#N/A,FALSE,"SCF";#N/A,#N/A,FALSE,"Sel Fn Data QTD 10Q";#N/A,#N/A,FALSE,"Table 1 YTD 10Q";#N/A,#N/A,FALSE,"Table 1 QTD 10Q";#N/A,#N/A,FALSE,"Tables 2 to 3 PL";#N/A,#N/A,FALSE,"Tables 4 and 5ALLL";#N/A,#N/A,FALSE,"Tables 6 to 8 ALLL ";#N/A,#N/A,FALSE,"Table 9 to 12 - Balance Sheet"}</definedName>
    <definedName name="wrn.10Q._.TABLES." localSheetId="12" hidden="1">{#N/A,#N/A,FALSE,"TABLE_1 YTD";#N/A,#N/A,FALSE,"TABLE_1A QTD"}</definedName>
    <definedName name="wrn.111111" localSheetId="12" hidden="1">{#N/A,#N/A,FALSE,"Pharm";#N/A,#N/A,FALSE,"WWCM"}</definedName>
    <definedName name="wrn.12_30._.Adv._.Book." localSheetId="12" hidden="1">{#N/A,#N/A,TRUE,"Fd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name="wrn.123100._.Port._.Review." localSheetId="12" hidden="1">{#N/A,#N/A,TRUE,"Port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name="wrn.1998._.FINANCIAL._.STATEMENTS." localSheetId="12" hidden="1">{"QTR2PGIBS",#N/A,FALSE,"Qtr 2 PGI";"QTR2PGIPL",#N/A,FALSE,"Qtr 2 PGI";"QTR2PGICF",#N/A,FALSE,"Qtr 2 PGI";"98QTR2BS",#N/A,FALSE,"Qtr 2";"98QTR2PL",#N/A,FALSE,"Qtr 2";"98QTR2CF",#N/A,FALSE,"Qtr 2";"QTR3PGIBS",#N/A,FALSE,"Qtr 3 PGI";"QTR3PGIPL",#N/A,FALSE,"Qtr 3 PGI";"QTR3PGICF",#N/A,FALSE,"Qtr 3 PGI";"98QTR3BS",#N/A,FALSE,"Qtr 3";"98QTR3PL",#N/A,FALSE,"Qtr 3";"98QTR3CF",#N/A,FALSE,"Qtr 3";"QTR4PGIBS",#N/A,FALSE,"Qtr 4 PGI";"QTR4PGIPL",#N/A,FALSE,"Qtr 4 PGI";"QTR4PGIPLYTD",#N/A,FALSE,"Qtr 4 PGI";"QTR4PGICF",#N/A,FALSE,"Qtr 4 PGI";"QTR4PGICFYTD",#N/A,FALSE,"Qtr 4 PGI";"98QTR4BS",#N/A,FALSE,"Qtr 4";"98QTR4PL",#N/A,FALSE,"Qtr 4";"98QTR4CF",#N/A,FALSE,"Qtr 4";"98QTR4PLYTD",#N/A,FALSE,"Qtr 4";"98QTR4CFYTD",#N/A,FALSE,"Qtr 4"}</definedName>
    <definedName name="wrn.1998._.IPO._.Update." localSheetId="12" hidden="1">{#N/A,#N/A,FALSE,"Summary";#N/A,#N/A,FALSE,"Pending";#N/A,#N/A,FALSE,"Aug'98";#N/A,#N/A,FALSE,"July'98";#N/A,#N/A,FALSE,"June'98";#N/A,#N/A,FALSE,"May'98";#N/A,#N/A,FALSE,"Apr'98";#N/A,#N/A,FALSE,"Mar'98";#N/A,#N/A,FALSE,"Feb'98";#N/A,#N/A,FALSE,"Jan'98"}</definedName>
    <definedName name="wrn.2._.pagers." localSheetId="12" hidden="1">{"Cover",#N/A,FALSE,"Cover";"Summary",#N/A,FALSE,"Summarpage"}</definedName>
    <definedName name="wrn.2._.pagers.2" localSheetId="12" hidden="1">{"Cover",#N/A,FALSE,"Cover";"Summary",#N/A,FALSE,"Summarpage"}</definedName>
    <definedName name="wrn.2._.pagers.3" localSheetId="12" hidden="1">{"Cover",#N/A,FALSE,"Cover";"Summary",#N/A,FALSE,"Summarpage"}</definedName>
    <definedName name="wrn.2._.pagers.4" localSheetId="12" hidden="1">{"Cover",#N/A,FALSE,"Cover";"Summary",#N/A,FALSE,"Summarpage"}</definedName>
    <definedName name="wrn.2._.pagers.5" localSheetId="12" hidden="1">{"Cover",#N/A,FALSE,"Cover";"Summary",#N/A,FALSE,"Summarpage"}</definedName>
    <definedName name="wrn.2._.pagers.6" localSheetId="12" hidden="1">{"Cover",#N/A,FALSE,"Cover";"Summary",#N/A,FALSE,"Summarpage"}</definedName>
    <definedName name="wrn.2._.pagers.8" localSheetId="12" hidden="1">{"Cover",#N/A,FALSE,"Cover";"Summary",#N/A,FALSE,"Summarpage"}</definedName>
    <definedName name="wrn.2._pagers.4" localSheetId="12" hidden="1">{"Cover",#N/A,FALSE,"Cover";"Summary",#N/A,FALSE,"Summarpage"}</definedName>
    <definedName name="wrn.2_5_99._.Scenarios." localSheetId="12" hidden="1">{#N/A,"Scenario 4; Book Value",FALSE,"Stream INPUTS";#N/A,"Scenario 4; Market Value",FALSE,"Stream INPUTS";#N/A,"Scenario 5; Book Value",FALSE,"Stream INPUTS";#N/A,"Scenario 5; Market Value",FALSE,"Stream INPUTS"}</definedName>
    <definedName name="wrn.2000._.Package._.GOM." localSheetId="12" hidden="1">{"2000PPE",#N/A,FALSE,"PPE 2000";"2000DD",#N/A,FALSE,"DrydocksOther"}</definedName>
    <definedName name="wrn.2003._.Detail._.in._.Dollars." localSheetId="12" hidden="1">{#N/A,#N/A,FALSE,"2003 Est";#N/A,#N/A,FALSE,"2003 Pr";#N/A,#N/A,FALSE,"2003 Plan"}</definedName>
    <definedName name="wrn.2003._.Detail._.per._.pax." localSheetId="12" hidden="1">{#N/A,#N/A,FALSE,"2003 Est per pax";#N/A,#N/A,FALSE,"2003 Pr per pax";#N/A,#N/A,FALSE,"2003 Plan per pax"}</definedName>
    <definedName name="wrn.2003._.RM._.Reports." localSheetId="12" hidden="1">{#N/A,#N/A,FALSE,"Prd Summ 03Prvs03E";#N/A,#N/A,FALSE,"Prd Summ 03Pvs03E"}</definedName>
    <definedName name="wrn.2004._.Budget." localSheetId="12" hidden="1">{#N/A,#N/A,FALSE,"Wynd";#N/A,#N/A,FALSE,"Wynd Sales-100";#N/A,#N/A,FALSE,"Wynd Marketing-200";#N/A,#N/A,FALSE,"Wynd IT-300";#N/A,#N/A,FALSE,"Wynd NOC-321";#N/A,#N/A,FALSE,"Wynd Admin-400";#N/A,#N/A,FALSE,"Wynd Operations-500"}</definedName>
    <definedName name="wrn.2004._.Detail._.in._.Dollars." localSheetId="12" hidden="1">{#N/A,#N/A,FALSE,"2004 Est";#N/A,#N/A,FALSE,"2004 Pr Est";#N/A,#N/A,FALSE,"2004 Plan"}</definedName>
    <definedName name="wrn.2004._.Detail._.per._.pax." localSheetId="12" hidden="1">{#N/A,#N/A,FALSE,"2004 Est per pax";#N/A,#N/A,FALSE,"2004 Pr per pax";#N/A,#N/A,FALSE,"2004 Plan per pax"}</definedName>
    <definedName name="wrn.2004._.RM._.Reports." localSheetId="12" hidden="1">{#N/A,#N/A,FALSE,"Prd Summ 04Pvs04E";#N/A,#N/A,FALSE,"Prd Summ 04Prvs04E";#N/A,#N/A,FALSE,"Prd Summ 03Evs04E"}</definedName>
    <definedName name="wrn.3.00._.Adv.._.Board." localSheetId="12" hidden="1">{#N/A,#N/A,TRUE,"Fd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name="wrn.3cases." localSheetId="12" hidden="1">{#N/A,"Base",FALSE,"Dividend";#N/A,"Conservative",FALSE,"Dividend";#N/A,"Downside",FALSE,"Dividend"}</definedName>
    <definedName name="wrn.5._.Year._.Plan." localSheetId="12" hidden="1">{"Consolidated assumptions 1",#N/A,FALSE,"CONSO";"Consolidated assumptions 2",#N/A,FALSE,"CONSO";"Consolidated assumptions 3",#N/A,FALSE,"CONSO";"Consolidated earnings",#N/A,FALSE,"CONSO";"Consolidated Cash Flow",#N/A,FALSE,"CONSO";"Consolidated Balance Sheet",#N/A,FALSE,"CONSO";"Consolidated Cap-Ex",#N/A,FALSE,"CONSO";"Paper Donnacona summary assumptions",#N/A,FALSE,"PAPER DONNACONA";"Paper Donnacona earnings",#N/A,FALSE,"PAPER DONNACONA";"Paper Donnacona Cash Flow",#N/A,FALSE,"PAPER DONNACONA";"Paper Donnacona Balance Sheet",#N/A,FALSE,"PAPER DONNACONA";"Paper Donnacona Cap-ex",#N/A,FALSE,"PAPER DONNACONA";"Paper Dolbeau summary assumptions",#N/A,FALSE,"PAPER DOLBEAU";"Paper Dolbeau earnings",#N/A,FALSE,"PAPER DOLBEAU";"Paper Dolbeau Cash Flow",#N/A,FALSE,"PAPER DOLBEAU";"Paper Dolbeau Balance Sheet",#N/A,FALSE,"PAPER DOLBEAU";"Paper Dolbeau Cap-ex",#N/A,FALSE,"PAPER DOLBEAU";"Lumber assumptions 1",#N/A,FALSE,"LUMBER";"Lumber assumptions 2",#N/A,FALSE,"LUMBER";"Lumber earnings",#N/A,FALSE,"LUMBER";"Lumber Cash Flow",#N/A,FALSE,"LUMBER";"Lumber Balance Sheet",#N/A,FALSE,"LUMBER";"Lumber Cap-ex",#N/A,FALSE,"LUMBER";"Coosa assumptions 1",#N/A,FALSE,"COOSA";"Coosa assumptions 2",#N/A,FALSE,"COOSA";"Coosa earnings",#N/A,FALSE,"COOSA";"Coosa Cash Flow",#N/A,FALSE,"COOSA";"Coosa Balance Sheet",#N/A,FALSE,"COOSA";"Coosa Cap-ex",#N/A,FALSE,"COOSA";"Head Office assumptions",#N/A,FALSE,"H.OFFICE";"Head Office earnings",#N/A,FALSE,"H.OFFICE";"Head Office Cash Flow",#N/A,FALSE,"H.OFFICE";"Head Office Balance Sheet",#N/A,FALSE,"H.OFFICE";"Head Office Cap-ex",#N/A,FALSE,"H.OFFICE";"Tax 1",#N/A,FALSE,"impôt";"Tax 2",#N/A,FALSE,"impôt"}</definedName>
    <definedName name="wrn.730." localSheetId="12" hidden="1">{#N/A,#N/A,FALSE,"REPORT"}</definedName>
    <definedName name="wrn.731" localSheetId="12" hidden="1">{#N/A,#N/A,FALSE,"REPORT"}</definedName>
    <definedName name="wrn.750." localSheetId="12" hidden="1">{#N/A,#N/A,FALSE,"REPORT"}</definedName>
    <definedName name="wrn.7501" localSheetId="12" hidden="1">{#N/A,#N/A,FALSE,"REPORT"}</definedName>
    <definedName name="wrn.760.16." localSheetId="12" hidden="1">{#N/A,#N/A,FALSE,"REPORT"}</definedName>
    <definedName name="wrn.7900" localSheetId="12" hidden="1">{#N/A,#N/A,FALSE,"REPORT"}</definedName>
    <definedName name="wrn.8964sch." localSheetId="12" hidden="1">{"Membership",#N/A,FALSE,"8964SCH";"Membership2",#N/A,FALSE,"8964SCH"}</definedName>
    <definedName name="wrn.9_30._.Adv._.Board." localSheetId="12" hidden="1">{#N/A,#N/A,TRUE,"Fd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name="wrn.9_30._.LP._.Meeting." localSheetId="12" hidden="1">{#N/A,#N/A,TRUE,"Fund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name="wrn.905" localSheetId="12" hidden="1">{#N/A,#N/A,FALSE,"REPORT"}</definedName>
    <definedName name="wrn.96._.Plan." localSheetId="12" hidden="1">{#N/A,#N/A,TRUE,"INPUT Sale &amp; PS GP Plan";#N/A,#N/A,TRUE,"INPUT TTB GP &amp; Elim";#N/A,#N/A,TRUE,"INPUT OCOS";#N/A,#N/A,TRUE,"INPUT Op Exp PLAN";#N/A,#N/A,TRUE,"PRINT P &amp; L FCST";#N/A,#N/A,TRUE,"INPUT Sales &amp; GP FCST";#N/A,#N/A,TRUE,"Print Sales &amp; GP Growth";#N/A,#N/A,TRUE,"capexp";#N/A,#N/A,TRUE,"MC-Regional P&amp;L and Cash Flow";#N/A,#N/A,TRUE,"MC - Standard Account";#N/A,#N/A,TRUE,"MC - List of Customer Names";#N/A,#N/A,TRUE,"MC - Product Line";#N/A,#N/A,TRUE,"Assumptions";#N/A,#N/A,TRUE,"Up-Down";#N/A,#N/A,TRUE,"OPEX Growth";#N/A,#N/A,TRUE,"HPO-Selling";#N/A,#N/A,TRUE,"HPO-Distribution";#N/A,#N/A,TRUE,"HPO-Transportation";#N/A,#N/A,TRUE,"HPO-Trans Charged";#N/A,#N/A,TRUE,"HPO-Bad Debt";#N/A,#N/A,TRUE,"HP-Other G&amp;A"}</definedName>
    <definedName name="wrn.96_.Plan1." localSheetId="12" hidden="1">{#N/A,#N/A,TRUE,"INPUT Sale &amp; PS GP Plan";#N/A,#N/A,TRUE,"INPUT TTB GP &amp; Elim";#N/A,#N/A,TRUE,"INPUT OCOS";#N/A,#N/A,TRUE,"INPUT Op Exp PLAN";#N/A,#N/A,TRUE,"PRINT P &amp; L FCST";#N/A,#N/A,TRUE,"INPUT Sales &amp; GP FCST";#N/A,#N/A,TRUE,"Print Sales &amp; GP Growth";#N/A,#N/A,TRUE,"capexp";#N/A,#N/A,TRUE,"MC-Regional P&amp;L and Cash Flow";#N/A,#N/A,TRUE,"MC - Standard Account";#N/A,#N/A,TRUE,"MC - List of Customer Names";#N/A,#N/A,TRUE,"MC - Product Line";#N/A,#N/A,TRUE,"Assumptions";#N/A,#N/A,TRUE,"Up-Down";#N/A,#N/A,TRUE,"OPEX Growth";#N/A,#N/A,TRUE,"HPO-Selling";#N/A,#N/A,TRUE,"HPO-Distribution";#N/A,#N/A,TRUE,"HPO-Transportation";#N/A,#N/A,TRUE,"HPO-Trans Charged";#N/A,#N/A,TRUE,"HPO-Bad Debt";#N/A,#N/A,TRUE,"HP-Other G&amp;A"}</definedName>
    <definedName name="wrn.99999" localSheetId="12" hidden="1">{#N/A,#N/A,FALSE,"REPORT"}</definedName>
    <definedName name="wrn.A_VALUATION." localSheetId="12" hidden="1">{#N/A,#N/A,FALSE,"A_D";#N/A,#N/A,FALSE,"WACC";#N/A,#N/A,FALSE,"DCF";#N/A,#N/A,FALSE,"A";#N/A,#N/A,FALSE,"LBO";#N/A,#N/A,FALSE,"C";#N/A,#N/A,FALSE,"impd";#N/A,#N/A,FALSE,"comps"}</definedName>
    <definedName name="wrn.aaa" localSheetId="12" hidden="1">{#N/A,#N/A,FALSE,"Pharm";#N/A,#N/A,FALSE,"WWCM"}</definedName>
    <definedName name="wrn.aaaaaaa" localSheetId="12" hidden="1">{#N/A,#N/A,FALSE,"Pharm";#N/A,#N/A,FALSE,"WWCM"}</definedName>
    <definedName name="wrn.abc" localSheetId="12" hidden="1">{#N/A,#N/A,FALSE,"Index";#N/A,#N/A,FALSE,"IncStmt";#N/A,#N/A,FALSE,"Ratios";#N/A,#N/A,FALSE,"CashFlows";#N/A,#N/A,FALSE,"Ins1";#N/A,#N/A,FALSE,"Ins2";#N/A,#N/A,FALSE,"SelfFund";#N/A,#N/A,FALSE,"SGA";#N/A,#N/A,FALSE,"Recon";#N/A,#N/A,FALSE,"Earnings";#N/A,#N/A,FALSE,"Earnings (2)";#N/A,#N/A,FALSE,"Stock";#N/A,#N/A,FALSE,"Stock (2)";#N/A,#N/A,FALSE,"PeerRatios";#N/A,#N/A,FALSE,"PeerRanks"}</definedName>
    <definedName name="wrn.Accounts." localSheetId="12" hidden="1">{"turnover",#N/A,FALSE;"profits",#N/A,FALSE;"cash",#N/A,FALSE}</definedName>
    <definedName name="wrn.Accr_Dil." localSheetId="12" hidden="1">{#N/A,#N/A,FALSE,"Debt Accr";#N/A,#N/A,FALSE,"Stock Accr";#N/A,#N/A,FALSE,"Debt Stock Accr"}</definedName>
    <definedName name="wrn.Accretion." localSheetId="12" hidden="1">{"Accretion",#N/A,FALSE,"Assum"}</definedName>
    <definedName name="wrn.ACCT._.PACKAGE._.REPORT." localSheetId="12" hidden="1">{#N/A,#N/A,TRUE,"Highlights";#N/A,#N/A,TRUE,"BS_Oriental International Bank";#N/A,#N/A,TRUE,"P&amp;L_Oriental International Bank";#N/A,#N/A,TRUE,"Revenues Report_OIB";#N/A,#N/A,TRUE,"Expenses OIB";#N/A,#N/A,TRUE,"Margin_ORIENTAL INTL BANK";#N/A,#N/A,TRUE,"PL Quarterly_OIB";#N/A,#N/A,TRUE,"COVER"}</definedName>
    <definedName name="wrn.ACI." localSheetId="12" hidden="1">{"ACI IS",#N/A,FALSE,"ACI - IS";"ACI BS",#N/A,FALSE,"ACI - BS";"ACI Detail IS",#N/A,FALSE,"ACI - Detail IS";"ACI Detail IS Supplemental Info",#N/A,FALSE,"ACI - Detail IS";"ACI Monthly 1999",#N/A,FALSE,"ACI Monthly";"ACI Monthly 1998",#N/A,FALSE,"ACI Monthly";"ACI Monthly 1997",#N/A,FALSE,"ACI Monthly"}</definedName>
    <definedName name="wrn.AcqState." localSheetId="12" hidden="1">{#N/A,#N/A,TRUE,"Acq-Ass";#N/A,#N/A,TRUE,"Acq-IS";#N/A,#N/A,TRUE,"Acq-BS";#N/A,#N/A,TRUE,"Acq-CF"}</definedName>
    <definedName name="wrn.AcqState1" localSheetId="12" hidden="1">{#N/A,#N/A,TRUE,"Acq-Ass";#N/A,#N/A,TRUE,"Acq-IS";#N/A,#N/A,TRUE,"Acq-BS";#N/A,#N/A,TRUE,"Acq-CF"}</definedName>
    <definedName name="wrn.Acquiror." localSheetId="12" hidden="1">{#N/A,#N/A,TRUE,"Acq-Ass";#N/A,#N/A,TRUE,"Acq-IS";#N/A,#N/A,TRUE,"Acq-BS";#N/A,#N/A,TRUE,"Acq-CF";#N/A,#N/A,TRUE,"Acq-Proj";#N/A,#N/A,TRUE,"Acq-CapEx";#N/A,#N/A,TRUE,"Acq-Debt";#N/A,#N/A,TRUE,"Acq-Int";#N/A,#N/A,TRUE,"Acq-BD";#N/A,#N/A,TRUE,"Acq-TD";#N/A,#N/A,TRUE,"Acq-Taxes";#N/A,#N/A,TRUE,"Acq-Credit";#N/A,#N/A,TRUE,"Acq-Val";#N/A,#N/A,TRUE,"Acq-Mult Val"}</definedName>
    <definedName name="wrn.Acquisition_matrix." localSheetId="12" hidden="1">{"Acq_matrix",#N/A,FALSE,"Acquisition Matrix"}</definedName>
    <definedName name="wrn.AcqVal." localSheetId="12" hidden="1">{#N/A,#N/A,FALSE,"Acq-Val";#N/A,#N/A,FALSE,"Acq-Mult Val"}</definedName>
    <definedName name="wrn.adj95." localSheetId="12" hidden="1">{"adj95mult",#N/A,FALSE,"COMPCO";"adj95est",#N/A,FALSE,"COMPCO"}</definedName>
    <definedName name="wrn.adj95a" localSheetId="12" hidden="1">{"adj95mult",#N/A,FALSE,"COMPCO";"adj95est",#N/A,FALSE,"COMPCO"}</definedName>
    <definedName name="wrn.AGING._.ALL." localSheetId="12" hidden="1">{#N/A,#N/A,FALSE,"CURR-AG";#N/A,#N/A,FALSE,"BDS-AG";#N/A,#N/A,FALSE,"GOLD-AG";#N/A,#N/A,FALSE,"EXOT-AG";#N/A,#N/A,FALSE,"EQTY-AG";#N/A,#N/A,FALSE,"EMG RP-AG";#N/A,#N/A,FALSE,"$REPO-AG";#N/A,#N/A,FALSE,"PFD EQTY-AG";#N/A,#N/A,FALSE,"EMG BDS-AG";#N/A,#N/A,FALSE,"LATIN$-AG";#N/A,#N/A,FALSE,"DERIV-AG";#N/A,#N/A,FALSE,"EAST$-AG";#N/A,#N/A,FALSE,"NON-MEX-AG";#N/A,#N/A,FALSE,"ELECT-AG"}</definedName>
    <definedName name="wrn.Aging._.and._.Trend._.Analysis." localSheetId="12" hidden="1">{#N/A,#N/A,FALSE,"Aging Summary";#N/A,#N/A,FALSE,"Ratio Analysis";#N/A,#N/A,FALSE,"Test 120 Day Accts";#N/A,#N/A,FALSE,"Tickmarks"}</definedName>
    <definedName name="wrn.Aging._.and._.Trend._.Analysis._1" localSheetId="12" hidden="1">{#N/A,#N/A,FALSE,"Aging Summary";#N/A,#N/A,FALSE,"Ratio Analysis";#N/A,#N/A,FALSE,"Test 120 Day Accts";#N/A,#N/A,FALSE,"Tickmarks"}</definedName>
    <definedName name="wrn.Aging._.and._.Trend._.Analysis._1_1" localSheetId="12" hidden="1">{#N/A,#N/A,FALSE,"Aging Summary";#N/A,#N/A,FALSE,"Ratio Analysis";#N/A,#N/A,FALSE,"Test 120 Day Accts";#N/A,#N/A,FALSE,"Tickmarks"}</definedName>
    <definedName name="wrn.Aging._.and._.Trend._.Analysis._1_2" localSheetId="12" hidden="1">{#N/A,#N/A,FALSE,"Aging Summary";#N/A,#N/A,FALSE,"Ratio Analysis";#N/A,#N/A,FALSE,"Test 120 Day Accts";#N/A,#N/A,FALSE,"Tickmarks"}</definedName>
    <definedName name="wrn.Aging._.and._.Trend._.Analysis._1_3" localSheetId="12" hidden="1">{#N/A,#N/A,FALSE,"Aging Summary";#N/A,#N/A,FALSE,"Ratio Analysis";#N/A,#N/A,FALSE,"Test 120 Day Accts";#N/A,#N/A,FALSE,"Tickmarks"}</definedName>
    <definedName name="wrn.Aging._.and._.Trend._.Analysis._1_4" localSheetId="12" hidden="1">{#N/A,#N/A,FALSE,"Aging Summary";#N/A,#N/A,FALSE,"Ratio Analysis";#N/A,#N/A,FALSE,"Test 120 Day Accts";#N/A,#N/A,FALSE,"Tickmarks"}</definedName>
    <definedName name="wrn.Aging._.and._.Trend._.Analysis._2" localSheetId="12" hidden="1">{#N/A,#N/A,FALSE,"Aging Summary";#N/A,#N/A,FALSE,"Ratio Analysis";#N/A,#N/A,FALSE,"Test 120 Day Accts";#N/A,#N/A,FALSE,"Tickmarks"}</definedName>
    <definedName name="wrn.Aging._.and._.Trend._.Analysis._3" localSheetId="12" hidden="1">{#N/A,#N/A,FALSE,"Aging Summary";#N/A,#N/A,FALSE,"Ratio Analysis";#N/A,#N/A,FALSE,"Test 120 Day Accts";#N/A,#N/A,FALSE,"Tickmarks"}</definedName>
    <definedName name="wrn.Aging._.and._.Trend._.Analysis._4" localSheetId="12" hidden="1">{#N/A,#N/A,FALSE,"Aging Summary";#N/A,#N/A,FALSE,"Ratio Analysis";#N/A,#N/A,FALSE,"Test 120 Day Accts";#N/A,#N/A,FALSE,"Tickmarks"}</definedName>
    <definedName name="wrn.Aging._.and._.Trend._.Analysis._5" localSheetId="12" hidden="1">{#N/A,#N/A,FALSE,"Aging Summary";#N/A,#N/A,FALSE,"Ratio Analysis";#N/A,#N/A,FALSE,"Test 120 Day Accts";#N/A,#N/A,FALSE,"Tickmarks"}</definedName>
    <definedName name="wrn.ALAN." localSheetId="12" hidden="1">{"CREDIT STATISTICS",#N/A,FALSE,"STATS";"CF_AND_IS",#N/A,FALSE,"PLAN";"DEBT SCHEDULE",#N/A,FALSE,"PLAN";"SUBSCRIBERS",#N/A,FALSE,"PLAN";"DETAIL_REV",#N/A,FALSE,"PLAN";"DETAIL_EXPENSE",#N/A,FALSE,"PLAN";"SALES_AND EXP_DRIVERS",#N/A,FALSE,"PLAN";"FIXED ASSETS",#N/A,FALSE,"PLAN";"DEPRECIATION SCHEDULE",#N/A,FALSE,"PLAN"}</definedName>
    <definedName name="wrn.Alex." localSheetId="12" hidden="1">{#N/A,#N/A,FALSE,"TradeSumm";#N/A,#N/A,FALSE,"StatsSumm"}</definedName>
    <definedName name="wrn.all." localSheetId="12" hidden="1">{#N/A,#N/A,TRUE,"Title_Page";#N/A,#N/A,TRUE,"Tax_Income_Sum";#N/A,#N/A,TRUE,"GL_Mgmt_Rec";#N/A,#N/A,TRUE,"Long_Term_Accrual";#N/A,#N/A,TRUE,"Reserves";#N/A,#N/A,TRUE,"Contributions";#N/A,#N/A,TRUE,"R&amp;D Credit";#N/A,#N/A,TRUE,"Unicap";#N/A,#N/A,TRUE,"Other_Income";#N/A,#N/A,TRUE,"Other_Deduction";#N/A,#N/A,TRUE,"Increase_RE";#N/A,#N/A,TRUE,"Decrease_RE";#N/A,#N/A,TRUE,"Cafe_Subsidy";#N/A,#N/A,TRUE,"Std. Reclass Adjstmnts";#N/A,#N/A,TRUE,"LT Accruals BT-1A";#N/A,#N/A,TRUE,"Sch. M-1 Adjstmnts"}</definedName>
    <definedName name="wrn.All._.Financials." localSheetId="12" hidden="1">{#N/A,#N/A,TRUE,"Assumptions";#N/A,#N/A,TRUE,"Op Projection";#N/A,#N/A,TRUE,"Capital";#N/A,#N/A,TRUE,"Income";#N/A,#N/A,TRUE,"Balance";#N/A,#N/A,TRUE,"Sources&amp;Uses"}</definedName>
    <definedName name="wrn.All._.First._.Pass._.Schedules." localSheetId="12"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graphs." localSheetId="12" hidden="1">{#N/A,#N/A,FALSE,"total telco cost ";#N/A,#N/A,FALSE,"# min per month EEA";#N/A,#N/A,FALSE,"# min per month LSA";#N/A,#N/A,FALSE,"# min per month 800";#N/A,#N/A,FALSE,"# min per month WATS";#N/A,#N/A,FALSE,"# min per month X-BORDER";#N/A,#N/A,FALSE,"# min per month Intl";#N/A,#N/A,FALSE,"mthly revenue";#N/A,#N/A,FALSE,"total telco cost as % of rev";#N/A,#N/A,FALSE,"res per bus revenue min split";#N/A,#N/A,FALSE,"# DALS";#N/A,#N/A,FALSE,"% of total min by axs type";#N/A,#N/A,FALSE,"telco cost per rev minute";#N/A,#N/A,FALSE,"rev per rev minute";#N/A,#N/A,FALSE,"contribution per minute"}</definedName>
    <definedName name="wrn.all._.gulp._.sheets." localSheetId="12"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input." localSheetId="12"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AGES." localSheetId="12" hidden="1">{#N/A,#N/A,FALSE,"puboff";#N/A,#N/A,FALSE,"financials";#N/A,#N/A,FALSE,"valuation";#N/A,#N/A,FALSE,"split"}</definedName>
    <definedName name="wrn.all._.print." localSheetId="12" hidden="1">{#N/A,#N/A,FALSE,"Summary";#N/A,#N/A,FALSE,"Edit";#N/A,#N/A,FALSE,"MedProf";#N/A,#N/A,FALSE,"Proj Mgt";#N/A,#N/A,FALSE,"Creat Svc";#N/A,#N/A,FALSE,"Meet Svc";#N/A,#N/A,FALSE,"Non-OCC";#N/A,#N/A,FALSE,"Client Svc";#N/A,#N/A,FALSE,"Bus Dev";#N/A,#N/A,FALSE,"Indirect"}</definedName>
    <definedName name="wrn.All._.Scenarios." localSheetId="12" hidden="1">{#N/A,"Mine Allocated; Keep AC",FALSE,"Transaction Summary";#N/A,"Mine Allocated; Sell AC",FALSE,"Transaction Summary";#N/A,"Commodity; Keep AC",FALSE,"Transaction Summary";#N/A,"Commodity; Sell AC",FALSE,"Transaction Summary";#N/A,"Step-Up; Keep AC",FALSE,"Transaction Summary";#N/A,"Step-Up; Sell AC",FALSE,"Transaction Summary"}</definedName>
    <definedName name="wrn.All._.Schedules." localSheetId="12" hidden="1">{#N/A,#N/A,FALSE,"Assumptions";#N/A,#N/A,FALSE,"Inc Stmt";#N/A,#N/A,FALSE,"Stats";#N/A,#N/A,FALSE,"Existing Business";#N/A,#N/A,FALSE,"New Business";#N/A,#N/A,FALSE,"Labor";#N/A,#N/A,FALSE,"Vehicles";#N/A,#N/A,FALSE,"Facilities";#N/A,#N/A,FALSE,"Indirect Costs";#N/A,#N/A,FALSE,"Capital";#N/A,#N/A,FALSE,"CABR Form";#N/A,#N/A,FALSE,"Corp Costs"}</definedName>
    <definedName name="wrn.ALL._.SHEETS." localSheetId="12" hidden="1">{#N/A,#N/A,FALSE,"Adj Proj";#N/A,#N/A,FALSE,"Sheet1";#N/A,#N/A,FALSE,"LBO";#N/A,#N/A,FALSE,"LBOMER";#N/A,#N/A,FALSE,"WACC";#N/A,#N/A,FALSE,"DCF";#N/A,#N/A,FALSE,"DCFMER";#N/A,#N/A,FALSE,"Pooling";#N/A,#N/A,FALSE,"income";#N/A,#N/A,FALSE,"Offer"}</definedName>
    <definedName name="wrn.ALL._.STATEMENTS." localSheetId="12" hidden="1">{"BALANCE SHEET",#N/A,FALSE,"Balance Sheet";"INCOME STATEMENT",#N/A,FALSE,"Income Statement";"STMT OF CASH FLOWS",#N/A,FALSE,"Cash Flows Indirect";"PARTNERS CAPITAL STMT",#N/A,FALSE,"Partners Capital"}</definedName>
    <definedName name="wrn.All._.Views." localSheetId="12" hidden="1">{#N/A,#N/A,FALSE,"Summary";#N/A,#N/A,FALSE,"Signatures";#N/A,#N/A,FALSE,"FL Current";#N/A,#N/A,FALSE,"Assumptions";#N/A,#N/A,FALSE,"Assumptions";#N/A,#N/A,FALSE,"Assumptions";#N/A,#N/A,FALSE,"FL Last";#N/A,#N/A,FALSE,"FL Orig";#N/A,#N/A,FALSE,"C to G Explain"}</definedName>
    <definedName name="wrn.All._.Worksheets." localSheetId="12"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ll._1" localSheetId="12"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1_1" localSheetId="12"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1_2" localSheetId="12"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1_3" localSheetId="12"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1_4" localSheetId="12"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2" localSheetId="12"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3" localSheetId="12"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4" localSheetId="12"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_5" localSheetId="12"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wrn.all.2" localSheetId="12" hidden="1">{#N/A,#N/A,FALSE,"DCF";#N/A,#N/A,FALSE,"WACC";#N/A,#N/A,FALSE,"Sales_EBIT";#N/A,#N/A,FALSE,"Capex_Depreciation";#N/A,#N/A,FALSE,"WC";#N/A,#N/A,FALSE,"Interest";#N/A,#N/A,FALSE,"Assumptions"}</definedName>
    <definedName name="wrn.all.views.1" localSheetId="12" hidden="1">{#N/A,#N/A,FALSE,"Summary";#N/A,#N/A,FALSE,"Signatures";#N/A,#N/A,FALSE,"FL Current";#N/A,#N/A,FALSE,"Assumptions";#N/A,#N/A,FALSE,"Assumptions";#N/A,#N/A,FALSE,"Assumptions";#N/A,#N/A,FALSE,"FL Last";#N/A,#N/A,FALSE,"FL Orig";#N/A,#N/A,FALSE,"C to G Explain"}</definedName>
    <definedName name="wrn.all.views.1a" localSheetId="12" hidden="1">{#N/A,#N/A,FALSE,"Summary";#N/A,#N/A,FALSE,"Signatures";#N/A,#N/A,FALSE,"FL Current";#N/A,#N/A,FALSE,"Assumptions";#N/A,#N/A,FALSE,"Assumptions";#N/A,#N/A,FALSE,"Assumptions";#N/A,#N/A,FALSE,"FL Last";#N/A,#N/A,FALSE,"FL Orig";#N/A,#N/A,FALSE,"C to G Explain"}</definedName>
    <definedName name="wrn.all_1" localSheetId="12" hidden="1">{#N/A,#N/A,FALSE,"total telco cost ";#N/A,#N/A,FALSE,"# min per month EEA";#N/A,#N/A,FALSE,"# min per month LSA";#N/A,#N/A,FALSE,"# min per month 800";#N/A,#N/A,FALSE,"# min per month WATS";#N/A,#N/A,FALSE,"# min per month X-BORDER";#N/A,#N/A,FALSE,"# min per month Intl";#N/A,#N/A,FALSE,"mthly revenue";#N/A,#N/A,FALSE,"total telco cost as % of rev";#N/A,#N/A,FALSE,"res per bus revenue min split";#N/A,#N/A,FALSE,"# DALS";#N/A,#N/A,FALSE,"% of total min by axs type";#N/A,#N/A,FALSE,"telco cost per rev minute";#N/A,#N/A,FALSE,"rev per rev minute";#N/A,#N/A,FALSE,"contribution per minute"}</definedName>
    <definedName name="wrn.All_Models." localSheetId="12" hidden="1">{#N/A,#N/A,FALSE,"Summary";#N/A,#N/A,FALSE,"Projections";#N/A,#N/A,FALSE,"Mkt Mults";#N/A,#N/A,FALSE,"DCF";#N/A,#N/A,FALSE,"Accr Dil";#N/A,#N/A,FALSE,"PIC LBO";#N/A,#N/A,FALSE,"MULT10_4";#N/A,#N/A,FALSE,"CBI LBO"}</definedName>
    <definedName name="wrn.All_Sheets." localSheetId="12" hidden="1">{#N/A,#N/A,FALSE,"Projections";#N/A,#N/A,FALSE,"Contribution_Stock";#N/A,#N/A,FALSE,"PF_Combo_Stock";#N/A,#N/A,FALSE,"Projections";#N/A,#N/A,FALSE,"Contribution_Cash";#N/A,#N/A,FALSE,"PF_Combo_Cash";#N/A,#N/A,FALSE,"IPO_Cash"}</definedName>
    <definedName name="wrn.ALL2." localSheetId="12" hidden="1">{#N/A,#N/A,FALSE,"DCF";#N/A,#N/A,FALSE,"WACC";#N/A,#N/A,FALSE,"Sales_EBIT";#N/A,#N/A,FALSE,"Capex_Depreciation";#N/A,#N/A,FALSE,"WC";#N/A,#N/A,FALSE,"Interest";#N/A,#N/A,FALSE,"Assumptions"}</definedName>
    <definedName name="wrn.all3" localSheetId="12" hidden="1">{#N/A,#N/A,FALSE,"assumptions";#N/A,#N/A,FALSE,"v_projcy";#N/A,#N/A,FALSE,"tar_proj";#N/A,#N/A,FALSE,"contrib_annual";#N/A,#N/A,FALSE,"Proforma";#N/A,#N/A,FALSE,"purc_97";#N/A,#N/A,FALSE,"syn_purc_97";#N/A,#N/A,FALSE,"pool_97";#N/A,#N/A,FALSE,"syn_pool_97";#N/A,#N/A,FALSE,"pool1_FY2"}</definedName>
    <definedName name="wrn.ALL4" localSheetId="12" hidden="1">{#N/A,#N/A,FALSE,"ASSUMPTIONS";#N/A,#N/A,FALSE,"Valuation Summary";"page1",#N/A,FALSE,"PRESENTATION";"page2",#N/A,FALSE,"PRESENTATION";#N/A,#N/A,FALSE,"ORIGINAL_ROLLBACK"}</definedName>
    <definedName name="wrn.ALL5" localSheetId="12" hidden="1">{#N/A,#N/A,FALSE,"ASSUMPTIONS";#N/A,#N/A,FALSE,"Valuation Summary";"page1",#N/A,FALSE,"PRESENTATION";"page2",#N/A,FALSE,"PRESENTATION";#N/A,#N/A,FALSE,"ORIGINAL_ROLLBACK"}</definedName>
    <definedName name="wrn.ALL6" localSheetId="12" hidden="1">{#N/A,#N/A,FALSE,"ASSUMPTIONS";#N/A,#N/A,FALSE,"Valuation Summary";"page1",#N/A,FALSE,"PRESENTATION";"page2",#N/A,FALSE,"PRESENTATION";#N/A,#N/A,FALSE,"ORIGINAL_ROLLBACK"}</definedName>
    <definedName name="wrn.ALL8" localSheetId="12" hidden="1">{#N/A,#N/A,FALSE,"ASSUMPTIONS";#N/A,#N/A,FALSE,"Valuation Summary";"page1",#N/A,FALSE,"PRESENTATION";"page2",#N/A,FALSE,"PRESENTATION";#N/A,#N/A,FALSE,"ORIGINAL_ROLLBACK"}</definedName>
    <definedName name="wrn.ALLbutPREMIUM." localSheetId="12" hidden="1">{#N/A,#N/A,FALSE,"Projections";#N/A,#N/A,FALSE,"AccrDil";#N/A,#N/A,FALSE,"PurchPriMult";#N/A,#N/A,FALSE,"Mults7_13";#N/A,#N/A,FALSE,"Mkt Mults";#N/A,#N/A,FALSE,"Acq Mults";#N/A,#N/A,FALSE,"StockPrices";#N/A,#N/A,FALSE,"Prem Paid";#N/A,#N/A,FALSE,"DCF";#N/A,#N/A,FALSE,"AUTO";#N/A,#N/A,FALSE,"Relative Trading";#N/A,#N/A,FALSE,"Mkt Val";#N/A,#N/A,FALSE,"Acq Val"}</definedName>
    <definedName name="wrn.AllDivisions." localSheetId="12" hidden="1">{#N/A,#N/A,TRUE,"buffalo";#N/A,#N/A,TRUE,"chatt";#N/A,#N/A,TRUE,"Griffith";#N/A,#N/A,TRUE,"Hammond";#N/A,#N/A,TRUE,"Harvey";#N/A,#N/A,TRUE,"texas";#N/A,#N/A,TRUE,"Combined"}</definedName>
    <definedName name="wrn.AllModels." localSheetId="12" hidden="1">{#N/A,#N/A,FALSE,"AD_Purchase";#N/A,#N/A,FALSE,"Credit";#N/A,#N/A,FALSE,"PF Acquisition";#N/A,#N/A,FALSE,"PF Offering"}</definedName>
    <definedName name="wrn.allpages." localSheetId="12" hidden="1">{#N/A,#N/A,TRUE,"Historicals";#N/A,#N/A,TRUE,"Charts";#N/A,#N/A,TRUE,"Forecasts"}</definedName>
    <definedName name="wrn.Annexes._.de._.coûts." localSheetId="12" hidden="1">{#N/A,#N/A,FALSE,"Coût des ventes";#N/A,#N/A,FALSE,"Hypothèse - coûts directs";#N/A,#N/A,FALSE,"FGF";#N/A,#N/A,FALSE,"Frais de vente";#N/A,#N/A,FALSE,"Frais d'administration";#N/A,#N/A,FALSE,"Frais financiers";#N/A,#N/A,FALSE,"Achats - Débours";#N/A,#N/A,FALSE,"Salaires";#N/A,#N/A,FALSE,"Taxes"}</definedName>
    <definedName name="wrn.Annual._.Report." localSheetId="12" hidden="1">{#N/A,#N/A,FALSE,"TABLE_1 YTD- VALUES LAST YR(2)"}</definedName>
    <definedName name="wrn.Anteilig._.alle._.Perioden." localSheetId="12" hidden="1">{"Alle Perioden",#N/A,FALSE,"Erf";"Alle Perioden",#N/A,FALSE,"Ang";"Alle Perioden",#N/A,FALSE,"BV";"Alle Perioden",#N/A,FALSE,"BE";"Alle Perioden",#N/A,FALSE,"Re";"Alle Perioden",#N/A,FALSE,"Vol"}</definedName>
    <definedName name="wrn.Anteilig._.erste._.elf._.Perioden." localSheetId="12" hidden="1">{"Erste elf Perioden",#N/A,FALSE,"Erf";"Erste elf Perioden",#N/A,FALSE,"Ang";"Erste elf Perioden",#N/A,FALSE,"BV";"Erste elf Perioden",#N/A,FALSE,"BE";"Erste elf Perioden",#N/A,FALSE,"Vol";"Erste elf Perioden",#N/A,FALSE,"Re"}</definedName>
    <definedName name="wrn.April._.Consolidated." localSheetId="12" hidden="1">{#N/A,#N/A,FALSE,"Consol BS";#N/A,#N/A,FALSE,"Consol IS";#N/A,#N/A,FALSE,"Cash Flow";#N/A,#N/A,FALSE,"Consol Equity";#N/A,#N/A,FALSE,"BS vs. Plan";#N/A,#N/A,FALSE,"Mo vs. Plan";#N/A,#N/A,FALSE,"Mo. vs. Prior Yr";#N/A,#N/A,FALSE,"YTD vs. Plan";#N/A,#N/A,FALSE,"YTD vs. Prior Yr";#N/A,#N/A,FALSE,"Cash Flow Mo vs. Plan";#N/A,#N/A,FALSE,"Cash Flow Mo vs. Prior Yr";#N/A,#N/A,FALSE,"Cash Flow YTD vs. Plan";#N/A,#N/A,FALSE,"Cash Flow YTD vs. Prior Yr";#N/A,#N/A,FALSE,"Seg BS";#N/A,#N/A,FALSE,"Seg IS";#N/A,#N/A,FALSE,"Seg Cash";#N/A,#N/A,FALSE,"Str IS";#N/A,#N/A,FALSE,"Art IS";#N/A,#N/A,FALSE,"History BS";#N/A,#N/A,FALSE,"History IS";#N/A,#N/A,FALSE,"History Cash";#N/A,#N/A,FALSE,"Imp IS";#N/A,#N/A,FALSE,"Gross to Net";#N/A,#N/A,FALSE,"Ratio Summary";#N/A,#N/A,FALSE,"Union";#N/A,#N/A,FALSE,"Midwest";#N/A,#N/A,FALSE,"Ratios - 5";#N/A,#N/A,FALSE,"Ratios - 6";#N/A,#N/A,FALSE,"Ratios - 7";#N/A,#N/A,FALSE,"Ratios - 8";#N/A,#N/A,FALSE,"Ratios - 9"}</definedName>
    <definedName name="wrn.April._.Financials." localSheetId="12" hidden="1">{"Statement of Income",#N/A,TRUE,"Mar99";"Balance Sheet",#N/A,TRUE,"Mar99"}</definedName>
    <definedName name="wrn.April._.other._.sched.." localSheetId="12" hidden="1">{#N/A,#N/A,FALSE,"Union";#N/A,#N/A,FALSE,"Reserves";#N/A,#N/A,FALSE,"Head Ct";#N/A,#N/A,FALSE,"Str AR";#N/A,#N/A,FALSE,"Str AP";#N/A,#N/A,FALSE,"Art AR";#N/A,#N/A,FALSE,"Art AP";#N/A,#N/A,FALSE,"Imp AR";#N/A,#N/A,FALSE,"Imp AP"}</definedName>
    <definedName name="wrn.AQUIROR._.DCF." localSheetId="12" hidden="1">{"AQUIRORDCF",#N/A,FALSE,"Merger consequences";"Acquirorassns",#N/A,FALSE,"Merger consequences"}</definedName>
    <definedName name="wrn.AR._.PACKAGE." localSheetId="12" hidden="1">{#N/A,#N/A,FALSE,"BR-Gross";#N/A,#N/A,FALSE,"AGING COMP";#N/A,#N/A,FALSE,"BR-Net";#N/A,#N/A,FALSE,"RECSUB";#N/A,#N/A,FALSE,"BILL94";#N/A,#N/A,FALSE,"L.D.S. Rep 1"}</definedName>
    <definedName name="wrn.asg." localSheetId="12" hidden="1">{#N/A,#N/A,FALSE,"Exh 1";#N/A,#N/A,FALSE,"Exh 2";#N/A,#N/A,FALSE,"Exh 2a";#N/A,#N/A,FALSE,"Exh 3";#N/A,#N/A,FALSE,"Exhib 4";#N/A,#N/A,FALSE,"eh 5";#N/A,#N/A,FALSE,"Exh 6"}</definedName>
    <definedName name="wrn.Asia." localSheetId="1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Total._.Variance." localSheetId="12" hidden="1">{#N/A,#N/A,FALSE,"Asia"}</definedName>
    <definedName name="wrn.assets." localSheetId="12" hidden="1">{"assets",#N/A,FALSE,"BSCON894"}</definedName>
    <definedName name="wrn.Assumption._.Book." localSheetId="12" hidden="1">{#N/A,#N/A,FALSE,"Model Assumptions"}</definedName>
    <definedName name="wrn.Assumptions." localSheetId="12" hidden="1">{"Assumptions",#N/A,FALSE,"Assum"}</definedName>
    <definedName name="wrn.AUST._.FINANCIALS." localSheetId="12" hidden="1">{#N/A,#N/A,TRUE,"BUD VS ACT AUST 96";#N/A,#N/A,TRUE,"96 COMP P&amp;L-AUST";#N/A,#N/A,TRUE,"COMP BS-AUSTRALIA";#N/A,#N/A,TRUE,"B/S - AUSTR."}</definedName>
    <definedName name="wrn.Auto._.Comp." localSheetId="12" hidden="1">{#N/A,#N/A,FALSE,"Sheet1"}</definedName>
    <definedName name="wrn.Backup." localSheetId="12" hidden="1">{#N/A,#N/A,FALSE,"Balance";#N/A,#N/A,FALSE,"TDFX";#N/A,#N/A,FALSE,"TDDDF";#N/A,#N/A,FALSE,"ADI";#N/A,#N/A,FALSE,"CUBE";#N/A,#N/A,FALSE,"DIMD";#N/A,#N/A,FALSE,"ZRAN";#N/A,#N/A,FALSE,"GNMC"}</definedName>
    <definedName name="wrn.BALANCE._.SHEET." localSheetId="12" hidden="1">{"BALANCE SHEET",#N/A,FALSE,"Balance Sheet"}</definedName>
    <definedName name="wrn.balance._.sheet2." localSheetId="12" hidden="1">{"bs",#N/A,FALSE,"SCF"}</definedName>
    <definedName name="wrn.balance._.sheet3." localSheetId="12" hidden="1">{"bs",#N/A,FALSE,"SCF"}</definedName>
    <definedName name="wrn.balance._.sheet4." localSheetId="12" hidden="1">{"bs",#N/A,FALSE,"SCF"}</definedName>
    <definedName name="wrn.Balance._.Sheets." localSheetId="12" hidden="1">{#N/A,#N/A,FALSE,"Bal sht";"Qtrly Bal Sht",#N/A,FALSE,"Bal sht - QTR"}</definedName>
    <definedName name="wrn.Balance._.sheets._.FY01._.to._.FY03." localSheetId="12" hidden="1">{"BS FY01",#N/A,FALSE,"P &amp; L";"BS FY02",#N/A,FALSE,"P &amp; L";"BS FY03",#N/A,FALSE,"P &amp; L"}</definedName>
    <definedName name="wrn.balance._sheet2." localSheetId="12" hidden="1">{"bs",#N/A,FALSE,"SCF"}</definedName>
    <definedName name="wrn.bank._.model." localSheetId="12" hidden="1">{"banks",#N/A,FALSE,"BASIC"}</definedName>
    <definedName name="wrn.Bank._.of._.America." localSheetId="12" hidden="1">{#N/A,#N/A,TRUE,"Cover_Page";#N/A,#N/A,TRUE,"Balance Sheet FY12";#N/A,#N/A,TRUE,"Debt Covenants_BofA_Cons";#N/A,#N/A,TRUE,"Consolidated-Cash Flow";#N/A,#N/A,TRUE,"CY_Per Inc FY12";#N/A,#N/A,TRUE,"Income FY12";#N/A,#N/A,TRUE,"Consolidated"}</definedName>
    <definedName name="wrn.Bank._.Report." localSheetId="12"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ers." localSheetId="12"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wrn.Barranca." localSheetId="12" hidden="1">{#N/A,#N/A,FALSE,"Barranca"}</definedName>
    <definedName name="wrn.Basic." localSheetId="12" hidden="1">{#N/A,#N/A,FALSE,"Cover";#N/A,#N/A,FALSE,"Assumptions";#N/A,#N/A,FALSE,"Acquirer";#N/A,#N/A,FALSE,"Target";#N/A,#N/A,FALSE,"Income Statement";#N/A,#N/A,FALSE,"Summary Tables"}</definedName>
    <definedName name="wrn.Basic._.Report." localSheetId="12" hidden="1">{#N/A,#N/A,FALSE,"New Depr Sch-150% DB";#N/A,#N/A,FALSE,"Cash Flows RLP";#N/A,#N/A,FALSE,"IRR";#N/A,#N/A,FALSE,"Proforma IS";#N/A,#N/A,FALSE,"Assumptions"}</definedName>
    <definedName name="wrn.basics." localSheetId="12" hidden="1">{#N/A,#N/A,FALSE,"TSUM";#N/A,#N/A,FALSE,"shares";#N/A,#N/A,FALSE,"earnout";#N/A,#N/A,FALSE,"Heaty";#N/A,#N/A,FALSE,"self-tend";#N/A,#N/A,FALSE,"self-sum"}</definedName>
    <definedName name="wrn.BD._.FINAL." localSheetId="12" hidden="1">{#N/A,#N/A,FALSE,"Cover";#N/A,#N/A,FALSE,"Index";#N/A,#N/A,FALSE,"HL";#N/A,#N/A,FALSE,"BS ACCTS";#N/A,#N/A,FALSE,"Table";#N/A,#N/A,FALSE,"Summ";#N/A,#N/A,FALSE,"ComAn-finished";#N/A,#N/A,FALSE,"SmbAn-FINISHED";#N/A,#N/A,FALSE,"RebAn";#N/A,#N/A,FALSE,"ComR";#N/A,#N/A,FALSE,"SmbR-FINISHED";#N/A,#N/A,FALSE,"RebR-FINISHED";#N/A,#N/A,FALSE,"RC";#N/A,#N/A,FALSE,"NetR";#N/A,#N/A,FALSE,"Non-Trade";#N/A,#N/A,FALSE,"Notes Receivables";#N/A,#N/A,FALSE,"ComP-diteck-FINISHED";#N/A,#N/A,FALSE,"SmbP-finished";#N/A,#N/A,FALSE,"RebP-DITECK-FINISHED";#N/A,#N/A,FALSE,"NetP";#N/A,#N/A,FALSE,"AllcompanyG";#N/A,#N/A,FALSE,"AR 91+&gt;100K"}</definedName>
    <definedName name="wrn.BD._.Preliminary." localSheetId="12" hidden="1">{#N/A,#N/A,FALSE,"Cover";#N/A,#N/A,FALSE,"Index";#N/A,#N/A,FALSE,"HL";#N/A,#N/A,FALSE,"Table";#N/A,#N/A,FALSE,"Summ";#N/A,#N/A,FALSE,"ComR";#N/A,#N/A,FALSE,"SmbR-FINISHED";#N/A,#N/A,FALSE,"RebR-FINISHED";#N/A,#N/A,FALSE,"Specific Provision";#N/A,#N/A,FALSE,"NetR";#N/A,#N/A,FALSE,"Non-Trade";#N/A,#N/A,FALSE,"ComP-diteck-FINISHED";#N/A,#N/A,FALSE,"SmbP-finished";#N/A,#N/A,FALSE,"RebP-DITECK-FINISHED";#N/A,#N/A,FALSE,"NetP";#N/A,#N/A,FALSE,"AllcompanyG";#N/A,#N/A,FALSE,"AR 91+&gt;100K"}</definedName>
    <definedName name="wrn.BGEN." localSheetId="12" hidden="1">{"Revenue",#N/A,FALSE,"Revenue";"QEarn1",#N/A,FALSE,"Qearn";"QEarn2",#N/A,FALSE,"Qearn";"QMargin",#N/A,FALSE,"Margin";"Cashflow",#N/A,FALSE,"Cashflow";"Product Pipeline",#N/A,FALSE,"Product Pipeline";"Comment Model",#N/A,FALSE,"Comment P&amp;L"}</definedName>
    <definedName name="wrn.BID." localSheetId="12" hidden="1">{"PAGE1",#N/A,FALSE,"BID (3)";"PAGE2",#N/A,FALSE,"BID (3)"}</definedName>
    <definedName name="wrn.BidCo." localSheetId="12" hidden="1">{#N/A,#N/A,FALSE,"BidCo Assumptions";#N/A,#N/A,FALSE,"Credit Stats";#N/A,#N/A,FALSE,"Bidco Summary";#N/A,#N/A,FALSE,"BIDCO Consolidated"}</definedName>
    <definedName name="wrn.BKD." localSheetId="12" hidden="1">{#N/A,#N/A,FALSE,"Cover_Page";#N/A,#N/A,FALSE,"Balance Sheet FY12";#N/A,#N/A,FALSE,"Debt Covenants_US Bank_Cons";#N/A,#N/A,FALSE,"Debt Covenants_BofA_Cons";#N/A,#N/A,FALSE,"Consolidated-Cash Flow";#N/A,#N/A,FALSE,"CY_Per Inc FY12";#N/A,#N/A,FALSE,"Income FY12";#N/A,#N/A,FALSE,"Consolidated"}</definedName>
    <definedName name="wrn.bm" localSheetId="12"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oard._.Package." localSheetId="12" hidden="1">{#N/A,#N/A,FALSE,"Summary";#N/A,#N/A,FALSE,"GOAM";#N/A,#N/A,FALSE,"WYND";#N/A,#N/A,FALSE,"Presentation BS";#N/A,#N/A,FALSE,"P&amp;L CUMM";#N/A,#N/A,FALSE,"Cash Flow CUMM";#N/A,#N/A,FALSE,"Equity";#N/A,#N/A,FALSE,"P&amp;L QTD";#N/A,#N/A,FALSE,"Cash Flow Qtr";#N/A,#N/A,FALSE,"P&amp;L MONTH";#N/A,#N/A,FALSE,"Cash Flow Month"}</definedName>
    <definedName name="wrn.Breakout." localSheetId="12" hidden="1">{#N/A,#N/A,FALSE,"BreakoutFY95";#N/A,#N/A,FALSE,"BreakoutFY96";#N/A,#N/A,FALSE,"BreakoutFY97";#N/A,#N/A,FALSE,"BreakoutFY98"}</definedName>
    <definedName name="wrn.Budget." localSheetId="12" hidden="1">{"Instructions",#N/A,FALSE,"INPUT";"Sharing",#N/A,FALSE,"Sharing";"InputArea",#N/A,FALSE,"INPUT";"Budget",#N/A,FALSE,"INPUT"}</definedName>
    <definedName name="wrn.Budget._.Analysis." localSheetId="12" hidden="1">{#N/A,#N/A,FALSE,"Mill 5"}</definedName>
    <definedName name="wrn.BUDGET2004." localSheetId="12" hidden="1">{#N/A,#N/A,FALSE,"BUD04 HEA";#N/A,#N/A,FALSE,"BUD04 Earnings";#N/A,#N/A,FALSE,"BUD04 Expenses"}</definedName>
    <definedName name="wrn.budgetb." localSheetId="12" hidden="1">{#N/A,#N/A,FALSE,"Total REGN by Month";#N/A,#N/A,FALSE,"Total REGN Board Formats ";#N/A,#N/A,FALSE,"Summary By Dept";#N/A,#N/A,FALSE,"Research";#N/A,#N/A,FALSE,"Protein Science";#N/A,#N/A,FALSE,"Development";#N/A,#N/A,FALSE,"Regulatory";#N/A,#N/A,FALSE,"Clinical";#N/A,#N/A,FALSE,"Pilot Plant";#N/A,#N/A,FALSE,"Site Services";#N/A,#N/A,FALSE,"Administration";#N/A,#N/A,FALSE,"Legal";#N/A,#N/A,FALSE,"Rensselaer";#N/A,#N/A,FALSE,"Corporate";#N/A,#N/A,FALSE,"Plug-Tarrytown";#N/A,#N/A,FALSE,"Plug-Rensselaer"}</definedName>
    <definedName name="wrn.Buildups." localSheetId="12" hidden="1">{"ACQ",#N/A,FALSE,"ACQUISITIONS";"ACQF",#N/A,FALSE,"ACQUISITIONS";"PF",#N/A,FALSE,"PROYECTOVILA";"PV",#N/A,FALSE,"PROYECTOVILA";"Fee Dev",#N/A,FALSE,"DEVELOPMENT GROWTH";"gd",#N/A,FALSE,"DEVELOPMENT GROWTH"}</definedName>
    <definedName name="wrn.bullshit1." localSheetId="12" hidden="1">{#N/A,#N/A,FALSE,"Sheet1";#N/A,#N/A,FALSE,"Summary";#N/A,#N/A,FALSE,"proj1";#N/A,#N/A,FALSE,"proj2"}</definedName>
    <definedName name="wrn.Business._.Report." localSheetId="12" hidden="1">{#N/A,#N/A,FALSE,"Header";#N/A,#N/A,FALSE,"Distribution";#N/A,#N/A,FALSE,"Contents";#N/A,#N/A,FALSE,"Key Deliverables 1";#N/A,#N/A,FALSE,"Key Deliverables 2";#N/A,#N/A,FALSE,"OH&amp;S";#N/A,#N/A,FALSE,"Profit";#N/A,#N/A,FALSE,"EBIT";#N/A,#N/A,FALSE,"Revenue (1)";#N/A,#N/A,FALSE,"Revenue (2)";#N/A,#N/A,FALSE,"Revenue (3)";#N/A,#N/A,FALSE,"Manufacturing Variance";#N/A,#N/A,FALSE,"Repairs &amp; Maintenance";#N/A,#N/A,FALSE,"Fixed Costs";#N/A,#N/A,FALSE,"Operating Costs";#N/A,#N/A,FALSE,"Cash 1";#N/A,#N/A,FALSE,"Cash 2";#N/A,#N/A,FALSE,"Working Capital";#N/A,#N/A,FALSE,"Capex";#N/A,#N/A,FALSE,"Balance Sheet";#N/A,#N/A,FALSE,"Legal";#N/A,#N/A,FALSE,"Five Year History";#N/A,#N/A,FALSE,"No. Twos"}</definedName>
    <definedName name="wrn.Business._.Report._1" localSheetId="12" hidden="1">{#N/A,#N/A,FALSE,"Header";#N/A,#N/A,FALSE,"Distribution";#N/A,#N/A,FALSE,"Contents";#N/A,#N/A,FALSE,"Key Deliverables 1";#N/A,#N/A,FALSE,"Key Deliverables 2";#N/A,#N/A,FALSE,"OH&amp;S";#N/A,#N/A,FALSE,"Profit";#N/A,#N/A,FALSE,"EBIT";#N/A,#N/A,FALSE,"Revenue (1)";#N/A,#N/A,FALSE,"Revenue (2)";#N/A,#N/A,FALSE,"Revenue (3)";#N/A,#N/A,FALSE,"Manufacturing Variance";#N/A,#N/A,FALSE,"Repairs &amp; Maintenance";#N/A,#N/A,FALSE,"Fixed Costs";#N/A,#N/A,FALSE,"Operating Costs";#N/A,#N/A,FALSE,"Cash 1";#N/A,#N/A,FALSE,"Cash 2";#N/A,#N/A,FALSE,"Working Capital";#N/A,#N/A,FALSE,"Capex";#N/A,#N/A,FALSE,"Balance Sheet";#N/A,#N/A,FALSE,"Legal";#N/A,#N/A,FALSE,"Five Year History";#N/A,#N/A,FALSE,"No. Twos"}</definedName>
    <definedName name="wrn.CAG." localSheetId="12" hidden="1">{#N/A,#N/A,FALSE,"CAG"}</definedName>
    <definedName name="wrn.calc_all." localSheetId="12" hidden="1">{"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ANWEST._.GLOBAL." localSheetId="12" hidden="1">{"BS",#N/A,FALSE;"RE",#N/A,FALSE;"IS",#N/A,FALSE;"CASH",#N/A,FALSE}</definedName>
    <definedName name="wrn.Cap._.Budget9_27." localSheetId="12" hidden="1">{"Overview",#N/A,TRUE,"Overview";"New Gen",#N/A,TRUE,"New Gen";"cap-ex",#N/A,TRUE,"Consol cap-ex";"cap-ex",#N/A,TRUE,"APC cap-ex";"cap-ex",#N/A,TRUE,"GPC cap-ex";"cap-ex",#N/A,TRUE,"GUL cap-ex";"cap-ex",#N/A,TRUE,"MPC cap-ex";"cap-ex",#N/A,TRUE,"SAV cap-ex";"cap-ex",#N/A,TRUE,"SEGCO cap-ex";"cap-ex",#N/A,TRUE,"SWE cap-ex"}</definedName>
    <definedName name="wrn.Capital._.Plan._.Report." localSheetId="12" hidden="1">{"Capital Plan CA Schedule",#N/A,TRUE,"Capital Plan";"Capital Plan Summary",#N/A,TRUE,"Capital Plan"}</definedName>
    <definedName name="wrn.Cardiovasculars." localSheetId="12" hidden="1">{#N/A,#N/A,FALSE,"Card";#N/A,#N/A,FALSE,"Prav";#N/A,#N/A,FALSE,"Irbe";#N/A,#N/A,FALSE,"Plavix";#N/A,#N/A,FALSE,"Capt";#N/A,#N/A,FALSE,"Fosi"}</definedName>
    <definedName name="wrn.Carterco." localSheetId="12" hidden="1">{#N/A,#N/A,FALSE,"Carterco"}</definedName>
    <definedName name="wrn.Cash._.Flow." localSheetId="12" hidden="1">{"Cash Flow",#N/A,FALSE,"Cash Flow"}</definedName>
    <definedName name="wrn.cash._.flow._.FY00._.and._.FY01." localSheetId="12" hidden="1">{"cash flow - FY00",#N/A,FALSE,"P &amp; L";"cash flow - FY01",#N/A,FALSE,"P &amp; L"}</definedName>
    <definedName name="wrn.cash._.flow._.FY02._.and._.FY03." localSheetId="12" hidden="1">{"cash flow - FY02",#N/A,FALSE,"P &amp; L";"cash flow - FY03",#N/A,FALSE,"P &amp; L"}</definedName>
    <definedName name="wrn.cash2." localSheetId="12" hidden="1">{#N/A,#N/A,FALSE,"KGFORE94"}</definedName>
    <definedName name="wrn.CEA._.Budget._.months._.sterling." localSheetId="12"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years._.sterling." localSheetId="12"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USD." localSheetId="12" hidden="1">{"CEA Group Budget years USD",#N/A,TRUE,"Profit and Loss";"CEA Group Budget years USD",#N/A,TRUE,"Firm capex";"CEA Group Budget years USD",#N/A,TRUE,"Gross profit analysis";"CEA Group Budget years USD",#N/A,TRUE,"Cashflow";"CEA Group Budget years USD",#N/A,TRUE,"Balance Sheet"}</definedName>
    <definedName name="wrn.CEA._.Group._.budget._.months._.USD." localSheetId="12" hidden="1">{"CEA Group budget months USD",#N/A,TRUE,"Profit and Loss";"CEA Group budget months USD",#N/A,TRUE,"Firm capex";"CEA Group budget months USD",#N/A,TRUE,"Gross profit analysis";"CEA Group budget months USD",#N/A,TRUE,"Cashflow";"CEA Group budget months USD",#N/A,TRUE,"Balance Sheet"}</definedName>
    <definedName name="wrn.CEGH._.Budget._.months._.sterling." localSheetId="12"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USD." localSheetId="12"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years._.sterling." localSheetId="12"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USD." localSheetId="12" hidden="1">{"CEGH Budget years USD",#N/A,TRUE,"Profit and Loss";"CEGH Budget years USD",#N/A,TRUE,"Firm capex";"CEGH Budget years USD",#N/A,TRUE,"Gross profit analysis";"CEGH Budget years USD",#N/A,TRUE,"Cashflow";"CEGH Budget years USD",#N/A,TRUE,"Balance Sheet"}</definedName>
    <definedName name="wrn.CEGH._.sub._.group._.months._.sterling." localSheetId="12"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USD." localSheetId="12" hidden="1">{"CEGH sub group months USD",#N/A,TRUE,"Profit and Loss";"CEGH sub group months USD",#N/A,TRUE,"Firm capex";"CEGH sub group months USD",#N/A,TRUE,"Cashflow";"CEGH sub group months USD",#N/A,TRUE,"Balance Sheet"}</definedName>
    <definedName name="wrn.CEGH._.sub._.group._.years._.sterling." localSheetId="12" hidden="1">{"CEGH sub-group budget years sterling",#N/A,TRUE,"Profit and Loss";"CEGH sub-group budget years sterling",#N/A,TRUE,"Firm capex";"CEGH sub-group budget years sterling",#N/A,TRUE,"Cashflow";"CEGH sub-group budget years sterling",#N/A,TRUE,"Balance Sheet"}</definedName>
    <definedName name="wrn.CEGH._.sub._.group._.years._.USD." localSheetId="12" hidden="1">{"CEGH sub-group years USD",#N/A,TRUE,"Profit and Loss";"CEGH sub-group years USD",#N/A,TRUE,"Firm capex";"CEGH sub-group years USD",#N/A,TRUE,"Cashflow";"CEGH sub-group years USD",#N/A,TRUE,"Balance Sheet"}</definedName>
    <definedName name="wrn.CEI._.Budget._.months._.sterling." localSheetId="12"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USD." localSheetId="12" hidden="1">{"CEI budget months USD",#N/A,TRUE,"Profit and Loss";"CEI budget months USD",#N/A,TRUE,"Firm capex";"CEI budget months USD",#N/A,TRUE,"Gross profit analysis";"CEI budget months USD",#N/A,TRUE,"Cashflow";"CEI budget months USD",#N/A,TRUE,"Balance Sheet"}</definedName>
    <definedName name="wrn.CEI._.Budget._.years._.sterling." localSheetId="12" hidden="1">{"CEI Budget years sterling",#N/A,TRUE,"Profit and Loss";"CEI Budget years sterling",#N/A,TRUE,"Firm capex";"CEI Budget years sterling",#N/A,TRUE,"Gross profit analysis";"CEI Budget years sterling",#N/A,TRUE,"Cashflow";"CEI Budget years sterling",#N/A,TRUE,"Balance Sheet"}</definedName>
    <definedName name="wrn.CEI._.Budget._.years._.USD." localSheetId="12" hidden="1">{"CEI Budget years USD",#N/A,TRUE,"Profit and Loss";"CEI Budget years USD",#N/A,TRUE,"Firm capex";"CEI Budget years USD",#N/A,TRUE,"Gross profit analysis";"CEI Budget years USD",#N/A,TRUE,"Cashflow";"CEI Budget years USD",#N/A,TRUE,"Balance Sheet"}</definedName>
    <definedName name="wrn.Central._.Nervous._.System." localSheetId="12" hidden="1">{#N/A,#N/A,FALSE,"CNS";#N/A,#N/A,FALSE,"Serz";#N/A,#N/A,FALSE,"Ace"}</definedName>
    <definedName name="wrn.chart._.1998" localSheetId="12" hidden="1">{#N/A,#N/A,FALSE,"Summary";#N/A,#N/A,FALSE,"Pending";#N/A,#N/A,FALSE,"Jan'98";#N/A,#N/A,FALSE,"Feb'98";#N/A,#N/A,FALSE,"Mar'98";#N/A,#N/A,FALSE,"Apr'98";#N/A,#N/A,FALSE,"May'98";#N/A,#N/A,FALSE,"June'98";#N/A,#N/A,FALSE,"July'98"}</definedName>
    <definedName name="wrn.Chart._.Printouts." localSheetId="12" hidden="1">{"2 Area",#N/A,TRUE,"Area";"2 Bar",#N/A,TRUE,"Area";"SSB Bar",#N/A,TRUE,"Area";"2 Stacked Bar",#N/A,TRUE,"Area";"2 Stacked Bar 100",#N/A,TRUE,"Area";"2 Stacked Col",#N/A,TRUE,"Area";"2 Stacked Col 100",#N/A,TRUE,"Area";"2 HiLow",#N/A,TRUE,"Area";"2 Line",#N/A,TRUE,"Area";"2 Scatter",#N/A,TRUE,"Area";"2 ColumnLine",#N/A,TRUE,"Area";"2 ScatterLine",#N/A,TRUE,"Area";"2 Football",#N/A,TRUE,"Area";"2 DAPS",#N/A,TRUE,"Area";"2 Rover",#N/A,TRUE,"Area";"2 Student1",#N/A,TRUE,"Area";"2 Student2",#N/A,TRUE,"Area";"2 Student3",#N/A,TRUE,"Area";"2 Column",#N/A,TRUE,"Area";"2 League",#N/A,TRUE,"Area";"2 Pies",#N/A,TRUE,"Area"}</definedName>
    <definedName name="wrn.client." localSheetId="12" hidden="1">{"multiple",#N/A,FALSE,"client";"margins",#N/A,FALSE,"client";"data",#N/A,FALSE,"client"}</definedName>
    <definedName name="wrn.Client3." localSheetId="12" hidden="1">{"data",#N/A,FALSE,"client (3)";"margins",#N/A,FALSE,"client (3)";"multiple",#N/A,FALSE,"client (3)"}</definedName>
    <definedName name="wrn.client4." localSheetId="12" hidden="1">{"multiple",#N/A,FALSE,"client (4)";"margins",#N/A,FALSE,"client (4)";"data",#N/A,FALSE,"client (4)"}</definedName>
    <definedName name="wrn.clientcopy." localSheetId="12"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1." localSheetId="12" hidden="1">{"WACC_clientcopy",#N/A,FALSE,"Inputs";"Beta_clientcopy",#N/A,FALSE,"Inputs";"SCF_clientcopy",#N/A,FALSE,"Inputs";"ProBS_clientcopy",#N/A,FALSE,"Inputs";"BS_clientcopy",#N/A,FALSE,"Inputs";"ProIS_clientcopy",#N/A,FALSE,"Inputs";"IS_clientcopy",#N/A,FALSE,"Inputs";"Ratios_clientcopy",#N/A,FALSE,"Ratios"}</definedName>
    <definedName name="wrn.clientcopy2." localSheetId="12" hidden="1">{"WACC_clientcopy",#N/A,FALSE,"Inputs";"Beta_clientcopy",#N/A,FALSE,"Inputs";"SCF_clientcopy",#N/A,FALSE,"Inputs";"ProBS_clientcopy",#N/A,FALSE,"Inputs";"BS_clientcopy",#N/A,FALSE,"Inputs";"ProIS_clientcopy",#N/A,FALSE,"Inputs";"IS_clientcopy",#N/A,FALSE,"Inputs";"Ratios_clientcopy",#N/A,FALSE,"Ratios"}</definedName>
    <definedName name="wrn.clientcopy3." localSheetId="12" hidden="1">{"WACC_clientcopy",#N/A,FALSE,"Inputs";"Beta_clientcopy",#N/A,FALSE,"Inputs";"SCF_clientcopy",#N/A,FALSE,"Inputs";"ProBS_clientcopy",#N/A,FALSE,"Inputs";"BS_clientcopy",#N/A,FALSE,"Inputs";"ProIS_clientcopy",#N/A,FALSE,"Inputs";"IS_clientcopy",#N/A,FALSE,"Inputs";"Ratios_clientcopy",#N/A,FALSE,"Ratios"}</definedName>
    <definedName name="WRN.CM" localSheetId="12" hidden="1">{#N/A,#N/A,FALSE,"FAB VENDORS";"BUD SUM",#N/A,FALSE,"BUD SUM WO TEX"}</definedName>
    <definedName name="WRN.CM1" localSheetId="12" hidden="1">{#N/A,#N/A,FALSE,"FAB VENDORS";"BUD SUM",#N/A,FALSE,"BUD SUM WO TEX"}</definedName>
    <definedName name="wrn.COGS." localSheetId="12" hidden="1">{"Balt COGS",#N/A,FALSE,"COGS";"Balt Sum",#N/A,FALSE,"SUM";"Balt Defd Var",#N/A,FALSE,"DEFD VAR";"Balt Input Usage",#N/A,FALSE,"INPUT";"Balt Input PPV",#N/A,FALSE,"INPUT"}</definedName>
    <definedName name="wrn.Combination." localSheetId="12"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ED." localSheetId="12" hidden="1">{#N/A,#N/A,FALSE,"INPUTS";#N/A,#N/A,FALSE,"PROFORMA BSHEET";#N/A,#N/A,FALSE,"COMBINED";#N/A,#N/A,FALSE,"HIGH YIELD";#N/A,#N/A,FALSE,"COMB_GRAPHS"}</definedName>
    <definedName name="wrn.ComboResults." localSheetId="12" hidden="1">{#N/A,#N/A,FALSE,"Combo-Ass ";#N/A,#N/A,FALSE,"Combo-AD sum";#N/A,#N/A,FALSE,"Combo-Syn Sens";#N/A,#N/A,FALSE,"Combo-Contr";#N/A,#N/A,FALSE,"Combo-Credit Sum";#N/A,#N/A,FALSE,"Combo-Credit";#N/A,#N/A,FALSE,"Combo-AD";#N/A,#N/A,FALSE,"Combo-AD CF"}</definedName>
    <definedName name="wrn.ComboState." localSheetId="12" hidden="1">{#N/A,#N/A,FALSE,"Combo-Ass ";#N/A,#N/A,FALSE,"Combo-IS";#N/A,#N/A,FALSE,"Combo-BS";#N/A,#N/A,FALSE,"Combo-CF"}</definedName>
    <definedName name="wrn.COMMISSIONER." localSheetId="12" hidden="1">{#N/A,#N/A,FALSE,"BS_OCIF OIB";#N/A,#N/A,FALSE,"PL_OCIF OIB";#N/A,#N/A,FALSE,"SCH_A-B_OCIF OIB";#N/A,#N/A,FALSE,"AVG_CALC OIB"}</definedName>
    <definedName name="wrn.Comp._.and._.Prices." localSheetId="12" hidden="1">{#N/A,#N/A,FALSE,"comp";#N/A,#N/A,FALSE,"Alpha";#N/A,#N/A,FALSE,"Hi";#N/A,#N/A,FALSE,"Lo";#N/A,#N/A,FALSE,"Mkt. Cap";#N/A,#N/A,FALSE,"Categ."}</definedName>
    <definedName name="wrn.Comparisons." localSheetId="12" hidden="1">{#N/A,#N/A,FALSE," IS Comparison";#N/A,#N/A,FALSE,"BS Comparison";#N/A,#N/A,FALSE," SCF Comparison"}</definedName>
    <definedName name="wrn.COMPCO." localSheetId="12" hidden="1">{"Page1",#N/A,FALSE,"CompCo";"Page2",#N/A,FALSE,"CompCo"}</definedName>
    <definedName name="wrn.Compco._.Only." localSheetId="12" hidden="1">{"vi1",#N/A,FALSE,"6_30_96";"vi2",#N/A,FALSE,"6_30_96";"vi3",#N/A,FALSE,"6_30_96"}</definedName>
    <definedName name="wrn.compco2" localSheetId="12" hidden="1">{"mult96",#N/A,FALSE,"PETCOMP";"est96",#N/A,FALSE,"PETCOMP";"mult95",#N/A,FALSE,"PETCOMP";"est95",#N/A,FALSE,"PETCOMP";"multltm",#N/A,FALSE,"PETCOMP";"resultltm",#N/A,FALSE,"PETCOMP"}</definedName>
    <definedName name="wrn.compco3" localSheetId="12" hidden="1">{"mult96",#N/A,FALSE,"PETCOMP";"est96",#N/A,FALSE,"PETCOMP";"mult95",#N/A,FALSE,"PETCOMP";"est95",#N/A,FALSE,"PETCOMP";"multltm",#N/A,FALSE,"PETCOMP";"resultltm",#N/A,FALSE,"PETCOMP"}</definedName>
    <definedName name="wrn.Complete." localSheetId="1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Budget." localSheetId="12"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Report." localSheetId="12" hidden="1">{#N/A,#N/A,FALSE,"Assumptions";#N/A,#N/A,FALSE,"Proforma IS";#N/A,#N/A,FALSE,"Cash Flows RLP";#N/A,#N/A,FALSE,"IRR";#N/A,#N/A,FALSE,"New Depr Sch-150% DB";#N/A,#N/A,FALSE,"Comments"}</definedName>
    <definedName name="wrn.Complete.2" localSheetId="1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4" localSheetId="1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localSheetId="1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4" localSheetId="1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6" localSheetId="1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7" localSheetId="1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9" localSheetId="1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4" localSheetId="1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5" localSheetId="1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6" localSheetId="1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7" localSheetId="1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8" localSheetId="1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9" localSheetId="1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s." localSheetId="12" hidden="1">{#N/A,#N/A,FALSE,"Comps"}</definedName>
    <definedName name="wrn.comps._.and._.DCF_LBO." localSheetId="12" hidden="1">{#N/A,#N/A,FALSE,"MKT.COMPS";#N/A,#N/A,FALSE,"DCF - LBO"}</definedName>
    <definedName name="wrn.comps._1" localSheetId="12" hidden="1">{#N/A,#N/A,FALSE,"Comp"}</definedName>
    <definedName name="wrn.comps._1_1" localSheetId="12" hidden="1">{#N/A,#N/A,FALSE,"Comp"}</definedName>
    <definedName name="wrn.comps._1_2" localSheetId="12" hidden="1">{#N/A,#N/A,FALSE,"Comp"}</definedName>
    <definedName name="wrn.comps._1_3" localSheetId="12" hidden="1">{#N/A,#N/A,FALSE,"Comp"}</definedName>
    <definedName name="wrn.comps._1_4" localSheetId="12" hidden="1">{#N/A,#N/A,FALSE,"Comp"}</definedName>
    <definedName name="wrn.comps._2" localSheetId="12" hidden="1">{#N/A,#N/A,FALSE,"Comp"}</definedName>
    <definedName name="wrn.comps._3" localSheetId="12" hidden="1">{#N/A,#N/A,FALSE,"Comp"}</definedName>
    <definedName name="wrn.comps._4" localSheetId="12" hidden="1">{#N/A,#N/A,FALSE,"Comp"}</definedName>
    <definedName name="wrn.comps._5" localSheetId="12" hidden="1">{#N/A,#N/A,FALSE,"Comp"}</definedName>
    <definedName name="wrn.comps.whatisthis" localSheetId="12" hidden="1">{#N/A,#N/A,FALSE,"Comp"}</definedName>
    <definedName name="wrn.comps.whatisthis_1" localSheetId="12" hidden="1">{#N/A,#N/A,FALSE,"Comp"}</definedName>
    <definedName name="wrn.comps.whatisthis_1_1" localSheetId="12" hidden="1">{#N/A,#N/A,FALSE,"Comp"}</definedName>
    <definedName name="wrn.comps.whatisthis_1_2" localSheetId="12" hidden="1">{#N/A,#N/A,FALSE,"Comp"}</definedName>
    <definedName name="wrn.comps.whatisthis_1_3" localSheetId="12" hidden="1">{#N/A,#N/A,FALSE,"Comp"}</definedName>
    <definedName name="wrn.comps.whatisthis_1_4" localSheetId="12" hidden="1">{#N/A,#N/A,FALSE,"Comp"}</definedName>
    <definedName name="wrn.comps.whatisthis_2" localSheetId="12" hidden="1">{#N/A,#N/A,FALSE,"Comp"}</definedName>
    <definedName name="wrn.comps.whatisthis_3" localSheetId="12" hidden="1">{#N/A,#N/A,FALSE,"Comp"}</definedName>
    <definedName name="wrn.comps.whatisthis_4" localSheetId="12" hidden="1">{#N/A,#N/A,FALSE,"Comp"}</definedName>
    <definedName name="wrn.comps.whatisthis_5" localSheetId="12" hidden="1">{#N/A,#N/A,FALSE,"Comp"}</definedName>
    <definedName name="wrn.Consol." localSheetId="12" hidden="1">{#N/A,#N/A,FALSE,"COVER";#N/A,#N/A,FALSE,"Key Fin'l Performance";#N/A,#N/A,FALSE,"Q2 Target P &amp; L";#N/A,#N/A,FALSE,"Comp. Margin $";#N/A,#N/A,FALSE,"Standard Margin";#N/A,#N/A,FALSE,"Bus Sector";#N/A,#N/A,FALSE,"EBG &amp; GAAP Recon";#N/A,#N/A,FALSE,"EBG P&amp;L Act vs Plan";#N/A,#N/A,FALSE,"EBG P&amp;L Fcst";#N/A,#N/A,FALSE,"EBG P&amp;L Trend";#N/A,#N/A,FALSE,"Key Metrics";#N/A,#N/A,FALSE,"Cum Net Income Chart";#N/A,#N/A,FALSE,"Rev &amp; Mrgn Trend";#N/A,#N/A,FALSE,"Trended Op Ex";#N/A,#N/A,FALSE,"Consol BS";#N/A,#N/A,FALSE,"Consol BS vs Plan";#N/A,#N/A,FALSE,"Consol CF vs Plan";#N/A,#N/A,FALSE,"Asset &amp; Eq Measures";#N/A,#N/A,FALSE,"CCC _PHIL";#N/A,#N/A,FALSE,"Rev &amp; Booking Trend";#N/A,#N/A,FALSE,"Comp Rev Trend VM";#N/A,#N/A,FALSE,"Comp Bookings Trend VM";#N/A,#N/A,FALSE,"Top Customers";#N/A,#N/A,FALSE,"Backlog - Consolidated";#N/A,#N/A,FALSE,"Design Win Summary - Consol";#N/A,#N/A,FALSE,"Headcount Summary";#N/A,#N/A,FALSE,"Std Rpt Pkg Table Contents";#N/A,#N/A,FALSE,"Competitive data";#N/A,#N/A,FALSE,"Glossary"}</definedName>
    <definedName name="wrn.CONSOLIDACIÓN." localSheetId="12" hidden="1">{#N/A,#N/A,FALSE,"CNS_ADJ";"Balance Consolidado",#N/A,FALSE,"BCEC_CNS";#N/A,#N/A,FALSE,"USGAAP_ADJ"}</definedName>
    <definedName name="wrn.Consolidado." localSheetId="12" hidden="1">{#N/A,#N/A,FALSE,"COVER";#N/A,#N/A,FALSE,"Index";#N/A,#N/A,FALSE,"Non-Earning";#N/A,#N/A,FALSE,"Non-Earning_Recovery"}</definedName>
    <definedName name="wrn.Consolidated." localSheetId="12" hidden="1">{#N/A,#N/A,FALSE,"Cover";#N/A,#N/A,FALSE,"Key Indicator";#N/A,#N/A,FALSE,"Key Metrics";#N/A,#N/A,FALSE,"Sectors";#N/A,#N/A,FALSE,"Geo &amp; ASIC";#N/A,#N/A,FALSE,"P&amp;L Comp";#N/A,#N/A,FALSE,"Rev by Grp &amp; VM";#N/A,#N/A,FALSE,"Group Rev Trend";#N/A,#N/A,FALSE,"Margin";#N/A,#N/A,FALSE,"Balance Sheet";#N/A,#N/A,FALSE,"Cash Flow";#N/A,#N/A,FALSE,"GAAP P&amp;L";#N/A,#N/A,FALSE,"P&amp;L Trend";#N/A,#N/A,FALSE,"P&amp;L-ASIC";#N/A,#N/A,FALSE,"P&amp;L-ASSP";#N/A,#N/A,FALSE,"Mfg Recon";#N/A,#N/A,FALSE,"EPS";#N/A,#N/A,FALSE,"Rev Mrgn";#N/A,#N/A,FALSE,"Op Exp";#N/A,#N/A,FALSE,"CCC";#N/A,#N/A,FALSE,"Asset &amp; Equity";#N/A,#N/A,FALSE,"Rev Bkg Bklg";#N/A,#N/A,FALSE,"Bkg Trend";#N/A,#N/A,FALSE,"Booking Linearity";#N/A,#N/A,FALSE,"Top 10";#N/A,#N/A,FALSE,"Design Win";#N/A,#N/A,FALSE,"Headcount"}</definedName>
    <definedName name="wrn.Consolidated._.Statements." localSheetId="12" hidden="1">{"view1",#N/A,FALSE,"EARN (US$)";"view1",#N/A,FALSE,"DASTBS (US$)";"view1",#N/A,FALSE,"DASTCF (US$)"}</definedName>
    <definedName name="wrn.Consolidating." localSheetId="12" hidden="1">{"Consolidated IS",#N/A,FALSE,"Consolidated IS";"Consolidated Detail IS",#N/A,FALSE,"Consolidated Detail IS";"Consolidated Detail Supplemental Info",#N/A,FALSE,"Consolidated Detail IS";"Consolidated CF",#N/A,FALSE,"Consolidated CF";"Consolidated BS",#N/A,FALSE,"Consolidated BS";"Consolidating 1999 Detail IS",#N/A,FALSE,"1999 Detail IS";"Consolidated 1999 Supplemental Info",#N/A,FALSE,"1999 Detail IS";"Consolidating 1998 Detail IS",#N/A,FALSE,"1998 Detail IS";"Consolidating 1998 Supplemental Info",#N/A,FALSE,"1998 Detail IS";"Consolidating 1997 Detail IS",#N/A,FALSE,"1997 Detail IS";"Consolidated 1997 Supplemental Info",#N/A,FALSE,"1997 Detail IS"}</definedName>
    <definedName name="wrn.CONSOLIDATION." localSheetId="12" hidden="1">{"PAGE1",#N/A,FALSE,"Consolidation";"PAGE2",#N/A,FALSE,"Consolidation";"PAGE3",#N/A,FALSE,"Consolidation";"PAGE4",#N/A,FALSE,"Consolidation";"PAGE5",#N/A,FALSE,"Consolidation";"PAGE6",#N/A,FALSE,"Consolidation";"PAGE7",#N/A,FALSE,"Consolidation"}</definedName>
    <definedName name="wrn.Consumer._.Medicines." localSheetId="12" hidden="1">{#N/A,#N/A,FALSE,"OTC";#N/A,#N/A,FALSE,"Ther";#N/A,#N/A,FALSE,"Temp";#N/A,#N/A,FALSE,"Exce";#N/A,#N/A,FALSE,"Buff";#N/A,#N/A,FALSE,"Picot";#N/A,#N/A,FALSE,"Luftal";#N/A,#N/A,FALSE,"Comt"}</definedName>
    <definedName name="wrn.Continous._.Page._.Numbers._.DCF." localSheetId="12"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RACT._.WIP._.1997." localSheetId="12" hidden="1">{#N/A,#N/A,FALSE,"A"}</definedName>
    <definedName name="wrn.contributory._.asset._.charges." localSheetId="12" hidden="1">{"contributory1",#N/A,FALSE,"Contributory Assets Detail";"contributory2",#N/A,FALSE,"Contributory Assets Detail"}</definedName>
    <definedName name="wrn.CORPO." localSheetId="12" hidden="1">{#N/A,#N/A,FALSE,"DIV.CORPO"}</definedName>
    <definedName name="wrn.Corporate." localSheetId="12" hidden="1">{"Corporate",#N/A,FALSE,"Corporate Profile"}</definedName>
    <definedName name="wrn.CORR." localSheetId="12" hidden="1">{"INCSTMT1",#N/A,FALSE,"COR";"INCSTMT2",#N/A,FALSE,"COR"}</definedName>
    <definedName name="wrn.cotop." localSheetId="12" hidden="1">{"ReportTop",#N/A,FALSE,"report top"}</definedName>
    <definedName name="wrn.cotop2." localSheetId="12" hidden="1">{"ReportTop",#N/A,FALSE,"report top"}</definedName>
    <definedName name="wrn.Cover." localSheetId="12" hidden="1">{"coverall",#N/A,FALSE,"Definitions";"cover1",#N/A,FALSE,"Definitions";"cover2",#N/A,FALSE,"Definitions";"cover3",#N/A,FALSE,"Definitions";"cover4",#N/A,FALSE,"Definitions";"cover5",#N/A,FALSE,"Definitions";"blank",#N/A,FALSE,"Definitions"}</definedName>
    <definedName name="wrn.Covers." localSheetId="12" hidden="1">{"view1",#N/A,FALSE,"MOTEARN";"view1",#N/A,FALSE,"Bal Sht";"view1",#N/A,FALSE,"Cash Flows"}</definedName>
    <definedName name="wrn.CPB." localSheetId="12" hidden="1">{#N/A,#N/A,FALSE,"CPB"}</definedName>
    <definedName name="wrn.Credit._.Summary." localSheetId="12" hidden="1">{#N/A,#N/A,FALSE,"Credit Summary"}</definedName>
    <definedName name="wrn.CW." localSheetId="12" hidden="1">{#N/A,#N/A,FALSE,"FAB VENDORS";"BUD SUM",#N/A,FALSE,"BUD SUM WO TEX"}</definedName>
    <definedName name="wrn.Daily." localSheetId="12" hidden="1">{#N/A,#N/A,FALSE,"Input";#N/A,#N/A,FALSE,"BBC";#N/A,#N/A,FALSE,"Sch A";#N/A,#N/A,FALSE,"Sch B";#N/A,#N/A,FALSE,"Ineligible"}</definedName>
    <definedName name="wrn.DAILY._.SALES." localSheetId="12" hidden="1">{"New York",#N/A,FALSE,"NY";"London Et Al",#N/A,FALSE,"NY";"Cash Balance",#N/A,FALSE,"NY"}</definedName>
    <definedName name="wrn.DATA." localSheetId="12" hidden="1">{#N/A,#N/A,FALSE,"WTI";#N/A,#N/A,FALSE,"Cdn Oil";#N/A,#N/A,FALSE,"Cdn Gas";#N/A,#N/A,FALSE,"CDN Gas Exports";#N/A,#N/A,FALSE,"CDN Gas Prod";#N/A,#N/A,FALSE,"CDN Gas Wells";#N/A,#N/A,FALSE,"US Gas";#N/A,#N/A,FALSE,"US Gas Prod";#N/A,#N/A,FALSE,"US Gas Wells";#N/A,#N/A,FALSE,"US Work Gas";#N/A,#N/A,FALSE,"US Rig Count";#N/A,#N/A,FALSE,"US Gas End-Use";#N/A,#N/A,FALSE,"Chem"}</definedName>
    <definedName name="wrn.DataVPN." localSheetId="12" hidden="1">{"Cashflow chart",#N/A,TRUE,"A";"Rev Assumptions",#N/A,TRUE,"B";"Rev Reconcilliation 1",#N/A,TRUE,"B";"Rev Reconcilliation 2",#N/A,TRUE,"B";"exp 1",#N/A,TRUE,"C";"exp 2",#N/A,TRUE,"C";"exp3",#N/A,TRUE,"C";"cap 1",#N/A,TRUE,"D";"exp4",#N/A,TRUE,"C";"cap 2",#N/A,TRUE,"D";"cap 3",#N/A,TRUE,"D";"inputs",#N/A,TRUE,"E"}</definedName>
    <definedName name="wrn.DataVPN1" localSheetId="12" hidden="1">{"Cashflow chart",#N/A,TRUE,"A";"Rev Assumptions",#N/A,TRUE,"B";"Rev Reconcilliation 1",#N/A,TRUE,"B";"Rev Reconcilliation 2",#N/A,TRUE,"B";"exp 1",#N/A,TRUE,"C";"exp 2",#N/A,TRUE,"C";"exp3",#N/A,TRUE,"C";"cap 1",#N/A,TRUE,"D";"exp4",#N/A,TRUE,"C";"cap 2",#N/A,TRUE,"D";"cap 3",#N/A,TRUE,"D";"inputs",#N/A,TRUE,"E"}</definedName>
    <definedName name="wrn.dcf." localSheetId="12" hidden="1">{"mgmt forecast",#N/A,FALSE,"Mgmt Forecast";"dcf table",#N/A,FALSE,"Mgmt Forecast";"sensitivity",#N/A,FALSE,"Mgmt Forecast";"table inputs",#N/A,FALSE,"Mgmt Forecast";"calculations",#N/A,FALSE,"Mgmt Forecast"}</definedName>
    <definedName name="wrn.DCF._.Only." localSheetId="12" hidden="1">{#N/A,#N/A,FALSE,"DCF Summary";#N/A,#N/A,FALSE,"Casema";#N/A,#N/A,FALSE,"Casema NoTel";#N/A,#N/A,FALSE,"UK";#N/A,#N/A,FALSE,"RCF";#N/A,#N/A,FALSE,"Intercable CZ";#N/A,#N/A,FALSE,"Interkabel P"}</definedName>
    <definedName name="wrn.DCF._.Valuation." localSheetId="12" hidden="1">{"value box",#N/A,TRUE,"DPL Inc. Fin Statements";"unlevered free cash flows",#N/A,TRUE,"DPL Inc. Fin Statements"}</definedName>
    <definedName name="wrn.dcf._1" localSheetId="12" hidden="1">{"mgmt forecast",#N/A,FALSE,"Mgmt Forecast";"dcf table",#N/A,FALSE,"Mgmt Forecast";"sensitivity",#N/A,FALSE,"Mgmt Forecast";"table inputs",#N/A,FALSE,"Mgmt Forecast";"calculations",#N/A,FALSE,"Mgmt Forecast"}</definedName>
    <definedName name="wrn.dcf._1_1" localSheetId="12" hidden="1">{"mgmt forecast",#N/A,FALSE,"Mgmt Forecast";"dcf table",#N/A,FALSE,"Mgmt Forecast";"sensitivity",#N/A,FALSE,"Mgmt Forecast";"table inputs",#N/A,FALSE,"Mgmt Forecast";"calculations",#N/A,FALSE,"Mgmt Forecast"}</definedName>
    <definedName name="wrn.dcf._1_2" localSheetId="12" hidden="1">{"mgmt forecast",#N/A,FALSE,"Mgmt Forecast";"dcf table",#N/A,FALSE,"Mgmt Forecast";"sensitivity",#N/A,FALSE,"Mgmt Forecast";"table inputs",#N/A,FALSE,"Mgmt Forecast";"calculations",#N/A,FALSE,"Mgmt Forecast"}</definedName>
    <definedName name="wrn.dcf._1_3" localSheetId="12" hidden="1">{"mgmt forecast",#N/A,FALSE,"Mgmt Forecast";"dcf table",#N/A,FALSE,"Mgmt Forecast";"sensitivity",#N/A,FALSE,"Mgmt Forecast";"table inputs",#N/A,FALSE,"Mgmt Forecast";"calculations",#N/A,FALSE,"Mgmt Forecast"}</definedName>
    <definedName name="wrn.dcf._1_4" localSheetId="12" hidden="1">{"mgmt forecast",#N/A,FALSE,"Mgmt Forecast";"dcf table",#N/A,FALSE,"Mgmt Forecast";"sensitivity",#N/A,FALSE,"Mgmt Forecast";"table inputs",#N/A,FALSE,"Mgmt Forecast";"calculations",#N/A,FALSE,"Mgmt Forecast"}</definedName>
    <definedName name="wrn.dcf._2" localSheetId="12" hidden="1">{"mgmt forecast",#N/A,FALSE,"Mgmt Forecast";"dcf table",#N/A,FALSE,"Mgmt Forecast";"sensitivity",#N/A,FALSE,"Mgmt Forecast";"table inputs",#N/A,FALSE,"Mgmt Forecast";"calculations",#N/A,FALSE,"Mgmt Forecast"}</definedName>
    <definedName name="wrn.dcf._3" localSheetId="12" hidden="1">{"mgmt forecast",#N/A,FALSE,"Mgmt Forecast";"dcf table",#N/A,FALSE,"Mgmt Forecast";"sensitivity",#N/A,FALSE,"Mgmt Forecast";"table inputs",#N/A,FALSE,"Mgmt Forecast";"calculations",#N/A,FALSE,"Mgmt Forecast"}</definedName>
    <definedName name="wrn.dcf._4" localSheetId="12" hidden="1">{"mgmt forecast",#N/A,FALSE,"Mgmt Forecast";"dcf table",#N/A,FALSE,"Mgmt Forecast";"sensitivity",#N/A,FALSE,"Mgmt Forecast";"table inputs",#N/A,FALSE,"Mgmt Forecast";"calculations",#N/A,FALSE,"Mgmt Forecast"}</definedName>
    <definedName name="wrn.dcf._5" localSheetId="12" hidden="1">{"mgmt forecast",#N/A,FALSE,"Mgmt Forecast";"dcf table",#N/A,FALSE,"Mgmt Forecast";"sensitivity",#N/A,FALSE,"Mgmt Forecast";"table inputs",#N/A,FALSE,"Mgmt Forecast";"calculations",#N/A,FALSE,"Mgmt Forecast"}</definedName>
    <definedName name="wrn.DCF_Terminal_Value_qchm." localSheetId="12" hidden="1">{"qchm_dcf",#N/A,FALSE,"QCHMDCF2";"qchm_terminal",#N/A,FALSE,"QCHMDCF2"}</definedName>
    <definedName name="wrn.DCFEpervier." localSheetId="12"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ebt." localSheetId="12" hidden="1">{"debt summary",#N/A,FALSE,"Debt";"loan details",#N/A,FALSE,"Debt"}</definedName>
    <definedName name="wrn.Delchamps." localSheetId="12" hidden="1">{"Operating Data",#N/A,TRUE,"Sheet1";"Valuation Matrix",#N/A,TRUE,"Sheet1";"Sales Analysis",#N/A,TRUE,"Sheet1";"Closed Remodelled New",#N/A,TRUE,"Sheet1";"Competitive and FSP",#N/A,TRUE,"Sheet1";"Working Capital and Capex",#N/A,TRUE,"Sheet1";"depreciation",#N/A,TRUE,"Sheet1"}</definedName>
    <definedName name="wrn.Delinc_Comercial." localSheetId="12" hidden="1">{#N/A,#N/A,FALSE,"COVER";#N/A,#N/A,FALSE,"Index";#N/A,#N/A,FALSE,"Non-Earning";#N/A,#N/A,FALSE,"Commercial";#N/A,#N/A,FALSE,"Detailed"}</definedName>
    <definedName name="wrn.Deltek._.Upload." localSheetId="12" hidden="1">{#N/A,#N/A,FALSE,"Delt Data"}</definedName>
    <definedName name="wrn.depmatrix." localSheetId="12" hidden="1">{"depmatrix",#N/A,FALSE,"DECATUR-DIMMIT"}</definedName>
    <definedName name="wrn.Detail." localSheetId="12" hidden="1">{"SalaryPer",#N/A,FALSE,"INPUT";"WageRate",#N/A,FALSE,"INPUT";"Salary",#N/A,FALSE,"INPUT";"Overtime",#N/A,FALSE,"INPUT";"PagerPay",#N/A,FALSE,"INPUT";"FringeTable",#N/A,FALSE,"INPUT";"Fringes",#N/A,FALSE,"INPUT";"ProfitSharing",#N/A,FALSE,"INPUT"}</definedName>
    <definedName name="wrn.Detail._.Balance._.Sheet." localSheetId="12" hidden="1">{#N/A,#N/A,FALSE,"Detail"}</definedName>
    <definedName name="wrn.Detail._.Income._.Statement." localSheetId="12" hidden="1">{"Facility Detail",#N/A,FALSE,"P&amp;L Detail"}</definedName>
    <definedName name="wrn.Detail_Projection." localSheetId="12" hidden="1">{#N/A,#N/A,FALSE,"Detail YTD"}</definedName>
    <definedName name="wrn.Detailed._.Profit._.and._.Loss." localSheetId="12" hidden="1">{#N/A,#N/A,FALSE,"P&amp;L CONSOLIDATED";#N/A,#N/A,FALSE,"Cyperus";#N/A,#N/A,FALSE,"ANP";#N/A,#N/A,FALSE,"PRNE CORE"}</definedName>
    <definedName name="wrn.devdeal." localSheetId="12" hidden="1">{"top",#N/A,TRUE,"Detail";"next",#N/A,TRUE,"Detail";"then",#N/A,TRUE,"Detail";"and",#N/A,TRUE,"Detail";"inaddition",#N/A,TRUE,"Detail";"finally",#N/A,TRUE,"Detail"}</definedName>
    <definedName name="wrn.Dilution." localSheetId="12" hidden="1">{#N/A,#N/A,FALSE,"FY 1997 (NR)";#N/A,#N/A,FALSE,"FY 1998 (NR)";#N/A,#N/A,FALSE,"Balance";#N/A,#N/A,FALSE,"Matrix (NR)"}</definedName>
    <definedName name="wrn.djall." localSheetId="12" hidden="1">{"djcash",#N/A,FALSE,"DJann";"djinc",#N/A,FALSE,"DJann";"djtaxes",#N/A,FALSE,"DJann";"djbuspub",#N/A,FALSE,"DJann";"djwall",#N/A,FALSE,"DJann";"djcompprs",#N/A,FALSE,"DJann";"djteler",#N/A,FALSE,"DJann"}</definedName>
    <definedName name="wrn.document." localSheetId="12" hidden="1">{"consolidated",#N/A,FALSE,"Sheet1";"cms",#N/A,FALSE,"Sheet1";"fse",#N/A,FALSE,"Sheet1"}</definedName>
    <definedName name="wrn.documentation." localSheetId="12" hidden="1">{"documentation1",#N/A,FALSE,"Documentation";"documentation2",#N/A,FALSE,"Documentation"}</definedName>
    <definedName name="wrn.DOM._.TRAF._.STATS." localSheetId="12" hidden="1">{#N/A,#N/A,FALSE,"Form 41 Commuter Domestic";#N/A,#N/A,FALSE,"FORM41--COMMUTER % CHG";#N/A,#N/A,FALSE,"Total Domestic Traffic Stats";#N/A,#N/A,FALSE,"TOTAL DOM TRAFFIC--% CHG";#N/A,#N/A,FALSE,"TotDomTraf-Large Carriers Only";#N/A,#N/A,FALSE,"TOTDOMTRAF-LARGECAR% CHG"}</definedName>
    <definedName name="wrn.DPI._.Summary." localSheetId="12" hidden="1">{#N/A,#N/A,TRUE,"Summary";#N/A,#N/A,TRUE,"Financials"}</definedName>
    <definedName name="wrn.Druck." localSheetId="12" hidden="1">{#N/A,#N/A,FALSE,"Phase I";#N/A,#N/A,FALSE,"Phase II";#N/A,#N/A,FALSE,"Phase III"}</definedName>
    <definedName name="wrn.DTPLAN." localSheetId="12" hidden="1">{"DTCONSOASSUMPTIONS1",#N/A,FALSE,"CONSO";"DTCONSOASSUMPTIONS2",#N/A,FALSE,"CONSO";"DTCONSOASSUMPTIONS3",#N/A,FALSE,"CONSO";"DTCONSOINCOME",#N/A,FALSE,"CONSO";"DTCOOSAEBITDA",#N/A,FALSE,"COOSA";"DTCONSOCASHFLOW",#N/A,FALSE,"CONSO";"DTCONSOBALANCESHEET",#N/A,FALSE,"CONSO";"DTCONSOCAPEX1",#N/A,FALSE,"CONSO";"DTCONSOCAPEX2",#N/A,FALSE,"CONSO";"DTCONSOCAPEX3",#N/A,FALSE,"CONSO";"DTDONNAASSUMPTIONS1",#N/A,FALSE,"PAPER DONNACONA";"DTDONNAASSUMPTIONS2",#N/A,FALSE,"PAPER DONNACONA";"DTDONNAASSUMPTIONS3",#N/A,FALSE,"PAPER DONNACONA";"DTDONNAINCOME",#N/A,FALSE,"PAPER DONNACONA";"DTDONNACASHFLOW",#N/A,FALSE,"PAPER DONNACONA";"DTDONNABALANCESHEET",#N/A,FALSE,"PAPER DONNACONA";"DTDONNACAPEX",#N/A,FALSE,"PAPER DONNACONA";"DTDOLBEAUASSUMPTIONS1",#N/A,FALSE,"PAPER DOLBEAU";"DTDOLBEAUASSUMPTIONS2",#N/A,FALSE,"PAPER DOLBEAU";"DTDOLBEAUASSUMPTIONS3",#N/A,FALSE,"PAPER DOLBEAU";"DTDOLBEAUINCOME",#N/A,FALSE,"PAPER DOLBEAU";"DTDOLBEAUCASHFLOW",#N/A,FALSE,"PAPER DOLBEAU";"DTDOLBEAUBALANCESHEET",#N/A,FALSE,"PAPER DOLBEAU";"DTDOLBEAUCAPEX",#N/A,FALSE,"PAPER DOLBEAU";"DTLUMBERASSUMPTIONS1",#N/A,FALSE,"LUMBER";"DTLUMBERASSUMPTIONS2",#N/A,FALSE,"LUMBER";"DTLUMBERASSUMPTIONS3",#N/A,FALSE,"LUMBER";"DTLUMBERINCOME",#N/A,FALSE,"LUMBER";"DTLUMBERCASHFLOW",#N/A,FALSE,"LUMBER";"DTLUMBERBALANCESHEET",#N/A,FALSE,"LUMBER";"DTLUMBERCAPEX",#N/A,FALSE,"LUMBER";"DTCOOSAASSUMPTIONS1",#N/A,FALSE,"COOSA";"DTCOOSAASSUMPTION2",#N/A,FALSE,"COOSA";"DTCOOSAASSUMPTIONS3",#N/A,FALSE,"COOSA";"DTCOOSAINCOME",#N/A,FALSE,"COOSA";"DTCOOSACASHFLOW",#N/A,FALSE,"COOSA";"DTCOOSABALANCESHEET",#N/A,FALSE,"COOSA";"DTCOOSACAPEX",#N/A,FALSE,"COOSA";"DTELIMINATIONINCOME",#N/A,FALSE,"ELIMINATION";"DTELIMINATIONCASHFLOW",#N/A,FALSE,"ELIMINATION";"DTELIMINATIONBALANCESHEET",#N/A,FALSE,"ELIMINATION";"DTHEADOFFICEASSUMPTIONS",#N/A,FALSE,"H.OFFICE";"DTHEADOFFICEINCOME",#N/A,FALSE,"H.OFFICE";"DTHEADOFFICECASHFLOW",#N/A,FALSE,"H.OFFICE";"DTHEADOFFICEBALANCESHEET",#N/A,FALSE,"H.OFFICE";"DTHEADOFFICECAPEX",#N/A,FALSE,"H.OFFICE";"DTSEGMENTED",#N/A,FALSE,"SEGMENTED INFO";"DTTAX1",#N/A,FALSE,"impôt";"DTTAX2",#N/A,FALSE,"impôt"}</definedName>
    <definedName name="wrn.Earnings._.Model."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bitda." localSheetId="12" hidden="1">{#N/A,#N/A,FALSE,"2003_Input - P&amp;L"}</definedName>
    <definedName name="wrn.ebitda2" localSheetId="12" hidden="1">{#N/A,#N/A,FALSE,"2003_Input - P&amp;L"}</definedName>
    <definedName name="wrn.Economic._.Value._.Added._.Analysis." localSheetId="12" hidden="1">{"EVA",#N/A,FALSE,"EVA";"WACC",#N/A,FALSE,"WACC"}</definedName>
    <definedName name="wrn.econtab." localSheetId="12" hidden="1">{#N/A,#N/A,FALSE,"TABLE1";#N/A,#N/A,FALSE,"TABLE2";#N/A,#N/A,FALSE,"TABLE3";#N/A,#N/A,FALSE,"TABLE4";#N/A,#N/A,FALSE,"TABLE5"}</definedName>
    <definedName name="wrn.ecpall." localSheetId="12" hidden="1">{"ecpcash",#N/A,FALSE,"ECPann";"ecpinc",#N/A,FALSE,"ECPann";"ecpindia",#N/A,FALSE,"ECPann";"ecpmun",#N/A,FALSE,"ECPann";"ecpphoenix",#N/A,FALSE,"ECPann";"ecpothe",#N/A,FALSE,"ECPann";"ecpbalsht",#N/A,FALSE,"ECPann"}</definedName>
    <definedName name="wrn.EE4._.Budget._.months._.sterling." localSheetId="12" hidden="1">{"EE4 Budget months only sterling",#N/A,TRUE,"Profit and Loss";"EE4 Budget months only sterling",#N/A,TRUE,"Firm capex";"EE4 Budget months only sterling",#N/A,TRUE,"Cashflow";"EE4 Budget months only sterling",#N/A,TRUE,"Balance Sheet"}</definedName>
    <definedName name="wrn.EE4._.Budget._.months._.USD." localSheetId="12" hidden="1">{"EE4 Budget months only in USD",#N/A,TRUE,"Profit and Loss";"EE4 Budget months only in USD",#N/A,TRUE,"Firm capex";"EE4 Budget months only in USD",#N/A,TRUE,"Cashflow";"EE4 Budget months only in USD",#N/A,TRUE,"Balance Sheet"}</definedName>
    <definedName name="wrn.EE4._.budget._.years._.sterling." localSheetId="12" hidden="1">{"EE4 Budget years sterling",#N/A,TRUE,"Profit and Loss";"EE4 Budget years sterling",#N/A,TRUE,"Firm capex";"EE4 Budget years sterling",#N/A,TRUE,"Cashflow";"EE4 Budget years sterling",#N/A,TRUE,"Balance Sheet"}</definedName>
    <definedName name="wrn.EE4._.Budget._.years._.USD." localSheetId="12" hidden="1">{"EE4 Budget years USD",#N/A,TRUE,"Profit and Loss";"EE4 Budget years USD",#N/A,TRUE,"Firm capex";"EE4 Budget years USD",#N/A,TRUE,"Cashflow";"EE4 Budget years USD",#N/A,TRUE,"Balance Sheet"}</definedName>
    <definedName name="wrn.EF._.Complet." localSheetId="12" hidden="1">{#N/A,#N/A,TRUE,"1";#N/A,#N/A,TRUE,"1.2";#N/A,#N/A,TRUE,"2";#N/A,#N/A,TRUE,"4";#N/A,#N/A,TRUE,"11";#N/A,#N/A,TRUE,"11.9";#N/A,#N/A,TRUE,"A";#N/A,#N/A,TRUE,"B";#N/A,#N/A,TRUE,"C"}</definedName>
    <definedName name="wrn.Einhundert._.Prozent._.alle._.Perioden." localSheetId="12" hidden="1">{"Alle Perioden",#N/A,FALSE,"Erf";"Alle Perioden",#N/A,FALSE,"BV100";"Alle Perioden",#N/A,FALSE,"BE100";"Alle Perioden",#N/A,FALSE,"Re100";"Alle Perioden",#N/A,FALSE,"Vol100"}</definedName>
    <definedName name="wrn.Einhundert._.Prozent._.erste._.elf._.Perioden." localSheetId="12" hidden="1">{"Erste elf Perioden",#N/A,FALSE,"Erf";"Erste elf Perioden",#N/A,FALSE,"BV100";"Erste elf Perioden",#N/A,FALSE,"BE100";"Erste elf Perioden",#N/A,FALSE,"Re100";"Erste elf Perioden",#N/A,FALSE,"Vol100"}</definedName>
    <definedName name="wrn.Enitre._.Model." localSheetId="12" hidden="1">{"Input Sheet",#N/A,FALSE,"Input";"New Co",#N/A,FALSE,"NEWCO";"Acq Cash Flow",#N/A,FALSE,"Acq. CF";"Target Cash Flow",#N/A,FALSE,"Tgt. CF";"Operational Merger",#N/A,FALSE,"OP Merger";"Acq Balance Sheet",#N/A,FALSE,"Acq. BS";"Target Balance Sheet",#N/A,FALSE,"Tgt. BS";"BOE Comp",#N/A,FALSE,"BOEComp"}</definedName>
    <definedName name="wrn.ESPP." localSheetId="12" hidden="1">{#N/A,#N/A,FALSE,"REPORT"}</definedName>
    <definedName name="wrn.ETATS." localSheetId="12" hidden="1">{"TABLE",#N/A,TRUE,"Feuil1";"CONSO",#N/A,TRUE,"Feuil1";"STHUB1",#N/A,TRUE,"Feuil1";"STHUB2",#N/A,TRUE,"Feuil1";"PROSERV",#N/A,TRUE,"Feuil1";"GROUPE",#N/A,TRUE,"Feuil1";"BERTHELET",#N/A,TRUE,"Feuil1";"MEILLEURES",#N/A,TRUE,"Feuil1";"TRICORP",#N/A,TRUE,"Feuil1"}</definedName>
    <definedName name="wrn.Europe." localSheetId="12"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xam._.Workpapers._.1." localSheetId="1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ecutive._.summary._.reports." localSheetId="12" hidden="1">{"4 year overview",#N/A,FALSE,"P &amp; L";"key indicators",#N/A,FALSE,"P &amp; L"}</definedName>
    <definedName name="wrn.EXHIBITS." localSheetId="12" hidden="1">{"summary1",#N/A,FALSE,"Summary of Values";"weighted average returns",#N/A,FALSE,"WACC and WARA";"revenue graph",#N/A,FALSE,"Revenue Graph";"historical acquirer",#N/A,FALSE,"Historical Performance";"historical target",#N/A,FALSE,"Historical Performance";"revenue detail 1",#N/A,FALSE,"Revenue Detail";"revenue detail 2",#N/A,FALSE,"Revenue Detail";"revenue detail 3",#N/A,FALSE,"Revenue Detail";"revenue detail 4",#N/A,FALSE,"Revenue Detail";"gross_margin1",#N/A,FALSE,"Gross Margin Detail";"gross_margin2",#N/A,FALSE,"Gross Margin Detail";"developed income statement",#N/A,FALSE,"Abbreviated Income Statement";"inprocess income statement",#N/A,FALSE,"Abbreviated Income Statement";"developed valuation",#N/A,FALSE,"Valuation Analysis";"inprocess valuation",#N/A,FALSE,"Valuation Analysis";"trademark1",#N/A,FALSE,"Trademark(s) and Trade Name(s)";"contributory1",#N/A,FALSE,"Contributory Assets Detail";"contributory2",#N/A,FALSE,"Contributory Assets Detail";"fixed asset detail",#N/A,FALSE,"Fixed Asset Detail"}</definedName>
    <definedName name="wrn.EXP2." localSheetId="12" hidden="1">{#N/A,#N/A,TRUE,"NIE_C";#N/A,#N/A,TRUE,"NIE";#N/A,#N/A,TRUE,"NIE_D";#N/A,#N/A,TRUE,"NIE_D_CC";#N/A,#N/A,TRUE,"HEA -- EXP"}</definedName>
    <definedName name="wrn.External." localSheetId="12" hidden="1">{"External_Annual_Income",#N/A,FALSE,"External";"External_Quarterly_Income",#N/A,FALSE,"External"}</definedName>
    <definedName name="wrn.external.2" localSheetId="12" hidden="1">{"External_Annual_Income",#N/A,FALSE,"External";"External_Quarterly_Income",#N/A,FALSE,"External"}</definedName>
    <definedName name="wrn.Facility._.Profit._.and._.Loss." localSheetId="12" hidden="1">{"Domestic Prisons - Prior to 1998 - 1",#N/A,FALSE,"Domestic Prisons";"Domestic Prisons - Prior to 1998 - 2",#N/A,FALSE,"Domestic Prisons";"Domestic Prisons - 1998",#N/A,FALSE,"Domestic Prisons";"Domestic Prisons - 1999",#N/A,FALSE,"Domestic Prisons";"Domestic Prisons - 2000",#N/A,FALSE,"Domestic Prisons";"Domestic Prisons - 2001",#N/A,FALSE,"Domestic Prisons"}</definedName>
    <definedName name="wrn.fc" localSheetId="12" hidden="1">{"FCB_ALL",#N/A,FALSE,"FCB"}</definedName>
    <definedName name="wrn.fc12" localSheetId="12" hidden="1">{"FCB_ALL",#N/A,FALSE,"FCB"}</definedName>
    <definedName name="wrn.fcb" localSheetId="12" hidden="1">{"FCB_ALL",#N/A,FALSE,"FCB"}</definedName>
    <definedName name="wrn.FCB." localSheetId="12" hidden="1">{"FCB_ALL",#N/A,FALSE,"FCB"}</definedName>
    <definedName name="wrn.fcb._dcf" localSheetId="12" hidden="1">{"FCB_ALL",#N/A,FALSE,"FCB"}</definedName>
    <definedName name="wrn.fcb.1" localSheetId="12" hidden="1">{"FCB_ALL",#N/A,FALSE,"FCB"}</definedName>
    <definedName name="wrn.fcb.9" localSheetId="12" hidden="1">{"FCB_ALL",#N/A,FALSE,"FCB"}</definedName>
    <definedName name="wrn.fcb1" localSheetId="12" hidden="1">{"FCB_ALL",#N/A,FALSE,"FCB"}</definedName>
    <definedName name="wrn.fcb10" localSheetId="12" hidden="1">{"FCB_ALL",#N/A,FALSE,"FCB"}</definedName>
    <definedName name="wrn.fcb11" localSheetId="12" hidden="1">{"FCB_ALL",#N/A,FALSE,"FCB"}</definedName>
    <definedName name="wrn.fcb2" localSheetId="12" hidden="1">{"FCB_ALL",#N/A,FALSE,"FCB"}</definedName>
    <definedName name="wrn.fcb2_dcf" localSheetId="12" hidden="1">{"FCB_ALL",#N/A,FALSE,"FCB"}</definedName>
    <definedName name="wrn.fcb3" localSheetId="12" hidden="1">{"FCB_ALL",#N/A,FALSE,"FCB"}</definedName>
    <definedName name="wrn.fcb4" localSheetId="12" hidden="1">{"FCB_ALL",#N/A,FALSE,"FCB"}</definedName>
    <definedName name="wrn.fcb5" localSheetId="12" hidden="1">{"FCB_ALL",#N/A,FALSE,"FCB"}</definedName>
    <definedName name="wrn.fcb6" localSheetId="12" hidden="1">{"FCB_ALL",#N/A,FALSE,"FCB"}</definedName>
    <definedName name="wrn.fcb7" localSheetId="12" hidden="1">{"FCB_ALL",#N/A,FALSE,"FCB"}</definedName>
    <definedName name="wrn.fcb8" localSheetId="12" hidden="1">{"FCB_ALL",#N/A,FALSE,"FCB"}</definedName>
    <definedName name="wrn.fcb9" localSheetId="12" hidden="1">{"FCB_ALL",#N/A,FALSE,"FCB"}</definedName>
    <definedName name="wrn.fcopy2" localSheetId="12" hidden="1">{"WACC_filecopy",#N/A,FALSE,"Inputs";"Beta_filecopy",#N/A,FALSE,"Inputs";"SCF_filecopy",#N/A,FALSE,"Inputs";"ProBS_filecopy",#N/A,FALSE,"Inputs";"BS_filecopy",#N/A,FALSE,"Inputs";"ProIS_filecopy",#N/A,FALSE,"Inputs";"IS_filecopy",#N/A,FALSE,"Inputs"}</definedName>
    <definedName name="wrn.FDII6_01PortReview." localSheetId="12" hidden="1">{#N/A,#N/A,TRUE,"Port Summary II";#N/A,#N/A,TRUE,"BV Valuation";#N/A,#N/A,TRUE,"FV Valuation";#N/A,#N/A,TRUE,"JRI";#N/A,#N/A,TRUE,"Weasler";#N/A,#N/A,TRUE,"Stronghaven";#N/A,#N/A,TRUE,"Connor";#N/A,#N/A,TRUE,"HWC";#N/A,#N/A,TRUE,"Temple"}</definedName>
    <definedName name="wrn.FdIII6_30_01PortRev.." localSheetId="12" hidden="1">{#N/A,#N/A,TRUE,"Beacon";#N/A,#N/A,TRUE,"CII";#N/A,#N/A,TRUE,"MCA";#N/A,#N/A,TRUE,"Elm";#N/A,#N/A,TRUE,"Tharco";#N/A,#N/A,TRUE,"Dee H";#N/A,#N/A,TRUE,"Hunt Valve";#N/A,#N/A,TRUE,"KBA";#N/A,#N/A,TRUE,"Glassmaster";#N/A,#N/A,TRUE,"MLS";#N/A,#N/A,TRUE,"CBSA";#N/A,#N/A,TRUE,"ACE";#N/A,#N/A,TRUE,"United Central";#N/A,#N/A,TRUE,"Jakel";#N/A,#N/A,TRUE,"Lake City "}</definedName>
    <definedName name="wrn.FER." localSheetId="12" hidden="1">{#N/A,#N/A,TRUE,"BS_A";#N/A,#N/A,TRUE,"BS_L";#N/A,#N/A,TRUE,"PL";#N/A,#N/A,TRUE,"NET";#N/A,#N/A,TRUE,"MAR_2";#N/A,#N/A,TRUE,"MAR";#N/A,#N/A,TRUE,"NII";#N/A,#N/A,TRUE,"NIE";#N/A,#N/A,TRUE,"FS_BS";#N/A,#N/A,TRUE,"FS_PL";#N/A,#N/A,TRUE,"HEA"}</definedName>
    <definedName name="wrn.FER_EXPENSES." localSheetId="12" hidden="1">{#N/A,#N/A,TRUE,"NIE_C";#N/A,#N/A,TRUE,"NIE";#N/A,#N/A,TRUE,"NIE_D";#N/A,#N/A,TRUE,"HEA -- EXP"}</definedName>
    <definedName name="wrn.FER_NIA." localSheetId="12" hidden="1">{#N/A,#N/A,FALSE,"HEA NIA";#N/A,#N/A,FALSE,"CHART";#N/A,#N/A,FALSE,"NIA";#N/A,#N/A,FALSE,"WF_DET"}</definedName>
    <definedName name="wrn.FER_REVENUES." localSheetId="12" hidden="1">{#N/A,#N/A,TRUE,"NII_C";#N/A,#N/A,TRUE,"NII";#N/A,#N/A,TRUE,"NII_D";#N/A,#N/A,TRUE,"HEA --REV"}</definedName>
    <definedName name="wrn.filecopy." localSheetId="12"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1." localSheetId="12" hidden="1">{"WACC_filecopy",#N/A,FALSE,"Inputs";"Beta_filecopy",#N/A,FALSE,"Inputs";"SCF_filecopy",#N/A,FALSE,"Inputs";"ProBS_filecopy",#N/A,FALSE,"Inputs";"BS_filecopy",#N/A,FALSE,"Inputs";"ProIS_filecopy",#N/A,FALSE,"Inputs";"IS_filecopy",#N/A,FALSE,"Inputs"}</definedName>
    <definedName name="wrn.filecopy2." localSheetId="12" hidden="1">{"WACC_filecopy",#N/A,FALSE,"Inputs";"Beta_filecopy",#N/A,FALSE,"Inputs";"SCF_filecopy",#N/A,FALSE,"Inputs";"ProBS_filecopy",#N/A,FALSE,"Inputs";"BS_filecopy",#N/A,FALSE,"Inputs";"ProIS_filecopy",#N/A,FALSE,"Inputs";"IS_filecopy",#N/A,FALSE,"Inputs"}</definedName>
    <definedName name="wrn.Filter." localSheetId="12" hidden="1">{#N/A,#N/A,FALSE,"Assump2";#N/A,#N/A,FALSE,"Income2";#N/A,#N/A,FALSE,"Balance2";#N/A,#N/A,FALSE,"DCF Filter";#N/A,#N/A,FALSE,"Trans Assump2";#N/A,#N/A,FALSE,"Combined Income2";#N/A,#N/A,FALSE,"Combined Balance2"}</definedName>
    <definedName name="wrn.FIN97." localSheetId="12" hidden="1">{#N/A,#N/A,FALSE,"FIN97 DETAIL"}</definedName>
    <definedName name="wrn.financial._.package." localSheetId="12" hidden="1">{#N/A,#N/A,FALSE,"BALANCE SHEET";#N/A,#N/A,FALSE,"IS";#N/A,#N/A,FALSE,"ISCOMPAR";#N/A,#N/A,FALSE,"ADD RETMAR";#N/A,#N/A,FALSE,"VARIOUS COMP";#N/A,#N/A,FALSE,"RATIOS";#N/A,#N/A,FALSE,"GRAPHS"}</definedName>
    <definedName name="wrn.Financial._.Statements._.all._.detail." localSheetId="12" hidden="1">{#N/A,#N/A,TRUE,"P&amp;L CONSOLIDATED";#N/A,#N/A,TRUE,"Cyperus";#N/A,#N/A,TRUE,"ANP";#N/A,#N/A,TRUE,"South Africa";#N/A,#N/A,TRUE,"PRNE CORE";#N/A,#N/A,TRUE,"Targeting";#N/A,#N/A,TRUE,"Distribution";#N/A,#N/A,TRUE,"A - Disclose";#N/A,#N/A,TRUE,"B - Others";#N/A,#N/A,TRUE,"Measurement";#N/A,#N/A,TRUE,"OVERHEADS";#N/A,#N/A,TRUE,"Consolidated B Sheet";#N/A,#N/A,TRUE,"Consolidated Cashflow"}</definedName>
    <definedName name="wrn.Financial_Package." localSheetId="12" hidden="1">{#N/A,#N/A,FALSE,"Cover";#N/A,#N/A,FALSE,"TOC";#N/A,#N/A,FALSE,"IS";#N/A,#N/A,FALSE,"Mo. IS";#N/A,#N/A,FALSE,"Cont By Div";#N/A,#N/A,FALSE,"BS";#N/A,#N/A,FALSE,"CF";#N/A,#N/A,FALSE,"Inventory"}</definedName>
    <definedName name="wrn.Financials." localSheetId="12" hidden="1">{#N/A,#N/A,TRUE,"Income Statement";#N/A,#N/A,TRUE,"Balance Sheet";#N/A,#N/A,TRUE,"Cash Flow"}</definedName>
    <definedName name="wrn.FINANCIALS._.10K." localSheetId="12" hidden="1">{#N/A,#N/A,FALSE,"BS";#N/A,#N/A,FALSE,"PL_10K";#N/A,#N/A,FALSE,"SOE";#N/A,#N/A,FALSE,"SCF"}</definedName>
    <definedName name="wrn.FINANCIALS._.10Q." localSheetId="12" hidden="1">{#N/A,#N/A,FALSE,"BS";#N/A,#N/A,FALSE,"PL_10Q";#N/A,#N/A,FALSE,"SOE";#N/A,#N/A,FALSE,"SCF"}</definedName>
    <definedName name="wrn.Financials_long." localSheetId="12" hidden="1">{"IS",#N/A,FALSE,"Financials2 (Expanded)";"bsa",#N/A,FALSE,"Financials2 (Expanded)";"BS",#N/A,FALSE,"Financials2 (Expanded)";"CF",#N/A,FALSE,"Financials2 (Expanded)"}</definedName>
    <definedName name="wrn.finmodel." localSheetId="12" hidden="1">{#N/A,#N/A,FALSE,"Fin Model"}</definedName>
    <definedName name="wrn.finmodel._1" localSheetId="12" hidden="1">{#N/A,#N/A,FALSE,"Fin Model"}</definedName>
    <definedName name="wrn.finmodel._1_1" localSheetId="12" hidden="1">{#N/A,#N/A,FALSE,"Fin Model"}</definedName>
    <definedName name="wrn.finmodel._1_2" localSheetId="12" hidden="1">{#N/A,#N/A,FALSE,"Fin Model"}</definedName>
    <definedName name="wrn.finmodel._1_3" localSheetId="12" hidden="1">{#N/A,#N/A,FALSE,"Fin Model"}</definedName>
    <definedName name="wrn.finmodel._1_4" localSheetId="12" hidden="1">{#N/A,#N/A,FALSE,"Fin Model"}</definedName>
    <definedName name="wrn.finmodel._2" localSheetId="12" hidden="1">{#N/A,#N/A,FALSE,"Fin Model"}</definedName>
    <definedName name="wrn.finmodel._3" localSheetId="12" hidden="1">{#N/A,#N/A,FALSE,"Fin Model"}</definedName>
    <definedName name="wrn.finmodel._4" localSheetId="12" hidden="1">{#N/A,#N/A,FALSE,"Fin Model"}</definedName>
    <definedName name="wrn.finmodel._5" localSheetId="12" hidden="1">{#N/A,#N/A,FALSE,"Fin Model"}</definedName>
    <definedName name="wrn.first2." localSheetId="12" hidden="1">{#N/A,#N/A,FALSE,"sum-don";#N/A,#N/A,FALSE,"inc-don"}</definedName>
    <definedName name="wrn.first3." localSheetId="12" hidden="1">{#N/A,#N/A,FALSE,"Summary";#N/A,#N/A,FALSE,"proj1";#N/A,#N/A,FALSE,"proj2"}</definedName>
    <definedName name="wrn.first4." localSheetId="12" hidden="1">{#N/A,#N/A,FALSE,"Summary";#N/A,#N/A,FALSE,"proj1";#N/A,#N/A,FALSE,"proj2";#N/A,#N/A,FALSE,"DCF"}</definedName>
    <definedName name="wrn.FISV._.5._.year._.model." localSheetId="12" hidden="1">{"Assns Fax",#N/A,FALSE,"Assumptions";"Financial View",#N/A,FALSE,"Earnings";"DCF View",#N/A,FALSE,"Earnings";"Sensitivity",#N/A,FALSE,"DCF"}</definedName>
    <definedName name="wrn.fleck." localSheetId="12" hidden="1">{"first",#N/A,FALSE,"FLEXPAC2";"second",#N/A,FALSE,"FLEXPAC2"}</definedName>
    <definedName name="wrn.fleckcompac." localSheetId="12" hidden="1">{"one",#N/A,FALSE,"FLEXPAC2";"two",#N/A,FALSE,"FLEXPAC2";"three",#N/A,FALSE,"FLEXPAC2"}</definedName>
    <definedName name="wrn.Followon._.1998" localSheetId="12" hidden="1">{#N/A,#N/A,FALSE,"Summary";#N/A,#N/A,FALSE,"Pending";#N/A,#N/A,FALSE,"Jan'98";#N/A,#N/A,FALSE,"Feb'98";#N/A,#N/A,FALSE,"Mar'98";#N/A,#N/A,FALSE,"Apr'98";#N/A,#N/A,FALSE,"May'98";#N/A,#N/A,FALSE,"June'98";#N/A,#N/A,FALSE,"July'98"}</definedName>
    <definedName name="wrn.FORECAST." localSheetId="12" hidden="1">{"TOT",#N/A,FALSE,"ASFCST99";"TOTINT",#N/A,FALSE,"ASFCST99";"DOM",#N/A,FALSE,"ASFCST99";"NORTHATL",#N/A,FALSE,"ASFCST99";"PACIFIC",#N/A,FALSE,"ASFCST99";"LATAM",#N/A,FALSE,"ASFCST99"}</definedName>
    <definedName name="wrn.forecast2qf." localSheetId="12" hidden="1">{#N/A,#N/A,FALSE,"REV 110 PRNE (Bureau-Frankfurt)";#N/A,#N/A,FALSE,"REV 120 PRNE (Bureau - Paris)"}</definedName>
    <definedName name="wrn.forms." localSheetId="12" hidden="1">{#N/A,#N/A,FALSE,"Set-Up";#N/A,#N/A,FALSE,"Comparison";#N/A,#N/A,FALSE,"AR";#N/A,#N/A,FALSE,"Inv";#N/A,#N/A,FALSE,"Concentrations";#N/A,#N/A,FALSE,"Past Dues";#N/A,#N/A,FALSE,"Trends";#N/A,#N/A,FALSE,"AR Trends";#N/A,#N/A,FALSE,"Inv Trends"}</definedName>
    <definedName name="wrn.FRANCE._.FINANCIALS." localSheetId="12" hidden="1">{#N/A,#N/A,FALSE,"COMP BS-FRANCE";#N/A,#N/A,FALSE,"96 COMP P&amp;L-FRANCE";#N/A,#N/A,FALSE,"BUD VS ACT FRAN 96";#N/A,#N/A,FALSE,"B/S - FRANCE"}</definedName>
    <definedName name="wrn.FS._.AND._.TBLS._.10K." localSheetId="12"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wrn.FS_2005." localSheetId="12" hidden="1">{"BS-Yearly",#N/A,TRUE,"BS-Year";"BS-Monthly-2005",#N/A,TRUE,"BS"}</definedName>
    <definedName name="wrn.full." localSheetId="12" hidden="1">{"vi1",#N/A,FALSE,"Pagcc";"vi2",#N/A,FALSE,"Pagcc";"vi3",#N/A,FALSE,"Pagcc";"vi4",#N/A,FALSE,"Pagcc";"vi5",#N/A,FALSE,"Pagcc";#N/A,#N/A,FALSE,"Contribution"}</definedName>
    <definedName name="wrn.Full._.Budget." localSheetId="12" hidden="1">{#N/A,#N/A,FALSE,"IS-Month";#N/A,#N/A,FALSE,"IS-Qtr";#N/A,#N/A,FALSE,"Bal";#N/A,#N/A,FALSE,"Flow";#N/A,#N/A,FALSE,"Volumes";#N/A,#N/A,FALSE,"LOE";#N/A,#N/A,FALSE,"Revenues";#N/A,#N/A,FALSE,"OpMar";#N/A,#N/A,FALSE,"DD&amp;A";#N/A,#N/A,FALSE,"Oil $";#N/A,#N/A,FALSE,"Gas $";#N/A,#N/A,FALSE,"Swaps";#N/A,#N/A,FALSE,"CAPEX";#N/A,#N/A,FALSE,"G&amp;A";#N/A,#N/A,FALSE,"Debt";#N/A,#N/A,FALSE,"Interest"}</definedName>
    <definedName name="wrn.Full._.Financials." localSheetId="12" hidden="1">{#N/A,#N/A,TRUE,"Financials";#N/A,#N/A,TRUE,"Operating Statistics";#N/A,#N/A,TRUE,"Capex &amp; Depreciation";#N/A,#N/A,TRUE,"Debt"}</definedName>
    <definedName name="wrn.Full._.Model." localSheetId="12" hidden="1">{#N/A,#N/A,FALSE,"Cov";#N/A,#N/A,FALSE,"sum (2)";#N/A,#N/A,FALSE,"bs";#N/A,#N/A,FALSE,"is";#N/A,#N/A,FALSE,"pis";#N/A,#N/A,FALSE,"cf";#N/A,#N/A,FALSE,"wc";#N/A,#N/A,FALSE,"ltd";#N/A,#N/A,FALSE,"cover";#N/A,#N/A,FALSE,"irr (2)";#N/A,#N/A,FALSE,"in"}</definedName>
    <definedName name="wrn.Full._.Monty." localSheetId="12" hidden="1">{"ROIC",#N/A,FALSE,"ROIC";"Graphs",#N/A,FALSE,"TY analysis";"fcf",#N/A,FALSE,"FCF";"Matrix_2004",#N/A,FALSE,"MATRIX(2004)";"matrix_2008",#N/A,FALSE,"MATRIX(2008)";"FS_Condensed",#N/A,FALSE,"Financial Statements2";"TAXES",#N/A,FALSE,"Taxes";"DEBT_INVEST",#N/A,FALSE,"Debt&amp;Investment Schedule";"Main_menu",#N/A,FALSE,"Main Menu"}</definedName>
    <definedName name="wrn.Full._.Package." localSheetId="12" hidden="1">{#N/A,#N/A,FALSE,"COVER";#N/A,#N/A,FALSE,"INDEX";#N/A,#N/A,FALSE,"P1000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Full._.Print._.Out." localSheetId="12"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1" localSheetId="12"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1_1" localSheetId="12"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1_2" localSheetId="12"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1_3" localSheetId="12"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1_4" localSheetId="12"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2" localSheetId="12"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3" localSheetId="12"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4" localSheetId="12"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Print._.Out._5" localSheetId="12"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report." localSheetId="1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Workbook._.Report." localSheetId="12" hidden="1">{"Balance Sheet Summary",#N/A,TRUE,"Balance Sheet";"Cash Flow Summary",#N/A,TRUE,"Cash Flow";"Capital Plan CA Schedule",#N/A,TRUE,"Capital Plan";"Capital Plan Summary",#N/A,TRUE,"Capital Plan"}</definedName>
    <definedName name="wrn.Full_Template." localSheetId="12"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wrn.Fund._.II." localSheetId="12"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wrn.Fund._.II._.Adv.._.Brd._.June._.2000." localSheetId="12" hidden="1">{#N/A,#N/A,TRUE,"FD II Portfolio Summary";#N/A,#N/A,TRUE,"JRI";#N/A,#N/A,TRUE,"NDS";#N/A,#N/A,TRUE,"Weasler";#N/A,#N/A,TRUE,"Stronghaven";#N/A,#N/A,TRUE,"Connor";#N/A,#N/A,TRUE,"Docu";#N/A,#N/A,TRUE,"HWC";#N/A,#N/A,TRUE,"Temple"}</definedName>
    <definedName name="wrn.Fund._.II._.Adv._.Mtg.." localSheetId="12"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wrn.Fund._.II._.Mtg.." localSheetId="1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Fund._.III." localSheetId="12"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wrn.Fund._.III._.Adv.._.Brd.._.June._.2000." localSheetId="12"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wrn.Fund._.III._.Adv._.Mtg.." localSheetId="12"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wrn.Fund._.IV._.Adv.._.Brd.._.June._.2000." localSheetId="12" hidden="1">{#N/A,#N/A,TRUE,"FD IV Portfolio Summary ";#N/A,#N/A,TRUE,"Western";#N/A,#N/A,TRUE,"Kranson";#N/A,#N/A,TRUE,"ARC";#N/A,#N/A,TRUE,"Precise";#N/A,#N/A,TRUE,"WNA"}</definedName>
    <definedName name="wrn.FUNDING._.ANALYSIS._.PRINT." localSheetId="12" hidden="1">{"0TOC",#N/A,TRUE,"Sheet2";"1 2 3","A Scenario 1",TRUE,"STAND ALONE";"1 2 3","A SCenario 2",TRUE,"STAND ALONE";"1 2 3","A Scenario 3",TRUE,"STAND ALONE";"4","A Scenario 4",TRUE,"STAND ALONE";"5","A Scenario 5",TRUE,"EDWARD SCENARIOS";"6","A Scenario 6",TRUE,"EDWARD SCENARIOS";"7","A Scenario 7",TRUE,"SAM SCENARIOS";"8","A Scenario 8",TRUE,"SAM SCENARIOS";"9 - Nutmeg",#N/A,TRUE,"NUTMEG";"10 - LA",#N/A,TRUE,"LATAM CASH";"11 - Stream nds",#N/A,TRUE,"STREAM - NDS"}</definedName>
    <definedName name="wrn.Funnel._.Report." localSheetId="12" hidden="1">{#N/A,#N/A,FALSE,"funnel";#N/A,#N/A,FALSE,"AE Summary";#N/A,#N/A,FALSE,"Product Summary"}</definedName>
    <definedName name="wrn.FY00._.all._.reports." localSheetId="12" hidden="1">{"cash flow - FY00",#N/A,FALSE,"P &amp; L";"qtrly summ-FY00",#N/A,FALSE,"P &amp; L";"monthly P&amp;L-FY00",#N/A,FALSE,"P &amp; L";"P&amp;L FY00",#N/A,FALSE,"P &amp; L";"BS FY00",#N/A,FALSE,"P &amp; L";"staffing - FY00",#N/A,FALSE,"P &amp; L"}</definedName>
    <definedName name="wrn.FY01._.all._.reports." localSheetId="12" hidden="1">{"qtrly summ-FY01",#N/A,FALSE,"P &amp; L";"monthly P&amp;L-FY01",#N/A,FALSE,"P &amp; L";"cash flow - FY01",#N/A,FALSE,"P &amp; L";"P&amp;L FY01",#N/A,FALSE,"P &amp; L";"BS FY01",#N/A,FALSE,"P &amp; L";"staffing - FY01",#N/A,FALSE,"P &amp; L"}</definedName>
    <definedName name="wrn.FY01_Fin_Stmts." localSheetId="12" hidden="1">{"FY01_Assets",#N/A,FALSE,"Fin Stmt Budget";"FY01_Liabilities",#N/A,FALSE,"Fin Stmt Budget";"FY01_Inc_Stmt",#N/A,FALSE,"Fin Stmt Budget";"FY01_SOCF",#N/A,FALSE,"Fin Stmt Budget"}</definedName>
    <definedName name="wrn.FY02._.all._.reports." localSheetId="12" hidden="1">{"cash flow - FY02",#N/A,FALSE,"P &amp; L";"qtrly summ-FY02",#N/A,FALSE,"P &amp; L";"monthly P&amp;L-FY02",#N/A,FALSE,"P &amp; L";"P&amp;L FY02",#N/A,FALSE,"P &amp; L";"BS FY02",#N/A,FALSE,"P &amp; L";"staffing - FY02",#N/A,FALSE,"P &amp; L"}</definedName>
    <definedName name="wrn.FY02_Fin_Stmts." localSheetId="12" hidden="1">{"FY02_Assets",#N/A,FALSE,"Fin Stmt Budget";"FY02_Liabilities",#N/A,FALSE,"Fin Stmt Budget";"FY02_Inc_Stmt",#N/A,FALSE,"Fin Stmt Budget";"FY02_SOCF",#N/A,FALSE,"Fin Stmt Budget"}</definedName>
    <definedName name="wrn.FY03._.all._.reports." localSheetId="12" hidden="1">{"cash flow - FY03",#N/A,FALSE,"P &amp; L";"qtrly summ-FY03",#N/A,FALSE,"P &amp; L";"monthly P&amp;L-FY03",#N/A,FALSE,"P &amp; L";"P&amp;L FY03",#N/A,FALSE,"P &amp; L";"BS FY03",#N/A,FALSE,"P &amp; L";"staffing - FY03",#N/A,FALSE,"P &amp; L"}</definedName>
    <definedName name="wrn.FY03_Fin_Stmts." localSheetId="12" hidden="1">{"FY03_Assets",#N/A,FALSE,"Fin Stmt Budget";"FY03_Liabilities",#N/A,FALSE,"Fin Stmt Budget";"FY03_Inc_Stmt",#N/A,FALSE,"Fin Stmt Budget";"FY03_SOCF",#N/A,FALSE,"Fin Stmt Budget"}</definedName>
    <definedName name="wrn.FY04_Fin._.Stmts." localSheetId="12" hidden="1">{"FY04_Assets",#N/A,FALSE,"Fin Stmt Budget";"FY04_Liabilities",#N/A,FALSE,"Fin Stmt Budget";"FY04_Inc_Stmt",#N/A,FALSE,"Fin Stmt Budget";"FY04_SOCF",#N/A,FALSE,"Fin Stmt Budget"}</definedName>
    <definedName name="wrn.FY06" localSheetId="12" hidden="1">{"FY04_Assets",#N/A,FALSE,"Fin Stmt Budget";"FY04_Liabilities",#N/A,FALSE,"Fin Stmt Budget";"FY04_Inc_Stmt",#N/A,FALSE,"Fin Stmt Budget";"FY04_SOCF",#N/A,FALSE,"Fin Stmt Budget"}</definedName>
    <definedName name="wrn.FY07" localSheetId="12" hidden="1">{"FY01_Assets",#N/A,FALSE,"Fin Stmt Budget";"FY01_Liabilities",#N/A,FALSE,"Fin Stmt Budget";"FY01_Inc_Stmt",#N/A,FALSE,"Fin Stmt Budget";"FY01_SOCF",#N/A,FALSE,"Fin Stmt Budget"}</definedName>
    <definedName name="wrn.FY07_fin" localSheetId="12" hidden="1">{"FY04_Assets",#N/A,FALSE,"Fin Stmt Budget";"FY04_Liabilities",#N/A,FALSE,"Fin Stmt Budget";"FY04_Inc_Stmt",#N/A,FALSE,"Fin Stmt Budget";"FY04_SOCF",#N/A,FALSE,"Fin Stmt Budget"}</definedName>
    <definedName name="wrn.FY96sbp99" localSheetId="12" hidden="1">{#N/A,#N/A,FALSE,"FY97";#N/A,#N/A,FALSE,"FY98";#N/A,#N/A,FALSE,"FY99";#N/A,#N/A,FALSE,"FY00";#N/A,#N/A,FALSE,"FY01"}</definedName>
    <definedName name="wrn.FY97SBP." localSheetId="12" hidden="1">{#N/A,#N/A,FALSE,"FY97";#N/A,#N/A,FALSE,"FY98";#N/A,#N/A,FALSE,"FY99";#N/A,#N/A,FALSE,"FY00";#N/A,#N/A,FALSE,"FY01"}</definedName>
    <definedName name="wrn.FY97SBP2" localSheetId="12" hidden="1">{#N/A,#N/A,FALSE,"FY97";#N/A,#N/A,FALSE,"FY98";#N/A,#N/A,FALSE,"FY99";#N/A,#N/A,FALSE,"FY00";#N/A,#N/A,FALSE,"FY01"}</definedName>
    <definedName name="wrn.GCIall." localSheetId="12" hidden="1">{"gcicash",#N/A,FALSE,"GCIINC";"gciinc",#N/A,FALSE,"GCIINC";"gciexclusa",#N/A,FALSE,"GCIINC";"usatdy",#N/A,FALSE,"GCIINC"}</definedName>
    <definedName name="wrn.General._.OTC." localSheetId="12" hidden="1">{#N/A,#N/A,FALSE,"Title Page (3)";#N/A,#N/A,FALSE,"YTD - OTC";#N/A,#N/A,FALSE,"MTH - OTC"}</definedName>
    <definedName name="wrn.General._.Pharm." localSheetId="12" hidden="1">{#N/A,#N/A,FALSE,"Title Page (2)";#N/A,#N/A,FALSE,"YTD - Pharm";#N/A,#N/A,FALSE,"MTH - Pharm"}</definedName>
    <definedName name="wrn.General._.Total." localSheetId="12" hidden="1">{#N/A,#N/A,FALSE,"Title Page (4)";#N/A,#N/A,FALSE,"YTD - Total";#N/A,#N/A,FALSE,"MTH - Total"}</definedName>
    <definedName name="wrn.Gesamtausdruck._.alle._.Perioden." localSheetId="12" hidden="1">{"Alle Perioden",#N/A,FALSE,"Erf";"Alle Perioden",#N/A,FALSE,"Ang";"Alle Perioden",#N/A,FALSE,"BV";"Alle Perioden",#N/A,FALSE,"BE";"Alle Perioden",#N/A,FALSE,"Re";"Alle Perioden",#N/A,FALSE,"Vol";"Alle Perioden",#N/A,FALSE,"BV100";"Alle Perioden",#N/A,FALSE,"BE100";"Alle Perioden",#N/A,FALSE,"Re100";"Alle Perioden",#N/A,FALSE,"Vol100"}</definedName>
    <definedName name="wrn.Gesamtausdruck._.erste._.elf._.Perioden." localSheetId="12" hidden="1">{"Erste elf Perioden",#N/A,FALSE,"Erf";"Erste elf Perioden",#N/A,FALSE,"Ang";"Erste elf Perioden",#N/A,FALSE,"BV";"Erste elf Perioden",#N/A,FALSE,"BE";"Erste elf Perioden",#N/A,FALSE,"Re";"Erste elf Perioden",#N/A,FALSE,"Vol";"Erste elf Perioden",#N/A,FALSE,"BV100";"Erste elf Perioden",#N/A,FALSE,"BE100";"Erste elf Perioden",#N/A,FALSE,"Re100";"Erste elf Perioden",#N/A,FALSE,"Vol100"}</definedName>
    <definedName name="wrn.GIS." localSheetId="12" hidden="1">{#N/A,#N/A,FALSE,"GIS"}</definedName>
    <definedName name="wrn.GJE_NBR_7_Print_Job." localSheetId="12" hidden="1">{"Accrual_Calculation",#N/A,FALSE,"Comp Calc";"SJE#7",#N/A,FALSE,"GJE"}</definedName>
    <definedName name="wrn.graph." localSheetId="12" hidden="1">{"graph",#N/A,FALSE,"RIGCOUNT";"graph",#N/A,FALSE,"ON_OFFSHORE";"graph",#N/A,FALSE,"crewcnt";"graph",#N/A,FALSE,"OILvGAS";"graph",#N/A,FALSE,"OFF_RIGCOUNT";"graph",#N/A,FALSE,"indep perf";"graph",#N/A,FALSE,"oil serv perf"}</definedName>
    <definedName name="wrn.GRAPHS." localSheetId="12" hidden="1">{#N/A,#N/A,FALSE,"ACQ_GRAPHS";#N/A,#N/A,FALSE,"T_1 GRAPHS";#N/A,#N/A,FALSE,"T_2 GRAPHS";#N/A,#N/A,FALSE,"COMB_GRAPHS"}</definedName>
    <definedName name="wrn.gross._.margin._.detail." localSheetId="12" hidden="1">{"gross_margin1",#N/A,FALSE,"Gross Margin Detail";"gross_margin2",#N/A,FALSE,"Gross Margin Detail"}</definedName>
    <definedName name="wrn.Gross._.Profit._.Report." localSheetId="12" hidden="1">{"Monthly",#N/A,FALSE,"Phosphate Gross Profit";"Quarterly",#N/A,FALSE,"Phosphate Gross Profit"}</definedName>
    <definedName name="wrn.Group._.budget._.months._.only." localSheetId="12" hidden="1">{"Group Budget months only",#N/A,TRUE,"Profit and Loss";"Group Budget months only",#N/A,TRUE,"Firm capex";"Group Budget months only",#N/A,TRUE,"Gross profit analysis";"Group Budget months only",#N/A,TRUE,"Cashflow";"Group Budget months only",#N/A,TRUE,"Balance Sheet"}</definedName>
    <definedName name="wrn.Group._.budget._.years._.only." localSheetId="12" hidden="1">{"Group Budget years only",#N/A,TRUE,"Profit and Loss";"Group Budget years only",#N/A,TRUE,"Firm capex";"Group Budget years only",#N/A,TRUE,"Gross profit analysis";"Group Budget years only",#N/A,TRUE,"Cashflow";"Group Budget years only",#N/A,TRUE,"Balance Sheet"}</definedName>
    <definedName name="wrn.Growth." localSheetId="12" hidden="1">{#N/A,#N/A,FALSE,"Rev Grwth";#N/A,#N/A,FALSE,"Op Inc Grwth";#N/A,#N/A,FALSE,"Net Grwth";#N/A,#N/A,FALSE,"EPS Growth"}</definedName>
    <definedName name="wrn.Guillaume." localSheetId="12" hidden="1">{"MARCH",#N/A,FALSE,"CONSO OPEX 5899";"FullOpex",#N/A,FALSE,"CONSO OPEX 5899"}</definedName>
    <definedName name="wrn.HAMMOND." localSheetId="12"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NDOUT." localSheetId="12" hidden="1">{#N/A,#N/A,FALSE,"COVER PAGE";#N/A,#N/A,FALSE,"Page 2";#N/A,#N/A,FALSE,"Page 2";#N/A,#N/A,FALSE,"Page 4";#N/A,#N/A,FALSE,"Page5";#N/A,#N/A,FALSE,"Page 6";#N/A,#N/A,FALSE,"Page 7";#N/A,#N/A,FALSE,"Page 8";#N/A,#N/A,FALSE,"Page 10";#N/A,#N/A,FALSE,"Long-Term OCF Mult.";#N/A,#N/A,FALSE,"PCS Comp";#N/A,#N/A,FALSE,"OCS-CAPEX";#N/A,#N/A,FALSE,"Blank"}</definedName>
    <definedName name="wrn.HEAT." localSheetId="12" hidden="1">{#N/A,#N/A,FALSE,"Heat";#N/A,#N/A,FALSE,"DCF";#N/A,#N/A,FALSE,"LBO";#N/A,#N/A,FALSE,"A";#N/A,#N/A,FALSE,"C";#N/A,#N/A,FALSE,"impd";#N/A,#N/A,FALSE,"Accr-Dilu"}</definedName>
    <definedName name="wrn.historical." localSheetId="12" hidden="1">{"historical_is_annual",#N/A,FALSE,"historical is";"historical_is_annual_cs",#N/A,FALSE,"historical is";"historical_is_annual_growth",#N/A,FALSE,"historical is";"historical_is_quarter",#N/A,FALSE,"historical is";"historical_is_quarter_cs",#N/A,FALSE,"historical is";"historical_is_quarter_growth",#N/A,FALSE,"historical is";"historical_bs_annual",#N/A,FALSE,"historical is";"historical_bs_annaul_cs",#N/A,FALSE,"historical is";"historical_bs_annaul_growth",#N/A,FALSE,"historical is";"historical_bs_quarter",#N/A,FALSE,"historical is";"historical_bs_quarter_cs",#N/A,FALSE,"historical is";"historical_bs_quarter_growth",#N/A,FALSE,"historical is";"historical_cf",#N/A,FALSE,"historical is";"historical_workcap",#N/A,FALSE,"historical is";"historical_ratios_1",#N/A,FALSE,"historical is";"historical_ratios_2",#N/A,FALSE,"historical is";"historical_ratios_3",#N/A,FALSE,"historical is"}</definedName>
    <definedName name="wrn.historical._.performance." localSheetId="12" hidden="1">{"historical acquirer",#N/A,FALSE,"Historical Performance";"historical target",#N/A,FALSE,"Historical Performance"}</definedName>
    <definedName name="wrn.historical._.rev._.backup." localSheetId="12" hidden="1">{"rev_history_revenueDetail",#N/A,FALSE,"historical rev us";"rev_history_minutesDetail",#N/A,FALSE,"historical rev us"}</definedName>
    <definedName name="wrn.HNZ." localSheetId="12" hidden="1">{#N/A,#N/A,FALSE,"HNZ"}</definedName>
    <definedName name="wrn.HSSH._.budget._.months._.NLG." localSheetId="12"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sterling." localSheetId="12"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years._.NLG." localSheetId="12" hidden="1">{"HSSH Budget years NLG",#N/A,TRUE,"Profit and Loss";"HSSH Budget years NLG",#N/A,TRUE,"Firm capex";"HSSH Budget years NLG",#N/A,TRUE,"Gross profit analysis";"HSSH Budget years NLG",#N/A,TRUE,"Cashflow";"HSSH Budget years NLG",#N/A,TRUE,"Balance Sheet"}</definedName>
    <definedName name="wrn.HSSH._.Budget._.years._.sterling." localSheetId="12" hidden="1">{"HSSH Budget years sterling",#N/A,TRUE,"Profit and Loss";"HSSH Budget years sterling",#N/A,TRUE,"Firm capex";"HSSH Budget years sterling",#N/A,TRUE,"Gross profit analysis";"HSSH Budget years sterling",#N/A,TRUE,"Cashflow";"HSSH Budget years sterling",#N/A,TRUE,"Balance Sheet"}</definedName>
    <definedName name="wrn.Hydraulic." localSheetId="12"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localSheetId="12" hidden="1">{#N/A,#N/A,FALSE,"HuscoCombined-Summ";#N/A,#N/A,FALSE,"HuscoCombined-Income";#N/A,#N/A,FALSE,"HuscoCombined-Offering";#N/A,#N/A,FALSE,"Husco-Income";#N/A,#N/A,FALSE,"TargetEngineer";#N/A,#N/A,FALSE,"TargetAcqCalc";#N/A,#N/A,FALSE,"Husco-Acq"}</definedName>
    <definedName name="wrn.IDPH." localSheetId="12" hidden="1">{"Rituxan Revenues",#N/A,FALSE,"B cell Revenues";"QEarn1",#N/A,FALSE,"Qearn";"QEarn2",#N/A,FALSE,"Qearn";"QMargin",#N/A,FALSE,"qmargin";"Cashflow",#N/A,FALSE,"cashflow";"Product Pipeline",#N/A,FALSE,"Product Pipeline"}</definedName>
    <definedName name="wrn.II._.PortRev33102." localSheetId="12" hidden="1">{#N/A,#N/A,TRUE,"Port Summary II";#N/A,#N/A,TRUE,"BV Valuation";#N/A,#N/A,TRUE,"FV Valuation";#N/A,#N/A,TRUE,"JRI";#N/A,#N/A,TRUE,"Weasler";#N/A,#N/A,TRUE,"Stronghaven";#N/A,#N/A,TRUE,"Connor";#N/A,#N/A,TRUE,"HWC";#N/A,#N/A,TRUE,"Temple"}</definedName>
    <definedName name="wrn.III." localSheetId="12" hidden="1">{"CASHFLOW",#N/A,FALSE,"Northpointe"}</definedName>
    <definedName name="wrn.III1." localSheetId="12" hidden="1">{"CASHFLOW",#N/A,FALSE,"Northpointe"}</definedName>
    <definedName name="wrn.Ilijan._.Print." localSheetId="12"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mp_sommaire." localSheetId="12" hidden="1">{"imp_Sommaire",#N/A,FALSE,"REV IMMOBILIER"}</definedName>
    <definedName name="wrn.imp_Tous." localSheetId="12" hidden="1">{"imp_0196",#N/A,FALSE,"0019";"imp_0000",#N/A,FALSE,"0000";"imp_0214",#N/A,FALSE,"0214";"imp_0143",#N/A,FALSE,"0143";"imp_0144",#N/A,FALSE,"0144";"imp_0154",#N/A,FALSE,"0154";"imp_0155",#N/A,FALSE,"0155";"imp_0161",#N/A,FALSE,"0161";"imp_0205",#N/A,FALSE,"0205";"imp_0196",#N/A,FALSE,"0196"}</definedName>
    <definedName name="wrn.Income." localSheetId="12" hidden="1">{#N/A,#N/A,TRUE,"Income";#N/A,#N/A,TRUE,"IncomeDetail";#N/A,#N/A,TRUE,"Balance";#N/A,#N/A,TRUE,"BalDetail"}</definedName>
    <definedName name="wrn.Income._.State." localSheetId="12" hidden="1">{#N/A,#N/A,FALSE,"Income statement";#N/A,#N/A,FALSE,"Income Statement by Plant"}</definedName>
    <definedName name="wrn.Income._.State._.and._.CapEx." localSheetId="12" hidden="1">{#N/A,#N/A,FALSE,"Income statement";#N/A,#N/A,FALSE,"Income Statement by Plant"}</definedName>
    <definedName name="wrn.INCOME._.STATEMENT." localSheetId="12" hidden="1">{"INCOME STATEMENT",#N/A,FALSE,"Income Statement"}</definedName>
    <definedName name="wrn.Income._.Statement._1" localSheetId="12" hidden="1">{"% Growth",#N/A,FALSE,"Income Statement";"% of GDAR",#N/A,FALSE,"Income Statement"}</definedName>
    <definedName name="wrn.Income._.Statement._1_1" localSheetId="12" hidden="1">{"% Growth",#N/A,FALSE,"Income Statement";"% of GDAR",#N/A,FALSE,"Income Statement"}</definedName>
    <definedName name="wrn.Income._.Statement._1_2" localSheetId="12" hidden="1">{"% Growth",#N/A,FALSE,"Income Statement";"% of GDAR",#N/A,FALSE,"Income Statement"}</definedName>
    <definedName name="wrn.Income._.Statement._1_3" localSheetId="12" hidden="1">{"% Growth",#N/A,FALSE,"Income Statement";"% of GDAR",#N/A,FALSE,"Income Statement"}</definedName>
    <definedName name="wrn.Income._.Statement._1_4" localSheetId="12" hidden="1">{"% Growth",#N/A,FALSE,"Income Statement";"% of GDAR",#N/A,FALSE,"Income Statement"}</definedName>
    <definedName name="wrn.Income._.Statement._2" localSheetId="12" hidden="1">{"% Growth",#N/A,FALSE,"Income Statement";"% of GDAR",#N/A,FALSE,"Income Statement"}</definedName>
    <definedName name="wrn.Income._.Statement._3" localSheetId="12" hidden="1">{"% Growth",#N/A,FALSE,"Income Statement";"% of GDAR",#N/A,FALSE,"Income Statement"}</definedName>
    <definedName name="wrn.Income._.Statement._4" localSheetId="12" hidden="1">{"% Growth",#N/A,FALSE,"Income Statement";"% of GDAR",#N/A,FALSE,"Income Statement"}</definedName>
    <definedName name="wrn.Income._.Statement._5" localSheetId="12" hidden="1">{"% Growth",#N/A,FALSE,"Income Statement";"% of GDAR",#N/A,FALSE,"Income Statement"}</definedName>
    <definedName name="wrn.Income._.Statements." localSheetId="12" hidden="1">{"Income Statement",#N/A,FALSE,"P&amp;L - $";"Quarterly Income Statement",#N/A,FALSE,"P&amp;L Detail"}</definedName>
    <definedName name="wrn.INDEPS." localSheetId="12" hidden="1">{"page1",#N/A,FALSE,"TIND_CC1";"page2",#N/A,FALSE,"TIND_CC1";"page3",#N/A,FALSE,"TIND_CC1";"page4",#N/A,FALSE,"TIND_CC1";"page5",#N/A,FALSE,"TIND_CC1"}</definedName>
    <definedName name="wrn.Individual._.Statements." localSheetId="12" hidden="1">{"barlup",#N/A,FALSE,"evabnk97";"gillespey",#N/A,FALSE,"evabnk97";"koon",#N/A,FALSE,"evabnk97";"schreur",#N/A,FALSE,"evabnk97";"stone",#N/A,FALSE,"evabnk97";"wichmann",#N/A,FALSE,"evabnk97";"wright",#N/A,FALSE,"evabnk97"}</definedName>
    <definedName name="wrn.Industry.xls." localSheetId="12" hidden="1">{#N/A,#N/A,FALSE,"Earnings";#N/A,#N/A,FALSE,"Overview";#N/A,#N/A,FALSE,"Summary";#N/A,#N/A,FALSE,"Summary II";#N/A,#N/A,FALSE,"R&amp;D";#N/A,#N/A,FALSE,"R&amp;D Forecast";#N/A,#N/A,FALSE,"Tax Adj";#N/A,#N/A,FALSE,"Goodwill";#N/A,#N/A,FALSE,"FX ";#N/A,#N/A,FALSE,"Consolidation";#N/A,#N/A,FALSE,"Provisions"}</definedName>
    <definedName name="wrn.Infectious._.Diseases." localSheetId="12" hidden="1">{#N/A,#N/A,FALSE,"Anti";#N/A,#N/A,FALSE,"Cefa";#N/A,#N/A,FALSE,"Ceph";#N/A,#N/A,FALSE,"Cefp";#N/A,#N/A,FALSE,"Cefe";#N/A,#N/A,FALSE,"Pens";#N/A,#N/A,FALSE,"Ampi";#N/A,#N/A,FALSE,"Amox";#N/A,#N/A,FALSE,"Isox";#N/A,#N/A,FALSE,"Aztr";#N/A,#N/A,FALSE,"Videx";#N/A,#N/A,FALSE,"Zerit"}</definedName>
    <definedName name="wrn.info." localSheetId="12" hidden="1">{#N/A,#N/A,FALSE,"INFORMATIQUE"}</definedName>
    <definedName name="wrn.input._.and._.output." localSheetId="12" hidden="1">{"EBITDA",#N/A,TRUE,"P&amp;L Net of Disc Ops";"output net of disc ops",#N/A,TRUE,"Revenue";"input",#N/A,TRUE,"Revenue";"output",#N/A,TRUE,"DC";"Input",#N/A,TRUE,"DC";"MTN and MCN",#N/A,TRUE,"Margin";"output detail line items",#N/A,TRUE,"SGA";"personnel by year",#N/A,TRUE,"Payroll";#N/A,#N/A,TRUE,"CapEx"}</definedName>
    <definedName name="wrn.Input._.Print._.Area." localSheetId="12" hidden="1">{#N/A,#N/A,FALSE,"inputs";#N/A,#N/A,FALSE,"inputs"}</definedName>
    <definedName name="wrn.Inputs." localSheetId="12" hidden="1">{"ABF inputs",#N/A,FALSE,"ABF";"ICI inputs",#N/A,FALSE,"ICI"}</definedName>
    <definedName name="wrn.Instructor._.Tips." localSheetId="12" hidden="1">{"Area 1",#N/A,TRUE,"Area";"Bar 1",#N/A,TRUE,"Area";"Salomon Bar 1",#N/A,TRUE,"Area";"Stacked Bar 1",#N/A,TRUE,"Area";"Stacked Bar 100 1",#N/A,TRUE,"Area";"Stacked Col 1",#N/A,TRUE,"Area";"Stacked Col 100 1",#N/A,TRUE,"Area";"HiLow 1",#N/A,TRUE,"Area";"Line 1",#N/A,TRUE,"Area";"Scatter 1",#N/A,TRUE,"Area";"ColLine 1",#N/A,TRUE,"Area";"Scatterline 1",#N/A,TRUE,"Area";"Football 1",#N/A,TRUE,"Area";"DAPS 1",#N/A,TRUE,"Area";"Rover 1",#N/A,TRUE,"Area";"Exchange 1",#N/A,TRUE,"Area";"Histogram 1",#N/A,TRUE,"Area";"Price Vol 1",#N/A,TRUE,"Area";"Interactive 1",#N/A,TRUE,"Area";"Column 1",#N/A,TRUE,"Area";"League 1",#N/A,TRUE,"Area";"Pie 1",#N/A,TRUE,"Area"}</definedName>
    <definedName name="wrn.Internal." localSheetId="12" hidden="1">{#N/A,#N/A,TRUE,"COVER INT";#N/A,#N/A,TRUE,"SUMMARY INT";#N/A,#N/A,TRUE,"INCOME STMT INT";#N/A,#N/A,TRUE,"IS TREND";#N/A,#N/A,TRUE,"BALANCE SHEET INT";#N/A,#N/A,TRUE,"BS TREND";#N/A,#N/A,TRUE,"CASH FLOW INT";#N/A,#N/A,TRUE,"CF TREND";#N/A,#N/A,TRUE,"SALES BY TERR INT";#N/A,#N/A,TRUE,"UNITS INT";#N/A,#N/A,TRUE,"PRODUCT SALES INT";#N/A,#N/A,TRUE,"ASP's INT";#N/A,#N/A,TRUE,"GROSS MARGINS INT";#N/A,#N/A,TRUE,"MARGINS PER UNIT INT";#N/A,#N/A,TRUE,"INVENTORY INT";#N/A,#N/A,TRUE,"HEADCOUNT INT";#N/A,#N/A,TRUE,"DEBT STRUCTURE Int";#N/A,#N/A,TRUE," AR"}</definedName>
    <definedName name="wrn.Internal._.Report._.for._.Martha." localSheetId="12"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vestment._.Summary." localSheetId="12" hidden="1">{#N/A,#N/A,TRUE,"Summary";#N/A,#N/A,TRUE,"Financials";#N/A,#N/A,TRUE,"Assumptions";#N/A,#N/A,TRUE,"Pro Forma";#N/A,#N/A,TRUE,"Debt";#N/A,#N/A,TRUE,"Amortization";#N/A,#N/A,TRUE,"GG Returns"}</definedName>
    <definedName name="wrn.IPIX." localSheetId="12" hidden="1">{#N/A,#N/A,FALSE,"Report Print"}</definedName>
    <definedName name="wrn.IPO." localSheetId="12" hidden="1">{#N/A,#N/A,FALSE,"Summary";#N/A,#N/A,FALSE,"Jan'97";#N/A,#N/A,FALSE,"Feb'97";#N/A,#N/A,FALSE,"Mar'97";#N/A,#N/A,FALSE,"Apr'97";#N/A,#N/A,FALSE,"May'97";#N/A,#N/A,FALSE,"Jun'97";#N/A,#N/A,FALSE,"Jul'97";#N/A,#N/A,FALSE,"Aug'97";#N/A,#N/A,FALSE,"Sept'97";#N/A,#N/A,FALSE,"Oct'97";#N/A,#N/A,FALSE,"Nov'97";#N/A,#N/A,FALSE,"Dec'97";#N/A,#N/A,FALSE,"Pending"}</definedName>
    <definedName name="wrn.IPO._.1998." localSheetId="12" hidden="1">{#N/A,#N/A,FALSE,"Summary";#N/A,#N/A,FALSE,"Pending";#N/A,#N/A,FALSE,"Jan'98";#N/A,#N/A,FALSE,"Feb'98";#N/A,#N/A,FALSE,"Mar'98";#N/A,#N/A,FALSE,"Apr'98";#N/A,#N/A,FALSE,"May'98";#N/A,#N/A,FALSE,"June'98";#N/A,#N/A,FALSE,"July'98"}</definedName>
    <definedName name="wrn.IPO._.Analysis." localSheetId="12" hidden="1">{#N/A,#N/A,FALSE,"Summary";#N/A,#N/A,FALSE,"Pending";#N/A,#N/A,FALSE,"Oct'97";#N/A,#N/A,FALSE,"Sept'97";#N/A,#N/A,FALSE,"Aug'97";#N/A,#N/A,FALSE,"Jul'97";#N/A,#N/A,FALSE,"Jun'97";#N/A,#N/A,FALSE,"May'97";#N/A,#N/A,FALSE,"Apr'97";#N/A,#N/A,FALSE,"Mar'97";#N/A,#N/A,FALSE,"Feb'97";#N/A,#N/A,FALSE,"Jan'97"}</definedName>
    <definedName name="wrn.IPO._.Valuation." localSheetId="12" hidden="1">{"assumptions",#N/A,FALSE,"Scenario 1";"valuation",#N/A,FALSE,"Scenario 1"}</definedName>
    <definedName name="wrn.ipovalue." localSheetId="12" hidden="1">{#N/A,#N/A,FALSE,"puboff";#N/A,#N/A,FALSE,"valuation";#N/A,#N/A,FALSE,"finanalsis";#N/A,#N/A,FALSE,"split";#N/A,#N/A,FALSE,"ownership"}</definedName>
    <definedName name="wrn.IS._.Q96." localSheetId="12" hidden="1">{"IS Q96",#N/A,FALSE,"Income Statement"}</definedName>
    <definedName name="wrn.IS._.Q97." localSheetId="12" hidden="1">{"IS Q97",#N/A,FALSE,"Income Statement"}</definedName>
    <definedName name="wrn.IS._.Years." localSheetId="12" hidden="1">{"IS Years",#N/A,FALSE,"Income Statement"}</definedName>
    <definedName name="wrn.IS_BS_SCF." localSheetId="12" hidden="1">{#N/A,#N/A,FALSE,"Income Statement";#N/A,#N/A,FALSE,"Balance Sheet";#N/A,#N/A,FALSE,"Cash Flow"}</definedName>
    <definedName name="wrn.ISCG._.model." localSheetId="12" hidden="1">{#N/A,#N/A,FALSE,"Second";#N/A,#N/A,FALSE,"ownership";#N/A,#N/A,FALSE,"Valuation";#N/A,#N/A,FALSE,"Eqiv";#N/A,#N/A,FALSE,"Mults";#N/A,#N/A,FALSE,"ISCG Graphics"}</definedName>
    <definedName name="wrn.IV." localSheetId="12" hidden="1">{"CASHFLOW",#N/A,FALSE,"Northpointe"}</definedName>
    <definedName name="wrn.JANI._.REBATES." localSheetId="12" hidden="1">{"TOTAL",#N/A,FALSE,"A";"FISCAL94",#N/A,FALSE,"A";"FISCAL95",#N/A,FALSE,"A";"FISCAL96",#N/A,FALSE,"A";"misc page",#N/A,FALSE,"A"}</definedName>
    <definedName name="wrn.jerrys_copy." localSheetId="12"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ODM._.Graphs." localSheetId="12" hidden="1">{"graph",#N/A,FALSE,"WWJU";"graph",#N/A,FALSE,"WWSEM";"graph",#N/A,FALSE,"GOMJU";"graph",#N/A,FALSE,"GOMSEM";"graph",#N/A,FALSE,"NSJU";"graph",#N/A,FALSE,"NSSEM";"graph",#N/A,FALSE,"WAJU";"graph",#N/A,FALSE,"STOCKPRI";"graph",#N/A,FALSE,"CFTEV";"graph",#N/A,FALSE,"NAV-RCV";"graph",#N/A,FALSE,"CRUDEWW"}</definedName>
    <definedName name="wrn.July._.Final." localSheetId="12" hidden="1">{#N/A,#N/A,TRUE,"Mth Sum";#N/A,#N/A,TRUE,"YTD Sum";#N/A,#N/A,TRUE,"Mth Rev Sum";#N/A,#N/A,TRUE,"YTD Rev Sum";#N/A,#N/A,TRUE,"SC vs Pr Month (Revised)";#N/A,#N/A,TRUE,"SVC Detail Mth vs Pr Mth (Rev)";#N/A,#N/A,TRUE,"SGA (Elem) vs Pr Month";#N/A,#N/A,TRUE,"SGA (BU) vs Pr Mth";#N/A,#N/A,TRUE,"SC vs Plan (Revised)";#N/A,#N/A,TRUE,"SVC Detail Mth vsPlan (Rev)";#N/A,#N/A,TRUE,"SGA (Elem) vs Plan";#N/A,#N/A,TRUE,"SGA (BU) vs Plan(Rev)";#N/A,#N/A,TRUE,"SC vs YTD 00 (Revised)";#N/A,#N/A,TRUE,"SGA (Elem) vs YTD 00";#N/A,#N/A,TRUE,"SGA (BU) YTD vs YTD 00";#N/A,#N/A,TRUE,"SC vs YTD Plan (Revised)";#N/A,#N/A,TRUE,"SVC YTD Detail Mth vsPlan (Rev)";#N/A,#N/A,TRUE,"SGA (Elem) vs YTD Plan";#N/A,#N/A,TRUE,"SGA (BU) YTD vs Plan(Rev)";#N/A,#N/A,TRUE,"CapExp";#N/A,#N/A,TRUE,"EBITDA(Flash)";#N/A,#N/A,TRUE,"NetInc(Flash)";#N/A,#N/A,TRUE,"Gross Margin(Flash)";#N/A,#N/A,TRUE,"Mth trends(Flash)";#N/A,#N/A,TRUE,"HeadcountP01";#N/A,#N/A,TRUE,"Headcount P00";#N/A,#N/A,TRUE,"Inc. Statement";#N/A,#N/A,TRUE,"Balance Sheet";#N/A,#N/A,TRUE,"Cash Flow"}</definedName>
    <definedName name="wrn.July._.Presentation." localSheetId="12" hidden="1">{#N/A,#N/A,FALSE,"Revised Plan description";#N/A,#N/A,FALSE,"Mth Sum";#N/A,#N/A,FALSE,"YTD Sum";#N/A,#N/A,FALSE,"Mth Rev Sum";#N/A,#N/A,FALSE,"YTD Rev Sum";#N/A,#N/A,FALSE,"Direct Margin";#N/A,#N/A,FALSE,"Data MarginvsPlan";#N/A,#N/A,FALSE,"Local MarginvsPlan";#N/A,#N/A,FALSE,"Internet MarginvsPlan";#N/A,#N/A,FALSE,"LD Margin vs Plan ";#N/A,#N/A,FALSE,"Data Margin YTDvsPlan";#N/A,#N/A,FALSE,"Local Margin YTDvsPlan";#N/A,#N/A,FALSE,"Internet Margin YTDvsPlan";#N/A,#N/A,FALSE,"LD Margin YTD vs Plan";#N/A,#N/A,FALSE,"SC vs Pr Month ";#N/A,#N/A,FALSE,"SVC Detail Mth vs Pr Mth";#N/A,#N/A,FALSE,"Ind vs Pr Month ";#N/A,#N/A,FALSE,"SGA (Elem) vs Pr Month";#N/A,#N/A,FALSE,"SGA (BU) vs Pr Mth";#N/A,#N/A,FALSE,"SC vs Plan";#N/A,#N/A,FALSE,"SVC Detail Mth vsPlan ";#N/A,#N/A,FALSE,"Ind vs Plan";#N/A,#N/A,FALSE,"SGA (Elem) vs Plan";#N/A,#N/A,FALSE,"SGA (BU) vs Plan";#N/A,#N/A,FALSE,"SC vs YTD 00";#N/A,#N/A,FALSE,"SGA (Elem) vs YTD 00";#N/A,#N/A,FALSE,"SGA (BU) YTD vs YTD 00";#N/A,#N/A,FALSE,"SC vs YTD Plan ";#N/A,#N/A,FALSE,"SVC YTD Detail Mth vsPlan ";#N/A,#N/A,FALSE,"SGA (Elem) vs YTD Plan";#N/A,#N/A,FALSE,"SGA (BU) YTD vs Plan";#N/A,#N/A,FALSE,"CapExp";#N/A,#N/A,FALSE,"EBITDA";#N/A,#N/A,FALSE,"Mth trends";#N/A,#N/A,FALSE,"Inc. Statement";#N/A,#N/A,FALSE,"Balance Sheet";#N/A,#N/A,FALSE,"Cash Flow"}</definedName>
    <definedName name="wrn.Just._.Sorts." localSheetId="12" hidden="1">{#N/A,#N/A,FALSE,"Hi";#N/A,#N/A,FALSE,"Lo";#N/A,#N/A,FALSE,"Mkt. Cap";#N/A,#N/A,FALSE,"Alpha"}</definedName>
    <definedName name="wrn.K." localSheetId="12" hidden="1">{#N/A,#N/A,FALSE,"K"}</definedName>
    <definedName name="wrn.K3._.Annual." localSheetId="12" hidden="1">{"K3Cash",#N/A,FALSE,"Ann";"K3Income",#N/A,FALSE,"Ann";"K3Educ",#N/A,FALSE,"Ann";"K3media",#N/A,FALSE,"Ann";"K3Info",#N/A,FALSE,"Ann";"K3Valuation",#N/A,FALSE,"Ann"}</definedName>
    <definedName name="wrn.K3._.Quarterly." localSheetId="12" hidden="1">{"K3 first",#N/A,FALSE,"Qtr.";"K3 second",#N/A,FALSE,"Qtr.";"K3 Third",#N/A,FALSE,"Qtr.";"K3 Fourth",#N/A,FALSE,"Qtr.";"K3 Full",#N/A,FALSE,"Qtr."}</definedName>
    <definedName name="wrn.kriall." localSheetId="12" hidden="1">{"kricash",#N/A,FALSE,"INC";"kriinc",#N/A,FALSE,"INC";"krimiami",#N/A,FALSE,"INC";"kriother",#N/A,FALSE,"INC";"kripapers",#N/A,FALSE,"INC"}</definedName>
    <definedName name="wrn.LBO._.Summary." localSheetId="12" hidden="1">{"LBO Summary",#N/A,FALSE,"Summary"}</definedName>
    <definedName name="wrn.Lease_Deli." localSheetId="12" hidden="1">{#N/A,#N/A,FALSE,"COVER";#N/A,#N/A,FALSE,"Index";#N/A,#N/A,FALSE,"Non-Earning";#N/A,#N/A,FALSE,"Non-Earning-Recovery";#N/A,#N/A,FALSE,"Leasing_Equipo";#N/A,#N/A,FALSE,"Leasing_Auto";#N/A,#N/A,FALSE,"Leasing_Legal"}</definedName>
    <definedName name="wrn.liab." localSheetId="12" hidden="1">{#N/A,#N/A,FALSE,"BSCON894"}</definedName>
    <definedName name="wrn.LM._.Gear." localSheetId="12" hidden="1">{"LM Gear IS",#N/A,FALSE,"LM Gear - IS";"LM Gear BS",#N/A,FALSE,"LM Gear BS";"LM Gear Detail IS",#N/A,FALSE,"LM Gear - Detail IS";"LM Gear Detail IS Supplemental Info",#N/A,FALSE,"LM Gear - Detail IS";"LM Gear Monthly 1999",#N/A,FALSE,"LM Gear Monthly";"LM Gear Monthly 1998",#N/A,FALSE,"LM Gear Monthly";"LM Gear Monthly 1997",#N/A,FALSE,"LM Gear Monthly"}</definedName>
    <definedName name="wrn.LP._.Committee._.Book." localSheetId="1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LP._.Committee._.June._.13.._.2000." localSheetId="12"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wrn.LUXCOS." localSheetId="12" hidden="1">{"LUX_ASSET",#N/A,FALSE,"CII-Q494.XLS";"LUX_LIAB",#N/A,FALSE,"CII-Q494.XLS";"LUX_INC",#N/A,FALSE,"CII-Q494.XLS";"LUXje",#N/A,FALSE,"CII-Q494.XLS"}</definedName>
    <definedName name="wrn.m_cash." localSheetId="12" hidden="1">{"cash_marc",#N/A,FALSE,"dec95cr.xls"}</definedName>
    <definedName name="wrn.Mahmoud." localSheetId="12" hidden="1">{#N/A,#N/A,FALSE,"Objectives"}</definedName>
    <definedName name="wrn.Main._.Fields." localSheetId="1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Report._.All._.Sections." localSheetId="1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e." localSheetId="12" hidden="1">{"Assumptions",#N/A,TRUE,"Assumptions";"Income",#N/A,TRUE,"Income";"Balance",#N/A,TRUE,"Balance"}</definedName>
    <definedName name="wrn.Maine2." localSheetId="1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nagement._.Control._.Report." localSheetId="12" hidden="1">{#N/A,#N/A,TRUE,"Sheet1 (2)";#N/A,#N/A,TRUE,"Sheet1 (3)";#N/A,#N/A,TRUE,"Sheet1 (4)";#N/A,#N/A,TRUE,"Sheet1 (5)";#N/A,#N/A,TRUE,"Sheet1 (8)";#N/A,#N/A,TRUE,"Sheet1 (9)";#N/A,#N/A,TRUE,"Sheet1 (10)";#N/A,#N/A,TRUE,"Sheet1 (6)";#N/A,#N/A,TRUE,"Sheet1 (7)";#N/A,#N/A,TRUE,"Sheet1 (11)";#N/A,#N/A,TRUE,"Sheet2 (2)";#N/A,#N/A,TRUE,"Sheet3 (2)";#N/A,#N/A,TRUE,"Sheet4 (2)";#N/A,#N/A,TRUE,"Sheet9 (2)";#N/A,#N/A,TRUE,"Sheet8 (2)";#N/A,#N/A,TRUE,"Sheet7 (2)";#N/A,#N/A,TRUE,"Sheet5 (2)";#N/A,#N/A,TRUE,"Sheet2 (3)";#N/A,#N/A,TRUE,"Sheet6 (2)";#N/A,#N/A,TRUE,"Sheet 6A";#N/A,#N/A,TRUE,"Sheet2 (4)";#N/A,#N/A,TRUE,"Sheet2 (5)";#N/A,#N/A,TRUE,"Sheet3 (3)";#N/A,#N/A,TRUE,"Sheet3 (4)";#N/A,#N/A,TRUE,"Sheet4 (3)";#N/A,#N/A,TRUE,"Sheet4 (4)";#N/A,#N/A,TRUE,"Sheet8 (3)";#N/A,#N/A,TRUE,"Sheet8 (4)";#N/A,#N/A,TRUE,"Sheet5 (3)";#N/A,#N/A,TRUE,"Sheet5 (4)";#N/A,#N/A,TRUE,"Sheet10 (2)";#N/A,#N/A,TRUE,"Sheet7 (3)";#N/A,#N/A,TRUE,"Sheet6 (3)";#N/A,#N/A,TRUE,"Sheet5 (5)";#N/A,#N/A,TRUE,"Sheet9 (3)";#N/A,#N/A,TRUE,"Sheet4 (5)";#N/A,#N/A,TRUE,"Sheet12 (2)";#N/A,#N/A,TRUE,"Sheet11 (2)";#N/A,#N/A,TRUE,"Sheet13 (2)";#N/A,#N/A,TRUE,"Sheet14 (2)";#N/A,#N/A,TRUE,"Sheet15 (2)";#N/A,#N/A,TRUE,"Sheet16 (2)";#N/A,#N/A,TRUE,"Sheet1 (12)";#N/A,#N/A,TRUE,"Sheet3 (5)";#N/A,#N/A,TRUE,"Sheet7 (4)";#N/A,#N/A,TRUE,"Sheet2 (6)";#N/A,#N/A,TRUE,"sheet1 (13)";#N/A,#N/A,TRUE,"sheet2 (7)";#N/A,#N/A,TRUE,"sheet10 (3)";#N/A,#N/A,TRUE,"sheet11 (3)";#N/A,#N/A,TRUE,"sheet3 (6)";#N/A,#N/A,TRUE,"sheet4 (6)";#N/A,#N/A,TRUE,"sheet5 (6)";#N/A,#N/A,TRUE,"sheet6 (4)";#N/A,#N/A,TRUE,"sheet7 (5)";#N/A,#N/A,TRUE,"sheet8 (5)";#N/A,#N/A,TRUE,"sheet9 (4)";#N/A,#N/A,TRUE,"Sheet1 (14)";#N/A,#N/A,TRUE,"Sheet2 (8)";#N/A,#N/A,TRUE,"Sheet3 (8)";#N/A,#N/A,TRUE,"Sheet3 (7)";#N/A,#N/A,TRUE,"Sheet4 (7)";#N/A,#N/A,TRUE,"Sheet5 (7)";#N/A,#N/A,TRUE,"Sheet6 (5)";#N/A,#N/A,TRUE,"Sheet1";#N/A,#N/A,TRUE,"Sheet2"}</definedName>
    <definedName name="wrn.March._.Financials." localSheetId="12" hidden="1">{"Statement of Income",#N/A,TRUE,"Mar99";"Balance Sheet",#N/A,TRUE,"Mar99"}</definedName>
    <definedName name="wrn.MARGIN." localSheetId="12" hidden="1">{#N/A,#N/A,TRUE,"MAR";#N/A,#N/A,TRUE,"MAR_2"}</definedName>
    <definedName name="wrn.Margins." localSheetId="12" hidden="1">{#N/A,#N/A,FALSE,"Margins - GrossR&amp;D";#N/A,#N/A,FALSE,"Margins - sg&amp;a";#N/A,#N/A,FALSE,"Margins - Oper-net"}</definedName>
    <definedName name="wrn.Mason._.Deliverables." localSheetId="12" hidden="1">{#N/A,#N/A,FALSE,"Data &amp; Key Results";#N/A,#N/A,FALSE,"Summary Template";#N/A,#N/A,FALSE,"Budget";#N/A,#N/A,FALSE,"Present Value Comparison";#N/A,#N/A,FALSE,"Cashflow";#N/A,#N/A,FALSE,"Income";#N/A,#N/A,FALSE,"Inputs"}</definedName>
    <definedName name="wrn.Master." localSheetId="12" hidden="1">{#N/A,#N/A,TRUE,"ProFormaProfit";#N/A,#N/A,TRUE,"ProFormaCash";#N/A,#N/A,TRUE,"Depreciation";#N/A,#N/A,TRUE,"Assets";#N/A,#N/A,TRUE,"Revenue";#N/A,#N/A,TRUE,"EstimatedPurchase"}</definedName>
    <definedName name="wrn.Master_Income." localSheetId="12" hidden="1">{"Annual_Income",#N/A,FALSE,"Master Model";"Quarterly_Income",#N/A,FALSE,"Master Model"}</definedName>
    <definedName name="wrn.MCCRK." localSheetId="12" hidden="1">{#N/A,#N/A,FALSE,"MCCRK"}</definedName>
    <definedName name="wrn.MDA._.Tables." localSheetId="12" hidden="1">{#N/A,#N/A,TRUE,"Sel Fn Data QTD";#N/A,#N/A,TRUE,"TABLE_1 SPREAD ANALYSIS";#N/A,#N/A,TRUE,"Tables 2 to 3 PL";#N/A,#N/A,TRUE,"Tables 4 and 5 ALLL";#N/A,#N/A,TRUE,"Tables 6 to 8 ALLL NPA";#N/A,#N/A,TRUE,"Table 9 to 10 - Balance Sheet";#N/A,#N/A,TRUE,"Table 11 to 12 - Equity"}</definedName>
    <definedName name="wrn.MDA._.TABLES._.10Q." localSheetId="12" hidden="1">{#N/A,#N/A,FALSE,"Table 1 QTD";#N/A,#N/A,FALSE,"Table 1 YTD";#N/A,#N/A,FALSE,"Tables 2 to 4 PL";#N/A,#N/A,FALSE,"Tables 5 to 9 ALLL";#N/A,#N/A,FALSE,"Table 10 to 13 - Balance Sheet"}</definedName>
    <definedName name="wrn.MDA_TABLES._.10K." localSheetId="12" hidden="1">{#N/A,#N/A,FALSE,"SFD 5 YRS 10k";#N/A,#N/A,FALSE,"Table 1 Annual 10K";#N/A,#N/A,FALSE,"Tables 2 to 3 PL";#N/A,#N/A,FALSE,"Tables 4 and 5ALLL";#N/A,#N/A,FALSE,"Tables 6 to 8 ALLL ";#N/A,#N/A,FALSE,"Table 9 to 12 - Balance Sheet";#N/A,#N/A,FALSE,"Table 14 10K SFD by Quarter";#N/A,#N/A,FALSE,"Tbl 15 - 16 10K risk cashflow"}</definedName>
    <definedName name="wrn.MDA_TABLES._.10Q." localSheetId="12" hidden="1">{#N/A,#N/A,TRUE,"Sel Fn Data QTD";#N/A,#N/A,TRUE,"Table 1 YTD";#N/A,#N/A,TRUE,"Table 1 QTD";#N/A,#N/A,TRUE,"Tables 2 to 3 PL";#N/A,#N/A,TRUE,"Tables 4 and 5ALLL";#N/A,#N/A,TRUE,"Tables 6 to 8 ALLL ";#N/A,#N/A,TRUE,"Table 9 to 12 - Balance Sheet"}</definedName>
    <definedName name="wrn.MDA_TABLES._.10Q._.SEPT." localSheetId="12" hidden="1">{#N/A,#N/A,TRUE,"Sel Fn Data QTD";#N/A,#N/A,TRUE,"Table 1 YTD";#N/A,#N/A,TRUE,"Tables 2 to 4 PL";#N/A,#N/A,TRUE,"Tables 5 to 9 ALLL";#N/A,#N/A,TRUE,"Table 10 to 13 - Balance Sheet"}</definedName>
    <definedName name="wrn.MEDI." localSheetId="12" hidden="1">{"Revenues",#N/A,FALSE,"Revenues";"QEarn1",#N/A,FALSE,"Qearn";"QEarn2",#N/A,FALSE,"Qearn";"QMargin",#N/A,FALSE,"Qmargin";"Cashflow",#N/A,FALSE,"Cashflow";"Product Pipeline",#N/A,FALSE,"Product Pipeline";"First Call Tables",#N/A,FALSE,"First Call Tables";"Comment P&amp;L",#N/A,FALSE,"Comment P&amp;L"}</definedName>
    <definedName name="wrn.merge." localSheetId="12" hidden="1">{#N/A,#N/A,FALSE,"IPO";#N/A,#N/A,FALSE,"DCF";#N/A,#N/A,FALSE,"LBO";#N/A,#N/A,FALSE,"MULT_VAL";#N/A,#N/A,FALSE,"Status Quo";#N/A,#N/A,FALSE,"Recap"}</definedName>
    <definedName name="wrn.Merger." localSheetId="12" hidden="1">{#N/A,#N/A,FALSE,"Overview";#N/A,#N/A,FALSE,"Summary";#N/A,#N/A,FALSE,"Unph Hist";#N/A,#N/A,FALSE,"Combination";#N/A,#N/A,FALSE,"IOC Proj Base";#N/A,#N/A,FALSE,"Bal";#N/A,#N/A,FALSE,"IOC Bal";#N/A,#N/A,FALSE,"IOC CF";#N/A,#N/A,FALSE,"UNPH Proj"}</definedName>
    <definedName name="wrn.merger._.analysis." localSheetId="12"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erger._.analysis.II" localSheetId="12"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erger._.analysis.III" localSheetId="12"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erger._.analysis.IIII" localSheetId="12"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erger._.analysis.IV" localSheetId="12" hidden="1">{"title",#N/A,FALSE,"Sheet13";"table of contents",#N/A,FALSE,"Sheet13";"summary",#N/A,FALSE,"Summary";"Acq. price",#N/A,FALSE,"MODEL";"balance",#N/A,FALSE,"Balance_Sheets";"pro forma ownership",#N/A,FALSE,"MODEL";"value per boe",#N/A,FALSE,"MODEL";"cash flow",#N/A,FALSE,"MODEL";"earnings",#N/A,FALSE,"MODEL";"nav",#N/A,FALSE,"MODEL";"financial summary",#N/A,FALSE,"MODEL";"operations summary",#N/A,FALSE,"MODEL";"cf sens.",#N/A,FALSE,"MODEL";"earn sen.",#N/A,FALSE,"MODEL";"debt sens.",#N/A,FALSE,"MODEL";"other sens.",#N/A,FALSE,"MODEL"}</definedName>
    <definedName name="wrn.mhpall." localSheetId="12" hidden="1">{"mhpcash",#N/A,FALSE,"MHPNEWX";"mhpinc",#N/A,FALSE,"MHPNEWX";"mhptax",#N/A,FALSE,"MHPNEWX";"mhpbroad",#N/A,FALSE,"MHPNEWX";"mhpeduc",#N/A,FALSE,"MHPNEWX";"mhpfin",#N/A,FALSE,"MHPNEWX";"mhpinfo",#N/A,FALSE,"MHPNEWX"}</definedName>
    <definedName name="wrn.mikes_copy." localSheetId="12"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LLARES." localSheetId="12" hidden="1">{#N/A,#N/A,TRUE,"RESUMEN ECON.";#N/A,#N/A,TRUE,"Costos de R.H.";#N/A,#N/A,TRUE,"COSTO HW";#N/A,#N/A,TRUE,"CUADROS";#N/A,#N/A,TRUE,"SCADA´s";#N/A,#N/A,TRUE,"PRECIOS EQUIPOS"}</definedName>
    <definedName name="wrn.model." localSheetId="12" hidden="1">{"page1",#N/A,FALSE,"GIRLBO";"page2",#N/A,FALSE,"GIRLBO";"page3",#N/A,FALSE,"GIRLBO";"page4",#N/A,FALSE,"GIRLBO";"page5",#N/A,FALSE,"GIRLBO"}</definedName>
    <definedName name="wrn.Month." localSheetId="12" hidden="1">{#N/A,#N/A,FALSE,"Comp Balance";#N/A,#N/A,FALSE,"Sum Balance ";#N/A,#N/A,FALSE,"Balance Trend";#N/A,#N/A,FALSE,"Comp PL";#N/A,#N/A,FALSE,"PL";#N/A,#N/A,FALSE,"Sum PL";#N/A,#N/A,FALSE,"PL Trend";#N/A,#N/A,FALSE,"Change"}</definedName>
    <definedName name="wrn.Month._.End._.Print._.Out." localSheetId="12" hidden="1">{"Yen Denominated",#N/A,FALSE,"A-R Aging (JPY)";"Dollar Denominated",#N/A,FALSE,"A-R Aging (JPY)";"Yen Denominated",#N/A,FALSE,"A-R Control (JPY)";"Dollar Denominated",#N/A,FALSE,"A-R Control (JPY)";#N/A,#N/A,FALSE,"A-R Aging (USD)";#N/A,#N/A,FALSE,"A-R Control (USD)";"Aussie Denominated",#N/A,FALSE,"A-R Aging (AUD)";"Dollar Denominated",#N/A,FALSE,"A-R Aging (AUD)";"Aussie Denominated",#N/A,FALSE,"A-R Control (AUD)";"Dollar Denominated",#N/A,FALSE,"A-R Control (AUD)";#N/A,#N/A,FALSE,"A-R Aging Recon.";#N/A,#N/A,FALSE,"A-R Control Recon.";#N/A,#N/A,FALSE,"Cash App (JPY- NAB)";#N/A,#N/A,FALSE,"Cash App (JPY-Citi)";#N/A,#N/A,FALSE,"Cash App (USD)";#N/A,#N/A,FALSE,"Cash App (AUD)";#N/A,#N/A,FALSE,"Cash Disb (AUD)";#N/A,#N/A,FALSE,"Cash Disb (JPY-NAB)";#N/A,#N/A,FALSE,"Cash Disb (JPY-Citi)";#N/A,#N/A,FALSE,"Cash Disb (USD)";#N/A,#N/A,FALSE,"Cash Receipts (AUD)";#N/A,#N/A,FALSE,"Cash Receipts (JPY-NAB)";#N/A,#N/A,FALSE,"Cash Receipts (JPY-Citi)";#N/A,#N/A,FALSE,"Cash Receipts (USD)";#N/A,#N/A,FALSE,"Bank Rec (AUD)";#N/A,#N/A,FALSE,"Bank Rec (JPY-NAB)";#N/A,#N/A,FALSE,"Bank Rec (JPY-Citi)";#N/A,#N/A,FALSE,"Bank Rec (USD)";#N/A,#N/A,FALSE,"Petty Cash (AUD)";#N/A,#N/A,FALSE,"Petty Cash (JPY)";#N/A,#N/A,FALSE,"Head &amp; Ticket Counts";#N/A,#N/A,FALSE,"Payroll"}</definedName>
    <definedName name="wrn.MONTH_END." localSheetId="12" hidden="1">{#N/A,#N/A,FALSE,"SUMMARY";#N/A,#N/A,FALSE,"DETAIL";#N/A,#N/A,FALSE,"VARIANCE"}</definedName>
    <definedName name="wrn.MONTH_REPORT." localSheetId="12" hidden="1">{#N/A,#N/A,TRUE,"ALLL";#N/A,#N/A,TRUE,"DEL";#N/A,#N/A,TRUE,"Reserve Analysis";#N/A,#N/A,TRUE,"C_OFF HISTORY";#N/A,#N/A,TRUE,"ALLL_QTR";#N/A,#N/A,TRUE,"HEA_M";#N/A,#N/A,TRUE,"BL_DET";#N/A,#N/A,TRUE,"3YRS+";#N/A,#N/A,TRUE,"CONSTR_DET"}</definedName>
    <definedName name="wrn.MONTH_REPORT_BOD." localSheetId="12" hidden="1">{#N/A,#N/A,FALSE,"HEA_M";#N/A,#N/A,FALSE,"ALLL";#N/A,#N/A,FALSE,"DEL";#N/A,#N/A,FALSE,"Reserve Analysis";#N/A,#N/A,FALSE,"C_OFF HISTORY";#N/A,#N/A,FALSE,"ALLL_QTR"}</definedName>
    <definedName name="wrn.Month_Report_Mgmt." localSheetId="12" hidden="1">{#N/A,#N/A,FALSE,"HEA_M";#N/A,#N/A,FALSE,"ALLL";#N/A,#N/A,FALSE,"DEL";#N/A,#N/A,FALSE,"Reserve Analysis";#N/A,#N/A,FALSE,"C_OFF HISTORY";#N/A,#N/A,FALSE,"ALLL_QTR";#N/A,#N/A,FALSE,"RR Review";#N/A,#N/A,FALSE,"MORT. SS 1YRS+";#N/A,#N/A,FALSE,"MORT. DOUBFUL 1YEAR+";#N/A,#N/A,FALSE,"MORT. LOSS 1YEAR+";#N/A,#N/A,FALSE,"Watch List Report";#N/A,#N/A,FALSE,"CONSTR_DET"}</definedName>
    <definedName name="wrn.Monthly._.Financials." localSheetId="12" hidden="1">{#N/A,#N/A,FALSE,"mfg - consol";#N/A,#N/A,FALSE,"mfg - flo";#N/A,#N/A,FALSE,"mfg - lindsay"}</definedName>
    <definedName name="wrn.MONTHLY._.INVENTORY._.SCHEDULE." localSheetId="12" hidden="1">{#N/A,#N/A,FALSE,"Sheet1";#N/A,#N/A,FALSE,"Sheet2";#N/A,#N/A,FALSE,"Sheet3";#N/A,#N/A,FALSE,"Sheet4";#N/A,#N/A,FALSE,"Sheet5";#N/A,#N/A,FALSE,"Sheet6"}</definedName>
    <definedName name="wrn.Monthly._.Report." localSheetId="12" hidden="1">{#N/A,#N/A,FALSE,"Summary Page";#N/A,#N/A,FALSE,"Collections Listing";#N/A,#N/A,FALSE,"Lessee 60 days past due";#N/A,#N/A,FALSE,"Revenues--Lend Base JP Morgan";#N/A,#N/A,FALSE,"JP Morgan Debt Amort Schedule";#N/A,#N/A,FALSE,"Covenant Analysis"}</definedName>
    <definedName name="wrn.Months." localSheetId="12" hidden="1">{"Curr Month",#N/A,FALSE,"Curr Mo";"All Months",#N/A,FALSE,"Curr Mo";"YTD",#N/A,FALSE,"Curr Mo";"1001",#N/A,FALSE,"Curr Mo";"1002",#N/A,FALSE,"Curr Mo";"4012",#N/A,FALSE,"Curr Mo";"4017",#N/A,FALSE,"Curr Mo";"1050",#N/A,FALSE,"Curr Mo";"1009",#N/A,FALSE,"Curr Mo";"4079",#N/A,FALSE,"Curr Mo";"4077",#N/A,FALSE,"Curr Mo";"1005",#N/A,FALSE,"Curr Mo";"1008",#N/A,FALSE,"Curr Mo";"1011",#N/A,FALSE,"Curr Mo";"1006",#N/A,FALSE,"Curr Mo";"1024",#N/A,FALSE,"Curr Mo";"1003",#N/A,FALSE,"Curr Mo";"1025",#N/A,FALSE,"Curr Mo";"4013",#N/A,FALSE,"Curr Mo";"1091",#N/A,FALSE,"Curr Mo";"1010",#N/A,FALSE,"Curr Mo";"1023",#N/A,FALSE,"Curr Mo";"4014",#N/A,FALSE,"Curr Mo";"1043",#N/A,FALSE,"Curr Mo";"1014",#N/A,FALSE,"Curr Mo";"1015",#N/A,FALSE,"Curr Mo";"1012",#N/A,FALSE,"Curr Mo";"1061",#N/A,FALSE,"Curr Mo";"1045",#N/A,FALSE,"Curr Mo";"4058",#N/A,FALSE,"Curr Mo";"1033",#N/A,FALSE,"Curr Mo";"1103",#N/A,FALSE,"Curr Mo";"4007",#N/A,FALSE,"Curr Mo";"4021",#N/A,FALSE,"Curr Mo";"4026",#N/A,FALSE,"Curr Mo";"4022",#N/A,FALSE,"Curr Mo";"4050",#N/A,FALSE,"Curr Mo";"4032",#N/A,FALSE,"Curr Mo";"4089",#N/A,FALSE,"Curr Mo";"1042",#N/A,FALSE,"Curr Mo";"1048",#N/A,FALSE,"Curr Mo";"4049",#N/A,FALSE,"Curr Mo"}</definedName>
    <definedName name="wrn.Mortgage." localSheetId="12" hidden="1">{#N/A,#N/A,FALSE,"COVER";#N/A,#N/A,FALSE,"Index";#N/A,#N/A,FALSE,"Non-Earning";#N/A,#N/A,FALSE,"Mortgage_Legal";#N/A,#N/A,FALSE,"Mortgages"}</definedName>
    <definedName name="wrn.Most._.Likely._.Scenarios." localSheetId="12" hidden="1">{#N/A,"Mine Allocated, Keep AC",FALSE,"Stream INPUTS";#N/A,"All Preferred, Sell AC",FALSE,"Stream INPUTS";#N/A,"Step Up, Sell AC",FALSE,"Stream INPUTS";#N/A,"All Preferred, BRONCO buys AC",FALSE,"Stream INPUTS"}</definedName>
    <definedName name="wrn.MRA." localSheetId="12" hidden="1">{"MRA IS",#N/A,FALSE,"MRA - IS";"MRA BS",#N/A,FALSE,"MRA - BS";"MRA Detail IS",#N/A,FALSE,"MRA - Detail IS";"MRA Detail IS Supplemental Info",#N/A,FALSE,"MRA - Detail IS";"MRA Monthly 1999",#N/A,FALSE,"MRA Monthly";"MRA Monthly IS 1998",#N/A,FALSE,"MRA Monthly";"MRA Monthly IS 1997",#N/A,FALSE,"MRA Monthly"}</definedName>
    <definedName name="wrn.Munsell." localSheetId="12" hidden="1">{#N/A,#N/A,FALSE,"Index";#N/A,#N/A,FALSE,"IncStmt";#N/A,#N/A,FALSE,"Ratios";#N/A,#N/A,FALSE,"CashFlows";#N/A,#N/A,FALSE,"Ins1";#N/A,#N/A,FALSE,"Ins2";#N/A,#N/A,FALSE,"SelfFund";#N/A,#N/A,FALSE,"SGA";#N/A,#N/A,FALSE,"Recon";#N/A,#N/A,FALSE,"Earnings";#N/A,#N/A,FALSE,"Earnings (2)";#N/A,#N/A,FALSE,"Stock";#N/A,#N/A,FALSE,"Stock (2)";#N/A,#N/A,FALSE,"PeerRatios";#N/A,#N/A,FALSE,"PeerRanks"}</definedName>
    <definedName name="wrn.NA." localSheetId="12" hidden="1">{#N/A,#N/A,FALSE,"NA"}</definedName>
    <definedName name="wrn.Neds." localSheetId="12" hidden="1">{"page1",#N/A,TRUE,"PRICING";"page2",#N/A,TRUE,"PRICING"}</definedName>
    <definedName name="wrn.Netbacks." localSheetId="12" hidden="1">{"Netbacks",#N/A,FALSE,"Netbacks"}</definedName>
    <definedName name="wrn.new." localSheetId="12" hidden="1">{"new1",#N/A,FALSE,"FLEXPAC2";"new2",#N/A,FALSE,"FLEXPAC2"}</definedName>
    <definedName name="wrn.newest." localSheetId="12" hidden="1">{#N/A,#N/A,TRUE,"TS";#N/A,#N/A,TRUE,"Combo";#N/A,#N/A,TRUE,"FAIR";#N/A,#N/A,TRUE,"RBC";#N/A,#N/A,TRUE,"xxxx"}</definedName>
    <definedName name="wrn.nuevahoja." localSheetId="12" hidden="1">{#N/A,#N/A,FALSE,"CNS_ADJ";"Balance Consolidado",#N/A,FALSE,"BCEC_CNS";#N/A,#N/A,FALSE,"USGAAP_ADJ"}</definedName>
    <definedName name="wrn.nytaann." localSheetId="12" hidden="1">{"nytacash",#N/A,FALSE,"GLOBEINC";"nytainc",#N/A,FALSE,"GLOBEINC";"nytanyt",#N/A,FALSE,"GLOBEINC";"nytareg",#N/A,FALSE,"GLOBEINC";"nytaglobe",#N/A,FALSE,"GLOBEINC";"nytapprttl",#N/A,FALSE,"GLOBEINC"}</definedName>
    <definedName name="wrn.Oncology." localSheetId="12" hidden="1">{#N/A,#N/A,FALSE,"Onco";#N/A,#N/A,FALSE,"Taxol";#N/A,#N/A,FALSE,"UFT";#N/A,#N/A,FALSE,"Carb"}</definedName>
    <definedName name="wrn.one." localSheetId="12" hidden="1">{"page1",#N/A,FALSE,"A";"page2",#N/A,FALSE,"A"}</definedName>
    <definedName name="wrn.One._.Pager._.plus._.Technicals." localSheetId="12" hidden="1">{#N/A,#N/A,FALSE,"One Pager";#N/A,#N/A,FALSE,"Technical"}</definedName>
    <definedName name="wrn.OPERATIONS." localSheetId="12" hidden="1">{#N/A,#N/A,FALSE,"PL-FS";#N/A,#N/A,FALSE,"PL"}</definedName>
    <definedName name="wrn.Opportunity._.Assessment." localSheetId="12" hidden="1">{#N/A,#N/A,TRUE,"Summary";#N/A,#N/A,TRUE,"Assumptions";#N/A,#N/A,TRUE,"Comparison";#N/A,#N/A,TRUE,"Financials";#N/A,#N/A,TRUE,"Plan v. Act"}</definedName>
    <definedName name="wrn.ops._.costs." localSheetId="12" hidden="1">{"page1",#N/A,FALSE,"APCI Operations Detail  ";"page2",#N/A,FALSE,"APCI Operations Detail  ";"page3",#N/A,FALSE,"APCI Operations Detail  ";"page4",#N/A,FALSE,"APCI Operations Detail  "}</definedName>
    <definedName name="wrn.OPSUMM." localSheetId="12" hidden="1">{#N/A,#N/A,FALSE,"BAGOSLEA"}</definedName>
    <definedName name="wrn.OTC._.Market._.Report." localSheetId="12" hidden="1">{#N/A,#N/A,FALSE,"Sales Graph";#N/A,#N/A,FALSE,"BUC Graph";#N/A,#N/A,FALSE,"P&amp;L - YTD"}</definedName>
    <definedName name="wrn.Other._.Pharm." localSheetId="12" hidden="1">{#N/A,#N/A,FALSE,"Other";#N/A,#N/A,FALSE,"Ace";#N/A,#N/A,FALSE,"Derm"}</definedName>
    <definedName name="wrn.Output." localSheetId="12"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vhd." localSheetId="12" hidden="1">{#N/A,#N/A,FALSE,"OVHDSUM"}</definedName>
    <definedName name="wrn.ovhd1." localSheetId="12" hidden="1">{#N/A,#N/A,FALSE,"OVHDSUM"}</definedName>
    <definedName name="wrn.p" localSheetId="12" hidden="1">{#N/A,#N/A,FALSE,"1";#N/A,#N/A,FALSE,"2";#N/A,#N/A,FALSE,"16 - 17";#N/A,#N/A,FALSE,"18 - 19";#N/A,#N/A,FALSE,"26";#N/A,#N/A,FALSE,"27";#N/A,#N/A,FALSE,"28"}</definedName>
    <definedName name="wrn.packer._.1." localSheetId="12"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GE._.1." localSheetId="12" hidden="1">{#N/A,#N/A,FALSE,"Job Sched"}</definedName>
    <definedName name="wrn.PAGE._.2." localSheetId="12" hidden="1">{"PAGE 2",#N/A,FALSE,"WEST_OT"}</definedName>
    <definedName name="wrn.PAGE._.3." localSheetId="12" hidden="1">{"PAGE 2",#N/A,FALSE,"WEST_OT"}</definedName>
    <definedName name="wrn.page57to67." localSheetId="12" hidden="1">{#N/A,#N/A,FALSE,"57";#N/A,#N/A,FALSE,"58";#N/A,#N/A,FALSE,"59";#N/A,#N/A,FALSE,"60";#N/A,#N/A,FALSE,"60A";#N/A,#N/A,FALSE,"61";#N/A,#N/A,FALSE,"62";#N/A,#N/A,FALSE,"63";#N/A,#N/A,FALSE,"63A";#N/A,#N/A,FALSE,"64";#N/A,#N/A,FALSE,"65";#N/A,#N/A,FALSE,"66";#N/A,#N/A,FALSE,"67"}</definedName>
    <definedName name="wrn.page57to67._1" localSheetId="12" hidden="1">{#N/A,#N/A,FALSE,"57";#N/A,#N/A,FALSE,"58";#N/A,#N/A,FALSE,"59";#N/A,#N/A,FALSE,"60";#N/A,#N/A,FALSE,"60A";#N/A,#N/A,FALSE,"61";#N/A,#N/A,FALSE,"62";#N/A,#N/A,FALSE,"63";#N/A,#N/A,FALSE,"63A";#N/A,#N/A,FALSE,"64";#N/A,#N/A,FALSE,"65";#N/A,#N/A,FALSE,"66";#N/A,#N/A,FALSE,"67"}</definedName>
    <definedName name="wrn.page57to67._1_1" localSheetId="12" hidden="1">{#N/A,#N/A,FALSE,"57";#N/A,#N/A,FALSE,"58";#N/A,#N/A,FALSE,"59";#N/A,#N/A,FALSE,"60";#N/A,#N/A,FALSE,"60A";#N/A,#N/A,FALSE,"61";#N/A,#N/A,FALSE,"62";#N/A,#N/A,FALSE,"63";#N/A,#N/A,FALSE,"63A";#N/A,#N/A,FALSE,"64";#N/A,#N/A,FALSE,"65";#N/A,#N/A,FALSE,"66";#N/A,#N/A,FALSE,"67"}</definedName>
    <definedName name="wrn.page57to67._1_2" localSheetId="12" hidden="1">{#N/A,#N/A,FALSE,"57";#N/A,#N/A,FALSE,"58";#N/A,#N/A,FALSE,"59";#N/A,#N/A,FALSE,"60";#N/A,#N/A,FALSE,"60A";#N/A,#N/A,FALSE,"61";#N/A,#N/A,FALSE,"62";#N/A,#N/A,FALSE,"63";#N/A,#N/A,FALSE,"63A";#N/A,#N/A,FALSE,"64";#N/A,#N/A,FALSE,"65";#N/A,#N/A,FALSE,"66";#N/A,#N/A,FALSE,"67"}</definedName>
    <definedName name="wrn.page57to67._1_3" localSheetId="12" hidden="1">{#N/A,#N/A,FALSE,"57";#N/A,#N/A,FALSE,"58";#N/A,#N/A,FALSE,"59";#N/A,#N/A,FALSE,"60";#N/A,#N/A,FALSE,"60A";#N/A,#N/A,FALSE,"61";#N/A,#N/A,FALSE,"62";#N/A,#N/A,FALSE,"63";#N/A,#N/A,FALSE,"63A";#N/A,#N/A,FALSE,"64";#N/A,#N/A,FALSE,"65";#N/A,#N/A,FALSE,"66";#N/A,#N/A,FALSE,"67"}</definedName>
    <definedName name="wrn.page57to67._1_4" localSheetId="12" hidden="1">{#N/A,#N/A,FALSE,"57";#N/A,#N/A,FALSE,"58";#N/A,#N/A,FALSE,"59";#N/A,#N/A,FALSE,"60";#N/A,#N/A,FALSE,"60A";#N/A,#N/A,FALSE,"61";#N/A,#N/A,FALSE,"62";#N/A,#N/A,FALSE,"63";#N/A,#N/A,FALSE,"63A";#N/A,#N/A,FALSE,"64";#N/A,#N/A,FALSE,"65";#N/A,#N/A,FALSE,"66";#N/A,#N/A,FALSE,"67"}</definedName>
    <definedName name="wrn.page57to67._2" localSheetId="12" hidden="1">{#N/A,#N/A,FALSE,"57";#N/A,#N/A,FALSE,"58";#N/A,#N/A,FALSE,"59";#N/A,#N/A,FALSE,"60";#N/A,#N/A,FALSE,"60A";#N/A,#N/A,FALSE,"61";#N/A,#N/A,FALSE,"62";#N/A,#N/A,FALSE,"63";#N/A,#N/A,FALSE,"63A";#N/A,#N/A,FALSE,"64";#N/A,#N/A,FALSE,"65";#N/A,#N/A,FALSE,"66";#N/A,#N/A,FALSE,"67"}</definedName>
    <definedName name="wrn.page57to67._3" localSheetId="12" hidden="1">{#N/A,#N/A,FALSE,"57";#N/A,#N/A,FALSE,"58";#N/A,#N/A,FALSE,"59";#N/A,#N/A,FALSE,"60";#N/A,#N/A,FALSE,"60A";#N/A,#N/A,FALSE,"61";#N/A,#N/A,FALSE,"62";#N/A,#N/A,FALSE,"63";#N/A,#N/A,FALSE,"63A";#N/A,#N/A,FALSE,"64";#N/A,#N/A,FALSE,"65";#N/A,#N/A,FALSE,"66";#N/A,#N/A,FALSE,"67"}</definedName>
    <definedName name="wrn.page57to67._4" localSheetId="12" hidden="1">{#N/A,#N/A,FALSE,"57";#N/A,#N/A,FALSE,"58";#N/A,#N/A,FALSE,"59";#N/A,#N/A,FALSE,"60";#N/A,#N/A,FALSE,"60A";#N/A,#N/A,FALSE,"61";#N/A,#N/A,FALSE,"62";#N/A,#N/A,FALSE,"63";#N/A,#N/A,FALSE,"63A";#N/A,#N/A,FALSE,"64";#N/A,#N/A,FALSE,"65";#N/A,#N/A,FALSE,"66";#N/A,#N/A,FALSE,"67"}</definedName>
    <definedName name="wrn.page57to67._5" localSheetId="12" hidden="1">{#N/A,#N/A,FALSE,"57";#N/A,#N/A,FALSE,"58";#N/A,#N/A,FALSE,"59";#N/A,#N/A,FALSE,"60";#N/A,#N/A,FALSE,"60A";#N/A,#N/A,FALSE,"61";#N/A,#N/A,FALSE,"62";#N/A,#N/A,FALSE,"63";#N/A,#N/A,FALSE,"63A";#N/A,#N/A,FALSE,"64";#N/A,#N/A,FALSE,"65";#N/A,#N/A,FALSE,"66";#N/A,#N/A,FALSE,"67"}</definedName>
    <definedName name="wrn.Pages._.28._.to._.50." localSheetId="12"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 localSheetId="12"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_1" localSheetId="12"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_2" localSheetId="12"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_3" localSheetId="12"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1_4" localSheetId="12"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2" localSheetId="12"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3" localSheetId="12"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4" localSheetId="12"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28._.to._.50._5" localSheetId="12"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51._.to._.66." localSheetId="12" hidden="1">{#N/A,#N/A,FALSE,"51";#N/A,#N/A,FALSE,"52";#N/A,#N/A,FALSE,"53";#N/A,#N/A,FALSE,"54";#N/A,#N/A,FALSE,"55";#N/A,#N/A,FALSE,"55A";#N/A,#N/A,FALSE,"56";#N/A,#N/A,FALSE,"57";#N/A,#N/A,FALSE,"57A";#N/A,#N/A,FALSE,"58";#N/A,#N/A,FALSE,"59";#N/A,#N/A,FALSE,"60";#N/A,#N/A,FALSE,"60A";#N/A,#N/A,FALSE,"61";#N/A,#N/A,FALSE,"62";#N/A,#N/A,FALSE,"63";#N/A,#N/A,FALSE,"63A";#N/A,#N/A,FALSE,"64";#N/A,#N/A,FALSE,"65";#N/A,#N/A,FALSE,"66"}</definedName>
    <definedName name="wrn.Pages._.51._.to._.66._1" localSheetId="12" hidden="1">{#N/A,#N/A,FALSE,"51";#N/A,#N/A,FALSE,"52";#N/A,#N/A,FALSE,"53";#N/A,#N/A,FALSE,"54";#N/A,#N/A,FALSE,"55";#N/A,#N/A,FALSE,"55A";#N/A,#N/A,FALSE,"56";#N/A,#N/A,FALSE,"57";#N/A,#N/A,FALSE,"57A";#N/A,#N/A,FALSE,"58";#N/A,#N/A,FALSE,"59";#N/A,#N/A,FALSE,"60";#N/A,#N/A,FALSE,"60A";#N/A,#N/A,FALSE,"61";#N/A,#N/A,FALSE,"62";#N/A,#N/A,FALSE,"63";#N/A,#N/A,FALSE,"63A";#N/A,#N/A,FALSE,"64";#N/A,#N/A,FALSE,"65";#N/A,#N/A,FALSE,"66"}</definedName>
    <definedName name="wrn.Pages._.51._.to._.66._1_1" localSheetId="12" hidden="1">{#N/A,#N/A,FALSE,"51";#N/A,#N/A,FALSE,"52";#N/A,#N/A,FALSE,"53";#N/A,#N/A,FALSE,"54";#N/A,#N/A,FALSE,"55";#N/A,#N/A,FALSE,"55A";#N/A,#N/A,FALSE,"56";#N/A,#N/A,FALSE,"57";#N/A,#N/A,FALSE,"57A";#N/A,#N/A,FALSE,"58";#N/A,#N/A,FALSE,"59";#N/A,#N/A,FALSE,"60";#N/A,#N/A,FALSE,"60A";#N/A,#N/A,FALSE,"61";#N/A,#N/A,FALSE,"62";#N/A,#N/A,FALSE,"63";#N/A,#N/A,FALSE,"63A";#N/A,#N/A,FALSE,"64";#N/A,#N/A,FALSE,"65";#N/A,#N/A,FALSE,"66"}</definedName>
    <definedName name="wrn.Pages._.51._.to._.66._1_2" localSheetId="12" hidden="1">{#N/A,#N/A,FALSE,"51";#N/A,#N/A,FALSE,"52";#N/A,#N/A,FALSE,"53";#N/A,#N/A,FALSE,"54";#N/A,#N/A,FALSE,"55";#N/A,#N/A,FALSE,"55A";#N/A,#N/A,FALSE,"56";#N/A,#N/A,FALSE,"57";#N/A,#N/A,FALSE,"57A";#N/A,#N/A,FALSE,"58";#N/A,#N/A,FALSE,"59";#N/A,#N/A,FALSE,"60";#N/A,#N/A,FALSE,"60A";#N/A,#N/A,FALSE,"61";#N/A,#N/A,FALSE,"62";#N/A,#N/A,FALSE,"63";#N/A,#N/A,FALSE,"63A";#N/A,#N/A,FALSE,"64";#N/A,#N/A,FALSE,"65";#N/A,#N/A,FALSE,"66"}</definedName>
    <definedName name="wrn.Pages._.51._.to._.66._1_3" localSheetId="12" hidden="1">{#N/A,#N/A,FALSE,"51";#N/A,#N/A,FALSE,"52";#N/A,#N/A,FALSE,"53";#N/A,#N/A,FALSE,"54";#N/A,#N/A,FALSE,"55";#N/A,#N/A,FALSE,"55A";#N/A,#N/A,FALSE,"56";#N/A,#N/A,FALSE,"57";#N/A,#N/A,FALSE,"57A";#N/A,#N/A,FALSE,"58";#N/A,#N/A,FALSE,"59";#N/A,#N/A,FALSE,"60";#N/A,#N/A,FALSE,"60A";#N/A,#N/A,FALSE,"61";#N/A,#N/A,FALSE,"62";#N/A,#N/A,FALSE,"63";#N/A,#N/A,FALSE,"63A";#N/A,#N/A,FALSE,"64";#N/A,#N/A,FALSE,"65";#N/A,#N/A,FALSE,"66"}</definedName>
    <definedName name="wrn.Pages._.51._.to._.66._1_4" localSheetId="12" hidden="1">{#N/A,#N/A,FALSE,"51";#N/A,#N/A,FALSE,"52";#N/A,#N/A,FALSE,"53";#N/A,#N/A,FALSE,"54";#N/A,#N/A,FALSE,"55";#N/A,#N/A,FALSE,"55A";#N/A,#N/A,FALSE,"56";#N/A,#N/A,FALSE,"57";#N/A,#N/A,FALSE,"57A";#N/A,#N/A,FALSE,"58";#N/A,#N/A,FALSE,"59";#N/A,#N/A,FALSE,"60";#N/A,#N/A,FALSE,"60A";#N/A,#N/A,FALSE,"61";#N/A,#N/A,FALSE,"62";#N/A,#N/A,FALSE,"63";#N/A,#N/A,FALSE,"63A";#N/A,#N/A,FALSE,"64";#N/A,#N/A,FALSE,"65";#N/A,#N/A,FALSE,"66"}</definedName>
    <definedName name="wrn.Pages._.51._.to._.66._2" localSheetId="12" hidden="1">{#N/A,#N/A,FALSE,"51";#N/A,#N/A,FALSE,"52";#N/A,#N/A,FALSE,"53";#N/A,#N/A,FALSE,"54";#N/A,#N/A,FALSE,"55";#N/A,#N/A,FALSE,"55A";#N/A,#N/A,FALSE,"56";#N/A,#N/A,FALSE,"57";#N/A,#N/A,FALSE,"57A";#N/A,#N/A,FALSE,"58";#N/A,#N/A,FALSE,"59";#N/A,#N/A,FALSE,"60";#N/A,#N/A,FALSE,"60A";#N/A,#N/A,FALSE,"61";#N/A,#N/A,FALSE,"62";#N/A,#N/A,FALSE,"63";#N/A,#N/A,FALSE,"63A";#N/A,#N/A,FALSE,"64";#N/A,#N/A,FALSE,"65";#N/A,#N/A,FALSE,"66"}</definedName>
    <definedName name="wrn.Pages._.51._.to._.66._3" localSheetId="12" hidden="1">{#N/A,#N/A,FALSE,"51";#N/A,#N/A,FALSE,"52";#N/A,#N/A,FALSE,"53";#N/A,#N/A,FALSE,"54";#N/A,#N/A,FALSE,"55";#N/A,#N/A,FALSE,"55A";#N/A,#N/A,FALSE,"56";#N/A,#N/A,FALSE,"57";#N/A,#N/A,FALSE,"57A";#N/A,#N/A,FALSE,"58";#N/A,#N/A,FALSE,"59";#N/A,#N/A,FALSE,"60";#N/A,#N/A,FALSE,"60A";#N/A,#N/A,FALSE,"61";#N/A,#N/A,FALSE,"62";#N/A,#N/A,FALSE,"63";#N/A,#N/A,FALSE,"63A";#N/A,#N/A,FALSE,"64";#N/A,#N/A,FALSE,"65";#N/A,#N/A,FALSE,"66"}</definedName>
    <definedName name="wrn.Pages._.51._.to._.66._4" localSheetId="12" hidden="1">{#N/A,#N/A,FALSE,"51";#N/A,#N/A,FALSE,"52";#N/A,#N/A,FALSE,"53";#N/A,#N/A,FALSE,"54";#N/A,#N/A,FALSE,"55";#N/A,#N/A,FALSE,"55A";#N/A,#N/A,FALSE,"56";#N/A,#N/A,FALSE,"57";#N/A,#N/A,FALSE,"57A";#N/A,#N/A,FALSE,"58";#N/A,#N/A,FALSE,"59";#N/A,#N/A,FALSE,"60";#N/A,#N/A,FALSE,"60A";#N/A,#N/A,FALSE,"61";#N/A,#N/A,FALSE,"62";#N/A,#N/A,FALSE,"63";#N/A,#N/A,FALSE,"63A";#N/A,#N/A,FALSE,"64";#N/A,#N/A,FALSE,"65";#N/A,#N/A,FALSE,"66"}</definedName>
    <definedName name="wrn.Pages._.51._.to._.66._5" localSheetId="12" hidden="1">{#N/A,#N/A,FALSE,"51";#N/A,#N/A,FALSE,"52";#N/A,#N/A,FALSE,"53";#N/A,#N/A,FALSE,"54";#N/A,#N/A,FALSE,"55";#N/A,#N/A,FALSE,"55A";#N/A,#N/A,FALSE,"56";#N/A,#N/A,FALSE,"57";#N/A,#N/A,FALSE,"57A";#N/A,#N/A,FALSE,"58";#N/A,#N/A,FALSE,"59";#N/A,#N/A,FALSE,"60";#N/A,#N/A,FALSE,"60A";#N/A,#N/A,FALSE,"61";#N/A,#N/A,FALSE,"62";#N/A,#N/A,FALSE,"63";#N/A,#N/A,FALSE,"63A";#N/A,#N/A,FALSE,"64";#N/A,#N/A,FALSE,"65";#N/A,#N/A,FALSE,"66"}</definedName>
    <definedName name="wrn.pages._.88._.to._.end." localSheetId="12"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 localSheetId="12"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_1" localSheetId="12"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_2" localSheetId="12"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_3" localSheetId="12"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1_4" localSheetId="12"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2" localSheetId="12"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3" localSheetId="12"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4" localSheetId="12"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88._.to._.end._5" localSheetId="12"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ing._.Compco." localSheetId="12" hidden="1">{"financials",#N/A,TRUE,"6_30_96";"footnotes",#N/A,TRUE,"6_30_96";"valuation",#N/A,TRUE,"6_30_96"}</definedName>
    <definedName name="wrn.PARTNERS._.CAPITAL._.STMT." localSheetId="12" hidden="1">{"PARTNERS CAPITAL STMT",#N/A,FALSE,"Partners Capital"}</definedName>
    <definedName name="wrn.Penn._.PSC._.part._.1." localSheetId="12"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 localSheetId="12"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_1" localSheetId="12"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_2" localSheetId="12"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_3" localSheetId="12"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1_4" localSheetId="12"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2" localSheetId="12"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3" localSheetId="12"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4" localSheetId="12"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1._5" localSheetId="12"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2." localSheetId="1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 localSheetId="1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_1" localSheetId="1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_2" localSheetId="1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_3" localSheetId="1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1_4" localSheetId="1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2" localSheetId="1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3" localSheetId="1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4" localSheetId="1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n._.PSC._.part._.2._5" localSheetId="1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harm._.Market._.Report." localSheetId="12" hidden="1">{#N/A,#N/A,FALSE,"Sales Graph";#N/A,#N/A,FALSE,"PSBM";#N/A,#N/A,FALSE,"BUC Graph";#N/A,#N/A,FALSE,"P&amp;L - YTD"}</definedName>
    <definedName name="wrn.Pharmaceuticals." localSheetId="12"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se._.in." localSheetId="12" hidden="1">{"Phase in summary",#N/A,FALSE,"P&amp;L Phased"}</definedName>
    <definedName name="wrn.PL._.Detail." localSheetId="12" hidden="1">{#N/A,#N/A,FALSE,"P&amp;L Detail";#N/A,#N/A,FALSE,"P&amp;L Detail";#N/A,#N/A,FALSE,"P&amp;L Detail"}</definedName>
    <definedName name="wrn.PLC._.Co.._.budget._.months." localSheetId="12"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mpany._.budget._.years." localSheetId="12" hidden="1">{"PLC Company Budget years",#N/A,TRUE,"Profit and Loss";"PLC Company Budget years",#N/A,TRUE,"Firm capex";"PLC Company Budget years",#N/A,TRUE,"Gross profit analysis";"PLC Company Budget years",#N/A,TRUE,"Cashflow";"PLC Company Budget years",#N/A,TRUE,"Balance Sheet"}</definedName>
    <definedName name="wrn.PLX." localSheetId="12" hidden="1">{"cred comp",#N/A,FALSE,"Comparable Credit Analysis";"IS",#N/A,FALSE,"IS";"Sensitivity",#N/A,FALSE,"Sensitivity";"BS",#N/A,FALSE,"BS";"Bond Summary",#N/A,FALSE,"B Summary";"AD",#N/A,FALSE,"Accretion";"NAV",#N/A,FALSE,"NAV";"SU",#N/A,FALSE,"S&amp;U";"acq. study",#N/A,FALSE,"Acq. Study";"F Charges",#N/A,FALSE,"Fixed Charges"}</definedName>
    <definedName name="wrn.ppp" localSheetId="12" hidden="1">{#N/A,#N/A,FALSE,"1";#N/A,#N/A,FALSE,"2";#N/A,#N/A,FALSE,"16 - 17";#N/A,#N/A,FALSE,"18 - 19";#N/A,#N/A,FALSE,"26";#N/A,#N/A,FALSE,"27";#N/A,#N/A,FALSE,"28"}</definedName>
    <definedName name="wrn.PRES_OUT." localSheetId="12" hidden="1">{"page1",#N/A,FALSE,"PRESENTATION";"page2",#N/A,FALSE,"PRESENTATION";#N/A,#N/A,FALSE,"Valuation Summary"}</definedName>
    <definedName name="wrn.PRES_OUT2" localSheetId="12" hidden="1">{"page1",#N/A,FALSE,"PRESENTATION";"page2",#N/A,FALSE,"PRESENTATION";#N/A,#N/A,FALSE,"Valuation Summary"}</definedName>
    <definedName name="wrn.Pres_OUT3" localSheetId="12" hidden="1">{"page1",#N/A,FALSE,"PRESENTATION";"page2",#N/A,FALSE,"PRESENTATION";#N/A,#N/A,FALSE,"Valuation Summary"}</definedName>
    <definedName name="wrn.PRES_OUT4" localSheetId="12" hidden="1">{"page1",#N/A,FALSE,"PRESENTATION";"page2",#N/A,FALSE,"PRESENTATION";#N/A,#N/A,FALSE,"Valuation Summary"}</definedName>
    <definedName name="wrn.PRES_OUT5" localSheetId="12" hidden="1">{"page1",#N/A,FALSE,"PRESENTATION";"page2",#N/A,FALSE,"PRESENTATION";#N/A,#N/A,FALSE,"Valuation Summary"}</definedName>
    <definedName name="wrn.PRES_OUT6" localSheetId="12" hidden="1">{"page1",#N/A,FALSE,"PRESENTATION";"page2",#N/A,FALSE,"PRESENTATION";#N/A,#N/A,FALSE,"Valuation Summary"}</definedName>
    <definedName name="wrn.PRES_OUT8" localSheetId="12" hidden="1">{"page1",#N/A,FALSE,"PRESENTATION";"page2",#N/A,FALSE,"PRESENTATION";#N/A,#N/A,FALSE,"Valuation Summary"}</definedName>
    <definedName name="wrn.prin2._.all." localSheetId="12" hidden="1">{#N/A,#N/A,FALSE,"Pharm";#N/A,#N/A,FALSE,"WWCM"}</definedName>
    <definedName name="wrn.prin3" localSheetId="12" hidden="1">{#N/A,#N/A,FALSE,"Pharm";#N/A,#N/A,FALSE,"WWCM"}</definedName>
    <definedName name="wrn.print" localSheetId="12" hidden="1">{#N/A,#N/A,FALSE,"Pharm";#N/A,#N/A,FALSE,"WWCM"}</definedName>
    <definedName name="wrn.print." localSheetId="12" hidden="1">{#N/A,#N/A,FALSE,"Japan 2003";#N/A,#N/A,FALSE,"Sheet2"}</definedName>
    <definedName name="wrn.Print._.24." localSheetId="12" hidden="1">{#N/A,#N/A,FALSE,"Index";"Stmts_Qtrs",#N/A,FALSE,"Summary";"Stmts_24 mo",#N/A,FALSE,"Summary";"Summary_24",#N/A,FALSE,"Revenue";"Month_24",#N/A,FALSE,"Engineering";"Month_24",#N/A,FALSE,"Marketing";"Month_24",#N/A,FALSE,"G &amp; A";"Month_24",#N/A,FALSE,"Manufacturing"}</definedName>
    <definedName name="wrn.Print._.All." localSheetId="12" hidden="1">{"IS Years",#N/A,FALSE,"Income Statement";"IS Q96",#N/A,FALSE,"Income Statement";"IS Q97",#N/A,FALSE,"Income Statement";"Corporate",#N/A,FALSE,"Corporate Profile";"Netbacks",#N/A,FALSE,"Netbacks"}</definedName>
    <definedName name="wrn.Print._.All._.Pages." localSheetId="12" hidden="1">{"LBO Summary",#N/A,FALSE,"Summary";"Income Statement",#N/A,FALSE,"Model";"Cash Flow",#N/A,FALSE,"Model";"Balance Sheet",#N/A,FALSE,"Model";"Working Capital",#N/A,FALSE,"Model";"Pro Forma Balance Sheets",#N/A,FALSE,"PFBS";"Debt Balances",#N/A,FALSE,"Model";"Fee Schedules",#N/A,FALSE,"Model"}</definedName>
    <definedName name="wrn.Print._.All._.Worksheets." localSheetId="12" hidden="1">{#N/A,#N/A,FALSE,"Capitaliztion Matrix";#N/A,#N/A,FALSE,"4YR P&amp;L";#N/A,#N/A,FALSE,"Program Contributions";#N/A,#N/A,FALSE,"P&amp;L Trans YR 2";#N/A,#N/A,FALSE,"Rev &amp; EBITDA YR2";#N/A,#N/A,FALSE,"P&amp;L Trans YR 1";#N/A,#N/A,FALSE,"Rev &amp; EBITDA YR1"}</definedName>
    <definedName name="wrn.PRINT._.ALL.2" localSheetId="12" hidden="1">{#N/A,#N/A,FALSE,"Pharm";#N/A,#N/A,FALSE,"WWCM"}</definedName>
    <definedName name="wrn.print._.all2" localSheetId="12" hidden="1">{#N/A,#N/A,FALSE,"Pharm";#N/A,#N/A,FALSE,"WWCM"}</definedName>
    <definedName name="wrn.PRINT._.FULL." localSheetId="12" hidden="1">{#N/A,#N/A,FALSE,"face";#N/A,#N/A,FALSE,"RETURN SUMMARY ";#N/A,#N/A,FALSE,"return RS";#N/A,#N/A,FALSE,"return US$";#N/A,#N/A,FALSE,"Key Ratio";#N/A,#N/A,FALSE,"input";#N/A,#N/A,FALSE,"fnplan";#N/A,#N/A,FALSE,"RsKW";#N/A,#N/A,FALSE,"RsKW value";#N/A,#N/A,FALSE,"gen&amp;fuel";#N/A,#N/A,FALSE,"O&amp;M+admin";#N/A,#N/A,FALSE,"dep_rskw";#N/A,#N/A,FALSE,"wc_tariff";#N/A,#N/A,FALSE,"tax-tarif1";#N/A,#N/A,FALSE,"ROE";#N/A,#N/A,FALSE,"P&amp;L";#N/A,#N/A,FALSE,"fund";#N/A,#N/A,FALSE,"B.S.";#N/A,#N/A,FALSE,"wc-P&amp;L";#N/A,#N/A,FALSE,"tax-P&amp;L";#N/A,#N/A,FALSE,"dep-p&amp;l";#N/A,#N/A,FALSE,"Project Cost P&amp;L";#N/A,#N/A,FALSE,"IDCa";#N/A,#N/A,FALSE,"TN_PCOST";#N/A,#N/A,FALSE,"Local Debt in $ CEA";#N/A,#N/A,FALSE,"Debt Service"}</definedName>
    <definedName name="wrn.print._.graphs." localSheetId="12" hidden="1">{"cap_structure",#N/A,FALSE,"Graph-Mkt Cap";"price",#N/A,FALSE,"Graph-Price";"ebit",#N/A,FALSE,"Graph-EBITDA";"ebitda",#N/A,FALSE,"Graph-EBITDA"}</definedName>
    <definedName name="wrn.Print._.Model." localSheetId="12"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nthly._.Book." localSheetId="12" hidden="1">{#N/A,#N/A,FALSE,"Cover_Sht";#N/A,#N/A,FALSE,"FR_Contents";#N/A,#N/A,FALSE,"Con_ytd_p&amp;l";#N/A,#N/A,FALSE,"Jas_ytd_p&amp;l";#N/A,#N/A,FALSE,"Roy_ytd_p&amp;l";#N/A,#N/A,FALSE,"Customer_p&amp;l";#N/A,#N/A,FALSE,"Con_prd_p&amp;l";#N/A,#N/A,FALSE,"Jas_prd_p&amp;l";#N/A,#N/A,FALSE,"Roy_prd_p&amp;l";#N/A,#N/A,FALSE,"Cur_proj";#N/A,#N/A,FALSE,"Bal_Sht";#N/A,#N/A,FALSE,"Cash_Flow";#N/A,#N/A,FALSE,"AR_TB";#N/A,#N/A,FALSE,"Cap_Exp";#N/A,#N/A,FALSE,"Manpwr"}</definedName>
    <definedName name="wrn.Print._.Out._.1." localSheetId="12" hidden="1">{"Five Year",#N/A,FALSE,"Summary (2)";"Month 1 and Years",#N/A,FALSE,"Cash Budget"}</definedName>
    <definedName name="wrn.Print._.Pages." localSheetId="12" hidden="1">{#N/A,#N/A,FALSE,"Page 1";#N/A,#N/A,FALSE,"Page 2";#N/A,#N/A,FALSE,"Page 3";#N/A,#N/A,FALSE,"Page 4";#N/A,#N/A,FALSE,"Page 5"}</definedName>
    <definedName name="wrn.Print._.PNL._.Download." localSheetId="12" hidden="1">{"PNLProjDL",#N/A,FALSE,"PROJCO";"PNLParDL",#N/A,FALSE,"Parent"}</definedName>
    <definedName name="wrn.print._.raw._.data._.entry." localSheetId="12" hidden="1">{"inputs raw data",#N/A,TRUE,"INPUT"}</definedName>
    <definedName name="wrn.print._.raw._data._.entry2." localSheetId="12" hidden="1">{"inputs raw data",#N/A,TRUE,"INPUT"}</definedName>
    <definedName name="wrn.print._.summary._.sheets." localSheetId="12" hidden="1">{"summary1",#N/A,TRUE,"Comps";"summary2",#N/A,TRUE,"Comps";"summary3",#N/A,TRUE,"Comps"}</definedName>
    <definedName name="wrn.print._.summary._.sheets.2" localSheetId="12" hidden="1">{"summary1",#N/A,TRUE,"Comps";"summary2",#N/A,TRUE,"Comps";"summary3",#N/A,TRUE,"Comps"}</definedName>
    <definedName name="wrn.Print._.whole._.Report." localSheetId="12"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all1." localSheetId="12" hidden="1">{#N/A,#N/A,FALSE,"Pharm";#N/A,#N/A,FALSE,"WWCM"}</definedName>
    <definedName name="wrn.Print_Buyer." localSheetId="12" hidden="1">{#N/A,"DR",FALSE,"increm pf";#N/A,"MAMSI",FALSE,"increm pf";#N/A,"MAXI",FALSE,"increm pf";#N/A,"PCAM",FALSE,"increm pf";#N/A,"PHSV",FALSE,"increm pf";#N/A,"SIE",FALSE,"increm pf"}</definedName>
    <definedName name="wrn.Print_Earnings_template." localSheetId="12" hidden="1">{"by_month",#N/A,TRUE,"template";"destec_month",#N/A,TRUE,"template";"by_quarter",#N/A,TRUE,"template";"destec_quarter",#N/A,TRUE,"template";"by_year",#N/A,TRUE,"template";"destec_annual",#N/A,TRUE,"template"}</definedName>
    <definedName name="wrn.Print_Target." localSheetId="1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Var_page." localSheetId="12" hidden="1">{"var_page",#N/A,FALSE,"template"}</definedName>
    <definedName name="wrn.print_variance." localSheetId="12" hidden="1">{"var_report",#N/A,FALSE,"template"}</definedName>
    <definedName name="wrn.Print_Variance_Page." localSheetId="12" hidden="1">{"variance_page",#N/A,FALSE,"template"}</definedName>
    <definedName name="wrn.print2" localSheetId="12" hidden="1">{#N/A,#N/A,FALSE,"Pharm";#N/A,#N/A,FALSE,"WWCM"}</definedName>
    <definedName name="wrn.PRINT2." localSheetId="12" hidden="1">{"PAGE1",#N/A,FALSE,"ADJMODL";"PAGE2",#N/A,FALSE,"ADJMODL";"PAGE3",#N/A,FALSE,"ADJMODL";"PAGE4",#N/A,FALSE,"ADJMODL";"PAGE5",#N/A,FALSE,"ADJMODL";"PAGE6",#N/A,FALSE,"ADJMODL";"PAGE7",#N/A,FALSE,"ADJMODL";"PAGE8",#N/A,FALSE,"ADJMODL"}</definedName>
    <definedName name="wrn.print3." localSheetId="12"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ac." localSheetId="12" hidden="1">{#N/A,#N/A,FALSE,"Op-BS";#N/A,#N/A,FALSE,"Assum";#N/A,#N/A,FALSE,"IS";#N/A,#N/A,FALSE,"Syn+Elim";#N/A,#N/A,FALSE,"BSCF";#N/A,#N/A,FALSE,"Blue_IS";#N/A,#N/A,FALSE,"Blue_BSCF";#N/A,#N/A,FALSE,"Ratings"}</definedName>
    <definedName name="wrn.PrintAll." localSheetId="12" hidden="1">{"PA1",#N/A,TRUE,"BORDMW";"pa2",#N/A,TRUE,"BORDMW";"PA3",#N/A,TRUE,"BORDMW";"PA4",#N/A,TRUE,"BORDMW"}</definedName>
    <definedName name="wrn.printqtr." localSheetId="12" hidden="1">{"nytasecond",#N/A,FALSE,"NYTQTRS";"nytafirst",#N/A,FALSE,"NYTQTRS";"nytathird",#N/A,FALSE,"NYTQTRS";"nytafourth",#N/A,FALSE,"NYTQTRS";"nytafull",#N/A,FALSE,"NYTQTRS"}</definedName>
    <definedName name="wrn.PRINTREP." localSheetId="12" hidden="1">{"PRINTREP",#N/A,FALSE,"Sheet1"}</definedName>
    <definedName name="wrn.PRNE._.Profit._.and._.Loss._.detail." localSheetId="12" hidden="1">{#N/A,#N/A,TRUE,"PRNE CORE";#N/A,#N/A,TRUE,"Targeting";#N/A,#N/A,TRUE,"Distribution";#N/A,#N/A,TRUE,"Measurement"}</definedName>
    <definedName name="wrn.PROD._.PLAN._.OPTION._.4." localSheetId="12" hidden="1">{"TOP 4",#N/A,FALSE,"MVR_SUM OPTION 4 BY MO";"TOP 3A",#N/A,FALSE,"MVR_SUM OPTION 3A BY MO";"TOP OPT 4 VS 3A",#N/A,FALSE,"MVR_SUM OPTION 4 VS 3A BY MO";#N/A,#N/A,FALSE,"MVR_SUM OPTION 4 SUM";#N/A,#N/A,FALSE,"PROD PLAN 4";#N/A,#N/A,FALSE,"PROD PLAN 3A";#N/A,#N/A,FALSE,"PROD UNITS 4 VS 3A";#N/A,#N/A,FALSE,"DLV 4 VS 3A";#N/A,#N/A,FALSE,"SPD 4 VS 3A";#N/A,#N/A,FALSE,"ABS 4 VS 3A"}</definedName>
    <definedName name="wrn.products" localSheetId="12" hidden="1">{#N/A,#N/A,FALSE,"1";#N/A,#N/A,FALSE,"2";#N/A,#N/A,FALSE,"16 - 17";#N/A,#N/A,FALSE,"18 - 19";#N/A,#N/A,FALSE,"26";#N/A,#N/A,FALSE,"27";#N/A,#N/A,FALSE,"28"}</definedName>
    <definedName name="wrn.Products." localSheetId="12" hidden="1">{#N/A,#N/A,FALSE,"1";#N/A,#N/A,FALSE,"2";#N/A,#N/A,FALSE,"16 - 17";#N/A,#N/A,FALSE,"18 - 19";#N/A,#N/A,FALSE,"26";#N/A,#N/A,FALSE,"27";#N/A,#N/A,FALSE,"28"}</definedName>
    <definedName name="wrn.Proforma." localSheetId="12" hidden="1">{"coversht",#N/A,TRUE,"TOC";"assmp1",#N/A,TRUE,"ASS";"assmp2",#N/A,TRUE,"ASS";"cashfl1",#N/A,TRUE,"CF";"return1",#N/A,TRUE,"Return";"return2",#N/A,TRUE,"Return";"EIncome",#N/A,TRUE,"EINC";"rev1",#N/A,TRUE,"Rev";"rev2",#N/A,TRUE,"Rev";"exp1",#N/A,TRUE,"Exp";"exp2",#N/A,TRUE,"Exp";"exp3",#N/A,TRUE,"Exp";"exp4",#N/A,TRUE,"Exp";"MaintRes",#N/A,TRUE,"MRES";"drwdn1",#N/A,TRUE,"Drwdn";"drwdn2",#N/A,TRUE,"Drwdn";"drwdn3",#N/A,TRUE,"Drwdn";"debt1",#N/A,TRUE,"Fin";"debt2",#N/A,TRUE,"Fin";"tax1",#N/A,TRUE,"TAXES";"tax2",#N/A,TRUE,"TAXES";"Deprec",#N/A,TRUE,"DEPR";"Balsht1",#N/A,TRUE,"BS_IS";"Balsht2",#N/A,TRUE,"BS_IS";"Ref1",#N/A,TRUE,"REF1";"Ref2",#N/A,TRUE,"REF2";"Ref3",#N/A,TRUE,"REF3";"Ref4",#N/A,TRUE,"REF4"}</definedName>
    <definedName name="wrn.Project._.Summary." localSheetId="12" hidden="1">{"Summary",#N/A,FALSE,"MICMULT";"Income Statement",#N/A,FALSE,"MICMULT";"Cash Flows",#N/A,FALSE,"MICMULT"}</definedName>
    <definedName name="wrn.pror" localSheetId="12" hidden="1">{#N/A,#N/A,FALSE,"Pharm";#N/A,#N/A,FALSE,"WWCM"}</definedName>
    <definedName name="wrn.PROVSS." localSheetId="12" hidden="1">{"FOOTNOTE",#N/A,FALSE,"PROV";"SUMMARY",#N/A,FALSE,"PROV";"RATE",#N/A,FALSE,"PROV";"PROV CALC",#N/A,FALSE,"PROV";"PROV TO TR",#N/A,FALSE,"PROV";"TAX ACCOUNT ANAL",#N/A,FALSE,"PROV"}</definedName>
    <definedName name="wrn.Pulp." localSheetId="12" hidden="1">{"Pulp Production",#N/A,FALSE,"Pulp";"Pulp Earnings",#N/A,FALSE,"Pulp"}</definedName>
    <definedName name="wrn.Pulp.2" localSheetId="12" hidden="1">{"Pulp Production",#N/A,FALSE,"Pulp";"Pulp Earnings",#N/A,FALSE,"Pulp"}</definedName>
    <definedName name="wrn.Pulp.3" localSheetId="12" hidden="1">{"Pulp Production",#N/A,FALSE,"Pulp";"Pulp Earnings",#N/A,FALSE,"Pulp"}</definedName>
    <definedName name="wrn.Pulp.3.2" localSheetId="12" hidden="1">{"Pulp Production",#N/A,FALSE,"Pulp";"Pulp Earnings",#N/A,FALSE,"Pulp"}</definedName>
    <definedName name="wrn.Pulp.3.4" localSheetId="12" hidden="1">{"Pulp Production",#N/A,FALSE,"Pulp";"Pulp Earnings",#N/A,FALSE,"Pulp"}</definedName>
    <definedName name="wrn.Pulp.3.6" localSheetId="12" hidden="1">{"Pulp Production",#N/A,FALSE,"Pulp";"Pulp Earnings",#N/A,FALSE,"Pulp"}</definedName>
    <definedName name="wrn.Pulp.4" localSheetId="12" hidden="1">{"Pulp Production",#N/A,FALSE,"Pulp";"Pulp Earnings",#N/A,FALSE,"Pulp"}</definedName>
    <definedName name="wrn.Pulp.5" localSheetId="12" hidden="1">{"Pulp Production",#N/A,FALSE,"Pulp";"Pulp Earnings",#N/A,FALSE,"Pulp"}</definedName>
    <definedName name="wrn.Pulp.6" localSheetId="12" hidden="1">{"Pulp Production",#N/A,FALSE,"Pulp";"Pulp Earnings",#N/A,FALSE,"Pulp"}</definedName>
    <definedName name="wrn.Pulp.7" localSheetId="12" hidden="1">{"Pulp Production",#N/A,FALSE,"Pulp";"Pulp Earnings",#N/A,FALSE,"Pulp"}</definedName>
    <definedName name="wrn.Pulp.8" localSheetId="12" hidden="1">{"Pulp Production",#N/A,FALSE,"Pulp";"Pulp Earnings",#N/A,FALSE,"Pulp"}</definedName>
    <definedName name="wrn.Pulp.9" localSheetId="12" hidden="1">{"Pulp Production",#N/A,FALSE,"Pulp";"Pulp Earnings",#N/A,FALSE,"Pulp"}</definedName>
    <definedName name="wrn.Pump." localSheetId="12" hidden="1">{#N/A,#N/A,FALSE,"Assump";#N/A,#N/A,FALSE,"Income";#N/A,#N/A,FALSE,"Balance";#N/A,#N/A,FALSE,"DCF Pump";#N/A,#N/A,FALSE,"Trans Assump";#N/A,#N/A,FALSE,"Combined Income";#N/A,#N/A,FALSE,"Combined Balance"}</definedName>
    <definedName name="wrn.Qtr._.3." localSheetId="12" hidden="1">{"QTR3PL",#N/A,FALSE,"Qtr 3";"QTR3PLYTD",#N/A,FALSE,"Qtr 3";"QTR3BS",#N/A,FALSE,"Qtr 3";"QTR3CF",#N/A,FALSE,"Qtr 3";"QTR3CFYTD",#N/A,FALSE,"Qtr 3";"QTR3PGIPL",#N/A,FALSE,"Qtr 3";"QTR3PGIPLYTD",#N/A,FALSE,"Qtr 3";"QTR3PGIBS",#N/A,FALSE,"Qtr 3";"QTR3PGICF",#N/A,FALSE,"Qtr 3";"QTR3PGICFYTD",#N/A,FALSE,"Qtr 3"}</definedName>
    <definedName name="wrn.QTR1." localSheetId="12" hidden="1">{"QTR1PGIBS",#N/A,FALSE,"Qtr 1 PGI";"QTR1PGIPL",#N/A,FALSE,"Qtr 1 PGI";"QTR1PGICF",#N/A,FALSE,"Qtr 1 PGI";"QTR1BS",#N/A,FALSE,"Qtr 1 ";"QTR1PL",#N/A,FALSE,"Qtr 1 ";"QTR1CF",#N/A,FALSE,"Qtr 1 "}</definedName>
    <definedName name="wrn.Qtr2." localSheetId="12" hidden="1">{"QTR2PL",#N/A,FALSE,"Qtr 2";"QTR2PLYTD",#N/A,FALSE,"Qtr 2";"QTR2BS",#N/A,FALSE,"Qtr 2";"QTR2CF",#N/A,FALSE,"Qtr 2";"QTR2CFYTD",#N/A,FALSE,"Qtr 2";"QTR2PGIPL",#N/A,FALSE,"Qtr 2 PGI";"QTR2PGIPLYTD",#N/A,FALSE,"Qtr 2 PGI";"QTR2PGIBS",#N/A,FALSE,"Qtr 2 PGI";"QTR2PGICF",#N/A,FALSE,"Qtr 2 PGI";"QTR2PGICFYTD",#N/A,FALSE,"Qtr 2 PGI"}</definedName>
    <definedName name="wrn.qtrly._.PL._.summary._.FY01._.to._.FY03." localSheetId="12" hidden="1">{"qtrly summ-FY01",#N/A,FALSE,"P &amp; L";"qtrly summ-FY02",#N/A,FALSE,"P &amp; L";"qtrly summ-FY03",#N/A,FALSE,"P &amp; L"}</definedName>
    <definedName name="wrn.Quarterly._.Income._.Statement." localSheetId="12" hidden="1">{"Quarterly Income Statement",#N/A,FALSE,"P&amp;L Detail"}</definedName>
    <definedName name="wrn.Quarters." localSheetId="12" hidden="1">{"All Qtrs",#N/A,FALSE,"Curr Mo";"1001Q",#N/A,FALSE,"Curr Mo";"1002Q",#N/A,FALSE,"Curr Mo";"4012Q",#N/A,FALSE,"Curr Mo";"4017Q",#N/A,FALSE,"Curr Mo";"1050Q",#N/A,FALSE,"Curr Mo";"1009Q",#N/A,FALSE,"Curr Mo";"4079Q",#N/A,FALSE,"Curr Mo";"4077Q",#N/A,FALSE,"Curr Mo";"1005Q",#N/A,FALSE,"Curr Mo";"1008Q",#N/A,FALSE,"Curr Mo";"1011Q",#N/A,FALSE,"Curr Mo";"1006Q",#N/A,FALSE,"Curr Mo";"1024Q",#N/A,FALSE,"Curr Mo";"1003Q",#N/A,FALSE,"Curr Mo";"1025q",#N/A,FALSE,"Curr Mo";"4013Q",#N/A,FALSE,"Curr Mo";"1091Q",#N/A,FALSE,"Curr Mo";"1010Q",#N/A,FALSE,"Curr Mo";"1023Q",#N/A,FALSE,"Curr Mo";"4014Q",#N/A,FALSE,"Curr Mo";"1043Q",#N/A,FALSE,"Curr Mo";"1014Q",#N/A,FALSE,"Curr Mo";"1015Q",#N/A,FALSE,"Curr Mo";"1012Q",#N/A,FALSE,"Curr Mo";"1061Q",#N/A,FALSE,"Curr Mo";"1045Q",#N/A,FALSE,"Curr Mo";"4058Q",#N/A,FALSE,"Curr Mo";"1033Q",#N/A,FALSE,"Curr Mo";"1103Q",#N/A,FALSE,"Curr Mo";"4007Q",#N/A,FALSE,"Curr Mo";"4021Q",#N/A,FALSE,"Curr Mo";"4026Q",#N/A,FALSE,"Curr Mo";"4022Q",#N/A,FALSE,"Curr Mo";"4050Q",#N/A,FALSE,"Curr Mo";"4032Q",#N/A,FALSE,"Curr Mo";"4089Q",#N/A,FALSE,"Curr Mo";"1042Q",#N/A,FALSE,"Curr Mo";"1048Q",#N/A,FALSE,"Curr Mo";"4049Q",#N/A,FALSE,"Curr Mo"}</definedName>
    <definedName name="wrn.RANKED._.REC._.LLC." localSheetId="12" hidden="1">{#N/A,#N/A,FALSE,"BONDS";#N/A,#N/A,FALSE,"NON-LATIN";#N/A,#N/A,FALSE,"HY BONDS";#N/A,#N/A,FALSE,"LA-ASIAN";#N/A,#N/A,FALSE,"EMG REPO";#N/A,#N/A,FALSE,"TREASURY REPO";#N/A,#N/A,FALSE,"EMG BONDS";#N/A,#N/A,FALSE,"CREDIT DERIV";#N/A,#N/A,FALSE,"CORP DERIV"}</definedName>
    <definedName name="wrn.RANKED._.REV._.GRP._.LLC." localSheetId="12" hidden="1">{#N/A,#N/A,FALSE,"CURRENCY";#N/A,#N/A,FALSE,"BONDS";#N/A,#N/A,FALSE,"GOLD";#N/A,#N/A,FALSE,"EXOTICS";#N/A,#N/A,FALSE,"NON-LATIN";#N/A,#N/A,FALSE,"HY BONDS";#N/A,#N/A,FALSE,"LA-ASIAN";#N/A,#N/A,FALSE,"EMG REPO";#N/A,#N/A,FALSE,"TREASURY REPO";#N/A,#N/A,FALSE,"EMG BONDS";#N/A,#N/A,FALSE,"EM OPTIONS";#N/A,#N/A,FALSE,"CREDIT DERIV";#N/A,#N/A,FALSE,"CORP DERIV";#N/A,#N/A,FALSE,"NON-MEX SPOT";#N/A,#N/A,FALSE,"ELECTRICITY";#N/A,#N/A,FALSE,"FE ASIA SPOT";#N/A,#N/A,FALSE,"MEX  FWD NDF"}</definedName>
    <definedName name="wrn.Rapport." localSheetId="12" hidden="1">{#N/A,#N/A,FALSE,"SHEET1";#N/A,#N/A,FALSE,"SHEET2";#N/A,#N/A,FALSE,"SHEET3";#N/A,#N/A,FALSE,"SHEET4"}</definedName>
    <definedName name="wrn.Rapport._.complet." localSheetId="12" hidden="1">{#N/A,#N/A,FALSE,"Bilan d'ouverture";#N/A,#N/A,FALSE,"Résultats";#N/A,#N/A,FALSE,"Ventes";#N/A,#N/A,FALSE,"Hypothèse - fabrication";#N/A,#N/A,FALSE,"Hypothèse - coûts directs";#N/A,#N/A,FALSE,"Coût des ventes";#N/A,#N/A,FALSE,"Fabrication";#N/A,#N/A,FALSE,"FGF";#N/A,#N/A,FALSE,"Frais de vente";#N/A,#N/A,FALSE,"Frais d'administration";#N/A,#N/A,FALSE,"Frais financiers";#N/A,#N/A,FALSE,"Bilan";#N/A,#N/A,FALSE,"Trésorerie";#N/A,#N/A,FALSE,"Situation";#N/A,#N/A,FALSE,"Comptes clients";#N/A,#N/A,FALSE,"Perc";#N/A,#N/A,FALSE,"Stocks";#N/A,#N/A,FALSE,"FPA";#N/A,#N/A,FALSE,"Immobilisations";#N/A,#N/A,FALSE,"Autres actifs";#N/A,#N/A,FALSE,"Fournisseurs";#N/A,#N/A,FALSE,"Achats";#N/A,#N/A,FALSE,"Débours";#N/A,#N/A,FALSE,"Achats - Débours";#N/A,#N/A,FALSE,"Salaires";#N/A,#N/A,FALSE,"Taxes";#N/A,#N/A,FALSE,"DLT"}</definedName>
    <definedName name="wrn.Rapport._.détaillé." localSheetId="12" hidden="1">{#N/A,#N/A,TRUE,"Bilan";#N/A,#N/A,TRUE,"Résultats";#N/A,#N/A,TRUE,"Trésorerie";#N/A,#N/A,TRUE,"DLT";#N/A,#N/A,TRUE,"Situation";#N/A,#N/A,TRUE,"FGF";#N/A,#N/A,TRUE,"Frais de vente";#N/A,#N/A,TRUE,"Frais d'administration";#N/A,#N/A,TRUE,"Frais financiers"}</definedName>
    <definedName name="wrn.Rapport._.sommaire." localSheetId="12" hidden="1">{#N/A,#N/A,TRUE,"Bilan";#N/A,#N/A,TRUE,"Résultats";#N/A,#N/A,TRUE,"Trésorerie";#N/A,#N/A,TRUE,"DLT";#N/A,#N/A,TRUE,"Situation"}</definedName>
    <definedName name="wrn.Ratios." localSheetId="12" hidden="1">{"Ratios",#N/A,FALSE,"Ratios"}</definedName>
    <definedName name="wrn.Recovery." localSheetId="12" hidden="1">{#N/A,#N/A,FALSE,"COVER";#N/A,#N/A,FALSE,"Index";#N/A,#N/A,FALSE,"Summ_Products_Rec.97-98";#N/A,#N/A,FALSE,"QTR_Comp.";#N/A,#N/A,FALSE,"Summ_Detail_Rec.97-98";#N/A,#N/A,FALSE,"Summ_Agencies_Rec.97-98"}</definedName>
    <definedName name="wrn.red_take." localSheetId="12" hidden="1">{"red_take_pg1",#N/A,FALSE,"reduced_take";"red_take_pg2",#N/A,FALSE,"reduced_take";"red_take_pg3",#N/A,FALSE,"reduced_take";"red_take_pg4",#N/A,FALSE,"reduced_take";"red_take_pg5",#N/A,FALSE,"reduced_take";"red_take_pg6",#N/A,FALSE,"reduced_take"}</definedName>
    <definedName name="wrn.Reforcast._.Print." localSheetId="12" hidden="1">{#N/A,#N/A,FALSE,"RF Inc Stmt";#N/A,#N/A,FALSE,"RF-IS-1";#N/A,#N/A,FALSE,"RF-IS-2"}</definedName>
    <definedName name="wrn.Reforecast." localSheetId="12"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gions._.Bank." localSheetId="12" hidden="1">{#N/A,#N/A,FALSE,"Cover_Page";#N/A,#N/A,FALSE,"Balance Sheet FY12";#N/A,#N/A,FALSE,"Consolidated-Cash Flow";#N/A,#N/A,FALSE,"CY_Per Inc FY12"}</definedName>
    <definedName name="wrn.RELEVANTSHEETS." localSheetId="12" hidden="1">{#N/A,#N/A,FALSE,"AD_Purch";#N/A,#N/A,FALSE,"Projections";#N/A,#N/A,FALSE,"DCF";#N/A,#N/A,FALSE,"Mkt Val"}</definedName>
    <definedName name="wrn.Relvals." localSheetId="12" hidden="1">{"weekly",#N/A,FALSE,"HLTH_BND";"weekly",#N/A,FALSE,"PAP_BOND";#N/A,#N/A,FALSE,"RET_BND";"weekly",#N/A,FALSE,"CHM_BND";#N/A,#N/A,FALSE,"MOVIES";#N/A,#N/A,FALSE,"CABLE";#N/A,#N/A,FALSE,"BDCSTRV"}</definedName>
    <definedName name="wrn.rep_page." localSheetId="12" hidden="1">{"Annual_Income",#N/A,FALSE,"Report Page";"Balance_Cash_Flow",#N/A,FALSE,"Report Page";"Quarterly_Income",#N/A,FALSE,"Report Page"}</definedName>
    <definedName name="wrn.report" localSheetId="12"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2" hidden="1">{#N/A,#N/A,FALSE,"COVER";#N/A,#N/A,FALSE,"RATIOS";#N/A,#N/A,FALSE,"LEVERAGE";#N/A,#N/A,FALSE,"TIER-1";#N/A,#N/A,FALSE,"RISK BASED ASSETS";#N/A,#N/A,FALSE,"TIER-2"}</definedName>
    <definedName name="wrn.Report._.2." localSheetId="12" hidden="1">{#N/A,#N/A,TRUE,"Pivots-Employee";#N/A,"Scenerio2",TRUE,"Assumptions Summary"}</definedName>
    <definedName name="wrn.REPORT._.C." localSheetId="12" hidden="1">{#N/A,#N/A,TRUE,"Sch-5a";#N/A,#N/A,TRUE,"Sch-5b";#N/A,#N/A,TRUE,"Sch-5c";#N/A,#N/A,TRUE,"Sch-5d";#N/A,#N/A,TRUE,"Sch-6a";#N/A,#N/A,TRUE,"Sch-6b";#N/A,#N/A,TRUE,"Sch-6c";#N/A,#N/A,TRUE,"Sch-6d";#N/A,#N/A,TRUE,"Sch-6e"}</definedName>
    <definedName name="wrn.Report._.Summary." localSheetId="12" hidden="1">{#N/A,#N/A,FALSE,"March Details"}</definedName>
    <definedName name="wrn.Report_Page." localSheetId="12" hidden="1">{"Annual_Income",#N/A,FALSE,"Report Page";"Balance_Cash_Flow",#N/A,FALSE,"Report Page";"Quarterly_Income",#N/A,FALSE,"Report Page"}</definedName>
    <definedName name="wrn.Report_PR_1." localSheetId="12" hidden="1">{"PR1","pr1",TRUE,"Sch PR-1"}</definedName>
    <definedName name="wrn.Report1." localSheetId="12" hidden="1">{#N/A,#N/A,FALSE,"IS";#N/A,#N/A,FALSE,"BS";#N/A,#N/A,FALSE,"CF";#N/A,#N/A,FALSE,"CE";#N/A,#N/A,FALSE,"Depr";#N/A,#N/A,FALSE,"APAL"}</definedName>
    <definedName name="wrn.REPORTING._.PACKAGE." localSheetId="12" hidden="1">{#N/A,#N/A,TRUE,"Cover";#N/A,#N/A,TRUE,"BS";#N/A,#N/A,TRUE,"BS (2)";#N/A,#N/A,TRUE,"BS (3)";#N/A,#N/A,TRUE,"Supp Info-BS";#N/A,#N/A,TRUE,"IS";#N/A,#N/A,TRUE,"IS (2)";#N/A,#N/A,TRUE,"IS (3)";#N/A,#N/A,TRUE,"Supp Info-IS";#N/A,#N/A,TRUE,"CF";#N/A,#N/A,TRUE,"Supp Info-CF";#N/A,#N/A,TRUE,"SH";#N/A,#N/A,TRUE,"Supp Info-SH"}</definedName>
    <definedName name="wrn.reports." localSheetId="12" hidden="1">{"summary",#N/A,FALSE,"3 yr average";"comps",#N/A,FALSE,"3 yr average"}</definedName>
    <definedName name="wrn.RESERVE._.SCHEDULE." localSheetId="12" hidden="1">{#N/A,#N/A,FALSE,"Sheet8";#N/A,#N/A,FALSE,"Sheet7"}</definedName>
    <definedName name="wrn.Results." localSheetId="12" hidden="1">{#N/A,#N/A,FALSE,"PR report 1";#N/A,#N/A,FALSE,"PR report 2";#N/A,#N/A,FALSE,"PR report 3";#N/A,#N/A,FALSE,"HBE Rev";#N/A,#N/A,FALSE,"PR report 4";#N/A,#N/A,FALSE,"Wiggin Rev";#N/A,#N/A,FALSE,"NH Rev"}</definedName>
    <definedName name="wrn.revenue._.detail." localSheetId="12" hidden="1">{"revenue detail 1",#N/A,FALSE,"Revenue Detail";"revenue detail 2",#N/A,FALSE,"Revenue Detail";"revenue detail 3",#N/A,FALSE,"Revenue Detail";"revenue detail 4",#N/A,FALSE,"Revenue Detail"}</definedName>
    <definedName name="wrn.revenue._.graph." localSheetId="12" hidden="1">{"revenue graph",#N/A,FALSE,"Revenue Graph"}</definedName>
    <definedName name="wrn.revenue._.historical." localSheetId="12" hidden="1">{"rev_summary2",#N/A,FALSE,"historical min us";"rev_summary1",#N/A,FALSE,"historical min us";"rev_perMinuteSummary",#N/A,FALSE,"hist rev per minute summary";"rev_worldwide_rev",#N/A,FALSE,"historical min us";"rev_worldwide_minutes",#N/A,FALSE,"historical min us";"rev_rev_ROW",#N/A,FALSE,"historical min us";"rev_other",#N/A,FALSE,"historical min us"}</definedName>
    <definedName name="wrn.Revised._.Cap._.Budget." localSheetId="12" hidden="1">{#N/A,#N/A,TRUE,"Overview";#N/A,#N/A,TRUE,"New Gen"}</definedName>
    <definedName name="wrn.Revised._.Capital._.Budget." localSheetId="12" hidden="1">{#N/A,#N/A,TRUE,"Overview";#N/A,#N/A,TRUE,"New Gen";#N/A,#N/A,TRUE,"Consol cap-ex";#N/A,#N/A,TRUE,"APC cap-ex";#N/A,#N/A,TRUE,"GPC cap-ex";#N/A,#N/A,TRUE,"GUL cap-ex";#N/A,#N/A,TRUE,"MPC cap-ex";#N/A,#N/A,TRUE,"SAV cap-ex";#N/A,#N/A,TRUE,"SEGCO cap-ex";#N/A,#N/A,TRUE,"SWE cap-ex"}</definedName>
    <definedName name="wrn.Ricobayo._.I." localSheetId="12" hidden="1">{#N/A,#N/A,FALSE,"RESUMEN ECON.";#N/A,#N/A,FALSE,"Costos de R.H.";#N/A,#N/A,FALSE,"COSTO HW";#N/A,#N/A,FALSE,"CUADROS";#N/A,#N/A,FALSE,"SCADA´s";#N/A,#N/A,FALSE,"PRECIOS EQUIPOS"}</definedName>
    <definedName name="wrn.Riverwood_comp_model." localSheetId="12" hidden="1">{#N/A,#N/A,FALSE,"Che-Ga";#N/A,#N/A,FALSE,"Iv-Sm";#N/A,#N/A,FALSE,"So-We";#N/A,#N/A,FALSE,"Me-Po";#N/A,#N/A,FALSE,"Be-Bo";#N/A,#N/A,FALSE,"Cha-Ki";#N/A,#N/A,FALSE,"In";#N/A,#N/A,FALSE,"Schedule 23";#N/A,#N/A,FALSE,"Schedule 22";#N/A,#N/A,FALSE,"WACC"}</definedName>
    <definedName name="wrn.Roll._.Up._.Fields." localSheetId="12" hidden="1">{"Total",#N/A,FALSE,"Six Fields";"PDP",#N/A,FALSE,"Six Fields";"PNP",#N/A,FALSE,"Six Fields";"PUD",#N/A,FALSE,"Six Fields";"Prob",#N/A,FALSE,"Six Fields"}</definedName>
    <definedName name="wrn.RustyPresentation." localSheetId="12" hidden="1">{#N/A,#N/A,TRUE,"TransCore Summary";#N/A,#N/A,TRUE,"TransCore IS";#N/A,#N/A,TRUE,"TransCore Balance";#N/A,#N/A,TRUE,"TransCore Backlog";#N/A,#N/A,TRUE,"Syntonic IS";#N/A,#N/A,TRUE,"Syntonic Bal";#N/A,#N/A,TRUE,"Systems IS";#N/A,#N/A,TRUE,"Systems Bal"}</definedName>
    <definedName name="wrn.sales." localSheetId="12" hidden="1">{"sales",#N/A,FALSE,"Sales";"sales existing",#N/A,FALSE,"Sales";"sales rd1",#N/A,FALSE,"Sales";"sales rd2",#N/A,FALSE,"Sales"}</definedName>
    <definedName name="wrn.San._.Pedro." localSheetId="12" hidden="1">{#N/A,#N/A,FALSE,"San Pedro"}</definedName>
    <definedName name="wrn.SB_PRES." localSheetId="12" hidden="1">{#N/A,#N/A,TRUE,"Sheet16"}</definedName>
    <definedName name="wrn.SBEI." localSheetId="12" hidden="1">{#N/A,#N/A,TRUE,"Table1";#N/A,#N/A,TRUE,"Table2";#N/A,#N/A,TRUE,"Table3";#N/A,#N/A,TRUE,"Table4";#N/A,#N/A,TRUE,"Table5";#N/A,#N/A,TRUE,"Table6";#N/A,#N/A,TRUE,"Table7";#N/A,#N/A,TRUE,"Table8";#N/A,#N/A,TRUE,"Table9";#N/A,#N/A,TRUE,"Table10";#N/A,#N/A,TRUE,"Table11";#N/A,#N/A,TRUE,"Table12";#N/A,#N/A,TRUE,"Table13";#N/A,#N/A,TRUE,"Table14"}</definedName>
    <definedName name="wrn.Schedules." localSheetId="12" hidden="1">{#N/A,#N/A,FALSE,"Sch. 1";#N/A,#N/A,FALSE,"Sch. 2";#N/A,#N/A,FALSE,"Sch. 3";#N/A,#N/A,FALSE,"Sch. 4";#N/A,#N/A,FALSE,"Sch. 5";#N/A,#N/A,FALSE,"Sch 6.";#N/A,#N/A,FALSE,"Sch. 7";#N/A,#N/A,FALSE,"Sch. 8";#N/A,#N/A,FALSE,"Sch. 9";#N/A,#N/A,FALSE,"Sch. 10";#N/A,#N/A,FALSE,"Sch. 13"}</definedName>
    <definedName name="wrn.Scripts." localSheetId="12" hidden="1">{"ENBREL",#N/A,FALSE,"Sheet1";"RenaGel",#N/A,FALSE,"Sheet1";"HIV PI",#N/A,FALSE,"Sheet1";"MS",#N/A,FALSE,"Sheet1"}</definedName>
    <definedName name="wrn.Segments." localSheetId="12" hidden="1">{"view1",#N/A,FALSE,"Consolidated";"view2",#N/A,FALSE,"Consolidated (sum)";"view1",#N/A,FALSE,"Gen Sys";"view1",#N/A,FALSE,"Semicon";"view1",#N/A,FALSE,"Mess|Med";"view1",#N/A,FALSE,"Land Mob";"view1",#N/A,FALSE,"Other Prod";"view1",#N/A,FALSE,"Adj|Elim"}</definedName>
    <definedName name="wrn.Sell._.AC._.Scenarios." localSheetId="12" hidden="1">{#N/A,"Mine Allocated, Sell AC",FALSE,"INPUTS";#N/A,"All Preferred, Sell AC",FALSE,"INPUTS";#N/A,"Step Up, Sell AC",FALSE,"INPUTS"}</definedName>
    <definedName name="wrn.SemiCap." localSheetId="12" hidden="1">{#N/A,#N/A,FALSE,"from high";#N/A,#N/A,FALSE,"from low";#N/A,#N/A,FALSE,"Market Cap";#N/A,#N/A,FALSE,"Alpha"}</definedName>
    <definedName name="wrn.Senior._.Mgr._.Review." localSheetId="12" hidden="1">{#N/A,#N/A,TRUE,"Y1-F00"}</definedName>
    <definedName name="wrn.Sensitivity." localSheetId="12" hidden="1">{"sen cf",#N/A,FALSE,"MODEL";"sen earn",#N/A,FALSE,"MODEL";"sen debt",#N/A,FALSE,"MODEL";"sen nav",#N/A,FALSE,"MODEL"}</definedName>
    <definedName name="wrn.Sensitivity._.Analysis." localSheetId="12" hidden="1">{"Sensitivity Tables",#N/A,FALSE,"DCF"}</definedName>
    <definedName name="wrn.Set." localSheetId="12" hidden="1">{#N/A,#N/A,FALSE,"High";#N/A,#N/A,FALSE,"Low";#N/A,#N/A,FALSE,"MarketCap";#N/A,#N/A,FALSE,"Alpha"}</definedName>
    <definedName name="wrn.SHORT." localSheetId="12" hidden="1">{"CREDIT STATISTICS",#N/A,FALSE,"STATS";"CF_AND_IS",#N/A,FALSE,"PLAN";"BALSHEET",#N/A,FALSE,"BALANCE SHEET"}</definedName>
    <definedName name="wrn.Short._.Form._.Print._.Out." localSheetId="12" hidden="1">{#N/A,#N/A,FALSE,"General Assumptions";#N/A,#N/A,FALSE,"Accounts";#N/A,#N/A,FALSE,"OperatingAssumptions";#N/A,#N/A,FALSE,"Cashflow";#N/A,#N/A,FALSE,"Debt";#N/A,#N/A,FALSE,"Ops Summary";#N/A,#N/A,FALSE,"Summary"}</definedName>
    <definedName name="wrn.Short._.Form._.Print._.Out._1" localSheetId="12" hidden="1">{#N/A,#N/A,FALSE,"General Assumptions";#N/A,#N/A,FALSE,"Accounts";#N/A,#N/A,FALSE,"OperatingAssumptions";#N/A,#N/A,FALSE,"Cashflow";#N/A,#N/A,FALSE,"Debt";#N/A,#N/A,FALSE,"Ops Summary";#N/A,#N/A,FALSE,"Summary"}</definedName>
    <definedName name="wrn.Short._.Form._.Print._.Out._1_1" localSheetId="12" hidden="1">{#N/A,#N/A,FALSE,"General Assumptions";#N/A,#N/A,FALSE,"Accounts";#N/A,#N/A,FALSE,"OperatingAssumptions";#N/A,#N/A,FALSE,"Cashflow";#N/A,#N/A,FALSE,"Debt";#N/A,#N/A,FALSE,"Ops Summary";#N/A,#N/A,FALSE,"Summary"}</definedName>
    <definedName name="wrn.Short._.Form._.Print._.Out._1_2" localSheetId="12" hidden="1">{#N/A,#N/A,FALSE,"General Assumptions";#N/A,#N/A,FALSE,"Accounts";#N/A,#N/A,FALSE,"OperatingAssumptions";#N/A,#N/A,FALSE,"Cashflow";#N/A,#N/A,FALSE,"Debt";#N/A,#N/A,FALSE,"Ops Summary";#N/A,#N/A,FALSE,"Summary"}</definedName>
    <definedName name="wrn.Short._.Form._.Print._.Out._1_3" localSheetId="12" hidden="1">{#N/A,#N/A,FALSE,"General Assumptions";#N/A,#N/A,FALSE,"Accounts";#N/A,#N/A,FALSE,"OperatingAssumptions";#N/A,#N/A,FALSE,"Cashflow";#N/A,#N/A,FALSE,"Debt";#N/A,#N/A,FALSE,"Ops Summary";#N/A,#N/A,FALSE,"Summary"}</definedName>
    <definedName name="wrn.Short._.Form._.Print._.Out._1_4" localSheetId="12" hidden="1">{#N/A,#N/A,FALSE,"General Assumptions";#N/A,#N/A,FALSE,"Accounts";#N/A,#N/A,FALSE,"OperatingAssumptions";#N/A,#N/A,FALSE,"Cashflow";#N/A,#N/A,FALSE,"Debt";#N/A,#N/A,FALSE,"Ops Summary";#N/A,#N/A,FALSE,"Summary"}</definedName>
    <definedName name="wrn.Short._.Form._.Print._.Out._2" localSheetId="12" hidden="1">{#N/A,#N/A,FALSE,"General Assumptions";#N/A,#N/A,FALSE,"Accounts";#N/A,#N/A,FALSE,"OperatingAssumptions";#N/A,#N/A,FALSE,"Cashflow";#N/A,#N/A,FALSE,"Debt";#N/A,#N/A,FALSE,"Ops Summary";#N/A,#N/A,FALSE,"Summary"}</definedName>
    <definedName name="wrn.Short._.Form._.Print._.Out._3" localSheetId="12" hidden="1">{#N/A,#N/A,FALSE,"General Assumptions";#N/A,#N/A,FALSE,"Accounts";#N/A,#N/A,FALSE,"OperatingAssumptions";#N/A,#N/A,FALSE,"Cashflow";#N/A,#N/A,FALSE,"Debt";#N/A,#N/A,FALSE,"Ops Summary";#N/A,#N/A,FALSE,"Summary"}</definedName>
    <definedName name="wrn.Short._.Form._.Print._.Out._4" localSheetId="12" hidden="1">{#N/A,#N/A,FALSE,"General Assumptions";#N/A,#N/A,FALSE,"Accounts";#N/A,#N/A,FALSE,"OperatingAssumptions";#N/A,#N/A,FALSE,"Cashflow";#N/A,#N/A,FALSE,"Debt";#N/A,#N/A,FALSE,"Ops Summary";#N/A,#N/A,FALSE,"Summary"}</definedName>
    <definedName name="wrn.Short._.Form._.Print._.Out._5" localSheetId="12" hidden="1">{#N/A,#N/A,FALSE,"General Assumptions";#N/A,#N/A,FALSE,"Accounts";#N/A,#N/A,FALSE,"OperatingAssumptions";#N/A,#N/A,FALSE,"Cashflow";#N/A,#N/A,FALSE,"Debt";#N/A,#N/A,FALSE,"Ops Summary";#N/A,#N/A,FALSE,"Summary"}</definedName>
    <definedName name="wrn.Side._.by._.Side." localSheetId="12" hidden="1">{"Side 99",#N/A,FALSE,"S&amp;U Side by Side"}</definedName>
    <definedName name="wrn.SJE_NBR_1_Job." localSheetId="12" hidden="1">{"SJE_#1A",#N/A,FALSE,"SJE1A";"Payroll_Summary_Report",#N/A,FALSE,"Summary";"SJE_#1B",#N/A,FALSE,"SJE1B";"WC_Grouping",#N/A,FALSE,"WC Payroll"}</definedName>
    <definedName name="wrn.SJE11_Print_Job." localSheetId="12" hidden="1">{"SJE #11",#N/A,FALSE,"Sheet1"}</definedName>
    <definedName name="wrn.SJE12_PRINT_JOB." localSheetId="12" hidden="1">{"SJE#12",#N/A,FALSE,"Sheet1"}</definedName>
    <definedName name="wrn.SJE2_PRINTJOB." localSheetId="12" hidden="1">{"TAX_CALCULATION",#N/A,FALSE,"Accrual Calc";"SJE#2A",#N/A,FALSE,"Accrual GJE";"SJE#2B",#N/A,FALSE,"Reversal GJE"}</definedName>
    <definedName name="wrn.sje22." localSheetId="12" hidden="1">{"sje #22",#N/A,FALSE,"SJE #22";"calc",#N/A,FALSE,"CALC"}</definedName>
    <definedName name="wrn.SJE3_Print_Job." localSheetId="12" hidden="1">{"Accrual_Calc",#N/A,FALSE,"JE DETAIL";"SJE#3A",#N/A,FALSE,"JE DETAIL";"SJE#3B",#N/A,FALSE,"JE DETAIL"}</definedName>
    <definedName name="wrn.SJE4_PRINT_JOB." localSheetId="12" hidden="1">{"sje#4",#N/A,FALSE,"Sheet1"}</definedName>
    <definedName name="wrn.SJE4A_PRINT_JOB." localSheetId="12" hidden="1">{"SJE#4A",#N/A,FALSE,"Sheet1"}</definedName>
    <definedName name="wrn.SJE5_PRINT_JOB." localSheetId="12" hidden="1">{"SJE#5",#N/A,FALSE,"Sheet1"}</definedName>
    <definedName name="wrn.Sommaire." localSheetId="12" hidden="1">{#N/A,#N/A,TRUE,"Summary";#N/A,#N/A,TRUE,"NARRATIF";#N/A,#N/A,TRUE,"SALES";#N/A,#N/A,TRUE,"NOPAT";#N/A,#N/A,TRUE,"CASH";#N/A,#N/A,TRUE,"UA";#N/A,#N/A,TRUE,"spares"}</definedName>
    <definedName name="wrn.sspall." localSheetId="12" hidden="1">{"sspcash",#N/A,FALSE,"EWSINCX";"sspinc",#N/A,FALSE,"EWSINCX";"ssptax",#N/A,FALSE,"EWSINCX";"ssppub",#N/A,FALSE,"EWSINCX";"sspperchgetc",#N/A,FALSE,"EWSINCX";"sspevan",#N/A,FALSE,"EWSINCX";"sspbroad",#N/A,FALSE,"EWSINCX";"sspbroadcont",#N/A,FALSE,"EWSINCX";"sspcable",#N/A,FALSE,"EWSINCX";"sspent",#N/A,FALSE,"EWSINCX"}</definedName>
    <definedName name="wrn.Staffing." localSheetId="12" hidden="1">{#N/A,#N/A,TRUE,"Development Personnel";#N/A,#N/A,TRUE,"Customer Service Personnel";#N/A,#N/A,TRUE,"Customer Service Personnel";#N/A,#N/A,TRUE,"Marketing Personnel";#N/A,#N/A,TRUE,"Technical Services Personnel";#N/A,#N/A,TRUE,"IS Personnel";#N/A,#N/A,TRUE,"Customer Support Personnel";#N/A,#N/A,TRUE,"spEDIcenter Personnel";#N/A,#N/A,TRUE,"Sales Personnel";#N/A,#N/A,TRUE,"International Personnel";#N/A,#N/A,TRUE,"G&amp;A Personnel"}</definedName>
    <definedName name="wrn.Staffing1" localSheetId="12" hidden="1">{#N/A,#N/A,FALSE,"Assessment";#N/A,#N/A,FALSE,"Staffing";#N/A,#N/A,FALSE,"Hires";#N/A,#N/A,FALSE,"Assumptions"}</definedName>
    <definedName name="wrn.stand_alone_both" localSheetId="12" hidden="1">{"FCB_ALL",#N/A,FALSE,"FCB";"GREY_ALL",#N/A,FALSE,"GREY"}</definedName>
    <definedName name="wrn.STAND_ALONE_BOTH." localSheetId="12" hidden="1">{"FCB_ALL",#N/A,FALSE,"FCB";"GREY_ALL",#N/A,FALSE,"GREY"}</definedName>
    <definedName name="wrn.Stand_alone_both._dcf" localSheetId="12" hidden="1">{"FCB_ALL",#N/A,FALSE,"FCB";"GREY_ALL",#N/A,FALSE,"GREY"}</definedName>
    <definedName name="wrn.stand_alone_both.1" localSheetId="12" hidden="1">{"FCB_ALL",#N/A,FALSE,"FCB";"GREY_ALL",#N/A,FALSE,"GREY"}</definedName>
    <definedName name="wrn.stand_alone_both1" localSheetId="12" hidden="1">{"FCB_ALL",#N/A,FALSE,"FCB";"GREY_ALL",#N/A,FALSE,"GREY"}</definedName>
    <definedName name="wrn.stand_alone_both9" localSheetId="12" hidden="1">{"FCB_ALL",#N/A,FALSE,"FCB";"GREY_ALL",#N/A,FALSE,"GREY"}</definedName>
    <definedName name="wrn.standaloneboth1" localSheetId="12" hidden="1">{"FCB_ALL",#N/A,FALSE,"FCB";"GREY_ALL",#N/A,FALSE,"GREY"}</definedName>
    <definedName name="wrn.Standard._.Reports." localSheetId="12"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wrn.Statements." localSheetId="12" hidden="1">{#N/A,#N/A,FALSE,"CostOfService";#N/A,#N/A,FALSE,"BalanceSheet";#N/A,#N/A,FALSE,"IncomeStmt";#N/A,#N/A,FALSE,"CashFlow";#N/A,#N/A,FALSE,"RateBase"}</definedName>
    <definedName name="wrn.statemetns1." localSheetId="12" hidden="1">{#N/A,#N/A,FALSE,"CostOfService";#N/A,#N/A,FALSE,"BalanceSheet";#N/A,#N/A,FALSE,"IncomeStmt";#N/A,#N/A,FALSE,"CashFlow";#N/A,#N/A,FALSE,"RateBase"}</definedName>
    <definedName name="wrn.Statistics." localSheetId="12" hidden="1">{"Std Poor",#N/A,FALSE,"S&amp;P";"Sum Stats",#N/A,FALSE,"Stats"}</definedName>
    <definedName name="wrn.STMT._.OF._.CASH._.FLOWS." localSheetId="12" hidden="1">{"STMT OF CASH FLOWS",#N/A,FALSE,"Cash Flows Indirect"}</definedName>
    <definedName name="wrn.Structure." localSheetId="12" hidden="1">{#N/A,#N/A,FALSE,"Structure";#N/A,#N/A,FALSE,"Proj-Cal";#N/A,#N/A,FALSE,"Market"}</definedName>
    <definedName name="wrn.Subject._.Worksheet." localSheetId="12" hidden="1">{"Balance Sheets",#N/A,FALSE,"Subject";"Income Statements - As Reported",#N/A,FALSE,"Subject";"Income Statements - Adjusted",#N/A,FALSE,"Subject";"Ratios",#N/A,FALSE,"Subject";"Representative Earnings",#N/A,FALSE,"Subject"}</definedName>
    <definedName name="wrn.subs." localSheetId="12" hidden="1">{#N/A,#N/A,FALSE,"Comp - War";#N/A,#N/A,FALSE,"Comp - War"}</definedName>
    <definedName name="wrn.SUM." localSheetId="12" hidden="1">{"SUM",#N/A,FALSE,"Details (2)"}</definedName>
    <definedName name="wrn.sumarry_96_980" localSheetId="12" hidden="1">{"arpm1995",#N/A,FALSE,"Summary 95-96";"bus_long_distance",#N/A,FALSE,"Summary 95-96";"mins_per_day",#N/A,FALSE,"Summary 95-96";"minutes1995",#N/A,FALSE,"Summary 95-96";"rev_per_day",#N/A,FALSE,"Summary 95-96";"view1995",#N/A,FALSE,"Summary 95-96"}</definedName>
    <definedName name="wrn.Summ." localSheetId="12" hidden="1">{#N/A,#N/A,TRUE,"Months 2003";#N/A,#N/A,TRUE,"Months 2004";#N/A,#N/A,TRUE,"Months 2005"}</definedName>
    <definedName name="wrn.summ4." localSheetId="12" hidden="1">{#N/A,#N/A,FALSE,"summ";#N/A,#N/A,FALSE,"q1";#N/A,#N/A,FALSE,"summ_alt";#N/A,#N/A,FALSE,"stock_nozero";#N/A,#N/A,FALSE,"1995"}</definedName>
    <definedName name="wrn.summaries." localSheetId="12"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y." localSheetId="12" hidden="1">{"Sum1",#N/A,FALSE,"Reserve Report";"Sum2",#N/A,FALSE,"Reserve Report";"Sum3",#N/A,FALSE,"Reserve Report";"Sum4",#N/A,FALSE,"Reserve Report"}</definedName>
    <definedName name="wrn.Summary._.Financials." localSheetId="12" hidden="1">{"Balance Sheet",#N/A,FALSE,"Annual Summary";"Cashflows",#N/A,FALSE,"Annual Summary";"Summary Earnings",#N/A,FALSE,"Annual Summary"}</definedName>
    <definedName name="wrn.Summary._.of._.Details2." localSheetId="12" hidden="1">{"Summary",#N/A,FALSE,"Details (2)"}</definedName>
    <definedName name="wrn.summary._.schedules." localSheetId="12" hidden="1">{"summary1",#N/A,FALSE,"Summary of Values";"summary2",#N/A,FALSE,"Summary of Values"}</definedName>
    <definedName name="wrn.Summary._1" localSheetId="12" hidden="1">{"Summary",#N/A,FALSE,"Summary"}</definedName>
    <definedName name="wrn.Summary._1_1" localSheetId="12" hidden="1">{"Summary",#N/A,FALSE,"Summary"}</definedName>
    <definedName name="wrn.Summary._1_2" localSheetId="12" hidden="1">{"Summary",#N/A,FALSE,"Summary"}</definedName>
    <definedName name="wrn.Summary._1_3" localSheetId="12" hidden="1">{"Summary",#N/A,FALSE,"Summary"}</definedName>
    <definedName name="wrn.Summary._1_4" localSheetId="12" hidden="1">{"Summary",#N/A,FALSE,"Summary"}</definedName>
    <definedName name="wrn.Summary._2" localSheetId="12" hidden="1">{"Summary",#N/A,FALSE,"Summary"}</definedName>
    <definedName name="wrn.Summary._3" localSheetId="12" hidden="1">{"Summary",#N/A,FALSE,"Summary"}</definedName>
    <definedName name="wrn.Summary._4" localSheetId="12" hidden="1">{"Summary",#N/A,FALSE,"Summary"}</definedName>
    <definedName name="wrn.Summary._5" localSheetId="12" hidden="1">{"Summary",#N/A,FALSE,"Summary"}</definedName>
    <definedName name="wrn.summary_95_890" localSheetId="12" hidden="1">{"arpm1995",#N/A,FALSE,"Summary 95-96";"bus_long_distance",#N/A,FALSE,"Summary 95-96";"mins_per_day",#N/A,FALSE,"Summary 95-96";"minutes1995",#N/A,FALSE,"Summary 95-96";"rev_per_day",#N/A,FALSE,"Summary 95-96";"view1995",#N/A,FALSE,"Summary 95-96"}</definedName>
    <definedName name="wrn.summary_95_950" localSheetId="12" hidden="1">{"arpm1995",#N/A,FALSE,"Summary 95-96";"bus_long_distance",#N/A,FALSE,"Summary 95-96";"mins_per_day",#N/A,FALSE,"Summary 95-96";"minutes1995",#N/A,FALSE,"Summary 95-96";"rev_per_day",#N/A,FALSE,"Summary 95-96";"view1995",#N/A,FALSE,"Summary 95-96"}</definedName>
    <definedName name="wrn.summary_95_96." localSheetId="12" hidden="1">{"arpm1995",#N/A,FALSE,"Summary 95-96";"bus_long_distance",#N/A,FALSE,"Summary 95-96";"mins_per_day",#N/A,FALSE,"Summary 95-96";"minutes1995",#N/A,FALSE,"Summary 95-96";"rev_per_day",#N/A,FALSE,"Summary 95-96";"view1995",#N/A,FALSE,"Summary 95-96"}</definedName>
    <definedName name="wrn.summary_95_960" localSheetId="12" hidden="1">{"arpm1995",#N/A,FALSE,"Summary 95-96";"bus_long_distance",#N/A,FALSE,"Summary 95-96";"mins_per_day",#N/A,FALSE,"Summary 95-96";"minutes1995",#N/A,FALSE,"Summary 95-96";"rev_per_day",#N/A,FALSE,"Summary 95-96";"view1995",#N/A,FALSE,"Summary 95-96"}</definedName>
    <definedName name="wrn.summary_95_961." localSheetId="12" hidden="1">{"arpm1995",#N/A,FALSE,"Summary 95-96";"bus_long_distance",#N/A,FALSE,"Summary 95-96";"mins_per_day",#N/A,FALSE,"Summary 95-96";"minutes1995",#N/A,FALSE,"Summary 95-96";"rev_per_day",#N/A,FALSE,"Summary 95-96";"view1995",#N/A,FALSE,"Summary 95-96"}</definedName>
    <definedName name="wrn.summary_95_963" localSheetId="12" hidden="1">{"arpm1995",#N/A,FALSE,"Summary 95-96";"bus_long_distance",#N/A,FALSE,"Summary 95-96";"mins_per_day",#N/A,FALSE,"Summary 95-96";"minutes1995",#N/A,FALSE,"Summary 95-96";"rev_per_day",#N/A,FALSE,"Summary 95-96";"view1995",#N/A,FALSE,"Summary 95-96"}</definedName>
    <definedName name="wrn.summary_95_966" localSheetId="12" hidden="1">{"arpm1995",#N/A,FALSE,"Summary 95-96";"bus_long_distance",#N/A,FALSE,"Summary 95-96";"mins_per_day",#N/A,FALSE,"Summary 95-96";"minutes1995",#N/A,FALSE,"Summary 95-96";"rev_per_day",#N/A,FALSE,"Summary 95-96";"view1995",#N/A,FALSE,"Summary 95-96"}</definedName>
    <definedName name="wrn.summary_95_967" localSheetId="12" hidden="1">{"arpm1995",#N/A,FALSE,"Summary 95-96";"bus_long_distance",#N/A,FALSE,"Summary 95-96";"mins_per_day",#N/A,FALSE,"Summary 95-96";"minutes1995",#N/A,FALSE,"Summary 95-96";"rev_per_day",#N/A,FALSE,"Summary 95-96";"view1995",#N/A,FALSE,"Summary 95-96"}</definedName>
    <definedName name="wrn.summary_95_968" localSheetId="12" hidden="1">{"arpm1995",#N/A,FALSE,"Summary 95-96";"bus_long_distance",#N/A,FALSE,"Summary 95-96";"mins_per_day",#N/A,FALSE,"Summary 95-96";"minutes1995",#N/A,FALSE,"Summary 95-96";"rev_per_day",#N/A,FALSE,"Summary 95-96";"view1995",#N/A,FALSE,"Summary 95-96"}</definedName>
    <definedName name="wrn.summary_95_968w" localSheetId="12" hidden="1">{"arpm1995",#N/A,FALSE,"Summary 95-96";"bus_long_distance",#N/A,FALSE,"Summary 95-96";"mins_per_day",#N/A,FALSE,"Summary 95-96";"minutes1995",#N/A,FALSE,"Summary 95-96";"rev_per_day",#N/A,FALSE,"Summary 95-96";"view1995",#N/A,FALSE,"Summary 95-96"}</definedName>
    <definedName name="wrn.summary_95_969" localSheetId="12" hidden="1">{"arpm1995",#N/A,FALSE,"Summary 95-96";"bus_long_distance",#N/A,FALSE,"Summary 95-96";"mins_per_day",#N/A,FALSE,"Summary 95-96";"minutes1995",#N/A,FALSE,"Summary 95-96";"rev_per_day",#N/A,FALSE,"Summary 95-96";"view1995",#N/A,FALSE,"Summary 95-96"}</definedName>
    <definedName name="wrn.summary_95_97" localSheetId="12" hidden="1">{"arpm1995",#N/A,FALSE,"Summary 95-96";"bus_long_distance",#N/A,FALSE,"Summary 95-96";"mins_per_day",#N/A,FALSE,"Summary 95-96";"minutes1995",#N/A,FALSE,"Summary 95-96";"rev_per_day",#N/A,FALSE,"Summary 95-96";"view1995",#N/A,FALSE,"Summary 95-96"}</definedName>
    <definedName name="wrn.summary_95_970" localSheetId="12" hidden="1">{"arpm1995",#N/A,FALSE,"Summary 95-96";"bus_long_distance",#N/A,FALSE,"Summary 95-96";"mins_per_day",#N/A,FALSE,"Summary 95-96";"minutes1995",#N/A,FALSE,"Summary 95-96";"rev_per_day",#N/A,FALSE,"Summary 95-96";"view1995",#N/A,FALSE,"Summary 95-96"}</definedName>
    <definedName name="wrn.summary_95_971" localSheetId="12" hidden="1">{"arpm1995",#N/A,FALSE,"Summary 95-96";"bus_long_distance",#N/A,FALSE,"Summary 95-96";"mins_per_day",#N/A,FALSE,"Summary 95-96";"minutes1995",#N/A,FALSE,"Summary 95-96";"rev_per_day",#N/A,FALSE,"Summary 95-96";"view1995",#N/A,FALSE,"Summary 95-96"}</definedName>
    <definedName name="wrn.summary_95_98" localSheetId="12" hidden="1">{"arpm1995",#N/A,FALSE,"Summary 95-96";"bus_long_distance",#N/A,FALSE,"Summary 95-96";"mins_per_day",#N/A,FALSE,"Summary 95-96";"minutes1995",#N/A,FALSE,"Summary 95-96";"rev_per_day",#N/A,FALSE,"Summary 95-96";"view1995",#N/A,FALSE,"Summary 95-96"}</definedName>
    <definedName name="wrn.summary_95_982" localSheetId="12" hidden="1">{"arpm1995",#N/A,FALSE,"Summary 95-96";"bus_long_distance",#N/A,FALSE,"Summary 95-96";"mins_per_day",#N/A,FALSE,"Summary 95-96";"minutes1995",#N/A,FALSE,"Summary 95-96";"rev_per_day",#N/A,FALSE,"Summary 95-96";"view1995",#N/A,FALSE,"Summary 95-96"}</definedName>
    <definedName name="wrn.summary_96_915" localSheetId="12" hidden="1">{"arpm1995",#N/A,FALSE,"Summary 95-96";"bus_long_distance",#N/A,FALSE,"Summary 95-96";"mins_per_day",#N/A,FALSE,"Summary 95-96";"minutes1995",#N/A,FALSE,"Summary 95-96";"rev_per_day",#N/A,FALSE,"Summary 95-96";"view1995",#N/A,FALSE,"Summary 95-96"}</definedName>
    <definedName name="wrn.summary_96_97" localSheetId="12" hidden="1">{"arpm1995",#N/A,FALSE,"Summary 95-96";"bus_long_distance",#N/A,FALSE,"Summary 95-96";"mins_per_day",#N/A,FALSE,"Summary 95-96";"minutes1995",#N/A,FALSE,"Summary 95-96";"rev_per_day",#N/A,FALSE,"Summary 95-96";"view1995",#N/A,FALSE,"Summary 95-96"}</definedName>
    <definedName name="wrn.summary_96_970" localSheetId="12" hidden="1">{"arpm1995",#N/A,FALSE,"Summary 95-96";"bus_long_distance",#N/A,FALSE,"Summary 95-96";"mins_per_day",#N/A,FALSE,"Summary 95-96";"minutes1995",#N/A,FALSE,"Summary 95-96";"rev_per_day",#N/A,FALSE,"Summary 95-96";"view1995",#N/A,FALSE,"Summary 95-96"}</definedName>
    <definedName name="wrn.summary_96_973" localSheetId="12" hidden="1">{"arpm1995",#N/A,FALSE,"Summary 95-96";"bus_long_distance",#N/A,FALSE,"Summary 95-96";"mins_per_day",#N/A,FALSE,"Summary 95-96";"minutes1995",#N/A,FALSE,"Summary 95-96";"rev_per_day",#N/A,FALSE,"Summary 95-96";"view1995",#N/A,FALSE,"Summary 95-96"}</definedName>
    <definedName name="wrn.summary_96_974" localSheetId="12" hidden="1">{"arpm1995",#N/A,FALSE,"Summary 95-96";"bus_long_distance",#N/A,FALSE,"Summary 95-96";"mins_per_day",#N/A,FALSE,"Summary 95-96";"minutes1995",#N/A,FALSE,"Summary 95-96";"rev_per_day",#N/A,FALSE,"Summary 95-96";"view1995",#N/A,FALSE,"Summary 95-96"}</definedName>
    <definedName name="wrn.summary_96_977" localSheetId="12" hidden="1">{"arpm1995",#N/A,FALSE,"Summary 95-96";"bus_long_distance",#N/A,FALSE,"Summary 95-96";"mins_per_day",#N/A,FALSE,"Summary 95-96";"minutes1995",#N/A,FALSE,"Summary 95-96";"rev_per_day",#N/A,FALSE,"Summary 95-96";"view1995",#N/A,FALSE,"Summary 95-96"}</definedName>
    <definedName name="wrn.summary_96_977_1" localSheetId="12" hidden="1">{"arpm1995",#N/A,FALSE,"Summary 95-96";"bus_long_distance",#N/A,FALSE,"Summary 95-96";"mins_per_day",#N/A,FALSE,"Summary 95-96";"minutes1995",#N/A,FALSE,"Summary 95-96";"rev_per_day",#N/A,FALSE,"Summary 95-96";"view1995",#N/A,FALSE,"Summary 95-96"}</definedName>
    <definedName name="wrn.summary_96_978" localSheetId="12" hidden="1">{"arpm1995",#N/A,FALSE,"Summary 95-96";"bus_long_distance",#N/A,FALSE,"Summary 95-96";"mins_per_day",#N/A,FALSE,"Summary 95-96";"minutes1995",#N/A,FALSE,"Summary 95-96";"rev_per_day",#N/A,FALSE,"Summary 95-96";"view1995",#N/A,FALSE,"Summary 95-96"}</definedName>
    <definedName name="wrn.summary_96_97x" localSheetId="12" hidden="1">{"arpm1995",#N/A,FALSE,"Summary 95-96";"bus_long_distance",#N/A,FALSE,"Summary 95-96";"mins_per_day",#N/A,FALSE,"Summary 95-96";"minutes1995",#N/A,FALSE,"Summary 95-96";"rev_per_day",#N/A,FALSE,"Summary 95-96";"view1995",#N/A,FALSE,"Summary 95-96"}</definedName>
    <definedName name="wrn.summary_96_987" localSheetId="12" hidden="1">{"arpm1995",#N/A,FALSE,"Summary 95-96";"bus_long_distance",#N/A,FALSE,"Summary 95-96";"mins_per_day",#N/A,FALSE,"Summary 95-96";"minutes1995",#N/A,FALSE,"Summary 95-96";"rev_per_day",#N/A,FALSE,"Summary 95-96";"view1995",#N/A,FALSE,"Summary 95-96"}</definedName>
    <definedName name="wrn.SUPP_SCHD." localSheetId="12" hidden="1">{#N/A,#N/A,TRUE,"A";#N/A,#N/A,TRUE,"B";#N/A,#N/A,TRUE,"C";#N/A,#N/A,TRUE,"D";#N/A,#N/A,TRUE,"E"}</definedName>
    <definedName name="wrn.Supplemental_Reports." localSheetId="12" hidden="1">{#N/A,#N/A,FALSE,"Report Data";#N/A,#N/A,FALSE,"COMP POOL";#N/A,#N/A,FALSE,"COMP POOL NB95";#N/A,#N/A,FALSE,"COMP POOL NB94"}</definedName>
    <definedName name="wrn.Support." localSheetId="12" hidden="1">{#N/A,#N/A,FALSE,"TRIAL INPUT";#N/A,#N/A,FALSE,"AVG INPUT COPY";#N/A,#N/A,FALSE,"INVESTMENTS_INPUT"}</definedName>
    <definedName name="wrn.t_cash." localSheetId="12" hidden="1">{"cash_tes",#N/A,FALSE,"dec95cr.xls"}</definedName>
    <definedName name="wrn.Tables." localSheetId="12" hidden="1">{"view1",#N/A,FALSE,"Tables";"view2",#N/A,FALSE,"Tables";"view3",#N/A,FALSE,"Tables"}</definedName>
    <definedName name="wrn.Tables._.and._.Support." localSheetId="12" hidden="1">{#N/A,#N/A,FALSE,"TABLE_1 YTD";#N/A,#N/A,FALSE,"TABLE_1A QTD";#N/A,#N/A,FALSE,"NORMAL_SPREAD_QTD";#N/A,#N/A,FALSE,"NORMAL_SPREAD_YTD";#N/A,#N/A,FALSE,"TAX_EQV";#N/A,#N/A,FALSE,"TAX EQUIV_INPUT";#N/A,#N/A,FALSE,"NET FROM FER";#N/A,#N/A,FALSE,"COVER"}</definedName>
    <definedName name="wrn.Target." localSheetId="12" hidden="1">{#N/A,#N/A,TRUE,"Tar-Ass";#N/A,#N/A,TRUE,"Tar-IS";#N/A,#N/A,TRUE,"Tar-BS";#N/A,#N/A,TRUE,"Tar-CF";#N/A,#N/A,TRUE,"Tar-Adg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_.DCF." localSheetId="12" hidden="1">{"targetdcf",#N/A,FALSE,"Merger consequences";"TARGETASSU",#N/A,FALSE,"Merger consequences";"TERMINAL VALUE",#N/A,FALSE,"Merger consequences"}</definedName>
    <definedName name="wrn.TargetLBO." localSheetId="12" hidden="1">{#N/A,#N/A,TRUE,"Tar-Ass";#N/A,#N/A,TRUE,"Tar-Ass LBO";#N/A,#N/A,TRUE,"LBO Ret";#N/A,#N/A,TRUE,"Tar-BS LBO";#N/A,#N/A,TRUE,"Tar-IS LBO";#N/A,#N/A,TRUE,"Tar-CF LBO";#N/A,#N/A,TRUE,"Tar-Debt LBO";#N/A,#N/A,TRUE,"Tar-Int LBO";#N/A,#N/A,TRUE,"Tar-Taxes LBO";#N/A,#N/A,TRUE,"Tar-Val LBO"}</definedName>
    <definedName name="wrn.TargetState." localSheetId="12" hidden="1">{#N/A,#N/A,FALSE,"Tar-Ass";#N/A,#N/A,FALSE,"Tar-IS";#N/A,#N/A,FALSE,"Tar-BS";#N/A,#N/A,FALSE,"Tar-Adg BS";#N/A,#N/A,FALSE,"Tar-CF"}</definedName>
    <definedName name="wrn.TargetVal." localSheetId="12" hidden="1">{#N/A,#N/A,TRUE,"Val - sum";#N/A,#N/A,TRUE,"Val - Sum1";#N/A,#N/A,TRUE,"Val - sum2";#N/A,#N/A,TRUE,"Val - Sum3";#N/A,#N/A,TRUE,"Tar-DCF";#N/A,#N/A,TRUE,"Tar-Val LBO";#N/A,#N/A,TRUE,"Tar-Mult Val"}</definedName>
    <definedName name="wrn.Tariff._.working." localSheetId="12" hidden="1">{#N/A,#N/A,TRUE,"input";#N/A,#N/A,TRUE,"fnplan";#N/A,#N/A,TRUE,"Key Ratio";#N/A,#N/A,TRUE,"Gen_BrkDn";#N/A,#N/A,TRUE,"RsKW";#N/A,#N/A,TRUE,"gen&amp;fuel";#N/A,#N/A,TRUE,"fuel_price";#N/A,#N/A,TRUE,"O&amp;M+admin";#N/A,#N/A,TRUE,"int(GB-debt)";#N/A,#N/A,TRUE,"dep_rskw";#N/A,#N/A,TRUE,"wc_tariff";#N/A,#N/A,TRUE,"tax-tarif1";#N/A,#N/A,TRUE,"ROE";#N/A,#N/A,TRUE,"TN_PCOST";#N/A,#N/A,TRUE,"fincost-tec";#N/A,#N/A,TRUE,"IDCa";#N/A,#N/A,TRUE,"fcloan(G)";#N/A,#N/A,TRUE,"fcloan(NO-G) ";#N/A,#N/A,TRUE,"Local Debt in $";#N/A,#N/A,TRUE,"Rsloan -CEA";#N/A,#N/A,TRUE,"SHL1 in $";#N/A,#N/A,TRUE,"SHL-1-INRs"}</definedName>
    <definedName name="wrn.TB._.ALL._.ACCTS." localSheetId="12" hidden="1">{"BALANCE SHEET ACCTS",#N/A,TRUE,"Working Trial Balance";"INCOME STMT ACCTS",#N/A,TRUE,"Working Trial Balance"}</definedName>
    <definedName name="wrn.TB._.BALANCE._.SHEET." localSheetId="12" hidden="1">{"BALANCE SHEET ACCTS",#N/A,FALSE,"Working Trial Balance"}</definedName>
    <definedName name="wrn.TB._.EXPLANATIONS." localSheetId="12" hidden="1">{"EXPLANATIONS",#N/A,FALSE,"Working Trial Balance"}</definedName>
    <definedName name="wrn.TB._.INCOME._.STMT." localSheetId="12" hidden="1">{"INCOME STMT ACCTS",#N/A,FALSE,"Working Trial Balance"}</definedName>
    <definedName name="wrn.technology." localSheetId="12" hidden="1">{"developed valuation",#N/A,FALSE,"Valuation Analysis";"developed income statement",#N/A,FALSE,"Abbreviated Income Statement";"inprocess valuation",#N/A,FALSE,"Valuation Analysis";"inprocess income statement",#N/A,FALSE,"Abbreviated Income Statement"}</definedName>
    <definedName name="wrn.test." localSheetId="12" hidden="1">{"test2",#N/A,TRUE,"Prices"}</definedName>
    <definedName name="wrn.Test._1" localSheetId="12" hidden="1">{#N/A,#N/A,FALSE,"P&amp;L";#N/A,#N/A,FALSE,"BS"}</definedName>
    <definedName name="wrn.Test._1_1" localSheetId="12" hidden="1">{#N/A,#N/A,FALSE,"P&amp;L";#N/A,#N/A,FALSE,"BS"}</definedName>
    <definedName name="wrn.Test._1_2" localSheetId="12" hidden="1">{#N/A,#N/A,FALSE,"P&amp;L";#N/A,#N/A,FALSE,"BS"}</definedName>
    <definedName name="wrn.Test._1_3" localSheetId="12" hidden="1">{#N/A,#N/A,FALSE,"P&amp;L";#N/A,#N/A,FALSE,"BS"}</definedName>
    <definedName name="wrn.Test._1_4" localSheetId="12" hidden="1">{#N/A,#N/A,FALSE,"P&amp;L";#N/A,#N/A,FALSE,"BS"}</definedName>
    <definedName name="wrn.Test._2" localSheetId="12" hidden="1">{#N/A,#N/A,FALSE,"P&amp;L";#N/A,#N/A,FALSE,"BS"}</definedName>
    <definedName name="wrn.Test._3" localSheetId="12" hidden="1">{#N/A,#N/A,FALSE,"P&amp;L";#N/A,#N/A,FALSE,"BS"}</definedName>
    <definedName name="wrn.Test._4" localSheetId="12" hidden="1">{#N/A,#N/A,FALSE,"P&amp;L";#N/A,#N/A,FALSE,"BS"}</definedName>
    <definedName name="wrn.Test._5" localSheetId="12" hidden="1">{#N/A,#N/A,FALSE,"P&amp;L";#N/A,#N/A,FALSE,"BS"}</definedName>
    <definedName name="wrn.test1." localSheetId="12" hidden="1">{"Income Statement",#N/A,FALSE,"CFMODEL";"Balance Sheet",#N/A,FALSE,"CFMODEL"}</definedName>
    <definedName name="wrn.test2." localSheetId="12" hidden="1">{"SourcesUses",#N/A,TRUE,"CFMODEL";"TransOverview",#N/A,TRUE,"CFMODEL"}</definedName>
    <definedName name="wrn.test3." localSheetId="12" hidden="1">{"SourcesUses",#N/A,TRUE,#N/A;"TransOverview",#N/A,TRUE,"CFMODEL"}</definedName>
    <definedName name="wrn.test4." localSheetId="12" hidden="1">{"SourcesUses",#N/A,TRUE,"FundsFlow";"TransOverview",#N/A,TRUE,"FundsFlow"}</definedName>
    <definedName name="wrn.TheWholeEnchilada." localSheetId="12" hidden="1">{"CSheet",#N/A,FALSE,"C";"SmCap",#N/A,FALSE,"VAL1";"GulfCoast",#N/A,FALSE,"VAL1";"nav",#N/A,FALSE,"NAV";"Summary",#N/A,FALSE,"NAV"}</definedName>
    <definedName name="wrn.TMCALL." localSheetId="12" hidden="1">{"tmccash",#N/A,FALSE,"INCX";"tmcinc",#N/A,FALSE,"INCX";"tmcpretx",#N/A,FALSE,"INCX";"tmcadrev",#N/A,FALSE,"INCX";"tmcbooks",#N/A,FALSE,"INCX"}</definedName>
    <definedName name="wrn.tobacco." localSheetId="12" hidden="1">{"income",#N/A,FALSE,"TOBACCO";"value",#N/A,FALSE,"TOBACCO";"assum1",#N/A,FALSE,"TOBACCO";"assum2",#N/A,FALSE,"TOBACCO";"swisher",#N/A,FALSE,"TOBACCO";"martin",#N/A,FALSE,"TOBACCO";"helme1",#N/A,FALSE,"TOBACCO";"helme2",#N/A,FALSE,"TOBACCO";"HELME3",#N/A,FALSE,"TOBACCO";"depmatrix",#N/A,FALSE,"TOBACCO"}</definedName>
    <definedName name="wrn.tobsum." localSheetId="12" hidden="1">{"income",#N/A,FALSE,"TOBACCO";"value",#N/A,FALSE,"TOBACCO";"assum1",#N/A,FALSE,"TOBACCO"}</definedName>
    <definedName name="wrn.TOOL." localSheetId="12"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tal." localSheetId="12" hidden="1">{#N/A,#N/A,FALSE,"US Healthcare";#N/A,#N/A,FALSE,"US Mfg";#N/A,#N/A,FALSE,"SURGICAL";#N/A,#N/A,FALSE,"IVSD";#N/A,#N/A,FALSE,"USDIST-FLD SLS";#N/A,#N/A,FALSE,"USDIST-FLD SLS";#N/A,#N/A,FALSE,"HEALTH SYS";#N/A,#N/A,FALSE,"Unallocated USHC";#N/A,#N/A,FALSE,"ACT INIT.";#N/A,#N/A,FALSE,"PS Hos Elim";#N/A,#N/A,FALSE,"OPELIM";#N/A,#N/A,FALSE,"Net Sales 96";#N/A,#N/A,FALSE,"SG&amp;A 96";#N/A,#N/A,FALSE,"Pretax 96";#N/A,#N/A,FALSE,"Net Income 96";#N/A,#N/A,FALSE,"Cash Flow 96";#N/A,#N/A,FALSE,"96 Actual GP$";#N/A,#N/A,FALSE,"96 Actual GP%";#N/A,#N/A,FALSE,"96 Actual Tax Rate";#N/A,#N/A,FALSE,"96 Capital Exp.";#N/A,#N/A,FALSE,"EVA"}</definedName>
    <definedName name="wrn.Total._.Business." localSheetId="12"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Company._.Reforecast._.Print." localSheetId="12"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urrent._.scenario." localSheetId="12" hidden="1">{"assumptions",#N/A,TRUE,"assumptions";"PandL",#N/A,TRUE,"Merged entity";"sens",#N/A,TRUE,"assumptions";"pres1",#N/A,TRUE,"for presentation"}</definedName>
    <definedName name="wrn.Total._.Market._.Report." localSheetId="12" hidden="1">{#N/A,#N/A,FALSE,"Sales Graph";#N/A,#N/A,FALSE,"BUC Graph";#N/A,#N/A,FALSE,"P&amp;L - YTD"}</definedName>
    <definedName name="wrn.Total._.Print." localSheetId="12"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Proved." localSheetId="12" hidden="1">{"Total",#N/A,FALSE,"Total Proved";"PDP",#N/A,FALSE,"Total Proved";"PNP",#N/A,FALSE,"Total Proved";"PUD",#N/A,FALSE,"Total Proved"}</definedName>
    <definedName name="wrn.Total._.Proved._.plus._.Probable." localSheetId="12" hidden="1">{"Total",#N/A,FALSE,"Total Proved + Probable";"PDP",#N/A,FALSE,"Total Proved + Probable";"PNP",#N/A,FALSE,"Total Proved + Probable";"PUD",#N/A,FALSE,"Total Proved + Probable";"Prob",#N/A,FALSE,"Total Proved + Probable"}</definedName>
    <definedName name="wrn.total._.year." localSheetId="12" hidden="1">{#N/A,#N/A,FALSE,"2003_Input - P&amp;L"}</definedName>
    <definedName name="wrn.total1." localSheetId="12" hidden="1">{#N/A,#N/A,FALSE,"US Healthcare";#N/A,#N/A,FALSE,"US Mfg";#N/A,#N/A,FALSE,"SURGICAL";#N/A,#N/A,FALSE,"IVSD";#N/A,#N/A,FALSE,"USDIST-FLD SLS";#N/A,#N/A,FALSE,"USDIST-FLD SLS";#N/A,#N/A,FALSE,"HEALTH SYS";#N/A,#N/A,FALSE,"Unallocated USHC";#N/A,#N/A,FALSE,"ACT INIT.";#N/A,#N/A,FALSE,"PS Hos Elim";#N/A,#N/A,FALSE,"OPELIM";#N/A,#N/A,FALSE,"Net Sales 96";#N/A,#N/A,FALSE,"SG&amp;A 96";#N/A,#N/A,FALSE,"Pretax 96";#N/A,#N/A,FALSE,"Net Income 96";#N/A,#N/A,FALSE,"Cash Flow 96";#N/A,#N/A,FALSE,"96 Actual GP$";#N/A,#N/A,FALSE,"96 Actual GP%";#N/A,#N/A,FALSE,"96 Actual Tax Rate";#N/A,#N/A,FALSE,"96 Capital Exp.";#N/A,#N/A,FALSE,"EVA"}</definedName>
    <definedName name="wrn.Tout._.Sauf._.BG." localSheetId="12"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rack." localSheetId="12" hidden="1">{#N/A,#N/A,FALSE,"Inc Stmt";#N/A,#N/A,FALSE,"Indirect Costs";#N/A,#N/A,FALSE,"Capital"}</definedName>
    <definedName name="wrn.trademark._.and._.trade._.name." localSheetId="12" hidden="1">{"trademark1",#N/A,FALSE,"Trademark(s) and Trade Name(s)"}</definedName>
    <definedName name="wrn.Trading._.Summary." localSheetId="12" hidden="1">{#N/A,#N/A,FALSE,"Trading Summary"}</definedName>
    <definedName name="wrn.TransPrcd_123." localSheetId="12" hidden="1">{#N/A,#N/A,TRUE,"TransPrcd 1";#N/A,#N/A,TRUE,"TransPrcd 2";#N/A,#N/A,TRUE,"TransPrcd 3"}</definedName>
    <definedName name="wrn.trball." localSheetId="12" hidden="1">{"trbcash",#N/A,FALSE,"INCPF";"trbinc",#N/A,FALSE,"INCPF";"trbchic",#N/A,FALSE,"INCPF";"trbadrev",#N/A,FALSE,"INCPF";"trbstns",#N/A,FALSE,"INCPF";"trbtvstns",#N/A,FALSE,"INCPF"}</definedName>
    <definedName name="wrn.tsp." localSheetId="12" hidden="1">{#N/A,#N/A,FALSE,"Summary";#N/A,#N/A,FALSE,"Financials";#N/A,#N/A,FALSE,"Returns";#N/A,#N/A,FALSE,"Open";#N/A,#N/A,FALSE,"Assumptions"}</definedName>
    <definedName name="wrn.twofin." localSheetId="12" hidden="1">{"bscompare",#N/A,FALSE,"Bal Sheet"}</definedName>
    <definedName name="wrn.Typhoon." localSheetId="12" hidden="1">{"Agg Output",#N/A,FALSE,"Operational Drivers Output";"NW Output",#N/A,FALSE,"Operational Drivers Output";"South Output",#N/A,FALSE,"Operational Drivers Output";"Central Output",#N/A,FALSE,"Operational Drivers Output"}</definedName>
    <definedName name="wrn.UK." localSheetId="12" hidden="1">{#N/A,#N/A,TRUE,"Combined";#N/A,#N/A,TRUE,"HotRoll";#N/A,#N/A,TRUE,"Gadd";#N/A,#N/A,TRUE,"Wesson";#N/A,#N/A,TRUE,"BrightBar";#N/A,#N/A,TRUE,"GB Longmore";#N/A,#N/A,TRUE,"MES";#N/A,#N/A,TRUE,"Wesson Bright";#N/A,#N/A,TRUE,"Macreadys";#N/A,#N/A,TRUE,"HeadOffice"}</definedName>
    <definedName name="wrn.US._.Bank." localSheetId="12" hidden="1">{#N/A,#N/A,TRUE,"Cover_Page";#N/A,#N/A,TRUE,"Balance Sheet FY12";#N/A,#N/A,TRUE,"Debt Covenants_US Bank_Cons";#N/A,#N/A,TRUE,"Consolidated-Cash Flow";#N/A,#N/A,TRUE,"CY_Per Inc FY12";#N/A,#N/A,TRUE,"Income FY12";#N/A,#N/A,TRUE,"Consolidated"}</definedName>
    <definedName name="wrn.USA._.Consolidated._.Report." localSheetId="12" hidden="1">{#N/A,#N/A,TRUE,"Consolidated B Sheet";#N/A,#N/A,TRUE,"Consolidated Cashflow";#N/A,#N/A,TRUE,"P&amp;L CONSOLIDATED"}</definedName>
    <definedName name="wrn.USR." localSheetId="12" hidden="1">{#N/A,#N/A,FALSE,"TopTen Failures";#N/A,#N/A,FALSE,"Top Ten %";#N/A,#N/A,FALSE,"Fail Code 5 mo. Totals (%)"}</definedName>
    <definedName name="wrn.Utility._.Accrual." localSheetId="12" hidden="1">{"Balt Util Water",#N/A,TRUE,"UTIL";"Balt Util Elect",#N/A,TRUE,"UTIL";"Balt Util JE",#N/A,TRUE,"UTIL"}</definedName>
    <definedName name="wrn.VALUATION." localSheetId="12" hidden="1">{#N/A,#N/A,FALSE,"Valuation Assumptions";#N/A,#N/A,FALSE,"Summary";#N/A,#N/A,FALSE,"DCF";#N/A,#N/A,FALSE,"Valuation";#N/A,#N/A,FALSE,"WACC";#N/A,#N/A,FALSE,"UBVH";#N/A,#N/A,FALSE,"Free Cash Flow"}</definedName>
    <definedName name="wrn.Valuation._.Summaries." localSheetId="12" hidden="1">{#N/A,#N/A,FALSE,"Cover Sheet";#N/A,#N/A,FALSE,"Financial Assumptions";#N/A,#N/A,FALSE,"DCFOverviewPower";#N/A,#N/A,FALSE,"DCFOverviewGas";#N/A,#N/A,FALSE,"DCFOverviewWater";#N/A,#N/A,FALSE,"DCFOverviewVersorgung"}</definedName>
    <definedName name="wrn.Value." localSheetId="12" hidden="1">{#N/A,#N/A,FALSE,"Cashflow Analysis";#N/A,#N/A,FALSE,"Sensitivity Analysis";#N/A,#N/A,FALSE,"PV";#N/A,#N/A,FALSE,"Pro Forma"}</definedName>
    <definedName name="wrn.Value.2" localSheetId="12" hidden="1">{#N/A,#N/A,FALSE,"Cashflow Analysis";#N/A,#N/A,FALSE,"Sensitivity Analysis";#N/A,#N/A,FALSE,"PV";#N/A,#N/A,FALSE,"Pro Forma"}</definedName>
    <definedName name="wrn.Variance._.REports." localSheetId="12" hidden="1">{#N/A,#N/A,FALSE,"Summary";#N/A,#N/A,FALSE,"04E Summ";#N/A,#N/A,FALSE,"04Pvs03E Summ";#N/A,#N/A,FALSE,"03E Summ"}</definedName>
    <definedName name="wrn.Versorgungs._.GmbH._.Data." localSheetId="12" hidden="1">{#N/A,#N/A,FALSE,"DCFCoverVersorgung";#N/A,#N/A,FALSE,"DCFOverviewVersorgung";#N/A,#N/A,FALSE,"PlanVersorgung";#N/A,#N/A,FALSE,"DCFVersorgung";#N/A,#N/A,FALSE,"ValueVersorgung";#N/A,#N/A,FALSE,"WaccVersorgung";#N/A,#N/A,FALSE,"WaccVersorgung";#N/A,#N/A,FALSE,"WaccCompVersorgung";#N/A,#N/A,FALSE,"MatrixVersorgung"}</definedName>
    <definedName name="wrn.VRTX." localSheetId="12" hidden="1">{"Revenues",#N/A,FALSE,"Revenue";"qearn1",#N/A,FALSE,"Qearn";"qearn2",#N/A,FALSE,"Qearn";#N/A,#N/A,FALSE,"Qmargin";"cashflow",#N/A,FALSE,"Cashflow";"Product Pipeline",#N/A,FALSE,"Product Pipeline"}</definedName>
    <definedName name="wrn.Wacc." localSheetId="12" hidden="1">{"Area1",#N/A,FALSE,"OREWACC";"Area2",#N/A,FALSE,"OREWACC"}</definedName>
    <definedName name="wrn.Warrant._.analysis." localSheetId="12" hidden="1">{#N/A,#N/A,FALSE,"sum (2)";#N/A,#N/A,FALSE,"bs";#N/A,#N/A,FALSE,"is";#N/A,#N/A,FALSE,"cf";#N/A,#N/A,FALSE,"ltd";#N/A,#N/A,FALSE,"irr (2)"}</definedName>
    <definedName name="wrn.WATERTOWN._.BUDGET." localSheetId="12" hidden="1">{#N/A,#N/A,TRUE,"Inc. St.";#N/A,#N/A,TRUE,"SalesLabor";#N/A,#N/A,TRUE,"Labor";#N/A,#N/A,TRUE,"TEMP.";#N/A,#N/A,TRUE,"Manuf.";#N/A,#N/A,TRUE,"Repairs";#N/A,#N/A,TRUE,"G&amp;A";#N/A,#N/A,TRUE,"Inv.";#N/A,#N/A,TRUE,"Cap.X";#N/A,#N/A,TRUE,"Leases"}</definedName>
    <definedName name="wrn.Web._.Portfolio._.Companies._.June._.2000." localSheetId="12"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wrn.Western._.Metal." localSheetId="12" hidden="1">{#N/A,#N/A,FALSE,"Western";#N/A,#N/A,FALSE,"Inc. St.";#N/A,#N/A,FALSE,"Hist.";#N/A,#N/A,FALSE,"SalesLabor";#N/A,#N/A,FALSE,"Labor";#N/A,#N/A,FALSE,"Manuf.";#N/A,#N/A,FALSE,"Repairs";#N/A,#N/A,FALSE,"G&amp;A";#N/A,#N/A,FALSE,"Inv.";#N/A,#N/A,FALSE,"Cap. X"}</definedName>
    <definedName name="wrn.WHOLE." localSheetId="12" hidden="1">{#N/A,#N/A,FALSE,"assumptions";#N/A,#N/A,FALSE,"contrib_annual";#N/A,#N/A,FALSE,"historic";#N/A,#N/A,FALSE,"Proforma";#N/A,#N/A,FALSE,"CALENDARIZED";#N/A,#N/A,FALSE,"Has_gets";#N/A,#N/A,FALSE,"DILUTION"}</definedName>
    <definedName name="wrn.wicor." localSheetId="12" hidden="1">{#N/A,#N/A,FALSE,"FACTSHEETS";#N/A,#N/A,FALSE,"pump";#N/A,#N/A,FALSE,"filter"}</definedName>
    <definedName name="wrn.work._.paper._.shcedules." localSheetId="12" hidden="1">{"summary1",#N/A,FALSE,"Summary of Values";"summary2",#N/A,FALSE,"Summary of Values";"weighted average returns",#N/A,FALSE,"WACC and WARA";"fixed asset detail",#N/A,FALSE,"Fixed Asset Detail"}</definedName>
    <definedName name="wrn.wpoall." localSheetId="12" hidden="1">{"wpocash",#N/A,FALSE,"WPOALLT";"wpoinc",#N/A,FALSE,"WPOALLT";"wpoexcl",#N/A,FALSE,"WPOALLT";"wpocable",#N/A,FALSE,"WPOALLT";"wpobroad",#N/A,FALSE,"WPOALLT";"wpopost",#N/A,FALSE,"WPOALLT";"wponwsweek",#N/A,FALSE,"WPOALLT"}</definedName>
    <definedName name="wrn.WWY." localSheetId="12" hidden="1">{#N/A,#N/A,FALSE,"WWY"}</definedName>
    <definedName name="wrn_eva" localSheetId="12" hidden="1">{"EVA",#N/A,FALSE,"EVA";"WACC",#N/A,FALSE,"WACC"}</definedName>
    <definedName name="wrn_otpt" localSheetId="12" hidden="1">{"DCF","UPSIDE CASE",FALSE,"Sheet1";"DCF","BASE CASE",FALSE,"Sheet1";"DCF","DOWNSIDE CASE",FALSE,"Sheet1"}</definedName>
    <definedName name="wrn_summary_95_952" localSheetId="12" hidden="1">{"arpm1995",#N/A,FALSE,"Summary 95-96";"bus_long_distance",#N/A,FALSE,"Summary 95-96";"mins_per_day",#N/A,FALSE,"Summary 95-96";"minutes1995",#N/A,FALSE,"Summary 95-96";"rev_per_day",#N/A,FALSE,"Summary 95-96";"view1995",#N/A,FALSE,"Summary 95-96"}</definedName>
    <definedName name="wrn_summary_95_952_1" localSheetId="12" hidden="1">{"arpm1995",#N/A,FALSE,"Summary 95-96";"bus_long_distance",#N/A,FALSE,"Summary 95-96";"mins_per_day",#N/A,FALSE,"Summary 95-96";"minutes1995",#N/A,FALSE,"Summary 95-96";"rev_per_day",#N/A,FALSE,"Summary 95-96";"view1995",#N/A,FALSE,"Summary 95-96"}</definedName>
    <definedName name="wrn1.Statements." localSheetId="12" hidden="1">{#N/A,#N/A,FALSE,"CostOfService";#N/A,#N/A,FALSE,"BalanceSheet";#N/A,#N/A,FALSE,"IncomeStmt";#N/A,#N/A,FALSE,"CashFlow";#N/A,#N/A,FALSE,"RateBase"}</definedName>
    <definedName name="wrn2.All." localSheetId="12" hidden="1">{#N/A,#N/A,FALSE,"Structure";#N/A,#N/A,FALSE,"Shares";#N/A,#N/A,FALSE,"Market";#N/A,#N/A,FALSE,"Proj-Cal";#N/A,#N/A,FALSE,"Margins - GrossR&amp;D";#N/A,#N/A,FALSE,"Margins - sg&amp;a";#N/A,#N/A,FALSE,"Margins - Oper-net";#N/A,#N/A,FALSE,"Rev Grwth";#N/A,#N/A,FALSE,"Op Inc Grwth";#N/A,#N/A,FALSE,"Net Grwth";#N/A,#N/A,FALSE,"EPS Growth";#N/A,#N/A,FALSE,"Balance";#N/A,#N/A,FALSE,"TDFX";#N/A,#N/A,FALSE,"CUBE";#N/A,#N/A,FALSE,"TDDDF";#N/A,#N/A,FALSE,"DIMD";#N/A,#N/A,FALSE,"ELNT";#N/A,#N/A,FALSE,"ZRAN";#N/A,#N/A,FALSE,"FDJA";#N/A,#N/A,FALSE,"GNMC"}</definedName>
    <definedName name="wrn3.ALL." localSheetId="12" hidden="1">{#N/A,#N/A,FALSE,"DCF";#N/A,#N/A,FALSE,"WACC";#N/A,#N/A,FALSE,"Sales_EBIT";#N/A,#N/A,FALSE,"Capex_Depreciation";#N/A,#N/A,FALSE,"WC";#N/A,#N/A,FALSE,"Interest";#N/A,#N/A,FALSE,"Assumptions"}</definedName>
    <definedName name="wrna.prod" localSheetId="12" hidden="1">{#N/A,#N/A,FALSE,"1";#N/A,#N/A,FALSE,"2";#N/A,#N/A,FALSE,"16 - 17";#N/A,#N/A,FALSE,"18 - 19";#N/A,#N/A,FALSE,"26";#N/A,#N/A,FALSE,"27";#N/A,#N/A,FALSE,"28"}</definedName>
    <definedName name="wrnc" localSheetId="1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2" localSheetId="1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fy97" localSheetId="12" hidden="1">{#N/A,#N/A,FALSE,"FY97";#N/A,#N/A,FALSE,"FY98";#N/A,#N/A,FALSE,"FY99";#N/A,#N/A,FALSE,"FY00";#N/A,#N/A,FALSE,"FY01"}</definedName>
    <definedName name="wrnrep" localSheetId="12" hidden="1">{"summary",#N/A,FALSE,"3 yr average";"comps",#N/A,FALSE,"3 yr average"}</definedName>
    <definedName name="WRR" localSheetId="12" hidden="1">{#N/A,#N/A,FALSE,"Pharm";#N/A,#N/A,FALSE,"WWCM"}</definedName>
    <definedName name="wrrr" localSheetId="12" hidden="1">{"arpm1995",#N/A,FALSE,"Summary 95-96";"bus_long_distance",#N/A,FALSE,"Summary 95-96";"mins_per_day",#N/A,FALSE,"Summary 95-96";"minutes1995",#N/A,FALSE,"Summary 95-96";"rev_per_day",#N/A,FALSE,"Summary 95-96";"view1995",#N/A,FALSE,"Summary 95-96"}</definedName>
    <definedName name="wrrrrr" localSheetId="12" hidden="1">{#N/A,#N/A,FALSE,"REPORT"}</definedName>
    <definedName name="wt" localSheetId="12" hidden="1">{#N/A,#N/A,FALSE,"FY97";#N/A,#N/A,FALSE,"FY98";#N/A,#N/A,FALSE,"FY99";#N/A,#N/A,FALSE,"FY00";#N/A,#N/A,FALSE,"FY01"}</definedName>
    <definedName name="wtere" localSheetId="12" hidden="1">{"arpm1995",#N/A,FALSE,"Summary 95-96";"bus_long_distance",#N/A,FALSE,"Summary 95-96";"mins_per_day",#N/A,FALSE,"Summary 95-96";"minutes1995",#N/A,FALSE,"Summary 95-96";"rev_per_day",#N/A,FALSE,"Summary 95-96";"view1995",#N/A,FALSE,"Summary 95-96"}</definedName>
    <definedName name="wv" localSheetId="12" hidden="1">{#N/A,#N/A,FALSE,"Pharm";#N/A,#N/A,FALSE,"WWCM"}</definedName>
    <definedName name="wvu.cash." localSheetId="12" hidden="1">{TRUE,TRUE,-1.25,-15.5,456.75,279.75,FALSE,FALSE,TRUE,TRUE,0,1,18,1,199,6,3,4,TRUE,TRUE,3,TRUE,1,TRUE,100,"Swvu.cash.","ACwvu.cash.",1,FALSE,FALSE,0.511811023622047,0.511811023622047,0.511811023622047,0.511811023622047,1,"","",FALSE,FALSE,FALSE,FALSE,1,#N/A,1,1,#DIV/0!,FALSE,"Rwvu.cash.",#N/A,FALSE,FALSE}</definedName>
    <definedName name="wvu.inputs._.raw._.data." localSheetId="1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profits." localSheetId="12" hidden="1">{TRUE,TRUE,-1.25,-15.5,456.75,279.75,FALSE,FALSE,TRUE,TRUE,0,1,21,1,127,6,3,4,TRUE,TRUE,3,TRUE,1,TRUE,100,"Swvu.profits.","ACwvu.profits.",1,FALSE,FALSE,0.511811023622047,0.511811023622047,0.511811023622047,0.511811023622047,1,"","",FALSE,FALSE,FALSE,FALSE,1,#N/A,1,1,#DIV/0!,FALSE,"Rwvu.profits.",#N/A,FALSE,FALSE}</definedName>
    <definedName name="wvu.summary1." localSheetId="1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1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1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1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1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6" localSheetId="1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turnover." localSheetId="12" hidden="1">{TRUE,TRUE,-1.25,-15.5,456.75,279.75,FALSE,FALSE,TRUE,TRUE,0,1,8,1,4,6,3,4,TRUE,TRUE,3,TRUE,1,TRUE,100,"Swvu.turnover.","ACwvu.turnover.",1,FALSE,FALSE,0.511811023622047,0.511811023622047,0.511811023622047,0.511811023622047,1,"","",FALSE,FALSE,FALSE,FALSE,1,#N/A,1,1,#DIV/0!,FALSE,"Rwvu.turnover.",#N/A,FALSE,FALSE}</definedName>
    <definedName name="ww" localSheetId="12" hidden="1">{#N/A,#N/A,FALSE,"Pharm";#N/A,#N/A,FALSE,"WWCM"}</definedName>
    <definedName name="wwewrt" localSheetId="12" hidden="1">{#N/A,#N/A,FALSE,"RESUMEN ECON.";#N/A,#N/A,FALSE,"Costos de R.H.";#N/A,#N/A,FALSE,"COSTO HW";#N/A,#N/A,FALSE,"CUADROS";#N/A,#N/A,FALSE,"SCADA´s";#N/A,#N/A,FALSE,"PRECIOS EQUIPOS"}</definedName>
    <definedName name="www" localSheetId="12" hidden="1">{#N/A,#N/A,TRUE,"BUD VS ACT AUST 96";#N/A,#N/A,TRUE,"96 COMP P&amp;L-AUST";#N/A,#N/A,TRUE,"COMP BS-AUSTRALIA";#N/A,#N/A,TRUE,"B/S - AUSTR."}</definedName>
    <definedName name="www.nuevahoja." localSheetId="12" hidden="1">{#N/A,#N/A,FALSE,"CNS_ADJ";"Balance Consolidado",#N/A,FALSE,"BCEC_CNS";#N/A,#N/A,FALSE,"USGAAP_ADJ"}</definedName>
    <definedName name="wwww" localSheetId="12" hidden="1">{#N/A,#N/A,TRUE,"BUD VS ACT AUST 96";#N/A,#N/A,TRUE,"96 COMP P&amp;L-AUST";#N/A,#N/A,TRUE,"COMP BS-AUSTRALIA";#N/A,#N/A,TRUE,"B/S - AUSTR."}</definedName>
    <definedName name="wx" localSheetId="12" hidden="1">{#N/A,#N/A,FALSE,"Pharm";#N/A,#N/A,FALSE,"WWCM"}</definedName>
    <definedName name="x" localSheetId="12" hidden="1">'[6]Sales 2003'!#REF!</definedName>
    <definedName name="xc" localSheetId="12"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xcv" localSheetId="12" hidden="1">{#N/A,#N/A,FALSE,"Pharm";#N/A,#N/A,FALSE,"WWCM"}</definedName>
    <definedName name="xjey1" localSheetId="12" hidden="1">#REF!</definedName>
    <definedName name="XS" localSheetId="12" hidden="1">{#N/A,#N/A,FALSE,"REV 110 PRNE (Bureau-Frankfurt)";#N/A,#N/A,FALSE,"REV 120 PRNE (Bureau - Paris)"}</definedName>
    <definedName name="xsort2" localSheetId="12" hidden="1">#REF!</definedName>
    <definedName name="xvc" localSheetId="12" hidden="1">{"FCB_ALL",#N/A,FALSE,"FCB"}</definedName>
    <definedName name="xx" localSheetId="12" hidden="1">{#N/A,#N/A,FALSE,"REPORT"}</definedName>
    <definedName name="xxd" localSheetId="12" hidden="1">{#N/A,#N/A,FALSE,"Cashflow Analysis";#N/A,#N/A,FALSE,"Sensitivity Analysis";#N/A,#N/A,FALSE,"PV";#N/A,#N/A,FALSE,"Pro Forma"}</definedName>
    <definedName name="xxd.2" localSheetId="12" hidden="1">{#N/A,#N/A,FALSE,"Cashflow Analysis";#N/A,#N/A,FALSE,"Sensitivity Analysis";#N/A,#N/A,FALSE,"PV";#N/A,#N/A,FALSE,"Pro Forma"}</definedName>
    <definedName name="xxx" localSheetId="12" hidden="1">{#N/A,#N/A,TRUE,"BUD VS ACT AUST 96";#N/A,#N/A,TRUE,"96 COMP P&amp;L-AUST";#N/A,#N/A,TRUE,"COMP BS-AUSTRALIA";#N/A,#N/A,TRUE,"B/S - AUSTR."}</definedName>
    <definedName name="xxxx" localSheetId="12" hidden="1">{"PAGE 1",#N/A,FALSE,"WEST_OT"}</definedName>
    <definedName name="xxxxx" localSheetId="12" hidden="1">{#N/A,#N/A,FALSE,"Pharm";#N/A,#N/A,FALSE,"WWCM"}</definedName>
    <definedName name="xyz" localSheetId="12" hidden="1">{#N/A,#N/A,TRUE,"Total";#N/A,#N/A,TRUE,"U.S. Devl.";#N/A,#N/A,TRUE,"U.S. Headcount"}</definedName>
    <definedName name="y" localSheetId="12" hidden="1">{#N/A,#N/A,FALSE,"Pharm";#N/A,#N/A,FALSE,"WWCM"}</definedName>
    <definedName name="Year1_plan" localSheetId="12">'[19]Capcit plan'!$O$16</definedName>
    <definedName name="Year2_plan" localSheetId="12">'[19]Capcit plan'!$AB$16</definedName>
    <definedName name="yes" localSheetId="12" hidden="1">{#N/A,#N/A,FALSE,"Admin";#N/A,#N/A,FALSE,"Other"}</definedName>
    <definedName name="YGJ" localSheetId="12" hidden="1">{TRUE,TRUE,-1.25,-15.5,604.5,369,FALSE,FALSE,TRUE,TRUE,0,1,83,1,38,4,5,4,TRUE,TRUE,3,TRUE,1,TRUE,75,"Swvu.inputs._.raw._.data.","ACwvu.inputs._.raw._.data.",#N/A,FALSE,FALSE,0.5,0.5,0.5,0.5,2,"&amp;F","&amp;A&amp;RPage &amp;P",FALSE,FALSE,FALSE,FALSE,1,60,#N/A,#N/A,"=R1C61:R53C89","=C1:C5",#N/A,#N/A,FALSE,FALSE,FALSE,1,600,600,FALSE,FALSE,TRUE,TRUE,TRUE}</definedName>
    <definedName name="yq" localSheetId="12" hidden="1">{#N/A,#N/A,FALSE,"CNS_ADJ";"Balance Consolidado",#N/A,FALSE,"BCEC_CNS";#N/A,#N/A,FALSE,"USGAAP_ADJ"}</definedName>
    <definedName name="yrd" localSheetId="12" hidden="1">{"PAGE 1",#N/A,FALSE,"WEST_OT"}</definedName>
    <definedName name="YTY" localSheetId="12" hidden="1">{#N/A,#N/A,FALSE,"TABLE_1 YTD";#N/A,#N/A,FALSE,"TABLE_1A QTD";#N/A,#N/A,FALSE,"NORMAL_SPREAD_QTD";#N/A,#N/A,FALSE,"NORMAL_SPREAD_YTD";#N/A,#N/A,FALSE,"TAX_EQV";#N/A,#N/A,FALSE,"TAX EQUIV_INPUT";#N/A,#N/A,FALSE,"NET FROM FER";#N/A,#N/A,FALSE,"COVER"}</definedName>
    <definedName name="yy" localSheetId="12" hidden="1">{#N/A,#N/A,FALSE,"COVER";#N/A,#N/A,FALSE,"Index";#N/A,#N/A,FALSE,"Summ_Products_Rec.97-98";#N/A,#N/A,FALSE,"QTR_Comp.";#N/A,#N/A,FALSE,"Summ_Detail_Rec.97-98";#N/A,#N/A,FALSE,"Summ_Agencies_Rec.97-98"}</definedName>
    <definedName name="yyy" localSheetId="12" hidden="1">{#N/A,#N/A,FALSE,"Other";#N/A,#N/A,FALSE,"Ace";#N/A,#N/A,FALSE,"Derm"}</definedName>
    <definedName name="z" localSheetId="12" hidden="1">{"CSheet",#N/A,FALSE,"C";"SmCap",#N/A,FALSE,"VAL1";"GulfCoast",#N/A,FALSE,"VAL1";"nav",#N/A,FALSE,"NAV";"Summary",#N/A,FALSE,"NAV"}</definedName>
    <definedName name="Z_24BF9755_66DA_11D4_A31E_00C0F0154575_.wvu.PrintArea" localSheetId="12" hidden="1">#REF!</definedName>
    <definedName name="Z_24BF9755_66DA_11D4_A31E_00C0F0154575_.wvu.PrintTitles" localSheetId="12" hidden="1">#REF!</definedName>
    <definedName name="Z_4FA7459B_7D59_11D3_B819_444553540000_.wvu.Cols" localSheetId="12" hidden="1">[62]Cover!$H$1:$S$65536,[62]Cover!$AD$1:$AO$65536</definedName>
    <definedName name="Z_4FA7459B_7D59_11D3_B819_444553540000_.wvu.Rows" localSheetId="12" hidden="1">[62]Cover!#REF!</definedName>
    <definedName name="Z_603CDB61_4585_11D3_9E2C_00105AA4333D_.wvu.PrintArea" localSheetId="12" hidden="1">'[63]key indic.'!$A$1:$G$26</definedName>
    <definedName name="Z_603CDB63_4585_11D3_9E2C_00105AA4333D_.wvu.PrintArea" localSheetId="12" hidden="1">'[63]key indic.'!$A$1:$G$26</definedName>
    <definedName name="Z_603CDB64_4585_11D3_9E2C_00105AA4333D_.wvu.PrintArea" localSheetId="12" hidden="1">'[63]key indic.'!$A$1:$G$26</definedName>
    <definedName name="Z_603CDB66_4585_11D3_9E2C_00105AA4333D_.wvu.PrintArea" localSheetId="12" hidden="1">'[63]key indic.'!$A$1:$G$26</definedName>
    <definedName name="Z_6DFA7DCF_3C08_11D1_BDBE_0020AF42250B_.wvu.PrintArea" localSheetId="12" hidden="1">#REF!</definedName>
    <definedName name="Z_6DFA7DCF_3C08_11D1_BDBE_0020AF42250B_.wvu.PrintTitles" localSheetId="12" hidden="1">#REF!</definedName>
    <definedName name="Z_6DFA7DD9_3C08_11D1_BDBE_0020AF42250B_.wvu.PrintTitles" localSheetId="12" hidden="1">#REF!</definedName>
    <definedName name="Z_6DFA7DDA_3C08_11D1_BDBE_0020AF42250B_.wvu.PrintArea" localSheetId="12" hidden="1">#REF!</definedName>
    <definedName name="Z_6DFA7DDA_3C08_11D1_BDBE_0020AF42250B_.wvu.PrintTitles" localSheetId="12" hidden="1">#REF!</definedName>
    <definedName name="Z_6DFA7DDC_3C08_11D1_BDBE_0020AF42250B_.wvu.PrintArea" localSheetId="12" hidden="1">#REF!</definedName>
    <definedName name="Z_6DFA7DDC_3C08_11D1_BDBE_0020AF42250B_.wvu.PrintTitles" localSheetId="12" hidden="1">#REF!</definedName>
    <definedName name="Z_6DFA7DDD_3C08_11D1_BDBE_0020AF42250B_.wvu.PrintArea" localSheetId="12" hidden="1">#REF!</definedName>
    <definedName name="Z_6DFA7DDD_3C08_11D1_BDBE_0020AF42250B_.wvu.PrintTitles" localSheetId="12" hidden="1">#REF!</definedName>
    <definedName name="Z_6DFA7DDE_3C08_11D1_BDBE_0020AF42250B_.wvu.PrintArea" localSheetId="12" hidden="1">#REF!</definedName>
    <definedName name="Z_6DFA7DDE_3C08_11D1_BDBE_0020AF42250B_.wvu.PrintTitles" localSheetId="12" hidden="1">#REF!</definedName>
    <definedName name="Z_6DFA7DDF_3C08_11D1_BDBE_0020AF42250B_.wvu.PrintArea" localSheetId="12" hidden="1">#REF!</definedName>
    <definedName name="Z_6DFA7DDF_3C08_11D1_BDBE_0020AF42250B_.wvu.PrintTitles" localSheetId="12" hidden="1">#REF!</definedName>
    <definedName name="Z_6DFA7DE0_3C08_11D1_BDBE_0020AF42250B_.wvu.PrintArea" localSheetId="12" hidden="1">#REF!</definedName>
    <definedName name="Z_6DFA7DE0_3C08_11D1_BDBE_0020AF42250B_.wvu.PrintTitles" localSheetId="12" hidden="1">#REF!</definedName>
    <definedName name="Z_6DFA7DE5_3C08_11D1_BDBE_0020AF42250B_.wvu.PrintTitles" localSheetId="12" hidden="1">#REF!</definedName>
    <definedName name="Z_6DFA7DE6_3C08_11D1_BDBE_0020AF42250B_.wvu.PrintArea" localSheetId="12" hidden="1">#REF!</definedName>
    <definedName name="Z_6DFA7DE6_3C08_11D1_BDBE_0020AF42250B_.wvu.PrintTitles" localSheetId="12" hidden="1">#REF!</definedName>
    <definedName name="Z_702CE201_67EF_11D2_8E81_00104BCAECA1_.wvu.PrintTitles" localSheetId="12" hidden="1">#REF!,#REF!</definedName>
    <definedName name="Z_870DA93B_C7EC_11D1_935A_00A0C95F1362_.wvu.PrintArea" localSheetId="12" hidden="1">#REF!</definedName>
    <definedName name="Z_995DB91B_DC87_11D2_BCA9_00C04F8BBE86_.wvu.PrintArea" localSheetId="12" hidden="1">#REF!</definedName>
    <definedName name="Z_995DB91E_DC87_11D2_BCA9_00C04F8BBE86_.wvu.PrintArea" localSheetId="12" hidden="1">#REF!</definedName>
    <definedName name="Z_995DB91F_DC87_11D2_BCA9_00C04F8BBE86_.wvu.PrintArea" localSheetId="12" hidden="1">#REF!</definedName>
    <definedName name="Z_9AB6DE14_D22E_11D2_A1DB_00105AA4333D_.wvu.PrintArea" localSheetId="12" hidden="1">'[63]key indic.'!$A$1:$G$26</definedName>
    <definedName name="Z_9AB6DE16_D22E_11D2_A1DB_00105AA4333D_.wvu.PrintArea" localSheetId="12" hidden="1">'[63]key indic.'!$A$1:$G$26</definedName>
    <definedName name="Z_9AB6DE17_D22E_11D2_A1DB_00105AA4333D_.wvu.PrintArea" localSheetId="12" hidden="1">'[63]key indic.'!$A$1:$G$26</definedName>
    <definedName name="Z_9AB6DE19_D22E_11D2_A1DB_00105AA4333D_.wvu.PrintArea" localSheetId="12" hidden="1">'[63]key indic.'!$A$1:$G$26</definedName>
    <definedName name="Z_9AB6DE4D_D22E_11D2_A1DB_00105AA4333D_.wvu.PrintArea" localSheetId="12" hidden="1">'[63]key indic.'!$A$1:$G$26</definedName>
    <definedName name="Z_9AB6DE4F_D22E_11D2_A1DB_00105AA4333D_.wvu.PrintArea" localSheetId="12" hidden="1">'[63]key indic.'!$A$1:$G$26</definedName>
    <definedName name="Z_9AB6DE50_D22E_11D2_A1DB_00105AA4333D_.wvu.PrintArea" localSheetId="12" hidden="1">'[63]key indic.'!$A$1:$G$26</definedName>
    <definedName name="Z_9AB6DE52_D22E_11D2_A1DB_00105AA4333D_.wvu.PrintArea" localSheetId="12" hidden="1">'[63]key indic.'!$A$1:$G$26</definedName>
    <definedName name="Z_B21BDB45_3C17_11D2_913A_00A024D72BFF_.wvu.PrintArea" localSheetId="12" hidden="1">#REF!</definedName>
    <definedName name="Z_B21BDB45_3C17_11D2_913A_00A024D72BFF_.wvu.PrintTitles" localSheetId="12" hidden="1">#REF!,#REF!</definedName>
    <definedName name="Z_B21BDB46_3C17_11D2_913A_00A024D72BFF_.wvu.PrintArea" localSheetId="12" hidden="1">#REF!</definedName>
    <definedName name="Z_B21BDB46_3C17_11D2_913A_00A024D72BFF_.wvu.PrintTitles" localSheetId="12" hidden="1">#REF!,#REF!</definedName>
    <definedName name="Z_B21BDBC3_3C17_11D2_913A_00A024D72BFF_.wvu.PrintArea" localSheetId="12" hidden="1">#REF!</definedName>
    <definedName name="Z_B21BDBC3_3C17_11D2_913A_00A024D72BFF_.wvu.PrintTitles" localSheetId="12" hidden="1">#REF!,#REF!</definedName>
    <definedName name="Z_B21BDBC4_3C17_11D2_913A_00A024D72BFF_.wvu.PrintArea" localSheetId="12" hidden="1">#REF!</definedName>
    <definedName name="Z_B21BDBC4_3C17_11D2_913A_00A024D72BFF_.wvu.PrintTitles" localSheetId="12" hidden="1">#REF!,#REF!</definedName>
    <definedName name="Z_C229C740_74EF_11D3_8C05_00105AA43A7F_.wvu.Cols" localSheetId="12" hidden="1">#REF!</definedName>
    <definedName name="Z_C229C740_74EF_11D3_8C05_00105AA43A7F_.wvu.PrintArea" localSheetId="12" hidden="1">#REF!</definedName>
    <definedName name="Z_C229C740_74EF_11D3_8C05_00105AA43A7F_.wvu.PrintTitles" localSheetId="12" hidden="1">#REF!,#REF!</definedName>
    <definedName name="Z_C229C740_74EF_11D3_8C05_00105AA43A7F_.wvu.Rows" localSheetId="12" hidden="1">#REF!,#REF!,#REF!,#REF!,#REF!,#REF!,#REF!,#REF!,#REF!,#REF!,#REF!,#REF!,#REF!,#REF!,#REF!,#REF!,#REF!,#REF!,#REF!,#REF!,#REF!,#REF!,#REF!,#REF!,#REF!,#REF!,#REF!,#REF!,#REF!,#REF!,#REF!,#REF!,#REF!,#REF!,#REF!,#REF!,#REF!,#REF!,#REF!,#REF!,#REF!,#REF!,#REF!,#REF!,#REF!,#REF!,#REF!,#REF!,#REF!,#REF!,#REF!,#REF!,#REF!,#REF!</definedName>
    <definedName name="Z_D774FBF2_C14B_4E8C_A09D_6327FECC4D99_.wvu.Cols" localSheetId="12" hidden="1">#REF!</definedName>
    <definedName name="zaq" localSheetId="12" hidden="1">{#N/A,#N/A,FALSE,"Calc";#N/A,#N/A,FALSE,"Sensitivity";#N/A,#N/A,FALSE,"LT Earn.Dil.";#N/A,#N/A,FALSE,"Dil. AVP"}</definedName>
    <definedName name="zb" localSheetId="12" hidden="1">{#N/A,#N/A,FALSE,"Sheet1";#N/A,#N/A,FALSE,"Sheet2";#N/A,#N/A,FALSE,"Sheet3";#N/A,#N/A,FALSE,"Sheet4";#N/A,#N/A,FALSE,"Sheet5";#N/A,#N/A,FALSE,"Sheet6"}</definedName>
    <definedName name="zbt" localSheetId="1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dfgxzdfg" localSheetId="12" hidden="1">{"ReportTop",#N/A,FALSE,"report top"}</definedName>
    <definedName name="zer" localSheetId="12" hidden="1">{#N/A,#N/A,FALSE,"Calc";#N/A,#N/A,FALSE,"Sensitivity";#N/A,#N/A,FALSE,"LT Earn.Dil.";#N/A,#N/A,FALSE,"Dil. AVP"}</definedName>
    <definedName name="zhu" localSheetId="12" hidden="1">{#N/A,#N/A,FALSE,"REPORT"}</definedName>
    <definedName name="zhutr" localSheetId="12" hidden="1">{#N/A,#N/A,FALSE,"REPORT"}</definedName>
    <definedName name="zs" localSheetId="12" hidden="1">{"FCB_ALL",#N/A,FALSE,"FCB"}</definedName>
    <definedName name="zsdas" localSheetId="12" hidden="1">{"FCB_ALL",#N/A,FALSE,"FCB"}</definedName>
    <definedName name="ZSZ" localSheetId="12"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xczz" localSheetId="12" hidden="1">{"FCB_ALL",#N/A,FALSE,"FCB"}</definedName>
    <definedName name="zxxx" localSheetId="12" hidden="1">{"arpm1995",#N/A,FALSE,"Summary 95-96";"bus_long_distance",#N/A,FALSE,"Summary 95-96";"mins_per_day",#N/A,FALSE,"Summary 95-96";"minutes1995",#N/A,FALSE,"Summary 95-96";"rev_per_day",#N/A,FALSE,"Summary 95-96";"view1995",#N/A,FALSE,"Summary 95-96"}</definedName>
    <definedName name="zxxx_1" localSheetId="12" hidden="1">{"arpm1995",#N/A,FALSE,"Summary 95-96";"bus_long_distance",#N/A,FALSE,"Summary 95-96";"mins_per_day",#N/A,FALSE,"Summary 95-96";"minutes1995",#N/A,FALSE,"Summary 95-96";"rev_per_day",#N/A,FALSE,"Summary 95-96";"view1995",#N/A,FALSE,"Summary 95-96"}</definedName>
    <definedName name="zy" localSheetId="12" hidden="1">{#N/A,#N/A,TRUE,"BUD VS ACT AUST 96";#N/A,#N/A,TRUE,"96 COMP P&amp;L-AUST";#N/A,#N/A,TRUE,"COMP BS-AUSTRALIA";#N/A,#N/A,TRUE,"B/S - AUSTR."}</definedName>
    <definedName name="zza4pg" localSheetId="12" hidden="1">{#N/A,#N/A,FALSE,"REPORT"}</definedName>
    <definedName name="zzee" localSheetId="12" hidden="1">{#N/A,#N/A,FALSE,"Pharm";#N/A,#N/A,FALSE,"WWCM"}</definedName>
    <definedName name="zzzz" localSheetId="12" hidden="1">{#N/A,#N/A,FALSE,"COMP BS-FRANCE";#N/A,#N/A,FALSE,"96 COMP P&amp;L-FRANCE";#N/A,#N/A,FALSE,"BUD VS ACT FRAN 96";#N/A,#N/A,FALSE,"B/S - FRANCE"}</definedName>
    <definedName name="zzzzz" localSheetId="12" hidden="1">{#N/A,#N/A,FALSE,"REPORT"}</definedName>
    <definedName name="고" localSheetId="12" hidden="1">{#N/A,#N/A,FALSE,"REPORT"}</definedName>
    <definedName name="ㄶㅇ노ㅗㄶ호" localSheetId="12" hidden="1">{#N/A,#N/A,FALSE,"REPORT"}</definedName>
    <definedName name="미애" localSheetId="12" hidden="1">{#N/A,#N/A,FALSE,"REPORT"}</definedName>
    <definedName name="_xlnm.Print_Area" localSheetId="12">'EBITDA Adjustments 2026'!$B$3:$T$93</definedName>
    <definedName name="_xlnm.Print_Area" localSheetId="13">'ToC'!$B$1:$J$27</definedName>
    <definedName name="Beginning_Balance" localSheetId="14">-FV(Interest_Rate/12,#REF!-1,-#REF!,[0]!Loan_Amount)</definedName>
    <definedName name="Loan_Not_Paid" localSheetId="14">IF(#REF!&lt;='Cap Table (Mar 2026)'!Number_of_Payments,1,0)</definedName>
    <definedName name="LOCAL_MYSQL_DATE_FORMAT" localSheetId="1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onthly_Payment" localSheetId="14">-PMT(Interest_Rate/12,'Cap Table (Mar 2026)'!Number_of_Payments,[0]!Loan_Amount)</definedName>
    <definedName name="Number_of_Payments" localSheetId="14">MATCH(0.01,End_Bal,-1)+1</definedName>
    <definedName name="Payment_Date" localSheetId="14">DATE(YEAR(Loan_Start),MONTH(Loan_Start)+#REF!,DAY(Loan_Start))</definedName>
    <definedName name="Payment_Number" localSheetId="14">ROW()-Header_Row</definedName>
    <definedName name="Print_Area_Reset" localSheetId="14">OFFSET(Full_Print,0,0,[0]!Last_Row)</definedName>
    <definedName name="test" localSheetId="14">Scheduled_Payment+Extra_Payment</definedName>
    <definedName name="test2" localSheetId="14">Scheduled_Payment+Extra_Payment</definedName>
    <definedName name="Total_Payment" localSheetId="14">Scheduled_Payment+Extra_Payment</definedName>
    <definedName name="Values_Entered" localSheetId="14">IF([0]!Loan_Amount*Interest_Rate*Loan_Years*Loan_Start&gt;0,1,0)</definedName>
    <definedName name="_xlnm.Print_Area" localSheetId="14">'Cap Table (Mar 2026)'!$B$1:$K$46</definedName>
    <definedName name="Beginning_Balance" localSheetId="15">-FV(Interest_Rate/12,#REF!-1,-#REF!,[0]!Loan_Amount)</definedName>
    <definedName name="Loan_Not_Paid" localSheetId="15">IF(#REF!&lt;='Cap Table (Dec 2025)'!Number_of_Payments,1,0)</definedName>
    <definedName name="LOCAL_MYSQL_DATE_FORMAT" localSheetId="1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onthly_Payment" localSheetId="15">-PMT(Interest_Rate/12,'Cap Table (Dec 2025)'!Number_of_Payments,[0]!Loan_Amount)</definedName>
    <definedName name="Number_of_Payments" localSheetId="15">MATCH(0.01,End_Bal,-1)+1</definedName>
    <definedName name="Payment_Date" localSheetId="15">DATE(YEAR(Loan_Start),MONTH(Loan_Start)+#REF!,DAY(Loan_Start))</definedName>
    <definedName name="Payment_Number" localSheetId="15">ROW()-Header_Row</definedName>
    <definedName name="Print_Area_Reset" localSheetId="15">OFFSET(Full_Print,0,0,[0]!Last_Row)</definedName>
    <definedName name="test" localSheetId="15">Scheduled_Payment+Extra_Payment</definedName>
    <definedName name="test2" localSheetId="15">Scheduled_Payment+Extra_Payment</definedName>
    <definedName name="Total_Payment" localSheetId="15">Scheduled_Payment+Extra_Payment</definedName>
    <definedName name="Values_Entered" localSheetId="15">IF([0]!Loan_Amount*Interest_Rate*Loan_Years*Loan_Start&gt;0,1,0)</definedName>
    <definedName name="_xlnm.Print_Area" localSheetId="15">'Cap Table (Dec 2025)'!$B$1:$K$46</definedName>
    <definedName name="Beginning_Balance" localSheetId="16">-FV(Interest_Rate/12,#REF!-1,-#REF!,[0]!Loan_Amount)</definedName>
    <definedName name="Loan_Not_Paid" localSheetId="16">IF(#REF!&lt;='Cap Table (Dec 2024)'!Number_of_Payments,1,0)</definedName>
    <definedName name="LOCAL_MYSQL_DATE_FORMAT" localSheetId="1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onthly_Payment" localSheetId="16">-PMT(Interest_Rate/12,'Cap Table (Dec 2024)'!Number_of_Payments,[0]!Loan_Amount)</definedName>
    <definedName name="Number_of_Payments" localSheetId="16">MATCH(0.01,End_Bal,-1)+1</definedName>
    <definedName name="Payment_Date" localSheetId="16">DATE(YEAR(Loan_Start),MONTH(Loan_Start)+#REF!,DAY(Loan_Start))</definedName>
    <definedName name="Payment_Number" localSheetId="16">ROW()-Header_Row</definedName>
    <definedName name="Print_Area_Reset" localSheetId="16">OFFSET(Full_Print,0,0,[0]!Last_Row)</definedName>
    <definedName name="test" localSheetId="16">Scheduled_Payment+Extra_Payment</definedName>
    <definedName name="test2" localSheetId="16">Scheduled_Payment+Extra_Payment</definedName>
    <definedName name="Total_Payment" localSheetId="16">Scheduled_Payment+Extra_Payment</definedName>
    <definedName name="Values_Entered" localSheetId="16">IF([0]!Loan_Amount*Interest_Rate*Loan_Years*Loan_Start&gt;0,1,0)</definedName>
    <definedName name="_xlnm.Print_Area" localSheetId="16">'Cap Table (Dec 2024)'!$B$1:$K$46</definedName>
    <definedName name="Beginning_Balance" localSheetId="17">-FV(Interest_Rate/12,#REF!-1,-#REF!,[0]!Loan_Amount)</definedName>
    <definedName name="Loan_Not_Paid" localSheetId="17">IF(#REF!&lt;='IRR Calculation (Mar 2026)'!Number_of_Payments,1,0)</definedName>
    <definedName name="LOCAL_MYSQL_DATE_FORMAT" localSheetId="1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onthly_Payment" localSheetId="17">-PMT(Interest_Rate/12,'IRR Calculation (Mar 2026)'!Number_of_Payments,[0]!Loan_Amount)</definedName>
    <definedName name="Number_of_Payments" localSheetId="17">MATCH(0.01,End_Bal,-1)+1</definedName>
    <definedName name="Payment_Date" localSheetId="17">DATE(YEAR(Loan_Start),MONTH(Loan_Start)+#REF!,DAY(Loan_Start))</definedName>
    <definedName name="Payment_Number" localSheetId="17">ROW()-Header_Row</definedName>
    <definedName name="Print_Area_Reset" localSheetId="17">OFFSET(Full_Print,0,0,[0]!Last_Row)</definedName>
    <definedName name="test" localSheetId="17">Scheduled_Payment+Extra_Payment</definedName>
    <definedName name="test2" localSheetId="17">Scheduled_Payment+Extra_Payment</definedName>
    <definedName name="Total_Payment" localSheetId="17">Scheduled_Payment+Extra_Payment</definedName>
    <definedName name="Values_Entered" localSheetId="17">IF([0]!Loan_Amount*Interest_Rate*Loan_Years*Loan_Start&gt;0,1,0)</definedName>
    <definedName name="_xlnm.Print_Area" localSheetId="17">'IRR Calculation (Mar 2026)'!$B$1:$L$30</definedName>
    <definedName name="Beginning_Balance" localSheetId="18">-FV(Interest_Rate/12,#REF!-1,-#REF!,[0]!Loan_Amount)</definedName>
    <definedName name="Loan_Not_Paid" localSheetId="18">IF(#REF!&lt;='IRR Calculation (Dec 2025)'!Number_of_Payments,1,0)</definedName>
    <definedName name="LOCAL_MYSQL_DATE_FORMAT" localSheetId="1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onthly_Payment" localSheetId="18">-PMT(Interest_Rate/12,'IRR Calculation (Dec 2025)'!Number_of_Payments,[0]!Loan_Amount)</definedName>
    <definedName name="Number_of_Payments" localSheetId="18">MATCH(0.01,End_Bal,-1)+1</definedName>
    <definedName name="Payment_Date" localSheetId="18">DATE(YEAR(Loan_Start),MONTH(Loan_Start)+#REF!,DAY(Loan_Start))</definedName>
    <definedName name="Payment_Number" localSheetId="18">ROW()-Header_Row</definedName>
    <definedName name="Print_Area_Reset" localSheetId="18">OFFSET(Full_Print,0,0,[0]!Last_Row)</definedName>
    <definedName name="test" localSheetId="18">Scheduled_Payment+Extra_Payment</definedName>
    <definedName name="test2" localSheetId="18">Scheduled_Payment+Extra_Payment</definedName>
    <definedName name="Total_Payment" localSheetId="18">Scheduled_Payment+Extra_Payment</definedName>
    <definedName name="Values_Entered" localSheetId="18">IF([0]!Loan_Amount*Interest_Rate*Loan_Years*Loan_Start&gt;0,1,0)</definedName>
    <definedName name="_xlnm.Print_Area" localSheetId="18">'IRR Calculation (Dec 2025)'!$B$1:$L$30</definedName>
    <definedName name="Beginning_Balance" localSheetId="19">-FV(Interest_Rate/12,#REF!-1,-#REF!,[0]!Loan_Amount)</definedName>
    <definedName name="Loan_Not_Paid" localSheetId="19">IF(#REF!&lt;='IRR Calculation (Dec 2024)'!Number_of_Payments,1,0)</definedName>
    <definedName name="LOCAL_MYSQL_DATE_FORMAT" localSheetId="1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onthly_Payment" localSheetId="19">-PMT(Interest_Rate/12,'IRR Calculation (Dec 2024)'!Number_of_Payments,[0]!Loan_Amount)</definedName>
    <definedName name="Number_of_Payments" localSheetId="19">MATCH(0.01,End_Bal,-1)+1</definedName>
    <definedName name="Payment_Date" localSheetId="19">DATE(YEAR(Loan_Start),MONTH(Loan_Start)+#REF!,DAY(Loan_Start))</definedName>
    <definedName name="Payment_Number" localSheetId="19">ROW()-Header_Row</definedName>
    <definedName name="Print_Area_Reset" localSheetId="19">OFFSET(Full_Print,0,0,[0]!Last_Row)</definedName>
    <definedName name="test" localSheetId="19">Scheduled_Payment+Extra_Payment</definedName>
    <definedName name="test2" localSheetId="19">Scheduled_Payment+Extra_Payment</definedName>
    <definedName name="Total_Payment" localSheetId="19">Scheduled_Payment+Extra_Payment</definedName>
    <definedName name="Values_Entered" localSheetId="19">IF([0]!Loan_Amount*Interest_Rate*Loan_Years*Loan_Start&gt;0,1,0)</definedName>
    <definedName name="_xlnm.Print_Area" localSheetId="19">'IRR Calculation (Dec 2024)'!$B$1:$L$30</definedName>
    <definedName name="_xlnm.Print_Area" localSheetId="20">'Financial Summary'!$B$1:$O$62</definedName>
  </definedNames>
  <calcPr calcId="191029" calcMode="auto" fullCalcOnLoad="1" iterate="1" forceFullCalc="1"/>
</workbook>
</file>

<file path=xl/styles.xml><?xml version="1.0" encoding="utf-8"?>
<styleSheet xmlns="http://schemas.openxmlformats.org/spreadsheetml/2006/main">
  <numFmts count="45">
    <numFmt numFmtId="164" formatCode="[$-409]mmmm\ d\,\ yyyy;@"/>
    <numFmt numFmtId="165" formatCode="[$-409]d\-mmm\-yy;@"/>
    <numFmt numFmtId="166" formatCode="&quot;$&quot;#,##0"/>
    <numFmt numFmtId="167" formatCode="&quot;$&quot;#,##0_);[Red]\(&quot;$&quot;#,##0\)"/>
    <numFmt numFmtId="168" formatCode="0.00\x"/>
    <numFmt numFmtId="169" formatCode="_(#,##0.0%_);\(#,##0.0%\);_(&quot;–&quot;_)_%;_(@_)_%"/>
    <numFmt numFmtId="170" formatCode="_([$$]#,##0_)_%;\([$$]#,##0\)_%;_(&quot;–&quot;_)_%;_(@_)_%"/>
    <numFmt numFmtId="171" formatCode="_(0.0\x_)_)_';_(\(0.0\x\)_'_';_(&quot;–&quot;_)_%;_(@_)_%"/>
    <numFmt numFmtId="172" formatCode="m/d/yy;@"/>
    <numFmt numFmtId="173" formatCode="_(* #,##0.0_);_(* \(#,##0.0\);_(* &quot;-&quot;?_);_(@_)"/>
    <numFmt numFmtId="174" formatCode="[$$]#,##0;\([$$]#,##0\);&quot;–&quot;;@"/>
    <numFmt numFmtId="175" formatCode="#,##0.0_);\(#,##0.0\);_(\ &quot;---&quot;?"/>
    <numFmt numFmtId="176" formatCode="#,##0.0"/>
    <numFmt numFmtId="177" formatCode="0.0\x"/>
    <numFmt numFmtId="178" formatCode="0.0%"/>
    <numFmt numFmtId="179" formatCode="_(&quot;$&quot;* #,##0_);_(&quot;$&quot;* \(#,##0\);_(&quot;$&quot;* &quot;-&quot;??_);_(@_)"/>
    <numFmt numFmtId="180" formatCode="_(0.00\x_)_)_';_(\(0.00\x\)_'_';_(&quot;–&quot;_)_%;_(@_)_%"/>
    <numFmt numFmtId="181" formatCode="_(&quot;$&quot;* #,##0.00_);_(&quot;$&quot;* \(#,##0.00\);_(&quot;$&quot;* &quot;-&quot;??_);_(@_)"/>
    <numFmt numFmtId="182" formatCode="_(* #,##0_);_(* \(#,##0\);_(* &quot;-&quot;??_);_(@_)"/>
    <numFmt numFmtId="183" formatCode="&quot;$&quot;#,##0.000"/>
    <numFmt numFmtId="184" formatCode="0.00000000000000"/>
    <numFmt numFmtId="185" formatCode="mmm\ d\,\ yyyy"/>
    <numFmt numFmtId="186" formatCode="&quot;$&quot;#,##0.00_);[Red]\(&quot;$&quot;#,##0.00\)"/>
    <numFmt numFmtId="187" formatCode="&quot;$&quot;#.#&quot;M Common Shares&quot;"/>
    <numFmt numFmtId="188" formatCode="&quot;$&quot;#.#,,&quot;M&quot;"/>
    <numFmt numFmtId="189" formatCode="[$£-809]#,##0"/>
    <numFmt numFmtId="190" formatCode="#,##0.00\x;[Red]\(0.00\x\)"/>
    <numFmt numFmtId="191" formatCode="mmm\ yy"/>
    <numFmt numFmtId="192" formatCode="_([$$]#,##0.00_)_%;\([$$]#,##0.00\)_%;_(&quot;–&quot;_)_%;_(@_)_%"/>
    <numFmt numFmtId="193" formatCode="\ ##,###\ &quot;Common Shares&quot;"/>
    <numFmt numFmtId="194" formatCode="[$$-380A]#,##0.0&quot;M&quot;"/>
    <numFmt numFmtId="195" formatCode="[$-409]mmm\-yy;@"/>
    <numFmt numFmtId="196" formatCode="_(#,##0_)_%;\(#,##0\)_%;_(&quot;–&quot;_)_%;_(@_)_%"/>
    <numFmt numFmtId="197" formatCode="&quot;$&quot;#,##0_);\(&quot;$&quot;#,##0\)"/>
    <numFmt numFmtId="198" formatCode="0.0%;\(0.0%\);&quot;-&quot;"/>
    <numFmt numFmtId="199" formatCode="&quot;$&quot;#,##0.00"/>
    <numFmt numFmtId="200" formatCode="0.000000"/>
    <numFmt numFmtId="201" formatCode="#.##,,"/>
    <numFmt numFmtId="202" formatCode="0.##,,"/>
    <numFmt numFmtId="203" formatCode="[$$]#,##0.00;\([$$]#,##0.00\);&quot;–&quot;;@"/>
    <numFmt numFmtId="204" formatCode="[$$-380A]\ #,##0.00;\-[$$-380A]\ #,##0.00"/>
    <numFmt numFmtId="205" formatCode="0.00,,"/>
    <numFmt numFmtId="206" formatCode="[$$-380A]\ #,##0.00"/>
    <numFmt numFmtId="207" formatCode="mmmm\ dd\,\ yyyy"/>
    <numFmt numFmtId="208" formatCode="yyyy-mm-dd h:mm:ss"/>
  </numFmts>
  <fonts count="114">
    <font>
      <name val="Calibri"/>
      <family val="2"/>
      <color theme="1"/>
      <sz val="11"/>
      <scheme val="minor"/>
    </font>
    <font>
      <name val="Calibri"/>
      <family val="2"/>
      <color theme="1"/>
      <sz val="11"/>
      <scheme val="minor"/>
    </font>
    <font>
      <name val="Arial"/>
      <family val="2"/>
      <color theme="1"/>
      <sz val="10"/>
    </font>
    <font>
      <name val="Calibri"/>
      <family val="2"/>
      <color theme="1"/>
      <sz val="10"/>
    </font>
    <font>
      <name val="Arial"/>
      <family val="2"/>
      <sz val="10"/>
    </font>
    <font>
      <name val="Times New Roman"/>
      <family val="1"/>
      <sz val="10"/>
    </font>
    <font>
      <name val="Calibri"/>
      <family val="2"/>
      <b val="1"/>
      <color theme="0"/>
      <sz val="11"/>
      <scheme val="minor"/>
    </font>
    <font>
      <name val="Calibri"/>
      <family val="2"/>
      <color rgb="FFFF0000"/>
      <sz val="11"/>
      <scheme val="minor"/>
    </font>
    <font>
      <name val="Calibri"/>
      <family val="2"/>
      <b val="1"/>
      <color theme="1"/>
      <sz val="11"/>
      <scheme val="minor"/>
    </font>
    <font>
      <name val="Calibri"/>
      <family val="2"/>
      <sz val="10"/>
      <scheme val="minor"/>
    </font>
    <font>
      <name val="Calibri"/>
      <family val="2"/>
      <color rgb="FF0000FF"/>
      <sz val="10"/>
      <scheme val="minor"/>
    </font>
    <font>
      <name val="Calibri"/>
      <family val="2"/>
      <color indexed="12"/>
      <sz val="10"/>
      <scheme val="minor"/>
    </font>
    <font>
      <name val="Calibri"/>
      <family val="2"/>
      <i val="1"/>
      <sz val="12"/>
      <scheme val="minor"/>
    </font>
    <font>
      <name val="Calibri"/>
      <family val="2"/>
      <i val="1"/>
      <sz val="10"/>
      <scheme val="minor"/>
    </font>
    <font>
      <name val="Calibri"/>
      <family val="2"/>
      <sz val="20"/>
      <scheme val="minor"/>
    </font>
    <font>
      <name val="Calibri"/>
      <family val="2"/>
      <sz val="16"/>
      <scheme val="minor"/>
    </font>
    <font>
      <name val="Calibri"/>
      <family val="2"/>
      <b val="1"/>
      <sz val="10"/>
      <scheme val="minor"/>
    </font>
    <font>
      <name val="Calibri"/>
      <family val="2"/>
      <color theme="1"/>
      <sz val="10"/>
      <scheme val="minor"/>
    </font>
    <font>
      <name val="Calibri"/>
      <family val="2"/>
      <sz val="11"/>
      <scheme val="minor"/>
    </font>
    <font>
      <name val="Calibri"/>
      <family val="2"/>
      <b val="1"/>
      <color rgb="FF000000"/>
      <sz val="11"/>
      <scheme val="minor"/>
    </font>
    <font>
      <name val="Calibri"/>
      <family val="2"/>
      <b val="1"/>
      <sz val="11"/>
      <scheme val="minor"/>
    </font>
    <font>
      <name val="Calibri"/>
      <family val="2"/>
      <color rgb="FF0000FF"/>
      <sz val="11"/>
      <scheme val="minor"/>
    </font>
    <font>
      <name val="Calibri"/>
      <family val="2"/>
      <b val="1"/>
      <color theme="0"/>
      <sz val="11"/>
      <u val="singleAccounting"/>
      <scheme val="minor"/>
    </font>
    <font>
      <name val="Calibri"/>
      <family val="2"/>
      <b val="1"/>
      <i val="1"/>
      <color rgb="FFC00000"/>
      <sz val="11"/>
      <scheme val="minor"/>
    </font>
    <font>
      <name val="Calibri"/>
      <family val="2"/>
      <i val="1"/>
      <color theme="1"/>
      <sz val="11"/>
      <scheme val="minor"/>
    </font>
    <font>
      <name val="Calibri"/>
      <family val="2"/>
      <color rgb="FF000000"/>
      <sz val="11"/>
      <scheme val="minor"/>
    </font>
    <font>
      <name val="Calibri"/>
      <family val="2"/>
      <i val="1"/>
      <color rgb="FF000000"/>
      <sz val="11"/>
      <scheme val="minor"/>
    </font>
    <font>
      <name val="Calibri"/>
      <family val="2"/>
      <i val="1"/>
      <color rgb="FF000000"/>
      <sz val="11"/>
      <vertAlign val="superscript"/>
      <scheme val="minor"/>
    </font>
    <font>
      <name val="Calibri"/>
      <family val="2"/>
      <b val="1"/>
      <color rgb="FF0000FF"/>
      <sz val="11"/>
      <scheme val="minor"/>
    </font>
    <font>
      <name val="Calibri"/>
      <family val="2"/>
      <b val="1"/>
      <sz val="18"/>
      <scheme val="minor"/>
    </font>
    <font>
      <name val="Calibri"/>
      <family val="2"/>
      <sz val="12"/>
      <scheme val="minor"/>
    </font>
    <font>
      <name val="Calibri"/>
      <family val="2"/>
      <color theme="1"/>
      <sz val="12"/>
      <scheme val="minor"/>
    </font>
    <font>
      <name val="Calibri"/>
      <family val="2"/>
      <i val="1"/>
      <color indexed="56"/>
      <sz val="10"/>
      <scheme val="minor"/>
    </font>
    <font>
      <name val="Calibri"/>
      <family val="2"/>
      <color rgb="FF008000"/>
      <sz val="11"/>
      <scheme val="minor"/>
    </font>
    <font>
      <name val="Calibri"/>
      <family val="2"/>
      <b val="1"/>
      <sz val="11"/>
      <u val="singleAccounting"/>
      <scheme val="minor"/>
    </font>
    <font>
      <name val="Calibri"/>
      <family val="2"/>
      <sz val="11"/>
      <u val="singleAccounting"/>
      <scheme val="minor"/>
    </font>
    <font>
      <name val="Calibri"/>
      <family val="2"/>
      <b val="1"/>
      <color rgb="FF000000"/>
      <sz val="11"/>
      <u val="singleAccounting"/>
      <scheme val="minor"/>
    </font>
    <font>
      <name val="Calibri"/>
      <family val="2"/>
      <b val="1"/>
      <sz val="11"/>
      <u val="single"/>
      <scheme val="minor"/>
    </font>
    <font>
      <name val="Calibri"/>
      <family val="2"/>
      <color indexed="10"/>
      <sz val="11"/>
      <scheme val="minor"/>
    </font>
    <font>
      <name val="Calibri"/>
      <family val="2"/>
      <color theme="1"/>
      <sz val="11"/>
      <u val="singleAccounting"/>
      <scheme val="minor"/>
    </font>
    <font>
      <name val="Calibri"/>
      <family val="2"/>
      <b val="1"/>
      <color theme="1"/>
      <sz val="11"/>
      <u val="singleAccounting"/>
      <scheme val="minor"/>
    </font>
    <font>
      <name val="Calibri"/>
      <family val="2"/>
      <b val="1"/>
      <color rgb="FF008000"/>
      <sz val="11"/>
      <scheme val="minor"/>
    </font>
    <font>
      <name val="Calibri"/>
      <family val="2"/>
      <b val="1"/>
      <color indexed="12"/>
      <sz val="28"/>
      <scheme val="minor"/>
    </font>
    <font>
      <name val="Calibri"/>
      <family val="2"/>
      <sz val="9"/>
      <scheme val="minor"/>
    </font>
    <font>
      <name val="Algerian"/>
      <family val="5"/>
      <i val="1"/>
      <sz val="9"/>
    </font>
    <font>
      <name val="Calibri"/>
      <family val="2"/>
      <i val="1"/>
      <sz val="9"/>
      <scheme val="minor"/>
    </font>
    <font>
      <name val="Calibri"/>
      <family val="2"/>
      <color rgb="FF0000FF"/>
      <sz val="9"/>
      <scheme val="minor"/>
    </font>
    <font>
      <name val="Calibri"/>
      <family val="2"/>
      <b val="1"/>
      <color rgb="FF0000FF"/>
      <sz val="10"/>
      <u val="singleAccounting"/>
      <scheme val="minor"/>
    </font>
    <font>
      <name val="Calibri"/>
      <family val="2"/>
      <b val="1"/>
      <color rgb="FF7030A0"/>
      <sz val="11"/>
      <scheme val="minor"/>
    </font>
    <font>
      <name val="Calibri"/>
      <family val="2"/>
      <b val="1"/>
      <color rgb="FFFF0000"/>
      <sz val="11"/>
      <scheme val="minor"/>
    </font>
    <font>
      <name val="Calibri"/>
      <family val="2"/>
      <color rgb="FFFF0000"/>
      <sz val="12"/>
      <scheme val="minor"/>
    </font>
    <font>
      <name val="Calibri"/>
      <family val="2"/>
      <b val="1"/>
      <i val="1"/>
      <color rgb="FF000000"/>
      <sz val="11"/>
      <scheme val="minor"/>
    </font>
    <font>
      <name val="Calibri"/>
      <family val="2"/>
      <b val="1"/>
      <color rgb="FF000000"/>
      <sz val="14"/>
      <scheme val="minor"/>
    </font>
    <font>
      <name val="Calibri"/>
      <family val="2"/>
      <i val="1"/>
      <color rgb="FF000000"/>
      <sz val="12"/>
      <scheme val="minor"/>
    </font>
    <font>
      <name val="Calibri"/>
      <family val="2"/>
      <color rgb="FF000000"/>
      <sz val="10"/>
      <scheme val="minor"/>
    </font>
    <font>
      <name val="Calibri"/>
      <family val="2"/>
      <i val="1"/>
      <color rgb="FF000000"/>
      <sz val="10"/>
      <scheme val="minor"/>
    </font>
    <font>
      <name val="Calibri"/>
      <family val="2"/>
      <color rgb="FF000000"/>
      <sz val="20"/>
      <scheme val="minor"/>
    </font>
    <font>
      <name val="Calibri"/>
      <family val="2"/>
      <color rgb="FF000000"/>
      <sz val="16"/>
      <scheme val="minor"/>
    </font>
    <font>
      <name val="Calibri"/>
      <family val="2"/>
      <color rgb="FF000000"/>
      <sz val="12"/>
      <scheme val="minor"/>
    </font>
    <font>
      <name val="Calibri"/>
      <family val="2"/>
      <color theme="10"/>
      <sz val="11"/>
      <u val="single"/>
      <scheme val="minor"/>
    </font>
    <font>
      <name val="Calibri"/>
      <family val="2"/>
      <i val="1"/>
      <sz val="11"/>
      <scheme val="minor"/>
    </font>
    <font>
      <name val="Calibri"/>
      <family val="2"/>
      <b val="1"/>
      <sz val="13"/>
      <scheme val="minor"/>
    </font>
    <font>
      <name val="Calibri"/>
      <family val="2"/>
      <color rgb="FF800080"/>
      <sz val="10"/>
      <scheme val="minor"/>
    </font>
    <font>
      <name val="Calibri"/>
      <family val="2"/>
      <b val="1"/>
      <i val="1"/>
      <color rgb="FF0000FF"/>
      <sz val="11"/>
      <scheme val="minor"/>
    </font>
    <font>
      <name val="Calibri"/>
      <family val="2"/>
      <b val="1"/>
      <color rgb="FF0000FF"/>
      <sz val="10"/>
      <scheme val="minor"/>
    </font>
    <font>
      <name val="Calibri"/>
      <family val="2"/>
      <color rgb="FF800080"/>
      <sz val="11"/>
      <scheme val="minor"/>
    </font>
    <font>
      <name val="Calibri"/>
      <family val="2"/>
      <b val="1"/>
      <color theme="1"/>
      <sz val="11"/>
      <u val="single"/>
      <scheme val="minor"/>
    </font>
    <font>
      <name val="Calibri"/>
      <family val="2"/>
      <b val="1"/>
      <color theme="1"/>
      <sz val="14"/>
      <scheme val="minor"/>
    </font>
    <font>
      <name val="Calibri"/>
      <family val="2"/>
      <b val="1"/>
      <color rgb="FFC00000"/>
      <sz val="11"/>
      <scheme val="minor"/>
    </font>
    <font>
      <name val="Calibri"/>
      <family val="2"/>
      <sz val="11"/>
      <vertAlign val="superscript"/>
      <scheme val="minor"/>
    </font>
    <font>
      <name val="D-Din"/>
      <family val="2"/>
      <color theme="1"/>
      <sz val="8"/>
    </font>
    <font>
      <name val="Tahoma"/>
      <family val="2"/>
      <color indexed="81"/>
      <sz val="9"/>
    </font>
    <font>
      <name val="Tahoma"/>
      <family val="2"/>
      <b val="1"/>
      <color indexed="81"/>
      <sz val="9"/>
    </font>
    <font>
      <name val="Calibri"/>
      <family val="2"/>
      <b val="1"/>
      <i val="1"/>
      <color theme="1"/>
      <sz val="11"/>
      <scheme val="minor"/>
    </font>
    <font>
      <name val="Calibri"/>
      <family val="2"/>
      <i val="1"/>
      <color theme="1"/>
      <sz val="10.45"/>
      <vertAlign val="superscript"/>
    </font>
    <font>
      <name val="Calibri"/>
      <family val="2"/>
      <b val="1"/>
      <sz val="10.45"/>
      <vertAlign val="superscript"/>
    </font>
    <font>
      <name val="Calibri"/>
      <family val="2"/>
      <b val="1"/>
      <sz val="14"/>
      <scheme val="minor"/>
    </font>
    <font>
      <name val="Calibri"/>
      <family val="2"/>
      <i val="1"/>
      <color rgb="FF0000FF"/>
      <sz val="11"/>
      <scheme val="minor"/>
    </font>
    <font>
      <name val="Calibri"/>
      <family val="2"/>
      <color theme="1"/>
      <sz val="11"/>
      <vertAlign val="superscript"/>
    </font>
    <font>
      <name val="Calibri"/>
      <family val="2"/>
      <b val="1"/>
      <color rgb="FF000000"/>
      <sz val="16"/>
      <scheme val="minor"/>
    </font>
    <font>
      <name val="Calibri"/>
      <family val="2"/>
      <b val="1"/>
      <i val="1"/>
      <sz val="11"/>
      <scheme val="minor"/>
    </font>
    <font>
      <name val="Calibri"/>
      <family val="2"/>
      <color rgb="FF00B050"/>
      <sz val="11"/>
      <scheme val="minor"/>
    </font>
    <font>
      <name val="Calibri"/>
      <family val="2"/>
      <color rgb="FF0000FF"/>
      <sz val="8"/>
      <scheme val="minor"/>
    </font>
    <font>
      <name val="Calibri"/>
      <family val="2"/>
      <color theme="1"/>
      <sz val="8"/>
      <scheme val="minor"/>
    </font>
    <font>
      <name val="Calibri"/>
      <family val="2"/>
      <b val="1"/>
      <color theme="1"/>
      <sz val="10"/>
      <scheme val="minor"/>
    </font>
    <font>
      <name val="Calibri"/>
      <family val="2"/>
      <b val="1"/>
      <color rgb="FF0000FF"/>
      <sz val="8"/>
      <scheme val="minor"/>
    </font>
    <font>
      <name val="Calibri"/>
      <family val="2"/>
      <b val="1"/>
      <color theme="0"/>
      <sz val="8"/>
      <u val="single"/>
      <scheme val="minor"/>
    </font>
    <font>
      <name val="Calibri"/>
      <family val="2"/>
      <b val="1"/>
      <color theme="1"/>
      <sz val="8"/>
      <scheme val="minor"/>
    </font>
    <font>
      <name val="Calibri"/>
      <family val="2"/>
      <b val="1"/>
      <color rgb="FF008000"/>
      <sz val="8"/>
      <scheme val="minor"/>
    </font>
    <font>
      <name val="Calibri"/>
      <family val="2"/>
      <b val="1"/>
      <color rgb="FF000000"/>
      <sz val="8"/>
      <scheme val="minor"/>
    </font>
    <font>
      <name val="Calibri"/>
      <family val="2"/>
      <b val="1"/>
      <color theme="1"/>
      <sz val="8"/>
      <u val="single"/>
      <scheme val="minor"/>
    </font>
    <font>
      <name val="Calibri"/>
      <family val="2"/>
      <color rgb="FF000000"/>
      <sz val="8"/>
      <scheme val="minor"/>
    </font>
    <font>
      <name val="Calibri"/>
      <family val="2"/>
      <color rgb="FF008000"/>
      <sz val="8"/>
      <scheme val="minor"/>
    </font>
    <font>
      <name val="Calibri"/>
      <family val="2"/>
      <i val="1"/>
      <color rgb="FF008000"/>
      <sz val="11"/>
      <scheme val="minor"/>
    </font>
    <font>
      <name val="D-DIN"/>
      <family val="2"/>
      <color rgb="FF0000FF"/>
      <sz val="8"/>
    </font>
    <font>
      <name val="D-DIN"/>
      <family val="2"/>
      <b val="1"/>
      <color theme="1"/>
      <sz val="10"/>
    </font>
    <font>
      <name val="D-DIN"/>
      <family val="2"/>
      <b val="1"/>
      <color rgb="FF0000FF"/>
      <sz val="8"/>
    </font>
    <font>
      <name val="D-DIN"/>
      <family val="2"/>
      <color rgb="FF800080"/>
      <sz val="8"/>
    </font>
    <font>
      <name val="Aptos"/>
      <family val="2"/>
      <sz val="9"/>
    </font>
    <font>
      <name val="D-DIN"/>
      <family val="2"/>
      <b val="1"/>
      <color theme="0"/>
      <sz val="8"/>
      <u val="single"/>
    </font>
    <font>
      <name val="D-DIN"/>
      <family val="2"/>
      <color rgb="FF008000"/>
      <sz val="8"/>
    </font>
    <font>
      <name val="D-DIN"/>
      <family val="2"/>
      <b val="1"/>
      <color theme="1"/>
      <sz val="8"/>
    </font>
    <font>
      <name val="D-DIN"/>
      <family val="2"/>
      <b val="1"/>
      <color rgb="FF008000"/>
      <sz val="8"/>
    </font>
    <font>
      <name val="D-DIN"/>
      <family val="2"/>
      <b val="1"/>
      <color rgb="FF000000"/>
      <sz val="8"/>
    </font>
    <font>
      <name val="D-DIN"/>
      <family val="2"/>
      <b val="1"/>
      <color theme="1"/>
      <sz val="8"/>
      <u val="single"/>
    </font>
    <font>
      <name val="D-DIN"/>
      <family val="2"/>
      <color rgb="FFFF0000"/>
      <sz val="8"/>
    </font>
    <font>
      <name val="D-DIN"/>
      <family val="2"/>
      <color rgb="FF000000"/>
      <sz val="8"/>
    </font>
    <font>
      <name val="Calibri"/>
      <family val="2"/>
      <i val="1"/>
      <color theme="1"/>
      <sz val="8"/>
      <scheme val="minor"/>
    </font>
    <font>
      <name val="Calibri"/>
      <family val="2"/>
      <b val="1"/>
      <i val="1"/>
      <color theme="1"/>
      <sz val="8"/>
      <scheme val="minor"/>
    </font>
    <font>
      <name val="Calibri"/>
      <family val="2"/>
      <color rgb="FF000000"/>
      <sz val="11"/>
      <vertAlign val="superscript"/>
      <scheme val="minor"/>
    </font>
    <font>
      <name val="Calibri"/>
      <family val="2"/>
      <color theme="1"/>
      <sz val="11"/>
      <vertAlign val="superscript"/>
      <scheme val="minor"/>
    </font>
    <font>
      <name val="Calibri"/>
      <family val="2"/>
      <b val="1"/>
      <sz val="11"/>
      <vertAlign val="superscript"/>
      <scheme val="minor"/>
    </font>
    <font>
      <b val="1"/>
      <color rgb="00FFFFFF"/>
    </font>
    <font>
      <b val="1"/>
    </font>
  </fonts>
  <fills count="24">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rgb="FFFFFFFF"/>
        <bgColor rgb="FF000000"/>
      </patternFill>
    </fill>
    <fill>
      <patternFill patternType="solid">
        <fgColor theme="4" tint="0.7999816888943144"/>
        <bgColor indexed="64"/>
      </patternFill>
    </fill>
    <fill>
      <patternFill patternType="solid">
        <fgColor theme="0" tint="-0.249977111117893"/>
        <bgColor indexed="64"/>
      </patternFill>
    </fill>
    <fill>
      <patternFill patternType="solid">
        <fgColor rgb="FFD9D9D9"/>
        <bgColor rgb="FF000000"/>
      </patternFill>
    </fill>
    <fill>
      <patternFill patternType="solid">
        <fgColor rgb="FFDDEBF7"/>
        <bgColor rgb="FF000000"/>
      </patternFill>
    </fill>
    <fill>
      <patternFill patternType="solid">
        <fgColor rgb="FFFFD966"/>
        <bgColor rgb="FF000000"/>
      </patternFill>
    </fill>
    <fill>
      <patternFill patternType="solid">
        <fgColor theme="3" tint="0.7999816888943144"/>
        <bgColor indexed="64"/>
      </patternFill>
    </fill>
    <fill>
      <patternFill patternType="solid">
        <fgColor theme="1"/>
        <bgColor indexed="64"/>
      </patternFill>
    </fill>
    <fill>
      <patternFill patternType="solid">
        <fgColor indexed="9"/>
        <bgColor indexed="64"/>
      </patternFill>
    </fill>
    <fill>
      <patternFill patternType="solid">
        <fgColor theme="0"/>
        <bgColor rgb="FF000000"/>
      </patternFill>
    </fill>
    <fill>
      <patternFill patternType="solid">
        <fgColor rgb="FFFFFFCC"/>
        <bgColor rgb="FF000000"/>
      </patternFill>
    </fill>
    <fill>
      <patternFill patternType="solid">
        <fgColor theme="3"/>
        <bgColor indexed="64"/>
      </patternFill>
    </fill>
    <fill>
      <patternFill patternType="solid">
        <fgColor theme="9" tint="0.5999938962981048"/>
        <bgColor indexed="64"/>
      </patternFill>
    </fill>
    <fill>
      <patternFill patternType="solid">
        <fgColor rgb="FFFFFFCC"/>
      </patternFill>
    </fill>
    <fill>
      <patternFill patternType="solid">
        <fgColor rgb="FFFF0000"/>
        <bgColor indexed="64"/>
      </patternFill>
    </fill>
    <fill>
      <patternFill patternType="lightGray"/>
    </fill>
    <fill>
      <patternFill patternType="solid">
        <fgColor theme="7"/>
        <bgColor indexed="64"/>
      </patternFill>
    </fill>
    <fill>
      <patternFill patternType="solid">
        <fgColor theme="6" tint="0.5999938962981048"/>
        <bgColor indexed="64"/>
      </patternFill>
    </fill>
    <fill>
      <patternFill patternType="solid">
        <fgColor rgb="FFFFFF00"/>
        <bgColor indexed="64"/>
      </patternFill>
    </fill>
    <fill>
      <patternFill patternType="solid">
        <fgColor rgb="0017365D"/>
      </patternFill>
    </fill>
  </fills>
  <borders count="69">
    <border>
      <left/>
      <right/>
      <top/>
      <bottom/>
      <diagonal/>
    </border>
    <border>
      <left/>
      <right/>
      <top/>
      <bottom style="thin">
        <color auto="1"/>
      </bottom>
      <diagonal/>
    </border>
    <border>
      <left/>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indexed="64"/>
      </right>
      <top style="thin">
        <color indexed="64"/>
      </top>
      <bottom style="thin">
        <color indexed="64"/>
      </bottom>
      <diagonal/>
    </border>
    <border>
      <left/>
      <right/>
      <top style="thin">
        <color rgb="FF000000"/>
      </top>
      <bottom/>
      <diagonal/>
    </border>
    <border>
      <left/>
      <right style="thin">
        <color auto="1"/>
      </right>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top/>
      <bottom style="medium">
        <color indexed="64"/>
      </bottom>
      <diagonal/>
    </border>
    <border>
      <left/>
      <right/>
      <top style="medium">
        <color auto="1"/>
      </top>
      <bottom/>
      <diagonal/>
    </border>
    <border>
      <left style="thin">
        <color indexed="64"/>
      </left>
      <right/>
      <top style="thin">
        <color indexed="64"/>
      </top>
      <bottom style="thin">
        <color indexed="64"/>
      </bottom>
      <diagonal/>
    </border>
    <border>
      <left/>
      <right/>
      <top/>
      <bottom style="thick">
        <color indexed="23"/>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0000"/>
      </left>
      <right style="thin">
        <color auto="1"/>
      </right>
      <top/>
      <bottom style="thin">
        <color indexed="64"/>
      </bottom>
      <diagonal/>
    </border>
    <border>
      <left style="medium">
        <color rgb="FF000000"/>
      </left>
      <right/>
      <top/>
      <bottom/>
      <diagonal/>
    </border>
    <border>
      <left style="medium">
        <color rgb="FF000000"/>
      </left>
      <right/>
      <top style="thin">
        <color auto="1"/>
      </top>
      <bottom/>
      <diagonal/>
    </border>
    <border>
      <left style="medium">
        <color rgb="FF000000"/>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style="thin">
        <color rgb="FF000000"/>
      </left>
      <right/>
      <top/>
      <bottom/>
      <diagonal/>
    </border>
    <border>
      <left/>
      <right style="thin">
        <color rgb="FF000000"/>
      </right>
      <top/>
      <bottom/>
      <diagonal/>
    </border>
    <border>
      <left/>
      <right/>
      <top/>
      <bottom style="medium">
        <color rgb="FF000000"/>
      </bottom>
      <diagonal/>
    </border>
    <border>
      <left/>
      <right style="thin">
        <color theme="0"/>
      </right>
      <top style="thin">
        <color theme="0"/>
      </top>
      <bottom/>
      <diagonal/>
    </border>
    <border>
      <left/>
      <right style="thin">
        <color theme="0"/>
      </right>
      <top style="thin">
        <color theme="0"/>
      </top>
      <bottom style="thin">
        <color theme="0"/>
      </bottom>
      <diagonal/>
    </border>
    <border>
      <left/>
      <right/>
      <top style="thin">
        <color rgb="FF000000"/>
      </top>
      <bottom style="thin">
        <color indexed="64"/>
      </bottom>
      <diagonal/>
    </border>
    <border>
      <left style="thin">
        <color rgb="FFB2B2B2"/>
      </left>
      <right/>
      <top/>
      <bottom/>
      <diagonal/>
    </border>
    <border>
      <left/>
      <right style="thin">
        <color rgb="FFB2B2B2"/>
      </right>
      <top style="thin">
        <color rgb="FFB2B2B2"/>
      </top>
      <bottom style="thin">
        <color rgb="FFB2B2B2"/>
      </bottom>
      <diagonal/>
    </border>
    <border>
      <left/>
      <right/>
      <top style="thin">
        <color theme="0"/>
      </top>
      <bottom/>
      <diagonal/>
    </border>
    <border>
      <left/>
      <right/>
      <top style="thin">
        <color rgb="FFB2B2B2"/>
      </top>
      <bottom style="thin">
        <color rgb="FFB2B2B2"/>
      </bottom>
      <diagonal/>
    </border>
    <border>
      <left style="medium">
        <color auto="1"/>
      </left>
      <right style="medium">
        <color auto="1"/>
      </right>
      <top style="medium">
        <color auto="1"/>
      </top>
      <bottom/>
      <diagonal/>
    </border>
    <border>
      <left style="medium">
        <color auto="1"/>
      </left>
      <right style="medium">
        <color auto="1"/>
      </right>
      <top/>
      <bottom style="thin">
        <color auto="1"/>
      </bottom>
      <diagonal/>
    </border>
    <border>
      <left style="medium">
        <color auto="1"/>
      </left>
      <right style="medium">
        <color auto="1"/>
      </right>
      <top/>
      <bottom/>
      <diagonal/>
    </border>
    <border>
      <left style="medium">
        <color indexed="64"/>
      </left>
      <right/>
      <top/>
      <bottom/>
      <diagonal/>
    </border>
    <border>
      <left style="medium">
        <color auto="1"/>
      </left>
      <right style="medium">
        <color auto="1"/>
      </right>
      <top style="thin">
        <color indexed="64"/>
      </top>
      <bottom style="thin">
        <color indexed="64"/>
      </bottom>
      <diagonal/>
    </border>
    <border>
      <left style="medium">
        <color auto="1"/>
      </left>
      <right/>
      <top style="medium">
        <color auto="1"/>
      </top>
      <bottom/>
      <diagonal/>
    </border>
    <border>
      <left/>
      <right style="medium">
        <color auto="1"/>
      </right>
      <top style="medium">
        <color auto="1"/>
      </top>
      <bottom/>
      <diagonal/>
    </border>
    <border>
      <left/>
      <right style="medium">
        <color auto="1"/>
      </right>
      <top/>
      <bottom/>
      <diagonal/>
    </border>
    <border>
      <left/>
      <right style="medium">
        <color auto="1"/>
      </right>
      <top/>
      <bottom style="medium">
        <color indexed="64"/>
      </bottom>
      <diagonal/>
    </border>
    <border>
      <left/>
      <right style="medium">
        <color auto="1"/>
      </right>
      <top style="thin">
        <color indexed="64"/>
      </top>
      <bottom/>
      <diagonal/>
    </border>
    <border>
      <left style="medium">
        <color auto="1"/>
      </left>
      <right/>
      <top/>
      <bottom style="medium">
        <color auto="1"/>
      </bottom>
      <diagonal/>
    </border>
    <border>
      <left/>
      <right style="medium">
        <color auto="1"/>
      </right>
      <top style="thin">
        <color indexed="64"/>
      </top>
      <bottom style="medium">
        <color auto="1"/>
      </bottom>
      <diagonal/>
    </border>
    <border>
      <left style="medium">
        <color rgb="FF000000"/>
      </left>
      <right/>
      <top/>
      <bottom style="thin">
        <color indexed="64"/>
      </bottom>
      <diagonal/>
    </border>
    <border>
      <left style="medium">
        <color rgb="FF000000"/>
      </left>
      <right/>
      <top style="thin">
        <color rgb="FF000000"/>
      </top>
      <bottom style="thin">
        <color indexed="64"/>
      </bottom>
      <diagonal/>
    </border>
    <border>
      <left style="medium">
        <color rgb="FF000000"/>
      </left>
      <right style="thin">
        <color rgb="FFB2B2B2"/>
      </right>
      <top style="thin">
        <color rgb="FFB2B2B2"/>
      </top>
      <bottom/>
      <diagonal/>
    </border>
    <border>
      <left style="medium">
        <color rgb="FF000000"/>
      </left>
      <right style="thin">
        <color rgb="FFB2B2B2"/>
      </right>
      <top/>
      <bottom style="thin">
        <color rgb="FFB2B2B2"/>
      </bottom>
      <diagonal/>
    </border>
    <border>
      <left style="medium">
        <color rgb="FF000000"/>
      </left>
      <right style="thin">
        <color rgb="FFB2B2B2"/>
      </right>
      <top style="thin">
        <color rgb="FFB2B2B2"/>
      </top>
      <bottom style="thin">
        <color rgb="FFB2B2B2"/>
      </bottom>
      <diagonal/>
    </border>
    <border>
      <left style="medium">
        <color rgb="FF000000"/>
      </left>
      <right/>
      <top style="thin">
        <color rgb="FFB2B2B2"/>
      </top>
      <bottom style="thin">
        <color rgb="FFB2B2B2"/>
      </bottom>
      <diagonal/>
    </border>
    <border>
      <left style="medium">
        <color theme="1"/>
      </left>
      <right style="thin">
        <color rgb="FFB2B2B2"/>
      </right>
      <top style="thin">
        <color rgb="FFB2B2B2"/>
      </top>
      <bottom style="thin">
        <color rgb="FFB2B2B2"/>
      </bottom>
      <diagonal/>
    </border>
    <border>
      <left style="medium">
        <color indexed="64"/>
      </left>
      <right style="medium">
        <color auto="1"/>
      </right>
      <top style="thin">
        <color indexed="64"/>
      </top>
      <bottom/>
      <diagonal/>
    </border>
    <border>
      <left/>
      <right style="thin">
        <color rgb="FFB2B2B2"/>
      </right>
      <top style="thin">
        <color rgb="FFB2B2B2"/>
      </top>
      <bottom/>
      <diagonal/>
    </border>
    <border>
      <left/>
      <right style="thin">
        <color indexed="64"/>
      </right>
      <top/>
      <bottom style="thin">
        <color rgb="FF000000"/>
      </bottom>
      <diagonal/>
    </border>
    <border>
      <left style="thin">
        <color indexed="64"/>
      </left>
      <right/>
      <top/>
      <bottom style="thin">
        <color rgb="FF000000"/>
      </bottom>
      <diagonal/>
    </border>
    <border>
      <left style="thin">
        <color auto="1"/>
      </left>
      <right style="thin">
        <color indexed="64"/>
      </right>
      <top style="thin">
        <color auto="1"/>
      </top>
      <bottom style="thin">
        <color indexed="64"/>
      </bottom>
      <diagonal/>
    </border>
    <border>
      <left style="thin">
        <color auto="1"/>
      </left>
      <right/>
      <top/>
      <bottom/>
      <diagonal/>
    </border>
    <border>
      <left/>
      <right style="thin">
        <color indexed="64"/>
      </right>
      <top style="thin">
        <color auto="1"/>
      </top>
      <bottom/>
      <diagonal/>
    </border>
    <border>
      <left/>
      <right style="thin">
        <color indexed="64"/>
      </right>
      <top/>
      <bottom/>
      <diagonal/>
    </border>
    <border>
      <left style="thin">
        <color auto="1"/>
      </left>
      <right/>
      <top/>
      <bottom style="thin">
        <color indexed="64"/>
      </bottom>
      <diagonal/>
    </border>
    <border>
      <left/>
      <right/>
      <top/>
      <bottom style="thin">
        <color indexed="64"/>
      </bottom>
      <diagonal/>
    </border>
    <border>
      <left style="thin">
        <color rgb="FF000000"/>
      </left>
      <right style="thin">
        <color rgb="FF000000"/>
      </right>
      <top/>
      <bottom/>
      <diagonal/>
    </border>
  </borders>
  <cellStyleXfs count="34">
    <xf numFmtId="0" fontId="1" fillId="0" borderId="0"/>
    <xf numFmtId="43" fontId="1" fillId="0" borderId="0"/>
    <xf numFmtId="44" fontId="1" fillId="0" borderId="0"/>
    <xf numFmtId="9" fontId="1" fillId="0" borderId="0"/>
    <xf numFmtId="44" fontId="1" fillId="0" borderId="0"/>
    <xf numFmtId="0" fontId="2" fillId="0" borderId="0"/>
    <xf numFmtId="0" fontId="3" fillId="0" borderId="0"/>
    <xf numFmtId="9" fontId="3" fillId="0" borderId="0"/>
    <xf numFmtId="0" fontId="4" fillId="0" borderId="0"/>
    <xf numFmtId="0" fontId="5" fillId="0" borderId="0"/>
    <xf numFmtId="0" fontId="1" fillId="0" borderId="0"/>
    <xf numFmtId="0" fontId="1" fillId="0" borderId="0"/>
    <xf numFmtId="0" fontId="1" fillId="0" borderId="0"/>
    <xf numFmtId="9" fontId="4" fillId="0" borderId="0"/>
    <xf numFmtId="0" fontId="1" fillId="0" borderId="0"/>
    <xf numFmtId="0" fontId="5" fillId="0" borderId="0"/>
    <xf numFmtId="43" fontId="5" fillId="0" borderId="0"/>
    <xf numFmtId="9" fontId="5" fillId="0" borderId="0"/>
    <xf numFmtId="0" fontId="1" fillId="0" borderId="0"/>
    <xf numFmtId="0" fontId="1" fillId="0" borderId="0"/>
    <xf numFmtId="44" fontId="1" fillId="0" borderId="0"/>
    <xf numFmtId="43" fontId="1" fillId="0" borderId="0"/>
    <xf numFmtId="44" fontId="1" fillId="0" borderId="0"/>
    <xf numFmtId="43" fontId="1" fillId="0" borderId="0"/>
    <xf numFmtId="0" fontId="59" fillId="0" borderId="0"/>
    <xf numFmtId="0" fontId="1" fillId="0" borderId="0"/>
    <xf numFmtId="0" fontId="1" fillId="0" borderId="0"/>
    <xf numFmtId="0" fontId="1" fillId="0" borderId="0"/>
    <xf numFmtId="0" fontId="70" fillId="0" borderId="0"/>
    <xf numFmtId="0" fontId="70" fillId="17" borderId="28"/>
    <xf numFmtId="0" fontId="5" fillId="0" borderId="0"/>
    <xf numFmtId="44" fontId="1" fillId="0" borderId="0"/>
    <xf numFmtId="44" fontId="1" fillId="0" borderId="0"/>
    <xf numFmtId="44" fontId="1" fillId="0" borderId="0"/>
  </cellStyleXfs>
  <cellXfs count="968">
    <xf numFmtId="0" fontId="0" fillId="0" borderId="0" pivotButton="0" quotePrefix="0" xfId="0"/>
    <xf numFmtId="0" fontId="9" fillId="0" borderId="0" pivotButton="0" quotePrefix="0" xfId="8"/>
    <xf numFmtId="0" fontId="9" fillId="0" borderId="0" applyAlignment="1" pivotButton="0" quotePrefix="0" xfId="8">
      <alignment horizontal="centerContinuous"/>
    </xf>
    <xf numFmtId="0" fontId="9" fillId="0" borderId="0" pivotButton="0" quotePrefix="0" xfId="6"/>
    <xf numFmtId="0" fontId="1" fillId="0" borderId="0" pivotButton="0" quotePrefix="0" xfId="0"/>
    <xf numFmtId="0" fontId="14" fillId="0" borderId="0" pivotButton="0" quotePrefix="0" xfId="10"/>
    <xf numFmtId="0" fontId="15" fillId="0" borderId="15" pivotButton="0" quotePrefix="0" xfId="10"/>
    <xf numFmtId="0" fontId="15" fillId="0" borderId="0" applyAlignment="1" pivotButton="0" quotePrefix="0" xfId="10">
      <alignment horizontal="center"/>
    </xf>
    <xf numFmtId="0" fontId="9" fillId="0" borderId="0" pivotButton="0" quotePrefix="0" xfId="10"/>
    <xf numFmtId="0" fontId="9" fillId="0" borderId="0" applyAlignment="1" pivotButton="0" quotePrefix="0" xfId="0">
      <alignment horizontal="right"/>
    </xf>
    <xf numFmtId="0" fontId="9" fillId="0" borderId="0" applyAlignment="1" pivotButton="0" quotePrefix="0" xfId="10">
      <alignment horizontal="center"/>
    </xf>
    <xf numFmtId="0" fontId="17" fillId="0" borderId="0" pivotButton="0" quotePrefix="0" xfId="0"/>
    <xf numFmtId="0" fontId="18" fillId="0" borderId="0" applyAlignment="1" pivotButton="0" quotePrefix="0" xfId="10">
      <alignment vertical="center"/>
    </xf>
    <xf numFmtId="0" fontId="19" fillId="0" borderId="16" applyAlignment="1" pivotButton="0" quotePrefix="0" xfId="0">
      <alignment vertical="center"/>
    </xf>
    <xf numFmtId="0" fontId="20" fillId="0" borderId="16" applyAlignment="1" pivotButton="0" quotePrefix="0" xfId="0">
      <alignment horizontal="center" vertical="center"/>
    </xf>
    <xf numFmtId="0" fontId="18" fillId="0" borderId="0" applyAlignment="1" pivotButton="0" quotePrefix="0" xfId="10">
      <alignment horizontal="center" vertical="center"/>
    </xf>
    <xf numFmtId="0" fontId="18" fillId="0" borderId="0" applyAlignment="1" pivotButton="0" quotePrefix="0" xfId="0">
      <alignment vertical="center"/>
    </xf>
    <xf numFmtId="0" fontId="1" fillId="0" borderId="0" applyAlignment="1" pivotButton="0" quotePrefix="0" xfId="0">
      <alignment vertical="center"/>
    </xf>
    <xf numFmtId="0" fontId="26" fillId="4" borderId="0" applyAlignment="1" pivotButton="0" quotePrefix="0" xfId="0">
      <alignment horizontal="left"/>
    </xf>
    <xf numFmtId="0" fontId="8" fillId="0" borderId="0" pivotButton="0" quotePrefix="0" xfId="0"/>
    <xf numFmtId="0" fontId="8" fillId="0" borderId="0" applyAlignment="1" pivotButton="0" quotePrefix="0" xfId="0">
      <alignment horizontal="center"/>
    </xf>
    <xf numFmtId="0" fontId="1" fillId="0" borderId="0" applyAlignment="1" pivotButton="0" quotePrefix="0" xfId="0">
      <alignment horizontal="left" indent="1"/>
    </xf>
    <xf numFmtId="0" fontId="1" fillId="5" borderId="0" pivotButton="0" quotePrefix="0" xfId="0"/>
    <xf numFmtId="0" fontId="8" fillId="5" borderId="0" applyAlignment="1" pivotButton="0" quotePrefix="0" xfId="0">
      <alignment horizontal="center" vertical="center"/>
    </xf>
    <xf numFmtId="0" fontId="8" fillId="5" borderId="0" applyAlignment="1" pivotButton="0" quotePrefix="0" xfId="0">
      <alignment horizontal="center" vertical="center" wrapText="1"/>
    </xf>
    <xf numFmtId="0" fontId="8" fillId="5" borderId="0" applyAlignment="1" pivotButton="0" quotePrefix="0" xfId="0">
      <alignment horizontal="right" vertical="center"/>
    </xf>
    <xf numFmtId="164" fontId="21" fillId="0" borderId="0" applyAlignment="1" pivotButton="0" quotePrefix="0" xfId="8">
      <alignment horizontal="centerContinuous"/>
    </xf>
    <xf numFmtId="0" fontId="29" fillId="0" borderId="0" applyAlignment="1" pivotButton="0" quotePrefix="0" xfId="8">
      <alignment horizontal="centerContinuous"/>
    </xf>
    <xf numFmtId="0" fontId="30" fillId="0" borderId="0" pivotButton="0" quotePrefix="0" xfId="10"/>
    <xf numFmtId="0" fontId="30" fillId="0" borderId="0" applyAlignment="1" pivotButton="0" quotePrefix="0" xfId="10">
      <alignment horizontal="center"/>
    </xf>
    <xf numFmtId="0" fontId="31" fillId="2" borderId="0" pivotButton="0" quotePrefix="0" xfId="10"/>
    <xf numFmtId="0" fontId="1" fillId="2" borderId="0" pivotButton="0" quotePrefix="0" xfId="10"/>
    <xf numFmtId="0" fontId="32" fillId="0" borderId="15" pivotButton="0" quotePrefix="0" xfId="0"/>
    <xf numFmtId="0" fontId="13" fillId="0" borderId="0" pivotButton="0" quotePrefix="0" xfId="0"/>
    <xf numFmtId="0" fontId="17" fillId="2" borderId="0" pivotButton="0" quotePrefix="0" xfId="10"/>
    <xf numFmtId="0" fontId="16" fillId="0" borderId="0" pivotButton="0" quotePrefix="0" xfId="10"/>
    <xf numFmtId="0" fontId="8" fillId="2" borderId="1" pivotButton="0" quotePrefix="0" xfId="0"/>
    <xf numFmtId="0" fontId="0" fillId="2" borderId="1" pivotButton="0" quotePrefix="0" xfId="0"/>
    <xf numFmtId="0" fontId="8" fillId="2" borderId="0" pivotButton="0" quotePrefix="0" xfId="0"/>
    <xf numFmtId="0" fontId="0" fillId="2" borderId="0" pivotButton="0" quotePrefix="0" xfId="0"/>
    <xf numFmtId="0" fontId="8" fillId="2" borderId="1" applyAlignment="1" pivotButton="0" quotePrefix="0" xfId="0">
      <alignment horizontal="left"/>
    </xf>
    <xf numFmtId="165" fontId="19" fillId="2" borderId="1" applyAlignment="1" pivotButton="0" quotePrefix="0" xfId="0">
      <alignment horizontal="center"/>
    </xf>
    <xf numFmtId="0" fontId="0" fillId="2" borderId="0" applyAlignment="1" pivotButton="0" quotePrefix="0" xfId="0">
      <alignment horizontal="left"/>
    </xf>
    <xf numFmtId="166" fontId="25" fillId="2" borderId="0" applyAlignment="1" pivotButton="0" quotePrefix="0" xfId="1">
      <alignment horizontal="center" vertical="center"/>
    </xf>
    <xf numFmtId="0" fontId="24" fillId="2" borderId="0" pivotButton="0" quotePrefix="0" xfId="0"/>
    <xf numFmtId="0" fontId="0" fillId="5" borderId="0" pivotButton="0" quotePrefix="0" xfId="0"/>
    <xf numFmtId="167" fontId="25" fillId="5" borderId="0" applyAlignment="1" pivotButton="0" quotePrefix="0" xfId="2">
      <alignment horizontal="center"/>
    </xf>
    <xf numFmtId="166" fontId="21" fillId="2" borderId="0" applyAlignment="1" pivotButton="0" quotePrefix="0" xfId="2">
      <alignment horizontal="center"/>
    </xf>
    <xf numFmtId="168" fontId="25" fillId="2" borderId="0" applyAlignment="1" pivotButton="0" quotePrefix="0" xfId="2">
      <alignment horizontal="center"/>
    </xf>
    <xf numFmtId="169" fontId="33" fillId="2" borderId="0" applyAlignment="1" pivotButton="0" quotePrefix="0" xfId="0">
      <alignment horizontal="center"/>
    </xf>
    <xf numFmtId="170" fontId="25" fillId="2" borderId="0" applyAlignment="1" pivotButton="0" quotePrefix="0" xfId="0">
      <alignment horizontal="center"/>
    </xf>
    <xf numFmtId="170" fontId="19" fillId="2" borderId="6" applyAlignment="1" pivotButton="0" quotePrefix="0" xfId="0">
      <alignment horizontal="center"/>
    </xf>
    <xf numFmtId="171" fontId="26" fillId="2" borderId="0" applyAlignment="1" pivotButton="0" quotePrefix="0" xfId="0">
      <alignment horizontal="center"/>
    </xf>
    <xf numFmtId="0" fontId="17" fillId="0" borderId="0" pivotButton="0" quotePrefix="0" xfId="11"/>
    <xf numFmtId="0" fontId="13" fillId="0" borderId="15" pivotButton="0" quotePrefix="0" xfId="0"/>
    <xf numFmtId="14" fontId="10" fillId="2" borderId="0" applyAlignment="1" pivotButton="0" quotePrefix="0" xfId="11">
      <alignment horizontal="left"/>
    </xf>
    <xf numFmtId="172" fontId="17" fillId="2" borderId="0" pivotButton="0" quotePrefix="0" xfId="0"/>
    <xf numFmtId="0" fontId="19" fillId="4" borderId="0" pivotButton="0" quotePrefix="0" xfId="0"/>
    <xf numFmtId="0" fontId="0" fillId="4" borderId="0" pivotButton="0" quotePrefix="0" xfId="0"/>
    <xf numFmtId="14" fontId="19" fillId="4" borderId="12" pivotButton="0" quotePrefix="0" xfId="0"/>
    <xf numFmtId="0" fontId="19" fillId="4" borderId="12" applyAlignment="1" pivotButton="0" quotePrefix="0" xfId="0">
      <alignment horizontal="center"/>
    </xf>
    <xf numFmtId="0" fontId="19" fillId="4" borderId="12" applyAlignment="1" pivotButton="0" quotePrefix="0" xfId="0">
      <alignment wrapText="1"/>
    </xf>
    <xf numFmtId="168" fontId="25" fillId="4" borderId="0" applyAlignment="1" pivotButton="0" quotePrefix="0" xfId="0">
      <alignment horizontal="center" vertical="center"/>
    </xf>
    <xf numFmtId="168" fontId="25" fillId="4" borderId="0" pivotButton="0" quotePrefix="0" xfId="0"/>
    <xf numFmtId="0" fontId="0" fillId="4" borderId="0" applyAlignment="1" pivotButton="0" quotePrefix="0" xfId="0">
      <alignment horizontal="left" vertical="center" wrapText="1"/>
    </xf>
    <xf numFmtId="0" fontId="0" fillId="4" borderId="0" applyAlignment="1" pivotButton="0" quotePrefix="0" xfId="0">
      <alignment vertical="center"/>
    </xf>
    <xf numFmtId="0" fontId="23" fillId="4" borderId="0" applyAlignment="1" pivotButton="0" quotePrefix="0" xfId="0">
      <alignment vertical="center"/>
    </xf>
    <xf numFmtId="0" fontId="0" fillId="4" borderId="0" applyAlignment="1" pivotButton="0" quotePrefix="0" xfId="0">
      <alignment vertical="center" wrapText="1"/>
    </xf>
    <xf numFmtId="0" fontId="19" fillId="8" borderId="0" applyAlignment="1" pivotButton="0" quotePrefix="0" xfId="0">
      <alignment vertical="center"/>
    </xf>
    <xf numFmtId="0" fontId="0" fillId="8" borderId="0" applyAlignment="1" pivotButton="0" quotePrefix="0" xfId="0">
      <alignment horizontal="left" vertical="center"/>
    </xf>
    <xf numFmtId="0" fontId="19" fillId="4" borderId="0" applyAlignment="1" pivotButton="0" quotePrefix="0" xfId="0">
      <alignment horizontal="center" vertical="center"/>
    </xf>
    <xf numFmtId="0" fontId="26" fillId="4" borderId="0" pivotButton="0" quotePrefix="0" xfId="0"/>
    <xf numFmtId="0" fontId="0" fillId="9" borderId="14" pivotButton="0" quotePrefix="0" xfId="0"/>
    <xf numFmtId="9" fontId="21" fillId="9" borderId="5" applyAlignment="1" pivotButton="0" quotePrefix="0" xfId="3">
      <alignment horizontal="center"/>
    </xf>
    <xf numFmtId="9" fontId="18" fillId="0" borderId="0" applyAlignment="1" pivotButton="0" quotePrefix="0" xfId="3">
      <alignment horizontal="center"/>
    </xf>
    <xf numFmtId="0" fontId="19" fillId="4" borderId="0" applyAlignment="1" pivotButton="0" quotePrefix="0" xfId="0">
      <alignment vertical="center"/>
    </xf>
    <xf numFmtId="168" fontId="25" fillId="0" borderId="0" applyAlignment="1" pivotButton="0" quotePrefix="0" xfId="0">
      <alignment horizontal="center"/>
    </xf>
    <xf numFmtId="0" fontId="9" fillId="0" borderId="0" pivotButton="0" quotePrefix="0" xfId="9"/>
    <xf numFmtId="0" fontId="9" fillId="0" borderId="15" pivotButton="0" quotePrefix="0" xfId="9"/>
    <xf numFmtId="0" fontId="9" fillId="0" borderId="0" applyAlignment="1" pivotButton="0" quotePrefix="0" xfId="9">
      <alignment horizontal="right"/>
    </xf>
    <xf numFmtId="0" fontId="30" fillId="0" borderId="0" pivotButton="0" quotePrefix="0" xfId="9"/>
    <xf numFmtId="0" fontId="18" fillId="0" borderId="0" pivotButton="0" quotePrefix="0" xfId="9"/>
    <xf numFmtId="0" fontId="34" fillId="0" borderId="0" applyAlignment="1" pivotButton="0" quotePrefix="0" xfId="9">
      <alignment horizontal="centerContinuous"/>
    </xf>
    <xf numFmtId="0" fontId="35" fillId="0" borderId="0" applyAlignment="1" pivotButton="0" quotePrefix="0" xfId="9">
      <alignment horizontal="centerContinuous"/>
    </xf>
    <xf numFmtId="0" fontId="20" fillId="0" borderId="0" applyAlignment="1" pivotButton="0" quotePrefix="0" xfId="15">
      <alignment horizontal="center"/>
    </xf>
    <xf numFmtId="0" fontId="20" fillId="0" borderId="0" applyAlignment="1" pivotButton="0" quotePrefix="0" xfId="9">
      <alignment horizontal="center"/>
    </xf>
    <xf numFmtId="0" fontId="37" fillId="0" borderId="0" pivotButton="0" quotePrefix="0" xfId="9"/>
    <xf numFmtId="0" fontId="18" fillId="0" borderId="0" applyAlignment="1" pivotButton="0" quotePrefix="0" xfId="9">
      <alignment wrapText="1"/>
    </xf>
    <xf numFmtId="0" fontId="23" fillId="0" borderId="0" pivotButton="0" quotePrefix="0" xfId="9"/>
    <xf numFmtId="173" fontId="18" fillId="0" borderId="0" pivotButton="0" quotePrefix="0" xfId="9"/>
    <xf numFmtId="0" fontId="20" fillId="0" borderId="0" pivotButton="0" quotePrefix="0" xfId="9"/>
    <xf numFmtId="174" fontId="19" fillId="0" borderId="2" pivotButton="0" quotePrefix="0" xfId="9"/>
    <xf numFmtId="0" fontId="18" fillId="0" borderId="14" pivotButton="0" quotePrefix="0" xfId="9"/>
    <xf numFmtId="0" fontId="18" fillId="0" borderId="4" pivotButton="0" quotePrefix="0" xfId="9"/>
    <xf numFmtId="174" fontId="25" fillId="0" borderId="5" pivotButton="0" quotePrefix="0" xfId="9"/>
    <xf numFmtId="175" fontId="18" fillId="0" borderId="0" pivotButton="0" quotePrefix="0" xfId="9"/>
    <xf numFmtId="174" fontId="18" fillId="0" borderId="0" pivotButton="0" quotePrefix="0" xfId="9"/>
    <xf numFmtId="0" fontId="18" fillId="0" borderId="3" pivotButton="0" quotePrefix="0" xfId="9"/>
    <xf numFmtId="0" fontId="18" fillId="0" borderId="2" pivotButton="0" quotePrefix="0" xfId="9"/>
    <xf numFmtId="174" fontId="25" fillId="0" borderId="11" pivotButton="0" quotePrefix="0" xfId="9"/>
    <xf numFmtId="176" fontId="18" fillId="0" borderId="0" pivotButton="0" quotePrefix="0" xfId="9"/>
    <xf numFmtId="0" fontId="18" fillId="0" borderId="8" pivotButton="0" quotePrefix="0" xfId="9"/>
    <xf numFmtId="174" fontId="25" fillId="0" borderId="9" pivotButton="0" quotePrefix="0" xfId="9"/>
    <xf numFmtId="0" fontId="20" fillId="0" borderId="10" pivotButton="0" quotePrefix="0" xfId="9"/>
    <xf numFmtId="0" fontId="20" fillId="0" borderId="1" pivotButton="0" quotePrefix="0" xfId="9"/>
    <xf numFmtId="174" fontId="19" fillId="0" borderId="9" pivotButton="0" quotePrefix="0" xfId="9"/>
    <xf numFmtId="168" fontId="25" fillId="0" borderId="11" pivotButton="0" quotePrefix="0" xfId="9"/>
    <xf numFmtId="177" fontId="18" fillId="0" borderId="0" pivotButton="0" quotePrefix="0" xfId="9"/>
    <xf numFmtId="168" fontId="25" fillId="0" borderId="9" pivotButton="0" quotePrefix="0" xfId="9"/>
    <xf numFmtId="168" fontId="19" fillId="0" borderId="9" pivotButton="0" quotePrefix="0" xfId="9"/>
    <xf numFmtId="177" fontId="20" fillId="0" borderId="0" pivotButton="0" quotePrefix="0" xfId="9"/>
    <xf numFmtId="173" fontId="20" fillId="0" borderId="0" pivotButton="0" quotePrefix="0" xfId="9"/>
    <xf numFmtId="0" fontId="38" fillId="0" borderId="0" pivotButton="0" quotePrefix="0" xfId="9"/>
    <xf numFmtId="43" fontId="38" fillId="0" borderId="0" pivotButton="0" quotePrefix="0" xfId="16"/>
    <xf numFmtId="173" fontId="38" fillId="0" borderId="0" pivotButton="0" quotePrefix="0" xfId="9"/>
    <xf numFmtId="173" fontId="38" fillId="0" borderId="0" pivotButton="0" quotePrefix="0" xfId="16"/>
    <xf numFmtId="0" fontId="20" fillId="0" borderId="14" pivotButton="0" quotePrefix="0" xfId="9"/>
    <xf numFmtId="0" fontId="20" fillId="0" borderId="4" pivotButton="0" quotePrefix="0" xfId="9"/>
    <xf numFmtId="178" fontId="19" fillId="0" borderId="5" applyAlignment="1" pivotButton="0" quotePrefix="0" xfId="17">
      <alignment horizontal="right"/>
    </xf>
    <xf numFmtId="9" fontId="20" fillId="0" borderId="0" pivotButton="0" quotePrefix="0" xfId="17"/>
    <xf numFmtId="173" fontId="20" fillId="0" borderId="0" pivotButton="0" quotePrefix="0" xfId="17"/>
    <xf numFmtId="178" fontId="18" fillId="0" borderId="0" pivotButton="0" quotePrefix="0" xfId="9"/>
    <xf numFmtId="0" fontId="1" fillId="0" borderId="0" pivotButton="0" quotePrefix="0" xfId="11"/>
    <xf numFmtId="0" fontId="12" fillId="0" borderId="15" pivotButton="0" quotePrefix="0" xfId="0"/>
    <xf numFmtId="0" fontId="12" fillId="0" borderId="0" pivotButton="0" quotePrefix="0" xfId="0"/>
    <xf numFmtId="14" fontId="21" fillId="2" borderId="0" applyAlignment="1" pivotButton="0" quotePrefix="0" xfId="11">
      <alignment horizontal="left"/>
    </xf>
    <xf numFmtId="0" fontId="19" fillId="13" borderId="18" pivotButton="0" quotePrefix="0" xfId="0"/>
    <xf numFmtId="0" fontId="25" fillId="13" borderId="6" pivotButton="0" quotePrefix="0" xfId="0"/>
    <xf numFmtId="0" fontId="19" fillId="13" borderId="8" pivotButton="0" quotePrefix="0" xfId="0"/>
    <xf numFmtId="0" fontId="25" fillId="13" borderId="0" pivotButton="0" quotePrefix="0" xfId="0"/>
    <xf numFmtId="0" fontId="25" fillId="0" borderId="0" pivotButton="0" quotePrefix="0" xfId="0"/>
    <xf numFmtId="0" fontId="6" fillId="11" borderId="0" pivotButton="0" quotePrefix="0" xfId="10"/>
    <xf numFmtId="0" fontId="0" fillId="11" borderId="0" pivotButton="0" quotePrefix="0" xfId="10"/>
    <xf numFmtId="0" fontId="0" fillId="0" borderId="0" pivotButton="0" quotePrefix="0" xfId="10"/>
    <xf numFmtId="0" fontId="0" fillId="10" borderId="0" applyAlignment="1" pivotButton="0" quotePrefix="0" xfId="0">
      <alignment horizontal="center"/>
    </xf>
    <xf numFmtId="0" fontId="8" fillId="10" borderId="0" applyAlignment="1" pivotButton="0" quotePrefix="0" xfId="0">
      <alignment horizontal="center"/>
    </xf>
    <xf numFmtId="0" fontId="0" fillId="10" borderId="12" applyAlignment="1" pivotButton="0" quotePrefix="0" xfId="0">
      <alignment horizontal="center"/>
    </xf>
    <xf numFmtId="0" fontId="20" fillId="10" borderId="0" applyAlignment="1" pivotButton="0" quotePrefix="0" xfId="0">
      <alignment horizontal="left"/>
    </xf>
    <xf numFmtId="42" fontId="28" fillId="10" borderId="0" applyAlignment="1" pivotButton="0" quotePrefix="0" xfId="0">
      <alignment horizontal="left"/>
    </xf>
    <xf numFmtId="0" fontId="20" fillId="0" borderId="0" applyAlignment="1" pivotButton="0" quotePrefix="0" xfId="0">
      <alignment horizontal="left"/>
    </xf>
    <xf numFmtId="42" fontId="19" fillId="0" borderId="0" applyAlignment="1" pivotButton="0" quotePrefix="0" xfId="0">
      <alignment horizontal="left"/>
    </xf>
    <xf numFmtId="42" fontId="25" fillId="0" borderId="0" applyAlignment="1" pivotButton="0" quotePrefix="0" xfId="0">
      <alignment horizontal="left"/>
    </xf>
    <xf numFmtId="179" fontId="25" fillId="0" borderId="0" pivotButton="0" quotePrefix="0" xfId="0"/>
    <xf numFmtId="42" fontId="28" fillId="10" borderId="2" applyAlignment="1" pivotButton="0" quotePrefix="0" xfId="0">
      <alignment horizontal="left"/>
    </xf>
    <xf numFmtId="179" fontId="28" fillId="10" borderId="0" pivotButton="0" quotePrefix="0" xfId="2"/>
    <xf numFmtId="0" fontId="42" fillId="0" borderId="0" applyAlignment="1" pivotButton="0" quotePrefix="0" xfId="8">
      <alignment horizontal="centerContinuous"/>
    </xf>
    <xf numFmtId="0" fontId="18" fillId="2" borderId="0" applyAlignment="1" pivotButton="0" quotePrefix="0" xfId="0">
      <alignment horizontal="center" vertical="center"/>
    </xf>
    <xf numFmtId="0" fontId="40" fillId="0" borderId="0" applyAlignment="1" pivotButton="0" quotePrefix="0" xfId="0">
      <alignment horizontal="centerContinuous"/>
    </xf>
    <xf numFmtId="14" fontId="47" fillId="2" borderId="0" applyAlignment="1" pivotButton="0" quotePrefix="0" xfId="11">
      <alignment horizontal="centerContinuous"/>
    </xf>
    <xf numFmtId="0" fontId="17" fillId="4" borderId="0" pivotButton="0" quotePrefix="0" xfId="11"/>
    <xf numFmtId="0" fontId="0" fillId="4" borderId="0" applyAlignment="1" pivotButton="0" quotePrefix="0" xfId="0">
      <alignment horizontal="center"/>
    </xf>
    <xf numFmtId="0" fontId="19" fillId="4" borderId="0" applyAlignment="1" pivotButton="0" quotePrefix="0" xfId="0">
      <alignment horizontal="center"/>
    </xf>
    <xf numFmtId="0" fontId="0" fillId="4" borderId="0" applyAlignment="1" pivotButton="0" quotePrefix="0" xfId="0">
      <alignment horizontal="center" vertical="center"/>
    </xf>
    <xf numFmtId="0" fontId="0" fillId="4" borderId="0" applyAlignment="1" pivotButton="0" quotePrefix="0" xfId="0">
      <alignment horizontal="centerContinuous" vertical="center"/>
    </xf>
    <xf numFmtId="0" fontId="0" fillId="8" borderId="0" applyAlignment="1" pivotButton="0" quotePrefix="0" xfId="0">
      <alignment horizontal="center" vertical="center"/>
    </xf>
    <xf numFmtId="0" fontId="19" fillId="8" borderId="0" applyAlignment="1" pivotButton="0" quotePrefix="0" xfId="0">
      <alignment horizontal="center" vertical="center"/>
    </xf>
    <xf numFmtId="0" fontId="0" fillId="0" borderId="0" applyAlignment="1" pivotButton="0" quotePrefix="0" xfId="0">
      <alignment horizontal="centerContinuous" wrapText="1"/>
    </xf>
    <xf numFmtId="0" fontId="0" fillId="6" borderId="0" applyAlignment="1" pivotButton="0" quotePrefix="0" xfId="0">
      <alignment horizontal="center" wrapText="1"/>
    </xf>
    <xf numFmtId="0" fontId="8" fillId="4" borderId="0" applyAlignment="1" pivotButton="0" quotePrefix="0" xfId="0">
      <alignment horizontal="center"/>
    </xf>
    <xf numFmtId="0" fontId="7" fillId="4" borderId="0" applyAlignment="1" pivotButton="0" quotePrefix="0" xfId="0">
      <alignment horizontal="centerContinuous" vertical="center"/>
    </xf>
    <xf numFmtId="168" fontId="7" fillId="4" borderId="0" applyAlignment="1" pivotButton="0" quotePrefix="0" xfId="0">
      <alignment horizontal="centerContinuous" vertical="center"/>
    </xf>
    <xf numFmtId="168" fontId="25" fillId="8" borderId="0" applyAlignment="1" pivotButton="0" quotePrefix="0" xfId="0">
      <alignment horizontal="center" vertical="center"/>
    </xf>
    <xf numFmtId="0" fontId="39" fillId="2" borderId="0" applyAlignment="1" pivotButton="0" quotePrefix="0" xfId="0">
      <alignment horizontal="centerContinuous"/>
    </xf>
    <xf numFmtId="14" fontId="0" fillId="0" borderId="0" pivotButton="0" quotePrefix="0" xfId="0"/>
    <xf numFmtId="14" fontId="18" fillId="0" borderId="0" pivotButton="0" quotePrefix="0" xfId="9"/>
    <xf numFmtId="14" fontId="1" fillId="0" borderId="0" pivotButton="0" quotePrefix="0" xfId="0"/>
    <xf numFmtId="0" fontId="43" fillId="2" borderId="0" pivotButton="0" quotePrefix="0" xfId="8"/>
    <xf numFmtId="0" fontId="45" fillId="2" borderId="0" applyAlignment="1" pivotButton="0" quotePrefix="0" xfId="8">
      <alignment horizontal="center"/>
    </xf>
    <xf numFmtId="0" fontId="25" fillId="10" borderId="12" applyAlignment="1" pivotButton="0" quotePrefix="0" xfId="0">
      <alignment horizontal="center"/>
    </xf>
    <xf numFmtId="0" fontId="25" fillId="0" borderId="0" applyAlignment="1" pivotButton="0" quotePrefix="0" xfId="0">
      <alignment horizontal="center"/>
    </xf>
    <xf numFmtId="14" fontId="47" fillId="0" borderId="0" applyAlignment="1" pivotButton="0" quotePrefix="0" xfId="11">
      <alignment horizontal="centerContinuous"/>
    </xf>
    <xf numFmtId="0" fontId="0" fillId="0" borderId="0" applyAlignment="1" pivotButton="0" quotePrefix="0" xfId="0">
      <alignment vertical="center"/>
    </xf>
    <xf numFmtId="0" fontId="43" fillId="4" borderId="0" pivotButton="0" quotePrefix="0" xfId="0"/>
    <xf numFmtId="174" fontId="25" fillId="0" borderId="0" pivotButton="0" quotePrefix="0" xfId="0"/>
    <xf numFmtId="169" fontId="0" fillId="0" borderId="0" pivotButton="0" quotePrefix="0" xfId="0"/>
    <xf numFmtId="14" fontId="25" fillId="0" borderId="0" applyAlignment="1" pivotButton="0" quotePrefix="0" xfId="0">
      <alignment horizontal="left"/>
    </xf>
    <xf numFmtId="171" fontId="0" fillId="0" borderId="0" pivotButton="0" quotePrefix="0" xfId="0"/>
    <xf numFmtId="180" fontId="0" fillId="0" borderId="0" pivotButton="0" quotePrefix="0" xfId="0"/>
    <xf numFmtId="0" fontId="18" fillId="0" borderId="0" applyAlignment="1" pivotButton="0" quotePrefix="0" xfId="0">
      <alignment horizontal="center"/>
    </xf>
    <xf numFmtId="0" fontId="18" fillId="0" borderId="0" applyAlignment="1" pivotButton="0" quotePrefix="0" xfId="0">
      <alignment horizontal="centerContinuous"/>
    </xf>
    <xf numFmtId="14" fontId="8" fillId="0" borderId="0" applyAlignment="1" pivotButton="0" quotePrefix="0" xfId="0">
      <alignment horizontal="center" wrapText="1"/>
    </xf>
    <xf numFmtId="14" fontId="0" fillId="2" borderId="12" applyAlignment="1" pivotButton="0" quotePrefix="0" xfId="0">
      <alignment horizontal="center" wrapText="1"/>
    </xf>
    <xf numFmtId="0" fontId="8" fillId="0" borderId="21" pivotButton="0" quotePrefix="0" xfId="0"/>
    <xf numFmtId="0" fontId="1" fillId="0" borderId="22" pivotButton="0" quotePrefix="0" xfId="0"/>
    <xf numFmtId="179" fontId="41" fillId="0" borderId="0" pivotButton="0" quotePrefix="0" xfId="20"/>
    <xf numFmtId="181" fontId="28" fillId="5" borderId="0" applyAlignment="1" pivotButton="0" quotePrefix="0" xfId="20">
      <alignment horizontal="center" vertical="center"/>
    </xf>
    <xf numFmtId="182" fontId="21" fillId="0" borderId="0" pivotButton="0" quotePrefix="0" xfId="21"/>
    <xf numFmtId="182" fontId="1" fillId="0" borderId="0" pivotButton="0" quotePrefix="0" xfId="21"/>
    <xf numFmtId="182" fontId="25" fillId="0" borderId="0" pivotButton="0" quotePrefix="0" xfId="21"/>
    <xf numFmtId="182" fontId="19" fillId="0" borderId="2" pivotButton="0" quotePrefix="0" xfId="21"/>
    <xf numFmtId="0" fontId="48" fillId="0" borderId="0" pivotButton="0" quotePrefix="0" xfId="0"/>
    <xf numFmtId="166" fontId="40" fillId="0" borderId="0" applyAlignment="1" pivotButton="0" quotePrefix="0" xfId="0">
      <alignment horizontal="centerContinuous"/>
    </xf>
    <xf numFmtId="0" fontId="1" fillId="0" borderId="0" applyAlignment="1" pivotButton="0" quotePrefix="0" xfId="0">
      <alignment horizontal="centerContinuous"/>
    </xf>
    <xf numFmtId="166" fontId="40" fillId="0" borderId="0" applyAlignment="1" pivotButton="0" quotePrefix="0" xfId="0">
      <alignment horizontal="center"/>
    </xf>
    <xf numFmtId="182" fontId="25" fillId="0" borderId="0" pivotButton="0" quotePrefix="0" xfId="21"/>
    <xf numFmtId="0" fontId="8" fillId="0" borderId="4" pivotButton="0" quotePrefix="0" xfId="0"/>
    <xf numFmtId="0" fontId="1" fillId="0" borderId="4" pivotButton="0" quotePrefix="0" xfId="0"/>
    <xf numFmtId="174" fontId="19" fillId="0" borderId="4" pivotButton="0" quotePrefix="0" xfId="0"/>
    <xf numFmtId="169" fontId="25" fillId="2" borderId="0" applyAlignment="1" pivotButton="0" quotePrefix="0" xfId="0">
      <alignment horizontal="center"/>
    </xf>
    <xf numFmtId="174" fontId="19" fillId="0" borderId="0" pivotButton="0" quotePrefix="0" xfId="0"/>
    <xf numFmtId="183" fontId="19" fillId="0" borderId="0" pivotButton="0" quotePrefix="0" xfId="0"/>
    <xf numFmtId="0" fontId="50" fillId="0" borderId="0" pivotButton="0" quotePrefix="0" xfId="9"/>
    <xf numFmtId="0" fontId="49" fillId="2" borderId="0" pivotButton="0" quotePrefix="0" xfId="0"/>
    <xf numFmtId="0" fontId="0" fillId="3" borderId="0" applyAlignment="1" pivotButton="0" quotePrefix="0" xfId="0">
      <alignment horizontal="center"/>
    </xf>
    <xf numFmtId="0" fontId="0" fillId="2" borderId="6" pivotButton="0" quotePrefix="0" xfId="0"/>
    <xf numFmtId="0" fontId="7" fillId="2" borderId="6" applyAlignment="1" pivotButton="0" quotePrefix="0" xfId="0">
      <alignment horizontal="center"/>
    </xf>
    <xf numFmtId="0" fontId="0" fillId="0" borderId="0" applyAlignment="1" pivotButton="0" quotePrefix="0" xfId="0">
      <alignment horizontal="center"/>
    </xf>
    <xf numFmtId="167" fontId="25" fillId="0" borderId="0" applyAlignment="1" pivotButton="0" quotePrefix="0" xfId="0">
      <alignment horizontal="center"/>
    </xf>
    <xf numFmtId="184" fontId="0" fillId="0" borderId="0" pivotButton="0" quotePrefix="0" xfId="0"/>
    <xf numFmtId="167" fontId="25" fillId="0" borderId="0" applyAlignment="1" pivotButton="0" quotePrefix="0" xfId="2">
      <alignment horizontal="center"/>
    </xf>
    <xf numFmtId="168" fontId="25" fillId="0" borderId="0" applyAlignment="1" pivotButton="0" quotePrefix="0" xfId="2">
      <alignment horizontal="center"/>
    </xf>
    <xf numFmtId="169" fontId="25" fillId="0" borderId="0" applyAlignment="1" pivotButton="0" quotePrefix="0" xfId="0">
      <alignment horizontal="center"/>
    </xf>
    <xf numFmtId="170" fontId="25" fillId="0" borderId="0" applyAlignment="1" pivotButton="0" quotePrefix="0" xfId="0">
      <alignment horizontal="center"/>
    </xf>
    <xf numFmtId="170" fontId="19" fillId="0" borderId="0" applyAlignment="1" pivotButton="0" quotePrefix="0" xfId="0">
      <alignment horizontal="center"/>
    </xf>
    <xf numFmtId="171" fontId="26" fillId="0" borderId="0" applyAlignment="1" pivotButton="0" quotePrefix="0" xfId="0">
      <alignment horizontal="center"/>
    </xf>
    <xf numFmtId="14" fontId="46" fillId="4" borderId="0" applyAlignment="1" pivotButton="0" quotePrefix="0" xfId="0">
      <alignment horizontal="center"/>
    </xf>
    <xf numFmtId="0" fontId="45" fillId="4" borderId="0" applyAlignment="1" pivotButton="0" quotePrefix="0" xfId="0">
      <alignment horizontal="center"/>
    </xf>
    <xf numFmtId="0" fontId="43" fillId="2" borderId="0" applyAlignment="1" pivotButton="0" quotePrefix="0" xfId="8">
      <alignment horizontal="center"/>
    </xf>
    <xf numFmtId="14" fontId="46" fillId="2" borderId="0" applyAlignment="1" pivotButton="0" quotePrefix="0" xfId="8">
      <alignment horizontal="center"/>
    </xf>
    <xf numFmtId="185" fontId="36" fillId="0" borderId="0" applyAlignment="1" pivotButton="0" quotePrefix="0" xfId="15">
      <alignment horizontal="center"/>
    </xf>
    <xf numFmtId="0" fontId="25" fillId="2" borderId="0" applyAlignment="1" pivotButton="0" quotePrefix="0" xfId="0">
      <alignment horizontal="center"/>
    </xf>
    <xf numFmtId="166" fontId="25" fillId="2" borderId="1" applyAlignment="1" pivotButton="0" quotePrefix="0" xfId="0">
      <alignment horizontal="center"/>
    </xf>
    <xf numFmtId="167" fontId="25" fillId="2" borderId="0" applyAlignment="1" pivotButton="0" quotePrefix="0" xfId="0">
      <alignment horizontal="center"/>
    </xf>
    <xf numFmtId="186" fontId="19" fillId="2" borderId="0" applyAlignment="1" pivotButton="0" quotePrefix="0" xfId="0">
      <alignment horizontal="center"/>
    </xf>
    <xf numFmtId="167" fontId="25" fillId="2" borderId="0" applyAlignment="1" pivotButton="0" quotePrefix="0" xfId="2">
      <alignment horizontal="center"/>
    </xf>
    <xf numFmtId="166" fontId="25" fillId="2" borderId="0" applyAlignment="1" pivotButton="0" quotePrefix="0" xfId="2">
      <alignment horizontal="center"/>
    </xf>
    <xf numFmtId="0" fontId="25" fillId="2" borderId="0" pivotButton="0" quotePrefix="0" xfId="0"/>
    <xf numFmtId="174" fontId="25" fillId="12" borderId="0" pivotButton="0" quotePrefix="0" xfId="9"/>
    <xf numFmtId="0" fontId="25" fillId="0" borderId="0" pivotButton="0" quotePrefix="0" xfId="9"/>
    <xf numFmtId="0" fontId="19" fillId="2" borderId="2" pivotButton="0" quotePrefix="0" xfId="0"/>
    <xf numFmtId="0" fontId="19" fillId="2" borderId="4" pivotButton="0" quotePrefix="0" xfId="0"/>
    <xf numFmtId="0" fontId="25" fillId="2" borderId="0" pivotButton="0" quotePrefix="1" xfId="0"/>
    <xf numFmtId="0" fontId="25" fillId="0" borderId="2" pivotButton="0" quotePrefix="0" xfId="0"/>
    <xf numFmtId="0" fontId="25" fillId="0" borderId="7" pivotButton="0" quotePrefix="0" xfId="0"/>
    <xf numFmtId="0" fontId="19" fillId="2" borderId="8" pivotButton="0" quotePrefix="0" xfId="0"/>
    <xf numFmtId="0" fontId="25" fillId="0" borderId="1" pivotButton="0" quotePrefix="0" xfId="0"/>
    <xf numFmtId="0" fontId="25" fillId="0" borderId="9" pivotButton="0" quotePrefix="0" xfId="0"/>
    <xf numFmtId="0" fontId="19" fillId="2" borderId="3" applyAlignment="1" pivotButton="0" quotePrefix="0" xfId="0">
      <alignment horizontal="left"/>
    </xf>
    <xf numFmtId="0" fontId="25" fillId="2" borderId="2" pivotButton="0" quotePrefix="0" xfId="0"/>
    <xf numFmtId="0" fontId="25" fillId="2" borderId="2" pivotButton="0" quotePrefix="1" xfId="0"/>
    <xf numFmtId="0" fontId="25" fillId="2" borderId="16" pivotButton="0" quotePrefix="0" xfId="0"/>
    <xf numFmtId="0" fontId="25" fillId="0" borderId="16" pivotButton="0" quotePrefix="0" xfId="0"/>
    <xf numFmtId="0" fontId="19" fillId="2" borderId="3" pivotButton="0" quotePrefix="0" xfId="0"/>
    <xf numFmtId="0" fontId="25" fillId="0" borderId="11" pivotButton="0" quotePrefix="0" xfId="0"/>
    <xf numFmtId="0" fontId="25" fillId="0" borderId="8" pivotButton="0" quotePrefix="1" xfId="0"/>
    <xf numFmtId="0" fontId="25" fillId="0" borderId="8" pivotButton="0" quotePrefix="0" xfId="0"/>
    <xf numFmtId="0" fontId="25" fillId="0" borderId="10" pivotButton="0" quotePrefix="0" xfId="0"/>
    <xf numFmtId="0" fontId="52" fillId="0" borderId="0" pivotButton="0" quotePrefix="0" xfId="9"/>
    <xf numFmtId="0" fontId="25" fillId="0" borderId="0" pivotButton="0" quotePrefix="0" xfId="11"/>
    <xf numFmtId="0" fontId="26" fillId="0" borderId="15" pivotButton="0" quotePrefix="0" xfId="0"/>
    <xf numFmtId="0" fontId="53" fillId="0" borderId="15" pivotButton="0" quotePrefix="0" xfId="0"/>
    <xf numFmtId="14" fontId="54" fillId="2" borderId="0" applyAlignment="1" pivotButton="0" quotePrefix="0" xfId="11">
      <alignment horizontal="left"/>
    </xf>
    <xf numFmtId="14" fontId="25" fillId="2" borderId="0" applyAlignment="1" pivotButton="0" quotePrefix="0" xfId="11">
      <alignment horizontal="left"/>
    </xf>
    <xf numFmtId="0" fontId="54" fillId="0" borderId="0" applyAlignment="1" pivotButton="0" quotePrefix="0" xfId="9">
      <alignment horizontal="right"/>
    </xf>
    <xf numFmtId="0" fontId="26" fillId="0" borderId="15" pivotButton="0" quotePrefix="0" xfId="9"/>
    <xf numFmtId="0" fontId="55" fillId="0" borderId="15" pivotButton="0" quotePrefix="0" xfId="0"/>
    <xf numFmtId="0" fontId="56" fillId="0" borderId="0" pivotButton="0" quotePrefix="0" xfId="10"/>
    <xf numFmtId="0" fontId="57" fillId="0" borderId="0" applyAlignment="1" pivotButton="0" quotePrefix="0" xfId="10">
      <alignment horizontal="right"/>
    </xf>
    <xf numFmtId="0" fontId="26" fillId="0" borderId="15" pivotButton="0" quotePrefix="0" xfId="10"/>
    <xf numFmtId="0" fontId="57" fillId="0" borderId="15" pivotButton="0" quotePrefix="0" xfId="10"/>
    <xf numFmtId="0" fontId="54" fillId="0" borderId="0" applyAlignment="1" pivotButton="0" quotePrefix="0" xfId="10">
      <alignment horizontal="centerContinuous"/>
    </xf>
    <xf numFmtId="0" fontId="54" fillId="0" borderId="0" pivotButton="0" quotePrefix="0" xfId="10"/>
    <xf numFmtId="0" fontId="58" fillId="0" borderId="0" pivotButton="0" quotePrefix="0" xfId="10"/>
    <xf numFmtId="0" fontId="55" fillId="0" borderId="0" pivotButton="0" quotePrefix="0" xfId="0"/>
    <xf numFmtId="180" fontId="25" fillId="2" borderId="0" applyAlignment="1" pivotButton="0" quotePrefix="0" xfId="0">
      <alignment horizontal="center"/>
    </xf>
    <xf numFmtId="0" fontId="60" fillId="0" borderId="0" pivotButton="0" quotePrefix="0" xfId="9"/>
    <xf numFmtId="0" fontId="61" fillId="0" borderId="0" applyAlignment="1" pivotButton="0" quotePrefix="0" xfId="9">
      <alignment horizontal="centerContinuous"/>
    </xf>
    <xf numFmtId="0" fontId="18" fillId="0" borderId="0" applyAlignment="1" pivotButton="0" quotePrefix="0" xfId="9">
      <alignment horizontal="centerContinuous"/>
    </xf>
    <xf numFmtId="0" fontId="60" fillId="0" borderId="0" applyAlignment="1" pivotButton="0" quotePrefix="0" xfId="9">
      <alignment horizontal="centerContinuous"/>
    </xf>
    <xf numFmtId="0" fontId="18" fillId="0" borderId="0" applyAlignment="1" pivotButton="0" quotePrefix="0" xfId="24">
      <alignment horizontal="centerContinuous"/>
    </xf>
    <xf numFmtId="0" fontId="20" fillId="0" borderId="5" pivotButton="0" quotePrefix="0" xfId="9"/>
    <xf numFmtId="0" fontId="18" fillId="0" borderId="3" applyAlignment="1" pivotButton="0" quotePrefix="0" xfId="9">
      <alignment horizontal="left"/>
    </xf>
    <xf numFmtId="0" fontId="60" fillId="0" borderId="2" pivotButton="0" quotePrefix="0" xfId="9"/>
    <xf numFmtId="0" fontId="18" fillId="0" borderId="8" applyAlignment="1" pivotButton="0" quotePrefix="0" xfId="9">
      <alignment horizontal="left"/>
    </xf>
    <xf numFmtId="0" fontId="18" fillId="0" borderId="7" applyAlignment="1" pivotButton="0" quotePrefix="0" xfId="9">
      <alignment horizontal="right"/>
    </xf>
    <xf numFmtId="178" fontId="18" fillId="0" borderId="7" applyAlignment="1" pivotButton="0" quotePrefix="0" xfId="3">
      <alignment horizontal="right"/>
    </xf>
    <xf numFmtId="187" fontId="18" fillId="0" borderId="0" applyAlignment="1" pivotButton="0" quotePrefix="0" xfId="9">
      <alignment horizontal="left"/>
    </xf>
    <xf numFmtId="188" fontId="18" fillId="0" borderId="7" applyAlignment="1" pivotButton="0" quotePrefix="0" xfId="9">
      <alignment horizontal="right"/>
    </xf>
    <xf numFmtId="15" fontId="18" fillId="0" borderId="0" pivotButton="0" quotePrefix="0" xfId="9"/>
    <xf numFmtId="0" fontId="18" fillId="0" borderId="8" applyAlignment="1" pivotButton="0" quotePrefix="0" xfId="9">
      <alignment horizontal="left" indent="1"/>
    </xf>
    <xf numFmtId="0" fontId="60" fillId="0" borderId="10" pivotButton="0" quotePrefix="0" xfId="9"/>
    <xf numFmtId="0" fontId="18" fillId="0" borderId="1" pivotButton="0" quotePrefix="0" xfId="9"/>
    <xf numFmtId="0" fontId="18" fillId="0" borderId="9" pivotButton="0" quotePrefix="0" xfId="9"/>
    <xf numFmtId="0" fontId="20" fillId="0" borderId="14" applyAlignment="1" pivotButton="0" quotePrefix="0" xfId="9">
      <alignment horizontal="centerContinuous"/>
    </xf>
    <xf numFmtId="0" fontId="18" fillId="0" borderId="4" applyAlignment="1" pivotButton="0" quotePrefix="0" xfId="9">
      <alignment horizontal="centerContinuous"/>
    </xf>
    <xf numFmtId="0" fontId="18" fillId="0" borderId="5" applyAlignment="1" pivotButton="0" quotePrefix="0" xfId="9">
      <alignment horizontal="centerContinuous"/>
    </xf>
    <xf numFmtId="0" fontId="20" fillId="0" borderId="3" pivotButton="0" quotePrefix="0" xfId="9"/>
    <xf numFmtId="0" fontId="20" fillId="0" borderId="2" applyAlignment="1" pivotButton="0" quotePrefix="0" xfId="9">
      <alignment horizontal="centerContinuous"/>
    </xf>
    <xf numFmtId="0" fontId="20" fillId="0" borderId="11" applyAlignment="1" pivotButton="0" quotePrefix="0" xfId="9">
      <alignment horizontal="centerContinuous"/>
    </xf>
    <xf numFmtId="16" fontId="20" fillId="0" borderId="0" applyAlignment="1" pivotButton="0" quotePrefix="1" xfId="9">
      <alignment horizontal="right"/>
    </xf>
    <xf numFmtId="16" fontId="20" fillId="0" borderId="7" applyAlignment="1" pivotButton="0" quotePrefix="1" xfId="9">
      <alignment horizontal="right"/>
    </xf>
    <xf numFmtId="174" fontId="18" fillId="0" borderId="7" applyAlignment="1" pivotButton="0" quotePrefix="0" xfId="2">
      <alignment horizontal="right"/>
    </xf>
    <xf numFmtId="0" fontId="20" fillId="0" borderId="3" applyAlignment="1" pivotButton="0" quotePrefix="0" xfId="9">
      <alignment horizontal="centerContinuous"/>
    </xf>
    <xf numFmtId="0" fontId="0" fillId="3" borderId="16" applyAlignment="1" pivotButton="0" quotePrefix="0" xfId="0">
      <alignment horizontal="centerContinuous"/>
    </xf>
    <xf numFmtId="0" fontId="8" fillId="2" borderId="1" applyAlignment="1" pivotButton="0" quotePrefix="0" xfId="0">
      <alignment horizontal="center"/>
    </xf>
    <xf numFmtId="189" fontId="0" fillId="2" borderId="0" pivotButton="0" quotePrefix="0" xfId="0"/>
    <xf numFmtId="167" fontId="25" fillId="5" borderId="0" applyAlignment="1" pivotButton="0" quotePrefix="0" xfId="0">
      <alignment horizontal="center"/>
    </xf>
    <xf numFmtId="184" fontId="0" fillId="2" borderId="0" pivotButton="0" quotePrefix="0" xfId="0"/>
    <xf numFmtId="190" fontId="25" fillId="2" borderId="0" applyAlignment="1" pivotButton="0" quotePrefix="0" xfId="0">
      <alignment horizontal="center"/>
    </xf>
    <xf numFmtId="0" fontId="8" fillId="2" borderId="8" pivotButton="0" quotePrefix="0" xfId="0"/>
    <xf numFmtId="0" fontId="0" fillId="0" borderId="7" pivotButton="0" quotePrefix="0" xfId="0"/>
    <xf numFmtId="170" fontId="33" fillId="0" borderId="0" pivotButton="0" quotePrefix="0" xfId="0"/>
    <xf numFmtId="0" fontId="8" fillId="2" borderId="10" pivotButton="0" quotePrefix="0" xfId="0"/>
    <xf numFmtId="179" fontId="19" fillId="2" borderId="4" pivotButton="0" quotePrefix="0" xfId="0"/>
    <xf numFmtId="0" fontId="0" fillId="0" borderId="1" pivotButton="0" quotePrefix="0" xfId="0"/>
    <xf numFmtId="0" fontId="0" fillId="0" borderId="9" pivotButton="0" quotePrefix="0" xfId="0"/>
    <xf numFmtId="0" fontId="8" fillId="2" borderId="16" pivotButton="0" quotePrefix="0" xfId="0"/>
    <xf numFmtId="0" fontId="0" fillId="2" borderId="16" pivotButton="0" quotePrefix="0" xfId="0"/>
    <xf numFmtId="0" fontId="17" fillId="2" borderId="0" pivotButton="0" quotePrefix="0" xfId="0"/>
    <xf numFmtId="170" fontId="62" fillId="2" borderId="0" pivotButton="0" quotePrefix="0" xfId="0"/>
    <xf numFmtId="166" fontId="18" fillId="2" borderId="0" applyAlignment="1" pivotButton="0" quotePrefix="0" xfId="1">
      <alignment horizontal="center" vertical="center"/>
    </xf>
    <xf numFmtId="16" fontId="20" fillId="0" borderId="24" applyAlignment="1" pivotButton="0" quotePrefix="1" xfId="9">
      <alignment horizontal="right"/>
    </xf>
    <xf numFmtId="0" fontId="63" fillId="0" borderId="0" pivotButton="0" quotePrefix="0" xfId="9"/>
    <xf numFmtId="191" fontId="21" fillId="0" borderId="0" applyAlignment="1" pivotButton="0" quotePrefix="0" xfId="0">
      <alignment horizontal="center"/>
    </xf>
    <xf numFmtId="0" fontId="0" fillId="0" borderId="0" applyAlignment="1" pivotButton="0" quotePrefix="0" xfId="0">
      <alignment horizontal="left"/>
    </xf>
    <xf numFmtId="42" fontId="28" fillId="0" borderId="0" applyAlignment="1" pivotButton="0" quotePrefix="0" xfId="0">
      <alignment horizontal="left"/>
    </xf>
    <xf numFmtId="179" fontId="28" fillId="0" borderId="0" pivotButton="0" quotePrefix="0" xfId="0"/>
    <xf numFmtId="0" fontId="0" fillId="0" borderId="0" applyAlignment="1" pivotButton="0" quotePrefix="0" xfId="0">
      <alignment horizontal="left" indent="1"/>
    </xf>
    <xf numFmtId="0" fontId="64" fillId="0" borderId="0" pivotButton="0" quotePrefix="0" xfId="8"/>
    <xf numFmtId="182" fontId="25" fillId="0" borderId="0" pivotButton="0" quotePrefix="0" xfId="21"/>
    <xf numFmtId="182" fontId="1" fillId="0" borderId="0" pivotButton="0" quotePrefix="0" xfId="0"/>
    <xf numFmtId="0" fontId="8" fillId="0" borderId="0" applyAlignment="1" pivotButton="0" quotePrefix="0" xfId="0">
      <alignment horizontal="left"/>
    </xf>
    <xf numFmtId="0" fontId="22" fillId="15" borderId="1" applyAlignment="1" pivotButton="0" quotePrefix="0" xfId="18">
      <alignment horizontal="centerContinuous"/>
    </xf>
    <xf numFmtId="0" fontId="22" fillId="0" borderId="0" applyAlignment="1" pivotButton="0" quotePrefix="0" xfId="18">
      <alignment horizontal="centerContinuous"/>
    </xf>
    <xf numFmtId="178" fontId="25" fillId="0" borderId="0" pivotButton="0" quotePrefix="0" xfId="17"/>
    <xf numFmtId="9" fontId="25" fillId="0" borderId="0" pivotButton="0" quotePrefix="0" xfId="17"/>
    <xf numFmtId="182" fontId="65" fillId="0" borderId="0" pivotButton="0" quotePrefix="0" xfId="21"/>
    <xf numFmtId="0" fontId="25" fillId="0" borderId="0" applyAlignment="1" pivotButton="0" quotePrefix="0" xfId="0">
      <alignment horizontal="left" indent="1"/>
    </xf>
    <xf numFmtId="182" fontId="65" fillId="0" borderId="0" pivotButton="0" quotePrefix="0" xfId="21"/>
    <xf numFmtId="178" fontId="19" fillId="0" borderId="2" pivotButton="0" quotePrefix="0" xfId="17"/>
    <xf numFmtId="9" fontId="19" fillId="0" borderId="2" pivotButton="0" quotePrefix="0" xfId="17"/>
    <xf numFmtId="0" fontId="66" fillId="0" borderId="0" applyAlignment="1" pivotButton="0" quotePrefix="0" xfId="0">
      <alignment horizontal="center" vertical="center"/>
    </xf>
    <xf numFmtId="166" fontId="66" fillId="0" borderId="25" applyAlignment="1" pivotButton="0" quotePrefix="0" xfId="0">
      <alignment horizontal="center"/>
    </xf>
    <xf numFmtId="0" fontId="8" fillId="0" borderId="0" applyAlignment="1" pivotButton="0" quotePrefix="0" xfId="0">
      <alignment horizontal="center" vertical="center"/>
    </xf>
    <xf numFmtId="192" fontId="19" fillId="0" borderId="0" applyAlignment="1" pivotButton="0" quotePrefix="0" xfId="20">
      <alignment horizontal="right" vertical="center"/>
    </xf>
    <xf numFmtId="166" fontId="40" fillId="0" borderId="25" applyAlignment="1" pivotButton="0" quotePrefix="0" xfId="0">
      <alignment horizontal="center"/>
    </xf>
    <xf numFmtId="192" fontId="28" fillId="0" borderId="0" applyAlignment="1" pivotButton="0" quotePrefix="0" xfId="20">
      <alignment horizontal="center" vertical="center"/>
    </xf>
    <xf numFmtId="174" fontId="19" fillId="0" borderId="25" pivotButton="0" quotePrefix="0" xfId="0"/>
    <xf numFmtId="174" fontId="19" fillId="0" borderId="0" applyAlignment="1" pivotButton="0" quotePrefix="0" xfId="0">
      <alignment horizontal="center"/>
    </xf>
    <xf numFmtId="0" fontId="1" fillId="0" borderId="25" pivotButton="0" quotePrefix="0" xfId="0"/>
    <xf numFmtId="0" fontId="1" fillId="0" borderId="0" applyAlignment="1" pivotButton="0" quotePrefix="0" xfId="0">
      <alignment horizontal="center"/>
    </xf>
    <xf numFmtId="182" fontId="25" fillId="0" borderId="25" pivotButton="0" quotePrefix="0" xfId="21"/>
    <xf numFmtId="182" fontId="25" fillId="0" borderId="0" applyAlignment="1" pivotButton="0" quotePrefix="0" xfId="21">
      <alignment horizontal="center"/>
    </xf>
    <xf numFmtId="182" fontId="19" fillId="0" borderId="26" pivotButton="0" quotePrefix="0" xfId="21"/>
    <xf numFmtId="182" fontId="19" fillId="0" borderId="0" applyAlignment="1" pivotButton="0" quotePrefix="0" xfId="21">
      <alignment horizontal="center"/>
    </xf>
    <xf numFmtId="183" fontId="19" fillId="0" borderId="25" pivotButton="0" quotePrefix="0" xfId="0"/>
    <xf numFmtId="183" fontId="19" fillId="0" borderId="0" applyAlignment="1" pivotButton="0" quotePrefix="0" xfId="0">
      <alignment horizontal="center"/>
    </xf>
    <xf numFmtId="166" fontId="40" fillId="0" borderId="25" applyAlignment="1" pivotButton="0" quotePrefix="0" xfId="0">
      <alignment horizontal="centerContinuous"/>
    </xf>
    <xf numFmtId="166" fontId="8" fillId="16" borderId="19" applyAlignment="1" pivotButton="0" quotePrefix="0" xfId="0">
      <alignment horizontal="center"/>
    </xf>
    <xf numFmtId="166" fontId="40" fillId="16" borderId="20" applyAlignment="1" pivotButton="0" quotePrefix="0" xfId="0">
      <alignment horizontal="center"/>
    </xf>
    <xf numFmtId="174" fontId="25" fillId="0" borderId="25" pivotButton="0" quotePrefix="0" xfId="0"/>
    <xf numFmtId="174" fontId="19" fillId="16" borderId="20" pivotButton="0" quotePrefix="0" xfId="0"/>
    <xf numFmtId="174" fontId="19" fillId="0" borderId="27" pivotButton="0" quotePrefix="0" xfId="0"/>
    <xf numFmtId="174" fontId="19" fillId="16" borderId="17" pivotButton="0" quotePrefix="0" xfId="0"/>
    <xf numFmtId="0" fontId="67" fillId="0" borderId="0" pivotButton="0" quotePrefix="0" xfId="0"/>
    <xf numFmtId="0" fontId="0" fillId="0" borderId="0" applyAlignment="1" pivotButton="0" quotePrefix="0" xfId="0">
      <alignment horizontal="right"/>
    </xf>
    <xf numFmtId="0" fontId="21" fillId="0" borderId="0" pivotButton="0" quotePrefix="0" xfId="0"/>
    <xf numFmtId="170" fontId="1" fillId="0" borderId="0" pivotButton="0" quotePrefix="0" xfId="0"/>
    <xf numFmtId="167" fontId="19" fillId="0" borderId="0" applyAlignment="1" pivotButton="0" quotePrefix="0" xfId="0">
      <alignment horizontal="right"/>
    </xf>
    <xf numFmtId="167" fontId="68" fillId="10" borderId="0" applyAlignment="1" pivotButton="0" quotePrefix="0" xfId="0">
      <alignment horizontal="right"/>
    </xf>
    <xf numFmtId="17" fontId="0" fillId="10" borderId="12" applyAlignment="1" pivotButton="0" quotePrefix="0" xfId="0">
      <alignment horizontal="center"/>
    </xf>
    <xf numFmtId="37" fontId="18" fillId="0" borderId="11" applyAlignment="1" pivotButton="0" quotePrefix="1" xfId="9">
      <alignment horizontal="right"/>
    </xf>
    <xf numFmtId="168" fontId="18" fillId="0" borderId="0" applyAlignment="1" pivotButton="0" quotePrefix="0" xfId="0">
      <alignment horizontal="center" vertical="center"/>
    </xf>
    <xf numFmtId="180" fontId="33" fillId="2" borderId="0" applyAlignment="1" pivotButton="0" quotePrefix="0" xfId="0">
      <alignment horizontal="right"/>
    </xf>
    <xf numFmtId="170" fontId="33" fillId="2" borderId="0" applyAlignment="1" pivotButton="0" quotePrefix="0" xfId="0">
      <alignment horizontal="right"/>
    </xf>
    <xf numFmtId="169" fontId="33" fillId="2" borderId="0" applyAlignment="1" pivotButton="0" quotePrefix="0" xfId="0">
      <alignment horizontal="right"/>
    </xf>
    <xf numFmtId="167" fontId="25" fillId="0" borderId="0" applyAlignment="1" pivotButton="0" quotePrefix="0" xfId="0">
      <alignment horizontal="left"/>
    </xf>
    <xf numFmtId="174" fontId="18" fillId="0" borderId="0" applyAlignment="1" pivotButton="0" quotePrefix="0" xfId="2">
      <alignment horizontal="right" indent="1"/>
    </xf>
    <xf numFmtId="0" fontId="18" fillId="0" borderId="29" applyAlignment="1" pivotButton="0" quotePrefix="0" xfId="9">
      <alignment horizontal="center"/>
    </xf>
    <xf numFmtId="193" fontId="18" fillId="0" borderId="29" applyAlignment="1" pivotButton="0" quotePrefix="0" xfId="9">
      <alignment horizontal="center"/>
    </xf>
    <xf numFmtId="0" fontId="18" fillId="0" borderId="0" applyAlignment="1" pivotButton="0" quotePrefix="0" xfId="9">
      <alignment horizontal="center"/>
    </xf>
    <xf numFmtId="0" fontId="18" fillId="0" borderId="0" applyAlignment="1" pivotButton="0" quotePrefix="0" xfId="9">
      <alignment horizontal="center" wrapText="1"/>
    </xf>
    <xf numFmtId="3" fontId="18" fillId="0" borderId="0" applyAlignment="1" pivotButton="0" quotePrefix="0" xfId="9">
      <alignment horizontal="right" indent="1"/>
    </xf>
    <xf numFmtId="168" fontId="18" fillId="0" borderId="30" applyAlignment="1" pivotButton="0" quotePrefix="0" xfId="9">
      <alignment horizontal="right"/>
    </xf>
    <xf numFmtId="0" fontId="0" fillId="0" borderId="30" applyAlignment="1" pivotButton="0" quotePrefix="0" xfId="0">
      <alignment horizontal="center"/>
    </xf>
    <xf numFmtId="174" fontId="18" fillId="0" borderId="30" applyAlignment="1" pivotButton="0" quotePrefix="0" xfId="2">
      <alignment horizontal="right" indent="1"/>
    </xf>
    <xf numFmtId="0" fontId="18" fillId="0" borderId="30" applyAlignment="1" pivotButton="0" quotePrefix="0" xfId="9">
      <alignment horizontal="left"/>
    </xf>
    <xf numFmtId="0" fontId="18" fillId="0" borderId="0" pivotButton="0" quotePrefix="1" xfId="9"/>
    <xf numFmtId="194" fontId="18" fillId="0" borderId="7" applyAlignment="1" pivotButton="0" quotePrefix="0" xfId="2">
      <alignment horizontal="right"/>
    </xf>
    <xf numFmtId="14" fontId="0" fillId="0" borderId="13" pivotButton="0" quotePrefix="0" xfId="0"/>
    <xf numFmtId="0" fontId="7" fillId="0" borderId="0" applyAlignment="1" pivotButton="0" quotePrefix="0" xfId="0">
      <alignment horizontal="center"/>
    </xf>
    <xf numFmtId="0" fontId="0" fillId="0" borderId="0" applyAlignment="1" pivotButton="0" quotePrefix="0" xfId="0">
      <alignment horizontal="center" vertical="center"/>
    </xf>
    <xf numFmtId="195" fontId="0" fillId="10" borderId="12" applyAlignment="1" pivotButton="0" quotePrefix="0" xfId="0">
      <alignment horizontal="center"/>
    </xf>
    <xf numFmtId="167" fontId="0" fillId="0" borderId="0" pivotButton="0" quotePrefix="0" xfId="0"/>
    <xf numFmtId="0" fontId="67" fillId="0" borderId="31" pivotButton="0" quotePrefix="0" xfId="0"/>
    <xf numFmtId="0" fontId="0" fillId="0" borderId="31" pivotButton="0" quotePrefix="0" xfId="0"/>
    <xf numFmtId="0" fontId="73" fillId="0" borderId="31" applyAlignment="1" pivotButton="0" quotePrefix="0" xfId="0">
      <alignment horizontal="right"/>
    </xf>
    <xf numFmtId="182" fontId="65" fillId="0" borderId="0" pivotButton="0" quotePrefix="0" xfId="21"/>
    <xf numFmtId="182" fontId="21" fillId="0" borderId="0" pivotButton="0" quotePrefix="0" xfId="21"/>
    <xf numFmtId="183" fontId="0" fillId="0" borderId="0" pivotButton="0" quotePrefix="0" xfId="0"/>
    <xf numFmtId="167" fontId="21" fillId="0" borderId="0" pivotButton="0" quotePrefix="0" xfId="0"/>
    <xf numFmtId="0" fontId="51" fillId="4" borderId="0" applyAlignment="1" pivotButton="0" quotePrefix="0" xfId="0">
      <alignment horizontal="center" vertical="center"/>
    </xf>
    <xf numFmtId="179" fontId="28" fillId="0" borderId="0" pivotButton="0" quotePrefix="0" xfId="2"/>
    <xf numFmtId="14" fontId="33" fillId="2" borderId="0" applyAlignment="1" pivotButton="0" quotePrefix="0" xfId="11">
      <alignment horizontal="left"/>
    </xf>
    <xf numFmtId="0" fontId="0" fillId="4" borderId="0" applyAlignment="1" pivotButton="0" quotePrefix="0" xfId="0">
      <alignment wrapText="1"/>
    </xf>
    <xf numFmtId="14" fontId="19" fillId="4" borderId="12" applyAlignment="1" pivotButton="0" quotePrefix="0" xfId="0">
      <alignment wrapText="1"/>
    </xf>
    <xf numFmtId="0" fontId="19" fillId="0" borderId="12" applyAlignment="1" pivotButton="0" quotePrefix="0" xfId="0">
      <alignment wrapText="1"/>
    </xf>
    <xf numFmtId="0" fontId="0" fillId="7" borderId="0" applyAlignment="1" pivotButton="0" quotePrefix="0" xfId="0">
      <alignment vertical="center"/>
    </xf>
    <xf numFmtId="0" fontId="0" fillId="7" borderId="0" applyAlignment="1" pivotButton="0" quotePrefix="0" xfId="0">
      <alignment vertical="center" wrapText="1"/>
    </xf>
    <xf numFmtId="168" fontId="18" fillId="7" borderId="0" applyAlignment="1" pivotButton="0" quotePrefix="0" xfId="0">
      <alignment horizontal="left" vertical="center" wrapText="1"/>
    </xf>
    <xf numFmtId="168" fontId="18" fillId="4" borderId="0" applyAlignment="1" pivotButton="0" quotePrefix="0" xfId="0">
      <alignment horizontal="left" vertical="center" wrapText="1"/>
    </xf>
    <xf numFmtId="196" fontId="18" fillId="4" borderId="0" applyAlignment="1" pivotButton="0" quotePrefix="0" xfId="0">
      <alignment horizontal="left" vertical="center" wrapText="1"/>
    </xf>
    <xf numFmtId="168" fontId="18" fillId="4" borderId="0" applyAlignment="1" pivotButton="0" quotePrefix="0" xfId="0">
      <alignment horizontal="left" vertical="center"/>
    </xf>
    <xf numFmtId="0" fontId="76" fillId="0" borderId="0" pivotButton="0" quotePrefix="0" xfId="9"/>
    <xf numFmtId="0" fontId="60" fillId="0" borderId="15" pivotButton="0" quotePrefix="0" xfId="0"/>
    <xf numFmtId="14" fontId="9" fillId="2" borderId="0" applyAlignment="1" pivotButton="0" quotePrefix="0" xfId="11">
      <alignment horizontal="left"/>
    </xf>
    <xf numFmtId="38" fontId="21" fillId="0" borderId="0" pivotButton="0" quotePrefix="0" xfId="0"/>
    <xf numFmtId="0" fontId="18" fillId="10" borderId="0" applyAlignment="1" pivotButton="0" quotePrefix="0" xfId="0">
      <alignment horizontal="left" indent="1"/>
    </xf>
    <xf numFmtId="0" fontId="0" fillId="19" borderId="0" pivotButton="0" quotePrefix="0" xfId="0"/>
    <xf numFmtId="197" fontId="0" fillId="0" borderId="0" pivotButton="0" quotePrefix="0" xfId="0"/>
    <xf numFmtId="167" fontId="28" fillId="10" borderId="0" applyAlignment="1" pivotButton="0" quotePrefix="0" xfId="0">
      <alignment horizontal="right"/>
    </xf>
    <xf numFmtId="168" fontId="18" fillId="4" borderId="0" applyAlignment="1" pivotButton="0" quotePrefix="0" xfId="0">
      <alignment horizontal="left" vertical="top" wrapText="1"/>
    </xf>
    <xf numFmtId="0" fontId="19" fillId="0" borderId="0" applyAlignment="1" pivotButton="0" quotePrefix="0" xfId="0">
      <alignment horizontal="center"/>
    </xf>
    <xf numFmtId="0" fontId="0" fillId="0" borderId="0" applyAlignment="1" pivotButton="0" quotePrefix="0" xfId="0">
      <alignment horizontal="centerContinuous" vertical="center"/>
    </xf>
    <xf numFmtId="0" fontId="19" fillId="0" borderId="0" applyAlignment="1" pivotButton="0" quotePrefix="0" xfId="0">
      <alignment horizontal="center" vertical="center"/>
    </xf>
    <xf numFmtId="14" fontId="18" fillId="0" borderId="13" pivotButton="0" quotePrefix="0" xfId="0"/>
    <xf numFmtId="14" fontId="18" fillId="0" borderId="13" applyAlignment="1" pivotButton="0" quotePrefix="0" xfId="0">
      <alignment horizontal="center"/>
    </xf>
    <xf numFmtId="0" fontId="0" fillId="0" borderId="0" applyAlignment="1" pivotButton="0" quotePrefix="0" xfId="0">
      <alignment horizontal="left" vertical="center" wrapText="1"/>
    </xf>
    <xf numFmtId="14" fontId="0" fillId="0" borderId="0" applyAlignment="1" pivotButton="0" quotePrefix="0" xfId="0">
      <alignment vertical="center"/>
    </xf>
    <xf numFmtId="14" fontId="0" fillId="0" borderId="0" applyAlignment="1" pivotButton="0" quotePrefix="0" xfId="0">
      <alignment horizontal="center" vertical="center"/>
    </xf>
    <xf numFmtId="14" fontId="18" fillId="0" borderId="0" applyAlignment="1" pivotButton="0" quotePrefix="0" xfId="0">
      <alignment horizontal="center" vertical="center"/>
    </xf>
    <xf numFmtId="0" fontId="0" fillId="0" borderId="12" applyAlignment="1" pivotButton="0" quotePrefix="0" xfId="0">
      <alignment horizontal="center" vertical="center"/>
    </xf>
    <xf numFmtId="0" fontId="18" fillId="0" borderId="12" applyAlignment="1" pivotButton="0" quotePrefix="0" xfId="0">
      <alignment horizontal="center" vertical="center"/>
    </xf>
    <xf numFmtId="38" fontId="77" fillId="0" borderId="0" applyAlignment="1" pivotButton="0" quotePrefix="0" xfId="0">
      <alignment horizontal="center"/>
    </xf>
    <xf numFmtId="14" fontId="10" fillId="0" borderId="0" applyAlignment="1" pivotButton="0" quotePrefix="0" xfId="11">
      <alignment horizontal="left"/>
    </xf>
    <xf numFmtId="9" fontId="18" fillId="0" borderId="0" applyAlignment="1" pivotButton="0" quotePrefix="0" xfId="3">
      <alignment horizontal="center"/>
    </xf>
    <xf numFmtId="0" fontId="21" fillId="18" borderId="0" pivotButton="0" quotePrefix="0" xfId="0"/>
    <xf numFmtId="0" fontId="26" fillId="0" borderId="0" pivotButton="0" quotePrefix="0" xfId="0"/>
    <xf numFmtId="38" fontId="18" fillId="0" borderId="0" pivotButton="0" quotePrefix="0" xfId="0"/>
    <xf numFmtId="0" fontId="26" fillId="0" borderId="0" applyAlignment="1" pivotButton="0" quotePrefix="0" xfId="0">
      <alignment horizontal="left"/>
    </xf>
    <xf numFmtId="174" fontId="41" fillId="14" borderId="23" pivotButton="0" quotePrefix="0" xfId="20"/>
    <xf numFmtId="198" fontId="18" fillId="0" borderId="30" applyAlignment="1" pivotButton="0" quotePrefix="0" xfId="3">
      <alignment horizontal="right"/>
    </xf>
    <xf numFmtId="0" fontId="48" fillId="0" borderId="0" pivotButton="0" quotePrefix="0" xfId="9"/>
    <xf numFmtId="197" fontId="24" fillId="0" borderId="0" pivotButton="0" quotePrefix="0" xfId="0"/>
    <xf numFmtId="197" fontId="8" fillId="0" borderId="2" pivotButton="0" quotePrefix="0" xfId="0"/>
    <xf numFmtId="37" fontId="21" fillId="0" borderId="0" pivotButton="0" quotePrefix="0" xfId="0"/>
    <xf numFmtId="0" fontId="9" fillId="0" borderId="0" applyAlignment="1" pivotButton="0" quotePrefix="0" xfId="8">
      <alignment horizontal="center"/>
    </xf>
    <xf numFmtId="0" fontId="11" fillId="0" borderId="0" applyAlignment="1" pivotButton="0" quotePrefix="0" xfId="8">
      <alignment horizontal="center"/>
    </xf>
    <xf numFmtId="0" fontId="9" fillId="0" borderId="0" applyAlignment="1" pivotButton="0" quotePrefix="0" xfId="8">
      <alignment horizontal="centerContinuous" wrapText="1"/>
    </xf>
    <xf numFmtId="199" fontId="0" fillId="2" borderId="0" pivotButton="0" quotePrefix="0" xfId="0"/>
    <xf numFmtId="170" fontId="0" fillId="0" borderId="0" pivotButton="0" quotePrefix="0" xfId="0"/>
    <xf numFmtId="42" fontId="20" fillId="10" borderId="2" applyAlignment="1" pivotButton="0" quotePrefix="0" xfId="0">
      <alignment horizontal="left"/>
    </xf>
    <xf numFmtId="167" fontId="20" fillId="10" borderId="0" applyAlignment="1" pivotButton="0" quotePrefix="0" xfId="0">
      <alignment horizontal="right"/>
    </xf>
    <xf numFmtId="167" fontId="20" fillId="0" borderId="0" applyAlignment="1" pivotButton="0" quotePrefix="0" xfId="0">
      <alignment horizontal="right"/>
    </xf>
    <xf numFmtId="179" fontId="20" fillId="10" borderId="0" pivotButton="0" quotePrefix="0" xfId="2"/>
    <xf numFmtId="0" fontId="19" fillId="2" borderId="0" pivotButton="0" quotePrefix="1" xfId="0"/>
    <xf numFmtId="0" fontId="79" fillId="0" borderId="0" pivotButton="0" quotePrefix="0" xfId="30"/>
    <xf numFmtId="9" fontId="21" fillId="2" borderId="0" applyAlignment="1" pivotButton="0" quotePrefix="0" xfId="11">
      <alignment horizontal="left"/>
    </xf>
    <xf numFmtId="0" fontId="6" fillId="11" borderId="44" pivotButton="0" quotePrefix="0" xfId="10"/>
    <xf numFmtId="0" fontId="0" fillId="11" borderId="45" pivotButton="0" quotePrefix="0" xfId="10"/>
    <xf numFmtId="0" fontId="0" fillId="0" borderId="42" pivotButton="0" quotePrefix="0" xfId="0"/>
    <xf numFmtId="0" fontId="8" fillId="0" borderId="42" pivotButton="0" quotePrefix="0" xfId="0"/>
    <xf numFmtId="0" fontId="20" fillId="0" borderId="46" applyAlignment="1" pivotButton="0" quotePrefix="0" xfId="0">
      <alignment horizontal="center"/>
    </xf>
    <xf numFmtId="0" fontId="0" fillId="10" borderId="42" applyAlignment="1" pivotButton="0" quotePrefix="0" xfId="0">
      <alignment horizontal="center"/>
    </xf>
    <xf numFmtId="0" fontId="8" fillId="10" borderId="46" applyAlignment="1" pivotButton="0" quotePrefix="0" xfId="0">
      <alignment horizontal="center"/>
    </xf>
    <xf numFmtId="14" fontId="28" fillId="10" borderId="0" applyAlignment="1" pivotButton="0" quotePrefix="0" xfId="0">
      <alignment horizontal="center"/>
    </xf>
    <xf numFmtId="14" fontId="19" fillId="10" borderId="0" applyAlignment="1" pivotButton="0" quotePrefix="0" xfId="0">
      <alignment horizontal="center"/>
    </xf>
    <xf numFmtId="0" fontId="0" fillId="10" borderId="47" applyAlignment="1" pivotButton="0" quotePrefix="0" xfId="0">
      <alignment horizontal="center"/>
    </xf>
    <xf numFmtId="0" fontId="25" fillId="10" borderId="0" applyAlignment="1" pivotButton="0" quotePrefix="0" xfId="0">
      <alignment horizontal="center"/>
    </xf>
    <xf numFmtId="0" fontId="18" fillId="0" borderId="42" applyAlignment="1" pivotButton="0" quotePrefix="0" xfId="0">
      <alignment horizontal="left"/>
    </xf>
    <xf numFmtId="179" fontId="25" fillId="0" borderId="46" pivotButton="0" quotePrefix="0" xfId="0"/>
    <xf numFmtId="179" fontId="0" fillId="0" borderId="0" pivotButton="0" quotePrefix="0" xfId="0"/>
    <xf numFmtId="0" fontId="20" fillId="10" borderId="42" applyAlignment="1" pivotButton="0" quotePrefix="0" xfId="0">
      <alignment horizontal="left"/>
    </xf>
    <xf numFmtId="42" fontId="19" fillId="10" borderId="46" applyAlignment="1" pivotButton="0" quotePrefix="0" xfId="0">
      <alignment horizontal="left"/>
    </xf>
    <xf numFmtId="42" fontId="19" fillId="10" borderId="0" applyAlignment="1" pivotButton="0" quotePrefix="0" xfId="0">
      <alignment horizontal="left"/>
    </xf>
    <xf numFmtId="0" fontId="80" fillId="0" borderId="42" applyAlignment="1" pivotButton="0" quotePrefix="0" xfId="0">
      <alignment horizontal="left"/>
    </xf>
    <xf numFmtId="9" fontId="51" fillId="0" borderId="46" applyAlignment="1" pivotButton="0" quotePrefix="0" xfId="0">
      <alignment horizontal="right"/>
    </xf>
    <xf numFmtId="0" fontId="24" fillId="0" borderId="42" pivotButton="0" quotePrefix="0" xfId="0"/>
    <xf numFmtId="9" fontId="26" fillId="0" borderId="0" applyAlignment="1" pivotButton="0" quotePrefix="0" xfId="0">
      <alignment horizontal="right"/>
    </xf>
    <xf numFmtId="0" fontId="24" fillId="0" borderId="0" pivotButton="0" quotePrefix="0" xfId="0"/>
    <xf numFmtId="179" fontId="24" fillId="0" borderId="0" pivotButton="0" quotePrefix="0" xfId="0"/>
    <xf numFmtId="0" fontId="60" fillId="0" borderId="42" applyAlignment="1" pivotButton="0" quotePrefix="0" xfId="0">
      <alignment horizontal="left"/>
    </xf>
    <xf numFmtId="9" fontId="26" fillId="0" borderId="46" applyAlignment="1" pivotButton="0" quotePrefix="0" xfId="0">
      <alignment horizontal="right"/>
    </xf>
    <xf numFmtId="0" fontId="18" fillId="0" borderId="42" applyAlignment="1" pivotButton="0" quotePrefix="0" xfId="0">
      <alignment horizontal="left" indent="1"/>
    </xf>
    <xf numFmtId="179" fontId="21" fillId="0" borderId="0" pivotButton="0" quotePrefix="0" xfId="0"/>
    <xf numFmtId="179" fontId="19" fillId="10" borderId="48" pivotButton="0" quotePrefix="0" xfId="0"/>
    <xf numFmtId="179" fontId="19" fillId="10" borderId="0" pivotButton="0" quotePrefix="0" xfId="0"/>
    <xf numFmtId="0" fontId="20" fillId="0" borderId="42" applyAlignment="1" pivotButton="0" quotePrefix="0" xfId="0">
      <alignment horizontal="left"/>
    </xf>
    <xf numFmtId="179" fontId="19" fillId="0" borderId="46" pivotButton="0" quotePrefix="0" xfId="0"/>
    <xf numFmtId="179" fontId="19" fillId="0" borderId="0" pivotButton="0" quotePrefix="0" xfId="0"/>
    <xf numFmtId="0" fontId="81" fillId="0" borderId="0" pivotButton="0" quotePrefix="0" xfId="0"/>
    <xf numFmtId="179" fontId="33" fillId="0" borderId="0" pivotButton="0" quotePrefix="0" xfId="0"/>
    <xf numFmtId="179" fontId="19" fillId="10" borderId="0" pivotButton="0" quotePrefix="0" xfId="31"/>
    <xf numFmtId="0" fontId="20" fillId="10" borderId="49" applyAlignment="1" pivotButton="0" quotePrefix="0" xfId="0">
      <alignment horizontal="left"/>
    </xf>
    <xf numFmtId="179" fontId="19" fillId="10" borderId="50" pivotButton="0" quotePrefix="0" xfId="0"/>
    <xf numFmtId="182" fontId="21" fillId="0" borderId="0" applyAlignment="1" pivotButton="0" quotePrefix="0" xfId="0">
      <alignment horizontal="right"/>
    </xf>
    <xf numFmtId="0" fontId="82" fillId="0" borderId="0" pivotButton="0" quotePrefix="0" xfId="28"/>
    <xf numFmtId="0" fontId="83" fillId="0" borderId="0" pivotButton="0" quotePrefix="0" xfId="28"/>
    <xf numFmtId="0" fontId="84" fillId="0" borderId="1" pivotButton="0" quotePrefix="0" xfId="28"/>
    <xf numFmtId="0" fontId="83" fillId="0" borderId="1" pivotButton="0" quotePrefix="0" xfId="28"/>
    <xf numFmtId="0" fontId="85" fillId="0" borderId="0" applyAlignment="1" pivotButton="0" quotePrefix="0" xfId="28">
      <alignment horizontal="left"/>
    </xf>
    <xf numFmtId="195" fontId="86" fillId="15" borderId="32" applyAlignment="1" pivotButton="0" quotePrefix="0" xfId="28">
      <alignment horizontal="center"/>
    </xf>
    <xf numFmtId="195" fontId="86" fillId="15" borderId="33" applyAlignment="1" pivotButton="0" quotePrefix="0" xfId="28">
      <alignment horizontal="center"/>
    </xf>
    <xf numFmtId="0" fontId="87" fillId="0" borderId="10" pivotButton="0" quotePrefix="0" xfId="28"/>
    <xf numFmtId="0" fontId="87" fillId="0" borderId="1" pivotButton="0" quotePrefix="0" xfId="28"/>
    <xf numFmtId="0" fontId="88" fillId="0" borderId="1" pivotButton="0" quotePrefix="0" xfId="28"/>
    <xf numFmtId="197" fontId="89" fillId="0" borderId="1" pivotButton="0" quotePrefix="0" xfId="28"/>
    <xf numFmtId="197" fontId="89" fillId="21" borderId="40" pivotButton="0" quotePrefix="0" xfId="28"/>
    <xf numFmtId="197" fontId="83" fillId="0" borderId="0" pivotButton="0" quotePrefix="0" xfId="28"/>
    <xf numFmtId="197" fontId="83" fillId="21" borderId="41" pivotButton="0" quotePrefix="0" xfId="28"/>
    <xf numFmtId="0" fontId="90" fillId="0" borderId="1" pivotButton="0" quotePrefix="0" xfId="28"/>
    <xf numFmtId="197" fontId="83" fillId="0" borderId="1" pivotButton="0" quotePrefix="0" xfId="28"/>
    <xf numFmtId="197" fontId="83" fillId="21" borderId="40" pivotButton="0" quotePrefix="0" xfId="28"/>
    <xf numFmtId="0" fontId="83" fillId="0" borderId="0" applyAlignment="1" pivotButton="0" quotePrefix="0" xfId="28">
      <alignment horizontal="left"/>
    </xf>
    <xf numFmtId="197" fontId="82" fillId="0" borderId="0" applyAlignment="1" pivotButton="0" quotePrefix="0" xfId="29">
      <alignment horizontal="right"/>
    </xf>
    <xf numFmtId="197" fontId="82" fillId="21" borderId="41" applyAlignment="1" pivotButton="0" quotePrefix="0" xfId="29">
      <alignment horizontal="right"/>
    </xf>
    <xf numFmtId="17" fontId="82" fillId="17" borderId="28" applyAlignment="1" pivotButton="0" quotePrefix="0" xfId="29">
      <alignment horizontal="left"/>
    </xf>
    <xf numFmtId="0" fontId="83" fillId="0" borderId="35" pivotButton="0" quotePrefix="0" xfId="28"/>
    <xf numFmtId="197" fontId="82" fillId="17" borderId="28" applyAlignment="1" pivotButton="0" quotePrefix="0" xfId="29">
      <alignment horizontal="right"/>
    </xf>
    <xf numFmtId="197" fontId="82" fillId="17" borderId="36" applyAlignment="1" pivotButton="0" quotePrefix="0" xfId="29">
      <alignment horizontal="right"/>
    </xf>
    <xf numFmtId="197" fontId="82" fillId="17" borderId="38" applyAlignment="1" pivotButton="0" quotePrefix="0" xfId="29">
      <alignment horizontal="right"/>
    </xf>
    <xf numFmtId="197" fontId="91" fillId="21" borderId="41" applyAlignment="1" pivotButton="0" quotePrefix="0" xfId="28">
      <alignment horizontal="right"/>
    </xf>
    <xf numFmtId="0" fontId="85" fillId="0" borderId="0" pivotButton="0" quotePrefix="0" xfId="28"/>
    <xf numFmtId="0" fontId="87" fillId="0" borderId="0" pivotButton="0" quotePrefix="0" xfId="28"/>
    <xf numFmtId="0" fontId="87" fillId="0" borderId="0" applyAlignment="1" pivotButton="0" quotePrefix="0" xfId="28">
      <alignment horizontal="left"/>
    </xf>
    <xf numFmtId="197" fontId="89" fillId="0" borderId="0" applyAlignment="1" pivotButton="0" quotePrefix="0" xfId="28">
      <alignment horizontal="right"/>
    </xf>
    <xf numFmtId="197" fontId="89" fillId="21" borderId="41" applyAlignment="1" pivotButton="0" quotePrefix="0" xfId="28">
      <alignment horizontal="right"/>
    </xf>
    <xf numFmtId="197" fontId="83" fillId="0" borderId="0" applyAlignment="1" pivotButton="0" quotePrefix="0" xfId="28">
      <alignment horizontal="right"/>
    </xf>
    <xf numFmtId="197" fontId="83" fillId="21" borderId="41" applyAlignment="1" pivotButton="0" quotePrefix="0" xfId="28">
      <alignment horizontal="right"/>
    </xf>
    <xf numFmtId="0" fontId="83" fillId="0" borderId="1" applyAlignment="1" pivotButton="0" quotePrefix="0" xfId="28">
      <alignment horizontal="left"/>
    </xf>
    <xf numFmtId="197" fontId="83" fillId="0" borderId="1" applyAlignment="1" pivotButton="0" quotePrefix="0" xfId="28">
      <alignment horizontal="right"/>
    </xf>
    <xf numFmtId="197" fontId="83" fillId="21" borderId="40" applyAlignment="1" pivotButton="0" quotePrefix="0" xfId="28">
      <alignment horizontal="right"/>
    </xf>
    <xf numFmtId="197" fontId="92" fillId="17" borderId="36" applyAlignment="1" pivotButton="0" quotePrefix="0" xfId="29">
      <alignment horizontal="right"/>
    </xf>
    <xf numFmtId="197" fontId="85" fillId="17" borderId="36" applyAlignment="1" pivotButton="0" quotePrefix="0" xfId="29">
      <alignment horizontal="right"/>
    </xf>
    <xf numFmtId="0" fontId="87" fillId="20" borderId="0" pivotButton="0" quotePrefix="0" xfId="28"/>
    <xf numFmtId="0" fontId="87" fillId="20" borderId="0" applyAlignment="1" pivotButton="0" quotePrefix="0" xfId="28">
      <alignment horizontal="left"/>
    </xf>
    <xf numFmtId="197" fontId="89" fillId="20" borderId="0" applyAlignment="1" pivotButton="0" quotePrefix="0" xfId="28">
      <alignment horizontal="right"/>
    </xf>
    <xf numFmtId="174" fontId="83" fillId="0" borderId="0" applyAlignment="1" pivotButton="0" quotePrefix="0" xfId="28">
      <alignment horizontal="right"/>
    </xf>
    <xf numFmtId="174" fontId="83" fillId="21" borderId="41" applyAlignment="1" pivotButton="0" quotePrefix="0" xfId="28">
      <alignment horizontal="right"/>
    </xf>
    <xf numFmtId="0" fontId="87" fillId="0" borderId="14" pivotButton="0" quotePrefix="0" xfId="28"/>
    <xf numFmtId="0" fontId="87" fillId="0" borderId="4" applyAlignment="1" pivotButton="0" quotePrefix="0" xfId="28">
      <alignment horizontal="left"/>
    </xf>
    <xf numFmtId="0" fontId="87" fillId="0" borderId="4" pivotButton="0" quotePrefix="0" xfId="28"/>
    <xf numFmtId="174" fontId="89" fillId="0" borderId="4" applyAlignment="1" pivotButton="0" quotePrefix="0" xfId="28">
      <alignment horizontal="right"/>
    </xf>
    <xf numFmtId="174" fontId="89" fillId="21" borderId="43" applyAlignment="1" pivotButton="0" quotePrefix="0" xfId="28">
      <alignment horizontal="right"/>
    </xf>
    <xf numFmtId="166" fontId="25" fillId="0" borderId="0" applyAlignment="1" pivotButton="0" quotePrefix="0" xfId="1">
      <alignment horizontal="center" vertical="center"/>
    </xf>
    <xf numFmtId="169" fontId="93" fillId="2" borderId="0" applyAlignment="1" pivotButton="0" quotePrefix="0" xfId="2">
      <alignment horizontal="center"/>
    </xf>
    <xf numFmtId="167" fontId="18" fillId="0" borderId="0" pivotButton="0" quotePrefix="0" xfId="0"/>
    <xf numFmtId="0" fontId="20" fillId="0" borderId="0" applyAlignment="1" pivotButton="0" quotePrefix="0" xfId="0">
      <alignment horizontal="center"/>
    </xf>
    <xf numFmtId="0" fontId="0" fillId="0" borderId="42" applyAlignment="1" pivotButton="0" quotePrefix="0" xfId="0">
      <alignment horizontal="left" indent="1"/>
    </xf>
    <xf numFmtId="165" fontId="19" fillId="0" borderId="0" applyAlignment="1" pivotButton="0" quotePrefix="0" xfId="0">
      <alignment horizontal="center"/>
    </xf>
    <xf numFmtId="180" fontId="25" fillId="0" borderId="0" applyAlignment="1" pivotButton="0" quotePrefix="0" xfId="0">
      <alignment horizontal="center"/>
    </xf>
    <xf numFmtId="166" fontId="18" fillId="0" borderId="0" applyAlignment="1" pivotButton="0" quotePrefix="0" xfId="1">
      <alignment horizontal="center" vertical="center"/>
    </xf>
    <xf numFmtId="166" fontId="25" fillId="0" borderId="0" applyAlignment="1" pivotButton="0" quotePrefix="0" xfId="0">
      <alignment horizontal="center"/>
    </xf>
    <xf numFmtId="186" fontId="19" fillId="0" borderId="0" applyAlignment="1" pivotButton="0" quotePrefix="0" xfId="0">
      <alignment horizontal="center"/>
    </xf>
    <xf numFmtId="166" fontId="25" fillId="0" borderId="0" applyAlignment="1" pivotButton="0" quotePrefix="0" xfId="2">
      <alignment horizontal="center"/>
    </xf>
    <xf numFmtId="169" fontId="93" fillId="0" borderId="0" applyAlignment="1" pivotButton="0" quotePrefix="0" xfId="2">
      <alignment horizontal="center"/>
    </xf>
    <xf numFmtId="169" fontId="33" fillId="0" borderId="0" applyAlignment="1" pivotButton="0" quotePrefix="0" xfId="0">
      <alignment horizontal="center"/>
    </xf>
    <xf numFmtId="174" fontId="48" fillId="0" borderId="0" pivotButton="0" quotePrefix="0" xfId="0"/>
    <xf numFmtId="200" fontId="0" fillId="0" borderId="0" pivotButton="0" quotePrefix="0" xfId="0"/>
    <xf numFmtId="42" fontId="0" fillId="0" borderId="0" pivotButton="0" quotePrefix="0" xfId="0"/>
    <xf numFmtId="201" fontId="18" fillId="0" borderId="10" pivotButton="0" quotePrefix="0" xfId="9"/>
    <xf numFmtId="202" fontId="18" fillId="0" borderId="10" pivotButton="0" quotePrefix="0" xfId="9"/>
    <xf numFmtId="202" fontId="18" fillId="0" borderId="14" pivotButton="0" quotePrefix="0" xfId="9"/>
    <xf numFmtId="0" fontId="94" fillId="0" borderId="0" pivotButton="0" quotePrefix="0" xfId="28"/>
    <xf numFmtId="0" fontId="70" fillId="0" borderId="0" pivotButton="0" quotePrefix="0" xfId="28"/>
    <xf numFmtId="0" fontId="70" fillId="0" borderId="25" pivotButton="0" quotePrefix="0" xfId="28"/>
    <xf numFmtId="0" fontId="95" fillId="0" borderId="1" pivotButton="0" quotePrefix="0" xfId="28"/>
    <xf numFmtId="0" fontId="70" fillId="0" borderId="1" pivotButton="0" quotePrefix="0" xfId="28"/>
    <xf numFmtId="0" fontId="70" fillId="0" borderId="51" pivotButton="0" quotePrefix="0" xfId="28"/>
    <xf numFmtId="0" fontId="96" fillId="0" borderId="0" applyAlignment="1" pivotButton="0" quotePrefix="0" xfId="28">
      <alignment horizontal="left"/>
    </xf>
    <xf numFmtId="14" fontId="97" fillId="2" borderId="0" applyAlignment="1" pivotButton="0" quotePrefix="0" xfId="11">
      <alignment horizontal="left"/>
    </xf>
    <xf numFmtId="0" fontId="70" fillId="0" borderId="46" pivotButton="0" quotePrefix="0" xfId="28"/>
    <xf numFmtId="0" fontId="98" fillId="0" borderId="0" applyAlignment="1" pivotButton="0" quotePrefix="0" xfId="0">
      <alignment horizontal="center"/>
    </xf>
    <xf numFmtId="195" fontId="99" fillId="15" borderId="37" applyAlignment="1" pivotButton="0" quotePrefix="0" xfId="28">
      <alignment horizontal="center"/>
    </xf>
    <xf numFmtId="195" fontId="99" fillId="15" borderId="32" applyAlignment="1" pivotButton="0" quotePrefix="0" xfId="28">
      <alignment horizontal="center"/>
    </xf>
    <xf numFmtId="195" fontId="99" fillId="15" borderId="33" applyAlignment="1" pivotButton="0" quotePrefix="0" xfId="28">
      <alignment horizontal="center"/>
    </xf>
    <xf numFmtId="174" fontId="100" fillId="0" borderId="0" applyAlignment="1" pivotButton="0" quotePrefix="0" xfId="28">
      <alignment horizontal="right"/>
    </xf>
    <xf numFmtId="0" fontId="101" fillId="0" borderId="10" pivotButton="0" quotePrefix="0" xfId="28"/>
    <xf numFmtId="0" fontId="101" fillId="0" borderId="1" pivotButton="0" quotePrefix="0" xfId="28"/>
    <xf numFmtId="0" fontId="102" fillId="0" borderId="1" pivotButton="0" quotePrefix="0" xfId="28"/>
    <xf numFmtId="197" fontId="103" fillId="0" borderId="52" pivotButton="0" quotePrefix="0" xfId="28"/>
    <xf numFmtId="197" fontId="103" fillId="0" borderId="34" pivotButton="0" quotePrefix="0" xfId="28"/>
    <xf numFmtId="0" fontId="104" fillId="0" borderId="1" pivotButton="0" quotePrefix="0" xfId="28"/>
    <xf numFmtId="0" fontId="101" fillId="0" borderId="0" pivotButton="0" quotePrefix="0" xfId="28"/>
    <xf numFmtId="0" fontId="70" fillId="0" borderId="0" applyAlignment="1" pivotButton="0" quotePrefix="0" xfId="28">
      <alignment horizontal="left" indent="1"/>
    </xf>
    <xf numFmtId="174" fontId="94" fillId="0" borderId="25" applyAlignment="1" pivotButton="0" quotePrefix="0" xfId="29">
      <alignment horizontal="right"/>
    </xf>
    <xf numFmtId="174" fontId="94" fillId="0" borderId="0" applyAlignment="1" pivotButton="0" quotePrefix="0" xfId="29">
      <alignment horizontal="right"/>
    </xf>
    <xf numFmtId="17" fontId="94" fillId="17" borderId="28" applyAlignment="1" pivotButton="0" quotePrefix="0" xfId="29">
      <alignment horizontal="left"/>
    </xf>
    <xf numFmtId="0" fontId="70" fillId="0" borderId="35" pivotButton="0" quotePrefix="0" xfId="28"/>
    <xf numFmtId="174" fontId="100" fillId="17" borderId="28" applyAlignment="1" pivotButton="0" quotePrefix="0" xfId="29">
      <alignment horizontal="right"/>
    </xf>
    <xf numFmtId="174" fontId="94" fillId="17" borderId="36" applyAlignment="1" pivotButton="0" quotePrefix="0" xfId="29">
      <alignment horizontal="right"/>
    </xf>
    <xf numFmtId="174" fontId="105" fillId="17" borderId="36" applyAlignment="1" pivotButton="0" quotePrefix="0" xfId="29">
      <alignment horizontal="right"/>
    </xf>
    <xf numFmtId="0" fontId="105" fillId="0" borderId="0" pivotButton="0" quotePrefix="0" xfId="28"/>
    <xf numFmtId="174" fontId="94" fillId="17" borderId="54" applyAlignment="1" pivotButton="0" quotePrefix="0" xfId="29">
      <alignment horizontal="right"/>
    </xf>
    <xf numFmtId="174" fontId="94" fillId="17" borderId="55" applyAlignment="1" pivotButton="0" quotePrefix="0" xfId="29">
      <alignment horizontal="right"/>
    </xf>
    <xf numFmtId="0" fontId="96" fillId="0" borderId="0" pivotButton="0" quotePrefix="0" xfId="28"/>
    <xf numFmtId="0" fontId="101" fillId="0" borderId="0" applyAlignment="1" pivotButton="0" quotePrefix="0" xfId="28">
      <alignment horizontal="left"/>
    </xf>
    <xf numFmtId="174" fontId="103" fillId="0" borderId="25" applyAlignment="1" pivotButton="0" quotePrefix="0" xfId="28">
      <alignment horizontal="right"/>
    </xf>
    <xf numFmtId="174" fontId="103" fillId="0" borderId="0" applyAlignment="1" pivotButton="0" quotePrefix="0" xfId="28">
      <alignment horizontal="right"/>
    </xf>
    <xf numFmtId="174" fontId="101" fillId="0" borderId="0" pivotButton="0" quotePrefix="0" xfId="28"/>
    <xf numFmtId="0" fontId="70" fillId="0" borderId="0" applyAlignment="1" pivotButton="0" quotePrefix="0" xfId="28">
      <alignment horizontal="left"/>
    </xf>
    <xf numFmtId="174" fontId="70" fillId="0" borderId="25" applyAlignment="1" pivotButton="0" quotePrefix="0" xfId="28">
      <alignment horizontal="right"/>
    </xf>
    <xf numFmtId="174" fontId="70" fillId="0" borderId="0" applyAlignment="1" pivotButton="0" quotePrefix="0" xfId="28">
      <alignment horizontal="right"/>
    </xf>
    <xf numFmtId="0" fontId="70" fillId="0" borderId="1" applyAlignment="1" pivotButton="0" quotePrefix="0" xfId="28">
      <alignment horizontal="left"/>
    </xf>
    <xf numFmtId="174" fontId="70" fillId="0" borderId="51" applyAlignment="1" pivotButton="0" quotePrefix="0" xfId="28">
      <alignment horizontal="right"/>
    </xf>
    <xf numFmtId="174" fontId="70" fillId="0" borderId="1" applyAlignment="1" pivotButton="0" quotePrefix="0" xfId="28">
      <alignment horizontal="right"/>
    </xf>
    <xf numFmtId="174" fontId="100" fillId="17" borderId="36" applyAlignment="1" pivotButton="0" quotePrefix="0" xfId="29">
      <alignment horizontal="right"/>
    </xf>
    <xf numFmtId="174" fontId="94" fillId="17" borderId="56" applyAlignment="1" pivotButton="0" quotePrefix="0" xfId="29">
      <alignment horizontal="right"/>
    </xf>
    <xf numFmtId="174" fontId="100" fillId="17" borderId="55" applyAlignment="1" pivotButton="0" quotePrefix="0" xfId="29">
      <alignment horizontal="right"/>
    </xf>
    <xf numFmtId="174" fontId="94" fillId="17" borderId="57" applyAlignment="1" pivotButton="0" quotePrefix="0" xfId="29">
      <alignment horizontal="right"/>
    </xf>
    <xf numFmtId="174" fontId="97" fillId="17" borderId="36" applyAlignment="1" pivotButton="0" quotePrefix="0" xfId="29">
      <alignment horizontal="right"/>
    </xf>
    <xf numFmtId="174" fontId="96" fillId="17" borderId="36" applyAlignment="1" pivotButton="0" quotePrefix="0" xfId="29">
      <alignment horizontal="right"/>
    </xf>
    <xf numFmtId="203" fontId="100" fillId="17" borderId="28" applyAlignment="1" pivotButton="0" quotePrefix="0" xfId="29">
      <alignment horizontal="right"/>
    </xf>
    <xf numFmtId="203" fontId="100" fillId="17" borderId="36" applyAlignment="1" pivotButton="0" quotePrefix="0" xfId="29">
      <alignment horizontal="right"/>
    </xf>
    <xf numFmtId="203" fontId="94" fillId="17" borderId="36" applyAlignment="1" pivotButton="0" quotePrefix="0" xfId="29">
      <alignment horizontal="right"/>
    </xf>
    <xf numFmtId="0" fontId="101" fillId="20" borderId="0" pivotButton="0" quotePrefix="0" xfId="28"/>
    <xf numFmtId="0" fontId="101" fillId="20" borderId="0" applyAlignment="1" pivotButton="0" quotePrefix="0" xfId="28">
      <alignment horizontal="left"/>
    </xf>
    <xf numFmtId="174" fontId="103" fillId="20" borderId="25" applyAlignment="1" pivotButton="0" quotePrefix="0" xfId="28">
      <alignment horizontal="right"/>
    </xf>
    <xf numFmtId="174" fontId="103" fillId="20" borderId="0" applyAlignment="1" pivotButton="0" quotePrefix="0" xfId="28">
      <alignment horizontal="right"/>
    </xf>
    <xf numFmtId="0" fontId="101" fillId="0" borderId="14" pivotButton="0" quotePrefix="0" xfId="28"/>
    <xf numFmtId="0" fontId="101" fillId="0" borderId="4" applyAlignment="1" pivotButton="0" quotePrefix="0" xfId="28">
      <alignment horizontal="left"/>
    </xf>
    <xf numFmtId="0" fontId="101" fillId="0" borderId="4" pivotButton="0" quotePrefix="0" xfId="28"/>
    <xf numFmtId="174" fontId="103" fillId="0" borderId="27" applyAlignment="1" pivotButton="0" quotePrefix="0" xfId="28">
      <alignment horizontal="right"/>
    </xf>
    <xf numFmtId="174" fontId="103" fillId="0" borderId="4" applyAlignment="1" pivotButton="0" quotePrefix="0" xfId="28">
      <alignment horizontal="right"/>
    </xf>
    <xf numFmtId="204" fontId="70" fillId="0" borderId="0" pivotButton="0" quotePrefix="0" xfId="28"/>
    <xf numFmtId="174" fontId="106" fillId="0" borderId="0" pivotButton="0" quotePrefix="0" xfId="28"/>
    <xf numFmtId="0" fontId="107" fillId="0" borderId="0" pivotButton="0" quotePrefix="0" xfId="28"/>
    <xf numFmtId="182" fontId="82" fillId="0" borderId="0" applyAlignment="1" pivotButton="0" quotePrefix="0" xfId="1">
      <alignment horizontal="left"/>
    </xf>
    <xf numFmtId="179" fontId="65" fillId="0" borderId="0" pivotButton="0" quotePrefix="0" xfId="0"/>
    <xf numFmtId="166" fontId="1" fillId="2" borderId="0" applyAlignment="1" pivotButton="0" quotePrefix="0" xfId="1">
      <alignment horizontal="center" vertical="center"/>
    </xf>
    <xf numFmtId="166" fontId="1" fillId="2" borderId="1" applyAlignment="1" pivotButton="0" quotePrefix="0" xfId="0">
      <alignment horizontal="center"/>
    </xf>
    <xf numFmtId="167" fontId="1" fillId="2" borderId="1" applyAlignment="1" pivotButton="0" quotePrefix="0" xfId="0">
      <alignment horizontal="center"/>
    </xf>
    <xf numFmtId="0" fontId="65" fillId="0" borderId="0" applyAlignment="1" pivotButton="0" quotePrefix="0" xfId="0">
      <alignment horizontal="center"/>
    </xf>
    <xf numFmtId="179" fontId="25" fillId="0" borderId="0" pivotButton="0" quotePrefix="1" xfId="0"/>
    <xf numFmtId="0" fontId="25" fillId="0" borderId="2" pivotButton="0" quotePrefix="1" xfId="0"/>
    <xf numFmtId="0" fontId="25" fillId="0" borderId="0" pivotButton="0" quotePrefix="1" xfId="0"/>
    <xf numFmtId="170" fontId="19" fillId="2" borderId="0" applyAlignment="1" pivotButton="0" quotePrefix="0" xfId="0">
      <alignment horizontal="center"/>
    </xf>
    <xf numFmtId="167" fontId="25" fillId="2" borderId="2" applyAlignment="1" pivotButton="0" quotePrefix="0" xfId="0">
      <alignment horizontal="center"/>
    </xf>
    <xf numFmtId="197" fontId="92" fillId="0" borderId="0" applyAlignment="1" pivotButton="0" quotePrefix="0" xfId="28">
      <alignment horizontal="right"/>
    </xf>
    <xf numFmtId="197" fontId="91" fillId="21" borderId="39" pivotButton="0" quotePrefix="0" xfId="28"/>
    <xf numFmtId="197" fontId="91" fillId="21" borderId="41" pivotButton="0" quotePrefix="0" xfId="28"/>
    <xf numFmtId="197" fontId="92" fillId="0" borderId="1" applyAlignment="1" pivotButton="0" quotePrefix="0" xfId="28">
      <alignment horizontal="right"/>
    </xf>
    <xf numFmtId="197" fontId="92" fillId="0" borderId="1" pivotButton="0" quotePrefix="0" xfId="28"/>
    <xf numFmtId="197" fontId="91" fillId="21" borderId="40" pivotButton="0" quotePrefix="0" xfId="28"/>
    <xf numFmtId="182" fontId="91" fillId="0" borderId="0" pivotButton="0" quotePrefix="0" xfId="28"/>
    <xf numFmtId="205" fontId="18" fillId="0" borderId="4" applyAlignment="1" pivotButton="0" quotePrefix="0" xfId="9">
      <alignment horizontal="right"/>
    </xf>
    <xf numFmtId="205" fontId="18" fillId="0" borderId="5" applyAlignment="1" pivotButton="0" quotePrefix="0" xfId="9">
      <alignment horizontal="right"/>
    </xf>
    <xf numFmtId="205" fontId="18" fillId="0" borderId="14" pivotButton="0" quotePrefix="0" xfId="9"/>
    <xf numFmtId="174" fontId="70" fillId="0" borderId="0" pivotButton="0" quotePrefix="0" xfId="28"/>
    <xf numFmtId="179" fontId="18" fillId="10" borderId="0" pivotButton="0" quotePrefix="0" xfId="2"/>
    <xf numFmtId="182" fontId="77" fillId="0" borderId="0" pivotButton="0" quotePrefix="0" xfId="0"/>
    <xf numFmtId="179" fontId="19" fillId="10" borderId="58" pivotButton="0" quotePrefix="0" xfId="0"/>
    <xf numFmtId="0" fontId="0" fillId="2" borderId="1" applyAlignment="1" pivotButton="0" quotePrefix="1" xfId="0">
      <alignment vertical="center"/>
    </xf>
    <xf numFmtId="182" fontId="83" fillId="0" borderId="0" applyAlignment="1" pivotButton="0" quotePrefix="0" xfId="28">
      <alignment horizontal="left"/>
    </xf>
    <xf numFmtId="174" fontId="83" fillId="0" borderId="0" applyAlignment="1" pivotButton="0" quotePrefix="0" xfId="28">
      <alignment horizontal="left"/>
    </xf>
    <xf numFmtId="174" fontId="94" fillId="17" borderId="28" applyAlignment="1" pivotButton="0" quotePrefix="0" xfId="29">
      <alignment horizontal="right"/>
    </xf>
    <xf numFmtId="174" fontId="94" fillId="17" borderId="59" applyAlignment="1" pivotButton="0" quotePrefix="0" xfId="29">
      <alignment horizontal="right"/>
    </xf>
    <xf numFmtId="174" fontId="100" fillId="17" borderId="56" applyAlignment="1" pivotButton="0" quotePrefix="0" xfId="29">
      <alignment horizontal="right"/>
    </xf>
    <xf numFmtId="206" fontId="70" fillId="0" borderId="0" pivotButton="0" quotePrefix="0" xfId="28"/>
    <xf numFmtId="0" fontId="70" fillId="0" borderId="2" pivotButton="0" quotePrefix="0" xfId="28"/>
    <xf numFmtId="0" fontId="25" fillId="0" borderId="60" pivotButton="0" quotePrefix="0" xfId="0"/>
    <xf numFmtId="0" fontId="19" fillId="2" borderId="61" pivotButton="0" quotePrefix="0" xfId="0"/>
    <xf numFmtId="182" fontId="83" fillId="0" borderId="0" pivotButton="0" quotePrefix="0" xfId="28"/>
    <xf numFmtId="3" fontId="83" fillId="0" borderId="0" pivotButton="0" quotePrefix="0" xfId="28"/>
    <xf numFmtId="43" fontId="83" fillId="0" borderId="0" pivotButton="0" quotePrefix="0" xfId="28"/>
    <xf numFmtId="0" fontId="108" fillId="0" borderId="0" pivotButton="0" quotePrefix="0" xfId="28"/>
    <xf numFmtId="182" fontId="87" fillId="22" borderId="0" pivotButton="0" quotePrefix="0" xfId="28"/>
    <xf numFmtId="0" fontId="19" fillId="0" borderId="0" applyAlignment="1" pivotButton="0" quotePrefix="0" xfId="0">
      <alignment wrapText="1"/>
    </xf>
    <xf numFmtId="14" fontId="7" fillId="0" borderId="0" applyAlignment="1" pivotButton="0" quotePrefix="0" xfId="0">
      <alignment horizontal="center" vertical="center"/>
    </xf>
    <xf numFmtId="0" fontId="0" fillId="0" borderId="0" pivotButton="0" quotePrefix="1" xfId="0"/>
    <xf numFmtId="0" fontId="0" fillId="0" borderId="0" applyAlignment="1" pivotButton="0" quotePrefix="0" xfId="0">
      <alignment horizontal="left" vertical="center"/>
    </xf>
    <xf numFmtId="0" fontId="0" fillId="0" borderId="0" applyAlignment="1" pivotButton="0" quotePrefix="1" xfId="0">
      <alignment horizontal="left" vertical="center"/>
    </xf>
    <xf numFmtId="170" fontId="21" fillId="0" borderId="0" pivotButton="0" quotePrefix="0" xfId="21"/>
    <xf numFmtId="174" fontId="94" fillId="17" borderId="53" applyAlignment="1" pivotButton="0" quotePrefix="0" xfId="29">
      <alignment horizontal="right"/>
    </xf>
    <xf numFmtId="0" fontId="24" fillId="0" borderId="0" applyAlignment="1" pivotButton="0" quotePrefix="0" xfId="0">
      <alignment horizontal="right"/>
    </xf>
    <xf numFmtId="169" fontId="21" fillId="2" borderId="0" applyAlignment="1" pivotButton="0" quotePrefix="0" xfId="0">
      <alignment horizontal="center"/>
    </xf>
    <xf numFmtId="169" fontId="77" fillId="2" borderId="0" applyAlignment="1" pivotButton="0" quotePrefix="0" xfId="2">
      <alignment horizontal="center"/>
    </xf>
    <xf numFmtId="0" fontId="45" fillId="4" borderId="0" applyAlignment="1" pivotButton="0" quotePrefix="0" xfId="0">
      <alignment horizontal="center"/>
    </xf>
    <xf numFmtId="0" fontId="44" fillId="4" borderId="0" applyAlignment="1" pivotButton="0" quotePrefix="0" xfId="0">
      <alignment horizontal="center"/>
    </xf>
    <xf numFmtId="0" fontId="43" fillId="4" borderId="0" pivotButton="0" quotePrefix="0" xfId="0"/>
    <xf numFmtId="0" fontId="18" fillId="0" borderId="3" applyAlignment="1" pivotButton="0" quotePrefix="0" xfId="9">
      <alignment horizontal="justify" vertical="top" wrapText="1"/>
    </xf>
    <xf numFmtId="0" fontId="18" fillId="0" borderId="2" applyAlignment="1" pivotButton="0" quotePrefix="0" xfId="9">
      <alignment horizontal="justify" vertical="top"/>
    </xf>
    <xf numFmtId="0" fontId="18" fillId="0" borderId="11" applyAlignment="1" pivotButton="0" quotePrefix="0" xfId="9">
      <alignment horizontal="justify" vertical="top"/>
    </xf>
    <xf numFmtId="0" fontId="18" fillId="0" borderId="8" applyAlignment="1" pivotButton="0" quotePrefix="0" xfId="9">
      <alignment horizontal="justify" vertical="top"/>
    </xf>
    <xf numFmtId="0" fontId="18" fillId="0" borderId="0" applyAlignment="1" pivotButton="0" quotePrefix="0" xfId="9">
      <alignment horizontal="justify" vertical="top"/>
    </xf>
    <xf numFmtId="0" fontId="18" fillId="0" borderId="7" applyAlignment="1" pivotButton="0" quotePrefix="0" xfId="9">
      <alignment horizontal="justify" vertical="top"/>
    </xf>
    <xf numFmtId="0" fontId="18" fillId="0" borderId="10" applyAlignment="1" pivotButton="0" quotePrefix="0" xfId="9">
      <alignment horizontal="justify" vertical="top"/>
    </xf>
    <xf numFmtId="0" fontId="18" fillId="0" borderId="1" applyAlignment="1" pivotButton="0" quotePrefix="0" xfId="9">
      <alignment horizontal="justify" vertical="top"/>
    </xf>
    <xf numFmtId="0" fontId="18" fillId="0" borderId="9" applyAlignment="1" pivotButton="0" quotePrefix="0" xfId="9">
      <alignment horizontal="justify" vertical="top"/>
    </xf>
    <xf numFmtId="0" fontId="20" fillId="0" borderId="29" applyAlignment="1" pivotButton="0" quotePrefix="0" xfId="9">
      <alignment horizontal="left"/>
    </xf>
    <xf numFmtId="0" fontId="20" fillId="0" borderId="0" applyAlignment="1" pivotButton="0" quotePrefix="0" xfId="9">
      <alignment horizontal="left"/>
    </xf>
    <xf numFmtId="0" fontId="20" fillId="0" borderId="30" applyAlignment="1" pivotButton="0" quotePrefix="0" xfId="9">
      <alignment horizontal="left"/>
    </xf>
    <xf numFmtId="0" fontId="18" fillId="0" borderId="2" applyAlignment="1" pivotButton="0" quotePrefix="0" xfId="9">
      <alignment horizontal="justify" vertical="top" wrapText="1"/>
    </xf>
    <xf numFmtId="0" fontId="18" fillId="0" borderId="11" applyAlignment="1" pivotButton="0" quotePrefix="0" xfId="9">
      <alignment horizontal="justify" vertical="top" wrapText="1"/>
    </xf>
    <xf numFmtId="0" fontId="18" fillId="0" borderId="8" applyAlignment="1" pivotButton="0" quotePrefix="0" xfId="9">
      <alignment horizontal="justify" vertical="top" wrapText="1"/>
    </xf>
    <xf numFmtId="0" fontId="18" fillId="0" borderId="0" applyAlignment="1" pivotButton="0" quotePrefix="0" xfId="9">
      <alignment horizontal="justify" vertical="top" wrapText="1"/>
    </xf>
    <xf numFmtId="0" fontId="18" fillId="0" borderId="7" applyAlignment="1" pivotButton="0" quotePrefix="0" xfId="9">
      <alignment horizontal="justify" vertical="top" wrapText="1"/>
    </xf>
    <xf numFmtId="0" fontId="18" fillId="0" borderId="10" applyAlignment="1" pivotButton="0" quotePrefix="0" xfId="9">
      <alignment horizontal="justify" vertical="top" wrapText="1"/>
    </xf>
    <xf numFmtId="0" fontId="18" fillId="0" borderId="1" applyAlignment="1" pivotButton="0" quotePrefix="0" xfId="9">
      <alignment horizontal="justify" vertical="top" wrapText="1"/>
    </xf>
    <xf numFmtId="0" fontId="18" fillId="0" borderId="9" applyAlignment="1" pivotButton="0" quotePrefix="0" xfId="9">
      <alignment horizontal="justify" vertical="top" wrapText="1"/>
    </xf>
    <xf numFmtId="207" fontId="1" fillId="0" borderId="0" applyAlignment="1" pivotButton="0" quotePrefix="0" xfId="9">
      <alignment horizontal="right"/>
    </xf>
    <xf numFmtId="0" fontId="18" fillId="0" borderId="0" applyAlignment="1" pivotButton="0" quotePrefix="1" xfId="9">
      <alignment horizontal="left" wrapText="1"/>
    </xf>
    <xf numFmtId="164" fontId="21" fillId="0" borderId="0" applyAlignment="1" pivotButton="0" quotePrefix="0" xfId="8">
      <alignment horizontal="centerContinuous"/>
    </xf>
    <xf numFmtId="0" fontId="112" fillId="23" borderId="0" pivotButton="0" quotePrefix="0" xfId="0"/>
    <xf numFmtId="0" fontId="113" fillId="0" borderId="0" pivotButton="0" quotePrefix="0" xfId="0"/>
    <xf numFmtId="208" fontId="0" fillId="0" borderId="0" applyAlignment="1" pivotButton="0" quotePrefix="0" xfId="0">
      <alignment vertical="top" wrapText="1"/>
    </xf>
    <xf numFmtId="0" fontId="0" fillId="0" borderId="0" applyAlignment="1" pivotButton="0" quotePrefix="0" xfId="0">
      <alignment vertical="top" wrapText="1"/>
    </xf>
    <xf numFmtId="179" fontId="25" fillId="0" borderId="0" pivotButton="0" quotePrefix="0" xfId="0"/>
    <xf numFmtId="170" fontId="33" fillId="0" borderId="0" pivotButton="0" quotePrefix="0" xfId="0"/>
    <xf numFmtId="180" fontId="33" fillId="2" borderId="0" applyAlignment="1" pivotButton="0" quotePrefix="0" xfId="0">
      <alignment horizontal="right"/>
    </xf>
    <xf numFmtId="179" fontId="25" fillId="0" borderId="0" pivotButton="0" quotePrefix="1" xfId="0"/>
    <xf numFmtId="170" fontId="33" fillId="2" borderId="0" applyAlignment="1" pivotButton="0" quotePrefix="0" xfId="0">
      <alignment horizontal="right"/>
    </xf>
    <xf numFmtId="169" fontId="33" fillId="2" borderId="0" applyAlignment="1" pivotButton="0" quotePrefix="0" xfId="0">
      <alignment horizontal="right"/>
    </xf>
    <xf numFmtId="179" fontId="19" fillId="2" borderId="4" pivotButton="0" quotePrefix="0" xfId="0"/>
    <xf numFmtId="179" fontId="0" fillId="0" borderId="0" pivotButton="0" quotePrefix="0" xfId="0"/>
    <xf numFmtId="165" fontId="19" fillId="2" borderId="1" applyAlignment="1" pivotButton="0" quotePrefix="0" xfId="0">
      <alignment horizontal="center"/>
    </xf>
    <xf numFmtId="165" fontId="19" fillId="0" borderId="0" applyAlignment="1" pivotButton="0" quotePrefix="0" xfId="0">
      <alignment horizontal="center"/>
    </xf>
    <xf numFmtId="180" fontId="25" fillId="2" borderId="0" applyAlignment="1" pivotButton="0" quotePrefix="0" xfId="0">
      <alignment horizontal="center"/>
    </xf>
    <xf numFmtId="180" fontId="25" fillId="0" borderId="0" applyAlignment="1" pivotButton="0" quotePrefix="0" xfId="0">
      <alignment horizontal="center"/>
    </xf>
    <xf numFmtId="166" fontId="25" fillId="0" borderId="0" applyAlignment="1" pivotButton="0" quotePrefix="0" xfId="1">
      <alignment horizontal="center" vertical="center"/>
    </xf>
    <xf numFmtId="167" fontId="25" fillId="2" borderId="0" applyAlignment="1" pivotButton="0" quotePrefix="0" xfId="0">
      <alignment horizontal="center"/>
    </xf>
    <xf numFmtId="189" fontId="0" fillId="2" borderId="0" pivotButton="0" quotePrefix="0" xfId="0"/>
    <xf numFmtId="166" fontId="18" fillId="2" borderId="0" applyAlignment="1" pivotButton="0" quotePrefix="0" xfId="1">
      <alignment horizontal="center" vertical="center"/>
    </xf>
    <xf numFmtId="166" fontId="18" fillId="0" borderId="0" applyAlignment="1" pivotButton="0" quotePrefix="0" xfId="1">
      <alignment horizontal="center" vertical="center"/>
    </xf>
    <xf numFmtId="166" fontId="1" fillId="2" borderId="0" applyAlignment="1" pivotButton="0" quotePrefix="0" xfId="1">
      <alignment horizontal="center" vertical="center"/>
    </xf>
    <xf numFmtId="166" fontId="25" fillId="2" borderId="0" applyAlignment="1" pivotButton="0" quotePrefix="0" xfId="1">
      <alignment horizontal="center" vertical="center"/>
    </xf>
    <xf numFmtId="166" fontId="25" fillId="2" borderId="1" applyAlignment="1" pivotButton="0" quotePrefix="0" xfId="0">
      <alignment horizontal="center"/>
    </xf>
    <xf numFmtId="166" fontId="25" fillId="0" borderId="0" applyAlignment="1" pivotButton="0" quotePrefix="0" xfId="0">
      <alignment horizontal="center"/>
    </xf>
    <xf numFmtId="166" fontId="1" fillId="2" borderId="1" applyAlignment="1" pivotButton="0" quotePrefix="0" xfId="0">
      <alignment horizontal="center"/>
    </xf>
    <xf numFmtId="167" fontId="1" fillId="2" borderId="1" applyAlignment="1" pivotButton="0" quotePrefix="0" xfId="0">
      <alignment horizontal="center"/>
    </xf>
    <xf numFmtId="167" fontId="25" fillId="2" borderId="2" applyAlignment="1" pivotButton="0" quotePrefix="0" xfId="0">
      <alignment horizontal="center"/>
    </xf>
    <xf numFmtId="199" fontId="0" fillId="2" borderId="0" pivotButton="0" quotePrefix="0" xfId="0"/>
    <xf numFmtId="167" fontId="25" fillId="0" borderId="0" applyAlignment="1" pivotButton="0" quotePrefix="0" xfId="0">
      <alignment horizontal="center"/>
    </xf>
    <xf numFmtId="184" fontId="0" fillId="0" borderId="0" pivotButton="0" quotePrefix="0" xfId="0"/>
    <xf numFmtId="186" fontId="19" fillId="2" borderId="0" applyAlignment="1" pivotButton="0" quotePrefix="0" xfId="0">
      <alignment horizontal="center"/>
    </xf>
    <xf numFmtId="186" fontId="19" fillId="0" borderId="0" applyAlignment="1" pivotButton="0" quotePrefix="0" xfId="0">
      <alignment horizontal="center"/>
    </xf>
    <xf numFmtId="167" fontId="25" fillId="2" borderId="0" applyAlignment="1" pivotButton="0" quotePrefix="0" xfId="2">
      <alignment horizontal="center"/>
    </xf>
    <xf numFmtId="167" fontId="25" fillId="0" borderId="0" applyAlignment="1" pivotButton="0" quotePrefix="0" xfId="2">
      <alignment horizontal="center"/>
    </xf>
    <xf numFmtId="166" fontId="25" fillId="2" borderId="0" applyAlignment="1" pivotButton="0" quotePrefix="0" xfId="2">
      <alignment horizontal="center"/>
    </xf>
    <xf numFmtId="166" fontId="25" fillId="0" borderId="0" applyAlignment="1" pivotButton="0" quotePrefix="0" xfId="2">
      <alignment horizontal="center"/>
    </xf>
    <xf numFmtId="166" fontId="21" fillId="2" borderId="0" applyAlignment="1" pivotButton="0" quotePrefix="0" xfId="2">
      <alignment horizontal="center"/>
    </xf>
    <xf numFmtId="167" fontId="25" fillId="5" borderId="0" applyAlignment="1" pivotButton="0" quotePrefix="0" xfId="2">
      <alignment horizontal="center"/>
    </xf>
    <xf numFmtId="167" fontId="25" fillId="5" borderId="0" applyAlignment="1" pivotButton="0" quotePrefix="0" xfId="0">
      <alignment horizontal="center"/>
    </xf>
    <xf numFmtId="184" fontId="0" fillId="2" borderId="0" pivotButton="0" quotePrefix="0" xfId="0"/>
    <xf numFmtId="168" fontId="25" fillId="2" borderId="0" applyAlignment="1" pivotButton="0" quotePrefix="0" xfId="2">
      <alignment horizontal="center"/>
    </xf>
    <xf numFmtId="168" fontId="25" fillId="0" borderId="0" applyAlignment="1" pivotButton="0" quotePrefix="0" xfId="2">
      <alignment horizontal="center"/>
    </xf>
    <xf numFmtId="190" fontId="25" fillId="2" borderId="0" applyAlignment="1" pivotButton="0" quotePrefix="0" xfId="0">
      <alignment horizontal="center"/>
    </xf>
    <xf numFmtId="169" fontId="93" fillId="2" borderId="0" applyAlignment="1" pivotButton="0" quotePrefix="0" xfId="2">
      <alignment horizontal="center"/>
    </xf>
    <xf numFmtId="169" fontId="93" fillId="0" borderId="0" applyAlignment="1" pivotButton="0" quotePrefix="0" xfId="2">
      <alignment horizontal="center"/>
    </xf>
    <xf numFmtId="169" fontId="77" fillId="2" borderId="0" applyAlignment="1" pivotButton="0" quotePrefix="0" xfId="2">
      <alignment horizontal="center"/>
    </xf>
    <xf numFmtId="169" fontId="33" fillId="2" borderId="0" applyAlignment="1" pivotButton="0" quotePrefix="0" xfId="0">
      <alignment horizontal="center"/>
    </xf>
    <xf numFmtId="169" fontId="33" fillId="0" borderId="0" applyAlignment="1" pivotButton="0" quotePrefix="0" xfId="0">
      <alignment horizontal="center"/>
    </xf>
    <xf numFmtId="169" fontId="21" fillId="2" borderId="0" applyAlignment="1" pivotButton="0" quotePrefix="0" xfId="0">
      <alignment horizontal="center"/>
    </xf>
    <xf numFmtId="169" fontId="25" fillId="2" borderId="0" applyAlignment="1" pivotButton="0" quotePrefix="0" xfId="0">
      <alignment horizontal="center"/>
    </xf>
    <xf numFmtId="169" fontId="25" fillId="0" borderId="0" applyAlignment="1" pivotButton="0" quotePrefix="0" xfId="0">
      <alignment horizontal="center"/>
    </xf>
    <xf numFmtId="170" fontId="25" fillId="2" borderId="0" applyAlignment="1" pivotButton="0" quotePrefix="0" xfId="0">
      <alignment horizontal="center"/>
    </xf>
    <xf numFmtId="170" fontId="25" fillId="0" borderId="0" applyAlignment="1" pivotButton="0" quotePrefix="0" xfId="0">
      <alignment horizontal="center"/>
    </xf>
    <xf numFmtId="170" fontId="19" fillId="2" borderId="6" applyAlignment="1" pivotButton="0" quotePrefix="0" xfId="0">
      <alignment horizontal="center"/>
    </xf>
    <xf numFmtId="170" fontId="19" fillId="0" borderId="0" applyAlignment="1" pivotButton="0" quotePrefix="0" xfId="0">
      <alignment horizontal="center"/>
    </xf>
    <xf numFmtId="170" fontId="0" fillId="0" borderId="0" pivotButton="0" quotePrefix="0" xfId="0"/>
    <xf numFmtId="171" fontId="26" fillId="2" borderId="0" applyAlignment="1" pivotButton="0" quotePrefix="0" xfId="0">
      <alignment horizontal="center"/>
    </xf>
    <xf numFmtId="171" fontId="26" fillId="0" borderId="0" applyAlignment="1" pivotButton="0" quotePrefix="0" xfId="0">
      <alignment horizontal="center"/>
    </xf>
    <xf numFmtId="170" fontId="19" fillId="2" borderId="0" applyAlignment="1" pivotButton="0" quotePrefix="0" xfId="0">
      <alignment horizontal="center"/>
    </xf>
    <xf numFmtId="170" fontId="62" fillId="2" borderId="0" pivotButton="0" quotePrefix="0" xfId="0"/>
    <xf numFmtId="195" fontId="86" fillId="15" borderId="33" applyAlignment="1" pivotButton="0" quotePrefix="0" xfId="28">
      <alignment horizontal="center"/>
    </xf>
    <xf numFmtId="195" fontId="86" fillId="15" borderId="32" applyAlignment="1" pivotButton="0" quotePrefix="0" xfId="28">
      <alignment horizontal="center"/>
    </xf>
    <xf numFmtId="197" fontId="92" fillId="0" borderId="0" applyAlignment="1" pivotButton="0" quotePrefix="0" xfId="28">
      <alignment horizontal="right"/>
    </xf>
    <xf numFmtId="197" fontId="91" fillId="21" borderId="39" pivotButton="0" quotePrefix="0" xfId="28"/>
    <xf numFmtId="197" fontId="91" fillId="21" borderId="41" pivotButton="0" quotePrefix="0" xfId="28"/>
    <xf numFmtId="197" fontId="92" fillId="0" borderId="1" applyAlignment="1" pivotButton="0" quotePrefix="0" xfId="28">
      <alignment horizontal="right"/>
    </xf>
    <xf numFmtId="197" fontId="92" fillId="0" borderId="1" pivotButton="0" quotePrefix="0" xfId="28"/>
    <xf numFmtId="197" fontId="91" fillId="21" borderId="40" pivotButton="0" quotePrefix="0" xfId="28"/>
    <xf numFmtId="197" fontId="89" fillId="0" borderId="1" pivotButton="0" quotePrefix="0" xfId="28"/>
    <xf numFmtId="197" fontId="89" fillId="21" borderId="40" pivotButton="0" quotePrefix="0" xfId="28"/>
    <xf numFmtId="197" fontId="83" fillId="0" borderId="0" pivotButton="0" quotePrefix="0" xfId="28"/>
    <xf numFmtId="197" fontId="83" fillId="21" borderId="41" pivotButton="0" quotePrefix="0" xfId="28"/>
    <xf numFmtId="197" fontId="83" fillId="0" borderId="1" pivotButton="0" quotePrefix="0" xfId="28"/>
    <xf numFmtId="197" fontId="83" fillId="21" borderId="40" pivotButton="0" quotePrefix="0" xfId="28"/>
    <xf numFmtId="197" fontId="82" fillId="0" borderId="0" applyAlignment="1" pivotButton="0" quotePrefix="0" xfId="29">
      <alignment horizontal="right"/>
    </xf>
    <xf numFmtId="197" fontId="82" fillId="21" borderId="41" applyAlignment="1" pivotButton="0" quotePrefix="0" xfId="29">
      <alignment horizontal="right"/>
    </xf>
    <xf numFmtId="197" fontId="82" fillId="17" borderId="28" applyAlignment="1" pivotButton="0" quotePrefix="0" xfId="29">
      <alignment horizontal="right"/>
    </xf>
    <xf numFmtId="197" fontId="82" fillId="17" borderId="36" applyAlignment="1" pivotButton="0" quotePrefix="0" xfId="29">
      <alignment horizontal="right"/>
    </xf>
    <xf numFmtId="197" fontId="91" fillId="21" borderId="41" applyAlignment="1" pivotButton="0" quotePrefix="0" xfId="28">
      <alignment horizontal="right"/>
    </xf>
    <xf numFmtId="197" fontId="89" fillId="0" borderId="0" applyAlignment="1" pivotButton="0" quotePrefix="0" xfId="28">
      <alignment horizontal="right"/>
    </xf>
    <xf numFmtId="197" fontId="89" fillId="21" borderId="41" applyAlignment="1" pivotButton="0" quotePrefix="0" xfId="28">
      <alignment horizontal="right"/>
    </xf>
    <xf numFmtId="197" fontId="83" fillId="0" borderId="0" applyAlignment="1" pivotButton="0" quotePrefix="0" xfId="28">
      <alignment horizontal="right"/>
    </xf>
    <xf numFmtId="197" fontId="83" fillId="21" borderId="41" applyAlignment="1" pivotButton="0" quotePrefix="0" xfId="28">
      <alignment horizontal="right"/>
    </xf>
    <xf numFmtId="197" fontId="83" fillId="0" borderId="1" applyAlignment="1" pivotButton="0" quotePrefix="0" xfId="28">
      <alignment horizontal="right"/>
    </xf>
    <xf numFmtId="197" fontId="83" fillId="21" borderId="40" applyAlignment="1" pivotButton="0" quotePrefix="0" xfId="28">
      <alignment horizontal="right"/>
    </xf>
    <xf numFmtId="197" fontId="92" fillId="17" borderId="36" applyAlignment="1" pivotButton="0" quotePrefix="0" xfId="29">
      <alignment horizontal="right"/>
    </xf>
    <xf numFmtId="197" fontId="82" fillId="17" borderId="38" applyAlignment="1" pivotButton="0" quotePrefix="0" xfId="29">
      <alignment horizontal="right"/>
    </xf>
    <xf numFmtId="197" fontId="85" fillId="17" borderId="36" applyAlignment="1" pivotButton="0" quotePrefix="0" xfId="29">
      <alignment horizontal="right"/>
    </xf>
    <xf numFmtId="197" fontId="89" fillId="20" borderId="0" applyAlignment="1" pivotButton="0" quotePrefix="0" xfId="28">
      <alignment horizontal="right"/>
    </xf>
    <xf numFmtId="174" fontId="83" fillId="0" borderId="0" applyAlignment="1" pivotButton="0" quotePrefix="0" xfId="28">
      <alignment horizontal="right"/>
    </xf>
    <xf numFmtId="174" fontId="83" fillId="21" borderId="41" applyAlignment="1" pivotButton="0" quotePrefix="0" xfId="28">
      <alignment horizontal="right"/>
    </xf>
    <xf numFmtId="174" fontId="89" fillId="0" borderId="4" applyAlignment="1" pivotButton="0" quotePrefix="0" xfId="28">
      <alignment horizontal="right"/>
    </xf>
    <xf numFmtId="174" fontId="89" fillId="21" borderId="43" applyAlignment="1" pivotButton="0" quotePrefix="0" xfId="28">
      <alignment horizontal="right"/>
    </xf>
    <xf numFmtId="174" fontId="83" fillId="0" borderId="0" applyAlignment="1" pivotButton="0" quotePrefix="0" xfId="28">
      <alignment horizontal="left"/>
    </xf>
    <xf numFmtId="182" fontId="82" fillId="0" borderId="0" applyAlignment="1" pivotButton="0" quotePrefix="0" xfId="1">
      <alignment horizontal="left"/>
    </xf>
    <xf numFmtId="182" fontId="83" fillId="0" borderId="0" applyAlignment="1" pivotButton="0" quotePrefix="0" xfId="28">
      <alignment horizontal="left"/>
    </xf>
    <xf numFmtId="182" fontId="91" fillId="0" borderId="0" pivotButton="0" quotePrefix="0" xfId="28"/>
    <xf numFmtId="182" fontId="87" fillId="22" borderId="0" pivotButton="0" quotePrefix="0" xfId="28"/>
    <xf numFmtId="182" fontId="83" fillId="0" borderId="0" pivotButton="0" quotePrefix="0" xfId="28"/>
    <xf numFmtId="172" fontId="17" fillId="2" borderId="0" pivotButton="0" quotePrefix="0" xfId="0"/>
    <xf numFmtId="168" fontId="18" fillId="0" borderId="0" applyAlignment="1" pivotButton="0" quotePrefix="0" xfId="0">
      <alignment horizontal="center" vertical="center"/>
    </xf>
    <xf numFmtId="168" fontId="7" fillId="4" borderId="0" applyAlignment="1" pivotButton="0" quotePrefix="0" xfId="0">
      <alignment horizontal="centerContinuous" vertical="center"/>
    </xf>
    <xf numFmtId="168" fontId="25" fillId="8" borderId="0" applyAlignment="1" pivotButton="0" quotePrefix="0" xfId="0">
      <alignment horizontal="center" vertical="center"/>
    </xf>
    <xf numFmtId="168" fontId="25" fillId="4" borderId="0" applyAlignment="1" pivotButton="0" quotePrefix="0" xfId="0">
      <alignment horizontal="center" vertical="center"/>
    </xf>
    <xf numFmtId="168" fontId="25" fillId="0" borderId="0" applyAlignment="1" pivotButton="0" quotePrefix="0" xfId="0">
      <alignment horizontal="center"/>
    </xf>
    <xf numFmtId="168" fontId="25" fillId="4" borderId="0" pivotButton="0" quotePrefix="0" xfId="0"/>
    <xf numFmtId="171" fontId="0" fillId="0" borderId="0" pivotButton="0" quotePrefix="0" xfId="0"/>
    <xf numFmtId="180" fontId="0" fillId="0" borderId="0" pivotButton="0" quotePrefix="0" xfId="0"/>
    <xf numFmtId="168" fontId="18" fillId="7" borderId="0" applyAlignment="1" pivotButton="0" quotePrefix="0" xfId="0">
      <alignment horizontal="left" vertical="center" wrapText="1"/>
    </xf>
    <xf numFmtId="168" fontId="18" fillId="4" borderId="0" applyAlignment="1" pivotButton="0" quotePrefix="0" xfId="0">
      <alignment horizontal="left" vertical="center" wrapText="1"/>
    </xf>
    <xf numFmtId="196" fontId="18" fillId="4" borderId="0" applyAlignment="1" pivotButton="0" quotePrefix="0" xfId="0">
      <alignment horizontal="left" vertical="center" wrapText="1"/>
    </xf>
    <xf numFmtId="168" fontId="18" fillId="4" borderId="0" applyAlignment="1" pivotButton="0" quotePrefix="0" xfId="0">
      <alignment horizontal="left" vertical="center"/>
    </xf>
    <xf numFmtId="168" fontId="18" fillId="4" borderId="0" applyAlignment="1" pivotButton="0" quotePrefix="0" xfId="0">
      <alignment horizontal="left" vertical="top" wrapText="1"/>
    </xf>
    <xf numFmtId="207" fontId="1" fillId="0" borderId="0" applyAlignment="1" pivotButton="0" quotePrefix="0" xfId="9">
      <alignment horizontal="right"/>
    </xf>
    <xf numFmtId="0" fontId="18" fillId="0" borderId="62" applyAlignment="1" pivotButton="0" quotePrefix="0" xfId="9">
      <alignment horizontal="justify" vertical="top" wrapText="1"/>
    </xf>
    <xf numFmtId="0" fontId="0" fillId="0" borderId="2" pivotButton="0" quotePrefix="0" xfId="0"/>
    <xf numFmtId="0" fontId="0" fillId="0" borderId="64" pivotButton="0" quotePrefix="0" xfId="0"/>
    <xf numFmtId="0" fontId="0" fillId="0" borderId="63" pivotButton="0" quotePrefix="0" xfId="0"/>
    <xf numFmtId="0" fontId="0" fillId="0" borderId="65" pivotButton="0" quotePrefix="0" xfId="0"/>
    <xf numFmtId="178" fontId="18" fillId="0" borderId="7" applyAlignment="1" pivotButton="0" quotePrefix="0" xfId="3">
      <alignment horizontal="right"/>
    </xf>
    <xf numFmtId="187" fontId="18" fillId="0" borderId="0" applyAlignment="1" pivotButton="0" quotePrefix="0" xfId="9">
      <alignment horizontal="left"/>
    </xf>
    <xf numFmtId="188" fontId="18" fillId="0" borderId="7" applyAlignment="1" pivotButton="0" quotePrefix="0" xfId="9">
      <alignment horizontal="right"/>
    </xf>
    <xf numFmtId="174" fontId="18" fillId="0" borderId="7" applyAlignment="1" pivotButton="0" quotePrefix="0" xfId="2">
      <alignment horizontal="right"/>
    </xf>
    <xf numFmtId="168" fontId="18" fillId="0" borderId="30" applyAlignment="1" pivotButton="0" quotePrefix="0" xfId="9">
      <alignment horizontal="right"/>
    </xf>
    <xf numFmtId="198" fontId="18" fillId="0" borderId="30" applyAlignment="1" pivotButton="0" quotePrefix="0" xfId="3">
      <alignment horizontal="right"/>
    </xf>
    <xf numFmtId="0" fontId="20" fillId="0" borderId="68" applyAlignment="1" pivotButton="0" quotePrefix="0" xfId="9">
      <alignment horizontal="left"/>
    </xf>
    <xf numFmtId="0" fontId="0" fillId="0" borderId="30" pivotButton="0" quotePrefix="0" xfId="0"/>
    <xf numFmtId="193" fontId="18" fillId="0" borderId="29" applyAlignment="1" pivotButton="0" quotePrefix="0" xfId="9">
      <alignment horizontal="center"/>
    </xf>
    <xf numFmtId="174" fontId="18" fillId="0" borderId="0" applyAlignment="1" pivotButton="0" quotePrefix="0" xfId="2">
      <alignment horizontal="right" indent="1"/>
    </xf>
    <xf numFmtId="174" fontId="18" fillId="0" borderId="30" applyAlignment="1" pivotButton="0" quotePrefix="0" xfId="2">
      <alignment horizontal="right" indent="1"/>
    </xf>
    <xf numFmtId="0" fontId="0" fillId="0" borderId="66" pivotButton="0" quotePrefix="0" xfId="0"/>
    <xf numFmtId="0" fontId="0" fillId="0" borderId="67" pivotButton="0" quotePrefix="0" xfId="0"/>
    <xf numFmtId="201" fontId="18" fillId="0" borderId="10" pivotButton="0" quotePrefix="0" xfId="9"/>
    <xf numFmtId="205" fontId="18" fillId="0" borderId="14" pivotButton="0" quotePrefix="0" xfId="9"/>
    <xf numFmtId="205" fontId="18" fillId="0" borderId="4" applyAlignment="1" pivotButton="0" quotePrefix="0" xfId="9">
      <alignment horizontal="right"/>
    </xf>
    <xf numFmtId="205" fontId="18" fillId="0" borderId="5" applyAlignment="1" pivotButton="0" quotePrefix="0" xfId="9">
      <alignment horizontal="right"/>
    </xf>
    <xf numFmtId="202" fontId="18" fillId="0" borderId="10" pivotButton="0" quotePrefix="0" xfId="9"/>
    <xf numFmtId="202" fontId="18" fillId="0" borderId="14" pivotButton="0" quotePrefix="0" xfId="9"/>
    <xf numFmtId="179" fontId="25" fillId="0" borderId="46" pivotButton="0" quotePrefix="0" xfId="0"/>
    <xf numFmtId="179" fontId="21" fillId="0" borderId="0" pivotButton="0" quotePrefix="0" xfId="0"/>
    <xf numFmtId="179" fontId="24" fillId="0" borderId="0" pivotButton="0" quotePrefix="0" xfId="0"/>
    <xf numFmtId="179" fontId="65" fillId="0" borderId="0" pivotButton="0" quotePrefix="0" xfId="0"/>
    <xf numFmtId="200" fontId="0" fillId="0" borderId="0" pivotButton="0" quotePrefix="0" xfId="0"/>
    <xf numFmtId="182" fontId="21" fillId="0" borderId="0" applyAlignment="1" pivotButton="0" quotePrefix="0" xfId="0">
      <alignment horizontal="right"/>
    </xf>
    <xf numFmtId="179" fontId="19" fillId="10" borderId="48" pivotButton="0" quotePrefix="0" xfId="0"/>
    <xf numFmtId="179" fontId="19" fillId="10" borderId="0" pivotButton="0" quotePrefix="0" xfId="0"/>
    <xf numFmtId="179" fontId="19" fillId="10" borderId="58" pivotButton="0" quotePrefix="0" xfId="0"/>
    <xf numFmtId="179" fontId="19" fillId="0" borderId="46" pivotButton="0" quotePrefix="0" xfId="0"/>
    <xf numFmtId="179" fontId="19" fillId="0" borderId="0" pivotButton="0" quotePrefix="0" xfId="0"/>
    <xf numFmtId="179" fontId="33" fillId="0" borderId="0" pivotButton="0" quotePrefix="0" xfId="0"/>
    <xf numFmtId="179" fontId="19" fillId="10" borderId="0" pivotButton="0" quotePrefix="0" xfId="31"/>
    <xf numFmtId="179" fontId="19" fillId="10" borderId="50" pivotButton="0" quotePrefix="0" xfId="0"/>
    <xf numFmtId="195" fontId="99" fillId="15" borderId="37" applyAlignment="1" pivotButton="0" quotePrefix="0" xfId="28">
      <alignment horizontal="center"/>
    </xf>
    <xf numFmtId="195" fontId="99" fillId="15" borderId="32" applyAlignment="1" pivotButton="0" quotePrefix="0" xfId="28">
      <alignment horizontal="center"/>
    </xf>
    <xf numFmtId="195" fontId="99" fillId="15" borderId="33" applyAlignment="1" pivotButton="0" quotePrefix="0" xfId="28">
      <alignment horizontal="center"/>
    </xf>
    <xf numFmtId="174" fontId="100" fillId="0" borderId="0" applyAlignment="1" pivotButton="0" quotePrefix="0" xfId="28">
      <alignment horizontal="right"/>
    </xf>
    <xf numFmtId="197" fontId="103" fillId="0" borderId="52" pivotButton="0" quotePrefix="0" xfId="28"/>
    <xf numFmtId="197" fontId="103" fillId="0" borderId="34" pivotButton="0" quotePrefix="0" xfId="28"/>
    <xf numFmtId="174" fontId="94" fillId="0" borderId="25" applyAlignment="1" pivotButton="0" quotePrefix="0" xfId="29">
      <alignment horizontal="right"/>
    </xf>
    <xf numFmtId="174" fontId="94" fillId="0" borderId="0" applyAlignment="1" pivotButton="0" quotePrefix="0" xfId="29">
      <alignment horizontal="right"/>
    </xf>
    <xf numFmtId="174" fontId="94" fillId="17" borderId="53" applyAlignment="1" pivotButton="0" quotePrefix="0" xfId="29">
      <alignment horizontal="right"/>
    </xf>
    <xf numFmtId="174" fontId="94" fillId="17" borderId="28" applyAlignment="1" pivotButton="0" quotePrefix="0" xfId="29">
      <alignment horizontal="right"/>
    </xf>
    <xf numFmtId="174" fontId="100" fillId="17" borderId="28" applyAlignment="1" pivotButton="0" quotePrefix="0" xfId="29">
      <alignment horizontal="right"/>
    </xf>
    <xf numFmtId="174" fontId="94" fillId="17" borderId="36" applyAlignment="1" pivotButton="0" quotePrefix="0" xfId="29">
      <alignment horizontal="right"/>
    </xf>
    <xf numFmtId="174" fontId="100" fillId="17" borderId="56" applyAlignment="1" pivotButton="0" quotePrefix="0" xfId="29">
      <alignment horizontal="right"/>
    </xf>
    <xf numFmtId="174" fontId="94" fillId="17" borderId="54" applyAlignment="1" pivotButton="0" quotePrefix="0" xfId="29">
      <alignment horizontal="right"/>
    </xf>
    <xf numFmtId="174" fontId="94" fillId="17" borderId="55" applyAlignment="1" pivotButton="0" quotePrefix="0" xfId="29">
      <alignment horizontal="right"/>
    </xf>
    <xf numFmtId="174" fontId="103" fillId="0" borderId="25" applyAlignment="1" pivotButton="0" quotePrefix="0" xfId="28">
      <alignment horizontal="right"/>
    </xf>
    <xf numFmtId="174" fontId="103" fillId="0" borderId="0" applyAlignment="1" pivotButton="0" quotePrefix="0" xfId="28">
      <alignment horizontal="right"/>
    </xf>
    <xf numFmtId="174" fontId="101" fillId="0" borderId="0" pivotButton="0" quotePrefix="0" xfId="28"/>
    <xf numFmtId="174" fontId="70" fillId="0" borderId="25" applyAlignment="1" pivotButton="0" quotePrefix="0" xfId="28">
      <alignment horizontal="right"/>
    </xf>
    <xf numFmtId="174" fontId="70" fillId="0" borderId="0" applyAlignment="1" pivotButton="0" quotePrefix="0" xfId="28">
      <alignment horizontal="right"/>
    </xf>
    <xf numFmtId="174" fontId="70" fillId="0" borderId="51" applyAlignment="1" pivotButton="0" quotePrefix="0" xfId="28">
      <alignment horizontal="right"/>
    </xf>
    <xf numFmtId="174" fontId="70" fillId="0" borderId="1" applyAlignment="1" pivotButton="0" quotePrefix="0" xfId="28">
      <alignment horizontal="right"/>
    </xf>
    <xf numFmtId="174" fontId="100" fillId="17" borderId="36" applyAlignment="1" pivotButton="0" quotePrefix="0" xfId="29">
      <alignment horizontal="right"/>
    </xf>
    <xf numFmtId="174" fontId="105" fillId="17" borderId="36" applyAlignment="1" pivotButton="0" quotePrefix="0" xfId="29">
      <alignment horizontal="right"/>
    </xf>
    <xf numFmtId="174" fontId="94" fillId="17" borderId="56" applyAlignment="1" pivotButton="0" quotePrefix="0" xfId="29">
      <alignment horizontal="right"/>
    </xf>
    <xf numFmtId="174" fontId="100" fillId="17" borderId="55" applyAlignment="1" pivotButton="0" quotePrefix="0" xfId="29">
      <alignment horizontal="right"/>
    </xf>
    <xf numFmtId="174" fontId="94" fillId="17" borderId="57" applyAlignment="1" pivotButton="0" quotePrefix="0" xfId="29">
      <alignment horizontal="right"/>
    </xf>
    <xf numFmtId="174" fontId="94" fillId="17" borderId="59" applyAlignment="1" pivotButton="0" quotePrefix="0" xfId="29">
      <alignment horizontal="right"/>
    </xf>
    <xf numFmtId="174" fontId="97" fillId="17" borderId="36" applyAlignment="1" pivotButton="0" quotePrefix="0" xfId="29">
      <alignment horizontal="right"/>
    </xf>
    <xf numFmtId="174" fontId="96" fillId="17" borderId="36" applyAlignment="1" pivotButton="0" quotePrefix="0" xfId="29">
      <alignment horizontal="right"/>
    </xf>
    <xf numFmtId="203" fontId="100" fillId="17" borderId="28" applyAlignment="1" pivotButton="0" quotePrefix="0" xfId="29">
      <alignment horizontal="right"/>
    </xf>
    <xf numFmtId="203" fontId="100" fillId="17" borderId="36" applyAlignment="1" pivotButton="0" quotePrefix="0" xfId="29">
      <alignment horizontal="right"/>
    </xf>
    <xf numFmtId="203" fontId="94" fillId="17" borderId="36" applyAlignment="1" pivotButton="0" quotePrefix="0" xfId="29">
      <alignment horizontal="right"/>
    </xf>
    <xf numFmtId="174" fontId="103" fillId="20" borderId="25" applyAlignment="1" pivotButton="0" quotePrefix="0" xfId="28">
      <alignment horizontal="right"/>
    </xf>
    <xf numFmtId="174" fontId="103" fillId="20" borderId="0" applyAlignment="1" pivotButton="0" quotePrefix="0" xfId="28">
      <alignment horizontal="right"/>
    </xf>
    <xf numFmtId="174" fontId="103" fillId="0" borderId="27" applyAlignment="1" pivotButton="0" quotePrefix="0" xfId="28">
      <alignment horizontal="right"/>
    </xf>
    <xf numFmtId="174" fontId="103" fillId="0" borderId="4" applyAlignment="1" pivotButton="0" quotePrefix="0" xfId="28">
      <alignment horizontal="right"/>
    </xf>
    <xf numFmtId="204" fontId="70" fillId="0" borderId="0" pivotButton="0" quotePrefix="0" xfId="28"/>
    <xf numFmtId="174" fontId="106" fillId="0" borderId="0" pivotButton="0" quotePrefix="0" xfId="28"/>
    <xf numFmtId="206" fontId="70" fillId="0" borderId="0" pivotButton="0" quotePrefix="0" xfId="28"/>
    <xf numFmtId="174" fontId="70" fillId="0" borderId="0" pivotButton="0" quotePrefix="0" xfId="28"/>
    <xf numFmtId="174" fontId="41" fillId="14" borderId="23" pivotButton="0" quotePrefix="0" xfId="20"/>
    <xf numFmtId="179" fontId="41" fillId="0" borderId="0" pivotButton="0" quotePrefix="0" xfId="20"/>
    <xf numFmtId="182" fontId="1" fillId="0" borderId="0" pivotButton="0" quotePrefix="0" xfId="0"/>
    <xf numFmtId="181" fontId="28" fillId="5" borderId="0" applyAlignment="1" pivotButton="0" quotePrefix="0" xfId="20">
      <alignment horizontal="center" vertical="center"/>
    </xf>
    <xf numFmtId="170" fontId="21" fillId="0" borderId="0" pivotButton="0" quotePrefix="0" xfId="21"/>
    <xf numFmtId="182" fontId="21" fillId="0" borderId="0" pivotButton="0" quotePrefix="0" xfId="21"/>
    <xf numFmtId="182" fontId="1" fillId="0" borderId="0" pivotButton="0" quotePrefix="0" xfId="21"/>
    <xf numFmtId="182" fontId="25" fillId="0" borderId="0" pivotButton="0" quotePrefix="0" xfId="21"/>
    <xf numFmtId="178" fontId="25" fillId="0" borderId="0" pivotButton="0" quotePrefix="0" xfId="17"/>
    <xf numFmtId="182" fontId="65" fillId="0" borderId="0" pivotButton="0" quotePrefix="0" xfId="21"/>
    <xf numFmtId="170" fontId="1" fillId="0" borderId="0" pivotButton="0" quotePrefix="0" xfId="0"/>
    <xf numFmtId="182" fontId="19" fillId="0" borderId="2" pivotButton="0" quotePrefix="0" xfId="21"/>
    <xf numFmtId="178" fontId="19" fillId="0" borderId="2" pivotButton="0" quotePrefix="0" xfId="17"/>
    <xf numFmtId="166" fontId="66" fillId="0" borderId="25" applyAlignment="1" pivotButton="0" quotePrefix="0" xfId="0">
      <alignment horizontal="center"/>
    </xf>
    <xf numFmtId="166" fontId="40" fillId="0" borderId="25" applyAlignment="1" pivotButton="0" quotePrefix="0" xfId="0">
      <alignment horizontal="center"/>
    </xf>
    <xf numFmtId="174" fontId="19" fillId="0" borderId="0" pivotButton="0" quotePrefix="0" xfId="0"/>
    <xf numFmtId="174" fontId="19" fillId="0" borderId="25" pivotButton="0" quotePrefix="0" xfId="0"/>
    <xf numFmtId="174" fontId="19" fillId="0" borderId="0" applyAlignment="1" pivotButton="0" quotePrefix="0" xfId="0">
      <alignment horizontal="center"/>
    </xf>
    <xf numFmtId="182" fontId="25" fillId="0" borderId="25" pivotButton="0" quotePrefix="0" xfId="21"/>
    <xf numFmtId="182" fontId="25" fillId="0" borderId="0" applyAlignment="1" pivotButton="0" quotePrefix="0" xfId="21">
      <alignment horizontal="center"/>
    </xf>
    <xf numFmtId="182" fontId="19" fillId="0" borderId="26" pivotButton="0" quotePrefix="0" xfId="21"/>
    <xf numFmtId="182" fontId="19" fillId="0" borderId="0" applyAlignment="1" pivotButton="0" quotePrefix="0" xfId="21">
      <alignment horizontal="center"/>
    </xf>
    <xf numFmtId="183" fontId="19" fillId="0" borderId="0" pivotButton="0" quotePrefix="0" xfId="0"/>
    <xf numFmtId="183" fontId="19" fillId="0" borderId="25" pivotButton="0" quotePrefix="0" xfId="0"/>
    <xf numFmtId="183" fontId="19" fillId="0" borderId="0" applyAlignment="1" pivotButton="0" quotePrefix="0" xfId="0">
      <alignment horizontal="center"/>
    </xf>
    <xf numFmtId="166" fontId="40" fillId="0" borderId="0" applyAlignment="1" pivotButton="0" quotePrefix="0" xfId="0">
      <alignment horizontal="centerContinuous"/>
    </xf>
    <xf numFmtId="166" fontId="40" fillId="0" borderId="25" applyAlignment="1" pivotButton="0" quotePrefix="0" xfId="0">
      <alignment horizontal="centerContinuous"/>
    </xf>
    <xf numFmtId="166" fontId="8" fillId="16" borderId="19" applyAlignment="1" pivotButton="0" quotePrefix="0" xfId="0">
      <alignment horizontal="center"/>
    </xf>
    <xf numFmtId="166" fontId="40" fillId="0" borderId="0" applyAlignment="1" pivotButton="0" quotePrefix="0" xfId="0">
      <alignment horizontal="center"/>
    </xf>
    <xf numFmtId="166" fontId="40" fillId="16" borderId="20" applyAlignment="1" pivotButton="0" quotePrefix="0" xfId="0">
      <alignment horizontal="center"/>
    </xf>
    <xf numFmtId="174" fontId="25" fillId="0" borderId="0" pivotButton="0" quotePrefix="0" xfId="0"/>
    <xf numFmtId="174" fontId="25" fillId="0" borderId="25" pivotButton="0" quotePrefix="0" xfId="0"/>
    <xf numFmtId="174" fontId="19" fillId="16" borderId="20" pivotButton="0" quotePrefix="0" xfId="0"/>
    <xf numFmtId="174" fontId="19" fillId="0" borderId="4" pivotButton="0" quotePrefix="0" xfId="0"/>
    <xf numFmtId="174" fontId="19" fillId="0" borderId="27" pivotButton="0" quotePrefix="0" xfId="0"/>
    <xf numFmtId="174" fontId="19" fillId="16" borderId="17" pivotButton="0" quotePrefix="0" xfId="0"/>
    <xf numFmtId="183" fontId="0" fillId="0" borderId="0" pivotButton="0" quotePrefix="0" xfId="0"/>
    <xf numFmtId="174" fontId="48" fillId="0" borderId="0" pivotButton="0" quotePrefix="0" xfId="0"/>
    <xf numFmtId="185" fontId="36" fillId="0" borderId="0" applyAlignment="1" pivotButton="0" quotePrefix="0" xfId="15">
      <alignment horizontal="center"/>
    </xf>
    <xf numFmtId="174" fontId="25" fillId="12" borderId="0" pivotButton="0" quotePrefix="0" xfId="9"/>
    <xf numFmtId="173" fontId="18" fillId="0" borderId="0" pivotButton="0" quotePrefix="0" xfId="9"/>
    <xf numFmtId="174" fontId="19" fillId="0" borderId="2" pivotButton="0" quotePrefix="0" xfId="9"/>
    <xf numFmtId="174" fontId="25" fillId="0" borderId="5" pivotButton="0" quotePrefix="0" xfId="9"/>
    <xf numFmtId="175" fontId="18" fillId="0" borderId="0" pivotButton="0" quotePrefix="0" xfId="9"/>
    <xf numFmtId="174" fontId="18" fillId="0" borderId="0" pivotButton="0" quotePrefix="0" xfId="9"/>
    <xf numFmtId="174" fontId="25" fillId="0" borderId="11" pivotButton="0" quotePrefix="0" xfId="9"/>
    <xf numFmtId="176" fontId="18" fillId="0" borderId="0" pivotButton="0" quotePrefix="0" xfId="9"/>
    <xf numFmtId="174" fontId="25" fillId="0" borderId="9" pivotButton="0" quotePrefix="0" xfId="9"/>
    <xf numFmtId="174" fontId="19" fillId="0" borderId="9" pivotButton="0" quotePrefix="0" xfId="9"/>
    <xf numFmtId="168" fontId="25" fillId="0" borderId="11" pivotButton="0" quotePrefix="0" xfId="9"/>
    <xf numFmtId="177" fontId="18" fillId="0" borderId="0" pivotButton="0" quotePrefix="0" xfId="9"/>
    <xf numFmtId="168" fontId="25" fillId="0" borderId="9" pivotButton="0" quotePrefix="0" xfId="9"/>
    <xf numFmtId="168" fontId="19" fillId="0" borderId="9" pivotButton="0" quotePrefix="0" xfId="9"/>
    <xf numFmtId="177" fontId="20" fillId="0" borderId="0" pivotButton="0" quotePrefix="0" xfId="9"/>
    <xf numFmtId="173" fontId="20" fillId="0" borderId="0" pivotButton="0" quotePrefix="0" xfId="9"/>
    <xf numFmtId="173" fontId="38" fillId="0" borderId="0" pivotButton="0" quotePrefix="0" xfId="9"/>
    <xf numFmtId="173" fontId="38" fillId="0" borderId="0" pivotButton="0" quotePrefix="0" xfId="16"/>
    <xf numFmtId="178" fontId="19" fillId="0" borderId="5" applyAlignment="1" pivotButton="0" quotePrefix="0" xfId="17">
      <alignment horizontal="right"/>
    </xf>
    <xf numFmtId="173" fontId="20" fillId="0" borderId="0" pivotButton="0" quotePrefix="0" xfId="17"/>
    <xf numFmtId="178" fontId="18" fillId="0" borderId="0" pivotButton="0" quotePrefix="0" xfId="9"/>
    <xf numFmtId="195" fontId="0" fillId="10" borderId="12" applyAlignment="1" pivotButton="0" quotePrefix="0" xfId="0">
      <alignment horizontal="center"/>
    </xf>
    <xf numFmtId="191" fontId="21" fillId="0" borderId="0" applyAlignment="1" pivotButton="0" quotePrefix="0" xfId="0">
      <alignment horizontal="center"/>
    </xf>
    <xf numFmtId="167" fontId="21" fillId="0" borderId="0" pivotButton="0" quotePrefix="0" xfId="0"/>
    <xf numFmtId="167" fontId="68" fillId="10" borderId="0" applyAlignment="1" pivotButton="0" quotePrefix="0" xfId="0">
      <alignment horizontal="right"/>
    </xf>
    <xf numFmtId="167" fontId="28" fillId="10" borderId="0" applyAlignment="1" pivotButton="0" quotePrefix="0" xfId="0">
      <alignment horizontal="right"/>
    </xf>
    <xf numFmtId="167" fontId="20" fillId="10" borderId="0" applyAlignment="1" pivotButton="0" quotePrefix="0" xfId="0">
      <alignment horizontal="right"/>
    </xf>
    <xf numFmtId="167" fontId="18" fillId="0" borderId="0" pivotButton="0" quotePrefix="0" xfId="0"/>
    <xf numFmtId="179" fontId="28" fillId="0" borderId="0" pivotButton="0" quotePrefix="0" xfId="0"/>
    <xf numFmtId="169" fontId="0" fillId="0" borderId="0" pivotButton="0" quotePrefix="0" xfId="0"/>
    <xf numFmtId="167" fontId="19" fillId="0" borderId="0" applyAlignment="1" pivotButton="0" quotePrefix="0" xfId="0">
      <alignment horizontal="right"/>
    </xf>
    <xf numFmtId="167" fontId="20" fillId="0" borderId="0" applyAlignment="1" pivotButton="0" quotePrefix="0" xfId="0">
      <alignment horizontal="right"/>
    </xf>
    <xf numFmtId="167" fontId="25" fillId="0" borderId="0" applyAlignment="1" pivotButton="0" quotePrefix="0" xfId="0">
      <alignment horizontal="left"/>
    </xf>
    <xf numFmtId="167" fontId="0" fillId="0" borderId="0" pivotButton="0" quotePrefix="0" xfId="0"/>
    <xf numFmtId="197" fontId="8" fillId="0" borderId="2" pivotButton="0" quotePrefix="0" xfId="0"/>
    <xf numFmtId="182" fontId="77" fillId="0" borderId="0" pivotButton="0" quotePrefix="0" xfId="0"/>
    <xf numFmtId="197" fontId="24" fillId="0" borderId="0" pivotButton="0" quotePrefix="0" xfId="0"/>
    <xf numFmtId="179" fontId="28" fillId="10" borderId="0" pivotButton="0" quotePrefix="0" xfId="2"/>
    <xf numFmtId="179" fontId="20" fillId="10" borderId="0" pivotButton="0" quotePrefix="0" xfId="2"/>
    <xf numFmtId="179" fontId="28" fillId="0" borderId="0" pivotButton="0" quotePrefix="0" xfId="2"/>
    <xf numFmtId="197" fontId="0" fillId="0" borderId="0" pivotButton="0" quotePrefix="0" xfId="0"/>
    <xf numFmtId="179" fontId="18" fillId="10" borderId="0" pivotButton="0" quotePrefix="0" xfId="2"/>
  </cellXfs>
  <cellStyles count="34">
    <cellStyle name="Normal" xfId="0" builtinId="0"/>
    <cellStyle name="Comma" xfId="1" builtinId="3"/>
    <cellStyle name="Currency" xfId="2" builtinId="4"/>
    <cellStyle name="Percent" xfId="3" builtinId="5"/>
    <cellStyle name="Currency 2" xfId="4"/>
    <cellStyle name="Normal 26" xfId="5"/>
    <cellStyle name="Normal 2" xfId="6"/>
    <cellStyle name="Percent 3" xfId="7"/>
    <cellStyle name="Normal_Valuation Cover Page" xfId="8"/>
    <cellStyle name="Normal 2 4" xfId="9"/>
    <cellStyle name="Normal 70" xfId="10"/>
    <cellStyle name="Normal 72" xfId="11"/>
    <cellStyle name="Normal 2 17" xfId="12"/>
    <cellStyle name="Percent 2 2" xfId="13"/>
    <cellStyle name="Normal 73" xfId="14"/>
    <cellStyle name="Normal_ICE Valuation Q206 - 8.27.06" xfId="15"/>
    <cellStyle name="Comma 2" xfId="16"/>
    <cellStyle name="Percent 2" xfId="17"/>
    <cellStyle name="Normal 70 2" xfId="18"/>
    <cellStyle name="Normal 72 2" xfId="19"/>
    <cellStyle name="Currency 7" xfId="20"/>
    <cellStyle name="Comma 2 2" xfId="21"/>
    <cellStyle name="Currency 3" xfId="22"/>
    <cellStyle name="Comma 3" xfId="23"/>
    <cellStyle name="Hyperlink" xfId="24" builtinId="8"/>
    <cellStyle name="Normal 2 19 2" xfId="25"/>
    <cellStyle name="Normal 5" xfId="26"/>
    <cellStyle name="Normal 24" xfId="27"/>
    <cellStyle name="Normal 6 2 2" xfId="28"/>
    <cellStyle name="Note 2" xfId="29"/>
    <cellStyle name="Normal 2 4 2" xfId="30"/>
    <cellStyle name="Currency 5" xfId="31"/>
    <cellStyle name="Currency 5 2" xfId="32"/>
    <cellStyle name="Currency 4" xfId="33"/>
  </cellStyles>
  <dxfs count="30">
    <dxf>
      <font>
        <color rgb="FF9C0006"/>
      </font>
      <fill>
        <patternFill>
          <bgColor rgb="FFFFC7CE"/>
        </patternFill>
      </fill>
    </dxf>
    <dxf>
      <font>
        <color rgb="FF9C0006"/>
      </font>
      <fill>
        <patternFill>
          <bgColor rgb="FFFFC7CE"/>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ont>
        <b val="1"/>
        <color theme="9" tint="-0.249946592608417"/>
      </font>
    </dxf>
    <dxf>
      <font>
        <b val="1"/>
        <color rgb="FFC00000"/>
      </font>
    </dxf>
    <dxf>
      <font>
        <b val="1"/>
        <color theme="9" tint="-0.249946592608417"/>
      </font>
    </dxf>
    <dxf>
      <font>
        <b val="1"/>
        <color rgb="FFC00000"/>
      </font>
    </dxf>
    <dxf>
      <font>
        <b val="1"/>
        <color theme="9" tint="-0.249946592608417"/>
      </font>
    </dxf>
    <dxf>
      <font>
        <b val="1"/>
        <color rgb="FFC00000"/>
      </font>
    </dxf>
    <dxf>
      <font>
        <b val="1"/>
        <color theme="9" tint="-0.249946592608417"/>
      </font>
    </dxf>
    <dxf>
      <font>
        <b val="1"/>
        <color rgb="FFC00000"/>
      </font>
    </dxf>
    <dxf>
      <font>
        <b val="1"/>
        <color theme="9" tint="-0.249946592608417"/>
      </font>
    </dxf>
    <dxf>
      <font>
        <b val="1"/>
        <color rgb="FFC00000"/>
      </font>
    </dxf>
    <dxf>
      <font>
        <b val="1"/>
        <color theme="9" tint="-0.249946592608417"/>
      </font>
    </dxf>
    <dxf>
      <font>
        <b val="1"/>
        <color rgb="FFC00000"/>
      </font>
    </dxf>
    <dxf>
      <font>
        <b val="1"/>
        <color theme="9" tint="-0.249946592608417"/>
      </font>
    </dxf>
    <dxf>
      <font>
        <b val="1"/>
        <color rgb="FFC00000"/>
      </font>
    </dxf>
    <dxf>
      <font>
        <b val="1"/>
        <color theme="9" tint="-0.249946592608417"/>
      </font>
    </dxf>
    <dxf>
      <font>
        <b val="1"/>
        <color rgb="FFC00000"/>
      </font>
    </dxf>
    <dxf>
      <font>
        <b val="1"/>
        <color theme="9" tint="-0.249946592608417"/>
      </font>
    </dxf>
    <dxf>
      <font>
        <b val="1"/>
        <color rgb="FFC00000"/>
      </font>
    </dxf>
    <dxf>
      <font>
        <b val="1"/>
        <color theme="9" tint="-0.249946592608417"/>
      </font>
    </dxf>
    <dxf>
      <font>
        <b val="1"/>
        <color rgb="FFC00000"/>
      </font>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externalLink" Target="/xl/externalLinks/externalLink1.xml" Id="rId27"/><Relationship Type="http://schemas.openxmlformats.org/officeDocument/2006/relationships/externalLink" Target="/xl/externalLinks/externalLink2.xml" Id="rId28"/><Relationship Type="http://schemas.openxmlformats.org/officeDocument/2006/relationships/externalLink" Target="/xl/externalLinks/externalLink3.xml" Id="rId29"/><Relationship Type="http://schemas.openxmlformats.org/officeDocument/2006/relationships/externalLink" Target="/xl/externalLinks/externalLink4.xml" Id="rId30"/><Relationship Type="http://schemas.openxmlformats.org/officeDocument/2006/relationships/externalLink" Target="/xl/externalLinks/externalLink5.xml" Id="rId31"/><Relationship Type="http://schemas.openxmlformats.org/officeDocument/2006/relationships/externalLink" Target="/xl/externalLinks/externalLink6.xml" Id="rId32"/><Relationship Type="http://schemas.openxmlformats.org/officeDocument/2006/relationships/externalLink" Target="/xl/externalLinks/externalLink7.xml" Id="rId33"/><Relationship Type="http://schemas.openxmlformats.org/officeDocument/2006/relationships/externalLink" Target="/xl/externalLinks/externalLink8.xml" Id="rId34"/><Relationship Type="http://schemas.openxmlformats.org/officeDocument/2006/relationships/externalLink" Target="/xl/externalLinks/externalLink9.xml" Id="rId35"/><Relationship Type="http://schemas.openxmlformats.org/officeDocument/2006/relationships/externalLink" Target="/xl/externalLinks/externalLink10.xml" Id="rId36"/><Relationship Type="http://schemas.openxmlformats.org/officeDocument/2006/relationships/externalLink" Target="/xl/externalLinks/externalLink11.xml" Id="rId37"/><Relationship Type="http://schemas.openxmlformats.org/officeDocument/2006/relationships/externalLink" Target="/xl/externalLinks/externalLink12.xml" Id="rId38"/><Relationship Type="http://schemas.openxmlformats.org/officeDocument/2006/relationships/externalLink" Target="/xl/externalLinks/externalLink13.xml" Id="rId39"/><Relationship Type="http://schemas.openxmlformats.org/officeDocument/2006/relationships/externalLink" Target="/xl/externalLinks/externalLink14.xml" Id="rId40"/><Relationship Type="http://schemas.openxmlformats.org/officeDocument/2006/relationships/externalLink" Target="/xl/externalLinks/externalLink15.xml" Id="rId41"/><Relationship Type="http://schemas.openxmlformats.org/officeDocument/2006/relationships/externalLink" Target="/xl/externalLinks/externalLink16.xml" Id="rId42"/><Relationship Type="http://schemas.openxmlformats.org/officeDocument/2006/relationships/externalLink" Target="/xl/externalLinks/externalLink17.xml" Id="rId43"/><Relationship Type="http://schemas.openxmlformats.org/officeDocument/2006/relationships/externalLink" Target="/xl/externalLinks/externalLink18.xml" Id="rId44"/><Relationship Type="http://schemas.openxmlformats.org/officeDocument/2006/relationships/externalLink" Target="/xl/externalLinks/externalLink19.xml" Id="rId45"/><Relationship Type="http://schemas.openxmlformats.org/officeDocument/2006/relationships/externalLink" Target="/xl/externalLinks/externalLink20.xml" Id="rId46"/><Relationship Type="http://schemas.openxmlformats.org/officeDocument/2006/relationships/externalLink" Target="/xl/externalLinks/externalLink21.xml" Id="rId47"/><Relationship Type="http://schemas.openxmlformats.org/officeDocument/2006/relationships/externalLink" Target="/xl/externalLinks/externalLink22.xml" Id="rId48"/><Relationship Type="http://schemas.openxmlformats.org/officeDocument/2006/relationships/externalLink" Target="/xl/externalLinks/externalLink23.xml" Id="rId49"/><Relationship Type="http://schemas.openxmlformats.org/officeDocument/2006/relationships/externalLink" Target="/xl/externalLinks/externalLink24.xml" Id="rId50"/><Relationship Type="http://schemas.openxmlformats.org/officeDocument/2006/relationships/externalLink" Target="/xl/externalLinks/externalLink25.xml" Id="rId51"/><Relationship Type="http://schemas.openxmlformats.org/officeDocument/2006/relationships/externalLink" Target="/xl/externalLinks/externalLink26.xml" Id="rId52"/><Relationship Type="http://schemas.openxmlformats.org/officeDocument/2006/relationships/externalLink" Target="/xl/externalLinks/externalLink27.xml" Id="rId53"/><Relationship Type="http://schemas.openxmlformats.org/officeDocument/2006/relationships/externalLink" Target="/xl/externalLinks/externalLink28.xml" Id="rId54"/><Relationship Type="http://schemas.openxmlformats.org/officeDocument/2006/relationships/externalLink" Target="/xl/externalLinks/externalLink29.xml" Id="rId55"/><Relationship Type="http://schemas.openxmlformats.org/officeDocument/2006/relationships/externalLink" Target="/xl/externalLinks/externalLink30.xml" Id="rId56"/><Relationship Type="http://schemas.openxmlformats.org/officeDocument/2006/relationships/externalLink" Target="/xl/externalLinks/externalLink31.xml" Id="rId57"/><Relationship Type="http://schemas.openxmlformats.org/officeDocument/2006/relationships/externalLink" Target="/xl/externalLinks/externalLink32.xml" Id="rId58"/><Relationship Type="http://schemas.openxmlformats.org/officeDocument/2006/relationships/externalLink" Target="/xl/externalLinks/externalLink33.xml" Id="rId59"/><Relationship Type="http://schemas.openxmlformats.org/officeDocument/2006/relationships/externalLink" Target="/xl/externalLinks/externalLink34.xml" Id="rId60"/><Relationship Type="http://schemas.openxmlformats.org/officeDocument/2006/relationships/externalLink" Target="/xl/externalLinks/externalLink35.xml" Id="rId61"/><Relationship Type="http://schemas.openxmlformats.org/officeDocument/2006/relationships/externalLink" Target="/xl/externalLinks/externalLink36.xml" Id="rId62"/><Relationship Type="http://schemas.openxmlformats.org/officeDocument/2006/relationships/externalLink" Target="/xl/externalLinks/externalLink37.xml" Id="rId63"/><Relationship Type="http://schemas.openxmlformats.org/officeDocument/2006/relationships/externalLink" Target="/xl/externalLinks/externalLink38.xml" Id="rId64"/><Relationship Type="http://schemas.openxmlformats.org/officeDocument/2006/relationships/externalLink" Target="/xl/externalLinks/externalLink39.xml" Id="rId65"/><Relationship Type="http://schemas.openxmlformats.org/officeDocument/2006/relationships/externalLink" Target="/xl/externalLinks/externalLink40.xml" Id="rId66"/><Relationship Type="http://schemas.openxmlformats.org/officeDocument/2006/relationships/externalLink" Target="/xl/externalLinks/externalLink41.xml" Id="rId67"/><Relationship Type="http://schemas.openxmlformats.org/officeDocument/2006/relationships/externalLink" Target="/xl/externalLinks/externalLink42.xml" Id="rId68"/><Relationship Type="http://schemas.openxmlformats.org/officeDocument/2006/relationships/externalLink" Target="/xl/externalLinks/externalLink43.xml" Id="rId69"/><Relationship Type="http://schemas.openxmlformats.org/officeDocument/2006/relationships/externalLink" Target="/xl/externalLinks/externalLink44.xml" Id="rId70"/><Relationship Type="http://schemas.openxmlformats.org/officeDocument/2006/relationships/externalLink" Target="/xl/externalLinks/externalLink45.xml" Id="rId71"/><Relationship Type="http://schemas.openxmlformats.org/officeDocument/2006/relationships/externalLink" Target="/xl/externalLinks/externalLink46.xml" Id="rId72"/><Relationship Type="http://schemas.openxmlformats.org/officeDocument/2006/relationships/externalLink" Target="/xl/externalLinks/externalLink47.xml" Id="rId73"/><Relationship Type="http://schemas.openxmlformats.org/officeDocument/2006/relationships/externalLink" Target="/xl/externalLinks/externalLink48.xml" Id="rId74"/><Relationship Type="http://schemas.openxmlformats.org/officeDocument/2006/relationships/externalLink" Target="/xl/externalLinks/externalLink49.xml" Id="rId75"/><Relationship Type="http://schemas.openxmlformats.org/officeDocument/2006/relationships/externalLink" Target="/xl/externalLinks/externalLink50.xml" Id="rId76"/><Relationship Type="http://schemas.openxmlformats.org/officeDocument/2006/relationships/externalLink" Target="/xl/externalLinks/externalLink51.xml" Id="rId77"/><Relationship Type="http://schemas.openxmlformats.org/officeDocument/2006/relationships/externalLink" Target="/xl/externalLinks/externalLink52.xml" Id="rId78"/><Relationship Type="http://schemas.openxmlformats.org/officeDocument/2006/relationships/externalLink" Target="/xl/externalLinks/externalLink53.xml" Id="rId79"/><Relationship Type="http://schemas.openxmlformats.org/officeDocument/2006/relationships/externalLink" Target="/xl/externalLinks/externalLink54.xml" Id="rId80"/><Relationship Type="http://schemas.openxmlformats.org/officeDocument/2006/relationships/externalLink" Target="/xl/externalLinks/externalLink55.xml" Id="rId81"/><Relationship Type="http://schemas.openxmlformats.org/officeDocument/2006/relationships/externalLink" Target="/xl/externalLinks/externalLink56.xml" Id="rId82"/><Relationship Type="http://schemas.openxmlformats.org/officeDocument/2006/relationships/externalLink" Target="/xl/externalLinks/externalLink57.xml" Id="rId83"/><Relationship Type="http://schemas.openxmlformats.org/officeDocument/2006/relationships/externalLink" Target="/xl/externalLinks/externalLink58.xml" Id="rId84"/><Relationship Type="http://schemas.openxmlformats.org/officeDocument/2006/relationships/externalLink" Target="/xl/externalLinks/externalLink59.xml" Id="rId85"/><Relationship Type="http://schemas.openxmlformats.org/officeDocument/2006/relationships/externalLink" Target="/xl/externalLinks/externalLink60.xml" Id="rId86"/><Relationship Type="http://schemas.openxmlformats.org/officeDocument/2006/relationships/externalLink" Target="/xl/externalLinks/externalLink61.xml" Id="rId87"/><Relationship Type="http://schemas.openxmlformats.org/officeDocument/2006/relationships/externalLink" Target="/xl/externalLinks/externalLink62.xml" Id="rId88"/><Relationship Type="http://schemas.openxmlformats.org/officeDocument/2006/relationships/externalLink" Target="/xl/externalLinks/externalLink63.xml" Id="rId89"/><Relationship Type="http://schemas.openxmlformats.org/officeDocument/2006/relationships/externalLink" Target="/xl/externalLinks/externalLink64.xml" Id="rId90"/><Relationship Type="http://schemas.openxmlformats.org/officeDocument/2006/relationships/styles" Target="styles.xml" Id="rId91"/><Relationship Type="http://schemas.openxmlformats.org/officeDocument/2006/relationships/theme" Target="theme/theme1.xml" Id="rId92"/></Relationships>
</file>

<file path=xl/comments/comment1.xml><?xml version="1.0" encoding="utf-8"?>
<comments xmlns="http://schemas.openxmlformats.org/spreadsheetml/2006/main">
  <authors>
    <author>M365 Copilot</author>
  </authors>
  <commentList>
    <comment ref="K9" authorId="0" shapeId="0">
      <text>
        <t>Prior-year multiple remains the March 2025 anchor because no June 2025 comparable refresh was supplied. Analyst review required.</t>
      </text>
    </comment>
  </commentList>
</comments>
</file>

<file path=xl/comments/comment2.xml><?xml version="1.0" encoding="utf-8"?>
<comments xmlns="http://schemas.openxmlformats.org/spreadsheetml/2006/main">
  <authors>
    <author>Kevin Fu</author>
    <author>M365 Copilot</author>
  </authors>
  <commentList>
    <comment ref="V30" authorId="0" shapeId="0">
      <text>
        <t>Kevin Fu:
https://www.sec.gov/Archives/edgar/data/1091883/000114036123034666/ny20009611x2_defm14a.htm</t>
      </text>
    </comment>
    <comment ref="D39" authorId="1" shapeId="0">
      <text>
        <t>Carried from Q1 2026. No Q2 public-comparable or M&amp;A refresh was supplied.</t>
      </text>
    </comment>
  </commentList>
</comments>
</file>

<file path=xl/comments/comment3.xml><?xml version="1.0" encoding="utf-8"?>
<comments xmlns="http://schemas.openxmlformats.org/spreadsheetml/2006/main">
  <authors>
    <author>tc={1EFF80A3-705D-4885-B46F-72D8D2620016}</author>
    <author>tc={41BDB83B-D7C1-436D-82BC-E427DC2F5931}</author>
  </authors>
  <commentList>
    <comment ref="B35" authorId="0" shapeId="0">
      <text>
        <t>[Threaded comment]
Your version of Excel allows you to read this threaded comment; however, any edits to it will get removed if the file is opened in a newer version of Excel. Learn more: https://go.microsoft.com/fwlink/?linkid=870924
Comment:
    Adjustments for RP Adams pre-close
"P:\Rouge Investments\Opus Water\6 - Diligence\2 - Aquisition (RP Adams) - 2025.02.20\2) Due diligence\5) Financial assessment\RP Adams LTM Figures 2.24.25.xlsx"</t>
      </text>
    </comment>
    <comment ref="F35" authorId="1" shapeId="0">
      <text>
        <t>[Threaded comment]
Your version of Excel allows you to read this threaded comment; however, any edits to it will get removed if the file is opened in a newer version of Excel. Learn more: https://go.microsoft.com/fwlink/?linkid=870924
Comment:
    Adjustments for RP Adams pre-close
"P:\Rouge Investments\Opus Water\6 - Diligence\2 - Aquisition (RP Adams) - 2025.02.20\2) Due diligence\5) Financial assessment\RP Adams LTM Figures 2.24.25.xlsx"</t>
      </text>
    </comment>
  </commentList>
</comments>
</file>

<file path=xl/comments/comment4.xml><?xml version="1.0" encoding="utf-8"?>
<comments xmlns="http://schemas.openxmlformats.org/spreadsheetml/2006/main">
  <authors>
    <author>Tom Howell</author>
  </authors>
  <commentList>
    <comment ref="D10" authorId="0" shapeId="0">
      <text>
        <t xml:space="preserve">Tom Howell:
$12,500,000 initial investment at @ $1.00
$3,787,879.18 at @ $1.78 for Year Acquisition </t>
      </text>
    </comment>
    <comment ref="D11" authorId="0" shapeId="0">
      <text>
        <t xml:space="preserve">Tom Howell:
$600,000 initial investment at @ $1.00
$181,818.10 at @ $1.78 for Year Acquisition </t>
      </text>
    </comment>
    <comment ref="D12" authorId="0" shapeId="0">
      <text>
        <t xml:space="preserve">Tom Howell:
$100,000 initial investment at @ $1.00 (rollover)
$30,302.72 at @ $1.78 for Year Acquisition </t>
      </text>
    </comment>
    <comment ref="G17" authorId="0" shapeId="0">
      <text>
        <t>Tom Howell:
Added 25K Options following the close of RP Adams</t>
      </text>
    </comment>
  </commentList>
</comments>
</file>

<file path=xl/comments/comment5.xml><?xml version="1.0" encoding="utf-8"?>
<comments xmlns="http://schemas.openxmlformats.org/spreadsheetml/2006/main">
  <authors>
    <author>Tom Howell</author>
  </authors>
  <commentList>
    <comment ref="D10" authorId="0" shapeId="0">
      <text>
        <t xml:space="preserve">Tom Howell:
$12,500,000 initial investment at @ $1.00
$3,787,879.18 at @ $1.78 for Year Acquisition </t>
      </text>
    </comment>
    <comment ref="D11" authorId="0" shapeId="0">
      <text>
        <t xml:space="preserve">Tom Howell:
$600,000 initial investment at @ $1.00
$181,818.10 at @ $1.78 for Year Acquisition </t>
      </text>
    </comment>
    <comment ref="D12" authorId="0" shapeId="0">
      <text>
        <t xml:space="preserve">Tom Howell:
$100,000 initial investment at @ $1.00 (rollover)
$30,302.72 at @ $1.78 for Year Acquisition </t>
      </text>
    </comment>
    <comment ref="G17" authorId="0" shapeId="0">
      <text>
        <t>Tom Howell:
Added 25K Options following the close of RP Adams</t>
      </text>
    </comment>
  </commentList>
</comments>
</file>

<file path=xl/comments/comment6.xml><?xml version="1.0" encoding="utf-8"?>
<comments xmlns="http://schemas.openxmlformats.org/spreadsheetml/2006/main">
  <authors>
    <author>tc={A3F8A8FD-A79B-4089-8E59-4BEBD0621808}</author>
    <author>tc={17CE2C8B-BEC7-4ECE-A6B0-7B29F8AEBDC7}</author>
  </authors>
  <commentList>
    <comment ref="B48" authorId="0" shapeId="0">
      <text>
        <t>[Threaded comment]
Your version of Excel allows you to read this threaded comment; however, any edits to it will get removed if the file is opened in a newer version of Excel. Learn more: https://go.microsoft.com/fwlink/?linkid=870924
Comment:
    Adjustments for RP Adams pre-close
"P:\Rouge Investments\Opus Water\6 - Diligence\2 - Aquisition (RP Adams) - 2025.02.20\2) Due diligence\5) Financial assessment\RP Adams LTM Figures 2.24.25.xlsx"</t>
      </text>
    </comment>
    <comment ref="B49" authorId="1" shapeId="0">
      <text>
        <t>[Threaded comment]
Your version of Excel allows you to read this threaded comment; however, any edits to it will get removed if the file is opened in a newer version of Excel. Learn more: https://go.microsoft.com/fwlink/?linkid=870924
Comment:
    Adjustments for RP Adams pre-close
"P:\Rouge Investments\Opus Water\6 - Diligence\2 - Aquisition (RP Adams) - 2025.02.20\2) Due diligence\5) Financial assessment\RP Adams LTM Figures 2.24.25.xlsx"</t>
      </text>
    </comment>
  </commentList>
</comments>
</file>

<file path=xl/comments/comment7.xml><?xml version="1.0" encoding="utf-8"?>
<comments xmlns="http://schemas.openxmlformats.org/spreadsheetml/2006/main">
  <authors>
    <author>M365 Copilot</author>
    <author>tc={1EFF80A3-705D-4885-B46F-72D8D2620016}</author>
    <author>tc={41BDB83B-D7C1-436D-82BC-E427DC2F5931}</author>
  </authors>
  <commentList>
    <comment ref="R13" authorId="0" shapeId="0">
      <text>
        <t>Source: Opus Water - June 2026 2.xlsx, June 2026 sheet, current-quarter actual revenue.</t>
      </text>
    </comment>
    <comment ref="S13" authorId="0" shapeId="0">
      <text>
        <t>Source: Opus Water - June 2026 2.xlsx, June 2026 sheet, current-quarter actual revenue.</t>
      </text>
    </comment>
    <comment ref="T13" authorId="0" shapeId="0">
      <text>
        <t>Source: Opus Water - June 2026 2.xlsx, June 2026 sheet, current-quarter actual revenue.</t>
      </text>
    </comment>
    <comment ref="B35" authorId="1" shapeId="0">
      <text>
        <t>[Threaded comment]
Your version of Excel allows you to read this threaded comment; however, any edits to it will get removed if the file is opened in a newer version of Excel. Learn more: https://go.microsoft.com/fwlink/?linkid=870924
Comment:
    Adjustments for RP Adams pre-close
"P:\Rouge Investments\Opus Water\6 - Diligence\2 - Aquisition (RP Adams) - 2025.02.20\2) Due diligence\5) Financial assessment\RP Adams LTM Figures 2.24.25.xlsx"</t>
      </text>
    </comment>
    <comment ref="F35" authorId="2" shapeId="0">
      <text>
        <t>[Threaded comment]
Your version of Excel allows you to read this threaded comment; however, any edits to it will get removed if the file is opened in a newer version of Excel. Learn more: https://go.microsoft.com/fwlink/?linkid=870924
Comment:
    Adjustments for RP Adams pre-close
"P:\Rouge Investments\Opus Water\6 - Diligence\2 - Aquisition (RP Adams) - 2025.02.20\2) Due diligence\5) Financial assessment\RP Adams LTM Figures 2.24.25.xlsx"</t>
      </text>
    </comment>
    <comment ref="R38" authorId="0" shapeId="0">
      <text>
        <t>Source: Opus Water - June 2026 2.xlsx, June 2026 sheet, current-quarter adjusted EBITDA.</t>
      </text>
    </comment>
    <comment ref="S38" authorId="0" shapeId="0">
      <text>
        <t>Source: Opus Water - June 2026 2.xlsx, June 2026 sheet, current-quarter adjusted EBITDA.</t>
      </text>
    </comment>
    <comment ref="T38" authorId="0" shapeId="0">
      <text>
        <t>Source: Opus Water - June 2026 2.xlsx, June 2026 sheet, current-quarter adjusted EBITDA.</t>
      </text>
    </comment>
    <comment ref="T45" authorId="0" shapeId="0">
      <text>
        <t>Source: Opus Water - June 2026 2.xlsx, June 2026 period-end cash.</t>
      </text>
    </comment>
  </commentList>
</comments>
</file>

<file path=xl/comments/comment8.xml><?xml version="1.0" encoding="utf-8"?>
<comments xmlns="http://schemas.openxmlformats.org/spreadsheetml/2006/main">
  <authors>
    <author>Tom Howell</author>
  </authors>
  <commentList>
    <comment ref="D10" authorId="0" shapeId="0">
      <text>
        <t xml:space="preserve">Tom Howell:
$12,500,000 initial investment at @ $1.00
$3,787,879.18 at @ $1.78 for Year Acquisition </t>
      </text>
    </comment>
    <comment ref="D11" authorId="0" shapeId="0">
      <text>
        <t xml:space="preserve">Tom Howell:
$600,000 initial investment at @ $1.00
$181,818.10 at @ $1.78 for Year Acquisition </t>
      </text>
    </comment>
    <comment ref="D12" authorId="0" shapeId="0">
      <text>
        <t xml:space="preserve">Tom Howell:
$100,000 initial investment at @ $1.00 (rollover)
$30,302.72 at @ $1.78 for Year Acquisition </t>
      </text>
    </comment>
    <comment ref="G17" authorId="0" shapeId="0">
      <text>
        <t>Tom Howell:
Added 25K Options following the close of RP Adams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editAs="oneCell">
    <from>
      <col>2</col>
      <colOff>683649</colOff>
      <row>15</row>
      <rowOff>134510</rowOff>
    </from>
    <to>
      <col>7</col>
      <colOff>60193</colOff>
      <row>23</row>
      <rowOff>88873</rowOff>
    </to>
    <pic>
      <nvPicPr>
        <cNvPr id="2" name="Picture 1"/>
        <cNvPicPr>
          <a:picLocks xmlns:a="http://schemas.openxmlformats.org/drawingml/2006/main" noChangeAspect="1"/>
        </cNvPicPr>
      </nvPicPr>
      <blipFill rotWithShape="1">
        <a:blip xmlns:a="http://schemas.openxmlformats.org/drawingml/2006/main" xmlns:r="http://schemas.openxmlformats.org/officeDocument/2006/relationships" r:embed="rId1"/>
        <a:srcRect xmlns:a="http://schemas.openxmlformats.org/drawingml/2006/main" b="18558"/>
        <a:stretch xmlns:a="http://schemas.openxmlformats.org/drawingml/2006/main">
          <a:fillRect/>
        </a:stretch>
      </blipFill>
      <spPr>
        <a:xfrm xmlns:a="http://schemas.openxmlformats.org/drawingml/2006/main">
          <a:off x="1710232" y="3108427"/>
          <a:ext cx="2586258" cy="1326386"/>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59871</colOff>
      <row>0</row>
      <rowOff>38345</rowOff>
    </from>
    <to>
      <col>0</col>
      <colOff>1390469</colOff>
      <row>3</row>
      <rowOff>96109</rowOff>
    </to>
    <pic>
      <nvPicPr>
        <cNvPr id="2" name="Picture 1"/>
        <cNvPicPr>
          <a:picLocks xmlns:a="http://schemas.openxmlformats.org/drawingml/2006/main" noChangeAspect="1"/>
        </cNvPicPr>
      </nvPicPr>
      <blipFill rotWithShape="1">
        <a:blip xmlns:a="http://schemas.openxmlformats.org/drawingml/2006/main" xmlns:r="http://schemas.openxmlformats.org/officeDocument/2006/relationships" r:embed="rId1"/>
        <a:srcRect xmlns:a="http://schemas.openxmlformats.org/drawingml/2006/main" b="22340"/>
        <a:stretch xmlns:a="http://schemas.openxmlformats.org/drawingml/2006/main">
          <a:fillRect/>
        </a:stretch>
      </blipFill>
      <spPr>
        <a:xfrm xmlns:a="http://schemas.openxmlformats.org/drawingml/2006/main">
          <a:off x="59871" y="38345"/>
          <a:ext cx="1326788" cy="605993"/>
        </a:xfrm>
        <a:prstGeom xmlns:a="http://schemas.openxmlformats.org/drawingml/2006/main" prst="rect">
          <avLst/>
        </a:prstGeom>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georgia\Files2\windows\TEMP\Consolidated%20Budget%20FY01_Rolling%20Projections%2012%2000v2.xls" TargetMode="External" Id="rId1"/></Relationships>
</file>

<file path=xl/externalLinks/_rels/externalLink2.xml.rels><Relationships xmlns="http://schemas.openxmlformats.org/package/2006/relationships"><Relationship Type="http://schemas.openxmlformats.org/officeDocument/2006/relationships/externalLinkPath" Target="file:///T:\Documents%20and%20Settings\jpaw\Local%20Settings\Temporary%20Internet%20Files\OLK100\Morgenthal%20unused%20tabs.xls" TargetMode="External" Id="rId1"/></Relationships>
</file>

<file path=xl/externalLinks/_rels/externalLink3.xml.rels><Relationships xmlns="http://schemas.openxmlformats.org/package/2006/relationships"><Relationship Type="http://schemas.openxmlformats.org/officeDocument/2006/relationships/externalLinkPath" Target="file:///\\Finanzas\Drive_F\USERS\ACCT\MANNY\MARCH96C.XLS" TargetMode="External" Id="rId1"/></Relationships>
</file>

<file path=xl/externalLinks/_rels/externalLink4.xml.rels><Relationships xmlns="http://schemas.openxmlformats.org/package/2006/relationships"><Relationship Type="http://schemas.openxmlformats.org/officeDocument/2006/relationships/externalLinkPath" Target="file:///F:\Documents%20and%20Settings\damienmartin\My%20Documents\Planning%20Archives.xls" TargetMode="External" Id="rId1"/></Relationships>
</file>

<file path=xl/externalLinks/_rels/externalLink5.xml.rels><Relationships xmlns="http://schemas.openxmlformats.org/package/2006/relationships"><Relationship Type="http://schemas.openxmlformats.org/officeDocument/2006/relationships/externalLinkPath" Target="https://cronuspartners.sharepoint.com/Documents%20and%20Settings/cnocella/Desktop/Old%20WC.xls" TargetMode="External" Id="rId1"/></Relationships>
</file>

<file path=xl/externalLinks/_rels/externalLink6.xml.rels><Relationships xmlns="http://schemas.openxmlformats.org/package/2006/relationships"><Relationship Type="http://schemas.openxmlformats.org/officeDocument/2006/relationships/externalLinkPath" Target="file:///\\Uknasdata03\CIMSHARED\FINANCE\Carl\Samples\samples2002\NewExpFormat220702.xls" TargetMode="External" Id="rId1"/></Relationships>
</file>

<file path=xl/externalLinks/_rels/externalLink7.xml.rels><Relationships xmlns="http://schemas.openxmlformats.org/package/2006/relationships"><Relationship Type="http://schemas.openxmlformats.org/officeDocument/2006/relationships/externalLinkPath" Target="file:///J:\5XLFILES\CFNAV\EDGE\EDGE1120.XLS" TargetMode="External" Id="rId1"/></Relationships>
</file>

<file path=xl/externalLinks/_rels/externalLink8.xml.rels><Relationships xmlns="http://schemas.openxmlformats.org/package/2006/relationships"><Relationship Type="http://schemas.openxmlformats.org/officeDocument/2006/relationships/externalLinkPath" Target="file:///C:\DOCUME~1\blloyd\LOCALS~1\Temp\notes6030C8\2004\Dec\Consumer%20Products%202004%20CIO%20Analysis.xls" TargetMode="External" Id="rId1"/></Relationships>
</file>

<file path=xl/externalLinks/_rels/externalLink9.xml.rels><Relationships xmlns="http://schemas.openxmlformats.org/package/2006/relationships"><Relationship Type="http://schemas.microsoft.com/office/2006/relationships/xlExternalLinkPath/xlPathMissing" Target="697-sales.xls" TargetMode="External" Id="rId1"/></Relationships>
</file>

<file path=xl/externalLinks/_rels/externalLink10.xml.rels><Relationships xmlns="http://schemas.openxmlformats.org/package/2006/relationships"><Relationship Type="http://schemas.openxmlformats.org/officeDocument/2006/relationships/externalLinkPath" Target="file:///\\Hwfs01\vol1\A-PROJCT\Nash_Elmo\Financial%20Models\Base%20Case%20Model.xls" TargetMode="External" Id="rId1"/></Relationships>
</file>

<file path=xl/externalLinks/_rels/externalLink11.xml.rels><Relationships xmlns="http://schemas.openxmlformats.org/package/2006/relationships"><Relationship Type="http://schemas.microsoft.com/office/2006/relationships/xlExternalLinkPath/xlPathMissing" Target="EDISCOMM.XLS" TargetMode="External" Id="rId1"/></Relationships>
</file>

<file path=xl/externalLinks/_rels/externalLink12.xml.rels><Relationships xmlns="http://schemas.openxmlformats.org/package/2006/relationships"><Relationship Type="http://schemas.openxmlformats.org/officeDocument/2006/relationships/externalLinkPath" Target="https://webmail.ema.kworld.kpmg.com/S/Spectra%20Gases/Information%20from%20the%20Company/Financial/Backup%20of%20MGT_Dec_2004_CC%20version.xlk" TargetMode="External" Id="rId1"/></Relationships>
</file>

<file path=xl/externalLinks/_rels/externalLink13.xml.rels><Relationships xmlns="http://schemas.openxmlformats.org/package/2006/relationships"><Relationship Type="http://schemas.openxmlformats.org/officeDocument/2006/relationships/externalLinkPath" Target="https://cronuspartners.sharepoint.com/Inmar%20Corporate/Sr.%20Team/2005/April/Sr.%20Team%20Goals%20Graph%204-20-05.xls" TargetMode="External" Id="rId1"/></Relationships>
</file>

<file path=xl/externalLinks/_rels/externalLink14.xml.rels><Relationships xmlns="http://schemas.openxmlformats.org/package/2006/relationships"><Relationship Type="http://schemas.openxmlformats.org/officeDocument/2006/relationships/externalLinkPath" Target="https://cronuspartners.sharepoint.com/Users/Spencer/Documents/Ponterra/Live%20Projects/Santorini/Model/FlightView%20Financial%20Analysis%20(8.14.2014)_v5.xlsx" TargetMode="External" Id="rId1"/></Relationships>
</file>

<file path=xl/externalLinks/_rels/externalLink15.xml.rels><Relationships xmlns="http://schemas.openxmlformats.org/package/2006/relationships"><Relationship Type="http://schemas.openxmlformats.org/officeDocument/2006/relationships/externalLinkPath" Target="https://cronuspartners.sharepoint.com/Users/Spencer/Documents/Ponterra/Proposals/Clients%20N-Z/tripBAM/Excel/tripBAM%20Financial%20Model%20-%208-24-14%20Conservative%20(Autosaved).xlsx" TargetMode="External" Id="rId1"/></Relationships>
</file>

<file path=xl/externalLinks/_rels/externalLink16.xml.rels><Relationships xmlns="http://schemas.openxmlformats.org/package/2006/relationships"><Relationship Type="http://schemas.openxmlformats.org/officeDocument/2006/relationships/externalLinkPath" Target="https://cronuspartners.sharepoint.com/Users/Spencer/Downloads/Project%20Tahiti%20Model%2011.11.2014%20(Oct%2028%20Update_v4).xlsx" TargetMode="External" Id="rId1"/></Relationships>
</file>

<file path=xl/externalLinks/_rels/externalLink17.xml.rels><Relationships xmlns="http://schemas.openxmlformats.org/package/2006/relationships"><Relationship Type="http://schemas.openxmlformats.org/officeDocument/2006/relationships/externalLinkPath" Target="file:///\\useomvfs76\ksd\Users\deiesod.EVERCORE2\AppData\Local\Microsoft\Windows\Temporary%20Internet%20Files\Content.Outlook\HVPGOLGL\Spares.xlsx" TargetMode="External" Id="rId1"/></Relationships>
</file>

<file path=xl/externalLinks/_rels/externalLink18.xml.rels><Relationships xmlns="http://schemas.openxmlformats.org/package/2006/relationships"><Relationship Type="http://schemas.openxmlformats.org/officeDocument/2006/relationships/externalLinkPath" Target="file:///G:\Sr.%20Team\2003%20Nov%20Meeting\Files%20Supporting%20Nov%20Pres\Wachovia%208-21-03%20Debt-Equity%20for%20Nov.xls" TargetMode="External" Id="rId1"/></Relationships>
</file>

<file path=xl/externalLinks/_rels/externalLink19.xml.rels><Relationships xmlns="http://schemas.openxmlformats.org/package/2006/relationships"><Relationship Type="http://schemas.openxmlformats.org/officeDocument/2006/relationships/externalLinkPath" Target="https://hollandpump-my.sharepoint.com/Documents%20and%20Settings/Tim/Local%20Settings/Temporary%20Internet%20Files/OLK11E/project%20model%20oct25%201550%20equity%20(3).xls" TargetMode="External" Id="rId1"/></Relationships>
</file>

<file path=xl/externalLinks/_rels/externalLink20.xml.rels><Relationships xmlns="http://schemas.openxmlformats.org/package/2006/relationships"><Relationship Type="http://schemas.openxmlformats.org/officeDocument/2006/relationships/externalLinkPath" Target="https://hollandpump-my.sharepoint.com/FUND/980630/WIIG/FOREX.XLS" TargetMode="External" Id="rId1"/></Relationships>
</file>

<file path=xl/externalLinks/_rels/externalLink21.xml.rels><Relationships xmlns="http://schemas.openxmlformats.org/package/2006/relationships"><Relationship Type="http://schemas.openxmlformats.org/officeDocument/2006/relationships/externalLinkPath" Target="https://hollandpump-my.sharepoint.com/FUND/980331/COUNTRY/S'PORE.XLS" TargetMode="External" Id="rId1"/></Relationships>
</file>

<file path=xl/externalLinks/_rels/externalLink22.xml.rels><Relationships xmlns="http://schemas.openxmlformats.org/package/2006/relationships"><Relationship Type="http://schemas.openxmlformats.org/officeDocument/2006/relationships/externalLinkPath" Target="file:///H:\TECHNOLOGY_COMPS\AAPL.xls" TargetMode="External" Id="rId1"/></Relationships>
</file>

<file path=xl/externalLinks/_rels/externalLink23.xml.rels><Relationships xmlns="http://schemas.openxmlformats.org/package/2006/relationships"><Relationship Type="http://schemas.openxmlformats.org/officeDocument/2006/relationships/externalLinkPath" Target="file:///C:\Projections\Bank%20Models\2006\Acquisition%20Models\Keep%20WBs\BACKUPPROJECTIONS\Bank%20Models\2005\Board%20Fundings\3Q05\2005%20Funding.xls%202.xls" TargetMode="External" Id="rId1"/></Relationships>
</file>

<file path=xl/externalLinks/_rels/externalLink24.xml.rels><Relationships xmlns="http://schemas.openxmlformats.org/package/2006/relationships"><Relationship Type="http://schemas.openxmlformats.org/officeDocument/2006/relationships/externalLinkPath" Target="file:///\\usts01.us.kworld.kpmg.com\transactionservices\Users\dkane\Desktop\adp%204.xlsx" TargetMode="External" Id="rId1"/></Relationships>
</file>

<file path=xl/externalLinks/_rels/externalLink25.xml.rels><Relationships xmlns="http://schemas.openxmlformats.org/package/2006/relationships"><Relationship Type="http://schemas.openxmlformats.org/officeDocument/2006/relationships/externalLinkPath" Target="file:///\\USTS01.us.kworld.kpmg.com\TransactionServices\EVPShared\Projects\Franklin%20Energy%20(B15391)\PJC%20Analysis\PJC%20Masking%20Mechanism%20v3.xlsx" TargetMode="External" Id="rId1"/></Relationships>
</file>

<file path=xl/externalLinks/_rels/externalLink26.xml.rels><Relationships xmlns="http://schemas.openxmlformats.org/package/2006/relationships"><Relationship Type="http://schemas.openxmlformats.org/officeDocument/2006/relationships/externalLinkPath" Target="file:///\\USTS01.us.kworld.kpmg.com\TransactionServices\Users\RICHH01\Documents\Franklin\8.1\_Source\FES_Program_Margin_Analysis_PJC%20Analysis.xlsx" TargetMode="External" Id="rId1"/></Relationships>
</file>

<file path=xl/externalLinks/_rels/externalLink27.xml.rels><Relationships xmlns="http://schemas.openxmlformats.org/package/2006/relationships"><Relationship Type="http://schemas.openxmlformats.org/officeDocument/2006/relationships/externalLinkPath" Target="file:///\\Modigliani3\Bus%20Dept\Documents%20and%20Settings\obash\Local%20Settings\Temporary%20Internet%20Files\OLK9\Hallmark%20Market%20Comp.xls" TargetMode="External" Id="rId1"/></Relationships>
</file>

<file path=xl/externalLinks/_rels/externalLink28.xml.rels><Relationships xmlns="http://schemas.openxmlformats.org/package/2006/relationships"><Relationship Type="http://schemas.openxmlformats.org/officeDocument/2006/relationships/externalLinkPath" Target="https://xpvwaterpartners0.sharepoint.com/Documents%20and%20Settings/dbrown/Desktop/delete.xls" TargetMode="External" Id="rId1"/></Relationships>
</file>

<file path=xl/externalLinks/_rels/externalLink29.xml.rels><Relationships xmlns="http://schemas.openxmlformats.org/package/2006/relationships"><Relationship Type="http://schemas.microsoft.com/office/2006/relationships/xlExternalLinkPath/xlLibrary" Target="POWER5.XLA" TargetMode="External" Id="rId1"/></Relationships>
</file>

<file path=xl/externalLinks/_rels/externalLink30.xml.rels><Relationships xmlns="http://schemas.openxmlformats.org/package/2006/relationships"><Relationship Type="http://schemas.openxmlformats.org/officeDocument/2006/relationships/externalLinkPath" Target="https://hollandpump-my.sharepoint.com/Users/thomas.howell/Desktop/XPV/Pelican/US%20Expansion%20Model%20(11-07-2017).xlsx" TargetMode="External" Id="rId1"/></Relationships>
</file>

<file path=xl/externalLinks/_rels/externalLink31.xml.rels><Relationships xmlns="http://schemas.openxmlformats.org/package/2006/relationships"><Relationship Type="http://schemas.openxmlformats.org/officeDocument/2006/relationships/externalLinkPath" Target="file:///C:\Users\KenoCox\OneDrive%20-%20Holland%20Pump%20Company\Documents\Board%20Deck%20Files\Forecast%20Model%20(IC%20Approval)%20-%20W%20Alpha%20v05%20with%20BOD%20Deck%2008082019PM.xlsx" TargetMode="External" Id="rId1"/></Relationships>
</file>

<file path=xl/externalLinks/_rels/externalLink32.xml.rels><Relationships xmlns="http://schemas.openxmlformats.org/package/2006/relationships"><Relationship Type="http://schemas.openxmlformats.org/officeDocument/2006/relationships/externalLinkPath" Target="https://hollandpump-my.sharepoint.com/Temp%20work/WBO%20Power%20V4%20032309%20-%20DUFOUR.xlsx" TargetMode="External" Id="rId1"/></Relationships>
</file>

<file path=xl/externalLinks/_rels/externalLink33.xml.rels><Relationships xmlns="http://schemas.openxmlformats.org/package/2006/relationships"><Relationship Type="http://schemas.openxmlformats.org/officeDocument/2006/relationships/externalLinkPath" Target="https://hollandpump-my.sharepoint.com/Users/jknighton/Documents/2017%20Budget/Copy%20of%20SGI%20Five%20Year%20Projection%20Model%20v8.0.xlsx" TargetMode="External" Id="rId1"/></Relationships>
</file>

<file path=xl/externalLinks/_rels/externalLink34.xml.rels><Relationships xmlns="http://schemas.openxmlformats.org/package/2006/relationships"><Relationship Type="http://schemas.openxmlformats.org/officeDocument/2006/relationships/externalLinkPath" Target="https://hollandpump-my.sharepoint.com/Users/Garren.hong/AppData/Local/Microsoft/Windows/Temporary%20Internet%20Files/Content.Outlook/W5173FSL/2016%20Consolid%20Income%20Statmnt-%20P5%206-22.xlsx" TargetMode="External" Id="rId1"/></Relationships>
</file>

<file path=xl/externalLinks/_rels/externalLink35.xml.rels><Relationships xmlns="http://schemas.openxmlformats.org/package/2006/relationships"><Relationship Type="http://schemas.openxmlformats.org/officeDocument/2006/relationships/externalLinkPath" Target="file:///H:\TEMP\TEMP\TEMP\TEMP\INQ%20Shareholders.xls" TargetMode="External" Id="rId1"/></Relationships>
</file>

<file path=xl/externalLinks/_rels/externalLink36.xml.rels><Relationships xmlns="http://schemas.openxmlformats.org/package/2006/relationships"><Relationship Type="http://schemas.openxmlformats.org/officeDocument/2006/relationships/externalLinkPath" Target="file:///\\ssf-bdc\data\Clients\Hewlett%20Packard\Oct%2099%20valuation\lumileds1.xls" TargetMode="External" Id="rId1"/></Relationships>
</file>

<file path=xl/externalLinks/_rels/externalLink37.xml.rels><Relationships xmlns="http://schemas.openxmlformats.org/package/2006/relationships"><Relationship Type="http://schemas.openxmlformats.org/officeDocument/2006/relationships/externalLinkPath" Target="file:///G:\Reporting\Sr.%20Team\Sr.%20Team%20Proclarity%20Test%205.xls" TargetMode="External" Id="rId1"/></Relationships>
</file>

<file path=xl/externalLinks/_rels/externalLink38.xml.rels><Relationships xmlns="http://schemas.openxmlformats.org/package/2006/relationships"><Relationship Type="http://schemas.openxmlformats.org/officeDocument/2006/relationships/externalLinkPath" Target="https://hollandpump-my.sharepoint.com/My%20Documents/Finance/2016/Financial%20Statements%20and%20Pro-Forma/SGH%20RFH%20Projection%20Model%20(HIGH%20CASE)%20February%204,%202016.xlsx" TargetMode="External" Id="rId1"/></Relationships>
</file>

<file path=xl/externalLinks/_rels/externalLink39.xml.rels><Relationships xmlns="http://schemas.openxmlformats.org/package/2006/relationships"><Relationship Type="http://schemas.openxmlformats.org/officeDocument/2006/relationships/externalLinkPath" Target="file:///D:\WB%20Finance%20Team\2012%20Projects\Warehouse%20Options%20v1.0.xlsx" TargetMode="External" Id="rId1"/></Relationships>
</file>

<file path=xl/externalLinks/_rels/externalLink40.xml.rels><Relationships xmlns="http://schemas.openxmlformats.org/package/2006/relationships"><Relationship Type="http://schemas.openxmlformats.org/officeDocument/2006/relationships/externalLinkPath" Target="file:///S:\Public\Projects\Stamford%20Scientific%20International%20(SSI)\Models%20and%20spreadsheets\SSI%20Aeration%20Oct%202018%20Update%20v6.xlsx" TargetMode="External" Id="rId1"/></Relationships>
</file>

<file path=xl/externalLinks/_rels/externalLink41.xml.rels>&#65279;<?xml version="1.0" encoding="utf-8"?>
<Relationships xmlns="http://schemas.openxmlformats.org/package/2006/relationships">
  <Relationship Type="http://schemas.openxmlformats.org/officeDocument/2006/relationships/externalLinkPath" Target="file:///\\cronuspartners.sharepoint.com@SSL\DavWWWRoot\Users\bbarclay\AppData\Local\Capital%20IQ\Office%20Plug-in\Templates\SPCIQ%20Excel%20Plug-In%20Tools\SPCIQ%20Identifier%20Convertor.xls" TargetMode="External" Id="rId1" />
</Relationships>
</file>

<file path=xl/externalLinks/_rels/externalLink42.xml.rels>&#65279;<?xml version="1.0" encoding="utf-8"?>
<Relationships xmlns="http://schemas.openxmlformats.org/package/2006/relationships">
  <Relationship Type="http://schemas.openxmlformats.org/officeDocument/2006/relationships/externalLinkPath" Target="file:///\\cronuspartners.sharepoint.com@SSL\DavWWWRoot\Users\wfantini\AppData\Local\Capital%20IQ\Office%20Plug-in\Templates\SPCIQ%20Excel%20Plug-In%20Tools\SPCIQ%20Identifier%20Convertor.xls" TargetMode="External" Id="rId1" />
</Relationships>
</file>

<file path=xl/externalLinks/_rels/externalLink43.xml.rels><Relationships xmlns="http://schemas.openxmlformats.org/package/2006/relationships"><Relationship Type="http://schemas.openxmlformats.org/officeDocument/2006/relationships/externalLinkPath" Target="https://cronuspartners.sharepoint.com/Clients/TECH/Business%20Development/Team%20Green/Real%20Estate%20Hospitality/Archive/CapIQ%20Ticker%20-%20Example%20for%20Sung.xls" TargetMode="External" Id="rId1"/></Relationships>
</file>

<file path=xl/externalLinks/_rels/externalLink44.xml.rels><Relationships xmlns="http://schemas.openxmlformats.org/package/2006/relationships"><Relationship Type="http://schemas.openxmlformats.org/officeDocument/2006/relationships/externalLinkPath" Target="https://hollandpump-my.sharepoint.com/Personal/Camp%20Freindship%20pool%20v3.0.xlsm" TargetMode="External" Id="rId1"/></Relationships>
</file>

<file path=xl/externalLinks/_rels/externalLink45.xml.rels><Relationships xmlns="http://schemas.openxmlformats.org/package/2006/relationships"><Relationship Type="http://schemas.openxmlformats.org/officeDocument/2006/relationships/externalLinkPath" Target="file:///X:\Project%20Big%20Bucks\Company%20meeting%20prep\Nexom\Management%20Presentation\Nexom%20MP%202019%20-%20Backup%20v05.xlsx" TargetMode="External" Id="rId1"/></Relationships>
</file>

<file path=xl/externalLinks/_rels/externalLink46.xml.rels><Relationships xmlns="http://schemas.openxmlformats.org/package/2006/relationships"><Relationship Type="http://schemas.openxmlformats.org/officeDocument/2006/relationships/externalLinkPath" Target="file:///O:\Financial%20Administration\Reporting%20&amp;%20Planning%20Calendar%20(Simon)\Critical%20Numbers%20Reporting\Fund%20Analytics%20Dashboard\Fund%20II%20Dashboard\2019\12.%20December\Fund%20II%20Dashboard%20-%20Dec%2031,%202019%20-%202020.03.17.xlsx" TargetMode="External" Id="rId1"/></Relationships>
</file>

<file path=xl/externalLinks/_rels/externalLink47.xml.rels><Relationships xmlns="http://schemas.openxmlformats.org/package/2006/relationships"><Relationship Type="http://schemas.openxmlformats.org/officeDocument/2006/relationships/externalLinkPath" Target="https://xpvwaterpartners0.sharepoint.com/sites/SAKE/Shared%20Documents/General/2022%20AJC%20Ad-Hoc/NSU/NSU%20Dynamic%20Waterfall/NSU%20Dynamic%20Waterfall%20v1.xlsx" TargetMode="External" Id="rId1"/></Relationships>
</file>

<file path=xl/externalLinks/_rels/externalLink48.xml.rels><Relationships xmlns="http://schemas.openxmlformats.org/package/2006/relationships"><Relationship Type="http://schemas.openxmlformats.org/officeDocument/2006/relationships/externalLinkPath" Target="file:///X:\%231%20Deal%20Flow\Deal%20Database\Advanced%20Water%20Well%20Technologies\2)%20Due%20diligence\5)%20Financial%20assessment\AWWT%20-%20Model%20v10.xlsx" TargetMode="External" Id="rId1"/></Relationships>
</file>

<file path=xl/externalLinks/_rels/externalLink49.xml.rels><Relationships xmlns="http://schemas.openxmlformats.org/package/2006/relationships"><Relationship Type="http://schemas.openxmlformats.org/officeDocument/2006/relationships/externalLinkPath" Target="file:///X:\Project%20Big%20Bucks\Presentation\Follow%20up%20-%20CI%20Capital%20Partners\Nexom%20-%20Backlog%20Analysis%20v05.xlsx" TargetMode="External" Id="rId1"/></Relationships>
</file>

<file path=xl/externalLinks/_rels/externalLink50.xml.rels><Relationships xmlns="http://schemas.openxmlformats.org/package/2006/relationships"><Relationship Type="http://schemas.openxmlformats.org/officeDocument/2006/relationships/externalLinkPath" Target="file:///X:\7.%20Deal%20Flow\Deal%20Database\Holland%20Pump\2)%20Due%20diligence\5)%20Financial%20assessment\Financial%20Model\HP%20-%20Financial%20Model%20v08.xlsx" TargetMode="External" Id="rId1"/></Relationships>
</file>

<file path=xl/externalLinks/_rels/externalLink51.xml.rels><Relationships xmlns="http://schemas.openxmlformats.org/package/2006/relationships"><Relationship Type="http://schemas.microsoft.com/office/2019/04/relationships/externalLinkLongPath" Target="https://xpvwaterpartners0.sharepoint.com/DH%20Investments/Nexus/6%20-%20Diligence/1%20-%20Rollover%20Investment%20-%20Nov%2022-2019/Project%20Big%20Bucks/Rollover%20Memorandum/Model/Project%20Nexus%20-%20Investment%20Memo%20Model%20-%20v12%20(with%20pref%20return).xlsx?24468131" TargetMode="External" Id="rId2"/></Relationships>
</file>

<file path=xl/externalLinks/_rels/externalLink52.xml.rels><Relationships xmlns="http://schemas.openxmlformats.org/package/2006/relationships"><Relationship Type="http://schemas.openxmlformats.org/officeDocument/2006/relationships/externalLinkPath" Target="https://opuswaterinc.sharepoint.com/Rouge%20Investments/Holland%20Pump/3%20-%20Financial%20Reporting/2021/12%20-%20December/HP%20-%202021%20Financial%20Statements.xlsx" TargetMode="External" Id="rId1"/></Relationships>
</file>

<file path=xl/externalLinks/_rels/externalLink53.xml.rels><Relationships xmlns="http://schemas.openxmlformats.org/package/2006/relationships"><Relationship Type="http://schemas.openxmlformats.org/officeDocument/2006/relationships/externalLinkPath" Target="file:///X:\PC%20Account%20Managers\1)%20Portfolio%20Companies\Holland%20Pump\7%20-%20Diligence\Mar%2013-19\5)%20Financial%20assessment\Financial%20Model\Forecast%20Model%20-%20Budgeting%20v01.xlsx" TargetMode="External" Id="rId1"/></Relationships>
</file>

<file path=xl/externalLinks/_rels/externalLink54.xml.rels><Relationships xmlns="http://schemas.openxmlformats.org/package/2006/relationships"><Relationship Type="http://schemas.microsoft.com/office/2019/04/relationships/externalLinkLongPath" Target="https://opuswaterinc.sharepoint.com/Rouge%20Investments/Holland%20Pump/6%20-%20Diligence/4%20-%20Acquisition%20(CDPW)%20-%20Dec-31-2020/2)%20Due%20diligence/7)%20Deal%20evaluation/Follow-on%20Round%20(CDPW)%20-%20Update%20(Dec%2022-2020)/HP%20-%20Follow-On%20Model%20(CDPW)%20-%202020.12.30%20v10.xlsx?3E8C1FFE" TargetMode="External" Id="rId2"/></Relationships>
</file>

<file path=xl/externalLinks/_rels/externalLink55.xml.rels><Relationships xmlns="http://schemas.openxmlformats.org/package/2006/relationships"><Relationship Type="http://schemas.openxmlformats.org/officeDocument/2006/relationships/externalLinkPath" Target="file:///X:\7.%20Deal%20Flow\Deal%20Database\Russell%20NDE%20Systems%20(PICA)\2)%20Due%20diligence\5)%20Financial%20assessment\RussellTech%20(PICA)%20Model%20v07.xlsx" TargetMode="External" Id="rId1"/></Relationships>
</file>

<file path=xl/externalLinks/_rels/externalLink56.xml.rels><Relationships xmlns="http://schemas.openxmlformats.org/package/2006/relationships"><Relationship Type="http://schemas.openxmlformats.org/officeDocument/2006/relationships/externalLinkPath" Target="file:///\\USSNF1GTSFP01\WP\WINDOWS\TEMP\CLDATA\123\work\FS12836.XLS" TargetMode="External" Id="rId1"/></Relationships>
</file>

<file path=xl/externalLinks/_rels/externalLink57.xml.rels><Relationships xmlns="http://schemas.openxmlformats.org/package/2006/relationships"><Relationship Type="http://schemas.openxmlformats.org/officeDocument/2006/relationships/externalLinkPath" Target="https://hollandpump-my.sharepoint.com/TEMP/W-AB/WAB-PF.XLS" TargetMode="External" Id="rId1"/></Relationships>
</file>

<file path=xl/externalLinks/_rels/externalLink58.xml.rels><Relationships xmlns="http://schemas.openxmlformats.org/package/2006/relationships"><Relationship Type="http://schemas.openxmlformats.org/officeDocument/2006/relationships/externalLinkPath" Target="https://hollandpump-my.sharepoint.com/TEMP/BI2/B2-PF.XLS" TargetMode="External" Id="rId1"/></Relationships>
</file>

<file path=xl/externalLinks/_rels/externalLink59.xml.rels><Relationships xmlns="http://schemas.openxmlformats.org/package/2006/relationships"><Relationship Type="http://schemas.openxmlformats.org/officeDocument/2006/relationships/externalLinkPath" Target="file:///\\USSNF1GTSFP01\WP\WINDOWS\TEMP\CLDATA\123\work\FS02835.XLS" TargetMode="External" Id="rId1"/></Relationships>
</file>

<file path=xl/externalLinks/_rels/externalLink60.xml.rels><Relationships xmlns="http://schemas.openxmlformats.org/package/2006/relationships"><Relationship Type="http://schemas.openxmlformats.org/officeDocument/2006/relationships/externalLinkPath" Target="https://hollandpump-my.sharepoint.com/Users/owenrh/AppData/Local/Microsoft/Windows/Temporary%20Internet%20Files/Content.Outlook/BOT7T6JN/2013%20NAX%20Compressor%20DMF%20Rev%204.xlsm" TargetMode="External" Id="rId1"/></Relationships>
</file>

<file path=xl/externalLinks/_rels/externalLink61.xml.rels><Relationships xmlns="http://schemas.openxmlformats.org/package/2006/relationships"><Relationship Type="http://schemas.openxmlformats.org/officeDocument/2006/relationships/externalLinkPath" Target="file:///\\Uknasdata03\CIMSHARED\FINANCE\Carl\Staff%20Numbers\FTE'S%201999%20TO%202002.xls" TargetMode="External" Id="rId1"/></Relationships>
</file>

<file path=xl/externalLinks/_rels/externalLink62.xml.rels><Relationships xmlns="http://schemas.openxmlformats.org/package/2006/relationships"><Relationship Type="http://schemas.openxmlformats.org/officeDocument/2006/relationships/externalLinkPath" Target="file:///C:\WINDOWS\Temporary%20Internet%20Files\Content.IE5\M9YVSNSL\Company%20Model_Feb%209%202002.xls" TargetMode="External" Id="rId1"/></Relationships>
</file>

<file path=xl/externalLinks/_rels/externalLink63.xml.rels><Relationships xmlns="http://schemas.openxmlformats.org/package/2006/relationships"><Relationship Type="http://schemas.openxmlformats.org/officeDocument/2006/relationships/externalLinkPath" Target="file:///\\matisse\cobra\GROUP%20CONTROLLING\ACTUALS\2006\05\J+20506\J2recap\EC_GROUPE%200506.xls" TargetMode="External" Id="rId1"/></Relationships>
</file>

<file path=xl/externalLinks/_rels/externalLink64.xml.rels><Relationships xmlns="http://schemas.openxmlformats.org/package/2006/relationships"><Relationship Type="http://schemas.openxmlformats.org/officeDocument/2006/relationships/externalLinkPath" Target="file:///P:\Rouge%20Investments\Opus%20Water\6%20-%20Diligence\2%20-%20Aquisition%20(RP%20Adams)%20-%202025.02.20\2)%20Due%20diligence\5)%20Financial%20assessment\RP%20Adams%20LTM%20Figures%202.24.25.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P&amp;L_Cash Fl_Month"/>
      <sheetName val="Revenue Projections"/>
      <sheetName val="Balance Sheet"/>
      <sheetName val="Sheet1"/>
      <sheetName val="Consolidated Expenses"/>
      <sheetName val="ANO"/>
      <sheetName val="DBO"/>
      <sheetName val="MBD"/>
      <sheetName val="BDV 12.00 split"/>
      <sheetName val="MKT 12.00 split"/>
      <sheetName val="SMG"/>
      <sheetName val="MCO"/>
      <sheetName val="G&amp;A"/>
      <sheetName val="Headcount Detail"/>
      <sheetName val="CashRec Rev Wkst"/>
      <sheetName val="Headcount "/>
      <sheetName val="GuV für AG"/>
      <sheetName val="P&amp;L LLC Euros"/>
      <sheetName val="Cost"/>
      <sheetName val="Infos"/>
      <sheetName val="SalaryData"/>
      <sheetName val="Mbr"/>
      <sheetName val="Budget"/>
      <sheetName val="Param(1)"/>
      <sheetName val="Integration"/>
      <sheetName val="Sales 200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AWC"/>
      <sheetName val="WC graph data"/>
      <sheetName val="05 sales analysis"/>
      <sheetName val="Op exp mthly"/>
      <sheetName val="Old Median Price"/>
      <sheetName val="Old Volume"/>
      <sheetName val="Condo Price"/>
      <sheetName val="Old NSA Volume"/>
      <sheetName val="MW Aff"/>
      <sheetName val="NE Aff"/>
      <sheetName val="So Aff"/>
      <sheetName val="US Affordability"/>
      <sheetName val="We Aff"/>
      <sheetName val="QP6 Extract Macros"/>
      <sheetName val="Condo Volume"/>
      <sheetName val="QP6 Criteria"/>
      <sheetName val="Dollar Volume"/>
      <sheetName val="Volume"/>
      <sheetName val="NSA Volume"/>
      <sheetName val="Inventory"/>
      <sheetName val="Median Price"/>
      <sheetName val="Mean Price"/>
      <sheetName val="MSA Median Price"/>
      <sheetName val="State Volume"/>
      <sheetName val="First-time Affordability"/>
      <sheetName val="QP6 Macros"/>
      <sheetName val="QP6 Outlook Macros"/>
      <sheetName val="Quarterly US Aff"/>
      <sheetName val="Financial Analysis"/>
      <sheetName val="Detail"/>
      <sheetName val="Sales 2003"/>
      <sheetName val="DIL4"/>
      <sheetName val="L"/>
      <sheetName val="Infos"/>
      <sheetName val="Help"/>
      <sheetName val="#REF"/>
      <sheetName val="Income Statement"/>
      <sheetName val="info"/>
      <sheetName val=" '05 '06 Sales by Meat Group"/>
      <sheetName val="YTD_Sales by Meat Group"/>
      <sheetName val=" '05 '06 Sales by Product Group"/>
      <sheetName val="YTD_Sales by Product Group"/>
      <sheetName val="Reference"/>
      <sheetName val="Central Ops Team"/>
      <sheetName val="Crew_Plan"/>
      <sheetName val="Para"/>
      <sheetName val="CLOSED"/>
      <sheetName val="Inventory Turn"/>
      <sheetName val="Power &amp; Fuel (S)"/>
      <sheetName val="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
      <sheetName val="B"/>
      <sheetName val="B1"/>
      <sheetName val="C"/>
      <sheetName val="C1"/>
      <sheetName val="C2"/>
      <sheetName val="C3"/>
      <sheetName val="C4"/>
    </sheetNames>
    <sheetDataSet>
      <sheetData sheetId="0"/>
      <sheetData sheetId="1"/>
      <sheetData sheetId="2"/>
      <sheetData sheetId="3"/>
      <sheetData sheetId="4"/>
      <sheetData sheetId="5"/>
      <sheetData sheetId="6"/>
      <sheetData sheetId="7"/>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Planning Archives"/>
      <sheetName val="#REF"/>
      <sheetName val="CSCCincSKR"/>
      <sheetName val="Proforma"/>
      <sheetName val="Mai 2003"/>
      <sheetName val="Avril 2003"/>
      <sheetName val="Mars 2003"/>
      <sheetName val="Février 2003"/>
      <sheetName val="Janvier 2003"/>
      <sheetName val="Décembre 2002"/>
      <sheetName val="Novembre 2002"/>
      <sheetName val="Octobre 2002"/>
      <sheetName val="septembre 2002"/>
      <sheetName val="Aout 2002"/>
      <sheetName val="Juillet 2002"/>
      <sheetName val="Juin 2002"/>
      <sheetName val="Mai 2002"/>
      <sheetName val="Avril 2002"/>
      <sheetName val="Mars 2002"/>
      <sheetName val="Février 2002"/>
      <sheetName val="Janvier 2002"/>
      <sheetName val="Décembre 2001"/>
      <sheetName val="Novembre 2001"/>
      <sheetName val="Octobre 2001"/>
      <sheetName val="septembre 2001"/>
      <sheetName val="Aout"/>
      <sheetName val="Juillet"/>
      <sheetName val="Juin"/>
      <sheetName val="Mai"/>
      <sheetName val="Avril"/>
      <sheetName val="Mars"/>
      <sheetName val="février"/>
      <sheetName val="Janvier"/>
      <sheetName val="Décembre"/>
      <sheetName val="Novembre"/>
      <sheetName val="Octobre"/>
      <sheetName val="Co. C"/>
      <sheetName val="CASH FLOW"/>
      <sheetName val="BS"/>
      <sheetName val="DIV INC"/>
      <sheetName val="DropZone"/>
      <sheetName val="MAIN"/>
      <sheetName val="septembre 2003"/>
      <sheetName val="Aout 2003"/>
      <sheetName val="Juillet 2003"/>
      <sheetName val="Juin 2003"/>
      <sheetName val="PL"/>
      <sheetName val="FA"/>
      <sheetName val="Sundry-Exps"/>
      <sheetName val="Sheet1"/>
      <sheetName val="Ctrl"/>
      <sheetName val="P&amp;L"/>
      <sheetName val="Group Dashboard"/>
      <sheetName val="01.01"/>
      <sheetName val="WIP Detail"/>
      <sheetName val="Bonus and Sample"/>
      <sheetName val="DCF Analysis"/>
      <sheetName val="LIVE BG "/>
      <sheetName val="mancount"/>
      <sheetName val="PRESFMS"/>
      <sheetName val="TOTAL CAPEX BUDGET - DETAILS"/>
      <sheetName val="CF4"/>
      <sheetName val="CF5"/>
      <sheetName val="CF6"/>
      <sheetName val="CF3"/>
      <sheetName val="CF2"/>
      <sheetName val="CIP200106"/>
      <sheetName val="YTD 200106"/>
      <sheetName val="Look Ups"/>
      <sheetName val="Case 1B - 1"/>
      <sheetName val="Earnings Model"/>
      <sheetName val="Lookups"/>
      <sheetName val="List"/>
      <sheetName val="Tables"/>
      <sheetName val="EE list"/>
      <sheetName val="Power &amp; Fuel (S)"/>
      <sheetName val="DVD Summary"/>
      <sheetName val="Settings"/>
      <sheetName val="Inv Summ"/>
      <sheetName val="Planning_Archives"/>
      <sheetName val="Mai_2003"/>
      <sheetName val="Avril_2003"/>
      <sheetName val="Mars_2003"/>
      <sheetName val="Février_2003"/>
      <sheetName val="Janvier_2003"/>
      <sheetName val="Décembre_2002"/>
      <sheetName val="Novembre_2002"/>
      <sheetName val="Octobre_2002"/>
      <sheetName val="septembre_2002"/>
      <sheetName val="Aout_2002"/>
      <sheetName val="Juillet_2002"/>
      <sheetName val="Juin_2002"/>
      <sheetName val="Mai_2002"/>
      <sheetName val="Avril_2002"/>
      <sheetName val="Mars_2002"/>
      <sheetName val="Février_2002"/>
      <sheetName val="Janvier_2002"/>
      <sheetName val="Décembre_2001"/>
      <sheetName val="Novembre_2001"/>
      <sheetName val="Octobre_2001"/>
      <sheetName val="septembre_2001"/>
      <sheetName val="CASH_FLOW"/>
      <sheetName val="Co__C"/>
      <sheetName val="Bonus_and_Sample"/>
      <sheetName val="septembre_2003"/>
      <sheetName val="Aout_2003"/>
      <sheetName val="Juillet_2003"/>
      <sheetName val="Juin_2003"/>
      <sheetName val="DCF_Analysis"/>
      <sheetName val="LIVE_BG_"/>
      <sheetName val="CM"/>
      <sheetName val="CM Calc"/>
      <sheetName val="Data"/>
      <sheetName val="Orders"/>
      <sheetName val="Sales"/>
      <sheetName val="entitlements"/>
      <sheetName val="132417"/>
      <sheetName val="MISBS"/>
      <sheetName val="BOD PL NEW"/>
      <sheetName val="CMA_Calculations"/>
      <sheetName val="TB"/>
      <sheetName val="43B"/>
      <sheetName val="192"/>
      <sheetName val="194C"/>
      <sheetName val="Other notes"/>
      <sheetName val="Assumptions &amp; Results"/>
      <sheetName val="P&amp;F"/>
      <sheetName val="Power &amp; Fuel(c)"/>
      <sheetName val="Monthly working capi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Old WC"/>
      <sheetName val="Sales 2003"/>
      <sheetName val="min-ems"/>
      <sheetName val="Infos"/>
      <sheetName val="France - 2004"/>
      <sheetName val="2001"/>
      <sheetName val="1999"/>
      <sheetName val="2000"/>
      <sheetName val="Sprint VR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EXP1"/>
      <sheetName val="EXP2"/>
      <sheetName val="EXP3"/>
      <sheetName val="SalaryData"/>
      <sheetName val="Mbr"/>
      <sheetName val="Budget"/>
      <sheetName val="Param(1)"/>
      <sheetName val="Integration"/>
      <sheetName val="Amortization Schedules"/>
      <sheetName val="Sales 2003"/>
      <sheetName val="L"/>
      <sheetName val="ratios"/>
      <sheetName val="min-ems"/>
      <sheetName val="fORMULAE"/>
      <sheetName val="Data"/>
      <sheetName val="2006"/>
      <sheetName val="INPUT - production"/>
      <sheetName val="DIO"/>
      <sheetName val="#REF"/>
      <sheetName val="Non-Payroll Expenses"/>
      <sheetName val="Revenue Breakdown"/>
      <sheetName val="Assumptions"/>
      <sheetName val="Corporate Payroll"/>
      <sheetName val="MONSPD"/>
      <sheetName val="Seasonality curve"/>
      <sheetName val="Growth curves"/>
      <sheetName val="DealSheet"/>
      <sheetName val="S-U"/>
      <sheetName val="Subject"/>
      <sheetName val="NewExpFormat220702"/>
      <sheetName val="Breadown"/>
      <sheetName val="Status references"/>
      <sheetName val="1) Balance Sheet Summary"/>
      <sheetName val="MITL"/>
      <sheetName val="aimport05"/>
      <sheetName val="aimport06"/>
      <sheetName val="cimport05"/>
      <sheetName val="cimport06"/>
      <sheetName val="simport05"/>
      <sheetName val="simport06"/>
      <sheetName val="Suburban customer bridges"/>
      <sheetName val="Service Offerings to Top-20"/>
      <sheetName val="Logistics Out. by Region"/>
      <sheetName val="Revenue by Segment"/>
      <sheetName val="Facilities Overview"/>
      <sheetName val="Historical IS"/>
      <sheetName val="Monthwise sale"/>
      <sheetName val="Qual &amp; Sales"/>
      <sheetName val="CE2013adj"/>
      <sheetName val="4Wk Averages"/>
      <sheetName val="Estate Growth"/>
      <sheetName val="13Wk Averages"/>
      <sheetName val="Market Share"/>
      <sheetName val="Total Growth"/>
      <sheetName val="Sales by Product Service Detail"/>
      <sheetName val="Price"/>
      <sheetName val="PriceSyn"/>
      <sheetName val="OSU Contribution"/>
      <sheetName val="Lookups"/>
      <sheetName val="Autom. Test Equip"/>
      <sheetName val="Network Analyzers"/>
      <sheetName val="Inline"/>
      <sheetName val="Temp Test2  "/>
      <sheetName val="Market Size"/>
      <sheetName val="Etch"/>
      <sheetName val="Etch2"/>
      <sheetName val="Temp Test "/>
      <sheetName val="Plating2"/>
      <sheetName val="Autom. Test Equip2"/>
      <sheetName val="Plating"/>
      <sheetName val="Network Analyzers2"/>
      <sheetName val="Amortization_Schedules"/>
      <sheetName val="Sales_2003"/>
      <sheetName val="INPUT_-_production"/>
      <sheetName val="Non-Payroll_Expenses"/>
      <sheetName val="Revenue_Breakdown"/>
      <sheetName val="Corporate_Payroll"/>
      <sheetName val="Seasonality_curve"/>
      <sheetName val="Growth_curves"/>
      <sheetName val="Status_references"/>
      <sheetName val="1)_Balance_Sheet_Summary"/>
      <sheetName val="Service_Offerings_to_Top-20"/>
      <sheetName val="Logistics_Out__by_Region"/>
      <sheetName val="Revenue_by_Segment"/>
      <sheetName val="Facilities_Overview"/>
      <sheetName val="Suburban_customer_bridges"/>
      <sheetName val="Historical_IS"/>
      <sheetName val="Monthwise_sale"/>
      <sheetName val="Qual_&amp;_Sales"/>
      <sheetName val="4Wk_Averages"/>
      <sheetName val="Estate_Growth"/>
      <sheetName val="13Wk_Averages"/>
      <sheetName val="Market_Share"/>
      <sheetName val="Total_Growth"/>
      <sheetName val="DATOS"/>
      <sheetName val="MC"/>
      <sheetName val="PL MENS"/>
      <sheetName val="GG COMPARATIVO"/>
      <sheetName val="Hoja2"/>
      <sheetName val="Differentiators &amp; Initiatives"/>
      <sheetName val="Differentiators_&amp;_Initiatives"/>
      <sheetName val="Hoja1"/>
      <sheetName val="BusUnit_Mar15"/>
      <sheetName val="Categories"/>
      <sheetName val="RD"/>
      <sheetName val="Cover"/>
      <sheetName val="TL"/>
      <sheetName val="QE-&gt;"/>
      <sheetName val="QE 1.0"/>
      <sheetName val="QE 2.0"/>
      <sheetName val="QE 3.0"/>
      <sheetName val="QE 4.0"/>
      <sheetName val="QE 5.0"/>
      <sheetName val="QE 6.0"/>
      <sheetName val="QE 7.0"/>
      <sheetName val="QE 8.0"/>
      <sheetName val="QE 9.0"/>
      <sheetName val="QE 10.0"/>
      <sheetName val="QE 11.0"/>
      <sheetName val="QE 12.0"/>
      <sheetName val="Recast-&gt;"/>
      <sheetName val="RST 1.0"/>
      <sheetName val="RST 2.0"/>
      <sheetName val="DDLI-&gt;"/>
      <sheetName val="DDLI 1.0"/>
      <sheetName val="DDLI 2.0"/>
      <sheetName val="DDLI 2.1"/>
      <sheetName val="DDLI 3.0"/>
      <sheetName val="DDLI 4.0"/>
      <sheetName val="DDLI 5.0"/>
      <sheetName val="P&amp;L-&gt;"/>
      <sheetName val="P&amp;L 1.0"/>
      <sheetName val="P&amp;L 1.1"/>
      <sheetName val="P&amp;L 2.0"/>
      <sheetName val="P&amp;L 3.0"/>
      <sheetName val="P&amp;L 4.0"/>
      <sheetName val="P&amp;L 4.1"/>
      <sheetName val="P&amp;L 4.2"/>
      <sheetName val="P&amp;L 4.2.1"/>
      <sheetName val="P&amp;L 4.3"/>
      <sheetName val="P&amp;L 4.4"/>
      <sheetName val="P&amp;L xx"/>
      <sheetName val="P&amp;L 4.5"/>
      <sheetName val="BR-&gt;"/>
      <sheetName val="BR 1.0 "/>
      <sheetName val="BR 1.1"/>
      <sheetName val="BR 1.2"/>
      <sheetName val="BR 3.1"/>
      <sheetName val="BR 2.1"/>
      <sheetName val="BS-&gt;"/>
      <sheetName val="BS 1.0"/>
      <sheetName val="BS 1.1"/>
      <sheetName val="BS 1.3"/>
      <sheetName val="BS 1.4"/>
      <sheetName val="BS 1.5"/>
      <sheetName val="BS 2.1"/>
      <sheetName val="BS 2.1.1"/>
      <sheetName val="BS 2.2"/>
      <sheetName val="BS 2.3"/>
      <sheetName val="BS 3.0"/>
      <sheetName val="BS 3.1"/>
      <sheetName val="BS 5.1"/>
      <sheetName val="BS 5.0"/>
      <sheetName val="BS 5.3"/>
      <sheetName val="CN-&gt;"/>
      <sheetName val="CN 1.0"/>
      <sheetName val="CN1.1"/>
      <sheetName val="CN1.2"/>
      <sheetName val="CN 1.3"/>
      <sheetName val="CN 2.0"/>
      <sheetName val="CN 2.1"/>
      <sheetName val="CN 2.2"/>
      <sheetName val="Other-&gt;"/>
      <sheetName val="Oth 1.0"/>
      <sheetName val="Oth 2.0"/>
      <sheetName val="Oth 3.0"/>
      <sheetName val="Rec-&gt;"/>
      <sheetName val="Rec 1.0"/>
      <sheetName val="Rec 1.2"/>
      <sheetName val="Rec 1.3"/>
      <sheetName val="AFS-&gt;"/>
      <sheetName val="AFS 1.0"/>
      <sheetName val="AFS 1.1"/>
      <sheetName val="AFS 1.2"/>
      <sheetName val="AFS 2.0"/>
      <sheetName val="AFS 2.1"/>
      <sheetName val="KPMG-&gt;"/>
      <sheetName val="KPMG 1.0"/>
      <sheetName val="KPMG 1.1"/>
      <sheetName val="TBs-&gt;"/>
      <sheetName val="TB 1.0"/>
      <sheetName val="TB 2.0"/>
      <sheetName val="TB 3.0"/>
      <sheetName val="TB 4.0"/>
      <sheetName val="TB 5.0"/>
      <sheetName val="TB 6.0"/>
      <sheetName val="TB 7.0"/>
      <sheetName val="TB 8.0"/>
      <sheetName val="TB 9.0"/>
      <sheetName val="OUTPUT"/>
      <sheetName val="validatie"/>
      <sheetName val="validatie en business rules"/>
      <sheetName val="Gegevensvalidatie"/>
      <sheetName val="PopCache"/>
      <sheetName val="Power &amp; Fuel(new)"/>
      <sheetName val="Siac Segment P&amp;L - USD"/>
      <sheetName val="Crenlo Segment P&amp;L"/>
      <sheetName val="Cab Elim Segment P&amp;L"/>
      <sheetName val="Sheet3"/>
      <sheetName val="Financials"/>
      <sheetName val="DCF Inputs"/>
      <sheetName val="Sheet1 (4)"/>
      <sheetName val="Wang DCF "/>
      <sheetName val="OTHFA-1"/>
      <sheetName val="pagamentos nacionais"/>
      <sheetName val="LIST"/>
      <sheetName val="KEY PERFORMANCE MEASURES"/>
      <sheetName val="prod_upto_july_fin"/>
      <sheetName val="sch_list (2)"/>
      <sheetName val="Sheet1"/>
      <sheetName val="Actuals FY15"/>
      <sheetName val="Master"/>
      <sheetName val="Masters- Jun14"/>
      <sheetName val="Masters- Apr14"/>
      <sheetName val="入力規則"/>
      <sheetName val="Mapping"/>
      <sheetName val="Unbilled reason"/>
      <sheetName val="Scope"/>
      <sheetName val="Picklist LOV"/>
      <sheetName val="Equipment List"/>
      <sheetName val="MEX"/>
      <sheetName val="BRA"/>
      <sheetName val="PE CHARGES"/>
      <sheetName val="Division1"/>
      <sheetName val="MORE"/>
      <sheetName val="Consolidated"/>
      <sheetName val="Geography"/>
      <sheetName val="DCF"/>
      <sheetName val="Revenues Bridge"/>
      <sheetName val="Cash Flow - Deere"/>
      <sheetName val="Assum"/>
      <sheetName val="AACLIENT"/>
      <sheetName val="EDM Group BS &amp; CF £"/>
      <sheetName val="Top Clients"/>
      <sheetName val="Contracting Budget"/>
      <sheetName val="DLSTNC"/>
      <sheetName val="DLSTnCBudget"/>
      <sheetName val="THREE VARIABLES"/>
      <sheetName val="sysWorkbook"/>
      <sheetName val="D"/>
      <sheetName val="EXP. ADJUST."/>
      <sheetName val="CRITERIA1"/>
      <sheetName val="MAIN"/>
      <sheetName val="Inv"/>
      <sheetName val="Revenue &amp; Collections"/>
      <sheetName val="Mapping key"/>
      <sheetName val="QOE"/>
      <sheetName val="Legend"/>
      <sheetName val="Differentiators_&amp;_Initiatives1"/>
      <sheetName val="Differentiators_&amp;_Initiatives2"/>
      <sheetName val="Differentiators_&amp;_Initiatives3"/>
      <sheetName val="Lists"/>
      <sheetName val="Front Page"/>
      <sheetName val="Differentiators_&amp;_Initiatives5"/>
      <sheetName val="Front_Page1"/>
      <sheetName val="Differentiators_&amp;_Initiatives4"/>
      <sheetName val="Front_Page"/>
      <sheetName val="Entity"/>
      <sheetName val="PERIOD"/>
      <sheetName val="FY16 Budget Rates "/>
      <sheetName val="Hoja3"/>
      <sheetName val="DD"/>
      <sheetName val="xRef"/>
      <sheetName val="Differentiators_&amp;_Initiatives6"/>
      <sheetName val="Front_Page2"/>
      <sheetName val="FY16_Budget_Rates_"/>
      <sheetName val="Differentiators_&amp;_Initiatives7"/>
      <sheetName val="INPUT_-_production1"/>
      <sheetName val="Amortization_Schedules1"/>
      <sheetName val="Sales_20031"/>
      <sheetName val="Front_Page3"/>
      <sheetName val="FY16_Budget_Rates_1"/>
      <sheetName val="Reconciliation"/>
      <sheetName val="Non-Payroll_Expenses1"/>
      <sheetName val="Revenue_Breakdown1"/>
      <sheetName val="Corporate_Payroll1"/>
      <sheetName val="Seasonality_curve1"/>
      <sheetName val="Growth_curves1"/>
      <sheetName val="Status_references1"/>
      <sheetName val="1)_Balance_Sheet_Summary1"/>
      <sheetName val="Suburban_customer_bridges1"/>
      <sheetName val="Service_Offerings_to_Top-201"/>
      <sheetName val="Logistics_Out__by_Region1"/>
      <sheetName val="Revenue_by_Segment1"/>
      <sheetName val="Facilities_Overview1"/>
      <sheetName val="Historical_IS1"/>
      <sheetName val="Monthwise_sale1"/>
      <sheetName val="Qual_&amp;_Sales1"/>
      <sheetName val="PL_MENS"/>
      <sheetName val="GG_COMPARATIVO"/>
      <sheetName val="4Wk_Averages1"/>
      <sheetName val="Estate_Growth1"/>
      <sheetName val="13Wk_Averages1"/>
      <sheetName val="Market_Share1"/>
      <sheetName val="Total_Growth1"/>
      <sheetName val="OSU_Contribution"/>
      <sheetName val="Sales_by_Product_Service_Detail"/>
      <sheetName val="Autom__Test_Equip"/>
      <sheetName val="Network_Analyzers"/>
      <sheetName val="Temp_Test2__"/>
      <sheetName val="Market_Size"/>
      <sheetName val="Temp_Test_"/>
      <sheetName val="Autom__Test_Equip2"/>
      <sheetName val="Network_Analyzers2"/>
      <sheetName val="QE_1_0"/>
      <sheetName val="QE_2_0"/>
      <sheetName val="QE_3_0"/>
      <sheetName val="QE_4_0"/>
      <sheetName val="QE_5_0"/>
      <sheetName val="QE_6_0"/>
      <sheetName val="QE_7_0"/>
      <sheetName val="QE_8_0"/>
      <sheetName val="QE_9_0"/>
      <sheetName val="QE_10_0"/>
      <sheetName val="QE_11_0"/>
      <sheetName val="QE_12_0"/>
      <sheetName val="RST_1_0"/>
      <sheetName val="RST_2_0"/>
      <sheetName val="DDLI_1_0"/>
      <sheetName val="DDLI_2_0"/>
      <sheetName val="DDLI_2_1"/>
      <sheetName val="DDLI_3_0"/>
      <sheetName val="DDLI_4_0"/>
      <sheetName val="DDLI_5_0"/>
      <sheetName val="P&amp;L_1_0"/>
      <sheetName val="P&amp;L_1_1"/>
      <sheetName val="P&amp;L_2_0"/>
      <sheetName val="P&amp;L_3_0"/>
      <sheetName val="P&amp;L_4_0"/>
      <sheetName val="P&amp;L_4_1"/>
      <sheetName val="P&amp;L_4_2"/>
      <sheetName val="P&amp;L_4_2_1"/>
      <sheetName val="P&amp;L_4_3"/>
      <sheetName val="P&amp;L_4_4"/>
      <sheetName val="P&amp;L_xx"/>
      <sheetName val="P&amp;L_4_5"/>
      <sheetName val="BR_1_0_"/>
      <sheetName val="BR_1_1"/>
      <sheetName val="BR_1_2"/>
      <sheetName val="BR_3_1"/>
      <sheetName val="BR_2_1"/>
      <sheetName val="BS_1_0"/>
      <sheetName val="BS_1_1"/>
      <sheetName val="BS_1_3"/>
      <sheetName val="BS_1_4"/>
      <sheetName val="BS_1_5"/>
      <sheetName val="BS_2_1"/>
      <sheetName val="BS_2_1_1"/>
      <sheetName val="BS_2_2"/>
      <sheetName val="BS_2_3"/>
      <sheetName val="BS_3_0"/>
      <sheetName val="BS_3_1"/>
      <sheetName val="BS_5_1"/>
      <sheetName val="BS_5_0"/>
      <sheetName val="BS_5_3"/>
      <sheetName val="CN_1_0"/>
      <sheetName val="CN1_1"/>
      <sheetName val="CN1_2"/>
      <sheetName val="CN_1_3"/>
      <sheetName val="CN_2_0"/>
      <sheetName val="CN_2_1"/>
      <sheetName val="CN_2_2"/>
      <sheetName val="Oth_1_0"/>
      <sheetName val="Oth_2_0"/>
      <sheetName val="Oth_3_0"/>
      <sheetName val="Rec_1_0"/>
      <sheetName val="Rec_1_2"/>
      <sheetName val="Rec_1_3"/>
      <sheetName val="AFS_1_0"/>
      <sheetName val="AFS_1_1"/>
      <sheetName val="AFS_1_2"/>
      <sheetName val="AFS_2_0"/>
      <sheetName val="AFS_2_1"/>
      <sheetName val="KPMG_1_0"/>
      <sheetName val="KPMG_1_1"/>
      <sheetName val="TB_1_0"/>
      <sheetName val="TB_2_0"/>
      <sheetName val="TB_3_0"/>
      <sheetName val="TB_4_0"/>
      <sheetName val="TB_5_0"/>
      <sheetName val="TB_6_0"/>
      <sheetName val="TB_7_0"/>
      <sheetName val="TB_8_0"/>
      <sheetName val="TB_9_0"/>
      <sheetName val="Siac_Segment_P&amp;L_-_USD"/>
      <sheetName val="Crenlo_Segment_P&amp;L"/>
      <sheetName val="Cab_Elim_Segment_P&amp;L"/>
      <sheetName val="validatie_en_business_rules"/>
      <sheetName val="Sheet4"/>
      <sheetName val="Payscales"/>
      <sheetName val="Maintenance"/>
      <sheetName val="CUSTOMER"/>
      <sheetName val="YTD UCS 2003"/>
      <sheetName val="A"/>
      <sheetName val="Consolidated TB - Changes"/>
      <sheetName val="J-cycle count09"/>
      <sheetName val="BS"/>
      <sheetName val="CF"/>
      <sheetName val="Income Statement"/>
      <sheetName val="Definition"/>
      <sheetName val="월별 실적 및 분석"/>
      <sheetName val="NI Input"/>
      <sheetName val="INPUT"/>
      <sheetName val="Revenues_Bridge"/>
      <sheetName val="INPUT_-_production2"/>
      <sheetName val="Revenues_Bridge1"/>
      <sheetName val="PL_MENS1"/>
      <sheetName val="GG_COMPARATIVO1"/>
      <sheetName val="Reference"/>
      <sheetName val="Sheet2"/>
      <sheetName val="Corp"/>
      <sheetName val="ﾁｮｺ停回数"/>
      <sheetName val="ﾁｮｺ停時間"/>
      <sheetName val="REG."/>
      <sheetName val="LoadProfile"/>
      <sheetName val="IS_Practice Analysis "/>
      <sheetName val="Management adjustment database"/>
      <sheetName val="Rev by store"/>
      <sheetName val="4W by store (new)"/>
      <sheetName val="Power_&amp;_Fuel(new)"/>
      <sheetName val="sch_list_(2)"/>
      <sheetName val="Actuals_FY15"/>
      <sheetName val="DCF_Inputs"/>
      <sheetName val="Sheet1_(4)"/>
      <sheetName val="Wang_DCF_"/>
      <sheetName val="pagamentos_nacionais"/>
      <sheetName val="KEY_PERFORMANCE_MEASURES"/>
      <sheetName val="Masters-_Jun14"/>
      <sheetName val="Masters-_Apr14"/>
      <sheetName val="Unbilled_reason"/>
      <sheetName val="Picklist_LOV"/>
      <sheetName val="Equipment_List"/>
      <sheetName val="PE_CHARGES"/>
      <sheetName val="Cash_Flow_-_Deere"/>
      <sheetName val="EDM_Group_BS_&amp;_CF_£"/>
      <sheetName val="Top_Clients"/>
      <sheetName val="Contracting_Budget"/>
      <sheetName val="THREE_VARIABLES"/>
      <sheetName val="EXP__ADJUST_"/>
      <sheetName val="synthgraph COMPS"/>
      <sheetName val="Foglio1"/>
      <sheetName val="Trial Balance"/>
      <sheetName val="TBs"/>
      <sheetName val="Groups"/>
      <sheetName val="2004 YTD"/>
      <sheetName val="2004 YE"/>
      <sheetName val="October 2005"/>
      <sheetName val="KEY_PERFORMANCE_MEASURES1"/>
      <sheetName val="2004_YTD"/>
      <sheetName val="2004_YE"/>
      <sheetName val="October_2005"/>
      <sheetName val="Dez 95 (01)"/>
      <sheetName val="HOSPICE OPSUM"/>
      <sheetName val="ANNEXURE-P&amp;L"/>
      <sheetName val="Graph"/>
      <sheetName val="Capitalization Table"/>
      <sheetName val="PHX  Income Statement - Summary"/>
      <sheetName val="Amortization_Schedules2"/>
      <sheetName val="Sales_20032"/>
      <sheetName val="Non-Payroll_Expenses2"/>
      <sheetName val="Revenue_Breakdown2"/>
      <sheetName val="Corporate_Payroll2"/>
      <sheetName val="Seasonality_curve2"/>
      <sheetName val="Growth_curves2"/>
      <sheetName val="Status_references2"/>
      <sheetName val="1)_Balance_Sheet_Summary2"/>
      <sheetName val="Service_Offerings_to_Top-202"/>
      <sheetName val="Logistics_Out__by_Region2"/>
      <sheetName val="Revenue_by_Segment2"/>
      <sheetName val="Facilities_Overview2"/>
      <sheetName val="Suburban_customer_bridges2"/>
      <sheetName val="Historical_IS2"/>
      <sheetName val="Monthwise_sale2"/>
      <sheetName val="Qual_&amp;_Sales2"/>
      <sheetName val="4Wk_Averages2"/>
      <sheetName val="Estate_Growth2"/>
      <sheetName val="13Wk_Averages2"/>
      <sheetName val="Market_Share2"/>
      <sheetName val="Total_Growth2"/>
      <sheetName val="OSU_Contribution1"/>
      <sheetName val="Sales_by_Product_Service_Detai1"/>
      <sheetName val="Autom__Test_Equip1"/>
      <sheetName val="Network_Analyzers1"/>
      <sheetName val="Temp_Test2__1"/>
      <sheetName val="Market_Size1"/>
      <sheetName val="Temp_Test_1"/>
      <sheetName val="Autom__Test_Equip21"/>
      <sheetName val="Network_Analyzers21"/>
      <sheetName val="QE_1_01"/>
      <sheetName val="QE_2_01"/>
      <sheetName val="QE_3_01"/>
      <sheetName val="QE_4_01"/>
      <sheetName val="QE_5_01"/>
      <sheetName val="QE_6_01"/>
      <sheetName val="QE_7_01"/>
      <sheetName val="QE_8_01"/>
      <sheetName val="QE_9_01"/>
      <sheetName val="QE_10_01"/>
      <sheetName val="QE_11_01"/>
      <sheetName val="QE_12_01"/>
      <sheetName val="RST_1_01"/>
      <sheetName val="RST_2_01"/>
      <sheetName val="DDLI_1_01"/>
      <sheetName val="DDLI_2_01"/>
      <sheetName val="DDLI_2_11"/>
      <sheetName val="DDLI_3_01"/>
      <sheetName val="DDLI_4_01"/>
      <sheetName val="DDLI_5_01"/>
      <sheetName val="P&amp;L_1_01"/>
      <sheetName val="P&amp;L_1_11"/>
      <sheetName val="P&amp;L_2_01"/>
      <sheetName val="P&amp;L_3_01"/>
      <sheetName val="P&amp;L_4_01"/>
      <sheetName val="P&amp;L_4_11"/>
      <sheetName val="P&amp;L_4_21"/>
      <sheetName val="P&amp;L_4_2_11"/>
      <sheetName val="P&amp;L_4_31"/>
      <sheetName val="P&amp;L_4_41"/>
      <sheetName val="P&amp;L_xx1"/>
      <sheetName val="P&amp;L_4_51"/>
      <sheetName val="BR_1_0_1"/>
      <sheetName val="BR_1_11"/>
      <sheetName val="BR_1_21"/>
      <sheetName val="BR_3_11"/>
      <sheetName val="BR_2_11"/>
      <sheetName val="BS_1_01"/>
      <sheetName val="BS_1_11"/>
      <sheetName val="BS_1_31"/>
      <sheetName val="BS_1_41"/>
      <sheetName val="BS_1_51"/>
      <sheetName val="BS_2_11"/>
      <sheetName val="BS_2_1_11"/>
      <sheetName val="BS_2_21"/>
      <sheetName val="BS_2_31"/>
      <sheetName val="BS_3_01"/>
      <sheetName val="BS_3_11"/>
      <sheetName val="BS_5_11"/>
      <sheetName val="BS_5_01"/>
      <sheetName val="BS_5_31"/>
      <sheetName val="CN_1_01"/>
      <sheetName val="CN1_11"/>
      <sheetName val="CN1_21"/>
      <sheetName val="CN_1_31"/>
      <sheetName val="CN_2_01"/>
      <sheetName val="CN_2_11"/>
      <sheetName val="CN_2_21"/>
      <sheetName val="Oth_1_01"/>
      <sheetName val="Oth_2_01"/>
      <sheetName val="Oth_3_01"/>
      <sheetName val="Rec_1_01"/>
      <sheetName val="Rec_1_21"/>
      <sheetName val="Rec_1_31"/>
      <sheetName val="AFS_1_01"/>
      <sheetName val="AFS_1_11"/>
      <sheetName val="AFS_1_21"/>
      <sheetName val="AFS_2_01"/>
      <sheetName val="AFS_2_11"/>
      <sheetName val="KPMG_1_01"/>
      <sheetName val="KPMG_1_11"/>
      <sheetName val="TB_1_01"/>
      <sheetName val="TB_2_01"/>
      <sheetName val="TB_3_01"/>
      <sheetName val="TB_4_01"/>
      <sheetName val="TB_5_01"/>
      <sheetName val="TB_6_01"/>
      <sheetName val="TB_7_01"/>
      <sheetName val="TB_8_01"/>
      <sheetName val="TB_9_01"/>
      <sheetName val="projections"/>
      <sheetName val="Zonewisw data"/>
      <sheetName val="Instructions"/>
      <sheetName val="Ref-FX"/>
      <sheetName val="Constant"/>
      <sheetName val="Account_Segment"/>
      <sheetName val="Waterfall_Mature EBITDA (High)"/>
      <sheetName val="Waterfall_Mature EBITDA (Low)"/>
      <sheetName val="Other Schedules"/>
      <sheetName val="Control_panel"/>
      <sheetName val="Storage"/>
      <sheetName val="Capa"/>
      <sheetName val="PL1.2"/>
      <sheetName val="PL4"/>
      <sheetName val="PL1"/>
      <sheetName val="FORMATTED BALANCE SHEET"/>
      <sheetName val="FORMATTED HISTORIC PERT BAL SHE"/>
      <sheetName val="FORMATTED HIST INCOME STATEMENT"/>
      <sheetName val="1998 INC STMT"/>
      <sheetName val="non toccare"/>
      <sheetName val="non toccare 3"/>
      <sheetName val="non toccare 2"/>
      <sheetName val="Sistemi"/>
      <sheetName val="M&amp;A bot"/>
      <sheetName val="M&amp;A top"/>
      <sheetName val="OX"/>
      <sheetName val="Assistance"/>
      <sheetName val="Original Andrew___Data"/>
      <sheetName val="Flash Report SDC(EUR)"/>
      <sheetName val="Jan'20 VS Dec'19"/>
      <sheetName val="Summary"/>
      <sheetName val="Pivot -Email"/>
      <sheetName val="Email -Reasoning"/>
      <sheetName val="Reasoning"/>
      <sheetName val="Raw Data"/>
      <sheetName val="Initial Dump"/>
      <sheetName val="Plant Stock Diff."/>
      <sheetName val="Special Stock Diff."/>
      <sheetName val="Duplication Check"/>
      <sheetName val="Main Working"/>
      <sheetName val="Slow Moving Working Pivot"/>
      <sheetName val="NRV Provision"/>
      <sheetName val="Actual Sales Qty"/>
      <sheetName val="Slow Moving Working - INT"/>
      <sheetName val="Average Sale - INT"/>
      <sheetName val="Pivot-KE30"/>
      <sheetName val="KE30"/>
      <sheetName val="Pivot- Forecast"/>
      <sheetName val="Forecast_Final for Upload"/>
      <sheetName val="Summary as per Forecast -NA"/>
      <sheetName val="Slow Moving Provision-NA"/>
      <sheetName val="Average Sale -NA"/>
      <sheetName val="Jan'20_VS_Dec'19"/>
      <sheetName val="Pivot_-Email"/>
      <sheetName val="Email_-Reasoning"/>
      <sheetName val="Raw_Data"/>
      <sheetName val="Initial_Dump"/>
      <sheetName val="Plant_Stock_Diff_"/>
      <sheetName val="Special_Stock_Diff_"/>
      <sheetName val="Duplication_Check"/>
      <sheetName val="Main_Working"/>
      <sheetName val="Slow_Moving_Working_Pivot"/>
      <sheetName val="NRV_Provision"/>
      <sheetName val="Actual_Sales_Qty"/>
      <sheetName val="Slow_Moving_Working_-_INT"/>
      <sheetName val="Average_Sale_-_INT"/>
      <sheetName val="Pivot-_Forecast"/>
      <sheetName val="Forecast_Final_for_Upload"/>
      <sheetName val="Summary_as_per_Forecast_-NA"/>
      <sheetName val="Slow_Moving_Provision-NA"/>
      <sheetName val="Average_Sale_-NA"/>
      <sheetName val="INPUT_-_production4"/>
      <sheetName val="Amortization_Schedules3"/>
      <sheetName val="Sales_20033"/>
      <sheetName val="Non-Payroll_Expenses3"/>
      <sheetName val="Revenue_Breakdown3"/>
      <sheetName val="Corporate_Payroll3"/>
      <sheetName val="Seasonality_curve3"/>
      <sheetName val="Growth_curves3"/>
      <sheetName val="1)_Balance_Sheet_Summary3"/>
      <sheetName val="Status_references3"/>
      <sheetName val="Suburban_customer_bridges3"/>
      <sheetName val="Service_Offerings_to_Top-203"/>
      <sheetName val="Logistics_Out__by_Region3"/>
      <sheetName val="Revenue_by_Segment3"/>
      <sheetName val="Facilities_Overview3"/>
      <sheetName val="Qual_&amp;_Sales3"/>
      <sheetName val="4Wk_Averages3"/>
      <sheetName val="Estate_Growth3"/>
      <sheetName val="13Wk_Averages3"/>
      <sheetName val="Market_Share3"/>
      <sheetName val="Total_Growth3"/>
      <sheetName val="PL_MENS3"/>
      <sheetName val="GG_COMPARATIVO3"/>
      <sheetName val="Differentiators_&amp;_Initiatives9"/>
      <sheetName val="sch_list_(2)1"/>
      <sheetName val="Actuals_FY151"/>
      <sheetName val="pagamentos_nacionais1"/>
      <sheetName val="DCF_Inputs1"/>
      <sheetName val="Sheet1_(4)1"/>
      <sheetName val="Wang_DCF_1"/>
      <sheetName val="Revenues_Bridge3"/>
      <sheetName val="validatie_en_business_rules1"/>
      <sheetName val="Siac_Segment_P&amp;L_-_USD1"/>
      <sheetName val="Crenlo_Segment_P&amp;L1"/>
      <sheetName val="Cab_Elim_Segment_P&amp;L1"/>
      <sheetName val="Power_&amp;_Fuel(new)1"/>
      <sheetName val="THREE_VARIABLES1"/>
      <sheetName val="EXP__ADJUST_1"/>
      <sheetName val="Cash_Flow_-_Deere1"/>
      <sheetName val="Masters-_Jun141"/>
      <sheetName val="Masters-_Apr141"/>
      <sheetName val="Unbilled_reason1"/>
      <sheetName val="Picklist_LOV1"/>
      <sheetName val="Equipment_List1"/>
      <sheetName val="PE_CHARGES1"/>
      <sheetName val="Contracting_Budget1"/>
      <sheetName val="EDM_Group_BS_&amp;_CF_£1"/>
      <sheetName val="Top_Clients1"/>
      <sheetName val="Consolidated_TB_-_Changes1"/>
      <sheetName val="J-cycle_count091"/>
      <sheetName val="Income_Statement1"/>
      <sheetName val="월별_실적_및_분석1"/>
      <sheetName val="NI_Input1"/>
      <sheetName val="Mapping_key1"/>
      <sheetName val="YTD_UCS_20031"/>
      <sheetName val="Front_Page5"/>
      <sheetName val="FY16_Budget_Rates_3"/>
      <sheetName val="INPUT_-_production3"/>
      <sheetName val="PL_MENS2"/>
      <sheetName val="GG_COMPARATIVO2"/>
      <sheetName val="Differentiators_&amp;_Initiatives8"/>
      <sheetName val="Revenues_Bridge2"/>
      <sheetName val="Consolidated_TB_-_Changes"/>
      <sheetName val="J-cycle_count09"/>
      <sheetName val="Income_Statement"/>
      <sheetName val="월별_실적_및_분석"/>
      <sheetName val="NI_Input"/>
      <sheetName val="Mapping_key"/>
      <sheetName val="YTD_UCS_2003"/>
      <sheetName val="Front_Page4"/>
      <sheetName val="FY16_Budget_Rates_2"/>
      <sheetName val="synthgraph"/>
      <sheetName val="Exchange Rates 2017-2021"/>
      <sheetName val="Exchange_Rates_2017-2021"/>
      <sheetName val="India (INR)"/>
      <sheetName val="Exchange_Rates_2017-20211"/>
      <sheetName val="India_(INR)"/>
      <sheetName val="Differentiators_&amp;_Initiatives10"/>
      <sheetName val="Front_Page6"/>
      <sheetName val="Amortization_Schedules4"/>
      <sheetName val="Sales_20034"/>
      <sheetName val="FY16_Budget_Rates_4"/>
      <sheetName val="Exchange_Rates_2017-20212"/>
      <sheetName val="India_(INR)1"/>
      <sheetName val="Differentiators_&amp;_Initiatives11"/>
      <sheetName val="Front_Page7"/>
      <sheetName val="INPUT_-_production5"/>
      <sheetName val="Amortization_Schedules5"/>
      <sheetName val="Sales_20035"/>
      <sheetName val="FY16_Budget_Rates_5"/>
      <sheetName val="Non-Payroll_Expenses4"/>
      <sheetName val="Revenue_Breakdown4"/>
      <sheetName val="Corporate_Payroll4"/>
      <sheetName val="Seasonality_curve4"/>
      <sheetName val="Growth_curves4"/>
      <sheetName val="1)_Balance_Sheet_Summary4"/>
      <sheetName val="Qual_&amp;_Sales4"/>
      <sheetName val="Service_Offerings_to_Top-204"/>
      <sheetName val="Logistics_Out__by_Region4"/>
      <sheetName val="Revenue_by_Segment4"/>
      <sheetName val="Facilities_Overview4"/>
      <sheetName val="Suburban_customer_bridges4"/>
      <sheetName val="Status_references4"/>
      <sheetName val="Exchange_Rates_2017-20213"/>
      <sheetName val="India_(INR)2"/>
      <sheetName val="Differentiators_&amp;_Initiatives13"/>
      <sheetName val="Front_Page9"/>
      <sheetName val="INPUT_-_production7"/>
      <sheetName val="Amortization_Schedules7"/>
      <sheetName val="Sales_20037"/>
      <sheetName val="FY16_Budget_Rates_7"/>
      <sheetName val="Non-Payroll_Expenses6"/>
      <sheetName val="Revenue_Breakdown6"/>
      <sheetName val="Corporate_Payroll6"/>
      <sheetName val="Seasonality_curve6"/>
      <sheetName val="Growth_curves6"/>
      <sheetName val="1)_Balance_Sheet_Summary6"/>
      <sheetName val="Qual_&amp;_Sales6"/>
      <sheetName val="Service_Offerings_to_Top-206"/>
      <sheetName val="Logistics_Out__by_Region6"/>
      <sheetName val="Revenue_by_Segment6"/>
      <sheetName val="Facilities_Overview6"/>
      <sheetName val="Suburban_customer_bridges6"/>
      <sheetName val="Status_references6"/>
      <sheetName val="PL_MENS5"/>
      <sheetName val="GG_COMPARATIVO5"/>
      <sheetName val="4Wk_Averages5"/>
      <sheetName val="Estate_Growth5"/>
      <sheetName val="13Wk_Averages5"/>
      <sheetName val="Market_Share5"/>
      <sheetName val="Total_Growth5"/>
      <sheetName val="Exchange_Rates_2017-20215"/>
      <sheetName val="India_(INR)4"/>
      <sheetName val="Differentiators_&amp;_Initiatives12"/>
      <sheetName val="Front_Page8"/>
      <sheetName val="INPUT_-_production6"/>
      <sheetName val="Amortization_Schedules6"/>
      <sheetName val="Sales_20036"/>
      <sheetName val="FY16_Budget_Rates_6"/>
      <sheetName val="Non-Payroll_Expenses5"/>
      <sheetName val="Revenue_Breakdown5"/>
      <sheetName val="Corporate_Payroll5"/>
      <sheetName val="Seasonality_curve5"/>
      <sheetName val="Growth_curves5"/>
      <sheetName val="1)_Balance_Sheet_Summary5"/>
      <sheetName val="Qual_&amp;_Sales5"/>
      <sheetName val="Service_Offerings_to_Top-205"/>
      <sheetName val="Logistics_Out__by_Region5"/>
      <sheetName val="Revenue_by_Segment5"/>
      <sheetName val="Facilities_Overview5"/>
      <sheetName val="Suburban_customer_bridges5"/>
      <sheetName val="Status_references5"/>
      <sheetName val="PL_MENS4"/>
      <sheetName val="GG_COMPARATIVO4"/>
      <sheetName val="4Wk_Averages4"/>
      <sheetName val="Estate_Growth4"/>
      <sheetName val="13Wk_Averages4"/>
      <sheetName val="Market_Share4"/>
      <sheetName val="Total_Growth4"/>
      <sheetName val="Exchange_Rates_2017-20214"/>
      <sheetName val="India_(INR)3"/>
      <sheetName val="APL2"/>
      <sheetName val="QE11-Report (new)"/>
      <sheetName val="Fcst 2020"/>
      <sheetName val="Act 2019 Net Suite"/>
      <sheetName val="IS TB DB"/>
      <sheetName val="Crop Misclass"/>
      <sheetName val="Net debt"/>
      <sheetName val="POC-US Consolidated"/>
      <sheetName val="PL (Breakers) - mixed"/>
      <sheetName val="Eye Vet"/>
      <sheetName val="Revenue &amp; QoE"/>
      <sheetName val="Cost Centres"/>
      <sheetName val="Currency"/>
      <sheetName val="Chart of Accounts"/>
      <sheetName val="3. DRE"/>
      <sheetName val="Validation"/>
      <sheetName val="Budget responsibilties  "/>
      <sheetName val="Drop down"/>
      <sheetName val="Scot Corp BUD"/>
      <sheetName val="10 yr proj"/>
      <sheetName val="Marina"/>
      <sheetName val="Historical_IS3"/>
      <sheetName val="Monthwise_sale3"/>
      <sheetName val="Sales_by_Product_Service_Detai2"/>
      <sheetName val="OSU_Contribution2"/>
      <sheetName val="Autom__Test_Equip3"/>
      <sheetName val="Network_Analyzers3"/>
      <sheetName val="Temp_Test2__2"/>
      <sheetName val="Market_Size2"/>
      <sheetName val="Temp_Test_2"/>
      <sheetName val="Autom__Test_Equip22"/>
      <sheetName val="Network_Analyzers22"/>
      <sheetName val="QE_1_02"/>
      <sheetName val="QE_2_02"/>
      <sheetName val="QE_3_02"/>
      <sheetName val="QE_4_02"/>
      <sheetName val="QE_5_02"/>
      <sheetName val="QE_6_02"/>
      <sheetName val="QE_7_02"/>
      <sheetName val="QE_8_02"/>
      <sheetName val="QE_9_02"/>
      <sheetName val="QE_10_02"/>
      <sheetName val="QE_11_02"/>
      <sheetName val="QE_12_02"/>
      <sheetName val="RST_1_02"/>
      <sheetName val="RST_2_02"/>
      <sheetName val="DDLI_1_02"/>
      <sheetName val="DDLI_2_02"/>
      <sheetName val="DDLI_2_12"/>
      <sheetName val="DDLI_3_02"/>
      <sheetName val="DDLI_4_02"/>
      <sheetName val="DDLI_5_02"/>
      <sheetName val="P&amp;L_1_02"/>
      <sheetName val="P&amp;L_1_12"/>
      <sheetName val="P&amp;L_2_02"/>
      <sheetName val="P&amp;L_3_02"/>
      <sheetName val="P&amp;L_4_02"/>
      <sheetName val="P&amp;L_4_12"/>
      <sheetName val="P&amp;L_4_22"/>
      <sheetName val="P&amp;L_4_2_12"/>
      <sheetName val="P&amp;L_4_32"/>
      <sheetName val="P&amp;L_4_42"/>
      <sheetName val="P&amp;L_xx2"/>
      <sheetName val="P&amp;L_4_52"/>
      <sheetName val="BR_1_0_2"/>
      <sheetName val="BR_1_12"/>
      <sheetName val="BR_1_22"/>
      <sheetName val="BR_3_12"/>
      <sheetName val="BR_2_12"/>
      <sheetName val="BS_1_02"/>
      <sheetName val="BS_1_12"/>
      <sheetName val="BS_1_32"/>
      <sheetName val="BS_1_42"/>
      <sheetName val="BS_1_52"/>
      <sheetName val="BS_2_12"/>
      <sheetName val="BS_2_1_12"/>
      <sheetName val="BS_2_22"/>
      <sheetName val="BS_2_32"/>
      <sheetName val="BS_3_02"/>
      <sheetName val="BS_3_12"/>
      <sheetName val="BS_5_12"/>
      <sheetName val="BS_5_02"/>
      <sheetName val="BS_5_32"/>
      <sheetName val="CN_1_02"/>
      <sheetName val="CN1_12"/>
      <sheetName val="CN1_22"/>
      <sheetName val="CN_1_32"/>
      <sheetName val="CN_2_02"/>
      <sheetName val="CN_2_12"/>
      <sheetName val="CN_2_22"/>
      <sheetName val="Oth_1_02"/>
      <sheetName val="Oth_2_02"/>
      <sheetName val="Oth_3_02"/>
      <sheetName val="Rec_1_02"/>
      <sheetName val="Rec_1_22"/>
      <sheetName val="Rec_1_32"/>
      <sheetName val="AFS_1_02"/>
      <sheetName val="AFS_1_12"/>
      <sheetName val="AFS_1_22"/>
      <sheetName val="AFS_2_02"/>
      <sheetName val="AFS_2_12"/>
      <sheetName val="KPMG_1_02"/>
      <sheetName val="KPMG_1_12"/>
      <sheetName val="TB_1_02"/>
      <sheetName val="TB_2_02"/>
      <sheetName val="TB_3_02"/>
      <sheetName val="TB_4_02"/>
      <sheetName val="TB_5_02"/>
      <sheetName val="TB_6_02"/>
      <sheetName val="TB_7_02"/>
      <sheetName val="TB_8_02"/>
      <sheetName val="TB_9_02"/>
      <sheetName val="validatie_en_business_rules2"/>
      <sheetName val="DUMP "/>
      <sheetName val="SBU KF Monthly"/>
      <sheetName val="P+L value"/>
      <sheetName val="col-reinft1"/>
      <sheetName val="form26"/>
      <sheetName val="ZSALEP"/>
      <sheetName val="Data validation--a"/>
      <sheetName val="H1-3 FA Full list"/>
      <sheetName val="FY Summary Walk"/>
      <sheetName val="Data_validation--a"/>
      <sheetName val="H1-3_FA_Full_list"/>
      <sheetName val="TB DB"/>
      <sheetName val="Stale by Channel"/>
      <sheetName val="Plan P&amp;L"/>
      <sheetName val="TB combined"/>
      <sheetName val="A1"/>
      <sheetName val="Salaried main"/>
      <sheetName val="CHN_OLD"/>
      <sheetName val="M&amp;A pipeline"/>
      <sheetName val="Valmat"/>
      <sheetName val="Listings"/>
      <sheetName val="Rest of Africa Entity roll"/>
      <sheetName val="Revenue_&amp;_Collections"/>
      <sheetName val="Revenue_&amp;_Collections1"/>
      <sheetName val="sch_list_(2)2"/>
      <sheetName val="Actuals_FY152"/>
      <sheetName val="pagamentos_nacionais2"/>
      <sheetName val="DCF_Inputs2"/>
      <sheetName val="Sheet1_(4)2"/>
      <sheetName val="Wang_DCF_2"/>
      <sheetName val="Masters-_Jun142"/>
      <sheetName val="Masters-_Apr142"/>
      <sheetName val="Unbilled_reason2"/>
      <sheetName val="Picklist_LOV2"/>
      <sheetName val="Equipment_List2"/>
      <sheetName val="PE_CHARGES2"/>
      <sheetName val="Siac_Segment_P&amp;L_-_USD2"/>
      <sheetName val="Crenlo_Segment_P&amp;L2"/>
      <sheetName val="Cab_Elim_Segment_P&amp;L2"/>
      <sheetName val="Contracting_Budget2"/>
      <sheetName val="Power_&amp;_Fuel(new)2"/>
      <sheetName val="THREE_VARIABLES2"/>
      <sheetName val="EXP__ADJUST_2"/>
      <sheetName val="Cash_Flow_-_Deere2"/>
      <sheetName val="Revenues_Bridge4"/>
      <sheetName val="YTD_UCS_20032"/>
      <sheetName val="EDM_Group_BS_&amp;_CF_£2"/>
      <sheetName val="Top_Clients2"/>
      <sheetName val="Mapping_key2"/>
      <sheetName val="KEY_PERFORMANCE_MEASURES2"/>
      <sheetName val="Consolidated_TB_-_Changes2"/>
      <sheetName val="J-cycle_count092"/>
      <sheetName val="Income_Statement2"/>
      <sheetName val="월별_실적_및_분석2"/>
      <sheetName val="NI_Input2"/>
      <sheetName val="Revenue_&amp;_Collections2"/>
      <sheetName val="Historical_IS4"/>
      <sheetName val="Monthwise_sale4"/>
      <sheetName val="Sales_by_Product_Service_Detai3"/>
      <sheetName val="OSU_Contribution3"/>
      <sheetName val="QE_1_03"/>
      <sheetName val="QE_2_03"/>
      <sheetName val="QE_3_03"/>
      <sheetName val="QE_4_03"/>
      <sheetName val="QE_5_03"/>
      <sheetName val="QE_6_03"/>
      <sheetName val="QE_7_03"/>
      <sheetName val="QE_8_03"/>
      <sheetName val="QE_9_03"/>
      <sheetName val="QE_10_03"/>
      <sheetName val="QE_11_03"/>
      <sheetName val="QE_12_03"/>
      <sheetName val="RST_1_03"/>
      <sheetName val="RST_2_03"/>
      <sheetName val="DDLI_1_03"/>
      <sheetName val="DDLI_2_03"/>
      <sheetName val="DDLI_2_13"/>
      <sheetName val="DDLI_3_03"/>
      <sheetName val="DDLI_4_03"/>
      <sheetName val="DDLI_5_03"/>
      <sheetName val="P&amp;L_1_03"/>
      <sheetName val="P&amp;L_1_13"/>
      <sheetName val="P&amp;L_2_03"/>
      <sheetName val="P&amp;L_3_03"/>
      <sheetName val="P&amp;L_4_03"/>
      <sheetName val="P&amp;L_4_13"/>
      <sheetName val="P&amp;L_4_23"/>
      <sheetName val="P&amp;L_4_2_13"/>
      <sheetName val="P&amp;L_4_33"/>
      <sheetName val="P&amp;L_4_43"/>
      <sheetName val="P&amp;L_xx3"/>
      <sheetName val="P&amp;L_4_53"/>
      <sheetName val="BR_1_0_3"/>
      <sheetName val="BR_1_13"/>
      <sheetName val="BR_1_23"/>
      <sheetName val="BR_3_13"/>
      <sheetName val="BR_2_13"/>
      <sheetName val="BS_1_03"/>
      <sheetName val="BS_1_13"/>
      <sheetName val="BS_1_33"/>
      <sheetName val="BS_1_43"/>
      <sheetName val="BS_1_53"/>
      <sheetName val="BS_2_13"/>
      <sheetName val="BS_2_1_13"/>
      <sheetName val="BS_2_23"/>
      <sheetName val="BS_2_33"/>
      <sheetName val="BS_3_03"/>
      <sheetName val="BS_3_13"/>
      <sheetName val="BS_5_13"/>
      <sheetName val="BS_5_03"/>
      <sheetName val="BS_5_33"/>
      <sheetName val="CN_1_03"/>
      <sheetName val="CN1_13"/>
      <sheetName val="CN1_23"/>
      <sheetName val="CN_1_33"/>
      <sheetName val="CN_2_03"/>
      <sheetName val="CN_2_13"/>
      <sheetName val="CN_2_23"/>
      <sheetName val="Oth_1_03"/>
      <sheetName val="Oth_2_03"/>
      <sheetName val="Oth_3_03"/>
      <sheetName val="Rec_1_03"/>
      <sheetName val="Rec_1_23"/>
      <sheetName val="Rec_1_33"/>
      <sheetName val="AFS_1_03"/>
      <sheetName val="AFS_1_13"/>
      <sheetName val="AFS_1_23"/>
      <sheetName val="AFS_2_03"/>
      <sheetName val="AFS_2_13"/>
      <sheetName val="KPMG_1_03"/>
      <sheetName val="KPMG_1_13"/>
      <sheetName val="TB_1_03"/>
      <sheetName val="TB_2_03"/>
      <sheetName val="TB_3_03"/>
      <sheetName val="TB_4_03"/>
      <sheetName val="TB_5_03"/>
      <sheetName val="TB_6_03"/>
      <sheetName val="TB_7_03"/>
      <sheetName val="TB_8_03"/>
      <sheetName val="TB_9_03"/>
      <sheetName val="Autom__Test_Equip4"/>
      <sheetName val="Network_Analyzers4"/>
      <sheetName val="Temp_Test2__3"/>
      <sheetName val="Market_Size3"/>
      <sheetName val="Temp_Test_3"/>
      <sheetName val="Autom__Test_Equip23"/>
      <sheetName val="Network_Analyzers23"/>
      <sheetName val="sch_list_(2)3"/>
      <sheetName val="Actuals_FY153"/>
      <sheetName val="pagamentos_nacionais3"/>
      <sheetName val="DCF_Inputs3"/>
      <sheetName val="Sheet1_(4)3"/>
      <sheetName val="Wang_DCF_3"/>
      <sheetName val="Masters-_Jun143"/>
      <sheetName val="Masters-_Apr143"/>
      <sheetName val="Unbilled_reason3"/>
      <sheetName val="Picklist_LOV3"/>
      <sheetName val="Equipment_List3"/>
      <sheetName val="PE_CHARGES3"/>
      <sheetName val="Siac_Segment_P&amp;L_-_USD3"/>
      <sheetName val="Crenlo_Segment_P&amp;L3"/>
      <sheetName val="Cab_Elim_Segment_P&amp;L3"/>
      <sheetName val="Contracting_Budget3"/>
      <sheetName val="Power_&amp;_Fuel(new)3"/>
      <sheetName val="THREE_VARIABLES3"/>
      <sheetName val="EXP__ADJUST_3"/>
      <sheetName val="validatie_en_business_rules3"/>
      <sheetName val="Cash_Flow_-_Deere3"/>
      <sheetName val="Revenues_Bridge5"/>
      <sheetName val="YTD_UCS_20033"/>
      <sheetName val="EDM_Group_BS_&amp;_CF_£3"/>
      <sheetName val="Top_Clients3"/>
      <sheetName val="Mapping_key3"/>
      <sheetName val="KEY_PERFORMANCE_MEASURES3"/>
      <sheetName val="Consolidated_TB_-_Changes3"/>
      <sheetName val="J-cycle_count093"/>
      <sheetName val="Income_Statement3"/>
      <sheetName val="월별_실적_및_분석3"/>
      <sheetName val="NI_Input3"/>
      <sheetName val="Revenue_&amp;_Collections3"/>
      <sheetName val="MetaData"/>
      <sheetName val="Meta Data"/>
      <sheetName val="Zonewisw_data"/>
      <sheetName val="DUMP_"/>
      <sheetName val="SBU_KF_Monthly"/>
      <sheetName val="P+L_value"/>
      <sheetName val="Zonewisw_data1"/>
      <sheetName val="DUMP_1"/>
      <sheetName val="SBU_KF_Monthly1"/>
      <sheetName val="P+L_value1"/>
      <sheetName val="Ops Actuals"/>
      <sheetName val="Corp. Actuals &amp; TTM"/>
      <sheetName val="2018 Pro-forma"/>
      <sheetName val="Detailed Corporate Budget"/>
      <sheetName val="2019 Budget"/>
      <sheetName val="Unit Summary"/>
      <sheetName val="TASSI2"/>
      <sheetName val="Tav.22 Rischio di Credito"/>
      <sheetName val="Returns 5-7"/>
      <sheetName val="TWC1 (2)"/>
      <sheetName val="Inputs"/>
      <sheetName val="AcqIS"/>
      <sheetName val="AcqBSCF"/>
      <sheetName val="3 BALANCE SHEET 2011 "/>
      <sheetName val="HOSPICE_OPSUM"/>
      <sheetName val="Historical_IS5"/>
      <sheetName val="Monthwise_sale5"/>
      <sheetName val="OSU_Contribution4"/>
      <sheetName val="Sales_by_Product_Service_Detai4"/>
      <sheetName val="Autom__Test_Equip5"/>
      <sheetName val="Network_Analyzers5"/>
      <sheetName val="Temp_Test2__4"/>
      <sheetName val="Market_Size4"/>
      <sheetName val="Temp_Test_4"/>
      <sheetName val="Autom__Test_Equip24"/>
      <sheetName val="Network_Analyzers24"/>
      <sheetName val="QE_1_04"/>
      <sheetName val="QE_2_04"/>
      <sheetName val="QE_3_04"/>
      <sheetName val="QE_4_04"/>
      <sheetName val="QE_5_04"/>
      <sheetName val="QE_6_04"/>
      <sheetName val="QE_7_04"/>
      <sheetName val="QE_8_04"/>
      <sheetName val="QE_9_04"/>
      <sheetName val="QE_10_04"/>
      <sheetName val="QE_11_04"/>
      <sheetName val="QE_12_04"/>
      <sheetName val="RST_1_04"/>
      <sheetName val="RST_2_04"/>
      <sheetName val="DDLI_1_04"/>
      <sheetName val="DDLI_2_04"/>
      <sheetName val="DDLI_2_14"/>
      <sheetName val="DDLI_3_04"/>
      <sheetName val="DDLI_4_04"/>
      <sheetName val="DDLI_5_04"/>
      <sheetName val="P&amp;L_1_04"/>
      <sheetName val="P&amp;L_1_14"/>
      <sheetName val="P&amp;L_2_04"/>
      <sheetName val="P&amp;L_3_04"/>
      <sheetName val="P&amp;L_4_04"/>
      <sheetName val="P&amp;L_4_14"/>
      <sheetName val="P&amp;L_4_24"/>
      <sheetName val="P&amp;L_4_2_14"/>
      <sheetName val="P&amp;L_4_34"/>
      <sheetName val="P&amp;L_4_44"/>
      <sheetName val="P&amp;L_xx4"/>
      <sheetName val="P&amp;L_4_54"/>
      <sheetName val="BR_1_0_4"/>
      <sheetName val="BR_1_14"/>
      <sheetName val="BR_1_24"/>
      <sheetName val="BR_3_14"/>
      <sheetName val="BR_2_14"/>
      <sheetName val="BS_1_04"/>
      <sheetName val="BS_1_14"/>
      <sheetName val="BS_1_34"/>
      <sheetName val="BS_1_44"/>
      <sheetName val="BS_1_54"/>
      <sheetName val="BS_2_14"/>
      <sheetName val="BS_2_1_14"/>
      <sheetName val="BS_2_24"/>
      <sheetName val="BS_2_34"/>
      <sheetName val="BS_3_04"/>
      <sheetName val="BS_3_14"/>
      <sheetName val="BS_5_14"/>
      <sheetName val="BS_5_04"/>
      <sheetName val="BS_5_34"/>
      <sheetName val="CN_1_04"/>
      <sheetName val="CN1_14"/>
      <sheetName val="CN1_24"/>
      <sheetName val="CN_1_34"/>
      <sheetName val="CN_2_04"/>
      <sheetName val="CN_2_14"/>
      <sheetName val="CN_2_24"/>
      <sheetName val="Oth_1_04"/>
      <sheetName val="Oth_2_04"/>
      <sheetName val="Oth_3_04"/>
      <sheetName val="Rec_1_04"/>
      <sheetName val="Rec_1_24"/>
      <sheetName val="Rec_1_34"/>
      <sheetName val="AFS_1_04"/>
      <sheetName val="AFS_1_14"/>
      <sheetName val="AFS_1_24"/>
      <sheetName val="AFS_2_04"/>
      <sheetName val="AFS_2_14"/>
      <sheetName val="KPMG_1_04"/>
      <sheetName val="KPMG_1_14"/>
      <sheetName val="TB_1_04"/>
      <sheetName val="TB_2_04"/>
      <sheetName val="TB_3_04"/>
      <sheetName val="TB_4_04"/>
      <sheetName val="TB_5_04"/>
      <sheetName val="TB_6_04"/>
      <sheetName val="TB_7_04"/>
      <sheetName val="TB_8_04"/>
      <sheetName val="TB_9_04"/>
      <sheetName val="Fcst_2020"/>
      <sheetName val="Act_2019_Net_Suite"/>
      <sheetName val="P&amp;L"/>
      <sheetName val="Receita Anual Cliente"/>
      <sheetName val="graph info"/>
      <sheetName val="Mgmt Accts"/>
      <sheetName val="Comparison"/>
      <sheetName val="Gross Margin Summary"/>
      <sheetName val="Gross Margin"/>
      <sheetName val="PF4"/>
      <sheetName val="PL Block"/>
      <sheetName val="Adjustments Block"/>
      <sheetName val="PF Block"/>
      <sheetName val="QE14.1"/>
      <sheetName val="QE14.2"/>
      <sheetName val="QE14.3"/>
      <sheetName val="QE14.4"/>
      <sheetName val="QE14.5"/>
      <sheetName val="PF6.2"/>
      <sheetName val="QE9.2a"/>
      <sheetName val="QE9.2b"/>
      <sheetName val="QE9.2c"/>
      <sheetName val="Inventory 30.04.19"/>
      <sheetName val="F.ndo obs 04.19"/>
      <sheetName val="Inventory 30.04.20"/>
      <sheetName val="F.nso obs 30.04.20"/>
      <sheetName val="Database"/>
      <sheetName val="GIP 20 TB"/>
      <sheetName val="GIP 19 TB"/>
      <sheetName val="GIP 18 TB"/>
      <sheetName val=" P&amp;L 21 22 23 24"/>
      <sheetName val="Cash Flow + NWC"/>
      <sheetName val="Look ups"/>
      <sheetName val="Look_ups"/>
      <sheetName val="Look_ups1"/>
      <sheetName val="Look_ups2"/>
      <sheetName val="Look_ups3"/>
      <sheetName val="Look_ups4"/>
      <sheetName val="Look_ups5"/>
      <sheetName val="Look_ups7"/>
      <sheetName val="Look_ups6"/>
      <sheetName val="Look_ups8"/>
      <sheetName val="Genesis revenue - contract mix"/>
      <sheetName val="Covidien"/>
      <sheetName val="MATERIALE"/>
      <sheetName val="db by cust"/>
      <sheetName val="P&amp;L_Conso runner FY18"/>
      <sheetName val="Sales"/>
      <sheetName val="ARDetails"/>
      <sheetName val="Business Review"/>
      <sheetName val="Settings"/>
      <sheetName val="Amortization_Schedules8"/>
      <sheetName val="Sales_20038"/>
      <sheetName val="INPUT_-_production8"/>
      <sheetName val="Non-Payroll_Expenses7"/>
      <sheetName val="Revenue_Breakdown7"/>
      <sheetName val="Corporate_Payroll7"/>
      <sheetName val="Seasonality_curve7"/>
      <sheetName val="Growth_curves7"/>
      <sheetName val="Status_references7"/>
      <sheetName val="1)_Balance_Sheet_Summary7"/>
      <sheetName val="Suburban_customer_bridges7"/>
      <sheetName val="Service_Offerings_to_Top-207"/>
      <sheetName val="Logistics_Out__by_Region7"/>
      <sheetName val="Revenue_by_Segment7"/>
      <sheetName val="Facilities_Overview7"/>
      <sheetName val="Qual_&amp;_Sales7"/>
      <sheetName val="4Wk_Averages6"/>
      <sheetName val="Estate_Growth6"/>
      <sheetName val="13Wk_Averages6"/>
      <sheetName val="Market_Share6"/>
      <sheetName val="Total_Growth6"/>
      <sheetName val="PL_MENS6"/>
      <sheetName val="GG_COMPARATIVO6"/>
      <sheetName val="Differentiators_&amp;_Initiatives14"/>
      <sheetName val="Front_Page10"/>
      <sheetName val="FY16_Budget_Rates_8"/>
      <sheetName val="Unit_Summary"/>
      <sheetName val="REG_"/>
      <sheetName val="IS_Practice_Analysis_"/>
      <sheetName val="Exchange_Rates_2017-20216"/>
      <sheetName val="India_(INR)5"/>
      <sheetName val="Dez_95_(01)"/>
      <sheetName val="Ashu Waterfall"/>
      <sheetName val="Management_adjustment_database"/>
      <sheetName val="Rev_by_store"/>
      <sheetName val="4W_by_store_(new)"/>
      <sheetName val="synthgraph_COMPS"/>
      <sheetName val="Trial_Balance"/>
      <sheetName val="2004_YTD1"/>
      <sheetName val="2004_YE1"/>
      <sheetName val="October_20051"/>
      <sheetName val="Net_debt"/>
      <sheetName val="FORMATTED_BALANCE_SHEET"/>
      <sheetName val="FORMATTED_HISTORIC_PERT_BAL_SHE"/>
      <sheetName val="FORMATTED_HIST_INCOME_STATEMENT"/>
      <sheetName val="1998_INC_STMT"/>
      <sheetName val="Jan'20_VS_Dec'191"/>
      <sheetName val="Pivot_-Email1"/>
      <sheetName val="Email_-Reasoning1"/>
      <sheetName val="Raw_Data1"/>
      <sheetName val="Initial_Dump1"/>
      <sheetName val="Plant_Stock_Diff_1"/>
      <sheetName val="Special_Stock_Diff_1"/>
      <sheetName val="Duplication_Check1"/>
      <sheetName val="Main_Working1"/>
      <sheetName val="Slow_Moving_Working_Pivot1"/>
      <sheetName val="NRV_Provision1"/>
      <sheetName val="Actual_Sales_Qty1"/>
      <sheetName val="Slow_Moving_Working_-_INT1"/>
      <sheetName val="Average_Sale_-_INT1"/>
      <sheetName val="Pivot-_Forecast1"/>
      <sheetName val="Forecast_Final_for_Upload1"/>
      <sheetName val="Summary_as_per_Forecast_-NA1"/>
      <sheetName val="Slow_Moving_Provision-NA1"/>
      <sheetName val="Average_Sale_-NA1"/>
      <sheetName val="Original_Andrew___Data"/>
      <sheetName val="non_toccare"/>
      <sheetName val="non_toccare_3"/>
      <sheetName val="non_toccare_2"/>
      <sheetName val="Flash_Report_SDC(EUR)"/>
      <sheetName val="Waterfall_Mature_EBITDA_(High)"/>
      <sheetName val="Waterfall_Mature_EBITDA_(Low)"/>
      <sheetName val="Other_Schedules"/>
      <sheetName val="QE11-Report_(new)"/>
      <sheetName val="IS_TB_DB"/>
      <sheetName val="Crop_Misclass"/>
      <sheetName val="3__DRE"/>
      <sheetName val="Budget_responsibilties__"/>
      <sheetName val="Drop_down"/>
      <sheetName val="Scot_Corp_BUD"/>
      <sheetName val="PL1_2"/>
      <sheetName val="M&amp;A_bot"/>
      <sheetName val="M&amp;A_top"/>
      <sheetName val="POC-US_Consolidated"/>
      <sheetName val="PL_(Breakers)_-_mixed"/>
      <sheetName val="TB_DB"/>
      <sheetName val="Capitalization_Table"/>
      <sheetName val="PHX__Income_Statement_-_Summary"/>
      <sheetName val="Salaried_main"/>
      <sheetName val="M&amp;A_pipeline"/>
      <sheetName val="Eye_Vet"/>
      <sheetName val="Revenue_&amp;_QoE"/>
      <sheetName val="Cost_Centres"/>
      <sheetName val="Chart_of_Accounts"/>
      <sheetName val="Stale_by_Channel"/>
      <sheetName val="Plan_P&amp;L"/>
      <sheetName val="TB_combined"/>
      <sheetName val="FY_Summary_Walk"/>
      <sheetName val="Ops_Actuals"/>
      <sheetName val="Corp__Actuals_&amp;_TTM"/>
      <sheetName val="2018_Pro-forma"/>
      <sheetName val="Detailed_Corporate_Budget"/>
      <sheetName val="2019_Budget"/>
      <sheetName val="Dischg"/>
      <sheetName val="Macro1"/>
      <sheetName val="Office List"/>
      <sheetName val="Inventory Count Sheet "/>
      <sheetName val="Provision for Tax"/>
      <sheetName val="2.0"/>
    </sheetNames>
    <sheetDataSet>
      <sheetData sheetId="0">
        <row r="10">
          <cell r="EE10" t="str">
            <v xml:space="preserve">OLA  &amp; ALOWANCES     OLA  &amp; ALOWANCES     OLA  &amp; ALOWANCES     OLA  &amp; ALOWANCES     OLA  &amp; ALOWANCES     OLA  &amp; ALOWANCES     OLA  &amp; ALOWANCES     OLA  &amp; ALOWANCES     OLA  &amp; ALOWANCES     OLA  &amp; ALOWANCES     </v>
          </cell>
        </row>
      </sheetData>
      <sheetData sheetId="1">
        <row r="10">
          <cell r="EE10" t="str">
            <v xml:space="preserve">OLA  &amp; ALOWANCES     OLA  &amp; ALOWANCES     OLA  &amp; ALOWANCES     OLA  &amp; ALOWANCES     OLA  &amp; ALOWANCES     OLA  &amp; ALOWANCES     OLA  &amp; ALOWANCES     OLA  &amp; ALOWANCES     OLA  &amp; ALOWANCES     OLA  &amp; ALOWANCES     </v>
          </cell>
        </row>
      </sheetData>
      <sheetData sheetId="2">
        <row r="10">
          <cell r="EE10" t="str">
            <v xml:space="preserve">OLA  &amp; ALOWANCES     OLA  &amp; ALOWANCES     OLA  &amp; ALOWANCES     OLA  &amp; ALOWANCES     OLA  &amp; ALOWANCES     OLA  &amp; ALOWANCES     OLA  &amp; ALOWANCES     OLA  &amp; ALOWANCES     OLA  &amp; ALOWANCES     OLA  &amp; ALOWANCES     </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sheetData sheetId="260"/>
      <sheetData sheetId="261" refreshError="1"/>
      <sheetData sheetId="262" refreshError="1"/>
      <sheetData sheetId="263"/>
      <sheetData sheetId="264"/>
      <sheetData sheetId="265"/>
      <sheetData sheetId="266"/>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refreshError="1"/>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sheetData sheetId="414"/>
      <sheetData sheetId="415"/>
      <sheetData sheetId="416"/>
      <sheetData sheetId="417"/>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sheetData sheetId="458"/>
      <sheetData sheetId="459"/>
      <sheetData sheetId="460"/>
      <sheetData sheetId="461" refreshError="1"/>
      <sheetData sheetId="462" refreshError="1"/>
      <sheetData sheetId="463" refreshError="1"/>
      <sheetData sheetId="464" refreshError="1"/>
      <sheetData sheetId="465" refreshError="1"/>
      <sheetData sheetId="466" refreshError="1"/>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refreshError="1"/>
      <sheetData sheetId="721" refreshError="1"/>
      <sheetData sheetId="722"/>
      <sheetData sheetId="723" refreshError="1"/>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refreshError="1"/>
      <sheetData sheetId="811" refreshError="1"/>
      <sheetData sheetId="812"/>
      <sheetData sheetId="813"/>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sheetData sheetId="933"/>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refreshError="1"/>
      <sheetData sheetId="1104" refreshError="1"/>
      <sheetData sheetId="1105"/>
      <sheetData sheetId="1106"/>
      <sheetData sheetId="1107"/>
      <sheetData sheetId="1108"/>
      <sheetData sheetId="1109"/>
      <sheetData sheetId="1110"/>
      <sheetData sheetId="1111"/>
      <sheetData sheetId="1112"/>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refreshError="1"/>
      <sheetData sheetId="1222" refreshError="1"/>
      <sheetData sheetId="1223" refreshError="1"/>
      <sheetData sheetId="1224">
        <row r="11">
          <cell r="AK11">
            <v>-22.300000000000011</v>
          </cell>
        </row>
      </sheetData>
      <sheetData sheetId="1225"/>
      <sheetData sheetId="1226"/>
      <sheetData sheetId="1227"/>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sheetData sheetId="1253"/>
      <sheetData sheetId="1254"/>
      <sheetData sheetId="1255"/>
      <sheetData sheetId="1256"/>
      <sheetData sheetId="1257"/>
      <sheetData sheetId="1258"/>
      <sheetData sheetId="1259"/>
      <sheetData sheetId="1260"/>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refreshError="1"/>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refreshError="1"/>
      <sheetData sheetId="1374" refreshError="1"/>
      <sheetData sheetId="1375" refreshError="1"/>
      <sheetData sheetId="1376" refreshError="1"/>
      <sheetData sheetId="1377" refreshError="1"/>
      <sheetData sheetId="1378"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Edge 10797 Drilling Inventory"/>
      <sheetName val="Sheet1"/>
      <sheetName val="Lookups"/>
      <sheetName val="List"/>
      <sheetName val="Sheet5"/>
      <sheetName val="Proforma"/>
      <sheetName val="#REF"/>
      <sheetName val="Lookup Table"/>
      <sheetName val="Demolition"/>
      <sheetName val="Edge_10797_Drilling_Inventory"/>
      <sheetName val="Lookup_Table"/>
      <sheetName val="TM1"/>
      <sheetName val="Ocean"/>
      <sheetName val="S Amer"/>
      <sheetName val="Africa"/>
      <sheetName val="W Eur"/>
      <sheetName val="C Amer"/>
      <sheetName val="E Asia"/>
      <sheetName val="E Eur"/>
      <sheetName val="Mideast"/>
      <sheetName val="A"/>
      <sheetName val="Liste"/>
      <sheetName val="YTD Tota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COMP $ PER NET SALES"/>
      <sheetName val="INC BY DEPT"/>
      <sheetName val="DOLLAR BY DEPT"/>
      <sheetName val="INC BY PLANT"/>
      <sheetName val="DOLLAR BY PLANT"/>
      <sheetName val="CHARTS"/>
    </sheetNames>
    <sheetDataSet>
      <sheetData sheetId="0" refreshError="1"/>
      <sheetData sheetId="1"/>
      <sheetData sheetId="2" refreshError="1"/>
      <sheetData sheetId="3" refreshError="1"/>
      <sheetData sheetId="4" refreshError="1"/>
      <sheetData sheetId="5"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YTD Totals"/>
      <sheetName val="YTD Total by Platform"/>
      <sheetName val="June Dom vs Int'l"/>
      <sheetName val="June sales-eric&amp;tom"/>
      <sheetName val="June sales-sekeres"/>
      <sheetName val="June sales (no spedi)"/>
      <sheetName val="June sales-spedi only"/>
      <sheetName val="June sales (total)"/>
      <sheetName val="June new customer sales"/>
      <sheetName val="avg price"/>
      <sheetName val="Input"/>
      <sheetName val="YTD_Totals"/>
      <sheetName val="YTD_Total_by_Platform"/>
      <sheetName val="June_Dom_vs_Int'l"/>
      <sheetName val="June_sales-eric&amp;tom"/>
      <sheetName val="June_sales-sekeres"/>
      <sheetName val="June_sales_(no_spedi)"/>
      <sheetName val="June_sales-spedi_only"/>
      <sheetName val="June_sales_(total)"/>
      <sheetName val="June_new_customer_sales"/>
      <sheetName val="avg_price"/>
      <sheetName val="Operations"/>
      <sheetName val="Equity"/>
      <sheetName val="#REF"/>
      <sheetName val="HIOS 93 thru 96"/>
      <sheetName val="Sales 2003"/>
      <sheetName val="Division Breakout"/>
      <sheetName val="Ark1"/>
      <sheetName val="HOSPICE OPSUM"/>
      <sheetName val="D"/>
      <sheetName val="Financial History"/>
      <sheetName val="PBPWKST2"/>
      <sheetName val="useles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Monthly 2004 (2)"/>
      <sheetName val="April 04 Discussion"/>
      <sheetName val="Growth In. Worksheet (2)"/>
      <sheetName val="Growth In. Worksheet"/>
      <sheetName val="SOP Mgmt. Pres. (3)"/>
      <sheetName val="Sheet2"/>
      <sheetName val="Monthly 2003 (2)"/>
      <sheetName val="SOP Mgmt. Pres. (2)"/>
      <sheetName val="SOP Mgmt. Pres."/>
      <sheetName val="Consolidated (2)"/>
      <sheetName val="Aftermarket"/>
      <sheetName val="Engineered Systems"/>
      <sheetName val="SCB"/>
      <sheetName val="LRVP"/>
      <sheetName val="Summary Operating Performan (2)"/>
      <sheetName val="Input Page"/>
      <sheetName val="Cash &amp; Debt Free"/>
      <sheetName val="BS Summary"/>
      <sheetName val="Stat-Exhibit 2"/>
      <sheetName val="BS Stats"/>
      <sheetName val="Co. BS 2002"/>
      <sheetName val="BS-Exhibit 1"/>
      <sheetName val="Co. 2003 BS"/>
      <sheetName val="Co.-Monthly 2002"/>
      <sheetName val="Monthly 2002"/>
      <sheetName val="Quarterly 2002"/>
      <sheetName val="2003 Final"/>
      <sheetName val="Monthly 2003"/>
      <sheetName val="Consolidated"/>
      <sheetName val="Co. Pro Forma 2003"/>
      <sheetName val="Summary Add Back Schedule"/>
      <sheetName val="Pro Forma 2003"/>
      <sheetName val="Quarterly Pro Forma 2003"/>
      <sheetName val="Other COGS"/>
      <sheetName val="Quarterly 2003"/>
      <sheetName val="Adj. Monthly 2003"/>
      <sheetName val="Adj. Quarterly 2003"/>
      <sheetName val="Sheet3"/>
      <sheetName val="LTM"/>
      <sheetName val="Quarterly 2004"/>
      <sheetName val="P &amp; L  Month Sum - 2004 LE"/>
      <sheetName val="Run Rate"/>
      <sheetName val="Co.-Monthly 2004"/>
      <sheetName val="Co. Monthly 2003"/>
      <sheetName val="Monthly 2004"/>
      <sheetName val="6-10 Revised Proj."/>
      <sheetName val="6-11 Revised Proj."/>
      <sheetName val="4-8 Revised Proj."/>
      <sheetName val="IS Input (Unadj)"/>
      <sheetName val="IS Master Adjusted"/>
      <sheetName val="Summary Operating Performance"/>
      <sheetName val="Integration Savings"/>
      <sheetName val="Rev. and Headcount"/>
      <sheetName val="IS Input Add Backs"/>
      <sheetName val="Add Back Schedule"/>
      <sheetName val="Summary COGS"/>
      <sheetName val="Summary SG&amp;A"/>
      <sheetName val="Summary2"/>
      <sheetName val="Co. Nov 03 Sales by Geo."/>
      <sheetName val="2003 Sales by Geography"/>
      <sheetName val="Recaps"/>
      <sheetName val="Sales by Geography"/>
      <sheetName val="LRVP 2004"/>
      <sheetName val="SCB 2004"/>
      <sheetName val="Other Standard 2004"/>
      <sheetName val="Systems 2004"/>
      <sheetName val="Aftermkt 2004"/>
      <sheetName val="2003 Sales by Product"/>
      <sheetName val="Product Line"/>
      <sheetName val="Product Line (2)"/>
      <sheetName val="Shipments &amp; Margin - YTD"/>
      <sheetName val="Sales by Product"/>
      <sheetName val="Sales by Product CIM"/>
      <sheetName val="GIP 2004"/>
      <sheetName val="Paper 2004"/>
      <sheetName val="Power 2004"/>
      <sheetName val="Chemical 2004"/>
      <sheetName val="OEM 2004"/>
      <sheetName val="03 Co. Sales by Industry"/>
      <sheetName val="Sales by Industry"/>
      <sheetName val="Sales Breakdown"/>
      <sheetName val="CapEx"/>
      <sheetName val="CapEx by Geography"/>
      <sheetName val="Sheet1"/>
      <sheetName val="A-R (2)"/>
      <sheetName val="Net Inventory"/>
      <sheetName val="Net Inventory (2)"/>
      <sheetName val="Net Inventory (3)"/>
      <sheetName val="Inventory Breakdown (2)"/>
      <sheetName val="Dbl X Axis"/>
      <sheetName val="Dbl X Axis %"/>
      <sheetName val="2 Column"/>
      <sheetName val="Exhibit 6"/>
      <sheetName val="Co_ BS 2002"/>
      <sheetName val="Co__Monthly 2002"/>
      <sheetName val="Shipments _ Margin _ YTD"/>
      <sheetName val="Ownership"/>
      <sheetName val="Contico - Jani CY03"/>
      <sheetName val="YTDTables"/>
      <sheetName val="Inventory For Offices"/>
      <sheetName val="Sales 2003"/>
      <sheetName val="L"/>
      <sheetName val="GROCS"/>
      <sheetName val="France - 2004"/>
      <sheetName val="WIP 3-02"/>
      <sheetName val="YTD"/>
      <sheetName val="CompStore"/>
      <sheetName val="Comp Inputs"/>
      <sheetName val="1-21"/>
      <sheetName val="Control"/>
      <sheetName val="Forecast"/>
      <sheetName val="Calculations"/>
      <sheetName val="Data"/>
      <sheetName val=" SI &amp; OU"/>
      <sheetName val="Sheet01S"/>
      <sheetName val="SalaryData"/>
      <sheetName val="Named Ranges"/>
      <sheetName val="WQ Bal Sheet"/>
      <sheetName val="Dates"/>
      <sheetName val="FAB별"/>
      <sheetName val="wip"/>
      <sheetName val="QSI clinics"/>
      <sheetName val="Prix marché, shipments"/>
      <sheetName val="Assum"/>
      <sheetName val="SPP 2004 plan by TOS"/>
      <sheetName val="Summ"/>
      <sheetName val="Fillform"/>
      <sheetName val="YTD Totals"/>
      <sheetName val="Salary   (2)"/>
      <sheetName val="Comps"/>
      <sheetName val="Controls"/>
      <sheetName val="A2005"/>
      <sheetName val="Uno#5"/>
      <sheetName val="current fcst"/>
      <sheetName val="Query1 (2)"/>
      <sheetName val="LIGHTMEA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BSS"/>
      <sheetName val="PAID APR96"/>
      <sheetName val="feb-cash"/>
      <sheetName val="Given to Sales Reps-Mar"/>
      <sheetName val="PAID MAR96"/>
      <sheetName val="Given to Sales Reps-Feb"/>
      <sheetName val="PAID FEB96"/>
      <sheetName val="PAID JAN96"/>
      <sheetName val="DEC"/>
      <sheetName val="NOV"/>
      <sheetName val="OCT"/>
      <sheetName val="SEPT"/>
      <sheetName val="reconciling"/>
      <sheetName val="DEC-ACCRL"/>
      <sheetName val="NOV-ACCRL"/>
      <sheetName val="OCT-ACCRL"/>
      <sheetName val="JAK"/>
      <sheetName val="SAC"/>
      <sheetName val="PRL"/>
      <sheetName val="RAO"/>
      <sheetName val="ADMIN"/>
      <sheetName val="Sales 2003"/>
      <sheetName val="PAID_APR96"/>
      <sheetName val="Given_to_Sales_Reps-Mar"/>
      <sheetName val="PAID_MAR96"/>
      <sheetName val="Given_to_Sales_Reps-Feb"/>
      <sheetName val="PAID_FEB96"/>
      <sheetName val="PAID_JAN96"/>
      <sheetName val="BEV"/>
      <sheetName val="Prix marché, shipments"/>
      <sheetName val="EDISCOMM.XLS"/>
      <sheetName val="EDISCOM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refreshError="1"/>
      <sheetData sheetId="29" refreshError="1"/>
      <sheetData sheetId="30" refreshError="1"/>
      <sheetData sheetId="31"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0000"/>
      <sheetName val="1000"/>
      <sheetName val="HR"/>
      <sheetName val="CAPEX"/>
      <sheetName val="Bank Ratios"/>
      <sheetName val="Long Term"/>
      <sheetName val="NEW AP Analytics"/>
      <sheetName val="Inventory"/>
      <sheetName val="&gt;120days accounts"/>
      <sheetName val="AR Analytics"/>
      <sheetName val="Blue Book"/>
      <sheetName val="YTD Sales in Liters"/>
      <sheetName val="Top 10 Customers"/>
      <sheetName val="Sales in Liters"/>
      <sheetName val="Sales 2003"/>
      <sheetName val="Comparative Monthly Sales Repor"/>
      <sheetName val="Sales 2004"/>
      <sheetName val="Brian's Copy"/>
      <sheetName val="TB"/>
      <sheetName val="Assumptions"/>
      <sheetName val="TargIS"/>
      <sheetName val="TargBSCF"/>
      <sheetName val="Returns"/>
      <sheetName val="Prix marché, shipments"/>
      <sheetName val="BSS"/>
      <sheetName val="List"/>
      <sheetName val="Comps"/>
      <sheetName val="BCP_Mod"/>
      <sheetName val="CLOSE"/>
      <sheetName val="PopCache"/>
      <sheetName val="Mapping"/>
      <sheetName val="2015"/>
      <sheetName val="Choice lists"/>
      <sheetName val="Legend"/>
      <sheetName val="Services Headcount"/>
      <sheetName val="USAGE &amp; UC - UTILITIES"/>
      <sheetName val="BP00IONS"/>
      <sheetName val="Projetos"/>
      <sheetName val="Trans"/>
      <sheetName val="Recent Offerings"/>
      <sheetName val="מעכבי בעירה"/>
      <sheetName val="Data (by qt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pcBookData"/>
      <sheetName val="pcQueryData"/>
      <sheetName val="_pcHiddenSheet1"/>
      <sheetName val="_pcHiddenSheet7"/>
      <sheetName val="_pcSlicerSheet"/>
      <sheetName val="_pcHiddenSheet3"/>
      <sheetName val="_pcHiddenSheet4"/>
      <sheetName val="Proclarity"/>
      <sheetName val="Goals"/>
      <sheetName val="Stacked Rev &amp; PTI"/>
      <sheetName val="Pop Growth"/>
      <sheetName val="WTECH Options Register"/>
    </sheetNames>
    <sheetDataSet>
      <sheetData sheetId="0" refreshError="1"/>
      <sheetData sheetId="1">
        <row r="3">
          <cell r="A3" t="str">
            <v>_Rf_Oct_Act_for_2003_YTD</v>
          </cell>
        </row>
        <row r="4">
          <cell r="A4" t="str">
            <v>_Rf_Feb_Act_for_YTD</v>
          </cell>
        </row>
        <row r="5">
          <cell r="A5" t="str">
            <v>_Budget_for_Measure</v>
          </cell>
        </row>
        <row r="6">
          <cell r="A6" t="str">
            <v>_Actual_for_2004_Measure</v>
          </cell>
        </row>
      </sheetData>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Model Summary"/>
      <sheetName val="Monthly P&amp;L"/>
      <sheetName val="Summary P&amp;L"/>
      <sheetName val="Non-Capitalized Software"/>
      <sheetName val="Synergies"/>
      <sheetName val="Synergies (OAG)"/>
      <sheetName val="Synergies (SITA)"/>
      <sheetName val="Synergies (Sabre)"/>
      <sheetName val="Synergies (AirIT)"/>
      <sheetName val="AirIT Revenue Synergy"/>
      <sheetName val="Synergy List"/>
      <sheetName val="Revenue by Source"/>
      <sheetName val="Gov't Consulting Summary"/>
      <sheetName val="Charts"/>
      <sheetName val="Revenue by Customer Group"/>
      <sheetName val="Costs by Product Line"/>
      <sheetName val="IS Reconciliation"/>
      <sheetName val="Summary BS"/>
      <sheetName val="Detailed BS"/>
      <sheetName val="Cap Table"/>
      <sheetName val="Passenger Data"/>
      <sheetName val="Exec. Summary P&amp;L"/>
      <sheetName val="Airline Investments"/>
      <sheetName val="world growth"/>
      <sheetName val="Implementation Process"/>
      <sheetName val="Competitor Analysis"/>
      <sheetName val="Customer Lengths"/>
      <sheetName val="Transactions Combined"/>
      <sheetName val="Combined Multiples"/>
      <sheetName val="Transactions Combined (OLD)"/>
      <sheetName val="Combined Multiples (OLD)"/>
      <sheetName val="Football Field"/>
      <sheetName val="Valuation Summary"/>
      <sheetName val="DCF"/>
      <sheetName val="Market Size"/>
      <sheetName val="Source Files - - &gt;"/>
      <sheetName val="FlightView Flifo Data Sources"/>
      <sheetName val="Revenue by Market &amp; Customer"/>
      <sheetName val="Summary Tables"/>
      <sheetName val="Revenue Chart"/>
      <sheetName val="Monthly Revenue Data"/>
      <sheetName val="Oldest Contracts"/>
      <sheetName val="MRR by Account "/>
      <sheetName val="Monthly Revenue Data (2)"/>
      <sheetName val="Pivot"/>
      <sheetName val="Forecast (7.17.14) - -&gt;"/>
      <sheetName val="Forecast P&amp;L"/>
      <sheetName val="Historic P&amp;L"/>
      <sheetName val="Ad Revenue by Platform"/>
      <sheetName val="B2C Revenue"/>
      <sheetName val="B2C Stats"/>
      <sheetName val="App Downloads"/>
      <sheetName val="B2B Revenue"/>
      <sheetName val="B2B Stats"/>
      <sheetName val="Govt Revenue"/>
      <sheetName val="Operations"/>
      <sheetName val="Prof Services"/>
      <sheetName val="Sales"/>
      <sheetName val="Marketing"/>
      <sheetName val="Development"/>
      <sheetName val="Admin"/>
      <sheetName val="Gompertz"/>
      <sheetName val="Forecast (8.5.14) - -&gt;"/>
      <sheetName val="Forecast P&amp;L_8.5.14"/>
      <sheetName val="Historic P&amp;L_8.5.14"/>
      <sheetName val="Ad Revenue by Platform_8.5.14"/>
      <sheetName val="B2C Revenue_8.5.14"/>
      <sheetName val="B2B Revenue_8.5.14"/>
      <sheetName val="Govt Revenue_8.5.14"/>
      <sheetName val="Operations_8.5.14"/>
      <sheetName val="Prof Services_8.5.14"/>
      <sheetName val="Sales_8.5.14"/>
      <sheetName val="Marketing_8.5.14"/>
      <sheetName val="Development_8.5.14"/>
      <sheetName val="Admin_8.5.14"/>
      <sheetName val="Gompertz_8.5.14"/>
      <sheetName val="Rev by Industry Chart_8.5.14"/>
      <sheetName val="Data for Rev Chart_8.5.14"/>
    </sheetNames>
    <sheetDataSet>
      <sheetData sheetId="0"/>
      <sheetData sheetId="1"/>
      <sheetData sheetId="2">
        <row r="1">
          <cell r="B1" t="str">
            <v>Summary P&amp;L</v>
          </cell>
        </row>
        <row r="3">
          <cell r="C3" t="str">
            <v>FYE</v>
          </cell>
        </row>
        <row r="4">
          <cell r="C4">
            <v>40816</v>
          </cell>
          <cell r="D4">
            <v>41182</v>
          </cell>
          <cell r="E4">
            <v>41547</v>
          </cell>
          <cell r="H4">
            <v>41912</v>
          </cell>
          <cell r="I4">
            <v>42277</v>
          </cell>
          <cell r="J4">
            <v>42643</v>
          </cell>
          <cell r="K4">
            <v>43008</v>
          </cell>
        </row>
        <row r="5">
          <cell r="B5" t="str">
            <v>$ in thousands</v>
          </cell>
          <cell r="C5" t="str">
            <v>FY2011</v>
          </cell>
          <cell r="D5" t="str">
            <v>FY2012</v>
          </cell>
          <cell r="E5" t="str">
            <v>FY2013</v>
          </cell>
          <cell r="H5" t="str">
            <v>FY2014F</v>
          </cell>
          <cell r="I5" t="str">
            <v>FY2015F</v>
          </cell>
          <cell r="J5" t="str">
            <v>FY2016F</v>
          </cell>
          <cell r="K5" t="str">
            <v>FY2017F</v>
          </cell>
        </row>
        <row r="6">
          <cell r="B6" t="str">
            <v>Revenue</v>
          </cell>
        </row>
        <row r="7">
          <cell r="B7" t="str">
            <v>Subscription &amp; Maintenance</v>
          </cell>
          <cell r="C7">
            <v>3459.3649999999998</v>
          </cell>
          <cell r="D7">
            <v>3707.8145</v>
          </cell>
          <cell r="E7">
            <v>3980.66779</v>
          </cell>
          <cell r="H7">
            <v>4393.5221899999997</v>
          </cell>
          <cell r="I7">
            <v>4820.8988087426296</v>
          </cell>
          <cell r="J7">
            <v>5510.6277902551701</v>
          </cell>
          <cell r="K7">
            <v>6689.1119258675499</v>
          </cell>
        </row>
        <row r="8">
          <cell r="B8" t="str">
            <v>Set-up and Reports</v>
          </cell>
          <cell r="C8">
            <v>88.052000000000007</v>
          </cell>
          <cell r="D8">
            <v>223.08019999999999</v>
          </cell>
          <cell r="E8">
            <v>196.625</v>
          </cell>
          <cell r="H8">
            <v>157.50749999999999</v>
          </cell>
          <cell r="I8">
            <v>258.219210836267</v>
          </cell>
          <cell r="J8">
            <v>421.01960886355897</v>
          </cell>
          <cell r="K8">
            <v>686.46136154455405</v>
          </cell>
        </row>
        <row r="9">
          <cell r="B9" t="str">
            <v>Mobile Applications</v>
          </cell>
          <cell r="C9">
            <v>72.129000000000005</v>
          </cell>
          <cell r="D9">
            <v>40.884810000000002</v>
          </cell>
          <cell r="E9">
            <v>25.066610000000001</v>
          </cell>
          <cell r="H9">
            <v>36.123249999999999</v>
          </cell>
          <cell r="I9">
            <v>33.336199999999998</v>
          </cell>
          <cell r="J9">
            <v>33.336199999999998</v>
          </cell>
          <cell r="K9">
            <v>33.336199999999998</v>
          </cell>
        </row>
        <row r="10">
          <cell r="B10" t="str">
            <v>Offers</v>
          </cell>
          <cell r="C10">
            <v>0</v>
          </cell>
          <cell r="D10">
            <v>0</v>
          </cell>
          <cell r="E10">
            <v>0</v>
          </cell>
          <cell r="H10">
            <v>0</v>
          </cell>
          <cell r="I10">
            <v>3.4697395325817699</v>
          </cell>
          <cell r="J10">
            <v>18.971187126734399</v>
          </cell>
          <cell r="K10">
            <v>80.2684868241342</v>
          </cell>
        </row>
        <row r="11">
          <cell r="B11" t="str">
            <v>Advertising</v>
          </cell>
          <cell r="C11">
            <v>373.822</v>
          </cell>
          <cell r="D11">
            <v>429.23293999999999</v>
          </cell>
          <cell r="E11">
            <v>470.18034999999998</v>
          </cell>
          <cell r="H11">
            <v>571.78499999999997</v>
          </cell>
          <cell r="I11">
            <v>674.529929817263</v>
          </cell>
          <cell r="J11">
            <v>1048.8290221792599</v>
          </cell>
          <cell r="K11">
            <v>1529.0406292093001</v>
          </cell>
        </row>
        <row r="12">
          <cell r="B12" t="str">
            <v>Subtotal - Commerical Products</v>
          </cell>
          <cell r="C12">
            <v>3993.3679999999999</v>
          </cell>
          <cell r="D12">
            <v>4401.0124500000002</v>
          </cell>
          <cell r="E12">
            <v>4672.5397499999999</v>
          </cell>
          <cell r="H12">
            <v>5158.9379399999998</v>
          </cell>
          <cell r="I12">
            <v>5790.4538889287396</v>
          </cell>
          <cell r="J12">
            <v>7032.7838084247196</v>
          </cell>
          <cell r="K12">
            <v>9018.2186034455299</v>
          </cell>
        </row>
        <row r="13">
          <cell r="B13" t="str">
            <v>Professional Services</v>
          </cell>
          <cell r="C13">
            <v>876.61400000000003</v>
          </cell>
          <cell r="D13">
            <v>824.18326000000002</v>
          </cell>
          <cell r="E13">
            <v>903.91485999999998</v>
          </cell>
          <cell r="H13">
            <v>1078.6261300000001</v>
          </cell>
          <cell r="I13">
            <v>1301.9891606604999</v>
          </cell>
          <cell r="J13">
            <v>1341.0488354803099</v>
          </cell>
          <cell r="K13">
            <v>1381.2803005447199</v>
          </cell>
        </row>
        <row r="14">
          <cell r="B14" t="str">
            <v>Total Revenue</v>
          </cell>
          <cell r="C14">
            <v>4869.982</v>
          </cell>
          <cell r="D14">
            <v>5225.19571</v>
          </cell>
          <cell r="E14">
            <v>5576.4546099999998</v>
          </cell>
          <cell r="H14">
            <v>6237.5640700000004</v>
          </cell>
          <cell r="I14">
            <v>7092.4430495892302</v>
          </cell>
          <cell r="J14">
            <v>8373.8326439050306</v>
          </cell>
          <cell r="K14">
            <v>10399.498903990299</v>
          </cell>
        </row>
        <row r="15">
          <cell r="B15" t="str">
            <v>% Growth</v>
          </cell>
          <cell r="D15">
            <v>7.2939429755592297E-2</v>
          </cell>
          <cell r="E15">
            <v>6.7224065756572401E-2</v>
          </cell>
          <cell r="H15">
            <v>0.11855372386865</v>
          </cell>
          <cell r="I15">
            <v>0.13705333844999501</v>
          </cell>
          <cell r="J15">
            <v>0.18066970511522301</v>
          </cell>
          <cell r="K15">
            <v>0.241904316246351</v>
          </cell>
        </row>
        <row r="16">
          <cell r="B16" t="str">
            <v>CAGR % (FY2011 - FY2017F)</v>
          </cell>
          <cell r="K16">
            <v>0.177932009475851</v>
          </cell>
        </row>
        <row r="18">
          <cell r="B18" t="str">
            <v>Cost of Sales</v>
          </cell>
        </row>
        <row r="19">
          <cell r="B19" t="str">
            <v>Commerical Products</v>
          </cell>
          <cell r="C19">
            <v>710.35599999999999</v>
          </cell>
          <cell r="D19">
            <v>799.07745821428603</v>
          </cell>
          <cell r="E19">
            <v>956.31574999999998</v>
          </cell>
          <cell r="H19">
            <v>1075.9720940659299</v>
          </cell>
          <cell r="I19">
            <v>1299.7136800000001</v>
          </cell>
          <cell r="J19">
            <v>1524.1818175999999</v>
          </cell>
          <cell r="K19">
            <v>1818.9890901599999</v>
          </cell>
        </row>
        <row r="20">
          <cell r="B20" t="str">
            <v>Professional Services</v>
          </cell>
          <cell r="C20">
            <v>637.399</v>
          </cell>
          <cell r="D20">
            <v>527.58450428571405</v>
          </cell>
          <cell r="E20">
            <v>607.48936000000003</v>
          </cell>
          <cell r="H20">
            <v>711.98458209166699</v>
          </cell>
          <cell r="I20">
            <v>817.35832359999995</v>
          </cell>
          <cell r="J20">
            <v>840.82366370800003</v>
          </cell>
          <cell r="K20">
            <v>864.99296401924005</v>
          </cell>
        </row>
        <row r="21">
          <cell r="B21" t="str">
            <v>Total Cost of Sales</v>
          </cell>
          <cell r="C21">
            <v>1347.7550000000001</v>
          </cell>
          <cell r="D21">
            <v>1326.6619625000001</v>
          </cell>
          <cell r="E21">
            <v>1563.80511</v>
          </cell>
          <cell r="H21">
            <v>1787.9566761576</v>
          </cell>
          <cell r="I21">
            <v>2117.0720035999998</v>
          </cell>
          <cell r="J21">
            <v>2365.0054813080001</v>
          </cell>
          <cell r="K21">
            <v>2683.9820541792401</v>
          </cell>
        </row>
        <row r="23">
          <cell r="B23" t="str">
            <v>Gross Margin</v>
          </cell>
        </row>
        <row r="24">
          <cell r="B24" t="str">
            <v>Commerical Products</v>
          </cell>
          <cell r="C24">
            <v>3283.0120000000002</v>
          </cell>
          <cell r="D24">
            <v>3601.9349917857098</v>
          </cell>
          <cell r="E24">
            <v>3716.2240000000002</v>
          </cell>
          <cell r="H24">
            <v>4082.9658459340699</v>
          </cell>
          <cell r="I24">
            <v>4490.7402089287398</v>
          </cell>
          <cell r="J24">
            <v>5508.6019908247199</v>
          </cell>
          <cell r="K24">
            <v>7199.2295132855297</v>
          </cell>
        </row>
        <row r="25">
          <cell r="B25" t="str">
            <v>Commerical Products - %</v>
          </cell>
          <cell r="C25">
            <v>0.822116068441476</v>
          </cell>
          <cell r="D25">
            <v>0.81843326568769703</v>
          </cell>
          <cell r="E25">
            <v>0.79533277378753198</v>
          </cell>
          <cell r="H25">
            <v>0.79143534840313801</v>
          </cell>
          <cell r="I25">
            <v>0.77554200328146405</v>
          </cell>
          <cell r="J25">
            <v>0.78327475163189997</v>
          </cell>
          <cell r="K25">
            <v>0.79829840347127601</v>
          </cell>
        </row>
        <row r="26">
          <cell r="B26" t="str">
            <v>Prof. Services</v>
          </cell>
          <cell r="C26">
            <v>239.215</v>
          </cell>
          <cell r="D26">
            <v>296.59875571428603</v>
          </cell>
          <cell r="E26">
            <v>296.4255</v>
          </cell>
          <cell r="H26">
            <v>366.641547908333</v>
          </cell>
          <cell r="I26">
            <v>484.63083706049702</v>
          </cell>
          <cell r="J26">
            <v>500.225171772311</v>
          </cell>
          <cell r="K26">
            <v>516.28733652548101</v>
          </cell>
        </row>
        <row r="27">
          <cell r="B27" t="str">
            <v>Prof. Services - %</v>
          </cell>
          <cell r="C27">
            <v>0.27288521515741299</v>
          </cell>
          <cell r="D27">
            <v>0.35986991013902098</v>
          </cell>
          <cell r="E27">
            <v>0.32793519956071998</v>
          </cell>
          <cell r="H27">
            <v>0.33991532164006899</v>
          </cell>
          <cell r="I27">
            <v>0.372223403775992</v>
          </cell>
          <cell r="J27">
            <v>0.37301040688287102</v>
          </cell>
          <cell r="K27">
            <v>0.37377448756916198</v>
          </cell>
        </row>
        <row r="28">
          <cell r="B28" t="str">
            <v>Total Gross Margin</v>
          </cell>
          <cell r="C28">
            <v>3522.2269999999999</v>
          </cell>
          <cell r="D28">
            <v>3898.5337475000001</v>
          </cell>
          <cell r="E28">
            <v>4012.6495</v>
          </cell>
          <cell r="H28">
            <v>4449.6073938423997</v>
          </cell>
          <cell r="I28">
            <v>4975.37104598923</v>
          </cell>
          <cell r="J28">
            <v>6008.8271625970301</v>
          </cell>
          <cell r="K28">
            <v>7715.5168498110097</v>
          </cell>
        </row>
        <row r="29">
          <cell r="B29" t="str">
            <v>% of Revenue</v>
          </cell>
          <cell r="D29">
            <v>0.74610291439208098</v>
          </cell>
          <cell r="E29">
            <v>0.71957001009284605</v>
          </cell>
          <cell r="H29">
            <v>0.71335658342061803</v>
          </cell>
          <cell r="I29">
            <v>0.701503136676915</v>
          </cell>
          <cell r="J29">
            <v>0.71757191934933295</v>
          </cell>
          <cell r="K29">
            <v>0.74191236722479004</v>
          </cell>
        </row>
        <row r="30">
          <cell r="U30" t="str">
            <v>Averages</v>
          </cell>
        </row>
        <row r="31">
          <cell r="B31" t="str">
            <v>Operating Expenses</v>
          </cell>
          <cell r="U31" t="str">
            <v>FY11 to FY13</v>
          </cell>
          <cell r="V31" t="str">
            <v>FY14B to FY17</v>
          </cell>
        </row>
        <row r="32">
          <cell r="B32" t="str">
            <v>Sales</v>
          </cell>
          <cell r="C32">
            <v>491.64699999999999</v>
          </cell>
          <cell r="D32">
            <v>559.51529428571405</v>
          </cell>
          <cell r="E32">
            <v>601.73162000000002</v>
          </cell>
          <cell r="H32">
            <v>638.30752576217401</v>
          </cell>
          <cell r="I32">
            <v>838.75665675000005</v>
          </cell>
          <cell r="J32">
            <v>1144.2201548400001</v>
          </cell>
          <cell r="K32">
            <v>1171.7787594852</v>
          </cell>
          <cell r="M32">
            <v>0.100954582583673</v>
          </cell>
          <cell r="N32">
            <v>0.107080256001687</v>
          </cell>
          <cell r="O32">
            <v>0.107905768464598</v>
          </cell>
          <cell r="P32">
            <v>0.102332820729194</v>
          </cell>
          <cell r="Q32">
            <v>0.11826061215938501</v>
          </cell>
          <cell r="R32">
            <v>0.13664234807377401</v>
          </cell>
          <cell r="S32">
            <v>0.112676463578028</v>
          </cell>
          <cell r="U32">
            <v>0.105313535683319</v>
          </cell>
          <cell r="V32">
            <v>0.117478061135095</v>
          </cell>
        </row>
        <row r="33">
          <cell r="B33" t="str">
            <v>Marketing</v>
          </cell>
          <cell r="C33">
            <v>406.05399999999997</v>
          </cell>
          <cell r="D33">
            <v>448.05046214285699</v>
          </cell>
          <cell r="E33">
            <v>486.05157000000003</v>
          </cell>
          <cell r="H33">
            <v>621.429689152778</v>
          </cell>
          <cell r="I33">
            <v>749.29785960000004</v>
          </cell>
          <cell r="J33">
            <v>973.24372718400002</v>
          </cell>
          <cell r="K33">
            <v>1148.7462987494</v>
          </cell>
          <cell r="M33">
            <v>8.3378952940688505E-2</v>
          </cell>
          <cell r="N33">
            <v>8.5748072801441005E-2</v>
          </cell>
          <cell r="O33">
            <v>8.7161396262131499E-2</v>
          </cell>
          <cell r="P33">
            <v>9.9626982934185399E-2</v>
          </cell>
          <cell r="Q33">
            <v>0.105647356540057</v>
          </cell>
          <cell r="R33">
            <v>0.116224406263049</v>
          </cell>
          <cell r="S33">
            <v>0.110461697179335</v>
          </cell>
          <cell r="U33">
            <v>8.54294740014203E-2</v>
          </cell>
          <cell r="V33">
            <v>0.107990110729157</v>
          </cell>
        </row>
        <row r="34">
          <cell r="B34" t="str">
            <v>Research and Development</v>
          </cell>
          <cell r="C34">
            <v>1562.17</v>
          </cell>
          <cell r="D34">
            <v>1699.20139285714</v>
          </cell>
          <cell r="E34">
            <v>1772.78718</v>
          </cell>
          <cell r="H34">
            <v>1830.7474835</v>
          </cell>
          <cell r="I34">
            <v>1960.822768625</v>
          </cell>
          <cell r="J34">
            <v>2290.2841492749999</v>
          </cell>
          <cell r="K34">
            <v>2580.5974522485799</v>
          </cell>
          <cell r="M34">
            <v>0.32077531292723499</v>
          </cell>
          <cell r="N34">
            <v>0.32519382759294602</v>
          </cell>
          <cell r="O34">
            <v>0.31790578494460298</v>
          </cell>
          <cell r="P34">
            <v>0.293503595787514</v>
          </cell>
          <cell r="Q34">
            <v>0.27646648057872902</v>
          </cell>
          <cell r="R34">
            <v>0.273504886790639</v>
          </cell>
          <cell r="S34">
            <v>0.24814632667141401</v>
          </cell>
          <cell r="U34">
            <v>0.32129164182159498</v>
          </cell>
          <cell r="V34">
            <v>0.272905322457074</v>
          </cell>
        </row>
        <row r="35">
          <cell r="B35" t="str">
            <v>General and Administrative</v>
          </cell>
          <cell r="C35">
            <v>709.75300000000004</v>
          </cell>
          <cell r="D35">
            <v>748.98987821428602</v>
          </cell>
          <cell r="E35">
            <v>677.62559999999996</v>
          </cell>
          <cell r="H35">
            <v>717.97991854999998</v>
          </cell>
          <cell r="I35">
            <v>745.25594799999999</v>
          </cell>
          <cell r="J35">
            <v>761.16362644000003</v>
          </cell>
          <cell r="K35">
            <v>915.10662443873298</v>
          </cell>
          <cell r="M35">
            <v>0.145740374399741</v>
          </cell>
          <cell r="N35">
            <v>0.14334197602988599</v>
          </cell>
          <cell r="O35">
            <v>0.121515487418268</v>
          </cell>
          <cell r="P35">
            <v>0.115105818632497</v>
          </cell>
          <cell r="Q35">
            <v>0.10507746664855699</v>
          </cell>
          <cell r="R35">
            <v>9.0897879000963702E-2</v>
          </cell>
          <cell r="S35">
            <v>8.7995261395489896E-2</v>
          </cell>
          <cell r="U35">
            <v>0.13686594594929899</v>
          </cell>
          <cell r="V35">
            <v>9.9769106419376793E-2</v>
          </cell>
        </row>
        <row r="36">
          <cell r="B36" t="str">
            <v>Operating Expenses</v>
          </cell>
          <cell r="C36">
            <v>3169.6239999999998</v>
          </cell>
          <cell r="D36">
            <v>3455.7570274999998</v>
          </cell>
          <cell r="E36">
            <v>3538.1959700000002</v>
          </cell>
          <cell r="H36">
            <v>3808.46461696495</v>
          </cell>
          <cell r="I36">
            <v>4294.1332329750003</v>
          </cell>
          <cell r="J36">
            <v>5168.9116577389996</v>
          </cell>
          <cell r="K36">
            <v>5816.2291349219104</v>
          </cell>
        </row>
        <row r="38">
          <cell r="B38" t="str">
            <v>Operating Income</v>
          </cell>
          <cell r="C38">
            <v>352.60300000000001</v>
          </cell>
          <cell r="D38">
            <v>442.77671999999899</v>
          </cell>
          <cell r="E38">
            <v>474.45352999999898</v>
          </cell>
          <cell r="H38">
            <v>641.14277687745005</v>
          </cell>
          <cell r="I38">
            <v>681.23781301423196</v>
          </cell>
          <cell r="J38">
            <v>839.91550485803202</v>
          </cell>
          <cell r="K38">
            <v>1899.2877148891</v>
          </cell>
        </row>
        <row r="39">
          <cell r="B39" t="str">
            <v>% of Revenue</v>
          </cell>
          <cell r="C39">
            <v>7.2403347692044803E-2</v>
          </cell>
          <cell r="D39">
            <v>8.4738781966120696E-2</v>
          </cell>
          <cell r="E39">
            <v>8.5081573003245398E-2</v>
          </cell>
          <cell r="H39">
            <v>0.102787365337227</v>
          </cell>
          <cell r="I39">
            <v>9.6051220750188002E-2</v>
          </cell>
          <cell r="J39">
            <v>0.100302399220908</v>
          </cell>
          <cell r="K39">
            <v>0.182632618400523</v>
          </cell>
        </row>
        <row r="41">
          <cell r="B41" t="str">
            <v>Board Expense</v>
          </cell>
          <cell r="C41">
            <v>375.72399999999999</v>
          </cell>
          <cell r="D41">
            <v>378.63645000000002</v>
          </cell>
          <cell r="E41">
            <v>464.20956999999999</v>
          </cell>
          <cell r="H41">
            <v>545.35419166666702</v>
          </cell>
          <cell r="I41">
            <v>559.69503999999995</v>
          </cell>
          <cell r="J41">
            <v>615.66454399999998</v>
          </cell>
          <cell r="K41">
            <v>677.23099839999998</v>
          </cell>
        </row>
        <row r="42">
          <cell r="B42" t="str">
            <v>Interest Income</v>
          </cell>
          <cell r="C42">
            <v>0.17499999999999999</v>
          </cell>
          <cell r="D42">
            <v>0.13788</v>
          </cell>
          <cell r="E42">
            <v>0.10990999999999999</v>
          </cell>
          <cell r="H42">
            <v>6.7449999999999996E-2</v>
          </cell>
          <cell r="I42">
            <v>8.7999999999999995E-2</v>
          </cell>
          <cell r="J42">
            <v>8.7999999999999995E-2</v>
          </cell>
          <cell r="K42">
            <v>8.7999999999999995E-2</v>
          </cell>
        </row>
        <row r="43">
          <cell r="B43" t="str">
            <v>Interest Expense</v>
          </cell>
          <cell r="C43">
            <v>2.5819999999999999</v>
          </cell>
          <cell r="D43">
            <v>2.91106</v>
          </cell>
          <cell r="E43">
            <v>2.30972</v>
          </cell>
          <cell r="H43">
            <v>5.8877199999999998</v>
          </cell>
          <cell r="I43">
            <v>2</v>
          </cell>
          <cell r="J43">
            <v>2</v>
          </cell>
          <cell r="K43">
            <v>2</v>
          </cell>
        </row>
        <row r="44">
          <cell r="B44" t="str">
            <v>Taxes</v>
          </cell>
          <cell r="C44">
            <v>-4.7699999999999996</v>
          </cell>
          <cell r="D44">
            <v>14.117990000000001</v>
          </cell>
          <cell r="E44">
            <v>7.7182500000000003</v>
          </cell>
          <cell r="H44">
            <v>7.88124</v>
          </cell>
          <cell r="I44">
            <v>7.718</v>
          </cell>
          <cell r="J44">
            <v>7.718</v>
          </cell>
          <cell r="K44">
            <v>7.718</v>
          </cell>
        </row>
        <row r="45">
          <cell r="B45" t="str">
            <v>Net profit (loss)</v>
          </cell>
          <cell r="C45">
            <v>-21.108000000000398</v>
          </cell>
          <cell r="D45">
            <v>46.973339999998899</v>
          </cell>
          <cell r="E45">
            <v>0.106079999999281</v>
          </cell>
          <cell r="H45">
            <v>81.952175210782997</v>
          </cell>
          <cell r="I45">
            <v>111.736773014232</v>
          </cell>
          <cell r="J45">
            <v>214.444960858032</v>
          </cell>
          <cell r="K45">
            <v>1212.2507164890999</v>
          </cell>
        </row>
        <row r="46">
          <cell r="B46" t="str">
            <v>% of Revenue</v>
          </cell>
          <cell r="C46">
            <v>-4.3343076011370099E-3</v>
          </cell>
          <cell r="D46">
            <v>8.9897761934737107E-3</v>
          </cell>
          <cell r="E46">
            <v>1.9022839316050798E-5</v>
          </cell>
          <cell r="H46">
            <v>1.3138490329091399E-2</v>
          </cell>
          <cell r="I46">
            <v>1.5754341942964701E-2</v>
          </cell>
          <cell r="J46">
            <v>2.56089379830295E-2</v>
          </cell>
          <cell r="K46">
            <v>0.11656818541746899</v>
          </cell>
        </row>
        <row r="48">
          <cell r="B48" t="str">
            <v>Depreciation</v>
          </cell>
          <cell r="C48">
            <v>131.02600000000001</v>
          </cell>
          <cell r="D48">
            <v>107.13826</v>
          </cell>
          <cell r="E48">
            <v>123.05752</v>
          </cell>
          <cell r="H48">
            <v>153.649286277778</v>
          </cell>
          <cell r="I48">
            <v>227.47736</v>
          </cell>
          <cell r="J48">
            <v>275.47735999999998</v>
          </cell>
          <cell r="K48">
            <v>323.47735999999998</v>
          </cell>
        </row>
        <row r="49">
          <cell r="B49" t="str">
            <v>Interest Expense, Net</v>
          </cell>
          <cell r="C49">
            <v>2.407</v>
          </cell>
          <cell r="D49">
            <v>2.77318</v>
          </cell>
          <cell r="E49">
            <v>2.1998099999999998</v>
          </cell>
          <cell r="H49">
            <v>5.8202699999999998</v>
          </cell>
          <cell r="I49">
            <v>1.9119999999999999</v>
          </cell>
          <cell r="J49">
            <v>1.9119999999999999</v>
          </cell>
          <cell r="K49">
            <v>1.9119999999999999</v>
          </cell>
        </row>
        <row r="50">
          <cell r="B50" t="str">
            <v>Taxes</v>
          </cell>
          <cell r="C50">
            <v>-4.7699999999999996</v>
          </cell>
          <cell r="D50">
            <v>14.117990000000001</v>
          </cell>
          <cell r="E50">
            <v>7.7182500000000003</v>
          </cell>
          <cell r="H50">
            <v>7.88124</v>
          </cell>
          <cell r="I50">
            <v>7.718</v>
          </cell>
          <cell r="J50">
            <v>7.718</v>
          </cell>
          <cell r="K50">
            <v>7.718</v>
          </cell>
        </row>
        <row r="51">
          <cell r="B51" t="str">
            <v>Board Expense</v>
          </cell>
          <cell r="C51">
            <v>375.72399999999999</v>
          </cell>
          <cell r="D51">
            <v>378.63645000000002</v>
          </cell>
          <cell r="E51">
            <v>464.20956999999999</v>
          </cell>
          <cell r="H51">
            <v>545.35419166666702</v>
          </cell>
          <cell r="I51">
            <v>559.69503999999995</v>
          </cell>
          <cell r="J51">
            <v>615.66454399999998</v>
          </cell>
          <cell r="K51">
            <v>677.23099839999998</v>
          </cell>
        </row>
        <row r="52">
          <cell r="B52" t="str">
            <v>Reported EBITDA</v>
          </cell>
          <cell r="C52">
            <v>483.279</v>
          </cell>
          <cell r="D52">
            <v>549.639219999999</v>
          </cell>
          <cell r="E52">
            <v>597.29122999999902</v>
          </cell>
          <cell r="H52">
            <v>794.65716315522695</v>
          </cell>
          <cell r="I52">
            <v>908.53917301423201</v>
          </cell>
          <cell r="J52">
            <v>1115.21686485803</v>
          </cell>
          <cell r="K52">
            <v>2222.5890748891102</v>
          </cell>
        </row>
        <row r="53">
          <cell r="B53" t="str">
            <v>% of Revenue</v>
          </cell>
          <cell r="C53">
            <v>9.9236301078730799E-2</v>
          </cell>
          <cell r="D53">
            <v>0.10519016903962</v>
          </cell>
          <cell r="E53">
            <v>0.107109493714681</v>
          </cell>
          <cell r="H53">
            <v>0.127398637390706</v>
          </cell>
          <cell r="I53">
            <v>0.12809960780254001</v>
          </cell>
          <cell r="J53">
            <v>0.133178785901549</v>
          </cell>
          <cell r="K53">
            <v>0.213720785530955</v>
          </cell>
        </row>
        <row r="55">
          <cell r="B55" t="str">
            <v>Normalization Adjustments</v>
          </cell>
          <cell r="C55">
            <v>0</v>
          </cell>
          <cell r="D55">
            <v>317.61900000000003</v>
          </cell>
          <cell r="E55">
            <v>566.14</v>
          </cell>
          <cell r="H55">
            <v>289.81274000000002</v>
          </cell>
          <cell r="I55">
            <v>24</v>
          </cell>
          <cell r="J55">
            <v>24</v>
          </cell>
          <cell r="K55">
            <v>24</v>
          </cell>
        </row>
        <row r="56">
          <cell r="B56" t="str">
            <v>Normalized EBITDA</v>
          </cell>
          <cell r="C56">
            <v>0</v>
          </cell>
          <cell r="D56">
            <v>867.25821999999903</v>
          </cell>
          <cell r="E56">
            <v>1163.4312299999999</v>
          </cell>
          <cell r="H56">
            <v>1084.46990315523</v>
          </cell>
          <cell r="I56">
            <v>932.53917301423201</v>
          </cell>
          <cell r="J56">
            <v>1139.21686485803</v>
          </cell>
          <cell r="K56">
            <v>2246.5890748891102</v>
          </cell>
        </row>
        <row r="57">
          <cell r="B57" t="str">
            <v>% of Revenue</v>
          </cell>
          <cell r="C57">
            <v>0</v>
          </cell>
          <cell r="D57">
            <v>0.16597621756831701</v>
          </cell>
          <cell r="E57">
            <v>0.208632780389474</v>
          </cell>
          <cell r="H57">
            <v>0.17386112446861399</v>
          </cell>
          <cell r="I57">
            <v>0.13148349116010799</v>
          </cell>
          <cell r="J57">
            <v>0.13604485703296501</v>
          </cell>
          <cell r="K57">
            <v>0.216028589033948</v>
          </cell>
        </row>
        <row r="59">
          <cell r="B59" t="str">
            <v>Pro-forma EBITDA adjustments</v>
          </cell>
          <cell r="D59">
            <v>1557.6114299999999</v>
          </cell>
          <cell r="E59">
            <v>1606.55836</v>
          </cell>
          <cell r="H59">
            <v>1748.45623705</v>
          </cell>
          <cell r="I59">
            <v>1865.819628</v>
          </cell>
          <cell r="J59">
            <v>2016.3669440399999</v>
          </cell>
          <cell r="K59">
            <v>2321.61385959873</v>
          </cell>
        </row>
        <row r="60">
          <cell r="B60" t="str">
            <v>Pro-forma EBITDA</v>
          </cell>
          <cell r="D60">
            <v>2424.8696500000001</v>
          </cell>
          <cell r="E60">
            <v>2769.9895900000001</v>
          </cell>
          <cell r="H60">
            <v>2832.9261402052298</v>
          </cell>
          <cell r="I60">
            <v>2798.3588010142298</v>
          </cell>
          <cell r="J60">
            <v>3155.5838088980299</v>
          </cell>
          <cell r="K60">
            <v>4568.2029344878401</v>
          </cell>
          <cell r="M60" t="str">
            <v>OAG ONLY</v>
          </cell>
        </row>
        <row r="61">
          <cell r="B61" t="str">
            <v>% of revenue</v>
          </cell>
          <cell r="D61">
            <v>0.46407250265464201</v>
          </cell>
          <cell r="E61">
            <v>0.49672951431052698</v>
          </cell>
          <cell r="H61">
            <v>0.45417187036689299</v>
          </cell>
          <cell r="I61">
            <v>0.39455499063560401</v>
          </cell>
          <cell r="J61">
            <v>0.37683865239351899</v>
          </cell>
          <cell r="K61">
            <v>0.43927144727473699</v>
          </cell>
        </row>
        <row r="63">
          <cell r="B63" t="str">
            <v>Source: Company information</v>
          </cell>
        </row>
        <row r="64">
          <cell r="B64" t="str">
            <v>Source: Company Information</v>
          </cell>
        </row>
        <row r="65">
          <cell r="B65" t="str">
            <v>Pro-forma EBITDA adjustments</v>
          </cell>
          <cell r="D65">
            <v>646.12726999999995</v>
          </cell>
          <cell r="E65">
            <v>670.25757999999996</v>
          </cell>
          <cell r="H65">
            <v>762.95555000000002</v>
          </cell>
          <cell r="I65">
            <v>876</v>
          </cell>
          <cell r="J65">
            <v>938</v>
          </cell>
          <cell r="K65">
            <v>998</v>
          </cell>
        </row>
        <row r="66">
          <cell r="B66" t="str">
            <v>Pro-forma EBITDA</v>
          </cell>
          <cell r="D66">
            <v>1513.3854899999999</v>
          </cell>
          <cell r="E66">
            <v>1833.6888100000001</v>
          </cell>
          <cell r="H66">
            <v>1847.4254531552299</v>
          </cell>
          <cell r="I66">
            <v>1808.5391730142301</v>
          </cell>
          <cell r="J66">
            <v>2077.21686485803</v>
          </cell>
          <cell r="K66">
            <v>3244.5890748891102</v>
          </cell>
          <cell r="M66" t="str">
            <v>SITA ONLY</v>
          </cell>
        </row>
        <row r="67">
          <cell r="B67" t="str">
            <v>% of revenue</v>
          </cell>
          <cell r="D67">
            <v>0.28963230738011903</v>
          </cell>
          <cell r="E67">
            <v>0.32882699461262199</v>
          </cell>
          <cell r="H67">
            <v>0.29617739111339098</v>
          </cell>
          <cell r="I67">
            <v>0.25499523371131999</v>
          </cell>
          <cell r="J67">
            <v>0.248060470419116</v>
          </cell>
          <cell r="K67">
            <v>0.31199475136673799</v>
          </cell>
        </row>
        <row r="71">
          <cell r="D71">
            <v>1301.2511999999999</v>
          </cell>
          <cell r="E71">
            <v>1334.98127</v>
          </cell>
          <cell r="H71">
            <v>1462.3871350500001</v>
          </cell>
          <cell r="I71">
            <v>1528.255948</v>
          </cell>
          <cell r="J71">
            <v>1606.1636264399999</v>
          </cell>
          <cell r="K71">
            <v>1776.3066244387301</v>
          </cell>
        </row>
        <row r="72">
          <cell r="D72">
            <v>2168.5094199999999</v>
          </cell>
          <cell r="E72">
            <v>2498.4124999999999</v>
          </cell>
          <cell r="H72">
            <v>2546.8570382052299</v>
          </cell>
          <cell r="I72">
            <v>2460.7951210142301</v>
          </cell>
          <cell r="J72">
            <v>2745.3804912980299</v>
          </cell>
          <cell r="K72">
            <v>4022.8956993278398</v>
          </cell>
          <cell r="M72" t="str">
            <v>Sabre ONLY</v>
          </cell>
        </row>
        <row r="73">
          <cell r="D73">
            <v>0.41501018150380398</v>
          </cell>
          <cell r="E73">
            <v>0.44802884175183799</v>
          </cell>
          <cell r="H73">
            <v>0.40830955956901699</v>
          </cell>
          <cell r="I73">
            <v>0.346960152349303</v>
          </cell>
          <cell r="J73">
            <v>0.327852323785845</v>
          </cell>
          <cell r="K73">
            <v>0.38683553279516802</v>
          </cell>
        </row>
      </sheetData>
      <sheetData sheetId="3"/>
      <sheetData sheetId="4">
        <row r="1">
          <cell r="C1" t="str">
            <v>Summary P&amp;L</v>
          </cell>
        </row>
        <row r="2">
          <cell r="O2">
            <v>2</v>
          </cell>
        </row>
        <row r="3">
          <cell r="D3" t="str">
            <v>FYE</v>
          </cell>
          <cell r="E3" t="str">
            <v>FYE, Ending 9/30</v>
          </cell>
        </row>
        <row r="4">
          <cell r="D4">
            <v>40816</v>
          </cell>
          <cell r="E4">
            <v>41182</v>
          </cell>
          <cell r="F4">
            <v>41547</v>
          </cell>
          <cell r="I4">
            <v>41912</v>
          </cell>
          <cell r="J4" t="str">
            <v>Next</v>
          </cell>
          <cell r="K4">
            <v>42277</v>
          </cell>
          <cell r="L4">
            <v>42643</v>
          </cell>
          <cell r="M4">
            <v>43008</v>
          </cell>
        </row>
        <row r="5">
          <cell r="B5" t="str">
            <v>$ in thousands</v>
          </cell>
          <cell r="D5" t="str">
            <v>FY2011</v>
          </cell>
          <cell r="E5" t="str">
            <v>FY2012</v>
          </cell>
          <cell r="F5" t="str">
            <v>FY2013</v>
          </cell>
          <cell r="I5" t="str">
            <v>FY2014F</v>
          </cell>
          <cell r="J5" t="str">
            <v>12 months1</v>
          </cell>
          <cell r="K5" t="str">
            <v>FY2015F</v>
          </cell>
          <cell r="L5" t="str">
            <v>FY2016F</v>
          </cell>
          <cell r="M5" t="str">
            <v>FY2017F</v>
          </cell>
        </row>
        <row r="6">
          <cell r="B6" t="str">
            <v>Revenue</v>
          </cell>
        </row>
        <row r="7">
          <cell r="B7" t="str">
            <v>Subscription &amp; Maintenance</v>
          </cell>
          <cell r="D7">
            <v>3459.3649999999998</v>
          </cell>
          <cell r="E7">
            <v>3707.8145</v>
          </cell>
          <cell r="F7">
            <v>3980.66779</v>
          </cell>
          <cell r="I7">
            <v>4393.5221899999997</v>
          </cell>
          <cell r="J7">
            <v>4699.3239944625002</v>
          </cell>
          <cell r="K7">
            <v>4820.8988087426296</v>
          </cell>
          <cell r="L7">
            <v>5510.6277902551701</v>
          </cell>
          <cell r="M7">
            <v>6689.1119258675499</v>
          </cell>
        </row>
        <row r="8">
          <cell r="B8" t="str">
            <v>Set-up and Reports</v>
          </cell>
          <cell r="D8">
            <v>88.052000000000007</v>
          </cell>
          <cell r="E8">
            <v>223.08019999999999</v>
          </cell>
          <cell r="F8">
            <v>196.625</v>
          </cell>
          <cell r="I8">
            <v>157.50749999999999</v>
          </cell>
          <cell r="J8">
            <v>225.47460876363999</v>
          </cell>
          <cell r="K8">
            <v>258.219210836267</v>
          </cell>
          <cell r="L8">
            <v>421.01960886355897</v>
          </cell>
          <cell r="M8">
            <v>686.46136154455405</v>
          </cell>
        </row>
        <row r="9">
          <cell r="B9" t="str">
            <v>Mobile Applications</v>
          </cell>
          <cell r="D9">
            <v>72.129000000000005</v>
          </cell>
          <cell r="E9">
            <v>40.884810000000002</v>
          </cell>
          <cell r="F9">
            <v>25.066610000000001</v>
          </cell>
          <cell r="I9">
            <v>36.123249999999999</v>
          </cell>
          <cell r="J9">
            <v>33.334200000000003</v>
          </cell>
          <cell r="K9">
            <v>33.336199999999998</v>
          </cell>
          <cell r="L9">
            <v>33.336199999999998</v>
          </cell>
          <cell r="M9">
            <v>33.336199999999998</v>
          </cell>
        </row>
        <row r="10">
          <cell r="B10" t="str">
            <v>Offers</v>
          </cell>
          <cell r="D10">
            <v>0</v>
          </cell>
          <cell r="E10">
            <v>0</v>
          </cell>
          <cell r="F10">
            <v>0</v>
          </cell>
          <cell r="I10">
            <v>0</v>
          </cell>
          <cell r="J10">
            <v>2.47808427720588</v>
          </cell>
          <cell r="K10">
            <v>3.4697395325817699</v>
          </cell>
          <cell r="L10">
            <v>18.971187126734399</v>
          </cell>
          <cell r="M10">
            <v>80.2684868241342</v>
          </cell>
        </row>
        <row r="11">
          <cell r="B11" t="str">
            <v>Advertising</v>
          </cell>
          <cell r="D11">
            <v>373.822</v>
          </cell>
          <cell r="E11">
            <v>429.23293999999999</v>
          </cell>
          <cell r="F11">
            <v>470.18034999999998</v>
          </cell>
          <cell r="I11">
            <v>571.78499999999997</v>
          </cell>
          <cell r="J11">
            <v>620.36979564405794</v>
          </cell>
          <cell r="K11">
            <v>674.529929817263</v>
          </cell>
          <cell r="L11">
            <v>1048.8290221792599</v>
          </cell>
          <cell r="M11">
            <v>1529.0406292093001</v>
          </cell>
        </row>
        <row r="12">
          <cell r="B12" t="str">
            <v>Subtotal - Commerical Products</v>
          </cell>
          <cell r="D12">
            <v>3993.3679999999999</v>
          </cell>
          <cell r="E12">
            <v>4401.0124500000002</v>
          </cell>
          <cell r="F12">
            <v>4672.5397499999999</v>
          </cell>
          <cell r="I12">
            <v>5158.9379399999998</v>
          </cell>
          <cell r="J12">
            <v>5580.9806831473998</v>
          </cell>
          <cell r="K12">
            <v>5790.4538889287396</v>
          </cell>
          <cell r="L12">
            <v>7032.7838084247196</v>
          </cell>
          <cell r="M12">
            <v>9018.2186034455299</v>
          </cell>
        </row>
        <row r="13">
          <cell r="B13" t="str">
            <v>Professional Services</v>
          </cell>
          <cell r="D13">
            <v>876.61400000000003</v>
          </cell>
          <cell r="E13">
            <v>824.18326000000002</v>
          </cell>
          <cell r="F13">
            <v>903.91485999999998</v>
          </cell>
          <cell r="I13">
            <v>1078.6261300000001</v>
          </cell>
          <cell r="J13">
            <v>1263.0294804953701</v>
          </cell>
          <cell r="K13">
            <v>1301.9891606604999</v>
          </cell>
          <cell r="L13">
            <v>1341.0488354803099</v>
          </cell>
          <cell r="M13">
            <v>1381.2803005447199</v>
          </cell>
        </row>
        <row r="14">
          <cell r="B14" t="str">
            <v>Reported Revenue</v>
          </cell>
          <cell r="D14">
            <v>4869.982</v>
          </cell>
          <cell r="E14">
            <v>5225.19571</v>
          </cell>
          <cell r="F14">
            <v>5576.4546099999998</v>
          </cell>
          <cell r="I14">
            <v>6237.5640700000004</v>
          </cell>
          <cell r="J14">
            <v>6844.0101636427798</v>
          </cell>
          <cell r="K14">
            <v>7092.4430495892302</v>
          </cell>
          <cell r="L14">
            <v>8373.8326439050306</v>
          </cell>
          <cell r="M14">
            <v>10399.498903990299</v>
          </cell>
        </row>
        <row r="15">
          <cell r="B15" t="str">
            <v>% Growth</v>
          </cell>
          <cell r="E15">
            <v>7.2939429755592297E-2</v>
          </cell>
          <cell r="F15">
            <v>6.7224065756572401E-2</v>
          </cell>
          <cell r="I15">
            <v>0.11855372386865</v>
          </cell>
          <cell r="J15">
            <v>9.7224827967623301E-2</v>
          </cell>
          <cell r="K15">
            <v>0.13705333844999501</v>
          </cell>
          <cell r="L15">
            <v>0.18066970511522301</v>
          </cell>
          <cell r="M15">
            <v>0.241904316246351</v>
          </cell>
        </row>
        <row r="17">
          <cell r="B17" t="str">
            <v>Synergies</v>
          </cell>
        </row>
        <row r="18">
          <cell r="B18" t="str">
            <v>1.</v>
          </cell>
          <cell r="C18" t="str">
            <v>Upsell Exisiting Airport Customers</v>
          </cell>
          <cell r="D18" t="str">
            <v>NQ</v>
          </cell>
          <cell r="E18">
            <v>0</v>
          </cell>
          <cell r="F18">
            <v>0</v>
          </cell>
          <cell r="I18">
            <v>0</v>
          </cell>
          <cell r="J18" t="str">
            <v>NQ</v>
          </cell>
          <cell r="K18">
            <v>195</v>
          </cell>
          <cell r="L18">
            <v>445</v>
          </cell>
          <cell r="M18">
            <v>695</v>
          </cell>
        </row>
        <row r="19">
          <cell r="B19" t="str">
            <v>Pro-Forma Revenue</v>
          </cell>
          <cell r="D19">
            <v>4869.982</v>
          </cell>
          <cell r="E19">
            <v>5225.19571</v>
          </cell>
          <cell r="F19">
            <v>5576.4546099999998</v>
          </cell>
          <cell r="I19">
            <v>6237.5640700000004</v>
          </cell>
          <cell r="K19">
            <v>7287.4430495892302</v>
          </cell>
          <cell r="L19">
            <v>8818.8326439050306</v>
          </cell>
          <cell r="M19">
            <v>11094.498903990299</v>
          </cell>
        </row>
        <row r="20">
          <cell r="B20" t="str">
            <v>% Growth</v>
          </cell>
          <cell r="E20">
            <v>7.2939429755592297E-2</v>
          </cell>
          <cell r="F20">
            <v>6.7224065756572401E-2</v>
          </cell>
          <cell r="I20">
            <v>0.11855372386865</v>
          </cell>
          <cell r="J20">
            <v>-1</v>
          </cell>
          <cell r="K20">
            <v>0.16831554238275501</v>
          </cell>
          <cell r="L20">
            <v>0.21014086613028399</v>
          </cell>
          <cell r="M20">
            <v>0.25804620089462799</v>
          </cell>
        </row>
        <row r="22">
          <cell r="B22" t="str">
            <v>Cost of sales</v>
          </cell>
        </row>
        <row r="24">
          <cell r="B24" t="str">
            <v>Commerical Products</v>
          </cell>
          <cell r="D24">
            <v>710.35599999999999</v>
          </cell>
          <cell r="E24">
            <v>799.07745821428603</v>
          </cell>
          <cell r="F24">
            <v>956.31574999999998</v>
          </cell>
          <cell r="I24">
            <v>1075.9720940659299</v>
          </cell>
          <cell r="J24">
            <v>1241.70766406593</v>
          </cell>
          <cell r="K24">
            <v>1299.7136800000001</v>
          </cell>
          <cell r="L24">
            <v>1524.1818175999999</v>
          </cell>
          <cell r="M24">
            <v>1818.9890901599999</v>
          </cell>
        </row>
        <row r="25">
          <cell r="B25" t="str">
            <v>Professional Services</v>
          </cell>
          <cell r="D25">
            <v>637.399</v>
          </cell>
          <cell r="E25">
            <v>527.58450428571405</v>
          </cell>
          <cell r="F25">
            <v>607.48936000000003</v>
          </cell>
          <cell r="I25">
            <v>711.98458209166699</v>
          </cell>
          <cell r="J25">
            <v>777.82647479166701</v>
          </cell>
          <cell r="K25">
            <v>817.35832359999995</v>
          </cell>
          <cell r="L25">
            <v>840.82366370800003</v>
          </cell>
          <cell r="M25">
            <v>864.99296401924005</v>
          </cell>
        </row>
        <row r="26">
          <cell r="B26" t="str">
            <v>Total cost of sales</v>
          </cell>
          <cell r="D26">
            <v>1347.7550000000001</v>
          </cell>
          <cell r="E26">
            <v>1326.6619625000001</v>
          </cell>
          <cell r="F26">
            <v>1563.80511</v>
          </cell>
          <cell r="I26">
            <v>1787.9566761576</v>
          </cell>
          <cell r="J26">
            <v>2019.5341388576001</v>
          </cell>
          <cell r="K26">
            <v>2117.0720035999998</v>
          </cell>
          <cell r="L26">
            <v>2365.0054813080001</v>
          </cell>
          <cell r="M26">
            <v>2683.9820541792401</v>
          </cell>
        </row>
        <row r="28">
          <cell r="B28" t="str">
            <v>Gross Margin</v>
          </cell>
        </row>
        <row r="29">
          <cell r="B29" t="str">
            <v>Commerical Products</v>
          </cell>
          <cell r="D29">
            <v>3283.0120000000002</v>
          </cell>
          <cell r="E29">
            <v>3601.9349917857098</v>
          </cell>
          <cell r="F29">
            <v>3716.2240000000002</v>
          </cell>
          <cell r="I29">
            <v>4082.9658459340699</v>
          </cell>
          <cell r="J29">
            <v>4339.27301908147</v>
          </cell>
          <cell r="K29">
            <v>4490.7402089287398</v>
          </cell>
          <cell r="L29">
            <v>5508.6019908247199</v>
          </cell>
          <cell r="M29">
            <v>7199.2295132855297</v>
          </cell>
        </row>
        <row r="30">
          <cell r="B30" t="str">
            <v>Commerical Products - %</v>
          </cell>
          <cell r="D30">
            <v>0.822116068441476</v>
          </cell>
          <cell r="E30">
            <v>0.81843326568769703</v>
          </cell>
          <cell r="F30">
            <v>0.79533277378753198</v>
          </cell>
          <cell r="I30">
            <v>0.79143534840313801</v>
          </cell>
          <cell r="J30">
            <v>0.777510847185791</v>
          </cell>
          <cell r="K30">
            <v>0.77554200328146405</v>
          </cell>
          <cell r="L30">
            <v>0.78327475163189997</v>
          </cell>
          <cell r="M30">
            <v>0.79829840347127601</v>
          </cell>
        </row>
        <row r="32">
          <cell r="B32" t="str">
            <v>Prof. Services</v>
          </cell>
          <cell r="D32">
            <v>239.215</v>
          </cell>
          <cell r="E32">
            <v>296.59875571428603</v>
          </cell>
          <cell r="F32">
            <v>296.4255</v>
          </cell>
          <cell r="I32">
            <v>366.641547908333</v>
          </cell>
          <cell r="J32">
            <v>485.20300570370603</v>
          </cell>
          <cell r="K32">
            <v>484.63083706049702</v>
          </cell>
          <cell r="L32">
            <v>500.225171772311</v>
          </cell>
          <cell r="M32">
            <v>516.28733652548101</v>
          </cell>
        </row>
        <row r="33">
          <cell r="B33" t="str">
            <v>Prof. Services - %</v>
          </cell>
          <cell r="D33">
            <v>0.27288521515741299</v>
          </cell>
          <cell r="E33">
            <v>0.35986991013902098</v>
          </cell>
          <cell r="F33">
            <v>0.32793519956071998</v>
          </cell>
          <cell r="I33">
            <v>0.33991532164006899</v>
          </cell>
          <cell r="J33">
            <v>0.38415810018417301</v>
          </cell>
          <cell r="K33">
            <v>0.372223403775992</v>
          </cell>
          <cell r="L33">
            <v>0.37301040688287102</v>
          </cell>
          <cell r="M33">
            <v>0.37377448756916198</v>
          </cell>
        </row>
        <row r="34">
          <cell r="E34">
            <v>3898.5337475000001</v>
          </cell>
        </row>
        <row r="35">
          <cell r="B35" t="str">
            <v>Gross Margin</v>
          </cell>
          <cell r="D35">
            <v>3522.2269999999999</v>
          </cell>
          <cell r="E35">
            <v>3898.5337475000001</v>
          </cell>
          <cell r="F35">
            <v>4012.6495</v>
          </cell>
          <cell r="I35">
            <v>4449.6073938423997</v>
          </cell>
          <cell r="J35">
            <v>4824.47602478518</v>
          </cell>
          <cell r="K35">
            <v>5170.37104598923</v>
          </cell>
          <cell r="L35">
            <v>6453.8271625970301</v>
          </cell>
          <cell r="M35">
            <v>8410.5168498110106</v>
          </cell>
        </row>
        <row r="36">
          <cell r="B36" t="str">
            <v>% of Revenue</v>
          </cell>
          <cell r="D36">
            <v>0.72325257054338199</v>
          </cell>
          <cell r="E36">
            <v>0.74610291439208098</v>
          </cell>
          <cell r="F36">
            <v>0.71957001009284605</v>
          </cell>
          <cell r="I36">
            <v>0.71335658342061803</v>
          </cell>
          <cell r="J36">
            <v>0.70491947110395803</v>
          </cell>
          <cell r="K36">
            <v>0.72899718895715104</v>
          </cell>
          <cell r="L36">
            <v>0.77071365491099297</v>
          </cell>
          <cell r="M36">
            <v>0.80874251033229405</v>
          </cell>
        </row>
        <row r="38">
          <cell r="B38" t="str">
            <v>Operating expenses</v>
          </cell>
        </row>
        <row r="40">
          <cell r="B40" t="str">
            <v>Sales</v>
          </cell>
          <cell r="D40">
            <v>491.64699999999999</v>
          </cell>
          <cell r="E40">
            <v>559.51529428571405</v>
          </cell>
          <cell r="F40">
            <v>601.73162000000002</v>
          </cell>
          <cell r="I40">
            <v>638.30752576217401</v>
          </cell>
          <cell r="J40">
            <v>790.42584976217302</v>
          </cell>
          <cell r="K40">
            <v>838.75665675000005</v>
          </cell>
          <cell r="L40">
            <v>1144.2201548400001</v>
          </cell>
          <cell r="M40">
            <v>1171.7787594852</v>
          </cell>
        </row>
        <row r="41">
          <cell r="B41" t="str">
            <v>Marketing</v>
          </cell>
          <cell r="D41">
            <v>406.05399999999997</v>
          </cell>
          <cell r="E41">
            <v>448.05046214285699</v>
          </cell>
          <cell r="F41">
            <v>486.05157000000003</v>
          </cell>
          <cell r="I41">
            <v>621.429689152778</v>
          </cell>
          <cell r="J41">
            <v>700.13337385277805</v>
          </cell>
          <cell r="K41">
            <v>749.29785960000004</v>
          </cell>
          <cell r="L41">
            <v>973.24372718400002</v>
          </cell>
          <cell r="M41">
            <v>1148.7462987494</v>
          </cell>
        </row>
        <row r="42">
          <cell r="B42" t="str">
            <v>Research and Development</v>
          </cell>
          <cell r="D42">
            <v>1562.17</v>
          </cell>
          <cell r="E42">
            <v>1699.20139285714</v>
          </cell>
          <cell r="F42">
            <v>1772.78718</v>
          </cell>
          <cell r="I42">
            <v>1830.7474835</v>
          </cell>
          <cell r="J42">
            <v>1933.19304541667</v>
          </cell>
          <cell r="K42">
            <v>1960.822768625</v>
          </cell>
          <cell r="L42">
            <v>2290.2841492749999</v>
          </cell>
          <cell r="M42">
            <v>2580.5974522485799</v>
          </cell>
        </row>
        <row r="43">
          <cell r="B43" t="str">
            <v>General and administrative</v>
          </cell>
          <cell r="D43">
            <v>709.75300000000004</v>
          </cell>
          <cell r="E43">
            <v>748.98987821428602</v>
          </cell>
          <cell r="F43">
            <v>677.62559999999996</v>
          </cell>
          <cell r="I43">
            <v>717.97991854999998</v>
          </cell>
          <cell r="J43">
            <v>740.50849955000001</v>
          </cell>
          <cell r="K43">
            <v>745.25594799999999</v>
          </cell>
          <cell r="L43">
            <v>761.16362644000003</v>
          </cell>
          <cell r="M43">
            <v>915.10662443873298</v>
          </cell>
        </row>
        <row r="44">
          <cell r="B44" t="str">
            <v>Operating expenses</v>
          </cell>
          <cell r="D44">
            <v>3169.6239999999998</v>
          </cell>
          <cell r="E44">
            <v>3455.7570274999998</v>
          </cell>
          <cell r="F44">
            <v>3538.1959700000002</v>
          </cell>
          <cell r="I44">
            <v>3808.46461696495</v>
          </cell>
          <cell r="J44">
            <v>4164.2607685816201</v>
          </cell>
          <cell r="K44">
            <v>4294.1332329750003</v>
          </cell>
          <cell r="L44">
            <v>5168.9116577389996</v>
          </cell>
          <cell r="M44">
            <v>5816.2291349219104</v>
          </cell>
        </row>
        <row r="46">
          <cell r="B46" t="str">
            <v>Operating Income</v>
          </cell>
          <cell r="D46">
            <v>352.60300000000001</v>
          </cell>
          <cell r="E46">
            <v>442.77671999999899</v>
          </cell>
          <cell r="F46">
            <v>474.45352999999898</v>
          </cell>
          <cell r="I46">
            <v>641.14277687745005</v>
          </cell>
          <cell r="J46">
            <v>660.21525620356101</v>
          </cell>
          <cell r="K46">
            <v>876.23781301423196</v>
          </cell>
          <cell r="L46">
            <v>1284.9155048580301</v>
          </cell>
          <cell r="M46">
            <v>2594.2877148890998</v>
          </cell>
        </row>
        <row r="47">
          <cell r="B47" t="str">
            <v>% of Revenue</v>
          </cell>
          <cell r="D47">
            <v>7.2403347692044803E-2</v>
          </cell>
          <cell r="E47">
            <v>8.4738781966120696E-2</v>
          </cell>
          <cell r="F47">
            <v>8.5081573003245398E-2</v>
          </cell>
          <cell r="I47">
            <v>0.102787365337227</v>
          </cell>
          <cell r="J47">
            <v>9.6466141986580003E-2</v>
          </cell>
          <cell r="K47">
            <v>0.12354527303042399</v>
          </cell>
          <cell r="L47">
            <v>0.15344413478256799</v>
          </cell>
          <cell r="M47">
            <v>0.24946276150802699</v>
          </cell>
        </row>
        <row r="49">
          <cell r="B49" t="str">
            <v>Board Expense</v>
          </cell>
          <cell r="D49">
            <v>375.72399999999999</v>
          </cell>
          <cell r="E49">
            <v>378.63645000000002</v>
          </cell>
          <cell r="F49">
            <v>464.20956999999999</v>
          </cell>
          <cell r="I49">
            <v>545.35419166666702</v>
          </cell>
          <cell r="J49">
            <v>532.209431666667</v>
          </cell>
          <cell r="K49">
            <v>559.69503999999995</v>
          </cell>
          <cell r="L49">
            <v>615.66454399999998</v>
          </cell>
          <cell r="M49">
            <v>677.23099839999998</v>
          </cell>
        </row>
        <row r="50">
          <cell r="B50" t="str">
            <v>Interest Income</v>
          </cell>
          <cell r="D50">
            <v>0.17499999999999999</v>
          </cell>
          <cell r="E50">
            <v>0.13788</v>
          </cell>
          <cell r="F50">
            <v>0.10990999999999999</v>
          </cell>
          <cell r="I50">
            <v>6.7449999999999996E-2</v>
          </cell>
          <cell r="J50">
            <v>6.6000000000000003E-2</v>
          </cell>
          <cell r="K50">
            <v>8.7999999999999995E-2</v>
          </cell>
          <cell r="L50">
            <v>8.7999999999999995E-2</v>
          </cell>
          <cell r="M50">
            <v>8.7999999999999995E-2</v>
          </cell>
        </row>
        <row r="51">
          <cell r="B51" t="str">
            <v>Interest Expense</v>
          </cell>
          <cell r="D51">
            <v>2.5819999999999999</v>
          </cell>
          <cell r="E51">
            <v>2.91106</v>
          </cell>
          <cell r="F51">
            <v>2.30972</v>
          </cell>
          <cell r="I51">
            <v>5.8877199999999998</v>
          </cell>
          <cell r="J51">
            <v>1.5</v>
          </cell>
          <cell r="K51">
            <v>2</v>
          </cell>
          <cell r="L51">
            <v>2</v>
          </cell>
          <cell r="M51">
            <v>2</v>
          </cell>
        </row>
        <row r="52">
          <cell r="B52" t="str">
            <v>Taxes</v>
          </cell>
          <cell r="D52">
            <v>-4.7699999999999996</v>
          </cell>
          <cell r="E52">
            <v>14.117990000000001</v>
          </cell>
          <cell r="F52">
            <v>7.7182500000000003</v>
          </cell>
          <cell r="I52">
            <v>7.88124</v>
          </cell>
          <cell r="J52">
            <v>7.1384999999999996</v>
          </cell>
          <cell r="K52">
            <v>7.718</v>
          </cell>
          <cell r="L52">
            <v>7.718</v>
          </cell>
          <cell r="M52">
            <v>7.718</v>
          </cell>
        </row>
        <row r="53">
          <cell r="B53" t="str">
            <v>Net profit (loss)</v>
          </cell>
          <cell r="D53">
            <v>-21.108000000000398</v>
          </cell>
          <cell r="E53">
            <v>46.973339999998899</v>
          </cell>
          <cell r="F53">
            <v>0.106079999999281</v>
          </cell>
          <cell r="I53">
            <v>81.952175210782997</v>
          </cell>
          <cell r="J53">
            <v>119.301324536894</v>
          </cell>
          <cell r="K53">
            <v>306.73677301423203</v>
          </cell>
          <cell r="L53">
            <v>659.444960858032</v>
          </cell>
          <cell r="M53">
            <v>1907.2507164890999</v>
          </cell>
        </row>
        <row r="54">
          <cell r="B54" t="str">
            <v>% of revenue</v>
          </cell>
          <cell r="D54">
            <v>-4.3343076011370099E-3</v>
          </cell>
          <cell r="E54">
            <v>8.9897761934737107E-3</v>
          </cell>
          <cell r="F54">
            <v>1.9022839316050798E-5</v>
          </cell>
          <cell r="I54">
            <v>1.3138490329091399E-2</v>
          </cell>
          <cell r="J54">
            <v>1.7431494355554099E-2</v>
          </cell>
          <cell r="K54">
            <v>4.3248394223200301E-2</v>
          </cell>
          <cell r="L54">
            <v>7.87506735446898E-2</v>
          </cell>
          <cell r="M54">
            <v>0.18339832852497301</v>
          </cell>
        </row>
        <row r="56">
          <cell r="B56" t="str">
            <v>Depreciation</v>
          </cell>
          <cell r="D56">
            <v>131.02600000000001</v>
          </cell>
          <cell r="E56">
            <v>107.13826</v>
          </cell>
          <cell r="F56">
            <v>123.05752</v>
          </cell>
          <cell r="I56">
            <v>153.649286277778</v>
          </cell>
          <cell r="J56">
            <v>208.49828627777799</v>
          </cell>
          <cell r="K56">
            <v>227.47736</v>
          </cell>
          <cell r="L56">
            <v>275.47735999999998</v>
          </cell>
          <cell r="M56">
            <v>323.47735999999998</v>
          </cell>
        </row>
        <row r="57">
          <cell r="B57" t="str">
            <v>Interest expense, net</v>
          </cell>
          <cell r="D57">
            <v>2.407</v>
          </cell>
          <cell r="E57">
            <v>2.77318</v>
          </cell>
          <cell r="F57">
            <v>2.1998099999999998</v>
          </cell>
          <cell r="I57">
            <v>5.8202699999999998</v>
          </cell>
          <cell r="J57">
            <v>1.4339999999999999</v>
          </cell>
          <cell r="K57">
            <v>1.9119999999999999</v>
          </cell>
          <cell r="L57">
            <v>1.9119999999999999</v>
          </cell>
          <cell r="M57">
            <v>1.9119999999999999</v>
          </cell>
        </row>
        <row r="58">
          <cell r="B58" t="str">
            <v>Taxes</v>
          </cell>
          <cell r="D58">
            <v>-4.7699999999999996</v>
          </cell>
          <cell r="E58">
            <v>14.117990000000001</v>
          </cell>
          <cell r="F58">
            <v>7.7182500000000003</v>
          </cell>
          <cell r="I58">
            <v>7.88124</v>
          </cell>
          <cell r="J58">
            <v>7.1384999999999996</v>
          </cell>
          <cell r="K58">
            <v>7.718</v>
          </cell>
          <cell r="L58">
            <v>7.718</v>
          </cell>
          <cell r="M58">
            <v>7.718</v>
          </cell>
        </row>
        <row r="59">
          <cell r="B59" t="str">
            <v>Board expense</v>
          </cell>
          <cell r="D59">
            <v>375.72399999999999</v>
          </cell>
          <cell r="E59">
            <v>378.63645000000002</v>
          </cell>
          <cell r="F59">
            <v>464.20956999999999</v>
          </cell>
          <cell r="I59">
            <v>545.35419166666702</v>
          </cell>
          <cell r="J59">
            <v>532.209431666667</v>
          </cell>
          <cell r="K59">
            <v>559.69503999999995</v>
          </cell>
          <cell r="L59">
            <v>615.66454399999998</v>
          </cell>
          <cell r="M59">
            <v>677.23099839999998</v>
          </cell>
        </row>
        <row r="60">
          <cell r="B60" t="str">
            <v>Reported EBITDA</v>
          </cell>
          <cell r="D60">
            <v>483.279</v>
          </cell>
          <cell r="E60">
            <v>549.639219999999</v>
          </cell>
          <cell r="F60">
            <v>597.29122999999902</v>
          </cell>
          <cell r="I60">
            <v>794.65716315522695</v>
          </cell>
          <cell r="J60">
            <v>991.526042481339</v>
          </cell>
          <cell r="K60">
            <v>1103.5391730142301</v>
          </cell>
          <cell r="L60">
            <v>1560.21686485803</v>
          </cell>
          <cell r="M60">
            <v>2917.5890748891002</v>
          </cell>
        </row>
        <row r="61">
          <cell r="B61" t="str">
            <v>% of Revenue</v>
          </cell>
          <cell r="D61">
            <v>9.9236301078730799E-2</v>
          </cell>
          <cell r="E61">
            <v>0.10519016903962</v>
          </cell>
          <cell r="F61">
            <v>0.107109493714681</v>
          </cell>
          <cell r="I61">
            <v>0.127398637390706</v>
          </cell>
          <cell r="J61">
            <v>0.14487501023136901</v>
          </cell>
          <cell r="K61">
            <v>0.155593660082776</v>
          </cell>
          <cell r="L61">
            <v>0.18632052146320899</v>
          </cell>
          <cell r="M61">
            <v>0.28055092863845899</v>
          </cell>
        </row>
        <row r="63">
          <cell r="B63" t="str">
            <v>Normalization Adjustments:</v>
          </cell>
        </row>
        <row r="64">
          <cell r="B64" t="str">
            <v>1.</v>
          </cell>
          <cell r="C64" t="str">
            <v>Sales Consultant</v>
          </cell>
          <cell r="E64">
            <v>24</v>
          </cell>
          <cell r="F64">
            <v>24</v>
          </cell>
          <cell r="I64">
            <v>24</v>
          </cell>
          <cell r="J64">
            <v>24</v>
          </cell>
          <cell r="K64">
            <v>24</v>
          </cell>
          <cell r="L64">
            <v>24</v>
          </cell>
          <cell r="M64">
            <v>24</v>
          </cell>
        </row>
        <row r="65">
          <cell r="B65" t="str">
            <v>2.</v>
          </cell>
          <cell r="C65" t="str">
            <v>F5 Load Balancer Consultant</v>
          </cell>
          <cell r="E65">
            <v>0</v>
          </cell>
          <cell r="F65">
            <v>0</v>
          </cell>
          <cell r="I65">
            <v>8.4710400000000003</v>
          </cell>
          <cell r="J65">
            <v>0</v>
          </cell>
          <cell r="K65">
            <v>0</v>
          </cell>
          <cell r="L65">
            <v>0</v>
          </cell>
          <cell r="M65">
            <v>0</v>
          </cell>
        </row>
        <row r="66">
          <cell r="B66" t="str">
            <v>3.</v>
          </cell>
          <cell r="C66" t="str">
            <v>Non-capitalized Software Costs</v>
          </cell>
          <cell r="E66">
            <v>236.297</v>
          </cell>
          <cell r="F66">
            <v>520.39599999999996</v>
          </cell>
          <cell r="I66">
            <v>229.11070000000001</v>
          </cell>
          <cell r="J66">
            <v>0</v>
          </cell>
          <cell r="K66">
            <v>0</v>
          </cell>
          <cell r="L66">
            <v>0</v>
          </cell>
          <cell r="M66">
            <v>0</v>
          </cell>
        </row>
        <row r="67">
          <cell r="B67" t="str">
            <v>4.</v>
          </cell>
          <cell r="C67" t="str">
            <v>Patent Prosectuion</v>
          </cell>
          <cell r="E67">
            <v>57.322000000000003</v>
          </cell>
          <cell r="F67">
            <v>21.744</v>
          </cell>
          <cell r="I67">
            <v>28.231000000000002</v>
          </cell>
          <cell r="K67">
            <v>0</v>
          </cell>
          <cell r="L67">
            <v>0</v>
          </cell>
          <cell r="M67">
            <v>0</v>
          </cell>
        </row>
        <row r="68">
          <cell r="B68" t="str">
            <v>Normalization Adjustments</v>
          </cell>
          <cell r="E68">
            <v>317.61900000000003</v>
          </cell>
          <cell r="F68">
            <v>566.14</v>
          </cell>
          <cell r="I68">
            <v>289.81274000000002</v>
          </cell>
          <cell r="J68">
            <v>24</v>
          </cell>
          <cell r="K68">
            <v>24</v>
          </cell>
          <cell r="L68">
            <v>24</v>
          </cell>
          <cell r="M68">
            <v>24</v>
          </cell>
        </row>
        <row r="69">
          <cell r="B69" t="str">
            <v>Normalized EBITDA</v>
          </cell>
          <cell r="E69">
            <v>868</v>
          </cell>
          <cell r="F69">
            <v>1164</v>
          </cell>
          <cell r="I69">
            <v>1085</v>
          </cell>
          <cell r="J69">
            <v>1015.52604248134</v>
          </cell>
          <cell r="K69">
            <v>1127.5391730142301</v>
          </cell>
          <cell r="L69">
            <v>1584.21686485803</v>
          </cell>
          <cell r="M69">
            <v>2941.5890748891002</v>
          </cell>
          <cell r="O69" t="str">
            <v>&lt;&lt;&lt;Hardcoded</v>
          </cell>
        </row>
        <row r="70">
          <cell r="B70" t="str">
            <v>% of Revenue</v>
          </cell>
          <cell r="E70">
            <v>0.16611817971503301</v>
          </cell>
          <cell r="F70">
            <v>0.20873477530197301</v>
          </cell>
          <cell r="I70">
            <v>0.17394610906176999</v>
          </cell>
          <cell r="J70">
            <v>0.14838172623940399</v>
          </cell>
          <cell r="K70">
            <v>0.15897754344034301</v>
          </cell>
          <cell r="L70">
            <v>0.189186592594625</v>
          </cell>
          <cell r="M70">
            <v>0.28285873214145202</v>
          </cell>
        </row>
        <row r="71">
          <cell r="B71"/>
          <cell r="O71">
            <v>2</v>
          </cell>
        </row>
        <row r="72">
          <cell r="B72" t="str">
            <v>Synergies</v>
          </cell>
          <cell r="O72" t="str">
            <v>OAG ONLY</v>
          </cell>
        </row>
        <row r="73">
          <cell r="B73" t="str">
            <v>1.</v>
          </cell>
          <cell r="C73" t="str">
            <v>Operations Department</v>
          </cell>
          <cell r="E73">
            <v>299.37437</v>
          </cell>
          <cell r="F73">
            <v>315.31115</v>
          </cell>
          <cell r="I73">
            <v>325.48877199999998</v>
          </cell>
          <cell r="J73">
            <v>360.33496200000002</v>
          </cell>
          <cell r="K73">
            <v>386.51368000000002</v>
          </cell>
          <cell r="L73">
            <v>454.9818176</v>
          </cell>
          <cell r="M73">
            <v>585.78909016</v>
          </cell>
        </row>
        <row r="74">
          <cell r="B74" t="str">
            <v>2.</v>
          </cell>
          <cell r="C74" t="str">
            <v>OAG Data Feed</v>
          </cell>
          <cell r="D74" t="str">
            <v>NA</v>
          </cell>
          <cell r="E74">
            <v>144.22514000000001</v>
          </cell>
          <cell r="F74">
            <v>250.20425</v>
          </cell>
          <cell r="I74">
            <v>326.89001999999999</v>
          </cell>
          <cell r="J74">
            <v>360</v>
          </cell>
          <cell r="K74">
            <v>360</v>
          </cell>
          <cell r="L74">
            <v>360</v>
          </cell>
          <cell r="M74">
            <v>360</v>
          </cell>
        </row>
        <row r="75">
          <cell r="B75" t="str">
            <v>3.</v>
          </cell>
          <cell r="C75" t="str">
            <v>IT Facility Integration</v>
          </cell>
          <cell r="E75">
            <v>128.86168000000001</v>
          </cell>
          <cell r="F75">
            <v>141.8193</v>
          </cell>
          <cell r="I75">
            <v>153.57899</v>
          </cell>
          <cell r="J75">
            <v>233.77099999999999</v>
          </cell>
          <cell r="K75">
            <v>248</v>
          </cell>
          <cell r="L75">
            <v>300</v>
          </cell>
          <cell r="M75">
            <v>360</v>
          </cell>
        </row>
        <row r="76">
          <cell r="B76" t="str">
            <v>4.</v>
          </cell>
          <cell r="C76" t="str">
            <v>FAA Audit</v>
          </cell>
          <cell r="E76">
            <v>20.818750000000001</v>
          </cell>
          <cell r="F76">
            <v>10.5</v>
          </cell>
          <cell r="I76">
            <v>12</v>
          </cell>
          <cell r="J76">
            <v>9</v>
          </cell>
          <cell r="K76">
            <v>12</v>
          </cell>
          <cell r="L76">
            <v>12</v>
          </cell>
          <cell r="M76">
            <v>12</v>
          </cell>
        </row>
        <row r="77">
          <cell r="B77" t="str">
            <v>5.</v>
          </cell>
          <cell r="C77" t="str">
            <v>Duplicative Trade Show Costs</v>
          </cell>
          <cell r="E77">
            <v>44.55</v>
          </cell>
          <cell r="F77">
            <v>21.437999999999999</v>
          </cell>
          <cell r="I77">
            <v>17.88</v>
          </cell>
          <cell r="J77">
            <v>40</v>
          </cell>
          <cell r="K77">
            <v>40</v>
          </cell>
          <cell r="L77">
            <v>40</v>
          </cell>
          <cell r="M77">
            <v>40</v>
          </cell>
        </row>
        <row r="78">
          <cell r="B78" t="str">
            <v>6.</v>
          </cell>
          <cell r="C78" t="str">
            <v>Duplicative PR Costs</v>
          </cell>
          <cell r="E78">
            <v>120.8</v>
          </cell>
          <cell r="F78">
            <v>120</v>
          </cell>
          <cell r="I78">
            <v>120.4</v>
          </cell>
          <cell r="J78">
            <v>140</v>
          </cell>
          <cell r="K78">
            <v>150</v>
          </cell>
          <cell r="L78">
            <v>160</v>
          </cell>
          <cell r="M78">
            <v>160</v>
          </cell>
        </row>
        <row r="79">
          <cell r="B79" t="str">
            <v>7.</v>
          </cell>
          <cell r="C79" t="str">
            <v>R&amp;D Synergies</v>
          </cell>
          <cell r="E79">
            <v>129.9375</v>
          </cell>
          <cell r="F79">
            <v>133.98750000000001</v>
          </cell>
          <cell r="I79">
            <v>135</v>
          </cell>
          <cell r="J79">
            <v>138.03749999999999</v>
          </cell>
          <cell r="K79">
            <v>139.05000000000001</v>
          </cell>
          <cell r="L79">
            <v>143.22149999999999</v>
          </cell>
          <cell r="M79">
            <v>147.518145</v>
          </cell>
        </row>
        <row r="80">
          <cell r="B80" t="str">
            <v>8.</v>
          </cell>
          <cell r="C80" t="str">
            <v>R&amp;D - Inhouse 3Beam Work</v>
          </cell>
          <cell r="E80">
            <v>66</v>
          </cell>
          <cell r="F80">
            <v>66</v>
          </cell>
          <cell r="I80">
            <v>66</v>
          </cell>
          <cell r="J80">
            <v>16.5</v>
          </cell>
          <cell r="K80">
            <v>0</v>
          </cell>
          <cell r="L80">
            <v>0</v>
          </cell>
          <cell r="M80">
            <v>0</v>
          </cell>
        </row>
        <row r="81">
          <cell r="B81" t="str">
            <v>9.</v>
          </cell>
          <cell r="C81" t="str">
            <v>G&amp;A Team</v>
          </cell>
          <cell r="E81">
            <v>603.04399000000001</v>
          </cell>
          <cell r="F81">
            <v>547.29816000000005</v>
          </cell>
          <cell r="I81">
            <v>591.21845504999999</v>
          </cell>
          <cell r="J81">
            <v>546.62540605000004</v>
          </cell>
          <cell r="K81">
            <v>530.25594799999999</v>
          </cell>
          <cell r="L81">
            <v>546.16362644000003</v>
          </cell>
          <cell r="M81">
            <v>656.30662443873302</v>
          </cell>
        </row>
        <row r="82">
          <cell r="B82" t="str">
            <v>Pro-Forma EBITDA Adjustments</v>
          </cell>
          <cell r="E82">
            <v>1557.6114299999999</v>
          </cell>
          <cell r="F82">
            <v>1606.55836</v>
          </cell>
          <cell r="I82">
            <v>1748.45623705</v>
          </cell>
          <cell r="J82">
            <v>1844.26886805</v>
          </cell>
          <cell r="K82">
            <v>1865.819628</v>
          </cell>
          <cell r="L82">
            <v>2016.3669440399999</v>
          </cell>
          <cell r="M82">
            <v>2321.61385959873</v>
          </cell>
        </row>
        <row r="83">
          <cell r="B83" t="str">
            <v>Pro-Forma EBITDA</v>
          </cell>
          <cell r="E83">
            <v>2425.6114299999999</v>
          </cell>
          <cell r="F83">
            <v>2770.55836</v>
          </cell>
          <cell r="I83">
            <v>2833.4562370499998</v>
          </cell>
          <cell r="J83">
            <v>2859.7949105313401</v>
          </cell>
          <cell r="K83">
            <v>2799</v>
          </cell>
          <cell r="L83">
            <v>3600.5838088980299</v>
          </cell>
          <cell r="M83">
            <v>5263.2029344878401</v>
          </cell>
          <cell r="O83" t="str">
            <v>2015 Hardcoded</v>
          </cell>
        </row>
        <row r="84">
          <cell r="B84" t="str">
            <v>% of Revenue</v>
          </cell>
          <cell r="E84">
            <v>0.46421446480135797</v>
          </cell>
          <cell r="F84">
            <v>0.49683150922302599</v>
          </cell>
          <cell r="I84">
            <v>0.45425685496004897</v>
          </cell>
          <cell r="J84">
            <v>0.41785369135237999</v>
          </cell>
          <cell r="K84">
            <v>0.39464539657630499</v>
          </cell>
          <cell r="L84">
            <v>0.42998038795517901</v>
          </cell>
          <cell r="M84">
            <v>0.50610159038224101</v>
          </cell>
        </row>
        <row r="86">
          <cell r="B86" t="str">
            <v>Synergies</v>
          </cell>
          <cell r="O86" t="str">
            <v>SITA ONLY</v>
          </cell>
        </row>
        <row r="87">
          <cell r="B87" t="str">
            <v>1.</v>
          </cell>
          <cell r="C87" t="str">
            <v>OAG Data Feed</v>
          </cell>
          <cell r="E87">
            <v>144.22514000000001</v>
          </cell>
          <cell r="F87">
            <v>250.20425</v>
          </cell>
          <cell r="I87">
            <v>326.89001999999999</v>
          </cell>
          <cell r="K87">
            <v>360</v>
          </cell>
          <cell r="L87">
            <v>360</v>
          </cell>
          <cell r="M87">
            <v>360</v>
          </cell>
        </row>
        <row r="88">
          <cell r="B88" t="str">
            <v>2.</v>
          </cell>
          <cell r="C88" t="str">
            <v>IT Facility Integration</v>
          </cell>
          <cell r="E88">
            <v>128.86168000000001</v>
          </cell>
          <cell r="F88">
            <v>141.8193</v>
          </cell>
          <cell r="I88">
            <v>153.57899</v>
          </cell>
          <cell r="K88">
            <v>248</v>
          </cell>
          <cell r="L88">
            <v>300</v>
          </cell>
          <cell r="M88">
            <v>360</v>
          </cell>
        </row>
        <row r="89">
          <cell r="B89" t="str">
            <v>3.</v>
          </cell>
          <cell r="C89" t="str">
            <v>Duplicative Trade Show Costs</v>
          </cell>
          <cell r="E89">
            <v>44.55</v>
          </cell>
          <cell r="F89">
            <v>21.437999999999999</v>
          </cell>
          <cell r="I89">
            <v>17.88</v>
          </cell>
          <cell r="K89">
            <v>40</v>
          </cell>
          <cell r="L89">
            <v>40</v>
          </cell>
          <cell r="M89">
            <v>40</v>
          </cell>
        </row>
        <row r="90">
          <cell r="B90" t="str">
            <v>4.</v>
          </cell>
          <cell r="C90" t="str">
            <v>Duplicative PR Costs</v>
          </cell>
          <cell r="E90">
            <v>120.8</v>
          </cell>
          <cell r="F90">
            <v>120</v>
          </cell>
          <cell r="I90">
            <v>120.4</v>
          </cell>
          <cell r="K90">
            <v>150</v>
          </cell>
          <cell r="L90">
            <v>160</v>
          </cell>
          <cell r="M90">
            <v>160</v>
          </cell>
        </row>
        <row r="91">
          <cell r="B91" t="str">
            <v>5.</v>
          </cell>
          <cell r="C91" t="str">
            <v>R&amp;D - Inhouse 3Beam Work</v>
          </cell>
          <cell r="E91">
            <v>66</v>
          </cell>
          <cell r="F91">
            <v>66</v>
          </cell>
          <cell r="I91">
            <v>66</v>
          </cell>
          <cell r="K91">
            <v>0</v>
          </cell>
          <cell r="L91">
            <v>0</v>
          </cell>
          <cell r="M91">
            <v>0</v>
          </cell>
        </row>
        <row r="92">
          <cell r="B92" t="str">
            <v>6.</v>
          </cell>
          <cell r="C92" t="str">
            <v>G&amp;A Team</v>
          </cell>
          <cell r="E92">
            <v>141.69045</v>
          </cell>
          <cell r="F92">
            <v>70.796030000000002</v>
          </cell>
          <cell r="I92">
            <v>78.206540000000004</v>
          </cell>
          <cell r="K92">
            <v>78</v>
          </cell>
          <cell r="L92">
            <v>78</v>
          </cell>
          <cell r="M92">
            <v>78</v>
          </cell>
        </row>
        <row r="93">
          <cell r="B93" t="str">
            <v>Pro-Forma EBITDA Adjustments</v>
          </cell>
          <cell r="E93">
            <v>646.12726999999995</v>
          </cell>
          <cell r="F93">
            <v>670.25757999999996</v>
          </cell>
          <cell r="I93">
            <v>762.95555000000002</v>
          </cell>
          <cell r="J93">
            <v>0</v>
          </cell>
          <cell r="K93">
            <v>876</v>
          </cell>
          <cell r="L93">
            <v>938</v>
          </cell>
          <cell r="M93">
            <v>998</v>
          </cell>
        </row>
        <row r="94">
          <cell r="B94" t="str">
            <v>Pro-Forma EBITDA</v>
          </cell>
          <cell r="E94">
            <v>1514</v>
          </cell>
          <cell r="F94">
            <v>1834.25758</v>
          </cell>
          <cell r="I94">
            <v>1848</v>
          </cell>
          <cell r="J94">
            <v>1015.52604248134</v>
          </cell>
          <cell r="K94">
            <v>2003.5391730142301</v>
          </cell>
          <cell r="L94">
            <v>2522.21686485803</v>
          </cell>
          <cell r="M94">
            <v>3939.5890748891002</v>
          </cell>
        </row>
        <row r="95">
          <cell r="B95" t="str">
            <v>% of Revenue</v>
          </cell>
          <cell r="E95">
            <v>0.289749912544424</v>
          </cell>
          <cell r="F95">
            <v>0.32892898952512101</v>
          </cell>
          <cell r="I95">
            <v>0.29626950188585399</v>
          </cell>
          <cell r="J95">
            <v>0.14838172623940399</v>
          </cell>
          <cell r="K95">
            <v>0.28248928599155498</v>
          </cell>
          <cell r="L95">
            <v>0.30120220598077602</v>
          </cell>
          <cell r="M95">
            <v>0.378824894474242</v>
          </cell>
        </row>
        <row r="97">
          <cell r="B97" t="str">
            <v>Synergies</v>
          </cell>
          <cell r="O97" t="str">
            <v>Sabre ONLY</v>
          </cell>
        </row>
        <row r="98">
          <cell r="B98" t="str">
            <v>1.</v>
          </cell>
          <cell r="C98" t="str">
            <v>OAG Data Fee</v>
          </cell>
          <cell r="E98">
            <v>144.22514000000001</v>
          </cell>
          <cell r="F98">
            <v>250.20425</v>
          </cell>
          <cell r="I98">
            <v>326.89001999999999</v>
          </cell>
          <cell r="K98">
            <v>360</v>
          </cell>
          <cell r="L98">
            <v>360</v>
          </cell>
          <cell r="M98">
            <v>360</v>
          </cell>
        </row>
        <row r="99">
          <cell r="B99" t="str">
            <v>2.</v>
          </cell>
          <cell r="C99" t="str">
            <v>IT facility Integration</v>
          </cell>
          <cell r="E99">
            <v>128.86168000000001</v>
          </cell>
          <cell r="F99">
            <v>141.8193</v>
          </cell>
          <cell r="I99">
            <v>153.57899</v>
          </cell>
          <cell r="K99">
            <v>248</v>
          </cell>
          <cell r="L99">
            <v>300</v>
          </cell>
          <cell r="M99">
            <v>360</v>
          </cell>
        </row>
        <row r="100">
          <cell r="B100" t="str">
            <v>3.</v>
          </cell>
          <cell r="C100" t="str">
            <v>Flightstats Data Fee</v>
          </cell>
          <cell r="E100">
            <v>200</v>
          </cell>
          <cell r="F100">
            <v>200</v>
          </cell>
          <cell r="I100">
            <v>200</v>
          </cell>
          <cell r="K100">
            <v>200</v>
          </cell>
          <cell r="L100">
            <v>200</v>
          </cell>
          <cell r="M100">
            <v>200</v>
          </cell>
        </row>
        <row r="101">
          <cell r="B101" t="str">
            <v>4.</v>
          </cell>
          <cell r="C101" t="str">
            <v>Duplicative Trade Show Costs</v>
          </cell>
          <cell r="E101">
            <v>44.55</v>
          </cell>
          <cell r="F101">
            <v>21.437999999999999</v>
          </cell>
          <cell r="I101">
            <v>17.88</v>
          </cell>
          <cell r="K101">
            <v>40</v>
          </cell>
          <cell r="L101">
            <v>40</v>
          </cell>
          <cell r="M101">
            <v>40</v>
          </cell>
        </row>
        <row r="102">
          <cell r="B102" t="str">
            <v>5.</v>
          </cell>
          <cell r="C102" t="str">
            <v>Duplicative PR Costs</v>
          </cell>
          <cell r="E102">
            <v>120.8</v>
          </cell>
          <cell r="F102">
            <v>120</v>
          </cell>
          <cell r="I102">
            <v>120.4</v>
          </cell>
          <cell r="K102">
            <v>150</v>
          </cell>
          <cell r="L102">
            <v>160</v>
          </cell>
          <cell r="M102">
            <v>160</v>
          </cell>
        </row>
        <row r="103">
          <cell r="B103" t="str">
            <v>6.</v>
          </cell>
          <cell r="C103" t="str">
            <v>R&amp;D - Inhouse 3Beam Work</v>
          </cell>
          <cell r="E103">
            <v>66</v>
          </cell>
          <cell r="F103">
            <v>66</v>
          </cell>
          <cell r="I103">
            <v>66</v>
          </cell>
          <cell r="K103">
            <v>0</v>
          </cell>
          <cell r="L103">
            <v>0</v>
          </cell>
          <cell r="M103">
            <v>0</v>
          </cell>
        </row>
        <row r="104">
          <cell r="B104" t="str">
            <v>7.</v>
          </cell>
          <cell r="C104" t="str">
            <v>G&amp;A Team</v>
          </cell>
          <cell r="E104">
            <v>596.81438000000003</v>
          </cell>
          <cell r="F104">
            <v>535.51972000000001</v>
          </cell>
          <cell r="I104">
            <v>577.63812504999999</v>
          </cell>
          <cell r="K104">
            <v>530.25594799999999</v>
          </cell>
          <cell r="L104">
            <v>546.16362644000003</v>
          </cell>
          <cell r="M104">
            <v>656.30662443873302</v>
          </cell>
        </row>
        <row r="105">
          <cell r="B105" t="str">
            <v>Pro-forma EBITDA Adjustments</v>
          </cell>
          <cell r="E105">
            <v>1301.2511999999999</v>
          </cell>
          <cell r="F105">
            <v>1334.98127</v>
          </cell>
          <cell r="I105">
            <v>1462.3871350500001</v>
          </cell>
          <cell r="J105">
            <v>0</v>
          </cell>
          <cell r="K105">
            <v>1528.255948</v>
          </cell>
          <cell r="L105">
            <v>1606.1636264399999</v>
          </cell>
          <cell r="M105">
            <v>1776.3066244387301</v>
          </cell>
        </row>
        <row r="106">
          <cell r="B106" t="str">
            <v>Pro-forma EBITDA</v>
          </cell>
          <cell r="E106">
            <v>2169.2512000000002</v>
          </cell>
          <cell r="F106">
            <v>2499</v>
          </cell>
          <cell r="I106">
            <v>2547.3871350499999</v>
          </cell>
          <cell r="J106">
            <v>1015.52604248134</v>
          </cell>
          <cell r="K106">
            <v>2655.7951210142301</v>
          </cell>
          <cell r="L106">
            <v>2746</v>
          </cell>
          <cell r="M106">
            <v>4717.8956993278398</v>
          </cell>
          <cell r="O106" t="str">
            <v>2013/16 Hardcode</v>
          </cell>
        </row>
        <row r="107">
          <cell r="B107" t="str">
            <v>% of Revenue</v>
          </cell>
          <cell r="E107">
            <v>0.41515214365052</v>
          </cell>
          <cell r="F107">
            <v>0.44813419542923499</v>
          </cell>
          <cell r="I107">
            <v>0.40839454416217302</v>
          </cell>
          <cell r="J107">
            <v>0.14838172623940399</v>
          </cell>
          <cell r="K107">
            <v>0.37445420462953799</v>
          </cell>
          <cell r="L107">
            <v>0.327926305286111</v>
          </cell>
          <cell r="M107">
            <v>0.45366567590267198</v>
          </cell>
        </row>
        <row r="110">
          <cell r="B110" t="str">
            <v>Synergies</v>
          </cell>
        </row>
        <row r="111">
          <cell r="B111" t="str">
            <v>1.</v>
          </cell>
          <cell r="C111" t="str">
            <v>Duplicative Trade Show Costs</v>
          </cell>
          <cell r="E111">
            <v>44.55</v>
          </cell>
          <cell r="F111">
            <v>21.437999999999999</v>
          </cell>
          <cell r="I111">
            <v>17.88</v>
          </cell>
          <cell r="K111">
            <v>40</v>
          </cell>
          <cell r="L111">
            <v>40</v>
          </cell>
          <cell r="M111">
            <v>40</v>
          </cell>
          <cell r="O111" t="str">
            <v>AirIT</v>
          </cell>
        </row>
        <row r="112">
          <cell r="B112" t="str">
            <v>2.</v>
          </cell>
          <cell r="C112" t="str">
            <v>Duplicative PR Costs</v>
          </cell>
          <cell r="E112">
            <v>120.8</v>
          </cell>
          <cell r="F112">
            <v>120</v>
          </cell>
          <cell r="I112">
            <v>120.4</v>
          </cell>
          <cell r="K112">
            <v>150</v>
          </cell>
          <cell r="L112">
            <v>160</v>
          </cell>
          <cell r="M112">
            <v>160</v>
          </cell>
        </row>
        <row r="113">
          <cell r="B113" t="str">
            <v>3.</v>
          </cell>
          <cell r="C113" t="str">
            <v>R&amp;D - In-house 3Beam Work</v>
          </cell>
          <cell r="E113">
            <v>66</v>
          </cell>
          <cell r="F113">
            <v>66</v>
          </cell>
          <cell r="I113">
            <v>66</v>
          </cell>
          <cell r="K113">
            <v>0</v>
          </cell>
          <cell r="L113">
            <v>0</v>
          </cell>
          <cell r="M113">
            <v>0</v>
          </cell>
        </row>
        <row r="114">
          <cell r="B114" t="str">
            <v>4.</v>
          </cell>
          <cell r="C114" t="str">
            <v>G&amp;A Team</v>
          </cell>
          <cell r="E114">
            <v>603.04399000000001</v>
          </cell>
          <cell r="F114">
            <v>598.78740000000005</v>
          </cell>
          <cell r="I114">
            <v>591.21845504999999</v>
          </cell>
          <cell r="K114">
            <v>530.25594799999999</v>
          </cell>
          <cell r="L114">
            <v>546.16362644000003</v>
          </cell>
          <cell r="M114">
            <v>656.30662443873302</v>
          </cell>
        </row>
        <row r="115">
          <cell r="B115" t="str">
            <v>Pro-Forma EBITDA Adjustments</v>
          </cell>
          <cell r="E115">
            <v>834.39399000000003</v>
          </cell>
          <cell r="F115">
            <v>806.22540000000004</v>
          </cell>
          <cell r="I115">
            <v>795.49845504999996</v>
          </cell>
          <cell r="J115">
            <v>0</v>
          </cell>
          <cell r="K115">
            <v>720.25594799999999</v>
          </cell>
          <cell r="L115">
            <v>746.16362644000003</v>
          </cell>
          <cell r="M115">
            <v>856.30662443873302</v>
          </cell>
        </row>
        <row r="116">
          <cell r="B116" t="str">
            <v>Pro-Forma EBITDA</v>
          </cell>
          <cell r="E116">
            <v>1702.39399</v>
          </cell>
          <cell r="F116">
            <v>1970.2254</v>
          </cell>
          <cell r="I116">
            <v>1880.4984550500001</v>
          </cell>
          <cell r="J116">
            <v>16.5</v>
          </cell>
          <cell r="K116">
            <v>1847.7951210142301</v>
          </cell>
          <cell r="L116">
            <v>2331</v>
          </cell>
          <cell r="M116">
            <v>3797.8956993278398</v>
          </cell>
        </row>
        <row r="117">
          <cell r="B117" t="str">
            <v>% of Revenue</v>
          </cell>
          <cell r="E117">
            <v>0.32580482808365502</v>
          </cell>
          <cell r="F117">
            <v>0.35331147436704402</v>
          </cell>
          <cell r="I117">
            <v>0.30147962152315</v>
          </cell>
          <cell r="J117">
            <v>2.41086725552403E-3</v>
          </cell>
          <cell r="K117">
            <v>0.25355877341894101</v>
          </cell>
          <cell r="L117">
            <v>0.26432069800202201</v>
          </cell>
          <cell r="M117">
            <v>0.34232241872247898</v>
          </cell>
        </row>
        <row r="119">
          <cell r="L119" t="str">
            <v>Hardcoded</v>
          </cell>
        </row>
      </sheetData>
      <sheetData sheetId="5"/>
      <sheetData sheetId="6"/>
      <sheetData sheetId="7"/>
      <sheetData sheetId="8"/>
      <sheetData sheetId="9"/>
      <sheetData sheetId="10"/>
      <sheetData sheetId="11"/>
      <sheetData sheetId="12"/>
      <sheetData sheetId="13"/>
      <sheetData sheetId="14"/>
      <sheetData sheetId="15"/>
      <sheetData sheetId="16"/>
      <sheetData sheetId="17">
        <row r="1">
          <cell r="B1" t="str">
            <v>Monthly Balance Sheet</v>
          </cell>
          <cell r="AQ1">
            <v>1000</v>
          </cell>
        </row>
        <row r="2">
          <cell r="Y2" t="str">
            <v>Jul. 31,</v>
          </cell>
          <cell r="Z2" t="str">
            <v>Aug. 31,</v>
          </cell>
          <cell r="AA2" t="str">
            <v>Sep. 30,</v>
          </cell>
          <cell r="AB2" t="str">
            <v>Oct. 31,</v>
          </cell>
          <cell r="AC2" t="str">
            <v>Nov. 30,</v>
          </cell>
          <cell r="AD2" t="str">
            <v>Dec. 31,</v>
          </cell>
          <cell r="AE2" t="str">
            <v>Jan. 30,</v>
          </cell>
          <cell r="AF2" t="str">
            <v>Feb. 28,</v>
          </cell>
          <cell r="AG2" t="str">
            <v>Mar. 31,</v>
          </cell>
          <cell r="AH2" t="str">
            <v>Apr. 30,</v>
          </cell>
          <cell r="AI2" t="str">
            <v>May. 31,</v>
          </cell>
          <cell r="AJ2" t="str">
            <v>Jun. 30,</v>
          </cell>
          <cell r="AO2" t="str">
            <v>TTM</v>
          </cell>
          <cell r="AQ2">
            <v>2</v>
          </cell>
          <cell r="AT2" t="str">
            <v>Sept. 30,</v>
          </cell>
          <cell r="AU2" t="str">
            <v>Sept. 30,</v>
          </cell>
          <cell r="AV2" t="str">
            <v>Sept. 30,</v>
          </cell>
          <cell r="AW2" t="str">
            <v>Sept. 30,</v>
          </cell>
          <cell r="AY2" t="str">
            <v>TTM</v>
          </cell>
        </row>
        <row r="3">
          <cell r="B3" t="str">
            <v>$ in actual</v>
          </cell>
          <cell r="C3" t="str">
            <v>Sep-11A</v>
          </cell>
          <cell r="D3" t="str">
            <v>Oct-11A</v>
          </cell>
          <cell r="E3" t="str">
            <v>Nov-11</v>
          </cell>
          <cell r="F3" t="str">
            <v>Dec-11A</v>
          </cell>
          <cell r="G3" t="str">
            <v>Jan-12A</v>
          </cell>
          <cell r="H3" t="str">
            <v>Feb-12A</v>
          </cell>
          <cell r="I3" t="str">
            <v>Mar-12A</v>
          </cell>
          <cell r="J3" t="str">
            <v>Apr-12A</v>
          </cell>
          <cell r="K3" t="str">
            <v>May-12A</v>
          </cell>
          <cell r="L3" t="str">
            <v>Jun-12A</v>
          </cell>
          <cell r="M3" t="str">
            <v>Jul-12A</v>
          </cell>
          <cell r="N3" t="str">
            <v>Aug-12A</v>
          </cell>
          <cell r="O3" t="str">
            <v>Sep-12A</v>
          </cell>
          <cell r="P3" t="str">
            <v>Oct-12A</v>
          </cell>
          <cell r="Q3" t="str">
            <v>Nov-12A</v>
          </cell>
          <cell r="R3" t="str">
            <v>Dec-12A</v>
          </cell>
          <cell r="S3" t="str">
            <v>Jan-13A</v>
          </cell>
          <cell r="T3" t="str">
            <v>Feb-13A</v>
          </cell>
          <cell r="U3" t="str">
            <v>Mar-13A</v>
          </cell>
          <cell r="V3" t="str">
            <v>Apr-13A</v>
          </cell>
          <cell r="W3" t="str">
            <v>May-13A</v>
          </cell>
          <cell r="X3" t="str">
            <v>Jun-13A</v>
          </cell>
          <cell r="Y3">
            <v>2013</v>
          </cell>
          <cell r="Z3">
            <v>2013</v>
          </cell>
          <cell r="AA3">
            <v>2013</v>
          </cell>
          <cell r="AB3">
            <v>2013</v>
          </cell>
          <cell r="AC3">
            <v>2013</v>
          </cell>
          <cell r="AD3">
            <v>2013</v>
          </cell>
          <cell r="AE3">
            <v>2014</v>
          </cell>
          <cell r="AF3">
            <v>2014</v>
          </cell>
          <cell r="AG3">
            <v>2014</v>
          </cell>
          <cell r="AH3">
            <v>2014</v>
          </cell>
          <cell r="AI3">
            <v>2014</v>
          </cell>
          <cell r="AJ3">
            <v>2014</v>
          </cell>
          <cell r="AK3" t="str">
            <v>Jul - 14F</v>
          </cell>
          <cell r="AL3" t="str">
            <v>Aug - 14F</v>
          </cell>
          <cell r="AM3" t="str">
            <v>Sep - 14F</v>
          </cell>
          <cell r="AO3" t="str">
            <v>Average</v>
          </cell>
          <cell r="AQ3">
            <v>2</v>
          </cell>
          <cell r="AS3" t="str">
            <v>$ in thousands</v>
          </cell>
          <cell r="AT3">
            <v>2011</v>
          </cell>
          <cell r="AU3">
            <v>2012</v>
          </cell>
          <cell r="AV3">
            <v>2013</v>
          </cell>
          <cell r="AW3">
            <v>2014</v>
          </cell>
          <cell r="AY3" t="str">
            <v>Average</v>
          </cell>
        </row>
        <row r="4">
          <cell r="B4" t="str">
            <v>Assets</v>
          </cell>
          <cell r="AQ4" t="str">
            <v>Current Assets</v>
          </cell>
          <cell r="AS4" t="str">
            <v>Assets</v>
          </cell>
        </row>
        <row r="5">
          <cell r="B5" t="str">
            <v>Cash &amp; Cash Equivalents</v>
          </cell>
          <cell r="C5">
            <v>670691</v>
          </cell>
          <cell r="D5">
            <v>751142.58</v>
          </cell>
          <cell r="E5">
            <v>737407.92</v>
          </cell>
          <cell r="F5">
            <v>683370.4</v>
          </cell>
          <cell r="G5">
            <v>790220.77</v>
          </cell>
          <cell r="H5">
            <v>787001.34</v>
          </cell>
          <cell r="I5">
            <v>835269.15</v>
          </cell>
          <cell r="J5">
            <v>853312.19</v>
          </cell>
          <cell r="K5">
            <v>813735.42</v>
          </cell>
          <cell r="L5">
            <v>774141.48</v>
          </cell>
          <cell r="M5">
            <v>742216.68</v>
          </cell>
          <cell r="N5">
            <v>780125.87</v>
          </cell>
          <cell r="O5">
            <v>620286.81999999995</v>
          </cell>
          <cell r="P5">
            <v>807631.28</v>
          </cell>
          <cell r="Q5">
            <v>747146.35</v>
          </cell>
          <cell r="R5">
            <v>804812.89</v>
          </cell>
          <cell r="S5">
            <v>745063.28</v>
          </cell>
          <cell r="T5">
            <v>893160.03</v>
          </cell>
          <cell r="U5">
            <v>793462.98</v>
          </cell>
          <cell r="V5">
            <v>839508.38</v>
          </cell>
          <cell r="W5">
            <v>813451.56</v>
          </cell>
          <cell r="X5">
            <v>767401.67</v>
          </cell>
          <cell r="Y5">
            <v>840232.35</v>
          </cell>
          <cell r="Z5">
            <v>897563.93</v>
          </cell>
          <cell r="AA5">
            <v>965679.67</v>
          </cell>
          <cell r="AB5">
            <v>908115.52</v>
          </cell>
          <cell r="AC5">
            <v>878005.21</v>
          </cell>
          <cell r="AD5">
            <v>735272.27</v>
          </cell>
          <cell r="AE5">
            <v>776703.58</v>
          </cell>
          <cell r="AF5">
            <v>767938.55</v>
          </cell>
          <cell r="AG5">
            <v>854984.88</v>
          </cell>
          <cell r="AH5">
            <v>803257.23</v>
          </cell>
          <cell r="AI5">
            <v>828490.6</v>
          </cell>
          <cell r="AJ5">
            <v>836533.15</v>
          </cell>
          <cell r="AK5">
            <v>0</v>
          </cell>
          <cell r="AL5">
            <v>0</v>
          </cell>
          <cell r="AM5">
            <v>0</v>
          </cell>
          <cell r="AO5">
            <v>841064.745</v>
          </cell>
          <cell r="AQ5" t="str">
            <v>Switch 1 = off</v>
          </cell>
          <cell r="AS5" t="str">
            <v>Cash &amp; Cash Equivalents</v>
          </cell>
          <cell r="AT5">
            <v>670.69100000000003</v>
          </cell>
          <cell r="AU5">
            <v>620.28682000000003</v>
          </cell>
          <cell r="AV5">
            <v>965.67966999999999</v>
          </cell>
          <cell r="AW5">
            <v>836.53314999999998</v>
          </cell>
          <cell r="AY5">
            <v>841.06474500000002</v>
          </cell>
        </row>
        <row r="6">
          <cell r="B6" t="str">
            <v>Accounts Receivable</v>
          </cell>
          <cell r="C6">
            <v>515178.54</v>
          </cell>
          <cell r="D6">
            <v>541500.27</v>
          </cell>
          <cell r="E6">
            <v>585534.56999999995</v>
          </cell>
          <cell r="F6">
            <v>626970.6</v>
          </cell>
          <cell r="G6">
            <v>438930.52</v>
          </cell>
          <cell r="H6">
            <v>454287.96</v>
          </cell>
          <cell r="I6">
            <v>468165.9</v>
          </cell>
          <cell r="J6">
            <v>456894.22</v>
          </cell>
          <cell r="K6">
            <v>470537.53</v>
          </cell>
          <cell r="L6">
            <v>539394.84</v>
          </cell>
          <cell r="M6">
            <v>645819.63</v>
          </cell>
          <cell r="N6">
            <v>573235.91</v>
          </cell>
          <cell r="O6">
            <v>665218.71</v>
          </cell>
          <cell r="P6">
            <v>498965.99</v>
          </cell>
          <cell r="Q6">
            <v>536525.5</v>
          </cell>
          <cell r="R6">
            <v>538523.51</v>
          </cell>
          <cell r="S6">
            <v>589417.66</v>
          </cell>
          <cell r="T6">
            <v>529390.89</v>
          </cell>
          <cell r="U6">
            <v>542064.31999999995</v>
          </cell>
          <cell r="V6">
            <v>464449.01</v>
          </cell>
          <cell r="W6">
            <v>443684.4</v>
          </cell>
          <cell r="X6">
            <v>496882.07</v>
          </cell>
          <cell r="Y6">
            <v>565998.07999999996</v>
          </cell>
          <cell r="Z6">
            <v>547816.68000000005</v>
          </cell>
          <cell r="AA6">
            <v>567559.39</v>
          </cell>
          <cell r="AB6">
            <v>445514.3</v>
          </cell>
          <cell r="AC6">
            <v>486029.29</v>
          </cell>
          <cell r="AD6">
            <v>545790.11</v>
          </cell>
          <cell r="AE6">
            <v>599635.16</v>
          </cell>
          <cell r="AF6">
            <v>583600.81000000006</v>
          </cell>
          <cell r="AG6">
            <v>554548.53</v>
          </cell>
          <cell r="AH6">
            <v>637116.66</v>
          </cell>
          <cell r="AI6">
            <v>722671.42</v>
          </cell>
          <cell r="AJ6">
            <v>688956.32</v>
          </cell>
          <cell r="AK6">
            <v>0</v>
          </cell>
          <cell r="AL6">
            <v>0</v>
          </cell>
          <cell r="AM6">
            <v>0</v>
          </cell>
          <cell r="AO6">
            <v>578769.72916666698</v>
          </cell>
          <cell r="AS6" t="str">
            <v>Accounts Receivable</v>
          </cell>
          <cell r="AT6">
            <v>515.17854</v>
          </cell>
          <cell r="AU6">
            <v>665.21870999999999</v>
          </cell>
          <cell r="AV6">
            <v>567.55939000000001</v>
          </cell>
          <cell r="AW6">
            <v>688.95632000000001</v>
          </cell>
          <cell r="AY6">
            <v>578.76972916666705</v>
          </cell>
        </row>
        <row r="7">
          <cell r="B7" t="str">
            <v>Prepaid Expenses &amp; Other Current Assets</v>
          </cell>
          <cell r="C7">
            <v>110445.48</v>
          </cell>
          <cell r="D7">
            <v>100034</v>
          </cell>
          <cell r="E7">
            <v>86352.8</v>
          </cell>
          <cell r="F7">
            <v>89351.9</v>
          </cell>
          <cell r="G7">
            <v>91733.22</v>
          </cell>
          <cell r="H7">
            <v>97258.73</v>
          </cell>
          <cell r="I7">
            <v>101774.42</v>
          </cell>
          <cell r="J7">
            <v>94424.75</v>
          </cell>
          <cell r="K7">
            <v>113402.65</v>
          </cell>
          <cell r="L7">
            <v>108585.53</v>
          </cell>
          <cell r="M7">
            <v>99998.39</v>
          </cell>
          <cell r="N7">
            <v>110531.01</v>
          </cell>
          <cell r="O7">
            <v>124087.5</v>
          </cell>
          <cell r="P7">
            <v>74235.98</v>
          </cell>
          <cell r="Q7">
            <v>59156.41</v>
          </cell>
          <cell r="R7">
            <v>45416.75</v>
          </cell>
          <cell r="S7">
            <v>49804.5</v>
          </cell>
          <cell r="T7">
            <v>36244.800000000003</v>
          </cell>
          <cell r="U7">
            <v>37948.949999999997</v>
          </cell>
          <cell r="V7">
            <v>71097.009999999995</v>
          </cell>
          <cell r="W7">
            <v>75033.86</v>
          </cell>
          <cell r="X7">
            <v>76679.92</v>
          </cell>
          <cell r="Y7">
            <v>73155.7</v>
          </cell>
          <cell r="Z7">
            <v>70653.5</v>
          </cell>
          <cell r="AA7">
            <v>67816.98</v>
          </cell>
          <cell r="AB7">
            <v>54958.62</v>
          </cell>
          <cell r="AC7">
            <v>67746.16</v>
          </cell>
          <cell r="AD7">
            <v>69953.59</v>
          </cell>
          <cell r="AE7">
            <v>87761.52</v>
          </cell>
          <cell r="AF7">
            <v>82828.460000000006</v>
          </cell>
          <cell r="AG7">
            <v>61893.93</v>
          </cell>
          <cell r="AH7">
            <v>82101.81</v>
          </cell>
          <cell r="AI7">
            <v>90058.52</v>
          </cell>
          <cell r="AJ7">
            <v>89051.57</v>
          </cell>
          <cell r="AK7">
            <v>0</v>
          </cell>
          <cell r="AL7">
            <v>0</v>
          </cell>
          <cell r="AM7">
            <v>0</v>
          </cell>
          <cell r="AO7">
            <v>74831.696666666699</v>
          </cell>
          <cell r="AS7" t="str">
            <v>Prepaid Expenses &amp; Other Current Assets</v>
          </cell>
          <cell r="AT7">
            <v>110.44548</v>
          </cell>
          <cell r="AU7">
            <v>124.08750000000001</v>
          </cell>
          <cell r="AV7">
            <v>67.816980000000001</v>
          </cell>
          <cell r="AW7">
            <v>89.051569999999998</v>
          </cell>
          <cell r="AY7">
            <v>74.831696666666701</v>
          </cell>
        </row>
        <row r="8">
          <cell r="B8" t="str">
            <v>Current Assets</v>
          </cell>
          <cell r="C8">
            <v>1296315.02</v>
          </cell>
          <cell r="D8">
            <v>1392676.85</v>
          </cell>
          <cell r="E8">
            <v>1409295.29</v>
          </cell>
          <cell r="F8">
            <v>1399692.9</v>
          </cell>
          <cell r="G8">
            <v>1320884.51</v>
          </cell>
          <cell r="H8">
            <v>1338548.03</v>
          </cell>
          <cell r="I8">
            <v>1405209.47</v>
          </cell>
          <cell r="J8">
            <v>1404631.16</v>
          </cell>
          <cell r="K8">
            <v>1397675.6</v>
          </cell>
          <cell r="L8">
            <v>1422121.85</v>
          </cell>
          <cell r="M8">
            <v>1488034.7</v>
          </cell>
          <cell r="N8">
            <v>1463892.79</v>
          </cell>
          <cell r="O8">
            <v>1409593.03</v>
          </cell>
          <cell r="P8">
            <v>1380833.25</v>
          </cell>
          <cell r="Q8">
            <v>1342828.26</v>
          </cell>
          <cell r="R8">
            <v>1388753.15</v>
          </cell>
          <cell r="S8">
            <v>1384285.44</v>
          </cell>
          <cell r="T8">
            <v>1458795.72</v>
          </cell>
          <cell r="U8">
            <v>1373476.25</v>
          </cell>
          <cell r="V8">
            <v>1375054.4</v>
          </cell>
          <cell r="W8">
            <v>1332169.82</v>
          </cell>
          <cell r="X8">
            <v>1340963.6599999999</v>
          </cell>
          <cell r="Y8">
            <v>1479386.13</v>
          </cell>
          <cell r="Z8">
            <v>1516034.11</v>
          </cell>
          <cell r="AA8">
            <v>1601056.04</v>
          </cell>
          <cell r="AB8">
            <v>1408588.44</v>
          </cell>
          <cell r="AC8">
            <v>1431780.66</v>
          </cell>
          <cell r="AD8">
            <v>1351015.97</v>
          </cell>
          <cell r="AE8">
            <v>1464100.26</v>
          </cell>
          <cell r="AF8">
            <v>1434367.82</v>
          </cell>
          <cell r="AG8">
            <v>1471427.34</v>
          </cell>
          <cell r="AH8">
            <v>1522475.7</v>
          </cell>
          <cell r="AI8">
            <v>1641220.54</v>
          </cell>
          <cell r="AJ8">
            <v>1614541.04</v>
          </cell>
          <cell r="AK8">
            <v>0</v>
          </cell>
          <cell r="AL8">
            <v>0</v>
          </cell>
          <cell r="AM8">
            <v>0</v>
          </cell>
          <cell r="AO8">
            <v>1494666.1708333299</v>
          </cell>
          <cell r="AS8" t="str">
            <v>Current Assets</v>
          </cell>
          <cell r="AT8">
            <v>1296.31502</v>
          </cell>
          <cell r="AU8">
            <v>1409.59303</v>
          </cell>
          <cell r="AV8">
            <v>1601.0560399999999</v>
          </cell>
          <cell r="AW8">
            <v>1614.5410400000001</v>
          </cell>
          <cell r="AY8">
            <v>1494.6661708333299</v>
          </cell>
        </row>
        <row r="10">
          <cell r="B10" t="str">
            <v>Fixed Assets, Net of Accumulated Depreciation</v>
          </cell>
          <cell r="C10">
            <v>116626.34</v>
          </cell>
          <cell r="D10">
            <v>152224.95000000001</v>
          </cell>
          <cell r="E10">
            <v>142644.72</v>
          </cell>
          <cell r="F10">
            <v>133768.17000000001</v>
          </cell>
          <cell r="G10">
            <v>125567.16</v>
          </cell>
          <cell r="H10">
            <v>117638.46</v>
          </cell>
          <cell r="I10">
            <v>109887.08</v>
          </cell>
          <cell r="J10">
            <v>105793.7</v>
          </cell>
          <cell r="K10">
            <v>110657.38</v>
          </cell>
          <cell r="L10">
            <v>119049.2</v>
          </cell>
          <cell r="M10">
            <v>137168.39000000001</v>
          </cell>
          <cell r="N10">
            <v>134691.32999999999</v>
          </cell>
          <cell r="O10">
            <v>139914.97</v>
          </cell>
          <cell r="P10">
            <v>151383.41</v>
          </cell>
          <cell r="Q10">
            <v>177208.9</v>
          </cell>
          <cell r="R10">
            <v>209304.63</v>
          </cell>
          <cell r="S10">
            <v>202083.93</v>
          </cell>
          <cell r="T10">
            <v>193959.61</v>
          </cell>
          <cell r="U10">
            <v>206957.44</v>
          </cell>
          <cell r="V10">
            <v>200344.88</v>
          </cell>
          <cell r="W10">
            <v>200949.82</v>
          </cell>
          <cell r="X10">
            <v>201744.13</v>
          </cell>
          <cell r="Y10">
            <v>196213.33</v>
          </cell>
          <cell r="Z10">
            <v>200037.65</v>
          </cell>
          <cell r="AA10">
            <v>191128.39</v>
          </cell>
          <cell r="AB10">
            <v>187086.12</v>
          </cell>
          <cell r="AC10">
            <v>218807.71</v>
          </cell>
          <cell r="AD10">
            <v>217685.17</v>
          </cell>
          <cell r="AE10">
            <v>208407.69</v>
          </cell>
          <cell r="AF10">
            <v>322927.73</v>
          </cell>
          <cell r="AG10">
            <v>310745.15000000002</v>
          </cell>
          <cell r="AH10">
            <v>298258.3</v>
          </cell>
          <cell r="AI10">
            <v>285771.45</v>
          </cell>
          <cell r="AJ10">
            <v>274923.82</v>
          </cell>
          <cell r="AK10">
            <v>0</v>
          </cell>
          <cell r="AL10">
            <v>0</v>
          </cell>
          <cell r="AM10">
            <v>0</v>
          </cell>
          <cell r="AO10">
            <v>242666.04250000001</v>
          </cell>
          <cell r="AS10" t="str">
            <v>Fixed Assets, Net of Accumulated Depreciation</v>
          </cell>
          <cell r="AT10">
            <v>116.62634</v>
          </cell>
          <cell r="AU10">
            <v>139.91497000000001</v>
          </cell>
          <cell r="AV10">
            <v>191.12839</v>
          </cell>
          <cell r="AW10">
            <v>274.92381999999998</v>
          </cell>
          <cell r="AY10">
            <v>242.6660425</v>
          </cell>
        </row>
        <row r="11">
          <cell r="B11" t="str">
            <v>Non-Current Assets</v>
          </cell>
          <cell r="C11">
            <v>355884.86</v>
          </cell>
          <cell r="D11">
            <v>354833.53</v>
          </cell>
          <cell r="E11">
            <v>353902.02</v>
          </cell>
          <cell r="F11">
            <v>353471.01</v>
          </cell>
          <cell r="G11">
            <v>356680</v>
          </cell>
          <cell r="H11">
            <v>357513.49</v>
          </cell>
          <cell r="I11">
            <v>356534.48</v>
          </cell>
          <cell r="J11">
            <v>361002.66</v>
          </cell>
          <cell r="K11">
            <v>362622.86</v>
          </cell>
          <cell r="L11">
            <v>359482.41</v>
          </cell>
          <cell r="M11">
            <v>353955.88</v>
          </cell>
          <cell r="N11">
            <v>353878.75</v>
          </cell>
          <cell r="O11">
            <v>370313.41</v>
          </cell>
          <cell r="P11">
            <v>369261.9</v>
          </cell>
          <cell r="Q11">
            <v>368210.39</v>
          </cell>
          <cell r="R11">
            <v>369757.38</v>
          </cell>
          <cell r="S11">
            <v>369075.87</v>
          </cell>
          <cell r="T11">
            <v>372554.23999999999</v>
          </cell>
          <cell r="U11">
            <v>372835.85</v>
          </cell>
          <cell r="V11">
            <v>383026.16</v>
          </cell>
          <cell r="W11">
            <v>380990.29</v>
          </cell>
          <cell r="X11">
            <v>379880.6</v>
          </cell>
          <cell r="Y11">
            <v>377570.91</v>
          </cell>
          <cell r="Z11">
            <v>375572.96</v>
          </cell>
          <cell r="AA11">
            <v>380010.17</v>
          </cell>
          <cell r="AB11">
            <v>378394.97</v>
          </cell>
          <cell r="AC11">
            <v>376779.77</v>
          </cell>
          <cell r="AD11">
            <v>385078.76</v>
          </cell>
          <cell r="AE11">
            <v>394965.76000000001</v>
          </cell>
          <cell r="AF11">
            <v>394971.35</v>
          </cell>
          <cell r="AG11">
            <v>393738.65</v>
          </cell>
          <cell r="AH11">
            <v>395021.93</v>
          </cell>
          <cell r="AI11">
            <v>393406.73</v>
          </cell>
          <cell r="AJ11">
            <v>392112.01</v>
          </cell>
          <cell r="AK11">
            <v>0</v>
          </cell>
          <cell r="AL11">
            <v>0</v>
          </cell>
          <cell r="AM11">
            <v>0</v>
          </cell>
          <cell r="AO11">
            <v>386468.66416666697</v>
          </cell>
          <cell r="AS11" t="str">
            <v>Non-Current Assets</v>
          </cell>
          <cell r="AT11">
            <v>355.88486</v>
          </cell>
          <cell r="AU11">
            <v>370.31340999999998</v>
          </cell>
          <cell r="AV11">
            <v>380.01017000000002</v>
          </cell>
          <cell r="AW11">
            <v>392.11201</v>
          </cell>
          <cell r="AY11">
            <v>386.468664166667</v>
          </cell>
        </row>
        <row r="12">
          <cell r="B12" t="str">
            <v>Total Assets</v>
          </cell>
          <cell r="C12">
            <v>1768826.22</v>
          </cell>
          <cell r="D12">
            <v>1899735.33</v>
          </cell>
          <cell r="E12">
            <v>1905842.03</v>
          </cell>
          <cell r="F12">
            <v>1886932.08</v>
          </cell>
          <cell r="G12">
            <v>1803131.67</v>
          </cell>
          <cell r="H12">
            <v>1813699.98</v>
          </cell>
          <cell r="I12">
            <v>1871631.03</v>
          </cell>
          <cell r="J12">
            <v>1871427.52</v>
          </cell>
          <cell r="K12">
            <v>1870955.84</v>
          </cell>
          <cell r="L12">
            <v>1900653.46</v>
          </cell>
          <cell r="M12">
            <v>1979158.97</v>
          </cell>
          <cell r="N12">
            <v>1952462.87</v>
          </cell>
          <cell r="O12">
            <v>1919821.41</v>
          </cell>
          <cell r="P12">
            <v>1901478.56</v>
          </cell>
          <cell r="Q12">
            <v>1888247.55</v>
          </cell>
          <cell r="R12">
            <v>1967815.16</v>
          </cell>
          <cell r="S12">
            <v>1955445.24</v>
          </cell>
          <cell r="T12">
            <v>2025309.57</v>
          </cell>
          <cell r="U12">
            <v>1953269.54</v>
          </cell>
          <cell r="V12">
            <v>1958425.44</v>
          </cell>
          <cell r="W12">
            <v>1914109.93</v>
          </cell>
          <cell r="X12">
            <v>1922588.39</v>
          </cell>
          <cell r="Y12">
            <v>2053170.37</v>
          </cell>
          <cell r="Z12">
            <v>2091644.72</v>
          </cell>
          <cell r="AA12">
            <v>2172194.6</v>
          </cell>
          <cell r="AB12">
            <v>1974069.53</v>
          </cell>
          <cell r="AC12">
            <v>2027368.14</v>
          </cell>
          <cell r="AD12">
            <v>1953779.9</v>
          </cell>
          <cell r="AE12">
            <v>2067473.71</v>
          </cell>
          <cell r="AF12">
            <v>2152266.9</v>
          </cell>
          <cell r="AG12">
            <v>2175911.14</v>
          </cell>
          <cell r="AH12">
            <v>2215755.9300000002</v>
          </cell>
          <cell r="AI12">
            <v>2320398.7200000002</v>
          </cell>
          <cell r="AJ12">
            <v>2281576.87</v>
          </cell>
          <cell r="AK12">
            <v>0</v>
          </cell>
          <cell r="AL12">
            <v>0</v>
          </cell>
          <cell r="AM12">
            <v>0</v>
          </cell>
          <cell r="AO12">
            <v>2123800.8774999999</v>
          </cell>
          <cell r="AS12" t="str">
            <v>Total Assets</v>
          </cell>
          <cell r="AT12">
            <v>1768.8262199999999</v>
          </cell>
          <cell r="AU12">
            <v>1919.82141</v>
          </cell>
          <cell r="AV12">
            <v>2172.1945999999998</v>
          </cell>
          <cell r="AW12">
            <v>2281.5768699999999</v>
          </cell>
          <cell r="AY12">
            <v>2123.8008774999998</v>
          </cell>
        </row>
        <row r="14">
          <cell r="B14" t="str">
            <v>Liabilities</v>
          </cell>
          <cell r="AS14" t="str">
            <v>Liabilities</v>
          </cell>
        </row>
        <row r="15">
          <cell r="B15" t="str">
            <v>Accrued Expenses</v>
          </cell>
          <cell r="C15">
            <v>316864.93</v>
          </cell>
          <cell r="D15">
            <v>309343.26</v>
          </cell>
          <cell r="E15">
            <v>335762.7</v>
          </cell>
          <cell r="F15">
            <v>351410.37</v>
          </cell>
          <cell r="G15">
            <v>263141.40999999997</v>
          </cell>
          <cell r="H15">
            <v>294865.31</v>
          </cell>
          <cell r="I15">
            <v>337872.99</v>
          </cell>
          <cell r="J15">
            <v>340514.83</v>
          </cell>
          <cell r="K15">
            <v>348680.38</v>
          </cell>
          <cell r="L15">
            <v>399654.3</v>
          </cell>
          <cell r="M15">
            <v>372882.57</v>
          </cell>
          <cell r="N15">
            <v>411733.25</v>
          </cell>
          <cell r="O15">
            <v>344486.83</v>
          </cell>
          <cell r="P15">
            <v>335891.78</v>
          </cell>
          <cell r="Q15">
            <v>369170.39</v>
          </cell>
          <cell r="R15">
            <v>413469.79</v>
          </cell>
          <cell r="S15">
            <v>424029.66</v>
          </cell>
          <cell r="T15">
            <v>482184.86</v>
          </cell>
          <cell r="U15">
            <v>430047.81</v>
          </cell>
          <cell r="V15">
            <v>437192.34</v>
          </cell>
          <cell r="W15">
            <v>442761.85</v>
          </cell>
          <cell r="X15">
            <v>471031.9</v>
          </cell>
          <cell r="Y15">
            <v>480796.46</v>
          </cell>
          <cell r="Z15">
            <v>518260.45</v>
          </cell>
          <cell r="AA15">
            <v>504738.6</v>
          </cell>
          <cell r="AB15">
            <v>356610.01</v>
          </cell>
          <cell r="AC15">
            <v>415213.81</v>
          </cell>
          <cell r="AD15">
            <v>336828.88</v>
          </cell>
          <cell r="AE15">
            <v>349358.95</v>
          </cell>
          <cell r="AF15">
            <v>475498.82</v>
          </cell>
          <cell r="AG15">
            <v>481459.43</v>
          </cell>
          <cell r="AH15">
            <v>454736.98</v>
          </cell>
          <cell r="AI15">
            <v>490170.1</v>
          </cell>
          <cell r="AJ15">
            <v>525278.81000000006</v>
          </cell>
          <cell r="AK15">
            <v>0</v>
          </cell>
          <cell r="AL15">
            <v>0</v>
          </cell>
          <cell r="AM15">
            <v>0</v>
          </cell>
          <cell r="AO15">
            <v>449079.27500000002</v>
          </cell>
          <cell r="AS15" t="str">
            <v>Accrued Expenses</v>
          </cell>
          <cell r="AT15">
            <v>316.86493000000002</v>
          </cell>
          <cell r="AU15">
            <v>344.48683</v>
          </cell>
          <cell r="AV15">
            <v>504.73860000000002</v>
          </cell>
          <cell r="AW15">
            <v>525.27881000000002</v>
          </cell>
          <cell r="AY15">
            <v>449.079275</v>
          </cell>
        </row>
        <row r="16">
          <cell r="B16" t="str">
            <v>Accounts Payable</v>
          </cell>
          <cell r="C16">
            <v>25304.33</v>
          </cell>
          <cell r="D16">
            <v>164206.04999999999</v>
          </cell>
          <cell r="E16">
            <v>99349.19</v>
          </cell>
          <cell r="F16">
            <v>53595.56</v>
          </cell>
          <cell r="G16">
            <v>73896.17</v>
          </cell>
          <cell r="H16">
            <v>64063.82</v>
          </cell>
          <cell r="I16">
            <v>112807.19</v>
          </cell>
          <cell r="J16">
            <v>113620.23</v>
          </cell>
          <cell r="K16">
            <v>106336.24</v>
          </cell>
          <cell r="L16">
            <v>66585.41</v>
          </cell>
          <cell r="M16">
            <v>116302.64</v>
          </cell>
          <cell r="N16">
            <v>40110.97</v>
          </cell>
          <cell r="O16">
            <v>96856.27</v>
          </cell>
          <cell r="P16">
            <v>125068.370000001</v>
          </cell>
          <cell r="Q16">
            <v>115709.750000001</v>
          </cell>
          <cell r="R16">
            <v>139266.850000001</v>
          </cell>
          <cell r="S16">
            <v>77439.730000001</v>
          </cell>
          <cell r="T16">
            <v>46352.040000000998</v>
          </cell>
          <cell r="U16">
            <v>61842.200000001001</v>
          </cell>
          <cell r="V16">
            <v>71580.810000001002</v>
          </cell>
          <cell r="W16">
            <v>48173.750000000997</v>
          </cell>
          <cell r="X16">
            <v>29074.740000000998</v>
          </cell>
          <cell r="Y16">
            <v>29713.720000001002</v>
          </cell>
          <cell r="Z16">
            <v>42439.01</v>
          </cell>
          <cell r="AA16">
            <v>67690.69</v>
          </cell>
          <cell r="AB16">
            <v>54010.31</v>
          </cell>
          <cell r="AC16">
            <v>64342.41</v>
          </cell>
          <cell r="AD16">
            <v>56399.45</v>
          </cell>
          <cell r="AE16">
            <v>88712.66</v>
          </cell>
          <cell r="AF16">
            <v>99554.53</v>
          </cell>
          <cell r="AG16">
            <v>105970.68</v>
          </cell>
          <cell r="AH16">
            <v>116927.59</v>
          </cell>
          <cell r="AI16">
            <v>119640.61</v>
          </cell>
          <cell r="AJ16">
            <v>44182.13</v>
          </cell>
          <cell r="AK16">
            <v>0</v>
          </cell>
          <cell r="AL16">
            <v>0</v>
          </cell>
          <cell r="AM16">
            <v>0</v>
          </cell>
          <cell r="AO16">
            <v>74131.9825000001</v>
          </cell>
          <cell r="AS16" t="str">
            <v>Accounts Payable</v>
          </cell>
          <cell r="AT16">
            <v>25.30433</v>
          </cell>
          <cell r="AU16">
            <v>96.856269999999995</v>
          </cell>
          <cell r="AV16">
            <v>67.690690000000004</v>
          </cell>
          <cell r="AW16">
            <v>44.182130000000001</v>
          </cell>
          <cell r="AY16">
            <v>74.131982500000106</v>
          </cell>
        </row>
        <row r="17">
          <cell r="B17" t="str">
            <v>Deferred Revenue</v>
          </cell>
          <cell r="C17">
            <v>275022.13</v>
          </cell>
          <cell r="D17">
            <v>279386.23999999999</v>
          </cell>
          <cell r="E17">
            <v>337570.63</v>
          </cell>
          <cell r="F17">
            <v>358896.5</v>
          </cell>
          <cell r="G17">
            <v>361138.54</v>
          </cell>
          <cell r="H17">
            <v>345818.31</v>
          </cell>
          <cell r="I17">
            <v>308738.23</v>
          </cell>
          <cell r="J17">
            <v>287187.3</v>
          </cell>
          <cell r="K17">
            <v>261103.96</v>
          </cell>
          <cell r="L17">
            <v>263082.53000000003</v>
          </cell>
          <cell r="M17">
            <v>308582.58</v>
          </cell>
          <cell r="N17">
            <v>291802.40999999997</v>
          </cell>
          <cell r="O17">
            <v>301654.46000000002</v>
          </cell>
          <cell r="P17">
            <v>252062.58</v>
          </cell>
          <cell r="Q17">
            <v>217812.34</v>
          </cell>
          <cell r="R17">
            <v>237536.79</v>
          </cell>
          <cell r="S17">
            <v>305778.03000000003</v>
          </cell>
          <cell r="T17">
            <v>347205.65</v>
          </cell>
          <cell r="U17">
            <v>316082.56</v>
          </cell>
          <cell r="V17">
            <v>303425.62</v>
          </cell>
          <cell r="W17">
            <v>280525.99</v>
          </cell>
          <cell r="X17">
            <v>297177.90999999997</v>
          </cell>
          <cell r="Y17">
            <v>419946.45</v>
          </cell>
          <cell r="Z17">
            <v>392063.41</v>
          </cell>
          <cell r="AA17">
            <v>394904.48</v>
          </cell>
          <cell r="AB17">
            <v>387248.64000000001</v>
          </cell>
          <cell r="AC17">
            <v>357418.42</v>
          </cell>
          <cell r="AD17">
            <v>390660.02</v>
          </cell>
          <cell r="AE17">
            <v>469987.9</v>
          </cell>
          <cell r="AF17">
            <v>395263.93</v>
          </cell>
          <cell r="AG17">
            <v>393043.14</v>
          </cell>
          <cell r="AH17">
            <v>378639.35999999999</v>
          </cell>
          <cell r="AI17">
            <v>433119.83</v>
          </cell>
          <cell r="AJ17">
            <v>428832.11</v>
          </cell>
          <cell r="AK17">
            <v>0</v>
          </cell>
          <cell r="AL17">
            <v>0</v>
          </cell>
          <cell r="AM17">
            <v>0</v>
          </cell>
          <cell r="AO17">
            <v>403427.3075</v>
          </cell>
          <cell r="AS17" t="str">
            <v>Deferred Revenue</v>
          </cell>
          <cell r="AT17">
            <v>275.02213</v>
          </cell>
          <cell r="AU17">
            <v>301.65445999999997</v>
          </cell>
          <cell r="AV17">
            <v>394.90447999999998</v>
          </cell>
          <cell r="AW17">
            <v>428.83211</v>
          </cell>
          <cell r="AY17">
            <v>403.42730749999998</v>
          </cell>
        </row>
        <row r="18">
          <cell r="B18" t="str">
            <v>Other Current Liabilities</v>
          </cell>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O18">
            <v>0</v>
          </cell>
          <cell r="AS18" t="str">
            <v>Other Current Liabilities</v>
          </cell>
          <cell r="AT18">
            <v>0</v>
          </cell>
          <cell r="AU18">
            <v>0</v>
          </cell>
          <cell r="AV18">
            <v>0</v>
          </cell>
          <cell r="AW18">
            <v>0</v>
          </cell>
          <cell r="AY18">
            <v>0</v>
          </cell>
        </row>
        <row r="19">
          <cell r="B19" t="str">
            <v>Current Liabilities</v>
          </cell>
          <cell r="C19">
            <v>617191.39</v>
          </cell>
          <cell r="D19">
            <v>752935.55</v>
          </cell>
          <cell r="E19">
            <v>772682.52</v>
          </cell>
          <cell r="F19">
            <v>763902.43</v>
          </cell>
          <cell r="G19">
            <v>698176.12</v>
          </cell>
          <cell r="H19">
            <v>704747.44</v>
          </cell>
          <cell r="I19">
            <v>759418.41</v>
          </cell>
          <cell r="J19">
            <v>741322.36</v>
          </cell>
          <cell r="K19">
            <v>716120.58</v>
          </cell>
          <cell r="L19">
            <v>729322.24</v>
          </cell>
          <cell r="M19">
            <v>797767.79</v>
          </cell>
          <cell r="N19">
            <v>743646.63</v>
          </cell>
          <cell r="O19">
            <v>742997.56</v>
          </cell>
          <cell r="P19">
            <v>713022.73000000103</v>
          </cell>
          <cell r="Q19">
            <v>702692.48000000103</v>
          </cell>
          <cell r="R19">
            <v>790273.43000000098</v>
          </cell>
          <cell r="S19">
            <v>807247.42000000097</v>
          </cell>
          <cell r="T19">
            <v>875742.55000000098</v>
          </cell>
          <cell r="U19">
            <v>807972.570000001</v>
          </cell>
          <cell r="V19">
            <v>812198.77000000095</v>
          </cell>
          <cell r="W19">
            <v>771461.59000000102</v>
          </cell>
          <cell r="X19">
            <v>797284.55000000098</v>
          </cell>
          <cell r="Y19">
            <v>930456.63000000105</v>
          </cell>
          <cell r="Z19">
            <v>952762.87</v>
          </cell>
          <cell r="AA19">
            <v>967333.77</v>
          </cell>
          <cell r="AB19">
            <v>797868.96</v>
          </cell>
          <cell r="AC19">
            <v>836974.64</v>
          </cell>
          <cell r="AD19">
            <v>783888.35</v>
          </cell>
          <cell r="AE19">
            <v>908059.51</v>
          </cell>
          <cell r="AF19">
            <v>970317.28</v>
          </cell>
          <cell r="AG19">
            <v>980473.25</v>
          </cell>
          <cell r="AH19">
            <v>950303.93</v>
          </cell>
          <cell r="AI19">
            <v>1042930.54</v>
          </cell>
          <cell r="AJ19">
            <v>998293.05</v>
          </cell>
          <cell r="AK19">
            <v>0</v>
          </cell>
          <cell r="AL19">
            <v>0</v>
          </cell>
          <cell r="AM19">
            <v>0</v>
          </cell>
          <cell r="AO19">
            <v>926638.56499999994</v>
          </cell>
          <cell r="AS19" t="str">
            <v>Current Liabilities</v>
          </cell>
          <cell r="AT19">
            <v>617.19138999999996</v>
          </cell>
          <cell r="AU19">
            <v>742.99756000000002</v>
          </cell>
          <cell r="AV19">
            <v>967.33376999999996</v>
          </cell>
          <cell r="AW19">
            <v>998.29304999999999</v>
          </cell>
          <cell r="AY19">
            <v>926.63856499999997</v>
          </cell>
        </row>
        <row r="21">
          <cell r="B21" t="str">
            <v>NWC (Excl. Cash &amp; Cash Equivalents &amp; Debt)</v>
          </cell>
          <cell r="Y21">
            <v>548929.49999999895</v>
          </cell>
          <cell r="Z21">
            <v>563271.24</v>
          </cell>
          <cell r="AA21">
            <v>633722.27</v>
          </cell>
          <cell r="AB21">
            <v>610719.48</v>
          </cell>
          <cell r="AC21">
            <v>594806.02</v>
          </cell>
          <cell r="AD21">
            <v>567127.62</v>
          </cell>
          <cell r="AE21">
            <v>556040.75</v>
          </cell>
          <cell r="AF21">
            <v>464050.54</v>
          </cell>
          <cell r="AG21">
            <v>490954.09</v>
          </cell>
          <cell r="AH21">
            <v>572171.77</v>
          </cell>
          <cell r="AI21">
            <v>598290</v>
          </cell>
          <cell r="AJ21">
            <v>616247.99</v>
          </cell>
          <cell r="AK21">
            <v>0</v>
          </cell>
          <cell r="AL21">
            <v>0</v>
          </cell>
          <cell r="AM21">
            <v>0</v>
          </cell>
          <cell r="AO21">
            <v>568027.60583333299</v>
          </cell>
          <cell r="AT21">
            <v>679.12363000000005</v>
          </cell>
          <cell r="AU21">
            <v>666.59546999999998</v>
          </cell>
          <cell r="AV21">
            <v>633.72226999999998</v>
          </cell>
          <cell r="AW21">
            <v>616.24798999999996</v>
          </cell>
          <cell r="AY21">
            <v>568.02760583333304</v>
          </cell>
        </row>
        <row r="22">
          <cell r="B22" t="str">
            <v>Source: Company information</v>
          </cell>
        </row>
        <row r="23">
          <cell r="B23" t="str">
            <v>Non-Current Liabilities</v>
          </cell>
          <cell r="C23">
            <v>161457.66</v>
          </cell>
          <cell r="D23">
            <v>160624.32000000001</v>
          </cell>
          <cell r="E23">
            <v>159790.98000000001</v>
          </cell>
          <cell r="F23">
            <v>158957.64000000001</v>
          </cell>
          <cell r="G23">
            <v>158124.29999999999</v>
          </cell>
          <cell r="H23">
            <v>157290.96</v>
          </cell>
          <cell r="I23">
            <v>156457.62</v>
          </cell>
          <cell r="J23">
            <v>155624.28</v>
          </cell>
          <cell r="K23">
            <v>154790.94</v>
          </cell>
          <cell r="L23">
            <v>153957.6</v>
          </cell>
          <cell r="M23">
            <v>153124.26</v>
          </cell>
          <cell r="N23">
            <v>152290.92000000001</v>
          </cell>
          <cell r="O23">
            <v>130847.58</v>
          </cell>
          <cell r="P23">
            <v>130014.24</v>
          </cell>
          <cell r="Q23">
            <v>129180.9</v>
          </cell>
          <cell r="R23">
            <v>128347.56</v>
          </cell>
          <cell r="S23">
            <v>127514.22</v>
          </cell>
          <cell r="T23">
            <v>126680.88</v>
          </cell>
          <cell r="U23">
            <v>125847.54</v>
          </cell>
          <cell r="V23">
            <v>125014.2</v>
          </cell>
          <cell r="W23">
            <v>124180.86</v>
          </cell>
          <cell r="X23">
            <v>123347.52</v>
          </cell>
          <cell r="Y23">
            <v>122514.18</v>
          </cell>
          <cell r="Z23">
            <v>121680.84</v>
          </cell>
          <cell r="AA23">
            <v>162506.5</v>
          </cell>
          <cell r="AB23">
            <v>161673.16</v>
          </cell>
          <cell r="AC23">
            <v>195708.52</v>
          </cell>
          <cell r="AD23">
            <v>194875.18</v>
          </cell>
          <cell r="AE23">
            <v>194041.84</v>
          </cell>
          <cell r="AF23">
            <v>209788.99</v>
          </cell>
          <cell r="AG23">
            <v>204748.62</v>
          </cell>
          <cell r="AH23">
            <v>243556.8</v>
          </cell>
          <cell r="AI23">
            <v>239376.45</v>
          </cell>
          <cell r="AJ23">
            <v>233204.62</v>
          </cell>
          <cell r="AK23">
            <v>0</v>
          </cell>
          <cell r="AL23">
            <v>0</v>
          </cell>
          <cell r="AM23">
            <v>0</v>
          </cell>
          <cell r="AO23">
            <v>190306.308333333</v>
          </cell>
          <cell r="AS23" t="str">
            <v>Non-Current Liabilities</v>
          </cell>
          <cell r="AT23">
            <v>161.45766</v>
          </cell>
          <cell r="AU23">
            <v>130.84757999999999</v>
          </cell>
          <cell r="AV23">
            <v>162.50649999999999</v>
          </cell>
          <cell r="AW23">
            <v>233.20462000000001</v>
          </cell>
          <cell r="AY23">
            <v>190.30630833333299</v>
          </cell>
        </row>
        <row r="24">
          <cell r="B24" t="str">
            <v>Shareholders' Equity</v>
          </cell>
          <cell r="C24">
            <v>990177.17</v>
          </cell>
          <cell r="D24">
            <v>986175.46</v>
          </cell>
          <cell r="E24">
            <v>973368.53</v>
          </cell>
          <cell r="F24">
            <v>964072.01</v>
          </cell>
          <cell r="G24">
            <v>946831.25</v>
          </cell>
          <cell r="H24">
            <v>951661.58</v>
          </cell>
          <cell r="I24">
            <v>955755</v>
          </cell>
          <cell r="J24">
            <v>974480.88</v>
          </cell>
          <cell r="K24">
            <v>1000044.32</v>
          </cell>
          <cell r="L24">
            <v>1017373.62</v>
          </cell>
          <cell r="M24">
            <v>1028266.92</v>
          </cell>
          <cell r="N24">
            <v>1056525.32</v>
          </cell>
          <cell r="O24">
            <v>1045976.27</v>
          </cell>
          <cell r="P24">
            <v>1058441.5900000001</v>
          </cell>
          <cell r="Q24">
            <v>1056374.17</v>
          </cell>
          <cell r="R24">
            <v>1049194.17</v>
          </cell>
          <cell r="S24">
            <v>1020683.6</v>
          </cell>
          <cell r="T24">
            <v>1022886.14</v>
          </cell>
          <cell r="U24">
            <v>1019449.43</v>
          </cell>
          <cell r="V24">
            <v>1021212.47</v>
          </cell>
          <cell r="W24">
            <v>1018467.48</v>
          </cell>
          <cell r="X24">
            <v>1001956.32</v>
          </cell>
          <cell r="Y24">
            <v>1000199.56</v>
          </cell>
          <cell r="Z24">
            <v>1017201.01</v>
          </cell>
          <cell r="AA24">
            <v>1042354.33</v>
          </cell>
          <cell r="AB24">
            <v>1014527.41</v>
          </cell>
          <cell r="AC24">
            <v>994684.98</v>
          </cell>
          <cell r="AD24">
            <v>975016.37</v>
          </cell>
          <cell r="AE24">
            <v>965372.36</v>
          </cell>
          <cell r="AF24">
            <v>972160.63</v>
          </cell>
          <cell r="AG24">
            <v>990689.27</v>
          </cell>
          <cell r="AH24">
            <v>1021895.2</v>
          </cell>
          <cell r="AI24">
            <v>1038091.73</v>
          </cell>
          <cell r="AJ24">
            <v>1050079.2</v>
          </cell>
          <cell r="AK24">
            <v>0</v>
          </cell>
          <cell r="AL24">
            <v>0</v>
          </cell>
          <cell r="AM24">
            <v>0</v>
          </cell>
          <cell r="AO24">
            <v>1006856.00416667</v>
          </cell>
          <cell r="AS24" t="str">
            <v>Shareholders' Equity</v>
          </cell>
          <cell r="AT24">
            <v>990.17717000000005</v>
          </cell>
          <cell r="AU24">
            <v>1045.9762700000001</v>
          </cell>
          <cell r="AV24">
            <v>1042.3543299999999</v>
          </cell>
          <cell r="AW24">
            <v>1050.0791999999999</v>
          </cell>
          <cell r="AY24">
            <v>1006.85600416667</v>
          </cell>
        </row>
        <row r="25">
          <cell r="B25" t="str">
            <v>Total Liabilities &amp; Shareholders' Equity</v>
          </cell>
          <cell r="C25">
            <v>1768826.22</v>
          </cell>
          <cell r="D25">
            <v>1899735.33</v>
          </cell>
          <cell r="E25">
            <v>1905842.03</v>
          </cell>
          <cell r="F25">
            <v>1886932.08</v>
          </cell>
          <cell r="G25">
            <v>1803131.67</v>
          </cell>
          <cell r="H25">
            <v>1813699.98</v>
          </cell>
          <cell r="I25">
            <v>1871631.03</v>
          </cell>
          <cell r="J25">
            <v>1871427.52</v>
          </cell>
          <cell r="K25">
            <v>1870955.84</v>
          </cell>
          <cell r="L25">
            <v>1900653.46</v>
          </cell>
          <cell r="M25">
            <v>1979158.97</v>
          </cell>
          <cell r="N25">
            <v>1952462.87</v>
          </cell>
          <cell r="O25">
            <v>1919821.41</v>
          </cell>
          <cell r="P25">
            <v>1901478.56</v>
          </cell>
          <cell r="Q25">
            <v>1888247.55</v>
          </cell>
          <cell r="R25">
            <v>1967815.16</v>
          </cell>
          <cell r="S25">
            <v>1955445.24</v>
          </cell>
          <cell r="T25">
            <v>2025309.57</v>
          </cell>
          <cell r="U25">
            <v>1953269.54</v>
          </cell>
          <cell r="V25">
            <v>1958425.44</v>
          </cell>
          <cell r="W25">
            <v>1914109.93</v>
          </cell>
          <cell r="X25">
            <v>1922588.39</v>
          </cell>
          <cell r="Y25">
            <v>2053170.37</v>
          </cell>
          <cell r="Z25">
            <v>2091644.72</v>
          </cell>
          <cell r="AA25">
            <v>2172194.6</v>
          </cell>
          <cell r="AB25">
            <v>1974069.53</v>
          </cell>
          <cell r="AC25">
            <v>2027368.14</v>
          </cell>
          <cell r="AD25">
            <v>1953779.9</v>
          </cell>
          <cell r="AE25">
            <v>2067473.71</v>
          </cell>
          <cell r="AF25">
            <v>2152266.9</v>
          </cell>
          <cell r="AG25">
            <v>2175911.14</v>
          </cell>
          <cell r="AH25">
            <v>2215755.9300000002</v>
          </cell>
          <cell r="AI25">
            <v>2320398.7200000002</v>
          </cell>
          <cell r="AJ25">
            <v>2281576.87</v>
          </cell>
          <cell r="AK25">
            <v>0</v>
          </cell>
          <cell r="AL25">
            <v>0</v>
          </cell>
          <cell r="AM25">
            <v>0</v>
          </cell>
          <cell r="AO25">
            <v>2123800.8774999999</v>
          </cell>
          <cell r="AS25" t="str">
            <v>Total Liabilities &amp; Shareholders' Equity</v>
          </cell>
          <cell r="AT25">
            <v>1768.8262199999999</v>
          </cell>
          <cell r="AU25">
            <v>1919.82141</v>
          </cell>
          <cell r="AV25">
            <v>2172.1945999999998</v>
          </cell>
          <cell r="AW25">
            <v>2281.5768699999999</v>
          </cell>
          <cell r="AY25">
            <v>2123.8008774999998</v>
          </cell>
        </row>
        <row r="26">
          <cell r="B26" t="str">
            <v>Check</v>
          </cell>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S26" t="str">
            <v>Check</v>
          </cell>
          <cell r="AT26">
            <v>0</v>
          </cell>
          <cell r="AU26">
            <v>0</v>
          </cell>
          <cell r="AV26">
            <v>0</v>
          </cell>
          <cell r="AW26">
            <v>0</v>
          </cell>
        </row>
        <row r="27">
          <cell r="B27" t="str">
            <v>Source: Company information</v>
          </cell>
          <cell r="AS27" t="str">
            <v>Source: Company information</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Company Received Material"/>
      <sheetName val="Valuation"/>
      <sheetName val="DCF"/>
      <sheetName val="Summary - No Certares"/>
      <sheetName val="Detail - No Certares"/>
      <sheetName val="Ponterra&gt;&gt;"/>
      <sheetName val="DCF - Formatted"/>
      <sheetName val="Summary P&amp;L - Formatted"/>
      <sheetName val="Summary Conclusions"/>
      <sheetName val="Valuation Summary"/>
      <sheetName val="Public Comparables"/>
      <sheetName val="B2B &amp; T&amp;H"/>
      <sheetName val="B2B &amp; T&amp;H Output"/>
      <sheetName val="B2C"/>
      <sheetName val="B2C Output"/>
      <sheetName val="SaaS"/>
      <sheetName val="SaaS Output"/>
      <sheetName val="Precedent Transactions"/>
      <sheetName val="B2B Precedent"/>
      <sheetName val="B2C Precedent"/>
      <sheetName val="Saas Precedent"/>
      <sheetName val="Acquisition List"/>
      <sheetName val="Saas Precedent (2)"/>
    </sheetNames>
    <sheetDataSet>
      <sheetData sheetId="0"/>
      <sheetData sheetId="1"/>
      <sheetData sheetId="2"/>
      <sheetData sheetId="3"/>
      <sheetData sheetId="4">
        <row r="136">
          <cell r="O136">
            <v>47686.832300000002</v>
          </cell>
        </row>
      </sheetData>
      <sheetData sheetId="5"/>
      <sheetData sheetId="6"/>
      <sheetData sheetId="7"/>
      <sheetData sheetId="8">
        <row r="5">
          <cell r="A5">
            <v>0</v>
          </cell>
          <cell r="B5">
            <v>0</v>
          </cell>
          <cell r="C5">
            <v>0</v>
          </cell>
          <cell r="D5">
            <v>0</v>
          </cell>
          <cell r="E5" t="str">
            <v>EV / Sales</v>
          </cell>
          <cell r="F5">
            <v>0</v>
          </cell>
          <cell r="G5">
            <v>0</v>
          </cell>
          <cell r="H5">
            <v>0</v>
          </cell>
          <cell r="I5">
            <v>0</v>
          </cell>
          <cell r="J5">
            <v>0</v>
          </cell>
          <cell r="K5" t="str">
            <v>EV / EBITDA</v>
          </cell>
          <cell r="L5">
            <v>0</v>
          </cell>
          <cell r="M5">
            <v>0</v>
          </cell>
          <cell r="N5">
            <v>0</v>
          </cell>
          <cell r="O5">
            <v>0</v>
          </cell>
          <cell r="P5">
            <v>0</v>
          </cell>
          <cell r="Q5" t="str">
            <v>Precedent Transactions</v>
          </cell>
          <cell r="R5">
            <v>0</v>
          </cell>
          <cell r="S5">
            <v>0</v>
          </cell>
          <cell r="T5">
            <v>0</v>
          </cell>
          <cell r="U5" t="str">
            <v>DCF Sensitivity</v>
          </cell>
          <cell r="V5">
            <v>0</v>
          </cell>
          <cell r="W5">
            <v>0</v>
          </cell>
          <cell r="X5">
            <v>0</v>
          </cell>
        </row>
        <row r="6">
          <cell r="A6">
            <v>0</v>
          </cell>
          <cell r="B6">
            <v>0</v>
          </cell>
          <cell r="C6" t="str">
            <v>Range</v>
          </cell>
          <cell r="D6">
            <v>0</v>
          </cell>
          <cell r="E6" t="str">
            <v>B2B T&amp;H</v>
          </cell>
          <cell r="F6">
            <v>0</v>
          </cell>
          <cell r="G6" t="str">
            <v>B2C T&amp;H</v>
          </cell>
          <cell r="H6">
            <v>0</v>
          </cell>
          <cell r="I6" t="str">
            <v>SaaS</v>
          </cell>
          <cell r="J6">
            <v>0</v>
          </cell>
          <cell r="K6" t="str">
            <v>T&amp;H</v>
          </cell>
          <cell r="L6">
            <v>0</v>
          </cell>
          <cell r="M6" t="str">
            <v>T&amp;H</v>
          </cell>
          <cell r="N6">
            <v>0</v>
          </cell>
          <cell r="O6" t="str">
            <v>SaaS</v>
          </cell>
          <cell r="P6">
            <v>0</v>
          </cell>
          <cell r="Q6" t="str">
            <v>EV / Sales</v>
          </cell>
          <cell r="R6">
            <v>0</v>
          </cell>
          <cell r="S6" t="str">
            <v>EV / EBITDA</v>
          </cell>
          <cell r="T6">
            <v>0</v>
          </cell>
          <cell r="U6" t="str">
            <v>EV / Sales</v>
          </cell>
          <cell r="V6">
            <v>0</v>
          </cell>
          <cell r="W6" t="str">
            <v>EV / EBITDA</v>
          </cell>
          <cell r="X6">
            <v>0</v>
          </cell>
        </row>
        <row r="7">
          <cell r="C7" t="str">
            <v>Low</v>
          </cell>
          <cell r="D7">
            <v>0</v>
          </cell>
          <cell r="E7">
            <v>2.1313310067598401</v>
          </cell>
          <cell r="F7">
            <v>0</v>
          </cell>
          <cell r="G7">
            <v>2.7490151317170501</v>
          </cell>
          <cell r="H7">
            <v>0</v>
          </cell>
          <cell r="I7">
            <v>5.8129847033761903</v>
          </cell>
          <cell r="J7">
            <v>0</v>
          </cell>
          <cell r="K7">
            <v>6.3205484894363497</v>
          </cell>
          <cell r="L7">
            <v>0</v>
          </cell>
          <cell r="M7">
            <v>9.8970382279508993</v>
          </cell>
          <cell r="N7">
            <v>0</v>
          </cell>
          <cell r="O7">
            <v>13.7688921978261</v>
          </cell>
          <cell r="P7">
            <v>0</v>
          </cell>
          <cell r="Q7">
            <v>4.4391531154022603</v>
          </cell>
          <cell r="R7">
            <v>0</v>
          </cell>
          <cell r="S7">
            <v>7.7851774160247196</v>
          </cell>
          <cell r="T7">
            <v>0</v>
          </cell>
          <cell r="U7">
            <v>16.896475906662801</v>
          </cell>
          <cell r="V7">
            <v>0</v>
          </cell>
          <cell r="W7">
            <v>29.632242731739499</v>
          </cell>
          <cell r="X7">
            <v>0</v>
          </cell>
        </row>
        <row r="8">
          <cell r="C8" t="str">
            <v>High</v>
          </cell>
          <cell r="D8">
            <v>0</v>
          </cell>
          <cell r="E8">
            <v>3.2869386994496099</v>
          </cell>
          <cell r="F8">
            <v>0</v>
          </cell>
          <cell r="G8">
            <v>6.4033451418204903</v>
          </cell>
          <cell r="H8">
            <v>0</v>
          </cell>
          <cell r="I8">
            <v>10.345465833727101</v>
          </cell>
          <cell r="J8">
            <v>0</v>
          </cell>
          <cell r="K8">
            <v>10.4323683345663</v>
          </cell>
          <cell r="L8">
            <v>0</v>
          </cell>
          <cell r="M8">
            <v>17.190816590486801</v>
          </cell>
          <cell r="N8">
            <v>0</v>
          </cell>
          <cell r="O8">
            <v>17.3327604073611</v>
          </cell>
          <cell r="P8">
            <v>0</v>
          </cell>
          <cell r="Q8">
            <v>25.6380278586721</v>
          </cell>
          <cell r="R8">
            <v>0</v>
          </cell>
          <cell r="S8">
            <v>44.962764357962399</v>
          </cell>
          <cell r="T8">
            <v>0</v>
          </cell>
          <cell r="U8">
            <v>34.468191191956201</v>
          </cell>
          <cell r="V8">
            <v>0</v>
          </cell>
          <cell r="W8">
            <v>60.448688446405001</v>
          </cell>
          <cell r="X8">
            <v>0</v>
          </cell>
        </row>
        <row r="10">
          <cell r="Q10">
            <v>19009.912824247898</v>
          </cell>
          <cell r="U10">
            <v>72356.2638351481</v>
          </cell>
        </row>
        <row r="11">
          <cell r="Q11">
            <v>109790.462709649</v>
          </cell>
          <cell r="U11">
            <v>147604.124646018</v>
          </cell>
        </row>
      </sheetData>
      <sheetData sheetId="9">
        <row r="39">
          <cell r="AB39" t="str">
            <v>Mean</v>
          </cell>
        </row>
      </sheetData>
      <sheetData sheetId="10"/>
      <sheetData sheetId="11"/>
      <sheetData sheetId="12">
        <row r="26">
          <cell r="O26">
            <v>0.74293375772262304</v>
          </cell>
        </row>
      </sheetData>
      <sheetData sheetId="13"/>
      <sheetData sheetId="14">
        <row r="26">
          <cell r="O26">
            <v>1.0018433937069899</v>
          </cell>
        </row>
      </sheetData>
      <sheetData sheetId="15"/>
      <sheetData sheetId="16">
        <row r="1">
          <cell r="B1" t="str">
            <v>SaaS Public Comparables</v>
          </cell>
          <cell r="O1" t="str">
            <v>&lt;1 &gt;10</v>
          </cell>
          <cell r="Q1" t="str">
            <v>&gt;30</v>
          </cell>
        </row>
        <row r="2">
          <cell r="B2">
            <v>0</v>
          </cell>
          <cell r="C2">
            <v>0</v>
          </cell>
          <cell r="D2" t="str">
            <v>Enterprise</v>
          </cell>
          <cell r="E2" t="str">
            <v>Net Sales</v>
          </cell>
          <cell r="F2">
            <v>0</v>
          </cell>
          <cell r="G2">
            <v>0</v>
          </cell>
          <cell r="H2">
            <v>0</v>
          </cell>
          <cell r="I2" t="str">
            <v>EBITDA</v>
          </cell>
          <cell r="J2">
            <v>0</v>
          </cell>
          <cell r="K2">
            <v>0</v>
          </cell>
          <cell r="L2" t="str">
            <v>Net Debt /</v>
          </cell>
          <cell r="M2" t="str">
            <v>Free Cash</v>
          </cell>
          <cell r="N2">
            <v>0</v>
          </cell>
          <cell r="O2" t="str">
            <v>Enterprise Value /</v>
          </cell>
          <cell r="P2">
            <v>0</v>
          </cell>
          <cell r="Q2">
            <v>0</v>
          </cell>
          <cell r="R2">
            <v>0</v>
          </cell>
          <cell r="U2" t="str">
            <v>Enterprise Value /</v>
          </cell>
          <cell r="V2">
            <v>0</v>
          </cell>
          <cell r="W2">
            <v>0</v>
          </cell>
          <cell r="Z2" t="str">
            <v>Sales</v>
          </cell>
          <cell r="AB2" t="str">
            <v>EBITDA</v>
          </cell>
        </row>
        <row r="3">
          <cell r="B3" t="str">
            <v>Company</v>
          </cell>
          <cell r="C3">
            <v>0</v>
          </cell>
          <cell r="D3" t="str">
            <v>Value</v>
          </cell>
          <cell r="E3" t="str">
            <v>$</v>
          </cell>
          <cell r="F3">
            <v>0</v>
          </cell>
          <cell r="G3" t="str">
            <v>Avg. % Growth</v>
          </cell>
          <cell r="H3">
            <v>0</v>
          </cell>
          <cell r="I3" t="str">
            <v>$</v>
          </cell>
          <cell r="J3">
            <v>0</v>
          </cell>
          <cell r="K3" t="str">
            <v>% Margin</v>
          </cell>
          <cell r="L3" t="str">
            <v>Equity</v>
          </cell>
          <cell r="M3" t="str">
            <v>Flow</v>
          </cell>
          <cell r="N3" t="str">
            <v>ROE %</v>
          </cell>
          <cell r="O3" t="str">
            <v>Sales</v>
          </cell>
          <cell r="P3">
            <v>0</v>
          </cell>
          <cell r="Q3" t="str">
            <v>EBITDA</v>
          </cell>
          <cell r="R3">
            <v>0</v>
          </cell>
          <cell r="U3" t="str">
            <v>Sales</v>
          </cell>
          <cell r="V3">
            <v>0</v>
          </cell>
          <cell r="W3" t="str">
            <v>EBITDA</v>
          </cell>
          <cell r="Y3" t="str">
            <v>Below</v>
          </cell>
          <cell r="Z3">
            <v>1</v>
          </cell>
          <cell r="AA3">
            <v>0</v>
          </cell>
          <cell r="AB3">
            <v>0</v>
          </cell>
        </row>
        <row r="4">
          <cell r="B4" t="str">
            <v>Salesforce.Com</v>
          </cell>
          <cell r="C4">
            <v>0</v>
          </cell>
          <cell r="D4">
            <v>37711.127999999997</v>
          </cell>
          <cell r="E4">
            <v>4071.0030000000002</v>
          </cell>
          <cell r="F4">
            <v>0</v>
          </cell>
          <cell r="G4">
            <v>0.32737458695982802</v>
          </cell>
          <cell r="H4">
            <v>0</v>
          </cell>
          <cell r="I4">
            <v>83.349000000000004</v>
          </cell>
          <cell r="J4">
            <v>0</v>
          </cell>
          <cell r="K4">
            <v>2.0500000000000001E-2</v>
          </cell>
          <cell r="L4">
            <v>0.53</v>
          </cell>
          <cell r="M4">
            <v>576.35900000000004</v>
          </cell>
          <cell r="N4">
            <v>-8.5400000000000004E-2</v>
          </cell>
          <cell r="O4">
            <v>9.2633505796974305</v>
          </cell>
          <cell r="P4">
            <v>0</v>
          </cell>
          <cell r="Q4">
            <v>452.44847568657099</v>
          </cell>
          <cell r="R4">
            <v>0</v>
          </cell>
          <cell r="U4">
            <v>9.2633505796974305</v>
          </cell>
          <cell r="W4" t="str">
            <v>NM</v>
          </cell>
          <cell r="Y4" t="str">
            <v>Above</v>
          </cell>
          <cell r="Z4">
            <v>15</v>
          </cell>
          <cell r="AA4">
            <v>0</v>
          </cell>
          <cell r="AB4">
            <v>30</v>
          </cell>
        </row>
        <row r="5">
          <cell r="B5" t="str">
            <v>Workday Inc</v>
          </cell>
          <cell r="C5">
            <v>0</v>
          </cell>
          <cell r="D5">
            <v>6762.9380000000001</v>
          </cell>
          <cell r="E5">
            <v>468.93799999999999</v>
          </cell>
          <cell r="F5">
            <v>0</v>
          </cell>
          <cell r="G5">
            <v>1</v>
          </cell>
          <cell r="H5">
            <v>0</v>
          </cell>
          <cell r="I5">
            <v>-118.587</v>
          </cell>
          <cell r="J5">
            <v>0</v>
          </cell>
          <cell r="K5">
            <v>-0.25290000000000001</v>
          </cell>
          <cell r="L5">
            <v>-1.18</v>
          </cell>
          <cell r="M5">
            <v>-29.462</v>
          </cell>
          <cell r="N5">
            <v>-0.19389999999999999</v>
          </cell>
          <cell r="O5">
            <v>14.4218169566126</v>
          </cell>
          <cell r="P5">
            <v>0</v>
          </cell>
          <cell r="Q5" t="str">
            <v>NA</v>
          </cell>
          <cell r="R5">
            <v>0</v>
          </cell>
          <cell r="U5">
            <v>14.4218169566126</v>
          </cell>
          <cell r="W5" t="str">
            <v>NM</v>
          </cell>
        </row>
        <row r="6">
          <cell r="B6" t="str">
            <v>NetSuite Inc</v>
          </cell>
          <cell r="C6">
            <v>0</v>
          </cell>
          <cell r="D6">
            <v>6354.6233000000002</v>
          </cell>
          <cell r="E6">
            <v>414.50799999999998</v>
          </cell>
          <cell r="F6">
            <v>0</v>
          </cell>
          <cell r="G6">
            <v>0.26803781057321202</v>
          </cell>
          <cell r="H6">
            <v>0</v>
          </cell>
          <cell r="I6">
            <v>-38.353000000000002</v>
          </cell>
          <cell r="J6">
            <v>0</v>
          </cell>
          <cell r="K6">
            <v>-9.2499999999999999E-2</v>
          </cell>
          <cell r="L6">
            <v>-0.93</v>
          </cell>
          <cell r="M6">
            <v>39.841999999999999</v>
          </cell>
          <cell r="N6">
            <v>-0.38179999999999997</v>
          </cell>
          <cell r="O6">
            <v>15.3305202794638</v>
          </cell>
          <cell r="P6">
            <v>0</v>
          </cell>
          <cell r="Q6" t="str">
            <v>NA</v>
          </cell>
          <cell r="R6">
            <v>0</v>
          </cell>
          <cell r="U6" t="str">
            <v>NM</v>
          </cell>
          <cell r="W6" t="str">
            <v>NM</v>
          </cell>
        </row>
        <row r="7">
          <cell r="B7" t="str">
            <v>Concur Technologies Inc.</v>
          </cell>
          <cell r="C7">
            <v>0</v>
          </cell>
          <cell r="D7">
            <v>5469.8123999999998</v>
          </cell>
          <cell r="E7">
            <v>545.79999999999995</v>
          </cell>
          <cell r="F7">
            <v>0</v>
          </cell>
          <cell r="G7">
            <v>0.222203837346133</v>
          </cell>
          <cell r="H7">
            <v>0</v>
          </cell>
          <cell r="I7">
            <v>52.018999999999998</v>
          </cell>
          <cell r="J7">
            <v>0</v>
          </cell>
          <cell r="K7">
            <v>9.5299999999999996E-2</v>
          </cell>
          <cell r="L7">
            <v>-0.23</v>
          </cell>
          <cell r="M7">
            <v>27.841999999999999</v>
          </cell>
          <cell r="N7">
            <v>-3.1300000000000001E-2</v>
          </cell>
          <cell r="O7">
            <v>10.0216423598388</v>
          </cell>
          <cell r="P7">
            <v>0</v>
          </cell>
          <cell r="Q7">
            <v>105.150279705492</v>
          </cell>
          <cell r="R7">
            <v>0</v>
          </cell>
          <cell r="U7">
            <v>10.0216423598388</v>
          </cell>
          <cell r="W7" t="str">
            <v>NM</v>
          </cell>
        </row>
        <row r="8">
          <cell r="B8" t="str">
            <v>Splunk Inc.</v>
          </cell>
          <cell r="C8">
            <v>0</v>
          </cell>
          <cell r="D8">
            <v>4472.53701</v>
          </cell>
          <cell r="E8">
            <v>302.62299999999999</v>
          </cell>
          <cell r="F8">
            <v>0</v>
          </cell>
          <cell r="G8">
            <v>0.63853471960155805</v>
          </cell>
          <cell r="H8">
            <v>0</v>
          </cell>
          <cell r="I8">
            <v>-71.614999999999995</v>
          </cell>
          <cell r="J8">
            <v>0</v>
          </cell>
          <cell r="K8">
            <v>-0.2366</v>
          </cell>
          <cell r="L8">
            <v>-1.1399999999999999</v>
          </cell>
          <cell r="M8">
            <v>64.540000000000006</v>
          </cell>
          <cell r="N8">
            <v>-0.1545</v>
          </cell>
          <cell r="O8">
            <v>14.779236905324399</v>
          </cell>
          <cell r="P8">
            <v>0</v>
          </cell>
          <cell r="Q8" t="str">
            <v>NA</v>
          </cell>
          <cell r="R8">
            <v>0</v>
          </cell>
          <cell r="U8">
            <v>14.779236905324399</v>
          </cell>
          <cell r="W8" t="str">
            <v>NM</v>
          </cell>
        </row>
        <row r="9">
          <cell r="B9" t="str">
            <v>FireEye Inc</v>
          </cell>
          <cell r="C9">
            <v>0</v>
          </cell>
          <cell r="D9">
            <v>4294.192</v>
          </cell>
          <cell r="E9">
            <v>161.55199999999999</v>
          </cell>
          <cell r="F9">
            <v>0</v>
          </cell>
          <cell r="G9" t="str">
            <v>--</v>
          </cell>
          <cell r="H9">
            <v>0</v>
          </cell>
          <cell r="I9">
            <v>-151.46</v>
          </cell>
          <cell r="J9">
            <v>0</v>
          </cell>
          <cell r="K9">
            <v>-0.9375</v>
          </cell>
          <cell r="L9">
            <v>-0.17</v>
          </cell>
          <cell r="M9">
            <v>-127.322</v>
          </cell>
          <cell r="N9">
            <v>-0.22900000000000001</v>
          </cell>
          <cell r="O9">
            <v>26.5808656036446</v>
          </cell>
          <cell r="P9">
            <v>0</v>
          </cell>
          <cell r="Q9" t="str">
            <v>NA</v>
          </cell>
          <cell r="R9">
            <v>0</v>
          </cell>
          <cell r="U9" t="str">
            <v>NM</v>
          </cell>
          <cell r="W9" t="str">
            <v>NM</v>
          </cell>
        </row>
        <row r="10">
          <cell r="B10" t="str">
            <v>Ultimate Software Group Inc.</v>
          </cell>
          <cell r="C10">
            <v>0</v>
          </cell>
          <cell r="D10">
            <v>4258.7288600000002</v>
          </cell>
          <cell r="E10">
            <v>410.39699999999999</v>
          </cell>
          <cell r="F10">
            <v>0</v>
          </cell>
          <cell r="G10">
            <v>0.20509721591541499</v>
          </cell>
          <cell r="H10">
            <v>0</v>
          </cell>
          <cell r="I10">
            <v>59.271999999999998</v>
          </cell>
          <cell r="J10">
            <v>0</v>
          </cell>
          <cell r="K10">
            <v>0.1444</v>
          </cell>
          <cell r="L10">
            <v>0.97</v>
          </cell>
          <cell r="M10">
            <v>43.790999999999997</v>
          </cell>
          <cell r="N10">
            <v>0.1686</v>
          </cell>
          <cell r="O10">
            <v>10.3770954953374</v>
          </cell>
          <cell r="P10">
            <v>0</v>
          </cell>
          <cell r="Q10">
            <v>71.850601633148898</v>
          </cell>
          <cell r="R10">
            <v>0</v>
          </cell>
          <cell r="U10">
            <v>10.3770954953374</v>
          </cell>
          <cell r="W10" t="str">
            <v>NM</v>
          </cell>
        </row>
        <row r="11">
          <cell r="B11" t="str">
            <v>GrubHub Inc</v>
          </cell>
          <cell r="C11">
            <v>0</v>
          </cell>
          <cell r="D11">
            <v>2962.6837599999999</v>
          </cell>
          <cell r="E11">
            <v>137.143</v>
          </cell>
          <cell r="F11">
            <v>0</v>
          </cell>
          <cell r="G11" t="str">
            <v>--</v>
          </cell>
          <cell r="H11">
            <v>0</v>
          </cell>
          <cell r="I11">
            <v>28.359000000000002</v>
          </cell>
          <cell r="J11">
            <v>0</v>
          </cell>
          <cell r="K11">
            <v>0.20680000000000001</v>
          </cell>
          <cell r="L11">
            <v>-0.16</v>
          </cell>
          <cell r="M11">
            <v>36.39</v>
          </cell>
          <cell r="N11">
            <v>1.6299999999999999E-2</v>
          </cell>
          <cell r="O11">
            <v>21.602879913666801</v>
          </cell>
          <cell r="P11">
            <v>0</v>
          </cell>
          <cell r="Q11">
            <v>104.470671039176</v>
          </cell>
          <cell r="R11">
            <v>0</v>
          </cell>
          <cell r="U11" t="str">
            <v>NM</v>
          </cell>
          <cell r="W11" t="str">
            <v>NM</v>
          </cell>
        </row>
        <row r="12">
          <cell r="B12" t="str">
            <v>Tableau Software Inc</v>
          </cell>
          <cell r="C12">
            <v>0</v>
          </cell>
          <cell r="D12">
            <v>2263.91995</v>
          </cell>
          <cell r="E12">
            <v>232.44</v>
          </cell>
          <cell r="F12">
            <v>0</v>
          </cell>
          <cell r="G12" t="str">
            <v>--</v>
          </cell>
          <cell r="H12">
            <v>0</v>
          </cell>
          <cell r="I12">
            <v>10.569000000000001</v>
          </cell>
          <cell r="J12">
            <v>0</v>
          </cell>
          <cell r="K12">
            <v>4.5499999999999999E-2</v>
          </cell>
          <cell r="L12">
            <v>-1.03</v>
          </cell>
          <cell r="M12">
            <v>20.117999999999999</v>
          </cell>
          <cell r="N12">
            <v>5.5599999999999997E-2</v>
          </cell>
          <cell r="O12">
            <v>9.7398036052314598</v>
          </cell>
          <cell r="P12">
            <v>0</v>
          </cell>
          <cell r="Q12">
            <v>214.20379884568101</v>
          </cell>
          <cell r="R12">
            <v>0</v>
          </cell>
          <cell r="U12">
            <v>9.7398036052314598</v>
          </cell>
          <cell r="W12" t="str">
            <v>NM</v>
          </cell>
        </row>
        <row r="13">
          <cell r="B13" t="str">
            <v>Manhattan Associates Inc.</v>
          </cell>
          <cell r="C13">
            <v>0</v>
          </cell>
          <cell r="D13">
            <v>2044.0190600000001</v>
          </cell>
          <cell r="E13">
            <v>414.51799999999997</v>
          </cell>
          <cell r="F13">
            <v>0</v>
          </cell>
          <cell r="G13">
            <v>0.102969857300762</v>
          </cell>
          <cell r="H13">
            <v>0</v>
          </cell>
          <cell r="I13">
            <v>107.11199999999999</v>
          </cell>
          <cell r="J13">
            <v>0</v>
          </cell>
          <cell r="K13">
            <v>0.25840000000000002</v>
          </cell>
          <cell r="L13">
            <v>-0.73</v>
          </cell>
          <cell r="M13">
            <v>84.647000000000006</v>
          </cell>
          <cell r="N13">
            <v>0.39229999999999998</v>
          </cell>
          <cell r="O13">
            <v>4.9310743079914499</v>
          </cell>
          <cell r="P13">
            <v>0</v>
          </cell>
          <cell r="Q13">
            <v>19.083007132720901</v>
          </cell>
          <cell r="R13">
            <v>0</v>
          </cell>
          <cell r="U13">
            <v>4.9310743079914499</v>
          </cell>
          <cell r="W13">
            <v>19.083007132720901</v>
          </cell>
        </row>
        <row r="14">
          <cell r="B14" t="str">
            <v>Demandware Inc</v>
          </cell>
          <cell r="C14">
            <v>0</v>
          </cell>
          <cell r="D14">
            <v>1643.5041900000001</v>
          </cell>
          <cell r="E14">
            <v>103.736</v>
          </cell>
          <cell r="F14">
            <v>0</v>
          </cell>
          <cell r="G14">
            <v>0.39765262685962</v>
          </cell>
          <cell r="H14">
            <v>0</v>
          </cell>
          <cell r="I14">
            <v>-15.875999999999999</v>
          </cell>
          <cell r="J14">
            <v>0</v>
          </cell>
          <cell r="K14">
            <v>-0.153</v>
          </cell>
          <cell r="L14">
            <v>-1.06</v>
          </cell>
          <cell r="M14">
            <v>3.4870000000000001</v>
          </cell>
          <cell r="N14">
            <v>-0.1179</v>
          </cell>
          <cell r="O14">
            <v>15.843142110742701</v>
          </cell>
          <cell r="P14">
            <v>0</v>
          </cell>
          <cell r="Q14" t="str">
            <v>NA</v>
          </cell>
          <cell r="R14">
            <v>0</v>
          </cell>
          <cell r="U14" t="str">
            <v>NM</v>
          </cell>
          <cell r="V14">
            <v>0</v>
          </cell>
          <cell r="W14" t="str">
            <v>NM</v>
          </cell>
          <cell r="X14">
            <v>0</v>
          </cell>
          <cell r="Y14">
            <v>0</v>
          </cell>
          <cell r="Z14">
            <v>0</v>
          </cell>
          <cell r="AA14">
            <v>0</v>
          </cell>
          <cell r="AB14">
            <v>0</v>
          </cell>
        </row>
        <row r="15">
          <cell r="B15" t="str">
            <v>Coupons.Com Inc</v>
          </cell>
          <cell r="C15">
            <v>0</v>
          </cell>
          <cell r="D15">
            <v>1337.91428</v>
          </cell>
          <cell r="E15">
            <v>167.892</v>
          </cell>
          <cell r="F15">
            <v>0</v>
          </cell>
          <cell r="G15" t="str">
            <v>--</v>
          </cell>
          <cell r="H15">
            <v>0</v>
          </cell>
          <cell r="I15">
            <v>-3.4369999999999998</v>
          </cell>
          <cell r="J15">
            <v>0</v>
          </cell>
          <cell r="K15">
            <v>-2.0500000000000001E-2</v>
          </cell>
          <cell r="L15">
            <v>3.74</v>
          </cell>
          <cell r="M15">
            <v>-28.643000000000001</v>
          </cell>
          <cell r="N15">
            <v>-0.16320000000000001</v>
          </cell>
          <cell r="O15">
            <v>7.9688983394086703</v>
          </cell>
          <cell r="P15">
            <v>0</v>
          </cell>
          <cell r="Q15" t="str">
            <v>NA</v>
          </cell>
          <cell r="R15">
            <v>0</v>
          </cell>
          <cell r="U15">
            <v>7.9688983394086703</v>
          </cell>
          <cell r="V15">
            <v>0</v>
          </cell>
          <cell r="W15" t="str">
            <v>NM</v>
          </cell>
          <cell r="X15">
            <v>0</v>
          </cell>
          <cell r="Y15">
            <v>0</v>
          </cell>
          <cell r="Z15">
            <v>0</v>
          </cell>
          <cell r="AA15">
            <v>0</v>
          </cell>
          <cell r="AB15">
            <v>0</v>
          </cell>
        </row>
        <row r="16">
          <cell r="B16" t="str">
            <v>RealPage Inc.</v>
          </cell>
          <cell r="C16">
            <v>0</v>
          </cell>
          <cell r="D16">
            <v>1155.1422</v>
          </cell>
          <cell r="E16">
            <v>377.02199999999999</v>
          </cell>
          <cell r="F16">
            <v>0</v>
          </cell>
          <cell r="G16">
            <v>0.25875906603572102</v>
          </cell>
          <cell r="H16">
            <v>0</v>
          </cell>
          <cell r="I16">
            <v>53.304000000000002</v>
          </cell>
          <cell r="J16">
            <v>0</v>
          </cell>
          <cell r="K16">
            <v>0.1414</v>
          </cell>
          <cell r="L16">
            <v>-0.34</v>
          </cell>
          <cell r="M16">
            <v>35.33</v>
          </cell>
          <cell r="N16">
            <v>7.2700000000000001E-2</v>
          </cell>
          <cell r="O16">
            <v>3.0638588729570202</v>
          </cell>
          <cell r="P16">
            <v>0</v>
          </cell>
          <cell r="Q16">
            <v>21.670835209365201</v>
          </cell>
          <cell r="R16">
            <v>0</v>
          </cell>
          <cell r="U16">
            <v>3.0638588729570202</v>
          </cell>
          <cell r="V16">
            <v>0</v>
          </cell>
          <cell r="W16">
            <v>21.670835209365201</v>
          </cell>
          <cell r="X16">
            <v>0</v>
          </cell>
          <cell r="Y16">
            <v>0</v>
          </cell>
          <cell r="Z16">
            <v>0</v>
          </cell>
          <cell r="AA16">
            <v>0</v>
          </cell>
          <cell r="AB16">
            <v>0</v>
          </cell>
        </row>
        <row r="17">
          <cell r="B17" t="str">
            <v>FleetMatics Group PLC</v>
          </cell>
          <cell r="C17">
            <v>0</v>
          </cell>
          <cell r="D17">
            <v>1108.7023999999999</v>
          </cell>
          <cell r="E17">
            <v>177.35</v>
          </cell>
          <cell r="F17">
            <v>0</v>
          </cell>
          <cell r="G17">
            <v>0.39675819535543999</v>
          </cell>
          <cell r="H17">
            <v>0</v>
          </cell>
          <cell r="I17">
            <v>44.776000000000003</v>
          </cell>
          <cell r="J17">
            <v>0</v>
          </cell>
          <cell r="K17">
            <v>0.2525</v>
          </cell>
          <cell r="L17">
            <v>-0.56000000000000005</v>
          </cell>
          <cell r="M17">
            <v>5.5129999999999999</v>
          </cell>
          <cell r="N17">
            <v>0.18870000000000001</v>
          </cell>
          <cell r="O17">
            <v>6.2514936566112196</v>
          </cell>
          <cell r="P17">
            <v>0</v>
          </cell>
          <cell r="Q17">
            <v>24.761086296230101</v>
          </cell>
          <cell r="R17">
            <v>0</v>
          </cell>
          <cell r="U17">
            <v>6.2514936566112196</v>
          </cell>
          <cell r="V17">
            <v>0</v>
          </cell>
          <cell r="W17">
            <v>24.761086296230101</v>
          </cell>
          <cell r="X17">
            <v>0</v>
          </cell>
          <cell r="Y17">
            <v>0</v>
          </cell>
          <cell r="Z17">
            <v>0</v>
          </cell>
          <cell r="AA17">
            <v>0</v>
          </cell>
          <cell r="AB17">
            <v>0</v>
          </cell>
        </row>
        <row r="18">
          <cell r="B18" t="str">
            <v>Paylocity Holding Corp</v>
          </cell>
          <cell r="C18">
            <v>0</v>
          </cell>
          <cell r="D18">
            <v>1058.6458</v>
          </cell>
          <cell r="E18">
            <v>108.687</v>
          </cell>
          <cell r="F18">
            <v>0</v>
          </cell>
          <cell r="G18">
            <v>0.402378480363972</v>
          </cell>
          <cell r="H18">
            <v>0</v>
          </cell>
          <cell r="I18">
            <v>-2.8769999999999998</v>
          </cell>
          <cell r="J18">
            <v>0</v>
          </cell>
          <cell r="K18">
            <v>-2.6499999999999999E-2</v>
          </cell>
          <cell r="L18">
            <v>-0.87</v>
          </cell>
          <cell r="M18">
            <v>0.53200000000000003</v>
          </cell>
          <cell r="N18">
            <v>-0.2203</v>
          </cell>
          <cell r="O18">
            <v>9.7403166892084592</v>
          </cell>
          <cell r="P18">
            <v>0</v>
          </cell>
          <cell r="Q18" t="str">
            <v>NA</v>
          </cell>
          <cell r="R18">
            <v>0</v>
          </cell>
          <cell r="U18">
            <v>9.7403166892084592</v>
          </cell>
          <cell r="W18" t="str">
            <v>NM</v>
          </cell>
        </row>
        <row r="19">
          <cell r="B19" t="str">
            <v>Marketo Inc</v>
          </cell>
          <cell r="C19">
            <v>0</v>
          </cell>
          <cell r="D19">
            <v>1050.6970200000001</v>
          </cell>
          <cell r="E19">
            <v>95.918000000000006</v>
          </cell>
          <cell r="F19">
            <v>0</v>
          </cell>
          <cell r="G19" t="str">
            <v>--</v>
          </cell>
          <cell r="H19">
            <v>0</v>
          </cell>
          <cell r="I19">
            <v>-42.185000000000002</v>
          </cell>
          <cell r="J19">
            <v>0</v>
          </cell>
          <cell r="K19">
            <v>-0.43980000000000002</v>
          </cell>
          <cell r="L19">
            <v>-0.94</v>
          </cell>
          <cell r="M19">
            <v>-24.228999999999999</v>
          </cell>
          <cell r="N19">
            <v>-0.55069999999999997</v>
          </cell>
          <cell r="O19">
            <v>10.9541172668321</v>
          </cell>
          <cell r="P19">
            <v>0</v>
          </cell>
          <cell r="Q19" t="str">
            <v>NA</v>
          </cell>
          <cell r="R19">
            <v>0</v>
          </cell>
          <cell r="U19">
            <v>10.9541172668321</v>
          </cell>
          <cell r="W19" t="str">
            <v>NM</v>
          </cell>
        </row>
        <row r="20">
          <cell r="B20" t="str">
            <v>Cvent Inc</v>
          </cell>
          <cell r="C20">
            <v>0</v>
          </cell>
          <cell r="D20">
            <v>913.41869999999994</v>
          </cell>
          <cell r="E20">
            <v>111.136</v>
          </cell>
          <cell r="F20">
            <v>0</v>
          </cell>
          <cell r="G20" t="str">
            <v>--</v>
          </cell>
          <cell r="H20">
            <v>0</v>
          </cell>
          <cell r="I20">
            <v>5.83</v>
          </cell>
          <cell r="J20">
            <v>0</v>
          </cell>
          <cell r="K20">
            <v>5.2499999999999998E-2</v>
          </cell>
          <cell r="L20">
            <v>-1.1200000000000001</v>
          </cell>
          <cell r="M20">
            <v>10.723000000000001</v>
          </cell>
          <cell r="N20">
            <v>-4.0300000000000002E-2</v>
          </cell>
          <cell r="O20">
            <v>8.2189272602937002</v>
          </cell>
          <cell r="P20">
            <v>0</v>
          </cell>
          <cell r="Q20">
            <v>156.67559176672401</v>
          </cell>
          <cell r="R20">
            <v>0</v>
          </cell>
          <cell r="U20">
            <v>8.2189272602937002</v>
          </cell>
          <cell r="W20" t="str">
            <v>NM</v>
          </cell>
        </row>
        <row r="21">
          <cell r="B21" t="str">
            <v>RetailMeNot Inc</v>
          </cell>
          <cell r="C21">
            <v>0</v>
          </cell>
          <cell r="D21">
            <v>879.92535999999996</v>
          </cell>
          <cell r="E21">
            <v>209.83600000000001</v>
          </cell>
          <cell r="F21">
            <v>0</v>
          </cell>
          <cell r="G21" t="str">
            <v>--</v>
          </cell>
          <cell r="H21">
            <v>0</v>
          </cell>
          <cell r="I21">
            <v>66.840999999999994</v>
          </cell>
          <cell r="J21">
            <v>0</v>
          </cell>
          <cell r="K21">
            <v>0.31850000000000001</v>
          </cell>
          <cell r="L21">
            <v>-0.28999999999999998</v>
          </cell>
          <cell r="M21">
            <v>23.247</v>
          </cell>
          <cell r="N21">
            <v>2.87E-2</v>
          </cell>
          <cell r="O21">
            <v>4.1933956041861302</v>
          </cell>
          <cell r="P21">
            <v>0</v>
          </cell>
          <cell r="Q21">
            <v>13.164455349261701</v>
          </cell>
          <cell r="R21">
            <v>0</v>
          </cell>
          <cell r="U21">
            <v>4.1933956041861302</v>
          </cell>
          <cell r="W21">
            <v>13.164455349261701</v>
          </cell>
        </row>
        <row r="22">
          <cell r="B22" t="str">
            <v>The Rubicon Project Inc</v>
          </cell>
          <cell r="C22">
            <v>0</v>
          </cell>
          <cell r="D22">
            <v>385.39463999999998</v>
          </cell>
          <cell r="E22">
            <v>83.83</v>
          </cell>
          <cell r="F22">
            <v>0</v>
          </cell>
          <cell r="G22" t="str">
            <v>--</v>
          </cell>
          <cell r="H22">
            <v>0</v>
          </cell>
          <cell r="I22">
            <v>3.83</v>
          </cell>
          <cell r="J22">
            <v>0</v>
          </cell>
          <cell r="K22">
            <v>4.5699999999999998E-2</v>
          </cell>
          <cell r="L22">
            <v>1.63</v>
          </cell>
          <cell r="M22">
            <v>10.381</v>
          </cell>
          <cell r="N22">
            <v>-0.54139999999999999</v>
          </cell>
          <cell r="O22">
            <v>4.5973355600620298</v>
          </cell>
          <cell r="P22">
            <v>0</v>
          </cell>
          <cell r="Q22">
            <v>100.625232375979</v>
          </cell>
          <cell r="R22">
            <v>0</v>
          </cell>
          <cell r="T22">
            <v>0</v>
          </cell>
          <cell r="U22">
            <v>4.5973355600620298</v>
          </cell>
          <cell r="W22" t="str">
            <v>NM</v>
          </cell>
        </row>
        <row r="23">
          <cell r="B23" t="str">
            <v>ChannelAdvisor Corp</v>
          </cell>
          <cell r="C23">
            <v>0</v>
          </cell>
          <cell r="D23">
            <v>295.53575000000001</v>
          </cell>
          <cell r="E23">
            <v>68.004000000000005</v>
          </cell>
          <cell r="F23">
            <v>0</v>
          </cell>
          <cell r="G23" t="str">
            <v>--</v>
          </cell>
          <cell r="H23">
            <v>0</v>
          </cell>
          <cell r="I23">
            <v>-10.643000000000001</v>
          </cell>
          <cell r="J23">
            <v>0</v>
          </cell>
          <cell r="K23">
            <v>-0.1565</v>
          </cell>
          <cell r="L23">
            <v>-0.86</v>
          </cell>
          <cell r="M23">
            <v>-9.0250000000000004</v>
          </cell>
          <cell r="N23">
            <v>-0.99170000000000003</v>
          </cell>
          <cell r="O23">
            <v>4.3458583318628303</v>
          </cell>
          <cell r="P23">
            <v>0</v>
          </cell>
          <cell r="Q23" t="str">
            <v>NA</v>
          </cell>
          <cell r="R23">
            <v>0</v>
          </cell>
          <cell r="T23">
            <v>0</v>
          </cell>
          <cell r="U23">
            <v>4.3458583318628303</v>
          </cell>
          <cell r="W23" t="str">
            <v>NM</v>
          </cell>
        </row>
        <row r="24">
          <cell r="B24">
            <v>0</v>
          </cell>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T24">
            <v>0</v>
          </cell>
          <cell r="U24">
            <v>0</v>
          </cell>
        </row>
        <row r="25">
          <cell r="B25">
            <v>0</v>
          </cell>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row>
        <row r="26">
          <cell r="B26" t="str">
            <v>Low</v>
          </cell>
          <cell r="C26">
            <v>0</v>
          </cell>
          <cell r="D26">
            <v>0</v>
          </cell>
          <cell r="E26">
            <v>0</v>
          </cell>
          <cell r="F26">
            <v>0</v>
          </cell>
          <cell r="G26">
            <v>0</v>
          </cell>
          <cell r="H26">
            <v>0</v>
          </cell>
          <cell r="I26">
            <v>0</v>
          </cell>
          <cell r="J26">
            <v>0</v>
          </cell>
          <cell r="K26">
            <v>0</v>
          </cell>
          <cell r="L26">
            <v>0</v>
          </cell>
          <cell r="M26">
            <v>0</v>
          </cell>
          <cell r="N26">
            <v>0</v>
          </cell>
          <cell r="O26">
            <v>3.0638588729570202</v>
          </cell>
          <cell r="P26">
            <v>0</v>
          </cell>
          <cell r="Q26">
            <v>13.164455349261701</v>
          </cell>
          <cell r="R26">
            <v>0</v>
          </cell>
          <cell r="U26">
            <v>3.0638588729570202</v>
          </cell>
          <cell r="V26">
            <v>0</v>
          </cell>
          <cell r="W26">
            <v>13.164455349261701</v>
          </cell>
        </row>
        <row r="27">
          <cell r="B27" t="str">
            <v>Mean</v>
          </cell>
          <cell r="C27">
            <v>0</v>
          </cell>
          <cell r="D27">
            <v>0</v>
          </cell>
          <cell r="E27">
            <v>0</v>
          </cell>
          <cell r="F27">
            <v>0</v>
          </cell>
          <cell r="G27">
            <v>0</v>
          </cell>
          <cell r="H27">
            <v>0</v>
          </cell>
          <cell r="I27">
            <v>0</v>
          </cell>
          <cell r="J27">
            <v>0</v>
          </cell>
          <cell r="K27">
            <v>0</v>
          </cell>
          <cell r="L27">
            <v>0</v>
          </cell>
          <cell r="M27">
            <v>0</v>
          </cell>
          <cell r="N27">
            <v>0</v>
          </cell>
          <cell r="O27">
            <v>8.3042638619659801</v>
          </cell>
          <cell r="P27">
            <v>0</v>
          </cell>
          <cell r="Q27">
            <v>19.669845996894502</v>
          </cell>
          <cell r="R27">
            <v>0</v>
          </cell>
          <cell r="U27">
            <v>8.3042638619659801</v>
          </cell>
          <cell r="V27">
            <v>0</v>
          </cell>
          <cell r="W27">
            <v>19.669845996894502</v>
          </cell>
        </row>
        <row r="28">
          <cell r="B28" t="str">
            <v>Median</v>
          </cell>
          <cell r="C28">
            <v>0</v>
          </cell>
          <cell r="D28">
            <v>0</v>
          </cell>
          <cell r="E28">
            <v>0</v>
          </cell>
          <cell r="F28">
            <v>0</v>
          </cell>
          <cell r="G28">
            <v>0</v>
          </cell>
          <cell r="H28">
            <v>0</v>
          </cell>
          <cell r="I28">
            <v>0</v>
          </cell>
          <cell r="J28">
            <v>0</v>
          </cell>
          <cell r="K28">
            <v>0</v>
          </cell>
          <cell r="L28">
            <v>0</v>
          </cell>
          <cell r="M28">
            <v>0</v>
          </cell>
          <cell r="N28">
            <v>0</v>
          </cell>
          <cell r="O28">
            <v>8.7411389199955707</v>
          </cell>
          <cell r="P28">
            <v>0</v>
          </cell>
          <cell r="Q28">
            <v>20.376921171043001</v>
          </cell>
          <cell r="R28">
            <v>0</v>
          </cell>
          <cell r="U28">
            <v>8.7411389199955707</v>
          </cell>
          <cell r="V28">
            <v>0</v>
          </cell>
          <cell r="W28">
            <v>20.376921171043001</v>
          </cell>
        </row>
        <row r="29">
          <cell r="B29" t="str">
            <v>High</v>
          </cell>
          <cell r="C29">
            <v>0</v>
          </cell>
          <cell r="D29">
            <v>0</v>
          </cell>
          <cell r="E29">
            <v>0</v>
          </cell>
          <cell r="F29">
            <v>0</v>
          </cell>
          <cell r="G29">
            <v>0</v>
          </cell>
          <cell r="H29">
            <v>0</v>
          </cell>
          <cell r="I29">
            <v>0</v>
          </cell>
          <cell r="J29">
            <v>0</v>
          </cell>
          <cell r="K29">
            <v>0</v>
          </cell>
          <cell r="L29">
            <v>0</v>
          </cell>
          <cell r="M29">
            <v>0</v>
          </cell>
          <cell r="N29">
            <v>0</v>
          </cell>
          <cell r="O29">
            <v>14.779236905324399</v>
          </cell>
          <cell r="P29">
            <v>0</v>
          </cell>
          <cell r="Q29">
            <v>24.761086296230101</v>
          </cell>
          <cell r="R29">
            <v>0</v>
          </cell>
          <cell r="U29">
            <v>14.779236905324399</v>
          </cell>
          <cell r="V29">
            <v>0</v>
          </cell>
          <cell r="W29">
            <v>24.761086296230101</v>
          </cell>
        </row>
        <row r="30">
          <cell r="B30">
            <v>0</v>
          </cell>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row>
        <row r="31">
          <cell r="B31" t="str">
            <v>Private Company Comparables (Includes 30% Liquidity Discount)</v>
          </cell>
          <cell r="C31">
            <v>0</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row>
        <row r="32">
          <cell r="B32">
            <v>0</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row>
        <row r="33">
          <cell r="B33" t="str">
            <v>Low</v>
          </cell>
          <cell r="C33">
            <v>0</v>
          </cell>
          <cell r="D33">
            <v>0</v>
          </cell>
          <cell r="E33">
            <v>0</v>
          </cell>
          <cell r="F33">
            <v>0</v>
          </cell>
          <cell r="G33">
            <v>0</v>
          </cell>
          <cell r="H33">
            <v>0</v>
          </cell>
          <cell r="I33">
            <v>0</v>
          </cell>
          <cell r="J33">
            <v>0</v>
          </cell>
          <cell r="K33">
            <v>0</v>
          </cell>
          <cell r="L33">
            <v>0</v>
          </cell>
          <cell r="M33">
            <v>0</v>
          </cell>
          <cell r="N33">
            <v>0</v>
          </cell>
          <cell r="O33">
            <v>2.14470121106991</v>
          </cell>
          <cell r="P33">
            <v>0</v>
          </cell>
          <cell r="Q33">
            <v>9.2151187444831795</v>
          </cell>
          <cell r="R33">
            <v>0</v>
          </cell>
          <cell r="T33">
            <v>0.7</v>
          </cell>
        </row>
        <row r="34">
          <cell r="B34" t="str">
            <v>Mean</v>
          </cell>
          <cell r="C34">
            <v>0</v>
          </cell>
          <cell r="D34">
            <v>0</v>
          </cell>
          <cell r="E34">
            <v>0</v>
          </cell>
          <cell r="F34">
            <v>0</v>
          </cell>
          <cell r="G34">
            <v>0</v>
          </cell>
          <cell r="H34">
            <v>0</v>
          </cell>
          <cell r="I34">
            <v>0</v>
          </cell>
          <cell r="J34">
            <v>0</v>
          </cell>
          <cell r="K34">
            <v>0</v>
          </cell>
          <cell r="L34">
            <v>0</v>
          </cell>
          <cell r="M34">
            <v>0</v>
          </cell>
          <cell r="N34">
            <v>0</v>
          </cell>
          <cell r="O34">
            <v>5.8129847033761903</v>
          </cell>
          <cell r="P34">
            <v>0</v>
          </cell>
          <cell r="Q34">
            <v>13.7688921978261</v>
          </cell>
          <cell r="R34">
            <v>0</v>
          </cell>
        </row>
        <row r="35">
          <cell r="B35" t="str">
            <v>Median</v>
          </cell>
          <cell r="C35">
            <v>0</v>
          </cell>
          <cell r="D35">
            <v>0</v>
          </cell>
          <cell r="E35">
            <v>0</v>
          </cell>
          <cell r="F35">
            <v>0</v>
          </cell>
          <cell r="G35">
            <v>0</v>
          </cell>
          <cell r="H35">
            <v>0</v>
          </cell>
          <cell r="I35">
            <v>0</v>
          </cell>
          <cell r="J35">
            <v>0</v>
          </cell>
          <cell r="K35">
            <v>0</v>
          </cell>
          <cell r="L35">
            <v>0</v>
          </cell>
          <cell r="M35">
            <v>0</v>
          </cell>
          <cell r="N35">
            <v>0</v>
          </cell>
          <cell r="O35">
            <v>6.1187972439968998</v>
          </cell>
          <cell r="P35">
            <v>0</v>
          </cell>
          <cell r="Q35">
            <v>14.2638448197301</v>
          </cell>
          <cell r="R35">
            <v>0</v>
          </cell>
        </row>
        <row r="36">
          <cell r="B36" t="str">
            <v>High</v>
          </cell>
          <cell r="C36">
            <v>0</v>
          </cell>
          <cell r="D36">
            <v>0</v>
          </cell>
          <cell r="E36">
            <v>0</v>
          </cell>
          <cell r="F36">
            <v>0</v>
          </cell>
          <cell r="G36">
            <v>0</v>
          </cell>
          <cell r="H36">
            <v>0</v>
          </cell>
          <cell r="I36">
            <v>0</v>
          </cell>
          <cell r="J36">
            <v>0</v>
          </cell>
          <cell r="K36">
            <v>0</v>
          </cell>
          <cell r="L36">
            <v>0</v>
          </cell>
          <cell r="M36">
            <v>0</v>
          </cell>
          <cell r="N36">
            <v>0</v>
          </cell>
          <cell r="O36">
            <v>10.345465833727101</v>
          </cell>
          <cell r="P36">
            <v>0</v>
          </cell>
          <cell r="Q36">
            <v>17.3327604073611</v>
          </cell>
          <cell r="R36">
            <v>0</v>
          </cell>
        </row>
      </sheetData>
      <sheetData sheetId="17"/>
      <sheetData sheetId="18">
        <row r="2">
          <cell r="B2">
            <v>0</v>
          </cell>
          <cell r="C2">
            <v>0</v>
          </cell>
          <cell r="D2">
            <v>0</v>
          </cell>
          <cell r="E2">
            <v>0</v>
          </cell>
          <cell r="F2">
            <v>0</v>
          </cell>
          <cell r="G2">
            <v>0</v>
          </cell>
          <cell r="H2" t="str">
            <v>Acquisition</v>
          </cell>
          <cell r="I2">
            <v>0</v>
          </cell>
          <cell r="J2" t="str">
            <v>Implied</v>
          </cell>
          <cell r="K2">
            <v>0</v>
          </cell>
          <cell r="L2" t="str">
            <v>Implied EV /</v>
          </cell>
          <cell r="M2">
            <v>0</v>
          </cell>
          <cell r="N2">
            <v>0</v>
          </cell>
          <cell r="O2">
            <v>0</v>
          </cell>
          <cell r="P2">
            <v>0</v>
          </cell>
          <cell r="Q2">
            <v>0</v>
          </cell>
        </row>
        <row r="3">
          <cell r="B3" t="str">
            <v>Target</v>
          </cell>
          <cell r="C3">
            <v>0</v>
          </cell>
          <cell r="D3" t="str">
            <v>Target Sector</v>
          </cell>
          <cell r="E3">
            <v>0</v>
          </cell>
          <cell r="F3" t="str">
            <v>Acquirer</v>
          </cell>
          <cell r="G3">
            <v>0</v>
          </cell>
          <cell r="H3" t="str">
            <v>Date</v>
          </cell>
          <cell r="I3">
            <v>0</v>
          </cell>
          <cell r="J3" t="str">
            <v>EV</v>
          </cell>
          <cell r="K3">
            <v>0</v>
          </cell>
          <cell r="L3" t="str">
            <v>Sales</v>
          </cell>
          <cell r="M3">
            <v>0</v>
          </cell>
          <cell r="N3" t="str">
            <v>EBITDA</v>
          </cell>
          <cell r="O3">
            <v>0</v>
          </cell>
          <cell r="P3" t="str">
            <v>EBIT</v>
          </cell>
          <cell r="Q3">
            <v>0</v>
          </cell>
        </row>
        <row r="4">
          <cell r="B4" t="str">
            <v>Intuitive limited</v>
          </cell>
          <cell r="C4">
            <v>0</v>
          </cell>
          <cell r="D4" t="str">
            <v>B2B Software for Travel</v>
          </cell>
          <cell r="E4">
            <v>0</v>
          </cell>
          <cell r="F4" t="str">
            <v>NVM Private Equity</v>
          </cell>
          <cell r="G4">
            <v>0</v>
          </cell>
          <cell r="H4">
            <v>41438</v>
          </cell>
          <cell r="I4">
            <v>0</v>
          </cell>
          <cell r="J4">
            <v>11</v>
          </cell>
          <cell r="K4">
            <v>0</v>
          </cell>
          <cell r="L4">
            <v>1.6</v>
          </cell>
          <cell r="M4">
            <v>0</v>
          </cell>
          <cell r="N4">
            <v>4.2</v>
          </cell>
          <cell r="O4">
            <v>0</v>
          </cell>
          <cell r="P4">
            <v>4.2</v>
          </cell>
          <cell r="Q4">
            <v>0</v>
          </cell>
        </row>
        <row r="5">
          <cell r="B5" t="str">
            <v>Retaliz Ltd</v>
          </cell>
          <cell r="C5">
            <v>0</v>
          </cell>
          <cell r="D5" t="str">
            <v>B2B Software for Retail</v>
          </cell>
          <cell r="E5">
            <v>0</v>
          </cell>
          <cell r="F5" t="str">
            <v>NCR Corp</v>
          </cell>
          <cell r="G5">
            <v>0</v>
          </cell>
          <cell r="H5">
            <v>41263</v>
          </cell>
          <cell r="I5">
            <v>0</v>
          </cell>
          <cell r="J5">
            <v>598.70000000000005</v>
          </cell>
          <cell r="K5">
            <v>0</v>
          </cell>
          <cell r="L5">
            <v>2.2999999999999998</v>
          </cell>
          <cell r="M5">
            <v>0</v>
          </cell>
          <cell r="N5">
            <v>24.8</v>
          </cell>
          <cell r="O5">
            <v>0</v>
          </cell>
          <cell r="P5">
            <v>36.700000000000003</v>
          </cell>
          <cell r="Q5">
            <v>0</v>
          </cell>
        </row>
        <row r="6">
          <cell r="B6" t="str">
            <v>JDA Software Group inc</v>
          </cell>
          <cell r="C6">
            <v>0</v>
          </cell>
          <cell r="D6" t="str">
            <v>B2B Software for Travel &amp; Other Sectors</v>
          </cell>
          <cell r="E6">
            <v>0</v>
          </cell>
          <cell r="F6" t="str">
            <v>Red Prairie Corp</v>
          </cell>
          <cell r="G6">
            <v>0</v>
          </cell>
          <cell r="H6">
            <v>41241</v>
          </cell>
          <cell r="I6">
            <v>0</v>
          </cell>
          <cell r="J6">
            <v>1795.7</v>
          </cell>
          <cell r="K6">
            <v>0</v>
          </cell>
          <cell r="L6">
            <v>2.6</v>
          </cell>
          <cell r="M6">
            <v>0</v>
          </cell>
          <cell r="N6">
            <v>10.1</v>
          </cell>
          <cell r="O6">
            <v>0</v>
          </cell>
          <cell r="P6">
            <v>15.1</v>
          </cell>
          <cell r="Q6">
            <v>0</v>
          </cell>
        </row>
        <row r="7">
          <cell r="B7" t="str">
            <v>TUI Infotec GmbH &amp; Co. KG</v>
          </cell>
          <cell r="C7">
            <v>0</v>
          </cell>
          <cell r="D7" t="str">
            <v>B2B Software for Tourism</v>
          </cell>
          <cell r="E7">
            <v>0</v>
          </cell>
          <cell r="F7" t="str">
            <v>TUI Travel</v>
          </cell>
          <cell r="G7">
            <v>0</v>
          </cell>
          <cell r="H7">
            <v>41214</v>
          </cell>
          <cell r="I7">
            <v>0</v>
          </cell>
          <cell r="J7">
            <v>35.299999999999997</v>
          </cell>
          <cell r="K7">
            <v>0</v>
          </cell>
          <cell r="L7">
            <v>0.4</v>
          </cell>
          <cell r="M7">
            <v>0</v>
          </cell>
          <cell r="N7" t="str">
            <v>NA</v>
          </cell>
          <cell r="O7">
            <v>0</v>
          </cell>
          <cell r="P7" t="str">
            <v>NA</v>
          </cell>
          <cell r="Q7">
            <v>0</v>
          </cell>
        </row>
        <row r="8">
          <cell r="B8" t="str">
            <v>Fara ASA</v>
          </cell>
          <cell r="C8">
            <v>0</v>
          </cell>
          <cell r="D8" t="str">
            <v>B2B Software for Transport</v>
          </cell>
          <cell r="E8">
            <v>0</v>
          </cell>
          <cell r="F8" t="str">
            <v>Datum AS</v>
          </cell>
          <cell r="G8">
            <v>0</v>
          </cell>
          <cell r="H8">
            <v>41180</v>
          </cell>
          <cell r="I8">
            <v>0</v>
          </cell>
          <cell r="J8">
            <v>21</v>
          </cell>
          <cell r="K8">
            <v>0</v>
          </cell>
          <cell r="L8">
            <v>0.7</v>
          </cell>
          <cell r="M8">
            <v>0</v>
          </cell>
          <cell r="N8">
            <v>23.7</v>
          </cell>
          <cell r="O8">
            <v>0</v>
          </cell>
          <cell r="P8">
            <v>27.8</v>
          </cell>
          <cell r="Q8">
            <v>0</v>
          </cell>
        </row>
        <row r="9">
          <cell r="B9" t="str">
            <v>Targus Information Corp</v>
          </cell>
          <cell r="C9">
            <v>0</v>
          </cell>
          <cell r="D9" t="str">
            <v>B2B  IT Services for Other Sectors</v>
          </cell>
          <cell r="E9">
            <v>0</v>
          </cell>
          <cell r="F9" t="str">
            <v>NeuStar Inc</v>
          </cell>
          <cell r="G9">
            <v>0</v>
          </cell>
          <cell r="H9">
            <v>41023</v>
          </cell>
          <cell r="I9">
            <v>0</v>
          </cell>
          <cell r="J9">
            <v>650</v>
          </cell>
          <cell r="K9">
            <v>0</v>
          </cell>
          <cell r="L9">
            <v>4.4000000000000004</v>
          </cell>
          <cell r="M9">
            <v>0</v>
          </cell>
          <cell r="N9">
            <v>11.6</v>
          </cell>
          <cell r="O9">
            <v>0</v>
          </cell>
          <cell r="P9">
            <v>12.4</v>
          </cell>
          <cell r="Q9">
            <v>0</v>
          </cell>
        </row>
        <row r="10">
          <cell r="B10" t="str">
            <v>Radiant Systems, Inc</v>
          </cell>
          <cell r="C10">
            <v>0</v>
          </cell>
          <cell r="D10" t="str">
            <v>B2B Software for Hospitality &amp; Retail</v>
          </cell>
          <cell r="E10">
            <v>0</v>
          </cell>
          <cell r="F10" t="str">
            <v>NCR Corp</v>
          </cell>
          <cell r="G10">
            <v>0</v>
          </cell>
          <cell r="H10">
            <v>41008</v>
          </cell>
          <cell r="I10">
            <v>0</v>
          </cell>
          <cell r="J10">
            <v>1139.0999999999999</v>
          </cell>
          <cell r="K10">
            <v>0</v>
          </cell>
          <cell r="L10">
            <v>3.1</v>
          </cell>
          <cell r="M10">
            <v>0</v>
          </cell>
          <cell r="N10">
            <v>20.7</v>
          </cell>
          <cell r="O10">
            <v>0</v>
          </cell>
          <cell r="P10" t="str">
            <v>NA</v>
          </cell>
          <cell r="Q10">
            <v>0</v>
          </cell>
        </row>
        <row r="11">
          <cell r="B11" t="str">
            <v>Lawson Software Inc</v>
          </cell>
          <cell r="C11">
            <v>0</v>
          </cell>
          <cell r="D11" t="str">
            <v>B2B Software for Enterprise</v>
          </cell>
          <cell r="E11">
            <v>0</v>
          </cell>
          <cell r="F11" t="str">
            <v>Golden Gate Capital; Infor Global</v>
          </cell>
          <cell r="G11">
            <v>0</v>
          </cell>
          <cell r="H11">
            <v>40996</v>
          </cell>
          <cell r="I11">
            <v>0</v>
          </cell>
          <cell r="J11">
            <v>1779.4</v>
          </cell>
          <cell r="K11">
            <v>0</v>
          </cell>
          <cell r="L11">
            <v>2.4</v>
          </cell>
          <cell r="M11">
            <v>0</v>
          </cell>
          <cell r="N11">
            <v>13.2</v>
          </cell>
          <cell r="O11">
            <v>0</v>
          </cell>
          <cell r="P11" t="str">
            <v>NA</v>
          </cell>
          <cell r="Q11">
            <v>0</v>
          </cell>
        </row>
        <row r="12">
          <cell r="B12" t="str">
            <v>Aldata Solutions oxj</v>
          </cell>
          <cell r="C12">
            <v>0</v>
          </cell>
          <cell r="D12" t="str">
            <v>B2B Software for Retail</v>
          </cell>
          <cell r="E12">
            <v>0</v>
          </cell>
          <cell r="F12" t="str">
            <v>Symphony Technology II-A LP</v>
          </cell>
          <cell r="G12">
            <v>0</v>
          </cell>
          <cell r="H12">
            <v>40857</v>
          </cell>
          <cell r="I12">
            <v>0</v>
          </cell>
          <cell r="J12">
            <v>53.9</v>
          </cell>
          <cell r="K12">
            <v>0</v>
          </cell>
          <cell r="L12">
            <v>0.5</v>
          </cell>
          <cell r="M12">
            <v>0</v>
          </cell>
          <cell r="N12">
            <v>21.6</v>
          </cell>
          <cell r="O12">
            <v>0</v>
          </cell>
          <cell r="P12" t="str">
            <v>NM</v>
          </cell>
          <cell r="Q12">
            <v>0</v>
          </cell>
        </row>
        <row r="13">
          <cell r="B13" t="str">
            <v>Mamut ASA</v>
          </cell>
          <cell r="C13">
            <v>0</v>
          </cell>
          <cell r="D13" t="str">
            <v>B2B Software for Enterprise</v>
          </cell>
          <cell r="E13">
            <v>0</v>
          </cell>
          <cell r="F13" t="str">
            <v>Visma AS</v>
          </cell>
          <cell r="G13">
            <v>0</v>
          </cell>
          <cell r="H13">
            <v>40827</v>
          </cell>
          <cell r="I13">
            <v>0</v>
          </cell>
          <cell r="J13">
            <v>166.1</v>
          </cell>
          <cell r="K13">
            <v>0</v>
          </cell>
          <cell r="L13">
            <v>1.8</v>
          </cell>
          <cell r="M13">
            <v>0</v>
          </cell>
          <cell r="N13">
            <v>10.199999999999999</v>
          </cell>
          <cell r="O13">
            <v>0</v>
          </cell>
          <cell r="P13">
            <v>32.1</v>
          </cell>
          <cell r="Q13">
            <v>0</v>
          </cell>
        </row>
        <row r="14">
          <cell r="B14" t="str">
            <v>Eppicor Software Corp</v>
          </cell>
          <cell r="C14">
            <v>0</v>
          </cell>
          <cell r="D14" t="str">
            <v>B2B Software for Enterprise</v>
          </cell>
          <cell r="E14">
            <v>0</v>
          </cell>
          <cell r="F14" t="str">
            <v>Apax Partners Worldwide LLP</v>
          </cell>
          <cell r="G14">
            <v>0</v>
          </cell>
          <cell r="H14">
            <v>40777</v>
          </cell>
          <cell r="I14">
            <v>0</v>
          </cell>
          <cell r="J14">
            <v>951.5</v>
          </cell>
          <cell r="K14">
            <v>0</v>
          </cell>
          <cell r="L14">
            <v>2.1</v>
          </cell>
          <cell r="M14">
            <v>0</v>
          </cell>
          <cell r="N14">
            <v>17.5</v>
          </cell>
          <cell r="O14">
            <v>0</v>
          </cell>
          <cell r="P14" t="str">
            <v>NA</v>
          </cell>
          <cell r="Q14">
            <v>0</v>
          </cell>
        </row>
        <row r="15">
          <cell r="B15" t="str">
            <v>Accordent Technologies</v>
          </cell>
          <cell r="C15">
            <v>0</v>
          </cell>
          <cell r="D15" t="str">
            <v>B2B Software for Video Count</v>
          </cell>
          <cell r="E15">
            <v>0</v>
          </cell>
          <cell r="F15" t="str">
            <v>Polycom</v>
          </cell>
          <cell r="G15">
            <v>0</v>
          </cell>
          <cell r="H15">
            <v>40729</v>
          </cell>
          <cell r="I15">
            <v>0</v>
          </cell>
          <cell r="J15">
            <v>50</v>
          </cell>
          <cell r="K15">
            <v>0</v>
          </cell>
          <cell r="L15">
            <v>5.6</v>
          </cell>
          <cell r="M15">
            <v>0</v>
          </cell>
          <cell r="N15" t="str">
            <v>NA</v>
          </cell>
          <cell r="O15">
            <v>0</v>
          </cell>
          <cell r="P15" t="str">
            <v>NA</v>
          </cell>
          <cell r="Q15">
            <v>0</v>
          </cell>
        </row>
        <row r="16">
          <cell r="B16" t="str">
            <v>Amcom Software, Inc</v>
          </cell>
          <cell r="C16">
            <v>0</v>
          </cell>
          <cell r="D16" t="str">
            <v>B2B Software for Other Sectors</v>
          </cell>
          <cell r="E16">
            <v>0</v>
          </cell>
          <cell r="F16" t="str">
            <v>USA Mobility, Inc</v>
          </cell>
          <cell r="G16">
            <v>0</v>
          </cell>
          <cell r="H16">
            <v>40722</v>
          </cell>
          <cell r="I16">
            <v>0</v>
          </cell>
          <cell r="J16">
            <v>169.4</v>
          </cell>
          <cell r="K16">
            <v>0</v>
          </cell>
          <cell r="L16">
            <v>3.3</v>
          </cell>
          <cell r="M16">
            <v>0</v>
          </cell>
          <cell r="N16">
            <v>15.1</v>
          </cell>
          <cell r="O16">
            <v>0</v>
          </cell>
          <cell r="P16" t="str">
            <v>NA</v>
          </cell>
          <cell r="Q16">
            <v>0</v>
          </cell>
        </row>
        <row r="17">
          <cell r="B17" t="str">
            <v>Kewego</v>
          </cell>
          <cell r="C17">
            <v>0</v>
          </cell>
          <cell r="D17" t="str">
            <v>B2B Software for Video Count</v>
          </cell>
          <cell r="E17">
            <v>0</v>
          </cell>
          <cell r="F17" t="str">
            <v>KIT Digital</v>
          </cell>
          <cell r="G17">
            <v>0</v>
          </cell>
          <cell r="H17">
            <v>40722</v>
          </cell>
          <cell r="I17">
            <v>0</v>
          </cell>
          <cell r="J17">
            <v>26.7</v>
          </cell>
          <cell r="K17">
            <v>0</v>
          </cell>
          <cell r="L17">
            <v>2.6</v>
          </cell>
          <cell r="M17">
            <v>0</v>
          </cell>
          <cell r="N17" t="str">
            <v>NA</v>
          </cell>
          <cell r="O17">
            <v>0</v>
          </cell>
          <cell r="P17" t="str">
            <v>NA</v>
          </cell>
          <cell r="Q17">
            <v>0</v>
          </cell>
        </row>
        <row r="18">
          <cell r="B18" t="str">
            <v>KickApps</v>
          </cell>
          <cell r="C18">
            <v>0</v>
          </cell>
          <cell r="D18" t="str">
            <v>B2B Software for Apps</v>
          </cell>
          <cell r="E18">
            <v>0</v>
          </cell>
          <cell r="F18" t="str">
            <v>KIT Digital</v>
          </cell>
          <cell r="G18">
            <v>0</v>
          </cell>
          <cell r="H18">
            <v>40676</v>
          </cell>
          <cell r="I18">
            <v>0</v>
          </cell>
          <cell r="J18">
            <v>44.7</v>
          </cell>
          <cell r="K18">
            <v>0</v>
          </cell>
          <cell r="L18">
            <v>3.7</v>
          </cell>
          <cell r="M18">
            <v>0</v>
          </cell>
          <cell r="N18" t="str">
            <v>NA</v>
          </cell>
          <cell r="O18">
            <v>0</v>
          </cell>
          <cell r="P18" t="str">
            <v>NA</v>
          </cell>
          <cell r="Q18">
            <v>0</v>
          </cell>
        </row>
        <row r="19">
          <cell r="B19" t="str">
            <v>Kyte</v>
          </cell>
          <cell r="C19">
            <v>0</v>
          </cell>
          <cell r="D19" t="str">
            <v>B2B App for Video Sharing</v>
          </cell>
          <cell r="E19">
            <v>0</v>
          </cell>
          <cell r="F19" t="str">
            <v>KIT Digital</v>
          </cell>
          <cell r="G19">
            <v>0</v>
          </cell>
          <cell r="H19">
            <v>40626</v>
          </cell>
          <cell r="I19">
            <v>0</v>
          </cell>
          <cell r="J19">
            <v>5.7</v>
          </cell>
          <cell r="K19">
            <v>0</v>
          </cell>
          <cell r="L19">
            <v>1.5</v>
          </cell>
          <cell r="M19">
            <v>0</v>
          </cell>
          <cell r="N19" t="str">
            <v>NA</v>
          </cell>
          <cell r="O19">
            <v>0</v>
          </cell>
          <cell r="P19" t="str">
            <v>NA</v>
          </cell>
          <cell r="Q19">
            <v>0</v>
          </cell>
        </row>
        <row r="20">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row>
        <row r="21">
          <cell r="B21" t="str">
            <v>Low</v>
          </cell>
          <cell r="C21">
            <v>0</v>
          </cell>
          <cell r="D21">
            <v>0</v>
          </cell>
          <cell r="E21">
            <v>0</v>
          </cell>
          <cell r="F21">
            <v>0</v>
          </cell>
          <cell r="G21">
            <v>0</v>
          </cell>
          <cell r="H21">
            <v>0</v>
          </cell>
          <cell r="I21">
            <v>0</v>
          </cell>
          <cell r="J21">
            <v>5.7</v>
          </cell>
          <cell r="K21">
            <v>0</v>
          </cell>
          <cell r="L21">
            <v>0.4</v>
          </cell>
          <cell r="M21">
            <v>0</v>
          </cell>
          <cell r="N21">
            <v>4.2</v>
          </cell>
          <cell r="O21">
            <v>0</v>
          </cell>
          <cell r="P21">
            <v>4.2</v>
          </cell>
          <cell r="Q21">
            <v>0</v>
          </cell>
        </row>
        <row r="22">
          <cell r="B22" t="str">
            <v>Mean</v>
          </cell>
          <cell r="C22">
            <v>0</v>
          </cell>
          <cell r="D22">
            <v>0</v>
          </cell>
          <cell r="E22">
            <v>0</v>
          </cell>
          <cell r="F22">
            <v>0</v>
          </cell>
          <cell r="G22">
            <v>0</v>
          </cell>
          <cell r="H22">
            <v>0</v>
          </cell>
          <cell r="I22">
            <v>0</v>
          </cell>
          <cell r="J22">
            <v>468.63749999999999</v>
          </cell>
          <cell r="K22">
            <v>0</v>
          </cell>
          <cell r="L22">
            <v>2.4125000000000001</v>
          </cell>
          <cell r="M22">
            <v>0</v>
          </cell>
          <cell r="N22">
            <v>15.7</v>
          </cell>
          <cell r="O22">
            <v>0</v>
          </cell>
          <cell r="P22">
            <v>21.383333333333301</v>
          </cell>
          <cell r="Q22">
            <v>0</v>
          </cell>
        </row>
        <row r="23">
          <cell r="B23" t="str">
            <v>Median</v>
          </cell>
          <cell r="C23">
            <v>0</v>
          </cell>
          <cell r="D23">
            <v>0</v>
          </cell>
          <cell r="E23">
            <v>0</v>
          </cell>
          <cell r="F23">
            <v>0</v>
          </cell>
          <cell r="G23">
            <v>0</v>
          </cell>
          <cell r="H23">
            <v>0</v>
          </cell>
          <cell r="I23">
            <v>0</v>
          </cell>
          <cell r="J23">
            <v>110</v>
          </cell>
          <cell r="K23">
            <v>0</v>
          </cell>
          <cell r="L23">
            <v>2.35</v>
          </cell>
          <cell r="M23">
            <v>0</v>
          </cell>
          <cell r="N23">
            <v>15.1</v>
          </cell>
          <cell r="O23">
            <v>0</v>
          </cell>
          <cell r="P23">
            <v>21.45</v>
          </cell>
          <cell r="Q23">
            <v>0</v>
          </cell>
        </row>
        <row r="24">
          <cell r="B24" t="str">
            <v>High</v>
          </cell>
          <cell r="C24">
            <v>0</v>
          </cell>
          <cell r="D24">
            <v>0</v>
          </cell>
          <cell r="E24">
            <v>0</v>
          </cell>
          <cell r="F24">
            <v>0</v>
          </cell>
          <cell r="G24">
            <v>0</v>
          </cell>
          <cell r="H24">
            <v>0</v>
          </cell>
          <cell r="I24">
            <v>0</v>
          </cell>
          <cell r="J24">
            <v>1795.7</v>
          </cell>
          <cell r="K24">
            <v>0</v>
          </cell>
          <cell r="L24">
            <v>5.6</v>
          </cell>
          <cell r="M24">
            <v>0</v>
          </cell>
          <cell r="N24">
            <v>24.8</v>
          </cell>
          <cell r="O24">
            <v>0</v>
          </cell>
          <cell r="P24">
            <v>36.700000000000003</v>
          </cell>
          <cell r="Q24">
            <v>0</v>
          </cell>
        </row>
      </sheetData>
      <sheetData sheetId="19">
        <row r="2">
          <cell r="B2">
            <v>0</v>
          </cell>
          <cell r="C2">
            <v>0</v>
          </cell>
          <cell r="D2">
            <v>0</v>
          </cell>
          <cell r="E2">
            <v>0</v>
          </cell>
          <cell r="F2" t="str">
            <v>Stake</v>
          </cell>
          <cell r="G2">
            <v>0</v>
          </cell>
          <cell r="H2" t="str">
            <v>Acquisition</v>
          </cell>
          <cell r="I2">
            <v>0</v>
          </cell>
          <cell r="J2" t="str">
            <v>Implied</v>
          </cell>
          <cell r="K2">
            <v>0</v>
          </cell>
          <cell r="L2" t="str">
            <v>Implied EV /</v>
          </cell>
          <cell r="M2">
            <v>0</v>
          </cell>
          <cell r="N2">
            <v>0</v>
          </cell>
          <cell r="O2">
            <v>0</v>
          </cell>
        </row>
        <row r="3">
          <cell r="B3" t="str">
            <v>Target</v>
          </cell>
          <cell r="C3">
            <v>0</v>
          </cell>
          <cell r="D3" t="str">
            <v>Acquirer</v>
          </cell>
          <cell r="E3">
            <v>0</v>
          </cell>
          <cell r="F3" t="str">
            <v>Sought</v>
          </cell>
          <cell r="G3">
            <v>0</v>
          </cell>
          <cell r="H3" t="str">
            <v>Date</v>
          </cell>
          <cell r="I3">
            <v>0</v>
          </cell>
          <cell r="J3" t="str">
            <v>EV</v>
          </cell>
          <cell r="K3">
            <v>0</v>
          </cell>
          <cell r="L3" t="str">
            <v>Sales</v>
          </cell>
          <cell r="M3">
            <v>0</v>
          </cell>
          <cell r="N3" t="str">
            <v>EBITDA</v>
          </cell>
          <cell r="O3">
            <v>0</v>
          </cell>
        </row>
        <row r="4">
          <cell r="B4" t="str">
            <v>Opentable</v>
          </cell>
          <cell r="C4">
            <v>0</v>
          </cell>
          <cell r="D4" t="str">
            <v>Priceline.com, Inc.</v>
          </cell>
          <cell r="E4">
            <v>0</v>
          </cell>
          <cell r="F4">
            <v>1</v>
          </cell>
          <cell r="G4">
            <v>0</v>
          </cell>
          <cell r="H4">
            <v>41803</v>
          </cell>
          <cell r="I4">
            <v>0</v>
          </cell>
          <cell r="J4">
            <v>2600</v>
          </cell>
          <cell r="K4">
            <v>0</v>
          </cell>
          <cell r="L4">
            <v>13.7</v>
          </cell>
          <cell r="M4">
            <v>0</v>
          </cell>
          <cell r="N4">
            <v>40.6</v>
          </cell>
          <cell r="O4">
            <v>0</v>
          </cell>
        </row>
        <row r="5">
          <cell r="B5" t="str">
            <v>La Fourchette</v>
          </cell>
          <cell r="C5">
            <v>0</v>
          </cell>
          <cell r="D5" t="str">
            <v>TripAdvisor</v>
          </cell>
          <cell r="E5">
            <v>0</v>
          </cell>
          <cell r="F5">
            <v>1</v>
          </cell>
          <cell r="G5">
            <v>0</v>
          </cell>
          <cell r="H5">
            <v>41766</v>
          </cell>
          <cell r="I5">
            <v>0</v>
          </cell>
          <cell r="J5">
            <v>105</v>
          </cell>
          <cell r="K5">
            <v>0</v>
          </cell>
          <cell r="L5">
            <v>7</v>
          </cell>
          <cell r="M5">
            <v>0</v>
          </cell>
          <cell r="N5" t="str">
            <v>NA</v>
          </cell>
          <cell r="O5">
            <v>0</v>
          </cell>
        </row>
        <row r="6">
          <cell r="B6" t="str">
            <v>Apartments.com</v>
          </cell>
          <cell r="C6">
            <v>0</v>
          </cell>
          <cell r="D6" t="str">
            <v>CoStar Group</v>
          </cell>
          <cell r="E6">
            <v>0</v>
          </cell>
          <cell r="F6">
            <v>1</v>
          </cell>
          <cell r="G6">
            <v>0</v>
          </cell>
          <cell r="H6">
            <v>41701</v>
          </cell>
          <cell r="I6">
            <v>0</v>
          </cell>
          <cell r="J6">
            <v>585</v>
          </cell>
          <cell r="K6">
            <v>0</v>
          </cell>
          <cell r="L6">
            <v>6.8</v>
          </cell>
          <cell r="M6">
            <v>0</v>
          </cell>
          <cell r="N6">
            <v>20.9</v>
          </cell>
          <cell r="O6">
            <v>0</v>
          </cell>
        </row>
        <row r="7">
          <cell r="B7" t="str">
            <v>hotel.de AG</v>
          </cell>
          <cell r="C7">
            <v>0</v>
          </cell>
          <cell r="D7" t="str">
            <v>Hotel Reservation Service Robert Ragge</v>
          </cell>
          <cell r="E7">
            <v>0</v>
          </cell>
          <cell r="F7">
            <v>1</v>
          </cell>
          <cell r="G7">
            <v>0</v>
          </cell>
          <cell r="H7">
            <v>41417</v>
          </cell>
          <cell r="I7">
            <v>0</v>
          </cell>
          <cell r="J7">
            <v>127.36854200000001</v>
          </cell>
          <cell r="K7">
            <v>0</v>
          </cell>
          <cell r="L7">
            <v>2.16263760930469</v>
          </cell>
          <cell r="M7">
            <v>0</v>
          </cell>
          <cell r="N7" t="str">
            <v>NA</v>
          </cell>
          <cell r="O7">
            <v>0</v>
          </cell>
        </row>
        <row r="8">
          <cell r="B8" t="str">
            <v>Amber Travel ltd</v>
          </cell>
          <cell r="C8">
            <v>0</v>
          </cell>
          <cell r="D8" t="str">
            <v>ECI Partners LLP</v>
          </cell>
          <cell r="E8">
            <v>0</v>
          </cell>
          <cell r="F8" t="str">
            <v>NA</v>
          </cell>
          <cell r="G8">
            <v>0</v>
          </cell>
          <cell r="H8">
            <v>41366</v>
          </cell>
          <cell r="I8">
            <v>0</v>
          </cell>
          <cell r="J8">
            <v>87.615283199999993</v>
          </cell>
          <cell r="K8">
            <v>0</v>
          </cell>
          <cell r="L8">
            <v>0.87262880782248997</v>
          </cell>
          <cell r="M8">
            <v>0</v>
          </cell>
          <cell r="N8">
            <v>13.310692978430501</v>
          </cell>
          <cell r="O8">
            <v>0</v>
          </cell>
        </row>
        <row r="9">
          <cell r="B9" t="str">
            <v>Zipcar</v>
          </cell>
          <cell r="C9">
            <v>0</v>
          </cell>
          <cell r="D9" t="str">
            <v>Avis</v>
          </cell>
          <cell r="E9">
            <v>0</v>
          </cell>
          <cell r="F9">
            <v>1</v>
          </cell>
          <cell r="G9">
            <v>0</v>
          </cell>
          <cell r="H9">
            <v>41348</v>
          </cell>
          <cell r="I9">
            <v>0</v>
          </cell>
          <cell r="J9">
            <v>526.47</v>
          </cell>
          <cell r="K9">
            <v>0</v>
          </cell>
          <cell r="L9">
            <v>1.83</v>
          </cell>
          <cell r="M9">
            <v>0</v>
          </cell>
          <cell r="N9">
            <v>10.77</v>
          </cell>
          <cell r="O9">
            <v>0</v>
          </cell>
        </row>
        <row r="10">
          <cell r="B10" t="str">
            <v>TripAdvisor Inc</v>
          </cell>
          <cell r="C10">
            <v>0</v>
          </cell>
          <cell r="D10" t="str">
            <v>Liberty Interactive Corp</v>
          </cell>
          <cell r="E10">
            <v>0</v>
          </cell>
          <cell r="F10">
            <v>1</v>
          </cell>
          <cell r="G10">
            <v>0</v>
          </cell>
          <cell r="H10">
            <v>41254</v>
          </cell>
          <cell r="I10">
            <v>0</v>
          </cell>
          <cell r="J10">
            <v>8762.61</v>
          </cell>
          <cell r="K10">
            <v>0</v>
          </cell>
          <cell r="L10">
            <v>11.983000000000001</v>
          </cell>
          <cell r="M10">
            <v>0</v>
          </cell>
          <cell r="N10">
            <v>28.047000000000001</v>
          </cell>
          <cell r="O10">
            <v>0</v>
          </cell>
        </row>
        <row r="11">
          <cell r="B11" t="str">
            <v>Kayak Software Corp.</v>
          </cell>
          <cell r="C11">
            <v>0</v>
          </cell>
          <cell r="D11" t="str">
            <v>Priceline.com, Inc.</v>
          </cell>
          <cell r="E11">
            <v>0</v>
          </cell>
          <cell r="F11">
            <v>1</v>
          </cell>
          <cell r="G11">
            <v>0</v>
          </cell>
          <cell r="H11">
            <v>41221</v>
          </cell>
          <cell r="I11">
            <v>0</v>
          </cell>
          <cell r="J11">
            <v>1462.421</v>
          </cell>
          <cell r="K11">
            <v>0</v>
          </cell>
          <cell r="L11">
            <v>5.7569999999999997</v>
          </cell>
          <cell r="M11">
            <v>0</v>
          </cell>
          <cell r="N11">
            <v>29.596</v>
          </cell>
          <cell r="O11">
            <v>0</v>
          </cell>
        </row>
        <row r="12">
          <cell r="B12" t="str">
            <v>Red Universal</v>
          </cell>
          <cell r="C12">
            <v>0</v>
          </cell>
          <cell r="D12" t="str">
            <v>Bravofly SA</v>
          </cell>
          <cell r="E12">
            <v>0</v>
          </cell>
          <cell r="F12">
            <v>1</v>
          </cell>
          <cell r="G12">
            <v>0</v>
          </cell>
          <cell r="H12">
            <v>41215</v>
          </cell>
          <cell r="I12">
            <v>0</v>
          </cell>
          <cell r="J12">
            <v>82.703000000000003</v>
          </cell>
          <cell r="K12">
            <v>0</v>
          </cell>
          <cell r="L12">
            <v>0.96401678517309697</v>
          </cell>
          <cell r="M12">
            <v>0</v>
          </cell>
          <cell r="N12" t="str">
            <v>NA</v>
          </cell>
          <cell r="O12">
            <v>0</v>
          </cell>
        </row>
        <row r="13">
          <cell r="B13" t="str">
            <v>WorldMate, Inc.</v>
          </cell>
          <cell r="C13">
            <v>0</v>
          </cell>
          <cell r="D13" t="str">
            <v>Carlson Wagonlit</v>
          </cell>
          <cell r="E13">
            <v>0</v>
          </cell>
          <cell r="F13" t="str">
            <v>NA</v>
          </cell>
          <cell r="G13">
            <v>0</v>
          </cell>
          <cell r="H13">
            <v>41213</v>
          </cell>
          <cell r="I13">
            <v>0</v>
          </cell>
          <cell r="J13">
            <v>20</v>
          </cell>
          <cell r="K13">
            <v>0</v>
          </cell>
          <cell r="L13">
            <v>3.3333333333333299</v>
          </cell>
          <cell r="M13">
            <v>0</v>
          </cell>
          <cell r="N13" t="str">
            <v>NA</v>
          </cell>
          <cell r="O13">
            <v>0</v>
          </cell>
        </row>
        <row r="14">
          <cell r="B14" t="str">
            <v>Expotel Hotel Reservations Ltd</v>
          </cell>
          <cell r="C14">
            <v>0</v>
          </cell>
          <cell r="D14" t="str">
            <v>Capita plc</v>
          </cell>
          <cell r="E14">
            <v>0</v>
          </cell>
          <cell r="F14" t="str">
            <v>NA</v>
          </cell>
          <cell r="G14">
            <v>0</v>
          </cell>
          <cell r="H14">
            <v>41152</v>
          </cell>
          <cell r="I14">
            <v>0</v>
          </cell>
          <cell r="J14">
            <v>27.264181998000002</v>
          </cell>
          <cell r="K14">
            <v>0</v>
          </cell>
          <cell r="L14">
            <v>1.1502400747119299</v>
          </cell>
          <cell r="M14">
            <v>0</v>
          </cell>
          <cell r="N14" t="str">
            <v>NA</v>
          </cell>
          <cell r="O14">
            <v>0</v>
          </cell>
        </row>
        <row r="15">
          <cell r="B15" t="str">
            <v>Travel24.com AG</v>
          </cell>
          <cell r="C15">
            <v>0</v>
          </cell>
          <cell r="D15" t="str">
            <v>LOET Trading AG; Erste Gallus Verwaltungs</v>
          </cell>
          <cell r="E15">
            <v>0</v>
          </cell>
          <cell r="F15" t="str">
            <v>NA</v>
          </cell>
          <cell r="G15">
            <v>0</v>
          </cell>
          <cell r="H15">
            <v>41145</v>
          </cell>
          <cell r="I15">
            <v>0</v>
          </cell>
          <cell r="J15">
            <v>140.93956238960999</v>
          </cell>
          <cell r="K15">
            <v>0</v>
          </cell>
          <cell r="L15">
            <v>5.3024666060801504</v>
          </cell>
          <cell r="M15">
            <v>0</v>
          </cell>
          <cell r="N15" t="str">
            <v>NA</v>
          </cell>
          <cell r="O15">
            <v>0</v>
          </cell>
        </row>
        <row r="16">
          <cell r="B16" t="str">
            <v>Kakaku.com Inc</v>
          </cell>
          <cell r="C16">
            <v>0</v>
          </cell>
          <cell r="D16" t="str">
            <v>Dentsu Inc</v>
          </cell>
          <cell r="E16">
            <v>0</v>
          </cell>
          <cell r="F16">
            <v>1</v>
          </cell>
          <cell r="G16">
            <v>0</v>
          </cell>
          <cell r="H16">
            <v>41052</v>
          </cell>
          <cell r="I16">
            <v>0</v>
          </cell>
          <cell r="J16">
            <v>1512.2429999999999</v>
          </cell>
          <cell r="K16">
            <v>0</v>
          </cell>
          <cell r="L16">
            <v>5.9859999999999998</v>
          </cell>
          <cell r="M16">
            <v>0</v>
          </cell>
          <cell r="N16">
            <v>12.612</v>
          </cell>
          <cell r="O16">
            <v>0</v>
          </cell>
        </row>
        <row r="17">
          <cell r="B17" t="str">
            <v>Thomas Cook (India) Ltd.</v>
          </cell>
          <cell r="C17">
            <v>0</v>
          </cell>
          <cell r="D17" t="str">
            <v>Fairfax Financial, Fairbridge Capital</v>
          </cell>
          <cell r="E17">
            <v>0</v>
          </cell>
          <cell r="F17" t="str">
            <v>NA</v>
          </cell>
          <cell r="G17">
            <v>0</v>
          </cell>
          <cell r="H17">
            <v>41050</v>
          </cell>
          <cell r="I17">
            <v>0</v>
          </cell>
          <cell r="J17">
            <v>239.19282504012801</v>
          </cell>
          <cell r="K17">
            <v>0</v>
          </cell>
          <cell r="L17">
            <v>2.8394210000015199</v>
          </cell>
          <cell r="M17">
            <v>0</v>
          </cell>
          <cell r="N17">
            <v>10.4314358935948</v>
          </cell>
          <cell r="O17">
            <v>0</v>
          </cell>
        </row>
        <row r="18">
          <cell r="B18" t="str">
            <v>Page &amp; Moy Travel Group Ltd</v>
          </cell>
          <cell r="C18">
            <v>0</v>
          </cell>
          <cell r="D18" t="str">
            <v>All Leisure Group PLC</v>
          </cell>
          <cell r="E18">
            <v>0</v>
          </cell>
          <cell r="F18">
            <v>1</v>
          </cell>
          <cell r="G18">
            <v>0</v>
          </cell>
          <cell r="H18">
            <v>41045</v>
          </cell>
          <cell r="I18">
            <v>0</v>
          </cell>
          <cell r="J18">
            <v>125.74234199999999</v>
          </cell>
          <cell r="K18">
            <v>0</v>
          </cell>
          <cell r="L18">
            <v>0.73451233588563902</v>
          </cell>
          <cell r="M18">
            <v>0</v>
          </cell>
          <cell r="N18" t="str">
            <v>NA</v>
          </cell>
          <cell r="O18">
            <v>0</v>
          </cell>
        </row>
        <row r="19">
          <cell r="B19" t="str">
            <v>Ekitan &amp; Co Ltd</v>
          </cell>
          <cell r="C19">
            <v>0</v>
          </cell>
          <cell r="D19" t="str">
            <v>CSI Co Ltd</v>
          </cell>
          <cell r="E19">
            <v>0</v>
          </cell>
          <cell r="F19">
            <v>1</v>
          </cell>
          <cell r="G19">
            <v>0</v>
          </cell>
          <cell r="H19">
            <v>41043</v>
          </cell>
          <cell r="I19">
            <v>0</v>
          </cell>
          <cell r="J19">
            <v>36.847000000000001</v>
          </cell>
          <cell r="K19">
            <v>0</v>
          </cell>
          <cell r="L19">
            <v>1.083</v>
          </cell>
          <cell r="M19">
            <v>0</v>
          </cell>
          <cell r="N19">
            <v>3.9209999999999998</v>
          </cell>
          <cell r="O19">
            <v>0</v>
          </cell>
        </row>
        <row r="20">
          <cell r="B20" t="str">
            <v>Audley Travel</v>
          </cell>
          <cell r="C20">
            <v>0</v>
          </cell>
          <cell r="D20" t="str">
            <v>Equistone Partners Europe Fund IV</v>
          </cell>
          <cell r="E20">
            <v>0</v>
          </cell>
          <cell r="F20" t="str">
            <v>NA</v>
          </cell>
          <cell r="G20">
            <v>0</v>
          </cell>
          <cell r="H20">
            <v>40988</v>
          </cell>
          <cell r="I20">
            <v>0</v>
          </cell>
          <cell r="J20">
            <v>142.5</v>
          </cell>
          <cell r="K20">
            <v>0</v>
          </cell>
          <cell r="L20">
            <v>1.4258997427376701</v>
          </cell>
          <cell r="M20">
            <v>0</v>
          </cell>
          <cell r="N20" t="str">
            <v>NA</v>
          </cell>
          <cell r="O20">
            <v>0</v>
          </cell>
        </row>
        <row r="21">
          <cell r="B21" t="str">
            <v>Venture Republic Inc</v>
          </cell>
          <cell r="C21">
            <v>0</v>
          </cell>
          <cell r="D21" t="str">
            <v>K Associates</v>
          </cell>
          <cell r="E21">
            <v>0</v>
          </cell>
          <cell r="F21" t="str">
            <v>NA</v>
          </cell>
          <cell r="G21">
            <v>0</v>
          </cell>
          <cell r="H21">
            <v>40983</v>
          </cell>
          <cell r="I21">
            <v>0</v>
          </cell>
          <cell r="J21">
            <v>13.954000000000001</v>
          </cell>
          <cell r="K21">
            <v>0</v>
          </cell>
          <cell r="L21">
            <v>0.56399999999999995</v>
          </cell>
          <cell r="M21">
            <v>0</v>
          </cell>
          <cell r="N21">
            <v>3.5750000000000002</v>
          </cell>
          <cell r="O21">
            <v>0</v>
          </cell>
        </row>
        <row r="22">
          <cell r="B22" t="str">
            <v>eLong Inc</v>
          </cell>
          <cell r="C22">
            <v>0</v>
          </cell>
          <cell r="D22" t="str">
            <v>Expedia, Inc.</v>
          </cell>
          <cell r="E22">
            <v>0</v>
          </cell>
          <cell r="F22">
            <v>1</v>
          </cell>
          <cell r="G22">
            <v>0</v>
          </cell>
          <cell r="H22">
            <v>40864</v>
          </cell>
          <cell r="I22">
            <v>0</v>
          </cell>
          <cell r="J22">
            <v>99.441000000000003</v>
          </cell>
          <cell r="K22">
            <v>0</v>
          </cell>
          <cell r="L22">
            <v>5.5990000000000002</v>
          </cell>
          <cell r="M22">
            <v>0</v>
          </cell>
          <cell r="N22">
            <v>36.396999999999998</v>
          </cell>
          <cell r="O22">
            <v>0</v>
          </cell>
        </row>
        <row r="23">
          <cell r="B23" t="str">
            <v>Amaya Leisure PLC</v>
          </cell>
          <cell r="C23">
            <v>0</v>
          </cell>
          <cell r="D23" t="str">
            <v>Multiple Buyers</v>
          </cell>
          <cell r="E23">
            <v>0</v>
          </cell>
          <cell r="F23">
            <v>1</v>
          </cell>
          <cell r="G23">
            <v>0</v>
          </cell>
          <cell r="H23">
            <v>40787</v>
          </cell>
          <cell r="I23">
            <v>0</v>
          </cell>
          <cell r="J23">
            <v>45.8212608150981</v>
          </cell>
          <cell r="K23">
            <v>0</v>
          </cell>
          <cell r="L23">
            <v>7.24</v>
          </cell>
          <cell r="M23">
            <v>0</v>
          </cell>
          <cell r="N23">
            <v>20.05</v>
          </cell>
          <cell r="O23">
            <v>0</v>
          </cell>
        </row>
        <row r="24">
          <cell r="B24" t="str">
            <v>Holidaybreak Plc</v>
          </cell>
          <cell r="C24">
            <v>0</v>
          </cell>
          <cell r="D24" t="str">
            <v>Cox &amp; Kings India Limited</v>
          </cell>
          <cell r="E24">
            <v>0</v>
          </cell>
          <cell r="F24">
            <v>1</v>
          </cell>
          <cell r="G24">
            <v>0</v>
          </cell>
          <cell r="H24">
            <v>40751</v>
          </cell>
          <cell r="I24">
            <v>0</v>
          </cell>
          <cell r="J24">
            <v>851.72801000000004</v>
          </cell>
          <cell r="K24">
            <v>0</v>
          </cell>
          <cell r="L24">
            <v>1.1975105618799899</v>
          </cell>
          <cell r="M24">
            <v>0</v>
          </cell>
          <cell r="N24">
            <v>10.1447821361467</v>
          </cell>
          <cell r="O24">
            <v>0</v>
          </cell>
        </row>
        <row r="25">
          <cell r="B25" t="str">
            <v>eLong Inc</v>
          </cell>
          <cell r="C25">
            <v>0</v>
          </cell>
          <cell r="D25" t="str">
            <v>Expedia Inc/Tencent Holdings Ltd</v>
          </cell>
          <cell r="E25">
            <v>0</v>
          </cell>
          <cell r="F25">
            <v>1</v>
          </cell>
          <cell r="G25">
            <v>0</v>
          </cell>
          <cell r="H25">
            <v>40680</v>
          </cell>
          <cell r="I25">
            <v>0</v>
          </cell>
          <cell r="J25">
            <v>378.61300387024301</v>
          </cell>
          <cell r="K25">
            <v>0</v>
          </cell>
          <cell r="L25">
            <v>4.74</v>
          </cell>
          <cell r="M25">
            <v>0</v>
          </cell>
          <cell r="N25">
            <v>32.363</v>
          </cell>
          <cell r="O25">
            <v>0</v>
          </cell>
        </row>
        <row r="26">
          <cell r="B26" t="str">
            <v>Gulliviers Travel Associates SA</v>
          </cell>
          <cell r="C26">
            <v>0</v>
          </cell>
          <cell r="D26" t="str">
            <v>Kuoni Travel Holding Ltd</v>
          </cell>
          <cell r="E26">
            <v>0</v>
          </cell>
          <cell r="F26">
            <v>1</v>
          </cell>
          <cell r="G26">
            <v>0</v>
          </cell>
          <cell r="H26">
            <v>40609</v>
          </cell>
          <cell r="I26">
            <v>0</v>
          </cell>
          <cell r="J26">
            <v>705</v>
          </cell>
          <cell r="K26">
            <v>0</v>
          </cell>
          <cell r="L26">
            <v>2.3979591836734699</v>
          </cell>
          <cell r="M26">
            <v>0</v>
          </cell>
          <cell r="N26">
            <v>8.3928571428571406</v>
          </cell>
          <cell r="O26">
            <v>0</v>
          </cell>
        </row>
        <row r="27">
          <cell r="B27">
            <v>0</v>
          </cell>
          <cell r="C27">
            <v>0</v>
          </cell>
          <cell r="D27">
            <v>0</v>
          </cell>
          <cell r="E27">
            <v>0</v>
          </cell>
          <cell r="F27">
            <v>0</v>
          </cell>
          <cell r="G27">
            <v>0</v>
          </cell>
          <cell r="H27">
            <v>0</v>
          </cell>
          <cell r="I27">
            <v>0</v>
          </cell>
          <cell r="J27">
            <v>0</v>
          </cell>
          <cell r="K27">
            <v>0</v>
          </cell>
          <cell r="L27">
            <v>0</v>
          </cell>
          <cell r="M27">
            <v>0</v>
          </cell>
          <cell r="N27">
            <v>0</v>
          </cell>
          <cell r="O27">
            <v>0</v>
          </cell>
        </row>
        <row r="28">
          <cell r="B28" t="str">
            <v>Low</v>
          </cell>
          <cell r="C28">
            <v>0</v>
          </cell>
          <cell r="D28">
            <v>0</v>
          </cell>
          <cell r="E28">
            <v>0</v>
          </cell>
          <cell r="F28">
            <v>0</v>
          </cell>
          <cell r="G28">
            <v>0</v>
          </cell>
          <cell r="H28">
            <v>0</v>
          </cell>
          <cell r="I28">
            <v>0</v>
          </cell>
          <cell r="J28">
            <v>13.954000000000001</v>
          </cell>
          <cell r="K28">
            <v>0</v>
          </cell>
          <cell r="L28">
            <v>0.56399999999999995</v>
          </cell>
          <cell r="M28">
            <v>0</v>
          </cell>
          <cell r="N28">
            <v>3.5750000000000002</v>
          </cell>
          <cell r="O28">
            <v>0</v>
          </cell>
        </row>
        <row r="29">
          <cell r="B29" t="str">
            <v>Mean</v>
          </cell>
          <cell r="C29">
            <v>0</v>
          </cell>
          <cell r="D29">
            <v>0</v>
          </cell>
          <cell r="E29">
            <v>0</v>
          </cell>
          <cell r="F29">
            <v>0</v>
          </cell>
          <cell r="G29">
            <v>0</v>
          </cell>
          <cell r="H29">
            <v>0</v>
          </cell>
          <cell r="I29">
            <v>0</v>
          </cell>
          <cell r="J29">
            <v>812.10756570926401</v>
          </cell>
          <cell r="K29">
            <v>0</v>
          </cell>
          <cell r="L29">
            <v>4.11576634959148</v>
          </cell>
          <cell r="M29">
            <v>0</v>
          </cell>
          <cell r="N29">
            <v>18.7407178767353</v>
          </cell>
          <cell r="O29">
            <v>0</v>
          </cell>
        </row>
        <row r="30">
          <cell r="B30" t="str">
            <v>Median</v>
          </cell>
          <cell r="C30">
            <v>0</v>
          </cell>
          <cell r="D30">
            <v>0</v>
          </cell>
          <cell r="E30">
            <v>0</v>
          </cell>
          <cell r="F30">
            <v>0</v>
          </cell>
          <cell r="G30">
            <v>0</v>
          </cell>
          <cell r="H30">
            <v>0</v>
          </cell>
          <cell r="I30">
            <v>0</v>
          </cell>
          <cell r="J30">
            <v>140.93956238960999</v>
          </cell>
          <cell r="K30">
            <v>0</v>
          </cell>
          <cell r="L30">
            <v>2.8394210000015199</v>
          </cell>
          <cell r="M30">
            <v>0</v>
          </cell>
          <cell r="N30">
            <v>13.310692978430501</v>
          </cell>
          <cell r="O30">
            <v>0</v>
          </cell>
        </row>
        <row r="31">
          <cell r="B31" t="str">
            <v>High</v>
          </cell>
          <cell r="C31">
            <v>0</v>
          </cell>
          <cell r="D31">
            <v>0</v>
          </cell>
          <cell r="E31">
            <v>0</v>
          </cell>
          <cell r="F31">
            <v>0</v>
          </cell>
          <cell r="G31">
            <v>0</v>
          </cell>
          <cell r="H31">
            <v>0</v>
          </cell>
          <cell r="I31">
            <v>0</v>
          </cell>
          <cell r="J31">
            <v>8762.61</v>
          </cell>
          <cell r="K31">
            <v>0</v>
          </cell>
          <cell r="L31">
            <v>13.7</v>
          </cell>
          <cell r="M31">
            <v>0</v>
          </cell>
          <cell r="N31">
            <v>40.6</v>
          </cell>
          <cell r="O31">
            <v>0</v>
          </cell>
        </row>
      </sheetData>
      <sheetData sheetId="20">
        <row r="2">
          <cell r="B2">
            <v>0</v>
          </cell>
          <cell r="C2">
            <v>0</v>
          </cell>
          <cell r="D2">
            <v>0</v>
          </cell>
          <cell r="E2">
            <v>0</v>
          </cell>
          <cell r="F2">
            <v>0</v>
          </cell>
          <cell r="G2">
            <v>0</v>
          </cell>
          <cell r="H2" t="str">
            <v>Acquisition</v>
          </cell>
          <cell r="I2">
            <v>0</v>
          </cell>
          <cell r="J2" t="str">
            <v>Implied</v>
          </cell>
          <cell r="K2">
            <v>0</v>
          </cell>
          <cell r="L2" t="str">
            <v>Implied EV /</v>
          </cell>
          <cell r="M2">
            <v>0</v>
          </cell>
          <cell r="N2">
            <v>0</v>
          </cell>
          <cell r="O2">
            <v>0</v>
          </cell>
        </row>
        <row r="3">
          <cell r="B3" t="str">
            <v>Target</v>
          </cell>
          <cell r="C3">
            <v>0</v>
          </cell>
          <cell r="D3" t="str">
            <v>Target Sector</v>
          </cell>
          <cell r="E3">
            <v>0</v>
          </cell>
          <cell r="F3" t="str">
            <v>Acquirer</v>
          </cell>
          <cell r="G3">
            <v>0</v>
          </cell>
          <cell r="H3" t="str">
            <v>Date</v>
          </cell>
          <cell r="I3">
            <v>0</v>
          </cell>
          <cell r="J3" t="str">
            <v>EV</v>
          </cell>
          <cell r="K3">
            <v>0</v>
          </cell>
          <cell r="L3" t="str">
            <v>Sales</v>
          </cell>
          <cell r="M3">
            <v>0</v>
          </cell>
          <cell r="N3" t="str">
            <v>EBITDA</v>
          </cell>
          <cell r="O3">
            <v>0</v>
          </cell>
        </row>
        <row r="4">
          <cell r="B4" t="str">
            <v>Hybris Software</v>
          </cell>
          <cell r="C4">
            <v>0</v>
          </cell>
          <cell r="D4" t="str">
            <v>SaaS</v>
          </cell>
          <cell r="E4">
            <v>0</v>
          </cell>
          <cell r="F4" t="str">
            <v>SAP</v>
          </cell>
          <cell r="G4">
            <v>0</v>
          </cell>
          <cell r="H4">
            <v>41852</v>
          </cell>
          <cell r="I4">
            <v>0</v>
          </cell>
          <cell r="J4">
            <v>1000</v>
          </cell>
          <cell r="K4">
            <v>0</v>
          </cell>
          <cell r="L4">
            <v>10</v>
          </cell>
          <cell r="M4">
            <v>0</v>
          </cell>
          <cell r="N4" t="str">
            <v>NA</v>
          </cell>
          <cell r="O4">
            <v>0</v>
          </cell>
        </row>
        <row r="5">
          <cell r="B5" t="str">
            <v>Serus Corporation</v>
          </cell>
          <cell r="C5">
            <v>0</v>
          </cell>
          <cell r="D5" t="str">
            <v>SaaS</v>
          </cell>
          <cell r="E5">
            <v>0</v>
          </cell>
          <cell r="F5" t="str">
            <v>E2Open</v>
          </cell>
          <cell r="G5">
            <v>0</v>
          </cell>
          <cell r="H5">
            <v>41794</v>
          </cell>
          <cell r="I5">
            <v>0</v>
          </cell>
          <cell r="J5">
            <v>18.5</v>
          </cell>
          <cell r="K5">
            <v>0</v>
          </cell>
          <cell r="L5">
            <v>3.7</v>
          </cell>
          <cell r="M5">
            <v>0</v>
          </cell>
          <cell r="N5" t="str">
            <v>NA</v>
          </cell>
          <cell r="O5">
            <v>0</v>
          </cell>
        </row>
        <row r="6">
          <cell r="B6" t="str">
            <v>Crossknowledge</v>
          </cell>
          <cell r="C6">
            <v>0</v>
          </cell>
          <cell r="D6" t="str">
            <v>SaaS</v>
          </cell>
          <cell r="E6">
            <v>0</v>
          </cell>
          <cell r="F6" t="str">
            <v>John Wiley &amp; Sons Inc</v>
          </cell>
          <cell r="G6">
            <v>0</v>
          </cell>
          <cell r="H6">
            <v>41744</v>
          </cell>
          <cell r="I6">
            <v>0</v>
          </cell>
          <cell r="J6">
            <v>175</v>
          </cell>
          <cell r="K6">
            <v>0</v>
          </cell>
          <cell r="L6">
            <v>4.7297297297297298</v>
          </cell>
          <cell r="M6">
            <v>0</v>
          </cell>
          <cell r="N6" t="str">
            <v>NA</v>
          </cell>
          <cell r="O6">
            <v>0</v>
          </cell>
        </row>
        <row r="7">
          <cell r="B7" t="str">
            <v>Siriusware</v>
          </cell>
          <cell r="C7">
            <v>0</v>
          </cell>
          <cell r="D7" t="str">
            <v>SaaS</v>
          </cell>
          <cell r="E7">
            <v>0</v>
          </cell>
          <cell r="F7" t="str">
            <v>Accesso</v>
          </cell>
          <cell r="G7">
            <v>0</v>
          </cell>
          <cell r="H7">
            <v>41613</v>
          </cell>
          <cell r="I7">
            <v>0</v>
          </cell>
          <cell r="J7">
            <v>13</v>
          </cell>
          <cell r="K7">
            <v>0</v>
          </cell>
          <cell r="L7">
            <v>0.62</v>
          </cell>
          <cell r="M7">
            <v>0</v>
          </cell>
          <cell r="N7" t="str">
            <v>NA</v>
          </cell>
          <cell r="O7">
            <v>0</v>
          </cell>
        </row>
        <row r="8">
          <cell r="B8" t="str">
            <v>The Active Network</v>
          </cell>
          <cell r="C8">
            <v>0</v>
          </cell>
          <cell r="D8" t="str">
            <v>SaaS</v>
          </cell>
          <cell r="E8">
            <v>0</v>
          </cell>
          <cell r="F8" t="str">
            <v>Vista Equity Partners</v>
          </cell>
          <cell r="G8">
            <v>0</v>
          </cell>
          <cell r="H8">
            <v>41593</v>
          </cell>
          <cell r="I8">
            <v>0</v>
          </cell>
          <cell r="J8">
            <v>960.78899999999999</v>
          </cell>
          <cell r="K8">
            <v>0</v>
          </cell>
          <cell r="L8">
            <v>2.1</v>
          </cell>
          <cell r="M8">
            <v>0</v>
          </cell>
          <cell r="N8">
            <v>17.5</v>
          </cell>
          <cell r="O8">
            <v>0</v>
          </cell>
        </row>
        <row r="9">
          <cell r="B9" t="str">
            <v>Kenexa</v>
          </cell>
          <cell r="C9">
            <v>0</v>
          </cell>
          <cell r="D9" t="str">
            <v>SaaS</v>
          </cell>
          <cell r="E9">
            <v>0</v>
          </cell>
          <cell r="F9" t="str">
            <v>IBM</v>
          </cell>
          <cell r="G9">
            <v>0</v>
          </cell>
          <cell r="H9">
            <v>41146</v>
          </cell>
          <cell r="I9">
            <v>0</v>
          </cell>
          <cell r="J9">
            <v>1269.7591600000001</v>
          </cell>
          <cell r="K9">
            <v>0</v>
          </cell>
          <cell r="L9">
            <v>4.4877488080469599</v>
          </cell>
          <cell r="M9">
            <v>0</v>
          </cell>
          <cell r="N9">
            <v>36.965332168850097</v>
          </cell>
          <cell r="O9">
            <v>0</v>
          </cell>
        </row>
        <row r="10">
          <cell r="B10" t="str">
            <v>Ariba</v>
          </cell>
          <cell r="C10">
            <v>0</v>
          </cell>
          <cell r="D10" t="str">
            <v>SaaS</v>
          </cell>
          <cell r="E10">
            <v>0</v>
          </cell>
          <cell r="F10" t="str">
            <v>SAP</v>
          </cell>
          <cell r="G10">
            <v>0</v>
          </cell>
          <cell r="H10">
            <v>41051</v>
          </cell>
          <cell r="I10">
            <v>0</v>
          </cell>
          <cell r="J10">
            <v>4300</v>
          </cell>
          <cell r="K10">
            <v>0</v>
          </cell>
          <cell r="L10">
            <v>9.68</v>
          </cell>
          <cell r="M10">
            <v>0</v>
          </cell>
          <cell r="N10" t="str">
            <v>NA</v>
          </cell>
          <cell r="O10">
            <v>0</v>
          </cell>
        </row>
        <row r="11">
          <cell r="B11" t="str">
            <v>SuccessFactors.com</v>
          </cell>
          <cell r="C11">
            <v>0</v>
          </cell>
          <cell r="D11" t="str">
            <v>SaaS</v>
          </cell>
          <cell r="E11">
            <v>0</v>
          </cell>
          <cell r="F11" t="str">
            <v>SAP</v>
          </cell>
          <cell r="G11">
            <v>0</v>
          </cell>
          <cell r="H11">
            <v>40961</v>
          </cell>
          <cell r="I11">
            <v>0</v>
          </cell>
          <cell r="J11">
            <v>3400</v>
          </cell>
          <cell r="K11">
            <v>0</v>
          </cell>
          <cell r="L11">
            <v>10.3675288994868</v>
          </cell>
          <cell r="M11">
            <v>0</v>
          </cell>
          <cell r="N11" t="str">
            <v>NA</v>
          </cell>
          <cell r="O11">
            <v>0</v>
          </cell>
        </row>
        <row r="12">
          <cell r="B12" t="str">
            <v>Taleo.com</v>
          </cell>
          <cell r="C12">
            <v>0</v>
          </cell>
          <cell r="D12" t="str">
            <v>SaaS</v>
          </cell>
          <cell r="E12">
            <v>0</v>
          </cell>
          <cell r="F12" t="str">
            <v>Oracle</v>
          </cell>
          <cell r="G12">
            <v>0</v>
          </cell>
          <cell r="H12">
            <v>40947</v>
          </cell>
          <cell r="I12">
            <v>0</v>
          </cell>
          <cell r="J12">
            <v>1900</v>
          </cell>
          <cell r="K12">
            <v>0</v>
          </cell>
          <cell r="L12">
            <v>6.1509574450865196</v>
          </cell>
          <cell r="M12">
            <v>0</v>
          </cell>
          <cell r="N12">
            <v>127.141327623126</v>
          </cell>
          <cell r="O12">
            <v>0</v>
          </cell>
        </row>
        <row r="13">
          <cell r="B13" t="str">
            <v>RightNow Tech</v>
          </cell>
          <cell r="C13">
            <v>0</v>
          </cell>
          <cell r="D13" t="str">
            <v>SaaS</v>
          </cell>
          <cell r="E13">
            <v>0</v>
          </cell>
          <cell r="F13" t="str">
            <v>Oracle</v>
          </cell>
          <cell r="G13">
            <v>0</v>
          </cell>
          <cell r="H13">
            <v>40839</v>
          </cell>
          <cell r="I13">
            <v>0</v>
          </cell>
          <cell r="J13">
            <v>1434.115661</v>
          </cell>
          <cell r="K13">
            <v>0</v>
          </cell>
          <cell r="L13">
            <v>7.73016494539731</v>
          </cell>
          <cell r="M13">
            <v>0</v>
          </cell>
          <cell r="N13">
            <v>71.788339640586699</v>
          </cell>
          <cell r="O13">
            <v>0</v>
          </cell>
        </row>
        <row r="14">
          <cell r="B14" t="str">
            <v>SoftBrands</v>
          </cell>
          <cell r="C14">
            <v>0</v>
          </cell>
          <cell r="D14">
            <v>0</v>
          </cell>
          <cell r="E14">
            <v>0</v>
          </cell>
          <cell r="F14" t="str">
            <v>Infor</v>
          </cell>
          <cell r="G14">
            <v>0</v>
          </cell>
          <cell r="H14">
            <v>39976</v>
          </cell>
          <cell r="I14">
            <v>0</v>
          </cell>
          <cell r="J14">
            <v>57.214146</v>
          </cell>
          <cell r="K14">
            <v>0</v>
          </cell>
          <cell r="L14">
            <v>0.81459999999999999</v>
          </cell>
          <cell r="M14">
            <v>0</v>
          </cell>
          <cell r="N14">
            <v>5.1158999999999999</v>
          </cell>
          <cell r="O14">
            <v>0</v>
          </cell>
        </row>
        <row r="15">
          <cell r="B15" t="str">
            <v>Symbol Technologies</v>
          </cell>
          <cell r="C15">
            <v>0</v>
          </cell>
          <cell r="D15">
            <v>0</v>
          </cell>
          <cell r="E15">
            <v>0</v>
          </cell>
          <cell r="F15" t="str">
            <v>Motorola</v>
          </cell>
          <cell r="G15">
            <v>0</v>
          </cell>
          <cell r="H15">
            <v>38979</v>
          </cell>
          <cell r="I15">
            <v>0</v>
          </cell>
          <cell r="J15">
            <v>2944.2252800000001</v>
          </cell>
          <cell r="K15">
            <v>0</v>
          </cell>
          <cell r="L15">
            <v>1.6209</v>
          </cell>
          <cell r="M15">
            <v>0</v>
          </cell>
          <cell r="N15">
            <v>11.9984</v>
          </cell>
          <cell r="O15">
            <v>0</v>
          </cell>
        </row>
        <row r="16">
          <cell r="B16" t="str">
            <v>Cameleon Software</v>
          </cell>
          <cell r="C16">
            <v>0</v>
          </cell>
          <cell r="D16">
            <v>0</v>
          </cell>
          <cell r="E16">
            <v>0</v>
          </cell>
          <cell r="F16" t="str">
            <v>PROS Holdings</v>
          </cell>
          <cell r="G16">
            <v>0</v>
          </cell>
          <cell r="H16">
            <v>41571</v>
          </cell>
          <cell r="I16">
            <v>0</v>
          </cell>
          <cell r="J16">
            <v>18.098917</v>
          </cell>
          <cell r="K16">
            <v>0</v>
          </cell>
          <cell r="L16">
            <v>1.4755</v>
          </cell>
          <cell r="M16">
            <v>0</v>
          </cell>
          <cell r="N16">
            <v>15.0566</v>
          </cell>
          <cell r="O16">
            <v>0</v>
          </cell>
        </row>
        <row r="17">
          <cell r="B17">
            <v>0</v>
          </cell>
          <cell r="C17">
            <v>0</v>
          </cell>
          <cell r="D17">
            <v>0</v>
          </cell>
          <cell r="E17">
            <v>0</v>
          </cell>
          <cell r="F17">
            <v>0</v>
          </cell>
          <cell r="G17">
            <v>0</v>
          </cell>
          <cell r="H17">
            <v>0</v>
          </cell>
          <cell r="I17">
            <v>0</v>
          </cell>
          <cell r="J17">
            <v>0</v>
          </cell>
          <cell r="K17">
            <v>0</v>
          </cell>
          <cell r="L17">
            <v>0</v>
          </cell>
          <cell r="M17">
            <v>0</v>
          </cell>
          <cell r="N17">
            <v>0</v>
          </cell>
          <cell r="O17">
            <v>0</v>
          </cell>
        </row>
        <row r="18">
          <cell r="B18" t="str">
            <v>Low</v>
          </cell>
          <cell r="C18">
            <v>0</v>
          </cell>
          <cell r="D18">
            <v>0</v>
          </cell>
          <cell r="E18">
            <v>0</v>
          </cell>
          <cell r="F18">
            <v>0</v>
          </cell>
          <cell r="G18">
            <v>0</v>
          </cell>
          <cell r="H18">
            <v>0</v>
          </cell>
          <cell r="I18">
            <v>0</v>
          </cell>
          <cell r="J18">
            <v>13</v>
          </cell>
          <cell r="K18">
            <v>0</v>
          </cell>
          <cell r="L18">
            <v>0.62</v>
          </cell>
          <cell r="M18">
            <v>0</v>
          </cell>
          <cell r="N18">
            <v>17.5</v>
          </cell>
          <cell r="O18">
            <v>0</v>
          </cell>
        </row>
        <row r="19">
          <cell r="B19" t="str">
            <v>Mean</v>
          </cell>
          <cell r="C19">
            <v>0</v>
          </cell>
          <cell r="D19">
            <v>0</v>
          </cell>
          <cell r="E19">
            <v>0</v>
          </cell>
          <cell r="F19">
            <v>0</v>
          </cell>
          <cell r="G19">
            <v>0</v>
          </cell>
          <cell r="H19">
            <v>0</v>
          </cell>
          <cell r="I19">
            <v>0</v>
          </cell>
          <cell r="J19">
            <v>1447.1163821</v>
          </cell>
          <cell r="K19">
            <v>0</v>
          </cell>
          <cell r="L19">
            <v>5.9566129827747298</v>
          </cell>
          <cell r="M19">
            <v>0</v>
          </cell>
          <cell r="N19">
            <v>63.348749858140799</v>
          </cell>
          <cell r="O19">
            <v>0</v>
          </cell>
        </row>
        <row r="20">
          <cell r="B20" t="str">
            <v>Median</v>
          </cell>
          <cell r="C20">
            <v>0</v>
          </cell>
          <cell r="D20">
            <v>0</v>
          </cell>
          <cell r="E20">
            <v>0</v>
          </cell>
          <cell r="F20">
            <v>0</v>
          </cell>
          <cell r="G20">
            <v>0</v>
          </cell>
          <cell r="H20">
            <v>0</v>
          </cell>
          <cell r="I20">
            <v>0</v>
          </cell>
          <cell r="J20">
            <v>1000</v>
          </cell>
          <cell r="K20">
            <v>0</v>
          </cell>
          <cell r="L20">
            <v>4.4877488080469599</v>
          </cell>
          <cell r="M20">
            <v>0</v>
          </cell>
          <cell r="N20">
            <v>17.5</v>
          </cell>
          <cell r="O20">
            <v>0</v>
          </cell>
        </row>
        <row r="21">
          <cell r="B21" t="str">
            <v>High</v>
          </cell>
          <cell r="C21">
            <v>0</v>
          </cell>
          <cell r="D21">
            <v>0</v>
          </cell>
          <cell r="E21">
            <v>0</v>
          </cell>
          <cell r="F21">
            <v>0</v>
          </cell>
          <cell r="G21">
            <v>0</v>
          </cell>
          <cell r="H21">
            <v>0</v>
          </cell>
          <cell r="I21">
            <v>0</v>
          </cell>
          <cell r="J21">
            <v>4300</v>
          </cell>
          <cell r="K21">
            <v>0</v>
          </cell>
          <cell r="L21">
            <v>10.3675288994868</v>
          </cell>
          <cell r="M21">
            <v>0</v>
          </cell>
          <cell r="N21">
            <v>127.141327623126</v>
          </cell>
          <cell r="O21">
            <v>0</v>
          </cell>
        </row>
      </sheetData>
      <sheetData sheetId="21"/>
      <sheetData sheetId="22"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Tahiti Summary Page"/>
      <sheetName val="Forecast - Input"/>
      <sheetName val="Assumptions - Drivers"/>
      <sheetName val="ODL Forecast"/>
      <sheetName val="Growth "/>
      <sheetName val="Assumptions"/>
      <sheetName val="Employee Salary - Monthly"/>
      <sheetName val="Employee Pay History"/>
      <sheetName val="Monthly P&amp;L- Input (2011)"/>
      <sheetName val="Monthly BS - Input"/>
      <sheetName val="NWC Analysis"/>
      <sheetName val="Summary Balance Sheet - OUTPUT"/>
      <sheetName val="Summary P&amp;L - Output"/>
      <sheetName val="Management Presentation--&gt;"/>
      <sheetName val="Key Metrics "/>
      <sheetName val="Business Trends"/>
      <sheetName val="Proposals"/>
      <sheetName val="Site Retention"/>
      <sheetName val="Customer &amp; Site Rollforward"/>
      <sheetName val="Win Rate"/>
      <sheetName val="Customers - Active"/>
      <sheetName val="Customer Count"/>
      <sheetName val="YTD2014 Billings"/>
      <sheetName val="Billings Breakdown"/>
      <sheetName val="Customer Pipeline"/>
      <sheetName val="Detailed Revenue Breakdown "/>
      <sheetName val="Customer Concentration"/>
      <sheetName val="Update - Input"/>
      <sheetName val="Update"/>
      <sheetName val="Pricing Options"/>
      <sheetName val="15 - 16 Key Metrics"/>
      <sheetName val="15 - 16 Key Metrics DD "/>
      <sheetName val="Revenue Bridge "/>
      <sheetName val="New vs. Existing "/>
      <sheetName val="New vs. Existing Total Lic."/>
      <sheetName val="Financials(CIM) &gt;&gt;&gt;&gt;"/>
      <sheetName val="Revenue Comparison"/>
      <sheetName val="CIM Revenue by Segment"/>
      <sheetName val="Executive Summary P&amp;L"/>
      <sheetName val="Revenue &amp; EBITDA"/>
      <sheetName val="P&amp;L Output Detailed"/>
      <sheetName val="Valuation Summary"/>
      <sheetName val="DCF - Formatted"/>
      <sheetName val="WACC"/>
      <sheetName val="Master"/>
      <sheetName val="Output"/>
      <sheetName val="Combined"/>
      <sheetName val="Screening 12.8"/>
      <sheetName val="Screening Output"/>
      <sheetName val="Revenue Ques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31">
          <cell r="Z31">
            <v>502.36308000000002</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ow r="2">
          <cell r="C2" t="str">
            <v>Public Trading Comparables</v>
          </cell>
          <cell r="D2">
            <v>0</v>
          </cell>
          <cell r="E2">
            <v>0</v>
          </cell>
          <cell r="F2">
            <v>0</v>
          </cell>
          <cell r="G2">
            <v>0</v>
          </cell>
          <cell r="H2">
            <v>0</v>
          </cell>
          <cell r="I2">
            <v>0</v>
          </cell>
          <cell r="L2" t="str">
            <v>Public Trading Comparables</v>
          </cell>
          <cell r="M2">
            <v>0</v>
          </cell>
          <cell r="N2">
            <v>0</v>
          </cell>
          <cell r="O2">
            <v>0</v>
          </cell>
          <cell r="P2">
            <v>0</v>
          </cell>
          <cell r="Q2">
            <v>0</v>
          </cell>
          <cell r="R2">
            <v>0</v>
          </cell>
          <cell r="V2">
            <v>1000</v>
          </cell>
        </row>
        <row r="3">
          <cell r="B3">
            <v>0</v>
          </cell>
          <cell r="C3" t="str">
            <v>EV / Sales</v>
          </cell>
          <cell r="D3">
            <v>0</v>
          </cell>
          <cell r="E3">
            <v>0</v>
          </cell>
          <cell r="F3">
            <v>0</v>
          </cell>
          <cell r="G3">
            <v>0</v>
          </cell>
          <cell r="H3">
            <v>0</v>
          </cell>
          <cell r="I3">
            <v>0</v>
          </cell>
          <cell r="K3">
            <v>0</v>
          </cell>
          <cell r="L3" t="str">
            <v>EV / EBITDA</v>
          </cell>
          <cell r="M3">
            <v>0</v>
          </cell>
          <cell r="N3">
            <v>0</v>
          </cell>
          <cell r="O3">
            <v>0</v>
          </cell>
          <cell r="P3">
            <v>0</v>
          </cell>
          <cell r="Q3">
            <v>0</v>
          </cell>
          <cell r="R3">
            <v>0</v>
          </cell>
        </row>
        <row r="4">
          <cell r="B4">
            <v>0</v>
          </cell>
          <cell r="C4" t="str">
            <v>Blended</v>
          </cell>
          <cell r="D4">
            <v>0</v>
          </cell>
          <cell r="E4">
            <v>0</v>
          </cell>
          <cell r="F4">
            <v>0</v>
          </cell>
          <cell r="G4">
            <v>0</v>
          </cell>
          <cell r="H4">
            <v>0</v>
          </cell>
          <cell r="I4">
            <v>0</v>
          </cell>
          <cell r="K4">
            <v>0</v>
          </cell>
          <cell r="L4" t="str">
            <v>Blended</v>
          </cell>
          <cell r="M4">
            <v>0</v>
          </cell>
          <cell r="N4">
            <v>0</v>
          </cell>
          <cell r="O4">
            <v>0</v>
          </cell>
          <cell r="P4">
            <v>0</v>
          </cell>
          <cell r="Q4">
            <v>0</v>
          </cell>
          <cell r="R4">
            <v>0</v>
          </cell>
          <cell r="T4">
            <v>2015</v>
          </cell>
          <cell r="U4">
            <v>0</v>
          </cell>
          <cell r="V4" t="str">
            <v>$ in 000s</v>
          </cell>
        </row>
        <row r="5">
          <cell r="B5" t="str">
            <v>Low</v>
          </cell>
          <cell r="C5" t="e">
            <v>#NAME?</v>
          </cell>
          <cell r="D5">
            <v>0</v>
          </cell>
          <cell r="E5">
            <v>0</v>
          </cell>
          <cell r="F5">
            <v>0</v>
          </cell>
          <cell r="G5">
            <v>0</v>
          </cell>
          <cell r="H5">
            <v>0</v>
          </cell>
          <cell r="I5">
            <v>0</v>
          </cell>
          <cell r="J5">
            <v>0</v>
          </cell>
          <cell r="K5" t="str">
            <v>Low</v>
          </cell>
          <cell r="L5" t="e">
            <v>#NAME?</v>
          </cell>
          <cell r="M5">
            <v>0</v>
          </cell>
          <cell r="N5">
            <v>0</v>
          </cell>
          <cell r="O5">
            <v>0</v>
          </cell>
          <cell r="P5">
            <v>0</v>
          </cell>
          <cell r="Q5">
            <v>0</v>
          </cell>
          <cell r="R5">
            <v>0</v>
          </cell>
          <cell r="T5" t="str">
            <v>Revenue</v>
          </cell>
          <cell r="U5">
            <v>0</v>
          </cell>
          <cell r="V5">
            <v>12.140935545806901</v>
          </cell>
          <cell r="X5">
            <v>0</v>
          </cell>
        </row>
        <row r="6">
          <cell r="B6" t="str">
            <v>Mean</v>
          </cell>
          <cell r="C6" t="e">
            <v>#NAME?</v>
          </cell>
          <cell r="D6">
            <v>0</v>
          </cell>
          <cell r="E6">
            <v>0</v>
          </cell>
          <cell r="F6">
            <v>0</v>
          </cell>
          <cell r="G6">
            <v>0</v>
          </cell>
          <cell r="H6">
            <v>0</v>
          </cell>
          <cell r="I6">
            <v>0</v>
          </cell>
          <cell r="J6">
            <v>0</v>
          </cell>
          <cell r="K6" t="str">
            <v>Mean</v>
          </cell>
          <cell r="L6" t="e">
            <v>#NAME?</v>
          </cell>
          <cell r="M6">
            <v>0</v>
          </cell>
          <cell r="N6">
            <v>0</v>
          </cell>
          <cell r="O6">
            <v>0</v>
          </cell>
          <cell r="P6">
            <v>0</v>
          </cell>
          <cell r="Q6">
            <v>0</v>
          </cell>
          <cell r="R6">
            <v>0</v>
          </cell>
          <cell r="T6" t="str">
            <v>EBITDA</v>
          </cell>
          <cell r="U6">
            <v>0</v>
          </cell>
          <cell r="V6">
            <v>6.0412355054910902</v>
          </cell>
        </row>
        <row r="7">
          <cell r="B7" t="str">
            <v>Median</v>
          </cell>
          <cell r="C7" t="e">
            <v>#NAME?</v>
          </cell>
          <cell r="D7">
            <v>0</v>
          </cell>
          <cell r="E7">
            <v>0</v>
          </cell>
          <cell r="F7">
            <v>0</v>
          </cell>
          <cell r="G7">
            <v>0</v>
          </cell>
          <cell r="H7">
            <v>0</v>
          </cell>
          <cell r="I7">
            <v>0</v>
          </cell>
          <cell r="J7">
            <v>0</v>
          </cell>
          <cell r="K7" t="str">
            <v>Median</v>
          </cell>
          <cell r="L7" t="e">
            <v>#NAME?</v>
          </cell>
          <cell r="M7">
            <v>0</v>
          </cell>
          <cell r="N7">
            <v>0</v>
          </cell>
          <cell r="O7">
            <v>0</v>
          </cell>
          <cell r="P7">
            <v>0</v>
          </cell>
          <cell r="Q7">
            <v>0</v>
          </cell>
          <cell r="R7">
            <v>0</v>
          </cell>
        </row>
        <row r="8">
          <cell r="B8" t="str">
            <v>High</v>
          </cell>
          <cell r="C8" t="e">
            <v>#NAME?</v>
          </cell>
          <cell r="D8">
            <v>0</v>
          </cell>
          <cell r="E8">
            <v>0</v>
          </cell>
          <cell r="F8">
            <v>0</v>
          </cell>
          <cell r="G8">
            <v>0</v>
          </cell>
          <cell r="H8">
            <v>0</v>
          </cell>
          <cell r="I8">
            <v>0</v>
          </cell>
          <cell r="J8">
            <v>0</v>
          </cell>
          <cell r="K8" t="str">
            <v>High</v>
          </cell>
          <cell r="L8" t="e">
            <v>#NAME?</v>
          </cell>
          <cell r="M8">
            <v>0</v>
          </cell>
          <cell r="N8">
            <v>0</v>
          </cell>
          <cell r="O8">
            <v>0</v>
          </cell>
          <cell r="P8">
            <v>0</v>
          </cell>
          <cell r="Q8">
            <v>0</v>
          </cell>
          <cell r="R8">
            <v>0</v>
          </cell>
        </row>
        <row r="9">
          <cell r="B9">
            <v>0</v>
          </cell>
          <cell r="C9">
            <v>0</v>
          </cell>
          <cell r="D9">
            <v>0</v>
          </cell>
          <cell r="E9">
            <v>0</v>
          </cell>
          <cell r="F9">
            <v>0</v>
          </cell>
          <cell r="G9">
            <v>0</v>
          </cell>
          <cell r="H9">
            <v>0</v>
          </cell>
          <cell r="I9">
            <v>0</v>
          </cell>
          <cell r="K9">
            <v>0</v>
          </cell>
          <cell r="L9">
            <v>0</v>
          </cell>
          <cell r="M9">
            <v>0</v>
          </cell>
          <cell r="N9">
            <v>0</v>
          </cell>
          <cell r="O9">
            <v>0</v>
          </cell>
          <cell r="P9">
            <v>0</v>
          </cell>
          <cell r="Q9">
            <v>0</v>
          </cell>
          <cell r="R9">
            <v>0</v>
          </cell>
        </row>
        <row r="10">
          <cell r="B10">
            <v>0</v>
          </cell>
          <cell r="C10" t="str">
            <v>Public Trading - Valuations</v>
          </cell>
          <cell r="D10">
            <v>0</v>
          </cell>
          <cell r="E10">
            <v>0</v>
          </cell>
          <cell r="F10">
            <v>0</v>
          </cell>
          <cell r="G10">
            <v>0</v>
          </cell>
          <cell r="H10">
            <v>0</v>
          </cell>
          <cell r="I10">
            <v>0</v>
          </cell>
          <cell r="K10">
            <v>0</v>
          </cell>
          <cell r="L10" t="str">
            <v>Public Trading - Valuations</v>
          </cell>
          <cell r="M10">
            <v>0</v>
          </cell>
          <cell r="N10">
            <v>0</v>
          </cell>
          <cell r="O10">
            <v>0</v>
          </cell>
          <cell r="P10">
            <v>0</v>
          </cell>
          <cell r="Q10">
            <v>0</v>
          </cell>
          <cell r="R10">
            <v>0</v>
          </cell>
        </row>
        <row r="11">
          <cell r="B11" t="str">
            <v>Low</v>
          </cell>
          <cell r="C11" t="e">
            <v>#NAME?</v>
          </cell>
          <cell r="D11">
            <v>0</v>
          </cell>
          <cell r="E11">
            <v>0</v>
          </cell>
          <cell r="F11">
            <v>0</v>
          </cell>
          <cell r="G11">
            <v>0</v>
          </cell>
          <cell r="H11">
            <v>0</v>
          </cell>
          <cell r="I11">
            <v>0</v>
          </cell>
          <cell r="K11" t="str">
            <v>Low</v>
          </cell>
          <cell r="L11" t="e">
            <v>#NAME?</v>
          </cell>
          <cell r="M11">
            <v>0</v>
          </cell>
          <cell r="N11">
            <v>0</v>
          </cell>
          <cell r="O11">
            <v>0</v>
          </cell>
          <cell r="P11">
            <v>0</v>
          </cell>
          <cell r="Q11">
            <v>0</v>
          </cell>
          <cell r="R11">
            <v>0</v>
          </cell>
        </row>
        <row r="12">
          <cell r="B12" t="str">
            <v>Mean</v>
          </cell>
          <cell r="C12" t="e">
            <v>#NAME?</v>
          </cell>
          <cell r="D12">
            <v>0</v>
          </cell>
          <cell r="E12">
            <v>0</v>
          </cell>
          <cell r="F12">
            <v>0</v>
          </cell>
          <cell r="G12">
            <v>0</v>
          </cell>
          <cell r="H12">
            <v>0</v>
          </cell>
          <cell r="I12">
            <v>0</v>
          </cell>
          <cell r="K12" t="str">
            <v>Mean</v>
          </cell>
          <cell r="L12" t="e">
            <v>#NAME?</v>
          </cell>
          <cell r="M12">
            <v>0</v>
          </cell>
          <cell r="N12">
            <v>0</v>
          </cell>
          <cell r="O12">
            <v>0</v>
          </cell>
          <cell r="P12">
            <v>0</v>
          </cell>
          <cell r="Q12">
            <v>0</v>
          </cell>
          <cell r="R12">
            <v>0</v>
          </cell>
        </row>
        <row r="13">
          <cell r="B13" t="str">
            <v>Median</v>
          </cell>
          <cell r="C13" t="e">
            <v>#NAME?</v>
          </cell>
          <cell r="D13">
            <v>0</v>
          </cell>
          <cell r="E13">
            <v>0</v>
          </cell>
          <cell r="F13">
            <v>0</v>
          </cell>
          <cell r="G13">
            <v>0</v>
          </cell>
          <cell r="H13">
            <v>0</v>
          </cell>
          <cell r="I13">
            <v>0</v>
          </cell>
          <cell r="K13" t="str">
            <v>Median</v>
          </cell>
          <cell r="L13" t="e">
            <v>#NAME?</v>
          </cell>
          <cell r="M13">
            <v>0</v>
          </cell>
          <cell r="N13">
            <v>0</v>
          </cell>
          <cell r="O13">
            <v>0</v>
          </cell>
          <cell r="P13">
            <v>0</v>
          </cell>
          <cell r="Q13">
            <v>0</v>
          </cell>
          <cell r="R13">
            <v>0</v>
          </cell>
        </row>
        <row r="14">
          <cell r="B14" t="str">
            <v>High</v>
          </cell>
          <cell r="C14" t="e">
            <v>#NAME?</v>
          </cell>
          <cell r="D14">
            <v>0</v>
          </cell>
          <cell r="E14">
            <v>0</v>
          </cell>
          <cell r="F14">
            <v>0</v>
          </cell>
          <cell r="G14">
            <v>0</v>
          </cell>
          <cell r="H14">
            <v>0</v>
          </cell>
          <cell r="I14">
            <v>0</v>
          </cell>
          <cell r="K14" t="str">
            <v>High</v>
          </cell>
          <cell r="L14" t="e">
            <v>#NAME?</v>
          </cell>
          <cell r="M14">
            <v>0</v>
          </cell>
          <cell r="N14">
            <v>0</v>
          </cell>
          <cell r="O14">
            <v>0</v>
          </cell>
          <cell r="P14">
            <v>0</v>
          </cell>
          <cell r="Q14">
            <v>0</v>
          </cell>
          <cell r="R14">
            <v>0</v>
          </cell>
        </row>
        <row r="15">
          <cell r="B15">
            <v>0</v>
          </cell>
          <cell r="C15">
            <v>0</v>
          </cell>
          <cell r="D15">
            <v>0</v>
          </cell>
          <cell r="E15">
            <v>0</v>
          </cell>
          <cell r="F15">
            <v>0</v>
          </cell>
          <cell r="G15">
            <v>0</v>
          </cell>
          <cell r="H15">
            <v>0</v>
          </cell>
          <cell r="I15">
            <v>0</v>
          </cell>
          <cell r="K15">
            <v>0</v>
          </cell>
          <cell r="L15">
            <v>0</v>
          </cell>
          <cell r="M15">
            <v>0</v>
          </cell>
          <cell r="N15">
            <v>0</v>
          </cell>
          <cell r="O15">
            <v>0</v>
          </cell>
          <cell r="P15">
            <v>0</v>
          </cell>
          <cell r="Q15">
            <v>0</v>
          </cell>
          <cell r="R15">
            <v>0</v>
          </cell>
        </row>
        <row r="16">
          <cell r="C16" t="str">
            <v>Precedent Transactions</v>
          </cell>
          <cell r="D16">
            <v>0</v>
          </cell>
          <cell r="E16">
            <v>0</v>
          </cell>
          <cell r="F16">
            <v>0</v>
          </cell>
          <cell r="G16">
            <v>0</v>
          </cell>
          <cell r="H16">
            <v>0</v>
          </cell>
          <cell r="I16">
            <v>0</v>
          </cell>
          <cell r="L16" t="str">
            <v>Precedent Transactions</v>
          </cell>
          <cell r="M16">
            <v>0</v>
          </cell>
          <cell r="N16">
            <v>0</v>
          </cell>
          <cell r="O16">
            <v>0</v>
          </cell>
          <cell r="P16">
            <v>0</v>
          </cell>
          <cell r="Q16">
            <v>0</v>
          </cell>
          <cell r="R16">
            <v>0</v>
          </cell>
        </row>
        <row r="17">
          <cell r="B17">
            <v>0</v>
          </cell>
          <cell r="C17" t="str">
            <v>EV / Sales</v>
          </cell>
          <cell r="D17">
            <v>0</v>
          </cell>
          <cell r="E17">
            <v>0</v>
          </cell>
          <cell r="F17">
            <v>0</v>
          </cell>
          <cell r="G17">
            <v>0</v>
          </cell>
          <cell r="H17">
            <v>0</v>
          </cell>
          <cell r="I17">
            <v>0</v>
          </cell>
          <cell r="K17">
            <v>0</v>
          </cell>
          <cell r="L17" t="str">
            <v>EV / EBITDA</v>
          </cell>
          <cell r="M17">
            <v>0</v>
          </cell>
          <cell r="N17">
            <v>0</v>
          </cell>
          <cell r="O17">
            <v>0</v>
          </cell>
          <cell r="P17">
            <v>0</v>
          </cell>
          <cell r="Q17">
            <v>0</v>
          </cell>
          <cell r="R17">
            <v>0</v>
          </cell>
        </row>
        <row r="18">
          <cell r="B18">
            <v>0</v>
          </cell>
          <cell r="C18" t="str">
            <v>Blended</v>
          </cell>
          <cell r="D18">
            <v>0</v>
          </cell>
          <cell r="E18">
            <v>0</v>
          </cell>
          <cell r="F18">
            <v>0</v>
          </cell>
          <cell r="G18">
            <v>0</v>
          </cell>
          <cell r="H18">
            <v>0</v>
          </cell>
          <cell r="I18">
            <v>0</v>
          </cell>
          <cell r="K18">
            <v>0</v>
          </cell>
          <cell r="L18" t="str">
            <v>Blended</v>
          </cell>
          <cell r="M18">
            <v>0</v>
          </cell>
          <cell r="N18">
            <v>0</v>
          </cell>
          <cell r="O18">
            <v>0</v>
          </cell>
          <cell r="P18">
            <v>0</v>
          </cell>
          <cell r="Q18">
            <v>0</v>
          </cell>
          <cell r="R18">
            <v>0</v>
          </cell>
        </row>
        <row r="19">
          <cell r="B19" t="str">
            <v>Low</v>
          </cell>
          <cell r="C19">
            <v>0.5</v>
          </cell>
          <cell r="D19">
            <v>0</v>
          </cell>
          <cell r="E19">
            <v>0</v>
          </cell>
          <cell r="F19">
            <v>0</v>
          </cell>
          <cell r="G19">
            <v>0</v>
          </cell>
          <cell r="H19">
            <v>0</v>
          </cell>
          <cell r="I19">
            <v>0</v>
          </cell>
          <cell r="J19">
            <v>0</v>
          </cell>
          <cell r="K19" t="str">
            <v>Low</v>
          </cell>
          <cell r="L19">
            <v>8.3000000000000007</v>
          </cell>
          <cell r="M19">
            <v>0</v>
          </cell>
          <cell r="N19">
            <v>0</v>
          </cell>
          <cell r="O19">
            <v>0</v>
          </cell>
          <cell r="P19">
            <v>0</v>
          </cell>
          <cell r="Q19">
            <v>0</v>
          </cell>
          <cell r="R19">
            <v>0</v>
          </cell>
        </row>
        <row r="20">
          <cell r="B20" t="str">
            <v>Mean</v>
          </cell>
          <cell r="C20">
            <v>3.9467862943173402</v>
          </cell>
          <cell r="D20">
            <v>0</v>
          </cell>
          <cell r="E20">
            <v>0</v>
          </cell>
          <cell r="F20">
            <v>0</v>
          </cell>
          <cell r="G20">
            <v>0</v>
          </cell>
          <cell r="H20">
            <v>0</v>
          </cell>
          <cell r="I20">
            <v>0</v>
          </cell>
          <cell r="J20">
            <v>0</v>
          </cell>
          <cell r="K20" t="str">
            <v>Mean</v>
          </cell>
          <cell r="L20">
            <v>16.321172366018299</v>
          </cell>
          <cell r="M20">
            <v>0</v>
          </cell>
          <cell r="N20">
            <v>0</v>
          </cell>
          <cell r="O20">
            <v>0</v>
          </cell>
          <cell r="P20">
            <v>0</v>
          </cell>
          <cell r="Q20">
            <v>0</v>
          </cell>
          <cell r="R20">
            <v>0</v>
          </cell>
        </row>
        <row r="21">
          <cell r="B21" t="str">
            <v>Median</v>
          </cell>
          <cell r="C21">
            <v>3.05</v>
          </cell>
          <cell r="D21">
            <v>0</v>
          </cell>
          <cell r="E21">
            <v>0</v>
          </cell>
          <cell r="F21">
            <v>0</v>
          </cell>
          <cell r="G21">
            <v>0</v>
          </cell>
          <cell r="H21">
            <v>0</v>
          </cell>
          <cell r="I21">
            <v>0</v>
          </cell>
          <cell r="J21">
            <v>0</v>
          </cell>
          <cell r="K21" t="str">
            <v>Median</v>
          </cell>
          <cell r="L21">
            <v>15.11</v>
          </cell>
          <cell r="M21">
            <v>0</v>
          </cell>
          <cell r="N21">
            <v>0</v>
          </cell>
          <cell r="O21">
            <v>0</v>
          </cell>
          <cell r="P21">
            <v>0</v>
          </cell>
          <cell r="Q21">
            <v>0</v>
          </cell>
          <cell r="R21">
            <v>0</v>
          </cell>
        </row>
        <row r="22">
          <cell r="B22" t="str">
            <v>High</v>
          </cell>
          <cell r="C22">
            <v>11.5</v>
          </cell>
          <cell r="D22">
            <v>0</v>
          </cell>
          <cell r="E22">
            <v>0</v>
          </cell>
          <cell r="F22">
            <v>0</v>
          </cell>
          <cell r="G22">
            <v>0</v>
          </cell>
          <cell r="H22">
            <v>0</v>
          </cell>
          <cell r="I22">
            <v>0</v>
          </cell>
          <cell r="J22">
            <v>0</v>
          </cell>
          <cell r="K22" t="str">
            <v>High</v>
          </cell>
          <cell r="L22">
            <v>36.965332168850097</v>
          </cell>
          <cell r="M22">
            <v>0</v>
          </cell>
          <cell r="N22">
            <v>0</v>
          </cell>
          <cell r="O22">
            <v>0</v>
          </cell>
          <cell r="P22">
            <v>0</v>
          </cell>
          <cell r="Q22">
            <v>0</v>
          </cell>
          <cell r="R22">
            <v>0</v>
          </cell>
        </row>
        <row r="23">
          <cell r="B23">
            <v>0</v>
          </cell>
          <cell r="C23">
            <v>0</v>
          </cell>
          <cell r="D23">
            <v>0</v>
          </cell>
          <cell r="E23">
            <v>0</v>
          </cell>
          <cell r="F23">
            <v>0</v>
          </cell>
          <cell r="G23">
            <v>0</v>
          </cell>
          <cell r="H23">
            <v>0</v>
          </cell>
          <cell r="I23">
            <v>0</v>
          </cell>
          <cell r="K23">
            <v>0</v>
          </cell>
          <cell r="L23">
            <v>0</v>
          </cell>
          <cell r="M23">
            <v>0</v>
          </cell>
          <cell r="N23">
            <v>0</v>
          </cell>
          <cell r="O23">
            <v>0</v>
          </cell>
          <cell r="P23">
            <v>0</v>
          </cell>
          <cell r="Q23">
            <v>0</v>
          </cell>
          <cell r="R23">
            <v>0</v>
          </cell>
        </row>
        <row r="24">
          <cell r="B24">
            <v>0</v>
          </cell>
          <cell r="C24" t="str">
            <v>Precedent Transactions - Valuations</v>
          </cell>
          <cell r="D24">
            <v>0</v>
          </cell>
          <cell r="E24">
            <v>0</v>
          </cell>
          <cell r="F24">
            <v>0</v>
          </cell>
          <cell r="G24">
            <v>0</v>
          </cell>
          <cell r="H24">
            <v>0</v>
          </cell>
          <cell r="I24">
            <v>0</v>
          </cell>
          <cell r="K24">
            <v>0</v>
          </cell>
          <cell r="L24" t="str">
            <v>Precedent Transactions - Valuations</v>
          </cell>
          <cell r="M24">
            <v>0</v>
          </cell>
          <cell r="N24">
            <v>0</v>
          </cell>
          <cell r="O24">
            <v>0</v>
          </cell>
          <cell r="P24">
            <v>0</v>
          </cell>
          <cell r="Q24">
            <v>0</v>
          </cell>
          <cell r="R24">
            <v>0</v>
          </cell>
        </row>
        <row r="25">
          <cell r="B25" t="str">
            <v>Low</v>
          </cell>
          <cell r="C25">
            <v>6.0704677729034504</v>
          </cell>
          <cell r="D25">
            <v>0</v>
          </cell>
          <cell r="E25">
            <v>0</v>
          </cell>
          <cell r="F25">
            <v>0</v>
          </cell>
          <cell r="G25">
            <v>0</v>
          </cell>
          <cell r="H25">
            <v>0</v>
          </cell>
          <cell r="I25">
            <v>0</v>
          </cell>
          <cell r="K25" t="str">
            <v>Low</v>
          </cell>
          <cell r="L25">
            <v>50.142254695576</v>
          </cell>
          <cell r="M25">
            <v>0</v>
          </cell>
          <cell r="N25">
            <v>0</v>
          </cell>
          <cell r="O25">
            <v>0</v>
          </cell>
          <cell r="P25">
            <v>0</v>
          </cell>
          <cell r="Q25">
            <v>0</v>
          </cell>
          <cell r="R25">
            <v>0</v>
          </cell>
        </row>
        <row r="26">
          <cell r="B26" t="str">
            <v>Mean</v>
          </cell>
          <cell r="C26">
            <v>47.917678012380797</v>
          </cell>
          <cell r="D26">
            <v>0</v>
          </cell>
          <cell r="E26">
            <v>0</v>
          </cell>
          <cell r="F26">
            <v>0</v>
          </cell>
          <cell r="G26">
            <v>0</v>
          </cell>
          <cell r="H26">
            <v>0</v>
          </cell>
          <cell r="I26">
            <v>0</v>
          </cell>
          <cell r="K26" t="str">
            <v>Mean</v>
          </cell>
          <cell r="L26">
            <v>98.600045988829507</v>
          </cell>
          <cell r="M26">
            <v>0</v>
          </cell>
          <cell r="N26">
            <v>0</v>
          </cell>
          <cell r="O26">
            <v>0</v>
          </cell>
          <cell r="P26">
            <v>0</v>
          </cell>
          <cell r="Q26">
            <v>0</v>
          </cell>
          <cell r="R26">
            <v>0</v>
          </cell>
        </row>
        <row r="27">
          <cell r="B27" t="str">
            <v>Median</v>
          </cell>
          <cell r="C27">
            <v>37.029853414711098</v>
          </cell>
          <cell r="D27">
            <v>0</v>
          </cell>
          <cell r="E27">
            <v>0</v>
          </cell>
          <cell r="F27">
            <v>0</v>
          </cell>
          <cell r="G27">
            <v>0</v>
          </cell>
          <cell r="H27">
            <v>0</v>
          </cell>
          <cell r="I27">
            <v>0</v>
          </cell>
          <cell r="K27" t="str">
            <v>Median</v>
          </cell>
          <cell r="L27">
            <v>91.283068487970397</v>
          </cell>
          <cell r="M27">
            <v>0</v>
          </cell>
          <cell r="N27">
            <v>0</v>
          </cell>
          <cell r="O27">
            <v>0</v>
          </cell>
          <cell r="P27">
            <v>0</v>
          </cell>
          <cell r="Q27">
            <v>0</v>
          </cell>
          <cell r="R27">
            <v>0</v>
          </cell>
        </row>
        <row r="28">
          <cell r="B28" t="str">
            <v>High</v>
          </cell>
          <cell r="C28">
            <v>139.62075877677901</v>
          </cell>
          <cell r="D28">
            <v>0</v>
          </cell>
          <cell r="E28">
            <v>0</v>
          </cell>
          <cell r="F28">
            <v>0</v>
          </cell>
          <cell r="G28">
            <v>0</v>
          </cell>
          <cell r="H28">
            <v>0</v>
          </cell>
          <cell r="I28">
            <v>0</v>
          </cell>
          <cell r="K28" t="str">
            <v>High</v>
          </cell>
          <cell r="L28">
            <v>223.31627717072899</v>
          </cell>
          <cell r="M28">
            <v>0</v>
          </cell>
          <cell r="N28">
            <v>0</v>
          </cell>
          <cell r="O28">
            <v>0</v>
          </cell>
          <cell r="P28">
            <v>0</v>
          </cell>
          <cell r="Q28">
            <v>0</v>
          </cell>
          <cell r="R28">
            <v>0</v>
          </cell>
        </row>
        <row r="30">
          <cell r="B30">
            <v>0</v>
          </cell>
          <cell r="C30" t="str">
            <v>Range</v>
          </cell>
          <cell r="D30">
            <v>0</v>
          </cell>
          <cell r="E30">
            <v>0</v>
          </cell>
          <cell r="F30">
            <v>0</v>
          </cell>
          <cell r="G30">
            <v>0</v>
          </cell>
          <cell r="H30">
            <v>0</v>
          </cell>
          <cell r="I30">
            <v>0</v>
          </cell>
          <cell r="K30">
            <v>0</v>
          </cell>
          <cell r="L30">
            <v>0</v>
          </cell>
          <cell r="M30">
            <v>0</v>
          </cell>
          <cell r="N30">
            <v>0</v>
          </cell>
          <cell r="O30">
            <v>0</v>
          </cell>
          <cell r="P30">
            <v>0</v>
          </cell>
          <cell r="Q30">
            <v>0</v>
          </cell>
          <cell r="R30">
            <v>0</v>
          </cell>
        </row>
        <row r="31">
          <cell r="B31">
            <v>0</v>
          </cell>
          <cell r="C31" t="str">
            <v>Financial</v>
          </cell>
          <cell r="D31">
            <v>0</v>
          </cell>
          <cell r="E31" t="str">
            <v>Strategic</v>
          </cell>
          <cell r="F31">
            <v>0</v>
          </cell>
          <cell r="G31" t="str">
            <v>Current Mkt.</v>
          </cell>
          <cell r="H31">
            <v>0</v>
          </cell>
          <cell r="K31">
            <v>0</v>
          </cell>
          <cell r="L31">
            <v>0</v>
          </cell>
          <cell r="M31">
            <v>0</v>
          </cell>
          <cell r="N31">
            <v>0</v>
          </cell>
          <cell r="O31">
            <v>0</v>
          </cell>
          <cell r="P31">
            <v>0</v>
          </cell>
          <cell r="Q31">
            <v>0</v>
          </cell>
          <cell r="R31">
            <v>0</v>
          </cell>
        </row>
        <row r="32">
          <cell r="B32" t="str">
            <v>Low</v>
          </cell>
          <cell r="C32">
            <v>40</v>
          </cell>
          <cell r="D32">
            <v>0</v>
          </cell>
          <cell r="E32">
            <v>0</v>
          </cell>
          <cell r="F32">
            <v>0</v>
          </cell>
          <cell r="G32">
            <v>0</v>
          </cell>
          <cell r="H32">
            <v>0</v>
          </cell>
          <cell r="K32">
            <v>0</v>
          </cell>
          <cell r="L32">
            <v>0</v>
          </cell>
          <cell r="M32">
            <v>0</v>
          </cell>
          <cell r="N32">
            <v>0</v>
          </cell>
          <cell r="O32">
            <v>0</v>
          </cell>
          <cell r="P32">
            <v>0</v>
          </cell>
          <cell r="Q32">
            <v>0</v>
          </cell>
          <cell r="R32">
            <v>0</v>
          </cell>
        </row>
        <row r="33">
          <cell r="B33" t="str">
            <v>High</v>
          </cell>
          <cell r="C33">
            <v>50</v>
          </cell>
          <cell r="D33">
            <v>0</v>
          </cell>
          <cell r="E33">
            <v>0</v>
          </cell>
          <cell r="F33">
            <v>0</v>
          </cell>
          <cell r="G33">
            <v>0</v>
          </cell>
          <cell r="H33">
            <v>0</v>
          </cell>
          <cell r="K33">
            <v>0</v>
          </cell>
          <cell r="L33">
            <v>0</v>
          </cell>
          <cell r="M33">
            <v>0</v>
          </cell>
          <cell r="N33">
            <v>0</v>
          </cell>
          <cell r="O33">
            <v>0</v>
          </cell>
          <cell r="P33">
            <v>0</v>
          </cell>
          <cell r="Q33">
            <v>0</v>
          </cell>
          <cell r="R33">
            <v>0</v>
          </cell>
        </row>
        <row r="35">
          <cell r="B35">
            <v>0</v>
          </cell>
          <cell r="C35" t="str">
            <v>Range - EV / Sales</v>
          </cell>
          <cell r="D35">
            <v>0</v>
          </cell>
          <cell r="E35">
            <v>0</v>
          </cell>
          <cell r="F35">
            <v>0</v>
          </cell>
          <cell r="G35">
            <v>0</v>
          </cell>
          <cell r="H35">
            <v>0</v>
          </cell>
          <cell r="I35">
            <v>0</v>
          </cell>
          <cell r="J35">
            <v>0</v>
          </cell>
        </row>
        <row r="36">
          <cell r="B36">
            <v>0</v>
          </cell>
          <cell r="C36" t="str">
            <v>Financial</v>
          </cell>
          <cell r="D36">
            <v>0</v>
          </cell>
          <cell r="E36" t="str">
            <v>Strategic</v>
          </cell>
          <cell r="F36">
            <v>0</v>
          </cell>
          <cell r="G36" t="str">
            <v>Current Mkt.</v>
          </cell>
          <cell r="H36">
            <v>0</v>
          </cell>
          <cell r="I36">
            <v>0</v>
          </cell>
        </row>
        <row r="37">
          <cell r="B37" t="str">
            <v>Low</v>
          </cell>
          <cell r="C37">
            <v>3.2946390209455299</v>
          </cell>
          <cell r="D37">
            <v>0</v>
          </cell>
          <cell r="E37">
            <v>0</v>
          </cell>
          <cell r="F37">
            <v>0</v>
          </cell>
          <cell r="G37">
            <v>0</v>
          </cell>
          <cell r="H37">
            <v>0</v>
          </cell>
          <cell r="I37">
            <v>0</v>
          </cell>
        </row>
        <row r="38">
          <cell r="B38" t="str">
            <v>High</v>
          </cell>
          <cell r="C38">
            <v>4.1182987761819101</v>
          </cell>
          <cell r="D38">
            <v>0</v>
          </cell>
          <cell r="E38">
            <v>0</v>
          </cell>
          <cell r="F38">
            <v>0</v>
          </cell>
          <cell r="G38">
            <v>0</v>
          </cell>
          <cell r="H38">
            <v>0</v>
          </cell>
          <cell r="I38">
            <v>0</v>
          </cell>
          <cell r="W38">
            <v>1000</v>
          </cell>
          <cell r="X38" t="str">
            <v>Input</v>
          </cell>
          <cell r="Z38" t="str">
            <v>Input</v>
          </cell>
          <cell r="AB38" t="str">
            <v>Graph</v>
          </cell>
          <cell r="AD38" t="str">
            <v>Graph</v>
          </cell>
          <cell r="AF38" t="str">
            <v>Graph</v>
          </cell>
        </row>
        <row r="39">
          <cell r="X39" t="str">
            <v>Mean</v>
          </cell>
          <cell r="Y39">
            <v>0</v>
          </cell>
          <cell r="Z39" t="str">
            <v>High</v>
          </cell>
          <cell r="AB39" t="str">
            <v>Mean</v>
          </cell>
          <cell r="AD39" t="str">
            <v>Difference</v>
          </cell>
          <cell r="AF39" t="str">
            <v>High</v>
          </cell>
        </row>
        <row r="40">
          <cell r="B40">
            <v>0</v>
          </cell>
          <cell r="C40" t="str">
            <v>Range - EV / EBITDA</v>
          </cell>
          <cell r="D40">
            <v>0</v>
          </cell>
          <cell r="E40">
            <v>0</v>
          </cell>
          <cell r="F40">
            <v>0</v>
          </cell>
          <cell r="G40">
            <v>0</v>
          </cell>
          <cell r="H40">
            <v>0</v>
          </cell>
          <cell r="I40">
            <v>0</v>
          </cell>
          <cell r="W40">
            <v>0</v>
          </cell>
          <cell r="X40">
            <v>0</v>
          </cell>
          <cell r="Y40">
            <v>0</v>
          </cell>
          <cell r="Z40">
            <v>0</v>
          </cell>
          <cell r="AA40">
            <v>0</v>
          </cell>
          <cell r="AB40">
            <v>0</v>
          </cell>
          <cell r="AC40">
            <v>0</v>
          </cell>
          <cell r="AD40">
            <v>0</v>
          </cell>
          <cell r="AE40">
            <v>0</v>
          </cell>
          <cell r="AF40">
            <v>0</v>
          </cell>
        </row>
        <row r="41">
          <cell r="B41">
            <v>0</v>
          </cell>
          <cell r="C41" t="str">
            <v>Financial</v>
          </cell>
          <cell r="D41">
            <v>0</v>
          </cell>
          <cell r="E41" t="str">
            <v>Strategic</v>
          </cell>
          <cell r="F41">
            <v>0</v>
          </cell>
          <cell r="G41" t="str">
            <v>Current Mkt.</v>
          </cell>
          <cell r="H41">
            <v>0</v>
          </cell>
          <cell r="W41" t="str">
            <v>Precendent Transaction</v>
          </cell>
          <cell r="X41">
            <v>37.029853414711098</v>
          </cell>
          <cell r="Y41">
            <v>0</v>
          </cell>
          <cell r="Z41">
            <v>91.283068487970397</v>
          </cell>
          <cell r="AA41">
            <v>0</v>
          </cell>
          <cell r="AB41">
            <v>37.029853414711098</v>
          </cell>
          <cell r="AC41">
            <v>0</v>
          </cell>
          <cell r="AD41">
            <v>54.253215073259298</v>
          </cell>
          <cell r="AE41">
            <v>0</v>
          </cell>
          <cell r="AF41">
            <v>91.283068487970397</v>
          </cell>
        </row>
        <row r="42">
          <cell r="B42" t="str">
            <v>Low</v>
          </cell>
          <cell r="C42">
            <v>6.6211621718177698</v>
          </cell>
          <cell r="D42">
            <v>0</v>
          </cell>
          <cell r="E42">
            <v>0</v>
          </cell>
          <cell r="F42">
            <v>0</v>
          </cell>
          <cell r="G42">
            <v>0</v>
          </cell>
          <cell r="H42">
            <v>0</v>
          </cell>
          <cell r="W42" t="str">
            <v>DCF</v>
          </cell>
          <cell r="X42">
            <v>29.094286020537002</v>
          </cell>
          <cell r="Y42">
            <v>0</v>
          </cell>
          <cell r="Z42">
            <v>88.930563125652199</v>
          </cell>
          <cell r="AA42">
            <v>0</v>
          </cell>
          <cell r="AB42">
            <v>29.094286020537002</v>
          </cell>
          <cell r="AC42">
            <v>0</v>
          </cell>
          <cell r="AD42">
            <v>59.836277105115201</v>
          </cell>
          <cell r="AE42">
            <v>0</v>
          </cell>
          <cell r="AF42">
            <v>88.930563125652199</v>
          </cell>
        </row>
        <row r="43">
          <cell r="B43" t="str">
            <v>High</v>
          </cell>
          <cell r="C43">
            <v>8.2764527147722102</v>
          </cell>
          <cell r="D43">
            <v>0</v>
          </cell>
          <cell r="E43">
            <v>0</v>
          </cell>
          <cell r="F43">
            <v>0</v>
          </cell>
          <cell r="G43">
            <v>0</v>
          </cell>
          <cell r="W43" t="str">
            <v>EV / Sales</v>
          </cell>
          <cell r="X43" t="e">
            <v>#NAME?</v>
          </cell>
          <cell r="Y43">
            <v>0</v>
          </cell>
          <cell r="Z43" t="e">
            <v>#NAME?</v>
          </cell>
          <cell r="AA43">
            <v>0</v>
          </cell>
          <cell r="AB43" t="e">
            <v>#NAME?</v>
          </cell>
          <cell r="AC43">
            <v>0</v>
          </cell>
          <cell r="AD43" t="e">
            <v>#NAME?</v>
          </cell>
          <cell r="AE43">
            <v>0</v>
          </cell>
          <cell r="AF43" t="e">
            <v>#NAME?</v>
          </cell>
        </row>
        <row r="44">
          <cell r="B44">
            <v>0</v>
          </cell>
          <cell r="C44">
            <v>0</v>
          </cell>
          <cell r="D44">
            <v>0</v>
          </cell>
          <cell r="E44">
            <v>0</v>
          </cell>
          <cell r="F44">
            <v>0</v>
          </cell>
          <cell r="G44">
            <v>0</v>
          </cell>
          <cell r="H44">
            <v>0</v>
          </cell>
          <cell r="W44" t="str">
            <v>EV / EBITDA</v>
          </cell>
          <cell r="X44" t="e">
            <v>#NAME?</v>
          </cell>
          <cell r="Y44">
            <v>0</v>
          </cell>
          <cell r="Z44" t="e">
            <v>#NAME?</v>
          </cell>
          <cell r="AA44">
            <v>0</v>
          </cell>
          <cell r="AB44" t="e">
            <v>#NAME?</v>
          </cell>
          <cell r="AC44">
            <v>0</v>
          </cell>
          <cell r="AD44" t="e">
            <v>#NAME?</v>
          </cell>
          <cell r="AE44">
            <v>0</v>
          </cell>
          <cell r="AF44" t="e">
            <v>#NAME?</v>
          </cell>
        </row>
        <row r="46">
          <cell r="W46">
            <v>0</v>
          </cell>
          <cell r="X46">
            <v>0</v>
          </cell>
          <cell r="Y46">
            <v>0</v>
          </cell>
          <cell r="Z46">
            <v>0</v>
          </cell>
          <cell r="AA46">
            <v>0</v>
          </cell>
          <cell r="AB46">
            <v>0</v>
          </cell>
          <cell r="AC46">
            <v>0</v>
          </cell>
          <cell r="AD46">
            <v>0</v>
          </cell>
          <cell r="AE46">
            <v>0</v>
          </cell>
          <cell r="AF46">
            <v>0</v>
          </cell>
        </row>
        <row r="47">
          <cell r="W47">
            <v>0</v>
          </cell>
          <cell r="X47">
            <v>0</v>
          </cell>
          <cell r="Y47">
            <v>0</v>
          </cell>
          <cell r="Z47">
            <v>0</v>
          </cell>
          <cell r="AA47">
            <v>0</v>
          </cell>
          <cell r="AB47">
            <v>0</v>
          </cell>
          <cell r="AC47">
            <v>0</v>
          </cell>
          <cell r="AD47">
            <v>0</v>
          </cell>
          <cell r="AE47">
            <v>0</v>
          </cell>
          <cell r="AF47">
            <v>0</v>
          </cell>
        </row>
        <row r="62">
          <cell r="B62">
            <v>10</v>
          </cell>
          <cell r="C62">
            <v>0.82365975523638202</v>
          </cell>
          <cell r="E62">
            <v>1.65529054295444</v>
          </cell>
        </row>
        <row r="63">
          <cell r="B63">
            <v>25</v>
          </cell>
          <cell r="C63">
            <v>2.0591493880909502</v>
          </cell>
          <cell r="E63">
            <v>4.1382263573861104</v>
          </cell>
        </row>
        <row r="64">
          <cell r="B64">
            <v>40</v>
          </cell>
          <cell r="C64">
            <v>3.2946390209455299</v>
          </cell>
          <cell r="E64">
            <v>6.6211621718177698</v>
          </cell>
        </row>
        <row r="65">
          <cell r="B65">
            <v>55</v>
          </cell>
          <cell r="C65">
            <v>4.5301286538000998</v>
          </cell>
          <cell r="E65">
            <v>9.10409798624943</v>
          </cell>
        </row>
        <row r="66">
          <cell r="B66">
            <v>70</v>
          </cell>
          <cell r="C66">
            <v>5.7656182866546697</v>
          </cell>
          <cell r="E66">
            <v>11.5870338006811</v>
          </cell>
        </row>
        <row r="67">
          <cell r="B67">
            <v>85</v>
          </cell>
          <cell r="C67">
            <v>7.0011079195092396</v>
          </cell>
          <cell r="E67">
            <v>14.0699696151128</v>
          </cell>
        </row>
        <row r="68">
          <cell r="B68">
            <v>100</v>
          </cell>
          <cell r="C68">
            <v>8.2365975523638202</v>
          </cell>
          <cell r="E68">
            <v>16.552905429544399</v>
          </cell>
        </row>
        <row r="69">
          <cell r="B69">
            <v>115</v>
          </cell>
          <cell r="C69">
            <v>9.4720871852183901</v>
          </cell>
          <cell r="E69">
            <v>19.035841243976101</v>
          </cell>
        </row>
        <row r="70">
          <cell r="B70">
            <v>130</v>
          </cell>
          <cell r="C70">
            <v>10.707576818073001</v>
          </cell>
          <cell r="E70">
            <v>21.5187770584078</v>
          </cell>
        </row>
      </sheetData>
      <sheetData sheetId="42"/>
      <sheetData sheetId="43"/>
      <sheetData sheetId="44"/>
      <sheetData sheetId="45"/>
      <sheetData sheetId="46"/>
      <sheetData sheetId="47"/>
      <sheetData sheetId="48"/>
      <sheetData sheetId="49"/>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Cons SG&amp;A Analysis"/>
      <sheetName val="By-Product Forecasts&gt;&gt;&gt;"/>
      <sheetName val="ACR_by Product"/>
      <sheetName val="Artex_by Product"/>
      <sheetName val="Bridges&gt;&gt;&gt;"/>
      <sheetName val="Artex_Bridges"/>
      <sheetName val="ACR_Bridges"/>
      <sheetName val="Output_Revenue Bridge"/>
      <sheetName val="Output_Contribution Bridg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A1" t="str">
            <v>Revenue Output Bridge ($m)</v>
          </cell>
        </row>
        <row r="3">
          <cell r="B3" t="str">
            <v>Historical Includes Mandates &amp; Programs. Post 2011, Core Business Only</v>
          </cell>
        </row>
        <row r="6">
          <cell r="C6">
            <v>2008</v>
          </cell>
          <cell r="I6">
            <v>2010</v>
          </cell>
          <cell r="O6">
            <v>2011</v>
          </cell>
          <cell r="T6">
            <v>2013</v>
          </cell>
          <cell r="Y6">
            <v>2016</v>
          </cell>
        </row>
        <row r="8">
          <cell r="C8" t="str">
            <v>Revenue 2008</v>
          </cell>
          <cell r="D8" t="str">
            <v>Price</v>
          </cell>
          <cell r="E8" t="str">
            <v>Volume</v>
          </cell>
          <cell r="F8" t="str">
            <v>Mandates &amp; Programs</v>
          </cell>
          <cell r="I8" t="str">
            <v>Revenue 2010</v>
          </cell>
          <cell r="J8" t="str">
            <v>Price</v>
          </cell>
          <cell r="K8" t="str">
            <v>Volume</v>
          </cell>
          <cell r="L8" t="str">
            <v>Mandates &amp; Programs</v>
          </cell>
          <cell r="O8" t="str">
            <v>Revenue 2011</v>
          </cell>
          <cell r="P8" t="str">
            <v>Price</v>
          </cell>
          <cell r="Q8" t="str">
            <v>Volume</v>
          </cell>
          <cell r="T8" t="str">
            <v>Revenue 2013</v>
          </cell>
          <cell r="U8" t="str">
            <v>Price</v>
          </cell>
          <cell r="V8" t="str">
            <v>Volume</v>
          </cell>
          <cell r="Y8" t="str">
            <v>Revenue 2016</v>
          </cell>
        </row>
        <row r="10">
          <cell r="A10">
            <v>1</v>
          </cell>
          <cell r="B10" t="str">
            <v>EPIRBs</v>
          </cell>
          <cell r="C10">
            <v>7.4882564500000006</v>
          </cell>
          <cell r="D10">
            <v>-6.1475951327972234E-3</v>
          </cell>
          <cell r="E10">
            <v>-1.9276955748672027</v>
          </cell>
          <cell r="G10">
            <v>0</v>
          </cell>
          <cell r="I10">
            <v>5.5544132800000003</v>
          </cell>
          <cell r="J10">
            <v>-0.13085724258085096</v>
          </cell>
          <cell r="K10">
            <v>-0.47685632364315877</v>
          </cell>
          <cell r="M10">
            <v>0</v>
          </cell>
          <cell r="O10">
            <v>4.9466997137759892</v>
          </cell>
          <cell r="P10">
            <v>-0.23290752498272252</v>
          </cell>
          <cell r="Q10">
            <v>0.38065074105950714</v>
          </cell>
          <cell r="R10">
            <v>0</v>
          </cell>
          <cell r="T10">
            <v>5.0944429298527742</v>
          </cell>
          <cell r="U10">
            <v>-0.14235289604131324</v>
          </cell>
          <cell r="V10">
            <v>1.9517925319549312</v>
          </cell>
          <cell r="W10">
            <v>0</v>
          </cell>
          <cell r="Y10">
            <v>6.9038825657663931</v>
          </cell>
        </row>
        <row r="11">
          <cell r="A11">
            <v>2</v>
          </cell>
          <cell r="B11" t="str">
            <v>PLBs</v>
          </cell>
          <cell r="C11">
            <v>15.06562285</v>
          </cell>
          <cell r="D11">
            <v>-0.7056454698199397</v>
          </cell>
          <cell r="E11">
            <v>0.40162749981994045</v>
          </cell>
          <cell r="F11">
            <v>-9.8309999999999995</v>
          </cell>
          <cell r="G11">
            <v>0</v>
          </cell>
          <cell r="I11">
            <v>4.9306048800000006</v>
          </cell>
          <cell r="J11">
            <v>-0.418388284042711</v>
          </cell>
          <cell r="K11">
            <v>1.1051354071574988</v>
          </cell>
          <cell r="L11">
            <v>-0.27900000000000003</v>
          </cell>
          <cell r="M11">
            <v>0</v>
          </cell>
          <cell r="O11">
            <v>5.3383520031147889</v>
          </cell>
          <cell r="P11">
            <v>-0.30234894641722454</v>
          </cell>
          <cell r="Q11">
            <v>2.2661581799098944</v>
          </cell>
          <cell r="R11">
            <v>0</v>
          </cell>
          <cell r="T11">
            <v>7.3021612366074571</v>
          </cell>
          <cell r="U11">
            <v>1.3321278285087428E-5</v>
          </cell>
          <cell r="V11">
            <v>0.19491663519982966</v>
          </cell>
          <cell r="W11">
            <v>0</v>
          </cell>
          <cell r="Y11">
            <v>7.4970911930855726</v>
          </cell>
        </row>
        <row r="12">
          <cell r="A12">
            <v>3</v>
          </cell>
          <cell r="B12" t="str">
            <v>Oxco and Other Beacons</v>
          </cell>
          <cell r="C12">
            <v>2.91588022</v>
          </cell>
          <cell r="D12">
            <v>8.0384906204109263E-2</v>
          </cell>
          <cell r="E12">
            <v>-1.0149799062041092</v>
          </cell>
          <cell r="G12">
            <v>2.1610000000116258E-5</v>
          </cell>
          <cell r="I12">
            <v>1.9812636099999998</v>
          </cell>
          <cell r="J12">
            <v>-0.20544449265858897</v>
          </cell>
          <cell r="K12">
            <v>-0.24133696148636247</v>
          </cell>
          <cell r="M12">
            <v>-2.1610000000782392E-5</v>
          </cell>
          <cell r="O12">
            <v>1.5345037658550491</v>
          </cell>
          <cell r="P12">
            <v>-5.1485517252287942E-2</v>
          </cell>
          <cell r="Q12">
            <v>0.17835704976475325</v>
          </cell>
          <cell r="R12">
            <v>0</v>
          </cell>
          <cell r="T12">
            <v>1.6613752983675139</v>
          </cell>
          <cell r="U12">
            <v>0</v>
          </cell>
          <cell r="V12">
            <v>0.2906718104461149</v>
          </cell>
          <cell r="W12">
            <v>0</v>
          </cell>
          <cell r="Y12">
            <v>1.9520471088136286</v>
          </cell>
        </row>
        <row r="13">
          <cell r="A13">
            <v>4</v>
          </cell>
          <cell r="B13" t="str">
            <v>BEACONS</v>
          </cell>
          <cell r="C13">
            <v>25.469759520000004</v>
          </cell>
          <cell r="D13">
            <v>-0.63140815874862755</v>
          </cell>
          <cell r="E13">
            <v>-2.5410479812513715</v>
          </cell>
          <cell r="F13">
            <v>-9.8309999999999995</v>
          </cell>
          <cell r="G13">
            <v>2.1610000006333507E-5</v>
          </cell>
          <cell r="I13">
            <v>12.46628177</v>
          </cell>
          <cell r="J13">
            <v>-0.75469001928215096</v>
          </cell>
          <cell r="K13">
            <v>0.38694212202797756</v>
          </cell>
          <cell r="L13">
            <v>-0.27900000000000003</v>
          </cell>
          <cell r="M13">
            <v>-2.160999999922808E-5</v>
          </cell>
          <cell r="O13">
            <v>11.819555482745827</v>
          </cell>
          <cell r="P13">
            <v>-0.58674198865223492</v>
          </cell>
          <cell r="Q13">
            <v>2.825165970734155</v>
          </cell>
          <cell r="R13">
            <v>0</v>
          </cell>
          <cell r="T13">
            <v>14.057979464827746</v>
          </cell>
          <cell r="U13">
            <v>-0.14233957476302814</v>
          </cell>
          <cell r="V13">
            <v>2.4373809776008759</v>
          </cell>
          <cell r="W13">
            <v>0</v>
          </cell>
          <cell r="Y13">
            <v>16.353020867665592</v>
          </cell>
        </row>
        <row r="14">
          <cell r="A14">
            <v>5</v>
          </cell>
          <cell r="B14" t="str">
            <v>LIGHTS</v>
          </cell>
          <cell r="C14">
            <v>16.689942849999991</v>
          </cell>
          <cell r="D14">
            <v>1.1790282654604995</v>
          </cell>
          <cell r="E14">
            <v>-3.6860957054604988</v>
          </cell>
          <cell r="G14">
            <v>0</v>
          </cell>
          <cell r="I14">
            <v>14.182875409999994</v>
          </cell>
          <cell r="J14">
            <v>-0.40602837093989197</v>
          </cell>
          <cell r="K14">
            <v>-0.93527367577296028</v>
          </cell>
          <cell r="M14">
            <v>0</v>
          </cell>
          <cell r="O14">
            <v>12.841573363287145</v>
          </cell>
          <cell r="P14">
            <v>1.1709520108833471E-2</v>
          </cell>
          <cell r="Q14">
            <v>0.60532859068481748</v>
          </cell>
          <cell r="R14">
            <v>0</v>
          </cell>
          <cell r="T14">
            <v>13.458611474080797</v>
          </cell>
          <cell r="U14">
            <v>-7.951334414023388E-2</v>
          </cell>
          <cell r="V14">
            <v>2.3020078374759647</v>
          </cell>
          <cell r="W14">
            <v>0</v>
          </cell>
          <cell r="Y14">
            <v>15.681105967416537</v>
          </cell>
        </row>
        <row r="15">
          <cell r="A15">
            <v>6</v>
          </cell>
          <cell r="B15" t="str">
            <v>OTHER</v>
          </cell>
          <cell r="C15">
            <v>4.8839759400000009</v>
          </cell>
          <cell r="D15">
            <v>0.91881848865822602</v>
          </cell>
          <cell r="E15">
            <v>-2.2509297786582261</v>
          </cell>
          <cell r="F15">
            <v>-0.10199999999999999</v>
          </cell>
          <cell r="G15">
            <v>0</v>
          </cell>
          <cell r="I15">
            <v>3.4498646499999999</v>
          </cell>
          <cell r="J15">
            <v>-7.2161968328284046E-2</v>
          </cell>
          <cell r="K15">
            <v>2.8611729356691009E-2</v>
          </cell>
          <cell r="M15">
            <v>0</v>
          </cell>
          <cell r="O15">
            <v>3.4063144110284065</v>
          </cell>
          <cell r="P15">
            <v>7.0060101092879306</v>
          </cell>
          <cell r="Q15">
            <v>-5.9019968299446841</v>
          </cell>
          <cell r="R15">
            <v>0</v>
          </cell>
          <cell r="T15">
            <v>4.5103276903716516</v>
          </cell>
          <cell r="U15">
            <v>-0.15807250000000034</v>
          </cell>
          <cell r="V15">
            <v>0.17321376443724695</v>
          </cell>
          <cell r="W15">
            <v>0</v>
          </cell>
          <cell r="Y15">
            <v>4.525468954808896</v>
          </cell>
        </row>
        <row r="16">
          <cell r="A16">
            <v>7</v>
          </cell>
          <cell r="B16" t="str">
            <v>ACR (ex AIS)</v>
          </cell>
          <cell r="C16">
            <v>47.04367830999999</v>
          </cell>
          <cell r="D16">
            <v>1.4664385953700978</v>
          </cell>
          <cell r="E16">
            <v>-8.4780734653700964</v>
          </cell>
          <cell r="F16">
            <v>-9.9329999999999998</v>
          </cell>
          <cell r="G16">
            <v>-7.3838999999864541E-4</v>
          </cell>
          <cell r="I16">
            <v>30.099781829999994</v>
          </cell>
          <cell r="J16">
            <v>-1.2328803585503272</v>
          </cell>
          <cell r="K16">
            <v>-0.51971982438829167</v>
          </cell>
          <cell r="L16">
            <v>-0.27900000000000003</v>
          </cell>
          <cell r="M16">
            <v>7.3838999999153998E-4</v>
          </cell>
          <cell r="O16">
            <v>28.067443257061381</v>
          </cell>
          <cell r="P16">
            <v>6.4309776407445289</v>
          </cell>
          <cell r="Q16">
            <v>-2.4715022685257115</v>
          </cell>
          <cell r="R16">
            <v>0</v>
          </cell>
          <cell r="T16">
            <v>32.026918629280189</v>
          </cell>
          <cell r="U16">
            <v>-0.37992541890326242</v>
          </cell>
          <cell r="V16">
            <v>4.9126025795140871</v>
          </cell>
          <cell r="W16">
            <v>0</v>
          </cell>
          <cell r="Y16">
            <v>36.559595789891027</v>
          </cell>
        </row>
        <row r="18">
          <cell r="A18">
            <v>8</v>
          </cell>
          <cell r="B18" t="str">
            <v>ELTs</v>
          </cell>
          <cell r="C18">
            <v>35.387238145999994</v>
          </cell>
          <cell r="D18">
            <v>0.20308905043785283</v>
          </cell>
          <cell r="E18">
            <v>-3.4984316914378528</v>
          </cell>
          <cell r="F18">
            <v>-18.2532</v>
          </cell>
          <cell r="G18">
            <v>0</v>
          </cell>
          <cell r="I18">
            <v>13.838695504999997</v>
          </cell>
          <cell r="J18">
            <v>0.32227405682134902</v>
          </cell>
          <cell r="K18">
            <v>-0.75020899182134848</v>
          </cell>
          <cell r="M18">
            <v>0</v>
          </cell>
          <cell r="O18">
            <v>13.410760570000001</v>
          </cell>
          <cell r="P18">
            <v>-1.5684677837659411</v>
          </cell>
          <cell r="Q18">
            <v>3.3728895775596248</v>
          </cell>
          <cell r="R18">
            <v>0</v>
          </cell>
          <cell r="T18">
            <v>15.215182363793684</v>
          </cell>
          <cell r="U18">
            <v>-0.47512747591901205</v>
          </cell>
          <cell r="V18">
            <v>3.9093836833087474</v>
          </cell>
          <cell r="W18">
            <v>0</v>
          </cell>
          <cell r="Y18">
            <v>18.649438571183413</v>
          </cell>
        </row>
        <row r="19">
          <cell r="A19">
            <v>9</v>
          </cell>
          <cell r="B19" t="str">
            <v>Test sets</v>
          </cell>
          <cell r="C19">
            <v>0.68645149999999999</v>
          </cell>
          <cell r="D19">
            <v>6.5315838308444826E-2</v>
          </cell>
          <cell r="E19">
            <v>-0.23085508830844484</v>
          </cell>
          <cell r="G19">
            <v>0</v>
          </cell>
          <cell r="I19">
            <v>0.52091224999999997</v>
          </cell>
          <cell r="J19">
            <v>-1.2838525837151898E-2</v>
          </cell>
          <cell r="K19">
            <v>-9.3453584162848158E-2</v>
          </cell>
          <cell r="M19">
            <v>0</v>
          </cell>
          <cell r="O19">
            <v>0.41462013999999997</v>
          </cell>
          <cell r="P19">
            <v>-3.0337164970847541E-2</v>
          </cell>
          <cell r="Q19">
            <v>5.6975690688835234E-2</v>
          </cell>
          <cell r="R19">
            <v>0</v>
          </cell>
          <cell r="T19">
            <v>0.44125866571798761</v>
          </cell>
          <cell r="U19">
            <v>-1.3867584117977175E-2</v>
          </cell>
          <cell r="V19">
            <v>8.332654906005918E-2</v>
          </cell>
          <cell r="W19">
            <v>0</v>
          </cell>
          <cell r="Y19">
            <v>0.5107176306600697</v>
          </cell>
        </row>
        <row r="20">
          <cell r="A20">
            <v>10</v>
          </cell>
          <cell r="B20" t="str">
            <v>Antennas, cables, &amp; accessories</v>
          </cell>
          <cell r="C20">
            <v>4.7463728389999993</v>
          </cell>
          <cell r="D20">
            <v>-6.1552733853239186E-2</v>
          </cell>
          <cell r="E20">
            <v>0.17866295485323902</v>
          </cell>
          <cell r="G20">
            <v>0</v>
          </cell>
          <cell r="I20">
            <v>4.8634830599999974</v>
          </cell>
          <cell r="J20">
            <v>0.78966823148467069</v>
          </cell>
          <cell r="K20">
            <v>-0.59426705148467063</v>
          </cell>
          <cell r="M20">
            <v>0</v>
          </cell>
          <cell r="O20">
            <v>5.0588842399999976</v>
          </cell>
          <cell r="P20">
            <v>-0.17461978114297311</v>
          </cell>
          <cell r="Q20">
            <v>5.4357268971326658E-2</v>
          </cell>
          <cell r="R20">
            <v>0</v>
          </cell>
          <cell r="T20">
            <v>4.9386217278283553</v>
          </cell>
          <cell r="U20">
            <v>-0.14162043220178744</v>
          </cell>
          <cell r="V20">
            <v>1.0564661935120796</v>
          </cell>
          <cell r="W20">
            <v>0</v>
          </cell>
          <cell r="Y20">
            <v>5.8534674891386489</v>
          </cell>
        </row>
        <row r="21">
          <cell r="A21">
            <v>11</v>
          </cell>
          <cell r="B21" t="str">
            <v>Repair parts</v>
          </cell>
          <cell r="C21">
            <v>4.7925591179999998</v>
          </cell>
          <cell r="D21">
            <v>0.43365821632212959</v>
          </cell>
          <cell r="E21">
            <v>-2.2881651687221307</v>
          </cell>
          <cell r="G21">
            <v>0</v>
          </cell>
          <cell r="I21">
            <v>2.938052165599998</v>
          </cell>
          <cell r="J21">
            <v>0.53068781813335852</v>
          </cell>
          <cell r="K21">
            <v>-0.45923041373335788</v>
          </cell>
          <cell r="M21">
            <v>0</v>
          </cell>
          <cell r="O21">
            <v>3.009509570000001</v>
          </cell>
          <cell r="P21">
            <v>-0.17805274080043687</v>
          </cell>
          <cell r="Q21">
            <v>4.1747578904041627E-2</v>
          </cell>
          <cell r="R21">
            <v>0</v>
          </cell>
          <cell r="T21">
            <v>2.873204408103605</v>
          </cell>
          <cell r="U21">
            <v>-7.0735035138467919E-2</v>
          </cell>
          <cell r="V21">
            <v>0.34333885456562724</v>
          </cell>
          <cell r="W21">
            <v>0</v>
          </cell>
          <cell r="Y21">
            <v>3.1458082275307659</v>
          </cell>
        </row>
        <row r="22">
          <cell r="A22">
            <v>12</v>
          </cell>
          <cell r="B22" t="str">
            <v>Repair service and Other</v>
          </cell>
          <cell r="C22">
            <v>0.6465210480000001</v>
          </cell>
          <cell r="D22">
            <v>-0.82177279499014932</v>
          </cell>
          <cell r="E22">
            <v>-3.2890678009850655E-2</v>
          </cell>
          <cell r="G22">
            <v>0</v>
          </cell>
          <cell r="I22">
            <v>-0.20814242499999999</v>
          </cell>
          <cell r="J22">
            <v>1466.5735633223942</v>
          </cell>
          <cell r="K22">
            <v>-1466.0818651473942</v>
          </cell>
          <cell r="M22">
            <v>2.2648549702353193E-14</v>
          </cell>
          <cell r="O22">
            <v>0.28355574999998234</v>
          </cell>
          <cell r="P22">
            <v>0.2805723498561753</v>
          </cell>
          <cell r="Q22">
            <v>-0.57003241252072401</v>
          </cell>
          <cell r="R22">
            <v>-3.9898639947466563E-17</v>
          </cell>
          <cell r="T22">
            <v>-5.9043126645663292E-3</v>
          </cell>
          <cell r="U22">
            <v>3.5472128023451739E-3</v>
          </cell>
          <cell r="V22">
            <v>-3.2745484071649835E-3</v>
          </cell>
          <cell r="W22">
            <v>-2.0816681711721685E-17</v>
          </cell>
          <cell r="Y22">
            <v>-5.631648269386118E-3</v>
          </cell>
        </row>
        <row r="23">
          <cell r="A23">
            <v>13</v>
          </cell>
          <cell r="B23" t="str">
            <v xml:space="preserve">Artex </v>
          </cell>
          <cell r="C23">
            <v>46.259142650999991</v>
          </cell>
          <cell r="D23">
            <v>-0.18126242377496132</v>
          </cell>
          <cell r="E23">
            <v>-5.8716796716250395</v>
          </cell>
          <cell r="F23">
            <v>-18.2532</v>
          </cell>
          <cell r="G23">
            <v>-5.3290705182007514E-14</v>
          </cell>
          <cell r="I23">
            <v>21.953000555600045</v>
          </cell>
          <cell r="J23">
            <v>1468.2033549029964</v>
          </cell>
          <cell r="K23">
            <v>-1467.9790251885963</v>
          </cell>
          <cell r="L23">
            <v>0</v>
          </cell>
          <cell r="M23">
            <v>8.8817841970012523E-14</v>
          </cell>
          <cell r="N23">
            <v>0</v>
          </cell>
          <cell r="O23">
            <v>22.177330269999995</v>
          </cell>
          <cell r="P23">
            <v>-1.6709051208240231</v>
          </cell>
          <cell r="Q23">
            <v>2.9559377036031047</v>
          </cell>
          <cell r="R23">
            <v>0</v>
          </cell>
          <cell r="T23">
            <v>23.462362852779066</v>
          </cell>
          <cell r="U23">
            <v>-0.69780331457489941</v>
          </cell>
          <cell r="V23">
            <v>5.3892407320393492</v>
          </cell>
          <cell r="W23">
            <v>0</v>
          </cell>
          <cell r="X23">
            <v>0</v>
          </cell>
          <cell r="Y23">
            <v>28.153800270243529</v>
          </cell>
        </row>
        <row r="25">
          <cell r="A25">
            <v>14</v>
          </cell>
          <cell r="B25" t="str">
            <v>ACR+ Artex</v>
          </cell>
          <cell r="C25">
            <v>93.302820960999981</v>
          </cell>
          <cell r="D25">
            <v>1.2851761715951364</v>
          </cell>
          <cell r="E25">
            <v>-14.349753136995137</v>
          </cell>
          <cell r="F25">
            <v>-28.186199999999999</v>
          </cell>
          <cell r="G25">
            <v>-7.3839000005193611E-4</v>
          </cell>
          <cell r="I25">
            <v>52.05278238560004</v>
          </cell>
          <cell r="J25">
            <v>1466.970474544446</v>
          </cell>
          <cell r="K25">
            <v>-1468.4987450129847</v>
          </cell>
          <cell r="L25">
            <v>-0.27900000000000003</v>
          </cell>
          <cell r="M25">
            <v>7.3838999993824928E-4</v>
          </cell>
          <cell r="O25">
            <v>50.244773527061376</v>
          </cell>
          <cell r="P25">
            <v>4.7600725199205058</v>
          </cell>
          <cell r="Q25">
            <v>0.48443543507739317</v>
          </cell>
          <cell r="R25">
            <v>0</v>
          </cell>
          <cell r="T25">
            <v>55.489281482059255</v>
          </cell>
          <cell r="U25">
            <v>-1.0777287334781618</v>
          </cell>
          <cell r="V25">
            <v>10.301843311553437</v>
          </cell>
          <cell r="W25">
            <v>0</v>
          </cell>
          <cell r="Y25">
            <v>64.713396060134556</v>
          </cell>
        </row>
        <row r="28">
          <cell r="B28" t="str">
            <v>Bridge Number</v>
          </cell>
          <cell r="C28">
            <v>14</v>
          </cell>
          <cell r="D28" t="str">
            <v>ACR+ Artex</v>
          </cell>
        </row>
        <row r="32">
          <cell r="B32" t="str">
            <v>ACR+ Artex Bridge</v>
          </cell>
          <cell r="C32">
            <v>93.302820960999981</v>
          </cell>
          <cell r="D32">
            <v>1.2851761715951364</v>
          </cell>
          <cell r="E32">
            <v>-14.349753136995137</v>
          </cell>
          <cell r="F32">
            <v>-28.186199999999999</v>
          </cell>
          <cell r="G32">
            <v>-7.3839000005193611E-4</v>
          </cell>
          <cell r="I32">
            <v>52.05278238560004</v>
          </cell>
          <cell r="J32">
            <v>1466.970474544446</v>
          </cell>
          <cell r="K32">
            <v>-1468.4987450129847</v>
          </cell>
          <cell r="L32">
            <v>-0.27900000000000003</v>
          </cell>
          <cell r="M32">
            <v>7.3838999993824928E-4</v>
          </cell>
          <cell r="O32">
            <v>50.244773527061376</v>
          </cell>
          <cell r="P32">
            <v>4.7600725199205058</v>
          </cell>
          <cell r="Q32">
            <v>0.48443543507739317</v>
          </cell>
          <cell r="R32">
            <v>0</v>
          </cell>
          <cell r="T32">
            <v>55.489281482059255</v>
          </cell>
          <cell r="U32">
            <v>-1.0777287334781618</v>
          </cell>
          <cell r="V32">
            <v>10.301843311553437</v>
          </cell>
          <cell r="W32">
            <v>0</v>
          </cell>
          <cell r="Y32">
            <v>64.713396060134556</v>
          </cell>
        </row>
        <row r="45">
          <cell r="AA45" t="str">
            <v>ACR+ Artex 2008 - 2011 Revenue Analysis $m</v>
          </cell>
        </row>
        <row r="55">
          <cell r="AA55" t="str">
            <v>ACR+ Artex 2011 - 2016 Revenue Analysis $m</v>
          </cell>
        </row>
        <row r="68">
          <cell r="AA68" t="str">
            <v>ACR+ Artex 2008 - 2016 Revenue Analysis $m</v>
          </cell>
        </row>
        <row r="86">
          <cell r="AD86" t="str">
            <v>Chart Data Layout</v>
          </cell>
        </row>
        <row r="87">
          <cell r="AB87" t="str">
            <v>Input</v>
          </cell>
          <cell r="AD87" t="str">
            <v>Board</v>
          </cell>
          <cell r="AE87" t="str">
            <v>Incr</v>
          </cell>
          <cell r="AF87" t="str">
            <v>Decr</v>
          </cell>
          <cell r="AG87" t="str">
            <v>Ghost</v>
          </cell>
        </row>
        <row r="88">
          <cell r="AA88" t="str">
            <v>Revenue
2008PF</v>
          </cell>
          <cell r="AB88">
            <v>93.302820960999981</v>
          </cell>
          <cell r="AD88">
            <v>93.302820960999981</v>
          </cell>
        </row>
        <row r="89">
          <cell r="AA89" t="str">
            <v>Price</v>
          </cell>
          <cell r="AB89">
            <v>1.2851761715951364</v>
          </cell>
          <cell r="AE89">
            <v>1.2851761715951364</v>
          </cell>
          <cell r="AF89">
            <v>0</v>
          </cell>
          <cell r="AG89">
            <v>93.302820960999981</v>
          </cell>
        </row>
        <row r="90">
          <cell r="AA90" t="str">
            <v>Volume</v>
          </cell>
          <cell r="AB90">
            <v>-14.349753136995137</v>
          </cell>
          <cell r="AE90">
            <v>0</v>
          </cell>
          <cell r="AF90">
            <v>14.349753136995137</v>
          </cell>
          <cell r="AG90">
            <v>80.238243995599987</v>
          </cell>
        </row>
        <row r="91">
          <cell r="AA91" t="str">
            <v>Mandates &amp; Programs</v>
          </cell>
          <cell r="AB91">
            <v>-28.186199999999999</v>
          </cell>
          <cell r="AE91">
            <v>0</v>
          </cell>
          <cell r="AF91">
            <v>28.186199999999999</v>
          </cell>
          <cell r="AG91">
            <v>52.052043995599988</v>
          </cell>
        </row>
        <row r="92">
          <cell r="AA92" t="str">
            <v>Revenue
2010PF</v>
          </cell>
          <cell r="AB92">
            <v>52.05278238560004</v>
          </cell>
          <cell r="AD92">
            <v>52.05278238560004</v>
          </cell>
        </row>
        <row r="93">
          <cell r="AA93" t="str">
            <v>Price</v>
          </cell>
          <cell r="AB93">
            <v>1466.970474544446</v>
          </cell>
          <cell r="AE93">
            <v>1466.970474544446</v>
          </cell>
          <cell r="AF93">
            <v>0</v>
          </cell>
          <cell r="AG93">
            <v>52.05278238560004</v>
          </cell>
        </row>
        <row r="94">
          <cell r="AA94" t="str">
            <v>Volume</v>
          </cell>
          <cell r="AB94">
            <v>-1468.4987450129847</v>
          </cell>
          <cell r="AE94">
            <v>0</v>
          </cell>
          <cell r="AF94">
            <v>1468.4987450129847</v>
          </cell>
          <cell r="AG94">
            <v>50.524511917061318</v>
          </cell>
        </row>
        <row r="95">
          <cell r="AA95" t="str">
            <v>Mandates &amp; Programs</v>
          </cell>
          <cell r="AB95">
            <v>-0.27900000000000003</v>
          </cell>
          <cell r="AE95">
            <v>0</v>
          </cell>
          <cell r="AF95">
            <v>0.27900000000000003</v>
          </cell>
          <cell r="AG95">
            <v>50.245511917061322</v>
          </cell>
          <cell r="AI95">
            <v>3.1</v>
          </cell>
        </row>
        <row r="96">
          <cell r="AA96" t="str">
            <v>Revenue
2011E</v>
          </cell>
          <cell r="AB96">
            <v>50.244773527061376</v>
          </cell>
          <cell r="AD96">
            <v>50.244773527061376</v>
          </cell>
          <cell r="AI96">
            <v>-3.1</v>
          </cell>
        </row>
        <row r="97">
          <cell r="AA97" t="str">
            <v>Price</v>
          </cell>
          <cell r="AB97">
            <v>4.7600725199205058</v>
          </cell>
          <cell r="AE97">
            <v>4.7600725199205058</v>
          </cell>
          <cell r="AF97">
            <v>0</v>
          </cell>
          <cell r="AG97">
            <v>50.244773527061376</v>
          </cell>
        </row>
        <row r="98">
          <cell r="AA98" t="str">
            <v>Volume</v>
          </cell>
          <cell r="AB98">
            <v>0.48443543507739317</v>
          </cell>
          <cell r="AE98">
            <v>0.48443543507739317</v>
          </cell>
          <cell r="AF98">
            <v>0</v>
          </cell>
          <cell r="AG98">
            <v>55.004846046981882</v>
          </cell>
        </row>
        <row r="99">
          <cell r="AA99" t="str">
            <v>Revenue
2013E</v>
          </cell>
          <cell r="AB99">
            <v>55.489281482059255</v>
          </cell>
          <cell r="AD99">
            <v>55.489281482059255</v>
          </cell>
        </row>
        <row r="100">
          <cell r="AA100" t="str">
            <v>Price</v>
          </cell>
          <cell r="AB100">
            <v>-1.0777287334781618</v>
          </cell>
          <cell r="AE100">
            <v>0</v>
          </cell>
          <cell r="AF100">
            <v>1.0777287334781618</v>
          </cell>
          <cell r="AG100">
            <v>54.411552748581094</v>
          </cell>
        </row>
        <row r="101">
          <cell r="AA101" t="str">
            <v>Volume</v>
          </cell>
          <cell r="AB101">
            <v>10.301843311553437</v>
          </cell>
          <cell r="AE101">
            <v>10.301843311553437</v>
          </cell>
          <cell r="AF101">
            <v>0</v>
          </cell>
          <cell r="AG101">
            <v>54.411552748581094</v>
          </cell>
        </row>
        <row r="102">
          <cell r="AA102" t="str">
            <v>Revenue
2016E</v>
          </cell>
          <cell r="AB102">
            <v>64.713396060134556</v>
          </cell>
          <cell r="AC102" t="str">
            <v>OK</v>
          </cell>
          <cell r="AD102">
            <v>64.713396060134556</v>
          </cell>
        </row>
        <row r="148">
          <cell r="W148" t="str">
            <v>x</v>
          </cell>
        </row>
      </sheetData>
      <sheetData sheetId="8"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pcBookData"/>
      <sheetName val="pcQueryData"/>
      <sheetName val="_pcSlicerSheet"/>
      <sheetName val="_pcHiddenSheet1"/>
      <sheetName val="_pcSlicerSheet1"/>
      <sheetName val="_pcHiddenSheet2"/>
      <sheetName val="Proclarity"/>
      <sheetName val="Cht 14 A-B Debt-Equity"/>
      <sheetName val="Sheet2"/>
      <sheetName val="Sheet3"/>
      <sheetName val="Assum"/>
      <sheetName val="OUTPUT"/>
      <sheetName val="outputs"/>
      <sheetName val="increm pf"/>
      <sheetName val="Estimated US.. Long Products"/>
      <sheetName val="model"/>
      <sheetName val="Menu"/>
      <sheetName val="BLOCK"/>
      <sheetName val="BS"/>
      <sheetName val="CF"/>
      <sheetName val="#REF"/>
      <sheetName val="Revised Charts"/>
      <sheetName val="REV Bridge"/>
      <sheetName val="EXP Bridge"/>
      <sheetName val="Chart Data"/>
      <sheetName val="EBITDA Bridge"/>
      <sheetName val="S&amp;P500"/>
      <sheetName val="IPCM"/>
      <sheetName val="Valuation"/>
      <sheetName val="Healthcare Services"/>
      <sheetName val="May 2013"/>
      <sheetName val="Sources-Uses"/>
      <sheetName val="Cht_14_A-B_Debt-Equity"/>
      <sheetName val="BORROWERS BUSINESS PLAN"/>
      <sheetName val="Sheet1"/>
      <sheetName val="CoverPage"/>
      <sheetName val="Rent roll"/>
      <sheetName val="Leases"/>
      <sheetName val="Intro"/>
      <sheetName val="HL&amp;CAC"/>
      <sheetName val="sch6-rm"/>
      <sheetName val="sch10-rm2"/>
      <sheetName val="Float Charts"/>
      <sheetName val="BalSht"/>
      <sheetName val="Individual"/>
      <sheetName val="Gibraltar Annual"/>
      <sheetName val="CA Annual"/>
      <sheetName val="HPB Monthly"/>
      <sheetName val="RL Annual"/>
      <sheetName val="IPI Annual"/>
      <sheetName val="Consolidated Summary"/>
      <sheetName val="CA Companies (Source)"/>
      <sheetName val="THPB Annual"/>
      <sheetName val="US Companies (Source)"/>
      <sheetName val="OCT"/>
      <sheetName val="Fill In Consultants"/>
      <sheetName val="increm_pf"/>
      <sheetName val="Estimated_US___Long_Products"/>
      <sheetName val="SY"/>
      <sheetName val="Cht_14_A-B_Debt-Equity1"/>
      <sheetName val="increm_pf1"/>
      <sheetName val="Estimated_US___Long_Products1"/>
      <sheetName val="Revised_Charts"/>
      <sheetName val="REV_Bridge"/>
      <sheetName val="EXP_Bridge"/>
      <sheetName val="Chart_Data"/>
      <sheetName val="EBITDA_Bridge"/>
      <sheetName val="Healthcare_Services"/>
      <sheetName val="BORROWERS_BUSINESS_PLAN"/>
      <sheetName val="Rent_roll"/>
      <sheetName val="Fill_In_Consultants"/>
      <sheetName val="九九年各月"/>
      <sheetName val="salarydata"/>
      <sheetName val="Data"/>
      <sheetName val="Products"/>
      <sheetName val="Jan'20 VS Dec'19"/>
      <sheetName val="Summary"/>
      <sheetName val="Pivot -Email"/>
      <sheetName val="Email -Reasoning"/>
      <sheetName val="Reasoning"/>
      <sheetName val="Raw Data"/>
      <sheetName val="Initial Dump"/>
      <sheetName val="Plant Stock Diff."/>
      <sheetName val="Special Stock Diff."/>
      <sheetName val="Duplication Check"/>
      <sheetName val="Main Working"/>
      <sheetName val="Slow Moving Working Pivot"/>
      <sheetName val="NRV Provision"/>
      <sheetName val="Actual Sales Qty"/>
      <sheetName val="Master"/>
      <sheetName val="Slow Moving Working - INT"/>
      <sheetName val="Average Sale - INT"/>
      <sheetName val="Pivot-KE30"/>
      <sheetName val="KE30"/>
      <sheetName val="Pivot- Forecast"/>
      <sheetName val="Forecast_Final for Upload"/>
      <sheetName val="Summary as per Forecast -NA"/>
      <sheetName val="Slow Moving Provision-NA"/>
      <sheetName val="Average Sale -NA"/>
      <sheetName val="Jan'20_VS_Dec'19"/>
      <sheetName val="Pivot_-Email"/>
      <sheetName val="Email_-Reasoning"/>
      <sheetName val="Raw_Data"/>
      <sheetName val="Initial_Dump"/>
      <sheetName val="Plant_Stock_Diff_"/>
      <sheetName val="Special_Stock_Diff_"/>
      <sheetName val="Duplication_Check"/>
      <sheetName val="Main_Working"/>
      <sheetName val="Slow_Moving_Working_Pivot"/>
      <sheetName val="NRV_Provision"/>
      <sheetName val="Actual_Sales_Qty"/>
      <sheetName val="Slow_Moving_Working_-_INT"/>
      <sheetName val="Average_Sale_-_INT"/>
      <sheetName val="Pivot-_Forecast"/>
      <sheetName val="Forecast_Final_for_Upload"/>
      <sheetName val="Summary_as_per_Forecast_-NA"/>
      <sheetName val="Slow_Moving_Provision-NA"/>
      <sheetName val="Average_Sale_-NA"/>
      <sheetName val="BalanceteMuma Abr16"/>
      <sheetName val="BalanceteMuma Ago16"/>
      <sheetName val="BalanceteMuma Dez16"/>
      <sheetName val="BalanceteMuma Jul16"/>
      <sheetName val="BalanceteMuma Jun16"/>
      <sheetName val="BalanceteMuma Mai16"/>
      <sheetName val="BalanceteMuma Mar16"/>
      <sheetName val="BalanceteMuma Nov16"/>
      <sheetName val="BalanceteMuma Out16"/>
      <sheetName val="BalanceteMuma Set16"/>
      <sheetName val="IS"/>
      <sheetName val="Buyers"/>
      <sheetName val="DAILY"/>
      <sheetName val="sch12"/>
      <sheetName val="sch22"/>
      <sheetName val="A"/>
      <sheetName val="Revenue Model"/>
      <sheetName val="GSChartLabels"/>
      <sheetName val="RET3 - Combined Database"/>
      <sheetName val="TRC ARR Pivot"/>
      <sheetName val="TRC Billings Pivot"/>
      <sheetName val="Teacher ARR Database"/>
      <sheetName val="TRC UFR Pivot"/>
      <sheetName val="HC2 (10.26)"/>
      <sheetName val="Tableau Data"/>
      <sheetName val="A.D."/>
    </sheetNames>
    <sheetDataSet>
      <sheetData sheetId="0" refreshError="1"/>
      <sheetData sheetId="1" refreshError="1">
        <row r="4">
          <cell r="A4" t="str">
            <v>_for_YTD_Year</v>
          </cell>
        </row>
      </sheetData>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refreshError="1"/>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row r="4">
          <cell r="A4">
            <v>104246</v>
          </cell>
        </row>
      </sheetData>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ow r="4">
          <cell r="A4">
            <v>104246</v>
          </cell>
        </row>
      </sheetData>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GRPH Returns"/>
      <sheetName val="15 yrs GRPHs"/>
      <sheetName val="15 yrs"/>
      <sheetName val="Profit. anal. ORG"/>
      <sheetName val="Profit. anal. LIVE"/>
      <sheetName val="Basil ORG"/>
      <sheetName val="Basil LIVE"/>
      <sheetName val="Grow time ORG"/>
      <sheetName val="Grow time LIVE"/>
      <sheetName val="Capcit plan"/>
      <sheetName val="Suppl, Labor ORG"/>
      <sheetName val="Suppl, Labor LIVE"/>
      <sheetName val="Energ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6">
          <cell r="C6">
            <v>0.33</v>
          </cell>
        </row>
        <row r="16">
          <cell r="O16">
            <v>746442.59363013704</v>
          </cell>
          <cell r="AB16">
            <v>1253098.220547945</v>
          </cell>
        </row>
      </sheetData>
      <sheetData sheetId="10" refreshError="1">
        <row r="5">
          <cell r="K5">
            <v>0.01</v>
          </cell>
        </row>
        <row r="13">
          <cell r="B13">
            <v>200</v>
          </cell>
          <cell r="H13">
            <v>10</v>
          </cell>
        </row>
        <row r="15">
          <cell r="B15">
            <v>5.1948051948051951E-2</v>
          </cell>
          <cell r="C15">
            <v>2.5974025974025974E-4</v>
          </cell>
        </row>
        <row r="16">
          <cell r="B16">
            <v>2.5974025974025976E-2</v>
          </cell>
          <cell r="C16">
            <v>1.2987012987012987E-4</v>
          </cell>
        </row>
        <row r="17">
          <cell r="B17">
            <v>0.24675324675324675</v>
          </cell>
          <cell r="C17">
            <v>1.2337662337662339E-3</v>
          </cell>
        </row>
        <row r="18">
          <cell r="B18">
            <v>0.38961038961038963</v>
          </cell>
          <cell r="C18">
            <v>1.9480519480519483E-3</v>
          </cell>
        </row>
        <row r="19">
          <cell r="B19">
            <v>0.1038961038961039</v>
          </cell>
          <cell r="C19">
            <v>5.1948051948051948E-4</v>
          </cell>
        </row>
        <row r="20">
          <cell r="B20">
            <v>1.2987012987012988E-2</v>
          </cell>
          <cell r="C20">
            <v>6.4935064935064935E-5</v>
          </cell>
        </row>
        <row r="21">
          <cell r="B21">
            <v>6.4935064935064929E-2</v>
          </cell>
          <cell r="C21">
            <v>3.2467532467532468E-4</v>
          </cell>
        </row>
        <row r="22">
          <cell r="B22">
            <v>5.1948051948051951E-2</v>
          </cell>
          <cell r="C22">
            <v>2.5974025974025974E-4</v>
          </cell>
        </row>
        <row r="23">
          <cell r="B23">
            <v>5.1948051948051951E-2</v>
          </cell>
          <cell r="C23">
            <v>2.5974025974025974E-4</v>
          </cell>
        </row>
      </sheetData>
      <sheetData sheetId="11" refreshError="1"/>
      <sheetData sheetId="12" refreshError="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comparison"/>
      <sheetName val="exchange rate"/>
      <sheetName val="exchange_rate"/>
      <sheetName val="INPUTS TAB"/>
      <sheetName val="Q4 BS"/>
      <sheetName val="Source Drop Down Lists"/>
      <sheetName val="Fund II + Fund IIE Summary SOI"/>
    </sheetNames>
    <sheetDataSet>
      <sheetData sheetId="0" refreshError="1"/>
      <sheetData sheetId="1" refreshError="1">
        <row r="4">
          <cell r="B4">
            <v>2.5249000000000001</v>
          </cell>
        </row>
        <row r="5">
          <cell r="B5">
            <v>1.4309000000000001</v>
          </cell>
        </row>
        <row r="6">
          <cell r="B6">
            <v>26.375499999999999</v>
          </cell>
        </row>
      </sheetData>
      <sheetData sheetId="2">
        <row r="4">
          <cell r="B4">
            <v>2.5249000000000001</v>
          </cell>
        </row>
      </sheetData>
      <sheetData sheetId="3"/>
      <sheetData sheetId="4" refreshError="1"/>
      <sheetData sheetId="5" refreshError="1"/>
      <sheetData sheetId="6" refreshError="1"/>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98 Q1 mgm mtg"/>
      <sheetName val="rate"/>
      <sheetName val="98_Q1_mgm_mtg"/>
      <sheetName val="Fund II + Fund IIE Summary SOI"/>
    </sheetNames>
    <sheetDataSet>
      <sheetData sheetId="0"/>
      <sheetData sheetId="1" refreshError="1">
        <row r="2">
          <cell r="B2">
            <v>1.61375</v>
          </cell>
        </row>
      </sheetData>
      <sheetData sheetId="2"/>
      <sheetData sheetId="3" refreshError="1"/>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AAPL"/>
      <sheetName val="merger"/>
      <sheetName val="OUTPUT"/>
    </sheetNames>
    <sheetDataSet>
      <sheetData sheetId="0" refreshError="1"/>
      <sheetData sheetId="1" refreshError="1"/>
      <sheetData sheetId="2" refreshError="1"/>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Malara 2005 AR (2)"/>
      <sheetName val="Funding Consolidated "/>
      <sheetName val="Funding"/>
      <sheetName val="2005 Monthly"/>
      <sheetName val="GBC"/>
      <sheetName val="Malara Funding"/>
      <sheetName val="Malara 2005 AR"/>
      <sheetName val="Malara"/>
      <sheetName val="2005 Funding.xls 2.xls"/>
      <sheetName val="a_Storage"/>
      <sheetName val="MAIN"/>
      <sheetName val="DCF"/>
      <sheetName val="DCF_Projections"/>
      <sheetName val="INPUT"/>
      <sheetName val="Inputs"/>
      <sheetName val="Sheet2"/>
      <sheetName val="Sheet3"/>
      <sheetName val="Sheet1"/>
      <sheetName val="Step1"/>
      <sheetName val="ABX"/>
      <sheetName val="Step2"/>
      <sheetName val="Control"/>
      <sheetName val="Fin_Ass"/>
      <sheetName val="TRANS_SUM"/>
      <sheetName val="HAS_GETS"/>
      <sheetName val="COMBINED_BS"/>
      <sheetName val="COMBINED_IS"/>
      <sheetName val="Recap Returns"/>
      <sheetName val="Board"/>
      <sheetName val="Mngmt"/>
      <sheetName val="CLIENT_GRAPH (4)"/>
      <sheetName val="CLIENT_GRAPH (2)"/>
      <sheetName val="CLIENT_GRAPH (3)"/>
      <sheetName val="DMC-DCF"/>
      <sheetName val="#REF"/>
      <sheetName val="GLDFY"/>
      <sheetName val="NDY"/>
      <sheetName val="Officers"/>
      <sheetName val="Unit Summary and Graph"/>
      <sheetName val="Margin Summary"/>
      <sheetName val="AEV - LTM EBITDAR"/>
      <sheetName val="99E PE"/>
      <sheetName val="Segments"/>
      <sheetName val="Legend"/>
      <sheetName val="Public Overview"/>
      <sheetName val="Branded Food"/>
      <sheetName val="schn_ad"/>
      <sheetName val="Sens"/>
      <sheetName val="Comps Sum_Pg_1"/>
      <sheetName val="2005 Funding.xls 2"/>
      <sheetName val="Cov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Commission"/>
      <sheetName val="All"/>
      <sheetName val="Service"/>
      <sheetName val="Marketing"/>
      <sheetName val="IT"/>
      <sheetName val="GM"/>
      <sheetName val="Franchise"/>
      <sheetName val="Fleet"/>
      <sheetName val="Exec"/>
      <sheetName val="Accounting"/>
      <sheetName val="Tour"/>
      <sheetName val="Location"/>
      <sheetName val="CRD"/>
      <sheetName val="Data"/>
      <sheetName val="adp 4"/>
      <sheetName val="adp%204.xlsx"/>
      <sheetName val="IncStmt"/>
    </sheetNames>
    <definedNames>
      <definedName name="Table1"/>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Summary"/>
      <sheetName val="PJC dataset"/>
      <sheetName val="PIVOT (1)"/>
      <sheetName val="PIVOT (2)"/>
      <sheetName val="Pivot Summary"/>
      <sheetName val="Data Dictionary"/>
      <sheetName val="Margin Detail"/>
      <sheetName val="Programs"/>
      <sheetName val="Margin Analysis"/>
      <sheetName val="Reconciliation"/>
      <sheetName val="PJC Masking Mechanism v3"/>
    </sheetNames>
    <sheetDataSet>
      <sheetData sheetId="0" refreshError="1"/>
      <sheetData sheetId="1"/>
      <sheetData sheetId="2">
        <row r="4">
          <cell r="D4">
            <v>1</v>
          </cell>
        </row>
      </sheetData>
      <sheetData sheetId="3">
        <row r="5">
          <cell r="D5" t="str">
            <v>1A</v>
          </cell>
        </row>
      </sheetData>
      <sheetData sheetId="4" refreshError="1"/>
      <sheetData sheetId="5" refreshError="1"/>
      <sheetData sheetId="6"/>
      <sheetData sheetId="7"/>
      <sheetData sheetId="8">
        <row r="5">
          <cell r="B5" t="str">
            <v>Territory/Program</v>
          </cell>
        </row>
      </sheetData>
      <sheetData sheetId="9" refreshError="1"/>
      <sheetData sheetId="10" refreshError="1"/>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Linked Sheet_Paste"/>
      <sheetName val="FES Material Rev."/>
      <sheetName val="FES Material COGS"/>
      <sheetName val="Sheet2"/>
      <sheetName val="Prog Rev &amp; Margin"/>
      <sheetName val="Market Sector Rev_Pivot"/>
      <sheetName val="Market Sector Profit"/>
      <sheetName val="Programs by Sector_Paste"/>
      <sheetName val="Programs by Sector_Pivot"/>
      <sheetName val="Program Det._MOD"/>
      <sheetName val="Margin Det. _MOD"/>
      <sheetName val="Original Source Data--&gt;"/>
      <sheetName val="Data Dictionary"/>
      <sheetName val="Margin Detail"/>
      <sheetName val="Programs"/>
      <sheetName val="Other sheets from Franklin --&gt;"/>
      <sheetName val="Sheet7"/>
      <sheetName val="Summary Table Local (2)"/>
      <sheetName val="Sheet4"/>
      <sheetName val="Sheet3"/>
      <sheetName val="Summary Table Local"/>
      <sheetName val="Summary Table"/>
      <sheetName val="Sheet1"/>
      <sheetName val="DUMP"/>
      <sheetName val="Common Fields"/>
      <sheetName val="Sheet15"/>
      <sheetName val="Master Data Table"/>
      <sheetName val="FES_Program_Margin_Analysis_PJC"/>
    </sheetNames>
    <sheetDataSet>
      <sheetData sheetId="0"/>
      <sheetData sheetId="1"/>
      <sheetData sheetId="2"/>
      <sheetData sheetId="3"/>
      <sheetData sheetId="4"/>
      <sheetData sheetId="5"/>
      <sheetData sheetId="6"/>
      <sheetData sheetId="7">
        <row r="3">
          <cell r="A3" t="str">
            <v xml:space="preserve"> Central Wisconsin Electric Cooperative Utility</v>
          </cell>
        </row>
      </sheetData>
      <sheetData sheetId="8"/>
      <sheetData sheetId="9"/>
      <sheetData sheetId="10"/>
      <sheetData sheetId="11"/>
      <sheetData sheetId="12"/>
      <sheetData sheetId="13"/>
      <sheetData sheetId="14"/>
      <sheetData sheetId="15"/>
      <sheetData sheetId="16"/>
      <sheetData sheetId="17">
        <row r="6">
          <cell r="B6" t="str">
            <v>00000</v>
          </cell>
        </row>
      </sheetData>
      <sheetData sheetId="18"/>
      <sheetData sheetId="19"/>
      <sheetData sheetId="20"/>
      <sheetData sheetId="21"/>
      <sheetData sheetId="22"/>
      <sheetData sheetId="23"/>
      <sheetData sheetId="24"/>
      <sheetData sheetId="25"/>
      <sheetData sheetId="26"/>
      <sheetData sheetId="27" refreshError="1"/>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FactSheet"/>
      <sheetName val="Subject"/>
      <sheetName val="Subj. Actual OpEx"/>
      <sheetName val="Subject (Short Period)"/>
      <sheetName val="S-Ways"/>
      <sheetName val="Add'l Comp Data"/>
      <sheetName val="CapMults"/>
      <sheetName val="MktComp-Mnrty."/>
      <sheetName val="MktComp-Contr."/>
      <sheetName val="Mergerstat Input"/>
      <sheetName val="Mergerstat Summary"/>
      <sheetName val="IndAcqAppInput"/>
      <sheetName val="IndAcqApp"/>
      <sheetName val="Acquisition Info"/>
      <sheetName val="BZComps"/>
      <sheetName val="DCF Method - Input #"/>
      <sheetName val="DCF Method - Input %"/>
      <sheetName val="2-Stage FCFE"/>
      <sheetName val="Cost of Capital"/>
      <sheetName val="Ibbotson WACC"/>
      <sheetName val="DCF Method"/>
      <sheetName val="AltInv"/>
      <sheetName val="ANAsset"/>
      <sheetName val="Discounts"/>
      <sheetName val="Subject LoM"/>
      <sheetName val="LoM Comps"/>
      <sheetName val="LOM Discounts"/>
      <sheetName val="LoM Comps (3of4) Exact"/>
      <sheetName val="LoM Comps (4of4) Close"/>
      <sheetName val="Vsum-Mnrty"/>
      <sheetName val="Prior Trans"/>
      <sheetName val="Vsum-Cntr."/>
      <sheetName val="Beta - Summary"/>
      <sheetName val="BetaPrices"/>
      <sheetName val="Data - Weekly"/>
      <sheetName val="BetaCalc"/>
      <sheetName val="CW"/>
      <sheetName val="Growth"/>
      <sheetName val="BLACK-SCHOLES"/>
      <sheetName val="20 Day $"/>
      <sheetName val="Notes"/>
      <sheetName val="Ticker Page"/>
      <sheetName val="Comps"/>
      <sheetName val="Feed Page"/>
      <sheetName val="GG"/>
      <sheetName val="REIT data"/>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refreshError="1"/>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FactSheet"/>
      <sheetName val="Subject"/>
      <sheetName val="MktComp"/>
      <sheetName val="S-Ways"/>
      <sheetName val="Transaction Input"/>
      <sheetName val="NEW Acquisition Sheet"/>
      <sheetName val="Acq. Adjust."/>
      <sheetName val="IndAcq_S-Ways"/>
      <sheetName val="IndAcqApp"/>
      <sheetName val="CapMults"/>
      <sheetName val="BZComps"/>
      <sheetName val="SummaryB"/>
      <sheetName val="WACC"/>
      <sheetName val="Cost of Capital"/>
      <sheetName val="WACC_D&amp;P"/>
      <sheetName val="DCF Method - Input #"/>
      <sheetName val="DCF Method - Input %"/>
      <sheetName val="SummaryA"/>
      <sheetName val="Cost of Capital_D&amp;P"/>
      <sheetName val="DCF Method"/>
      <sheetName val="IncCap"/>
      <sheetName val="ANAsset"/>
      <sheetName val="Discounts"/>
      <sheetName val="Subject LoM"/>
      <sheetName val="LoM Comps"/>
      <sheetName val="LOM Discounts"/>
      <sheetName val="LoM Comps (3of4) Exact"/>
      <sheetName val="LoM Comps (4of4) Close"/>
      <sheetName val="Res Stock Stats"/>
      <sheetName val="Subject LoM ALL"/>
      <sheetName val="LoM Comps (ALL)"/>
      <sheetName val="LOM Discounts (ALL)"/>
      <sheetName val="Possible New AFR"/>
      <sheetName val="Vsum"/>
      <sheetName val="20 Day $"/>
      <sheetName val="Notes"/>
      <sheetName val="__FDSCACHE__"/>
      <sheetName val="Ticker Page"/>
      <sheetName val="Comps"/>
      <sheetName val="Comp. Adj."/>
      <sheetName val="Feed Page"/>
      <sheetName val="G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POWER5"/>
      <sheetName val="CASH FLOW MONTH FC"/>
      <sheetName val="Inc Stmt MONTH FC"/>
      <sheetName val="BS ASSETS FC"/>
      <sheetName val="ASSUMPT"/>
      <sheetName val="INPUT"/>
      <sheetName val="rank"/>
      <sheetName val="Consolidated"/>
      <sheetName val="Lookup"/>
      <sheetName val="Main Model"/>
      <sheetName val="Newer version"/>
      <sheetName val="Cases"/>
      <sheetName val="Main"/>
      <sheetName val="GL Detail"/>
      <sheetName val="Pro Forma"/>
      <sheetName val="POWER5.XLA"/>
      <sheetName val="CSI"/>
      <sheetName val="Inputs"/>
      <sheetName val="McKinley P&amp;L"/>
      <sheetName val="Assum"/>
      <sheetName val="Pro Forma Income Statement"/>
      <sheetName val="Cap"/>
      <sheetName val="Macros"/>
      <sheetName val="Sales - Report First"/>
      <sheetName val="Debt"/>
      <sheetName val="Tecua"/>
      <sheetName val="URI"/>
      <sheetName val="Test"/>
      <sheetName val="merger"/>
      <sheetName val="proforma BS"/>
      <sheetName val="Stock Analysis"/>
      <sheetName val="Company summary items"/>
      <sheetName val="synthgraph"/>
      <sheetName val="Vergleichswerte"/>
      <sheetName val="pellet"/>
      <sheetName val="COMBINED"/>
      <sheetName val="Aggregation"/>
      <sheetName val="General"/>
      <sheetName val="S&amp;U"/>
      <sheetName val="Debt &amp; Interest"/>
      <sheetName val=" PT 08"/>
      <sheetName val=" PT 07"/>
      <sheetName val=" PT 11"/>
      <sheetName val=" PT 10"/>
      <sheetName val=" PT 12"/>
      <sheetName val=" PT 13"/>
      <sheetName val=" PT 09"/>
      <sheetName val=" PT 01"/>
      <sheetName val=" PT 04"/>
      <sheetName val=" PT 05"/>
      <sheetName val=" PT 03"/>
      <sheetName val="Assumptions"/>
      <sheetName val="Overheads"/>
      <sheetName val="Données Spéc."/>
      <sheetName val="PV - CTLM"/>
      <sheetName val="PV - MTLK"/>
      <sheetName val="Deal Info &amp; Print Menu"/>
      <sheetName val="Product Trends"/>
      <sheetName val="EBITDA Bridge"/>
      <sheetName val="WC analytics (+data pages)"/>
      <sheetName val="Structures"/>
      <sheetName val="YEAR 1 "/>
      <sheetName val="Sched A9"/>
      <sheetName val="cd_Data"/>
      <sheetName val="yc_Formula"/>
      <sheetName val="Historical Actuals"/>
      <sheetName val="Tables"/>
      <sheetName val="Emory Vols Jan-Dec 2006"/>
      <sheetName val="Sheet1"/>
      <sheetName val="Pro Forma Credit "/>
      <sheetName val="Entrada Dados"/>
      <sheetName val="ENERGIA"/>
      <sheetName val="OPR"/>
      <sheetName val="Capital Expenditure Input Sheet"/>
      <sheetName val="Operating Expense Input Sheet"/>
      <sheetName val="Control"/>
      <sheetName val="Comet Reference Tab"/>
      <sheetName val="Rev Tracker"/>
      <sheetName val="Graph"/>
      <sheetName val="GER IFO vs Const"/>
      <sheetName val="Europe sales Graph"/>
      <sheetName val="EU Ind vs EU Cons"/>
      <sheetName val="GER_IFO_vs_Const"/>
      <sheetName val="Europe_sales_Graph"/>
      <sheetName val="EU_Ind_vs_EU_Cons"/>
      <sheetName val="POWER5_XLA"/>
      <sheetName val="AcqIS"/>
      <sheetName val="AcqBSCF"/>
      <sheetName val="Contract_Details"/>
      <sheetName val="BASE DATA"/>
      <sheetName val="Contents"/>
      <sheetName val="Insulin Sales - NA"/>
      <sheetName val="Business_Model"/>
      <sheetName val="Insulin Sales - EU"/>
      <sheetName val="Insulin Sales - Japan"/>
      <sheetName val="Performance"/>
      <sheetName val="2000 Activity"/>
      <sheetName val="total Commonwealth"/>
      <sheetName val="INFO"/>
      <sheetName val="WKSHT"/>
      <sheetName val="CHK REQ"/>
      <sheetName val="SW 212218"/>
      <sheetName val="N.TX - 1997"/>
      <sheetName val="Customize Your Invoice"/>
      <sheetName val="Deal Matrix"/>
      <sheetName val="Model Driver"/>
      <sheetName val="DCF"/>
      <sheetName val="SummaryP&amp;L"/>
      <sheetName val="Assump"/>
      <sheetName val="Cover"/>
      <sheetName val="CF"/>
      <sheetName val="AssumptionsGroup"/>
      <sheetName val="Scenario Management"/>
      <sheetName val=" Cash Flow"/>
      <sheetName val=" P&amp;L-Projection"/>
      <sheetName val="P&amp;L"/>
      <sheetName val="SHELL"/>
      <sheetName val="S&amp;P"/>
      <sheetName val="LBO"/>
      <sheetName val="Active"/>
      <sheetName val="Currency"/>
      <sheetName val="FCC0504"/>
      <sheetName val="Dividend Analysis Assumptions"/>
      <sheetName val="Multiples.Summary"/>
      <sheetName val="Comps"/>
      <sheetName val="Ass"/>
      <sheetName val="Labor"/>
      <sheetName val="Drivers"/>
      <sheetName val="IS &amp; CF"/>
      <sheetName val="DCF_a"/>
      <sheetName val="Mapping"/>
      <sheetName val="CG Alloc"/>
      <sheetName val="AL1"/>
      <sheetName val="General Assump"/>
      <sheetName val="WACC"/>
      <sheetName val="\Applications\Microsoft Office "/>
      <sheetName val="Summary"/>
      <sheetName val="List"/>
      <sheetName val="CloseTable"/>
      <sheetName val="CloseTable Prior"/>
      <sheetName val="Co List"/>
      <sheetName val="P"/>
      <sheetName val="Royal Carib. Model"/>
      <sheetName val="Annual"/>
      <sheetName val="BIS LIST-NTH 18"/>
      <sheetName val="Drop Down Lists"/>
      <sheetName val="SCIMED Old"/>
      <sheetName val="QuartRev"/>
      <sheetName val="//na1.salesforce.com/Applicatio"/>
      <sheetName val="\\sfdc\DFS\Applications\Microso"/>
      <sheetName val="CALCULATIONS"/>
      <sheetName val="Print Controls"/>
      <sheetName val="Input Page"/>
      <sheetName val="Calcs"/>
      <sheetName val="TargIS"/>
      <sheetName val="Buyers Competitors (2)"/>
      <sheetName val="Trial Balance"/>
      <sheetName val="Calendar"/>
      <sheetName val="C_FB"/>
      <sheetName val="PF_IMP2"/>
      <sheetName val="FB"/>
      <sheetName val="MGMT_IS"/>
      <sheetName val="C_TOR"/>
      <sheetName val="STL"/>
      <sheetName val="NYN_91"/>
      <sheetName val="\J\Applications\Microsoft Offic"/>
      <sheetName val="E&amp;Y Format"/>
      <sheetName val="SegAutos"/>
      <sheetName val="D &amp; A"/>
      <sheetName val="Fees"/>
      <sheetName val="#REF"/>
      <sheetName val="[POWER5.XLA]__qmaxsolutions_m_2"/>
      <sheetName val="EXTRACT"/>
      <sheetName val="chad10 June02"/>
      <sheetName val="chad12 Dec02"/>
      <sheetName val="chad4"/>
      <sheetName val="DATA"/>
      <sheetName val="Model Summary"/>
      <sheetName val="Purchase vs. Rights"/>
      <sheetName val="CIH Sensitivities"/>
      <sheetName val="Tables for Memo Update 2-9-09"/>
      <sheetName val="INÍCIO_OPER"/>
      <sheetName val="BRSW"/>
      <sheetName val="sal"/>
      <sheetName val="check"/>
      <sheetName val="Main_Model"/>
      <sheetName val="Newer_version"/>
      <sheetName val="Set-up"/>
      <sheetName val="Footnotes"/>
      <sheetName val="2000_Activity"/>
      <sheetName val="total_Commonwealth"/>
      <sheetName val="CHK_REQ"/>
      <sheetName val="SW_212218"/>
      <sheetName val="N_TX_-_1997"/>
      <sheetName val="Customize_Your_Invoice"/>
      <sheetName val="Sales_-_Report_First"/>
      <sheetName val="Daily Sales"/>
      <sheetName val="Parameter"/>
      <sheetName val="Timber"/>
      <sheetName val="Share Prices"/>
      <sheetName val="GL_Detail"/>
      <sheetName val="\Applications\Microsoft_Office_"/>
      <sheetName val="Pro_Forma"/>
      <sheetName val="O1"/>
      <sheetName val="Equity Index"/>
      <sheetName val="Model"/>
      <sheetName val="Consolidated Financials"/>
      <sheetName val="Drop-DownLists"/>
      <sheetName val="POWER5_XLA1"/>
      <sheetName val="Rev_Tracker"/>
      <sheetName val="proforma_BS"/>
      <sheetName val="Stock_Analysis"/>
      <sheetName val="Company_summary_items"/>
      <sheetName val="Pro_Forma_Income_Statement"/>
      <sheetName val="Debt_&amp;_Interest"/>
      <sheetName val="McKinley_P&amp;L"/>
      <sheetName val="_PT_08"/>
      <sheetName val="_PT_07"/>
      <sheetName val="_PT_11"/>
      <sheetName val="_PT_10"/>
      <sheetName val="_PT_12"/>
      <sheetName val="_PT_13"/>
      <sheetName val="_PT_09"/>
      <sheetName val="_PT_01"/>
      <sheetName val="_PT_04"/>
      <sheetName val="_PT_05"/>
      <sheetName val="_PT_03"/>
      <sheetName val="Données_Spéc_"/>
      <sheetName val="PV_-_CTLM"/>
      <sheetName val="PV_-_MTLK"/>
      <sheetName val="Deal_Info_&amp;_Print_Menu"/>
      <sheetName val="Product_Trends"/>
      <sheetName val="EBITDA_Bridge"/>
      <sheetName val="WC_analytics_(+data_pages)"/>
      <sheetName val="YEAR_1_"/>
      <sheetName val="Sched_A9"/>
      <sheetName val="Historical_Actuals"/>
      <sheetName val="Emory_Vols_Jan-Dec_2006"/>
      <sheetName val="Pro_Forma_Credit_"/>
      <sheetName val="Entrada_Dados"/>
      <sheetName val="Capital_Expenditure_Input_Sheet"/>
      <sheetName val="Operating_Expense_Input_Sheet"/>
      <sheetName val="Comet_Reference_Tab"/>
      <sheetName val="GER_IFO_vs_Const1"/>
      <sheetName val="Europe_sales_Graph1"/>
      <sheetName val="EU_Ind_vs_EU_Cons1"/>
      <sheetName val="Scenario_Management"/>
      <sheetName val="_Cash_Flow"/>
      <sheetName val="_P&amp;L-Projection"/>
      <sheetName val="Dividend_Analysis_Assumptions"/>
      <sheetName val="Multiples_Summary"/>
      <sheetName val="IS_&amp;_CF"/>
      <sheetName val="BASE_DATA"/>
      <sheetName val="Insulin_Sales_-_NA"/>
      <sheetName val="Insulin_Sales_-_EU"/>
      <sheetName val="Insulin_Sales_-_Japan"/>
      <sheetName val="Deal_Matrix"/>
      <sheetName val="Model_Driver"/>
      <sheetName val="chad10_June02"/>
      <sheetName val="chad12_Dec02"/>
      <sheetName val="CASH_FLOW_MONTH_FC"/>
      <sheetName val="Inc_Stmt_MONTH_FC"/>
      <sheetName val="BS_ASSETS_FC"/>
      <sheetName val="General_Assump"/>
      <sheetName val="CloseTable_Prior"/>
      <sheetName val="Co_List"/>
      <sheetName val="Royal_Carib__Model"/>
      <sheetName val="BIS_LIST-NTH_18"/>
      <sheetName val="Cap Sheet"/>
      <sheetName val="D"/>
      <sheetName val="Cashflow Model"/>
      <sheetName val="Control Sheet"/>
      <sheetName val="Data sheet"/>
      <sheetName val="summ2"/>
      <sheetName val="//aodocs.altirnao.com/webdav/PC"/>
      <sheetName val="//localhost/webdav/PCPK8Cq7c4LY"/>
      <sheetName val="//localhost/webdav/PCPQism4gC0V"/>
      <sheetName val="//localhost/FY%202015%20Close/F"/>
      <sheetName val="//aodocs.altirnao.com/webdav/PD"/>
      <sheetName val="//localhost/webdav/PCPyKv40Lr9R"/>
      <sheetName val="//qmaxsolutions-my_sharepoint_c"/>
      <sheetName val="//qmaxsolutions-my_sharepoint_1"/>
      <sheetName val="Main_Model1"/>
      <sheetName val="Newer_version1"/>
      <sheetName val="GL_Detail1"/>
      <sheetName val="Pro_Forma1"/>
      <sheetName val="McKinley_P&amp;L1"/>
      <sheetName val="Pro_Forma_Income_Statement1"/>
      <sheetName val="Deal_Matrix1"/>
      <sheetName val="Model_Driver1"/>
      <sheetName val="Insulin_Sales_-_NA1"/>
      <sheetName val="Insulin_Sales_-_EU1"/>
      <sheetName val="Insulin_Sales_-_Japan1"/>
      <sheetName val="Inputs &amp; Pro Formas"/>
      <sheetName val="input for decending analysis"/>
      <sheetName val="BUDGET99"/>
      <sheetName val="Cost Centers and PMTs"/>
      <sheetName val="KlajaMap"/>
      <sheetName val="DAS &amp; Networking Costs"/>
      <sheetName val="Drop_Down_Lists"/>
      <sheetName val="SCIMED_Old"/>
      <sheetName val="//na1_salesforce_com/Applicatio"/>
      <sheetName val="D_&amp;_A"/>
      <sheetName val="Share_Prices"/>
      <sheetName val="Buyers_Competitors_(2)"/>
      <sheetName val="Trial_Balance"/>
      <sheetName val="Print_Controls"/>
      <sheetName val="Input_Page"/>
      <sheetName val="E&amp;Y_Format"/>
      <sheetName val="Consolidated_Financials"/>
      <sheetName val="Iss. Vol. (Outp.)"/>
      <sheetName val="MACRs"/>
      <sheetName val="US Ops Account Detail"/>
      <sheetName val="Industry"/>
      <sheetName val="[POWER5.XLA][POWER5.XLA][POWER5"/>
      <sheetName val="[POWER5.XLA][POWER5.XLA]\Applic"/>
      <sheetName val="[POWER5.XLA][POWER5.XLA]//na1.s"/>
      <sheetName val="[POWER5.XLA][POWER5.XLA]\\sfdc\"/>
      <sheetName val="[POWER5.XLA]\Applications\Micro"/>
      <sheetName val="[POWER5.XLA]//na1.salesforce.co"/>
      <sheetName val="[POWER5.XLA]\\sfdc\DFS\Applicat"/>
      <sheetName val="[POWER5.XLA]//qmaxsolutions-my."/>
      <sheetName val="[POWER5.XLA][POWER5.XLA]//qmaxs"/>
      <sheetName val="[POWER5.XLA][POWER5.XLA]\J\Appl"/>
      <sheetName val="[POWER5.XLA]\J\Applications\Mic"/>
      <sheetName val="P&amp;L by Month"/>
      <sheetName val="T DCF"/>
      <sheetName val="PMO"/>
      <sheetName val="Stock Chart"/>
      <sheetName val="Statement of Cash Flows"/>
      <sheetName val="Comps Table"/>
      <sheetName val="Lookups"/>
      <sheetName val="2005"/>
      <sheetName val="ROCE-WACC.EVtoEBITDA"/>
      <sheetName val="NOC"/>
      <sheetName val="Salaries"/>
      <sheetName val="Analysis"/>
      <sheetName val="Cell Links"/>
      <sheetName val="Covenant Wksht"/>
      <sheetName val="Defaults_App"/>
      <sheetName val="SQL_Std"/>
      <sheetName val="[POWER5.XLA]__qmaxsolutions_m_3"/>
      <sheetName val="[POWER5.XLA]__qmaxsolutions_m_4"/>
      <sheetName val="[POWER5.XLA]__qmaxsolutions_m_9"/>
      <sheetName val="Rev Build"/>
      <sheetName val="DSM"/>
      <sheetName val="Standalone"/>
      <sheetName val="POWER5_XLA2"/>
      <sheetName val="POWER5_XLA3"/>
      <sheetName val="POWER5_XLA4"/>
      <sheetName val="POWER5_XLA5"/>
      <sheetName val="POWER5_XLA6"/>
      <sheetName val="TU"/>
      <sheetName val="POWER5_XLA7"/>
      <sheetName val="WACC Analysis"/>
      <sheetName val="_Entities"/>
      <sheetName val="_References_1"/>
      <sheetName val="Trending Inc Stmt"/>
      <sheetName val="13001"/>
      <sheetName val="Gastos Detallados Opt"/>
      <sheetName val="1-StartingPoint"/>
      <sheetName val="3a-SalesForecastYear1"/>
      <sheetName val="7b-IncomeStatementYrs1-3"/>
      <sheetName val="3b-SalesForecastYrs1-3"/>
      <sheetName val="Fin Flows"/>
      <sheetName val="Marketing Stats"/>
      <sheetName val="BU Logic"/>
      <sheetName val="Sources &amp; Uses"/>
      <sheetName val="Pricing Graphs"/>
      <sheetName val="CoTrans Input Sheet"/>
      <sheetName val="REPORT"/>
      <sheetName val="Combined Divisionals"/>
      <sheetName val="P&amp;L Tables For Report"/>
      <sheetName val="CHARTS for report"/>
      <sheetName val="SOP"/>
      <sheetName val="\J\Applications\Microsoft_Offic"/>
      <sheetName val="Equity_Index"/>
      <sheetName val="\Users\Dan\Library\Application "/>
      <sheetName val="Trk_Mfg"/>
      <sheetName val="Top20"/>
      <sheetName val="Cars"/>
      <sheetName val="Brand"/>
      <sheetName val="Segments"/>
      <sheetName val="Car_Seg"/>
      <sheetName val="Trk_Seg"/>
      <sheetName val="Car_Mfg"/>
      <sheetName val="Corp"/>
      <sheetName val="Corp Brd"/>
      <sheetName val="Trucks"/>
      <sheetName val="Master Comps"/>
      <sheetName val="Share Repurchase Benchmarking"/>
      <sheetName val="BETAS"/>
      <sheetName val="MPW"/>
      <sheetName val="Challan"/>
      <sheetName val="Risc Financiero"/>
      <sheetName val="Revenue"/>
      <sheetName val="Lookup Tables"/>
      <sheetName val="CRITERIA1"/>
      <sheetName val="v_headers"/>
      <sheetName val="Strategic"/>
      <sheetName val="_CIQHiddenCacheSheet"/>
      <sheetName val="Financial"/>
      <sheetName val="Details"/>
      <sheetName val="P_L_Jan"/>
      <sheetName val="P_L_Feb"/>
      <sheetName val="P_L_Mar"/>
      <sheetName val="P_L_Apr"/>
      <sheetName val="P_L_May"/>
      <sheetName val="P_L_Jun"/>
      <sheetName val="P_L_Jul"/>
      <sheetName val="P_L_Aug"/>
      <sheetName val="P_L_Sep"/>
      <sheetName val="P_L_Oct"/>
      <sheetName val="P_L_Nov"/>
      <sheetName val="P_L_Dec"/>
      <sheetName val="All_Brands"/>
      <sheetName val="Lipoflavonoid"/>
      <sheetName val="Florajen"/>
      <sheetName val="CertainDri"/>
      <sheetName val="Cystex"/>
      <sheetName val="Absorbine"/>
      <sheetName val="Albolene"/>
      <sheetName val="AntiMonkeyButt"/>
      <sheetName val="Non_Branded_000"/>
      <sheetName val="2018 All_Brands"/>
      <sheetName val="2018 Lipoflavonoid"/>
      <sheetName val="2018 Florajen"/>
      <sheetName val="2018 CertainDri"/>
      <sheetName val="2018 Cystex"/>
      <sheetName val="2018 Absorbine"/>
      <sheetName val="2018 Albolene"/>
      <sheetName val="2018 AntiMonkeyButt"/>
      <sheetName val="2018 Non_Branded_000"/>
      <sheetName val="Rexall Sundown"/>
      <sheetName val="SD and NB Magazine"/>
      <sheetName val="Projections"/>
      <sheetName val="Stacked_Column_w_labels"/>
      <sheetName val="Sales_-_Report_First1"/>
      <sheetName val="\Applications\Microsoft_Office1"/>
      <sheetName val="2000_Activity1"/>
      <sheetName val="total_Commonwealth1"/>
      <sheetName val="CHK_REQ1"/>
      <sheetName val="SW_2122181"/>
      <sheetName val="N_TX_-_19971"/>
      <sheetName val="Customize_Your_Invoice1"/>
      <sheetName val="Daily_Sales"/>
      <sheetName val="Statement_of_Cash_Flows"/>
      <sheetName val="Warr"/>
      <sheetName val="OP Sum"/>
      <sheetName val="Comp"/>
      <sheetName val="CGSgm2"/>
      <sheetName val="CGSsp"/>
      <sheetName val="Factors"/>
      <sheetName val="Sales"/>
      <sheetName val="A CUENTA"/>
      <sheetName val="Config"/>
      <sheetName val="C_B_.4_Installed"/>
      <sheetName val="M"/>
      <sheetName val="G"/>
      <sheetName val="Elements"/>
      <sheetName val="commercial construction"/>
      <sheetName val="crack spreads"/>
      <sheetName val="new orders"/>
      <sheetName val="IFO Manufacturing Business Clim"/>
      <sheetName val="TSCC"/>
      <sheetName val="Sec"/>
      <sheetName val="BS"/>
      <sheetName val="CoCos Output Sheet"/>
      <sheetName val="Power &amp; Fuel(SMS)"/>
      <sheetName val="Asset (VIN) Data"/>
      <sheetName val="00FCST"/>
      <sheetName val="Item Data"/>
      <sheetName val="Insulin_Sales_-_NA2"/>
      <sheetName val="Insulin_Sales_-_EU2"/>
      <sheetName val="Insulin_Sales_-_Japan2"/>
      <sheetName val="McKinley_P&amp;L2"/>
      <sheetName val="Pro_Forma_Income_Statement2"/>
      <sheetName val="Capital_Expenditure_Input_Shee1"/>
      <sheetName val="Operating_Expense_Input_Sheet1"/>
      <sheetName val="Pro_Forma_Credit_1"/>
      <sheetName val="Main_Model2"/>
      <sheetName val="Newer_version2"/>
      <sheetName val="Entrada_Dados1"/>
      <sheetName val="General_Assump1"/>
      <sheetName val="GER_IFO_vs_Const2"/>
      <sheetName val="Europe_sales_Graph2"/>
      <sheetName val="EU_Ind_vs_EU_Cons2"/>
      <sheetName val="Scenario_Management1"/>
      <sheetName val="_Cash_Flow1"/>
      <sheetName val="_P&amp;L-Projection1"/>
      <sheetName val="Rev_Tracker1"/>
      <sheetName val="BASE_DATA1"/>
      <sheetName val="proforma_BS1"/>
      <sheetName val="Stock_Analysis1"/>
      <sheetName val="Company_summary_items1"/>
      <sheetName val="GL_Detail2"/>
      <sheetName val="Pro_Forma2"/>
      <sheetName val="Debt_&amp;_Interest1"/>
      <sheetName val="_PT_081"/>
      <sheetName val="_PT_071"/>
      <sheetName val="_PT_111"/>
      <sheetName val="_PT_101"/>
      <sheetName val="_PT_121"/>
      <sheetName val="_PT_131"/>
      <sheetName val="_PT_091"/>
      <sheetName val="_PT_011"/>
      <sheetName val="_PT_041"/>
      <sheetName val="_PT_051"/>
      <sheetName val="_PT_031"/>
      <sheetName val="Données_Spéc_1"/>
      <sheetName val="PV_-_CTLM1"/>
      <sheetName val="PV_-_MTLK1"/>
      <sheetName val="Deal_Info_&amp;_Print_Menu1"/>
      <sheetName val="Product_Trends1"/>
      <sheetName val="EBITDA_Bridge1"/>
      <sheetName val="WC_analytics_(+data_pages)1"/>
      <sheetName val="YEAR_1_1"/>
      <sheetName val="Sched_A91"/>
      <sheetName val="Historical_Actuals1"/>
      <sheetName val="Emory_Vols_Jan-Dec_20061"/>
      <sheetName val="Comet_Reference_Tab1"/>
      <sheetName val="Deal_Matrix2"/>
      <sheetName val="Model_Driver2"/>
      <sheetName val="Dividend_Analysis_Assumptions1"/>
      <sheetName val="Multiples_Summary1"/>
      <sheetName val="IS_&amp;_CF1"/>
      <sheetName val="CASH_FLOW_MONTH_FC1"/>
      <sheetName val="Inc_Stmt_MONTH_FC1"/>
      <sheetName val="BS_ASSETS_FC1"/>
      <sheetName val="CloseTable_Prior1"/>
      <sheetName val="Co_List1"/>
      <sheetName val="Royal_Carib__Model1"/>
      <sheetName val="BIS_LIST-NTH_181"/>
      <sheetName val="chad10_June021"/>
      <sheetName val="chad12_Dec021"/>
      <sheetName val="//qmaxsolutions-my_sharepoint_2"/>
      <sheetName val="//aodocs_altirnao_com/webdav/PC"/>
      <sheetName val="//aodocs_altirnao_com/webdav/PD"/>
      <sheetName val="Cap_Sheet"/>
      <sheetName val="US_Ops_Account_Detail"/>
      <sheetName val="Cashflow_Model"/>
      <sheetName val="[POWER5_XLA][POWER5_XLA][POWER5"/>
      <sheetName val="[POWER5_XLA][POWER5_XLA]\Applic"/>
      <sheetName val="[POWER5_XLA][POWER5_XLA]//na1_s"/>
      <sheetName val="[POWER5_XLA][POWER5_XLA]\\sfdc\"/>
      <sheetName val="[POWER5_XLA]\Applications\Micro"/>
      <sheetName val="[POWER5_XLA]//na1_salesforce_co"/>
      <sheetName val="[POWER5_XLA]\\sfdc\DFS\Applicat"/>
      <sheetName val="Model_Summary"/>
      <sheetName val="Purchase_vs__Rights"/>
      <sheetName val="CIH_Sensitivities"/>
      <sheetName val="Tables_for_Memo_Update_2-9-09"/>
      <sheetName val="LC PF"/>
      <sheetName val="Sheet2"/>
      <sheetName val="Debt Amortization"/>
      <sheetName val="Vector Inputs"/>
      <sheetName val="\Applications\Micro"/>
      <sheetName val="//na1.salesforce.co"/>
      <sheetName val="\\sfdc\DFS\Applicat"/>
      <sheetName val="//qmaxsolutions-my."/>
      <sheetName val="[POWER5.XLA][POWER5"/>
      <sheetName val="[POWER5.XLA]\Applic"/>
      <sheetName val="[POWER5.XLA]//na1.s"/>
      <sheetName val="[POWER5.XLA]\\sfdc\"/>
      <sheetName val="[POWER5.XLA]//qmaxs"/>
      <sheetName val="[POWER5.XLA]\J\Appl"/>
      <sheetName val="\J\Applications\Mic"/>
      <sheetName val="Summary Exhibit II"/>
      <sheetName val="Lease summary"/>
      <sheetName val="Portfolio Budget"/>
      <sheetName val="Wound Case"/>
      <sheetName val="Buildup"/>
      <sheetName val="Categories"/>
      <sheetName val="Inputs_&amp;_Pro_Formas"/>
      <sheetName val="Issue Log"/>
      <sheetName val="Sheet9"/>
      <sheetName val="Asset Transfer_Screen Shot"/>
      <sheetName val="Asset Proposal List"/>
      <sheetName val="Asset Proposal-Screen Shots"/>
      <sheetName val="Data Import Template"/>
      <sheetName val="New Asset List"/>
      <sheetName val="New Asset_Screen Shots"/>
      <sheetName val="FAMAsset_as of 12.31.18"/>
      <sheetName val="Backlog"/>
      <sheetName val="FX Rates"/>
      <sheetName val="Otherdebt"/>
      <sheetName val="[POWER5"/>
      <sheetName val="2012"/>
      <sheetName val="Sales Forecast"/>
      <sheetName val="FIRE ALARM"/>
      <sheetName val="Soybasis"/>
      <sheetName val="WS_App"/>
      <sheetName val="SummaryTax"/>
      <sheetName val="APR"/>
      <sheetName val="AUG"/>
      <sheetName val="DEC"/>
      <sheetName val="FEB"/>
      <sheetName val="JUL"/>
      <sheetName val="JUN"/>
      <sheetName val="MAR"/>
      <sheetName val="MAY"/>
      <sheetName val="SEP"/>
      <sheetName val="Tax_Stock deal"/>
      <sheetName val="Tax_Asset deal"/>
      <sheetName val="Tax_S Corp"/>
      <sheetName val="IT"/>
      <sheetName val="CBC"/>
      <sheetName val="GT_Custom"/>
      <sheetName val="Financial Request List"/>
      <sheetName val="Tax Request List"/>
      <sheetName val="Cash proof"/>
      <sheetName val="TB - IS"/>
      <sheetName val="TB BS"/>
      <sheetName val="GT Discussion&gt;"/>
      <sheetName val="AR_Aging"/>
      <sheetName val="COR - SoftwareHardware Maint"/>
      <sheetName val="COR - Consultants"/>
      <sheetName val="COR - Co hosting"/>
      <sheetName val="Opex-Professional services"/>
      <sheetName val="GT Custom"/>
      <sheetName val="WC2 (2)"/>
      <sheetName val="//na1_salesforce_com/Applicati1"/>
      <sheetName val="SCIMED_Old1"/>
      <sheetName val="Buyers_Competitors_(2)1"/>
      <sheetName val="Trial_Balance1"/>
      <sheetName val="Drop_Down_Lists1"/>
      <sheetName val="E&amp;Y_Format1"/>
      <sheetName val="Print_Controls1"/>
      <sheetName val="Input_Page1"/>
      <sheetName val="D_&amp;_A1"/>
      <sheetName val="Share_Prices1"/>
      <sheetName val="input_for_decending_analysis"/>
      <sheetName val="Consolidated_Financials1"/>
      <sheetName val="ROCE-WACC_EVtoEBITDA"/>
      <sheetName val="CG_Alloc"/>
      <sheetName val="[POWER5_XLA]//qmaxsolutions-my_"/>
      <sheetName val="[POWER5_XLA][POWER5_XLA]//qmaxs"/>
      <sheetName val="[POWER5_XLA][POWER5_XLA]\J\Appl"/>
      <sheetName val="[POWER5_XLA]\J\Applications\Mic"/>
      <sheetName val="P&amp;L_by_Month"/>
      <sheetName val="T_DCF"/>
      <sheetName val="Fin_Flows"/>
      <sheetName val="Marketing_Stats"/>
      <sheetName val="Iss__Vol__(Outp_)"/>
      <sheetName val="Cost_Centers_and_PMTs"/>
      <sheetName val="DAS_&amp;_Networking_Costs"/>
      <sheetName val="Balance"/>
      <sheetName val="Employee Data"/>
      <sheetName val="Actual"/>
      <sheetName val="AOP Summary-2"/>
      <sheetName val="PLShell"/>
      <sheetName val="Maintenance"/>
      <sheetName val="investment- acounting"/>
      <sheetName val="Regression"/>
      <sheetName val="ISQ LBO - Full Company"/>
      <sheetName val="BroglDelta"/>
      <sheetName val="BroglDepoFidu"/>
      <sheetName val="BroglSGT"/>
      <sheetName val="Stock_Chart"/>
      <sheetName val="Comps_Table"/>
      <sheetName val="Control_Sheet"/>
      <sheetName val="Data_sheet"/>
      <sheetName val="Covenant_Wksht"/>
      <sheetName val="Sources_&amp;_Uses"/>
      <sheetName val="Trending_Inc_Stmt"/>
      <sheetName val="2018_All_Brands"/>
      <sheetName val="2018_Lipoflavonoid"/>
      <sheetName val="2018_Florajen"/>
      <sheetName val="2018_CertainDri"/>
      <sheetName val="2018_Cystex"/>
      <sheetName val="2018_Absorbine"/>
      <sheetName val="2018_Albolene"/>
      <sheetName val="2018_AntiMonkeyButt"/>
      <sheetName val="2018_Non_Branded_000"/>
      <sheetName val="\Users\Dan\Library\Application_"/>
      <sheetName val="[POWER5.XLA]__qmaxsolutions_m_5"/>
      <sheetName val="[POWER5.XLA]__qmaxsolutions_m_6"/>
      <sheetName val="[POWER5.XLA]__qmaxsolutions_m_8"/>
      <sheetName val="[POWER5.XLA]__qmaxsolutions_m_7"/>
      <sheetName val="[POWER5.XLA]__qmaxsolutions__10"/>
      <sheetName val="[POWER5.XLA]__qmaxsolutions__22"/>
      <sheetName val="[POWER5.XLA]__qmaxsolutions__11"/>
      <sheetName val="[POWER5.XLA]__qmaxsolutions__12"/>
      <sheetName val="[POWER5.XLA]__qmaxsolutions__13"/>
      <sheetName val="[POWER5.XLA]__qmaxsolutions__14"/>
      <sheetName val="[POWER5.XLA]__qmaxsolutions__15"/>
      <sheetName val="[POWER5.XLA]__qmaxsolutions__16"/>
      <sheetName val="[POWER5.XLA]__qmaxsolutions__17"/>
      <sheetName val="[POWER5.XLA]__qmaxsolutions__18"/>
      <sheetName val="[POWER5.XLA]__qmaxsolutions__19"/>
      <sheetName val="[POWER5.XLA]__qmaxsolutions__20"/>
      <sheetName val="[POWER5.XLA]__qmaxsolutions__21"/>
      <sheetName val="[POWER5.XLA]__qmaxsolutions__23"/>
      <sheetName val="[POWER5.XLA]__qmaxsolutions__24"/>
      <sheetName val="[POWER5.XLA]__qmaxsolutions__25"/>
      <sheetName val="[POWER5.XLA]__qmaxsolutions__29"/>
      <sheetName val="[POWER5.XLA]__qmaxsolutions__26"/>
      <sheetName val="[POWER5.XLA]__qmaxsolutions__27"/>
      <sheetName val="[POWER5.XLA]__qmaxsolutions__28"/>
      <sheetName val="[POWER5.XLA]__qmaxsolutions__30"/>
      <sheetName val="[POWER5.XLA]__qmaxsolutions__31"/>
      <sheetName val="[POWER5.XLA]__qmaxsolutions__32"/>
      <sheetName val="novmar actuals"/>
      <sheetName val="06-030 Capital Gains and Losses"/>
      <sheetName val="Area by JC"/>
      <sheetName val="Scatter"/>
      <sheetName val="Lists"/>
      <sheetName val="football_field"/>
      <sheetName val="Dividend IPORecap Analysis"/>
      <sheetName val="[POWER5.XLA]_Applications_Mic_2"/>
      <sheetName val="[POWER5.XLA]__na1_salesforce__2"/>
      <sheetName val="[POWER5.XLA]__sfdc_DFS_Applic_2"/>
      <sheetName val="[POWER5.XLA]_J_Applications_M_2"/>
      <sheetName val="Cash flow worksheet"/>
      <sheetName val="Inc Stmt"/>
      <sheetName val="Bal Sht"/>
      <sheetName val="01"/>
      <sheetName val="Data Input"/>
      <sheetName val="Exhibits"/>
      <sheetName val="Menus"/>
      <sheetName val="\Users\SSimakova\Library\Caches"/>
      <sheetName val="Outlook"/>
      <sheetName val="DB"/>
      <sheetName val="Insert"/>
      <sheetName val="Proforma"/>
      <sheetName val="Case"/>
      <sheetName val="K1DB"/>
      <sheetName val="Equity Database"/>
      <sheetName val="MARKET PRICES"/>
      <sheetName val="RED Forecast"/>
      <sheetName val="TEN side"/>
      <sheetName val="Balance Sheet Standard -Feb"/>
      <sheetName val="Balance Sheet Standard"/>
      <sheetName val="Balance sheet Actual to Budget"/>
      <sheetName val="Balance sheet Actual to Bud Feb"/>
      <sheetName val="April"/>
      <sheetName val="March"/>
      <sheetName val="June"/>
      <sheetName val="July"/>
      <sheetName val="Sept"/>
      <sheetName val="Oct"/>
      <sheetName val="Nov"/>
      <sheetName val="Jan"/>
      <sheetName val="Feb 19"/>
      <sheetName val="Mar 19"/>
      <sheetName val="April 19"/>
      <sheetName val="May 2019"/>
      <sheetName val="June 19"/>
      <sheetName val="July 2019"/>
      <sheetName val="Aug 2019"/>
      <sheetName val="cash flow- Monthly (2)"/>
      <sheetName val="cash flow monthly"/>
      <sheetName val="cash flow YTD "/>
      <sheetName val="Budgeted BS 2018-19"/>
      <sheetName val="cash flow- 2018-19"/>
      <sheetName val="Budget cash flow 2018"/>
      <sheetName val="Cover Page"/>
      <sheetName val="Environment"/>
      <sheetName val="Index"/>
      <sheetName val="TAX_JNLS_2019"/>
      <sheetName val="FalTB"/>
      <sheetName val="MM Mapping"/>
      <sheetName val="Customer split"/>
      <sheetName val="BPC_Upload"/>
      <sheetName val="Depr Amortisation check"/>
      <sheetName val="Working capital"/>
      <sheetName val="Summary Financial Statement"/>
      <sheetName val="Op Balances 2019"/>
      <sheetName val="Look up"/>
      <sheetName val="[POWER5.XLA]__qmaxsolutions_498"/>
      <sheetName val="[POWER5.XLA]__qmaxsolutions__33"/>
      <sheetName val="[POWER5.XLA]__qmaxsolutions__34"/>
      <sheetName val="[POWER5.XLA]__qmaxsolutions__44"/>
      <sheetName val="[POWER5.XLA]__qmaxsolutions__43"/>
      <sheetName val="[POWER5.XLA]__qmaxsolutions__36"/>
      <sheetName val="[POWER5.XLA]__qmaxsolutions__35"/>
      <sheetName val="[POWER5.XLA]__qmaxsolutions__37"/>
      <sheetName val="[POWER5.XLA]__qmaxsolutions__38"/>
      <sheetName val="[POWER5.XLA]__qmaxsolutions__39"/>
      <sheetName val="[POWER5.XLA]__qmaxsolutions__40"/>
      <sheetName val="[POWER5.XLA]__qmaxsolutions__41"/>
      <sheetName val="[POWER5.XLA]__qmaxsolutions__42"/>
      <sheetName val="[POWER5.XLA]__qmaxsolutions__46"/>
      <sheetName val="[POWER5.XLA]__qmaxsolutions__45"/>
      <sheetName val="[POWER5.XLA]__qmaxsolutions_162"/>
      <sheetName val="[POWER5.XLA]__qmaxsolutions_158"/>
      <sheetName val="[POWER5.XLA]__qmaxsolutions_153"/>
      <sheetName val="[POWER5.XLA]__qmaxsolutions_147"/>
      <sheetName val="Cons (2)"/>
      <sheetName val="Consx"/>
      <sheetName val="GHA orig"/>
      <sheetName val="GHA"/>
      <sheetName val="GCS"/>
      <sheetName val="PC"/>
      <sheetName val="CENTRAL REGION - 66"/>
      <sheetName val="REST"/>
      <sheetName val="[POWER5.XLA]__qmaxsolutions_140"/>
      <sheetName val="[POWER5.XLA]__qmaxsolutions__47"/>
      <sheetName val="[POWER5.XLA]__qmaxsolutions__49"/>
      <sheetName val="[POWER5.XLA]__qmaxsolutions__48"/>
      <sheetName val="[POWER5.XLA]__qmaxsolutions__50"/>
      <sheetName val="[POWER5.XLA]__qmaxsolutions__52"/>
      <sheetName val="[POWER5.XLA]__qmaxsolutions__51"/>
      <sheetName val="[POWER5.XLA]__qmaxsolutions__56"/>
      <sheetName val="[POWER5.XLA]__qmaxsolutions__53"/>
      <sheetName val="[POWER5.XLA]__qmaxsolutions__55"/>
      <sheetName val="[POWER5.XLA]__qmaxsolutions__54"/>
      <sheetName val="[POWER5.XLA]__qmaxsolutions__57"/>
      <sheetName val="[POWER5.XLA]__qmaxsolutions__58"/>
      <sheetName val="[POWER5.XLA]__qmaxsolutions__59"/>
      <sheetName val="[POWER5.XLA]__qmaxsolutions__65"/>
      <sheetName val="[POWER5.XLA]__qmaxsolutions__62"/>
      <sheetName val="[POWER5.XLA]__qmaxsolutions__60"/>
      <sheetName val="[POWER5.XLA]__qmaxsolutions__61"/>
      <sheetName val="[POWER5.XLA]__qmaxsolutions__63"/>
      <sheetName val="[POWER5.XLA]__qmaxsolutions__64"/>
      <sheetName val="[POWER5.XLA]__qmaxsolutions__66"/>
      <sheetName val="[POWER5.XLA]__qmaxsolutions__67"/>
      <sheetName val="[POWER5.XLA]__qmaxsolutions__69"/>
      <sheetName val="[POWER5.XLA]__qmaxsolutions__68"/>
      <sheetName val="[POWER5.XLA]__qmaxsolutions__71"/>
      <sheetName val="[POWER5.XLA]__qmaxsolutions__70"/>
      <sheetName val="[POWER5.XLA]__qmaxsolutions__72"/>
      <sheetName val="[POWER5.XLA]__qmaxsolutions__79"/>
      <sheetName val="[POWER5.XLA]__qmaxsolutions__78"/>
      <sheetName val="[POWER5.XLA]__qmaxsolutions__73"/>
      <sheetName val="[POWER5.XLA]__qmaxsolutions__74"/>
      <sheetName val="[POWER5.XLA]__qmaxsolutions__75"/>
      <sheetName val="[POWER5.XLA]__qmaxsolutions__76"/>
      <sheetName val="[POWER5.XLA]__qmaxsolutions__77"/>
      <sheetName val="[POWER5.XLA]__qmaxsolutions__87"/>
      <sheetName val="[POWER5.XLA]__qmaxsolutions__80"/>
      <sheetName val="[POWER5.XLA]__qmaxsolutions__81"/>
      <sheetName val="[POWER5.XLA]__qmaxsolutions__82"/>
      <sheetName val="[POWER5.XLA]__qmaxsolutions__83"/>
      <sheetName val="[POWER5.XLA]__qmaxsolutions__84"/>
      <sheetName val="[POWER5.XLA]__qmaxsolutions__85"/>
      <sheetName val="[POWER5.XLA]__qmaxsolutions__86"/>
      <sheetName val="[POWER5.XLA]__qmaxsolutions__90"/>
      <sheetName val="[POWER5.XLA]__qmaxsolutions__88"/>
      <sheetName val="[POWER5.XLA]__qmaxsolutions__89"/>
      <sheetName val="[POWER5.XLA]__qmaxsolutions__91"/>
      <sheetName val="[POWER5.XLA]__qmaxsolutions__93"/>
      <sheetName val="[POWER5.XLA]__qmaxsolutions__92"/>
      <sheetName val="[POWER5.XLA]__qmaxsolutions__96"/>
      <sheetName val="[POWER5.XLA]__qmaxsolutions__94"/>
      <sheetName val="[POWER5.XLA]__qmaxsolutions__95"/>
      <sheetName val="[POWER5.XLA]__qmaxsolutions__98"/>
      <sheetName val="[POWER5.XLA]__qmaxsolutions__97"/>
      <sheetName val="[POWER5.XLA]__qmaxsolutions_101"/>
      <sheetName val="[POWER5.XLA]__qmaxsolutions__99"/>
      <sheetName val="[POWER5.XLA]__qmaxsolutions_100"/>
      <sheetName val="[POWER5.XLA]__qmaxsolutions_119"/>
      <sheetName val="[POWER5.XLA]__qmaxsolutions_114"/>
      <sheetName val="[POWER5.XLA]__qmaxsolutions_108"/>
      <sheetName val="[POWER5.XLA]__qmaxsolutions_103"/>
      <sheetName val="[POWER5.XLA]__qmaxsolutions_102"/>
      <sheetName val="[POWER5.XLA]__qmaxsolutions_104"/>
      <sheetName val="[POWER5.XLA]__qmaxsolutions_106"/>
      <sheetName val="[POWER5.XLA]__qmaxsolutions_105"/>
      <sheetName val="[POWER5.XLA]__qmaxsolutions_107"/>
      <sheetName val="[POWER5.XLA]__qmaxsolutions_110"/>
      <sheetName val="[POWER5.XLA]__qmaxsolutions_109"/>
      <sheetName val="[POWER5.XLA]__qmaxsolutions_111"/>
      <sheetName val="[POWER5.XLA]__qmaxsolutions_113"/>
      <sheetName val="[POWER5.XLA]__qmaxsolutions_112"/>
      <sheetName val="[POWER5.XLA]__qmaxsolutions_115"/>
      <sheetName val="[POWER5.XLA]__qmaxsolutions_116"/>
      <sheetName val="[POWER5.XLA]__qmaxsolutions_117"/>
      <sheetName val="[POWER5.XLA]__qmaxsolutions_118"/>
      <sheetName val="[POWER5.XLA]__qmaxsolutions_121"/>
      <sheetName val="[POWER5.XLA]__qmaxsolutions_120"/>
      <sheetName val="[POWER5.XLA]__qmaxsolutions_128"/>
      <sheetName val="[POWER5.XLA]__qmaxsolutions_122"/>
      <sheetName val="[POWER5.XLA]__qmaxsolutions_123"/>
      <sheetName val="[POWER5.XLA]__qmaxsolutions_124"/>
      <sheetName val="[POWER5.XLA]__qmaxsolutions_125"/>
      <sheetName val="[POWER5.XLA]__qmaxsolutions_126"/>
      <sheetName val="[POWER5.XLA]__qmaxsolutions_127"/>
      <sheetName val="[POWER5.XLA]__qmaxsolutions_130"/>
      <sheetName val="[POWER5.XLA]__qmaxsolutions_129"/>
      <sheetName val="Data Validation"/>
      <sheetName val="2015 Forecast"/>
      <sheetName val="Gross Margin Build"/>
      <sheetName val="Output Model"/>
      <sheetName val="Names"/>
      <sheetName val="Cash+"/>
      <sheetName val="Program Loss Control"/>
      <sheetName val="Transmittal Letter"/>
      <sheetName val="Disclaimer"/>
      <sheetName val="Key Analyses"/>
      <sheetName val="QoE"/>
      <sheetName val="Adjusted Summary P&amp;L"/>
      <sheetName val="NWC"/>
      <sheetName val="NWC Analysis"/>
      <sheetName val="Adjusted NWC Graph"/>
      <sheetName val="DDL"/>
      <sheetName val="GSM Analyses"/>
      <sheetName val="GSM Bridge FY17 - FY18"/>
      <sheetName val="GSM Bridge FY18 - FY19"/>
      <sheetName val="Grace - Alum"/>
      <sheetName val="Grace - LSA"/>
      <sheetName val="Grace - ACH"/>
      <sheetName val="Shell - Alum"/>
      <sheetName val="Shell - LSA"/>
      <sheetName val="Municipal"/>
      <sheetName val="Appendix"/>
      <sheetName val="Detailed IS"/>
      <sheetName val="Balance Sheet Summary"/>
      <sheetName val="Scope Reconciliation"/>
      <sheetName val="SQL_App"/>
      <sheetName val="Notices"/>
      <sheetName val="EFASB13 (US-12)"/>
      <sheetName val="chart of accounts"/>
      <sheetName val="Front Sheet"/>
      <sheetName val="Service Offerings to Top-20"/>
      <sheetName val="Logistics Out. by Region"/>
      <sheetName val="Revenue by Segment"/>
      <sheetName val="Facilities Overview"/>
      <sheetName val="Vol Contr 2013-2016"/>
      <sheetName val="QE17"/>
      <sheetName val="Summary of Adjustments"/>
      <sheetName val="GRAPHS"/>
      <sheetName val="\Applic"/>
      <sheetName val="//na1.s"/>
      <sheetName val="\\sfdc\"/>
      <sheetName val="B-6 investment"/>
      <sheetName val="Date Listing - Sub"/>
      <sheetName val="Int. Rate Data"/>
      <sheetName val="USCV3"/>
      <sheetName val="[POWER5.XLA]__qmaxsolutions_138"/>
      <sheetName val="[POWER5.XLA]__qmaxsolutions_133"/>
      <sheetName val="[POWER5.XLA]__qmaxsolutions_132"/>
      <sheetName val="[POWER5.XLA]__qmaxsolutions_131"/>
      <sheetName val="[POWER5.XLA]__qmaxsolutions_136"/>
      <sheetName val="[POWER5.XLA]__qmaxsolutions_134"/>
      <sheetName val="[POWER5.XLA]__qmaxsolutions_135"/>
      <sheetName val="[POWER5.XLA]__qmaxsolutions_137"/>
      <sheetName val="[POWER5.XLA]__qmaxsolutions_139"/>
      <sheetName val="[POWER5.XLA]__qmaxsolutions_142"/>
      <sheetName val="[POWER5.XLA]__qmaxsolutions_141"/>
      <sheetName val="[POWER5.XLA]__qmaxsolutions_144"/>
      <sheetName val="[POWER5.XLA]__qmaxsolutions_143"/>
      <sheetName val="[POWER5.XLA]__qmaxsolutions_145"/>
      <sheetName val="[POWER5.XLA]__qmaxsolutions_146"/>
      <sheetName val="[POWER5.XLA]__qmaxsolutions_148"/>
      <sheetName val="[POWER5.XLA]__qmaxsolutions_150"/>
      <sheetName val="[POWER5.XLA]__qmaxsolutions_149"/>
      <sheetName val="[POWER5.XLA]__qmaxsolutions_151"/>
      <sheetName val="[POWER5.XLA]__qmaxsolutions_152"/>
      <sheetName val="[POWER5.XLA]__qmaxsolutions_154"/>
      <sheetName val="[POWER5.XLA]__qmaxsolutions_155"/>
      <sheetName val="[POWER5.XLA]__qmaxsolutions_156"/>
      <sheetName val="[POWER5.XLA]__qmaxsolutions_157"/>
      <sheetName val="[POWER5.XLA]__qmaxsolutions_159"/>
      <sheetName val="[POWER5.XLA]__qmaxsolutions_160"/>
      <sheetName val="[POWER5.XLA]__qmaxsolutions_161"/>
      <sheetName val="[POWER5.XLA]__qmaxsolutions_217"/>
      <sheetName val="[POWER5.XLA]__qmaxsolutions_211"/>
      <sheetName val="Sales_-_Report_First2"/>
      <sheetName val="2000_Activity2"/>
      <sheetName val="total_Commonwealth2"/>
      <sheetName val="CHK_REQ2"/>
      <sheetName val="SW_2122182"/>
      <sheetName val="N_TX_-_19972"/>
      <sheetName val="Customize_Your_Invoice2"/>
      <sheetName val="\J\Applications\Microsoft_Offi1"/>
      <sheetName val="Daily_Sales1"/>
      <sheetName val="//qmaxs"/>
      <sheetName val="\J\Appl"/>
      <sheetName val="Historical Financials"/>
      <sheetName val="[POWER5.XLA]_Applications_Mic_3"/>
      <sheetName val="[POWER5.XLA]__aodocs_altirnao_2"/>
      <sheetName val="[POWER5.XLA]__localhost_webda_2"/>
      <sheetName val="[POWER5.XLA]__localhost_webda_3"/>
      <sheetName val="[POWER5.XLA]__localhost_FY_20_2"/>
      <sheetName val="[POWER5.XLA]__aodocs_altirnao_3"/>
      <sheetName val="[POWER5.XLA]__localhost_webda_4"/>
      <sheetName val="[POWER5.XLA][POWER5.XLA]_Appl_2"/>
      <sheetName val="[POWER5.XLA][POWER5.XLA]__na1_2"/>
      <sheetName val="[POWER5.XLA][POWER5.XLA]__sfd_2"/>
      <sheetName val="[POWER5.XLA][POWER5.XLA]_POWE_2"/>
      <sheetName val="[POWER5.XLA][POWER5.XLA]_POWE_3"/>
      <sheetName val="[POWER5.XLA][POWER5.XLA]_POWE_4"/>
      <sheetName val="[POWER5.XLA]__na1_salesforce__3"/>
      <sheetName val="[POWER5.XLA]_J_Applications_M_3"/>
      <sheetName val="[POWER5.XLA][POWER5.XLA]__qma_2"/>
      <sheetName val="[POWER5.XLA][POWER5.XLA]_POWE_5"/>
      <sheetName val="[POWER5.XLA][POWER5.XLA]_POWE_6"/>
      <sheetName val="[POWER5.XLA][POWER5.XLA]_J_Ap_2"/>
      <sheetName val="[POWER5.XLA]_Applications_Mic_4"/>
      <sheetName val="[POWER5.XLA]_Users_Dan_Librar_2"/>
      <sheetName val="[POWER5.XLA]__aodocs_altirnao_4"/>
      <sheetName val="[POWER5.XLA]__aodocs_altirnao_5"/>
      <sheetName val="[POWER5.XLA][POWER5_XLA]_POWE_2"/>
      <sheetName val="[POWER5.XLA][POWER5_XLA]_POWE_3"/>
      <sheetName val="[POWER5.XLA][POWER5_XLA]_POWE_4"/>
      <sheetName val="[POWER5.XLA][POWER5_XLA]_Appl_2"/>
      <sheetName val="[POWER5.XLA][POWER5_XLA]__na1_2"/>
      <sheetName val="[POWER5.XLA][POWER5_XLA]__sfd_2"/>
      <sheetName val="[POWER5.XLA]_Applications_Mic_5"/>
      <sheetName val="[POWER5.XLA]__na1_salesforce__4"/>
      <sheetName val="[POWER5.XLA]__sfdc_DFS_Applic_3"/>
      <sheetName val="[POWER5.XLA]_J_Applications_M_4"/>
      <sheetName val="[POWER5.XLA][POWER5.XLA]_Appl_3"/>
      <sheetName val="[POWER5.XLA][POWER5.XLA]__na1_3"/>
      <sheetName val="[POWER5.XLA][POWER5.XLA]__sfd_3"/>
      <sheetName val="[POWER5.XLA][POWER5.XLA]_POWE_7"/>
      <sheetName val="[POWER5.XLA][POWER5.XLA]_POWE_8"/>
      <sheetName val="[POWER5.XLA][POWER5.XLA]_POWE_9"/>
      <sheetName val="[POWER5.XLA]__localhost_webda_5"/>
      <sheetName val="[POWER5.XLA]__localhost_webda_6"/>
      <sheetName val="[POWER5.XLA]__localhost_FY_20_3"/>
      <sheetName val="[POWER5.XLA]__localhost_webda_7"/>
      <sheetName val="[POWER5.XLA][POWER5.XLA]__qma_3"/>
      <sheetName val="[POWER5.XLA][POWER5.XLA]_POW_10"/>
      <sheetName val="[POWER5.XLA][POWER5.XLA]_POW_11"/>
      <sheetName val="[POWER5.XLA][POWER5.XLA]_J_Ap_3"/>
      <sheetName val="[POWER5.XLA]__na1_salesforce__5"/>
      <sheetName val="[POWER5.XLA]_J_Applications_M_5"/>
      <sheetName val="[POWER5.XLA]_Applications_Mic_6"/>
      <sheetName val="[POWER5.XLA]__aodocs_altirnao_6"/>
      <sheetName val="[POWER5.XLA]__aodocs_altirnao_7"/>
      <sheetName val="[POWER5.XLA]_Users_Dan_Librar_3"/>
      <sheetName val="[POWER5.XLA]_Applications_Mic_7"/>
      <sheetName val="[POWER5.XLA]_Applications_Mic_8"/>
      <sheetName val="[POWER5.XLA]__na1_salesforce__6"/>
      <sheetName val="[POWER5.XLA]__sfdc_DFS_Applic_4"/>
      <sheetName val="[POWER5.XLA]_J_Applications_M_6"/>
      <sheetName val="[POWER5.XLA][POWER5.XLA]_Appl_4"/>
      <sheetName val="[POWER5.XLA][POWER5.XLA]__na1_4"/>
      <sheetName val="[POWER5.XLA][POWER5.XLA]__sfd_4"/>
      <sheetName val="[POWER5.XLA][POWER5.XLA]_POW_12"/>
      <sheetName val="[POWER5.XLA][POWER5.XLA]_POW_13"/>
      <sheetName val="[POWER5.XLA][POWER5.XLA]_POW_14"/>
      <sheetName val="[POWER5.XLA]__aodocs_altirnao_8"/>
      <sheetName val="[POWER5.XLA]__localhost_webda_8"/>
      <sheetName val="[POWER5.XLA]__localhost_webda_9"/>
      <sheetName val="[POWER5.XLA]__localhost_FY_20_4"/>
      <sheetName val="[POWER5.XLA]__aodocs_altirnao_9"/>
      <sheetName val="[POWER5.XLA]__localhost_webd_10"/>
      <sheetName val="[POWER5.XLA][POWER5.XLA]__qma_4"/>
      <sheetName val="[POWER5.XLA][POWER5.XLA]_POW_15"/>
      <sheetName val="[POWER5.XLA][POWER5.XLA]_POW_16"/>
      <sheetName val="[POWER5.XLA][POWER5.XLA]_J_Ap_4"/>
      <sheetName val="[POWER5.XLA]__na1_salesforce__7"/>
      <sheetName val="[POWER5.XLA]_J_Applications_M_7"/>
      <sheetName val="[POWER5.XLA]_Applications_Mic_9"/>
      <sheetName val="[POWER5.XLA]__aodocs_altirna_10"/>
      <sheetName val="[POWER5.XLA]__aodocs_altirna_11"/>
      <sheetName val="[POWER5.XLA][POWER5_XLA]_POWE_5"/>
      <sheetName val="[POWER5.XLA][POWER5_XLA]_POWE_6"/>
      <sheetName val="[POWER5.XLA][POWER5_XLA]_POWE_7"/>
      <sheetName val="[POWER5.XLA][POWER5_XLA]_Appl_3"/>
      <sheetName val="[POWER5.XLA][POWER5_XLA]__na1_3"/>
      <sheetName val="[POWER5.XLA][POWER5_XLA]__sfd_3"/>
      <sheetName val="[POWER5.XLA]_Users_Dan_Librar_4"/>
      <sheetName val="[POWER5.XLA]__qmaxsolutions_163"/>
      <sheetName val="[POWER5.XLA]__qmaxsolutions_165"/>
      <sheetName val="[POWER5.XLA]__qmaxsolutions_164"/>
      <sheetName val="[POWER5.XLA]__qmaxsolutions_166"/>
      <sheetName val="[POWER5.XLA]__qmaxsolutions_172"/>
      <sheetName val="[POWER5.XLA]__qmaxsolutions_167"/>
      <sheetName val="completed"/>
      <sheetName val="[POWER5.XLA]__qmaxsolutions_170"/>
      <sheetName val="[POWER5.XLA]__qmaxsolutions_169"/>
      <sheetName val="[POWER5.XLA]__qmaxsolutions_168"/>
      <sheetName val="[POWER5.XLA]__qmaxsolutions_171"/>
      <sheetName val="[POWER5.XLA]__qmaxsolutions_173"/>
      <sheetName val="[POWER5.XLA]__qmaxsolutions_174"/>
      <sheetName val="[POWER5.XLA]__qmaxsolutions_175"/>
      <sheetName val="[POWER5.XLA]__qmaxsolutions_178"/>
      <sheetName val="[POWER5.XLA]__qmaxsolutions_176"/>
      <sheetName val="[POWER5.XLA]__qmaxsolutions_177"/>
      <sheetName val="[POWER5.XLA]__qmaxsolutions_179"/>
      <sheetName val="[POWER5.XLA]__qmaxsolutions_184"/>
      <sheetName val="[POWER5.XLA]__qmaxsolutions_180"/>
      <sheetName val="[POWER5.XLA]__qmaxsolutions_183"/>
      <sheetName val="[POWER5.XLA]__qmaxsolutions_181"/>
      <sheetName val="[POWER5.XLA]__qmaxsolutions_182"/>
      <sheetName val="[POWER5.XLA]__qmaxsolutions_186"/>
      <sheetName val="[POWER5.XLA]__qmaxsolutions_185"/>
      <sheetName val="[POWER5.XLA]__qmaxsolutions_195"/>
      <sheetName val="[POWER5.XLA]__qmaxsolutions_193"/>
      <sheetName val="[POWER5.XLA]__qmaxsolutions_190"/>
      <sheetName val="[POWER5.XLA]__qmaxsolutions_187"/>
      <sheetName val="[POWER5.XLA]__qmaxsolutions_189"/>
      <sheetName val="[POWER5.XLA]__qmaxsolutions_188"/>
      <sheetName val="[POWER5.XLA]__qmaxsolutions_191"/>
      <sheetName val="[POWER5.XLA]__qmaxsolutions_192"/>
      <sheetName val="[POWER5.XLA]__qmaxsolutions_194"/>
      <sheetName val="[POWER5.XLA]__qmaxsolutions_202"/>
      <sheetName val="Listing"/>
      <sheetName val="useless"/>
      <sheetName val="[POWER5.XLA]__qmaxsolutions_201"/>
      <sheetName val="[POWER5.XLA]__qmaxsolutions_200"/>
      <sheetName val="[POWER5.XLA]__qmaxsolutions_197"/>
      <sheetName val="[POWER5.XLA]__qmaxsolutions_196"/>
      <sheetName val="[POWER5.XLA]__qmaxsolutions_199"/>
      <sheetName val="[POWER5.XLA]__qmaxsolutions_198"/>
      <sheetName val="[POWER5.XLA]__qmaxsolutions_209"/>
      <sheetName val="[POWER5.XLA]__qmaxsolutions_208"/>
      <sheetName val="[POWER5.XLA]__qmaxsolutions_206"/>
      <sheetName val="[POWER5.XLA]__qmaxsolutions_203"/>
      <sheetName val="[POWER5.XLA]__qmaxsolutions_204"/>
      <sheetName val="[POWER5.XLA]__qmaxsolutions_205"/>
      <sheetName val="[POWER5.XLA]__qmaxsolutions_207"/>
      <sheetName val="[POWER5.XLA]__qmaxsolutions_210"/>
      <sheetName val="CF_AGG"/>
      <sheetName val="Insulin_Sales_-_NA3"/>
      <sheetName val="Insulin_Sales_-_EU3"/>
      <sheetName val="Insulin_Sales_-_Japan3"/>
      <sheetName val="POWER5_XLA8"/>
      <sheetName val="McKinley_P&amp;L3"/>
      <sheetName val="Pro_Forma_Income_Statement3"/>
      <sheetName val="Capital_Expenditure_Input_Shee2"/>
      <sheetName val="Operating_Expense_Input_Sheet2"/>
      <sheetName val="Pro_Forma_Credit_2"/>
      <sheetName val="Main_Model3"/>
      <sheetName val="Newer_version3"/>
      <sheetName val="Entrada_Dados2"/>
      <sheetName val="General_Assump2"/>
      <sheetName val="GER_IFO_vs_Const3"/>
      <sheetName val="Europe_sales_Graph3"/>
      <sheetName val="EU_Ind_vs_EU_Cons3"/>
      <sheetName val="Scenario_Management2"/>
      <sheetName val="_Cash_Flow2"/>
      <sheetName val="_P&amp;L-Projection2"/>
      <sheetName val="Rev_Tracker2"/>
      <sheetName val="BASE_DATA2"/>
      <sheetName val="proforma_BS2"/>
      <sheetName val="Stock_Analysis2"/>
      <sheetName val="Company_summary_items2"/>
      <sheetName val="GL_Detail3"/>
      <sheetName val="Pro_Forma3"/>
      <sheetName val="Debt_&amp;_Interest2"/>
      <sheetName val="_PT_082"/>
      <sheetName val="_PT_072"/>
      <sheetName val="_PT_112"/>
      <sheetName val="_PT_102"/>
      <sheetName val="_PT_122"/>
      <sheetName val="_PT_132"/>
      <sheetName val="_PT_092"/>
      <sheetName val="_PT_012"/>
      <sheetName val="_PT_042"/>
      <sheetName val="_PT_052"/>
      <sheetName val="_PT_032"/>
      <sheetName val="Données_Spéc_2"/>
      <sheetName val="PV_-_CTLM2"/>
      <sheetName val="PV_-_MTLK2"/>
      <sheetName val="Deal_Info_&amp;_Print_Menu2"/>
      <sheetName val="Product_Trends2"/>
      <sheetName val="EBITDA_Bridge2"/>
      <sheetName val="WC_analytics_(+data_pages)2"/>
      <sheetName val="YEAR_1_2"/>
      <sheetName val="Sched_A92"/>
      <sheetName val="Historical_Actuals2"/>
      <sheetName val="Emory_Vols_Jan-Dec_20062"/>
      <sheetName val="Comet_Reference_Tab2"/>
      <sheetName val="Deal_Matrix3"/>
      <sheetName val="Model_Driver3"/>
      <sheetName val="Dividend_Analysis_Assumptions2"/>
      <sheetName val="Multiples_Summary2"/>
      <sheetName val="IS_&amp;_CF2"/>
      <sheetName val="CASH_FLOW_MONTH_FC2"/>
      <sheetName val="Inc_Stmt_MONTH_FC2"/>
      <sheetName val="BS_ASSETS_FC2"/>
      <sheetName val="\Applications\Microsoft_Office2"/>
      <sheetName val="CloseTable_Prior2"/>
      <sheetName val="Co_List2"/>
      <sheetName val="Royal_Carib__Model2"/>
      <sheetName val="BIS_LIST-NTH_182"/>
      <sheetName val="chad10_June022"/>
      <sheetName val="chad12_Dec022"/>
      <sheetName val="//qmaxsolutions-my_sharepoint_3"/>
      <sheetName val="//aodocs_altirnao_com/webdav/P1"/>
      <sheetName val="//aodocs_altirnao_com/webdav/P2"/>
      <sheetName val="Cap_Sheet1"/>
      <sheetName val="Equity_Index1"/>
      <sheetName val="US_Ops_Account_Detail1"/>
      <sheetName val="Cashflow_Model1"/>
      <sheetName val="[POWER5_XLA][POWER5_XLA][POWER1"/>
      <sheetName val="[POWER5_XLA][POWER5_XLA]\Appli1"/>
      <sheetName val="[POWER5_XLA][POWER5_XLA]//na1_1"/>
      <sheetName val="[POWER5_XLA][POWER5_XLA]\\sfdc1"/>
      <sheetName val="[POWER5_XLA]\Applications\Micr1"/>
      <sheetName val="[POWER5_XLA]//na1_salesforce_c1"/>
      <sheetName val="[POWER5_XLA]\\sfdc\DFS\Applica1"/>
      <sheetName val="Model_Summary1"/>
      <sheetName val="Purchase_vs__Rights1"/>
      <sheetName val="CIH_Sensitivities1"/>
      <sheetName val="Tables_for_Memo_Update_2-9-091"/>
      <sheetName val="Rev_Build"/>
      <sheetName val="WACC_Analysis"/>
      <sheetName val="Combined_Divisionals"/>
      <sheetName val="P&amp;L_Tables_For_Report"/>
      <sheetName val="CHARTS_for_report"/>
      <sheetName val="Cell_Links"/>
      <sheetName val="ACQ_Assump"/>
      <sheetName val="Disposal_95"/>
      <sheetName val="Customize Your Purchase Order"/>
      <sheetName val="400"/>
      <sheetName val="Drop_Down_Lists2"/>
      <sheetName val="SCIMED_Old2"/>
      <sheetName val="//na1_salesforce_com/Applicati2"/>
      <sheetName val="Buyers_Competitors_(2)2"/>
      <sheetName val="Trial_Balance2"/>
      <sheetName val="E&amp;Y_Format2"/>
      <sheetName val="Print_Controls2"/>
      <sheetName val="Input_Page2"/>
      <sheetName val="D_&amp;_A2"/>
      <sheetName val="Share_Prices2"/>
      <sheetName val="Consolidated_Financials2"/>
      <sheetName val="Inputs_&amp;_Pro_Formas1"/>
      <sheetName val="input_for_decending_analysis1"/>
      <sheetName val="Trending_Inc_Stmt1"/>
      <sheetName val="CG_Alloc1"/>
      <sheetName val="Data_sheet1"/>
      <sheetName val="Pricing_Graphs"/>
      <sheetName val="CoTrans_Input_Sheet"/>
      <sheetName val="ROCE-WACC_EVtoEBITDA1"/>
      <sheetName val="Control_Sheet1"/>
      <sheetName val="[POWER5_XLA]//qmaxsolutions-my1"/>
      <sheetName val="[POWER5_XLA][POWER5_XLA]//qmax1"/>
      <sheetName val="[POWER5_XLA][POWER5_XLA]\J\App1"/>
      <sheetName val="[POWER5_XLA]\J\Applications\Mi1"/>
      <sheetName val="P&amp;L_by_Month1"/>
      <sheetName val="T_DCF1"/>
      <sheetName val="Iss__Vol__(Outp_)1"/>
      <sheetName val="Cost_Centers_and_PMTs1"/>
      <sheetName val="DAS_&amp;_Networking_Costs1"/>
      <sheetName val="Fin_Flows1"/>
      <sheetName val="Marketing_Stats1"/>
      <sheetName val="Stock_Chart1"/>
      <sheetName val="Sources_&amp;_Uses1"/>
      <sheetName val="Covenant_Wksht1"/>
      <sheetName val="Statement_of_Cash_Flows1"/>
      <sheetName val="Comps_Table1"/>
      <sheetName val="Item_Data"/>
      <sheetName val="Asset_(VIN)_Data"/>
      <sheetName val="FX_Rates"/>
      <sheetName val="Portfolio_Budget"/>
      <sheetName val="Cash_flow_worksheet"/>
      <sheetName val="Inc_Stmt"/>
      <sheetName val="Bal_Sht"/>
      <sheetName val="Risc_Financiero"/>
      <sheetName val="Lookup_Tables"/>
      <sheetName val="EFASB13_(US-12)"/>
      <sheetName val="chart_of_accounts"/>
      <sheetName val="Gastos_Detallados_Opt"/>
      <sheetName val="BU_Logic"/>
      <sheetName val="Corp_Brd"/>
      <sheetName val="Master_Comps"/>
      <sheetName val="Share_Repurchase_Benchmarking"/>
      <sheetName val="\Users\Dan\Library\Application1"/>
      <sheetName val="2018_All_Brands1"/>
      <sheetName val="2018_Lipoflavonoid1"/>
      <sheetName val="2018_Florajen1"/>
      <sheetName val="2018_CertainDri1"/>
      <sheetName val="2018_Cystex1"/>
      <sheetName val="2018_Absorbine1"/>
      <sheetName val="2018_Albolene1"/>
      <sheetName val="2018_AntiMonkeyButt1"/>
      <sheetName val="2018_Non_Branded_0001"/>
      <sheetName val="CoCos_Output_Sheet"/>
      <sheetName val="Tax_Stock_deal"/>
      <sheetName val="Tax_Asset_deal"/>
      <sheetName val="Tax_S_Corp"/>
      <sheetName val="Financial_Request_List"/>
      <sheetName val="Tax_Request_List"/>
      <sheetName val="Cash_proof"/>
      <sheetName val="TB_-_IS"/>
      <sheetName val="TB_BS"/>
      <sheetName val="GT_Discussion&gt;"/>
      <sheetName val="COR_-_SoftwareHardware_Maint"/>
      <sheetName val="COR_-_Consultants"/>
      <sheetName val="COR_-_Co_hosting"/>
      <sheetName val="Opex-Professional_services"/>
      <sheetName val="GT_Custom1"/>
      <sheetName val="Rexall_Sundown"/>
      <sheetName val="SD_and_NB_Magazine"/>
      <sheetName val="C_B__4_Installed"/>
      <sheetName val="commercial_construction"/>
      <sheetName val="crack_spreads"/>
      <sheetName val="new_orders"/>
      <sheetName val="IFO_Manufacturing_Business_Clim"/>
      <sheetName val="OP_Sum"/>
      <sheetName val="A_CUENTA"/>
      <sheetName val="Power_&amp;_Fuel(SMS)"/>
      <sheetName val="Lease_summary"/>
      <sheetName val="Summary_Exhibit_II"/>
      <sheetName val="Issue_Log"/>
      <sheetName val="Asset_Transfer_Screen_Shot"/>
      <sheetName val="Asset_Proposal_List"/>
      <sheetName val="Asset_Proposal-Screen_Shots"/>
      <sheetName val="Data_Import_Template"/>
      <sheetName val="New_Asset_List"/>
      <sheetName val="New_Asset_Screen_Shots"/>
      <sheetName val="FAMAsset_as_of_12_31_18"/>
      <sheetName val="LC_PF"/>
      <sheetName val="FIRE_ALARM"/>
      <sheetName val="//na1_salesforce_co"/>
      <sheetName val="//qmaxsolutions-my_"/>
      <sheetName val="[POWER5_XLA][POWER5"/>
      <sheetName val="[POWER5_XLA]\Applic"/>
      <sheetName val="[POWER5_XLA]//na1_s"/>
      <sheetName val="[POWER5_XLA]\\sfdc\"/>
      <sheetName val="[POWER5_XLA]//qmaxs"/>
      <sheetName val="[POWER5_XLA]\J\Appl"/>
      <sheetName val="Sales_Forecast"/>
      <sheetName val="WC2_(2)"/>
      <sheetName val="Debt_Amortization"/>
      <sheetName val="Vector_Inputs"/>
      <sheetName val="[POWER5_XLA]__qmaxsolutions_m_2"/>
      <sheetName val="[POWER5_XLA]__qmaxsolutions_m_3"/>
      <sheetName val="ISQ_LBO_-_Full_Company"/>
      <sheetName val="Employee_Data"/>
      <sheetName val="[POWER5_XLA]__qmaxsolutions_m_4"/>
      <sheetName val="AOP_Summary-2"/>
      <sheetName val="investment-_acounting"/>
      <sheetName val="Data_Input"/>
      <sheetName val="[POWER5_XLA]__qmaxsolutions_m_5"/>
      <sheetName val="[POWER5_XLA]__qmaxsolutions__11"/>
      <sheetName val="[POWER5_XLA]__qmaxsolutions__10"/>
      <sheetName val="Wound_Case"/>
      <sheetName val="Data_Validation"/>
      <sheetName val="2015_Forecast"/>
      <sheetName val="Gross_Margin_Build"/>
      <sheetName val="Output_Model"/>
      <sheetName val="[POWER5_XLA]__qmaxsolutions_m_7"/>
      <sheetName val="[POWER5_XLA]__qmaxsolutions_m_6"/>
      <sheetName val="[POWER5_XLA]__qmaxsolutions_m_8"/>
      <sheetName val="[POWER5_XLA]__qmaxsolutions_m_9"/>
      <sheetName val="[POWER5_XLA]__qmaxsolutions__16"/>
      <sheetName val="[POWER5_XLA]__qmaxsolutions__12"/>
      <sheetName val="[POWER5_XLA]__qmaxsolutions__13"/>
      <sheetName val="[POWER5_XLA]__qmaxsolutions__14"/>
      <sheetName val="[POWER5_XLA]__qmaxsolutions__15"/>
      <sheetName val="novmar_actuals"/>
      <sheetName val="06-030_Capital_Gains_and_Losses"/>
      <sheetName val="Area_by_JC"/>
      <sheetName val="Equity_Database"/>
      <sheetName val="MARKET_PRICES"/>
      <sheetName val="RED_Forecast"/>
      <sheetName val="TEN_side"/>
      <sheetName val="Balance_Sheet_Standard_-Feb"/>
      <sheetName val="Balance_Sheet_Standard"/>
      <sheetName val="Balance_sheet_Actual_to_Budget"/>
      <sheetName val="Balance_sheet_Actual_to_Bud_Feb"/>
      <sheetName val="Feb_19"/>
      <sheetName val="Mar_19"/>
      <sheetName val="April_19"/>
      <sheetName val="May_2019"/>
      <sheetName val="June_19"/>
      <sheetName val="July_2019"/>
      <sheetName val="Aug_2019"/>
      <sheetName val="cash_flow-_Monthly_(2)"/>
      <sheetName val="cash_flow_monthly"/>
      <sheetName val="cash_flow_YTD_"/>
      <sheetName val="Budgeted_BS_2018-19"/>
      <sheetName val="cash_flow-_2018-19"/>
      <sheetName val="Budget_cash_flow_2018"/>
      <sheetName val="Cover_Page"/>
      <sheetName val="MM_Mapping"/>
      <sheetName val="Customer_split"/>
      <sheetName val="Depr_Amortisation_check"/>
      <sheetName val="Working_capital"/>
      <sheetName val="Summary_Financial_Statement"/>
      <sheetName val="Op_Balances_2019"/>
      <sheetName val="Look_up"/>
      <sheetName val="Cons_(2)"/>
      <sheetName val="GHA_orig"/>
      <sheetName val="[POWER5_XLA]__qmaxsolutions__17"/>
      <sheetName val="[POWER5_XLA]__qmaxsolutions__18"/>
      <sheetName val="[POWER5_XLA]__qmaxsolutions__19"/>
      <sheetName val="[POWER5_XLA]__qmaxsolutions__20"/>
      <sheetName val="[POWER5_XLA]__qmaxsolutions__21"/>
      <sheetName val="[POWER5_XLA]__qmaxsolutions__22"/>
      <sheetName val="[POWER5_XLA]__qmaxsolutions__23"/>
      <sheetName val="[POWER5.XLA]__qmaxsolutions_212"/>
      <sheetName val="[POWER5.XLA]__qmaxsolutions_214"/>
      <sheetName val="[POWER5.XLA]__qmaxsolutions_213"/>
      <sheetName val="[POWER5.XLA]__qmaxsolutions_215"/>
      <sheetName val="[POWER5.XLA]__qmaxsolutions_216"/>
      <sheetName val="[POWER5.XLA]__qmaxsolutions_219"/>
      <sheetName val="[POWER5.XLA]__qmaxsolutions_218"/>
      <sheetName val="[POWER5.XLA]__qmaxsolutions_221"/>
      <sheetName val="[POWER5.XLA]__qmaxsolutions_220"/>
      <sheetName val="[POWER5.XLA]__qmaxsolutions_223"/>
      <sheetName val="[POWER5.XLA]__qmaxsolutions_222"/>
      <sheetName val="[POWER5.XLA]__qmaxsolutions_224"/>
      <sheetName val="[POWER5.XLA]__qmaxsolutions_243"/>
      <sheetName val="[POWER5.XLA]__qmaxsolutions_242"/>
      <sheetName val="[POWER5.XLA]__qmaxsolutions_225"/>
      <sheetName val="[POWER5.XLA]__qmaxsolutions_227"/>
      <sheetName val="[POWER5.XLA]__qmaxsolutions_226"/>
      <sheetName val="[POWER5.XLA]__qmaxsolutions_228"/>
      <sheetName val="[POWER5.XLA]__qmaxsolutions_229"/>
      <sheetName val="[POWER5.XLA]__qmaxsolutions_235"/>
      <sheetName val="[POWER5.XLA]__qmaxsolutions_234"/>
      <sheetName val="[POWER5.XLA]__qmaxsolutions_233"/>
      <sheetName val="[POWER5.XLA]__qmaxsolutions_232"/>
      <sheetName val="[POWER5.XLA]__qmaxsolutions_231"/>
      <sheetName val="[POWER5.XLA]__qmaxsolutions_230"/>
      <sheetName val="[POWER5.XLA]__qmaxsolutions_236"/>
      <sheetName val="[POWER5.XLA]__qmaxsolutions_237"/>
      <sheetName val="[POWER5.XLA]__qmaxsolutions_238"/>
      <sheetName val="[POWER5.XLA]__qmaxsolutions_239"/>
      <sheetName val="[POWER5.XLA]__qmaxsolutions_240"/>
      <sheetName val="[POWER5.XLA]__qmaxsolutions_241"/>
      <sheetName val="__qmaxsolutions_m_2"/>
      <sheetName val="99 Contingency Analysis"/>
      <sheetName val="New C PM"/>
      <sheetName val="Controls"/>
      <sheetName val="Pipeline User Controls"/>
      <sheetName val="Odwalla"/>
      <sheetName val="Admin"/>
      <sheetName val="Add Info(AI)"/>
      <sheetName val="P&amp;L - Main"/>
      <sheetName val="GP LP Fund"/>
      <sheetName val="CODING"/>
      <sheetName val="EDEFDEBT"/>
      <sheetName val="Worldwide_Sales"/>
      <sheetName val="[POWER5.XLA]_Users_SSimakova__2"/>
      <sheetName val="[POWER5.XLA]_Applications_Mi_10"/>
      <sheetName val="[POWER5.XLA]__aodocs_altirna_12"/>
      <sheetName val="[POWER5.XLA]__aodocs_altirna_13"/>
      <sheetName val="[POWER5.XLA][POWER5_XLA]_POWE_8"/>
      <sheetName val="[POWER5.XLA][POWER5_XLA]_POWE_9"/>
      <sheetName val="[POWER5.XLA][POWER5_XLA]_POW_10"/>
      <sheetName val="[POWER5.XLA][POWER5_XLA]_Appl_4"/>
      <sheetName val="[POWER5.XLA][POWER5_XLA]__na1_4"/>
      <sheetName val="[POWER5.XLA][POWER5_XLA]__sfd_4"/>
      <sheetName val="[POWER5.XLA]_Users_SSimakova__3"/>
      <sheetName val="[POWER5.XLA]_Applications_Mi_11"/>
      <sheetName val="[POWER5.XLA]__na1_salesforce__8"/>
      <sheetName val="[POWER5.XLA]__sfdc_DFS_Applic_5"/>
      <sheetName val="[POWER5.XLA]_J_Applications_M_8"/>
      <sheetName val="[POWER5.XLA]_Applications_Mi_12"/>
      <sheetName val="[POWER5.XLA]__aodocs_altirna_14"/>
      <sheetName val="[POWER5.XLA]__localhost_webd_11"/>
      <sheetName val="[POWER5.XLA]__localhost_webd_12"/>
      <sheetName val="[POWER5.XLA]__localhost_FY_20_5"/>
      <sheetName val="[POWER5.XLA]__aodocs_altirna_15"/>
      <sheetName val="[POWER5.XLA]__localhost_webd_13"/>
      <sheetName val="[POWER5.XLA][POWER5.XLA]_Appl_5"/>
      <sheetName val="[POWER5.XLA][POWER5.XLA]__na1_5"/>
      <sheetName val="[POWER5.XLA][POWER5.XLA]__sfd_5"/>
      <sheetName val="[POWER5.XLA][POWER5.XLA]_POW_17"/>
      <sheetName val="[POWER5.XLA][POWER5.XLA]_POW_18"/>
      <sheetName val="[POWER5.XLA][POWER5.XLA]_POW_19"/>
      <sheetName val="[POWER5.XLA]__na1_salesforce__9"/>
      <sheetName val="[POWER5.XLA]_J_Applications_M_9"/>
      <sheetName val="[POWER5.XLA][POWER5.XLA]__qma_5"/>
      <sheetName val="[POWER5.XLA][POWER5.XLA]_POW_20"/>
      <sheetName val="[POWER5.XLA][POWER5.XLA]_POW_21"/>
      <sheetName val="[POWER5.XLA][POWER5.XLA]_J_Ap_5"/>
      <sheetName val="[POWER5.XLA]_Applications_Mi_13"/>
      <sheetName val="[POWER5.XLA]_Users_Dan_Librar_5"/>
      <sheetName val="[POWER5.XLA]__aodocs_altirna_16"/>
      <sheetName val="[POWER5.XLA]__aodocs_altirna_17"/>
      <sheetName val="[POWER5.XLA][POWER5_XLA]_POW_11"/>
      <sheetName val="[POWER5.XLA][POWER5_XLA]_POW_12"/>
      <sheetName val="[POWER5.XLA][POWER5_XLA]_POW_13"/>
      <sheetName val="[POWER5.XLA][POWER5_XLA]_Appl_5"/>
      <sheetName val="[POWER5.XLA][POWER5_XLA]__na1_5"/>
      <sheetName val="[POWER5.XLA][POWER5_XLA]__sfd_5"/>
      <sheetName val="[POWER5.XLA]_Users_SSimakova__4"/>
      <sheetName val="LB_DCF"/>
      <sheetName val="DCF Inputs"/>
      <sheetName val="TFTREBRI"/>
      <sheetName val="EV-EBITDA"/>
      <sheetName val="GSChartLabels"/>
      <sheetName val="[POWER5.XLA]__qmaxsolutions_292"/>
      <sheetName val="Category"/>
      <sheetName val="[POWER5.XLA]__qmaxsolutions_244"/>
      <sheetName val="[POWER5.XLA]__qmaxsolutions_246"/>
      <sheetName val="[POWER5.XLA]__qmaxsolutions_245"/>
      <sheetName val="[POWER5.XLA]__qmaxsolutions_247"/>
      <sheetName val="[POWER5.XLA]__qmaxsolutions_248"/>
      <sheetName val="[POWER5.XLA]__qmaxsolutions_253"/>
      <sheetName val="[POWER5.XLA]__qmaxsolutions_249"/>
      <sheetName val="[POWER5.XLA]__qmaxsolutions_250"/>
      <sheetName val="[POWER5.XLA]__qmaxsolutions_251"/>
      <sheetName val="[POWER5.XLA]__qmaxsolutions_252"/>
      <sheetName val="[POWER5.XLA]__qmaxsolutions_254"/>
      <sheetName val="[POWER5.XLA]__qmaxsolutions_258"/>
      <sheetName val="[POWER5.XLA]__qmaxsolutions_255"/>
      <sheetName val="[POWER5.XLA]__qmaxsolutions_256"/>
      <sheetName val="[POWER5.XLA]__qmaxsolutions_257"/>
      <sheetName val="[POWER5.XLA]__qmaxsolutions_262"/>
      <sheetName val="[POWER5.XLA]__qmaxsolutions_259"/>
      <sheetName val="[POWER5.XLA]__qmaxsolutions_260"/>
      <sheetName val="[POWER5.XLA]__qmaxsolutions_261"/>
      <sheetName val="[POWER5.XLA]__qmaxsolutions_263"/>
      <sheetName val="[POWER5.XLA]__qmaxsolutions_265"/>
      <sheetName val="[POWER5.XLA]__qmaxsolutions_264"/>
      <sheetName val="[POWER5.XLA]__qmaxsolutions_268"/>
      <sheetName val="[POWER5.XLA]__qmaxsolutions_266"/>
      <sheetName val="[POWER5.XLA]__qmaxsolutions_267"/>
      <sheetName val="[POWER5.XLA]__qmaxsolutions_271"/>
      <sheetName val="[POWER5.XLA]__qmaxsolutions_269"/>
      <sheetName val="[POWER5.XLA]__qmaxsolutions_270"/>
      <sheetName val="[POWER5.XLA]__qmaxsolutions_274"/>
      <sheetName val="[POWER5.XLA]__qmaxsolutions_272"/>
      <sheetName val="[POWER5.XLA]__qmaxsolutions_273"/>
      <sheetName val="[POWER5.XLA]__qmaxsolutions_276"/>
      <sheetName val="[POWER5.XLA]__qmaxsolutions_275"/>
      <sheetName val="[POWER5.XLA]__qmaxsolutions_278"/>
      <sheetName val="[POWER5.XLA]__qmaxsolutions_277"/>
      <sheetName val="[POWER5.XLA]__qmaxsolutions_291"/>
      <sheetName val="[POWER5.XLA]__qmaxsolutions_283"/>
      <sheetName val="[POWER5.XLA]__qmaxsolutions_279"/>
      <sheetName val="[POWER5.XLA]__qmaxsolutions_280"/>
      <sheetName val="[POWER5.XLA]__qmaxsolutions_281"/>
      <sheetName val="[POWER5.XLA]__qmaxsolutions_282"/>
      <sheetName val="[POWER5.XLA]__qmaxsolutions_286"/>
      <sheetName val="[POWER5.XLA]__qmaxsolutions_284"/>
      <sheetName val="[POWER5.XLA]__qmaxsolutions_285"/>
      <sheetName val="[POWER5.XLA]__qmaxsolutions_287"/>
      <sheetName val="[POWER5.XLA]__qmaxsolutions_288"/>
      <sheetName val="[POWER5.XLA]__qmaxsolutions_289"/>
      <sheetName val="[POWER5.XLA]__qmaxsolutions_290"/>
      <sheetName val="[POWER5.XLA]__d_docs_live_net_4"/>
      <sheetName val="[POWER5.XLA]__d_docs_live_net_2"/>
      <sheetName val="[POWER5.XLA]__d_docs_live_net_3"/>
      <sheetName val="[POWER5.XLA]__d_docs_live_net_5"/>
      <sheetName val="ScratchPad_HCB_YTD BS"/>
      <sheetName val="ScratchPad_HPM_YTD BS"/>
      <sheetName val="2007"/>
      <sheetName val="Budget-Dept"/>
      <sheetName val="MATURITY1"/>
      <sheetName val="Portugal Q1RF"/>
      <sheetName val="Global Footcare price list"/>
      <sheetName val="Foot Balance price list"/>
      <sheetName val="QE adjustment database"/>
      <sheetName val="PL Data"/>
      <sheetName val="BS Data"/>
      <sheetName val="NWC adjustments"/>
      <sheetName val="CCS"/>
      <sheetName val="Financial Data"/>
      <sheetName val="Lookup Table"/>
      <sheetName val="Dashboard - Page 1"/>
      <sheetName val="Dashboard - Page 2"/>
      <sheetName val="Dashboard - Page 3"/>
      <sheetName val="HRs &amp; Fill Rate"/>
      <sheetName val="TX Consolidated"/>
      <sheetName val="Census"/>
      <sheetName val="JE"/>
      <sheetName val="Abilene"/>
      <sheetName val="Arlington"/>
      <sheetName val="Corpus Christi"/>
      <sheetName val="Del Rio(xfers. to SA in Nov.)"/>
      <sheetName val="Edinburg"/>
      <sheetName val="Jasper"/>
      <sheetName val="Laredo(xfers. to Corp. in Nov.)"/>
      <sheetName val="Mt Vernon"/>
      <sheetName val="Pasadena"/>
      <sheetName val="Cooper"/>
      <sheetName val="Bridgeport"/>
      <sheetName val="San Antonio"/>
      <sheetName val="Louisiana"/>
      <sheetName val="Pyramid"/>
      <sheetName val="Consolidated CCS Tracker"/>
      <sheetName val="Abilene CCS Tracker"/>
      <sheetName val="Arlington CCS Tracker"/>
      <sheetName val="Bridgeport CCS Tracker"/>
      <sheetName val="Cooper CCS Tracker"/>
      <sheetName val="Corpus Christi CCS Tracker"/>
      <sheetName val="Del Rio CCS Tracker"/>
      <sheetName val="Edinburg CCS Tracker"/>
      <sheetName val="Jasper CCS Tracker"/>
      <sheetName val="Laredo CCS Tracker"/>
      <sheetName val="Mt Vernon CCS Tracker"/>
      <sheetName val="Pasadena CCS Tracker"/>
      <sheetName val="San Antonio CCS Tracker"/>
      <sheetName val="Pyramid CCS Tracker"/>
      <sheetName val="Dashboard"/>
      <sheetName val="OK Consol"/>
      <sheetName val="Hugo"/>
      <sheetName val="OklahomaCity"/>
      <sheetName val="Pryor"/>
      <sheetName val="Purcell"/>
      <sheetName val="Sallisaw"/>
      <sheetName val="Enid"/>
      <sheetName val="Chickasha"/>
      <sheetName val="Weatherford"/>
      <sheetName val="Avg PCA Hrs"/>
      <sheetName val="PCA Hours"/>
      <sheetName val="Nursing"/>
      <sheetName val="Instructions"/>
      <sheetName val="TransfersOut"/>
      <sheetName val="Depr Table"/>
      <sheetName val="8.23.06"/>
      <sheetName val="13-01 BS"/>
      <sheetName val="09-02 - BS"/>
      <sheetName val="Enity &amp; Line Item Map"/>
      <sheetName val="13-01 IS"/>
      <sheetName val="P&amp;L 12months thru 09-02"/>
      <sheetName val="EPS Chart_CRNv2"/>
      <sheetName val="2020 Capex Budget"/>
      <sheetName val="Capex Forecast"/>
      <sheetName val="Actual_Forecast"/>
      <sheetName val="DB002Exp"/>
      <sheetName val="DB003Exp"/>
      <sheetName val="DB005Exp"/>
      <sheetName val="DB007Exp"/>
      <sheetName val="DB011Exp"/>
      <sheetName val="DB037Exp"/>
      <sheetName val="Open PO @ 11.1.18"/>
      <sheetName val="SA18-072 to 18-083 Flipper Proj"/>
      <sheetName val="CC pmt SA18-075 &amp; 18-076"/>
      <sheetName val="Summary Prophix Vs Macola"/>
      <sheetName val="Summary Small Flipper"/>
      <sheetName val="AP invoices SA18-073-083"/>
      <sheetName val="CC Expense SA18-073- 083"/>
      <sheetName val="Support"/>
      <sheetName val="Note"/>
      <sheetName val="Open PO @11.29.18"/>
      <sheetName val="Open PO @ 12.31.2018"/>
      <sheetName val="__qmaxsolutions_m_4"/>
      <sheetName val="__qmaxsolutions_m_3"/>
      <sheetName val="__qmaxsolutions_m_5"/>
      <sheetName val="__qmaxsolutions_m_6"/>
      <sheetName val="[POWER5.XLA]_Applications_Mi_14"/>
      <sheetName val="[POWER5.XLA]__na1_salesforce_10"/>
      <sheetName val="[POWER5.XLA]__sfdc_DFS_Applic_6"/>
      <sheetName val="[POWER5.XLA]_J_Applications__10"/>
      <sheetName val="[POWER5.XLA]_Applications_Mi_15"/>
      <sheetName val="[POWER5.XLA]__aodocs_altirna_18"/>
      <sheetName val="[POWER5.XLA]__localhost_webd_14"/>
      <sheetName val="[POWER5.XLA]__localhost_webd_15"/>
      <sheetName val="[POWER5.XLA]__localhost_FY_20_6"/>
      <sheetName val="[POWER5.XLA]__aodocs_altirna_19"/>
      <sheetName val="[POWER5.XLA]__localhost_webd_16"/>
      <sheetName val="[POWER5.XLA][POWER5.XLA]_Appl_6"/>
      <sheetName val="[POWER5.XLA][POWER5.XLA]__na1_6"/>
      <sheetName val="[POWER5.XLA][POWER5.XLA]__sfd_6"/>
      <sheetName val="[POWER5.XLA][POWER5.XLA]_POW_22"/>
      <sheetName val="[POWER5.XLA][POWER5.XLA]_POW_23"/>
      <sheetName val="[POWER5.XLA][POWER5.XLA]_POW_24"/>
      <sheetName val="[POWER5.XLA]__na1_salesforce_11"/>
      <sheetName val="[POWER5.XLA]_J_Applications__11"/>
      <sheetName val="[POWER5.XLA][POWER5.XLA]__qma_6"/>
      <sheetName val="[POWER5.XLA][POWER5.XLA]_POW_25"/>
      <sheetName val="[POWER5.XLA][POWER5.XLA]_POW_26"/>
      <sheetName val="[POWER5.XLA][POWER5.XLA]_J_Ap_6"/>
      <sheetName val="[POWER5.XLA]_Applications_Mi_16"/>
      <sheetName val="[POWER5.XLA]_Users_Dan_Librar_6"/>
      <sheetName val="[POWER5.XLA]__aodocs_altirna_20"/>
      <sheetName val="[POWER5.XLA]__aodocs_altirna_21"/>
      <sheetName val="[POWER5.XLA][POWER5_XLA]_POW_14"/>
      <sheetName val="[POWER5.XLA][POWER5_XLA]_POW_15"/>
      <sheetName val="[POWER5.XLA][POWER5_XLA]_POW_16"/>
      <sheetName val="[POWER5.XLA][POWER5_XLA]_Appl_6"/>
      <sheetName val="[POWER5.XLA][POWER5_XLA]__na1_6"/>
      <sheetName val="[POWER5.XLA][POWER5_XLA]__sfd_6"/>
      <sheetName val="[POWER5.XLA]_Users_SSimakova__5"/>
      <sheetName val="[POWER5.XLA]__na1_salesforce_12"/>
      <sheetName val="[POWER5.XLA][POWER5_XLA]__qma_2"/>
      <sheetName val="[POWER5.XLA][POWER5_XLA]_POW_17"/>
      <sheetName val="[POWER5.XLA][POWER5_XLA]_POW_18"/>
      <sheetName val="[POWER5.XLA][POWER5_XLA]_J_Ap_2"/>
      <sheetName val="[POWER5.XLA]_Users_Dan_Librar_7"/>
      <sheetName val="CapStructure"/>
      <sheetName val="Returns"/>
      <sheetName val="Convertible Preferred"/>
      <sheetName val="Upside Cases"/>
      <sheetName val="Standalone Costs"/>
      <sheetName val="[POWER5.XLA]__qmaxsolutions_370"/>
      <sheetName val="Recap"/>
      <sheetName val="Monthly_Statements"/>
      <sheetName val="[POWER5.XLA]__qmaxsolutions_299"/>
      <sheetName val="CA2"/>
      <sheetName val="[POWER5.XLA]__qmaxsolutions_293"/>
      <sheetName val="[POWER5.XLA]__qmaxsolutions_294"/>
      <sheetName val="[POWER5.XLA]__qmaxsolutions_295"/>
      <sheetName val="[POWER5.XLA]__qmaxsolutions_296"/>
      <sheetName val="[POWER5.XLA]__qmaxsolutions_297"/>
      <sheetName val="[POWER5.XLA]__qmaxsolutions_298"/>
      <sheetName val="[POWER5.XLA]__qmaxsolutions_300"/>
      <sheetName val="[POWER5.XLA]__qmaxsolutions_318"/>
      <sheetName val="[POWER5.XLA]__qmaxsolutions_301"/>
      <sheetName val="[POWER5.XLA]__qmaxsolutions_302"/>
      <sheetName val="[POWER5.XLA]__qmaxsolutions_311"/>
      <sheetName val="[POWER5.XLA]__qmaxsolutions_304"/>
      <sheetName val="[POWER5.XLA]__qmaxsolutions_303"/>
      <sheetName val="[POWER5.XLA]__qmaxsolutions_308"/>
      <sheetName val="[POWER5.XLA]__qmaxsolutions_305"/>
      <sheetName val="[POWER5.XLA]__qmaxsolutions_307"/>
      <sheetName val="[POWER5.XLA]__qmaxsolutions_306"/>
      <sheetName val="[POWER5.XLA]__qmaxsolutions_309"/>
      <sheetName val="[POWER5.XLA]__qmaxsolutions_310"/>
      <sheetName val="[POWER5.XLA]__qmaxsolutions_312"/>
      <sheetName val="[POWER5.XLA]__qmaxsolutions_313"/>
      <sheetName val="[POWER5.XLA]__qmaxsolutions_314"/>
      <sheetName val="[POWER5.XLA]__qmaxsolutions_315"/>
      <sheetName val="[POWER5.XLA]__qmaxsolutions_316"/>
      <sheetName val="[POWER5.XLA]__qmaxsolutions_317"/>
      <sheetName val="[POWER5.XLA]__qmaxsolutions_321"/>
      <sheetName val="[POWER5.XLA]__qmaxsolutions_319"/>
      <sheetName val="[POWER5.XLA]__qmaxsolutions_320"/>
      <sheetName val="[POWER5.XLA]__qmaxsolutions_322"/>
      <sheetName val="[POWER5.XLA]__qmaxsolutions_323"/>
      <sheetName val="[POWER5.XLA]__qmaxsolutions_331"/>
      <sheetName val="[POWER5.XLA]__qmaxsolutions_324"/>
      <sheetName val="[POWER5.XLA]__qmaxsolutions_325"/>
      <sheetName val="[POWER5.XLA]__qmaxsolutions_326"/>
      <sheetName val="[POWER5.XLA]__qmaxsolutions_327"/>
      <sheetName val="[POWER5.XLA]__qmaxsolutions_328"/>
      <sheetName val="Mini Model"/>
      <sheetName val="Case Driver"/>
      <sheetName val="Case Feed"/>
      <sheetName val="[POWER5.XLA]__qmaxsolutions_330"/>
      <sheetName val="[POWER5.XLA]__qmaxsolutions_329"/>
      <sheetName val="[POWER5.XLA]__qmaxsolutions_332"/>
      <sheetName val="[POWER5.XLA]__qmaxsolutions_338"/>
      <sheetName val="[POWER5.XLA]__qmaxsolutions_337"/>
      <sheetName val="[POWER5.XLA]__qmaxsolutions_333"/>
      <sheetName val="[POWER5.XLA]__qmaxsolutions_334"/>
      <sheetName val="[POWER5.XLA]__qmaxsolutions_335"/>
      <sheetName val="[POWER5.XLA]__qmaxsolutions_336"/>
      <sheetName val="[POWER5.XLA]__qmaxsolutions_340"/>
      <sheetName val="[POWER5.XLA]__qmaxsolutions_339"/>
      <sheetName val="[POWER5.XLA]__qmaxsolutions_342"/>
      <sheetName val="[POWER5.XLA]__qmaxsolutions_341"/>
      <sheetName val="[POWER5.XLA]__qmaxsolutions_344"/>
      <sheetName val="[POWER5.XLA]__qmaxsolutions_343"/>
      <sheetName val="[POWER5.XLA]__qmaxsolutions_348"/>
      <sheetName val="[POWER5.XLA]__qmaxsolutions_345"/>
      <sheetName val="[POWER5.XLA]__qmaxsolutions_346"/>
      <sheetName val="[POWER5.XLA]__qmaxsolutions_347"/>
      <sheetName val="[POWER5.XLA]__qmaxsolutions_351"/>
      <sheetName val="[POWER5.XLA]__qmaxsolutions_349"/>
      <sheetName val="[POWER5.XLA]__qmaxsolutions_350"/>
      <sheetName val="[POWER5.XLA]__qmaxsolutions_352"/>
      <sheetName val="[POWER5.XLA]__qmaxsolutions_355"/>
      <sheetName val="[POWER5.XLA]__qmaxsolutions_353"/>
      <sheetName val="[POWER5.XLA]__qmaxsolutions_354"/>
      <sheetName val="[POWER5.XLA]__qmaxsolutions_359"/>
      <sheetName val="[POWER5.XLA]__qmaxsolutions_356"/>
      <sheetName val="[POWER5.XLA]__qmaxsolutions_357"/>
      <sheetName val="[POWER5.XLA]__qmaxsolutions_358"/>
      <sheetName val="[POWER5.XLA]__qmaxsolutions_364"/>
      <sheetName val="[POWER5.XLA]__qmaxsolutions_360"/>
      <sheetName val="[POWER5.XLA]__qmaxsolutions_361"/>
      <sheetName val="[POWER5.XLA]__qmaxsolutions_362"/>
      <sheetName val="[POWER5.XLA]__qmaxsolutions_363"/>
      <sheetName val="[POWER5.XLA]__qmaxsolutions_365"/>
      <sheetName val="[POWER5.XLA]__qmaxsolutions_366"/>
      <sheetName val="[POWER5.XLA]__qmaxsolutions_367"/>
      <sheetName val="[POWER5.XLA]__qmaxsolutions_368"/>
      <sheetName val="[POWER5.XLA]__qmaxsolutions_369"/>
      <sheetName val="[POWER5.XLA]__qmaxsolutions_371"/>
      <sheetName val="[POWER5.XLA]__qmaxsolutions_372"/>
      <sheetName val="[POWER5.XLA]__qmaxsolutions_373"/>
      <sheetName val="[POWER5.XLA]__qmaxsolutions_374"/>
      <sheetName val="[POWER5.XLA]__qmaxsolutions_375"/>
      <sheetName val="[POWER5.XLA]__qmaxsolutions_377"/>
      <sheetName val="[POWER5.XLA]__qmaxsolutions_376"/>
      <sheetName val="[POWER5.XLA]__qmaxsolutions_379"/>
      <sheetName val="[POWER5.XLA]_Applications_Mi_17"/>
      <sheetName val="[POWER5.XLA]__sfdc_DFS_Applic_7"/>
      <sheetName val="[POWER5.XLA]_J_Applications__12"/>
      <sheetName val="[POWER5.XLA]_Applications_Mi_18"/>
      <sheetName val="[POWER5.XLA]__aodocs_altirna_22"/>
      <sheetName val="[POWER5.XLA]__localhost_webd_17"/>
      <sheetName val="[POWER5.XLA]__localhost_webd_18"/>
      <sheetName val="[POWER5.XLA]__localhost_FY_20_7"/>
      <sheetName val="[POWER5.XLA]__aodocs_altirna_23"/>
      <sheetName val="[POWER5.XLA]__localhost_webd_19"/>
      <sheetName val="[POWER5.XLA][POWER5.XLA]_Appl_7"/>
      <sheetName val="[POWER5.XLA][POWER5.XLA]__na1_7"/>
      <sheetName val="[POWER5.XLA][POWER5.XLA]__sfd_7"/>
      <sheetName val="[POWER5.XLA][POWER5.XLA]_POW_27"/>
      <sheetName val="[POWER5.XLA][POWER5.XLA]_POW_28"/>
      <sheetName val="[POWER5.XLA][POWER5.XLA]_POW_29"/>
      <sheetName val="[POWER5.XLA]__na1_salesforce_13"/>
      <sheetName val="[POWER5.XLA]_J_Applications__13"/>
      <sheetName val="[POWER5.XLA][POWER5.XLA]__qma_7"/>
      <sheetName val="[POWER5.XLA][POWER5.XLA]_POW_30"/>
      <sheetName val="[POWER5.XLA][POWER5.XLA]_POW_31"/>
      <sheetName val="[POWER5.XLA][POWER5.XLA]_J_Ap_7"/>
      <sheetName val="[POWER5.XLA]_Applications_Mi_19"/>
      <sheetName val="[POWER5.XLA]__aodocs_altirna_24"/>
      <sheetName val="[POWER5.XLA]__aodocs_altirna_25"/>
      <sheetName val="[POWER5.XLA][POWER5_XLA]_POW_19"/>
      <sheetName val="[POWER5.XLA][POWER5_XLA]_Appl_7"/>
      <sheetName val="[POWER5.XLA][POWER5_XLA]__na1_7"/>
      <sheetName val="[POWER5.XLA][POWER5_XLA]__sfd_7"/>
      <sheetName val="[POWER5.XLA]_Users_SSimakova__6"/>
      <sheetName val="[POWER5.XLA]__na1_salesforce_14"/>
      <sheetName val="[POWER5.XLA][POWER5_XLA]_POW_20"/>
      <sheetName val="[POWER5.XLA][POWER5_XLA]_POW_21"/>
      <sheetName val="[POWER5.XLA]_Users_Dan_Librar_8"/>
      <sheetName val="PL - Corintech UK"/>
      <sheetName val="PL4.2 - Corintech HK"/>
      <sheetName val="PRE"/>
      <sheetName val="Mo Cons"/>
      <sheetName val="Fin Ratios"/>
      <sheetName val="Summary Statistics"/>
      <sheetName val="Chart3"/>
      <sheetName val="Income - Year"/>
      <sheetName val="Cash - Year"/>
      <sheetName val="Balance - Year"/>
      <sheetName val="Chart1"/>
      <sheetName val="Chart2"/>
      <sheetName val="QtrDebtRatios"/>
      <sheetName val="FCF Chart"/>
      <sheetName val="Paging Pen Chart"/>
      <sheetName val="Paging"/>
      <sheetName val="Cellular"/>
      <sheetName val="Equipment"/>
      <sheetName val="Depreciation"/>
      <sheetName val="CCA"/>
      <sheetName val="Tax"/>
      <sheetName val="Deferred Charges"/>
      <sheetName val="A Shares"/>
      <sheetName val="B Shares"/>
      <sheetName val="Total Shares"/>
      <sheetName val="Options"/>
      <sheetName val="Valuation - FCF"/>
      <sheetName val="Valuation - FCF + Multiple"/>
      <sheetName val="Valuation - EBITDA Multiple"/>
      <sheetName val="DS_Key_Information"/>
      <sheetName val="DS_Valuation_Measures"/>
      <sheetName val="DS_Quarterly_Estimates_Data"/>
      <sheetName val="DS_Income_Statement"/>
      <sheetName val="DS_Cash_Flow"/>
      <sheetName val="DS_Balance_Sheet"/>
      <sheetName val="DS_Industry_Specif"/>
      <sheetName val="CF trat  "/>
      <sheetName val="CV3"/>
      <sheetName val="Dist Maq"/>
      <sheetName val="Dados Maq"/>
      <sheetName val="Da agr"/>
      <sheetName val="Trat"/>
      <sheetName val="Evolução do Plantio "/>
      <sheetName val="Gastos_Detallados_Opt1"/>
      <sheetName val="BU_Logic1"/>
      <sheetName val="__qmaxsolutions_m_7"/>
      <sheetName val="__qmaxsolutions_m_8"/>
      <sheetName val="__qmaxsolutions__14"/>
      <sheetName val="__qmaxsolutions_m_9"/>
      <sheetName val="_Applications_Mic_2"/>
      <sheetName val="__na1_salesforce__2"/>
      <sheetName val="__sfdc_DFS_Applic_2"/>
      <sheetName val="_J_Applications_M_2"/>
      <sheetName val="__qmaxsolutions__10"/>
      <sheetName val="__qmaxsolutions__11"/>
      <sheetName val="__qmaxsolutions__12"/>
      <sheetName val="__qmaxsolutions__13"/>
      <sheetName val="__qmaxsolutions__15"/>
      <sheetName val="__qmaxsolutions__16"/>
      <sheetName val="__qmaxsolutions__19"/>
      <sheetName val="__qmaxsolutions__17"/>
      <sheetName val="__qmaxsolutions__18"/>
      <sheetName val="__qmaxsolutions__20"/>
      <sheetName val="__qmaxsolutions__27"/>
      <sheetName val="__qmaxsolutions__22"/>
      <sheetName val="__qmaxsolutions__21"/>
      <sheetName val="__qmaxsolutions__24"/>
      <sheetName val="__qmaxsolutions__23"/>
      <sheetName val="__qmaxsolutions__25"/>
      <sheetName val="__qmaxsolutions__26"/>
      <sheetName val="__qmaxsolutions__28"/>
      <sheetName val="__qmaxsolutions__30"/>
      <sheetName val="__qmaxsolutions__29"/>
      <sheetName val="__qmaxsolutions__31"/>
      <sheetName val="__qmaxsolutions__54"/>
      <sheetName val="__qmaxsolutions__43"/>
      <sheetName val="__qmaxsolutions__32"/>
      <sheetName val="__qmaxsolutions__38"/>
      <sheetName val="__qmaxsolutions__34"/>
      <sheetName val="__qmaxsolutions__33"/>
      <sheetName val="__qmaxsolutions__36"/>
      <sheetName val="__qmaxsolutions__35"/>
      <sheetName val="__qmaxsolutions__37"/>
      <sheetName val="__qmaxsolutions__39"/>
      <sheetName val="__qmaxsolutions__40"/>
      <sheetName val="__qmaxsolutions__41"/>
      <sheetName val="__qmaxsolutions__42"/>
      <sheetName val="__qmaxsolutions__44"/>
      <sheetName val="__qmaxsolutions__45"/>
      <sheetName val="__qmaxsolutions__46"/>
      <sheetName val="__qmaxsolutions__47"/>
      <sheetName val="__qmaxsolutions__48"/>
      <sheetName val="__qmaxsolutions__49"/>
      <sheetName val="__qmaxsolutions__51"/>
      <sheetName val="__qmaxsolutions__50"/>
      <sheetName val="__qmaxsolutions__52"/>
      <sheetName val="__qmaxsolutions__53"/>
      <sheetName val="__qmaxsolutions__55"/>
      <sheetName val="__qmaxsolutions__56"/>
      <sheetName val="__qmaxsolutions__57"/>
      <sheetName val="__qmaxsolutions__58"/>
      <sheetName val="__qmaxsolutions__59"/>
      <sheetName val="__qmaxsolutions__60"/>
      <sheetName val="_Applications_Mic_3"/>
      <sheetName val="__aodocs_altirnao_2"/>
      <sheetName val="__localhost_webda_2"/>
      <sheetName val="__localhost_webda_3"/>
      <sheetName val="__localhost_FY_20_2"/>
      <sheetName val="__aodocs_altirnao_3"/>
      <sheetName val="__localhost_webda_4"/>
      <sheetName val="[POWER5.XLA]_Appl_2"/>
      <sheetName val="[POWER5.XLA]__na1_2"/>
      <sheetName val="[POWER5.XLA]__sfd_2"/>
      <sheetName val="[POWER5.XLA]_POWE_2"/>
      <sheetName val="[POWER5.XLA]_POWE_3"/>
      <sheetName val="[POWER5.XLA]_POWE_4"/>
      <sheetName val="__na1_salesforce__3"/>
      <sheetName val="_J_Applications_M_3"/>
      <sheetName val="[POWER5.XLA]__qma_2"/>
      <sheetName val="[POWER5.XLA]_POWE_5"/>
      <sheetName val="[POWER5.XLA]_POWE_6"/>
      <sheetName val="[POWER5.XLA]_J_Ap_2"/>
      <sheetName val="_Applications_Mic_4"/>
      <sheetName val="_Users_Dan_Librar_2"/>
      <sheetName val="__aodocs_altirnao_4"/>
      <sheetName val="__aodocs_altirnao_5"/>
      <sheetName val="[POWER5_XLA]_POWE_2"/>
      <sheetName val="[POWER5_XLA]_POWE_3"/>
      <sheetName val="[POWER5_XLA]_POWE_4"/>
      <sheetName val="[POWER5_XLA]_Appl_2"/>
      <sheetName val="[POWER5_XLA]__na1_2"/>
      <sheetName val="[POWER5_XLA]__sfd_2"/>
      <sheetName val="[POWER5_XLA][POWER1"/>
      <sheetName val="[POWER5_XLA]\Appli1"/>
      <sheetName val="[POWER5_XLA]//na1_1"/>
      <sheetName val="[POWER5_XLA]\\sfdc1"/>
      <sheetName val="\Applications\Micr1"/>
      <sheetName val="//na1_salesforce_c1"/>
      <sheetName val="\\sfdc\DFS\Applica1"/>
      <sheetName val="__qmaxsolutions__85"/>
      <sheetName val="__qmaxsolutions__74"/>
      <sheetName val="__qmaxsolutions__73"/>
      <sheetName val="__qmaxsolutions__72"/>
      <sheetName val="__qmaxsolutions__66"/>
      <sheetName val="__qmaxsolutions__61"/>
      <sheetName val="__qmaxsolutions__62"/>
      <sheetName val="__qmaxsolutions__63"/>
      <sheetName val="__qmaxsolutions__64"/>
      <sheetName val="__qmaxsolutions__65"/>
      <sheetName val="__qmaxsolutions__67"/>
      <sheetName val="__qmaxsolutions__68"/>
      <sheetName val="__qmaxsolutions__69"/>
      <sheetName val="__qmaxsolutions__71"/>
      <sheetName val="__qmaxsolutions__70"/>
      <sheetName val="__qmaxsolutions__76"/>
      <sheetName val="__qmaxsolutions__75"/>
      <sheetName val="__qmaxsolutions__79"/>
      <sheetName val="__qmaxsolutions__77"/>
      <sheetName val="__qmaxsolutions__78"/>
      <sheetName val="__qmaxsolutions__80"/>
      <sheetName val="__qmaxsolutions__81"/>
      <sheetName val="__qmaxsolutions__82"/>
      <sheetName val="__qmaxsolutions__83"/>
      <sheetName val="__qmaxsolutions__84"/>
      <sheetName val="__qmaxsolutions__99"/>
      <sheetName val="__qmaxsolutions__92"/>
      <sheetName val="__qmaxsolutions__87"/>
      <sheetName val="__qmaxsolutions__86"/>
      <sheetName val="__qmaxsolutions__91"/>
      <sheetName val="__qmaxsolutions__88"/>
      <sheetName val="__qmaxsolutions__89"/>
      <sheetName val="__qmaxsolutions__90"/>
      <sheetName val="__qmaxsolutions__93"/>
      <sheetName val="__qmaxsolutions__94"/>
      <sheetName val="__qmaxsolutions__95"/>
      <sheetName val="__qmaxsolutions__96"/>
      <sheetName val="__qmaxsolutions__97"/>
      <sheetName val="__qmaxsolutions__98"/>
      <sheetName val="__qmaxsolutions_100"/>
      <sheetName val="__qmaxsolutions_101"/>
      <sheetName val="__qmaxsolutions_102"/>
      <sheetName val="__qmaxsolutions_104"/>
      <sheetName val="__qmaxsolutions_103"/>
      <sheetName val="__qmaxsolutions_105"/>
      <sheetName val="__qmaxsolutions_106"/>
      <sheetName val="__qmaxsolutions_108"/>
      <sheetName val="__qmaxsolutions_107"/>
      <sheetName val="__qmaxsolutions_109"/>
      <sheetName val="__qmaxsolutions_110"/>
      <sheetName val="_Applications_Mic_5"/>
      <sheetName val="__na1_salesforce__4"/>
      <sheetName val="__sfdc_DFS_Applic_3"/>
      <sheetName val="_J_Applications_M_4"/>
      <sheetName val="[POWER5.XLA]_Appl_3"/>
      <sheetName val="[POWER5.XLA]__na1_3"/>
      <sheetName val="[POWER5.XLA]__sfd_3"/>
      <sheetName val="[POWER5.XLA]_POWE_7"/>
      <sheetName val="[POWER5.XLA]_POWE_8"/>
      <sheetName val="[POWER5.XLA]_POWE_9"/>
      <sheetName val="__localhost_webda_5"/>
      <sheetName val="__localhost_webda_6"/>
      <sheetName val="__localhost_FY_20_3"/>
      <sheetName val="__localhost_webda_7"/>
      <sheetName val="[POWER5.XLA]__qma_3"/>
      <sheetName val="[POWER5.XLA]_POW_10"/>
      <sheetName val="[POWER5.XLA]_POW_11"/>
      <sheetName val="[POWER5.XLA]_J_Ap_3"/>
      <sheetName val="__na1_salesforce__5"/>
      <sheetName val="_J_Applications_M_5"/>
      <sheetName val="_Applications_Mic_6"/>
      <sheetName val="__aodocs_altirnao_6"/>
      <sheetName val="__aodocs_altirnao_7"/>
      <sheetName val="_Users_Dan_Librar_3"/>
      <sheetName val="_Applications_Mic_7"/>
      <sheetName val="_Applications_Mic_8"/>
      <sheetName val="__na1_salesforce__6"/>
      <sheetName val="__sfdc_DFS_Applic_4"/>
      <sheetName val="_J_Applications_M_6"/>
      <sheetName val="[POWER5.XLA]_Appl_4"/>
      <sheetName val="[POWER5.XLA]__na1_4"/>
      <sheetName val="[POWER5.XLA]__sfd_4"/>
      <sheetName val="[POWER5.XLA]_POW_12"/>
      <sheetName val="[POWER5.XLA]_POW_13"/>
      <sheetName val="[POWER5.XLA]_POW_14"/>
      <sheetName val="__aodocs_altirnao_8"/>
      <sheetName val="__localhost_webda_8"/>
      <sheetName val="__localhost_webda_9"/>
      <sheetName val="__localhost_FY_20_4"/>
      <sheetName val="__aodocs_altirnao_9"/>
      <sheetName val="__localhost_webd_10"/>
      <sheetName val="[POWER5.XLA]__qma_4"/>
      <sheetName val="[POWER5.XLA]_POW_15"/>
      <sheetName val="[POWER5.XLA]_POW_16"/>
      <sheetName val="[POWER5.XLA]_J_Ap_4"/>
      <sheetName val="__na1_salesforce__7"/>
      <sheetName val="_J_Applications_M_7"/>
      <sheetName val="_Applications_Mic_9"/>
      <sheetName val="__aodocs_altirna_10"/>
      <sheetName val="__aodocs_altirna_11"/>
      <sheetName val="[POWER5_XLA]_POWE_5"/>
      <sheetName val="[POWER5_XLA]_POWE_6"/>
      <sheetName val="[POWER5_XLA]_POWE_7"/>
      <sheetName val="[POWER5_XLA]_Appl_3"/>
      <sheetName val="[POWER5_XLA]__na1_3"/>
      <sheetName val="[POWER5_XLA]__sfd_3"/>
      <sheetName val="_Users_Dan_Librar_4"/>
      <sheetName val="__qmaxsolutions_111"/>
      <sheetName val="[POWER5.XLA]__d_docs_live_net_6"/>
      <sheetName val="Outputs for CIP"/>
      <sheetName val="TBAL9697 -group wise  sdpl"/>
      <sheetName val="//localhost/Applications/Micros"/>
      <sheetName val="[POWER5.XLA]__soferadvisors_m_9"/>
      <sheetName val="[POWER5.XLA]__soferadvisors_m_2"/>
      <sheetName val="[POWER5.XLA]__soferadvisors_m_3"/>
      <sheetName val="[POWER5.XLA]__soferadvisors_m_4"/>
      <sheetName val="[POWER5.XLA]__soferadvisors_m_5"/>
      <sheetName val="[POWER5.XLA]__soferadvisors_m_6"/>
      <sheetName val="[POWER5.XLA]__soferadvisors_m_7"/>
      <sheetName val="[POWER5.XLA]__soferadvisors_m_8"/>
      <sheetName val="Beluga CTRL"/>
      <sheetName val="Ret.MSC_StaffDemand"/>
      <sheetName val="General_Input"/>
      <sheetName val="Supporting Settings"/>
      <sheetName val="[POWER5.XLA]__d_docs_live_net_8"/>
      <sheetName val="[POWER5.XLA]__d_docs_live_net_7"/>
      <sheetName val="[POWER5.XLA]__qmaxsolutions_378"/>
      <sheetName val="LYO (2)"/>
      <sheetName val="Gerken (2)"/>
      <sheetName val="TMS (2)"/>
      <sheetName val="Fesler (2)"/>
      <sheetName val="Benham (2)"/>
      <sheetName val="LCD (2)"/>
      <sheetName val="Roberts (2)"/>
      <sheetName val="Hoffman (2)"/>
      <sheetName val="Baker (2)"/>
      <sheetName val="Victoria (2)"/>
      <sheetName val="Williams (2)"/>
      <sheetName val="Engel (2)"/>
      <sheetName val="Sonoran (2)"/>
      <sheetName val="MThurman (2)"/>
      <sheetName val="BThurman (2)"/>
      <sheetName val="DSA (2)"/>
      <sheetName val="Coastal (2)"/>
      <sheetName val="ePSM BOB Data Page"/>
      <sheetName val="Rx Key Stat by Generic page"/>
      <sheetName val="ePSM Header Data Page"/>
      <sheetName val="Data Availability page"/>
      <sheetName val="HPD page"/>
      <sheetName val="Med Cat - Curr page"/>
      <sheetName val="ePSM Medical Data Page"/>
      <sheetName val="ePSM Fund Code"/>
      <sheetName val="//na1_s"/>
      <sheetName val="LEGEND"/>
      <sheetName val="Income Statement Summary"/>
      <sheetName val="BS Summary"/>
      <sheetName val="Cash Flow Summary"/>
      <sheetName val="1 - 2018-2019 Rev"/>
      <sheetName val="2 - 2018-2019 Rev Fcst Detail"/>
      <sheetName val="3 - Cash Flow (New Format)"/>
      <sheetName val="4 - 2018-2019 Gen &amp; Admin"/>
      <sheetName val="3 - 2018-2019 Cash Flow"/>
      <sheetName val="5 - 2018-2019 Bal Sheet"/>
      <sheetName val="6 - 2018-2019 Inc Stmt"/>
      <sheetName val="7 - Purchasing"/>
      <sheetName val="[POWER5_XLA]__qmaxsolutions__61"/>
      <sheetName val="[POWER5_XLA]__qmaxsolutions__59"/>
      <sheetName val="[POWER5_XLA]__qmaxsolutions__24"/>
      <sheetName val="[POWER5_XLA]__qmaxsolutions__30"/>
      <sheetName val="[POWER5_XLA]__qmaxsolutions__27"/>
      <sheetName val="[POWER5_XLA]__qmaxsolutions__25"/>
      <sheetName val="[POWER5_XLA]__qmaxsolutions__26"/>
      <sheetName val="[POWER5_XLA]__qmaxsolutions__29"/>
      <sheetName val="[POWER5_XLA]__qmaxsolutions__28"/>
      <sheetName val="[POWER5_XLA]__qmaxsolutions__32"/>
      <sheetName val="[POWER5_XLA]__qmaxsolutions__31"/>
      <sheetName val="[POWER5_XLA]__qmaxsolutions__33"/>
      <sheetName val="[POWER5_XLA]__qmaxsolutions__36"/>
      <sheetName val="[POWER5_XLA]__qmaxsolutions__34"/>
      <sheetName val="[POWER5_XLA]__qmaxsolutions__35"/>
      <sheetName val="[POWER5_XLA]__qmaxsolutions__40"/>
      <sheetName val="[POWER5_XLA]__qmaxsolutions__37"/>
      <sheetName val="[POWER5_XLA]__qmaxsolutions__38"/>
      <sheetName val="[POWER5_XLA]__qmaxsolutions__39"/>
      <sheetName val="[POWER5_XLA]__qmaxsolutions__51"/>
      <sheetName val="[POWER5_XLA]__qmaxsolutions__41"/>
      <sheetName val="[POWER5_XLA]__qmaxsolutions__45"/>
      <sheetName val="[POWER5_XLA]__qmaxsolutions__42"/>
      <sheetName val="[POWER5_XLA]__qmaxsolutions__44"/>
      <sheetName val="[POWER5_XLA]__qmaxsolutions__43"/>
      <sheetName val="[POWER5_XLA]__qmaxsolutions__47"/>
      <sheetName val="[POWER5_XLA]__qmaxsolutions__46"/>
      <sheetName val="[POWER5_XLA]__qmaxsolutions__48"/>
      <sheetName val="[POWER5_XLA]__qmaxsolutions__49"/>
      <sheetName val="[POWER5_XLA]__qmaxsolutions__50"/>
      <sheetName val="[POWER5_XLA]__qmaxsolutions__53"/>
      <sheetName val="[POWER5_XLA]__qmaxsolutions__52"/>
      <sheetName val="[POWER5_XLA]__qmaxsolutions__54"/>
      <sheetName val="[POWER5_XLA]__qmaxsolutions__55"/>
      <sheetName val="[POWER5_XLA]__qmaxsolutions__56"/>
      <sheetName val="[POWER5_XLA]__qmaxsolutions__57"/>
      <sheetName val="[POWER5_XLA]__qmaxsolutions__58"/>
      <sheetName val="[POWER5_XLA]__qmaxsolutions__60"/>
      <sheetName val="[POWER5_XLA]__qmaxsolutions__65"/>
      <sheetName val="[POWER5_XLA]__qmaxsolutions__64"/>
      <sheetName val="[POWER5_XLA]__qmaxsolutions__62"/>
      <sheetName val="[POWER5_XLA]__qmaxsolutions__63"/>
      <sheetName val="[POWER5_XLA]__qmaxsolutions__66"/>
      <sheetName val="[POWER5_XLA]__qmaxsolutions__67"/>
      <sheetName val="[POWER5_XLA]__qmaxsolutions__68"/>
      <sheetName val="[POWER5_XLA]__qmaxsolutions__69"/>
      <sheetName val="[POWER5_XLA]__qmaxsolutions__70"/>
      <sheetName val="[POWER5_XLA]__qmaxsolutions__71"/>
      <sheetName val="[POWER5_XLA]__qmaxsolutions__72"/>
      <sheetName val="[POWER5_XLA]__qmaxsolutions__73"/>
      <sheetName val="[POWER5_XLA]__qmaxsolutions__74"/>
      <sheetName val="[POWER5_XLA]__qmaxsolutions__76"/>
      <sheetName val="[POWER5_XLA]__qmaxsolutions__75"/>
      <sheetName val="[POWER5_XLA]__qmaxsolutions__77"/>
      <sheetName val="[POWER5_XLA]__qmaxsolutions__79"/>
      <sheetName val="[POWER5_XLA]__qmaxsolutions__78"/>
      <sheetName val="[POWER5_XLA]__qmaxsolutions__80"/>
      <sheetName val="[POWER5_XLA]__qmaxsolutions__81"/>
      <sheetName val="[POWER5_XLA]__qmaxsolutions__82"/>
      <sheetName val="[POWER5_XLA]__qmaxsolutions__83"/>
      <sheetName val="[POWER5.XLA]__qmaxsolutions_380"/>
      <sheetName val="[POWER5.XLA]__qmaxsolutions_381"/>
      <sheetName val="[POWER5.XLA]__qmaxsolutions_383"/>
      <sheetName val="[POWER5.XLA]__qmaxsolutions_382"/>
      <sheetName val="[POWER5.XLA]__qmaxsolutions_384"/>
      <sheetName val="[POWER5.XLA]__qmaxsolutions_386"/>
      <sheetName val="[POWER5.XLA]__qmaxsolutions_385"/>
      <sheetName val="[POWER5.XLA]__qmaxsolutions_388"/>
      <sheetName val="[POWER5.XLA]__qmaxsolutions_387"/>
      <sheetName val="[POWER5.XLA]__qmaxsolutions_389"/>
      <sheetName val="[POWER5.XLA]__qmaxsolutions_390"/>
      <sheetName val="[POWER5.XLA]__qmaxsolutions_395"/>
      <sheetName val="[POWER5.XLA]__qmaxsolutions_391"/>
      <sheetName val="[POWER5.XLA]__qmaxsolutions_392"/>
      <sheetName val="[POWER5.XLA]__qmaxsolutions_393"/>
      <sheetName val="[POWER5.XLA]__qmaxsolutions_394"/>
      <sheetName val="[POWER5.XLA]__qmaxsolutions_399"/>
      <sheetName val="[POWER5.XLA]__qmaxsolutions_396"/>
      <sheetName val="[POWER5.XLA]__qmaxsolutions_397"/>
      <sheetName val="[POWER5.XLA]__qmaxsolutions_398"/>
      <sheetName val="[POWER5.XLA]__qmaxsolutions_400"/>
      <sheetName val="[POWER5.XLA]__qmaxsolutions_401"/>
      <sheetName val="[POWER5.XLA]__qmaxsolutions_404"/>
      <sheetName val="[POWER5.XLA]__qmaxsolutions_402"/>
      <sheetName val="[POWER5.XLA]__qmaxsolutions_403"/>
      <sheetName val="[POWER5.XLA]__qmaxsolutions_490"/>
      <sheetName val="[POWER5.XLA]__qmaxsolutions_442"/>
      <sheetName val="Preferences"/>
      <sheetName val="IS_norm"/>
      <sheetName val="WEST REGION - 65"/>
      <sheetName val="PL4"/>
      <sheetName val="PL35"/>
      <sheetName val="Sales_-_Report_First3"/>
      <sheetName val="2000_Activity3"/>
      <sheetName val="total_Commonwealth3"/>
      <sheetName val="CHK_REQ3"/>
      <sheetName val="SW_2122183"/>
      <sheetName val="N_TX_-_19973"/>
      <sheetName val="Customize_Your_Invoice3"/>
      <sheetName val="\J\Applications\Microsoft_Offi2"/>
      <sheetName val="Daily_Sales2"/>
      <sheetName val="Dividend_IPORecap_Analysis"/>
      <sheetName val="Transmittal_Letter"/>
      <sheetName val="Key_Analyses"/>
      <sheetName val="Adjusted_Summary_P&amp;L"/>
      <sheetName val="NWC_Analysis"/>
      <sheetName val="Adjusted_NWC_Graph"/>
      <sheetName val="GSM_Analyses"/>
      <sheetName val="GSM_Bridge_FY17_-_FY18"/>
      <sheetName val="GSM_Bridge_FY18_-_FY19"/>
      <sheetName val="Grace_-_Alum"/>
      <sheetName val="Grace_-_LSA"/>
      <sheetName val="Grace_-_ACH"/>
      <sheetName val="Shell_-_Alum"/>
      <sheetName val="Shell_-_LSA"/>
      <sheetName val="Detailed_IS"/>
      <sheetName val="Balance_Sheet_Summary"/>
      <sheetName val="Scope_Reconciliation"/>
      <sheetName val="Program_Loss_Control"/>
      <sheetName val="[POWER5_XLA]__qmaxsolutions__95"/>
      <sheetName val="[POWER5_XLA]_Applications_Mic_2"/>
      <sheetName val="[POWER5_XLA]__na1_salesforce__2"/>
      <sheetName val="[POWER5_XLA]__sfdc_DFS_Applic_2"/>
      <sheetName val="[POWER5_XLA]_J_Applications_M_2"/>
      <sheetName val="Service_Offerings_to_Top-20"/>
      <sheetName val="Logistics_Out__by_Region"/>
      <sheetName val="Revenue_by_Segment"/>
      <sheetName val="Facilities_Overview"/>
      <sheetName val="B-6_investment"/>
      <sheetName val="Date_Listing_-_Sub"/>
      <sheetName val="Vol_Contr_2013-2016"/>
      <sheetName val="[POWER5_XLA]_Applications_Mic_4"/>
      <sheetName val="[POWER5_XLA]_Applications_Mic_5"/>
      <sheetName val="[POWER5_XLA]__na1_salesforce__4"/>
      <sheetName val="[POWER5_XLA]__sfdc_DFS_Applic_3"/>
      <sheetName val="[POWER5_XLA]_J_Applications_M_4"/>
      <sheetName val="[POWER5_XLA][POWER5_XLA]_Appl_3"/>
      <sheetName val="[POWER5_XLA][POWER5_XLA]__na1_3"/>
      <sheetName val="[POWER5_XLA][POWER5_XLA]__sfd_3"/>
      <sheetName val="[POWER5_XLA][POWER5_XLA]_POWE_7"/>
      <sheetName val="[POWER5_XLA][POWER5_XLA]_POWE_8"/>
      <sheetName val="[POWER5_XLA][POWER5_XLA]_POWE_9"/>
      <sheetName val="[POWER5_XLA]__aodocs_altirnao_4"/>
      <sheetName val="[POWER5_XLA]__localhost_webda_5"/>
      <sheetName val="[POWER5_XLA]__localhost_webda_6"/>
      <sheetName val="[POWER5_XLA]__localhost_FY_20_3"/>
      <sheetName val="[POWER5_XLA]__aodocs_altirnao_5"/>
      <sheetName val="[POWER5_XLA]__localhost_webda_7"/>
      <sheetName val="[POWER5_XLA][POWER5_XLA]__qma_3"/>
      <sheetName val="[POWER5_XLA][POWER5_XLA]_POW_10"/>
      <sheetName val="[POWER5_XLA][POWER5_XLA]_POW_11"/>
      <sheetName val="[POWER5_XLA][POWER5_XLA]_J_Ap_3"/>
      <sheetName val="[POWER5_XLA]__na1_salesforce__5"/>
      <sheetName val="[POWER5_XLA]_J_Applications_M_5"/>
      <sheetName val="[POWER5_XLA]_Applications_Mic_6"/>
      <sheetName val="[POWER5_XLA]__aodocs_altirnao_6"/>
      <sheetName val="[POWER5_XLA]__aodocs_altirnao_7"/>
      <sheetName val="[POWER5_XLA][POWER5_XLA]_POWE_2"/>
      <sheetName val="[POWER5_XLA][POWER5_XLA]_POWE_3"/>
      <sheetName val="[POWER5_XLA][POWER5_XLA]_POWE_4"/>
      <sheetName val="[POWER5_XLA][POWER5_XLA]_Appl_2"/>
      <sheetName val="[POWER5_XLA][POWER5_XLA]__na1_2"/>
      <sheetName val="[POWER5_XLA][POWER5_XLA]__sfd_2"/>
      <sheetName val="[POWER5_XLA]_Users_Dan_Librar_3"/>
      <sheetName val="[POWER5_XLA]_Applications_Mic_3"/>
      <sheetName val="[POWER5_XLA]__aodocs_altirnao_2"/>
      <sheetName val="[POWER5_XLA]__localhost_webda_2"/>
      <sheetName val="[POWER5_XLA]__localhost_webda_3"/>
      <sheetName val="[POWER5_XLA]__localhost_FY_20_2"/>
      <sheetName val="[POWER5_XLA]__aodocs_altirnao_3"/>
      <sheetName val="[POWER5_XLA]__localhost_webda_4"/>
      <sheetName val="[POWER5_XLA]__na1_salesforce__3"/>
      <sheetName val="[POWER5_XLA][POWER5_XLA]_POWE_1"/>
      <sheetName val="[POWER5_XLA][POWER5_XLA]_POWE_5"/>
      <sheetName val="[POWER5_XLA][POWER5_XLA]_POWE_6"/>
      <sheetName val="[POWER5_XLA][POWER5_XLA]_Appl_1"/>
      <sheetName val="[POWER5_XLA][POWER5_XLA]__na1_1"/>
      <sheetName val="[POWER5_XLA][POWER5_XLA]__sfd_1"/>
      <sheetName val="[POWER5_XLA][POWER5_XLA]__qma_2"/>
      <sheetName val="[POWER5_XLA][POWER5_XLA]_POWE10"/>
      <sheetName val="[POWER5_XLA][POWER5_XLA]_POWE11"/>
      <sheetName val="[POWER5_XLA][POWER5_XLA]_J_Ap_2"/>
      <sheetName val="[POWER5_XLA]_Users_Dan_Librar_2"/>
      <sheetName val="[POWER5_XLA]_J_Applications_M_3"/>
      <sheetName val="[POWER5_XLA]_Applications_Mic_7"/>
      <sheetName val="[POWER5_XLA]_Applications_Mic_8"/>
      <sheetName val="[POWER5_XLA]__na1_salesforce__6"/>
      <sheetName val="[POWER5_XLA]__sfdc_DFS_Applic_4"/>
      <sheetName val="[POWER5_XLA]_J_Applications_M_6"/>
      <sheetName val="[POWER5_XLA][POWER5_XLA]_Appl_4"/>
      <sheetName val="[POWER5_XLA][POWER5_XLA]__na1_4"/>
      <sheetName val="[POWER5_XLA][POWER5_XLA]__sfd_4"/>
      <sheetName val="[POWER5_XLA][POWER5_XLA]_POW_12"/>
      <sheetName val="[POWER5_XLA][POWER5_XLA]_POW_13"/>
      <sheetName val="[POWER5_XLA][POWER5_XLA]_POW_14"/>
      <sheetName val="[POWER5_XLA]__aodocs_altirnao_8"/>
      <sheetName val="[POWER5_XLA]__localhost_webda_8"/>
      <sheetName val="[POWER5_XLA]__localhost_webda_9"/>
      <sheetName val="[POWER5_XLA]__localhost_FY_20_4"/>
      <sheetName val="[POWER5_XLA]__aodocs_altirnao_9"/>
      <sheetName val="[POWER5_XLA]__localhost_webd_10"/>
      <sheetName val="[POWER5_XLA][POWER5_XLA]__qma_4"/>
      <sheetName val="[POWER5_XLA][POWER5_XLA]_POW_15"/>
      <sheetName val="[POWER5_XLA][POWER5_XLA]_POW_16"/>
      <sheetName val="[POWER5_XLA][POWER5_XLA]_J_Ap_4"/>
      <sheetName val="[POWER5_XLA]__na1_salesforce__7"/>
      <sheetName val="[POWER5_XLA]_J_Applications_M_7"/>
      <sheetName val="[POWER5_XLA]_Applications_Mic_9"/>
      <sheetName val="[POWER5_XLA]__aodocs_altirna_10"/>
      <sheetName val="[POWER5_XLA]__aodocs_altirna_11"/>
      <sheetName val="[POWER5_XLA][POWER5_XLA]_POWE12"/>
      <sheetName val="[POWER5_XLA][POWER5_XLA]_POWE13"/>
      <sheetName val="[POWER5_XLA][POWER5_XLA]_POWE14"/>
      <sheetName val="[POWER5_XLA][POWER5_XLA]_Appl_5"/>
      <sheetName val="[POWER5_XLA][POWER5_XLA]__na1_5"/>
      <sheetName val="[POWER5_XLA][POWER5_XLA]__sfd_5"/>
      <sheetName val="[POWER5_XLA]_Users_Dan_Librar_4"/>
      <sheetName val="Historical_Financials"/>
      <sheetName val="Front_Sheet"/>
      <sheetName val="[POWER5_XLA]__qmaxsolutions__85"/>
      <sheetName val="[POWER5_XLA]__qmaxsolutions__84"/>
      <sheetName val="[POWER5_XLA]__qmaxsolutions__86"/>
      <sheetName val="[POWER5_XLA]__qmaxsolutions__93"/>
      <sheetName val="[POWER5_XLA]__qmaxsolutions__88"/>
      <sheetName val="[POWER5_XLA]__qmaxsolutions__87"/>
      <sheetName val="[POWER5_XLA]__qmaxsolutions__89"/>
      <sheetName val="[POWER5_XLA]__qmaxsolutions__90"/>
      <sheetName val="[POWER5_XLA]__qmaxsolutions__91"/>
      <sheetName val="[POWER5_XLA]__qmaxsolutions__92"/>
      <sheetName val="[POWER5_XLA]__qmaxsolutions__94"/>
      <sheetName val="AS"/>
      <sheetName val="ES"/>
      <sheetName val="Rev. by Product"/>
      <sheetName val="Global Controls"/>
      <sheetName val="[POWER5_XLA]__qmaxsolutions_m_1"/>
      <sheetName val="proforma_BS3"/>
      <sheetName val="Stock_Analysis3"/>
      <sheetName val="Company_summary_items3"/>
      <sheetName val="Deal_Info_&amp;_Print_Menu3"/>
      <sheetName val="Product_Trends3"/>
      <sheetName val="EBITDA_Bridge3"/>
      <sheetName val="WC_analytics_(+data_pages)3"/>
      <sheetName val="YEAR_1_3"/>
      <sheetName val="Sched_A93"/>
      <sheetName val="Historical_Actuals3"/>
      <sheetName val="Emory_Vols_Jan-Dec_20063"/>
      <sheetName val="PV_-_CTLM3"/>
      <sheetName val="PV_-_MTLK3"/>
      <sheetName val="Capital_Expenditure_Input_Shee3"/>
      <sheetName val="Operating_Expense_Input_Sheet3"/>
      <sheetName val="GER_IFO_vs_Const4"/>
      <sheetName val="Europe_sales_Graph4"/>
      <sheetName val="EU_Ind_vs_EU_Cons4"/>
      <sheetName val="Scenario_Management3"/>
      <sheetName val="Entrada_Dados3"/>
      <sheetName val="Pro_Forma_Credit_3"/>
      <sheetName val="_Cash_Flow3"/>
      <sheetName val="_P&amp;L-Projection3"/>
      <sheetName val="Dividend_Analysis_Assumptions3"/>
      <sheetName val="General_Assump3"/>
      <sheetName val="Debt_&amp;_Interest3"/>
      <sheetName val="_PT_083"/>
      <sheetName val="_PT_073"/>
      <sheetName val="_PT_113"/>
      <sheetName val="_PT_103"/>
      <sheetName val="_PT_123"/>
      <sheetName val="_PT_133"/>
      <sheetName val="_PT_093"/>
      <sheetName val="_PT_013"/>
      <sheetName val="_PT_043"/>
      <sheetName val="_PT_053"/>
      <sheetName val="_PT_033"/>
      <sheetName val="Données_Spéc_3"/>
      <sheetName val="Comet_Reference_Tab3"/>
      <sheetName val="Rev_Tracker3"/>
      <sheetName val="IS_&amp;_CF3"/>
      <sheetName val="\Applications\Microsoft_Office3"/>
      <sheetName val="CloseTable_Prior3"/>
      <sheetName val="Co_List3"/>
      <sheetName val="Multiples_Summary3"/>
      <sheetName val="Royal_Carib__Model3"/>
      <sheetName val="BIS_LIST-NTH_183"/>
      <sheetName val="BASE_DATA3"/>
      <sheetName val="CASH_FLOW_MONTH_FC3"/>
      <sheetName val="Inc_Stmt_MONTH_FC3"/>
      <sheetName val="BS_ASSETS_FC3"/>
      <sheetName val="chad10_June023"/>
      <sheetName val="chad12_Dec023"/>
      <sheetName val="//aodocs_altirnao_com/webdav/P3"/>
      <sheetName val="//aodocs_altirnao_com/webdav/P4"/>
      <sheetName val="Cap_Sheet2"/>
      <sheetName val="Cashflow_Model2"/>
      <sheetName val="Model_Summary2"/>
      <sheetName val="Purchase_vs__Rights2"/>
      <sheetName val="CIH_Sensitivities2"/>
      <sheetName val="Tables_for_Memo_Update_2-9-092"/>
      <sheetName val="input_for_decending_analysis2"/>
      <sheetName val="P&amp;L_by_Month2"/>
      <sheetName val="[POWER5.XLA]__qmaxsolutions_410"/>
      <sheetName val="[POWER5.XLA]__qmaxsolutions_408"/>
      <sheetName val="Defaults_Std"/>
      <sheetName val="AP_SubLedger"/>
      <sheetName val="AR_SubLedger"/>
      <sheetName val="Beg_Balances"/>
      <sheetName val="Beg_Balances_Journal_Summary"/>
      <sheetName val="Journal_Summary"/>
      <sheetName val="ListsCntl"/>
      <sheetName val="Criteria"/>
      <sheetName val="Table_App"/>
      <sheetName val="GBLS"/>
      <sheetName val="Hierarchy"/>
      <sheetName val="WebADI_Stage"/>
      <sheetName val="ACCOUNTS"/>
      <sheetName val="Control - S&amp;U"/>
      <sheetName val="Risc_Financiero1"/>
      <sheetName val="Lookup_Tables1"/>
      <sheetName val="EFASB13_(US-12)1"/>
      <sheetName val="chart_of_accounts1"/>
      <sheetName val="Settings"/>
      <sheetName val="Variables"/>
      <sheetName val="[POWER5.XLA]__d_docs_live_net_9"/>
      <sheetName val="POWER5_XLA9"/>
      <sheetName val="Rev_Build1"/>
      <sheetName val="WACC_Analysis1"/>
      <sheetName val="Group_NWC monthly"/>
      <sheetName val="Lead CF"/>
      <sheetName val="[POWER5.XLA]__qmaxsolutions_405"/>
      <sheetName val="SCH"/>
      <sheetName val="FA"/>
      <sheetName val="Customer Complaints"/>
      <sheetName val="mappings"/>
      <sheetName val="[POWER5.XLA]__qmaxsolutions_407"/>
      <sheetName val="[POWER5.XLA]__qmaxsolutions_406"/>
      <sheetName val="[POWER5.XLA]__qmaxsolutions_409"/>
      <sheetName val="[POWER5.XLA]__qmaxsolutions_412"/>
      <sheetName val="[POWER5.XLA]__qmaxsolutions_411"/>
      <sheetName val="[POWER5.XLA]__qmaxsolutions_413"/>
      <sheetName val="[POWER5.XLA]__qmaxsolutions_414"/>
      <sheetName val="[POWER5.XLA]__qmaxsolutions_419"/>
      <sheetName val="[POWER5.XLA]__qmaxsolutions_416"/>
      <sheetName val="[POWER5.XLA]__qmaxsolutions_415"/>
      <sheetName val="[POWER5.XLA]__qmaxsolutions_417"/>
      <sheetName val="[POWER5.XLA]__qmaxsolutions_418"/>
      <sheetName val="[POWER5.XLA]__qmaxsolutions_420"/>
      <sheetName val="Functional Currency Code"/>
      <sheetName val="Détail mensuel"/>
      <sheetName val="[POWER5.XLA]__qmaxsolutions_438"/>
      <sheetName val="[POWER5.XLA]__qmaxsolutions_437"/>
      <sheetName val="[POWER5.XLA]__qmaxsolutions_435"/>
      <sheetName val="[POWER5.XLA]__qmaxsolutions_434"/>
      <sheetName val="WORK"/>
      <sheetName val="[POWER5.XLA]__qmaxsolutions_426"/>
      <sheetName val="[POWER5.XLA]__d_docs_live_ne_10"/>
      <sheetName val="[POWER5.XLA]__d_docs_live_ne_12"/>
      <sheetName val="[POWER5.XLA]__soferadvisors__10"/>
      <sheetName val="[POWER5.XLA]__d_docs_live_ne_11"/>
      <sheetName val="[POWER5.XLA]__d_docs_live_ne_15"/>
      <sheetName val="[POWER5.XLA]__soferadvisors__13"/>
      <sheetName val="[POWER5.XLA]__d_docs_live_ne_13"/>
      <sheetName val="[POWER5.XLA]__soferadvisors__11"/>
      <sheetName val="[POWER5.XLA]__d_docs_live_ne_14"/>
      <sheetName val="[POWER5.XLA]__soferadvisors__12"/>
      <sheetName val="[POWER5.XLA]__qmaxsolutions_421"/>
      <sheetName val="[POWER5.XLA]__qmaxsolutions_422"/>
      <sheetName val="[POWER5.XLA]__qmaxsolutions_423"/>
      <sheetName val="[POWER5.XLA]__qmaxsolutions_424"/>
      <sheetName val="[POWER5.XLA]__qmaxsolutions_425"/>
      <sheetName val="[POWER5.XLA]__na1_salesforce_15"/>
      <sheetName val="[POWER5.XLA][POWER5_XLA]__qma_3"/>
      <sheetName val="[POWER5.XLA][POWER5_XLA]_POW_22"/>
      <sheetName val="[POWER5.XLA][POWER5_XLA]_POW_23"/>
      <sheetName val="[POWER5.XLA][POWER5_XLA]_J_Ap_3"/>
      <sheetName val="[POWER5.XLA]_Users_Dan_Librar_9"/>
      <sheetName val="[POWER5.XLA]_Applications_Mi_20"/>
      <sheetName val="[POWER5.XLA]__sfdc_DFS_Applic_8"/>
      <sheetName val="[POWER5.XLA]_J_Applications__14"/>
      <sheetName val="[POWER5.XLA]_Applications_Mi_21"/>
      <sheetName val="[POWER5.XLA]__aodocs_altirna_26"/>
      <sheetName val="[POWER5.XLA]__localhost_webd_20"/>
      <sheetName val="[POWER5.XLA]__localhost_webd_21"/>
      <sheetName val="[POWER5.XLA]__localhost_FY_20_8"/>
      <sheetName val="[POWER5.XLA]__aodocs_altirna_27"/>
      <sheetName val="[POWER5.XLA]__localhost_webd_22"/>
      <sheetName val="[POWER5.XLA][POWER5.XLA]_Appl_8"/>
      <sheetName val="[POWER5.XLA][POWER5.XLA]__na1_8"/>
      <sheetName val="[POWER5.XLA][POWER5.XLA]__sfd_8"/>
      <sheetName val="[POWER5.XLA][POWER5.XLA]_POW_32"/>
      <sheetName val="[POWER5.XLA][POWER5.XLA]_POW_33"/>
      <sheetName val="[POWER5.XLA][POWER5.XLA]_POW_34"/>
      <sheetName val="[POWER5.XLA]__na1_salesforce_16"/>
      <sheetName val="[POWER5.XLA]_J_Applications__15"/>
      <sheetName val="[POWER5.XLA][POWER5.XLA]__qma_8"/>
      <sheetName val="[POWER5.XLA][POWER5.XLA]_POW_35"/>
      <sheetName val="[POWER5.XLA][POWER5.XLA]_POW_36"/>
      <sheetName val="[POWER5.XLA][POWER5.XLA]_J_Ap_8"/>
      <sheetName val="[POWER5.XLA]_Applications_Mi_22"/>
      <sheetName val="[POWER5.XLA]__aodocs_altirna_28"/>
      <sheetName val="[POWER5.XLA]__aodocs_altirna_29"/>
      <sheetName val="[POWER5.XLA][POWER5_XLA]_POW_24"/>
      <sheetName val="[POWER5.XLA][POWER5_XLA]_Appl_8"/>
      <sheetName val="[POWER5.XLA][POWER5_XLA]__na1_8"/>
      <sheetName val="[POWER5.XLA][POWER5_XLA]__sfd_8"/>
      <sheetName val="[POWER5.XLA]_Users_SSimakova__7"/>
      <sheetName val="[POWER5.XLA]__na1_salesforce_17"/>
      <sheetName val="[POWER5.XLA][POWER5_XLA]_POW_25"/>
      <sheetName val="[POWER5.XLA][POWER5_XLA]_POW_26"/>
      <sheetName val="[POWER5.XLA]_Users_Dan_Libra_10"/>
      <sheetName val="[POWER5.XLA]__na1_salesforce_18"/>
      <sheetName val="[POWER5.XLA][POWER5_XLA]__qma_4"/>
      <sheetName val="[POWER5.XLA][POWER5_XLA]_POW_27"/>
      <sheetName val="[POWER5.XLA][POWER5_XLA]_POW_28"/>
      <sheetName val="[POWER5.XLA][POWER5_XLA]_J_Ap_4"/>
      <sheetName val="[POWER5.XLA]_Users_Dan_Libra_11"/>
      <sheetName val="[POWER5.XLA]_J_Applications__16"/>
      <sheetName val="[POWER5.XLA]__d_docs_live_ne_52"/>
      <sheetName val="[POWER5.XLA]__d_docs_live_ne_26"/>
      <sheetName val="[POWER5.XLA]__d_docs_live_ne_16"/>
      <sheetName val="[POWER5.XLA]__d_docs_live_ne_17"/>
      <sheetName val="[POWER5.XLA]__d_docs_live_ne_18"/>
      <sheetName val="[POWER5.XLA]__d_docs_live_ne_19"/>
      <sheetName val="[POWER5.XLA]__d_docs_live_ne_20"/>
      <sheetName val="[POWER5.XLA]__d_docs_live_ne_21"/>
      <sheetName val="[POWER5.XLA]__d_docs_live_ne_22"/>
      <sheetName val="[POWER5.XLA]__d_docs_live_ne_23"/>
      <sheetName val="[POWER5.XLA]__d_docs_live_ne_24"/>
      <sheetName val="[POWER5.XLA]__d_docs_live_ne_25"/>
      <sheetName val="[POWER5.XLA]__d_docs_live_ne_27"/>
      <sheetName val="[POWER5.XLA]__d_docs_live_ne_28"/>
      <sheetName val="[POWER5.XLA]__d_docs_live_ne_29"/>
      <sheetName val="[POWER5.XLA]__d_docs_live_ne_30"/>
      <sheetName val="[POWER5.XLA]__d_docs_live_ne_32"/>
      <sheetName val="[POWER5.XLA]__d_docs_live_ne_31"/>
      <sheetName val="[POWER5.XLA]__d_docs_live_ne_34"/>
      <sheetName val="[POWER5.XLA]__d_docs_live_ne_33"/>
      <sheetName val="[POWER5.XLA]__d_docs_live_ne_35"/>
      <sheetName val="[POWER5.XLA]__d_docs_live_ne_37"/>
      <sheetName val="[POWER5.XLA]__d_docs_live_ne_36"/>
      <sheetName val="[POWER5.XLA]__d_docs_live_ne_38"/>
      <sheetName val="[POWER5.XLA]__d_docs_live_ne_39"/>
      <sheetName val="[POWER5.XLA]__d_docs_live_ne_42"/>
      <sheetName val="[POWER5.XLA]__d_docs_live_ne_40"/>
      <sheetName val="[POWER5.XLA]__d_docs_live_ne_41"/>
      <sheetName val="[POWER5.XLA]__d_docs_live_ne_46"/>
      <sheetName val="[POWER5.XLA]__d_docs_live_ne_45"/>
      <sheetName val="[POWER5.XLA]__d_docs_live_ne_43"/>
      <sheetName val="[POWER5.XLA]__d_docs_live_ne_44"/>
      <sheetName val="[POWER5.XLA]__d_docs_live_ne_47"/>
      <sheetName val="[POWER5.XLA]__d_docs_live_ne_48"/>
      <sheetName val="[POWER5.XLA]__d_docs_live_ne_49"/>
      <sheetName val="[POWER5.XLA]__d_docs_live_ne_51"/>
      <sheetName val="[POWER5.XLA]__d_docs_live_ne_50"/>
      <sheetName val="Cash Flow"/>
      <sheetName val="[POWER5.XLA]__qmaxsolutions_432"/>
      <sheetName val="[POWER5.XLA]__qmaxsolutions_431"/>
      <sheetName val="[POWER5.XLA]__qmaxsolutions_427"/>
      <sheetName val="[POWER5.XLA]__qmaxsolutions_428"/>
      <sheetName val="[POWER5.XLA]__qmaxsolutions_429"/>
      <sheetName val="[POWER5.XLA]__qmaxsolutions_430"/>
      <sheetName val="[POWER5.XLA]__qmaxsolutions_433"/>
      <sheetName val="[POWER5.XLA]__qmaxsolutions_436"/>
      <sheetName val="[POWER5.XLA]__qmaxsolutions_439"/>
      <sheetName val="[POWER5.XLA]__qmaxsolutions_440"/>
      <sheetName val="[POWER5.XLA]__qmaxsolutions_441"/>
      <sheetName val="[POWER5.XLA]__qmaxsolutions_448"/>
      <sheetName val="[POWER5.XLA]__qmaxsolutions_443"/>
      <sheetName val="[POWER5.XLA]__qmaxsolutions_444"/>
      <sheetName val="[POWER5.XLA]__qmaxsolutions_445"/>
      <sheetName val="[POWER5.XLA]__qmaxsolutions_446"/>
      <sheetName val="[POWER5.XLA]__qmaxsolutions_447"/>
      <sheetName val="[POWER5.XLA]__qmaxsolutions_450"/>
      <sheetName val="[POWER5.XLA]__qmaxsolutions_449"/>
      <sheetName val="[POWER5.XLA]__qmaxsolutions_456"/>
      <sheetName val="[POWER5.XLA]__qmaxsolutions_452"/>
      <sheetName val="[POWER5.XLA]__qmaxsolutions_451"/>
      <sheetName val="[POWER5.XLA]__qmaxsolutions_455"/>
      <sheetName val="[POWER5.XLA]__qmaxsolutions_453"/>
      <sheetName val="[POWER5.XLA]__qmaxsolutions_454"/>
      <sheetName val="[POWER5.XLA]__qmaxsolutions_457"/>
      <sheetName val="[POWER5.XLA]__qmaxsolutions_458"/>
      <sheetName val="[POWER5.XLA]__qmaxsolutions_463"/>
      <sheetName val="[POWER5.XLA]__qmaxsolutions_461"/>
      <sheetName val="[POWER5.XLA]__qmaxsolutions_459"/>
      <sheetName val="[POWER5.XLA]__qmaxsolutions_460"/>
      <sheetName val="[POWER5.XLA]__qmaxsolutions_462"/>
      <sheetName val="[POWER5.XLA]__qmaxsolutions_467"/>
      <sheetName val="[POWER5.XLA]__qmaxsolutions_464"/>
      <sheetName val="[POWER5.XLA]__qmaxsolutions_466"/>
      <sheetName val="[POWER5.XLA]__qmaxsolutions_465"/>
      <sheetName val="[POWER5.XLA]__qmaxsolutions_468"/>
      <sheetName val="[POWER5.XLA]__qmaxsolutions_469"/>
      <sheetName val="[POWER5.XLA]__qmaxsolutions_474"/>
      <sheetName val="[POWER5.XLA]__qmaxsolutions_471"/>
      <sheetName val="[POWER5.XLA]__qmaxsolutions_470"/>
      <sheetName val="[POWER5.XLA]__qmaxsolutions_472"/>
      <sheetName val="[POWER5.XLA]__qmaxsolutions_473"/>
      <sheetName val="[POWER5.XLA]__qmaxsolutions_475"/>
      <sheetName val="[POWER5.XLA]__qmaxsolutions_476"/>
      <sheetName val="[POWER5.XLA]__qmaxsolutions_477"/>
      <sheetName val="[POWER5.XLA]__qmaxsolutions_478"/>
      <sheetName val="[POWER5.XLA]__qmaxsolutions_479"/>
      <sheetName val="[POWER5.XLA]__qmaxsolutions_482"/>
      <sheetName val="[POWER5.XLA]__qmaxsolutions_480"/>
      <sheetName val="[POWER5.XLA]__qmaxsolutions_481"/>
      <sheetName val="[POWER5.XLA]__qmaxsolutions_484"/>
      <sheetName val="[POWER5.XLA]__qmaxsolutions_483"/>
      <sheetName val="[POWER5.XLA]__qmaxsolutions_485"/>
      <sheetName val="[POWER5.XLA]__qmaxsolutions_486"/>
      <sheetName val="[POWER5.XLA]__qmaxsolutions_487"/>
      <sheetName val="[POWER5.XLA]__qmaxsolutions_488"/>
      <sheetName val="[POWER5.XLA]__qmaxsolutions_489"/>
      <sheetName val="[POWER5.XLA]__qmaxsolutions_491"/>
      <sheetName val="[POWER5.XLA]__qmaxsolutions_493"/>
      <sheetName val="PG一覧"/>
      <sheetName val="[POWER5_XLA]__qmaxsolutions_100"/>
      <sheetName val="[POWER5_XLA]__qmaxsolutions__99"/>
      <sheetName val="[POWER5_XLA]__qmaxsolutions__96"/>
      <sheetName val="[POWER5_XLA]__qmaxsolutions__98"/>
      <sheetName val="[POWER5_XLA]__qmaxsolutions__97"/>
      <sheetName val="[POWER5_XLA]__qmaxsolutions_101"/>
      <sheetName val="[POWER5_XLA]__qmaxsolutions_102"/>
      <sheetName val="[POWER5_XLA]__qmaxsolutions_112"/>
      <sheetName val="[POWER5_XLA]__qmaxsolutions_109"/>
      <sheetName val="[POWER5_XLA]__qmaxsolutions_104"/>
      <sheetName val="[POWER5_XLA]__qmaxsolutions_103"/>
      <sheetName val="[POWER5_XLA]__qmaxsolutions_107"/>
      <sheetName val="[POWER5_XLA]__qmaxsolutions_105"/>
      <sheetName val="[POWER5_XLA]__qmaxsolutions_106"/>
      <sheetName val="[POWER5_XLA]__qmaxsolutions_108"/>
      <sheetName val="[POWER5_XLA]__qmaxsolutions_110"/>
      <sheetName val="[POWER5_XLA]__qmaxsolutions_111"/>
      <sheetName val="[POWER5_XLA]__qmaxsolutions_113"/>
      <sheetName val="[POWER5_XLA]__qmaxsolutions_115"/>
      <sheetName val="[POWER5_XLA]__qmaxsolutions_114"/>
      <sheetName val="[POWER5_XLA]__qmaxsolutions_121"/>
      <sheetName val="[POWER5_XLA]__qmaxsolutions_116"/>
      <sheetName val="[POWER5_XLA]__qmaxsolutions_117"/>
      <sheetName val="[POWER5_XLA]__qmaxsolutions_118"/>
      <sheetName val="[POWER5_XLA]__qmaxsolutions_119"/>
      <sheetName val="[POWER5_XLA]__qmaxsolutions_120"/>
      <sheetName val="[POWER5_XLA]__qmaxsolutions_131"/>
      <sheetName val="[POWER5_XLA]__qmaxsolutions_122"/>
      <sheetName val="[POWER5_XLA]__qmaxsolutions_123"/>
      <sheetName val="[POWER5_XLA]__qmaxsolutions_126"/>
      <sheetName val="[POWER5_XLA]__qmaxsolutions_124"/>
      <sheetName val="[POWER5_XLA]__qmaxsolutions_125"/>
      <sheetName val="[POWER5_XLA]__qmaxsolutions_127"/>
      <sheetName val="[POWER5_XLA]__qmaxsolutions_129"/>
      <sheetName val="[POWER5_XLA]__qmaxsolutions_128"/>
      <sheetName val="[POWER5_XLA]__qmaxsolutions_130"/>
      <sheetName val="[POWER5_XLA]__qmaxsolutions_134"/>
      <sheetName val="[POWER5_XLA]__qmaxsolutions_132"/>
      <sheetName val="[POWER5_XLA]__qmaxsolutions_133"/>
      <sheetName val="[POWER5_XLA]__qmaxsolutions_135"/>
      <sheetName val="[POWER5_XLA]__qmaxsolutions_m10"/>
      <sheetName val="[POWER5_XLA]__qmaxsolutions_m11"/>
      <sheetName val="[POWER5_XLA]__qmaxsolutions_m12"/>
      <sheetName val="[POWER5_XLA]__qmaxsolutions_m13"/>
      <sheetName val="[POWER5_XLA]__qmaxsolutions_m14"/>
      <sheetName val="[POWER5_XLA]__qmaxsolutions_m15"/>
      <sheetName val="[POWER5_XLA]__qmaxsolutions_m16"/>
      <sheetName val="[POWER5_XLA]__qmaxsolutions_136"/>
      <sheetName val="[POWER5_XLA]__qmaxsolutions_137"/>
      <sheetName val="[POWER5_XLA]__qmaxsolutions_138"/>
      <sheetName val="[POWER5_XLA]__qmaxsolutions_139"/>
      <sheetName val="[POWER5_XLA]__qmaxsolutions_140"/>
      <sheetName val="[POWER5_XLA]__qmaxsolutions_141"/>
      <sheetName val="[POWER5_XLA]__qmaxsolutions_142"/>
      <sheetName val="[POWER5_XLA]__qmaxsolutions_143"/>
      <sheetName val="[POWER5_XLA]__qmaxsolutions_144"/>
      <sheetName val="[POWER5_XLA]__qmaxsolutions_145"/>
      <sheetName val="[POWER5_XLA]__qmaxsolutions_146"/>
      <sheetName val="[POWER5_XLA]__qmaxsolutions_147"/>
      <sheetName val="[POWER5_XLA]__qmaxsolutions_148"/>
      <sheetName val="[POWER5_XLA]__qmaxsolutions_149"/>
      <sheetName val="[POWER5_XLA]__qmaxsolutions_150"/>
      <sheetName val="[POWER5_XLA]__qmaxsolutions_151"/>
      <sheetName val="[POWER5_XLA]__qmaxsolutions_152"/>
      <sheetName val="[POWER5_XLA]__qmaxsolutions_153"/>
      <sheetName val="[POWER5_XLA]__qmaxsolutions_154"/>
      <sheetName val="[POWER5_XLA]__qmaxsolutions_155"/>
      <sheetName val="[POWER5_XLA]__qmaxsolutions_156"/>
      <sheetName val="[POWER5_XLA]__qmaxsolutions_157"/>
      <sheetName val="[POWER5_XLA]__qmaxsolutions_158"/>
      <sheetName val="[POWER5_XLA]__qmaxsolutions_159"/>
      <sheetName val="[POWER5_XLA]__qmaxsolutions_160"/>
      <sheetName val="[POWER5_XLA]__qmaxsolutions_161"/>
      <sheetName val="[POWER5_XLA]__qmaxsolutions_162"/>
      <sheetName val="[POWER5_XLA]__qmaxsolutions_163"/>
      <sheetName val="[POWER5_XLA]__qmaxsolutions_164"/>
      <sheetName val="[POWER5_XLA]__qmaxsolutions_165"/>
      <sheetName val="[POWER5_XLA]__qmaxsolutions_166"/>
      <sheetName val="[POWER5_XLA]__qmaxsolutions_167"/>
      <sheetName val="[POWER5_XLA]__qmaxsolutions_168"/>
      <sheetName val="[POWER5_XLA]__qmaxsolutions_169"/>
      <sheetName val="[POWER5_XLA]__qmaxsolutions_170"/>
      <sheetName val="[POWER5_XLA]__qmaxsolutions_171"/>
      <sheetName val="[POWER5_XLA]__qmaxsolutions_172"/>
      <sheetName val="[POWER5_XLA]__qmaxsolutions_173"/>
      <sheetName val="[POWER5_XLA]__qmaxsolutions_174"/>
      <sheetName val="[POWER5_XLA]__qmaxsolutions_175"/>
      <sheetName val="[POWER5_XLA]__qmaxsolutions_176"/>
      <sheetName val="[POWER5_XLA]__qmaxsolutions_177"/>
      <sheetName val="[POWER5_XLA]__qmaxsolutions_178"/>
      <sheetName val="[POWER5_XLA]__qmaxsolutions_179"/>
      <sheetName val="[POWER5_XLA]__qmaxsolutions_180"/>
      <sheetName val="[POWER5_XLA]__qmaxsolutions_181"/>
      <sheetName val="[POWER5_XLA]__qmaxsolutions_182"/>
      <sheetName val="[POWER5_XLA]__qmaxsolutions_183"/>
      <sheetName val="[POWER5_XLA]__qmaxsolutions_184"/>
      <sheetName val="[POWER5_XLA]__qmaxsolutions_185"/>
      <sheetName val="[POWER5_XLA]__qmaxsolutions_186"/>
      <sheetName val="[POWER5_XLA]__qmaxsolutions_187"/>
      <sheetName val="[POWER5_XLA]__qmaxsolutions_188"/>
      <sheetName val="[POWER5_XLA]__qmaxsolutions_189"/>
      <sheetName val="[POWER5_XLA]__qmaxsolutions_190"/>
      <sheetName val="[POWER5_XLA]__qmaxsolutions_191"/>
      <sheetName val="[POWER5_XLA]__qmaxsolutions_192"/>
      <sheetName val="[POWER5_XLA]__qmaxsolutions_193"/>
      <sheetName val="[POWER5_XLA]__qmaxsolutions_194"/>
      <sheetName val="[POWER5_XLA]__qmaxsolutions_195"/>
      <sheetName val="[POWER5_XLA]__qmaxsolutions_196"/>
      <sheetName val="[POWER5_XLA]__qmaxsolutions_197"/>
      <sheetName val="[POWER5_XLA]__qmaxsolutions_198"/>
      <sheetName val="[POWER5_XLA]__qmaxsolutions_199"/>
      <sheetName val="[POWER5_XLA]__qmaxsolutions_200"/>
      <sheetName val="[POWER5_XLA]__qmaxsolutions_201"/>
      <sheetName val="[POWER5_XLA]__qmaxsolutions_202"/>
      <sheetName val="[POWER5_XLA]__qmaxsolutions_203"/>
      <sheetName val="[POWER5_XLA]__qmaxsolutions_204"/>
      <sheetName val="[POWER5_XLA]__qmaxsolutions_205"/>
      <sheetName val="[POWER5_XLA]__qmaxsolutions_206"/>
      <sheetName val="[POWER5_XLA]__qmaxsolutions_207"/>
      <sheetName val="[POWER5_XLA]__qmaxsolutions_208"/>
      <sheetName val="[POWER5_XLA]__qmaxsolutions_209"/>
      <sheetName val="[POWER5_XLA]__qmaxsolutions_210"/>
      <sheetName val="[POWER5_XLA]__qmaxsolutions_211"/>
      <sheetName val="Equity_Index2"/>
      <sheetName val="Cell_Links1"/>
      <sheetName val="Pricing_Graphs1"/>
      <sheetName val="CoTrans_Input_Sheet1"/>
      <sheetName val="Combined_Divisionals1"/>
      <sheetName val="P&amp;L_Tables_For_Report1"/>
      <sheetName val="CHARTS_for_report1"/>
      <sheetName val="Corp_Brd1"/>
      <sheetName val="Master_Comps1"/>
      <sheetName val="Share_Repurchase_Benchmarking1"/>
      <sheetName val="Rexall_Sundown1"/>
      <sheetName val="SD_and_NB_Magazine1"/>
      <sheetName val="CoCos_Output_Sheet1"/>
      <sheetName val="C_B__4_Installed1"/>
      <sheetName val="commercial_construction1"/>
      <sheetName val="crack_spreads1"/>
      <sheetName val="new_orders1"/>
      <sheetName val="IFO_Manufacturing_Business_Cli1"/>
      <sheetName val="A_CUENTA1"/>
      <sheetName val="OP_Sum1"/>
      <sheetName val="[POWER5_XLA]__qmaxsolutions_212"/>
      <sheetName val="[POWER5_XLA]__qmaxsolutions_213"/>
      <sheetName val="[POWER5_XLA]__qmaxsolutions_214"/>
      <sheetName val="[POWER5_XLA]__qmaxsolutions_215"/>
      <sheetName val="[POWER5_XLA]__qmaxsolutions_216"/>
      <sheetName val="[POWER5_XLA]__qmaxsolutions_217"/>
      <sheetName val="[POWER5_XLA]__qmaxsolutions_218"/>
      <sheetName val="[POWER5_XLA]__qmaxsolutions_219"/>
      <sheetName val="[POWER5_XLA]__qmaxsolutions_220"/>
      <sheetName val="[POWER5_XLA]__qmaxsolutions_221"/>
      <sheetName val="[POWER5_XLA]__qmaxsolutions_222"/>
      <sheetName val="[POWER5_XLA]__qmaxsolutions_223"/>
      <sheetName val="[POWER5_XLA]__qmaxsolutions_224"/>
      <sheetName val="[POWER5_XLA]__qmaxsolutions_225"/>
      <sheetName val="[POWER5_XLA]__qmaxsolutions_226"/>
      <sheetName val="[POWER5_XLA]__qmaxsolutions_227"/>
      <sheetName val="[POWER5_XLA]__qmaxsolutions_228"/>
      <sheetName val="[POWER5_XLA]__qmaxsolutions_229"/>
      <sheetName val="[POWER5_XLA]__qmaxsolutions_230"/>
      <sheetName val="[POWER5_XLA]__qmaxsolutions_231"/>
      <sheetName val="[POWER5_XLA]__qmaxsolutions_232"/>
      <sheetName val="[POWER5_XLA]__qmaxsolutions_233"/>
      <sheetName val="[POWER5_XLA]__qmaxsolutions_234"/>
      <sheetName val="[POWER5_XLA]__qmaxsolutions_235"/>
      <sheetName val="[POWER5_XLA]__qmaxsolutions_236"/>
      <sheetName val="[POWER5_XLA]__qmaxsolutions_237"/>
      <sheetName val="[POWER5_XLA]__qmaxsolutions_238"/>
      <sheetName val="[POWER5_XLA]__qmaxsolutions_239"/>
      <sheetName val="[POWER5_XLA]__qmaxsolutions_240"/>
      <sheetName val="[POWER5_XLA]__qmaxsolutions_241"/>
      <sheetName val="[POWER5_XLA]__qmaxsolutions_242"/>
      <sheetName val="[POWER5_XLA]__qmaxsolutions_243"/>
      <sheetName val="[POWER5_XLA]__qmaxsolutions_244"/>
      <sheetName val="[POWER5_XLA]__qmaxsolutions_245"/>
      <sheetName val="[POWER5_XLA]__qmaxsolutions_246"/>
      <sheetName val="[POWER5_XLA]__qmaxsolutions_247"/>
      <sheetName val="[POWER5_XLA]__qmaxsolutions_248"/>
      <sheetName val="[POWER5_XLA]__qmaxsolutions_249"/>
      <sheetName val="[POWER5_XLA]__qmaxsolutions_250"/>
      <sheetName val="[POWER5_XLA]__qmaxsolutions_251"/>
      <sheetName val="[POWER5_XLA]__qmaxsolutions_252"/>
      <sheetName val="[POWER5_XLA]__qmaxsolutions_253"/>
      <sheetName val="[POWER5_XLA]__qmaxsolutions_254"/>
      <sheetName val="[POWER5_XLA]__qmaxsolutions_255"/>
      <sheetName val="[POWER5_XLA]__qmaxsolutions_256"/>
      <sheetName val="[POWER5_XLA]__qmaxsolutions_257"/>
      <sheetName val="[POWER5_XLA]__qmaxsolutions_258"/>
      <sheetName val="[POWER5_XLA]__qmaxsolutions_259"/>
      <sheetName val="[POWER5_XLA]__qmaxsolutions_260"/>
      <sheetName val="[POWER5_XLA]__qmaxsolutions_261"/>
      <sheetName val="[POWER5_XLA]__qmaxsolutions_262"/>
      <sheetName val="[POWER5_XLA]__qmaxsolutions_263"/>
      <sheetName val="[POWER5_XLA]__qmaxsolutions_264"/>
      <sheetName val="[POWER5_XLA]__qmaxsolutions_265"/>
      <sheetName val="[POWER5_XLA]__qmaxsolutions_266"/>
      <sheetName val="[POWER5_XLA]__qmaxsolutions_267"/>
      <sheetName val="[POWER5_XLA]__qmaxsolutions_268"/>
      <sheetName val="[POWER5_XLA]__qmaxsolutions_269"/>
      <sheetName val="[POWER5_XLA]__qmaxsolutions_270"/>
      <sheetName val="[POWER5_XLA]__qmaxsolutions_271"/>
      <sheetName val="[POWER5_XLA]__qmaxsolutions_272"/>
      <sheetName val="[POWER5_XLA]__qmaxsolutions_273"/>
      <sheetName val="[POWER5_XLA]__qmaxsolutions_274"/>
      <sheetName val="[POWER5_XLA]__qmaxsolutions_275"/>
      <sheetName val="[POWER5_XLA]__qmaxsolutions_276"/>
      <sheetName val="[POWER5_XLA]__qmaxsolutions_277"/>
      <sheetName val="[POWER5_XLA]__qmaxsolutions_278"/>
      <sheetName val="[POWER5_XLA]__qmaxsolutions_279"/>
      <sheetName val="[POWER5_XLA]__qmaxsolutions_280"/>
      <sheetName val="[POWER5_XLA]__qmaxsolutions_281"/>
      <sheetName val="[POWER5_XLA]__qmaxsolutions_282"/>
      <sheetName val="[POWER5_XLA]__qmaxsolutions_283"/>
      <sheetName val="[POWER5_XLA]__qmaxsolutions_284"/>
      <sheetName val="[POWER5_XLA]__qmaxsolutions_285"/>
      <sheetName val="[POWER5_XLA]__qmaxsolutions_286"/>
      <sheetName val="[POWER5_XLA]__qmaxsolutions_287"/>
      <sheetName val="[POWER5_XLA]__qmaxsolutions_288"/>
      <sheetName val="[POWER5_XLA]__qmaxsolutions_289"/>
      <sheetName val="[POWER5_XLA]__qmaxsolutions_290"/>
      <sheetName val="[POWER5_XLA]__qmaxsolutions_291"/>
      <sheetName val="[POWER5_XLA]__qmaxsolutions_292"/>
      <sheetName val="[POWER5_XLA]__qmaxsolutions_293"/>
      <sheetName val="[POWER5_XLA]__qmaxsolutions_294"/>
      <sheetName val="[POWER5_XLA]__qmaxsolutions_295"/>
      <sheetName val="[POWER5_XLA]__qmaxsolutions_296"/>
      <sheetName val="[POWER5_XLA]__qmaxsolutions_297"/>
      <sheetName val="[POWER5_XLA]__qmaxsolutions_298"/>
      <sheetName val="[POWER5_XLA]__qmaxsolutions_299"/>
      <sheetName val="[POWER5_XLA]__qmaxsolutions_300"/>
      <sheetName val="[POWER5_XLA]__qmaxsolutions_301"/>
      <sheetName val="[POWER5_XLA]__qmaxsolutions_302"/>
      <sheetName val="[POWER5_XLA]__qmaxsolutions_303"/>
      <sheetName val="[POWER5_XLA]__qmaxsolutions_304"/>
      <sheetName val="Index Chart"/>
      <sheetName val="[POWER5.XLA]__qmaxsolutions_492"/>
      <sheetName val="[POWER5.XLA]__qmaxsolutions_494"/>
      <sheetName val="[POWER5.XLA]__qmaxsolutions_495"/>
      <sheetName val="[POWER5.XLA]__qmaxsolutions_496"/>
      <sheetName val="[POWER5.XLA]__qmaxsolutions_497"/>
      <sheetName val="[POWER5.XLA]__qmaxsolutions_500"/>
      <sheetName val="[POWER5.XLA]__qmaxsolutions_499"/>
      <sheetName val="cost centers"/>
      <sheetName val="Fed Curr Prov"/>
      <sheetName val="30%下落銘柄"/>
      <sheetName val="30%減損該当検索"/>
      <sheetName val="部門"/>
      <sheetName val="FY97 CAPITAL BUDGET"/>
      <sheetName val="ICC FY97"/>
      <sheetName val="현대(국내)"/>
      <sheetName val="5.WIRE적용LIST"/>
      <sheetName val="Augusta"/>
      <sheetName val="Dalton"/>
      <sheetName val="[POWER5.XLA]__soferadvisors__14"/>
      <sheetName val="Cap Table"/>
      <sheetName val="(JJ-2.2) Deferred taxes"/>
      <sheetName val="__qmaxsolutions_212"/>
      <sheetName val="__qmaxsolutions_112"/>
      <sheetName val="__qmaxsolutions_114"/>
      <sheetName val="__qmaxsolutions_113"/>
      <sheetName val="__qmaxsolutions_115"/>
      <sheetName val="__qmaxsolutions_119"/>
      <sheetName val="__qmaxsolutions_116"/>
      <sheetName val="__qmaxsolutions_117"/>
      <sheetName val="__qmaxsolutions_118"/>
      <sheetName val="__qmaxsolutions_121"/>
      <sheetName val="__qmaxsolutions_120"/>
      <sheetName val="__qmaxsolutions_132"/>
      <sheetName val="__qmaxsolutions_122"/>
      <sheetName val="__qmaxsolutions_123"/>
      <sheetName val="__qmaxsolutions_124"/>
      <sheetName val="__qmaxsolutions_125"/>
      <sheetName val="__qmaxsolutions_126"/>
      <sheetName val="__qmaxsolutions_127"/>
      <sheetName val="__qmaxsolutions_128"/>
      <sheetName val="__qmaxsolutions_129"/>
      <sheetName val="__qmaxsolutions_130"/>
      <sheetName val="__qmaxsolutions_131"/>
      <sheetName val="__qmaxsolutions_136"/>
      <sheetName val="__qmaxsolutions_133"/>
      <sheetName val="__qmaxsolutions_134"/>
      <sheetName val="__qmaxsolutions_135"/>
      <sheetName val="__qmaxsolutions_137"/>
      <sheetName val="__qmaxsolutions_139"/>
      <sheetName val="__qmaxsolutions_138"/>
      <sheetName val="__qmaxsolutions_206"/>
      <sheetName val="_Appl_2"/>
      <sheetName val="__na1_2"/>
      <sheetName val="__sfd_2"/>
      <sheetName val="_POWE_2"/>
      <sheetName val="_POWE_3"/>
      <sheetName val="_POWE_4"/>
      <sheetName val="__qma_2"/>
      <sheetName val="_POWE_5"/>
      <sheetName val="_POWE_6"/>
      <sheetName val="_J_Ap_2"/>
      <sheetName val="_Appl_3"/>
      <sheetName val="__na1_3"/>
      <sheetName val="__sfd_3"/>
      <sheetName val="_POWE_7"/>
      <sheetName val="_POWE_8"/>
      <sheetName val="_POWE_9"/>
      <sheetName val="__qma_3"/>
      <sheetName val="_POW_10"/>
      <sheetName val="_POW_11"/>
      <sheetName val="_J_Ap_3"/>
      <sheetName val="_Appl_4"/>
      <sheetName val="__na1_4"/>
      <sheetName val="__sfd_4"/>
      <sheetName val="_POW_12"/>
      <sheetName val="_POW_13"/>
      <sheetName val="_POW_14"/>
      <sheetName val="__qma_4"/>
      <sheetName val="_POW_15"/>
      <sheetName val="_POW_16"/>
      <sheetName val="_J_Ap_4"/>
      <sheetName val="__qmaxsolutions_145"/>
      <sheetName val="__qmaxsolutions_140"/>
      <sheetName val="__qmaxsolutions_141"/>
      <sheetName val="__qmaxsolutions_142"/>
      <sheetName val="__qmaxsolutions_143"/>
      <sheetName val="__qmaxsolutions_144"/>
      <sheetName val="__qmaxsolutions_146"/>
      <sheetName val="__qmaxsolutions_150"/>
      <sheetName val="__qmaxsolutions_147"/>
      <sheetName val="__qmaxsolutions_148"/>
      <sheetName val="__qmaxsolutions_149"/>
      <sheetName val="__qmaxsolutions_151"/>
      <sheetName val="__qmaxsolutions_154"/>
      <sheetName val="__qmaxsolutions_152"/>
      <sheetName val="__qmaxsolutions_153"/>
      <sheetName val="__qmaxsolutions_156"/>
      <sheetName val="__qmaxsolutions_155"/>
      <sheetName val="__qmaxsolutions_166"/>
      <sheetName val="__qmaxsolutions_157"/>
      <sheetName val="__qmaxsolutions_158"/>
      <sheetName val="__qmaxsolutions_159"/>
      <sheetName val="__qmaxsolutions_160"/>
      <sheetName val="__qmaxsolutions_161"/>
      <sheetName val="__qmaxsolutions_162"/>
      <sheetName val="__qmaxsolutions_163"/>
      <sheetName val="__qmaxsolutions_164"/>
      <sheetName val="__qmaxsolutions_165"/>
      <sheetName val="__qmaxsolutions_167"/>
      <sheetName val="__qmaxsolutions_169"/>
      <sheetName val="__qmaxsolutions_168"/>
      <sheetName val="__qmaxsolutions_170"/>
      <sheetName val="__qmaxsolutions_171"/>
      <sheetName val="__qmaxsolutions_172"/>
      <sheetName val="__qmaxsolutions_175"/>
      <sheetName val="__qmaxsolutions_174"/>
      <sheetName val="__qmaxsolutions_173"/>
      <sheetName val="__qmaxsolutions_178"/>
      <sheetName val="__qmaxsolutions_176"/>
      <sheetName val="__qmaxsolutions_177"/>
      <sheetName val="__qmaxsolutions_180"/>
      <sheetName val="__qmaxsolutions_179"/>
      <sheetName val="__qmaxsolutions_181"/>
      <sheetName val="__qmaxsolutions_182"/>
      <sheetName val="__qmaxsolutions_183"/>
      <sheetName val="__qmaxsolutions_185"/>
      <sheetName val="__qmaxsolutions_184"/>
      <sheetName val="__qmaxsolutions_189"/>
      <sheetName val="__qmaxsolutions_186"/>
      <sheetName val="__qmaxsolutions_187"/>
      <sheetName val="__qmaxsolutions_188"/>
      <sheetName val="__qmaxsolutions_191"/>
      <sheetName val="__qmaxsolutions_190"/>
      <sheetName val="__qmaxsolutions_195"/>
      <sheetName val="__qmaxsolutions_192"/>
      <sheetName val="__qmaxsolutions_193"/>
      <sheetName val="__qmaxsolutions_194"/>
      <sheetName val="__qmaxsolutions_197"/>
      <sheetName val="__qmaxsolutions_196"/>
      <sheetName val="__qmaxsolutions_198"/>
      <sheetName val="__qmaxsolutions_199"/>
      <sheetName val="__qmaxsolutions_200"/>
      <sheetName val="__qmaxsolutions_201"/>
      <sheetName val="__qmaxsolutions_202"/>
      <sheetName val="__qmaxsolutions_204"/>
      <sheetName val="__qmaxsolutions_203"/>
      <sheetName val="__qmaxsolutions_205"/>
      <sheetName val="__qmaxsolutions_208"/>
      <sheetName val="__qmaxsolutions_207"/>
      <sheetName val="__qmaxsolutions_209"/>
      <sheetName val="__qmaxsolutions_211"/>
      <sheetName val="__qmaxsolutions_210"/>
      <sheetName val="__qmaxsolutions_213"/>
      <sheetName val="__qmaxsolutions_215"/>
      <sheetName val="__qmaxsolutions_214"/>
      <sheetName val="__qmaxsolutions_216"/>
      <sheetName val="__qmaxsolutions_217"/>
      <sheetName val="8.125% Fixed"/>
      <sheetName val="Time Deposits"/>
      <sheetName val="First Chester Loans"/>
      <sheetName val="RANKING.XLS"/>
      <sheetName val="UBA Table"/>
      <sheetName val="OUTPUT"/>
      <sheetName val="[POWER5.XLA]__qmaxsolutions_502"/>
      <sheetName val="[POWER5.XLA]__qmaxsolutions_501"/>
      <sheetName val="[POWER5.XLA]__qmaxsolutions_503"/>
      <sheetName val="[POWER5.XLA]__qmaxsolutions_504"/>
      <sheetName val="[POWER5.XLA]__qmaxsolutions_507"/>
      <sheetName val="[POWER5.XLA]__qmaxsolutions_505"/>
      <sheetName val="[POWER5.XLA]__qmaxsolutions_506"/>
      <sheetName val="[POWER5.XLA]__qmaxsolutions_508"/>
      <sheetName val="Active EE's (KS 27-02-22)"/>
      <sheetName val="[POWER5.XLA]__qmaxsolutions_510"/>
      <sheetName val="[POWER5.XLA]__qmaxsolutions_509"/>
      <sheetName val="[POWER5.XLA]__qmaxsolutions_511"/>
      <sheetName val="[POWER5.XLA]__qmaxsolutions_513"/>
      <sheetName val="[POWER5.XLA]__qmaxsolutions_512"/>
      <sheetName val="[POWER5.XLA]__qmaxsolutions_514"/>
      <sheetName val="[POWER5.XLA]__qmaxsolutions_515"/>
      <sheetName val="[POWER5.XLA]__qmaxsolutions_516"/>
      <sheetName val="[POWER5.XLA]__qmaxsolutions_517"/>
      <sheetName val="[POWER5.XLA]__qmaxsolutions_518"/>
      <sheetName val="[POWER5.XLA]__qmaxsolutions_519"/>
      <sheetName val="[POWER5.XLA]__qmaxsolutions_524"/>
      <sheetName val="[POWER5.XLA]__qmaxsolutions_520"/>
      <sheetName val="[POWER5.XLA]__qmaxsolutions_521"/>
      <sheetName val="[POWER5.XLA]__qmaxsolutions_522"/>
      <sheetName val="[POWER5.XLA]__qmaxsolutions_523"/>
      <sheetName val="Projects &amp; Initiatives"/>
      <sheetName val="[POWER5.XLA]__qmaxsolutions_594"/>
      <sheetName val="[POWER5.XLA]__qmaxsolutions_527"/>
      <sheetName val="[POWER5.XLA]__qmaxsolutions_525"/>
      <sheetName val="[POWER5.XLA]__qmaxsolutions_526"/>
      <sheetName val="[POWER5.XLA]__qmaxsolutions_532"/>
      <sheetName val="[POWER5.XLA]__qmaxsolutions_529"/>
      <sheetName val="[POWER5.XLA]__qmaxsolutions_528"/>
      <sheetName val="[POWER5.XLA]__qmaxsolutions_530"/>
      <sheetName val="[POWER5.XLA]__qmaxsolutions_531"/>
      <sheetName val="[POWER5.XLA]__qmaxsolutions_533"/>
      <sheetName val="[POWER5.XLA]__qmaxsolutions_541"/>
      <sheetName val="[POWER5.XLA]__qmaxsolutions_534"/>
      <sheetName val="[POWER5.XLA]__qmaxsolutions_535"/>
      <sheetName val="[POWER5.XLA]__qmaxsolutions_536"/>
      <sheetName val="[POWER5.XLA]__qmaxsolutions_537"/>
      <sheetName val="[POWER5.XLA]__qmaxsolutions_538"/>
      <sheetName val="[POWER5.XLA]__qmaxsolutions_539"/>
      <sheetName val="[POWER5.XLA]__qmaxsolutions_540"/>
      <sheetName val="[POWER5.XLA]__qmaxsolutions_543"/>
      <sheetName val="[POWER5.XLA]__qmaxsolutions_542"/>
      <sheetName val="[POWER5.XLA]__qmaxsolutions_546"/>
      <sheetName val="[POWER5.XLA]__qmaxsolutions_545"/>
      <sheetName val="[POWER5.XLA]__qmaxsolutions_544"/>
      <sheetName val="[POWER5.XLA]__qmaxsolutions_560"/>
      <sheetName val="[POWER5.XLA]__qmaxsolutions_547"/>
      <sheetName val="[POWER5.XLA]__qmaxsolutions_548"/>
      <sheetName val="[POWER5.XLA]__qmaxsolutions_549"/>
      <sheetName val="[POWER5.XLA]__qmaxsolutions_550"/>
      <sheetName val="[POWER5.XLA]__qmaxsolutions_551"/>
      <sheetName val="[POWER5.XLA]__qmaxsolutions_555"/>
      <sheetName val="[POWER5.XLA]__qmaxsolutions_552"/>
      <sheetName val="[POWER5.XLA]__qmaxsolutions_553"/>
      <sheetName val="[POWER5.XLA]__qmaxsolutions_554"/>
      <sheetName val="[POWER5.XLA]__qmaxsolutions_556"/>
      <sheetName val="[POWER5.XLA]__qmaxsolutions_557"/>
      <sheetName val="[POWER5.XLA]__qmaxsolutions_558"/>
      <sheetName val="[POWER5.XLA]__qmaxsolutions_559"/>
      <sheetName val="[POWER5.XLA]__qmaxsolutions_566"/>
      <sheetName val="[POWER5.XLA]__qmaxsolutions_565"/>
      <sheetName val="[POWER5.XLA]__qmaxsolutions_561"/>
      <sheetName val="[POWER5.XLA]__qmaxsolutions_562"/>
      <sheetName val="[POWER5.XLA]__qmaxsolutions_564"/>
      <sheetName val="[POWER5.XLA]__qmaxsolutions_563"/>
      <sheetName val="[POWER5.XLA]__qmaxsolutions_568"/>
      <sheetName val="[POWER5.XLA]__qmaxsolutions_567"/>
      <sheetName val="[POWER5.XLA]__qmaxsolutions_583"/>
      <sheetName val="[POWER5.XLA]__qmaxsolutions_574"/>
      <sheetName val="[POWER5.XLA]__qmaxsolutions_569"/>
      <sheetName val="[POWER5.XLA]__qmaxsolutions_570"/>
      <sheetName val="[POWER5.XLA]__qmaxsolutions_571"/>
      <sheetName val="[POWER5.XLA]__qmaxsolutions_572"/>
      <sheetName val="[POWER5.XLA]__qmaxsolutions_573"/>
      <sheetName val="[POWER5.XLA]__qmaxsolutions_575"/>
      <sheetName val="[POWER5.XLA]__qmaxsolutions_576"/>
      <sheetName val="[POWER5.XLA]__qmaxsolutions_577"/>
      <sheetName val="[POWER5.XLA]__qmaxsolutions_578"/>
      <sheetName val="[POWER5.XLA]__qmaxsolutions_582"/>
      <sheetName val="[POWER5.XLA]__qmaxsolutions_579"/>
      <sheetName val="[POWER5.XLA]__qmaxsolutions_580"/>
      <sheetName val="[POWER5.XLA]__qmaxsolutions_581"/>
      <sheetName val="[POWER5.XLA]__qmaxsolutions_586"/>
      <sheetName val="[POWER5.XLA]__qmaxsolutions_585"/>
      <sheetName val="[POWER5.XLA]__qmaxsolutions_584"/>
      <sheetName val="[POWER5.XLA]__qmaxsolutions_587"/>
      <sheetName val="[POWER5.XLA]__qmaxsolutions_588"/>
      <sheetName val="[POWER5.XLA]__qmaxsolutions_589"/>
      <sheetName val="[POWER5.XLA]__qmaxsolutions_590"/>
      <sheetName val="[POWER5.XLA]__qmaxsolutions_592"/>
      <sheetName val="[POWER5.XLA]__qmaxsolutions_591"/>
      <sheetName val="[POWER5.XLA]__qmaxsolutions_593"/>
      <sheetName val="[POWER5.XLA]__qmaxsolutions_595"/>
      <sheetName val="[POWER5.XLA]__qmaxsolutions_596"/>
      <sheetName val="[POWER5.XLA]__qmaxsolutions_597"/>
      <sheetName val="[POWER5.XLA]__qmaxsolutions_598"/>
      <sheetName val="[POWER5.XLA]__qmaxsolutions_599"/>
      <sheetName val="[POWER5.XLA]__soferadvisors__16"/>
      <sheetName val="[POWER5.XLA]__soferadvisors__15"/>
      <sheetName val="[POWER5.XLA]__soferadvisors__17"/>
      <sheetName val="#Partner Level Footnotes#"/>
      <sheetName val="[POWER5.XLA]__qmaxsolutions_600"/>
      <sheetName val="Insulin_Sales_-_NA4"/>
      <sheetName val="Insulin_Sales_-_EU4"/>
      <sheetName val="Insulin_Sales_-_Japan4"/>
      <sheetName val="Pro_Forma_Income_Statement4"/>
      <sheetName val="Main_Model4"/>
      <sheetName val="Newer_version4"/>
      <sheetName val="GL_Detail4"/>
      <sheetName val="Pro_Forma4"/>
      <sheetName val="McKinley_P&amp;L4"/>
      <sheetName val="Deal_Matrix4"/>
      <sheetName val="Model_Driver4"/>
      <sheetName val="US_Ops_Account_Detail2"/>
      <sheetName val="[POWER5_XLA][POWER5_XLA][POWER2"/>
      <sheetName val="[POWER5_XLA][POWER5_XLA]\Appli2"/>
      <sheetName val="[POWER5_XLA][POWER5_XLA]//na1_2"/>
      <sheetName val="[POWER5_XLA][POWER5_XLA]\\sfdc2"/>
      <sheetName val="[POWER5_XLA]\Applications\Micr2"/>
      <sheetName val="[POWER5_XLA]//na1_salesforce_c2"/>
      <sheetName val="[POWER5_XLA]\\sfdc\DFS\Applica2"/>
      <sheetName val="Int__Rate_Data"/>
      <sheetName val="Summary_of_Adjustments"/>
      <sheetName val="CENTRAL_REGION_-_66"/>
      <sheetName val="99_Contingency_Analysis"/>
      <sheetName val="New_C_PM"/>
      <sheetName val="Pipeline_User_Controls"/>
      <sheetName val="GP_LP_Fund"/>
      <sheetName val="[POWER5.XLA]__qmaxsolutions_602"/>
      <sheetName val="[POWER5.XLA]__qmaxsolutions_601"/>
      <sheetName val="[POWER5.XLA]__qmaxsolutions_603"/>
      <sheetName val="[POWER5.XLA]__soferadvisors__23"/>
      <sheetName val="LBO Analysis"/>
      <sheetName val="[POWER5.XLA]__soferadvisors__19"/>
      <sheetName val="[POWER5.XLA]__soferadvisors__18"/>
      <sheetName val="[POWER5.XLA]__soferadvisors__21"/>
      <sheetName val="[POWER5.XLA]__soferadvisors__20"/>
      <sheetName val="[POWER5.XLA]__soferadvisors__22"/>
      <sheetName val="[POWER5.XLA]__soferadvisors__24"/>
      <sheetName val="노무비"/>
      <sheetName val="Exch rates"/>
      <sheetName val="Bloomberg Market Data"/>
      <sheetName val="[POWER5.XLA]__soferadvisors__51"/>
      <sheetName val="[POWER5.XLA]__soferadvisors__40"/>
      <sheetName val="[POWER5.XLA]__soferadvisors__25"/>
      <sheetName val="[POWER5.XLA]__soferadvisors__27"/>
      <sheetName val="[POWER5.XLA]__soferadvisors__26"/>
      <sheetName val="[POWER5.XLA]__soferadvisors__38"/>
      <sheetName val="[POWER5.XLA]__soferadvisors__28"/>
      <sheetName val="[POWER5.XLA]__soferadvisors__29"/>
      <sheetName val="[POWER5.XLA]__soferadvisors__30"/>
      <sheetName val="[POWER5.XLA]__soferadvisors__31"/>
      <sheetName val="[POWER5.XLA]__soferadvisors__32"/>
      <sheetName val="[POWER5.XLA]__soferadvisors__33"/>
      <sheetName val="[POWER5.XLA]__soferadvisors__34"/>
      <sheetName val="[POWER5.XLA]__soferadvisors__37"/>
      <sheetName val="[POWER5.XLA]__soferadvisors__35"/>
      <sheetName val="consolidator"/>
      <sheetName val="deal summary"/>
      <sheetName val="[POWER5.XLA]__soferadvisors__36"/>
      <sheetName val="[POWER5.XLA]__soferadvisors__39"/>
      <sheetName val="[POWER5.XLA]__soferadvisors__45"/>
      <sheetName val="[POWER5.XLA]__soferadvisors__41"/>
      <sheetName val="[POWER5.XLA]__soferadvisors__42"/>
      <sheetName val="[POWER5.XLA]__soferadvisors__43"/>
      <sheetName val="[POWER5.XLA]__soferadvisors__44"/>
      <sheetName val="[POWER5.XLA]__soferadvisors__46"/>
      <sheetName val="[POWER5.XLA]__soferadvisors__47"/>
      <sheetName val="[POWER5.XLA]__soferadvisors__48"/>
      <sheetName val="[POWER5.XLA]__soferadvisors__49"/>
      <sheetName val="[POWER5.XLA]__soferadvisors__50"/>
      <sheetName val="[POWER5.XLA]__soferadvisors__53"/>
      <sheetName val="[POWER5.XLA]__soferadvisors__52"/>
      <sheetName val="[POWER5.XLA]__soferadvisors__55"/>
      <sheetName val="[POWER5.XLA]__soferadvisors__54"/>
      <sheetName val="[POWER5.XLA]__soferadvisors__57"/>
      <sheetName val="[POWER5.XLA]__soferadvisors__56"/>
      <sheetName val="[POWER5.XLA]__soferadvisors__60"/>
      <sheetName val="[POWER5.XLA]__soferadvisors__58"/>
      <sheetName val="[POWER5.XLA]__soferadvisors__59"/>
      <sheetName val="[POWER5.XLA]__soferadvisors__61"/>
      <sheetName val="[POWER5.XLA]__soferadvisors__62"/>
      <sheetName val="[POWER5.XLA]__soferadvisors__64"/>
      <sheetName val="[POWER5.XLA]__soferadvisors__63"/>
      <sheetName val="Asumsi"/>
      <sheetName val="Income Statement"/>
      <sheetName val="Operating Cycle"/>
      <sheetName val="Performance_Assumptions"/>
      <sheetName val="Elektrikal"/>
      <sheetName val="Rekap Direct Cost"/>
      <sheetName val="Buyers_Competitors_(2)3"/>
      <sheetName val="Trial_Balance3"/>
      <sheetName val="Drop_Down_Lists3"/>
      <sheetName val="SCIMED_Old3"/>
      <sheetName val="//na1_salesforce_com/Applicati3"/>
      <sheetName val="E&amp;Y_Format3"/>
      <sheetName val="Print_Controls3"/>
      <sheetName val="Input_Page3"/>
      <sheetName val="D_&amp;_A3"/>
      <sheetName val="Share_Prices3"/>
      <sheetName val="Inputs_&amp;_Pro_Formas2"/>
      <sheetName val="Consolidated_Financials3"/>
      <sheetName val="Statement_of_Cash_Flows2"/>
      <sheetName val="CG_Alloc2"/>
      <sheetName val="Fin_Flows2"/>
      <sheetName val="Marketing_Stats2"/>
      <sheetName val="Cost_Centers_and_PMTs2"/>
      <sheetName val="DAS_&amp;_Networking_Costs2"/>
      <sheetName val="ROCE-WACC_EVtoEBITDA2"/>
      <sheetName val="Trending_Inc_Stmt2"/>
      <sheetName val="Sources_&amp;_Uses2"/>
      <sheetName val="Covenant_Wksht2"/>
      <sheetName val="Control_Sheet2"/>
      <sheetName val="Data_sheet2"/>
      <sheetName val="Iss__Vol__(Outp_)2"/>
      <sheetName val="[POWER5_XLA]//qmaxsolutions-my2"/>
      <sheetName val="[POWER5_XLA][POWER5_XLA]//qmax2"/>
      <sheetName val="[POWER5_XLA][POWER5_XLA]\J\App2"/>
      <sheetName val="[POWER5_XLA]\J\Applications\Mi2"/>
      <sheetName val="T_DCF2"/>
      <sheetName val="Comps_Table2"/>
      <sheetName val="Stock_Chart2"/>
      <sheetName val="\Users\Dan\Library\Application2"/>
      <sheetName val="2018_All_Brands2"/>
      <sheetName val="2018_Lipoflavonoid2"/>
      <sheetName val="2018_Florajen2"/>
      <sheetName val="2018_CertainDri2"/>
      <sheetName val="2018_Cystex2"/>
      <sheetName val="2018_Absorbine2"/>
      <sheetName val="2018_Albolene2"/>
      <sheetName val="2018_AntiMonkeyButt2"/>
      <sheetName val="2018_Non_Branded_0002"/>
      <sheetName val="Item_Data1"/>
      <sheetName val="Asset_(VIN)_Data1"/>
      <sheetName val="Portfolio_Budget1"/>
      <sheetName val="Cons_(2)1"/>
      <sheetName val="GHA_orig1"/>
      <sheetName val="FX_Rates1"/>
      <sheetName val="Power_&amp;_Fuel(SMS)1"/>
      <sheetName val="LC_PF1"/>
      <sheetName val="Summary_Exhibit_II1"/>
      <sheetName val="Issue_Log1"/>
      <sheetName val="Asset_Transfer_Screen_Shot1"/>
      <sheetName val="Asset_Proposal_List1"/>
      <sheetName val="Asset_Proposal-Screen_Shots1"/>
      <sheetName val="Data_Import_Template1"/>
      <sheetName val="New_Asset_List1"/>
      <sheetName val="New_Asset_Screen_Shots1"/>
      <sheetName val="FAMAsset_as_of_12_31_181"/>
      <sheetName val="//na1_salesforce_co1"/>
      <sheetName val="//qmaxsolutions-my_1"/>
      <sheetName val="[POWER5_XLA][POWER51"/>
      <sheetName val="[POWER5_XLA]\Applic1"/>
      <sheetName val="[POWER5_XLA]//na1_s1"/>
      <sheetName val="[POWER5_XLA]\\sfdc\1"/>
      <sheetName val="[POWER5_XLA]//qmaxs1"/>
      <sheetName val="[POWER5_XLA]\J\Appl1"/>
      <sheetName val="Lease_summary1"/>
      <sheetName val="Tax_Stock_deal1"/>
      <sheetName val="Tax_Asset_deal1"/>
      <sheetName val="Tax_S_Corp1"/>
      <sheetName val="Financial_Request_List1"/>
      <sheetName val="Tax_Request_List1"/>
      <sheetName val="Cash_proof1"/>
      <sheetName val="TB_-_IS1"/>
      <sheetName val="TB_BS1"/>
      <sheetName val="GT_Discussion&gt;1"/>
      <sheetName val="COR_-_SoftwareHardware_Maint1"/>
      <sheetName val="COR_-_Consultants1"/>
      <sheetName val="COR_-_Co_hosting1"/>
      <sheetName val="Opex-Professional_services1"/>
      <sheetName val="GT_Custom2"/>
      <sheetName val="Employee_Data1"/>
      <sheetName val="Debt_Amortization1"/>
      <sheetName val="Vector_Inputs1"/>
      <sheetName val="ISQ_LBO_-_Full_Company1"/>
      <sheetName val="Cash_flow_worksheet1"/>
      <sheetName val="Inc_Stmt1"/>
      <sheetName val="Bal_Sht1"/>
      <sheetName val="Sales_Forecast1"/>
      <sheetName val="FIRE_ALARM1"/>
      <sheetName val="Data_Input1"/>
      <sheetName val="WC2_(2)1"/>
      <sheetName val="AOP_Summary-21"/>
      <sheetName val="investment-_acounting1"/>
      <sheetName val="novmar_actuals1"/>
      <sheetName val="06-030_Capital_Gains_and_Losse1"/>
      <sheetName val="Area_by_JC1"/>
      <sheetName val="MM_Mapping1"/>
      <sheetName val="Customer_split1"/>
      <sheetName val="Depr_Amortisation_check1"/>
      <sheetName val="Working_capital1"/>
      <sheetName val="Summary_Financial_Statement1"/>
      <sheetName val="Op_Balances_20191"/>
      <sheetName val="Look_up1"/>
      <sheetName val="Wound_Case1"/>
      <sheetName val="Cover_Page1"/>
      <sheetName val="Equity_Database1"/>
      <sheetName val="MARKET_PRICES1"/>
      <sheetName val="RED_Forecast1"/>
      <sheetName val="TEN_side1"/>
      <sheetName val="Balance_Sheet_Standard_-Feb1"/>
      <sheetName val="Balance_Sheet_Standard1"/>
      <sheetName val="Balance_sheet_Actual_to_Budget1"/>
      <sheetName val="Balance_sheet_Actual_to_Bud_Fe1"/>
      <sheetName val="Feb_191"/>
      <sheetName val="Mar_191"/>
      <sheetName val="April_191"/>
      <sheetName val="May_20191"/>
      <sheetName val="June_191"/>
      <sheetName val="July_20191"/>
      <sheetName val="Aug_20191"/>
      <sheetName val="cash_flow-_Monthly_(2)1"/>
      <sheetName val="cash_flow_monthly1"/>
      <sheetName val="cash_flow_YTD_1"/>
      <sheetName val="Budgeted_BS_2018-191"/>
      <sheetName val="cash_flow-_2018-191"/>
      <sheetName val="Budget_cash_flow_20181"/>
      <sheetName val="Data_Validation1"/>
      <sheetName val="2015_Forecast1"/>
      <sheetName val="Gross_Margin_Build1"/>
      <sheetName val="Output_Model1"/>
      <sheetName val="Customize_Your_Purchase_Order"/>
      <sheetName val="Depr_Table"/>
      <sheetName val="[POWER5_XLA]_Users_SSimakova__2"/>
      <sheetName val="Add_Info(AI)"/>
      <sheetName val="P&amp;L_-_Main"/>
      <sheetName val="Convertible_Preferred"/>
      <sheetName val="Upside_Cases"/>
      <sheetName val="Standalone_Costs"/>
      <sheetName val="[POWER5_XLA]_Applications_Mi_10"/>
      <sheetName val="[POWER5_XLA]__aodocs_altirna_12"/>
      <sheetName val="[POWER5_XLA]__aodocs_altirna_13"/>
      <sheetName val="[POWER5_XLA][POWER5_XLA]_POWE15"/>
      <sheetName val="[POWER5_XLA][POWER5_XLA]_POWE16"/>
      <sheetName val="[POWER5_XLA][POWER5_XLA]_POW_17"/>
      <sheetName val="[POWER5_XLA][POWER5_XLA]_Appl_6"/>
      <sheetName val="[POWER5_XLA][POWER5_XLA]__na1_6"/>
      <sheetName val="[POWER5_XLA][POWER5_XLA]__sfd_6"/>
      <sheetName val="[POWER5_XLA]_Users_SSimakova__3"/>
      <sheetName val="[POWER5_XLA]_Applications_Mi_11"/>
      <sheetName val="[POWER5_XLA]__na1_salesforce__8"/>
      <sheetName val="[POWER5_XLA]__sfdc_DFS_Applic_5"/>
      <sheetName val="[POWER5_XLA]_J_Applications_M_8"/>
      <sheetName val="[POWER5_XLA]_Applications_Mi_12"/>
      <sheetName val="[POWER5_XLA]__aodocs_altirna_14"/>
      <sheetName val="[POWER5_XLA]__localhost_webd_11"/>
      <sheetName val="[POWER5_XLA]__localhost_webd_12"/>
      <sheetName val="[POWER5_XLA]__localhost_FY_20_5"/>
      <sheetName val="[POWER5_XLA]__aodocs_altirna_15"/>
      <sheetName val="[POWER5_XLA]__localhost_webd_13"/>
      <sheetName val="[POWER5_XLA][POWER5_XLA]_Appl_7"/>
      <sheetName val="[POWER5_XLA][POWER5_XLA]__na1_7"/>
      <sheetName val="[POWER5_XLA][POWER5_XLA]__sfd_7"/>
      <sheetName val="[POWER5_XLA][POWER5_XLA]_POW_18"/>
      <sheetName val="[POWER5_XLA][POWER5_XLA]_POW_19"/>
      <sheetName val="[POWER5_XLA][POWER5_XLA]_POW_20"/>
      <sheetName val="[POWER5_XLA]__na1_salesforce__9"/>
      <sheetName val="[POWER5_XLA]_J_Applications_M_9"/>
      <sheetName val="[POWER5_XLA][POWER5_XLA]__qma_5"/>
      <sheetName val="[POWER5_XLA][POWER5_XLA]_POW_21"/>
      <sheetName val="[POWER5_XLA][POWER5_XLA]_POW_22"/>
      <sheetName val="[POWER5_XLA][POWER5_XLA]_J_Ap_5"/>
      <sheetName val="[POWER5_XLA]_Applications_Mi_13"/>
      <sheetName val="[POWER5_XLA]_Users_Dan_Librar_5"/>
      <sheetName val="[POWER5_XLA]__aodocs_altirna_16"/>
      <sheetName val="[POWER5_XLA]__aodocs_altirna_17"/>
      <sheetName val="[POWER5_XLA][POWER5_XLA]_POW_23"/>
      <sheetName val="[POWER5_XLA][POWER5_XLA]_POW_24"/>
      <sheetName val="[POWER5_XLA][POWER5_XLA]_POW_25"/>
      <sheetName val="[POWER5_XLA][POWER5_XLA]_Appl_8"/>
      <sheetName val="[POWER5_XLA][POWER5_XLA]__na1_8"/>
      <sheetName val="[POWER5_XLA][POWER5_XLA]__sfd_8"/>
      <sheetName val="[POWER5_XLA]_Users_SSimakova__4"/>
      <sheetName val="Financial_Data"/>
      <sheetName val="Lookup_Table"/>
      <sheetName val="Dashboard_-_Page_1"/>
      <sheetName val="Dashboard_-_Page_2"/>
      <sheetName val="Dashboard_-_Page_3"/>
      <sheetName val="HRs_&amp;_Fill_Rate"/>
      <sheetName val="TX_Consolidated"/>
      <sheetName val="Corpus_Christi"/>
      <sheetName val="Del_Rio(xfers__to_SA_in_Nov_)"/>
      <sheetName val="Laredo(xfers__to_Corp__in_Nov_)"/>
      <sheetName val="Mt_Vernon"/>
      <sheetName val="San_Antonio"/>
      <sheetName val="Consolidated_CCS_Tracker"/>
      <sheetName val="Abilene_CCS_Tracker"/>
      <sheetName val="Arlington_CCS_Tracker"/>
      <sheetName val="Bridgeport_CCS_Tracker"/>
      <sheetName val="Cooper_CCS_Tracker"/>
      <sheetName val="Corpus_Christi_CCS_Tracker"/>
      <sheetName val="Del_Rio_CCS_Tracker"/>
      <sheetName val="Edinburg_CCS_Tracker"/>
      <sheetName val="Jasper_CCS_Tracker"/>
      <sheetName val="Laredo_CCS_Tracker"/>
      <sheetName val="Mt_Vernon_CCS_Tracker"/>
      <sheetName val="Pasadena_CCS_Tracker"/>
      <sheetName val="San_Antonio_CCS_Tracker"/>
      <sheetName val="Pyramid_CCS_Tracker"/>
      <sheetName val="OK_Consol"/>
      <sheetName val="Avg_PCA_Hrs"/>
      <sheetName val="PCA_Hours"/>
      <sheetName val="[POWER5_XLA]__qmaxsolutions_305"/>
      <sheetName val="[POWER5_XLA]__qmaxsolutions_306"/>
      <sheetName val="[POWER5_XLA]__qmaxsolutions_307"/>
      <sheetName val="[POWER5_XLA]__qmaxsolutions_308"/>
      <sheetName val="[POWER5_XLA]__qmaxsolutions_309"/>
      <sheetName val="[POWER5_XLA]__qmaxsolutions_310"/>
      <sheetName val="[POWER5_XLA]__qmaxsolutions_311"/>
      <sheetName val="[POWER5_XLA]__qmaxsolutions_312"/>
      <sheetName val="[POWER5_XLA]__qmaxsolutions_313"/>
      <sheetName val="Sales_-_Report_First4"/>
      <sheetName val="2000_Activity4"/>
      <sheetName val="total_Commonwealth4"/>
      <sheetName val="CHK_REQ4"/>
      <sheetName val="SW_2122184"/>
      <sheetName val="N_TX_-_19974"/>
      <sheetName val="Customize_Your_Invoice4"/>
      <sheetName val="\J\Applications\Microsoft_Offi3"/>
      <sheetName val="Daily_Sales3"/>
      <sheetName val="Transmittal_Letter1"/>
      <sheetName val="Key_Analyses1"/>
      <sheetName val="Adjusted_Summary_P&amp;L1"/>
      <sheetName val="NWC_Analysis1"/>
      <sheetName val="Adjusted_NWC_Graph1"/>
      <sheetName val="GSM_Analyses1"/>
      <sheetName val="GSM_Bridge_FY17_-_FY181"/>
      <sheetName val="GSM_Bridge_FY18_-_FY191"/>
      <sheetName val="Grace_-_Alum1"/>
      <sheetName val="Grace_-_LSA1"/>
      <sheetName val="Grace_-_ACH1"/>
      <sheetName val="Shell_-_Alum1"/>
      <sheetName val="Shell_-_LSA1"/>
      <sheetName val="Detailed_IS1"/>
      <sheetName val="Balance_Sheet_Summary1"/>
      <sheetName val="Scope_Reconciliation1"/>
      <sheetName val="Dividend_IPORecap_Analysis1"/>
      <sheetName val="[POWER5_XLA]_Applications_Mic_1"/>
      <sheetName val="[POWER5_XLA]__na1_salesforce__1"/>
      <sheetName val="[POWER5_XLA]__sfdc_DFS_Applic_1"/>
      <sheetName val="[POWER5_XLA]_J_Applications_M_1"/>
      <sheetName val="proforma_BS4"/>
      <sheetName val="Stock_Analysis4"/>
      <sheetName val="Company_summary_items4"/>
      <sheetName val="Sales_-_Report_First5"/>
      <sheetName val="POWER5_XLA10"/>
      <sheetName val="Deal_Info_&amp;_Print_Menu4"/>
      <sheetName val="Product_Trends4"/>
      <sheetName val="EBITDA_Bridge4"/>
      <sheetName val="WC_analytics_(+data_pages)4"/>
      <sheetName val="YEAR_1_4"/>
      <sheetName val="Sched_A94"/>
      <sheetName val="Historical_Actuals4"/>
      <sheetName val="Emory_Vols_Jan-Dec_20064"/>
      <sheetName val="PV_-_CTLM4"/>
      <sheetName val="PV_-_MTLK4"/>
      <sheetName val="McKinley_P&amp;L5"/>
      <sheetName val="Main_Model5"/>
      <sheetName val="Newer_version5"/>
      <sheetName val="Pro_Forma_Income_Statement5"/>
      <sheetName val="Entrada_Dados4"/>
      <sheetName val="Pro_Forma_Credit_4"/>
      <sheetName val="Capital_Expenditure_Input_Shee4"/>
      <sheetName val="Operating_Expense_Input_Sheet4"/>
      <sheetName val="GL_Detail5"/>
      <sheetName val="Pro_Forma5"/>
      <sheetName val="GER_IFO_vs_Const5"/>
      <sheetName val="Europe_sales_Graph5"/>
      <sheetName val="EU_Ind_vs_EU_Cons5"/>
      <sheetName val="Scenario_Management4"/>
      <sheetName val="_Cash_Flow4"/>
      <sheetName val="_P&amp;L-Projection4"/>
      <sheetName val="Dividend_Analysis_Assumptions4"/>
      <sheetName val="Multiples_Summary4"/>
      <sheetName val="IS_&amp;_CF4"/>
      <sheetName val="General_Assump4"/>
      <sheetName val="_PT_084"/>
      <sheetName val="_PT_074"/>
      <sheetName val="_PT_114"/>
      <sheetName val="_PT_104"/>
      <sheetName val="_PT_124"/>
      <sheetName val="_PT_134"/>
      <sheetName val="_PT_094"/>
      <sheetName val="_PT_014"/>
      <sheetName val="_PT_044"/>
      <sheetName val="_PT_054"/>
      <sheetName val="_PT_034"/>
      <sheetName val="Rev_Tracker4"/>
      <sheetName val="Debt_&amp;_Interest4"/>
      <sheetName val="Données_Spéc_4"/>
      <sheetName val="Comet_Reference_Tab4"/>
      <sheetName val="2000_Activity5"/>
      <sheetName val="total_Commonwealth5"/>
      <sheetName val="CHK_REQ5"/>
      <sheetName val="SW_2122185"/>
      <sheetName val="N_TX_-_19975"/>
      <sheetName val="Customize_Your_Invoice5"/>
      <sheetName val="BASE_DATA4"/>
      <sheetName val="Insulin_Sales_-_NA5"/>
      <sheetName val="Insulin_Sales_-_EU5"/>
      <sheetName val="Insulin_Sales_-_Japan5"/>
      <sheetName val="Deal_Matrix5"/>
      <sheetName val="Model_Driver5"/>
      <sheetName val="\Applications\Microsoft_Office4"/>
      <sheetName val="CloseTable_Prior4"/>
      <sheetName val="Co_List4"/>
      <sheetName val="Royal_Carib__Model4"/>
      <sheetName val="BIS_LIST-NTH_184"/>
      <sheetName val="CASH_FLOW_MONTH_FC4"/>
      <sheetName val="Inc_Stmt_MONTH_FC4"/>
      <sheetName val="BS_ASSETS_FC4"/>
      <sheetName val="Drop_Down_Lists4"/>
      <sheetName val="SCIMED_Old4"/>
      <sheetName val="//na1_salesforce_com/Applicati4"/>
      <sheetName val="chad10_June024"/>
      <sheetName val="chad12_Dec024"/>
      <sheetName val="Buyers_Competitors_(2)4"/>
      <sheetName val="Trial_Balance4"/>
      <sheetName val="Print_Controls4"/>
      <sheetName val="Input_Page4"/>
      <sheetName val="E&amp;Y_Format4"/>
      <sheetName val="\J\Applications\Microsoft_Offi4"/>
      <sheetName val="D_&amp;_A4"/>
      <sheetName val="Cap_Sheet3"/>
      <sheetName val="[POWER5_XLA]__qmaxsolutions_m17"/>
      <sheetName val="Share_Prices4"/>
      <sheetName val="//aodocs_altirnao_com/webdav/P5"/>
      <sheetName val="//aodocs_altirnao_com/webdav/P6"/>
      <sheetName val="Daily_Sales4"/>
      <sheetName val="Cashflow_Model3"/>
      <sheetName val="Model_Summary3"/>
      <sheetName val="Purchase_vs__Rights3"/>
      <sheetName val="CIH_Sensitivities3"/>
      <sheetName val="Tables_for_Memo_Update_2-9-093"/>
      <sheetName val="Inputs_&amp;_Pro_Formas3"/>
      <sheetName val="Equity_Index3"/>
      <sheetName val="US_Ops_Account_Detail3"/>
      <sheetName val="CG_Alloc3"/>
      <sheetName val="Consolidated_Financials4"/>
      <sheetName val="input_for_decending_analysis3"/>
      <sheetName val="P&amp;L_by_Month3"/>
      <sheetName val="Fin_Flows3"/>
      <sheetName val="Marketing_Stats3"/>
      <sheetName val="Statement_of_Cash_Flows3"/>
      <sheetName val="Trending_Inc_Stmt3"/>
      <sheetName val="Cost_Centers_and_PMTs3"/>
      <sheetName val="DAS_&amp;_Networking_Costs3"/>
      <sheetName val="Stock_Chart3"/>
      <sheetName val="ROCE-WACC_EVtoEBITDA3"/>
      <sheetName val="[POWER5_XLA][POWER5_XLA][POWER3"/>
      <sheetName val="[POWER5_XLA][POWER5_XLA]\Appli3"/>
      <sheetName val="[POWER5_XLA][POWER5_XLA]//na1_3"/>
      <sheetName val="[POWER5_XLA][POWER5_XLA]\\sfdc3"/>
      <sheetName val="[POWER5_XLA]\Applications\Micr3"/>
      <sheetName val="[POWER5_XLA]//na1_salesforce_c3"/>
      <sheetName val="[POWER5_XLA]\\sfdc\DFS\Applica3"/>
      <sheetName val="[POWER5_XLA]//qmaxsolutions-my3"/>
      <sheetName val="[POWER5_XLA][POWER5_XLA]//qmax3"/>
      <sheetName val="[POWER5_XLA][POWER5_XLA]\J\App3"/>
      <sheetName val="[POWER5_XLA]\J\Applications\Mi3"/>
      <sheetName val="T_DCF3"/>
      <sheetName val="Iss__Vol__(Outp_)3"/>
      <sheetName val="Sources_&amp;_Uses3"/>
      <sheetName val="Data_sheet3"/>
      <sheetName val="Pricing_Graphs2"/>
      <sheetName val="CoTrans_Input_Sheet2"/>
      <sheetName val="Control_Sheet3"/>
      <sheetName val="Cell_Links2"/>
      <sheetName val="BU_Logic2"/>
      <sheetName val="Comps_Table3"/>
      <sheetName val="Rev_Build2"/>
      <sheetName val="WACC_Analysis2"/>
      <sheetName val="Gastos_Detallados_Opt2"/>
      <sheetName val="Combined_Divisionals2"/>
      <sheetName val="P&amp;L_Tables_For_Report2"/>
      <sheetName val="CHARTS_for_report2"/>
      <sheetName val="\Users\Dan\Library\Application3"/>
      <sheetName val="Corp_Brd2"/>
      <sheetName val="Master_Comps2"/>
      <sheetName val="Share_Repurchase_Benchmarking2"/>
      <sheetName val="Risc_Financiero2"/>
      <sheetName val="Lookup_Tables2"/>
      <sheetName val="Covenant_Wksht3"/>
      <sheetName val="2018_All_Brands3"/>
      <sheetName val="2018_Lipoflavonoid3"/>
      <sheetName val="2018_Florajen3"/>
      <sheetName val="2018_CertainDri3"/>
      <sheetName val="2018_Cystex3"/>
      <sheetName val="2018_Absorbine3"/>
      <sheetName val="2018_Albolene3"/>
      <sheetName val="2018_AntiMonkeyButt3"/>
      <sheetName val="2018_Non_Branded_0003"/>
      <sheetName val="CoCos_Output_Sheet2"/>
      <sheetName val="C_B__4_Installed2"/>
      <sheetName val="A_CUENTA2"/>
      <sheetName val="Rexall_Sundown2"/>
      <sheetName val="SD_and_NB_Magazine2"/>
      <sheetName val="OP_Sum2"/>
      <sheetName val="Asset_(VIN)_Data2"/>
      <sheetName val="Item_Data2"/>
      <sheetName val="commercial_construction2"/>
      <sheetName val="crack_spreads2"/>
      <sheetName val="new_orders2"/>
      <sheetName val="IFO_Manufacturing_Business_Cli2"/>
      <sheetName val="Power_&amp;_Fuel(SMS)2"/>
      <sheetName val="LC_PF2"/>
      <sheetName val="Portfolio_Budget2"/>
      <sheetName val="Issue_Log2"/>
      <sheetName val="Asset_Transfer_Screen_Shot2"/>
      <sheetName val="Asset_Proposal_List2"/>
      <sheetName val="Asset_Proposal-Screen_Shots2"/>
      <sheetName val="Data_Import_Template2"/>
      <sheetName val="New_Asset_List2"/>
      <sheetName val="New_Asset_Screen_Shots2"/>
      <sheetName val="FAMAsset_as_of_12_31_182"/>
      <sheetName val="Summary_Exhibit_II2"/>
      <sheetName val="Wound_Case2"/>
      <sheetName val="//na1_salesforce_co2"/>
      <sheetName val="//qmaxsolutions-my_2"/>
      <sheetName val="[POWER5_XLA][POWER52"/>
      <sheetName val="[POWER5_XLA]\Applic2"/>
      <sheetName val="[POWER5_XLA]//na1_s2"/>
      <sheetName val="[POWER5_XLA]\\sfdc\2"/>
      <sheetName val="[POWER5_XLA]//qmaxs2"/>
      <sheetName val="[POWER5_XLA]\J\Appl2"/>
      <sheetName val="ISQ_LBO_-_Full_Company2"/>
      <sheetName val="[POWER5_XLA]__qmaxsolutions_m18"/>
      <sheetName val="[POWER5_XLA]__qmaxsolutions_m19"/>
      <sheetName val="[POWER5_XLA]__qmaxsolutions_m20"/>
      <sheetName val="[POWER5_XLA]__qmaxsolutions_m21"/>
      <sheetName val="Sales_Forecast2"/>
      <sheetName val="[POWER5_XLA]__qmaxsolutions_m22"/>
      <sheetName val="Data_Validation2"/>
      <sheetName val="2015_Forecast2"/>
      <sheetName val="Gross_Margin_Build2"/>
      <sheetName val="Output_Model2"/>
      <sheetName val="Lease_summary2"/>
      <sheetName val="[POWER5_XLA]__qmaxsolutions_m23"/>
      <sheetName val="[POWER5_XLA]__qmaxsolutions_m24"/>
      <sheetName val="FIRE_ALARM2"/>
      <sheetName val="FX_Rates2"/>
      <sheetName val="Tax_Stock_deal2"/>
      <sheetName val="Tax_Asset_deal2"/>
      <sheetName val="Tax_S_Corp2"/>
      <sheetName val="Financial_Request_List2"/>
      <sheetName val="Tax_Request_List2"/>
      <sheetName val="Cash_proof2"/>
      <sheetName val="TB_-_IS2"/>
      <sheetName val="TB_BS2"/>
      <sheetName val="GT_Discussion&gt;2"/>
      <sheetName val="COR_-_SoftwareHardware_Maint2"/>
      <sheetName val="COR_-_Consultants2"/>
      <sheetName val="COR_-_Co_hosting2"/>
      <sheetName val="Opex-Professional_services2"/>
      <sheetName val="GT_Custom3"/>
      <sheetName val="WC2_(2)2"/>
      <sheetName val="Debt_Amortization2"/>
      <sheetName val="Vector_Inputs2"/>
      <sheetName val="Data_Input2"/>
      <sheetName val="MM_Mapping2"/>
      <sheetName val="Customer_split2"/>
      <sheetName val="Depr_Amortisation_check2"/>
      <sheetName val="Working_capital2"/>
      <sheetName val="Summary_Financial_Statement2"/>
      <sheetName val="Op_Balances_20192"/>
      <sheetName val="Look_up2"/>
      <sheetName val="AOP_Summary-22"/>
      <sheetName val="Employee_Data2"/>
      <sheetName val="Cover_Page2"/>
      <sheetName val="Transmittal_Letter2"/>
      <sheetName val="Key_Analyses2"/>
      <sheetName val="Adjusted_Summary_P&amp;L2"/>
      <sheetName val="NWC_Analysis2"/>
      <sheetName val="Adjusted_NWC_Graph2"/>
      <sheetName val="GSM_Analyses2"/>
      <sheetName val="GSM_Bridge_FY17_-_FY182"/>
      <sheetName val="GSM_Bridge_FY18_-_FY192"/>
      <sheetName val="Grace_-_Alum2"/>
      <sheetName val="Grace_-_LSA2"/>
      <sheetName val="Grace_-_ACH2"/>
      <sheetName val="Shell_-_Alum2"/>
      <sheetName val="Shell_-_LSA2"/>
      <sheetName val="Detailed_IS2"/>
      <sheetName val="Balance_Sheet_Summary2"/>
      <sheetName val="Scope_Reconciliation2"/>
      <sheetName val="Cash_flow_worksheet2"/>
      <sheetName val="Inc_Stmt2"/>
      <sheetName val="Bal_Sht2"/>
      <sheetName val="investment-_acounting2"/>
      <sheetName val="Dividend_IPORecap_Analysis2"/>
      <sheetName val="novmar_actuals2"/>
      <sheetName val="06-030_Capital_Gains_and_Losse2"/>
      <sheetName val="Area_by_JC2"/>
      <sheetName val="Equity_Database2"/>
      <sheetName val="MARKET_PRICES2"/>
      <sheetName val="RED_Forecast2"/>
      <sheetName val="TEN_side2"/>
      <sheetName val="Balance_Sheet_Standard_-Feb2"/>
      <sheetName val="Balance_Sheet_Standard2"/>
      <sheetName val="Balance_sheet_Actual_to_Budget2"/>
      <sheetName val="Balance_sheet_Actual_to_Bud_Fe2"/>
      <sheetName val="Feb_192"/>
      <sheetName val="Mar_192"/>
      <sheetName val="April_192"/>
      <sheetName val="May_20192"/>
      <sheetName val="June_192"/>
      <sheetName val="July_20192"/>
      <sheetName val="Aug_20192"/>
      <sheetName val="cash_flow-_Monthly_(2)2"/>
      <sheetName val="cash_flow_monthly2"/>
      <sheetName val="cash_flow_YTD_2"/>
      <sheetName val="Budgeted_BS_2018-192"/>
      <sheetName val="cash_flow-_2018-192"/>
      <sheetName val="Budget_cash_flow_20182"/>
      <sheetName val="Cons_(2)2"/>
      <sheetName val="GHA_orig2"/>
      <sheetName val="EFASB13_(US-12)2"/>
      <sheetName val="chart_of_accounts2"/>
      <sheetName val="Program_Loss_Control1"/>
      <sheetName val="Sales_-_Report_First6"/>
      <sheetName val="POWER5_XLA11"/>
      <sheetName val="proforma_BS5"/>
      <sheetName val="Stock_Analysis5"/>
      <sheetName val="Company_summary_items5"/>
      <sheetName val="Pro_Forma_Income_Statement6"/>
      <sheetName val="Main_Model6"/>
      <sheetName val="Newer_version6"/>
      <sheetName val="GL_Detail6"/>
      <sheetName val="Pro_Forma6"/>
      <sheetName val="Debt_&amp;_Interest5"/>
      <sheetName val="McKinley_P&amp;L6"/>
      <sheetName val="_PT_085"/>
      <sheetName val="_PT_075"/>
      <sheetName val="_PT_115"/>
      <sheetName val="_PT_105"/>
      <sheetName val="_PT_125"/>
      <sheetName val="_PT_135"/>
      <sheetName val="_PT_095"/>
      <sheetName val="_PT_015"/>
      <sheetName val="_PT_045"/>
      <sheetName val="_PT_055"/>
      <sheetName val="_PT_035"/>
      <sheetName val="Données_Spéc_5"/>
      <sheetName val="PV_-_CTLM5"/>
      <sheetName val="PV_-_MTLK5"/>
      <sheetName val="Deal_Info_&amp;_Print_Menu5"/>
      <sheetName val="Product_Trends5"/>
      <sheetName val="EBITDA_Bridge5"/>
      <sheetName val="WC_analytics_(+data_pages)5"/>
      <sheetName val="YEAR_1_5"/>
      <sheetName val="Sched_A95"/>
      <sheetName val="Historical_Actuals5"/>
      <sheetName val="Emory_Vols_Jan-Dec_20065"/>
      <sheetName val="Pro_Forma_Credit_5"/>
      <sheetName val="Entrada_Dados5"/>
      <sheetName val="Capital_Expenditure_Input_Shee5"/>
      <sheetName val="Operating_Expense_Input_Sheet5"/>
      <sheetName val="Comet_Reference_Tab5"/>
      <sheetName val="2000_Activity6"/>
      <sheetName val="total_Commonwealth6"/>
      <sheetName val="CHK_REQ6"/>
      <sheetName val="SW_2122186"/>
      <sheetName val="N_TX_-_19976"/>
      <sheetName val="Customize_Your_Invoice6"/>
      <sheetName val="Rev_Tracker5"/>
      <sheetName val="GER_IFO_vs_Const6"/>
      <sheetName val="Europe_sales_Graph6"/>
      <sheetName val="EU_Ind_vs_EU_Cons6"/>
      <sheetName val="BASE_DATA5"/>
      <sheetName val="Insulin_Sales_-_NA6"/>
      <sheetName val="Insulin_Sales_-_EU6"/>
      <sheetName val="Insulin_Sales_-_Japan6"/>
      <sheetName val="Deal_Matrix6"/>
      <sheetName val="Model_Driver6"/>
      <sheetName val="Scenario_Management5"/>
      <sheetName val="_Cash_Flow5"/>
      <sheetName val="_P&amp;L-Projection5"/>
      <sheetName val="Dividend_Analysis_Assumptions5"/>
      <sheetName val="Multiples_Summary5"/>
      <sheetName val="IS_&amp;_CF5"/>
      <sheetName val="CASH_FLOW_MONTH_FC5"/>
      <sheetName val="Inc_Stmt_MONTH_FC5"/>
      <sheetName val="BS_ASSETS_FC5"/>
      <sheetName val="General_Assump5"/>
      <sheetName val="\Applications\Microsoft_Office5"/>
      <sheetName val="CloseTable_Prior5"/>
      <sheetName val="Co_List5"/>
      <sheetName val="Royal_Carib__Model5"/>
      <sheetName val="BIS_LIST-NTH_185"/>
      <sheetName val="Drop_Down_Lists5"/>
      <sheetName val="SCIMED_Old5"/>
      <sheetName val="//na1_salesforce_com/Applicati5"/>
      <sheetName val="Buyers_Competitors_(2)5"/>
      <sheetName val="Trial_Balance5"/>
      <sheetName val="E&amp;Y_Format5"/>
      <sheetName val="\J\Applications\Microsoft_Offi5"/>
      <sheetName val="Print_Controls5"/>
      <sheetName val="Input_Page5"/>
      <sheetName val="D_&amp;_A5"/>
      <sheetName val="chad10_June025"/>
      <sheetName val="chad12_Dec025"/>
      <sheetName val="Daily_Sales5"/>
      <sheetName val="[POWER5_XLA]__qmaxsolutions_m25"/>
      <sheetName val="Share_Prices5"/>
      <sheetName val="Consolidated_Financials5"/>
      <sheetName val="Equity_Index4"/>
      <sheetName val="Model_Summary4"/>
      <sheetName val="Purchase_vs__Rights4"/>
      <sheetName val="CIH_Sensitivities4"/>
      <sheetName val="Tables_for_Memo_Update_2-9-094"/>
      <sheetName val="Cashflow_Model4"/>
      <sheetName val="Cap_Sheet4"/>
      <sheetName val="//aodocs_altirnao_com/webdav/P7"/>
      <sheetName val="//aodocs_altirnao_com/webdav/P8"/>
      <sheetName val="CG_Alloc4"/>
      <sheetName val="Inputs_&amp;_Pro_Formas4"/>
      <sheetName val="[POWER5_XLA]\Applications\Micr4"/>
      <sheetName val="[POWER5_XLA]//na1_salesforce_c4"/>
      <sheetName val="[POWER5_XLA]\\sfdc\DFS\Applica4"/>
      <sheetName val="[POWER5_XLA]//qmaxsolutions-my4"/>
      <sheetName val="[POWER5_XLA][POWER5_XLA][POWER4"/>
      <sheetName val="[POWER5_XLA][POWER5_XLA]\Appli4"/>
      <sheetName val="[POWER5_XLA][POWER5_XLA]//na1_4"/>
      <sheetName val="[POWER5_XLA][POWER5_XLA]\\sfdc4"/>
      <sheetName val="[POWER5_XLA][POWER5_XLA]//qmax4"/>
      <sheetName val="[POWER5_XLA][POWER5_XLA]\J\App4"/>
      <sheetName val="[POWER5_XLA]\J\Applications\Mi4"/>
      <sheetName val="P&amp;L_by_Month4"/>
      <sheetName val="T_DCF4"/>
      <sheetName val="input_for_decending_analysis4"/>
      <sheetName val="ROCE-WACC_EVtoEBITDA4"/>
      <sheetName val="US_Ops_Account_Detail4"/>
      <sheetName val="Fin_Flows4"/>
      <sheetName val="Marketing_Stats4"/>
      <sheetName val="Statement_of_Cash_Flows4"/>
      <sheetName val="Comps_Table4"/>
      <sheetName val="Iss__Vol__(Outp_)4"/>
      <sheetName val="Cost_Centers_and_PMTs4"/>
      <sheetName val="DAS_&amp;_Networking_Costs4"/>
      <sheetName val="Stock_Chart4"/>
      <sheetName val="BU_Logic3"/>
      <sheetName val="Trending_Inc_Stmt4"/>
      <sheetName val="Sources_&amp;_Uses4"/>
      <sheetName val="Cell_Links3"/>
      <sheetName val="Control_Sheet4"/>
      <sheetName val="Data_sheet4"/>
      <sheetName val="Pricing_Graphs3"/>
      <sheetName val="CoTrans_Input_Sheet3"/>
      <sheetName val="WACC_Analysis3"/>
      <sheetName val="Rev_Build3"/>
      <sheetName val="\Users\Dan\Library\Application4"/>
      <sheetName val="Covenant_Wksht4"/>
      <sheetName val="Combined_Divisionals3"/>
      <sheetName val="P&amp;L_Tables_For_Report3"/>
      <sheetName val="CHARTS_for_report3"/>
      <sheetName val="Gastos_Detallados_Opt3"/>
      <sheetName val="Corp_Brd3"/>
      <sheetName val="Master_Comps3"/>
      <sheetName val="Share_Repurchase_Benchmarking3"/>
      <sheetName val="Risc_Financiero3"/>
      <sheetName val="Lookup_Tables3"/>
      <sheetName val="2018_All_Brands4"/>
      <sheetName val="2018_Lipoflavonoid4"/>
      <sheetName val="2018_Florajen4"/>
      <sheetName val="2018_CertainDri4"/>
      <sheetName val="2018_Cystex4"/>
      <sheetName val="2018_Absorbine4"/>
      <sheetName val="2018_Albolene4"/>
      <sheetName val="2018_AntiMonkeyButt4"/>
      <sheetName val="2018_Non_Branded_0004"/>
      <sheetName val="CoCos_Output_Sheet3"/>
      <sheetName val="C_B__4_Installed3"/>
      <sheetName val="A_CUENTA3"/>
      <sheetName val="Rexall_Sundown3"/>
      <sheetName val="SD_and_NB_Magazine3"/>
      <sheetName val="OP_Sum3"/>
      <sheetName val="Asset_(VIN)_Data3"/>
      <sheetName val="Item_Data3"/>
      <sheetName val="commercial_construction3"/>
      <sheetName val="crack_spreads3"/>
      <sheetName val="new_orders3"/>
      <sheetName val="IFO_Manufacturing_Business_Cli3"/>
      <sheetName val="Power_&amp;_Fuel(SMS)3"/>
      <sheetName val="LC_PF3"/>
      <sheetName val="Portfolio_Budget3"/>
      <sheetName val="Issue_Log3"/>
      <sheetName val="Asset_Transfer_Screen_Shot3"/>
      <sheetName val="Asset_Proposal_List3"/>
      <sheetName val="Asset_Proposal-Screen_Shots3"/>
      <sheetName val="Data_Import_Template3"/>
      <sheetName val="New_Asset_List3"/>
      <sheetName val="New_Asset_Screen_Shots3"/>
      <sheetName val="FAMAsset_as_of_12_31_183"/>
      <sheetName val="Summary_Exhibit_II3"/>
      <sheetName val="Wound_Case3"/>
      <sheetName val="//na1_salesforce_co3"/>
      <sheetName val="//qmaxsolutions-my_3"/>
      <sheetName val="[POWER5_XLA][POWER53"/>
      <sheetName val="[POWER5_XLA]\Applic3"/>
      <sheetName val="[POWER5_XLA]//na1_s3"/>
      <sheetName val="[POWER5_XLA]\\sfdc\3"/>
      <sheetName val="[POWER5_XLA]//qmaxs3"/>
      <sheetName val="[POWER5_XLA]\J\Appl3"/>
      <sheetName val="ISQ_LBO_-_Full_Company3"/>
      <sheetName val="[POWER5_XLA]__qmaxsolutions_m26"/>
      <sheetName val="[POWER5_XLA]__qmaxsolutions_m27"/>
      <sheetName val="[POWER5_XLA]__qmaxsolutions_m28"/>
      <sheetName val="[POWER5_XLA]__qmaxsolutions_m29"/>
      <sheetName val="Sales_Forecast3"/>
      <sheetName val="[POWER5_XLA]__qmaxsolutions_m30"/>
      <sheetName val="Data_Validation3"/>
      <sheetName val="2015_Forecast3"/>
      <sheetName val="Gross_Margin_Build3"/>
      <sheetName val="Output_Model3"/>
      <sheetName val="Lease_summary3"/>
      <sheetName val="[POWER5_XLA]__qmaxsolutions_m31"/>
      <sheetName val="[POWER5_XLA]__qmaxsolutions_m32"/>
      <sheetName val="FIRE_ALARM3"/>
      <sheetName val="FX_Rates3"/>
      <sheetName val="Tax_Stock_deal3"/>
      <sheetName val="Tax_Asset_deal3"/>
      <sheetName val="Tax_S_Corp3"/>
      <sheetName val="Financial_Request_List3"/>
      <sheetName val="Tax_Request_List3"/>
      <sheetName val="Cash_proof3"/>
      <sheetName val="TB_-_IS3"/>
      <sheetName val="TB_BS3"/>
      <sheetName val="GT_Discussion&gt;3"/>
      <sheetName val="COR_-_SoftwareHardware_Maint3"/>
      <sheetName val="COR_-_Consultants3"/>
      <sheetName val="COR_-_Co_hosting3"/>
      <sheetName val="Opex-Professional_services3"/>
      <sheetName val="GT_Custom4"/>
      <sheetName val="WC2_(2)3"/>
      <sheetName val="Debt_Amortization3"/>
      <sheetName val="Vector_Inputs3"/>
      <sheetName val="Data_Input3"/>
      <sheetName val="MM_Mapping3"/>
      <sheetName val="Customer_split3"/>
      <sheetName val="Depr_Amortisation_check3"/>
      <sheetName val="Working_capital3"/>
      <sheetName val="Summary_Financial_Statement3"/>
      <sheetName val="Op_Balances_20193"/>
      <sheetName val="Look_up3"/>
      <sheetName val="AOP_Summary-23"/>
      <sheetName val="Employee_Data3"/>
      <sheetName val="Cover_Page3"/>
      <sheetName val="Transmittal_Letter3"/>
      <sheetName val="Key_Analyses3"/>
      <sheetName val="Adjusted_Summary_P&amp;L3"/>
      <sheetName val="NWC_Analysis3"/>
      <sheetName val="Adjusted_NWC_Graph3"/>
      <sheetName val="GSM_Analyses3"/>
      <sheetName val="GSM_Bridge_FY17_-_FY183"/>
      <sheetName val="GSM_Bridge_FY18_-_FY193"/>
      <sheetName val="Grace_-_Alum3"/>
      <sheetName val="Grace_-_LSA3"/>
      <sheetName val="Grace_-_ACH3"/>
      <sheetName val="Shell_-_Alum3"/>
      <sheetName val="Shell_-_LSA3"/>
      <sheetName val="Detailed_IS3"/>
      <sheetName val="Balance_Sheet_Summary3"/>
      <sheetName val="Scope_Reconciliation3"/>
      <sheetName val="Cash_flow_worksheet3"/>
      <sheetName val="Inc_Stmt3"/>
      <sheetName val="Bal_Sht3"/>
      <sheetName val="investment-_acounting3"/>
      <sheetName val="Dividend_IPORecap_Analysis3"/>
      <sheetName val="novmar_actuals3"/>
      <sheetName val="06-030_Capital_Gains_and_Losse3"/>
      <sheetName val="Area_by_JC3"/>
      <sheetName val="Equity_Database3"/>
      <sheetName val="MARKET_PRICES3"/>
      <sheetName val="RED_Forecast3"/>
      <sheetName val="TEN_side3"/>
      <sheetName val="Balance_Sheet_Standard_-Feb3"/>
      <sheetName val="Balance_Sheet_Standard3"/>
      <sheetName val="Balance_sheet_Actual_to_Budget3"/>
      <sheetName val="Balance_sheet_Actual_to_Bud_Fe3"/>
      <sheetName val="Feb_193"/>
      <sheetName val="Mar_193"/>
      <sheetName val="April_193"/>
      <sheetName val="May_20193"/>
      <sheetName val="June_193"/>
      <sheetName val="July_20193"/>
      <sheetName val="Aug_20193"/>
      <sheetName val="cash_flow-_Monthly_(2)3"/>
      <sheetName val="cash_flow_monthly3"/>
      <sheetName val="cash_flow_YTD_3"/>
      <sheetName val="Budgeted_BS_2018-193"/>
      <sheetName val="cash_flow-_2018-193"/>
      <sheetName val="Budget_cash_flow_20183"/>
      <sheetName val="Cons_(2)3"/>
      <sheetName val="GHA_orig3"/>
      <sheetName val="EFASB13_(US-12)3"/>
      <sheetName val="chart_of_accounts3"/>
      <sheetName val="Program_Loss_Control2"/>
      <sheetName val="[POWER5_XLA]__qmaxsolutions_314"/>
      <sheetName val="[POWER5_XLA]__qmaxsolutions_315"/>
      <sheetName val="[POWER5_XLA]__qmaxsolutions_316"/>
      <sheetName val="[POWER5_XLA]__qmaxsolutions_317"/>
      <sheetName val="[POWER5_XLA]__qmaxsolutions_318"/>
      <sheetName val="[POWER5_XLA]__qmaxsolutions_319"/>
      <sheetName val="[POWER5_XLA]__qmaxsolutions_320"/>
      <sheetName val="[POWER5_XLA]__qmaxsolutions_321"/>
      <sheetName val="[POWER5_XLA]__qmaxsolutions_322"/>
      <sheetName val="[POWER5_XLA]__qmaxsolutions_323"/>
      <sheetName val="[POWER5_XLA]__qmaxsolutions_324"/>
      <sheetName val="[POWER5_XLA]__qmaxsolutions_325"/>
      <sheetName val="[POWER5_XLA]__qmaxsolutions_326"/>
      <sheetName val="[POWER5_XLA]__qmaxsolutions_327"/>
      <sheetName val="[POWER5_XLA]__qmaxsolutions_328"/>
      <sheetName val="[POWER5_XLA]__qmaxsolutions_329"/>
      <sheetName val="[POWER5_XLA]__qmaxsolutions_330"/>
      <sheetName val="[POWER5_XLA]__qmaxsolutions_331"/>
      <sheetName val="[POWER5_XLA]__qmaxsolutions_332"/>
      <sheetName val="[POWER5_XLA]__qmaxsolutions_333"/>
      <sheetName val="[POWER5_XLA]__qmaxsolutions_334"/>
      <sheetName val="[POWER5_XLA]__qmaxsolutions_335"/>
      <sheetName val="[POWER5_XLA]__qmaxsolutions_336"/>
      <sheetName val="[POWER5_XLA]__qmaxsolutions_337"/>
      <sheetName val="[POWER5_XLA]__qmaxsolutions_338"/>
      <sheetName val="[POWER5_XLA]__qmaxsolutions_339"/>
      <sheetName val="[POWER5_XLA]__qmaxsolutions_340"/>
      <sheetName val="[POWER5_XLA]__qmaxsolutions_341"/>
      <sheetName val="[POWER5_XLA]__qmaxsolutions_342"/>
      <sheetName val="[POWER5_XLA]__qmaxsolutions_343"/>
      <sheetName val="[POWER5_XLA]__qmaxsolutions_344"/>
      <sheetName val="[POWER5_XLA]__qmaxsolutions_345"/>
      <sheetName val="[POWER5_XLA]__qmaxsolutions_346"/>
      <sheetName val="[POWER5_XLA]__qmaxsolutions_347"/>
      <sheetName val="[POWER5_XLA]__qmaxsolutions_348"/>
      <sheetName val="[POWER5_XLA]__qmaxsolutions_349"/>
      <sheetName val="[POWER5_XLA]__qmaxsolutions_350"/>
      <sheetName val="[POWER5_XLA]__qmaxsolutions_351"/>
      <sheetName val="[POWER5_XLA]__qmaxsolutions_352"/>
      <sheetName val="[POWER5_XLA]__qmaxsolutions_353"/>
      <sheetName val="[POWER5_XLA]__qmaxsolutions_354"/>
      <sheetName val="[POWER5_XLA]__qmaxsolutions_355"/>
      <sheetName val="[POWER5_XLA]__qmaxsolutions_356"/>
      <sheetName val="[POWER5_XLA]__qmaxsolutions_357"/>
      <sheetName val="[POWER5_XLA]__qmaxsolutions_358"/>
      <sheetName val="[POWER5_XLA]__qmaxsolutions_359"/>
      <sheetName val="[POWER5_XLA]__qmaxsolutions_360"/>
      <sheetName val="[POWER5_XLA]__qmaxsolutions_361"/>
      <sheetName val="[POWER5_XLA]__qmaxsolutions_362"/>
      <sheetName val="[POWER5_XLA]__qmaxsolutions_363"/>
      <sheetName val="[POWER5_XLA]__qmaxsolutions_364"/>
      <sheetName val="[POWER5_XLA]__qmaxsolutions_365"/>
      <sheetName val="[POWER5_XLA]__qmaxsolutions_366"/>
      <sheetName val="[POWER5_XLA]__qmaxsolutions_367"/>
      <sheetName val="[POWER5_XLA]__qmaxsolutions_368"/>
      <sheetName val="[POWER5_XLA]__qmaxsolutions_369"/>
      <sheetName val="[POWER5_XLA]__qmaxsolutions_370"/>
      <sheetName val="[POWER5_XLA]__qmaxsolutions_371"/>
      <sheetName val="[POWER5_XLA]__qmaxsolutions_372"/>
      <sheetName val="[POWER5_XLA]__qmaxsolutions_373"/>
      <sheetName val="[POWER5_XLA]__qmaxsolutions_374"/>
      <sheetName val="[POWER5_XLA]__qmaxsolutions_375"/>
      <sheetName val="[POWER5_XLA]__qmaxsolutions_376"/>
      <sheetName val="[POWER5_XLA]__qmaxsolutions_377"/>
      <sheetName val="[POWER5_XLA]__qmaxsolutions_378"/>
      <sheetName val="[POWER5_XLA]__qmaxsolutions_379"/>
      <sheetName val="[POWER5_XLA]__qmaxsolutions_380"/>
      <sheetName val="Sales_-_Report_First7"/>
      <sheetName val="POWER5_XLA12"/>
      <sheetName val="proforma_BS6"/>
      <sheetName val="Stock_Analysis6"/>
      <sheetName val="Company_summary_items6"/>
      <sheetName val="Pro_Forma_Income_Statement7"/>
      <sheetName val="Main_Model7"/>
      <sheetName val="Newer_version7"/>
      <sheetName val="GL_Detail7"/>
      <sheetName val="Pro_Forma7"/>
      <sheetName val="Debt_&amp;_Interest6"/>
      <sheetName val="McKinley_P&amp;L7"/>
      <sheetName val="_PT_086"/>
      <sheetName val="_PT_076"/>
      <sheetName val="_PT_116"/>
      <sheetName val="_PT_106"/>
      <sheetName val="_PT_126"/>
      <sheetName val="_PT_136"/>
      <sheetName val="_PT_096"/>
      <sheetName val="_PT_016"/>
      <sheetName val="_PT_046"/>
      <sheetName val="_PT_056"/>
      <sheetName val="_PT_036"/>
      <sheetName val="Données_Spéc_6"/>
      <sheetName val="PV_-_CTLM6"/>
      <sheetName val="PV_-_MTLK6"/>
      <sheetName val="Deal_Info_&amp;_Print_Menu6"/>
      <sheetName val="Product_Trends6"/>
      <sheetName val="EBITDA_Bridge6"/>
      <sheetName val="WC_analytics_(+data_pages)6"/>
      <sheetName val="YEAR_1_6"/>
      <sheetName val="Sched_A96"/>
      <sheetName val="Historical_Actuals6"/>
      <sheetName val="Emory_Vols_Jan-Dec_20066"/>
      <sheetName val="Pro_Forma_Credit_6"/>
      <sheetName val="Entrada_Dados6"/>
      <sheetName val="Capital_Expenditure_Input_Shee6"/>
      <sheetName val="Operating_Expense_Input_Sheet6"/>
      <sheetName val="Comet_Reference_Tab6"/>
      <sheetName val="2000_Activity7"/>
      <sheetName val="total_Commonwealth7"/>
      <sheetName val="CHK_REQ7"/>
      <sheetName val="SW_2122187"/>
      <sheetName val="N_TX_-_19977"/>
      <sheetName val="Customize_Your_Invoice7"/>
      <sheetName val="Rev_Tracker6"/>
      <sheetName val="GER_IFO_vs_Const7"/>
      <sheetName val="Europe_sales_Graph7"/>
      <sheetName val="EU_Ind_vs_EU_Cons7"/>
      <sheetName val="BASE_DATA6"/>
      <sheetName val="Insulin_Sales_-_NA7"/>
      <sheetName val="Insulin_Sales_-_EU7"/>
      <sheetName val="Insulin_Sales_-_Japan7"/>
      <sheetName val="Deal_Matrix7"/>
      <sheetName val="Model_Driver7"/>
      <sheetName val="Scenario_Management6"/>
      <sheetName val="_Cash_Flow6"/>
      <sheetName val="_P&amp;L-Projection6"/>
      <sheetName val="Dividend_Analysis_Assumptions6"/>
      <sheetName val="Multiples_Summary6"/>
      <sheetName val="IS_&amp;_CF6"/>
      <sheetName val="CASH_FLOW_MONTH_FC6"/>
      <sheetName val="Inc_Stmt_MONTH_FC6"/>
      <sheetName val="BS_ASSETS_FC6"/>
      <sheetName val="General_Assump6"/>
      <sheetName val="\Applications\Microsoft_Office6"/>
      <sheetName val="CloseTable_Prior6"/>
      <sheetName val="Co_List6"/>
      <sheetName val="Royal_Carib__Model6"/>
      <sheetName val="BIS_LIST-NTH_186"/>
      <sheetName val="Drop_Down_Lists6"/>
      <sheetName val="SCIMED_Old6"/>
      <sheetName val="//na1_salesforce_com/Applicati6"/>
      <sheetName val="Buyers_Competitors_(2)6"/>
      <sheetName val="Trial_Balance6"/>
      <sheetName val="E&amp;Y_Format6"/>
      <sheetName val="\J\Applications\Microsoft_Offi6"/>
      <sheetName val="Print_Controls6"/>
      <sheetName val="Input_Page6"/>
      <sheetName val="D_&amp;_A6"/>
      <sheetName val="chad10_June026"/>
      <sheetName val="chad12_Dec026"/>
      <sheetName val="Daily_Sales6"/>
      <sheetName val="[POWER5_XLA]__qmaxsolutions_381"/>
      <sheetName val="Share_Prices6"/>
      <sheetName val="Consolidated_Financials6"/>
      <sheetName val="Equity_Index5"/>
      <sheetName val="Model_Summary5"/>
      <sheetName val="Purchase_vs__Rights5"/>
      <sheetName val="CIH_Sensitivities5"/>
      <sheetName val="Tables_for_Memo_Update_2-9-095"/>
      <sheetName val="Cashflow_Model5"/>
      <sheetName val="Cap_Sheet5"/>
      <sheetName val="//aodocs_altirnao_com/webdav/P9"/>
      <sheetName val="//aodocs_altirnao_com/webdav/10"/>
      <sheetName val="CG_Alloc5"/>
      <sheetName val="Inputs_&amp;_Pro_Formas5"/>
      <sheetName val="[POWER5_XLA]\Applications\Micr5"/>
      <sheetName val="[POWER5_XLA]//na1_salesforce_c5"/>
      <sheetName val="[POWER5_XLA]\\sfdc\DFS\Applica5"/>
      <sheetName val="[POWER5_XLA]//qmaxsolutions-my5"/>
      <sheetName val="[POWER5_XLA][POWER5_XLA][POWER6"/>
      <sheetName val="[POWER5_XLA][POWER5_XLA]\Appli5"/>
      <sheetName val="[POWER5_XLA][POWER5_XLA]//na1_5"/>
      <sheetName val="[POWER5_XLA][POWER5_XLA]\\sfdc5"/>
      <sheetName val="[POWER5_XLA][POWER5_XLA]//qmax5"/>
      <sheetName val="[POWER5_XLA][POWER5_XLA]\J\App5"/>
      <sheetName val="[POWER5_XLA]\J\Applications\Mi5"/>
      <sheetName val="P&amp;L_by_Month5"/>
      <sheetName val="T_DCF5"/>
      <sheetName val="input_for_decending_analysis5"/>
      <sheetName val="ROCE-WACC_EVtoEBITDA5"/>
      <sheetName val="US_Ops_Account_Detail5"/>
      <sheetName val="Fin_Flows5"/>
      <sheetName val="Marketing_Stats5"/>
      <sheetName val="Statement_of_Cash_Flows5"/>
      <sheetName val="Comps_Table5"/>
      <sheetName val="Iss__Vol__(Outp_)5"/>
      <sheetName val="Cost_Centers_and_PMTs5"/>
      <sheetName val="DAS_&amp;_Networking_Costs5"/>
      <sheetName val="Stock_Chart5"/>
      <sheetName val="BU_Logic4"/>
      <sheetName val="Trending_Inc_Stmt5"/>
      <sheetName val="Sources_&amp;_Uses5"/>
      <sheetName val="Cell_Links4"/>
      <sheetName val="Control_Sheet5"/>
      <sheetName val="Data_sheet5"/>
      <sheetName val="Pricing_Graphs4"/>
      <sheetName val="CoTrans_Input_Sheet4"/>
      <sheetName val="WACC_Analysis4"/>
      <sheetName val="Rev_Build4"/>
      <sheetName val="\Users\Dan\Library\Application5"/>
      <sheetName val="Covenant_Wksht5"/>
      <sheetName val="Combined_Divisionals4"/>
      <sheetName val="P&amp;L_Tables_For_Report4"/>
      <sheetName val="CHARTS_for_report4"/>
      <sheetName val="Gastos_Detallados_Opt4"/>
      <sheetName val="Corp_Brd4"/>
      <sheetName val="Master_Comps4"/>
      <sheetName val="Share_Repurchase_Benchmarking4"/>
      <sheetName val="Risc_Financiero4"/>
      <sheetName val="Lookup_Tables4"/>
      <sheetName val="2018_All_Brands5"/>
      <sheetName val="2018_Lipoflavonoid5"/>
      <sheetName val="2018_Florajen5"/>
      <sheetName val="2018_CertainDri5"/>
      <sheetName val="2018_Cystex5"/>
      <sheetName val="2018_Absorbine5"/>
      <sheetName val="2018_Albolene5"/>
      <sheetName val="2018_AntiMonkeyButt5"/>
      <sheetName val="2018_Non_Branded_0005"/>
      <sheetName val="CoCos_Output_Sheet4"/>
      <sheetName val="C_B__4_Installed4"/>
      <sheetName val="A_CUENTA4"/>
      <sheetName val="Rexall_Sundown4"/>
      <sheetName val="SD_and_NB_Magazine4"/>
      <sheetName val="OP_Sum4"/>
      <sheetName val="Asset_(VIN)_Data4"/>
      <sheetName val="Item_Data4"/>
      <sheetName val="commercial_construction4"/>
      <sheetName val="crack_spreads4"/>
      <sheetName val="new_orders4"/>
      <sheetName val="IFO_Manufacturing_Business_Cli4"/>
      <sheetName val="Power_&amp;_Fuel(SMS)4"/>
      <sheetName val="LC_PF4"/>
      <sheetName val="Portfolio_Budget4"/>
      <sheetName val="Issue_Log4"/>
      <sheetName val="Asset_Transfer_Screen_Shot4"/>
      <sheetName val="Asset_Proposal_List4"/>
      <sheetName val="Asset_Proposal-Screen_Shots4"/>
      <sheetName val="Data_Import_Template4"/>
      <sheetName val="New_Asset_List4"/>
      <sheetName val="New_Asset_Screen_Shots4"/>
      <sheetName val="FAMAsset_as_of_12_31_184"/>
      <sheetName val="Summary_Exhibit_II4"/>
      <sheetName val="Wound_Case4"/>
      <sheetName val="//na1_salesforce_co4"/>
      <sheetName val="//qmaxsolutions-my_4"/>
      <sheetName val="[POWER5_XLA][POWER54"/>
      <sheetName val="[POWER5_XLA]\Applic4"/>
      <sheetName val="[POWER5_XLA]//na1_s4"/>
      <sheetName val="[POWER5_XLA]\\sfdc\4"/>
      <sheetName val="[POWER5_XLA]//qmaxs4"/>
      <sheetName val="[POWER5_XLA]\J\Appl4"/>
      <sheetName val="ISQ_LBO_-_Full_Company4"/>
      <sheetName val="[POWER5_XLA]__qmaxsolutions_m33"/>
      <sheetName val="[POWER5_XLA]__qmaxsolutions_m34"/>
      <sheetName val="[POWER5_XLA]__qmaxsolutions_m35"/>
      <sheetName val="[POWER5_XLA]__qmaxsolutions_m36"/>
      <sheetName val="[POWER5_XLA]__qmaxsolutions_m37"/>
      <sheetName val="Sales_Forecast4"/>
      <sheetName val="[POWER5_XLA]__qmaxsolutions_m38"/>
      <sheetName val="Data_Validation4"/>
      <sheetName val="2015_Forecast4"/>
      <sheetName val="Gross_Margin_Build4"/>
      <sheetName val="Output_Model4"/>
      <sheetName val="Lease_summary4"/>
      <sheetName val="[POWER5_XLA]__qmaxsolutions_m39"/>
      <sheetName val="[POWER5_XLA]__qmaxsolutions_m40"/>
      <sheetName val="[POWER5_XLA]__qmaxsolutions_382"/>
      <sheetName val="[POWER5_XLA]__qmaxsolutions_383"/>
      <sheetName val="[POWER5_XLA]__qmaxsolutions_384"/>
      <sheetName val="[POWER5_XLA]__qmaxsolutions_385"/>
      <sheetName val="[POWER5_XLA]__qmaxsolutions_386"/>
      <sheetName val="[POWER5_XLA]__qmaxsolutions_387"/>
      <sheetName val="[POWER5_XLA]__qmaxsolutions_388"/>
      <sheetName val="[POWER5_XLA]__qmaxsolutions_389"/>
      <sheetName val="[POWER5_XLA]__qmaxsolutions_390"/>
      <sheetName val="[POWER5_XLA]__qmaxsolutions_391"/>
      <sheetName val="[POWER5_XLA]__qmaxsolutions_392"/>
      <sheetName val="[POWER5_XLA]__qmaxsolutions_393"/>
      <sheetName val="[POWER5_XLA]__qmaxsolutions_394"/>
      <sheetName val="[POWER5_XLA]__qmaxsolutions_395"/>
      <sheetName val="[POWER5_XLA]__qmaxsolutions_396"/>
      <sheetName val="[POWER5_XLA]__qmaxsolutions_397"/>
      <sheetName val="[POWER5_XLA]__qmaxsolutions_398"/>
      <sheetName val="[POWER5_XLA]__qmaxsolutions_399"/>
      <sheetName val="[POWER5_XLA]__qmaxsolutions_400"/>
      <sheetName val="[POWER5_XLA]__qmaxsolutions_401"/>
      <sheetName val="FIRE_ALARM4"/>
      <sheetName val="FX_Rates4"/>
      <sheetName val="Tax_Stock_deal4"/>
      <sheetName val="Tax_Asset_deal4"/>
      <sheetName val="Tax_S_Corp4"/>
      <sheetName val="Financial_Request_List4"/>
      <sheetName val="Tax_Request_List4"/>
      <sheetName val="Cash_proof4"/>
      <sheetName val="TB_-_IS4"/>
      <sheetName val="TB_BS4"/>
      <sheetName val="GT_Discussion&gt;4"/>
      <sheetName val="COR_-_SoftwareHardware_Maint4"/>
      <sheetName val="COR_-_Consultants4"/>
      <sheetName val="COR_-_Co_hosting4"/>
      <sheetName val="Opex-Professional_services4"/>
      <sheetName val="GT_Custom5"/>
      <sheetName val="WC2_(2)4"/>
      <sheetName val="Debt_Amortization4"/>
      <sheetName val="Vector_Inputs4"/>
      <sheetName val="Data_Input4"/>
      <sheetName val="MM_Mapping4"/>
      <sheetName val="Customer_split4"/>
      <sheetName val="Depr_Amortisation_check4"/>
      <sheetName val="Working_capital4"/>
      <sheetName val="Summary_Financial_Statement4"/>
      <sheetName val="Op_Balances_20194"/>
      <sheetName val="Look_up4"/>
      <sheetName val="AOP_Summary-24"/>
      <sheetName val="Employee_Data4"/>
      <sheetName val="Cover_Page4"/>
      <sheetName val="Transmittal_Letter4"/>
      <sheetName val="Key_Analyses4"/>
      <sheetName val="Adjusted_Summary_P&amp;L4"/>
      <sheetName val="NWC_Analysis4"/>
      <sheetName val="Adjusted_NWC_Graph4"/>
      <sheetName val="GSM_Analyses4"/>
      <sheetName val="GSM_Bridge_FY17_-_FY184"/>
      <sheetName val="GSM_Bridge_FY18_-_FY194"/>
      <sheetName val="Grace_-_Alum4"/>
      <sheetName val="Grace_-_LSA4"/>
      <sheetName val="Grace_-_ACH4"/>
      <sheetName val="Shell_-_Alum4"/>
      <sheetName val="Shell_-_LSA4"/>
      <sheetName val="Detailed_IS4"/>
      <sheetName val="Balance_Sheet_Summary4"/>
      <sheetName val="Scope_Reconciliation4"/>
      <sheetName val="[POWER5_XLA]__qmaxsolutions_402"/>
      <sheetName val="[POWER5_XLA]__qmaxsolutions_403"/>
      <sheetName val="[POWER5_XLA]__qmaxsolutions_404"/>
      <sheetName val="Cash_flow_worksheet4"/>
      <sheetName val="Inc_Stmt4"/>
      <sheetName val="Bal_Sht4"/>
      <sheetName val="[POWER5_XLA]__qmaxsolutions_405"/>
      <sheetName val="[POWER5_XLA]__qmaxsolutions_406"/>
      <sheetName val="[POWER5_XLA]__qmaxsolutions_407"/>
      <sheetName val="[POWER5_XLA]__qmaxsolutions_408"/>
      <sheetName val="[POWER5_XLA]__qmaxsolutions_409"/>
      <sheetName val="[POWER5_XLA]__qmaxsolutions_410"/>
      <sheetName val="[POWER5_XLA]__qmaxsolutions_411"/>
      <sheetName val="[POWER5_XLA]__qmaxsolutions_412"/>
      <sheetName val="investment-_acounting4"/>
      <sheetName val="Dividend_IPORecap_Analysis4"/>
      <sheetName val="novmar_actuals4"/>
      <sheetName val="06-030_Capital_Gains_and_Losse4"/>
      <sheetName val="Area_by_JC4"/>
      <sheetName val="Equity_Database4"/>
      <sheetName val="MARKET_PRICES4"/>
      <sheetName val="RED_Forecast4"/>
      <sheetName val="TEN_side4"/>
      <sheetName val="Balance_Sheet_Standard_-Feb4"/>
      <sheetName val="Balance_Sheet_Standard4"/>
      <sheetName val="Balance_sheet_Actual_to_Budget4"/>
      <sheetName val="Balance_sheet_Actual_to_Bud_Fe4"/>
      <sheetName val="Feb_194"/>
      <sheetName val="Mar_194"/>
      <sheetName val="April_194"/>
      <sheetName val="May_20194"/>
      <sheetName val="June_194"/>
      <sheetName val="July_20194"/>
      <sheetName val="Aug_20194"/>
      <sheetName val="cash_flow-_Monthly_(2)4"/>
      <sheetName val="cash_flow_monthly4"/>
      <sheetName val="cash_flow_YTD_4"/>
      <sheetName val="Budgeted_BS_2018-194"/>
      <sheetName val="cash_flow-_2018-194"/>
      <sheetName val="Budget_cash_flow_20184"/>
      <sheetName val="[POWER5_XLA]__qmaxsolutions_413"/>
      <sheetName val="[POWER5_XLA]__qmaxsolutions_414"/>
      <sheetName val="Cons_(2)4"/>
      <sheetName val="GHA_orig4"/>
      <sheetName val="EFASB13_(US-12)4"/>
      <sheetName val="chart_of_accounts4"/>
      <sheetName val="[POWER5_XLA]__qmaxsolutions_415"/>
      <sheetName val="[POWER5_XLA]__qmaxsolutions_416"/>
      <sheetName val="[POWER5_XLA]__qmaxsolutions_417"/>
      <sheetName val="[POWER5_XLA]__qmaxsolutions_418"/>
      <sheetName val="[POWER5_XLA]__qmaxsolutions_419"/>
      <sheetName val="[POWER5_XLA]__qmaxsolutions_420"/>
      <sheetName val="[POWER5_XLA]__qmaxsolutions_421"/>
      <sheetName val="[POWER5_XLA]__qmaxsolutions_422"/>
      <sheetName val="[POWER5_XLA]__qmaxsolutions_423"/>
      <sheetName val="[POWER5_XLA]__qmaxsolutions_424"/>
      <sheetName val="[POWER5_XLA]__qmaxsolutions_425"/>
      <sheetName val="[POWER5_XLA]__qmaxsolutions_426"/>
      <sheetName val="[POWER5_XLA]__qmaxsolutions_427"/>
      <sheetName val="[POWER5_XLA]__qmaxsolutions_428"/>
      <sheetName val="[POWER5_XLA]__qmaxsolutions_429"/>
      <sheetName val="[POWER5_XLA]__qmaxsolutions_430"/>
      <sheetName val="[POWER5_XLA]__qmaxsolutions_431"/>
      <sheetName val="[POWER5_XLA]__qmaxsolutions_432"/>
      <sheetName val="[POWER5_XLA]__qmaxsolutions_433"/>
      <sheetName val="[POWER5_XLA]__qmaxsolutions_434"/>
      <sheetName val="[POWER5_XLA]__qmaxsolutions_435"/>
      <sheetName val="[POWER5_XLA]__qmaxsolutions_436"/>
      <sheetName val="Program_Loss_Control3"/>
      <sheetName val="[POWER5_XLA]__qmaxsolutions_437"/>
      <sheetName val="[POWER5_XLA]__qmaxsolutions_438"/>
      <sheetName val="[POWER5_XLA]__qmaxsolutions_439"/>
      <sheetName val="[POWER5_XLA]__qmaxsolutions_440"/>
      <sheetName val="[POWER5_XLA]__qmaxsolutions_441"/>
      <sheetName val="[POWER5_XLA]__qmaxsolutions_442"/>
      <sheetName val="[POWER5_XLA]__qmaxsolutions_443"/>
      <sheetName val="[POWER5_XLA]__qmaxsolutions_444"/>
      <sheetName val="[POWER5_XLA]__qmaxsolutions_445"/>
      <sheetName val="[POWER5_XLA]__qmaxsolutions_446"/>
      <sheetName val="[POWER5_XLA]__qmaxsolutions_447"/>
      <sheetName val="[POWER5_XLA]__qmaxsolutions_448"/>
      <sheetName val="[POWER5_XLA]__qmaxsolutions_449"/>
      <sheetName val="[POWER5_XLA]__qmaxsolutions_450"/>
      <sheetName val="[POWER5_XLA]__qmaxsolutions_451"/>
      <sheetName val="[POWER5_XLA]__qmaxsolutions_452"/>
      <sheetName val="[POWER5_XLA]__qmaxsolutions_453"/>
      <sheetName val="[POWER5_XLA]__qmaxsolutions_454"/>
      <sheetName val="[POWER5_XLA]__qmaxsolutions_455"/>
      <sheetName val="[POWER5_XLA]__qmaxsolutions_456"/>
      <sheetName val="[POWER5_XLA]__qmaxsolutions_457"/>
      <sheetName val="[POWER5_XLA]__qmaxsolutions_458"/>
      <sheetName val="[POWER5_XLA]__qmaxsolutions_459"/>
      <sheetName val="[POWER5_XLA]__qmaxsolutions_460"/>
      <sheetName val="[POWER5_XLA]__qmaxsolutions_461"/>
      <sheetName val="[POWER5_XLA]__qmaxsolutions_462"/>
      <sheetName val="[POWER5_XLA]__qmaxsolutions_463"/>
      <sheetName val="[POWER5_XLA]__qmaxsolutions_464"/>
      <sheetName val="[POWER5_XLA]__qmaxsolutions_465"/>
      <sheetName val="[POWER5_XLA]__qmaxsolutions_466"/>
      <sheetName val="[POWER5_XLA]__qmaxsolutions_467"/>
      <sheetName val="[POWER5_XLA]__qmaxsolutions_468"/>
      <sheetName val="[POWER5_XLA]__qmaxsolutions_469"/>
      <sheetName val="[POWER5_XLA]__qmaxsolutions_470"/>
      <sheetName val="[POWER5_XLA]__qmaxsolutions_471"/>
      <sheetName val="[POWER5_XLA]__qmaxsolutions_472"/>
      <sheetName val="[POWER5_XLA]__qmaxsolutions_473"/>
      <sheetName val="[POWER5_XLA]__qmaxsolutions_474"/>
      <sheetName val="[POWER5_XLA]__qmaxsolutions_475"/>
      <sheetName val="[POWER5_XLA]__qmaxsolutions_476"/>
      <sheetName val="[POWER5_XLA]__qmaxsolutions_477"/>
      <sheetName val="[POWER5_XLA]__qmaxsolutions_478"/>
      <sheetName val="[POWER5_XLA]__qmaxsolutions_479"/>
      <sheetName val="[POWER5_XLA]__qmaxsolutions_480"/>
      <sheetName val="[POWER5_XLA]__qmaxsolutions_481"/>
      <sheetName val="[POWER5_XLA]__qmaxsolutions_482"/>
      <sheetName val="[POWER5_XLA]__qmaxsolutions_483"/>
      <sheetName val="[POWER5_XLA]__qmaxsolutions_484"/>
      <sheetName val="[POWER5_XLA]__qmaxsolutions_485"/>
      <sheetName val="[POWER5_XLA]__qmaxsolutions_486"/>
      <sheetName val="[POWER5_XLA]__qmaxsolutions_487"/>
      <sheetName val="[POWER5_XLA]__qmaxsolutions_488"/>
      <sheetName val="[POWER5_XLA]__qmaxsolutions_489"/>
      <sheetName val="[POWER5_XLA]__qmaxsolutions_490"/>
      <sheetName val="[POWER5_XLA]__qmaxsolutions_491"/>
      <sheetName val="[POWER5_XLA]__qmaxsolutions_492"/>
      <sheetName val="[POWER5_XLA]__qmaxsolutions_493"/>
      <sheetName val="[POWER5_XLA]__qmaxsolutions_494"/>
      <sheetName val="[POWER5_XLA]__qmaxsolutions_495"/>
      <sheetName val="[POWER5_XLA]__qmaxsolutions_496"/>
      <sheetName val="[POWER5_XLA]__qmaxsolutions_497"/>
      <sheetName val="[POWER5_XLA]__qmaxsolutions_498"/>
      <sheetName val="[POWER5_XLA]__qmaxsolutions_499"/>
      <sheetName val="[POWER5_XLA]__qmaxsolutions_500"/>
      <sheetName val="[POWER5_XLA]__qmaxsolutions_501"/>
      <sheetName val="[POWER5_XLA]__qmaxsolutions_502"/>
      <sheetName val="[POWER5_XLA]__qmaxsolutions_503"/>
      <sheetName val="[POWER5_XLA]__qmaxsolutions_504"/>
      <sheetName val="[POWER5_XLA]__qmaxsolutions_505"/>
      <sheetName val="[POWER5_XLA]__qmaxsolutions_506"/>
      <sheetName val="[POWER5_XLA]__qmaxsolutions_507"/>
      <sheetName val="[POWER5_XLA]__qmaxsolutions_508"/>
      <sheetName val="[POWER5_XLA]__qmaxsolutions_509"/>
      <sheetName val="[POWER5_XLA]__qmaxsolutions_510"/>
      <sheetName val="[POWER5_XLA]__qmaxsolutions_511"/>
      <sheetName val="Deferred taxes"/>
      <sheetName val="[POWER5.XLA]__soferadvisors__65"/>
      <sheetName val="[POWER5.XLA]__soferadvisors__66"/>
      <sheetName val="[POWER5.XLA]__d_docs_live_ne_56"/>
      <sheetName val="[POWER5.XLA]__d_docs_live_ne_55"/>
      <sheetName val="[POWER5.XLA]__d_docs_live_ne_53"/>
      <sheetName val="[POWER5.XLA]__d_docs_live_ne_54"/>
      <sheetName val="[POWER5.XLA]__qmaxsolutions_604"/>
      <sheetName val="[POWER5.XLA]__qmaxsolutions_605"/>
      <sheetName val="__qmaxsolutions_218"/>
      <sheetName val="//qmaxsolutions-my1"/>
      <sheetName val="[POWER5_XLA]//qmax1"/>
      <sheetName val="[POWER5_XLA]\J\App1"/>
      <sheetName val="\J\Applications\Mi1"/>
      <sheetName val="_Users_SSimakova__2"/>
      <sheetName val="_Applications_Mi_10"/>
      <sheetName val="__aodocs_altirna_12"/>
      <sheetName val="__aodocs_altirna_13"/>
      <sheetName val="[POWER5_XLA]_POWE_8"/>
      <sheetName val="[POWER5_XLA]_POWE_9"/>
      <sheetName val="[POWER5_XLA]_POW_10"/>
      <sheetName val="[POWER5_XLA]_Appl_4"/>
      <sheetName val="[POWER5_XLA]__na1_4"/>
      <sheetName val="[POWER5_XLA]__sfd_4"/>
      <sheetName val="_Users_SSimakova__3"/>
      <sheetName val="_Applications_Mi_11"/>
      <sheetName val="__na1_salesforce__8"/>
      <sheetName val="__sfdc_DFS_Applic_5"/>
      <sheetName val="_J_Applications_M_8"/>
      <sheetName val="_Applications_Mi_12"/>
      <sheetName val="__aodocs_altirna_14"/>
      <sheetName val="__localhost_webd_11"/>
      <sheetName val="__localhost_webd_12"/>
      <sheetName val="__localhost_FY_20_5"/>
      <sheetName val="__aodocs_altirna_15"/>
      <sheetName val="__localhost_webd_13"/>
      <sheetName val="[POWER5.XLA]_Appl_5"/>
      <sheetName val="[POWER5.XLA]__na1_5"/>
      <sheetName val="[POWER5.XLA]__sfd_5"/>
      <sheetName val="[POWER5.XLA]_POW_17"/>
      <sheetName val="[POWER5.XLA]_POW_18"/>
      <sheetName val="[POWER5.XLA]_POW_19"/>
      <sheetName val="__na1_salesforce__9"/>
      <sheetName val="_J_Applications_M_9"/>
      <sheetName val="[POWER5.XLA]__qma_5"/>
      <sheetName val="[POWER5.XLA]_POW_20"/>
      <sheetName val="[POWER5.XLA]_POW_21"/>
      <sheetName val="[POWER5.XLA]_J_Ap_5"/>
      <sheetName val="_Applications_Mi_13"/>
      <sheetName val="_Users_Dan_Librar_5"/>
      <sheetName val="__aodocs_altirna_16"/>
      <sheetName val="__aodocs_altirna_17"/>
      <sheetName val="[POWER5_XLA]_POW_11"/>
      <sheetName val="[POWER5_XLA]_POW_12"/>
      <sheetName val="[POWER5_XLA]_POW_13"/>
      <sheetName val="[POWER5_XLA]_Appl_5"/>
      <sheetName val="[POWER5_XLA]__na1_5"/>
      <sheetName val="[POWER5_XLA]__sfd_5"/>
      <sheetName val="_Users_SSimakova__4"/>
      <sheetName val="_Applications_Mi_14"/>
      <sheetName val="__na1_salesforce_10"/>
      <sheetName val="__sfdc_DFS_Applic_6"/>
      <sheetName val="_J_Applications__10"/>
      <sheetName val="_Applications_Mi_15"/>
      <sheetName val="__aodocs_altirna_18"/>
      <sheetName val="__localhost_webd_14"/>
      <sheetName val="__localhost_webd_15"/>
      <sheetName val="__localhost_FY_20_6"/>
      <sheetName val="__aodocs_altirna_19"/>
      <sheetName val="__localhost_webd_16"/>
      <sheetName val="[POWER5.XLA]_Appl_6"/>
      <sheetName val="[POWER5.XLA]__na1_6"/>
      <sheetName val="[POWER5.XLA]__sfd_6"/>
      <sheetName val="[POWER5.XLA]_POW_22"/>
      <sheetName val="[POWER5.XLA]_POW_23"/>
      <sheetName val="[POWER5.XLA]_POW_24"/>
      <sheetName val="__na1_salesforce_11"/>
      <sheetName val="_J_Applications__11"/>
      <sheetName val="[POWER5.XLA]__qma_6"/>
      <sheetName val="[POWER5.XLA]_POW_25"/>
      <sheetName val="[POWER5.XLA]_POW_26"/>
      <sheetName val="[POWER5.XLA]_J_Ap_6"/>
      <sheetName val="_Applications_Mi_16"/>
      <sheetName val="_Users_Dan_Librar_6"/>
      <sheetName val="__aodocs_altirna_20"/>
      <sheetName val="__aodocs_altirna_21"/>
      <sheetName val="[POWER5_XLA]_POW_14"/>
      <sheetName val="[POWER5_XLA]_POW_15"/>
      <sheetName val="[POWER5_XLA]_POW_16"/>
      <sheetName val="[POWER5_XLA]_Appl_6"/>
      <sheetName val="[POWER5_XLA]__na1_6"/>
      <sheetName val="[POWER5_XLA]__sfd_6"/>
      <sheetName val="_Users_SSimakova__5"/>
      <sheetName val="__na1_salesforce_12"/>
      <sheetName val="[POWER5_XLA]__qma_2"/>
      <sheetName val="[POWER5_XLA]_POW_17"/>
      <sheetName val="[POWER5_XLA]_POW_18"/>
      <sheetName val="[POWER5_XLA]_J_Ap_2"/>
      <sheetName val="_Users_Dan_Librar_7"/>
      <sheetName val="_Applications_Mi_17"/>
      <sheetName val="__sfdc_DFS_Applic_7"/>
      <sheetName val="_J_Applications__12"/>
      <sheetName val="_Applications_Mi_18"/>
      <sheetName val="__aodocs_altirna_22"/>
      <sheetName val="__localhost_webd_17"/>
      <sheetName val="__localhost_webd_18"/>
      <sheetName val="__localhost_FY_20_7"/>
      <sheetName val="__aodocs_altirna_23"/>
      <sheetName val="__localhost_webd_19"/>
      <sheetName val="[POWER5.XLA]_Appl_7"/>
      <sheetName val="[POWER5.XLA]__na1_7"/>
      <sheetName val="[POWER5.XLA]__sfd_7"/>
      <sheetName val="[POWER5.XLA]_POW_27"/>
      <sheetName val="[POWER5.XLA]_POW_28"/>
      <sheetName val="[POWER5.XLA]_POW_29"/>
      <sheetName val="__na1_salesforce_13"/>
      <sheetName val="_J_Applications__13"/>
      <sheetName val="[POWER5.XLA]__qma_7"/>
      <sheetName val="[POWER5.XLA]_POW_30"/>
      <sheetName val="[POWER5.XLA]_POW_31"/>
      <sheetName val="[POWER5.XLA]_J_Ap_7"/>
      <sheetName val="_Applications_Mi_19"/>
      <sheetName val="__aodocs_altirna_24"/>
      <sheetName val="__aodocs_altirna_25"/>
      <sheetName val="[POWER5_XLA]_POW_19"/>
      <sheetName val="[POWER5_XLA]_Appl_7"/>
      <sheetName val="[POWER5_XLA]__na1_7"/>
      <sheetName val="[POWER5_XLA]__sfd_7"/>
      <sheetName val="_Users_SSimakova__6"/>
      <sheetName val="__na1_salesforce_14"/>
      <sheetName val="[POWER5_XLA]_POW_20"/>
      <sheetName val="[POWER5_XLA]_POW_21"/>
      <sheetName val="_Users_Dan_Librar_8"/>
      <sheetName val="__na1_salesforce_15"/>
      <sheetName val="[POWER5_XLA]__qma_3"/>
      <sheetName val="[POWER5_XLA]_POW_22"/>
      <sheetName val="[POWER5_XLA]_POW_23"/>
      <sheetName val="[POWER5_XLA]_J_Ap_3"/>
      <sheetName val="_Users_Dan_Librar_9"/>
      <sheetName val="_Applications_Mi_20"/>
      <sheetName val="__sfdc_DFS_Applic_8"/>
      <sheetName val="_J_Applications__14"/>
      <sheetName val="_Applications_Mi_21"/>
      <sheetName val="__aodocs_altirna_26"/>
      <sheetName val="__localhost_webd_20"/>
      <sheetName val="__localhost_webd_21"/>
      <sheetName val="__localhost_FY_20_8"/>
      <sheetName val="__aodocs_altirna_27"/>
      <sheetName val="__localhost_webd_22"/>
      <sheetName val="[POWER5.XLA]_Appl_8"/>
      <sheetName val="[POWER5.XLA]__na1_8"/>
      <sheetName val="[POWER5.XLA]__sfd_8"/>
      <sheetName val="[POWER5.XLA]_POW_32"/>
      <sheetName val="[POWER5.XLA]_POW_33"/>
      <sheetName val="[POWER5.XLA]_POW_34"/>
      <sheetName val="__na1_salesforce_16"/>
      <sheetName val="_J_Applications__15"/>
      <sheetName val="[POWER5.XLA]__qma_8"/>
      <sheetName val="[POWER5.XLA]_POW_35"/>
      <sheetName val="[POWER5.XLA]_POW_36"/>
      <sheetName val="[POWER5.XLA]_J_Ap_8"/>
      <sheetName val="_Applications_Mi_22"/>
      <sheetName val="__aodocs_altirna_28"/>
      <sheetName val="__aodocs_altirna_29"/>
      <sheetName val="[POWER5_XLA]_POW_24"/>
      <sheetName val="[POWER5_XLA]_Appl_8"/>
      <sheetName val="[POWER5_XLA]__na1_8"/>
      <sheetName val="[POWER5_XLA]__sfd_8"/>
      <sheetName val="_Users_SSimakova__7"/>
      <sheetName val="__na1_salesforce_17"/>
      <sheetName val="[POWER5_XLA]_POW_25"/>
      <sheetName val="[POWER5_XLA]_POW_26"/>
      <sheetName val="_Users_Dan_Libra_10"/>
      <sheetName val="__qmaxsolutions_231"/>
      <sheetName val="__qmaxsolutions_220"/>
      <sheetName val="__qmaxsolutions_219"/>
      <sheetName val="__qmaxsolutions_221"/>
      <sheetName val="__qmaxsolutions_223"/>
      <sheetName val="__qmaxsolutions_222"/>
      <sheetName val="__qmaxsolutions_224"/>
      <sheetName val="__qmaxsolutions_225"/>
      <sheetName val="__qmaxsolutions_226"/>
      <sheetName val="__qmaxsolutions_227"/>
      <sheetName val="__qmaxsolutions_228"/>
      <sheetName val="__qmaxsolutions_229"/>
      <sheetName val="__qmaxsolutions_230"/>
      <sheetName val="__qmaxsolutions_232"/>
      <sheetName val="__qmaxsolutions_236"/>
      <sheetName val="__qmaxsolutions_235"/>
      <sheetName val="__qmaxsolutions_233"/>
      <sheetName val="__qmaxsolutions_234"/>
      <sheetName val="__qmaxsolutions_237"/>
      <sheetName val="__qmaxsolutions_238"/>
      <sheetName val="__qmaxsolutions_239"/>
      <sheetName val="__qmaxsolutions_240"/>
      <sheetName val="10-1 Media"/>
      <sheetName val="10-cut"/>
      <sheetName val="__qmaxsolutions_247"/>
      <sheetName val="__qmaxsolutions_245"/>
      <sheetName val="__qmaxsolutions_241"/>
      <sheetName val="__qmaxsolutions_242"/>
      <sheetName val="__qmaxsolutions_243"/>
      <sheetName val="__qmaxsolutions_244"/>
      <sheetName val="__qmaxsolutions_246"/>
      <sheetName val="__qmaxsolutions_248"/>
      <sheetName val="__qmaxsolutions_257"/>
      <sheetName val="__qmaxsolutions_249"/>
      <sheetName val="__qmaxsolutions_250"/>
      <sheetName val="__qmaxsolutions_251"/>
      <sheetName val="__qmaxsolutions_252"/>
      <sheetName val="__qmaxsolutions_253"/>
      <sheetName val="__qmaxsolutions_254"/>
      <sheetName val="__qmaxsolutions_255"/>
      <sheetName val="__qmaxsolutions_256"/>
      <sheetName val="__qmaxsolutions_258"/>
      <sheetName val="__qmaxsolutions_261"/>
      <sheetName val="__qmaxsolutions_260"/>
      <sheetName val="__qmaxsolutions_259"/>
      <sheetName val="__qmaxsolutions_262"/>
      <sheetName val="__qmaxsolutions_266"/>
      <sheetName val="__qmaxsolutions_263"/>
      <sheetName val="__qmaxsolutions_264"/>
      <sheetName val="__qmaxsolutions_265"/>
      <sheetName val="__qmaxsolutions_273"/>
      <sheetName val="__qmaxsolutions_267"/>
      <sheetName val="__qmaxsolutions_268"/>
      <sheetName val="__qmaxsolutions_270"/>
      <sheetName val="__qmaxsolutions_269"/>
      <sheetName val="__qmaxsolutions_272"/>
      <sheetName val="__qmaxsolutions_271"/>
      <sheetName val="__qmaxsolutions_275"/>
      <sheetName val="__qmaxsolutions_274"/>
      <sheetName val="__qmaxsolutions_289"/>
      <sheetName val="__qmaxsolutions_277"/>
      <sheetName val="__qmaxsolutions_276"/>
      <sheetName val="__qmaxsolutions_278"/>
      <sheetName val="__qmaxsolutions_279"/>
      <sheetName val="__qmaxsolutions_280"/>
      <sheetName val="__qmaxsolutions_282"/>
      <sheetName val="__qmaxsolutions_281"/>
      <sheetName val="__qmaxsolutions_283"/>
      <sheetName val="__qmaxsolutions_284"/>
      <sheetName val="__qmaxsolutions_285"/>
      <sheetName val="__qmaxsolutions_286"/>
      <sheetName val="__qmaxsolutions_287"/>
      <sheetName val="__qmaxsolutions_288"/>
      <sheetName val="__qmaxsolutions_290"/>
      <sheetName val="__qmaxsolutions_291"/>
      <sheetName val="__qmaxsolutions_298"/>
      <sheetName val="__qmaxsolutions_292"/>
      <sheetName val="__qmaxsolutions_293"/>
      <sheetName val="__qmaxsolutions_294"/>
      <sheetName val="__qmaxsolutions_296"/>
      <sheetName val="__qmaxsolutions_295"/>
      <sheetName val="__qmaxsolutions_297"/>
      <sheetName val="__qmaxsolutions_300"/>
      <sheetName val="__qmaxsolutions_299"/>
      <sheetName val="__qmaxsolutions_301"/>
      <sheetName val="__qmaxsolutions_303"/>
      <sheetName val="__qmaxsolutions_302"/>
      <sheetName val="[POWER1"/>
      <sheetName val="\Appli1"/>
      <sheetName val="//na1_1"/>
      <sheetName val="\\sfdc1"/>
      <sheetName val="//qmax1"/>
      <sheetName val="\J\App1"/>
      <sheetName val="_Appl_5"/>
      <sheetName val="__na1_5"/>
      <sheetName val="__sfd_5"/>
      <sheetName val="_POW_17"/>
      <sheetName val="_POW_18"/>
      <sheetName val="_POW_19"/>
      <sheetName val="__qma_5"/>
      <sheetName val="_POW_20"/>
      <sheetName val="_POW_21"/>
      <sheetName val="_J_Ap_5"/>
      <sheetName val="_Appl_6"/>
      <sheetName val="__na1_6"/>
      <sheetName val="__sfd_6"/>
      <sheetName val="_POW_22"/>
      <sheetName val="_POW_23"/>
      <sheetName val="_POW_24"/>
      <sheetName val="__qma_6"/>
      <sheetName val="_POW_25"/>
      <sheetName val="_POW_26"/>
      <sheetName val="_J_Ap_6"/>
      <sheetName val="_Appl_7"/>
      <sheetName val="__na1_7"/>
      <sheetName val="__sfd_7"/>
      <sheetName val="_POW_27"/>
      <sheetName val="_POW_28"/>
      <sheetName val="_POW_29"/>
      <sheetName val="__qma_7"/>
      <sheetName val="_POW_30"/>
      <sheetName val="_POW_31"/>
      <sheetName val="_J_Ap_7"/>
      <sheetName val="_Appl_8"/>
      <sheetName val="__na1_8"/>
      <sheetName val="__sfd_8"/>
      <sheetName val="_POW_32"/>
      <sheetName val="_POW_33"/>
      <sheetName val="_POW_34"/>
      <sheetName val="__qma_8"/>
      <sheetName val="_POW_35"/>
      <sheetName val="_POW_36"/>
      <sheetName val="_J_Ap_8"/>
      <sheetName val="__qmaxsolutions_305"/>
      <sheetName val="__qmaxsolutions_304"/>
      <sheetName val="__qmaxsolutions_306"/>
      <sheetName val="__qmaxsolutions_307"/>
      <sheetName val="[POWER5.XLA]__qmaxsolutions_725"/>
      <sheetName val="[POWER5.XLA]__qmaxsolutions_721"/>
      <sheetName val="RevBridge"/>
      <sheetName val="[POWER5.XLA]__d_docs_live_ne_58"/>
      <sheetName val="[POWER5.XLA]__d_docs_live_ne_57"/>
      <sheetName val="[POWER5.XLA]__d_docs_live_ne_61"/>
      <sheetName val="[POWER5.XLA]__d_docs_live_ne_59"/>
      <sheetName val="[POWER5.XLA]__d_docs_live_ne_60"/>
      <sheetName val="[POWER5.XLA]__d_docs_live_ne_62"/>
      <sheetName val="[POWER5.XLA]__d_docs_live_ne_63"/>
      <sheetName val="[POWER5.XLA]__d_docs_live_ne_65"/>
      <sheetName val="[POWER5.XLA]__d_docs_live_ne_64"/>
      <sheetName val="[POWER5.XLA]__d_docs_live_ne_66"/>
      <sheetName val="[POWER5.XLA]__d_docs_live_ne_68"/>
      <sheetName val="[POWER5.XLA]__d_docs_live_ne_67"/>
      <sheetName val="Roll Up Fee Class"/>
      <sheetName val="Downside Financial Model"/>
      <sheetName val="Assistance"/>
      <sheetName val="[POWER5.XLA]__soferadvisors__67"/>
      <sheetName val="[POWER5.XLA]__soferadvisors__68"/>
      <sheetName val="[POWER5.XLA]__soferadvisors__69"/>
      <sheetName val="[POWER5.XLA]__soferadvisors__70"/>
      <sheetName val="[POWER5.XLA]__soferadvisors__73"/>
      <sheetName val="[POWER5.XLA]__soferadvisors__71"/>
      <sheetName val="[POWER5.XLA]__soferadvisors__72"/>
      <sheetName val="[POWER5.XLA]__qmaxsolutions_606"/>
      <sheetName val="[POWER5.XLA]__qmaxsolutions_610"/>
      <sheetName val="[POWER5.XLA]__qmaxsolutions_607"/>
      <sheetName val="[POWER5.XLA]__qmaxsolutions_608"/>
      <sheetName val="[POWER5.XLA]__qmaxsolutions_609"/>
      <sheetName val="[POWER5.XLA]__qmaxsolutions_614"/>
      <sheetName val="[POWER5.XLA]__qmaxsolutions_611"/>
      <sheetName val="[POWER5.XLA]__qmaxsolutions_612"/>
      <sheetName val="[POWER5.XLA]__qmaxsolutions_613"/>
      <sheetName val="[POWER5.XLA]__qmaxsolutions_615"/>
      <sheetName val="[POWER5.XLA]__qmaxsolutions_617"/>
      <sheetName val="[POWER5.XLA]__qmaxsolutions_616"/>
      <sheetName val="[POWER5.XLA]__qmaxsolutions_619"/>
      <sheetName val="[POWER5.XLA]__qmaxsolutions_618"/>
      <sheetName val="[POWER5.XLA]__qmaxsolutions_620"/>
      <sheetName val="[POWER5.XLA]__qmaxsolutions_621"/>
      <sheetName val="[POWER5.XLA]__soferadvisors__90"/>
      <sheetName val="[POWER5.XLA]__soferadvisors__76"/>
      <sheetName val="[POWER5.XLA]__soferadvisors__74"/>
      <sheetName val="[POWER5.XLA]__soferadvisors__75"/>
      <sheetName val="[POWER5.XLA]__soferadvisors__77"/>
      <sheetName val="[POWER5.XLA]__soferadvisors__78"/>
      <sheetName val="[POWER5.XLA]__soferadvisors__79"/>
      <sheetName val="[POWER5.XLA]__soferadvisors__80"/>
      <sheetName val="[POWER5.XLA]__soferadvisors__81"/>
      <sheetName val="[POWER5.XLA]__soferadvisors__82"/>
      <sheetName val="[POWER5.XLA]__soferadvisors__83"/>
      <sheetName val="[POWER5.XLA]__soferadvisors__84"/>
      <sheetName val="[POWER5.XLA]__soferadvisors__85"/>
      <sheetName val="[POWER5.XLA]__soferadvisors__86"/>
      <sheetName val="[POWER5.XLA]__soferadvisors__89"/>
      <sheetName val="[POWER5.XLA]__soferadvisors__87"/>
      <sheetName val="[POWER5.XLA]__soferadvisors__88"/>
      <sheetName val="[POWER5.XLA]__soferadvisors__92"/>
      <sheetName val="[POWER5.XLA]__soferadvisors__91"/>
      <sheetName val="461.01"/>
      <sheetName val="[POWER5.XLA]__qmaxsolutions_622"/>
      <sheetName val="[POWER5.XLA]__qmaxsolutions_623"/>
      <sheetName val="[POWER5.XLA]__qmaxsolutions_627"/>
      <sheetName val="[POWER5.XLA]__qmaxsolutions_624"/>
      <sheetName val="[POWER5.XLA]__qmaxsolutions_625"/>
      <sheetName val="[POWER5.XLA]__qmaxsolutions_626"/>
      <sheetName val="[POWER5.XLA]__qmaxsolutions_628"/>
      <sheetName val="[POWER5.XLA]__qmaxsolutions_629"/>
      <sheetName val="[POWER5.XLA]__qmaxsolutions_630"/>
      <sheetName val="[POWER5.XLA]__qmaxsolutions_631"/>
      <sheetName val="[POWER5.XLA]__qmaxsolutions_638"/>
      <sheetName val="Backlog LOI"/>
      <sheetName val="[POWER5.XLA]__qmaxsolutions_632"/>
      <sheetName val="[POWER5.XLA]__qmaxsolutions_633"/>
      <sheetName val="[POWER5.XLA]__qmaxsolutions_634"/>
      <sheetName val="[POWER5.XLA]__qmaxsolutions_635"/>
      <sheetName val="[POWER5.XLA]__qmaxsolutions_636"/>
      <sheetName val="[POWER5.XLA]__qmaxsolutions_637"/>
      <sheetName val="[POWER5.XLA]__qmaxsolutions_639"/>
      <sheetName val="PL3"/>
      <sheetName val="PL5"/>
      <sheetName val="[POWER5.XLA]__qmaxsolutions_640"/>
      <sheetName val="[POWER5.XLA]__qmaxsolutions_641"/>
      <sheetName val="[POWER5.XLA]__qmaxsolutions_643"/>
      <sheetName val="[POWER5.XLA]__qmaxsolutions_642"/>
      <sheetName val="[POWER5.XLA]__d_docs_live_ne_96"/>
      <sheetName val="[POWER5.XLA]__d_docs_live_ne_69"/>
      <sheetName val="[POWER5.XLA]__d_docs_live_ne_72"/>
      <sheetName val="[POWER5.XLA]__d_docs_live_ne_71"/>
      <sheetName val="[POWER5.XLA]__d_docs_live_ne_70"/>
      <sheetName val="[POWER5.XLA]__d_docs_live_ne_74"/>
      <sheetName val="[POWER5.XLA]__d_docs_live_ne_73"/>
      <sheetName val="[POWER5.XLA]__d_docs_live_ne_75"/>
      <sheetName val="[POWER5.XLA]__d_docs_live_ne_76"/>
      <sheetName val="[POWER5.XLA]__d_docs_live_ne_79"/>
      <sheetName val="[POWER5.XLA]__d_docs_live_ne_78"/>
      <sheetName val="[POWER5.XLA]__d_docs_live_ne_77"/>
      <sheetName val="[POWER5.XLA]__d_docs_live_ne_80"/>
      <sheetName val="[POWER5.XLA]__d_docs_live_ne_81"/>
      <sheetName val="[POWER5.XLA]__d_docs_live_ne_82"/>
      <sheetName val="[POWER5.XLA]__d_docs_live_ne_84"/>
      <sheetName val="[POWER5.XLA]__d_docs_live_ne_83"/>
      <sheetName val="[POWER5.XLA]__d_docs_live_ne_87"/>
      <sheetName val="[POWER5.XLA]__d_docs_live_ne_85"/>
      <sheetName val="[POWER5.XLA]__d_docs_live_ne_86"/>
      <sheetName val="[POWER5.XLA]__d_docs_live_ne_88"/>
      <sheetName val="[POWER5.XLA]__d_docs_live_ne_95"/>
      <sheetName val="[POWER5.XLA]__d_docs_live_ne_89"/>
      <sheetName val="[POWER5.XLA]__d_docs_live_ne_90"/>
      <sheetName val="[POWER5.XLA]__d_docs_live_ne_91"/>
      <sheetName val="[POWER5.XLA]__d_docs_live_ne_92"/>
      <sheetName val="[POWER5.XLA]__d_docs_live_ne_93"/>
      <sheetName val="[POWER5.XLA]__d_docs_live_ne_94"/>
      <sheetName val="Cost Centre Completeness"/>
      <sheetName val="Country 15 Check"/>
      <sheetName val="BU112 Check"/>
      <sheetName val="BU113 Check"/>
      <sheetName val="BU100 Check "/>
      <sheetName val="BU153 Check"/>
      <sheetName val="GFS BU 105-111"/>
      <sheetName val="EITS Check"/>
      <sheetName val="[POWER5.XLA]__d_docs_live_ne_97"/>
      <sheetName val="[POWER5.XLA]__d_docs_live_n_102"/>
      <sheetName val="[POWER5.XLA]__d_docs_live_ne_98"/>
      <sheetName val="[POWER5.XLA]__d_docs_live_ne_99"/>
      <sheetName val="[POWER5.XLA]__d_docs_live_n_100"/>
      <sheetName val="[POWER5.XLA]__d_docs_live_n_101"/>
      <sheetName val="[POWER5.XLA]__d_docs_live_n_104"/>
      <sheetName val="[POWER5.XLA]__d_docs_live_n_103"/>
      <sheetName val="[POWER5.XLA]__d_docs_live_n_105"/>
      <sheetName val="[POWER5.XLA]__d_docs_live_n_106"/>
      <sheetName val="[POWER5.XLA]__d_docs_live_n_107"/>
      <sheetName val="[POWER5.XLA]__d_docs_live_n_108"/>
      <sheetName val="[POWER5.XLA]__d_docs_live_n_110"/>
      <sheetName val="[POWER5.XLA]__d_docs_live_n_109"/>
      <sheetName val="[POWER5.XLA]__soferadvisors__93"/>
      <sheetName val="[POWER5.XLA]__soferadvisors__94"/>
      <sheetName val="[POWER5.XLA]__soferadvisors__95"/>
      <sheetName val="[POWER5.XLA]__soferadvisors__99"/>
      <sheetName val="[POWER5.XLA]__soferadvisors__98"/>
      <sheetName val="[POWER5.XLA]__soferadvisors__96"/>
      <sheetName val="[POWER5.XLA]__soferadvisors__97"/>
      <sheetName val="[POWER5.XLA]__soferadvisors_100"/>
      <sheetName val="[POWER5.XLA]__soferadvisors_101"/>
      <sheetName val="[POWER5.XLA]__qmaxsolutions_644"/>
      <sheetName val="[POWER5.XLA]__qmaxsolutions_645"/>
      <sheetName val="[POWER5.XLA]__qmaxsolutions_646"/>
      <sheetName val="[POWER5.XLA]__qmaxsolutions_647"/>
      <sheetName val="[POWER5.XLA]__qmaxsolutions_649"/>
      <sheetName val="[POWER5.XLA]__qmaxsolutions_648"/>
      <sheetName val="[POWER5.XLA]__qmaxsolutions_659"/>
      <sheetName val="[POWER5.XLA]__qmaxsolutions_650"/>
      <sheetName val="[POWER5.XLA]__qmaxsolutions_652"/>
      <sheetName val="[POWER5.XLA]__qmaxsolutions_651"/>
      <sheetName val="[POWER5.XLA]__qmaxsolutions_655"/>
      <sheetName val="[POWER5.XLA]__qmaxsolutions_653"/>
      <sheetName val="[POWER5.XLA]__qmaxsolutions_654"/>
      <sheetName val="[POWER5.XLA]__qmaxsolutions_656"/>
      <sheetName val="[POWER5.XLA]__qmaxsolutions_657"/>
      <sheetName val="[POWER5.XLA]__qmaxsolutions_658"/>
      <sheetName val="[POWER5.XLA]__qmaxsolutions_660"/>
      <sheetName val="[POWER5.XLA]__qmaxsolutions_661"/>
      <sheetName val="[POWER5.XLA]__soferadvisors_102"/>
      <sheetName val="[POWER5.XLA]__soferadvisors_107"/>
      <sheetName val="[POWER5.XLA]__soferadvisors_103"/>
      <sheetName val="[POWER5.XLA]__soferadvisors_104"/>
      <sheetName val="[POWER5.XLA]__soferadvisors_105"/>
      <sheetName val="[POWER5.XLA]__soferadvisors_106"/>
      <sheetName val="[POWER5.XLA]__soferadvisors_108"/>
      <sheetName val="[POWER5.XLA]__qmaxsolutions_662"/>
      <sheetName val="[POWER5.XLA]__qmaxsolutions_663"/>
      <sheetName val="PL39"/>
      <sheetName val="[POWER5.XLA]__qmaxsolutions_665"/>
      <sheetName val="[POWER5.XLA]__qmaxsolutions_664"/>
      <sheetName val="[POWER5.XLA]__qmaxsolutions_668"/>
      <sheetName val="[POWER5.XLA]__qmaxsolutions_666"/>
      <sheetName val="[POWER5.XLA]__qmaxsolutions_667"/>
      <sheetName val="[POWER5.XLA]__qmaxsolutions_675"/>
      <sheetName val="[POWER5.XLA]__qmaxsolutions_673"/>
      <sheetName val="[POWER5.XLA]__qmaxsolutions_669"/>
      <sheetName val="[POWER5.XLA]__qmaxsolutions_672"/>
      <sheetName val="[POWER5.XLA]__qmaxsolutions_670"/>
      <sheetName val="[POWER5.XLA]__qmaxsolutions_671"/>
      <sheetName val="[POWER5.XLA]__qmaxsolutions_674"/>
      <sheetName val="[POWER5.XLA]__qmaxsolutions_676"/>
      <sheetName val="[POWER5.XLA]__qmaxsolutions_677"/>
      <sheetName val="[POWER5.XLA]__qmaxsolutions_678"/>
      <sheetName val="[POWER5.XLA]__qmaxsolutions_679"/>
      <sheetName val="[POWER5.XLA]__qmaxsolutions_680"/>
      <sheetName val="[POWER5.XLA]__qmaxsolutions_682"/>
      <sheetName val="[POWER5.XLA]__qmaxsolutions_681"/>
      <sheetName val="[POWER5.XLA]__qmaxsolutions_683"/>
      <sheetName val="[POWER5.XLA]__qmaxsolutions_684"/>
      <sheetName val="[POWER5.XLA]__qmaxsolutions_685"/>
      <sheetName val="[POWER5.XLA]__qmaxsolutions_703"/>
      <sheetName val="[POWER5.XLA]__qmaxsolutions_687"/>
      <sheetName val="[POWER5.XLA]__qmaxsolutions_686"/>
      <sheetName val="[POWER5.XLA]__qmaxsolutions_693"/>
      <sheetName val="[POWER5.XLA]__qmaxsolutions_688"/>
      <sheetName val="[POWER5.XLA]__qmaxsolutions_689"/>
      <sheetName val="[POWER5.XLA]__qmaxsolutions_690"/>
      <sheetName val="[POWER5.XLA]__qmaxsolutions_691"/>
      <sheetName val="[POWER5.XLA]__qmaxsolutions_692"/>
      <sheetName val="[POWER5.XLA]__qmaxsolutions_699"/>
      <sheetName val="[POWER5.XLA]__qmaxsolutions_694"/>
      <sheetName val="[POWER5.XLA]__qmaxsolutions_695"/>
      <sheetName val="[POWER5.XLA]__qmaxsolutions_696"/>
      <sheetName val="[POWER5.XLA]__qmaxsolutions_697"/>
      <sheetName val="[POWER5.XLA]__qmaxsolutions_698"/>
      <sheetName val="[POWER5.XLA]__qmaxsolutions_700"/>
      <sheetName val="[POWER5.XLA]__qmaxsolutions_702"/>
      <sheetName val="[POWER5.XLA]__qmaxsolutions_701"/>
      <sheetName val="[POWER5.XLA]__qmaxsolutions_704"/>
      <sheetName val="IS"/>
      <sheetName val="Hist"/>
      <sheetName val="F"/>
      <sheetName val="[POWER5.XLA]__qmaxsolutions_706"/>
      <sheetName val="[POWER5.XLA]__qmaxsolutions_705"/>
      <sheetName val="Sheet3"/>
      <sheetName val="Chain Info"/>
      <sheetName val="Equity set 04"/>
      <sheetName val="Lead"/>
      <sheetName val="XREF"/>
      <sheetName val="Projected 2009 PPC TI"/>
      <sheetName val="980"/>
      <sheetName val="[POWER5.XLA]__qmaxsolutions_707"/>
      <sheetName val="[POWER5.XLA]__qmaxsolutions_708"/>
      <sheetName val="[POWER5.XLA]__qmaxsolutions_709"/>
      <sheetName val="[POWER5.XLA]__qmaxsolutions_715"/>
      <sheetName val="[POWER5.XLA]__qmaxsolutions_711"/>
      <sheetName val="[POWER5.XLA]__qmaxsolutions_710"/>
      <sheetName val="[POWER5.XLA]__qmaxsolutions_712"/>
      <sheetName val="[POWER5.XLA]__qmaxsolutions_713"/>
      <sheetName val="[POWER5.XLA]__qmaxsolutions_714"/>
      <sheetName val="[POWER5.XLA]__qmaxsolutions_717"/>
      <sheetName val="[POWER5.XLA]__qmaxsolutions_716"/>
      <sheetName val="[POWER5.XLA]__qmaxsolutions_718"/>
      <sheetName val="[POWER5.XLA]__qmaxsolutions_719"/>
      <sheetName val="[POWER5.XLA]__qmaxsolutions_720"/>
      <sheetName val="Sales_-_Report_First8"/>
      <sheetName val="POWER5_XLA13"/>
      <sheetName val="proforma_BS7"/>
      <sheetName val="Stock_Analysis7"/>
      <sheetName val="Company_summary_items7"/>
      <sheetName val="Pro_Forma_Income_Statement8"/>
      <sheetName val="Main_Model8"/>
      <sheetName val="Newer_version8"/>
      <sheetName val="GL_Detail8"/>
      <sheetName val="Pro_Forma8"/>
      <sheetName val="Debt_&amp;_Interest7"/>
      <sheetName val="McKinley_P&amp;L8"/>
      <sheetName val="_PT_087"/>
      <sheetName val="_PT_077"/>
      <sheetName val="_PT_117"/>
      <sheetName val="_PT_107"/>
      <sheetName val="_PT_127"/>
      <sheetName val="_PT_137"/>
      <sheetName val="_PT_097"/>
      <sheetName val="_PT_017"/>
      <sheetName val="_PT_047"/>
      <sheetName val="_PT_057"/>
      <sheetName val="_PT_037"/>
      <sheetName val="Données_Spéc_7"/>
      <sheetName val="PV_-_CTLM7"/>
      <sheetName val="PV_-_MTLK7"/>
      <sheetName val="Deal_Info_&amp;_Print_Menu7"/>
      <sheetName val="Product_Trends7"/>
      <sheetName val="EBITDA_Bridge7"/>
      <sheetName val="WC_analytics_(+data_pages)7"/>
      <sheetName val="YEAR_1_7"/>
      <sheetName val="Sched_A97"/>
      <sheetName val="Historical_Actuals7"/>
      <sheetName val="Emory_Vols_Jan-Dec_20067"/>
      <sheetName val="Pro_Forma_Credit_7"/>
      <sheetName val="Entrada_Dados7"/>
      <sheetName val="Capital_Expenditure_Input_Shee7"/>
      <sheetName val="Operating_Expense_Input_Sheet7"/>
      <sheetName val="Comet_Reference_Tab7"/>
      <sheetName val="2000_Activity8"/>
      <sheetName val="total_Commonwealth8"/>
      <sheetName val="CHK_REQ8"/>
      <sheetName val="SW_2122188"/>
      <sheetName val="N_TX_-_19978"/>
      <sheetName val="Customize_Your_Invoice8"/>
      <sheetName val="Rev_Tracker7"/>
      <sheetName val="GER_IFO_vs_Const8"/>
      <sheetName val="Europe_sales_Graph8"/>
      <sheetName val="EU_Ind_vs_EU_Cons8"/>
      <sheetName val="BASE_DATA7"/>
      <sheetName val="Insulin_Sales_-_NA8"/>
      <sheetName val="Insulin_Sales_-_EU8"/>
      <sheetName val="Insulin_Sales_-_Japan8"/>
      <sheetName val="Deal_Matrix8"/>
      <sheetName val="Model_Driver8"/>
      <sheetName val="Scenario_Management7"/>
      <sheetName val="_Cash_Flow7"/>
      <sheetName val="_P&amp;L-Projection7"/>
      <sheetName val="Dividend_Analysis_Assumptions7"/>
      <sheetName val="Multiples_Summary7"/>
      <sheetName val="IS_&amp;_CF7"/>
      <sheetName val="CASH_FLOW_MONTH_FC7"/>
      <sheetName val="Inc_Stmt_MONTH_FC7"/>
      <sheetName val="BS_ASSETS_FC7"/>
      <sheetName val="General_Assump7"/>
      <sheetName val="\Applications\Microsoft_Office7"/>
      <sheetName val="CloseTable_Prior7"/>
      <sheetName val="Co_List7"/>
      <sheetName val="Royal_Carib__Model7"/>
      <sheetName val="BIS_LIST-NTH_187"/>
      <sheetName val="Drop_Down_Lists7"/>
      <sheetName val="SCIMED_Old7"/>
      <sheetName val="//na1_salesforce_com/Applicati7"/>
      <sheetName val="Buyers_Competitors_(2)7"/>
      <sheetName val="Trial_Balance7"/>
      <sheetName val="E&amp;Y_Format7"/>
      <sheetName val="\J\Applications\Microsoft_Offi7"/>
      <sheetName val="Print_Controls7"/>
      <sheetName val="Input_Page7"/>
      <sheetName val="D_&amp;_A7"/>
      <sheetName val="chad10_June027"/>
      <sheetName val="chad12_Dec027"/>
      <sheetName val="Daily_Sales7"/>
      <sheetName val="[POWER5_XLA]__qmaxsolutions_m41"/>
      <sheetName val="Share_Prices7"/>
      <sheetName val="Consolidated_Financials7"/>
      <sheetName val="Equity_Index6"/>
      <sheetName val="Model_Summary6"/>
      <sheetName val="Purchase_vs__Rights6"/>
      <sheetName val="CIH_Sensitivities6"/>
      <sheetName val="Tables_for_Memo_Update_2-9-096"/>
      <sheetName val="Cashflow_Model6"/>
      <sheetName val="Cap_Sheet6"/>
      <sheetName val="//aodocs_altirnao_com/webdav/11"/>
      <sheetName val="//aodocs_altirnao_com/webdav/12"/>
      <sheetName val="CG_Alloc6"/>
      <sheetName val="Inputs_&amp;_Pro_Formas6"/>
      <sheetName val="[POWER5_XLA]\Applications\Micr6"/>
      <sheetName val="[POWER5_XLA]//na1_salesforce_c6"/>
      <sheetName val="[POWER5_XLA]\\sfdc\DFS\Applica6"/>
      <sheetName val="[POWER5_XLA]//qmaxsolutions-my6"/>
      <sheetName val="[POWER5_XLA][POWER5_XLA][POWER7"/>
      <sheetName val="[POWER5_XLA][POWER5_XLA]\Appli6"/>
      <sheetName val="[POWER5_XLA][POWER5_XLA]//na1_6"/>
      <sheetName val="[POWER5_XLA][POWER5_XLA]\\sfdc6"/>
      <sheetName val="[POWER5_XLA][POWER5_XLA]//qmax6"/>
      <sheetName val="[POWER5_XLA][POWER5_XLA]\J\App6"/>
      <sheetName val="[POWER5_XLA]\J\Applications\Mi6"/>
      <sheetName val="P&amp;L_by_Month6"/>
      <sheetName val="T_DCF6"/>
      <sheetName val="input_for_decending_analysis6"/>
      <sheetName val="ROCE-WACC_EVtoEBITDA6"/>
      <sheetName val="US_Ops_Account_Detail6"/>
      <sheetName val="Fin_Flows6"/>
      <sheetName val="Marketing_Stats6"/>
      <sheetName val="Statement_of_Cash_Flows6"/>
      <sheetName val="Comps_Table6"/>
      <sheetName val="Iss__Vol__(Outp_)6"/>
      <sheetName val="Cost_Centers_and_PMTs6"/>
      <sheetName val="DAS_&amp;_Networking_Costs6"/>
      <sheetName val="Stock_Chart6"/>
      <sheetName val="BU_Logic5"/>
      <sheetName val="Trending_Inc_Stmt6"/>
      <sheetName val="Sources_&amp;_Uses6"/>
      <sheetName val="Cell_Links5"/>
      <sheetName val="Control_Sheet6"/>
      <sheetName val="Data_sheet6"/>
      <sheetName val="Pricing_Graphs5"/>
      <sheetName val="CoTrans_Input_Sheet5"/>
      <sheetName val="WACC_Analysis5"/>
      <sheetName val="Rev_Build5"/>
      <sheetName val="\Users\Dan\Library\Application6"/>
      <sheetName val="Covenant_Wksht6"/>
      <sheetName val="Combined_Divisionals5"/>
      <sheetName val="P&amp;L_Tables_For_Report5"/>
      <sheetName val="CHARTS_for_report5"/>
      <sheetName val="Gastos_Detallados_Opt5"/>
      <sheetName val="Corp_Brd5"/>
      <sheetName val="Master_Comps5"/>
      <sheetName val="Share_Repurchase_Benchmarking5"/>
      <sheetName val="Risc_Financiero5"/>
      <sheetName val="Lookup_Tables5"/>
      <sheetName val="2018_All_Brands6"/>
      <sheetName val="2018_Lipoflavonoid6"/>
      <sheetName val="2018_Florajen6"/>
      <sheetName val="2018_CertainDri6"/>
      <sheetName val="2018_Cystex6"/>
      <sheetName val="2018_Absorbine6"/>
      <sheetName val="2018_Albolene6"/>
      <sheetName val="2018_AntiMonkeyButt6"/>
      <sheetName val="2018_Non_Branded_0006"/>
      <sheetName val="CoCos_Output_Sheet5"/>
      <sheetName val="C_B__4_Installed5"/>
      <sheetName val="A_CUENTA5"/>
      <sheetName val="Rexall_Sundown5"/>
      <sheetName val="SD_and_NB_Magazine5"/>
      <sheetName val="OP_Sum5"/>
      <sheetName val="Asset_(VIN)_Data5"/>
      <sheetName val="Item_Data5"/>
      <sheetName val="commercial_construction5"/>
      <sheetName val="crack_spreads5"/>
      <sheetName val="new_orders5"/>
      <sheetName val="IFO_Manufacturing_Business_Cli5"/>
      <sheetName val="Power_&amp;_Fuel(SMS)5"/>
      <sheetName val="LC_PF5"/>
      <sheetName val="Portfolio_Budget5"/>
      <sheetName val="Issue_Log5"/>
      <sheetName val="Asset_Transfer_Screen_Shot5"/>
      <sheetName val="Asset_Proposal_List5"/>
      <sheetName val="Asset_Proposal-Screen_Shots5"/>
      <sheetName val="Data_Import_Template5"/>
      <sheetName val="New_Asset_List5"/>
      <sheetName val="New_Asset_Screen_Shots5"/>
      <sheetName val="FAMAsset_as_of_12_31_185"/>
      <sheetName val="Summary_Exhibit_II5"/>
      <sheetName val="[POWER5_XLA]__qmaxsolutions_512"/>
      <sheetName val="Wound_Case5"/>
      <sheetName val="//na1_salesforce_co5"/>
      <sheetName val="//qmaxsolutions-my_5"/>
      <sheetName val="[POWER5_XLA][POWER55"/>
      <sheetName val="[POWER5_XLA]\Applic5"/>
      <sheetName val="[POWER5_XLA]//na1_s5"/>
      <sheetName val="[POWER5_XLA]\\sfdc\5"/>
      <sheetName val="[POWER5_XLA]//qmaxs5"/>
      <sheetName val="[POWER5_XLA]\J\Appl5"/>
      <sheetName val="ISQ_LBO_-_Full_Company5"/>
      <sheetName val="[POWER5_XLA]__qmaxsolutions_m42"/>
      <sheetName val="[POWER5_XLA]__qmaxsolutions_m43"/>
      <sheetName val="[POWER5_XLA]__qmaxsolutions_m44"/>
      <sheetName val="[POWER5_XLA]__qmaxsolutions_m45"/>
      <sheetName val="Sales_Forecast5"/>
      <sheetName val="[POWER5_XLA]__qmaxsolutions_m46"/>
      <sheetName val="Data_Validation5"/>
      <sheetName val="2015_Forecast5"/>
      <sheetName val="Gross_Margin_Build5"/>
      <sheetName val="Output_Model5"/>
      <sheetName val="Lease_summary5"/>
      <sheetName val="[POWER5_XLA]__qmaxsolutions_m47"/>
      <sheetName val="[POWER5_XLA]__qmaxsolutions_m48"/>
      <sheetName val="[POWER5_XLA]__qmaxsolutions_513"/>
      <sheetName val="[POWER5_XLA]__qmaxsolutions_514"/>
      <sheetName val="[POWER5_XLA]__qmaxsolutions_515"/>
      <sheetName val="[POWER5_XLA]__qmaxsolutions_516"/>
      <sheetName val="[POWER5_XLA]__qmaxsolutions_517"/>
      <sheetName val="[POWER5_XLA]__qmaxsolutions_518"/>
      <sheetName val="[POWER5_XLA]__qmaxsolutions_519"/>
      <sheetName val="[POWER5_XLA]__qmaxsolutions_520"/>
      <sheetName val="[POWER5_XLA]__qmaxsolutions_521"/>
      <sheetName val="[POWER5_XLA]__qmaxsolutions_522"/>
      <sheetName val="[POWER5_XLA]__qmaxsolutions_523"/>
      <sheetName val="[POWER5_XLA]__qmaxsolutions_524"/>
      <sheetName val="[POWER5_XLA]__qmaxsolutions_525"/>
      <sheetName val="[POWER5_XLA]__qmaxsolutions_526"/>
      <sheetName val="[POWER5_XLA]__qmaxsolutions_527"/>
      <sheetName val="[POWER5_XLA]__qmaxsolutions_528"/>
      <sheetName val="[POWER5_XLA]__qmaxsolutions_529"/>
      <sheetName val="[POWER5_XLA]__qmaxsolutions_530"/>
      <sheetName val="[POWER5_XLA]__qmaxsolutions_531"/>
      <sheetName val="[POWER5_XLA]__qmaxsolutions_532"/>
      <sheetName val="FIRE_ALARM5"/>
      <sheetName val="FX_Rates5"/>
      <sheetName val="Tax_Stock_deal5"/>
      <sheetName val="Tax_Asset_deal5"/>
      <sheetName val="Tax_S_Corp5"/>
      <sheetName val="Financial_Request_List5"/>
      <sheetName val="Tax_Request_List5"/>
      <sheetName val="Cash_proof5"/>
      <sheetName val="TB_-_IS5"/>
      <sheetName val="TB_BS5"/>
      <sheetName val="GT_Discussion&gt;5"/>
      <sheetName val="COR_-_SoftwareHardware_Maint5"/>
      <sheetName val="COR_-_Consultants5"/>
      <sheetName val="COR_-_Co_hosting5"/>
      <sheetName val="Opex-Professional_services5"/>
      <sheetName val="GT_Custom6"/>
      <sheetName val="WC2_(2)5"/>
      <sheetName val="Debt_Amortization5"/>
      <sheetName val="Vector_Inputs5"/>
      <sheetName val="Data_Input5"/>
      <sheetName val="MM_Mapping5"/>
      <sheetName val="Customer_split5"/>
      <sheetName val="Depr_Amortisation_check5"/>
      <sheetName val="Working_capital5"/>
      <sheetName val="Summary_Financial_Statement5"/>
      <sheetName val="Op_Balances_20195"/>
      <sheetName val="Look_up5"/>
      <sheetName val="AOP_Summary-25"/>
      <sheetName val="Employee_Data5"/>
      <sheetName val="Cover_Page5"/>
      <sheetName val="Transmittal_Letter5"/>
      <sheetName val="Key_Analyses5"/>
      <sheetName val="Adjusted_Summary_P&amp;L5"/>
      <sheetName val="NWC_Analysis5"/>
      <sheetName val="Adjusted_NWC_Graph5"/>
      <sheetName val="GSM_Analyses5"/>
      <sheetName val="GSM_Bridge_FY17_-_FY185"/>
      <sheetName val="GSM_Bridge_FY18_-_FY195"/>
      <sheetName val="Grace_-_Alum5"/>
      <sheetName val="Grace_-_LSA5"/>
      <sheetName val="Grace_-_ACH5"/>
      <sheetName val="Shell_-_Alum5"/>
      <sheetName val="Shell_-_LSA5"/>
      <sheetName val="Detailed_IS5"/>
      <sheetName val="Balance_Sheet_Summary5"/>
      <sheetName val="Scope_Reconciliation5"/>
      <sheetName val="[POWER5_XLA]__qmaxsolutions_533"/>
      <sheetName val="[POWER5_XLA]__qmaxsolutions_534"/>
      <sheetName val="[POWER5_XLA]__qmaxsolutions_535"/>
      <sheetName val="Cash_flow_worksheet5"/>
      <sheetName val="Inc_Stmt5"/>
      <sheetName val="Bal_Sht5"/>
      <sheetName val="[POWER5_XLA]__qmaxsolutions_536"/>
      <sheetName val="[POWER5_XLA]__qmaxsolutions_537"/>
      <sheetName val="[POWER5_XLA]__qmaxsolutions_538"/>
      <sheetName val="[POWER5_XLA]__qmaxsolutions_539"/>
      <sheetName val="[POWER5_XLA]__qmaxsolutions_540"/>
      <sheetName val="[POWER5_XLA]__qmaxsolutions_541"/>
      <sheetName val="[POWER5_XLA]__qmaxsolutions_542"/>
      <sheetName val="[POWER5_XLA]__qmaxsolutions_543"/>
      <sheetName val="investment-_acounting5"/>
      <sheetName val="Dividend_IPORecap_Analysis5"/>
      <sheetName val="[POWER5_XLA]__sfdc_DFS_Applic_6"/>
      <sheetName val="novmar_actuals5"/>
      <sheetName val="06-030_Capital_Gains_and_Losse5"/>
      <sheetName val="Area_by_JC5"/>
      <sheetName val="Equity_Database5"/>
      <sheetName val="MARKET_PRICES5"/>
      <sheetName val="RED_Forecast5"/>
      <sheetName val="TEN_side5"/>
      <sheetName val="Balance_Sheet_Standard_-Feb5"/>
      <sheetName val="Balance_Sheet_Standard5"/>
      <sheetName val="Balance_sheet_Actual_to_Budget5"/>
      <sheetName val="Balance_sheet_Actual_to_Bud_Fe5"/>
      <sheetName val="Feb_195"/>
      <sheetName val="Mar_195"/>
      <sheetName val="April_195"/>
      <sheetName val="May_20195"/>
      <sheetName val="June_195"/>
      <sheetName val="July_20195"/>
      <sheetName val="Aug_20195"/>
      <sheetName val="cash_flow-_Monthly_(2)5"/>
      <sheetName val="cash_flow_monthly5"/>
      <sheetName val="cash_flow_YTD_5"/>
      <sheetName val="Budgeted_BS_2018-195"/>
      <sheetName val="cash_flow-_2018-195"/>
      <sheetName val="Budget_cash_flow_20185"/>
      <sheetName val="[POWER5_XLA]__qmaxsolutions_544"/>
      <sheetName val="[POWER5_XLA]__qmaxsolutions_545"/>
      <sheetName val="Cons_(2)5"/>
      <sheetName val="GHA_orig5"/>
      <sheetName val="EFASB13_(US-12)5"/>
      <sheetName val="chart_of_accounts5"/>
      <sheetName val="[POWER5_XLA]__qmaxsolutions_546"/>
      <sheetName val="[POWER5_XLA]__qmaxsolutions_547"/>
      <sheetName val="[POWER5_XLA]__qmaxsolutions_548"/>
      <sheetName val="[POWER5_XLA]__qmaxsolutions_549"/>
      <sheetName val="[POWER5_XLA]__qmaxsolutions_550"/>
      <sheetName val="[POWER5_XLA]__qmaxsolutions_551"/>
      <sheetName val="[POWER5_XLA]__qmaxsolutions_552"/>
      <sheetName val="[POWER5_XLA]__qmaxsolutions_553"/>
      <sheetName val="[POWER5_XLA]__qmaxsolutions_554"/>
      <sheetName val="[POWER5_XLA]__qmaxsolutions_555"/>
      <sheetName val="[POWER5_XLA]__qmaxsolutions_556"/>
      <sheetName val="[POWER5_XLA]__qmaxsolutions_557"/>
      <sheetName val="[POWER5_XLA]__qmaxsolutions_558"/>
      <sheetName val="[POWER5_XLA]__qmaxsolutions_559"/>
      <sheetName val="[POWER5_XLA]__qmaxsolutions_560"/>
      <sheetName val="[POWER5_XLA]__qmaxsolutions_561"/>
      <sheetName val="[POWER5_XLA]__qmaxsolutions_562"/>
      <sheetName val="[POWER5_XLA]__qmaxsolutions_563"/>
      <sheetName val="[POWER5_XLA]__qmaxsolutions_564"/>
      <sheetName val="[POWER5_XLA]__qmaxsolutions_565"/>
      <sheetName val="[POWER5_XLA]__qmaxsolutions_566"/>
      <sheetName val="[POWER5_XLA]__qmaxsolutions_567"/>
      <sheetName val="Program_Loss_Control4"/>
      <sheetName val="[POWER5_XLA]__qmaxsolutions_568"/>
      <sheetName val="[POWER5_XLA]__qmaxsolutions_569"/>
      <sheetName val="[POWER5_XLA]__qmaxsolutions_570"/>
      <sheetName val="[POWER5_XLA]__qmaxsolutions_571"/>
      <sheetName val="[POWER5_XLA]__qmaxsolutions_572"/>
      <sheetName val="[POWER5_XLA]__qmaxsolutions_573"/>
      <sheetName val="[POWER5_XLA]__qmaxsolutions_574"/>
      <sheetName val="[POWER5_XLA]__qmaxsolutions_575"/>
      <sheetName val="[POWER5_XLA]__qmaxsolutions_576"/>
      <sheetName val="[POWER5_XLA]__qmaxsolutions_577"/>
      <sheetName val="[POWER5_XLA]__qmaxsolutions_578"/>
      <sheetName val="[POWER5_XLA]__qmaxsolutions_579"/>
      <sheetName val="[POWER5_XLA]__qmaxsolutions_580"/>
      <sheetName val="[POWER5_XLA]__qmaxsolutions_581"/>
      <sheetName val="[POWER5_XLA]__qmaxsolutions_582"/>
      <sheetName val="[POWER5_XLA]__qmaxsolutions_583"/>
      <sheetName val="[POWER5_XLA]__qmaxsolutions_584"/>
      <sheetName val="[POWER5_XLA]__qmaxsolutions_585"/>
      <sheetName val="[POWER5_XLA]__qmaxsolutions_586"/>
      <sheetName val="[POWER5_XLA]__qmaxsolutions_587"/>
      <sheetName val="[POWER5_XLA]__qmaxsolutions_588"/>
      <sheetName val="[POWER5_XLA]__qmaxsolutions_589"/>
      <sheetName val="[POWER5_XLA]__qmaxsolutions_590"/>
      <sheetName val="[POWER5_XLA]__qmaxsolutions_591"/>
      <sheetName val="[POWER5_XLA]__qmaxsolutions_592"/>
      <sheetName val="[POWER5_XLA]__qmaxsolutions_593"/>
      <sheetName val="[POWER5_XLA]__qmaxsolutions_594"/>
      <sheetName val="[POWER5_XLA]__qmaxsolutions_595"/>
      <sheetName val="[POWER5_XLA]__qmaxsolutions_596"/>
      <sheetName val="[POWER5_XLA]__qmaxsolutions_597"/>
      <sheetName val="[POWER5_XLA]__qmaxsolutions_598"/>
      <sheetName val="[POWER5_XLA]__qmaxsolutions_599"/>
      <sheetName val="[POWER5_XLA]__qmaxsolutions_600"/>
      <sheetName val="[POWER5_XLA]__qmaxsolutions_601"/>
      <sheetName val="[POWER5_XLA]__qmaxsolutions_602"/>
      <sheetName val="[POWER5_XLA]__qmaxsolutions_603"/>
      <sheetName val="[POWER5_XLA]__qmaxsolutions_604"/>
      <sheetName val="[POWER5_XLA]__qmaxsolutions_605"/>
      <sheetName val="[POWER5_XLA]__qmaxsolutions_606"/>
      <sheetName val="[POWER5_XLA]__qmaxsolutions_607"/>
      <sheetName val="[POWER5_XLA]__qmaxsolutions_608"/>
      <sheetName val="[POWER5_XLA]__qmaxsolutions_609"/>
      <sheetName val="[POWER5_XLA]__qmaxsolutions_610"/>
      <sheetName val="[POWER5_XLA]__qmaxsolutions_611"/>
      <sheetName val="[POWER5_XLA]__qmaxsolutions_612"/>
      <sheetName val="[POWER5_XLA]__qmaxsolutions_613"/>
      <sheetName val="[POWER5_XLA]__qmaxsolutions_614"/>
      <sheetName val="[POWER5_XLA]__qmaxsolutions_615"/>
      <sheetName val="[POWER5_XLA]__qmaxsolutions_616"/>
      <sheetName val="[POWER5_XLA]__qmaxsolutions_617"/>
      <sheetName val="[POWER5_XLA]__qmaxsolutions_618"/>
      <sheetName val="[POWER5_XLA]__qmaxsolutions_619"/>
      <sheetName val="[POWER5_XLA]__qmaxsolutions_620"/>
      <sheetName val="[POWER5_XLA]__qmaxsolutions_621"/>
      <sheetName val="[POWER5_XLA]__qmaxsolutions_622"/>
      <sheetName val="[POWER5_XLA]__qmaxsolutions_623"/>
      <sheetName val="[POWER5_XLA]__qmaxsolutions_624"/>
      <sheetName val="[POWER5_XLA]__qmaxsolutions_625"/>
      <sheetName val="[POWER5_XLA]__qmaxsolutions_626"/>
      <sheetName val="[POWER5_XLA]__qmaxsolutions_627"/>
      <sheetName val="[POWER5_XLA]__qmaxsolutions_628"/>
      <sheetName val="[POWER5_XLA]__qmaxsolutions_629"/>
      <sheetName val="[POWER5_XLA]__qmaxsolutions_630"/>
      <sheetName val="[POWER5_XLA]__qmaxsolutions_631"/>
      <sheetName val="[POWER5_XLA]__qmaxsolutions_632"/>
      <sheetName val="[POWER5_XLA]__qmaxsolutions_633"/>
      <sheetName val="[POWER5_XLA]__qmaxsolutions_634"/>
      <sheetName val="[POWER5_XLA]__qmaxsolutions_635"/>
      <sheetName val="[POWER5_XLA]__qmaxsolutions_636"/>
      <sheetName val="[POWER5_XLA]__qmaxsolutions_637"/>
      <sheetName val="[POWER5_XLA]__qmaxsolutions_638"/>
      <sheetName val="[POWER5_XLA]__qmaxsolutions_639"/>
      <sheetName val="[POWER5_XLA]__qmaxsolutions_640"/>
      <sheetName val="[POWER5_XLA]__qmaxsolutions_641"/>
      <sheetName val="[POWER5_XLA]__qmaxsolutions_642"/>
      <sheetName val="[POWER5_XLA]__qmaxsolutions_643"/>
      <sheetName val="[POWER5_XLA]__qmaxsolutions_644"/>
      <sheetName val="[POWER5_XLA]__qmaxsolutions_645"/>
      <sheetName val="[POWER5_XLA]__qmaxsolutions_646"/>
      <sheetName val="[POWER5_XLA]__qmaxsolutions_647"/>
      <sheetName val="[POWER5_XLA]__qmaxsolutions_648"/>
      <sheetName val="[POWER5_XLA]__qmaxsolutions_649"/>
      <sheetName val="[POWER5_XLA]__qmaxsolutions_650"/>
      <sheetName val="[POWER5_XLA]__qmaxsolutions_651"/>
      <sheetName val="[POWER5_XLA]__qmaxsolutions_652"/>
      <sheetName val="[POWER5_XLA]__qmaxsolutions_653"/>
      <sheetName val="[POWER5_XLA]__qmaxsolutions_654"/>
      <sheetName val="Sales_-_Report_First9"/>
      <sheetName val="POWER5_XLA14"/>
      <sheetName val="proforma_BS8"/>
      <sheetName val="Stock_Analysis8"/>
      <sheetName val="Company_summary_items8"/>
      <sheetName val="Pro_Forma_Income_Statement9"/>
      <sheetName val="Main_Model9"/>
      <sheetName val="Newer_version9"/>
      <sheetName val="GL_Detail9"/>
      <sheetName val="Pro_Forma9"/>
      <sheetName val="Debt_&amp;_Interest8"/>
      <sheetName val="McKinley_P&amp;L9"/>
      <sheetName val="_PT_088"/>
      <sheetName val="_PT_078"/>
      <sheetName val="_PT_118"/>
      <sheetName val="_PT_108"/>
      <sheetName val="_PT_128"/>
      <sheetName val="_PT_138"/>
      <sheetName val="_PT_098"/>
      <sheetName val="_PT_018"/>
      <sheetName val="_PT_048"/>
      <sheetName val="_PT_058"/>
      <sheetName val="_PT_038"/>
      <sheetName val="Données_Spéc_8"/>
      <sheetName val="PV_-_CTLM8"/>
      <sheetName val="PV_-_MTLK8"/>
      <sheetName val="Deal_Info_&amp;_Print_Menu8"/>
      <sheetName val="Product_Trends8"/>
      <sheetName val="EBITDA_Bridge8"/>
      <sheetName val="WC_analytics_(+data_pages)8"/>
      <sheetName val="YEAR_1_8"/>
      <sheetName val="Sched_A98"/>
      <sheetName val="Historical_Actuals8"/>
      <sheetName val="Emory_Vols_Jan-Dec_20068"/>
      <sheetName val="Pro_Forma_Credit_8"/>
      <sheetName val="Entrada_Dados8"/>
      <sheetName val="Capital_Expenditure_Input_Shee8"/>
      <sheetName val="Operating_Expense_Input_Sheet8"/>
      <sheetName val="Comet_Reference_Tab8"/>
      <sheetName val="2000_Activity9"/>
      <sheetName val="total_Commonwealth9"/>
      <sheetName val="CHK_REQ9"/>
      <sheetName val="SW_2122189"/>
      <sheetName val="N_TX_-_19979"/>
      <sheetName val="Customize_Your_Invoice9"/>
      <sheetName val="Rev_Tracker8"/>
      <sheetName val="GER_IFO_vs_Const9"/>
      <sheetName val="Europe_sales_Graph9"/>
      <sheetName val="EU_Ind_vs_EU_Cons9"/>
      <sheetName val="BASE_DATA8"/>
      <sheetName val="Insulin_Sales_-_NA9"/>
      <sheetName val="Insulin_Sales_-_EU9"/>
      <sheetName val="Insulin_Sales_-_Japan9"/>
      <sheetName val="Deal_Matrix9"/>
      <sheetName val="Model_Driver9"/>
      <sheetName val="Scenario_Management8"/>
      <sheetName val="_Cash_Flow8"/>
      <sheetName val="_P&amp;L-Projection8"/>
      <sheetName val="Dividend_Analysis_Assumptions8"/>
      <sheetName val="Multiples_Summary8"/>
      <sheetName val="IS_&amp;_CF8"/>
      <sheetName val="CASH_FLOW_MONTH_FC8"/>
      <sheetName val="Inc_Stmt_MONTH_FC8"/>
      <sheetName val="BS_ASSETS_FC8"/>
      <sheetName val="General_Assump8"/>
      <sheetName val="\Applications\Microsoft_Office8"/>
      <sheetName val="CloseTable_Prior8"/>
      <sheetName val="Co_List8"/>
      <sheetName val="Royal_Carib__Model8"/>
      <sheetName val="BIS_LIST-NTH_188"/>
      <sheetName val="Drop_Down_Lists8"/>
      <sheetName val="SCIMED_Old8"/>
      <sheetName val="//na1_salesforce_com/Applicati8"/>
      <sheetName val="Buyers_Competitors_(2)8"/>
      <sheetName val="Trial_Balance8"/>
      <sheetName val="E&amp;Y_Format8"/>
      <sheetName val="\J\Applications\Microsoft_Offi8"/>
      <sheetName val="Print_Controls8"/>
      <sheetName val="Input_Page8"/>
      <sheetName val="D_&amp;_A8"/>
      <sheetName val="chad10_June028"/>
      <sheetName val="chad12_Dec028"/>
      <sheetName val="Daily_Sales8"/>
      <sheetName val="[POWER5_XLA]__qmaxsolutions_m49"/>
      <sheetName val="Share_Prices8"/>
      <sheetName val="Consolidated_Financials8"/>
      <sheetName val="Equity_Index7"/>
      <sheetName val="Model_Summary7"/>
      <sheetName val="Purchase_vs__Rights7"/>
      <sheetName val="CIH_Sensitivities7"/>
      <sheetName val="Tables_for_Memo_Update_2-9-097"/>
      <sheetName val="Cashflow_Model7"/>
      <sheetName val="Cap_Sheet7"/>
      <sheetName val="//aodocs_altirnao_com/webdav/13"/>
      <sheetName val="//aodocs_altirnao_com/webdav/14"/>
      <sheetName val="CG_Alloc7"/>
      <sheetName val="Inputs_&amp;_Pro_Formas7"/>
      <sheetName val="[POWER5_XLA]\Applications\Micr7"/>
      <sheetName val="[POWER5_XLA]//na1_salesforce_c7"/>
      <sheetName val="[POWER5_XLA]\\sfdc\DFS\Applica7"/>
      <sheetName val="[POWER5_XLA]//qmaxsolutions-my7"/>
      <sheetName val="[POWER5_XLA][POWER5_XLA][POWER8"/>
      <sheetName val="[POWER5_XLA][POWER5_XLA]\Appli7"/>
      <sheetName val="[POWER5_XLA][POWER5_XLA]//na1_7"/>
      <sheetName val="[POWER5_XLA][POWER5_XLA]\\sfdc7"/>
      <sheetName val="[POWER5_XLA][POWER5_XLA]//qmax7"/>
      <sheetName val="[POWER5_XLA][POWER5_XLA]\J\App7"/>
      <sheetName val="[POWER5_XLA]\J\Applications\Mi7"/>
      <sheetName val="P&amp;L_by_Month7"/>
      <sheetName val="T_DCF7"/>
      <sheetName val="input_for_decending_analysis7"/>
      <sheetName val="ROCE-WACC_EVtoEBITDA7"/>
      <sheetName val="US_Ops_Account_Detail7"/>
      <sheetName val="Fin_Flows7"/>
      <sheetName val="Marketing_Stats7"/>
      <sheetName val="Statement_of_Cash_Flows7"/>
      <sheetName val="Comps_Table7"/>
      <sheetName val="Iss__Vol__(Outp_)7"/>
      <sheetName val="Cost_Centers_and_PMTs7"/>
      <sheetName val="DAS_&amp;_Networking_Costs7"/>
      <sheetName val="Stock_Chart7"/>
      <sheetName val="BU_Logic6"/>
      <sheetName val="Trending_Inc_Stmt7"/>
      <sheetName val="Sources_&amp;_Uses7"/>
      <sheetName val="Cell_Links6"/>
      <sheetName val="Control_Sheet7"/>
      <sheetName val="Data_sheet7"/>
      <sheetName val="Pricing_Graphs6"/>
      <sheetName val="CoTrans_Input_Sheet6"/>
      <sheetName val="WACC_Analysis6"/>
      <sheetName val="Rev_Build6"/>
      <sheetName val="\Users\Dan\Library\Application7"/>
      <sheetName val="Covenant_Wksht7"/>
      <sheetName val="Combined_Divisionals6"/>
      <sheetName val="P&amp;L_Tables_For_Report6"/>
      <sheetName val="CHARTS_for_report6"/>
      <sheetName val="Gastos_Detallados_Opt6"/>
      <sheetName val="Corp_Brd6"/>
      <sheetName val="Master_Comps6"/>
      <sheetName val="Share_Repurchase_Benchmarking6"/>
      <sheetName val="Risc_Financiero6"/>
      <sheetName val="Lookup_Tables6"/>
      <sheetName val="2018_All_Brands7"/>
      <sheetName val="2018_Lipoflavonoid7"/>
      <sheetName val="2018_Florajen7"/>
      <sheetName val="2018_CertainDri7"/>
      <sheetName val="2018_Cystex7"/>
      <sheetName val="2018_Absorbine7"/>
      <sheetName val="2018_Albolene7"/>
      <sheetName val="2018_AntiMonkeyButt7"/>
      <sheetName val="2018_Non_Branded_0007"/>
      <sheetName val="CoCos_Output_Sheet6"/>
      <sheetName val="C_B__4_Installed6"/>
      <sheetName val="A_CUENTA6"/>
      <sheetName val="Rexall_Sundown6"/>
      <sheetName val="SD_and_NB_Magazine6"/>
      <sheetName val="OP_Sum6"/>
      <sheetName val="Asset_(VIN)_Data6"/>
      <sheetName val="Item_Data6"/>
      <sheetName val="commercial_construction6"/>
      <sheetName val="crack_spreads6"/>
      <sheetName val="new_orders6"/>
      <sheetName val="IFO_Manufacturing_Business_Cli6"/>
      <sheetName val="Power_&amp;_Fuel(SMS)6"/>
      <sheetName val="LC_PF6"/>
      <sheetName val="Portfolio_Budget6"/>
      <sheetName val="Issue_Log6"/>
      <sheetName val="Asset_Transfer_Screen_Shot6"/>
      <sheetName val="Asset_Proposal_List6"/>
      <sheetName val="Asset_Proposal-Screen_Shots6"/>
      <sheetName val="Data_Import_Template6"/>
      <sheetName val="New_Asset_List6"/>
      <sheetName val="New_Asset_Screen_Shots6"/>
      <sheetName val="FAMAsset_as_of_12_31_186"/>
      <sheetName val="Summary_Exhibit_II6"/>
      <sheetName val="[POWER5_XLA]__qmaxsolutions_655"/>
      <sheetName val="Wound_Case6"/>
      <sheetName val="//na1_salesforce_co6"/>
      <sheetName val="//qmaxsolutions-my_6"/>
      <sheetName val="[POWER5_XLA][POWER56"/>
      <sheetName val="[POWER5_XLA]\Applic6"/>
      <sheetName val="[POWER5_XLA]//na1_s6"/>
      <sheetName val="[POWER5_XLA]\\sfdc\6"/>
      <sheetName val="[POWER5_XLA]//qmaxs6"/>
      <sheetName val="[POWER5_XLA]\J\Appl6"/>
      <sheetName val="ISQ_LBO_-_Full_Company6"/>
      <sheetName val="[POWER5_XLA]__qmaxsolutions_m50"/>
      <sheetName val="[POWER5_XLA]__qmaxsolutions_m51"/>
      <sheetName val="[POWER5_XLA]__qmaxsolutions_m52"/>
      <sheetName val="[POWER5_XLA]__qmaxsolutions_m53"/>
      <sheetName val="Sales_Forecast6"/>
      <sheetName val="[POWER5_XLA]__qmaxsolutions_m54"/>
      <sheetName val="Data_Validation6"/>
      <sheetName val="2015_Forecast6"/>
      <sheetName val="Gross_Margin_Build6"/>
      <sheetName val="Output_Model6"/>
      <sheetName val="Lease_summary6"/>
      <sheetName val="[POWER5_XLA]__qmaxsolutions_m55"/>
      <sheetName val="[POWER5_XLA]__qmaxsolutions_m56"/>
      <sheetName val="[POWER5_XLA]__qmaxsolutions_656"/>
      <sheetName val="[POWER5_XLA]__qmaxsolutions_657"/>
      <sheetName val="[POWER5_XLA]__qmaxsolutions_658"/>
      <sheetName val="[POWER5_XLA]__qmaxsolutions_659"/>
      <sheetName val="[POWER5_XLA]__qmaxsolutions_660"/>
      <sheetName val="[POWER5_XLA]__qmaxsolutions_661"/>
      <sheetName val="[POWER5_XLA]__qmaxsolutions_662"/>
      <sheetName val="[POWER5_XLA]__qmaxsolutions_663"/>
      <sheetName val="[POWER5_XLA]__qmaxsolutions_664"/>
      <sheetName val="[POWER5_XLA]__qmaxsolutions_665"/>
      <sheetName val="[POWER5_XLA]__qmaxsolutions_666"/>
      <sheetName val="[POWER5_XLA]__qmaxsolutions_667"/>
      <sheetName val="[POWER5_XLA]__qmaxsolutions_668"/>
      <sheetName val="[POWER5_XLA]__qmaxsolutions_669"/>
      <sheetName val="[POWER5_XLA]__qmaxsolutions_670"/>
      <sheetName val="[POWER5_XLA]__qmaxsolutions_671"/>
      <sheetName val="[POWER5_XLA]__qmaxsolutions_672"/>
      <sheetName val="[POWER5_XLA]__qmaxsolutions_673"/>
      <sheetName val="[POWER5_XLA]__qmaxsolutions_674"/>
      <sheetName val="[POWER5_XLA]__qmaxsolutions_675"/>
      <sheetName val="FIRE_ALARM6"/>
      <sheetName val="FX_Rates6"/>
      <sheetName val="Tax_Stock_deal6"/>
      <sheetName val="Tax_Asset_deal6"/>
      <sheetName val="Tax_S_Corp6"/>
      <sheetName val="Financial_Request_List6"/>
      <sheetName val="Tax_Request_List6"/>
      <sheetName val="Cash_proof6"/>
      <sheetName val="TB_-_IS6"/>
      <sheetName val="TB_BS6"/>
      <sheetName val="GT_Discussion&gt;6"/>
      <sheetName val="COR_-_SoftwareHardware_Maint6"/>
      <sheetName val="COR_-_Consultants6"/>
      <sheetName val="COR_-_Co_hosting6"/>
      <sheetName val="Opex-Professional_services6"/>
      <sheetName val="GT_Custom7"/>
      <sheetName val="WC2_(2)6"/>
      <sheetName val="Debt_Amortization6"/>
      <sheetName val="Vector_Inputs6"/>
      <sheetName val="Data_Input6"/>
      <sheetName val="MM_Mapping6"/>
      <sheetName val="Customer_split6"/>
      <sheetName val="Depr_Amortisation_check6"/>
      <sheetName val="Working_capital6"/>
      <sheetName val="Summary_Financial_Statement6"/>
      <sheetName val="Op_Balances_20196"/>
      <sheetName val="Look_up6"/>
      <sheetName val="AOP_Summary-26"/>
      <sheetName val="Employee_Data6"/>
      <sheetName val="Cover_Page6"/>
      <sheetName val="Transmittal_Letter6"/>
      <sheetName val="Key_Analyses6"/>
      <sheetName val="Adjusted_Summary_P&amp;L6"/>
      <sheetName val="NWC_Analysis6"/>
      <sheetName val="Adjusted_NWC_Graph6"/>
      <sheetName val="GSM_Analyses6"/>
      <sheetName val="GSM_Bridge_FY17_-_FY186"/>
      <sheetName val="GSM_Bridge_FY18_-_FY196"/>
      <sheetName val="Grace_-_Alum6"/>
      <sheetName val="Grace_-_LSA6"/>
      <sheetName val="Grace_-_ACH6"/>
      <sheetName val="Shell_-_Alum6"/>
      <sheetName val="Shell_-_LSA6"/>
      <sheetName val="Detailed_IS6"/>
      <sheetName val="Balance_Sheet_Summary6"/>
      <sheetName val="Scope_Reconciliation6"/>
      <sheetName val="[POWER5_XLA]__qmaxsolutions_676"/>
      <sheetName val="[POWER5_XLA]__qmaxsolutions_677"/>
      <sheetName val="[POWER5_XLA]__qmaxsolutions_678"/>
      <sheetName val="Cash_flow_worksheet6"/>
      <sheetName val="Inc_Stmt6"/>
      <sheetName val="Bal_Sht6"/>
      <sheetName val="[POWER5_XLA]__qmaxsolutions_679"/>
      <sheetName val="[POWER5_XLA]__qmaxsolutions_680"/>
      <sheetName val="[POWER5_XLA]__qmaxsolutions_681"/>
      <sheetName val="[POWER5_XLA]__qmaxsolutions_682"/>
      <sheetName val="[POWER5_XLA]__qmaxsolutions_683"/>
      <sheetName val="[POWER5_XLA]__qmaxsolutions_684"/>
      <sheetName val="[POWER5_XLA]__qmaxsolutions_685"/>
      <sheetName val="[POWER5_XLA]__qmaxsolutions_686"/>
      <sheetName val="investment-_acounting6"/>
      <sheetName val="Dividend_IPORecap_Analysis6"/>
      <sheetName val="[POWER5_XLA]__sfdc_DFS_Applic_7"/>
      <sheetName val="novmar_actuals6"/>
      <sheetName val="06-030_Capital_Gains_and_Losse6"/>
      <sheetName val="Area_by_JC6"/>
      <sheetName val="Equity_Database6"/>
      <sheetName val="MARKET_PRICES6"/>
      <sheetName val="RED_Forecast6"/>
      <sheetName val="TEN_side6"/>
      <sheetName val="Balance_Sheet_Standard_-Feb6"/>
      <sheetName val="Balance_Sheet_Standard6"/>
      <sheetName val="Balance_sheet_Actual_to_Budget6"/>
      <sheetName val="Balance_sheet_Actual_to_Bud_Fe6"/>
      <sheetName val="Feb_196"/>
      <sheetName val="Mar_196"/>
      <sheetName val="April_196"/>
      <sheetName val="May_20196"/>
      <sheetName val="June_196"/>
      <sheetName val="July_20196"/>
      <sheetName val="Aug_20196"/>
      <sheetName val="cash_flow-_Monthly_(2)6"/>
      <sheetName val="cash_flow_monthly6"/>
      <sheetName val="cash_flow_YTD_6"/>
      <sheetName val="Budgeted_BS_2018-196"/>
      <sheetName val="cash_flow-_2018-196"/>
      <sheetName val="Budget_cash_flow_20186"/>
      <sheetName val="[POWER5_XLA]__qmaxsolutions_687"/>
      <sheetName val="[POWER5_XLA]__qmaxsolutions_688"/>
      <sheetName val="Cons_(2)6"/>
      <sheetName val="GHA_orig6"/>
      <sheetName val="EFASB13_(US-12)6"/>
      <sheetName val="chart_of_accounts6"/>
      <sheetName val="[POWER5_XLA]__qmaxsolutions_689"/>
      <sheetName val="[POWER5_XLA]__qmaxsolutions_690"/>
      <sheetName val="[POWER5_XLA]__qmaxsolutions_691"/>
      <sheetName val="[POWER5_XLA]__qmaxsolutions_692"/>
      <sheetName val="[POWER5_XLA]__qmaxsolutions_693"/>
      <sheetName val="[POWER5_XLA]__qmaxsolutions_694"/>
      <sheetName val="[POWER5_XLA]__qmaxsolutions_695"/>
      <sheetName val="[POWER5_XLA]__qmaxsolutions_696"/>
      <sheetName val="[POWER5_XLA]__qmaxsolutions_697"/>
      <sheetName val="[POWER5_XLA]__qmaxsolutions_698"/>
      <sheetName val="[POWER5_XLA]__qmaxsolutions_699"/>
      <sheetName val="[POWER5_XLA]__qmaxsolutions_700"/>
      <sheetName val="[POWER5_XLA]__qmaxsolutions_701"/>
      <sheetName val="[POWER5_XLA]__qmaxsolutions_702"/>
      <sheetName val="[POWER5_XLA]__qmaxsolutions_703"/>
      <sheetName val="[POWER5_XLA]__qmaxsolutions_704"/>
      <sheetName val="[POWER5_XLA]__qmaxsolutions_705"/>
      <sheetName val="[POWER5_XLA]__qmaxsolutions_706"/>
      <sheetName val="[POWER5_XLA]__qmaxsolutions_707"/>
      <sheetName val="[POWER5_XLA]__qmaxsolutions_708"/>
      <sheetName val="[POWER5_XLA]__qmaxsolutions_709"/>
      <sheetName val="[POWER5_XLA]__qmaxsolutions_710"/>
      <sheetName val="Program_Loss_Control5"/>
      <sheetName val="[POWER5_XLA]__qmaxsolutions_711"/>
      <sheetName val="[POWER5_XLA]__qmaxsolutions_712"/>
      <sheetName val="[POWER5_XLA]__qmaxsolutions_713"/>
      <sheetName val="[POWER5_XLA]__qmaxsolutions_714"/>
      <sheetName val="[POWER5_XLA]__qmaxsolutions_715"/>
      <sheetName val="[POWER5_XLA]__qmaxsolutions_716"/>
      <sheetName val="[POWER5_XLA]__qmaxsolutions_717"/>
      <sheetName val="[POWER5_XLA]__qmaxsolutions_718"/>
      <sheetName val="[POWER5_XLA]__qmaxsolutions_719"/>
      <sheetName val="[POWER5_XLA]__qmaxsolutions_720"/>
      <sheetName val="[POWER5_XLA]__qmaxsolutions_721"/>
      <sheetName val="[POWER5_XLA]__qmaxsolutions_722"/>
      <sheetName val="[POWER5_XLA]__qmaxsolutions_723"/>
      <sheetName val="[POWER5_XLA]__qmaxsolutions_724"/>
      <sheetName val="[POWER5_XLA]__qmaxsolutions_725"/>
      <sheetName val="[POWER5_XLA]__qmaxsolutions_726"/>
      <sheetName val="[POWER5_XLA]__qmaxsolutions_727"/>
      <sheetName val="[POWER5_XLA]__qmaxsolutions_728"/>
      <sheetName val="[POWER5_XLA]__qmaxsolutions_729"/>
      <sheetName val="[POWER5_XLA]__qmaxsolutions_730"/>
      <sheetName val="[POWER5_XLA]__qmaxsolutions_731"/>
      <sheetName val="[POWER5_XLA]__qmaxsolutions_732"/>
      <sheetName val="[POWER5_XLA]__qmaxsolutions_733"/>
      <sheetName val="[POWER5_XLA]__qmaxsolutions_734"/>
      <sheetName val="[POWER5_XLA]__qmaxsolutions_735"/>
      <sheetName val="[POWER5_XLA]__qmaxsolutions_736"/>
      <sheetName val="[POWER5_XLA]__qmaxsolutions_737"/>
      <sheetName val="[POWER5_XLA]__qmaxsolutions_738"/>
      <sheetName val="[POWER5_XLA]__qmaxsolutions_739"/>
      <sheetName val="[POWER5_XLA]__qmaxsolutions_740"/>
      <sheetName val="[POWER5_XLA]__qmaxsolutions_741"/>
      <sheetName val="[POWER5_XLA]__qmaxsolutions_742"/>
      <sheetName val="[POWER5_XLA]__qmaxsolutions_743"/>
      <sheetName val="[POWER5_XLA]__qmaxsolutions_744"/>
      <sheetName val="[POWER5_XLA]__qmaxsolutions_745"/>
      <sheetName val="[POWER5_XLA]__qmaxsolutions_746"/>
      <sheetName val="[POWER5_XLA]__qmaxsolutions_747"/>
      <sheetName val="[POWER5_XLA]__qmaxsolutions_748"/>
      <sheetName val="[POWER5_XLA]__qmaxsolutions_749"/>
      <sheetName val="[POWER5_XLA]__qmaxsolutions_750"/>
      <sheetName val="[POWER5_XLA]__qmaxsolutions_751"/>
      <sheetName val="[POWER5_XLA]__qmaxsolutions_752"/>
      <sheetName val="[POWER5_XLA]__qmaxsolutions_753"/>
      <sheetName val="[POWER5_XLA]__qmaxsolutions_754"/>
      <sheetName val="[POWER5_XLA]__qmaxsolutions_755"/>
      <sheetName val="[POWER5_XLA]__qmaxsolutions_756"/>
      <sheetName val="[POWER5_XLA]__qmaxsolutions_757"/>
      <sheetName val="[POWER5_XLA]__qmaxsolutions_758"/>
      <sheetName val="[POWER5_XLA]__qmaxsolutions_759"/>
      <sheetName val="[POWER5_XLA]__qmaxsolutions_760"/>
      <sheetName val="[POWER5_XLA]__qmaxsolutions_761"/>
      <sheetName val="[POWER5_XLA]__qmaxsolutions_762"/>
      <sheetName val="[POWER5_XLA]__qmaxsolutions_763"/>
      <sheetName val="[POWER5_XLA]__qmaxsolutions_764"/>
      <sheetName val="[POWER5_XLA]__qmaxsolutions_765"/>
      <sheetName val="[POWER5_XLA]__qmaxsolutions_766"/>
      <sheetName val="[POWER5_XLA]__qmaxsolutions_767"/>
      <sheetName val="[POWER5_XLA]__qmaxsolutions_768"/>
      <sheetName val="[POWER5_XLA]__qmaxsolutions_769"/>
      <sheetName val="[POWER5_XLA]__qmaxsolutions_770"/>
      <sheetName val="[POWER5_XLA]__qmaxsolutions_771"/>
      <sheetName val="[POWER5_XLA]__qmaxsolutions_772"/>
      <sheetName val="[POWER5_XLA]__qmaxsolutions_773"/>
      <sheetName val="[POWER5_XLA]__qmaxsolutions_774"/>
      <sheetName val="[POWER5_XLA]__qmaxsolutions_775"/>
      <sheetName val="[POWER5_XLA]__qmaxsolutions_776"/>
      <sheetName val="[POWER5_XLA]__qmaxsolutions_777"/>
      <sheetName val="[POWER5_XLA]__qmaxsolutions_778"/>
      <sheetName val="[POWER5_XLA]__qmaxsolutions_779"/>
      <sheetName val="[POWER5_XLA]__qmaxsolutions_780"/>
      <sheetName val="[POWER5_XLA]__qmaxsolutions_781"/>
      <sheetName val="[POWER5_XLA]__qmaxsolutions_782"/>
      <sheetName val="[POWER5_XLA]__qmaxsolutions_783"/>
      <sheetName val="[POWER5_XLA]__qmaxsolutions_784"/>
      <sheetName val="[POWER5_XLA]__qmaxsolutions_785"/>
      <sheetName val="[POWER5_XLA]__qmaxsolutions_786"/>
      <sheetName val="[POWER5_XLA]__qmaxsolutions_787"/>
      <sheetName val="[POWER5_XLA]__qmaxsolutions_788"/>
      <sheetName val="[POWER5_XLA]__qmaxsolutions_789"/>
      <sheetName val="[POWER5_XLA]__qmaxsolutions_790"/>
      <sheetName val="[POWER5_XLA]__qmaxsolutions_791"/>
      <sheetName val="[POWER5_XLA]__qmaxsolutions_792"/>
      <sheetName val="[POWER5_XLA]__qmaxsolutions_793"/>
      <sheetName val="[POWER5_XLA]__qmaxsolutions_794"/>
      <sheetName val="[POWER5_XLA]__qmaxsolutions_795"/>
      <sheetName val="[POWER5_XLA]__qmaxsolutions_796"/>
      <sheetName val="[POWER5_XLA]__qmaxsolutions_797"/>
      <sheetName val="[POWER5_XLA]__qmaxsolutions_798"/>
      <sheetName val="[POWER5_XLA]__qmaxsolutions_799"/>
      <sheetName val="[POWER5_XLA]__qmaxsolutions_800"/>
      <sheetName val="Sales_-_Report_First10"/>
      <sheetName val="POWER5_XLA15"/>
      <sheetName val="proforma_BS9"/>
      <sheetName val="Stock_Analysis9"/>
      <sheetName val="Company_summary_items9"/>
      <sheetName val="Pro_Forma_Income_Statement10"/>
      <sheetName val="Main_Model10"/>
      <sheetName val="Newer_version10"/>
      <sheetName val="GL_Detail10"/>
      <sheetName val="Pro_Forma10"/>
      <sheetName val="Debt_&amp;_Interest9"/>
      <sheetName val="McKinley_P&amp;L10"/>
      <sheetName val="_PT_089"/>
      <sheetName val="_PT_079"/>
      <sheetName val="_PT_119"/>
      <sheetName val="_PT_109"/>
      <sheetName val="_PT_129"/>
      <sheetName val="_PT_139"/>
      <sheetName val="_PT_099"/>
      <sheetName val="_PT_019"/>
      <sheetName val="_PT_049"/>
      <sheetName val="_PT_059"/>
      <sheetName val="_PT_039"/>
      <sheetName val="Données_Spéc_9"/>
      <sheetName val="PV_-_CTLM9"/>
      <sheetName val="PV_-_MTLK9"/>
      <sheetName val="Deal_Info_&amp;_Print_Menu9"/>
      <sheetName val="Product_Trends9"/>
      <sheetName val="EBITDA_Bridge9"/>
      <sheetName val="WC_analytics_(+data_pages)9"/>
      <sheetName val="YEAR_1_9"/>
      <sheetName val="Sched_A99"/>
      <sheetName val="Historical_Actuals9"/>
      <sheetName val="Emory_Vols_Jan-Dec_20069"/>
      <sheetName val="Pro_Forma_Credit_9"/>
      <sheetName val="Entrada_Dados9"/>
      <sheetName val="Capital_Expenditure_Input_Shee9"/>
      <sheetName val="Operating_Expense_Input_Sheet9"/>
      <sheetName val="Comet_Reference_Tab9"/>
      <sheetName val="2000_Activity10"/>
      <sheetName val="total_Commonwealth10"/>
      <sheetName val="CHK_REQ10"/>
      <sheetName val="SW_21221810"/>
      <sheetName val="N_TX_-_199710"/>
      <sheetName val="Customize_Your_Invoice10"/>
      <sheetName val="Rev_Tracker9"/>
      <sheetName val="GER_IFO_vs_Const10"/>
      <sheetName val="Europe_sales_Graph10"/>
      <sheetName val="EU_Ind_vs_EU_Cons10"/>
      <sheetName val="BASE_DATA9"/>
      <sheetName val="Insulin_Sales_-_NA10"/>
      <sheetName val="Insulin_Sales_-_EU10"/>
      <sheetName val="Insulin_Sales_-_Japan10"/>
      <sheetName val="Deal_Matrix10"/>
      <sheetName val="Model_Driver10"/>
      <sheetName val="Scenario_Management9"/>
      <sheetName val="_Cash_Flow9"/>
      <sheetName val="_P&amp;L-Projection9"/>
      <sheetName val="Dividend_Analysis_Assumptions9"/>
      <sheetName val="Multiples_Summary9"/>
      <sheetName val="IS_&amp;_CF9"/>
      <sheetName val="CASH_FLOW_MONTH_FC9"/>
      <sheetName val="Inc_Stmt_MONTH_FC9"/>
      <sheetName val="BS_ASSETS_FC9"/>
      <sheetName val="General_Assump9"/>
      <sheetName val="\Applications\Microsoft_Office9"/>
      <sheetName val="CloseTable_Prior9"/>
      <sheetName val="Co_List9"/>
      <sheetName val="Royal_Carib__Model9"/>
      <sheetName val="BIS_LIST-NTH_189"/>
      <sheetName val="Drop_Down_Lists9"/>
      <sheetName val="SCIMED_Old9"/>
      <sheetName val="//na1_salesforce_com/Applicati9"/>
      <sheetName val="Buyers_Competitors_(2)9"/>
      <sheetName val="Trial_Balance9"/>
      <sheetName val="E&amp;Y_Format9"/>
      <sheetName val="\J\Applications\Microsoft_Offi9"/>
      <sheetName val="Print_Controls9"/>
      <sheetName val="Input_Page9"/>
      <sheetName val="D_&amp;_A9"/>
      <sheetName val="chad10_June029"/>
      <sheetName val="chad12_Dec029"/>
      <sheetName val="Daily_Sales9"/>
      <sheetName val="[POWER5_XLA]__qmaxsolutions_m57"/>
      <sheetName val="Share_Prices9"/>
      <sheetName val="Consolidated_Financials9"/>
      <sheetName val="Equity_Index8"/>
      <sheetName val="Model_Summary8"/>
      <sheetName val="Purchase_vs__Rights8"/>
      <sheetName val="CIH_Sensitivities8"/>
      <sheetName val="Tables_for_Memo_Update_2-9-098"/>
      <sheetName val="Cashflow_Model8"/>
      <sheetName val="Cap_Sheet8"/>
      <sheetName val="//aodocs_altirnao_com/webdav/15"/>
      <sheetName val="//aodocs_altirnao_com/webdav/16"/>
      <sheetName val="CG_Alloc8"/>
      <sheetName val="Inputs_&amp;_Pro_Formas8"/>
      <sheetName val="[POWER5_XLA]\Applications\Micr8"/>
      <sheetName val="[POWER5_XLA]//na1_salesforce_c8"/>
      <sheetName val="[POWER5_XLA]\\sfdc\DFS\Applica8"/>
      <sheetName val="[POWER5_XLA]//qmaxsolutions-my8"/>
      <sheetName val="[POWER5_XLA][POWER5_XLA][POWER9"/>
      <sheetName val="[POWER5_XLA][POWER5_XLA]\Appli8"/>
      <sheetName val="[POWER5_XLA][POWER5_XLA]//na1_8"/>
      <sheetName val="[POWER5_XLA][POWER5_XLA]\\sfdc8"/>
      <sheetName val="[POWER5_XLA][POWER5_XLA]//qmax8"/>
      <sheetName val="[POWER5_XLA][POWER5_XLA]\J\App8"/>
      <sheetName val="[POWER5_XLA]\J\Applications\Mi8"/>
      <sheetName val="P&amp;L_by_Month8"/>
      <sheetName val="T_DCF8"/>
      <sheetName val="input_for_decending_analysis8"/>
      <sheetName val="ROCE-WACC_EVtoEBITDA8"/>
      <sheetName val="US_Ops_Account_Detail8"/>
      <sheetName val="Fin_Flows8"/>
      <sheetName val="Marketing_Stats8"/>
      <sheetName val="Statement_of_Cash_Flows8"/>
      <sheetName val="Comps_Table8"/>
      <sheetName val="Iss__Vol__(Outp_)8"/>
      <sheetName val="Cost_Centers_and_PMTs8"/>
      <sheetName val="DAS_&amp;_Networking_Costs8"/>
      <sheetName val="Stock_Chart8"/>
      <sheetName val="BU_Logic7"/>
      <sheetName val="Trending_Inc_Stmt8"/>
      <sheetName val="Sources_&amp;_Uses8"/>
      <sheetName val="Cell_Links7"/>
      <sheetName val="Control_Sheet8"/>
      <sheetName val="Data_sheet8"/>
      <sheetName val="Pricing_Graphs7"/>
      <sheetName val="CoTrans_Input_Sheet7"/>
      <sheetName val="WACC_Analysis7"/>
      <sheetName val="Rev_Build7"/>
      <sheetName val="\Users\Dan\Library\Application8"/>
      <sheetName val="Covenant_Wksht8"/>
      <sheetName val="Combined_Divisionals7"/>
      <sheetName val="P&amp;L_Tables_For_Report7"/>
      <sheetName val="CHARTS_for_report7"/>
      <sheetName val="Gastos_Detallados_Opt7"/>
      <sheetName val="Corp_Brd7"/>
      <sheetName val="Master_Comps7"/>
      <sheetName val="Share_Repurchase_Benchmarking7"/>
      <sheetName val="Risc_Financiero7"/>
      <sheetName val="Lookup_Tables7"/>
      <sheetName val="2018_All_Brands8"/>
      <sheetName val="2018_Lipoflavonoid8"/>
      <sheetName val="2018_Florajen8"/>
      <sheetName val="2018_CertainDri8"/>
      <sheetName val="2018_Cystex8"/>
      <sheetName val="2018_Absorbine8"/>
      <sheetName val="2018_Albolene8"/>
      <sheetName val="2018_AntiMonkeyButt8"/>
      <sheetName val="2018_Non_Branded_0008"/>
      <sheetName val="CoCos_Output_Sheet7"/>
      <sheetName val="C_B__4_Installed7"/>
      <sheetName val="A_CUENTA7"/>
      <sheetName val="Rexall_Sundown7"/>
      <sheetName val="SD_and_NB_Magazine7"/>
      <sheetName val="OP_Sum7"/>
      <sheetName val="Asset_(VIN)_Data7"/>
      <sheetName val="Item_Data7"/>
      <sheetName val="commercial_construction7"/>
      <sheetName val="crack_spreads7"/>
      <sheetName val="new_orders7"/>
      <sheetName val="IFO_Manufacturing_Business_Cli7"/>
      <sheetName val="Power_&amp;_Fuel(SMS)7"/>
      <sheetName val="LC_PF7"/>
      <sheetName val="Portfolio_Budget7"/>
      <sheetName val="Issue_Log7"/>
      <sheetName val="Asset_Transfer_Screen_Shot7"/>
      <sheetName val="Asset_Proposal_List7"/>
      <sheetName val="Asset_Proposal-Screen_Shots7"/>
      <sheetName val="Data_Import_Template7"/>
      <sheetName val="New_Asset_List7"/>
      <sheetName val="New_Asset_Screen_Shots7"/>
      <sheetName val="FAMAsset_as_of_12_31_187"/>
      <sheetName val="Summary_Exhibit_II7"/>
      <sheetName val="[POWER5_XLA]__qmaxsolutions_801"/>
      <sheetName val="Wound_Case7"/>
      <sheetName val="//na1_salesforce_co7"/>
      <sheetName val="//qmaxsolutions-my_7"/>
      <sheetName val="[POWER5_XLA][POWER57"/>
      <sheetName val="[POWER5_XLA]\Applic7"/>
      <sheetName val="[POWER5_XLA]//na1_s7"/>
      <sheetName val="[POWER5_XLA]\\sfdc\7"/>
      <sheetName val="[POWER5_XLA]//qmaxs7"/>
      <sheetName val="[POWER5_XLA]\J\Appl7"/>
      <sheetName val="ISQ_LBO_-_Full_Company7"/>
      <sheetName val="[POWER5_XLA]__qmaxsolutions_m58"/>
      <sheetName val="[POWER5_XLA]__qmaxsolutions_m59"/>
      <sheetName val="[POWER5_XLA]__qmaxsolutions_m60"/>
      <sheetName val="[POWER5_XLA]__qmaxsolutions_m61"/>
      <sheetName val="Sales_Forecast7"/>
      <sheetName val="[POWER5_XLA]__qmaxsolutions_m62"/>
      <sheetName val="Data_Validation7"/>
      <sheetName val="2015_Forecast7"/>
      <sheetName val="Gross_Margin_Build7"/>
      <sheetName val="Output_Model7"/>
      <sheetName val="Lease_summary7"/>
      <sheetName val="[POWER5_XLA]__qmaxsolutions_m63"/>
      <sheetName val="[POWER5_XLA]__qmaxsolutions_m64"/>
      <sheetName val="[POWER5_XLA]__qmaxsolutions_802"/>
      <sheetName val="[POWER5_XLA]__qmaxsolutions_803"/>
      <sheetName val="[POWER5_XLA]__qmaxsolutions_804"/>
      <sheetName val="[POWER5_XLA]__qmaxsolutions_805"/>
      <sheetName val="[POWER5_XLA]__qmaxsolutions_806"/>
      <sheetName val="[POWER5_XLA]__qmaxsolutions_807"/>
      <sheetName val="[POWER5_XLA]__qmaxsolutions_808"/>
      <sheetName val="[POWER5_XLA]__qmaxsolutions_809"/>
      <sheetName val="[POWER5_XLA]__qmaxsolutions_810"/>
      <sheetName val="[POWER5_XLA]__qmaxsolutions_811"/>
      <sheetName val="[POWER5_XLA]__qmaxsolutions_812"/>
      <sheetName val="[POWER5_XLA]__qmaxsolutions_813"/>
      <sheetName val="[POWER5_XLA]__qmaxsolutions_814"/>
      <sheetName val="[POWER5_XLA]__qmaxsolutions_815"/>
      <sheetName val="[POWER5_XLA]__qmaxsolutions_816"/>
      <sheetName val="[POWER5_XLA]__qmaxsolutions_817"/>
      <sheetName val="[POWER5_XLA]__qmaxsolutions_818"/>
      <sheetName val="[POWER5_XLA]__qmaxsolutions_819"/>
      <sheetName val="[POWER5_XLA]__qmaxsolutions_820"/>
      <sheetName val="[POWER5_XLA]__qmaxsolutions_821"/>
      <sheetName val="FIRE_ALARM7"/>
      <sheetName val="FX_Rates7"/>
      <sheetName val="Tax_Stock_deal7"/>
      <sheetName val="Tax_Asset_deal7"/>
      <sheetName val="Tax_S_Corp7"/>
      <sheetName val="Financial_Request_List7"/>
      <sheetName val="Tax_Request_List7"/>
      <sheetName val="Cash_proof7"/>
      <sheetName val="TB_-_IS7"/>
      <sheetName val="TB_BS7"/>
      <sheetName val="GT_Discussion&gt;7"/>
      <sheetName val="COR_-_SoftwareHardware_Maint7"/>
      <sheetName val="COR_-_Consultants7"/>
      <sheetName val="COR_-_Co_hosting7"/>
      <sheetName val="Opex-Professional_services7"/>
      <sheetName val="GT_Custom8"/>
      <sheetName val="WC2_(2)7"/>
      <sheetName val="Debt_Amortization7"/>
      <sheetName val="Vector_Inputs7"/>
      <sheetName val="Data_Input7"/>
      <sheetName val="MM_Mapping7"/>
      <sheetName val="Customer_split7"/>
      <sheetName val="Depr_Amortisation_check7"/>
      <sheetName val="Working_capital7"/>
      <sheetName val="Summary_Financial_Statement7"/>
      <sheetName val="Op_Balances_20197"/>
      <sheetName val="Look_up7"/>
      <sheetName val="AOP_Summary-27"/>
      <sheetName val="Employee_Data7"/>
      <sheetName val="Cover_Page7"/>
      <sheetName val="Transmittal_Letter7"/>
      <sheetName val="Key_Analyses7"/>
      <sheetName val="Adjusted_Summary_P&amp;L7"/>
      <sheetName val="NWC_Analysis7"/>
      <sheetName val="Adjusted_NWC_Graph7"/>
      <sheetName val="GSM_Analyses7"/>
      <sheetName val="GSM_Bridge_FY17_-_FY187"/>
      <sheetName val="GSM_Bridge_FY18_-_FY197"/>
      <sheetName val="Grace_-_Alum7"/>
      <sheetName val="Grace_-_LSA7"/>
      <sheetName val="Grace_-_ACH7"/>
      <sheetName val="Shell_-_Alum7"/>
      <sheetName val="Shell_-_LSA7"/>
      <sheetName val="Detailed_IS7"/>
      <sheetName val="Balance_Sheet_Summary7"/>
      <sheetName val="Scope_Reconciliation7"/>
      <sheetName val="[POWER5_XLA]__qmaxsolutions_822"/>
      <sheetName val="[POWER5_XLA]__qmaxsolutions_823"/>
      <sheetName val="[POWER5_XLA]__qmaxsolutions_824"/>
      <sheetName val="Cash_flow_worksheet7"/>
      <sheetName val="Inc_Stmt7"/>
      <sheetName val="Bal_Sht7"/>
      <sheetName val="[POWER5_XLA]__qmaxsolutions_825"/>
      <sheetName val="[POWER5_XLA]__qmaxsolutions_826"/>
      <sheetName val="[POWER5_XLA]__qmaxsolutions_827"/>
      <sheetName val="[POWER5_XLA]__qmaxsolutions_828"/>
      <sheetName val="[POWER5_XLA]__qmaxsolutions_829"/>
      <sheetName val="[POWER5_XLA]__qmaxsolutions_830"/>
      <sheetName val="[POWER5_XLA]__qmaxsolutions_831"/>
      <sheetName val="[POWER5_XLA]__qmaxsolutions_832"/>
      <sheetName val="investment-_acounting7"/>
      <sheetName val="Dividend_IPORecap_Analysis7"/>
      <sheetName val="[POWER5_XLA]__sfdc_DFS_Applic_8"/>
      <sheetName val="novmar_actuals7"/>
      <sheetName val="06-030_Capital_Gains_and_Losse7"/>
      <sheetName val="Area_by_JC7"/>
      <sheetName val="Equity_Database7"/>
      <sheetName val="MARKET_PRICES7"/>
      <sheetName val="RED_Forecast7"/>
      <sheetName val="TEN_side7"/>
      <sheetName val="Balance_Sheet_Standard_-Feb7"/>
      <sheetName val="Balance_Sheet_Standard7"/>
      <sheetName val="Balance_sheet_Actual_to_Budget7"/>
      <sheetName val="Balance_sheet_Actual_to_Bud_Fe7"/>
      <sheetName val="Feb_197"/>
      <sheetName val="Mar_197"/>
      <sheetName val="April_197"/>
      <sheetName val="May_20197"/>
      <sheetName val="June_197"/>
      <sheetName val="July_20197"/>
      <sheetName val="Aug_20197"/>
      <sheetName val="cash_flow-_Monthly_(2)7"/>
      <sheetName val="cash_flow_monthly7"/>
      <sheetName val="cash_flow_YTD_7"/>
      <sheetName val="Budgeted_BS_2018-197"/>
      <sheetName val="cash_flow-_2018-197"/>
      <sheetName val="Budget_cash_flow_20187"/>
      <sheetName val="[POWER5_XLA]__qmaxsolutions_833"/>
      <sheetName val="[POWER5_XLA]__qmaxsolutions_834"/>
      <sheetName val="Cons_(2)7"/>
      <sheetName val="GHA_orig7"/>
      <sheetName val="EFASB13_(US-12)7"/>
      <sheetName val="chart_of_accounts7"/>
      <sheetName val="[POWER5_XLA]__qmaxsolutions_835"/>
      <sheetName val="[POWER5_XLA]__qmaxsolutions_836"/>
      <sheetName val="[POWER5_XLA]__qmaxsolutions_837"/>
      <sheetName val="[POWER5_XLA]__qmaxsolutions_838"/>
      <sheetName val="[POWER5_XLA]__qmaxsolutions_839"/>
      <sheetName val="[POWER5_XLA]__qmaxsolutions_840"/>
      <sheetName val="[POWER5_XLA]__qmaxsolutions_841"/>
      <sheetName val="[POWER5_XLA]__qmaxsolutions_842"/>
      <sheetName val="[POWER5_XLA]__qmaxsolutions_843"/>
      <sheetName val="[POWER5_XLA]__qmaxsolutions_844"/>
      <sheetName val="[POWER5_XLA]__qmaxsolutions_845"/>
      <sheetName val="[POWER5_XLA]__qmaxsolutions_846"/>
      <sheetName val="[POWER5_XLA]__qmaxsolutions_847"/>
      <sheetName val="[POWER5_XLA]__qmaxsolutions_848"/>
      <sheetName val="[POWER5_XLA]__qmaxsolutions_849"/>
      <sheetName val="[POWER5_XLA]__qmaxsolutions_850"/>
      <sheetName val="[POWER5_XLA]__qmaxsolutions_851"/>
      <sheetName val="[POWER5_XLA]__qmaxsolutions_852"/>
      <sheetName val="[POWER5_XLA]__qmaxsolutions_853"/>
      <sheetName val="[POWER5_XLA]__qmaxsolutions_854"/>
      <sheetName val="[POWER5_XLA]__qmaxsolutions_855"/>
      <sheetName val="[POWER5_XLA]__qmaxsolutions_856"/>
      <sheetName val="Program_Loss_Control6"/>
      <sheetName val="[POWER5_XLA]__qmaxsolutions_857"/>
      <sheetName val="[POWER5_XLA]__qmaxsolutions_858"/>
      <sheetName val="[POWER5_XLA]__qmaxsolutions_859"/>
      <sheetName val="[POWER5_XLA]__qmaxsolutions_860"/>
      <sheetName val="[POWER5_XLA]__qmaxsolutions_861"/>
      <sheetName val="[POWER5_XLA]__qmaxsolutions_862"/>
      <sheetName val="[POWER5_XLA]__qmaxsolutions_863"/>
      <sheetName val="[POWER5_XLA]__qmaxsolutions_864"/>
      <sheetName val="[POWER5_XLA]__qmaxsolutions_865"/>
      <sheetName val="[POWER5_XLA]__qmaxsolutions_866"/>
      <sheetName val="[POWER5_XLA]__qmaxsolutions_867"/>
      <sheetName val="[POWER5_XLA]__qmaxsolutions_868"/>
      <sheetName val="[POWER5_XLA]__qmaxsolutions_869"/>
      <sheetName val="[POWER5_XLA]__qmaxsolutions_870"/>
      <sheetName val="[POWER5_XLA]__qmaxsolutions_871"/>
      <sheetName val="[POWER5_XLA]__qmaxsolutions_872"/>
      <sheetName val="[POWER5_XLA]__qmaxsolutions_873"/>
      <sheetName val="[POWER5_XLA]__qmaxsolutions_874"/>
      <sheetName val="[POWER5_XLA]__qmaxsolutions_875"/>
      <sheetName val="[POWER5_XLA]__qmaxsolutions_876"/>
      <sheetName val="[POWER5_XLA]__qmaxsolutions_877"/>
      <sheetName val="[POWER5_XLA]__qmaxsolutions_878"/>
      <sheetName val="[POWER5_XLA]__qmaxsolutions_879"/>
      <sheetName val="[POWER5_XLA]__qmaxsolutions_880"/>
      <sheetName val="[POWER5_XLA]__qmaxsolutions_881"/>
      <sheetName val="[POWER5_XLA]__qmaxsolutions_882"/>
      <sheetName val="[POWER5_XLA]__qmaxsolutions_883"/>
      <sheetName val="[POWER5_XLA]__qmaxsolutions_884"/>
      <sheetName val="[POWER5_XLA]__qmaxsolutions_885"/>
      <sheetName val="[POWER5_XLA]__qmaxsolutions_886"/>
      <sheetName val="[POWER5_XLA]__qmaxsolutions_887"/>
      <sheetName val="[POWER5_XLA]__qmaxsolutions_888"/>
      <sheetName val="[POWER5_XLA]__qmaxsolutions_889"/>
      <sheetName val="[POWER5_XLA]__qmaxsolutions_890"/>
      <sheetName val="[POWER5_XLA]__qmaxsolutions_891"/>
      <sheetName val="[POWER5_XLA]__qmaxsolutions_892"/>
      <sheetName val="[POWER5_XLA]__qmaxsolutions_893"/>
      <sheetName val="[POWER5_XLA]__qmaxsolutions_894"/>
      <sheetName val="[POWER5_XLA]__qmaxsolutions_895"/>
      <sheetName val="[POWER5_XLA]__qmaxsolutions_896"/>
      <sheetName val="[POWER5_XLA]__qmaxsolutions_897"/>
      <sheetName val="[POWER5_XLA]__qmaxsolutions_898"/>
      <sheetName val="[POWER5_XLA]__qmaxsolutions_899"/>
      <sheetName val="[POWER5_XLA]__qmaxsolutions_900"/>
      <sheetName val="[POWER5_XLA]__qmaxsolutions_901"/>
      <sheetName val="[POWER5_XLA]__qmaxsolutions_902"/>
      <sheetName val="[POWER5_XLA]__qmaxsolutions_903"/>
      <sheetName val="[POWER5_XLA]__qmaxsolutions_904"/>
      <sheetName val="[POWER5_XLA]__qmaxsolutions_905"/>
      <sheetName val="[POWER5_XLA]__qmaxsolutions_906"/>
      <sheetName val="[POWER5_XLA]__qmaxsolutions_907"/>
      <sheetName val="[POWER5_XLA]__qmaxsolutions_908"/>
      <sheetName val="[POWER5_XLA]__qmaxsolutions_909"/>
      <sheetName val="[POWER5_XLA]__qmaxsolutions_910"/>
      <sheetName val="[POWER5_XLA]__qmaxsolutions_911"/>
      <sheetName val="[POWER5_XLA]__qmaxsolutions_912"/>
      <sheetName val="[POWER5_XLA]__qmaxsolutions_913"/>
      <sheetName val="[POWER5_XLA]__qmaxsolutions_914"/>
      <sheetName val="[POWER5_XLA]__qmaxsolutions_915"/>
      <sheetName val="[POWER5_XLA]__qmaxsolutions_916"/>
      <sheetName val="[POWER5_XLA]__qmaxsolutions_917"/>
      <sheetName val="[POWER5_XLA]__qmaxsolutions_918"/>
      <sheetName val="[POWER5_XLA]__qmaxsolutions_919"/>
      <sheetName val="[POWER5_XLA]__qmaxsolutions_920"/>
      <sheetName val="[POWER5_XLA]__qmaxsolutions_921"/>
      <sheetName val="[POWER5_XLA]__qmaxsolutions_922"/>
      <sheetName val="[POWER5_XLA]__qmaxsolutions_923"/>
      <sheetName val="[POWER5_XLA]__qmaxsolutions_924"/>
      <sheetName val="[POWER5_XLA]__qmaxsolutions_925"/>
      <sheetName val="[POWER5_XLA]__qmaxsolutions_926"/>
      <sheetName val="[POWER5_XLA]__qmaxsolutions_927"/>
      <sheetName val="[POWER5_XLA]__qmaxsolutions_928"/>
      <sheetName val="[POWER5_XLA]__qmaxsolutions_929"/>
      <sheetName val="[POWER5_XLA]__qmaxsolutions_930"/>
      <sheetName val="[POWER5_XLA]__qmaxsolutions_931"/>
      <sheetName val="[POWER5_XLA]__qmaxsolutions_932"/>
      <sheetName val="[POWER5_XLA]__qmaxsolutions_933"/>
      <sheetName val="[POWER5_XLA]__qmaxsolutions_934"/>
      <sheetName val="[POWER5_XLA]__qmaxsolutions_935"/>
      <sheetName val="[POWER5_XLA]__qmaxsolutions_936"/>
      <sheetName val="[POWER5_XLA]__qmaxsolutions_937"/>
      <sheetName val="[POWER5_XLA]__qmaxsolutions_938"/>
      <sheetName val="[POWER5_XLA]__qmaxsolutions_939"/>
      <sheetName val="[POWER5_XLA]__qmaxsolutions_940"/>
      <sheetName val="[POWER5_XLA]__qmaxsolutions_941"/>
      <sheetName val="[POWER5_XLA]__qmaxsolutions_942"/>
      <sheetName val="[POWER5_XLA]__qmaxsolutions_943"/>
      <sheetName val="[POWER5_XLA]__qmaxsolutions_944"/>
      <sheetName val="[POWER5_XLA]__qmaxsolutions_945"/>
      <sheetName val="[POWER5_XLA]__qmaxsolutions_946"/>
      <sheetName val="[POWER5_XLA]__qmaxsolutions_947"/>
      <sheetName val="[POWER5_XLA]__qmaxsolutions_948"/>
      <sheetName val="[POWER5_XLA]__qmaxsolutions_949"/>
      <sheetName val="[POWER5_XLA]__qmaxsolutions_950"/>
      <sheetName val="[POWER5.XLA]__qmaxsolutions_722"/>
      <sheetName val="[POWER5.XLA]__qmaxsolutions_723"/>
      <sheetName val="[POWER5.XLA]__qmaxsolutions_724"/>
      <sheetName val="[POWER5.XLA]__qmaxsolutions_726"/>
      <sheetName val="[POWER5.XLA]__qmaxsolutions_730"/>
      <sheetName val="[POWER5.XLA]__qmaxsolutions_727"/>
      <sheetName val="[POWER5.XLA]__qmaxsolutions_728"/>
      <sheetName val="[POWER5.XLA]__qmaxsolutions_729"/>
      <sheetName val="[POWER5.XLA]__qmaxsolutions_731"/>
      <sheetName val="Cover Sheet"/>
      <sheetName val="Panel Data"/>
      <sheetName val="Summary Mapping"/>
      <sheetName val="[POWER5.XLA]__soferadvisors_128"/>
      <sheetName val="[POWER5.XLA]__soferadvisors_126"/>
      <sheetName val="[POWER5.XLA]__soferadvisors_109"/>
      <sheetName val="[POWER5.XLA]__soferadvisors_111"/>
      <sheetName val="[POWER5.XLA]__soferadvisors_110"/>
      <sheetName val="[POWER5.XLA]__soferadvisors_112"/>
      <sheetName val="[POWER5.XLA]__soferadvisors_113"/>
      <sheetName val="[POWER5.XLA]__soferadvisors_118"/>
      <sheetName val="[POWER5.XLA]__soferadvisors_115"/>
      <sheetName val="[POWER5.XLA]__soferadvisors_114"/>
      <sheetName val="[POWER5.XLA]__soferadvisors_117"/>
      <sheetName val="[POWER5.XLA]__soferadvisors_116"/>
      <sheetName val="[POWER5.XLA]__soferadvisors_119"/>
      <sheetName val="[POWER5.XLA]__soferadvisors_120"/>
      <sheetName val="[POWER5.XLA]__soferadvisors_122"/>
      <sheetName val="[POWER5.XLA]__soferadvisors_121"/>
      <sheetName val="[POWER5.XLA]__soferadvisors_123"/>
      <sheetName val="[POWER5.XLA]__soferadvisors_125"/>
      <sheetName val="[POWER5.XLA]__soferadvisors_124"/>
      <sheetName val="[POWER5.XLA]__soferadvisors_127"/>
      <sheetName val="[POWER5.XLA]__soferadvisors_130"/>
      <sheetName val="[POWER5.XLA]__soferadvisors_129"/>
      <sheetName val="[POWER5.XLA]__soferadvisors_131"/>
      <sheetName val="AR2"/>
      <sheetName val="[POWER5.XLA]__soferadvisors_133"/>
      <sheetName val="[POWER5.XLA]__soferadvisors_132"/>
      <sheetName val="[POWER5.XLA]__soferadvisors_134"/>
      <sheetName val="[POWER5.XLA]__soferadvisors_135"/>
      <sheetName val="[POWER5.XLA]__soferadvisors_137"/>
      <sheetName val="[POWER5.XLA]__soferadvisors_136"/>
      <sheetName val="[POWER5.XLA]__soferadvisors_138"/>
      <sheetName val="[POWER5.XLA]__d_docs_live_n_111"/>
      <sheetName val="[POWER5.XLA]__d_docs_live_n_113"/>
      <sheetName val="[POWER5.XLA]__d_docs_live_n_112"/>
      <sheetName val="[POWER5.XLA]__d_docs_live_n_115"/>
      <sheetName val="[POWER5.XLA]__d_docs_live_n_114"/>
      <sheetName val="Column titles"/>
      <sheetName val="Rate Card - Base Currency"/>
      <sheetName val="DataFromAMP"/>
      <sheetName val="0. AMP Inputs"/>
      <sheetName val="Disclaimer &amp; Terms of Use"/>
      <sheetName val="[POWER5.XLA]__d_docs_live_n_117"/>
      <sheetName val="[POWER5.XLA]__d_docs_live_n_116"/>
      <sheetName val="[POWER5.XLA]__d_docs_live_n_118"/>
      <sheetName val="[POWER5.XLA]__d_docs_live_n_119"/>
      <sheetName val="[POWER5.XLA]__d_docs_live_n_122"/>
      <sheetName val="[POWER5.XLA]__d_docs_live_n_120"/>
      <sheetName val="[POWER5.XLA]__d_docs_live_n_121"/>
      <sheetName val="[POWER5.XLA]__d_docs_live_n_123"/>
      <sheetName val="[POWER5.XLA]__d_docs_live_n_126"/>
      <sheetName val="[POWER5.XLA]__d_docs_live_n_124"/>
      <sheetName val="[POWER5.XLA]__d_docs_live_n_125"/>
      <sheetName val="[POWER5.XLA]__qmaxsolutions_736"/>
      <sheetName val="[POWER5.XLA]__qmaxsolutions_733"/>
      <sheetName val="[POWER5.XLA]__qmaxsolutions_732"/>
      <sheetName val="[POWER5.XLA]__qmaxsolutions_734"/>
      <sheetName val="[POWER5.XLA]__qmaxsolutions_735"/>
      <sheetName val="[POWER5.XLA]__qmaxsolutions_739"/>
      <sheetName val="[POWER5.XLA]__qmaxsolutions_737"/>
      <sheetName val="[POWER5.XLA]__qmaxsolutions_738"/>
      <sheetName val="[POWER5.XLA]__qmaxsolutions_741"/>
      <sheetName val="[POWER5.XLA]__soferadvisors_140"/>
      <sheetName val="[POWER5.XLA]__soferadvisors_139"/>
      <sheetName val="[POWER5.XLA]__soferadvisors_141"/>
      <sheetName val="BS17 - TB Scratchpad"/>
      <sheetName val="[POWER5.XLA]__qmaxsolutions_740"/>
      <sheetName val="C US"/>
      <sheetName val="N US"/>
      <sheetName val="[POWER5.XLA]__qmaxsolutions_756"/>
      <sheetName val="[POWER5.XLA]__qmaxsolutions_750"/>
      <sheetName val="[POWER5.XLA]__qmaxsolutions_745"/>
      <sheetName val="[POWER5.XLA]__qmaxsolutions_742"/>
      <sheetName val="[POWER5.XLA]__qmaxsolutions_743"/>
      <sheetName val="[POWER5.XLA]__qmaxsolutions_744"/>
      <sheetName val="[POWER5.XLA]__qmaxsolutions_748"/>
      <sheetName val="[POWER5.XLA]__qmaxsolutions_746"/>
      <sheetName val="[POWER5.XLA]__qmaxsolutions_747"/>
      <sheetName val="[POWER5.XLA]__qmaxsolutions_749"/>
      <sheetName val="[POWER5.XLA]__qmaxsolutions_751"/>
      <sheetName val="[POWER5.XLA]__qmaxsolutions_755"/>
      <sheetName val="[POWER5.XLA]__qmaxsolutions_752"/>
      <sheetName val="[POWER5.XLA]__qmaxsolutions_753"/>
      <sheetName val="[POWER5.XLA]__qmaxsolutions_754"/>
      <sheetName val="[POWER5.XLA]__qmaxsolutions_757"/>
      <sheetName val="[POWER5.XLA]__qmaxsolutions_759"/>
      <sheetName val="[POWER5.XLA]__qmaxsolutions_758"/>
      <sheetName val="[POWER5.XLA]__qmaxsolutions_760"/>
      <sheetName val="[POWER5.XLA]__qmaxsolutions_761"/>
      <sheetName val="[POWER5.XLA]__qmaxsolutions_762"/>
      <sheetName val="[POWER5.XLA]__qmaxsolutions_764"/>
      <sheetName val="[POWER5.XLA]__qmaxsolutions_763"/>
      <sheetName val="[POWER5.XLA]__qmaxsolutions_765"/>
      <sheetName val="[POWER5.XLA]__qmaxsolutions_766"/>
      <sheetName val="[POWER5.XLA]__qmaxsolutions_769"/>
      <sheetName val="[POWER5.XLA]__qmaxsolutions_767"/>
      <sheetName val="[POWER5.XLA]__qmaxsolutions_768"/>
      <sheetName val="[POWER5.XLA]__soferadvisors_192"/>
      <sheetName val="[POWER5.XLA]__soferadvisors_144"/>
      <sheetName val="[POWER5.XLA]__soferadvisors_142"/>
      <sheetName val="[POWER5.XLA]__soferadvisors_143"/>
      <sheetName val="[POWER5.XLA]__soferadvisors_145"/>
      <sheetName val="[POWER5.XLA]__soferadvisors_150"/>
      <sheetName val="[POWER5.XLA]__soferadvisors_146"/>
      <sheetName val="[POWER5.XLA]__soferadvisors_147"/>
      <sheetName val="[POWER5.XLA]__soferadvisors_148"/>
      <sheetName val="[POWER5.XLA]__soferadvisors_149"/>
      <sheetName val="[POWER5.XLA]__soferadvisors_151"/>
      <sheetName val="[POWER5.XLA]__soferadvisors_152"/>
      <sheetName val="[POWER5.XLA]__soferadvisors_158"/>
      <sheetName val="[POWER5.XLA]__soferadvisors_153"/>
      <sheetName val="[POWER5.XLA]__soferadvisors_154"/>
      <sheetName val="[POWER5.XLA]__soferadvisors_155"/>
      <sheetName val="[POWER5.XLA]__soferadvisors_156"/>
      <sheetName val="[POWER5.XLA]__soferadvisors_157"/>
      <sheetName val="[POWER5.XLA]__soferadvisors_167"/>
      <sheetName val="[POWER5.XLA]__soferadvisors_160"/>
      <sheetName val="[POWER5.XLA]__soferadvisors_159"/>
      <sheetName val="[POWER5.XLA]__soferadvisors_162"/>
      <sheetName val="[POWER5.XLA]__soferadvisors_161"/>
      <sheetName val="[POWER5.XLA]__soferadvisors_165"/>
      <sheetName val="[POWER5.XLA]__soferadvisors_163"/>
      <sheetName val="[POWER5.XLA]__soferadvisors_164"/>
      <sheetName val="[POWER5.XLA]__soferadvisors_166"/>
      <sheetName val="[POWER5.XLA]__soferadvisors_170"/>
      <sheetName val="[POWER5.XLA]__soferadvisors_169"/>
      <sheetName val="[POWER5.XLA]__soferadvisors_168"/>
      <sheetName val="[POWER5.XLA]__soferadvisors_171"/>
      <sheetName val="[POWER5.XLA]__soferadvisors_177"/>
      <sheetName val="[POWER5.XLA]__soferadvisors_173"/>
      <sheetName val="[POWER5.XLA]__soferadvisors_172"/>
      <sheetName val="[POWER5.XLA]__soferadvisors_176"/>
      <sheetName val="[POWER5.XLA]__soferadvisors_174"/>
      <sheetName val="[POWER5.XLA]__soferadvisors_175"/>
      <sheetName val="[POWER5.XLA]__soferadvisors_180"/>
      <sheetName val="[POWER5.XLA]__soferadvisors_178"/>
      <sheetName val="[POWER5.XLA]__soferadvisors_179"/>
      <sheetName val="[POWER5.XLA]__soferadvisors_181"/>
      <sheetName val="[POWER5.XLA]__soferadvisors_182"/>
      <sheetName val="[POWER5.XLA]__soferadvisors_185"/>
      <sheetName val="[POWER5.XLA]__soferadvisors_183"/>
      <sheetName val="[POWER5.XLA]__soferadvisors_184"/>
      <sheetName val="[POWER5.XLA]__soferadvisors_186"/>
      <sheetName val="[POWER5.XLA]__soferadvisors_188"/>
      <sheetName val="[POWER5.XLA]__soferadvisors_187"/>
      <sheetName val="[POWER5.XLA]__soferadvisors_189"/>
      <sheetName val="[POWER5.XLA]__soferadvisors_190"/>
      <sheetName val="[POWER5.XLA]__soferadvisors_191"/>
      <sheetName val="[POWER5.XLA]__soferadvisors_194"/>
      <sheetName val="[POWER5.XLA]__soferadvisors_193"/>
      <sheetName val="[POWER5.XLA]__soferadvisors_196"/>
      <sheetName val="[POWER5.XLA]__soferadvisors_195"/>
      <sheetName val="[POWER5.XLA]__soferadvisors_198"/>
      <sheetName val="[POWER5.XLA]__soferadvisors_197"/>
      <sheetName val="[POWER5.XLA]__soferadvisors_200"/>
      <sheetName val="[POWER5.XLA]__soferadvisors_199"/>
      <sheetName val="[POWER5.XLA]__soferadvisors_201"/>
      <sheetName val="[POWER5.XLA]__soferadvisors_203"/>
      <sheetName val="[POWER5.XLA]__soferadvisors_202"/>
      <sheetName val="[POWER5.XLA]__soferadvisors_205"/>
      <sheetName val="[POWER5.XLA]__soferadvisors_204"/>
      <sheetName val="[POWER5.XLA]__soferadvisors_207"/>
      <sheetName val="[POWER5.XLA]__soferadvisors_206"/>
      <sheetName val="[POWER5.XLA]__soferadvisors_222"/>
      <sheetName val="[POWER5.XLA]__soferadvisors_208"/>
      <sheetName val="[POWER5.XLA]__soferadvisors_209"/>
      <sheetName val="[POWER5.XLA]__soferadvisors_211"/>
      <sheetName val="[POWER5.XLA]__soferadvisors_210"/>
      <sheetName val="[POWER5.XLA]__soferadvisors_212"/>
      <sheetName val="[POWER5.XLA]__soferadvisors_217"/>
      <sheetName val="[POWER5.XLA]__soferadvisors_214"/>
      <sheetName val="[POWER5.XLA]__soferadvisors_213"/>
      <sheetName val="[POWER5.XLA]__soferadvisors_215"/>
      <sheetName val="[POWER5.XLA]__soferadvisors_216"/>
      <sheetName val="[POWER5.XLA]__soferadvisors_219"/>
      <sheetName val="[POWER5.XLA]__soferadvisors_218"/>
      <sheetName val="[POWER5.XLA]__soferadvisors_220"/>
      <sheetName val="[POWER5.XLA]__soferadvisors_221"/>
      <sheetName val="[POWER5.XLA]__soferadvisors_224"/>
      <sheetName val="[POWER5.XLA]__soferadvisors_223"/>
      <sheetName val="[POWER5.XLA]__soferadvisors_225"/>
      <sheetName val="[POWER5.XLA]__soferadvisors_228"/>
      <sheetName val="[POWER5.XLA]__soferadvisors_226"/>
      <sheetName val="[POWER5.XLA]__soferadvisors_227"/>
      <sheetName val="[POWER5.XLA]__soferadvisors_229"/>
      <sheetName val="[POWER5.XLA]__soferadvisors_232"/>
      <sheetName val="[POWER5.XLA]__soferadvisors_230"/>
      <sheetName val="[POWER5.XLA]__soferadvisors_231"/>
      <sheetName val="[POWER5.XLA]__soferadvisors_233"/>
      <sheetName val="[POWER5.XLA]__soferadvisors_235"/>
      <sheetName val="[POWER5.XLA]__soferadvisors_234"/>
      <sheetName val="[POWER5.XLA]__soferadvisors_245"/>
      <sheetName val="[POWER5.XLA]__soferadvisors_240"/>
      <sheetName val="[POWER5.XLA]__soferadvisors_236"/>
      <sheetName val="[POWER5.XLA]__soferadvisors_237"/>
      <sheetName val="[POWER5.XLA]__soferadvisors_238"/>
      <sheetName val="[POWER5.XLA]__soferadvisors_239"/>
      <sheetName val="[POWER5.XLA]__soferadvisors_241"/>
      <sheetName val="[POWER5.XLA]__soferadvisors_242"/>
      <sheetName val="[POWER5.XLA]__soferadvisors_243"/>
      <sheetName val="[POWER5.XLA]__soferadvisors_244"/>
      <sheetName val="[POWER5.XLA]__soferadvisors_246"/>
      <sheetName val="[POWER5.XLA]__soferadvisors_247"/>
      <sheetName val="[POWER5.XLA]__soferadvisors_248"/>
      <sheetName val="[POWER5.XLA]__soferadvisors_251"/>
      <sheetName val="[POWER5.XLA]__soferadvisors_249"/>
      <sheetName val="[POWER5.XLA]__soferadvisors_250"/>
      <sheetName val="[POWER5.XLA]__soferadvisors_252"/>
      <sheetName val="[POWER5.XLA]__soferadvisors_253"/>
      <sheetName val="[POWER5.XLA]__soferadvisors_255"/>
      <sheetName val="[POWER5.XLA]__soferadvisors_254"/>
      <sheetName val="[POWER5.XLA]__soferadvisors_256"/>
      <sheetName val="Adj Combined IS"/>
      <sheetName val="PV of Future Price"/>
      <sheetName val="DCF Output"/>
      <sheetName val="FF"/>
      <sheetName val="Contribution Analysis"/>
      <sheetName val="SU-Cap"/>
      <sheetName val="[POWER5.XLA]__soferadvisors_257"/>
      <sheetName val="[POWER5.XLA]__soferadvisors_258"/>
      <sheetName val="[POWER5.XLA]__soferadvisors_259"/>
      <sheetName val="[POWER5.XLA]__soferadvisors_260"/>
      <sheetName val="[POWER5.XLA]__soferadvisors_263"/>
      <sheetName val="[POWER5.XLA]__soferadvisors_262"/>
      <sheetName val="[POWER5.XLA]__soferadvisors_261"/>
      <sheetName val="[POWER5.XLA]__soferadvisors_264"/>
      <sheetName val="[POWER5.XLA]__soferadvisors_266"/>
      <sheetName val="[POWER5.XLA]__soferadvisors_265"/>
      <sheetName val="[POWER5.XLA]__soferadvisors_269"/>
      <sheetName val="[POWER5.XLA]__soferadvisors_267"/>
      <sheetName val="[POWER5.XLA]__soferadvisors_268"/>
      <sheetName val="[POWER5.XLA]__soferadvisors_270"/>
      <sheetName val="[POWER5.XLA]__soferadvisors_271"/>
      <sheetName val="[POWER5.XLA]__soferadvisors_274"/>
      <sheetName val="[POWER5.XLA]__soferadvisors_272"/>
      <sheetName val="[POWER5.XLA]__soferadvisors_273"/>
      <sheetName val="[POWER5.XLA]__soferadvisors_277"/>
      <sheetName val="[POWER5.XLA]__soferadvisors_275"/>
      <sheetName val="[POWER5.XLA]__soferadvisors_276"/>
      <sheetName val="[POWER5.XLA]__soferadvisors_281"/>
      <sheetName val="[POWER5.XLA]__soferadvisors_278"/>
      <sheetName val="[POWER5.XLA]__soferadvisors_279"/>
      <sheetName val="[POWER5.XLA]__soferadvisors_280"/>
      <sheetName val="[POWER5.XLA]__qmaxsolutions_774"/>
      <sheetName val="[POWER5.XLA]__qmaxsolutions_770"/>
      <sheetName val="[POWER5.XLA]__qmaxsolutions_771"/>
      <sheetName val="[POWER5.XLA]__qmaxsolutions_772"/>
      <sheetName val="[POWER5.XLA]__qmaxsolutions_773"/>
      <sheetName val="[POWER5.XLA]__qmaxsolutions_775"/>
      <sheetName val="[POWER5.XLA]__qmaxsolutions_776"/>
      <sheetName val="[POWER5.XLA]__qmaxsolutions_779"/>
      <sheetName val="[POWER5.XLA]__qmaxsolutions_777"/>
      <sheetName val="[POWER5.XLA]__qmaxsolutions_778"/>
      <sheetName val="[POWER5.XLA]__qmaxsolutions_780"/>
      <sheetName val="Operating Model"/>
      <sheetName val="TEE"/>
      <sheetName val="Backlog_Backlog Mthdly"/>
      <sheetName val="ICOC"/>
      <sheetName val="ROA"/>
      <sheetName val="TMTN"/>
      <sheetName val="TMTN 2-RFR "/>
      <sheetName val="Local-BUD"/>
      <sheetName val="Local-LE"/>
      <sheetName val="YTD"/>
      <sheetName val="P2-Deals-2006"/>
      <sheetName val="P2-Deals-2007"/>
      <sheetName val="P2-Deals-2008"/>
      <sheetName val="P2-Deals-2009"/>
      <sheetName val="[POWER5.XLA]__qmaxsolutions_808"/>
      <sheetName val="13-01_BS"/>
      <sheetName val="09-02_-_BS"/>
      <sheetName val="Enity_&amp;_Line_Item_Map"/>
      <sheetName val="13-01_IS"/>
      <sheetName val="P&amp;L_12months_thru_09-02"/>
      <sheetName val="Global_Footcare_price_list"/>
      <sheetName val="Foot_Balance_price_list"/>
      <sheetName val="QE_adjustment_database"/>
      <sheetName val="PL_Data"/>
      <sheetName val="BS_Data"/>
      <sheetName val="NWC_adjustments"/>
      <sheetName val="8_23_06"/>
      <sheetName val="DCF_Inputs"/>
      <sheetName val="2020_Capex_Budget"/>
      <sheetName val="Capex_Forecast"/>
      <sheetName val="Open_PO_@_11_1_18"/>
      <sheetName val="SA18-072_to_18-083_Flipper_Proj"/>
      <sheetName val="CC_pmt_SA18-075_&amp;_18-076"/>
      <sheetName val="Summary_Prophix_Vs_Macola"/>
      <sheetName val="Summary_Small_Flipper"/>
      <sheetName val="AP_invoices_SA18-073-083"/>
      <sheetName val="CC_Expense_SA18-073-_083"/>
      <sheetName val="Open_PO_@11_29_18"/>
      <sheetName val="Open_PO_@_12_31_2018"/>
      <sheetName val="[POWER5_XLA]_Applications_Mi_14"/>
      <sheetName val="[POWER5_XLA]__na1_salesforce_10"/>
      <sheetName val="[POWER5_XLA]_J_Applications__10"/>
      <sheetName val="[POWER5_XLA]_Applications_Mi_15"/>
      <sheetName val="[POWER5_XLA]__aodocs_altirna_18"/>
      <sheetName val="[POWER5_XLA]__localhost_webd_14"/>
      <sheetName val="[POWER5_XLA]__localhost_webd_15"/>
      <sheetName val="[POWER5_XLA]__localhost_FY_20_6"/>
      <sheetName val="[POWER5_XLA]__aodocs_altirna_19"/>
      <sheetName val="[POWER5_XLA]__localhost_webd_16"/>
      <sheetName val="[POWER5_XLA][POWER5_XLA]_Appl_9"/>
      <sheetName val="[POWER5_XLA][POWER5_XLA]__na1_9"/>
      <sheetName val="[POWER5_XLA][POWER5_XLA]__sfd_9"/>
      <sheetName val="[POWER5_XLA][POWER5_XLA]_POW_26"/>
      <sheetName val="[POWER5_XLA][POWER5_XLA]_POW_27"/>
      <sheetName val="[POWER5_XLA][POWER5_XLA]_POW_28"/>
      <sheetName val="[POWER5_XLA]__na1_salesforce_11"/>
      <sheetName val="[POWER5_XLA]_J_Applications__11"/>
      <sheetName val="[POWER5_XLA][POWER5_XLA]__qma_6"/>
      <sheetName val="[POWER5_XLA][POWER5_XLA]_POW_29"/>
      <sheetName val="[POWER5_XLA][POWER5_XLA]_POW_30"/>
      <sheetName val="[POWER5_XLA][POWER5_XLA]_J_Ap_6"/>
      <sheetName val="[POWER5_XLA]_Applications_Mi_16"/>
      <sheetName val="[POWER5_XLA]_Users_Dan_Librar_6"/>
      <sheetName val="[POWER5_XLA]__aodocs_altirna_20"/>
      <sheetName val="[POWER5_XLA]__aodocs_altirna_21"/>
      <sheetName val="[POWER5_XLA][POWER5_XLA]_POW_31"/>
      <sheetName val="[POWER5_XLA][POWER5_XLA]_POW_32"/>
      <sheetName val="[POWER5_XLA][POWER5_XLA]_POW_33"/>
      <sheetName val="[POWER5_XLA][POWER5_XLA]_Appl10"/>
      <sheetName val="[POWER5_XLA][POWER5_XLA]__na110"/>
      <sheetName val="[POWER5_XLA][POWER5_XLA]__sfd10"/>
      <sheetName val="[POWER5_XLA]_Users_SSimakova__5"/>
      <sheetName val="[POWER5_XLA]__na1_salesforce_12"/>
      <sheetName val="[POWER5_XLA][POWER5_XLA]__qma_1"/>
      <sheetName val="[POWER5_XLA][POWER5_XLA]_POW_34"/>
      <sheetName val="[POWER5_XLA][POWER5_XLA]_POW_35"/>
      <sheetName val="[POWER5_XLA][POWER5_XLA]_J_Ap_1"/>
      <sheetName val="[POWER5_XLA]_Users_Dan_Librar_7"/>
      <sheetName val="ScratchPad_HCB_YTD_BS"/>
      <sheetName val="ScratchPad_HPM_YTD_BS"/>
      <sheetName val="Mini_Model"/>
      <sheetName val="Case_Driver"/>
      <sheetName val="Case_Feed"/>
      <sheetName val="Mo_Cons"/>
      <sheetName val="Fin_Ratios"/>
      <sheetName val="Summary_Statistics"/>
      <sheetName val="Income_-_Year"/>
      <sheetName val="Cash_-_Year"/>
      <sheetName val="Balance_-_Year"/>
      <sheetName val="FCF_Chart"/>
      <sheetName val="Paging_Pen_Chart"/>
      <sheetName val="Deferred_Charges"/>
      <sheetName val="A_Shares"/>
      <sheetName val="B_Shares"/>
      <sheetName val="Total_Shares"/>
      <sheetName val="Valuation_-_FCF"/>
      <sheetName val="Valuation_-_FCF_+_Multiple"/>
      <sheetName val="Valuation_-_EBITDA_Multiple"/>
      <sheetName val="Control_-_S&amp;U"/>
      <sheetName val="Portugal_Q1RF"/>
      <sheetName val="[POWER5_XLA]__d_docs_live_net_2"/>
      <sheetName val="[POWER5_XLA]__d_docs_live_net_3"/>
      <sheetName val="[POWER5_XLA]__d_docs_live_net_4"/>
      <sheetName val="[POWER5_XLA]__d_docs_live_net_5"/>
      <sheetName val="[POWER5_XLA]__d_docs_live_net_6"/>
      <sheetName val="[POWER5_XLA]__d_docs_live_net_7"/>
      <sheetName val="[POWER5.XLA]__qmaxsolutions_782"/>
      <sheetName val="[POWER5.XLA]__qmaxsolutions_781"/>
      <sheetName val="[POWER5.XLA]__qmaxsolutions_785"/>
      <sheetName val="[POWER5.XLA]__qmaxsolutions_783"/>
      <sheetName val="[POWER5.XLA]__qmaxsolutions_784"/>
      <sheetName val="[POWER5.XLA]__qmaxsolutions_788"/>
      <sheetName val="[POWER5.XLA]__qmaxsolutions_787"/>
      <sheetName val="[POWER5.XLA]__qmaxsolutions_786"/>
      <sheetName val="[POWER5.XLA]__qmaxsolutions_789"/>
      <sheetName val="[POWER5.XLA]__qmaxsolutions_792"/>
      <sheetName val="[POWER5.XLA]__qmaxsolutions_790"/>
      <sheetName val="[POWER5.XLA]__qmaxsolutions_791"/>
      <sheetName val="[POWER5.XLA]__qmaxsolutions_793"/>
      <sheetName val="[POWER5.XLA]__qmaxsolutions_794"/>
      <sheetName val="[POWER5.XLA]__qmaxsolutions_796"/>
      <sheetName val="[POWER5.XLA]__qmaxsolutions_795"/>
      <sheetName val="[POWER5.XLA]__qmaxsolutions_797"/>
      <sheetName val="[POWER5.XLA]__qmaxsolutions_798"/>
      <sheetName val="[POWER5.XLA]__qmaxsolutions_799"/>
      <sheetName val="[POWER5.XLA]__qmaxsolutions_804"/>
      <sheetName val="[POWER5.XLA]__qmaxsolutions_800"/>
      <sheetName val="[POWER5.XLA]__qmaxsolutions_801"/>
      <sheetName val="[POWER5.XLA]__qmaxsolutions_802"/>
      <sheetName val="[POWER5.XLA]__qmaxsolutions_803"/>
      <sheetName val="[POWER5.XLA]__qmaxsolutions_805"/>
      <sheetName val="[POWER5.XLA]__qmaxsolutions_807"/>
      <sheetName val="[POWER5.XLA]__qmaxsolutions_806"/>
      <sheetName val="[POWER5.XLA]__qmaxsolutions_809"/>
      <sheetName val="Calculation"/>
      <sheetName val="Reconciliation"/>
      <sheetName val="Prog Amort"/>
      <sheetName val="Input Sheet"/>
      <sheetName val="Contact Sheet"/>
      <sheetName val="LOB &amp; Products"/>
      <sheetName val="[POWER5.XLA]__qmaxsolutions_810"/>
      <sheetName val="[POWER5.XLA]__qmaxsolutions_811"/>
      <sheetName val="[POWER5.XLA]__qmaxsolutions_812"/>
      <sheetName val="[POWER5.XLA]__qmaxsolutions_813"/>
      <sheetName val="Original Andrew___Data"/>
      <sheetName val="[POWER5.XLA]__sfdc_DFS_Applic_9"/>
      <sheetName val="[POWER5.XLA]_Applications_Mi_23"/>
      <sheetName val="[POWER5.XLA]__localhost_webd_23"/>
      <sheetName val="[POWER5.XLA]__localhost_webd_24"/>
      <sheetName val="[POWER5.XLA]__localhost_FY_20_9"/>
      <sheetName val="[POWER5.XLA]__localhost_webd_25"/>
      <sheetName val="[POWER5.XLA][POWER5.XLA]_POW_37"/>
      <sheetName val="[POWER5.XLA][POWER5.XLA]_POW_38"/>
      <sheetName val="[POWER5.XLA][POWER5.XLA]_POW_39"/>
      <sheetName val="[POWER5.XLA][POWER5.XLA]_Appl_9"/>
      <sheetName val="[POWER5.XLA][POWER5.XLA]__na1_9"/>
      <sheetName val="[POWER5.XLA][POWER5.XLA]__sfd_9"/>
      <sheetName val="[POWER5.XLA][POWER5.XLA]__qma_9"/>
      <sheetName val="[POWER5.XLA][POWER5.XLA]_POW_40"/>
      <sheetName val="[POWER5.XLA][POWER5.XLA]_POW_41"/>
      <sheetName val="[POWER5.XLA][POWER5.XLA]_J_Ap_9"/>
      <sheetName val="[POWER5.XLA]_J_Applications__17"/>
      <sheetName val="[POWER5.XLA]_Applications_Mi_24"/>
      <sheetName val="[POWER5.XLA]__aodocs_altirna_30"/>
      <sheetName val="[POWER5.XLA]__aodocs_altirna_31"/>
      <sheetName val="[POWER5.XLA]__localhost_Appli_2"/>
      <sheetName val="[POWER5.XLA]__soferadvisors_282"/>
      <sheetName val="[POWER5.XLA]__soferadvisors_283"/>
      <sheetName val="[POWER5.XLA]__soferadvisors_284"/>
      <sheetName val="[POWER5.XLA]__soferadvisors_285"/>
      <sheetName val="[POWER5.XLA]__soferadvisors_286"/>
      <sheetName val="[POWER5.XLA]__soferadvisors_288"/>
      <sheetName val="[POWER5.XLA]__soferadvisors_287"/>
      <sheetName val="[POWER5.XLA]__soferadvisors_289"/>
      <sheetName val="[POWER5.XLA]__soferadvisors_290"/>
      <sheetName val="[POWER5.XLA]__soferadvisors_292"/>
      <sheetName val="[POWER5.XLA]__soferadvisors_291"/>
      <sheetName val="[POWER5.XLA]__qmaxsolutions_814"/>
      <sheetName val="[POWER5.XLA]__qmaxsolutions_816"/>
      <sheetName val="[POWER5.XLA]__qmaxsolutions_815"/>
      <sheetName val="[POWER5.XLA]__qmaxsolutions_817"/>
      <sheetName val="[POWER5.XLA]__qmaxsolutions_818"/>
      <sheetName val="[POWER5.XLA]__qmaxsolutions_819"/>
      <sheetName val="CFS"/>
      <sheetName val="Consolidated P&amp;L"/>
      <sheetName val="Consolidated_P&amp;L"/>
      <sheetName val="//qmaxsolutions-my_sharepoint_4"/>
      <sheetName val="Data2"/>
      <sheetName val="[POWER5.XLA]__qmaxsolutions_820"/>
      <sheetName val="[POWER5.XLA]__qmaxsolutions_821"/>
      <sheetName val="Macro1"/>
      <sheetName val="Total"/>
      <sheetName val="VALUATION_RF"/>
      <sheetName val="CREDIT STATS"/>
      <sheetName val="[POWER5_XLA]_Applications_Mi_17"/>
      <sheetName val="[POWER5_XLA]_J_Applications__12"/>
      <sheetName val="[POWER5_XLA]_Applications_Mi_18"/>
      <sheetName val="[POWER5_XLA]__aodocs_altirna_22"/>
      <sheetName val="[POWER5_XLA]__localhost_webd_17"/>
      <sheetName val="[POWER5_XLA]__localhost_webd_18"/>
      <sheetName val="[POWER5_XLA]__localhost_FY_20_7"/>
      <sheetName val="[POWER5_XLA]__aodocs_altirna_23"/>
      <sheetName val="[POWER5_XLA]__localhost_webd_19"/>
      <sheetName val="[POWER5_XLA][POWER5_XLA]_Appl11"/>
      <sheetName val="[POWER5_XLA][POWER5_XLA]__na111"/>
      <sheetName val="[POWER5_XLA][POWER5_XLA]__sfd11"/>
      <sheetName val="[POWER5_XLA][POWER5_XLA]_POW_36"/>
      <sheetName val="[POWER5_XLA][POWER5_XLA]_POW_37"/>
      <sheetName val="[POWER5_XLA][POWER5_XLA]_POW_38"/>
      <sheetName val="[POWER5_XLA]__na1_salesforce_13"/>
      <sheetName val="[POWER5_XLA]_J_Applications__13"/>
      <sheetName val="[POWER5_XLA][POWER5_XLA]__qma_7"/>
      <sheetName val="[POWER5_XLA][POWER5_XLA]_POW_39"/>
      <sheetName val="[POWER5_XLA][POWER5_XLA]_POW_40"/>
      <sheetName val="[POWER5_XLA][POWER5_XLA]_J_Ap_7"/>
      <sheetName val="[POWER5_XLA]_Applications_Mi_19"/>
      <sheetName val="[POWER5_XLA]__aodocs_altirna_24"/>
      <sheetName val="[POWER5_XLA]__aodocs_altirna_25"/>
      <sheetName val="[POWER5_XLA][POWER5_XLA]_POW_41"/>
      <sheetName val="[POWER5_XLA][POWER5_XLA]_Appl12"/>
      <sheetName val="[POWER5_XLA][POWER5_XLA]__na112"/>
      <sheetName val="[POWER5_XLA][POWER5_XLA]__sfd12"/>
      <sheetName val="[POWER5_XLA]_Users_SSimakova__6"/>
      <sheetName val="[POWER5_XLA]__na1_salesforce_14"/>
      <sheetName val="[POWER5_XLA][POWER5_XLA]_POW_42"/>
      <sheetName val="[POWER5_XLA][POWER5_XLA]_POW_43"/>
      <sheetName val="[POWER5_XLA]_Users_Dan_Librar_8"/>
      <sheetName val="EPS_Chart_CRNv2"/>
      <sheetName val="PL_-_Corintech_UK"/>
      <sheetName val="PL4_2_-_Corintech_HK"/>
      <sheetName val="CP"/>
      <sheetName val="DATA BOOKINGS - SF"/>
      <sheetName val="DATA REVENUE - SF"/>
      <sheetName val="1. Summary"/>
      <sheetName val="2. Detail Variances"/>
      <sheetName val="3. 12 Mo P&amp;L"/>
      <sheetName val="4. Vendor_GL Pivot"/>
      <sheetName val="5. Smartlist"/>
      <sheetName val="Control Panel"/>
      <sheetName val="[POWER5.XLA]__qmaxsolutions_822"/>
      <sheetName val="[POWER5.XLA]__qmaxsolutions_825"/>
      <sheetName val="[POWER5.XLA]__qmaxsolutions_823"/>
      <sheetName val="[POWER5.XLA]__qmaxsolutions_824"/>
      <sheetName val="[POWER5.XLA]__qmaxsolutions_826"/>
      <sheetName val="Summary_of_Adjustments1"/>
      <sheetName val="Service_Offerings_to_Top-201"/>
      <sheetName val="Logistics_Out__by_Region1"/>
      <sheetName val="Revenue_by_Segment1"/>
      <sheetName val="Facilities_Overview1"/>
      <sheetName val="Vol_Contr_2013-20161"/>
      <sheetName val="Front_Sheet1"/>
      <sheetName val="//na1_s1"/>
      <sheetName val="B-6_investment1"/>
      <sheetName val="Date_Listing_-_Sub1"/>
      <sheetName val="Historical_Financials1"/>
      <sheetName val="[POWER5_XLA]_Applications_Mic10"/>
      <sheetName val="[POWER5_XLA]__aodocs_altirnao_1"/>
      <sheetName val="[POWER5_XLA]__localhost_webda_1"/>
      <sheetName val="[POWER5_XLA]__localhost_webda10"/>
      <sheetName val="[POWER5_XLA]__localhost_FY_20_1"/>
      <sheetName val="[POWER5_XLA]__aodocs_altirnao10"/>
      <sheetName val="[POWER5_XLA]__localhost_webda11"/>
      <sheetName val="[POWER5_XLA][POWER5_XLA]_POWE17"/>
      <sheetName val="[POWER5_XLA][POWER5_XLA]_POWE18"/>
      <sheetName val="[POWER5_XLA][POWER5_XLA]_POWE19"/>
      <sheetName val="[POWER5_XLA]_J_Applications_M10"/>
      <sheetName val="[POWER5_XLA][POWER5_XLA]_POWE20"/>
      <sheetName val="[POWER5_XLA][POWER5_XLA]_POWE21"/>
      <sheetName val="[POWER5_XLA]_Applications_Mic11"/>
      <sheetName val="[POWER5_XLA]_Users_Dan_Librar_1"/>
      <sheetName val="[POWER5_XLA]__aodocs_altirnao11"/>
      <sheetName val="[POWER5_XLA]__aodocs_altirnao12"/>
      <sheetName val="[POWER5_XLA][POWER5_XLA]_POWE22"/>
      <sheetName val="[POWER5_XLA][POWER5_XLA]_POWE23"/>
      <sheetName val="[POWER5_XLA][POWER5_XLA]_POWE24"/>
      <sheetName val="[POWER5_XLA]_Applications_Mic12"/>
      <sheetName val="[POWER5_XLA]_J_Applications_M11"/>
      <sheetName val="[POWER5_XLA][POWER5_XLA]_POWE25"/>
      <sheetName val="[POWER5_XLA][POWER5_XLA]_POWE26"/>
      <sheetName val="[POWER5_XLA][POWER5_XLA]_POWE27"/>
      <sheetName val="[POWER5_XLA]__localhost_webda12"/>
      <sheetName val="[POWER5_XLA]__localhost_webda13"/>
      <sheetName val="[POWER5_XLA]__localhost_webda14"/>
      <sheetName val="[POWER5_XLA]_J_Applications_M12"/>
      <sheetName val="[POWER5_XLA]_Applications_Mic13"/>
      <sheetName val="[POWER5_XLA]__aodocs_altirnao13"/>
      <sheetName val="[POWER5_XLA]__aodocs_altirnao14"/>
      <sheetName val="[POWER5_XLA]_Applications_Mic14"/>
      <sheetName val="[POWER5_XLA]_Applications_Mic15"/>
      <sheetName val="[POWER5_XLA]_J_Applications_M13"/>
      <sheetName val="[POWER5_XLA]__aodocs_altirnao15"/>
      <sheetName val="[POWER5_XLA]__localhost_webda15"/>
      <sheetName val="[POWER5_XLA]__localhost_webda16"/>
      <sheetName val="[POWER5_XLA]__aodocs_altirnao16"/>
      <sheetName val="[POWER5_XLA]_J_Applications_M14"/>
      <sheetName val="[POWER5_XLA]_Applications_Mic16"/>
      <sheetName val="[POWER5_XLA][POWER5_XLA]_POWE28"/>
      <sheetName val="[POWER5_XLA][POWER5_XLA]_POWE29"/>
      <sheetName val="[POWER5_XLA][POWER5_XLA]_POWE30"/>
      <sheetName val="[POWER5_XLA][POWER5_XLA]_Appl13"/>
      <sheetName val="[POWER5_XLA][POWER5_XLA]__na113"/>
      <sheetName val="[POWER5_XLA][POWER5_XLA]__sfd13"/>
      <sheetName val="Int__Rate_Data1"/>
      <sheetName val="Customize_Your_Purchase_Order1"/>
      <sheetName val="CENTRAL_REGION_-_661"/>
      <sheetName val="Add_Info(AI)1"/>
      <sheetName val="P&amp;L_-_Main1"/>
      <sheetName val="99_Contingency_Analysis1"/>
      <sheetName val="New_C_PM1"/>
      <sheetName val="Pipeline_User_Controls1"/>
      <sheetName val="GP_LP_Fund1"/>
      <sheetName val="[POWER5_XLA]_Users_SSimakova__1"/>
      <sheetName val="[POWER5_XLA][POWER5_XLA]_POWE31"/>
      <sheetName val="[POWER5_XLA][POWER5_XLA]_POWE32"/>
      <sheetName val="[POWER5_XLA][POWER5_XLA]_Appl14"/>
      <sheetName val="[POWER5_XLA][POWER5_XLA]__na114"/>
      <sheetName val="[POWER5_XLA][POWER5_XLA]__sfd14"/>
      <sheetName val="[POWER5_XLA]__na1_salesforce_15"/>
      <sheetName val="[POWER5_XLA]_J_Applications_M15"/>
      <sheetName val="[POWER5_XLA]__localhost_FY_20_8"/>
      <sheetName val="[POWER5_XLA][POWER5_XLA]_Appl15"/>
      <sheetName val="[POWER5_XLA][POWER5_XLA]__na115"/>
      <sheetName val="[POWER5_XLA][POWER5_XLA]__sfd15"/>
      <sheetName val="[POWER5_XLA]__na1_salesforce_16"/>
      <sheetName val="[POWER5_XLA]_J_Applications_M16"/>
      <sheetName val="[POWER5_XLA][POWER5_XLA]__qma_8"/>
      <sheetName val="[POWER5_XLA][POWER5_XLA]_J_Ap_8"/>
      <sheetName val="[POWER5_XLA][POWER5_XLA]_Appl16"/>
      <sheetName val="[POWER5_XLA][POWER5_XLA]__na116"/>
      <sheetName val="[POWER5_XLA][POWER5_XLA]__sfd16"/>
      <sheetName val="Financial_Data1"/>
      <sheetName val="Lookup_Table1"/>
      <sheetName val="Dashboard_-_Page_11"/>
      <sheetName val="Dashboard_-_Page_21"/>
      <sheetName val="Dashboard_-_Page_31"/>
      <sheetName val="HRs_&amp;_Fill_Rate1"/>
      <sheetName val="TX_Consolidated1"/>
      <sheetName val="Corpus_Christi1"/>
      <sheetName val="Del_Rio(xfers__to_SA_in_Nov_)1"/>
      <sheetName val="Laredo(xfers__to_Corp__in_Nov_1"/>
      <sheetName val="Mt_Vernon1"/>
      <sheetName val="San_Antonio1"/>
      <sheetName val="Consolidated_CCS_Tracker1"/>
      <sheetName val="Abilene_CCS_Tracker1"/>
      <sheetName val="Arlington_CCS_Tracker1"/>
      <sheetName val="Bridgeport_CCS_Tracker1"/>
      <sheetName val="Cooper_CCS_Tracker1"/>
      <sheetName val="Corpus_Christi_CCS_Tracker1"/>
      <sheetName val="Del_Rio_CCS_Tracker1"/>
      <sheetName val="Edinburg_CCS_Tracker1"/>
      <sheetName val="Jasper_CCS_Tracker1"/>
      <sheetName val="Laredo_CCS_Tracker1"/>
      <sheetName val="Mt_Vernon_CCS_Tracker1"/>
      <sheetName val="Pasadena_CCS_Tracker1"/>
      <sheetName val="San_Antonio_CCS_Tracker1"/>
      <sheetName val="Pyramid_CCS_Tracker1"/>
      <sheetName val="OK_Consol1"/>
      <sheetName val="Avg_PCA_Hrs1"/>
      <sheetName val="PCA_Hours1"/>
      <sheetName val="[POWER5_XLA]__d_docs_live_net_1"/>
      <sheetName val="Convertible_Preferred1"/>
      <sheetName val="Upside_Cases1"/>
      <sheetName val="Standalone_Costs1"/>
      <sheetName val="Depr_Table1"/>
      <sheetName val="[POWER5_XLA]__d_docs_live_net_8"/>
      <sheetName val="[POWER5_XLA]_Applications_Mic17"/>
      <sheetName val="[POWER5_XLA]__na1_salesforce_17"/>
      <sheetName val="[POWER5_XLA]__sfdc_DFS_Applic_9"/>
      <sheetName val="[POWER5_XLA]_J_Applications_M17"/>
      <sheetName val="Summary_of_Adjustments2"/>
      <sheetName val="Service_Offerings_to_Top-202"/>
      <sheetName val="Logistics_Out__by_Region2"/>
      <sheetName val="Revenue_by_Segment2"/>
      <sheetName val="Facilities_Overview2"/>
      <sheetName val="Vol_Contr_2013-20162"/>
      <sheetName val="Front_Sheet2"/>
      <sheetName val="//na1_s2"/>
      <sheetName val="B-6_investment2"/>
      <sheetName val="Date_Listing_-_Sub2"/>
      <sheetName val="Historical_Financials2"/>
      <sheetName val="[POWER5_XLA]_Applications_Mic18"/>
      <sheetName val="[POWER5_XLA]__aodocs_altirnao17"/>
      <sheetName val="[POWER5_XLA]__localhost_webda17"/>
      <sheetName val="[POWER5_XLA]__localhost_webda18"/>
      <sheetName val="[POWER5_XLA]__localhost_FY_20_9"/>
      <sheetName val="[POWER5_XLA]__aodocs_altirnao18"/>
      <sheetName val="[POWER5_XLA]__localhost_webda19"/>
      <sheetName val="[POWER5_XLA][POWER5_XLA]_Appl17"/>
      <sheetName val="[POWER5_XLA][POWER5_XLA]__na117"/>
      <sheetName val="[POWER5_XLA][POWER5_XLA]__sfd17"/>
      <sheetName val="[POWER5_XLA][POWER5_XLA]_POWE33"/>
      <sheetName val="[POWER5_XLA][POWER5_XLA]_POWE34"/>
      <sheetName val="[POWER5_XLA][POWER5_XLA]_POWE35"/>
      <sheetName val="[POWER5_XLA]__na1_salesforce_18"/>
      <sheetName val="[POWER5_XLA]_J_Applications_M18"/>
      <sheetName val="[POWER5_XLA][POWER5_XLA]__qma_9"/>
      <sheetName val="[POWER5_XLA][POWER5_XLA]_POWE36"/>
      <sheetName val="[POWER5_XLA][POWER5_XLA]_POWE37"/>
      <sheetName val="[POWER5_XLA][POWER5_XLA]_J_Ap_9"/>
      <sheetName val="[POWER5_XLA]_Applications_Mic19"/>
      <sheetName val="[POWER5_XLA]_Users_Dan_Librar_9"/>
      <sheetName val="[POWER5_XLA]__aodocs_altirnao19"/>
      <sheetName val="[POWER5_XLA]__aodocs_altirnao20"/>
      <sheetName val="[POWER5_XLA][POWER5_XLA]_POWE38"/>
      <sheetName val="[POWER5_XLA][POWER5_XLA]_POWE39"/>
      <sheetName val="[POWER5_XLA][POWER5_XLA]_POWE40"/>
      <sheetName val="[POWER5_XLA][POWER5_XLA]_Appl18"/>
      <sheetName val="[POWER5_XLA][POWER5_XLA]__na118"/>
      <sheetName val="[POWER5_XLA][POWER5_XLA]__sfd18"/>
      <sheetName val="[POWER5_XLA]_Applications_Mic20"/>
      <sheetName val="[POWER5_XLA]__na1_salesforce_19"/>
      <sheetName val="[POWER5_XLA]__sfdc_DFS_Applic10"/>
      <sheetName val="[POWER5_XLA]_J_Applications_M19"/>
      <sheetName val="[POWER5_XLA][POWER5_XLA]_Appl19"/>
      <sheetName val="[POWER5_XLA][POWER5_XLA]__na119"/>
      <sheetName val="[POWER5_XLA][POWER5_XLA]__sfd19"/>
      <sheetName val="[POWER5_XLA][POWER5_XLA]_POWE41"/>
      <sheetName val="[POWER5_XLA][POWER5_XLA]_POWE42"/>
      <sheetName val="[POWER5_XLA][POWER5_XLA]_POWE43"/>
      <sheetName val="[POWER5_XLA]__localhost_webda20"/>
      <sheetName val="[POWER5_XLA]__localhost_webda21"/>
      <sheetName val="[POWER5_XLA]__localhost_FY_2010"/>
      <sheetName val="[POWER5_XLA]__localhost_webda22"/>
      <sheetName val="[POWER5_XLA][POWER5_XLA]__qma10"/>
      <sheetName val="[POWER5_XLA][POWER5_XLA]_J_Ap10"/>
      <sheetName val="[POWER5_XLA]__na1_salesforce_20"/>
      <sheetName val="[POWER5_XLA]_J_Applications_M20"/>
      <sheetName val="[POWER5_XLA]_Applications_Mic21"/>
      <sheetName val="[POWER5_XLA]__aodocs_altirnao21"/>
      <sheetName val="[POWER5_XLA]__aodocs_altirnao22"/>
      <sheetName val="[POWER5_XLA]_Users_Dan_Librar10"/>
      <sheetName val="[POWER5_XLA]_Applications_Mic22"/>
      <sheetName val="[POWER5_XLA]_Applications_Mic23"/>
      <sheetName val="[POWER5_XLA]__na1_salesforce_21"/>
      <sheetName val="[POWER5_XLA]__sfdc_DFS_Applic11"/>
      <sheetName val="[POWER5_XLA]_J_Applications_M21"/>
      <sheetName val="[POWER5_XLA][POWER5_XLA]_Appl20"/>
      <sheetName val="[POWER5_XLA][POWER5_XLA]__na120"/>
      <sheetName val="[POWER5_XLA][POWER5_XLA]__sfd20"/>
      <sheetName val="[POWER5_XLA][POWER5_XLA]_POW_44"/>
      <sheetName val="[POWER5_XLA][POWER5_XLA]_POW_45"/>
      <sheetName val="[POWER5_XLA][POWER5_XLA]_POW_46"/>
      <sheetName val="[POWER5_XLA]__aodocs_altirnao23"/>
      <sheetName val="[POWER5_XLA]__localhost_webda23"/>
      <sheetName val="[POWER5_XLA]__localhost_webda24"/>
      <sheetName val="[POWER5_XLA]__localhost_FY_2011"/>
      <sheetName val="[POWER5_XLA]__aodocs_altirnao24"/>
      <sheetName val="[POWER5_XLA][POWER5_XLA]__qma11"/>
      <sheetName val="[POWER5_XLA][POWER5_XLA]_POW_47"/>
      <sheetName val="[POWER5_XLA][POWER5_XLA]_POW_48"/>
      <sheetName val="[POWER5_XLA][POWER5_XLA]_J_Ap11"/>
      <sheetName val="[POWER5_XLA]__na1_salesforce_22"/>
      <sheetName val="[POWER5_XLA]_J_Applications_M22"/>
      <sheetName val="[POWER5_XLA]_Applications_Mic24"/>
      <sheetName val="[POWER5_XLA]__aodocs_altirna_26"/>
      <sheetName val="[POWER5_XLA]__aodocs_altirna_27"/>
      <sheetName val="[POWER5_XLA][POWER5_XLA]_POWE44"/>
      <sheetName val="[POWER5_XLA][POWER5_XLA]_POWE45"/>
      <sheetName val="[POWER5_XLA][POWER5_XLA]_POWE46"/>
      <sheetName val="[POWER5_XLA][POWER5_XLA]_Appl21"/>
      <sheetName val="[POWER5_XLA][POWER5_XLA]__na121"/>
      <sheetName val="[POWER5_XLA][POWER5_XLA]__sfd21"/>
      <sheetName val="[POWER5_XLA]_Users_Dan_Librar11"/>
      <sheetName val="Int__Rate_Data2"/>
      <sheetName val="Customize_Your_Purchase_Order2"/>
      <sheetName val="CENTRAL_REGION_-_662"/>
      <sheetName val="Add_Info(AI)2"/>
      <sheetName val="P&amp;L_-_Main2"/>
      <sheetName val="99_Contingency_Analysis2"/>
      <sheetName val="New_C_PM2"/>
      <sheetName val="Pipeline_User_Controls2"/>
      <sheetName val="GP_LP_Fund2"/>
      <sheetName val="[POWER5_XLA]_Users_SSimakova__7"/>
      <sheetName val="[POWER5_XLA]__aodocs_altirna_28"/>
      <sheetName val="[POWER5_XLA]__aodocs_altirna_29"/>
      <sheetName val="[POWER5_XLA][POWER5_XLA]_POWE47"/>
      <sheetName val="[POWER5_XLA][POWER5_XLA]_POWE48"/>
      <sheetName val="[POWER5_XLA][POWER5_XLA]_POW_49"/>
      <sheetName val="[POWER5_XLA][POWER5_XLA]_Appl22"/>
      <sheetName val="[POWER5_XLA][POWER5_XLA]__na122"/>
      <sheetName val="[POWER5_XLA][POWER5_XLA]__sfd22"/>
      <sheetName val="[POWER5_XLA]_Users_SSimakova__8"/>
      <sheetName val="[POWER5_XLA]__na1_salesforce_23"/>
      <sheetName val="[POWER5_XLA]__sfdc_DFS_Applic12"/>
      <sheetName val="[POWER5_XLA]_J_Applications_M23"/>
      <sheetName val="[POWER5_XLA]_Applications_Mi_20"/>
      <sheetName val="[POWER5_XLA]__aodocs_altirna_30"/>
      <sheetName val="[POWER5_XLA]__localhost_webd_20"/>
      <sheetName val="[POWER5_XLA]__localhost_FY_2012"/>
      <sheetName val="[POWER5_XLA]__aodocs_altirna_31"/>
      <sheetName val="[POWER5_XLA]__localhost_webd_21"/>
      <sheetName val="[POWER5_XLA][POWER5_XLA]_Appl23"/>
      <sheetName val="[POWER5_XLA][POWER5_XLA]__na123"/>
      <sheetName val="[POWER5_XLA][POWER5_XLA]__sfd23"/>
      <sheetName val="[POWER5_XLA][POWER5_XLA]_POW_50"/>
      <sheetName val="[POWER5_XLA][POWER5_XLA]_POW_51"/>
      <sheetName val="[POWER5_XLA][POWER5_XLA]_POW_52"/>
      <sheetName val="[POWER5_XLA]__na1_salesforce_24"/>
      <sheetName val="[POWER5_XLA]_J_Applications_M24"/>
      <sheetName val="[POWER5_XLA][POWER5_XLA]__qma12"/>
      <sheetName val="[POWER5_XLA][POWER5_XLA]_POW_53"/>
      <sheetName val="[POWER5_XLA][POWER5_XLA]_POW_54"/>
      <sheetName val="[POWER5_XLA][POWER5_XLA]_J_Ap12"/>
      <sheetName val="[POWER5_XLA]_Applications_Mi_21"/>
      <sheetName val="[POWER5_XLA]_Users_Dan_Librar12"/>
      <sheetName val="[POWER5_XLA]__aodocs_altirna_32"/>
      <sheetName val="[POWER5_XLA]__aodocs_altirna_33"/>
      <sheetName val="[POWER5_XLA][POWER5_XLA]_POW_55"/>
      <sheetName val="[POWER5_XLA][POWER5_XLA]_POW_56"/>
      <sheetName val="[POWER5_XLA][POWER5_XLA]_POW_57"/>
      <sheetName val="[POWER5_XLA][POWER5_XLA]_Appl24"/>
      <sheetName val="[POWER5_XLA][POWER5_XLA]__na124"/>
      <sheetName val="[POWER5_XLA][POWER5_XLA]__sfd24"/>
      <sheetName val="[POWER5_XLA]_Users_SSimakova__9"/>
      <sheetName val="[POWER5_XLA]__qmaxsolutions_951"/>
      <sheetName val="[POWER5_XLA]__qmaxsolutions_952"/>
      <sheetName val="[POWER5_XLA]__qmaxsolutions_953"/>
      <sheetName val="[POWER5_XLA]__qmaxsolutions_954"/>
      <sheetName val="[POWER5_XLA]__qmaxsolutions_955"/>
      <sheetName val="Financial_Data2"/>
      <sheetName val="Lookup_Table2"/>
      <sheetName val="Dashboard_-_Page_12"/>
      <sheetName val="Dashboard_-_Page_22"/>
      <sheetName val="Dashboard_-_Page_32"/>
      <sheetName val="HRs_&amp;_Fill_Rate2"/>
      <sheetName val="TX_Consolidated2"/>
      <sheetName val="Corpus_Christi2"/>
      <sheetName val="Del_Rio(xfers__to_SA_in_Nov_)2"/>
      <sheetName val="Laredo(xfers__to_Corp__in_Nov_2"/>
      <sheetName val="Mt_Vernon2"/>
      <sheetName val="San_Antonio2"/>
      <sheetName val="Consolidated_CCS_Tracker2"/>
      <sheetName val="Abilene_CCS_Tracker2"/>
      <sheetName val="Arlington_CCS_Tracker2"/>
      <sheetName val="Bridgeport_CCS_Tracker2"/>
      <sheetName val="Cooper_CCS_Tracker2"/>
      <sheetName val="Corpus_Christi_CCS_Tracker2"/>
      <sheetName val="Del_Rio_CCS_Tracker2"/>
      <sheetName val="Edinburg_CCS_Tracker2"/>
      <sheetName val="Jasper_CCS_Tracker2"/>
      <sheetName val="Laredo_CCS_Tracker2"/>
      <sheetName val="Mt_Vernon_CCS_Tracker2"/>
      <sheetName val="Pasadena_CCS_Tracker2"/>
      <sheetName val="San_Antonio_CCS_Tracker2"/>
      <sheetName val="Pyramid_CCS_Tracker2"/>
      <sheetName val="OK_Consol2"/>
      <sheetName val="Avg_PCA_Hrs2"/>
      <sheetName val="PCA_Hours2"/>
      <sheetName val="[POWER5_XLA]__d_docs_live_net_9"/>
      <sheetName val="[POWER5_XLA]__qmaxsolutions_956"/>
      <sheetName val="[POWER5_XLA]__qmaxsolutions_957"/>
      <sheetName val="[POWER5_XLA]__qmaxsolutions_958"/>
      <sheetName val="[POWER5_XLA]__qmaxsolutions_959"/>
      <sheetName val="[POWER5_XLA]__qmaxsolutions_960"/>
      <sheetName val="[POWER5_XLA]__qmaxsolutions_961"/>
      <sheetName val="[POWER5_XLA]__qmaxsolutions_962"/>
      <sheetName val="[POWER5_XLA]__qmaxsolutions_963"/>
      <sheetName val="[POWER5_XLA]__qmaxsolutions_964"/>
      <sheetName val="[POWER5_XLA]__qmaxsolutions_965"/>
      <sheetName val="[POWER5_XLA]__qmaxsolutions_966"/>
      <sheetName val="Convertible_Preferred2"/>
      <sheetName val="Upside_Cases2"/>
      <sheetName val="Standalone_Costs2"/>
      <sheetName val="[POWER5_XLA]__qmaxsolutions_967"/>
      <sheetName val="[POWER5_XLA]__qmaxsolutions_968"/>
      <sheetName val="Depr_Table2"/>
      <sheetName val="[POWER5_XLA]__qmaxsolutions_969"/>
      <sheetName val="[POWER5_XLA]__qmaxsolutions_970"/>
      <sheetName val="[POWER5_XLA]__qmaxsolutions_971"/>
      <sheetName val="[POWER5_XLA]__qmaxsolutions_972"/>
      <sheetName val="[POWER5_XLA]__qmaxsolutions_973"/>
      <sheetName val="[POWER5_XLA]__qmaxsolutions_974"/>
      <sheetName val="[POWER5_XLA]__qmaxsolutions_975"/>
      <sheetName val="[POWER5_XLA]__qmaxsolutions_976"/>
      <sheetName val="[POWER5_XLA]__qmaxsolutions_977"/>
      <sheetName val="[POWER5_XLA]__qmaxsolutions_978"/>
      <sheetName val="[POWER5_XLA]__qmaxsolutions_979"/>
      <sheetName val="[POWER5_XLA]__qmaxsolutions_980"/>
      <sheetName val="[POWER5_XLA]__qmaxsolutions_981"/>
      <sheetName val="[POWER5_XLA]__qmaxsolutions_982"/>
      <sheetName val="[POWER5_XLA]__qmaxsolutions_983"/>
      <sheetName val="[POWER5_XLA]__qmaxsolutions_984"/>
      <sheetName val="[POWER5_XLA]__qmaxsolutions_985"/>
      <sheetName val="[POWER5_XLA]__qmaxsolutions_986"/>
      <sheetName val="[POWER5_XLA]__qmaxsolutions_987"/>
      <sheetName val="[POWER5_XLA]__qmaxsolutions_988"/>
      <sheetName val="[POWER5_XLA]__qmaxsolutions_989"/>
      <sheetName val="[POWER5_XLA]__qmaxsolutions_990"/>
      <sheetName val="[POWER5_XLA]__qmaxsolutions_991"/>
      <sheetName val="[POWER5_XLA]__qmaxsolutions_992"/>
      <sheetName val="[POWER5_XLA]__qmaxsolutions_993"/>
      <sheetName val="[POWER5_XLA]__qmaxsolutions_994"/>
      <sheetName val="[POWER5_XLA]__qmaxsolutions_995"/>
      <sheetName val="[POWER5_XLA]__qmaxsolutions_996"/>
      <sheetName val="[POWER5_XLA]__d_docs_live_net10"/>
      <sheetName val="[POWER5_XLA]__d_docs_live_net11"/>
      <sheetName val="[POWER5_XLA]__d_docs_live_net12"/>
      <sheetName val="[POWER5_XLA]__qmaxsolutions_997"/>
      <sheetName val="PL11_DELETE"/>
      <sheetName val="[POWER5.XLA]__soferadvisors_295"/>
      <sheetName val="[POWER5.XLA]__soferadvisors_293"/>
      <sheetName val="[POWER5.XLA]__soferadvisors_294"/>
      <sheetName val="[POWER5.XLA]__soferadvisors_296"/>
      <sheetName val="[POWER5.XLA]__soferadvisors_299"/>
      <sheetName val="[POWER5.XLA]__soferadvisors_298"/>
      <sheetName val="[POWER5.XLA]__soferadvisors_297"/>
      <sheetName val="[POWER5.XLA]__soferadvisors_300"/>
      <sheetName val="[POWER5.XLA]__soferadvisors_301"/>
      <sheetName val="[POWER5.XLA]__soferadvisors_302"/>
      <sheetName val="[POWER5.XLA]__soferadvisors_304"/>
      <sheetName val="[POWER5.XLA]__soferadvisors_303"/>
      <sheetName val="[POWER5.XLA]__soferadvisors_305"/>
      <sheetName val="[POWER5.XLA]//na1_salesforce_co"/>
      <sheetName val="[POWER5.XLA]//qmaxsolutions-my_"/>
      <sheetName val="[POWER5.XLA][POWER5_XLA]\Applic"/>
      <sheetName val="[POWER5.XLA][POWER5_XLA]//na1_s"/>
      <sheetName val="[POWER5.XLA][POWER5_XLA]\\sfdc\"/>
      <sheetName val="[POWER5.XLA][POWER5_XLA]//qmaxs"/>
      <sheetName val="[POWER5.XLA][POWER5_XLA]\J\Appl"/>
      <sheetName val="ADJ - RATE"/>
      <sheetName val="Template"/>
      <sheetName val="Schedule 2"/>
      <sheetName val="[POWER5.XLA]__qmaxsolutions_829"/>
      <sheetName val="[POWER5.XLA]__qmaxsolutions_827"/>
      <sheetName val="[POWER5.XLA]__qmaxsolutions_828"/>
      <sheetName val="[POWER5.XLA]__qmaxsolutions_830"/>
      <sheetName val="[POWER5.XLA]__qmaxsolutions_831"/>
      <sheetName val="[POWER5.XLA]__qmaxsolutions_834"/>
      <sheetName val="[POWER5.XLA]__qmaxsolutions_832"/>
      <sheetName val="[POWER5.XLA]__qmaxsolutions_833"/>
      <sheetName val="[POWER5.XLA]__qmaxsolutions_835"/>
      <sheetName val="[POWER5.XLA]__qmaxsolutions_836"/>
      <sheetName val="[POWER5.XLA]__qmaxsolutions_837"/>
      <sheetName val="[POWER5.XLA]__qmaxsolutions_842"/>
      <sheetName val="[POWER5.XLA]__qmaxsolutions_838"/>
      <sheetName val="[POWER5.XLA]__qmaxsolutions_839"/>
      <sheetName val="[POWER5.XLA]__qmaxsolutions_840"/>
      <sheetName val="[POWER5.XLA]__qmaxsolutions_841"/>
      <sheetName val="[POWER5.XLA]__qmaxsolutions_844"/>
      <sheetName val="[POWER5.XLA]__qmaxsolutions_843"/>
      <sheetName val="[POWER5.XLA]__qmaxsolutions_845"/>
      <sheetName val="[POWER5.XLA]__qmaxsolutions_846"/>
      <sheetName val="[POWER5.XLA]__qmaxsolutions_848"/>
      <sheetName val="[POWER5.XLA]__qmaxsolutions_847"/>
      <sheetName val="[POWER5.XLA]__qmaxsolutions_849"/>
      <sheetName val="[POWER5.XLA]__qmaxsolutions_850"/>
      <sheetName val="[POWER5.XLA]__qmaxsolutions_851"/>
      <sheetName val="[POWER5.XLA]__qmaxsolutions_853"/>
      <sheetName val="[POWER5.XLA]__qmaxsolutions_852"/>
      <sheetName val="[POWER5.XLA]__qmaxsolutions_854"/>
      <sheetName val="[POWER5.XLA]__qmaxsolutions_855"/>
      <sheetName val="WEST_REGION_-_65"/>
      <sheetName val="CF_trat__"/>
      <sheetName val="Dist_Maq"/>
      <sheetName val="Dados_Maq"/>
      <sheetName val="Da_agr"/>
      <sheetName val="Evolução_do_Plantio_"/>
      <sheetName val="[POWER5_XLA]__d_docs_live_ne_10"/>
      <sheetName val="[POWER5_XLA]__d_docs_live_ne_11"/>
      <sheetName val="Beluga_CTRL"/>
      <sheetName val="[POWER5_XLA]_Appl_21"/>
      <sheetName val="[POWER5_XLA]__na1_21"/>
      <sheetName val="[POWER5_XLA]__sfd_21"/>
      <sheetName val="[POWER5_XLA]_POWE_21"/>
      <sheetName val="[POWER5_XLA]_POWE_31"/>
      <sheetName val="[POWER5_XLA]_POWE_41"/>
      <sheetName val="[POWER5_XLA]_POWE_51"/>
      <sheetName val="[POWER5_XLA]_POWE_61"/>
      <sheetName val="[POWER5_XLA]_Appl_31"/>
      <sheetName val="[POWER5_XLA]__na1_31"/>
      <sheetName val="[POWER5_XLA]__sfd_31"/>
      <sheetName val="[POWER5_XLA]_POWE_71"/>
      <sheetName val="[POWER5_XLA]__qma_4"/>
      <sheetName val="[POWER5_XLA]_J_Ap_4"/>
      <sheetName val="(JJ-2_2)_Deferred_taxes"/>
      <sheetName val="7物件"/>
      <sheetName val="dados"/>
      <sheetName val="__qmaxsolutions_308"/>
      <sheetName val="__qmaxsolutions_333"/>
      <sheetName val="__qmaxsolutions_318"/>
      <sheetName val="__qmaxsolutions_309"/>
      <sheetName val="__qmaxsolutions_311"/>
      <sheetName val="__qmaxsolutions_310"/>
      <sheetName val="__qmaxsolutions_312"/>
      <sheetName val="__qmaxsolutions_313"/>
      <sheetName val="__qmaxsolutions_314"/>
      <sheetName val="__qmaxsolutions_315"/>
      <sheetName val="__qmaxsolutions_316"/>
      <sheetName val="__qmaxsolutions_317"/>
      <sheetName val="__qmaxsolutions_319"/>
      <sheetName val="__qmaxsolutions_321"/>
      <sheetName val="__qmaxsolutions_320"/>
      <sheetName val="__qmaxsolutions_323"/>
      <sheetName val="__qmaxsolutions_322"/>
      <sheetName val="__qmaxsolutions_324"/>
      <sheetName val="__qmaxsolutions_325"/>
      <sheetName val="__qmaxsolutions_326"/>
      <sheetName val="__qmaxsolutions_327"/>
      <sheetName val="__qmaxsolutions_328"/>
      <sheetName val="__qmaxsolutions_329"/>
      <sheetName val="__qmaxsolutions_330"/>
      <sheetName val="__qmaxsolutions_331"/>
      <sheetName val="__qmaxsolutions_332"/>
      <sheetName val="__d_docs_live_net_5"/>
      <sheetName val="__d_docs_live_net_2"/>
      <sheetName val="__d_docs_live_net_3"/>
      <sheetName val="__d_docs_live_net_4"/>
      <sheetName val="__d_docs_live_net_8"/>
      <sheetName val="__d_docs_live_net_6"/>
      <sheetName val="__d_docs_live_net_7"/>
      <sheetName val="__qmaxsolutions_338"/>
      <sheetName val="__qmaxsolutions_334"/>
      <sheetName val="__qmaxsolutions_335"/>
      <sheetName val="__qmaxsolutions_336"/>
      <sheetName val="__qmaxsolutions_337"/>
      <sheetName val="__qmaxsolutions_339"/>
      <sheetName val="__qmaxsolutions_343"/>
      <sheetName val="__qmaxsolutions_340"/>
      <sheetName val="__qmaxsolutions_341"/>
      <sheetName val="__qmaxsolutions_342"/>
      <sheetName val="__qmaxsolutions_344"/>
      <sheetName val="__qmaxsolutions_345"/>
      <sheetName val="__qmaxsolutions_481"/>
      <sheetName val="__qmaxsolutions_364"/>
      <sheetName val="__qmaxsolutions_352"/>
      <sheetName val="__qmaxsolutions_350"/>
      <sheetName val="__qmaxsolutions_346"/>
      <sheetName val="__qmaxsolutions_347"/>
      <sheetName val="__qmaxsolutions_348"/>
      <sheetName val="__qmaxsolutions_349"/>
      <sheetName val="__qmaxsolutions_351"/>
      <sheetName val="__qmaxsolutions_353"/>
      <sheetName val="__qmaxsolutions_354"/>
      <sheetName val="__qmaxsolutions_355"/>
      <sheetName val="__qmaxsolutions_357"/>
      <sheetName val="__qmaxsolutions_356"/>
      <sheetName val="__qmaxsolutions_360"/>
      <sheetName val="__qmaxsolutions_358"/>
      <sheetName val="__qmaxsolutions_359"/>
      <sheetName val="__qmaxsolutions_361"/>
      <sheetName val="__qmaxsolutions_362"/>
      <sheetName val="__qmaxsolutions_363"/>
      <sheetName val="__qmaxsolutions_365"/>
      <sheetName val="__qmaxsolutions_369"/>
      <sheetName val="__qmaxsolutions_366"/>
      <sheetName val="__qmaxsolutions_368"/>
      <sheetName val="__qmaxsolutions_367"/>
      <sheetName val="__qmaxsolutions_384"/>
      <sheetName val="__qmaxsolutions_381"/>
      <sheetName val="__qmaxsolutions_370"/>
      <sheetName val="__qmaxsolutions_371"/>
      <sheetName val="__qmaxsolutions_373"/>
      <sheetName val="__qmaxsolutions_372"/>
      <sheetName val="__qmaxsolutions_374"/>
      <sheetName val="__qmaxsolutions_378"/>
      <sheetName val="__qmaxsolutions_375"/>
      <sheetName val="__qmaxsolutions_376"/>
      <sheetName val="__qmaxsolutions_377"/>
      <sheetName val="__qmaxsolutions_379"/>
      <sheetName val="__qmaxsolutions_380"/>
      <sheetName val="__qmaxsolutions_382"/>
      <sheetName val="__qmaxsolutions_383"/>
      <sheetName val="__qmaxsolutions_387"/>
      <sheetName val="__qmaxsolutions_385"/>
      <sheetName val="__qmaxsolutions_386"/>
      <sheetName val="__qmaxsolutions_389"/>
      <sheetName val="__qmaxsolutions_388"/>
      <sheetName val="__qmaxsolutions_393"/>
      <sheetName val="__qmaxsolutions_390"/>
      <sheetName val="__qmaxsolutions_391"/>
      <sheetName val="__qmaxsolutions_392"/>
      <sheetName val="__qmaxsolutions_396"/>
      <sheetName val="__qmaxsolutions_394"/>
      <sheetName val="__qmaxsolutions_395"/>
      <sheetName val="__qmaxsolutions_398"/>
      <sheetName val="__qmaxsolutions_397"/>
      <sheetName val="__qmaxsolutions_399"/>
      <sheetName val="__qmaxsolutions_420"/>
      <sheetName val="__qmaxsolutions_405"/>
      <sheetName val="__qmaxsolutions_401"/>
      <sheetName val="__qmaxsolutions_400"/>
      <sheetName val="__qmaxsolutions_402"/>
      <sheetName val="__qmaxsolutions_403"/>
      <sheetName val="__qmaxsolutions_404"/>
      <sheetName val="__qmaxsolutions_406"/>
      <sheetName val="__qmaxsolutions_410"/>
      <sheetName val="__qmaxsolutions_407"/>
      <sheetName val="__qmaxsolutions_408"/>
      <sheetName val="__qmaxsolutions_409"/>
      <sheetName val="__qmaxsolutions_412"/>
      <sheetName val="__qmaxsolutions_411"/>
      <sheetName val="__qmaxsolutions_414"/>
      <sheetName val="__qmaxsolutions_413"/>
      <sheetName val="__qmaxsolutions_419"/>
      <sheetName val="__qmaxsolutions_415"/>
      <sheetName val="__qmaxsolutions_416"/>
      <sheetName val="__qmaxsolutions_417"/>
      <sheetName val="__qmaxsolutions_418"/>
      <sheetName val="__qmaxsolutions_425"/>
      <sheetName val="__qmaxsolutions_421"/>
      <sheetName val="__qmaxsolutions_422"/>
      <sheetName val="__qmaxsolutions_423"/>
      <sheetName val="__qmaxsolutions_424"/>
      <sheetName val="__qmaxsolutions_426"/>
      <sheetName val="__qmaxsolutions_434"/>
      <sheetName val="__qmaxsolutions_427"/>
      <sheetName val="__qmaxsolutions_429"/>
      <sheetName val="__qmaxsolutions_428"/>
      <sheetName val="__qmaxsolutions_430"/>
      <sheetName val="__qmaxsolutions_433"/>
      <sheetName val="__qmaxsolutions_432"/>
      <sheetName val="__qmaxsolutions_431"/>
      <sheetName val="__qmaxsolutions_436"/>
      <sheetName val="__qmaxsolutions_435"/>
      <sheetName val="__qmaxsolutions_437"/>
      <sheetName val="__qmaxsolutions_441"/>
      <sheetName val="__qmaxsolutions_438"/>
      <sheetName val="__qmaxsolutions_439"/>
      <sheetName val="__qmaxsolutions_440"/>
      <sheetName val="__qmaxsolutions_444"/>
      <sheetName val="__qmaxsolutions_442"/>
      <sheetName val="__qmaxsolutions_443"/>
      <sheetName val="__qmaxsolutions_445"/>
      <sheetName val="__qmaxsolutions_446"/>
      <sheetName val="__qmaxsolutions_449"/>
      <sheetName val="__qmaxsolutions_447"/>
      <sheetName val="__qmaxsolutions_448"/>
      <sheetName val="__qmaxsolutions_450"/>
      <sheetName val="__qmaxsolutions_451"/>
      <sheetName val="__qmaxsolutions_453"/>
      <sheetName val="__qmaxsolutions_452"/>
      <sheetName val="__qmaxsolutions_454"/>
      <sheetName val="__qmaxsolutions_455"/>
      <sheetName val="__qmaxsolutions_456"/>
      <sheetName val="__qmaxsolutions_458"/>
      <sheetName val="__qmaxsolutions_457"/>
      <sheetName val="__qmaxsolutions_460"/>
      <sheetName val="__qmaxsolutions_459"/>
      <sheetName val="__qmaxsolutions_461"/>
      <sheetName val="__qmaxsolutions_462"/>
      <sheetName val="__qmaxsolutions_463"/>
      <sheetName val="__qmaxsolutions_464"/>
      <sheetName val="__qmaxsolutions_465"/>
      <sheetName val="__qmaxsolutions_466"/>
      <sheetName val="__qmaxsolutions_468"/>
      <sheetName val="__qmaxsolutions_467"/>
      <sheetName val="__qmaxsolutions_469"/>
      <sheetName val="__qmaxsolutions_470"/>
      <sheetName val="__qmaxsolutions_471"/>
      <sheetName val="__qmaxsolutions_472"/>
      <sheetName val="__qmaxsolutions_473"/>
      <sheetName val="__qmaxsolutions_474"/>
      <sheetName val="__qmaxsolutions_476"/>
      <sheetName val="__qmaxsolutions_475"/>
      <sheetName val="__qmaxsolutions_478"/>
      <sheetName val="__qmaxsolutions_477"/>
      <sheetName val="__qmaxsolutions_479"/>
      <sheetName val="__qmaxsolutions_480"/>
      <sheetName val="__qmaxsolutions_482"/>
      <sheetName val="__qmaxsolutions_484"/>
      <sheetName val="__qmaxsolutions_483"/>
      <sheetName val="__qmaxsolutions_488"/>
      <sheetName val="__qmaxsolutions_486"/>
      <sheetName val="__qmaxsolutions_485"/>
      <sheetName val="__qmaxsolutions_487"/>
      <sheetName val="__qmaxsolutions_490"/>
      <sheetName val="__qmaxsolutions_489"/>
      <sheetName val="__qmaxsolutions_495"/>
      <sheetName val="__qmaxsolutions_493"/>
      <sheetName val="__qmaxsolutions_491"/>
      <sheetName val="__qmaxsolutions_492"/>
      <sheetName val="__qmaxsolutions_494"/>
      <sheetName val="__qmaxsolutions_503"/>
      <sheetName val="__qmaxsolutions_496"/>
      <sheetName val="__qmaxsolutions_497"/>
      <sheetName val="__qmaxsolutions_498"/>
      <sheetName val="__qmaxsolutions_499"/>
      <sheetName val="__qmaxsolutions_500"/>
      <sheetName val="__qmaxsolutions_501"/>
      <sheetName val="__qmaxsolutions_502"/>
      <sheetName val="__qmaxsolutions_505"/>
      <sheetName val="__qmaxsolutions_504"/>
      <sheetName val="ABL"/>
      <sheetName val="share buyback output"/>
      <sheetName val="Alpha Standalone"/>
      <sheetName val="[POWER5.XLA]__qmaxsolutions_856"/>
      <sheetName val="[POWER5.XLA]__qmaxsolutions_857"/>
      <sheetName val="[POWER5.XLA]__qmaxsolutions_858"/>
      <sheetName val="[POWER5.XLA]__qmaxsolutions_859"/>
      <sheetName val="[POWER5.XLA]__qmaxsolutions_860"/>
      <sheetName val="LYO_(2)"/>
      <sheetName val="Gerken_(2)"/>
      <sheetName val="TMS_(2)"/>
      <sheetName val="Fesler_(2)"/>
      <sheetName val="Benham_(2)"/>
      <sheetName val="LCD_(2)"/>
      <sheetName val="Roberts_(2)"/>
      <sheetName val="Hoffman_(2)"/>
      <sheetName val="Baker_(2)"/>
      <sheetName val="Victoria_(2)"/>
      <sheetName val="Williams_(2)"/>
      <sheetName val="Engel_(2)"/>
      <sheetName val="Sonoran_(2)"/>
      <sheetName val="MThurman_(2)"/>
      <sheetName val="BThurman_(2)"/>
      <sheetName val="DSA_(2)"/>
      <sheetName val="Coastal_(2)"/>
      <sheetName val="Global_Controls"/>
      <sheetName val="Supporting_Settings"/>
      <sheetName val="Outputs_for_CIP"/>
      <sheetName val="Ret_MSC_StaffDemand"/>
      <sheetName val="ePSM_BOB_Data_Page"/>
      <sheetName val="Rx_Key_Stat_by_Generic_page"/>
      <sheetName val="ePSM_Header_Data_Page"/>
      <sheetName val="Data_Availability_page"/>
      <sheetName val="HPD_page"/>
      <sheetName val="Med_Cat_-_Curr_page"/>
      <sheetName val="ePSM_Medical_Data_Page"/>
      <sheetName val="ePSM_Fund_Code"/>
      <sheetName val="Income_Statement_Summary"/>
      <sheetName val="BS_Summary"/>
      <sheetName val="Cash_Flow_Summary"/>
      <sheetName val="1_-_2018-2019_Rev"/>
      <sheetName val="2_-_2018-2019_Rev_Fcst_Detail"/>
      <sheetName val="3_-_Cash_Flow_(New_Format)"/>
      <sheetName val="4_-_2018-2019_Gen_&amp;_Admin"/>
      <sheetName val="3_-_2018-2019_Cash_Flow"/>
      <sheetName val="5_-_2018-2019_Bal_Sheet"/>
      <sheetName val="6_-_2018-2019_Inc_Stmt"/>
      <sheetName val="7_-_Purchasing"/>
      <sheetName val="TBAL9697_-group_wise__sdpl"/>
      <sheetName val="[POWER5_XLA]__soferadvisors_m_9"/>
      <sheetName val="[POWER5_XLA]__soferadvisors_m_2"/>
      <sheetName val="[POWER5_XLA]__soferadvisors_m_3"/>
      <sheetName val="[POWER5_XLA]__soferadvisors_m_4"/>
      <sheetName val="[POWER5_XLA]__soferadvisors_m_5"/>
      <sheetName val="[POWER5_XLA]__soferadvisors_m_6"/>
      <sheetName val="[POWER5_XLA]__soferadvisors_m_7"/>
      <sheetName val="[POWER5_XLA]__soferadvisors_m_8"/>
      <sheetName val="Détail_mensuel"/>
      <sheetName val="Customer_Complaints"/>
      <sheetName val="Fed_Curr_Prov"/>
      <sheetName val="[POWER5_XLA]__d_docs_live_ne_44"/>
      <sheetName val="[POWER5_XLA]__d_docs_live_ne_26"/>
      <sheetName val="[POWER5_XLA]__d_docs_live_ne_12"/>
      <sheetName val="[POWER5_XLA]__d_docs_live_ne_13"/>
      <sheetName val="[POWER5_XLA]__d_docs_live_ne_15"/>
      <sheetName val="[POWER5_XLA]__d_docs_live_ne_14"/>
      <sheetName val="[POWER5_XLA]__d_docs_live_ne_16"/>
      <sheetName val="[POWER5_XLA]__d_docs_live_ne_17"/>
      <sheetName val="[POWER5_XLA]__d_docs_live_ne_18"/>
      <sheetName val="[POWER5_XLA]__d_docs_live_ne_19"/>
      <sheetName val="[POWER5_XLA]__d_docs_live_ne_20"/>
      <sheetName val="[POWER5_XLA]__d_docs_live_ne_21"/>
      <sheetName val="[POWER5_XLA]__d_docs_live_ne_22"/>
      <sheetName val="[POWER5_XLA]__d_docs_live_ne_23"/>
      <sheetName val="[POWER5_XLA]__d_docs_live_ne_24"/>
      <sheetName val="[POWER5_XLA]__d_docs_live_ne_25"/>
      <sheetName val="[POWER5_XLA]__d_docs_live_ne_27"/>
      <sheetName val="[POWER5_XLA]__d_docs_live_ne_28"/>
      <sheetName val="[POWER5_XLA]__d_docs_live_ne_29"/>
      <sheetName val="[POWER5_XLA]__d_docs_live_ne_30"/>
      <sheetName val="[POWER5_XLA]__d_docs_live_ne_32"/>
      <sheetName val="[POWER5_XLA]__d_docs_live_ne_31"/>
      <sheetName val="[POWER5_XLA]__d_docs_live_ne_33"/>
      <sheetName val="[POWER5_XLA]__d_docs_live_ne_34"/>
      <sheetName val="[POWER5_XLA]__d_docs_live_ne_38"/>
      <sheetName val="[POWER5_XLA]__d_docs_live_ne_35"/>
      <sheetName val="[POWER5_XLA]__d_docs_live_ne_36"/>
      <sheetName val="[POWER5_XLA]__d_docs_live_ne_37"/>
      <sheetName val="[POWER5_XLA]__d_docs_live_ne_39"/>
      <sheetName val="[POWER5_XLA]__d_docs_live_ne_40"/>
      <sheetName val="[POWER5_XLA]__d_docs_live_ne_41"/>
      <sheetName val="[POWER5_XLA]__d_docs_live_ne_42"/>
      <sheetName val="[POWER5_XLA]__d_docs_live_ne_43"/>
      <sheetName val="Functional_Currency_Code"/>
      <sheetName val="LBO_Analysis"/>
      <sheetName val="IRR"/>
      <sheetName val="2020 P&amp;L"/>
      <sheetName val="Table"/>
      <sheetName val="OptionsCancellation"/>
      <sheetName val="[POWER5.XLA]_Applications_Mi_35"/>
      <sheetName val="[POWER5.XLA]__na1_salesforce_24"/>
      <sheetName val="[POWER5.XLA]__sfdc_DFS_Appli_13"/>
      <sheetName val="[POWER5.XLA]_J_Applications__24"/>
      <sheetName val="[POWER5.XLA]_Applications_Mi_36"/>
      <sheetName val="[POWER5.XLA]__aodocs_altirna_46"/>
      <sheetName val="[POWER5.XLA]__localhost_webd_35"/>
      <sheetName val="[POWER5.XLA]__localhost_webd_36"/>
      <sheetName val="[POWER5.XLA]__localhost_FY_2_13"/>
      <sheetName val="[POWER5.XLA]__aodocs_altirna_47"/>
      <sheetName val="[POWER5.XLA]__localhost_webd_37"/>
      <sheetName val="[POWER5.XLA][POWER5.XLA]_App_13"/>
      <sheetName val="[POWER5.XLA][POWER5.XLA]__na_13"/>
      <sheetName val="[POWER5.XLA][POWER5.XLA]__sf_13"/>
      <sheetName val="[POWER5.XLA][POWER5.XLA]_POW_57"/>
      <sheetName val="[POWER5.XLA][POWER5.XLA]_POW_58"/>
      <sheetName val="[POWER5.XLA][POWER5.XLA]_POW_59"/>
      <sheetName val="[POWER5.XLA]__na1_salesforce_25"/>
      <sheetName val="[POWER5.XLA]_J_Applications__25"/>
      <sheetName val="[POWER5.XLA][POWER5.XLA]__qm_13"/>
      <sheetName val="[POWER5.XLA][POWER5.XLA]_POW_60"/>
      <sheetName val="[POWER5.XLA][POWER5.XLA]_POW_61"/>
      <sheetName val="[POWER5.XLA][POWER5.XLA]_J_A_13"/>
      <sheetName val="[POWER5.XLA]_Users_Dan_Libra_13"/>
      <sheetName val="[POWER5.XLA]_Applications_Mi_37"/>
      <sheetName val="[POWER5.XLA]__aodocs_altirna_48"/>
      <sheetName val="[POWER5.XLA]__aodocs_altirna_49"/>
      <sheetName val="[POWER5.XLA][POWER5_XLA]_POW_35"/>
      <sheetName val="[POWER5.XLA][POWER5_XLA]_POW_36"/>
      <sheetName val="[POWER5.XLA][POWER5_XLA]_POW_37"/>
      <sheetName val="[POWER5.XLA][POWER5_XLA]_App_13"/>
      <sheetName val="[POWER5.XLA][POWER5_XLA]__na_13"/>
      <sheetName val="[POWER5.XLA][POWER5_XLA]__sf_13"/>
      <sheetName val="[POWER5.XLA]_Applications_Mi_25"/>
      <sheetName val="[POWER5.XLA]__aodocs_altirna_32"/>
      <sheetName val="[POWER5.XLA]__aodocs_altirna_33"/>
      <sheetName val="[POWER5.XLA][POWER5_XLA]_Appl_9"/>
      <sheetName val="[POWER5.XLA][POWER5_XLA]__na1_9"/>
      <sheetName val="[POWER5.XLA][POWER5_XLA]__sfd_9"/>
      <sheetName val="[POWER5.XLA]_Applications_Mi_26"/>
      <sheetName val="[POWER5.XLA]__sfdc_DFS_Appli_10"/>
      <sheetName val="[POWER5.XLA]_J_Applications__18"/>
      <sheetName val="[POWER5.XLA]_Applications_Mi_27"/>
      <sheetName val="[POWER5.XLA]__aodocs_altirna_34"/>
      <sheetName val="[POWER5.XLA]__localhost_webd_26"/>
      <sheetName val="[POWER5.XLA]__localhost_webd_27"/>
      <sheetName val="[POWER5.XLA]__localhost_FY_2_10"/>
      <sheetName val="[POWER5.XLA]__aodocs_altirna_35"/>
      <sheetName val="[POWER5.XLA]__localhost_webd_28"/>
      <sheetName val="[POWER5.XLA][POWER5.XLA]_App_10"/>
      <sheetName val="[POWER5.XLA][POWER5.XLA]__na_10"/>
      <sheetName val="[POWER5.XLA][POWER5.XLA]__sf_10"/>
      <sheetName val="[POWER5.XLA][POWER5.XLA]_POW_42"/>
      <sheetName val="[POWER5.XLA][POWER5.XLA]_POW_43"/>
      <sheetName val="[POWER5.XLA][POWER5.XLA]_POW_44"/>
      <sheetName val="[POWER5.XLA]__na1_salesforce_19"/>
      <sheetName val="[POWER5.XLA]_J_Applications__19"/>
      <sheetName val="[POWER5.XLA][POWER5.XLA]__qm_10"/>
      <sheetName val="[POWER5.XLA][POWER5.XLA]_POW_45"/>
      <sheetName val="[POWER5.XLA][POWER5.XLA]_POW_46"/>
      <sheetName val="[POWER5.XLA][POWER5.XLA]_J_A_10"/>
      <sheetName val="[POWER5.XLA]_Applications_Mi_28"/>
      <sheetName val="[POWER5.XLA]__aodocs_altirna_36"/>
      <sheetName val="[POWER5.XLA]__aodocs_altirna_37"/>
      <sheetName val="[POWER5.XLA][POWER5_XLA]_App_10"/>
      <sheetName val="[POWER5.XLA][POWER5_XLA]__na_10"/>
      <sheetName val="[POWER5.XLA][POWER5_XLA]__sf_10"/>
      <sheetName val="[POWER5.XLA]_Applications_Mi_29"/>
      <sheetName val="[POWER5.XLA]__na1_salesforce_20"/>
      <sheetName val="[POWER5.XLA]__sfdc_DFS_Appli_11"/>
      <sheetName val="[POWER5.XLA]_J_Applications__20"/>
      <sheetName val="[POWER5.XLA]_Applications_Mi_30"/>
      <sheetName val="[POWER5.XLA]__aodocs_altirna_38"/>
      <sheetName val="[POWER5.XLA]__localhost_webd_29"/>
      <sheetName val="[POWER5.XLA]__localhost_webd_30"/>
      <sheetName val="[POWER5.XLA]__localhost_FY_2_11"/>
      <sheetName val="[POWER5.XLA]__aodocs_altirna_39"/>
      <sheetName val="[POWER5.XLA]__localhost_webd_31"/>
      <sheetName val="[POWER5.XLA][POWER5.XLA]_App_11"/>
      <sheetName val="[POWER5.XLA][POWER5.XLA]__na_11"/>
      <sheetName val="[POWER5.XLA][POWER5.XLA]__sf_11"/>
      <sheetName val="[POWER5.XLA][POWER5.XLA]_POW_47"/>
      <sheetName val="[POWER5.XLA][POWER5.XLA]_POW_48"/>
      <sheetName val="[POWER5.XLA][POWER5.XLA]_POW_49"/>
      <sheetName val="[POWER5.XLA]__na1_salesforce_21"/>
      <sheetName val="[POWER5.XLA]_J_Applications__21"/>
      <sheetName val="[POWER5.XLA][POWER5.XLA]__qm_11"/>
      <sheetName val="[POWER5.XLA][POWER5.XLA]_POW_50"/>
      <sheetName val="[POWER5.XLA][POWER5.XLA]_POW_51"/>
      <sheetName val="[POWER5.XLA][POWER5.XLA]_J_A_11"/>
      <sheetName val="[POWER5.XLA]_Applications_Mi_31"/>
      <sheetName val="[POWER5.XLA]__aodocs_altirna_40"/>
      <sheetName val="[POWER5.XLA]__aodocs_altirna_41"/>
      <sheetName val="[POWER5.XLA][POWER5_XLA]_POW_29"/>
      <sheetName val="[POWER5.XLA][POWER5_XLA]_POW_30"/>
      <sheetName val="[POWER5.XLA][POWER5_XLA]_POW_31"/>
      <sheetName val="[POWER5.XLA][POWER5_XLA]_App_11"/>
      <sheetName val="[POWER5.XLA][POWER5_XLA]__na_11"/>
      <sheetName val="[POWER5.XLA][POWER5_XLA]__sf_11"/>
      <sheetName val="[POWER5.XLA]_Applications_Mi_32"/>
      <sheetName val="[POWER5.XLA]__na1_salesforce_22"/>
      <sheetName val="[POWER5.XLA]__sfdc_DFS_Appli_12"/>
      <sheetName val="[POWER5.XLA]_J_Applications__22"/>
      <sheetName val="[POWER5.XLA]_Applications_Mi_33"/>
      <sheetName val="[POWER5.XLA]__aodocs_altirna_42"/>
      <sheetName val="[POWER5.XLA]__localhost_webd_32"/>
      <sheetName val="[POWER5.XLA]__localhost_webd_33"/>
      <sheetName val="[POWER5.XLA]__localhost_FY_2_12"/>
      <sheetName val="[POWER5.XLA]__aodocs_altirna_43"/>
      <sheetName val="[POWER5.XLA]__localhost_webd_34"/>
      <sheetName val="[POWER5.XLA][POWER5.XLA]_App_12"/>
      <sheetName val="[POWER5.XLA][POWER5.XLA]__na_12"/>
      <sheetName val="[POWER5.XLA][POWER5.XLA]__sf_12"/>
      <sheetName val="[POWER5.XLA][POWER5.XLA]_POW_52"/>
      <sheetName val="[POWER5.XLA][POWER5.XLA]_POW_53"/>
      <sheetName val="[POWER5.XLA][POWER5.XLA]_POW_54"/>
      <sheetName val="[POWER5.XLA]__na1_salesforce_23"/>
      <sheetName val="[POWER5.XLA]_J_Applications__23"/>
      <sheetName val="[POWER5.XLA][POWER5.XLA]__qm_12"/>
      <sheetName val="[POWER5.XLA][POWER5.XLA]_POW_55"/>
      <sheetName val="[POWER5.XLA][POWER5.XLA]_POW_56"/>
      <sheetName val="[POWER5.XLA][POWER5.XLA]_J_A_12"/>
      <sheetName val="[POWER5.XLA]_Users_Dan_Libra_12"/>
      <sheetName val="[POWER5.XLA]_Applications_Mi_34"/>
      <sheetName val="[POWER5.XLA]__aodocs_altirna_44"/>
      <sheetName val="[POWER5.XLA]__aodocs_altirna_45"/>
      <sheetName val="[POWER5.XLA][POWER5_XLA]_POW_32"/>
      <sheetName val="[POWER5.XLA][POWER5_XLA]_POW_33"/>
      <sheetName val="[POWER5.XLA][POWER5_XLA]_POW_34"/>
      <sheetName val="[POWER5.XLA][POWER5_XLA]_App_12"/>
      <sheetName val="[POWER5.XLA][POWER5_XLA]__na_12"/>
      <sheetName val="[POWER5.XLA][POWER5_XLA]__sf_12"/>
      <sheetName val="[POWER5_XLA]__d_docs_live_ne_53"/>
      <sheetName val="[POWER5_XLA]__d_docs_live_ne_45"/>
      <sheetName val="[POWER5_XLA]__d_docs_live_ne_46"/>
      <sheetName val="[POWER5_XLA]__d_docs_live_ne_47"/>
      <sheetName val="[POWER5_XLA]__d_docs_live_ne_48"/>
      <sheetName val="[POWER5_XLA]__d_docs_live_ne_49"/>
      <sheetName val="[POWER5_XLA]__d_docs_live_ne_50"/>
      <sheetName val="[POWER5_XLA]__d_docs_live_ne_51"/>
      <sheetName val="[POWER5_XLA]__d_docs_live_ne_52"/>
      <sheetName val="[POWER5_XLA]__d_docs_live_ne_54"/>
      <sheetName val="[POWER5_XLA]__d_docs_live_ne_59"/>
      <sheetName val="[POWER5_XLA]__d_docs_live_ne_55"/>
      <sheetName val="[POWER5_XLA]__d_docs_live_ne_56"/>
      <sheetName val="[POWER5_XLA]__d_docs_live_ne_57"/>
      <sheetName val="[POWER5_XLA]__d_docs_live_ne_58"/>
      <sheetName val="Exch_rates"/>
      <sheetName val="[POWER5_XLA]__soferadvisors__10"/>
      <sheetName val="[POWER5_XLA]__soferadvisors__13"/>
      <sheetName val="[POWER5_XLA]__soferadvisors__11"/>
      <sheetName val="[POWER5_XLA]__soferadvisors__12"/>
      <sheetName val="Rev__by_Product"/>
      <sheetName val="RANKING_XLS"/>
      <sheetName val="Group_NWC_monthly"/>
      <sheetName val="Lead_CF"/>
      <sheetName val="Cash_Flow"/>
      <sheetName val="Index_Chart"/>
      <sheetName val="Active_EE's_(KS_27-02-22)"/>
      <sheetName val="Cap_Table"/>
      <sheetName val="[POWER5_XLA]_J_Applications__14"/>
      <sheetName val="[POWER5_XLA]__localhost_webd_22"/>
      <sheetName val="[POWER5_XLA]__localhost_webd_23"/>
      <sheetName val="[POWER5_XLA]_J_Applications__15"/>
      <sheetName val="[POWER5_XLA]_Applications_Mi_22"/>
      <sheetName val="[POWER5_XLA][POWER5_XLA]_POW_58"/>
      <sheetName val="[POWER5_XLA][POWER5_XLA]_POW_59"/>
      <sheetName val="[POWER5_XLA][POWER5_XLA]_POW_60"/>
      <sheetName val="[POWER5_XLA]_Users_Dan_Libra_10"/>
      <sheetName val="[POWER5_XLA][POWER5_XLA]__qma13"/>
      <sheetName val="[POWER5_XLA][POWER5_XLA]_POW_61"/>
      <sheetName val="[POWER5_XLA][POWER5_XLA]_POW_62"/>
      <sheetName val="[POWER5_XLA][POWER5_XLA]_J_Ap13"/>
      <sheetName val="[POWER5_XLA]_Users_Dan_Libra_11"/>
      <sheetName val="[POWER5_XLA]_J_Applications__16"/>
      <sheetName val="8_125%_Fixed"/>
      <sheetName val="Time_Deposits"/>
      <sheetName val="First_Chester_Loans"/>
      <sheetName val="UBA_Table"/>
      <sheetName val="[POWER5_XLA]__soferadvisors__27"/>
      <sheetName val="[POWER5_XLA]__soferadvisors__15"/>
      <sheetName val="[POWER5_XLA]__soferadvisors__14"/>
      <sheetName val="[POWER5_XLA]__soferadvisors__19"/>
      <sheetName val="[POWER5_XLA]__soferadvisors__16"/>
      <sheetName val="[POWER5_XLA]__soferadvisors__17"/>
      <sheetName val="[POWER5_XLA]__soferadvisors__18"/>
      <sheetName val="[POWER5_XLA]__soferadvisors__21"/>
      <sheetName val="[POWER5_XLA]__soferadvisors__20"/>
      <sheetName val="[POWER5_XLA]__soferadvisors__26"/>
      <sheetName val="[POWER5_XLA]__soferadvisors__22"/>
      <sheetName val="[POWER5_XLA]__soferadvisors__23"/>
      <sheetName val="[POWER5_XLA]__soferadvisors__24"/>
      <sheetName val="[POWER5_XLA]__soferadvisors__25"/>
      <sheetName val="FY97_CAPITAL_BUDGET"/>
      <sheetName val="ICC_FY97"/>
      <sheetName val="5_WIRE적용LIST"/>
      <sheetName val="[POWER5_XLA]_Applications_Mi_35"/>
      <sheetName val="[POWER5_XLA]__sfdc_DFS_Appli_13"/>
      <sheetName val="[POWER5_XLA]_J_Applications__24"/>
      <sheetName val="[POWER5_XLA]_Applications_Mi_36"/>
      <sheetName val="[POWER5_XLA]__aodocs_altirna_46"/>
      <sheetName val="[POWER5_XLA]__localhost_webd_35"/>
      <sheetName val="[POWER5_XLA]__localhost_webd_36"/>
      <sheetName val="[POWER5_XLA]__localhost_FY_2_13"/>
      <sheetName val="[POWER5_XLA]__aodocs_altirna_47"/>
      <sheetName val="[POWER5_XLA]__localhost_webd_37"/>
      <sheetName val="[POWER5_XLA][POWER5_XLA]_App_13"/>
      <sheetName val="[POWER5_XLA][POWER5_XLA]__na_13"/>
      <sheetName val="[POWER5_XLA][POWER5_XLA]__sf_13"/>
      <sheetName val="[POWER5_XLA][POWER5_XLA]_POW_63"/>
      <sheetName val="[POWER5_XLA][POWER5_XLA]_POW_64"/>
      <sheetName val="[POWER5_XLA][POWER5_XLA]_POW_65"/>
      <sheetName val="[POWER5_XLA]__na1_salesforce_25"/>
      <sheetName val="[POWER5_XLA]_J_Applications__25"/>
      <sheetName val="[POWER5_XLA][POWER5_XLA]__qm_13"/>
      <sheetName val="[POWER5_XLA][POWER5_XLA]_POW_66"/>
      <sheetName val="[POWER5_XLA][POWER5_XLA]_POW_67"/>
      <sheetName val="[POWER5_XLA][POWER5_XLA]_J_A_13"/>
      <sheetName val="[POWER5_XLA]_Users_Dan_Libra_13"/>
      <sheetName val="[POWER5_XLA]_Applications_Mi_37"/>
      <sheetName val="[POWER5_XLA]__aodocs_altirna_48"/>
      <sheetName val="[POWER5_XLA]__aodocs_altirna_49"/>
      <sheetName val="[POWER5_XLA][POWER5_XLA]_POW_68"/>
      <sheetName val="[POWER5_XLA][POWER5_XLA]_POW_69"/>
      <sheetName val="[POWER5_XLA][POWER5_XLA]_POW_70"/>
      <sheetName val="[POWER5_XLA][POWER5_XLA]_App_11"/>
      <sheetName val="[POWER5_XLA][POWER5_XLA]__na_11"/>
      <sheetName val="[POWER5_XLA][POWER5_XLA]__sf_11"/>
      <sheetName val="[POWER5_XLA]_Applications_Mi_23"/>
      <sheetName val="[POWER5_XLA]_Applications_Mi_24"/>
      <sheetName val="[POWER5_XLA]__localhost_webd_24"/>
      <sheetName val="[POWER5_XLA]__localhost_webd_25"/>
      <sheetName val="[POWER5_XLA]__localhost_webd_26"/>
      <sheetName val="[POWER5_XLA][POWER5_XLA]_POW_71"/>
      <sheetName val="[POWER5_XLA][POWER5_XLA]_POW_72"/>
      <sheetName val="[POWER5_XLA][POWER5_XLA]_POW_73"/>
      <sheetName val="[POWER5_XLA]_J_Applications__17"/>
      <sheetName val="[POWER5_XLA][POWER5_XLA]__qma14"/>
      <sheetName val="[POWER5_XLA][POWER5_XLA]_POW_74"/>
      <sheetName val="[POWER5_XLA][POWER5_XLA]_POW_75"/>
      <sheetName val="[POWER5_XLA][POWER5_XLA]_J_Ap14"/>
      <sheetName val="[POWER5_XLA]_Applications_Mi_25"/>
      <sheetName val="[POWER5_XLA]__aodocs_altirna_34"/>
      <sheetName val="[POWER5_XLA]__aodocs_altirna_35"/>
      <sheetName val="[POWER5_XLA]_Applications_Mi_26"/>
      <sheetName val="[POWER5_XLA]__sfdc_DFS_Appli_10"/>
      <sheetName val="[POWER5_XLA]_J_Applications__18"/>
      <sheetName val="[POWER5_XLA]_Applications_Mi_27"/>
      <sheetName val="[POWER5_XLA]__aodocs_altirna_36"/>
      <sheetName val="[POWER5_XLA]__localhost_webd_27"/>
      <sheetName val="[POWER5_XLA]__localhost_webd_28"/>
      <sheetName val="[POWER5_XLA]__localhost_FY_2_10"/>
      <sheetName val="[POWER5_XLA]__aodocs_altirna_37"/>
      <sheetName val="[POWER5_XLA]__localhost_webd_29"/>
      <sheetName val="[POWER5_XLA][POWER5_XLA]_App_10"/>
      <sheetName val="[POWER5_XLA][POWER5_XLA]__na_10"/>
      <sheetName val="[POWER5_XLA][POWER5_XLA]__sf_10"/>
      <sheetName val="[POWER5_XLA][POWER5_XLA]_POW_76"/>
      <sheetName val="[POWER5_XLA][POWER5_XLA]_POW_77"/>
      <sheetName val="[POWER5_XLA][POWER5_XLA]_POW_78"/>
      <sheetName val="[POWER5_XLA]__na1_salesforce_26"/>
      <sheetName val="[POWER5_XLA]_J_Applications__19"/>
      <sheetName val="[POWER5_XLA][POWER5_XLA]__qm_10"/>
      <sheetName val="[POWER5_XLA][POWER5_XLA]_POW_79"/>
      <sheetName val="[POWER5_XLA][POWER5_XLA]_POW_80"/>
      <sheetName val="[POWER5_XLA][POWER5_XLA]_J_A_10"/>
      <sheetName val="[POWER5_XLA]_Applications_Mi_28"/>
      <sheetName val="[POWER5_XLA]__aodocs_altirna_38"/>
      <sheetName val="[POWER5_XLA]__aodocs_altirna_39"/>
      <sheetName val="[POWER5_XLA][POWER5_XLA]_App_12"/>
      <sheetName val="[POWER5_XLA][POWER5_XLA]__na_12"/>
      <sheetName val="[POWER5_XLA][POWER5_XLA]__sf_12"/>
      <sheetName val="[POWER5_XLA]_Applications_Mi_29"/>
      <sheetName val="[POWER5_XLA]__na1_salesforce_27"/>
      <sheetName val="[POWER5_XLA]__sfdc_DFS_Appli_11"/>
      <sheetName val="[POWER5_XLA]_J_Applications__20"/>
      <sheetName val="[POWER5_XLA]_Applications_Mi_30"/>
      <sheetName val="[POWER5_XLA]__aodocs_altirna_40"/>
      <sheetName val="[POWER5_XLA]__localhost_webd_30"/>
      <sheetName val="[POWER5_XLA]__localhost_webd_31"/>
      <sheetName val="[POWER5_XLA]__localhost_FY_2_11"/>
      <sheetName val="[POWER5_XLA]__aodocs_altirna_41"/>
      <sheetName val="[POWER5_XLA]__localhost_webd_32"/>
      <sheetName val="[POWER5_XLA][POWER5_XLA]_App_14"/>
      <sheetName val="[POWER5_XLA][POWER5_XLA]__na_14"/>
      <sheetName val="[POWER5_XLA][POWER5_XLA]__sf_14"/>
      <sheetName val="[POWER5_XLA][POWER5_XLA]_POW_81"/>
      <sheetName val="[POWER5_XLA][POWER5_XLA]_POW_82"/>
      <sheetName val="[POWER5_XLA][POWER5_XLA]_POW_83"/>
      <sheetName val="[POWER5_XLA]__na1_salesforce_28"/>
      <sheetName val="[POWER5_XLA]_J_Applications__21"/>
      <sheetName val="[POWER5_XLA][POWER5_XLA]__qm_11"/>
      <sheetName val="[POWER5_XLA][POWER5_XLA]_POW_84"/>
      <sheetName val="[POWER5_XLA][POWER5_XLA]_POW_85"/>
      <sheetName val="[POWER5_XLA][POWER5_XLA]_J_A_11"/>
      <sheetName val="[POWER5_XLA]_Applications_Mi_31"/>
      <sheetName val="[POWER5_XLA]__aodocs_altirna_42"/>
      <sheetName val="[POWER5_XLA]__aodocs_altirna_43"/>
      <sheetName val="[POWER5_XLA][POWER5_XLA]_POW_86"/>
      <sheetName val="[POWER5_XLA][POWER5_XLA]_POW_87"/>
      <sheetName val="[POWER5_XLA][POWER5_XLA]_POW_88"/>
      <sheetName val="[POWER5_XLA][POWER5_XLA]_App_15"/>
      <sheetName val="[POWER5_XLA][POWER5_XLA]__na_15"/>
      <sheetName val="[POWER5_XLA][POWER5_XLA]__sf_15"/>
      <sheetName val="[POWER5_XLA]_Applications_Mi_32"/>
      <sheetName val="[POWER5_XLA]__na1_salesforce_29"/>
      <sheetName val="[POWER5_XLA]__sfdc_DFS_Appli_12"/>
      <sheetName val="[POWER5_XLA]_J_Applications__22"/>
      <sheetName val="[POWER5_XLA]_Applications_Mi_33"/>
      <sheetName val="[POWER5_XLA]__aodocs_altirna_44"/>
      <sheetName val="[POWER5_XLA]__localhost_webd_33"/>
      <sheetName val="[POWER5_XLA]__localhost_webd_34"/>
      <sheetName val="[POWER5_XLA]__localhost_FY_2_12"/>
      <sheetName val="[POWER5_XLA]__aodocs_altirna_45"/>
      <sheetName val="[POWER5_XLA]__localhost_webd_38"/>
      <sheetName val="[POWER5_XLA][POWER5_XLA]_App_16"/>
      <sheetName val="[POWER5_XLA][POWER5_XLA]__na_16"/>
      <sheetName val="[POWER5_XLA][POWER5_XLA]__sf_16"/>
      <sheetName val="[POWER5_XLA][POWER5_XLA]_POW_89"/>
      <sheetName val="[POWER5_XLA][POWER5_XLA]_POW_90"/>
      <sheetName val="[POWER5_XLA][POWER5_XLA]_POW_91"/>
      <sheetName val="[POWER5_XLA]__na1_salesforce_30"/>
      <sheetName val="[POWER5_XLA]_J_Applications__23"/>
      <sheetName val="[POWER5_XLA][POWER5_XLA]__qm_12"/>
      <sheetName val="[POWER5_XLA][POWER5_XLA]_POW_92"/>
      <sheetName val="[POWER5_XLA][POWER5_XLA]_POW_93"/>
      <sheetName val="[POWER5_XLA][POWER5_XLA]_J_A_12"/>
      <sheetName val="[POWER5_XLA]_Users_Dan_Libra_12"/>
      <sheetName val="[POWER5_XLA]_Applications_Mi_34"/>
      <sheetName val="[POWER5_XLA]__aodocs_altirna_50"/>
      <sheetName val="[POWER5_XLA]__aodocs_altirna_51"/>
      <sheetName val="[POWER5_XLA][POWER5_XLA]_POW_94"/>
      <sheetName val="[POWER5_XLA][POWER5_XLA]_POW_95"/>
      <sheetName val="[POWER5_XLA][POWER5_XLA]_POW_96"/>
      <sheetName val="[POWER5_XLA][POWER5_XLA]_App_17"/>
      <sheetName val="[POWER5_XLA][POWER5_XLA]__na_17"/>
      <sheetName val="[POWER5_XLA][POWER5_XLA]__sf_17"/>
      <sheetName val="[POWER5_XLA]__na1_salesforce_31"/>
      <sheetName val="[POWER5_XLA]__na1_salesforce_32"/>
      <sheetName val="[POWER5_XLA][POWER5_XLA]__qma15"/>
      <sheetName val="[POWER5_XLA][POWER5_XLA]_J_Ap15"/>
      <sheetName val="[POWER5_XLA]__na1_salesforce_33"/>
      <sheetName val="[POWER5_XLA]__sfdc_DFS_Applic13"/>
      <sheetName val="[POWER5_XLA]__localhost_FY_2013"/>
      <sheetName val="[POWER5_XLA][POWER5_XLA]__qma16"/>
      <sheetName val="[POWER5_XLA][POWER5_XLA]_POW_97"/>
      <sheetName val="[POWER5_XLA][POWER5_XLA]_POW_98"/>
      <sheetName val="[POWER5_XLA][POWER5_XLA]_J_Ap16"/>
      <sheetName val="[POWER5_XLA]__na1_salesforce_34"/>
      <sheetName val="[POWER5_XLA]_Users_Dan_Librar13"/>
      <sheetName val="[POWER5_XLA]__na1_salesforce_35"/>
      <sheetName val="[POWER5_XLA]__sfdc_DFS_Applic14"/>
      <sheetName val="[POWER5_XLA][POWER5_XLA]_Appl25"/>
      <sheetName val="[POWER5_XLA][POWER5_XLA]__na125"/>
      <sheetName val="[POWER5_XLA][POWER5_XLA]__sfd25"/>
      <sheetName val="[POWER5_XLA][POWER5_XLA]_POW_99"/>
      <sheetName val="[POWER5_XLA][POWER5_XLA]_POW100"/>
      <sheetName val="[POWER5_XLA][POWER5_XLA]_POW101"/>
      <sheetName val="[POWER5_XLA]__localhost_FY_2014"/>
      <sheetName val="[POWER5_XLA]__localhost_webd_39"/>
      <sheetName val="[POWER5_XLA][POWER5_XLA]__qma17"/>
      <sheetName val="[POWER5_XLA][POWER5_XLA]_POW102"/>
      <sheetName val="[POWER5_XLA][POWER5_XLA]_POW103"/>
      <sheetName val="[POWER5_XLA][POWER5_XLA]_J_Ap17"/>
      <sheetName val="[POWER5_XLA]__na1_salesforce_36"/>
      <sheetName val="[POWER5_XLA]__aodocs_altirna_52"/>
      <sheetName val="[POWER5_XLA]__aodocs_altirna_53"/>
      <sheetName val="[POWER5_XLA][POWER5_XLA]_Appl26"/>
      <sheetName val="[POWER5_XLA][POWER5_XLA]__na126"/>
      <sheetName val="[POWER5_XLA][POWER5_XLA]__sfd26"/>
      <sheetName val="[POWER5_XLA]_Users_Dan_Librar14"/>
      <sheetName val="[POWER5_XLA]__qmaxsolutions_998"/>
      <sheetName val="[POWER5_XLA]__qmaxsolutions_999"/>
      <sheetName val="[POWER5_XLA]__qmaxsolutions1000"/>
      <sheetName val="[POWER5_XLA]__qmaxsolutions1001"/>
      <sheetName val="[POWER5_XLA]__qmaxsolutions1002"/>
      <sheetName val="[POWER5_XLA]__qmaxsolutions1003"/>
      <sheetName val="[POWER5_XLA]__qmaxsolutions1004"/>
      <sheetName val="[POWER5_XLA]__qmaxsolutions1005"/>
      <sheetName val="[POWER5_XLA]__qmaxsolutions1006"/>
      <sheetName val="[POWER5_XLA]__qmaxsolutions1007"/>
      <sheetName val="[POWER5_XLA]__qmaxsolutions1008"/>
      <sheetName val="[POWER5_XLA]__qmaxsolutions1009"/>
      <sheetName val="[POWER5_XLA]__qmaxsolutions1010"/>
      <sheetName val="[POWER5_XLA]__qmaxsolutions1011"/>
      <sheetName val="[POWER5_XLA]__qmaxsolutions1012"/>
      <sheetName val="[POWER5_XLA]__qmaxsolutions1013"/>
      <sheetName val="[POWER5_XLA]__qmaxsolutions1014"/>
      <sheetName val="[POWER5_XLA]__qmaxsolutions1015"/>
      <sheetName val="[POWER5_XLA]__qmaxsolutions1016"/>
      <sheetName val="[POWER5_XLA]__qmaxsolutions1017"/>
      <sheetName val="[POWER5_XLA]__qmaxsolutions1018"/>
      <sheetName val="[POWER5_XLA]__qmaxsolutions1019"/>
      <sheetName val="[POWER5_XLA]__qmaxsolutions1020"/>
      <sheetName val="[POWER5_XLA]__qmaxsolutions1021"/>
      <sheetName val="[POWER5_XLA]__qmaxsolutions1022"/>
      <sheetName val="[POWER5_XLA]__qmaxsolutions1023"/>
      <sheetName val="[POWER5_XLA]__qmaxsolutions1024"/>
      <sheetName val="[POWER5_XLA]__qmaxsolutions1025"/>
      <sheetName val="[POWER5_XLA]__qmaxsolutions1026"/>
      <sheetName val="[POWER5_XLA]__qmaxsolutions1027"/>
      <sheetName val="[POWER5_XLA]__qmaxsolutions1028"/>
      <sheetName val="[POWER5_XLA]__qmaxsolutions1029"/>
      <sheetName val="[POWER5_XLA]__qmaxsolutions1030"/>
      <sheetName val="[POWER5_XLA]__qmaxsolutions1031"/>
      <sheetName val="[POWER5_XLA]__qmaxsolutions1032"/>
      <sheetName val="[POWER5_XLA]__qmaxsolutions1033"/>
      <sheetName val="[POWER5_XLA]__qmaxsolutions1034"/>
      <sheetName val="[POWER5_XLA]__qmaxsolutions1035"/>
      <sheetName val="[POWER5_XLA]__qmaxsolutions1036"/>
      <sheetName val="[POWER5_XLA]__qmaxsolutions1037"/>
      <sheetName val="[POWER5_XLA]__qmaxsolutions1038"/>
      <sheetName val="[POWER5_XLA]__qmaxsolutions1039"/>
      <sheetName val="[POWER5_XLA]__qmaxsolutions1040"/>
      <sheetName val="[POWER5_XLA]__qmaxsolutions1041"/>
      <sheetName val="[POWER5_XLA]__qmaxsolutions1042"/>
      <sheetName val="[POWER5_XLA]__qmaxsolutions1043"/>
      <sheetName val="[POWER5_XLA]__qmaxsolutions1044"/>
      <sheetName val="[POWER5_XLA]__qmaxsolutions1045"/>
      <sheetName val="[POWER5_XLA]__qmaxsolutions1046"/>
      <sheetName val="[POWER5_XLA]__qmaxsolutions1047"/>
      <sheetName val="[POWER5_XLA]__qmaxsolutions1048"/>
      <sheetName val="[POWER5_XLA]__qmaxsolutions1049"/>
      <sheetName val="[POWER5_XLA]__qmaxsolutions1050"/>
      <sheetName val="[POWER5_XLA]__qmaxsolutions1051"/>
      <sheetName val="[POWER5_XLA]__qmaxsolutions1052"/>
      <sheetName val="[POWER5_XLA]__qmaxsolutions1053"/>
      <sheetName val="[POWER5_XLA]__qmaxsolutions1054"/>
      <sheetName val="[POWER5_XLA]__qmaxsolutions1055"/>
      <sheetName val="[POWER5_XLA]__qmaxsolutions1056"/>
      <sheetName val="[POWER5_XLA]__qmaxsolutions1057"/>
      <sheetName val="[POWER5_XLA]__qmaxsolutions1058"/>
      <sheetName val="[POWER5_XLA]__qmaxsolutions1059"/>
      <sheetName val="[POWER5_XLA]__qmaxsolutions1060"/>
      <sheetName val="[POWER5_XLA]__qmaxsolutions1061"/>
      <sheetName val="[POWER5_XLA]__qmaxsolutions1062"/>
      <sheetName val="[POWER5_XLA]__qmaxsolutions1063"/>
      <sheetName val="[POWER5_XLA]__qmaxsolutions1064"/>
      <sheetName val="[POWER5_XLA]__qmaxsolutions1065"/>
      <sheetName val="[POWER5_XLA]__qmaxsolutions1066"/>
      <sheetName val="[POWER5_XLA]_Applications_Mi_38"/>
      <sheetName val="[POWER5_XLA]__aodocs_altirna_54"/>
      <sheetName val="[POWER5_XLA]__aodocs_altirna_55"/>
      <sheetName val="[POWER5_XLA][POWER5_XLA]_POW104"/>
      <sheetName val="[POWER5_XLA][POWER5_XLA]_Appl27"/>
      <sheetName val="[POWER5_XLA][POWER5_XLA]__na127"/>
      <sheetName val="[POWER5_XLA][POWER5_XLA]__sfd27"/>
      <sheetName val="[POWER5_XLA]_Applications_Mi_39"/>
      <sheetName val="[POWER5_XLA]__na1_salesforce_37"/>
      <sheetName val="[POWER5_XLA]__sfdc_DFS_Applic15"/>
      <sheetName val="[POWER5_XLA]_Applications_Mi_40"/>
      <sheetName val="[POWER5_XLA]__aodocs_altirna_56"/>
      <sheetName val="[POWER5_XLA]__localhost_webd_40"/>
      <sheetName val="[POWER5_XLA]__localhost_webd_41"/>
      <sheetName val="[POWER5_XLA]__localhost_FY_2015"/>
      <sheetName val="[POWER5_XLA]__aodocs_altirna_57"/>
      <sheetName val="[POWER5_XLA]__localhost_webd_42"/>
      <sheetName val="[POWER5_XLA][POWER5_XLA]_Appl28"/>
      <sheetName val="[POWER5_XLA][POWER5_XLA]__na128"/>
      <sheetName val="[POWER5_XLA][POWER5_XLA]__sfd28"/>
      <sheetName val="[POWER5_XLA][POWER5_XLA]_POW105"/>
      <sheetName val="[POWER5_XLA][POWER5_XLA]_POW106"/>
      <sheetName val="[POWER5_XLA][POWER5_XLA]_POW107"/>
      <sheetName val="[POWER5_XLA]__na1_salesforce_38"/>
      <sheetName val="[POWER5_XLA][POWER5_XLA]__qma18"/>
      <sheetName val="[POWER5_XLA][POWER5_XLA]_POW108"/>
      <sheetName val="[POWER5_XLA][POWER5_XLA]_POW109"/>
      <sheetName val="[POWER5_XLA][POWER5_XLA]_J_Ap18"/>
      <sheetName val="[POWER5_XLA]_Applications_Mi_41"/>
      <sheetName val="[POWER5_XLA]_Users_Dan_Librar15"/>
      <sheetName val="[POWER5_XLA]__aodocs_altirna_58"/>
      <sheetName val="[POWER5_XLA]__aodocs_altirna_59"/>
      <sheetName val="[POWER5_XLA][POWER5_XLA]_POW110"/>
      <sheetName val="[POWER5_XLA][POWER5_XLA]_POW111"/>
      <sheetName val="[POWER5_XLA][POWER5_XLA]_POW112"/>
      <sheetName val="[POWER5_XLA][POWER5_XLA]_Appl29"/>
      <sheetName val="[POWER5_XLA][POWER5_XLA]__na129"/>
      <sheetName val="[POWER5_XLA][POWER5_XLA]__sfd29"/>
      <sheetName val="[POWER5_XLA]__qmaxsolutions1067"/>
      <sheetName val="[POWER5_XLA]__qmaxsolutions1068"/>
      <sheetName val="[POWER5_XLA]__qmaxsolutions1069"/>
      <sheetName val="[POWER5_XLA]__qmaxsolutions1070"/>
      <sheetName val="[POWER5_XLA]__qmaxsolutions1071"/>
      <sheetName val="[POWER5_XLA]__qmaxsolutions1072"/>
      <sheetName val="[POWER5_XLA]__qmaxsolutions1073"/>
      <sheetName val="[POWER5_XLA]__qmaxsolutions1074"/>
      <sheetName val="[POWER5_XLA]__qmaxsolutions1075"/>
      <sheetName val="[POWER5_XLA]__qmaxsolutions1076"/>
      <sheetName val="[POWER5_XLA]__qmaxsolutions1077"/>
      <sheetName val="[POWER5_XLA]__qmaxsolutions1078"/>
      <sheetName val="[POWER5_XLA]__qmaxsolutions1079"/>
      <sheetName val="[POWER5_XLA]__qmaxsolutions1080"/>
      <sheetName val="[POWER5_XLA]__qmaxsolutions1081"/>
      <sheetName val="[POWER5_XLA]__qmaxsolutions1082"/>
      <sheetName val="[POWER5_XLA]__qmaxsolutions1083"/>
      <sheetName val="[POWER5_XLA]__qmaxsolutions1084"/>
      <sheetName val="[POWER5_XLA]__qmaxsolutions1085"/>
      <sheetName val="[POWER5_XLA]__qmaxsolutions1086"/>
      <sheetName val="[POWER5_XLA]__qmaxsolutions1087"/>
      <sheetName val="[POWER5_XLA]__qmaxsolutions1088"/>
      <sheetName val="[POWER5_XLA]__qmaxsolutions1089"/>
      <sheetName val="[POWER5_XLA]__qmaxsolutions1090"/>
      <sheetName val="[POWER5_XLA]__qmaxsolutions1091"/>
      <sheetName val="[POWER5_XLA]__qmaxsolutions1092"/>
      <sheetName val="[POWER5_XLA]__qmaxsolutions1093"/>
      <sheetName val="[POWER5_XLA]__qmaxsolutions1094"/>
      <sheetName val="[POWER5_XLA]__qmaxsolutions1095"/>
      <sheetName val="[POWER5_XLA]__qmaxsolutions1096"/>
      <sheetName val="[POWER5_XLA]__qmaxsolutions1097"/>
      <sheetName val="[POWER5_XLA]__qmaxsolutions1098"/>
      <sheetName val="[POWER5_XLA]__qmaxsolutions1099"/>
      <sheetName val="[POWER5_XLA]__qmaxsolutions1100"/>
      <sheetName val="[POWER5_XLA]__qmaxsolutions1101"/>
      <sheetName val="[POWER5_XLA]__qmaxsolutions1102"/>
      <sheetName val="[POWER5_XLA]__qmaxsolutions1103"/>
      <sheetName val="[POWER5_XLA]__qmaxsolutions1104"/>
      <sheetName val="[POWER5_XLA]__qmaxsolutions1105"/>
      <sheetName val="[POWER5_XLA]__qmaxsolutions1106"/>
      <sheetName val="[POWER5_XLA]__qmaxsolutions1107"/>
      <sheetName val="[POWER5_XLA]__qmaxsolutions1108"/>
      <sheetName val="[POWER5_XLA]__qmaxsolutions1109"/>
      <sheetName val="[POWER5_XLA]__qmaxsolutions1110"/>
      <sheetName val="8_23_061"/>
      <sheetName val="[POWER5_XLA]__qmaxsolutions1111"/>
      <sheetName val="[POWER5_XLA]__qmaxsolutions1112"/>
      <sheetName val="[POWER5_XLA]__qmaxsolutions1113"/>
      <sheetName val="[POWER5_XLA]__qmaxsolutions1114"/>
      <sheetName val="[POWER5_XLA]__qmaxsolutions1115"/>
      <sheetName val="[POWER5_XLA]__qmaxsolutions1116"/>
      <sheetName val="[POWER5_XLA]__qmaxsolutions1117"/>
      <sheetName val="[POWER5_XLA]__qmaxsolutions1118"/>
      <sheetName val="[POWER5_XLA]__qmaxsolutions1119"/>
      <sheetName val="[POWER5_XLA]__qmaxsolutions1120"/>
      <sheetName val="[POWER5_XLA]__qmaxsolutions1121"/>
      <sheetName val="[POWER5_XLA]__qmaxsolutions1122"/>
      <sheetName val="[POWER5_XLA]__qmaxsolutions1123"/>
      <sheetName val="[POWER5_XLA]__qmaxsolutions1124"/>
      <sheetName val="[POWER5_XLA]__qmaxsolutions1125"/>
      <sheetName val="[POWER5_XLA]__qmaxsolutions1126"/>
      <sheetName val="[POWER5_XLA]__qmaxsolutions1127"/>
      <sheetName val="[POWER5_XLA]__qmaxsolutions1128"/>
      <sheetName val="[POWER5_XLA]__qmaxsolutions1129"/>
      <sheetName val="[POWER5_XLA]__qmaxsolutions1130"/>
      <sheetName val="[POWER5_XLA]__qmaxsolutions1131"/>
      <sheetName val="[POWER5_XLA]__qmaxsolutions1132"/>
      <sheetName val="[POWER5_XLA]__qmaxsolutions1133"/>
      <sheetName val="[POWER5_XLA]__qmaxsolutions1134"/>
      <sheetName val="[POWER5_XLA]__d_docs_live_net13"/>
      <sheetName val="ScratchPad_HCB_YTD_BS1"/>
      <sheetName val="ScratchPad_HPM_YTD_BS1"/>
      <sheetName val="DCF_Inputs1"/>
      <sheetName val="2020_Capex_Budget1"/>
      <sheetName val="Capex_Forecast1"/>
      <sheetName val="Open_PO_@_11_1_181"/>
      <sheetName val="SA18-072_to_18-083_Flipper_Pro1"/>
      <sheetName val="CC_pmt_SA18-075_&amp;_18-0761"/>
      <sheetName val="Summary_Prophix_Vs_Macola1"/>
      <sheetName val="Summary_Small_Flipper1"/>
      <sheetName val="AP_invoices_SA18-073-0831"/>
      <sheetName val="CC_Expense_SA18-073-_0831"/>
      <sheetName val="Open_PO_@11_29_181"/>
      <sheetName val="Open_PO_@_12_31_20181"/>
      <sheetName val="[POWER5_XLA]_Applications_Mi_42"/>
      <sheetName val="[POWER5_XLA]__na1_salesforce_39"/>
      <sheetName val="[POWER5_XLA]__sfdc_DFS_Applic16"/>
      <sheetName val="[POWER5_XLA]_J_Applications__26"/>
      <sheetName val="[POWER5_XLA]_Applications_Mi_43"/>
      <sheetName val="[POWER5_XLA]__aodocs_altirna_60"/>
      <sheetName val="[POWER5_XLA]__localhost_webd_43"/>
      <sheetName val="[POWER5_XLA]__localhost_webd_44"/>
      <sheetName val="[POWER5_XLA]__localhost_FY_2016"/>
      <sheetName val="[POWER5_XLA]__aodocs_altirna_61"/>
      <sheetName val="[POWER5_XLA]__localhost_webd_45"/>
      <sheetName val="[POWER5_XLA][POWER5_XLA]_Appl30"/>
      <sheetName val="[POWER5_XLA][POWER5_XLA]__na130"/>
      <sheetName val="[POWER5_XLA][POWER5_XLA]__sfd30"/>
      <sheetName val="[POWER5_XLA][POWER5_XLA]_POW113"/>
      <sheetName val="[POWER5_XLA][POWER5_XLA]_POW114"/>
      <sheetName val="[POWER5_XLA][POWER5_XLA]_POW115"/>
      <sheetName val="[POWER5_XLA]__na1_salesforce_40"/>
      <sheetName val="[POWER5_XLA]_J_Applications__27"/>
      <sheetName val="[POWER5_XLA][POWER5_XLA]__qma19"/>
      <sheetName val="[POWER5_XLA][POWER5_XLA]_POW116"/>
      <sheetName val="[POWER5_XLA][POWER5_XLA]_POW117"/>
      <sheetName val="[POWER5_XLA][POWER5_XLA]_J_Ap19"/>
      <sheetName val="[POWER5_XLA]_Applications_Mi_44"/>
      <sheetName val="[POWER5_XLA]_Users_Dan_Librar16"/>
      <sheetName val="[POWER5_XLA]__aodocs_altirna_62"/>
      <sheetName val="[POWER5_XLA]__aodocs_altirna_63"/>
      <sheetName val="[POWER5_XLA][POWER5_XLA]_POW118"/>
      <sheetName val="[POWER5_XLA][POWER5_XLA]_POW119"/>
      <sheetName val="[POWER5_XLA][POWER5_XLA]_POW120"/>
      <sheetName val="[POWER5_XLA][POWER5_XLA]_Appl31"/>
      <sheetName val="[POWER5_XLA][POWER5_XLA]__na131"/>
      <sheetName val="[POWER5_XLA][POWER5_XLA]__sfd31"/>
      <sheetName val="[POWER5_XLA]_Users_SSimakova_10"/>
      <sheetName val="[POWER5_XLA]__na1_salesforce_41"/>
      <sheetName val="[POWER5_XLA][POWER5_XLA]__qma20"/>
      <sheetName val="[POWER5_XLA][POWER5_XLA]_POW121"/>
      <sheetName val="[POWER5_XLA][POWER5_XLA]_POW122"/>
      <sheetName val="[POWER5_XLA][POWER5_XLA]_J_Ap20"/>
      <sheetName val="[POWER5_XLA]_Users_Dan_Librar17"/>
      <sheetName val="Portugal_Q1RF1"/>
      <sheetName val="Mini_Model1"/>
      <sheetName val="Case_Driver1"/>
      <sheetName val="Case_Feed1"/>
      <sheetName val="[POWER5_XLA]_Applications_Mi_45"/>
      <sheetName val="[POWER5_XLA]__sfdc_DFS_Applic17"/>
      <sheetName val="[POWER5_XLA]_J_Applications__28"/>
      <sheetName val="[POWER5_XLA]_Applications_Mi_46"/>
      <sheetName val="[POWER5_XLA]__aodocs_altirna_64"/>
      <sheetName val="[POWER5_XLA]__localhost_webd_46"/>
      <sheetName val="[POWER5_XLA]__localhost_webd_47"/>
      <sheetName val="[POWER5_XLA]__localhost_FY_2017"/>
      <sheetName val="[POWER5_XLA]__aodocs_altirna_65"/>
      <sheetName val="[POWER5_XLA]__localhost_webd_48"/>
      <sheetName val="[POWER5_XLA][POWER5_XLA]_Appl32"/>
      <sheetName val="[POWER5_XLA][POWER5_XLA]__na132"/>
      <sheetName val="[POWER5_XLA][POWER5_XLA]__sfd32"/>
      <sheetName val="[POWER5_XLA][POWER5_XLA]_POW123"/>
      <sheetName val="[POWER5_XLA][POWER5_XLA]_POW124"/>
      <sheetName val="[POWER5_XLA][POWER5_XLA]_POW125"/>
      <sheetName val="[POWER5_XLA]__na1_salesforce_42"/>
      <sheetName val="[POWER5_XLA]_J_Applications__29"/>
      <sheetName val="[POWER5_XLA][POWER5_XLA]__qma21"/>
      <sheetName val="[POWER5_XLA][POWER5_XLA]_POW126"/>
      <sheetName val="[POWER5_XLA][POWER5_XLA]_POW127"/>
      <sheetName val="[POWER5_XLA][POWER5_XLA]_J_Ap21"/>
      <sheetName val="[POWER5_XLA]_Applications_Mi_47"/>
      <sheetName val="[POWER5_XLA]__aodocs_altirna_66"/>
      <sheetName val="[POWER5_XLA]__aodocs_altirna_67"/>
      <sheetName val="[POWER5_XLA][POWER5_XLA]_POW128"/>
      <sheetName val="[POWER5_XLA][POWER5_XLA]_Appl33"/>
      <sheetName val="[POWER5_XLA][POWER5_XLA]__na133"/>
      <sheetName val="[POWER5_XLA][POWER5_XLA]__sfd33"/>
      <sheetName val="[POWER5_XLA]_Users_SSimakova_11"/>
      <sheetName val="[POWER5_XLA]__na1_salesforce_43"/>
      <sheetName val="[POWER5_XLA][POWER5_XLA]_POW129"/>
      <sheetName val="[POWER5_XLA][POWER5_XLA]_POW130"/>
      <sheetName val="[POWER5_XLA]_Users_Dan_Librar18"/>
      <sheetName val="EPS_Chart_CRNv21"/>
      <sheetName val="PL_-_Corintech_UK1"/>
      <sheetName val="PL4_2_-_Corintech_HK1"/>
      <sheetName val="Mo_Cons1"/>
      <sheetName val="Fin_Ratios1"/>
      <sheetName val="Summary_Statistics1"/>
      <sheetName val="Income_-_Year1"/>
      <sheetName val="Cash_-_Year1"/>
      <sheetName val="Balance_-_Year1"/>
      <sheetName val="FCF_Chart1"/>
      <sheetName val="Paging_Pen_Chart1"/>
      <sheetName val="Deferred_Charges1"/>
      <sheetName val="A_Shares1"/>
      <sheetName val="B_Shares1"/>
      <sheetName val="Total_Shares1"/>
      <sheetName val="Valuation_-_FCF1"/>
      <sheetName val="Valuation_-_FCF_+_Multiple1"/>
      <sheetName val="Valuation_-_EBITDA_Multiple1"/>
      <sheetName val="[POWER5_XLA]__d_docs_live_net14"/>
      <sheetName val="[POWER5_XLA]__d_docs_live_net15"/>
      <sheetName val="[POWER5_XLA]__qmaxsolutions1135"/>
      <sheetName val="[POWER5_XLA]__qmaxsolutions1136"/>
      <sheetName val="[POWER5_XLA]__qmaxsolutions1137"/>
      <sheetName val="[POWER5_XLA]__qmaxsolutions1138"/>
      <sheetName val="[POWER5_XLA]__qmaxsolutions1139"/>
      <sheetName val="[POWER5_XLA]__qmaxsolutions1140"/>
      <sheetName val="[POWER5_XLA]__qmaxsolutions1141"/>
      <sheetName val="[POWER5_XLA]__qmaxsolutions1142"/>
      <sheetName val="[POWER5_XLA]__qmaxsolutions1143"/>
      <sheetName val="[POWER5_XLA]__qmaxsolutions1144"/>
      <sheetName val="[POWER5_XLA]__qmaxsolutions1145"/>
      <sheetName val="[POWER5_XLA]__qmaxsolutions1146"/>
      <sheetName val="[POWER5_XLA]__qmaxsolutions1147"/>
      <sheetName val="[POWER5_XLA]__qmaxsolutions1148"/>
      <sheetName val="[POWER5_XLA]__qmaxsolutions1149"/>
      <sheetName val="[POWER5_XLA]__qmaxsolutions1150"/>
      <sheetName val="[POWER5_XLA]__qmaxsolutions1151"/>
      <sheetName val="[POWER5_XLA]__qmaxsolutions1152"/>
      <sheetName val="[POWER5_XLA]__qmaxsolutions1153"/>
      <sheetName val="[POWER5_XLA]__qmaxsolutions1154"/>
      <sheetName val="[POWER5_XLA]__qmaxsolutions1155"/>
      <sheetName val="[POWER5_XLA]__qmaxsolutions1156"/>
      <sheetName val="[POWER5_XLA]__qmaxsolutions1157"/>
      <sheetName val="[POWER5_XLA]__qmaxsolutions1158"/>
      <sheetName val="Global_Footcare_price_list1"/>
      <sheetName val="Foot_Balance_price_list1"/>
      <sheetName val="QE_adjustment_database1"/>
      <sheetName val="PL_Data1"/>
      <sheetName val="BS_Data1"/>
      <sheetName val="NWC_adjustments1"/>
      <sheetName val="[POWER5_XLA]__qmaxsolutions1159"/>
      <sheetName val="[POWER5_XLA]__qmaxsolutions1160"/>
      <sheetName val="[POWER5_XLA]__qmaxsolutions1161"/>
      <sheetName val="[POWER5_XLA]__qmaxsolutions1162"/>
      <sheetName val="[POWER5_XLA]__qmaxsolutions1163"/>
      <sheetName val="[POWER5_XLA]__qmaxsolutions1164"/>
      <sheetName val="[POWER5_XLA]__qmaxsolutions1165"/>
      <sheetName val="[POWER5_XLA]__qmaxsolutions1166"/>
      <sheetName val="[POWER5_XLA]__qmaxsolutions1167"/>
      <sheetName val="[POWER5_XLA]__qmaxsolutions1168"/>
      <sheetName val="[POWER5_XLA]__qmaxsolutions1169"/>
      <sheetName val="[POWER5_XLA]__qmaxsolutions1170"/>
      <sheetName val="[POWER5_XLA]__qmaxsolutions1171"/>
      <sheetName val="[POWER5_XLA]__qmaxsolutions1172"/>
      <sheetName val="[POWER5_XLA]__qmaxsolutions1173"/>
      <sheetName val="[POWER5_XLA]__qmaxsolutions1174"/>
      <sheetName val="[POWER5_XLA]__qmaxsolutions1175"/>
      <sheetName val="[POWER5_XLA]__qmaxsolutions1176"/>
      <sheetName val="[POWER5_XLA]__qmaxsolutions1177"/>
      <sheetName val="[POWER5_XLA]__qmaxsolutions1178"/>
      <sheetName val="[POWER5_XLA]__qmaxsolutions1179"/>
      <sheetName val="[POWER5_XLA]__qmaxsolutions1180"/>
      <sheetName val="[POWER5_XLA]__qmaxsolutions1181"/>
      <sheetName val="[POWER5_XLA]__qmaxsolutions1182"/>
      <sheetName val="[POWER5_XLA]__qmaxsolutions1183"/>
      <sheetName val="[POWER5_XLA]__qmaxsolutions1184"/>
      <sheetName val="[POWER5_XLA]__qmaxsolutions1185"/>
      <sheetName val="[POWER5_XLA]__qmaxsolutions1186"/>
      <sheetName val="[POWER5_XLA]__qmaxsolutions1187"/>
      <sheetName val="[POWER5_XLA]__qmaxsolutions1188"/>
      <sheetName val="[POWER5_XLA]__qmaxsolutions1189"/>
      <sheetName val="[POWER5_XLA]__qmaxsolutions1190"/>
      <sheetName val="[POWER5_XLA]__qmaxsolutions1191"/>
      <sheetName val="[POWER5_XLA]__qmaxsolutions1192"/>
      <sheetName val="[POWER5_XLA]__qmaxsolutions1193"/>
      <sheetName val="[POWER5_XLA]__qmaxsolutions1194"/>
      <sheetName val="[POWER5_XLA]__qmaxsolutions1195"/>
      <sheetName val="[POWER5_XLA]__qmaxsolutions1196"/>
      <sheetName val="[POWER5_XLA]__qmaxsolutions1197"/>
      <sheetName val="[POWER5_XLA]__qmaxsolutions1198"/>
      <sheetName val="13-01_BS1"/>
      <sheetName val="09-02_-_BS1"/>
      <sheetName val="Enity_&amp;_Line_Item_Map1"/>
      <sheetName val="13-01_IS1"/>
      <sheetName val="P&amp;L_12months_thru_09-021"/>
      <sheetName val="[POWER5_XLA]__d_docs_live_net16"/>
      <sheetName val="[POWER5_XLA]__qmaxsolutions1199"/>
      <sheetName val="[POWER5_XLA]__qmaxsolutions1200"/>
      <sheetName val="[POWER5_XLA]__qmaxsolutions1201"/>
      <sheetName val="[POWER5_XLA]__qmaxsolutions1202"/>
      <sheetName val="[POWER5_XLA]__qmaxsolutions1203"/>
      <sheetName val="[POWER5_XLA]__qmaxsolutions1204"/>
      <sheetName val="[POWER5_XLA]__qmaxsolutions1205"/>
      <sheetName val="[POWER5_XLA]__qmaxsolutions1206"/>
      <sheetName val="[POWER5_XLA]__qmaxsolutions1207"/>
      <sheetName val="[POWER5_XLA]__qmaxsolutions1208"/>
      <sheetName val="[POWER5_XLA]__qmaxsolutions1209"/>
      <sheetName val="[POWER5_XLA]__qmaxsolutions1210"/>
      <sheetName val="[POWER5_XLA]_Appl_22"/>
      <sheetName val="[POWER5_XLA]__na1_22"/>
      <sheetName val="[POWER5_XLA]__sfd_22"/>
      <sheetName val="[POWER5_XLA]_POWE_22"/>
      <sheetName val="[POWER5_XLA]_POWE_32"/>
      <sheetName val="[POWER5_XLA]_POWE_42"/>
      <sheetName val="[POWER5_XLA]__qma_21"/>
      <sheetName val="[POWER5_XLA]_POWE_52"/>
      <sheetName val="[POWER5_XLA]_POWE_62"/>
      <sheetName val="[POWER5_XLA]_J_Ap_21"/>
      <sheetName val="[POWER5_XLA]_Appl_32"/>
      <sheetName val="[POWER5_XLA]__na1_32"/>
      <sheetName val="[POWER5_XLA]__sfd_32"/>
      <sheetName val="[POWER5_XLA]_POWE_72"/>
      <sheetName val="[POWER5_XLA]_POWE_81"/>
      <sheetName val="[POWER5_XLA]_POWE_91"/>
      <sheetName val="[POWER5_XLA]__qma_31"/>
      <sheetName val="[POWER5_XLA]_POW_101"/>
      <sheetName val="[POWER5_XLA]_POW_111"/>
      <sheetName val="[POWER5_XLA]_J_Ap_31"/>
      <sheetName val="[POWER5_XLA]_Appl_41"/>
      <sheetName val="[POWER5_XLA]__na1_41"/>
      <sheetName val="[POWER5_XLA]__sfd_41"/>
      <sheetName val="[POWER5_XLA]_POW_121"/>
      <sheetName val="[POWER5_XLA]_POW_131"/>
      <sheetName val="[POWER5_XLA]_POW_141"/>
      <sheetName val="[POWER5_XLA]__qma_41"/>
      <sheetName val="[POWER5_XLA]_POW_151"/>
      <sheetName val="[POWER5_XLA]_POW_161"/>
      <sheetName val="[POWER5_XLA]_J_Ap_41"/>
      <sheetName val="CF_trat__1"/>
      <sheetName val="Dist_Maq1"/>
      <sheetName val="Dados_Maq1"/>
      <sheetName val="Da_agr1"/>
      <sheetName val="Evolução_do_Plantio_1"/>
      <sheetName val="[POWER5_XLA]__qmaxsolutions1211"/>
      <sheetName val="Supporting_Settings1"/>
      <sheetName val="Outputs_for_CIP1"/>
      <sheetName val="Beluga_CTRL1"/>
      <sheetName val="LYO_(2)1"/>
      <sheetName val="Gerken_(2)1"/>
      <sheetName val="TMS_(2)1"/>
      <sheetName val="Fesler_(2)1"/>
      <sheetName val="Benham_(2)1"/>
      <sheetName val="LCD_(2)1"/>
      <sheetName val="Roberts_(2)1"/>
      <sheetName val="Hoffman_(2)1"/>
      <sheetName val="Baker_(2)1"/>
      <sheetName val="Victoria_(2)1"/>
      <sheetName val="Williams_(2)1"/>
      <sheetName val="Engel_(2)1"/>
      <sheetName val="Sonoran_(2)1"/>
      <sheetName val="MThurman_(2)1"/>
      <sheetName val="BThurman_(2)1"/>
      <sheetName val="DSA_(2)1"/>
      <sheetName val="Coastal_(2)1"/>
      <sheetName val="ePSM_BOB_Data_Page1"/>
      <sheetName val="Rx_Key_Stat_by_Generic_page1"/>
      <sheetName val="ePSM_Header_Data_Page1"/>
      <sheetName val="Data_Availability_page1"/>
      <sheetName val="HPD_page1"/>
      <sheetName val="Med_Cat_-_Curr_page1"/>
      <sheetName val="ePSM_Medical_Data_Page1"/>
      <sheetName val="ePSM_Fund_Code1"/>
      <sheetName val="TBAL9697_-group_wise__sdpl1"/>
      <sheetName val="[POWER5_XLA]__soferadvisors_m_1"/>
      <sheetName val="[POWER5_XLA]__soferadvisors_m10"/>
      <sheetName val="[POWER5_XLA]__soferadvisors_m11"/>
      <sheetName val="[POWER5_XLA]__soferadvisors_m12"/>
      <sheetName val="[POWER5_XLA]__soferadvisors_m13"/>
      <sheetName val="[POWER5_XLA]__soferadvisors_m14"/>
      <sheetName val="[POWER5_XLA]__soferadvisors_m15"/>
      <sheetName val="[POWER5_XLA]__soferadvisors_m16"/>
      <sheetName val="Ret_MSC_StaffDemand1"/>
      <sheetName val="Control_-_S&amp;U1"/>
      <sheetName val="Income_Statement_Summary1"/>
      <sheetName val="BS_Summary1"/>
      <sheetName val="Cash_Flow_Summary1"/>
      <sheetName val="1_-_2018-2019_Rev1"/>
      <sheetName val="2_-_2018-2019_Rev_Fcst_Detail1"/>
      <sheetName val="3_-_Cash_Flow_(New_Format)1"/>
      <sheetName val="4_-_2018-2019_Gen_&amp;_Admin1"/>
      <sheetName val="3_-_2018-2019_Cash_Flow1"/>
      <sheetName val="5_-_2018-2019_Bal_Sheet1"/>
      <sheetName val="6_-_2018-2019_Inc_Stmt1"/>
      <sheetName val="7_-_Purchasing1"/>
      <sheetName val="[POWER5_XLA]__qmaxsolutions1212"/>
      <sheetName val="[POWER5_XLA]__qmaxsolutions1213"/>
      <sheetName val="[POWER5_XLA]__qmaxsolutions1214"/>
      <sheetName val="Détail_mensuel1"/>
      <sheetName val="[POWER5_XLA]__qmaxsolutions1215"/>
      <sheetName val="[POWER5_XLA]__qmaxsolutions1216"/>
      <sheetName val="[POWER5_XLA]__qmaxsolutions1217"/>
      <sheetName val="[POWER5_XLA]__qmaxsolutions1218"/>
      <sheetName val="[POWER5_XLA]__qmaxsolutions1219"/>
      <sheetName val="[POWER5_XLA]__qmaxsolutions1220"/>
      <sheetName val="[POWER5_XLA]__qmaxsolutions1221"/>
      <sheetName val="[POWER5_XLA]__qmaxsolutions1222"/>
      <sheetName val="[POWER5_XLA]__qmaxsolutions1223"/>
      <sheetName val="[POWER5_XLA]__qmaxsolutions1224"/>
      <sheetName val="[POWER5_XLA]__qmaxsolutions1225"/>
      <sheetName val="[POWER5_XLA]__qmaxsolutions1226"/>
      <sheetName val="[POWER5_XLA]__qmaxsolutions1227"/>
      <sheetName val="WEST_REGION_-_651"/>
      <sheetName val="Global_Controls1"/>
      <sheetName val="Functional_Currency_Code1"/>
      <sheetName val="[POWER5_XLA]__qmaxsolutions1228"/>
      <sheetName val="[POWER5_XLA]__qmaxsolutions1229"/>
      <sheetName val="[POWER5_XLA]__qmaxsolutions1230"/>
      <sheetName val="[POWER5_XLA]__qmaxsolutions1231"/>
      <sheetName val="[POWER5_XLA]__qmaxsolutions1232"/>
      <sheetName val="[POWER5_XLA]__qmaxsolutions1233"/>
      <sheetName val="[POWER5_XLA]__qmaxsolutions1234"/>
      <sheetName val="[POWER5_XLA]__qmaxsolutions1235"/>
      <sheetName val="[POWER5_XLA]__d_docs_live_ne_60"/>
      <sheetName val="[POWER5_XLA]__d_docs_live_ne_61"/>
      <sheetName val="[POWER5_XLA]__d_docs_live_ne_62"/>
      <sheetName val="[POWER5_XLA]__d_docs_live_ne_63"/>
      <sheetName val="[POWER5_XLA]__d_docs_live_ne_64"/>
      <sheetName val="[POWER5_XLA]__d_docs_live_ne_65"/>
      <sheetName val="[POWER5_XLA]__d_docs_live_ne_66"/>
      <sheetName val="[POWER5_XLA]__d_docs_live_ne_67"/>
      <sheetName val="[POWER5_XLA]__d_docs_live_ne_68"/>
      <sheetName val="[POWER5_XLA]__d_docs_live_ne_69"/>
      <sheetName val="[POWER5_XLA]__d_docs_live_ne_70"/>
      <sheetName val="[POWER5_XLA]__d_docs_live_ne_71"/>
      <sheetName val="[POWER5_XLA]__d_docs_live_ne_72"/>
      <sheetName val="[POWER5_XLA]__d_docs_live_ne_73"/>
      <sheetName val="[POWER5_XLA]__d_docs_live_ne_74"/>
      <sheetName val="[POWER5_XLA]__d_docs_live_ne_75"/>
      <sheetName val="[POWER5_XLA]__d_docs_live_ne_76"/>
      <sheetName val="[POWER5_XLA]__d_docs_live_ne_77"/>
      <sheetName val="[POWER5_XLA]__d_docs_live_ne_78"/>
      <sheetName val="[POWER5_XLA]__d_docs_live_ne_79"/>
      <sheetName val="[POWER5_XLA]__d_docs_live_ne_80"/>
      <sheetName val="[POWER5_XLA]__d_docs_live_ne_81"/>
      <sheetName val="[POWER5_XLA]__d_docs_live_ne_82"/>
      <sheetName val="[POWER5_XLA]__d_docs_live_ne_83"/>
      <sheetName val="[POWER5_XLA]__d_docs_live_ne_84"/>
      <sheetName val="[POWER5_XLA]__d_docs_live_ne_85"/>
      <sheetName val="[POWER5_XLA]__d_docs_live_ne_86"/>
      <sheetName val="[POWER5_XLA]__d_docs_live_ne_87"/>
      <sheetName val="[POWER5_XLA]__d_docs_live_ne_88"/>
      <sheetName val="[POWER5_XLA]__d_docs_live_ne_89"/>
      <sheetName val="[POWER5_XLA]__d_docs_live_ne_90"/>
      <sheetName val="[POWER5_XLA]__d_docs_live_ne_91"/>
      <sheetName val="[POWER5_XLA]__d_docs_live_ne_92"/>
      <sheetName val="[POWER5_XLA]__d_docs_live_ne_93"/>
      <sheetName val="[POWER5_XLA]__d_docs_live_ne_94"/>
      <sheetName val="[POWER5_XLA]__d_docs_live_ne_95"/>
      <sheetName val="[POWER5_XLA]__d_docs_live_ne_96"/>
      <sheetName val="[POWER5_XLA]__d_docs_live_ne_97"/>
      <sheetName val="[POWER5_XLA]__d_docs_live_ne_98"/>
      <sheetName val="[POWER5_XLA]__d_docs_live_ne_99"/>
      <sheetName val="[POWER5_XLA]__d_docs_live_ne100"/>
      <sheetName val="[POWER5_XLA]__d_docs_live_ne101"/>
      <sheetName val="[POWER5_XLA]__d_docs_live_ne102"/>
      <sheetName val="[POWER5_XLA]__d_docs_live_ne103"/>
      <sheetName val="[POWER5_XLA]__d_docs_live_ne104"/>
      <sheetName val="[POWER5_XLA]__d_docs_live_ne105"/>
      <sheetName val="[POWER5_XLA]__d_docs_live_ne106"/>
      <sheetName val="[POWER5_XLA]__d_docs_live_ne107"/>
      <sheetName val="[POWER5_XLA]__d_docs_live_ne108"/>
      <sheetName val="[POWER5_XLA]__d_docs_live_ne109"/>
      <sheetName val="[POWER5_XLA]__qmaxsolutions1236"/>
      <sheetName val="[POWER5_XLA]__qmaxsolutions1237"/>
      <sheetName val="[POWER5_XLA]__qmaxsolutions1238"/>
      <sheetName val="[POWER5_XLA]__qmaxsolutions1239"/>
      <sheetName val="[POWER5_XLA]__qmaxsolutions1240"/>
      <sheetName val="[POWER5_XLA]__qmaxsolutions1241"/>
      <sheetName val="[POWER5_XLA]__qmaxsolutions1242"/>
      <sheetName val="[POWER5_XLA]__qmaxsolutions1243"/>
      <sheetName val="[POWER5_XLA]__qmaxsolutions1244"/>
      <sheetName val="[POWER5_XLA]__qmaxsolutions1245"/>
      <sheetName val="[POWER5_XLA]__qmaxsolutions1246"/>
      <sheetName val="[POWER5_XLA]__qmaxsolutions1247"/>
      <sheetName val="[POWER5_XLA]__qmaxsolutions1248"/>
      <sheetName val="[POWER5_XLA]__qmaxsolutions1249"/>
      <sheetName val="Exch_rates1"/>
      <sheetName val="Customer_Complaints1"/>
      <sheetName val="[POWER5_XLA]__soferadvisors__28"/>
      <sheetName val="[POWER5_XLA]__soferadvisors__29"/>
      <sheetName val="[POWER5_XLA]__soferadvisors__30"/>
      <sheetName val="[POWER5_XLA]__soferadvisors__31"/>
      <sheetName val="Rev__by_Product1"/>
      <sheetName val="RANKING_XLS1"/>
      <sheetName val="Group_NWC_monthly1"/>
      <sheetName val="Lead_CF1"/>
      <sheetName val="[POWER5_XLA]__qmaxsolutions1250"/>
      <sheetName val="[POWER5_XLA]__qmaxsolutions1251"/>
      <sheetName val="[POWER5_XLA]__qmaxsolutions1252"/>
      <sheetName val="[POWER5_XLA]__qmaxsolutions1253"/>
      <sheetName val="[POWER5_XLA]__qmaxsolutions1254"/>
      <sheetName val="[POWER5_XLA]__qmaxsolutions1255"/>
      <sheetName val="[POWER5_XLA]__qmaxsolutions1256"/>
      <sheetName val="Cash_Flow1"/>
      <sheetName val="[POWER5_XLA]__qmaxsolutions1257"/>
      <sheetName val="[POWER5_XLA]__qmaxsolutions1258"/>
      <sheetName val="[POWER5_XLA]__qmaxsolutions1259"/>
      <sheetName val="[POWER5_XLA]__qmaxsolutions1260"/>
      <sheetName val="[POWER5_XLA]__qmaxsolutions1261"/>
      <sheetName val="[POWER5_XLA]__qmaxsolutions1262"/>
      <sheetName val="[POWER5_XLA]__qmaxsolutions1263"/>
      <sheetName val="[POWER5_XLA]__qmaxsolutions1264"/>
      <sheetName val="[POWER5_XLA]__qmaxsolutions1265"/>
      <sheetName val="[POWER5_XLA]__qmaxsolutions1266"/>
      <sheetName val="[POWER5_XLA]__qmaxsolutions1267"/>
      <sheetName val="[POWER5_XLA]__qmaxsolutions1268"/>
      <sheetName val="[POWER5_XLA]__qmaxsolutions1269"/>
      <sheetName val="[POWER5_XLA]__qmaxsolutions1270"/>
      <sheetName val="[POWER5_XLA]__qmaxsolutions1271"/>
      <sheetName val="[POWER5_XLA]__qmaxsolutions1272"/>
      <sheetName val="[POWER5_XLA]__qmaxsolutions1273"/>
      <sheetName val="LBO_Analysis1"/>
      <sheetName val="[POWER5_XLA]__qmaxsolutions1274"/>
      <sheetName val="[POWER5_XLA]__qmaxsolutions1275"/>
      <sheetName val="[POWER5_XLA]__qmaxsolutions1276"/>
      <sheetName val="[POWER5_XLA]__qmaxsolutions1277"/>
      <sheetName val="[POWER5_XLA]__qmaxsolutions1278"/>
      <sheetName val="[POWER5_XLA]__qmaxsolutions1279"/>
      <sheetName val="[POWER5_XLA]__qmaxsolutions1280"/>
      <sheetName val="[POWER5_XLA]__qmaxsolutions1281"/>
      <sheetName val="[POWER5_XLA]__qmaxsolutions1282"/>
      <sheetName val="[POWER5_XLA]__qmaxsolutions1283"/>
      <sheetName val="[POWER5_XLA]__qmaxsolutions1284"/>
      <sheetName val="[POWER5_XLA]__qmaxsolutions1285"/>
      <sheetName val="[POWER5_XLA]__qmaxsolutions1286"/>
      <sheetName val="[POWER5_XLA]__qmaxsolutions1287"/>
      <sheetName val="[POWER5_XLA]__qmaxsolutions1288"/>
      <sheetName val="[POWER5_XLA]__qmaxsolutions1289"/>
      <sheetName val="[POWER5_XLA]__qmaxsolutions1290"/>
      <sheetName val="[POWER5_XLA]__qmaxsolutions1291"/>
      <sheetName val="[POWER5_XLA]__qmaxsolutions1292"/>
      <sheetName val="[POWER5_XLA]__qmaxsolutions1293"/>
      <sheetName val="[POWER5_XLA]__qmaxsolutions1294"/>
      <sheetName val="Index_Chart1"/>
      <sheetName val="Active_EE's_(KS_27-02-22)1"/>
      <sheetName val="Cap_Table1"/>
      <sheetName val="[POWER5_XLA]__qmaxsolutions1295"/>
      <sheetName val="[POWER5_XLA]__qmaxsolutions1296"/>
      <sheetName val="[POWER5_XLA]__qmaxsolutions1297"/>
      <sheetName val="[POWER5_XLA]__qmaxsolutions1298"/>
      <sheetName val="[POWER5_XLA]__qmaxsolutions1299"/>
      <sheetName val="[POWER5_XLA]__qmaxsolutions1300"/>
      <sheetName val="[POWER5_XLA]__na1_salesforce_44"/>
      <sheetName val="[POWER5_XLA][POWER5_XLA]__qma22"/>
      <sheetName val="[POWER5_XLA][POWER5_XLA]_POW131"/>
      <sheetName val="[POWER5_XLA][POWER5_XLA]_POW132"/>
      <sheetName val="[POWER5_XLA][POWER5_XLA]_J_Ap22"/>
      <sheetName val="[POWER5_XLA]_Users_Dan_Librar19"/>
      <sheetName val="[POWER5_XLA]_Applications_Mi_48"/>
      <sheetName val="[POWER5_XLA]__sfdc_DFS_Applic18"/>
      <sheetName val="[POWER5_XLA]_J_Applications__30"/>
      <sheetName val="[POWER5_XLA]_Applications_Mi_49"/>
      <sheetName val="[POWER5_XLA]__aodocs_altirna_68"/>
      <sheetName val="[POWER5_XLA]__localhost_webd_49"/>
      <sheetName val="[POWER5_XLA]__localhost_webd_50"/>
      <sheetName val="[POWER5_XLA]__localhost_FY_2018"/>
      <sheetName val="[POWER5_XLA]__aodocs_altirna_69"/>
      <sheetName val="[POWER5_XLA]__localhost_webd_51"/>
      <sheetName val="[POWER5_XLA][POWER5_XLA]_Appl34"/>
      <sheetName val="[POWER5_XLA][POWER5_XLA]__na134"/>
      <sheetName val="[POWER5_XLA][POWER5_XLA]__sfd34"/>
      <sheetName val="[POWER5_XLA][POWER5_XLA]_POW133"/>
      <sheetName val="[POWER5_XLA][POWER5_XLA]_POW134"/>
      <sheetName val="[POWER5_XLA][POWER5_XLA]_POW135"/>
      <sheetName val="[POWER5_XLA]__na1_salesforce_45"/>
      <sheetName val="[POWER5_XLA]_J_Applications__31"/>
      <sheetName val="[POWER5_XLA][POWER5_XLA]__qma23"/>
      <sheetName val="[POWER5_XLA][POWER5_XLA]_POW136"/>
      <sheetName val="[POWER5_XLA][POWER5_XLA]_POW137"/>
      <sheetName val="[POWER5_XLA][POWER5_XLA]_J_Ap23"/>
      <sheetName val="[POWER5_XLA]_Applications_Mi_50"/>
      <sheetName val="[POWER5_XLA]__aodocs_altirna_70"/>
      <sheetName val="[POWER5_XLA]__aodocs_altirna_71"/>
      <sheetName val="[POWER5_XLA][POWER5_XLA]_POW138"/>
      <sheetName val="[POWER5_XLA][POWER5_XLA]_Appl35"/>
      <sheetName val="[POWER5_XLA][POWER5_XLA]__na135"/>
      <sheetName val="[POWER5_XLA][POWER5_XLA]__sfd35"/>
      <sheetName val="[POWER5_XLA]_Users_SSimakova_12"/>
      <sheetName val="[POWER5_XLA]__na1_salesforce_46"/>
      <sheetName val="[POWER5_XLA][POWER5_XLA]_POW139"/>
      <sheetName val="[POWER5_XLA][POWER5_XLA]_POW140"/>
      <sheetName val="[POWER5_XLA]_Users_Dan_Libra_14"/>
      <sheetName val="[POWER5_XLA]__na1_salesforce_47"/>
      <sheetName val="[POWER5_XLA][POWER5_XLA]__qma24"/>
      <sheetName val="[POWER5_XLA][POWER5_XLA]_POW141"/>
      <sheetName val="[POWER5_XLA][POWER5_XLA]_POW142"/>
      <sheetName val="[POWER5_XLA][POWER5_XLA]_J_Ap24"/>
      <sheetName val="[POWER5_XLA]_Users_Dan_Libra_15"/>
      <sheetName val="[POWER5_XLA]_J_Applications__32"/>
      <sheetName val="[POWER5_XLA]__qmaxsolutions1301"/>
      <sheetName val="[POWER5_XLA]__qmaxsolutions1302"/>
      <sheetName val="[POWER5_XLA]__qmaxsolutions1303"/>
      <sheetName val="[POWER5_XLA]__qmaxsolutions1304"/>
      <sheetName val="[POWER5_XLA]__qmaxsolutions1305"/>
      <sheetName val="[POWER5_XLA]__qmaxsolutions1306"/>
      <sheetName val="[POWER5_XLA]__qmaxsolutions1307"/>
      <sheetName val="[POWER5_XLA]__qmaxsolutions1308"/>
      <sheetName val="[POWER5_XLA]__qmaxsolutions1309"/>
      <sheetName val="[POWER5_XLA]__qmaxsolutions1310"/>
      <sheetName val="[POWER5_XLA]__qmaxsolutions1311"/>
      <sheetName val="[POWER5_XLA]__qmaxsolutions1312"/>
      <sheetName val="[POWER5_XLA]__qmaxsolutions1313"/>
      <sheetName val="[POWER5_XLA]__qmaxsolutions1314"/>
      <sheetName val="[POWER5_XLA]__qmaxsolutions1315"/>
      <sheetName val="[POWER5_XLA]__qmaxsolutions1316"/>
      <sheetName val="[POWER5_XLA]__qmaxsolutions1317"/>
      <sheetName val="[POWER5_XLA]__qmaxsolutions1318"/>
      <sheetName val="[POWER5_XLA]__qmaxsolutions1319"/>
      <sheetName val="[POWER5_XLA]__qmaxsolutions1320"/>
      <sheetName val="[POWER5_XLA]__qmaxsolutions1321"/>
      <sheetName val="[POWER5_XLA]__qmaxsolutions1322"/>
      <sheetName val="[POWER5_XLA]__qmaxsolutions1323"/>
      <sheetName val="[POWER5_XLA]__qmaxsolutions1324"/>
      <sheetName val="[POWER5_XLA]__qmaxsolutions1325"/>
      <sheetName val="[POWER5_XLA]__qmaxsolutions1326"/>
      <sheetName val="[POWER5_XLA]__qmaxsolutions1327"/>
      <sheetName val="[POWER5_XLA]__qmaxsolutions1328"/>
      <sheetName val="[POWER5_XLA]__qmaxsolutions1329"/>
      <sheetName val="[POWER5_XLA]__qmaxsolutions1330"/>
      <sheetName val="[POWER5_XLA]__qmaxsolutions1331"/>
      <sheetName val="[POWER5_XLA]__qmaxsolutions1332"/>
      <sheetName val="[POWER5_XLA]__qmaxsolutions1333"/>
      <sheetName val="[POWER5_XLA]__qmaxsolutions1334"/>
      <sheetName val="[POWER5_XLA]__qmaxsolutions1335"/>
      <sheetName val="[POWER5_XLA]__qmaxsolutions1336"/>
      <sheetName val="[POWER5_XLA]__qmaxsolutions1337"/>
      <sheetName val="[POWER5_XLA]__qmaxsolutions1338"/>
      <sheetName val="[POWER5_XLA]__qmaxsolutions1339"/>
      <sheetName val="[POWER5_XLA]__qmaxsolutions1340"/>
      <sheetName val="[POWER5_XLA]__qmaxsolutions1341"/>
      <sheetName val="[POWER5_XLA]__qmaxsolutions1342"/>
      <sheetName val="[POWER5_XLA]__qmaxsolutions1343"/>
      <sheetName val="[POWER5_XLA]__qmaxsolutions1344"/>
      <sheetName val="[POWER5_XLA]__qmaxsolutions1345"/>
      <sheetName val="[POWER5_XLA]__qmaxsolutions1346"/>
      <sheetName val="[POWER5_XLA]__qmaxsolutions1347"/>
      <sheetName val="[POWER5_XLA]__qmaxsolutions1348"/>
      <sheetName val="[POWER5_XLA]__qmaxsolutions1349"/>
      <sheetName val="[POWER5_XLA]__qmaxsolutions1350"/>
      <sheetName val="[POWER5_XLA]__qmaxsolutions1351"/>
      <sheetName val="[POWER5_XLA]__qmaxsolutions1352"/>
      <sheetName val="[POWER5_XLA]__qmaxsolutions1353"/>
      <sheetName val="[POWER5_XLA]__qmaxsolutions1354"/>
      <sheetName val="[POWER5_XLA]__qmaxsolutions1355"/>
      <sheetName val="[POWER5_XLA]__qmaxsolutions1356"/>
      <sheetName val="8_125%_Fixed1"/>
      <sheetName val="Time_Deposits1"/>
      <sheetName val="First_Chester_Loans1"/>
      <sheetName val="UBA_Table1"/>
      <sheetName val="[POWER5_XLA]__soferadvisors__32"/>
      <sheetName val="[POWER5_XLA]__soferadvisors__33"/>
      <sheetName val="[POWER5_XLA]__soferadvisors__34"/>
      <sheetName val="[POWER5_XLA]__soferadvisors__35"/>
      <sheetName val="[POWER5_XLA]__soferadvisors__36"/>
      <sheetName val="[POWER5_XLA]__soferadvisors__37"/>
      <sheetName val="[POWER5_XLA]__soferadvisors__38"/>
      <sheetName val="[POWER5_XLA]__soferadvisors__39"/>
      <sheetName val="[POWER5_XLA]__soferadvisors__40"/>
      <sheetName val="[POWER5_XLA]__soferadvisors__41"/>
      <sheetName val="[POWER5_XLA]__soferadvisors__42"/>
      <sheetName val="[POWER5_XLA]__soferadvisors__43"/>
      <sheetName val="[POWER5_XLA]__soferadvisors__44"/>
      <sheetName val="[POWER5_XLA]__soferadvisors__45"/>
      <sheetName val="FY97_CAPITAL_BUDGET1"/>
      <sheetName val="ICC_FY971"/>
      <sheetName val="5_WIRE적용LIST1"/>
      <sheetName val="(JJ-2_2)_Deferred_taxes1"/>
      <sheetName val="[POWER5_XLA]__qmaxsolutions1357"/>
      <sheetName val="[POWER5_XLA]__qmaxsolutions1358"/>
      <sheetName val="[POWER5_XLA]__qmaxsolutions1359"/>
      <sheetName val="[POWER5_XLA]_Applications_Mi_51"/>
      <sheetName val="[POWER5_XLA]__na1_salesforce_48"/>
      <sheetName val="[POWER5_XLA]__sfdc_DFS_Appli_14"/>
      <sheetName val="[POWER5_XLA]_J_Applications__33"/>
      <sheetName val="[POWER5_XLA]_Applications_Mi_52"/>
      <sheetName val="[POWER5_XLA]__aodocs_altirna_72"/>
      <sheetName val="[POWER5_XLA]__localhost_webd_52"/>
      <sheetName val="[POWER5_XLA]__localhost_webd_53"/>
      <sheetName val="[POWER5_XLA]__localhost_FY_2_14"/>
      <sheetName val="[POWER5_XLA]__aodocs_altirna_73"/>
      <sheetName val="[POWER5_XLA]__localhost_webd_54"/>
      <sheetName val="[POWER5_XLA][POWER5_XLA]_App_18"/>
      <sheetName val="[POWER5_XLA][POWER5_XLA]__na_18"/>
      <sheetName val="[POWER5_XLA][POWER5_XLA]__sf_18"/>
      <sheetName val="[POWER5_XLA][POWER5_XLA]_POW143"/>
      <sheetName val="[POWER5_XLA][POWER5_XLA]_POW144"/>
      <sheetName val="[POWER5_XLA][POWER5_XLA]_POW145"/>
      <sheetName val="[POWER5_XLA]__na1_salesforce_49"/>
      <sheetName val="[POWER5_XLA]_J_Applications__34"/>
      <sheetName val="[POWER5_XLA][POWER5_XLA]__qm_14"/>
      <sheetName val="[POWER5_XLA][POWER5_XLA]_POW146"/>
      <sheetName val="[POWER5_XLA][POWER5_XLA]_POW147"/>
      <sheetName val="[POWER5_XLA][POWER5_XLA]_J_A_14"/>
      <sheetName val="[POWER5_XLA]_Users_Dan_Libra_16"/>
      <sheetName val="[POWER5_XLA]_Applications_Mi_53"/>
      <sheetName val="[POWER5_XLA]__aodocs_altirna_74"/>
      <sheetName val="[POWER5_XLA]__aodocs_altirna_75"/>
      <sheetName val="[POWER5_XLA][POWER5_XLA]_POW148"/>
      <sheetName val="[POWER5_XLA][POWER5_XLA]_POW149"/>
      <sheetName val="[POWER5_XLA][POWER5_XLA]_POW150"/>
      <sheetName val="[POWER5_XLA][POWER5_XLA]_App_19"/>
      <sheetName val="[POWER5_XLA][POWER5_XLA]__na_19"/>
      <sheetName val="[POWER5_XLA][POWER5_XLA]__sf_19"/>
      <sheetName val="[POWER5_XLA]_Applications_Mi_54"/>
      <sheetName val="[POWER5_XLA]__sfdc_DFS_Applic19"/>
      <sheetName val="[POWER5_XLA]_Applications_Mi_55"/>
      <sheetName val="[POWER5_XLA]__aodocs_altirna_76"/>
      <sheetName val="[POWER5_XLA]__localhost_webd_55"/>
      <sheetName val="[POWER5_XLA]__localhost_webd_56"/>
      <sheetName val="[POWER5_XLA]__localhost_FY_2019"/>
      <sheetName val="[POWER5_XLA]__aodocs_altirna_77"/>
      <sheetName val="[POWER5_XLA]__localhost_webd_57"/>
      <sheetName val="[POWER5_XLA][POWER5_XLA]_Appl36"/>
      <sheetName val="[POWER5_XLA][POWER5_XLA]__na136"/>
      <sheetName val="[POWER5_XLA][POWER5_XLA]__sfd36"/>
      <sheetName val="[POWER5_XLA][POWER5_XLA]_POW151"/>
      <sheetName val="[POWER5_XLA][POWER5_XLA]_POW152"/>
      <sheetName val="[POWER5_XLA][POWER5_XLA]_POW153"/>
      <sheetName val="[POWER5_XLA]_J_Applications__35"/>
      <sheetName val="[POWER5_XLA][POWER5_XLA]__qma25"/>
      <sheetName val="[POWER5_XLA][POWER5_XLA]_POW154"/>
      <sheetName val="[POWER5_XLA][POWER5_XLA]_POW155"/>
      <sheetName val="[POWER5_XLA][POWER5_XLA]_J_Ap25"/>
      <sheetName val="[POWER5_XLA]_Applications_Mi_56"/>
      <sheetName val="[POWER5_XLA]__aodocs_altirna_78"/>
      <sheetName val="[POWER5_XLA]__aodocs_altirna_79"/>
      <sheetName val="[POWER5_XLA][POWER5_XLA]_Appl37"/>
      <sheetName val="[POWER5_XLA][POWER5_XLA]__na137"/>
      <sheetName val="[POWER5_XLA][POWER5_XLA]__sfd37"/>
      <sheetName val="[POWER5_XLA]_Applications_Mi_57"/>
      <sheetName val="[POWER5_XLA]__sfdc_DFS_Appli_15"/>
      <sheetName val="[POWER5_XLA]_J_Applications__36"/>
      <sheetName val="[POWER5_XLA]_Applications_Mi_58"/>
      <sheetName val="[POWER5_XLA]__aodocs_altirna_80"/>
      <sheetName val="[POWER5_XLA]__localhost_webd_58"/>
      <sheetName val="[POWER5_XLA]__localhost_webd_59"/>
      <sheetName val="[POWER5_XLA]__localhost_FY_2_15"/>
      <sheetName val="[POWER5_XLA]__aodocs_altirna_81"/>
      <sheetName val="[POWER5_XLA]__localhost_webd_60"/>
      <sheetName val="[POWER5_XLA][POWER5_XLA]_App_20"/>
      <sheetName val="[POWER5_XLA][POWER5_XLA]__na_20"/>
      <sheetName val="[POWER5_XLA][POWER5_XLA]__sf_20"/>
      <sheetName val="[POWER5_XLA][POWER5_XLA]_POW156"/>
      <sheetName val="[POWER5_XLA][POWER5_XLA]_POW157"/>
      <sheetName val="[POWER5_XLA][POWER5_XLA]_POW158"/>
      <sheetName val="[POWER5_XLA]__na1_salesforce_50"/>
      <sheetName val="[POWER5_XLA]_J_Applications__37"/>
      <sheetName val="[POWER5_XLA][POWER5_XLA]__qm_15"/>
      <sheetName val="[POWER5_XLA][POWER5_XLA]_POW159"/>
      <sheetName val="[POWER5_XLA][POWER5_XLA]_POW160"/>
      <sheetName val="[POWER5_XLA][POWER5_XLA]_J_A_15"/>
      <sheetName val="[POWER5_XLA]_Applications_Mi_59"/>
      <sheetName val="[POWER5_XLA]__aodocs_altirna_82"/>
      <sheetName val="[POWER5_XLA]__aodocs_altirna_83"/>
      <sheetName val="[POWER5_XLA][POWER5_XLA]_App_21"/>
      <sheetName val="[POWER5_XLA][POWER5_XLA]__na_21"/>
      <sheetName val="[POWER5_XLA][POWER5_XLA]__sf_21"/>
      <sheetName val="[POWER5_XLA]_Applications_Mi_60"/>
      <sheetName val="[POWER5_XLA]__na1_salesforce_51"/>
      <sheetName val="[POWER5_XLA]__sfdc_DFS_Appli_16"/>
      <sheetName val="[POWER5_XLA]_J_Applications__38"/>
      <sheetName val="[POWER5_XLA]_Applications_Mi_61"/>
      <sheetName val="[POWER5_XLA]__aodocs_altirna_84"/>
      <sheetName val="[POWER5_XLA]__localhost_webd_61"/>
      <sheetName val="[POWER5_XLA]__localhost_webd_62"/>
      <sheetName val="[POWER5_XLA]__localhost_FY_2_16"/>
      <sheetName val="[POWER5_XLA]__aodocs_altirna_85"/>
      <sheetName val="[POWER5_XLA]__localhost_webd_63"/>
      <sheetName val="[POWER5_XLA][POWER5_XLA]_App_22"/>
      <sheetName val="[POWER5_XLA][POWER5_XLA]__na_22"/>
      <sheetName val="[POWER5_XLA][POWER5_XLA]__sf_22"/>
      <sheetName val="[POWER5_XLA][POWER5_XLA]_POW161"/>
      <sheetName val="[POWER5_XLA][POWER5_XLA]_POW162"/>
      <sheetName val="[POWER5_XLA][POWER5_XLA]_POW163"/>
      <sheetName val="[POWER5_XLA]__na1_salesforce_52"/>
      <sheetName val="[POWER5_XLA]_J_Applications__39"/>
      <sheetName val="[POWER5_XLA][POWER5_XLA]__qm_16"/>
      <sheetName val="[POWER5_XLA][POWER5_XLA]_POW164"/>
      <sheetName val="[POWER5_XLA][POWER5_XLA]_POW165"/>
      <sheetName val="[POWER5_XLA][POWER5_XLA]_J_A_16"/>
      <sheetName val="[POWER5_XLA]_Applications_Mi_62"/>
      <sheetName val="[POWER5_XLA]__aodocs_altirna_86"/>
      <sheetName val="[POWER5_XLA]__aodocs_altirna_87"/>
      <sheetName val="[POWER5_XLA][POWER5_XLA]_POW166"/>
      <sheetName val="[POWER5_XLA][POWER5_XLA]_POW167"/>
      <sheetName val="[POWER5_XLA][POWER5_XLA]_POW168"/>
      <sheetName val="[POWER5_XLA][POWER5_XLA]_App_23"/>
      <sheetName val="[POWER5_XLA][POWER5_XLA]__na_23"/>
      <sheetName val="[POWER5_XLA][POWER5_XLA]__sf_23"/>
      <sheetName val="[POWER5_XLA]_Applications_Mi_63"/>
      <sheetName val="[POWER5_XLA]__na1_salesforce_53"/>
      <sheetName val="[POWER5_XLA]__sfdc_DFS_Appli_17"/>
      <sheetName val="[POWER5_XLA]_J_Applications__40"/>
      <sheetName val="[POWER5_XLA]_Applications_Mi_64"/>
      <sheetName val="[POWER5_XLA]__aodocs_altirna_88"/>
      <sheetName val="[POWER5_XLA]__localhost_webd_64"/>
      <sheetName val="[POWER5_XLA]__localhost_webd_65"/>
      <sheetName val="[POWER5_XLA]__localhost_FY_2_17"/>
      <sheetName val="[POWER5_XLA]__aodocs_altirna_89"/>
      <sheetName val="[POWER5_XLA]__localhost_webd_66"/>
      <sheetName val="[POWER5_XLA][POWER5_XLA]_App_24"/>
      <sheetName val="[POWER5_XLA][POWER5_XLA]__na_24"/>
      <sheetName val="[POWER5_XLA][POWER5_XLA]__sf_24"/>
      <sheetName val="[POWER5_XLA][POWER5_XLA]_POW169"/>
      <sheetName val="[POWER5_XLA][POWER5_XLA]_POW170"/>
      <sheetName val="[POWER5_XLA][POWER5_XLA]_POW171"/>
      <sheetName val="[POWER5_XLA]__na1_salesforce_54"/>
      <sheetName val="[POWER5_XLA]_J_Applications__41"/>
      <sheetName val="[POWER5_XLA][POWER5_XLA]__qm_17"/>
      <sheetName val="[POWER5_XLA][POWER5_XLA]_POW172"/>
      <sheetName val="[POWER5_XLA][POWER5_XLA]_POW173"/>
      <sheetName val="[POWER5_XLA][POWER5_XLA]_J_A_17"/>
      <sheetName val="[POWER5_XLA]_Users_Dan_Libra_17"/>
      <sheetName val="[POWER5_XLA]_Applications_Mi_65"/>
      <sheetName val="[POWER5_XLA]__aodocs_altirna_90"/>
      <sheetName val="[POWER5_XLA]__aodocs_altirna_91"/>
      <sheetName val="[POWER5_XLA][POWER5_XLA]_POW174"/>
      <sheetName val="[POWER5_XLA][POWER5_XLA]_POW175"/>
      <sheetName val="[POWER5_XLA][POWER5_XLA]_POW176"/>
      <sheetName val="[POWER5_XLA][POWER5_XLA]_App_25"/>
      <sheetName val="[POWER5_XLA][POWER5_XLA]__na_25"/>
      <sheetName val="[POWER5_XLA][POWER5_XLA]__sf_25"/>
      <sheetName val="[POWER5_XLA]__qmaxsolutions1360"/>
      <sheetName val="[POWER5_XLA]__qmaxsolutions1361"/>
      <sheetName val="[POWER5_XLA]__qmaxsolutions1362"/>
      <sheetName val="[POWER5_XLA]__qmaxsolutions1363"/>
      <sheetName val="[POWER5_XLA]__qmaxsolutions1364"/>
      <sheetName val="[POWER5_XLA]__qmaxsolutions1365"/>
      <sheetName val="[POWER5_XLA]__qmaxsolutions1366"/>
      <sheetName val="[POWER5_XLA]__qmaxsolutions1367"/>
      <sheetName val="[POWER5_XLA]__qmaxsolutions1368"/>
      <sheetName val="[POWER5_XLA]__qmaxsolutions1369"/>
      <sheetName val="[POWER5_XLA]__qmaxsolutions1370"/>
      <sheetName val="[POWER5_XLA]__qmaxsolutions1371"/>
      <sheetName val="#Partner_Level_Footnotes#"/>
      <sheetName val="[POWER5_XLA]__d_docs_live_ne110"/>
      <sheetName val="[POWER5_XLA]__d_docs_live_ne111"/>
      <sheetName val="[POWER5_XLA]__d_docs_live_ne112"/>
      <sheetName val="[POWER5_XLA]__d_docs_live_ne113"/>
      <sheetName val="[POWER5_XLA]__d_docs_live_ne114"/>
      <sheetName val="[POWER5_XLA]__d_docs_live_ne115"/>
      <sheetName val="[POWER5_XLA]__d_docs_live_ne116"/>
      <sheetName val="[POWER5_XLA]__d_docs_live_ne117"/>
      <sheetName val="[POWER5_XLA]__d_docs_live_ne118"/>
      <sheetName val="[POWER5_XLA]__d_docs_live_ne119"/>
      <sheetName val="[POWER5_XLA]__d_docs_live_ne120"/>
      <sheetName val="[POWER5_XLA]__d_docs_live_ne121"/>
      <sheetName val="[POWER5_XLA]__d_docs_live_ne122"/>
      <sheetName val="[POWER5_XLA]__d_docs_live_ne123"/>
      <sheetName val="[POWER5_XLA]__d_docs_live_ne124"/>
      <sheetName val="[POWER5_XLA]__d_docs_live_ne125"/>
      <sheetName val="[POWER5_XLA]__d_docs_live_ne126"/>
      <sheetName val="[POWER5_XLA]__d_docs_live_ne127"/>
      <sheetName val="[POWER5_XLA]__d_docs_live_ne128"/>
      <sheetName val="[POWER5_XLA]__d_docs_live_ne129"/>
      <sheetName val="[POWER5_XLA]__d_docs_live_ne130"/>
      <sheetName val="[POWER5_XLA]__d_docs_live_ne131"/>
      <sheetName val="[POWER5_XLA]__d_docs_live_ne132"/>
      <sheetName val="[POWER5_XLA]__d_docs_live_ne133"/>
      <sheetName val="[POWER5_XLA]__d_docs_live_ne134"/>
      <sheetName val="[POWER5_XLA]__d_docs_live_ne135"/>
      <sheetName val="[POWER5_XLA]__d_docs_live_ne136"/>
      <sheetName val="[POWER5_XLA]__d_docs_live_ne137"/>
      <sheetName val="[POWER5_XLA]__d_docs_live_ne138"/>
      <sheetName val="[POWER5_XLA]__d_docs_live_ne139"/>
      <sheetName val="[POWER5_XLA]__d_docs_live_ne140"/>
      <sheetName val="[POWER5_XLA]__d_docs_live_ne141"/>
      <sheetName val="[POWER5_XLA]__d_docs_live_ne142"/>
      <sheetName val="[POWER5_XLA]__d_docs_live_ne143"/>
      <sheetName val="[POWER5_XLA]__d_docs_live_ne144"/>
      <sheetName val="[POWER5_XLA]__d_docs_live_ne145"/>
      <sheetName val="[POWER5_XLA]__d_docs_live_ne146"/>
      <sheetName val="[POWER5_XLA]__qmaxsolutions1372"/>
      <sheetName val="Bloomberg_Market_Data"/>
      <sheetName val="[POWER5_XLA]__qmaxsolutions1373"/>
      <sheetName val="[POWER5_XLA]__soferadvisors__51"/>
      <sheetName val="[POWER5_XLA]__soferadvisors__46"/>
      <sheetName val="[POWER5_XLA]__soferadvisors__47"/>
      <sheetName val="[POWER5_XLA]__soferadvisors__48"/>
      <sheetName val="[POWER5_XLA]__soferadvisors__49"/>
      <sheetName val="[POWER5_XLA]__soferadvisors__50"/>
      <sheetName val="[POWER5_XLA]__soferadvisors__52"/>
      <sheetName val="[POWER5_XLA]__soferadvisors__53"/>
      <sheetName val="[POWER5_XLA]__soferadvisors__54"/>
      <sheetName val="[POWER5_XLA]__soferadvisors__55"/>
      <sheetName val="[POWER5_XLA]__soferadvisors__56"/>
      <sheetName val="[POWER5_XLA]__soferadvisors__57"/>
      <sheetName val="deal_summary"/>
      <sheetName val="[POWER5_XLA]__soferadvisors__58"/>
      <sheetName val="[POWER5_XLA]__soferadvisors__59"/>
      <sheetName val="[POWER5_XLA]__soferadvisors__60"/>
      <sheetName val="[POWER5_XLA]__soferadvisors__61"/>
      <sheetName val="[POWER5_XLA]__soferadvisors__62"/>
      <sheetName val="[POWER5_XLA]__soferadvisors__63"/>
      <sheetName val="[POWER5_XLA]__soferadvisors__64"/>
      <sheetName val="[POWER5_XLA]__soferadvisors__65"/>
      <sheetName val="[POWER5_XLA]__soferadvisors__66"/>
      <sheetName val="[POWER5_XLA]__soferadvisors__67"/>
      <sheetName val="[POWER5_XLA]__soferadvisors__68"/>
      <sheetName val="[POWER5_XLA]__soferadvisors__69"/>
      <sheetName val="[POWER5_XLA]__soferadvisors__70"/>
      <sheetName val="[POWER5_XLA]__soferadvisors__71"/>
      <sheetName val="[POWER5_XLA]__soferadvisors__72"/>
      <sheetName val="[POWER5_XLA]__soferadvisors__73"/>
      <sheetName val="[POWER5_XLA]__soferadvisors__74"/>
      <sheetName val="[POWER5_XLA]__soferadvisors__75"/>
      <sheetName val="[POWER5_XLA]__soferadvisors__76"/>
      <sheetName val="[POWER5_XLA]__soferadvisors__77"/>
      <sheetName val="[POWER5_XLA]__soferadvisors__78"/>
      <sheetName val="[POWER5_XLA]__soferadvisors__79"/>
      <sheetName val="[POWER5_XLA]__soferadvisors__80"/>
      <sheetName val="[POWER5_XLA]__soferadvisors__81"/>
      <sheetName val="[POWER5_XLA]__soferadvisors__82"/>
      <sheetName val="[POWER5_XLA]__qmaxsolutions1374"/>
      <sheetName val="[POWER5_XLA]__qmaxsolutions1375"/>
      <sheetName val="[POWER5_XLA]__qmaxsolutions1376"/>
      <sheetName val="[POWER5_XLA]__qmaxsolutions1377"/>
      <sheetName val="[POWER5_XLA]__qmaxsolutions1378"/>
      <sheetName val="[POWER5_XLA]__qmaxsolutions1379"/>
      <sheetName val="[POWER5_XLA]__qmaxsolutions1380"/>
      <sheetName val="[POWER5_XLA]__qmaxsolutions1381"/>
      <sheetName val="[POWER5_XLA]__qmaxsolutions1382"/>
      <sheetName val="[POWER5_XLA]__qmaxsolutions1383"/>
      <sheetName val="[POWER5_XLA]__qmaxsolutions1384"/>
      <sheetName val="[POWER5_XLA]__qmaxsolutions1385"/>
      <sheetName val="[POWER5_XLA]__qmaxsolutions1386"/>
      <sheetName val="[POWER5_XLA]__qmaxsolutions1387"/>
      <sheetName val="[POWER5_XLA]__qmaxsolutions1388"/>
      <sheetName val="[POWER5_XLA]__qmaxsolutions1389"/>
      <sheetName val="[POWER5_XLA]__qmaxsolutions1390"/>
      <sheetName val="[POWER5_XLA]__qmaxsolutions1391"/>
      <sheetName val="[POWER5_XLA]__qmaxsolutions1392"/>
      <sheetName val="[POWER5_XLA]__qmaxsolutions1393"/>
      <sheetName val="[POWER5_XLA]__qmaxsolutions1394"/>
      <sheetName val="[POWER5_XLA]__qmaxsolutions1395"/>
      <sheetName val="[POWER5_XLA]__qmaxsolutions1396"/>
      <sheetName val="[POWER5_XLA]__qmaxsolutions1397"/>
      <sheetName val="[POWER5_XLA]__qmaxsolutions1398"/>
      <sheetName val="[POWER5_XLA]__qmaxsolutions1399"/>
      <sheetName val="[POWER5_XLA]__qmaxsolutions1400"/>
      <sheetName val="[POWER5_XLA]__qmaxsolutions1401"/>
      <sheetName val="[POWER5_XLA]__qmaxsolutions1402"/>
      <sheetName val="[POWER5_XLA]__qmaxsolutions1403"/>
      <sheetName val="[POWER5_XLA]__qmaxsolutions1404"/>
      <sheetName val="[POWER5_XLA]__qmaxsolutions1405"/>
      <sheetName val="[POWER5_XLA]__qmaxsolutions1406"/>
      <sheetName val="[POWER5_XLA]__soferadvisors__83"/>
      <sheetName val="[POWER5_XLA]__soferadvisors__84"/>
      <sheetName val="Deferred_taxes"/>
      <sheetName val="Projects_&amp;_Initiatives"/>
      <sheetName val="[POWER5_XLA]__qmaxsolutions1407"/>
      <sheetName val="[POWER5_XLA]__qmaxsolutions1408"/>
      <sheetName val="[POWER5_XLA]__qmaxsolutions1409"/>
      <sheetName val="[POWER5_XLA]__qmaxsolutions1410"/>
      <sheetName val="[POWER5_XLA]__qmaxsolutions1411"/>
      <sheetName val="[POWER5_XLA]__qmaxsolutions1412"/>
      <sheetName val="[POWER5_XLA]__qmaxsolutions1413"/>
      <sheetName val="[POWER5_XLA]__qmaxsolutions1414"/>
      <sheetName val="[POWER5_XLA]__qmaxsolutions1415"/>
      <sheetName val="[POWER5_XLA]__qmaxsolutions1416"/>
      <sheetName val="[POWER5_XLA]__qmaxsolutions1417"/>
      <sheetName val="[POWER5_XLA]__qmaxsolutions1418"/>
      <sheetName val="[POWER5_XLA]__qmaxsolutions1419"/>
      <sheetName val="[POWER5_XLA]__qmaxsolutions1420"/>
      <sheetName val="[POWER5_XLA]__qmaxsolutions1421"/>
      <sheetName val="[POWER5_XLA]__qmaxsolutions1422"/>
      <sheetName val="[POWER5_XLA]__qmaxsolutions1423"/>
      <sheetName val="[POWER5_XLA]__qmaxsolutions1424"/>
      <sheetName val="[POWER5_XLA]__qmaxsolutions1425"/>
      <sheetName val="[POWER5_XLA]__qmaxsolutions1426"/>
      <sheetName val="[POWER5_XLA]__qmaxsolutions1427"/>
      <sheetName val="Income_Statement"/>
      <sheetName val="Operating_Cycle"/>
      <sheetName val="Rekap_Direct_Cost"/>
      <sheetName val="[POWER5_XLA]__soferadvisors__89"/>
      <sheetName val="[POWER5_XLA]__soferadvisors__85"/>
      <sheetName val="[POWER5_XLA]__soferadvisors__86"/>
      <sheetName val="[POWER5_XLA]__soferadvisors__87"/>
      <sheetName val="[POWER5_XLA]__soferadvisors__88"/>
      <sheetName val="[POWER5_XLA]__soferadvisors__90"/>
      <sheetName val="[POWER5_XLA]__soferadvisors__91"/>
      <sheetName val="[POWER5_XLA]__soferadvisors__92"/>
      <sheetName val="[POWER5_XLA]__soferadvisors__93"/>
      <sheetName val="[POWER5_XLA]__soferadvisors__94"/>
      <sheetName val="[POWER5_XLA]__soferadvisors__95"/>
      <sheetName val="[POWER5_XLA]__soferadvisors__96"/>
      <sheetName val="[POWER5_XLA]__soferadvisors__97"/>
      <sheetName val="[POWER5_XLA]__soferadvisors__98"/>
      <sheetName val="[POWER5_XLA]__soferadvisors__99"/>
      <sheetName val="[POWER5_XLA]__soferadvisors_100"/>
      <sheetName val="[POWER5_XLA]__soferadvisors_101"/>
      <sheetName val="[POWER5_XLA]__soferadvisors_102"/>
      <sheetName val="[POWER5_XLA]__soferadvisors_103"/>
      <sheetName val="[POWER5_XLA]__soferadvisors_104"/>
      <sheetName val="[POWER5_XLA]__soferadvisors_105"/>
      <sheetName val="[POWER5_XLA]__soferadvisors_106"/>
      <sheetName val="[POWER5_XLA]__soferadvisors_107"/>
      <sheetName val="[POWER5_XLA]__qmaxsolutions1428"/>
      <sheetName val="cost_centers"/>
      <sheetName val="[POWER5_XLA]__qmaxsolutions1429"/>
      <sheetName val="[POWER5_XLA]__qmaxsolutions1430"/>
      <sheetName val="[POWER5_XLA]__qmaxsolutions1431"/>
      <sheetName val="[POWER5_XLA]__qmaxsolutions1432"/>
      <sheetName val="[POWER5_XLA]__qmaxsolutions1433"/>
      <sheetName val="[POWER5_XLA]__qmaxsolutions1434"/>
      <sheetName val="[POWER5_XLA]__qmaxsolutions1435"/>
      <sheetName val="[POWER5_XLA]__qmaxsolutions1436"/>
      <sheetName val="[POWER5_XLA]__qmaxsolutions1437"/>
      <sheetName val="[POWER5_XLA]__qmaxsolutions1438"/>
      <sheetName val="[POWER5_XLA]__qmaxsolutions1439"/>
      <sheetName val="[POWER5_XLA]__qmaxsolutions1440"/>
      <sheetName val="[POWER5_XLA]__qmaxsolutions1441"/>
      <sheetName val="[POWER5_XLA]__qmaxsolutions1442"/>
      <sheetName val="[POWER5_XLA]__qmaxsolutions1443"/>
      <sheetName val="[POWER5_XLA]__qmaxsolutions1444"/>
      <sheetName val="[POWER5_XLA]__qmaxsolutions1445"/>
      <sheetName val="[POWER5_XLA]__qmaxsolutions1446"/>
      <sheetName val="[POWER5_XLA]__qmaxsolutions1447"/>
      <sheetName val="[POWER5_XLA]__qmaxsolutions1448"/>
      <sheetName val="[POWER5_XLA]__qmaxsolutions1449"/>
      <sheetName val="[POWER5_XLA]__qmaxsolutions1450"/>
      <sheetName val="[POWER5_XLA]__qmaxsolutions1451"/>
      <sheetName val="[POWER5_XLA]__qmaxsolutions1452"/>
      <sheetName val="[POWER5_XLA]__qmaxsolutions1453"/>
      <sheetName val="[POWER5_XLA]__qmaxsolutions1454"/>
      <sheetName val="[POWER5_XLA]__qmaxsolutions1455"/>
      <sheetName val="[POWER5_XLA]__d_docs_live_ne147"/>
      <sheetName val="[POWER5_XLA]__d_docs_live_n_102"/>
      <sheetName val="[POWER5_XLA]__d_docs_live_ne148"/>
      <sheetName val="[POWER5_XLA]__d_docs_live_ne149"/>
      <sheetName val="[POWER5_XLA]__d_docs_live_n_100"/>
      <sheetName val="[POWER5_XLA]__d_docs_live_n_101"/>
      <sheetName val="[POWER5_XLA]__d_docs_live_n_104"/>
      <sheetName val="[POWER5_XLA]__d_docs_live_n_103"/>
      <sheetName val="[POWER5_XLA]__d_docs_live_n_105"/>
      <sheetName val="[POWER5_XLA]__d_docs_live_n_106"/>
      <sheetName val="[POWER5_XLA]__d_docs_live_n_107"/>
      <sheetName val="[POWER5_XLA]__d_docs_live_n_108"/>
      <sheetName val="[POWER5_XLA]__d_docs_live_n_110"/>
      <sheetName val="[POWER5_XLA]__d_docs_live_n_109"/>
      <sheetName val="[POWER5_XLA]__qmaxsolutions1456"/>
      <sheetName val="[POWER5_XLA]__qmaxsolutions1457"/>
      <sheetName val="Cost_Centre_Completeness"/>
      <sheetName val="Country_15_Check"/>
      <sheetName val="BU112_Check"/>
      <sheetName val="BU113_Check"/>
      <sheetName val="BU100_Check_"/>
      <sheetName val="BU153_Check"/>
      <sheetName val="GFS_BU_105-111"/>
      <sheetName val="EITS_Check"/>
      <sheetName val="[POWER5_XLA]__qmaxsolutions1458"/>
      <sheetName val="[POWER5_XLA]__qmaxsolutions1459"/>
      <sheetName val="[POWER5_XLA]__qmaxsolutions1460"/>
      <sheetName val="[POWER5_XLA]__qmaxsolutions1461"/>
      <sheetName val="[POWER5_XLA]__qmaxsolutions1462"/>
      <sheetName val="461_01"/>
      <sheetName val="[POWER5_XLA]__soferadvisors_108"/>
      <sheetName val="[POWER5_XLA]__soferadvisors_109"/>
      <sheetName val="[POWER5_XLA]__soferadvisors_110"/>
      <sheetName val="[POWER5_XLA]__soferadvisors_111"/>
      <sheetName val="[POWER5_XLA]__soferadvisors_112"/>
      <sheetName val="[POWER5_XLA]__qmaxsolutions1463"/>
      <sheetName val="[POWER5_XLA]__qmaxsolutions1464"/>
      <sheetName val="[POWER5_XLA]__qmaxsolutions1465"/>
      <sheetName val="[POWER5_XLA]__qmaxsolutions1466"/>
      <sheetName val="[POWER5_XLA]__qmaxsolutions1467"/>
      <sheetName val="[POWER5_XLA]__qmaxsolutions1468"/>
      <sheetName val="[POWER5_XLA]__qmaxsolutions1469"/>
      <sheetName val="[POWER5_XLA]__qmaxsolutions1470"/>
      <sheetName val="[POWER5_XLA]__qmaxsolutions1471"/>
      <sheetName val="[POWER5_XLA]__qmaxsolutions1472"/>
      <sheetName val="[POWER5_XLA]__qmaxsolutions1473"/>
      <sheetName val="[POWER5_XLA]__qmaxsolutions1474"/>
      <sheetName val="[POWER5_XLA]__qmaxsolutions1475"/>
      <sheetName val="[POWER5_XLA]__qmaxsolutions1476"/>
      <sheetName val="[POWER5_XLA]__qmaxsolutions1477"/>
      <sheetName val="[POWER5_XLA]__qmaxsolutions1478"/>
      <sheetName val="Rate"/>
      <sheetName val="CRITERIA20"/>
      <sheetName val="CRITERIA21"/>
      <sheetName val="CRITERIA18"/>
      <sheetName val="Dati"/>
      <sheetName val="R&amp;EAMT"/>
      <sheetName val="4562"/>
      <sheetName val="1120RIC"/>
      <sheetName val="SEC_855_CALC"/>
      <sheetName val="1120_D"/>
      <sheetName val="NY3ATT"/>
      <sheetName val="NY3"/>
      <sheetName val="NYC3L"/>
      <sheetName val="consoplus"/>
      <sheetName val="B1. Tax Data"/>
      <sheetName val="CTX Office Template"/>
      <sheetName val="Collection"/>
      <sheetName val="FX"/>
      <sheetName val="Pivots Entries"/>
      <sheetName val="Pivots exits"/>
      <sheetName val="[POWER5.XLA]__qmaxsolutions_863"/>
      <sheetName val="[POWER5.XLA]__qmaxsolutions_861"/>
      <sheetName val="[POWER5.XLA]__qmaxsolutions_862"/>
      <sheetName val="Q4 Pltfm"/>
      <sheetName val="YTD SmtSpt"/>
      <sheetName val="Q4 SmtSpt"/>
      <sheetName val="[POWER5.XLA]__qmaxsolutions_864"/>
      <sheetName val="[POWER5.XLA]__qmaxsolutions_867"/>
      <sheetName val="[POWER5.XLA]__qmaxsolutions_866"/>
      <sheetName val="[POWER5.XLA]__qmaxsolutions_865"/>
      <sheetName val="[POWER5.XLA]__qmaxsolutions_868"/>
      <sheetName val="[POWER5.XLA]__qmaxsolutions_869"/>
      <sheetName val="[POWER5.XLA]__qmaxsolutions_871"/>
      <sheetName val="[POWER5.XLA]__qmaxsolutions_870"/>
      <sheetName val="[POWER5.XLA]__qmaxsolutions_872"/>
      <sheetName val="[POWER5.XLA]__qmaxsolutions_873"/>
      <sheetName val="[POWER5.XLA]__qmaxsolutions_879"/>
      <sheetName val="[POWER5.XLA]__qmaxsolutions_874"/>
      <sheetName val="[POWER5.XLA]__qmaxsolutions_875"/>
      <sheetName val="[POWER5.XLA]__qmaxsolutions_876"/>
      <sheetName val="[POWER5.XLA]__qmaxsolutions_877"/>
      <sheetName val="[POWER5.XLA]__qmaxsolutions_878"/>
      <sheetName val="[POWER5.XLA]__qmaxsolutions_880"/>
      <sheetName val="Summary -&gt;"/>
      <sheetName val="Status Dashboard"/>
      <sheetName val="Operational HC Adj."/>
      <sheetName val="Functional Tabs -&gt;"/>
      <sheetName val="Executive &amp; Strategy"/>
      <sheetName val="Finance"/>
      <sheetName val="HR"/>
      <sheetName val="Supply Management"/>
      <sheetName val="Legal"/>
      <sheetName val="All Other"/>
      <sheetName val="Supply Management Data -&gt;"/>
      <sheetName val="Warehouse Cost"/>
      <sheetName val="WH Pricing"/>
      <sheetName val="Real Estate"/>
      <sheetName val="Data Files -&gt;"/>
      <sheetName val="SMBPL(Functional)"/>
      <sheetName val="Census - All Business"/>
      <sheetName val="ADJ. SMB Employee Census with $"/>
      <sheetName val="SMB P&amp;L (Clean)"/>
      <sheetName val="Corp19 Actual P&amp;L wo. Alloc"/>
      <sheetName val="Allocation Metric Input"/>
      <sheetName val="Graveyard -&gt;"/>
      <sheetName val="SMBAllocated Depts"/>
      <sheetName val="SMBP&amp;L by Function"/>
      <sheetName val="SMB Employee Census with Comp"/>
      <sheetName val="2019 Corp Actual PL (Clean)"/>
      <sheetName val="Corp. Check Pivot"/>
      <sheetName val="Section Divider"/>
      <sheetName val="Flatfile - Details"/>
      <sheetName val="Operational Finance SMB Direct"/>
      <sheetName val="2019 Actual PL"/>
      <sheetName val="Sheet8"/>
      <sheetName val="Pivot"/>
      <sheetName val="[POWER5.XLA]__soferadvisors_311"/>
      <sheetName val="[POWER5.XLA]__soferadvisors_306"/>
      <sheetName val="[POWER5.XLA]__soferadvisors_307"/>
      <sheetName val="[POWER5.XLA]__soferadvisors_308"/>
      <sheetName val="[POWER5.XLA]__soferadvisors_309"/>
      <sheetName val="[POWER5.XLA]__soferadvisors_310"/>
      <sheetName val="[POWER5.XLA]__soferadvisors_316"/>
      <sheetName val="[POWER5.XLA]__soferadvisors_312"/>
      <sheetName val="[POWER5.XLA]__soferadvisors_313"/>
      <sheetName val="[POWER5.XLA]__soferadvisors_314"/>
      <sheetName val="[POWER5.XLA]__soferadvisors_315"/>
      <sheetName val="[POWER5.XLA]__soferadvisors_317"/>
      <sheetName val="[POWER5.XLA]__soferadvisors_319"/>
      <sheetName val="[POWER5.XLA]__soferadvisors_318"/>
      <sheetName val="[POWER5.XLA]__soferadvisors_320"/>
      <sheetName val="[POWER5.XLA]__qmaxsolution_1049"/>
      <sheetName val="[POWER5.XLA]__qmaxsolution_1045"/>
      <sheetName val="[POWER5.XLA]__qmaxsolutions_917"/>
      <sheetName val="[POWER5.XLA]__qmaxsolutions_913"/>
      <sheetName val="[POWER5.XLA]__qmaxsolutions_909"/>
      <sheetName val="[POWER5.XLA]__qmaxsolutions_881"/>
      <sheetName val="[POWER5.XLA]__qmaxsolutions_882"/>
      <sheetName val="[POWER5.XLA]__qmaxsolutions_883"/>
      <sheetName val="[POWER5.XLA]__qmaxsolutions_884"/>
      <sheetName val="[POWER5.XLA]__qmaxsolutions_885"/>
      <sheetName val="[POWER5.XLA]__qmaxsolutions_886"/>
      <sheetName val="[POWER5.XLA]__qmaxsolutions_887"/>
      <sheetName val="[POWER5.XLA]__qmaxsolutions_888"/>
      <sheetName val="[POWER5.XLA]__qmaxsolutions_889"/>
      <sheetName val="[POWER5.XLA]__qmaxsolutions_890"/>
      <sheetName val="[POWER5.XLA]__qmaxsolutions_891"/>
      <sheetName val="[POWER5.XLA]__qmaxsolutions_892"/>
      <sheetName val="[POWER5.XLA]__qmaxsolutions_893"/>
      <sheetName val="[POWER5.XLA]__qmaxsolutions_894"/>
      <sheetName val="[POWER5.XLA]__qmaxsolutions_895"/>
      <sheetName val="[POWER5.XLA]__qmaxsolutions_896"/>
      <sheetName val="[POWER5.XLA]__qmaxsolutions_897"/>
      <sheetName val="[POWER5.XLA]__qmaxsolutions_898"/>
      <sheetName val="[POWER5.XLA]__qmaxsolutions_899"/>
      <sheetName val="[POWER5.XLA]__qmaxsolutions_900"/>
      <sheetName val="[POWER5.XLA]__qmaxsolutions_901"/>
      <sheetName val="[POWER5.XLA]__qmaxsolutions_902"/>
      <sheetName val="[POWER5.XLA]__qmaxsolutions_903"/>
      <sheetName val="[POWER5.XLA]__qmaxsolutions_904"/>
      <sheetName val="[POWER5.XLA]__qmaxsolutions_905"/>
      <sheetName val="[POWER5.XLA]__qmaxsolutions_906"/>
      <sheetName val="[POWER5.XLA]__qmaxsolutions_907"/>
      <sheetName val="[POWER5.XLA]__qmaxsolutions_908"/>
      <sheetName val="[POWER5.XLA]__qmaxsolutions_910"/>
      <sheetName val="[POWER5.XLA]__qmaxsolutions_912"/>
      <sheetName val="[POWER5.XLA]__qmaxsolutions_911"/>
      <sheetName val="[POWER5.XLA]__qmaxsolutions_915"/>
      <sheetName val="[POWER5.XLA]__qmaxsolutions_914"/>
      <sheetName val="[POWER5.XLA]__qmaxsolutions_916"/>
      <sheetName val="[POWER5.XLA]__qmaxsolution_1039"/>
      <sheetName val="[POWER5.XLA]__qmaxsolutions_918"/>
      <sheetName val="[POWER5.XLA]__qmaxsolutions_919"/>
      <sheetName val="[POWER5.XLA]__qmaxsolution_1009"/>
      <sheetName val="[POWER5.XLA]__qmaxsolution_1008"/>
      <sheetName val="[POWER5.XLA]__qmaxsolutions_965"/>
      <sheetName val="[POWER5.XLA]__qmaxsolutions_929"/>
      <sheetName val="[POWER5.XLA]__qmaxsolutions_920"/>
      <sheetName val="[POWER5.XLA]__qmaxsolutions_921"/>
      <sheetName val="[POWER5.XLA]__qmaxsolutions_922"/>
      <sheetName val="[POWER5.XLA]__qmaxsolutions_923"/>
      <sheetName val="[POWER5.XLA]__qmaxsolutions_924"/>
      <sheetName val="[POWER5.XLA]__qmaxsolutions_926"/>
      <sheetName val="[POWER5.XLA]__qmaxsolutions_925"/>
      <sheetName val="[POWER5.XLA]__qmaxsolutions_927"/>
      <sheetName val="[POWER5.XLA]__qmaxsolutions_928"/>
      <sheetName val="[POWER5.XLA]__qmaxsolutions_930"/>
      <sheetName val="[POWER5.XLA]__qmaxsolutions_932"/>
      <sheetName val="[POWER5.XLA]__qmaxsolutions_931"/>
      <sheetName val="[POWER5.XLA]__qmaxsolutions_938"/>
      <sheetName val="[POWER5.XLA]__qmaxsolutions_933"/>
      <sheetName val="[POWER5.XLA]__qmaxsolutions_936"/>
      <sheetName val="[POWER5.XLA]__qmaxsolutions_934"/>
      <sheetName val="[POWER5.XLA]__qmaxsolutions_935"/>
      <sheetName val="[POWER5.XLA]__qmaxsolutions_937"/>
      <sheetName val="[POWER5.XLA]__qmaxsolutions_939"/>
      <sheetName val="[POWER5.XLA]__qmaxsolutions_940"/>
      <sheetName val="[POWER5.XLA]__qmaxsolutions_945"/>
      <sheetName val="[POWER5.XLA]__qmaxsolutions_943"/>
      <sheetName val="[POWER5.XLA]__qmaxsolutions_941"/>
      <sheetName val="[POWER5.XLA]__qmaxsolutions_942"/>
      <sheetName val="[POWER5.XLA]__qmaxsolutions_944"/>
      <sheetName val="[POWER5.XLA]__qmaxsolutions_946"/>
      <sheetName val="[POWER5.XLA]__qmaxsolutions_956"/>
      <sheetName val="[POWER5.XLA]__qmaxsolutions_947"/>
      <sheetName val="[POWER5.XLA]__qmaxsolutions_948"/>
      <sheetName val="[POWER5.XLA]__qmaxsolutions_949"/>
      <sheetName val="[POWER5.XLA]__qmaxsolutions_952"/>
      <sheetName val="[POWER5.XLA]__qmaxsolutions_951"/>
      <sheetName val="[POWER5.XLA]__qmaxsolutions_950"/>
      <sheetName val="[POWER5.XLA]__qmaxsolutions_953"/>
      <sheetName val="[POWER5.XLA]__qmaxsolutions_954"/>
      <sheetName val="[POWER5.XLA]__qmaxsolutions_955"/>
      <sheetName val="[POWER5.XLA]__qmaxsolutions_961"/>
      <sheetName val="[POWER5.XLA]__qmaxsolutions_957"/>
      <sheetName val="[POWER5.XLA]__qmaxsolutions_958"/>
      <sheetName val="[POWER5.XLA]__qmaxsolutions_959"/>
      <sheetName val="[POWER5.XLA]__qmaxsolutions_960"/>
      <sheetName val="[POWER5.XLA]__qmaxsolutions_962"/>
      <sheetName val="[POWER5.XLA]__qmaxsolutions_963"/>
      <sheetName val="[POWER5.XLA]__qmaxsolutions_964"/>
      <sheetName val="[POWER5.XLA]__qmaxsolution_1007"/>
      <sheetName val="[POWER5.XLA]__qmaxsolutions_982"/>
      <sheetName val="[POWER5.XLA]__qmaxsolutions_966"/>
      <sheetName val="[POWER5.XLA]__qmaxsolutions_967"/>
      <sheetName val="[POWER5.XLA]__qmaxsolutions_968"/>
      <sheetName val="[POWER5.XLA]__qmaxsolutions_969"/>
      <sheetName val="[POWER5.XLA]__qmaxsolutions_970"/>
      <sheetName val="[POWER5.XLA]__qmaxsolutions_971"/>
      <sheetName val="[POWER5.XLA]__qmaxsolutions_972"/>
      <sheetName val="[POWER5.XLA]__qmaxsolutions_973"/>
      <sheetName val="[POWER5.XLA]__qmaxsolutions_974"/>
      <sheetName val="[POWER5.XLA]__qmaxsolutions_975"/>
      <sheetName val="[POWER5.XLA]__qmaxsolutions_976"/>
      <sheetName val="[POWER5.XLA]__qmaxsolutions_977"/>
      <sheetName val="[POWER5.XLA]__qmaxsolutions_978"/>
      <sheetName val="[POWER5.XLA]__qmaxsolutions_979"/>
      <sheetName val="[POWER5.XLA]__qmaxsolutions_980"/>
      <sheetName val="[POWER5.XLA]__qmaxsolutions_981"/>
      <sheetName val="[POWER5.XLA]__qmaxsolutions_986"/>
      <sheetName val="[POWER5.XLA]__qmaxsolutions_983"/>
      <sheetName val="[POWER5.XLA]__qmaxsolutions_984"/>
      <sheetName val="[POWER5.XLA]__qmaxsolutions_985"/>
      <sheetName val="[POWER5.XLA]__qmaxsolutions_987"/>
      <sheetName val="[POWER5.XLA]__qmaxsolutions_988"/>
      <sheetName val="[POWER5.XLA]__qmaxsolutions_989"/>
      <sheetName val="[POWER5.XLA]__qmaxsolutions_992"/>
      <sheetName val="[POWER5.XLA]__qmaxsolutions_990"/>
      <sheetName val="[POWER5.XLA]__qmaxsolutions_991"/>
      <sheetName val="[POWER5.XLA]__qmaxsolutions_994"/>
      <sheetName val="[POWER5.XLA]__qmaxsolutions_993"/>
      <sheetName val="[POWER5.XLA]__qmaxsolutions_995"/>
      <sheetName val="[POWER5.XLA]__qmaxsolutions_998"/>
      <sheetName val="[POWER5.XLA]__qmaxsolutions_996"/>
      <sheetName val="[POWER5.XLA]__qmaxsolutions_997"/>
      <sheetName val="[POWER5.XLA]__qmaxsolution_1001"/>
      <sheetName val="[POWER5.XLA]__qmaxsolutions_999"/>
      <sheetName val="[POWER5.XLA]__qmaxsolution_1000"/>
      <sheetName val="[POWER5.XLA]__qmaxsolution_1003"/>
      <sheetName val="[POWER5.XLA]__qmaxsolution_1002"/>
      <sheetName val="[POWER5.XLA]__qmaxsolution_1004"/>
      <sheetName val="[POWER5.XLA]__qmaxsolution_1005"/>
      <sheetName val="[POWER5.XLA]__qmaxsolution_1006"/>
      <sheetName val="[POWER5.XLA]__qmaxsolution_1025"/>
      <sheetName val="[POWER5.XLA]__qmaxsolution_1010"/>
      <sheetName val="[POWER5.XLA]__qmaxsolution_1011"/>
      <sheetName val="[POWER5.XLA]__qmaxsolution_1016"/>
      <sheetName val="[POWER5.XLA]__qmaxsolution_1012"/>
      <sheetName val="[POWER5.XLA]__qmaxsolution_1013"/>
      <sheetName val="[POWER5.XLA]__qmaxsolution_1014"/>
      <sheetName val="[POWER5.XLA]__qmaxsolution_1015"/>
      <sheetName val="[POWER5.XLA]__qmaxsolution_1018"/>
      <sheetName val="[POWER5.XLA]__qmaxsolution_1017"/>
      <sheetName val="[POWER5.XLA]__qmaxsolution_1020"/>
      <sheetName val="[POWER5.XLA]__qmaxsolution_1019"/>
      <sheetName val="[POWER5.XLA]__qmaxsolution_1021"/>
      <sheetName val="[POWER5.XLA]__qmaxsolution_1022"/>
      <sheetName val="[POWER5.XLA]__qmaxsolution_1023"/>
      <sheetName val="[POWER5.XLA]__qmaxsolution_1024"/>
      <sheetName val="[POWER5.XLA]__qmaxsolution_1026"/>
      <sheetName val="[POWER5.XLA]__qmaxsolution_1027"/>
      <sheetName val="[POWER5.XLA]__qmaxsolution_1030"/>
      <sheetName val="[POWER5.XLA]__qmaxsolution_1028"/>
      <sheetName val="[POWER5.XLA]__qmaxsolution_1029"/>
      <sheetName val="[POWER5.XLA]__qmaxsolution_1034"/>
      <sheetName val="[POWER5.XLA]__qmaxsolution_1031"/>
      <sheetName val="[POWER5.XLA]__qmaxsolution_1032"/>
      <sheetName val="[POWER5.XLA]__qmaxsolution_1033"/>
      <sheetName val="[POWER5.XLA]__qmaxsolution_1035"/>
      <sheetName val="[POWER5.XLA]__qmaxsolution_1036"/>
      <sheetName val="[POWER5.XLA]__qmaxsolution_1037"/>
      <sheetName val="[POWER5.XLA]__qmaxsolution_1038"/>
      <sheetName val="[POWER5.XLA]__qmaxsolution_1040"/>
      <sheetName val="[POWER5.XLA]__qmaxsolution_1041"/>
      <sheetName val="[POWER5.XLA]__qmaxsolution_1042"/>
      <sheetName val="[POWER5.XLA]__qmaxsolution_1043"/>
      <sheetName val="[POWER5.XLA]__qmaxsolution_1044"/>
      <sheetName val="[POWER5.XLA]__qmaxsolution_1048"/>
      <sheetName val="[POWER5.XLA]__qmaxsolution_1046"/>
      <sheetName val="[POWER5.XLA]__qmaxsolution_1047"/>
      <sheetName val="[POWER5.XLA]__qmaxsolution_1050"/>
      <sheetName val="LDMI"/>
      <sheetName val="[POWER5.XLA]__qmaxsolution_1051"/>
      <sheetName val="[POWER5.XLA]__qmaxsolution_1052"/>
      <sheetName val="[POWER5.XLA]__qmaxsolution_1053"/>
      <sheetName val="[POWER5.XLA]__qmaxsolution_1054"/>
      <sheetName val="[POWER5.XLA]__qmaxsolution_1056"/>
      <sheetName val="[POWER5.XLA]__qmaxsolution_1055"/>
      <sheetName val="[POWER5.XLA]__qmaxsolution_1057"/>
      <sheetName val="[POWER5.XLA]__qmaxsolution_1059"/>
      <sheetName val="[POWER5.XLA]__qmaxsolution_1058"/>
      <sheetName val="[POWER5.XLA]__qmaxsolution_1060"/>
      <sheetName val="[POWER5.XLA]__qmaxsolution_1061"/>
      <sheetName val="[POWER5.XLA]__qmaxsolution_1062"/>
      <sheetName val="[POWER5.XLA]__qmaxsolution_1064"/>
      <sheetName val="[POWER5.XLA]__qmaxsolution_1063"/>
      <sheetName val="A"/>
      <sheetName val="[POWER5.XLA]__qmaxsolution_1065"/>
      <sheetName val="[POWER5.XLA]__qmaxsolution_1068"/>
      <sheetName val="[POWER5.XLA]__qmaxsolution_1066"/>
      <sheetName val="[POWER5.XLA]__qmaxsolution_1067"/>
      <sheetName val="[POWER5.XLA]__qmaxsolution_1069"/>
      <sheetName val="[POWER5.XLA]__qmaxsolution_1070"/>
      <sheetName val="[POWER5.XLA]__soferadvisors_324"/>
      <sheetName val="[POWER5.XLA]__soferadvisors_321"/>
      <sheetName val="[POWER5.XLA]__soferadvisors_322"/>
      <sheetName val="[POWER5.XLA]__soferadvisors_323"/>
      <sheetName val="[POWER5.XLA]__d_docs_live_n_129"/>
      <sheetName val="[POWER5.XLA]__d_docs_live_n_127"/>
      <sheetName val="[POWER5.XLA]__d_docs_live_n_128"/>
      <sheetName val="[POWER5.XLA]__d_docs_live_n_130"/>
      <sheetName val="[POWER5.XLA]__d_docs_live_n_138"/>
      <sheetName val="[POWER5.XLA]__d_docs_live_n_133"/>
      <sheetName val="[POWER5.XLA]__d_docs_live_n_131"/>
      <sheetName val="[POWER5.XLA]__d_docs_live_n_132"/>
      <sheetName val="[POWER5.XLA]__d_docs_live_n_135"/>
      <sheetName val="[POWER5.XLA]__d_docs_live_n_134"/>
      <sheetName val="[POWER5.XLA]__d_docs_live_n_136"/>
      <sheetName val="[POWER5.XLA]__d_docs_live_n_137"/>
      <sheetName val="[POWER5.XLA]__d_docs_live_n_139"/>
      <sheetName val="Table - Mapping"/>
      <sheetName val="[POWER5.XLA]__qmaxsolution_1072"/>
      <sheetName val="[POWER5.XLA]__qmaxsolution_1071"/>
      <sheetName val="[POWER5.XLA]__qmaxsolution_1079"/>
      <sheetName val="[POWER5.XLA]__qmaxsolution_1073"/>
      <sheetName val="[POWER5.XLA]__qmaxsolution_1074"/>
      <sheetName val="[POWER5.XLA]__qmaxsolution_1075"/>
      <sheetName val="[POWER5.XLA]__qmaxsolution_1076"/>
      <sheetName val="[POWER5.XLA]__qmaxsolution_1077"/>
      <sheetName val="[POWER5.XLA]__qmaxsolution_1078"/>
      <sheetName val="[POWER5.XLA]__qmaxsolution_1081"/>
      <sheetName val="[POWER5.XLA]__qmaxsolution_1080"/>
      <sheetName val="[POWER5.XLA]__qmaxsolution_1082"/>
      <sheetName val="[POWER5.XLA]__qmaxsolution_1084"/>
      <sheetName val="[POWER5.XLA]__qmaxsolution_1083"/>
      <sheetName val="[POWER5.XLA]__qmaxsolution_1085"/>
      <sheetName val="[POWER5.XLA]__qmaxsolution_1086"/>
      <sheetName val="[POWER5.XLA]__qmaxsolution_1087"/>
      <sheetName val="[POWER5.XLA]__qmaxsolution_1089"/>
      <sheetName val="[POWER5.XLA]__qmaxsolution_1088"/>
      <sheetName val="__FDSCACHE__"/>
      <sheetName val="Ericcson Data"/>
      <sheetName val="Ericcson"/>
      <sheetName val="New CapEx EBITDA"/>
      <sheetName val="Uniti Implied"/>
      <sheetName val="Runoff"/>
      <sheetName val="LT Rev+CapEx"/>
      <sheetName val="Hist Val"/>
      <sheetName val="Undw EBITDA"/>
      <sheetName val="CapTable"/>
      <sheetName val="CIQ_LinkingNames"/>
      <sheetName val="Hist Fin"/>
      <sheetName val="Inputs-&gt;"/>
      <sheetName val="Fin Input"/>
      <sheetName val="US 1L Inc TL Returns"/>
      <sheetName val="US 1L TL Returns"/>
      <sheetName val="Eur 1L TL Returns"/>
      <sheetName val="1L Notes Returns"/>
      <sheetName val="Uns Notes Returns"/>
      <sheetName val="ROE Calc-&gt;"/>
      <sheetName val="ROE Calculator"/>
      <sheetName val="Modeled Cash Flows"/>
      <sheetName val="Curves"/>
      <sheetName val="Drop Downs"/>
      <sheetName val="[POWER5.XLA]__qmaxsolution_1093"/>
      <sheetName val="[POWER5.XLA]__qmaxsolution_1090"/>
      <sheetName val="[POWER5.XLA]__qmaxsolution_1091"/>
      <sheetName val="[POWER5.XLA]__qmaxsolution_1092"/>
      <sheetName val="[POWER5.XLA]__qmaxsolution_1094"/>
      <sheetName val="[POWER5.XLA]__qmaxsolution_1095"/>
      <sheetName val="[POWER5.XLA]__qmaxsolution_1096"/>
      <sheetName val="[POWER5.XLA]__qmaxsolution_1099"/>
      <sheetName val="[POWER5.XLA]__qmaxsolution_1097"/>
      <sheetName val="[POWER5.XLA]__qmaxsolution_1098"/>
      <sheetName val="Komputer"/>
      <sheetName val="Base&amp;Hist"/>
      <sheetName val="Assumption"/>
      <sheetName val="IS Proforma"/>
      <sheetName val="BS Proforma"/>
      <sheetName val="Pk prod"/>
      <sheetName val="Biaya"/>
      <sheetName val="Reporting historical"/>
      <sheetName val="IRL - BDD"/>
      <sheetName val="alt1"/>
      <sheetName val="Pipe"/>
      <sheetName val="FINISHING"/>
      <sheetName val="PLUMBING"/>
      <sheetName val="STRUKTUR"/>
      <sheetName val="Std-Prod KS"/>
      <sheetName val="FORM-X-1"/>
      <sheetName val="rab lt 2 bo"/>
      <sheetName val="MASTER"/>
      <sheetName val="ANALISA PEK.UMUM"/>
      <sheetName val="MHPP"/>
      <sheetName val="Multiple Spreadsheets"/>
      <sheetName val="harsat"/>
      <sheetName val="cf-sum3"/>
      <sheetName val="highlight_unit2"/>
      <sheetName val="Cashflow (2)"/>
      <sheetName val="BBM"/>
      <sheetName val="PRODUCTDIBY"/>
      <sheetName val="BALANCE ANALYTIQUE"/>
      <sheetName val="dico mois"/>
      <sheetName val="escon"/>
      <sheetName val="Comparable Firms"/>
      <sheetName val="Investment-02"/>
      <sheetName val="Ten"/>
      <sheetName val="Budget"/>
      <sheetName val="Capital"/>
      <sheetName val="Assumptions and Dashboard"/>
      <sheetName val="Sales and Collections"/>
      <sheetName val="Financial Summary"/>
      <sheetName val="Inventory and Purchases"/>
      <sheetName val="Operating Expenses"/>
      <sheetName val="jun94"/>
      <sheetName val="Data LPJUM"/>
      <sheetName val="[POWER5_XLA]_POWE_1"/>
      <sheetName val="[POWER5_XLA]_Appl_1"/>
      <sheetName val="[POWER5_XLA]__na1_1"/>
      <sheetName val="[POWER5_XLA]__sfd_1"/>
      <sheetName val="[POWER5_XLA]_POWE10"/>
      <sheetName val="[POWER5_XLA]_POWE11"/>
      <sheetName val="[POWER5_XLA]_POWE12"/>
      <sheetName val="[POWER5_XLA]_POWE13"/>
      <sheetName val="[POWER5_XLA]_POWE14"/>
      <sheetName val="__d_docs_live_net_9"/>
      <sheetName val="__soferadvisors_m_9"/>
      <sheetName val="__soferadvisors_m_2"/>
      <sheetName val="__soferadvisors_m_3"/>
      <sheetName val="__soferadvisors_m_4"/>
      <sheetName val="__soferadvisors_m_5"/>
      <sheetName val="__soferadvisors_m_6"/>
      <sheetName val="__soferadvisors_m_7"/>
      <sheetName val="__soferadvisors_m_8"/>
      <sheetName val="__d_docs_live_ne_43"/>
      <sheetName val="__d_docs_live_ne_10"/>
      <sheetName val="__d_docs_live_ne_26"/>
      <sheetName val="__d_docs_live_ne_11"/>
      <sheetName val="__d_docs_live_ne_12"/>
      <sheetName val="__d_docs_live_ne_13"/>
      <sheetName val="__d_docs_live_ne_15"/>
      <sheetName val="__d_docs_live_ne_14"/>
      <sheetName val="__d_docs_live_ne_16"/>
      <sheetName val="__d_docs_live_ne_17"/>
      <sheetName val="__d_docs_live_ne_18"/>
      <sheetName val="__d_docs_live_ne_19"/>
      <sheetName val="__d_docs_live_ne_20"/>
      <sheetName val="__d_docs_live_ne_21"/>
      <sheetName val="__d_docs_live_ne_22"/>
      <sheetName val="__d_docs_live_ne_23"/>
      <sheetName val="__d_docs_live_ne_24"/>
      <sheetName val="__d_docs_live_ne_25"/>
      <sheetName val="__d_docs_live_ne_27"/>
      <sheetName val="__d_docs_live_ne_28"/>
      <sheetName val="__d_docs_live_ne_29"/>
      <sheetName val="__d_docs_live_ne_30"/>
      <sheetName val="__d_docs_live_ne_32"/>
      <sheetName val="__d_docs_live_ne_31"/>
      <sheetName val="__d_docs_live_ne_34"/>
      <sheetName val="__d_docs_live_ne_33"/>
      <sheetName val="__d_docs_live_ne_35"/>
      <sheetName val="__d_docs_live_ne_37"/>
      <sheetName val="__d_docs_live_ne_36"/>
      <sheetName val="__d_docs_live_ne_38"/>
      <sheetName val="__d_docs_live_ne_39"/>
      <sheetName val="__d_docs_live_ne_40"/>
      <sheetName val="__d_docs_live_ne_41"/>
      <sheetName val="__d_docs_live_ne_42"/>
      <sheetName val="__d_docs_live_ne_53"/>
      <sheetName val="__d_docs_live_ne_44"/>
      <sheetName val="__d_docs_live_ne_45"/>
      <sheetName val="__d_docs_live_ne_46"/>
      <sheetName val="__d_docs_live_ne_47"/>
      <sheetName val="__d_docs_live_ne_48"/>
      <sheetName val="__d_docs_live_ne_49"/>
      <sheetName val="__d_docs_live_ne_50"/>
      <sheetName val="__d_docs_live_ne_51"/>
      <sheetName val="__d_docs_live_ne_52"/>
      <sheetName val="__d_docs_live_ne_54"/>
      <sheetName val="__d_docs_live_ne_59"/>
      <sheetName val="__d_docs_live_ne_55"/>
      <sheetName val="__d_docs_live_ne_56"/>
      <sheetName val="__d_docs_live_ne_57"/>
      <sheetName val="__d_docs_live_ne_58"/>
      <sheetName val="[POWER5.XLA]__soferadvisors_325"/>
      <sheetName val="[POWER5.XLA]__soferadvisors_326"/>
      <sheetName val="[POWER5.XLA]__soferadvisors_329"/>
      <sheetName val="[POWER5.XLA]__soferadvisors_327"/>
      <sheetName val="[POWER5.XLA]__soferadvisors_328"/>
      <sheetName val="PL- 53 07 OE"/>
      <sheetName val="[POWER5.XLA]__soferadvisors_330"/>
      <sheetName val="[POWER5.XLA]__soferadvisors_335"/>
      <sheetName val="[POWER5.XLA]__soferadvisors_331"/>
      <sheetName val="[POWER5.XLA]__soferadvisors_332"/>
      <sheetName val="[POWER5.XLA]__soferadvisors_334"/>
      <sheetName val="[POWER5.XLA]__soferadvisors_333"/>
      <sheetName val="[POWER5.XLA]__soferadvisors_336"/>
      <sheetName val="[POWER5.XLA]__soferadvisors_337"/>
      <sheetName val="[POWER5.XLA]__soferadvisors_338"/>
      <sheetName val="[POWER5.XLA]__soferadvisors_340"/>
      <sheetName val="[POWER5.XLA]__soferadvisors_339"/>
      <sheetName val="[POWER5.XLA]__soferadvisors_341"/>
      <sheetName val="[POWER5.XLA]__soferadvisors_342"/>
      <sheetName val="[POWER5.XLA]__soferadvisors_343"/>
      <sheetName val="[POWER5.XLA]__soferadvisors_344"/>
      <sheetName val="[POWER5.XLA]__soferadvisors_345"/>
      <sheetName val="[POWER5.XLA]__soferadvisors_346"/>
      <sheetName val="[POWER5.XLA]__soferadvisors_349"/>
      <sheetName val="[POWER5.XLA]__soferadvisors_347"/>
      <sheetName val="[POWER5.XLA]__soferadvisors_348"/>
      <sheetName val="[POWER5.XLA]__soferadvisors_351"/>
      <sheetName val="[POWER5.XLA]__soferadvisors_350"/>
      <sheetName val="COM BU ex DS (2)"/>
      <sheetName val="IS Out"/>
      <sheetName val="Office Summary"/>
      <sheetName val="Chart"/>
      <sheetName val="Chart (2)"/>
      <sheetName val="Chart (3)"/>
      <sheetName val="Office Charts"/>
      <sheetName val="OFFICE"/>
      <sheetName val="SBInput"/>
      <sheetName val="Cash Adj"/>
      <sheetName val="Prop by Prop CF Adj"/>
      <sheetName val="Data- NOI"/>
      <sheetName val="__na1_salesforce_18"/>
      <sheetName val="[POWER5_XLA]_POW_27"/>
      <sheetName val="[POWER5_XLA]_POW_28"/>
      <sheetName val="_Users_Dan_Libra_11"/>
      <sheetName val="_J_Applications__16"/>
      <sheetName val="__qmaxsolutions_770"/>
      <sheetName val="__qmaxsolutions_720"/>
      <sheetName val="__qmaxsolutions_701"/>
      <sheetName val="__qmaxsolutions_700"/>
      <sheetName val="__qmaxsolutions_696"/>
      <sheetName val="__qmaxsolutions_683"/>
      <sheetName val="__qmaxsolutions_681"/>
      <sheetName val="__qmaxsolutions_677"/>
      <sheetName val="__qmaxsolutions_670"/>
      <sheetName val="__qmaxsolutions_668"/>
      <sheetName val="__qmaxsolutions_525"/>
      <sheetName val="__qmaxsolutions_509"/>
      <sheetName val="__qmaxsolutions_506"/>
      <sheetName val="__qmaxsolutions_507"/>
      <sheetName val="__qmaxsolutions_508"/>
      <sheetName val="__qmaxsolutions_510"/>
      <sheetName val="__qmaxsolutions_512"/>
      <sheetName val="__qmaxsolutions_511"/>
      <sheetName val="__qmaxsolutions_513"/>
      <sheetName val="__qmaxsolutions_514"/>
      <sheetName val="__qmaxsolutions_515"/>
      <sheetName val="__qmaxsolutions_517"/>
      <sheetName val="__qmaxsolutions_516"/>
      <sheetName val="__qmaxsolutions_519"/>
      <sheetName val="__qmaxsolutions_518"/>
      <sheetName val="__qmaxsolutions_521"/>
      <sheetName val="__qmaxsolutions_520"/>
      <sheetName val="__qmaxsolutions_522"/>
      <sheetName val="__qmaxsolutions_523"/>
      <sheetName val="__qmaxsolutions_524"/>
      <sheetName val="__qmaxsolutions_565"/>
      <sheetName val="__qmaxsolutions_527"/>
      <sheetName val="__qmaxsolutions_526"/>
      <sheetName val="__qmaxsolutions_530"/>
      <sheetName val="__qmaxsolutions_529"/>
      <sheetName val="__qmaxsolutions_528"/>
      <sheetName val="__qmaxsolutions_533"/>
      <sheetName val="__qmaxsolutions_531"/>
      <sheetName val="__qmaxsolutions_532"/>
      <sheetName val="__qmaxsolutions_534"/>
      <sheetName val="__qmaxsolutions_540"/>
      <sheetName val="__qmaxsolutions_535"/>
      <sheetName val="__qmaxsolutions_536"/>
      <sheetName val="__qmaxsolutions_537"/>
      <sheetName val="__qmaxsolutions_538"/>
      <sheetName val="__qmaxsolutions_539"/>
      <sheetName val="__qmaxsolutions_542"/>
      <sheetName val="__qmaxsolutions_541"/>
      <sheetName val="__qmaxsolutions_543"/>
      <sheetName val="__qmaxsolutions_545"/>
      <sheetName val="__qmaxsolutions_544"/>
      <sheetName val="__qmaxsolutions_546"/>
      <sheetName val="__qmaxsolutions_547"/>
      <sheetName val="__qmaxsolutions_548"/>
      <sheetName val="__qmaxsolutions_549"/>
      <sheetName val="__qmaxsolutions_550"/>
      <sheetName val="__qmaxsolutions_551"/>
      <sheetName val="__qmaxsolutions_552"/>
      <sheetName val="__qmaxsolutions_553"/>
      <sheetName val="__qmaxsolutions_554"/>
      <sheetName val="__qmaxsolutions_557"/>
      <sheetName val="__qmaxsolutions_555"/>
      <sheetName val="__qmaxsolutions_556"/>
      <sheetName val="__qmaxsolutions_558"/>
      <sheetName val="__qmaxsolutions_560"/>
      <sheetName val="__qmaxsolutions_559"/>
      <sheetName val="__qmaxsolutions_561"/>
      <sheetName val="__qmaxsolutions_562"/>
      <sheetName val="__qmaxsolutions_564"/>
      <sheetName val="__qmaxsolutions_563"/>
      <sheetName val="__qmaxsolutions_585"/>
      <sheetName val="__qmaxsolutions_567"/>
      <sheetName val="__qmaxsolutions_566"/>
      <sheetName val="__qmaxsolutions_569"/>
      <sheetName val="__qmaxsolutions_568"/>
      <sheetName val="__qmaxsolutions_570"/>
      <sheetName val="__qmaxsolutions_571"/>
      <sheetName val="__qmaxsolutions_572"/>
      <sheetName val="__qmaxsolutions_573"/>
      <sheetName val="__qmaxsolutions_575"/>
      <sheetName val="__qmaxsolutions_574"/>
      <sheetName val="__qmaxsolutions_576"/>
      <sheetName val="__qmaxsolutions_577"/>
      <sheetName val="__qmaxsolutions_578"/>
      <sheetName val="__qmaxsolutions_579"/>
      <sheetName val="__qmaxsolutions_580"/>
      <sheetName val="__qmaxsolutions_581"/>
      <sheetName val="__qmaxsolutions_582"/>
      <sheetName val="__qmaxsolutions_583"/>
      <sheetName val="__qmaxsolutions_584"/>
      <sheetName val="__qmaxsolutions_586"/>
      <sheetName val="__qmaxsolutions_594"/>
      <sheetName val="__qmaxsolutions_587"/>
      <sheetName val="__qmaxsolutions_588"/>
      <sheetName val="__qmaxsolutions_589"/>
      <sheetName val="__qmaxsolutions_590"/>
      <sheetName val="__qmaxsolutions_591"/>
      <sheetName val="__qmaxsolutions_592"/>
      <sheetName val="__qmaxsolutions_593"/>
      <sheetName val="__qmaxsolutions_597"/>
      <sheetName val="__qmaxsolutions_595"/>
      <sheetName val="__qmaxsolutions_596"/>
      <sheetName val="__qmaxsolutions_601"/>
      <sheetName val="__qmaxsolutions_598"/>
      <sheetName val="__qmaxsolutions_599"/>
      <sheetName val="__qmaxsolutions_600"/>
      <sheetName val="__qmaxsolutions_605"/>
      <sheetName val="__qmaxsolutions_603"/>
      <sheetName val="__qmaxsolutions_602"/>
      <sheetName val="__qmaxsolutions_604"/>
      <sheetName val="__qmaxsolutions_607"/>
      <sheetName val="__qmaxsolutions_606"/>
      <sheetName val="__qmaxsolutions_608"/>
      <sheetName val="__qmaxsolutions_610"/>
      <sheetName val="__qmaxsolutions_609"/>
      <sheetName val="__qmaxsolutions_611"/>
      <sheetName val="__qmaxsolutions_616"/>
      <sheetName val="__qmaxsolutions_612"/>
      <sheetName val="__qmaxsolutions_614"/>
      <sheetName val="__qmaxsolutions_613"/>
      <sheetName val="__qmaxsolutions_615"/>
      <sheetName val="__qmaxsolutions_620"/>
      <sheetName val="__qmaxsolutions_617"/>
      <sheetName val="__qmaxsolutions_618"/>
      <sheetName val="__qmaxsolutions_619"/>
      <sheetName val="__qmaxsolutions_621"/>
      <sheetName val="__qmaxsolutions_622"/>
      <sheetName val="__qmaxsolutions_623"/>
      <sheetName val="__qmaxsolutions_625"/>
      <sheetName val="__qmaxsolutions_624"/>
      <sheetName val="__qmaxsolutions_628"/>
      <sheetName val="__qmaxsolutions_627"/>
      <sheetName val="__qmaxsolutions_626"/>
      <sheetName val="__qmaxsolutions_631"/>
      <sheetName val="__qmaxsolutions_629"/>
      <sheetName val="__qmaxsolutions_630"/>
      <sheetName val="__qmaxsolutions_647"/>
      <sheetName val="__qmaxsolutions_632"/>
      <sheetName val="__qmaxsolutions_633"/>
      <sheetName val="__qmaxsolutions_634"/>
      <sheetName val="__qmaxsolutions_635"/>
      <sheetName val="__qmaxsolutions_636"/>
      <sheetName val="__qmaxsolutions_639"/>
      <sheetName val="__qmaxsolutions_637"/>
      <sheetName val="__qmaxsolutions_638"/>
      <sheetName val="__qmaxsolutions_640"/>
      <sheetName val="__qmaxsolutions_641"/>
      <sheetName val="__qmaxsolutions_642"/>
      <sheetName val="__qmaxsolutions_643"/>
      <sheetName val="__qmaxsolutions_644"/>
      <sheetName val="__qmaxsolutions_646"/>
      <sheetName val="__qmaxsolutions_645"/>
      <sheetName val="__qmaxsolutions_648"/>
      <sheetName val="__qmaxsolutions_649"/>
      <sheetName val="__qmaxsolutions_650"/>
      <sheetName val="__qmaxsolutions_651"/>
      <sheetName val="__qmaxsolutions_652"/>
      <sheetName val="__qmaxsolutions_653"/>
      <sheetName val="__qmaxsolutions_654"/>
      <sheetName val="__qmaxsolutions_657"/>
      <sheetName val="__qmaxsolutions_655"/>
      <sheetName val="__qmaxsolutions_656"/>
      <sheetName val="__qmaxsolutions_666"/>
      <sheetName val="__qmaxsolutions_658"/>
      <sheetName val="__qmaxsolutions_663"/>
      <sheetName val="__qmaxsolutions_659"/>
      <sheetName val="__qmaxsolutions_660"/>
      <sheetName val="__qmaxsolutions_661"/>
      <sheetName val="__qmaxsolutions_662"/>
      <sheetName val="__qmaxsolutions_664"/>
      <sheetName val="__qmaxsolutions_665"/>
      <sheetName val="__qmaxsolutions_667"/>
      <sheetName val="__qmaxsolutions_669"/>
      <sheetName val="__qmaxsolutions_673"/>
      <sheetName val="__qmaxsolutions_671"/>
      <sheetName val="__qmaxsolutions_672"/>
      <sheetName val="__qmaxsolutions_676"/>
      <sheetName val="__qmaxsolutions_674"/>
      <sheetName val="__qmaxsolutions_675"/>
      <sheetName val="__qmaxsolutions_680"/>
      <sheetName val="__qmaxsolutions_678"/>
      <sheetName val="__qmaxsolutions_679"/>
      <sheetName val="__qmaxsolutions_682"/>
      <sheetName val="__qmaxsolutions_684"/>
      <sheetName val="__qmaxsolutions_685"/>
      <sheetName val="__qmaxsolutions_687"/>
      <sheetName val="__qmaxsolutions_686"/>
      <sheetName val="__qmaxsolutions_688"/>
      <sheetName val="__qmaxsolutions_689"/>
      <sheetName val="__qmaxsolutions_690"/>
      <sheetName val="__qmaxsolutions_691"/>
      <sheetName val="__qmaxsolutions_693"/>
      <sheetName val="__qmaxsolutions_692"/>
      <sheetName val="__qmaxsolutions_694"/>
      <sheetName val="__qmaxsolutions_695"/>
      <sheetName val="__qmaxsolutions_697"/>
      <sheetName val="__qmaxsolutions_698"/>
      <sheetName val="__qmaxsolutions_699"/>
      <sheetName val="__qmaxsolutions_703"/>
      <sheetName val="__qmaxsolutions_702"/>
      <sheetName val="__qmaxsolutions_706"/>
      <sheetName val="__qmaxsolutions_704"/>
      <sheetName val="__qmaxsolutions_705"/>
      <sheetName val="__qmaxsolutions_707"/>
      <sheetName val="__qmaxsolutions_708"/>
      <sheetName val="__qmaxsolutions_709"/>
      <sheetName val="__qmaxsolutions_710"/>
      <sheetName val="__qmaxsolutions_711"/>
      <sheetName val="__qmaxsolutions_712"/>
      <sheetName val="__qmaxsolutions_713"/>
      <sheetName val="__qmaxsolutions_715"/>
      <sheetName val="__qmaxsolutions_714"/>
      <sheetName val="__qmaxsolutions_716"/>
      <sheetName val="__qmaxsolutions_717"/>
      <sheetName val="__qmaxsolutions_718"/>
      <sheetName val="__qmaxsolutions_719"/>
      <sheetName val="__qmaxsolutions_721"/>
      <sheetName val="__qmaxsolutions_723"/>
      <sheetName val="__qmaxsolutions_722"/>
      <sheetName val="__qmaxsolutions_724"/>
      <sheetName val="__qmaxsolutions_726"/>
      <sheetName val="__qmaxsolutions_725"/>
      <sheetName val="__qmaxsolutions_727"/>
      <sheetName val="__qmaxsolutions_728"/>
      <sheetName val="__qmaxsolutions_755"/>
      <sheetName val="__qmaxsolutions_753"/>
      <sheetName val="__qmaxsolutions_752"/>
      <sheetName val="__qmaxsolutions_750"/>
      <sheetName val="__qmaxsolutions_735"/>
      <sheetName val="__qmaxsolutions_734"/>
      <sheetName val="__qmaxsolutions_731"/>
      <sheetName val="__qmaxsolutions_730"/>
      <sheetName val="__qmaxsolutions_729"/>
      <sheetName val="__qmaxsolutions_732"/>
      <sheetName val="__qmaxsolutions_733"/>
      <sheetName val="__qmaxsolutions_740"/>
      <sheetName val="__qmaxsolutions_736"/>
      <sheetName val="__qmaxsolutions_737"/>
      <sheetName val="__qmaxsolutions_738"/>
      <sheetName val="__qmaxsolutions_739"/>
      <sheetName val="__qmaxsolutions_743"/>
      <sheetName val="__qmaxsolutions_741"/>
      <sheetName val="__qmaxsolutions_742"/>
      <sheetName val="__qmaxsolutions_744"/>
      <sheetName val="__qmaxsolutions_745"/>
      <sheetName val="__qmaxsolutions_746"/>
      <sheetName val="__qmaxsolutions_747"/>
      <sheetName val="__qmaxsolutions_748"/>
      <sheetName val="__qmaxsolutions_749"/>
      <sheetName val="__qmaxsolutions_751"/>
      <sheetName val="__qmaxsolutions_754"/>
      <sheetName val="__qmaxsolutions_760"/>
      <sheetName val="__qmaxsolutions_759"/>
      <sheetName val="__qmaxsolutions_757"/>
      <sheetName val="__qmaxsolutions_756"/>
      <sheetName val="__qmaxsolutions_758"/>
      <sheetName val="__qmaxsolutions_761"/>
      <sheetName val="__qmaxsolutions_763"/>
      <sheetName val="__qmaxsolutions_762"/>
      <sheetName val="__qmaxsolutions_766"/>
      <sheetName val="__qmaxsolutions_764"/>
      <sheetName val="__qmaxsolutions_765"/>
      <sheetName val="__qmaxsolutions_768"/>
      <sheetName val="__qmaxsolutions_767"/>
      <sheetName val="__qmaxsolutions_769"/>
      <sheetName val="__qmaxsolutions_771"/>
      <sheetName val="__qmaxsolutions_774"/>
      <sheetName val="__qmaxsolutions_772"/>
      <sheetName val="__qmaxsolutions_773"/>
      <sheetName val="Pro Forma BS"/>
      <sheetName val="CPANA Consolidated"/>
      <sheetName val="BASE REAL"/>
      <sheetName val="19. Shrink"/>
      <sheetName val="19_28. FY 2012 Avg. Trans"/>
      <sheetName val="35. Store Openings Summary"/>
      <sheetName val="45. Historical Financials"/>
      <sheetName val="35. Store Openings (New Capex)"/>
      <sheetName val="P and L"/>
      <sheetName val="GL"/>
      <sheetName val="Intang SAP"/>
      <sheetName val="16"/>
      <sheetName val="_POWE_1"/>
      <sheetName val="_Appl_1"/>
      <sheetName val="__na1_1"/>
      <sheetName val="__sfd_1"/>
      <sheetName val="_POWE10"/>
      <sheetName val="_POWE11"/>
      <sheetName val="_POWE12"/>
      <sheetName val="_POWE13"/>
      <sheetName val="_POWE14"/>
      <sheetName val="KISSAN"/>
      <sheetName val="[POWER5.XLA]__qmaxsolution_1100"/>
      <sheetName val="Sales_-_Report_First11"/>
      <sheetName val="POWER5_XLA16"/>
      <sheetName val="proforma_BS10"/>
      <sheetName val="Stock_Analysis10"/>
      <sheetName val="Company_summary_items10"/>
      <sheetName val="Deal_Info_&amp;_Print_Menu10"/>
      <sheetName val="Product_Trends10"/>
      <sheetName val="EBITDA_Bridge10"/>
      <sheetName val="WC_analytics_(+data_pages)10"/>
      <sheetName val="YEAR_1_10"/>
      <sheetName val="Sched_A910"/>
      <sheetName val="Historical_Actuals10"/>
      <sheetName val="Emory_Vols_Jan-Dec_200610"/>
      <sheetName val="PV_-_CTLM10"/>
      <sheetName val="PV_-_MTLK10"/>
      <sheetName val="Capital_Expenditure_Input_She10"/>
      <sheetName val="Operating_Expense_Input_Sheet10"/>
      <sheetName val="Pro_Forma_Income_Statement11"/>
      <sheetName val="GER_IFO_vs_Const11"/>
      <sheetName val="Europe_sales_Graph11"/>
      <sheetName val="EU_Ind_vs_EU_Cons11"/>
      <sheetName val="Scenario_Management10"/>
      <sheetName val="McKinley_P&amp;L11"/>
      <sheetName val="Entrada_Dados10"/>
      <sheetName val="Pro_Forma_Credit_10"/>
      <sheetName val="Main_Model11"/>
      <sheetName val="Newer_version11"/>
      <sheetName val="GL_Detail11"/>
      <sheetName val="Pro_Forma11"/>
      <sheetName val="_Cash_Flow10"/>
      <sheetName val="_P&amp;L-Projection10"/>
      <sheetName val="Dividend_Analysis_Assumptions10"/>
      <sheetName val="Deal_Matrix11"/>
      <sheetName val="Model_Driver11"/>
      <sheetName val="Insulin_Sales_-_NA11"/>
      <sheetName val="Insulin_Sales_-_EU11"/>
      <sheetName val="Insulin_Sales_-_Japan11"/>
      <sheetName val="General_Assump10"/>
      <sheetName val="Debt_&amp;_Interest10"/>
      <sheetName val="_PT_0810"/>
      <sheetName val="_PT_0710"/>
      <sheetName val="_PT_1110"/>
      <sheetName val="_PT_1010"/>
      <sheetName val="_PT_1210"/>
      <sheetName val="_PT_1310"/>
      <sheetName val="_PT_0910"/>
      <sheetName val="_PT_0110"/>
      <sheetName val="_PT_0410"/>
      <sheetName val="_PT_0510"/>
      <sheetName val="_PT_0310"/>
      <sheetName val="Données_Spéc_10"/>
      <sheetName val="Comet_Reference_Tab10"/>
      <sheetName val="Rev_Tracker10"/>
      <sheetName val="IS_&amp;_CF10"/>
      <sheetName val="\Applications\Microsoft_Offic10"/>
      <sheetName val="CloseTable_Prior10"/>
      <sheetName val="Co_List10"/>
      <sheetName val="Multiples_Summary10"/>
      <sheetName val="Royal_Carib__Model10"/>
      <sheetName val="BIS_LIST-NTH_1810"/>
      <sheetName val="2000_Activity11"/>
      <sheetName val="total_Commonwealth11"/>
      <sheetName val="CHK_REQ11"/>
      <sheetName val="SW_21221811"/>
      <sheetName val="N_TX_-_199711"/>
      <sheetName val="Customize_Your_Invoice11"/>
      <sheetName val="BASE_DATA10"/>
      <sheetName val="Drop_Down_Lists10"/>
      <sheetName val="CASH_FLOW_MONTH_FC10"/>
      <sheetName val="Inc_Stmt_MONTH_FC10"/>
      <sheetName val="BS_ASSETS_FC10"/>
      <sheetName val="Buyers_Competitors_(2)10"/>
      <sheetName val="Trial_Balance10"/>
      <sheetName val="SCIMED_Old10"/>
      <sheetName val="//na1_salesforce_com/Applicat10"/>
      <sheetName val="\J\Applications\Microsoft_Off10"/>
      <sheetName val="E&amp;Y_Format10"/>
      <sheetName val="Print_Controls10"/>
      <sheetName val="Input_Page10"/>
      <sheetName val="D_&amp;_A10"/>
      <sheetName val="Daily_Sales10"/>
      <sheetName val="chad10_June0210"/>
      <sheetName val="chad12_Dec0210"/>
      <sheetName val="Share_Prices10"/>
      <sheetName val="Consolidated_Financials10"/>
      <sheetName val="Equity_Index9"/>
      <sheetName val="//aodocs_altirnao_com/webdav/17"/>
      <sheetName val="//aodocs_altirnao_com/webdav/18"/>
      <sheetName val="Cap_Sheet9"/>
      <sheetName val="Cashflow_Model9"/>
      <sheetName val="Model_Summary9"/>
      <sheetName val="Purchase_vs__Rights9"/>
      <sheetName val="CIH_Sensitivities9"/>
      <sheetName val="Tables_for_Memo_Update_2-9-099"/>
      <sheetName val="Cost_Centers_and_PMTs9"/>
      <sheetName val="DAS_&amp;_Networking_Costs9"/>
      <sheetName val="input_for_decending_analysis9"/>
      <sheetName val="CG_Alloc9"/>
      <sheetName val="Stock_Chart9"/>
      <sheetName val="ROCE-WACC_EVtoEBITDA9"/>
      <sheetName val="Iss__Vol__(Outp_)9"/>
      <sheetName val="US_Ops_Account_Detail9"/>
      <sheetName val="[POWER5_XLA][POWER5_XLA][POWE10"/>
      <sheetName val="[POWER5_XLA][POWER5_XLA]\Appli9"/>
      <sheetName val="[POWER5_XLA][POWER5_XLA]//na1_9"/>
      <sheetName val="[POWER5_XLA][POWER5_XLA]\\sfdc9"/>
      <sheetName val="[POWER5_XLA]\Applications\Micr9"/>
      <sheetName val="[POWER5_XLA]//na1_salesforce_c9"/>
      <sheetName val="[POWER5_XLA]\\sfdc\DFS\Applica9"/>
      <sheetName val="[POWER5_XLA]//qmaxsolutions-my9"/>
      <sheetName val="[POWER5_XLA][POWER5_XLA]//qmax9"/>
      <sheetName val="[POWER5_XLA][POWER5_XLA]\J\App9"/>
      <sheetName val="[POWER5_XLA]\J\Applications\Mi9"/>
      <sheetName val="P&amp;L_by_Month9"/>
      <sheetName val="T_DCF9"/>
      <sheetName val="Inputs_&amp;_Pro_Formas9"/>
      <sheetName val="Cell_Links8"/>
      <sheetName val="Fin_Flows9"/>
      <sheetName val="Marketing_Stats9"/>
      <sheetName val="Sources_&amp;_Uses9"/>
      <sheetName val="Trending_Inc_Stmt9"/>
      <sheetName val="C_B__4_Installed8"/>
      <sheetName val="Sales_Forecast8"/>
      <sheetName val="Data_sheet9"/>
      <sheetName val="Control_Sheet9"/>
      <sheetName val="Pricing_Graphs8"/>
      <sheetName val="CoTrans_Input_Sheet8"/>
      <sheetName val="\Users\Dan\Library\Application9"/>
      <sheetName val="[POWER5_XLA]__qmaxsolutions_m65"/>
      <sheetName val="[POWER5_XLA]__qmaxsolutions_m66"/>
      <sheetName val="[POWER5_XLA]__qmaxsolutions_m67"/>
      <sheetName val="[POWER5_XLA]__qmaxsolutions_m68"/>
      <sheetName val="[POWER5_XLA]__qmaxsolutions_m69"/>
      <sheetName val="[POWER5_XLA]__qmaxsolutions_m70"/>
      <sheetName val="[POWER5_XLA]__qmaxsolutions_m71"/>
      <sheetName val="[POWER5_XLA]__qmaxsolutions_m72"/>
      <sheetName val="Statement_of_Cash_Flows9"/>
      <sheetName val="BU_Logic8"/>
      <sheetName val="Comps_Table9"/>
      <sheetName val="Rev_Build8"/>
      <sheetName val="WACC_Analysis8"/>
      <sheetName val="Gastos_Detallados_Opt8"/>
      <sheetName val="Combined_Divisionals8"/>
      <sheetName val="P&amp;L_Tables_For_Report8"/>
      <sheetName val="CHARTS_for_report8"/>
      <sheetName val="Corp_Brd8"/>
      <sheetName val="Master_Comps8"/>
      <sheetName val="Share_Repurchase_Benchmarking8"/>
      <sheetName val="Risc_Financiero8"/>
      <sheetName val="Lookup_Tables8"/>
      <sheetName val="Covenant_Wksht9"/>
      <sheetName val="Asset_(VIN)_Data8"/>
      <sheetName val="Portfolio_Budget8"/>
      <sheetName val="Item_Data8"/>
      <sheetName val="CoCos_Output_Sheet8"/>
      <sheetName val="A_CUENTA8"/>
      <sheetName val="Lease_summary8"/>
      <sheetName val="2018_All_Brands9"/>
      <sheetName val="2018_Lipoflavonoid9"/>
      <sheetName val="2018_Florajen9"/>
      <sheetName val="2018_CertainDri9"/>
      <sheetName val="2018_Cystex9"/>
      <sheetName val="2018_Absorbine9"/>
      <sheetName val="2018_Albolene9"/>
      <sheetName val="2018_AntiMonkeyButt9"/>
      <sheetName val="2018_Non_Branded_0009"/>
      <sheetName val="Rexall_Sundown8"/>
      <sheetName val="SD_and_NB_Magazine8"/>
      <sheetName val="OP_Sum8"/>
      <sheetName val="commercial_construction8"/>
      <sheetName val="crack_spreads8"/>
      <sheetName val="new_orders8"/>
      <sheetName val="IFO_Manufacturing_Business_Cli8"/>
      <sheetName val="Power_&amp;_Fuel(SMS)8"/>
      <sheetName val="Issue_Log8"/>
      <sheetName val="Asset_Transfer_Screen_Shot8"/>
      <sheetName val="Asset_Proposal_List8"/>
      <sheetName val="Asset_Proposal-Screen_Shots8"/>
      <sheetName val="Data_Import_Template8"/>
      <sheetName val="New_Asset_List8"/>
      <sheetName val="New_Asset_Screen_Shots8"/>
      <sheetName val="FAMAsset_as_of_12_31_188"/>
      <sheetName val="LC_PF8"/>
      <sheetName val="FIRE_ALARM8"/>
      <sheetName val="FX_Rates8"/>
      <sheetName val="Summary_Exhibit_II8"/>
      <sheetName val="//na1_salesforce_co8"/>
      <sheetName val="//qmaxsolutions-my_8"/>
      <sheetName val="[POWER5_XLA][POWER58"/>
      <sheetName val="[POWER5_XLA]\Applic8"/>
      <sheetName val="[POWER5_XLA]//na1_s8"/>
      <sheetName val="[POWER5_XLA]\\sfdc\8"/>
      <sheetName val="[POWER5_XLA]//qmaxs8"/>
      <sheetName val="[POWER5_XLA]\J\Appl8"/>
      <sheetName val="Employee_Data8"/>
      <sheetName val="Tax_Stock_deal8"/>
      <sheetName val="Tax_Asset_deal8"/>
      <sheetName val="Tax_S_Corp8"/>
      <sheetName val="Financial_Request_List8"/>
      <sheetName val="Tax_Request_List8"/>
      <sheetName val="Cash_proof8"/>
      <sheetName val="TB_-_IS8"/>
      <sheetName val="TB_BS8"/>
      <sheetName val="GT_Discussion&gt;8"/>
      <sheetName val="COR_-_SoftwareHardware_Maint8"/>
      <sheetName val="COR_-_Consultants8"/>
      <sheetName val="COR_-_Co_hosting8"/>
      <sheetName val="Opex-Professional_services8"/>
      <sheetName val="GT_Custom9"/>
      <sheetName val="Data_Input8"/>
      <sheetName val="novmar_actuals8"/>
      <sheetName val="06-030_Capital_Gains_and_Losse8"/>
      <sheetName val="Area_by_JC8"/>
      <sheetName val="Debt_Amortization8"/>
      <sheetName val="Vector_Inputs8"/>
      <sheetName val="WC2_(2)8"/>
      <sheetName val="EFASB13_(US-12)8"/>
      <sheetName val="chart_of_accounts8"/>
      <sheetName val="ISQ_LBO_-_Full_Company8"/>
      <sheetName val="Program_Loss_Control7"/>
      <sheetName val="MM_Mapping8"/>
      <sheetName val="Customer_split8"/>
      <sheetName val="Depr_Amortisation_check8"/>
      <sheetName val="Working_capital8"/>
      <sheetName val="Summary_Financial_Statement8"/>
      <sheetName val="Op_Balances_20198"/>
      <sheetName val="Look_up8"/>
      <sheetName val="AOP_Summary-28"/>
      <sheetName val="Dividend_IPORecap_Analysis8"/>
      <sheetName val="investment-_acounting8"/>
      <sheetName val="Cash_flow_worksheet8"/>
      <sheetName val="Inc_Stmt8"/>
      <sheetName val="Bal_Sht8"/>
      <sheetName val="Wound_Case8"/>
      <sheetName val="Data_Validation8"/>
      <sheetName val="2015_Forecast8"/>
      <sheetName val="Gross_Margin_Build8"/>
      <sheetName val="Output_Model8"/>
      <sheetName val="Cover_Page8"/>
      <sheetName val="Transmittal_Letter8"/>
      <sheetName val="Key_Analyses8"/>
      <sheetName val="Adjusted_Summary_P&amp;L8"/>
      <sheetName val="NWC_Analysis8"/>
      <sheetName val="Adjusted_NWC_Graph8"/>
      <sheetName val="GSM_Analyses8"/>
      <sheetName val="GSM_Bridge_FY17_-_FY188"/>
      <sheetName val="GSM_Bridge_FY18_-_FY198"/>
      <sheetName val="Grace_-_Alum8"/>
      <sheetName val="Grace_-_LSA8"/>
      <sheetName val="Grace_-_ACH8"/>
      <sheetName val="Shell_-_Alum8"/>
      <sheetName val="Shell_-_LSA8"/>
      <sheetName val="Detailed_IS8"/>
      <sheetName val="Balance_Sheet_Summary8"/>
      <sheetName val="Scope_Reconciliation8"/>
      <sheetName val="Equity_Database8"/>
      <sheetName val="MARKET_PRICES8"/>
      <sheetName val="RED_Forecast8"/>
      <sheetName val="TEN_side8"/>
      <sheetName val="Balance_Sheet_Standard_-Feb8"/>
      <sheetName val="Balance_Sheet_Standard8"/>
      <sheetName val="Balance_sheet_Actual_to_Budget8"/>
      <sheetName val="Balance_sheet_Actual_to_Bud_Fe8"/>
      <sheetName val="Feb_198"/>
      <sheetName val="Mar_198"/>
      <sheetName val="April_198"/>
      <sheetName val="May_20198"/>
      <sheetName val="June_198"/>
      <sheetName val="July_20198"/>
      <sheetName val="Aug_20198"/>
      <sheetName val="cash_flow-_Monthly_(2)8"/>
      <sheetName val="cash_flow_monthly8"/>
      <sheetName val="cash_flow_YTD_8"/>
      <sheetName val="Budgeted_BS_2018-198"/>
      <sheetName val="cash_flow-_2018-198"/>
      <sheetName val="Budget_cash_flow_20188"/>
      <sheetName val="Cons_(2)8"/>
      <sheetName val="GHA_orig8"/>
      <sheetName val="Roll_Up_Fee_Class"/>
      <sheetName val="Downside_Financial_Model"/>
      <sheetName val="[POWER5_XLA]__qmaxsolutions1479"/>
      <sheetName val="[POWER5_XLA]__qmaxsolutions1480"/>
      <sheetName val="[POWER5_XLA]__qmaxsolutions1481"/>
      <sheetName val="[POWER5_XLA]__qmaxsolutions1482"/>
      <sheetName val="[POWER5_XLA]__qmaxsolutions1483"/>
      <sheetName val="[POWER5_XLA]__qmaxsolutions1484"/>
      <sheetName val="[POWER5_XLA]__qmaxsolutions1485"/>
      <sheetName val="[POWER5_XLA]__qmaxsolutions1486"/>
      <sheetName val="[POWER5_XLA]__qmaxsolutions1487"/>
      <sheetName val="[POWER5_XLA]__qmaxsolutions1488"/>
      <sheetName val="[POWER5_XLA]__qmaxsolutions1489"/>
      <sheetName val="[POWER5_XLA]__qmaxsolutions1490"/>
      <sheetName val="[POWER5_XLA]__qmaxsolutions1491"/>
      <sheetName val="[POWER5_XLA]__qmaxsolutions1492"/>
      <sheetName val="[POWER5_XLA]__qmaxsolutions1493"/>
      <sheetName val="[POWER5_XLA]__qmaxsolutions1494"/>
      <sheetName val="[POWER5_XLA]__qmaxsolutions1495"/>
      <sheetName val="[POWER5_XLA]__qmaxsolutions1496"/>
      <sheetName val="[POWER5_XLA]__qmaxsolutions1497"/>
      <sheetName val="[POWER5_XLA]__qmaxsolutions1498"/>
      <sheetName val="[POWER5_XLA]__qmaxsolutions1499"/>
      <sheetName val="[POWER5_XLA]__qmaxsolutions1500"/>
      <sheetName val="[POWER5_XLA]__qmaxsolutions1501"/>
      <sheetName val="[POWER5_XLA]__qmaxsolutions1502"/>
      <sheetName val="[POWER5_XLA]__qmaxsolutions1503"/>
      <sheetName val="[POWER5_XLA]__qmaxsolutions1504"/>
      <sheetName val="[POWER5_XLA]__qmaxsolutions1505"/>
      <sheetName val="[POWER5_XLA]__qmaxsolutions1506"/>
      <sheetName val="[POWER5_XLA]__qmaxsolutions1507"/>
      <sheetName val="[POWER5_XLA]__qmaxsolutions1508"/>
      <sheetName val="[POWER5_XLA]__qmaxsolutions1509"/>
      <sheetName val="[POWER5_XLA]__qmaxsolutions1510"/>
      <sheetName val="[POWER5_XLA]__qmaxsolutions1511"/>
      <sheetName val="[POWER5_XLA]__qmaxsolutions1512"/>
      <sheetName val="[POWER5_XLA]__qmaxsolutions1513"/>
      <sheetName val="[POWER5_XLA]__qmaxsolutions1514"/>
      <sheetName val="[POWER5_XLA]__qmaxsolutions1515"/>
      <sheetName val="[POWER5_XLA]__qmaxsolutions1516"/>
      <sheetName val="[POWER5_XLA]__qmaxsolutions1517"/>
      <sheetName val="[POWER5_XLA]__qmaxsolutions1518"/>
      <sheetName val="[POWER5_XLA]__qmaxsolutions1519"/>
      <sheetName val="[POWER5_XLA]__qmaxsolutions1520"/>
      <sheetName val="[POWER5_XLA]__qmaxsolutions1521"/>
      <sheetName val="[POWER5_XLA]__qmaxsolutions1522"/>
      <sheetName val="[POWER5_XLA]__qmaxsolutions1523"/>
      <sheetName val="[POWER5_XLA]__qmaxsolutions1524"/>
      <sheetName val="[POWER5_XLA]__qmaxsolutions1525"/>
      <sheetName val="[POWER5_XLA]__qmaxsolutions1526"/>
      <sheetName val="[POWER5_XLA]__qmaxsolutions1527"/>
      <sheetName val="[POWER5_XLA]__qmaxsolutions1528"/>
      <sheetName val="[POWER5_XLA]__qmaxsolutions1529"/>
      <sheetName val="[POWER5_XLA]__qmaxsolutions1530"/>
      <sheetName val="[POWER5_XLA]__qmaxsolutions1531"/>
      <sheetName val="[POWER5_XLA]__qmaxsolutions1532"/>
      <sheetName val="[POWER5_XLA]__qmaxsolutions1533"/>
      <sheetName val="[POWER5_XLA]__qmaxsolutions1534"/>
      <sheetName val="[POWER5_XLA]__qmaxsolutions1535"/>
      <sheetName val="[POWER5_XLA]__qmaxsolutions1536"/>
      <sheetName val="[POWER5_XLA]__qmaxsolutions1537"/>
      <sheetName val="[POWER5_XLA]__qmaxsolutions1538"/>
      <sheetName val="[POWER5_XLA]__qmaxsolutions1539"/>
      <sheetName val="[POWER5_XLA]__qmaxsolutions1540"/>
      <sheetName val="[POWER5_XLA]__qmaxsolutions1541"/>
      <sheetName val="[POWER5_XLA]__qmaxsolutions1542"/>
      <sheetName val="[POWER5_XLA]__qmaxsolutions1543"/>
      <sheetName val="[POWER5_XLA]__qmaxsolutions1544"/>
      <sheetName val="[POWER5_XLA]__qmaxsolutions1545"/>
      <sheetName val="[POWER5_XLA]__qmaxsolutions1546"/>
      <sheetName val="[POWER5_XLA]__qmaxsolutions1547"/>
      <sheetName val="[POWER5_XLA]__qmaxsolutions1548"/>
      <sheetName val="[POWER5_XLA]__qmaxsolutions1549"/>
      <sheetName val="[POWER5_XLA]__qmaxsolutions1550"/>
      <sheetName val="[POWER5_XLA]__qmaxsolutions1551"/>
      <sheetName val="[POWER5_XLA]__qmaxsolutions1552"/>
      <sheetName val="[POWER5_XLA]__qmaxsolutions1553"/>
      <sheetName val="[POWER5_XLA]__qmaxsolutions1554"/>
      <sheetName val="[POWER5_XLA]__qmaxsolutions1555"/>
      <sheetName val="[POWER5_XLA]__qmaxsolutions1556"/>
      <sheetName val="[POWER5_XLA]__qmaxsolutions1557"/>
      <sheetName val="[POWER5_XLA]__qmaxsolutions1558"/>
      <sheetName val="[POWER5_XLA]__qmaxsolutions1559"/>
      <sheetName val="[POWER5_XLA]__qmaxsolutions1560"/>
      <sheetName val="[POWER5_XLA]__qmaxsolutions1561"/>
      <sheetName val="[POWER5_XLA]__qmaxsolutions1562"/>
      <sheetName val="[POWER5_XLA]__qmaxsolutions1563"/>
      <sheetName val="[POWER5_XLA]__qmaxsolutions1564"/>
      <sheetName val="[POWER5_XLA]__qmaxsolutions1565"/>
      <sheetName val="[POWER5_XLA]__qmaxsolutions1566"/>
      <sheetName val="[POWER5_XLA]__qmaxsolutions1567"/>
      <sheetName val="[POWER5_XLA]__qmaxsolutions1568"/>
      <sheetName val="[POWER5_XLA]__qmaxsolutions1569"/>
      <sheetName val="Backlog_LOI"/>
      <sheetName val="[POWER5_XLA]__qmaxsolutions1570"/>
      <sheetName val="[POWER5_XLA]__qmaxsolutions1571"/>
      <sheetName val="[POWER5_XLA]__qmaxsolutions1572"/>
      <sheetName val="[POWER5_XLA]__qmaxsolutions1573"/>
      <sheetName val="[POWER5_XLA]__qmaxsolutions1574"/>
      <sheetName val="[POWER5_XLA]__qmaxsolutions1575"/>
      <sheetName val="[POWER5_XLA]__qmaxsolutions1576"/>
      <sheetName val="[POWER5_XLA]__qmaxsolutions1577"/>
      <sheetName val="[POWER5_XLA]__qmaxsolutions1578"/>
      <sheetName val="[POWER5_XLA]__qmaxsolutions1579"/>
      <sheetName val="[POWER5_XLA]__qmaxsolutions1580"/>
      <sheetName val="[POWER5_XLA]__qmaxsolutions1581"/>
      <sheetName val="[POWER5_XLA]__qmaxsolutions1582"/>
      <sheetName val="[POWER5_XLA]__qmaxsolutions1583"/>
      <sheetName val="[POWER5_XLA]__qmaxsolutions1584"/>
      <sheetName val="[POWER5_XLA]__qmaxsolutions1585"/>
      <sheetName val="[POWER5_XLA]__qmaxsolutions1586"/>
      <sheetName val="[POWER5.XLA]__qmaxsolution_1102"/>
      <sheetName val="[POWER5.XLA]__qmaxsolution_1101"/>
      <sheetName val="Name Refs"/>
      <sheetName val="cashflow"/>
      <sheetName val="080 (2)"/>
      <sheetName val="[POWER5.XLA]__d_docs_live_n_141"/>
      <sheetName val="[POWER5.XLA]__d_docs_live_n_140"/>
      <sheetName val="[POWER5.XLA]__d_docs_live_n_142"/>
      <sheetName val="[POWER5.XLA]__d_docs_live_n_143"/>
      <sheetName val="[POWER5.XLA]__d_docs_live_n_148"/>
      <sheetName val="[POWER5.XLA]__d_docs_live_n_144"/>
      <sheetName val="[POWER5.XLA]__d_docs_live_n_145"/>
      <sheetName val="[POWER5.XLA]__d_docs_live_n_146"/>
      <sheetName val="[POWER5.XLA]__d_docs_live_n_147"/>
      <sheetName val="[POWER5.XLA]__d_docs_live_n_150"/>
      <sheetName val="[POWER5.XLA]__d_docs_live_n_149"/>
      <sheetName val="[POWER5.XLA]__d_docs_live_n_152"/>
      <sheetName val="[POWER5.XLA]__d_docs_live_n_151"/>
      <sheetName val="[POWER5.XLA]__soferadvisors_352"/>
      <sheetName val="[POWER5.XLA]__soferadvisors_353"/>
      <sheetName val="[POWER5.XLA]__soferadvisors_354"/>
      <sheetName val="[POWER5.XLA]__soferadvisors_355"/>
      <sheetName val="[POWER5.XLA]__soferadvisors_358"/>
      <sheetName val="[POWER5.XLA]__soferadvisors_357"/>
      <sheetName val="[POWER5.XLA]__soferadvisors_356"/>
      <sheetName val="[POWER5.XLA]__soferadvisors_359"/>
      <sheetName val="[POWER5.XLA]__qmaxsolution_1103"/>
      <sheetName val="[POWER5.XLA]__qmaxsolution_1109"/>
      <sheetName val="[POWER5.XLA]__qmaxsolution_1104"/>
      <sheetName val="[POWER5.XLA]__qmaxsolution_1105"/>
      <sheetName val="[POWER5.XLA]__qmaxsolution_1106"/>
      <sheetName val="[POWER5.XLA]__qmaxsolution_1107"/>
      <sheetName val="[POWER5.XLA]__qmaxsolution_1108"/>
      <sheetName val="[POWER5.XLA]__qmaxsolution_1110"/>
      <sheetName val="[POWER5.XLA]__qmaxsolution_1111"/>
      <sheetName val="[POWER5.XLA]__qmaxsolution_1112"/>
      <sheetName val="Mezz Interest Calc"/>
      <sheetName val="Q1 2012"/>
      <sheetName val="Statistics"/>
      <sheetName val="[POWER5.XLA]__qmaxsolution_1113"/>
      <sheetName val="[POWER5_XLA]__d_docs_live_n_111"/>
      <sheetName val="[POWER5_XLA]__d_docs_live_n_113"/>
      <sheetName val="[POWER5_XLA]__d_docs_live_n_112"/>
      <sheetName val="[POWER5_XLA]__d_docs_live_n_115"/>
      <sheetName val="[POWER5_XLA]__d_docs_live_n_114"/>
      <sheetName val="[POWER5_XLA]__localhost_Appli_2"/>
      <sheetName val="[POWER5_XLA]__soferadvisors_113"/>
      <sheetName val="[POWER5_XLA]__soferadvisors_118"/>
      <sheetName val="[POWER5_XLA]__soferadvisors_115"/>
      <sheetName val="[POWER5_XLA]__soferadvisors_114"/>
      <sheetName val="[POWER5_XLA]__soferadvisors_117"/>
      <sheetName val="[POWER5_XLA]__soferadvisors_116"/>
      <sheetName val="[POWER5_XLA]__soferadvisors_119"/>
      <sheetName val="[POWER5_XLA]__soferadvisors_120"/>
      <sheetName val="[POWER5_XLA]__soferadvisors_122"/>
      <sheetName val="[POWER5_XLA]__soferadvisors_121"/>
      <sheetName val="[POWER5_XLA]__soferadvisors_123"/>
      <sheetName val="[POWER5_XLA]__soferadvisors_125"/>
      <sheetName val="[POWER5_XLA]__soferadvisors_124"/>
      <sheetName val="[POWER5_XLA]__soferadvisors_126"/>
      <sheetName val="[POWER5_XLA]__soferadvisors_127"/>
      <sheetName val="Prog_Amort"/>
      <sheetName val="Input_Sheet"/>
      <sheetName val="[POWER5_XLA]__qmaxsolutions1587"/>
      <sheetName val="[POWER5_XLA]__qmaxsolutions1588"/>
      <sheetName val="[POWER5_XLA]__qmaxsolutions1589"/>
      <sheetName val="[POWER5_XLA]__qmaxsolutions1590"/>
      <sheetName val="[POWER5_XLA]__qmaxsolutions1591"/>
      <sheetName val="[POWER5_XLA]__qmaxsolutions1592"/>
      <sheetName val="[POWER5_XLA]__qmaxsolutions1593"/>
      <sheetName val="[POWER5_XLA]__qmaxsolutions1594"/>
      <sheetName val="[POWER5_XLA]__qmaxsolutions1595"/>
      <sheetName val="[POWER5_XLA]__qmaxsolutions1596"/>
      <sheetName val="[POWER5_XLA]__qmaxsolutions1597"/>
      <sheetName val="[POWER5_XLA]__qmaxsolutions1598"/>
      <sheetName val="[POWER5_XLA]__qmaxsolutions1599"/>
      <sheetName val="[POWER5_XLA]__qmaxsolutions1600"/>
      <sheetName val="[POWER5_XLA]__qmaxsolutions1601"/>
      <sheetName val="[POWER5_XLA]__qmaxsolutions1602"/>
      <sheetName val="[POWER5_XLA]__qmaxsolutions1603"/>
      <sheetName val="[POWER5_XLA]__qmaxsolutions1604"/>
      <sheetName val="[POWER5_XLA]__qmaxsolutions1605"/>
      <sheetName val="[POWER5_XLA]__qmaxsolutions1606"/>
      <sheetName val="[POWER5_XLA]__qmaxsolutions1607"/>
      <sheetName val="[POWER5_XLA]__qmaxsolutions1608"/>
      <sheetName val="[POWER5_XLA]__qmaxsolutions1609"/>
      <sheetName val="[POWER5_XLA]__qmaxsolutions1610"/>
      <sheetName val="[POWER5_XLA]__qmaxsolutions1611"/>
      <sheetName val="[POWER5_XLA]__qmaxsolutions1612"/>
      <sheetName val="[POWER5_XLA]__qmaxsolutions1613"/>
      <sheetName val="[POWER5_XLA]__qmaxsolutions1614"/>
      <sheetName val="[POWER5_XLA]__qmaxsolutions1615"/>
      <sheetName val="[POWER5_XLA]__qmaxsolutions1616"/>
      <sheetName val="[POWER5_XLA]__qmaxsolutions1617"/>
      <sheetName val="[POWER5_XLA]__qmaxsolutions1618"/>
      <sheetName val="[POWER5_XLA]__qmaxsolutions1619"/>
      <sheetName val="[POWER5_XLA]__qmaxsolutions1620"/>
      <sheetName val="[POWER5_XLA]__qmaxsolutions1621"/>
      <sheetName val="DATA_BOOKINGS_-_SF"/>
      <sheetName val="DATA_REVENUE_-_SF"/>
      <sheetName val="1__Summary"/>
      <sheetName val="2__Detail_Variances"/>
      <sheetName val="3__12_Mo_P&amp;L"/>
      <sheetName val="4__Vendor_GL_Pivot"/>
      <sheetName val="5__Smartlist"/>
      <sheetName val="Control_Panel"/>
      <sheetName val="[POWER5_XLA]__qmaxsolutions1622"/>
      <sheetName val="[POWER5_XLA]__qmaxsolutions1623"/>
      <sheetName val="[POWER5.XLA]__qmaxsolution_1114"/>
      <sheetName val="2000"/>
      <sheetName val="LYO_(2)2"/>
      <sheetName val="Gerken_(2)2"/>
      <sheetName val="TMS_(2)2"/>
      <sheetName val="Fesler_(2)2"/>
      <sheetName val="Benham_(2)2"/>
      <sheetName val="LCD_(2)2"/>
      <sheetName val="Roberts_(2)2"/>
      <sheetName val="Hoffman_(2)2"/>
      <sheetName val="Baker_(2)2"/>
      <sheetName val="Victoria_(2)2"/>
      <sheetName val="Williams_(2)2"/>
      <sheetName val="Engel_(2)2"/>
      <sheetName val="Sonoran_(2)2"/>
      <sheetName val="MThurman_(2)2"/>
      <sheetName val="BThurman_(2)2"/>
      <sheetName val="DSA_(2)2"/>
      <sheetName val="Coastal_(2)2"/>
      <sheetName val="Chain_Info"/>
      <sheetName val="[POWER5.XLA]__qmaxsolution_1115"/>
      <sheetName val="[POWER5.XLA]__qmaxsolution_1117"/>
      <sheetName val="[POWER5.XLA]__qmaxsolution_1116"/>
      <sheetName val="Common_IS"/>
      <sheetName val="Mult-LTM-1"/>
      <sheetName val="Outstanding Borrowings"/>
      <sheetName val="[POWER5.XLA]__localhost_Appli_3"/>
      <sheetName val="[POWER5.XLA]//na1_s"/>
      <sheetName val="[POWER5.XLA]__qmaxsolution_1118"/>
      <sheetName val="[POWER5.XLA]__qmaxsolution_1119"/>
      <sheetName val="[POWER5.XLA]__qmaxsolution_1120"/>
      <sheetName val="进口设备FOB总价表"/>
      <sheetName val="1.0 公司基本资料,索引及填表指示"/>
      <sheetName val="Asmptns"/>
      <sheetName val="进销存"/>
      <sheetName val="USD_Rates"/>
      <sheetName val="9609추"/>
      <sheetName val="Sheet4"/>
      <sheetName val="[POWER5.XLA]__soferadvisors_360"/>
      <sheetName val="[POWER5.XLA]__soferadvisors_361"/>
      <sheetName val="[POWER5.XLA]__soferadvisors_363"/>
      <sheetName val="[POWER5.XLA]__soferadvisors_362"/>
      <sheetName val="[POWER5.XLA]__soferadvisors_364"/>
      <sheetName val="[POWER5.XLA]__soferadvisors_365"/>
      <sheetName val="[POWER5.XLA]__soferadvisors_366"/>
      <sheetName val="[POWER5.XLA]__soferadvisors_368"/>
      <sheetName val="[POWER5.XLA]__soferadvisors_367"/>
      <sheetName val="[POWER5.XLA]__soferadvisors_369"/>
      <sheetName val="[POWER5.XLA]__soferadvisors_371"/>
      <sheetName val="[POWER5.XLA]__soferadvisors_370"/>
      <sheetName val="[POWER5.XLA]__soferadvisors_373"/>
      <sheetName val="[POWER5.XLA]__soferadvisors_372"/>
      <sheetName val="[POWER5.XLA]__soferadvisors_377"/>
      <sheetName val="[POWER5.XLA]__soferadvisors_376"/>
      <sheetName val="[POWER5.XLA]__soferadvisors_374"/>
      <sheetName val="[POWER5.XLA]__soferadvisors_375"/>
      <sheetName val="[POWER5.XLA]__soferadvisors_378"/>
      <sheetName val="[POWER5.XLA]__soferadvisors_379"/>
      <sheetName val="[POWER5.XLA]__soferadvisors_380"/>
      <sheetName val="[POWER5.XLA]__soferadvisors_388"/>
      <sheetName val="[POWER5.XLA]__soferadvisors_381"/>
      <sheetName val="[POWER5.XLA]__soferadvisors_382"/>
      <sheetName val="[POWER5.XLA]__soferadvisors_383"/>
      <sheetName val="[POWER5.XLA]__soferadvisors_384"/>
      <sheetName val="[POWER5.XLA]__soferadvisors_385"/>
      <sheetName val="[POWER5.XLA]__soferadvisors_386"/>
      <sheetName val="[POWER5.XLA]__soferadvisors_387"/>
      <sheetName val="[POWER5.XLA]__soferadvisors_389"/>
      <sheetName val="[POWER5.XLA]__soferadvisors_391"/>
      <sheetName val="[POWER5.XLA]__soferadvisors_390"/>
      <sheetName val="[POWER5.XLA]__soferadvisors_393"/>
      <sheetName val="[POWER5.XLA]__soferadvisors_392"/>
      <sheetName val="[POWER5.XLA]__soferadvisors_397"/>
      <sheetName val="[POWER5.XLA]__soferadvisors_394"/>
      <sheetName val="[POWER5.XLA]__soferadvisors_395"/>
      <sheetName val="[POWER5.XLA]__soferadvisors_396"/>
      <sheetName val="[POWER5.XLA]__soferadvisors_399"/>
      <sheetName val="[POWER5.XLA]__soferadvisors_398"/>
      <sheetName val="[POWER5.XLA]__soferadvisors_404"/>
      <sheetName val="[POWER5.XLA]__soferadvisors_400"/>
      <sheetName val="[POWER5.XLA]__soferadvisors_401"/>
      <sheetName val="[POWER5.XLA]__soferadvisors_402"/>
      <sheetName val="[POWER5.XLA]__soferadvisors_403"/>
      <sheetName val="[POWER5.XLA]__soferadvisors_405"/>
      <sheetName val="[POWER5.XLA]__soferadvisors_408"/>
      <sheetName val="[POWER5.XLA]__soferadvisors_406"/>
      <sheetName val="[POWER5.XLA]__soferadvisors_407"/>
      <sheetName val="[POWER5.XLA]__soferadvisors_410"/>
      <sheetName val="[POWER5.XLA]__soferadvisors_409"/>
      <sheetName val="[POWER5.XLA]__soferadvisors_416"/>
      <sheetName val="[POWER5.XLA]__soferadvisors_411"/>
      <sheetName val="[POWER5.XLA]__soferadvisors_412"/>
      <sheetName val="[POWER5.XLA]__soferadvisors_413"/>
      <sheetName val="[POWER5.XLA]__soferadvisors_414"/>
      <sheetName val="[POWER5.XLA]__soferadvisors_415"/>
      <sheetName val="[POWER5.XLA]__soferadvisors_417"/>
      <sheetName val="[POWER5.XLA]__qmaxsolution_1122"/>
      <sheetName val="[POWER5.XLA]__qmaxsolution_1121"/>
      <sheetName val="[POWER5.XLA]__qmaxsolution_1124"/>
      <sheetName val="[POWER5.XLA]__qmaxsolution_1123"/>
      <sheetName val="[POWER5.XLA]__qmaxsolution_1125"/>
      <sheetName val="[POWER5.XLA]__qmaxsolution_1126"/>
      <sheetName val="[POWER5.XLA]__qmaxsolution_1127"/>
      <sheetName val="[POWER5.XLA]__qmaxsolution_1128"/>
      <sheetName val="[POWER5.XLA]__qmaxsolution_1129"/>
      <sheetName val="Forecast"/>
      <sheetName val="Codes"/>
      <sheetName val="CREDIT"/>
      <sheetName val="Lead PL - GF - CM"/>
      <sheetName val="[POWER5.XLA]__qmaxsolution_1130"/>
      <sheetName val="[POWER5.XLA]__qmaxsolution_1544"/>
      <sheetName val="[POWER5.XLA]__qmaxsolution_1540"/>
      <sheetName val="[POWER5.XLA]__qmaxsolution_1146"/>
      <sheetName val="[POWER5.XLA]__qmaxsolution_1131"/>
      <sheetName val="[POWER5.XLA]__qmaxsolution_1132"/>
      <sheetName val="[POWER5.XLA]__qmaxsolution_1133"/>
      <sheetName val="[POWER5.XLA]__qmaxsolution_1135"/>
      <sheetName val="[POWER5.XLA]__qmaxsolution_1134"/>
      <sheetName val="[POWER5.XLA]__qmaxsolution_1136"/>
      <sheetName val="[POWER5.XLA]__qmaxsolution_1137"/>
      <sheetName val="[POWER5.XLA]__qmaxsolution_1138"/>
      <sheetName val="[POWER5.XLA]__qmaxsolution_1139"/>
      <sheetName val="[POWER5.XLA]__qmaxsolution_1140"/>
      <sheetName val="[POWER5.XLA]__qmaxsolution_1141"/>
      <sheetName val="[POWER5.XLA]__qmaxsolution_1143"/>
      <sheetName val="[POWER5.XLA]__qmaxsolution_1142"/>
      <sheetName val="[POWER5.XLA]__qmaxsolution_1144"/>
      <sheetName val="[POWER5.XLA]__qmaxsolution_1145"/>
      <sheetName val="[POWER5.XLA]__qmaxsolution_1154"/>
      <sheetName val="[POWER5.XLA]__qmaxsolution_1147"/>
      <sheetName val="[POWER5.XLA]__qmaxsolution_1148"/>
      <sheetName val="[POWER5.XLA]__qmaxsolution_1149"/>
      <sheetName val="[POWER5.XLA]__qmaxsolution_1150"/>
      <sheetName val="[POWER5.XLA]__qmaxsolution_1151"/>
      <sheetName val="[POWER5.XLA]__qmaxsolution_1152"/>
      <sheetName val="[POWER5.XLA]__qmaxsolution_1153"/>
      <sheetName val="[POWER5.XLA]__qmaxsolution_1158"/>
      <sheetName val="[POWER5.XLA]__qmaxsolution_1155"/>
      <sheetName val="[POWER5.XLA]__qmaxsolution_1156"/>
      <sheetName val="[POWER5.XLA]__qmaxsolution_1157"/>
      <sheetName val="[POWER5.XLA]__qmaxsolution_1159"/>
      <sheetName val="[POWER5.XLA]__qmaxsolution_1161"/>
      <sheetName val="[POWER5.XLA]__qmaxsolution_1160"/>
      <sheetName val="[POWER5.XLA]__qmaxsolution_1165"/>
      <sheetName val="[POWER5.XLA]__qmaxsolution_1162"/>
      <sheetName val="[POWER5.XLA]__qmaxsolution_1163"/>
      <sheetName val="[POWER5.XLA]__qmaxsolution_1164"/>
      <sheetName val="[POWER5.XLA]__qmaxsolution_1187"/>
      <sheetName val="[POWER5.XLA]__qmaxsolution_1168"/>
      <sheetName val="[POWER5.XLA]__qmaxsolution_1166"/>
      <sheetName val="[POWER5.XLA]__qmaxsolution_1167"/>
      <sheetName val="[POWER5.XLA]__qmaxsolution_1186"/>
      <sheetName val="[POWER5.XLA]__qmaxsolution_1169"/>
      <sheetName val="[POWER5.XLA]__qmaxsolution_1170"/>
      <sheetName val="[POWER5.XLA]__qmaxsolution_1171"/>
      <sheetName val="[POWER5.XLA]__qmaxsolution_1172"/>
      <sheetName val="[POWER5.XLA]__qmaxsolution_1173"/>
      <sheetName val="[POWER5.XLA]__qmaxsolution_1174"/>
      <sheetName val="[POWER5.XLA]__qmaxsolution_1175"/>
      <sheetName val="[POWER5.XLA]__qmaxsolution_1176"/>
      <sheetName val="[POWER5.XLA]__qmaxsolution_1177"/>
      <sheetName val="[POWER5.XLA]__qmaxsolution_1178"/>
      <sheetName val="[POWER5.XLA]__qmaxsolution_1179"/>
      <sheetName val="[POWER5.XLA]__qmaxsolution_1180"/>
      <sheetName val="[POWER5.XLA]__qmaxsolution_1181"/>
      <sheetName val="[POWER5.XLA]__qmaxsolution_1182"/>
      <sheetName val="[POWER5.XLA]__qmaxsolution_1183"/>
      <sheetName val="[POWER5.XLA]__qmaxsolution_1184"/>
      <sheetName val="[POWER5.XLA]__qmaxsolution_1185"/>
      <sheetName val="[POWER5.XLA]__qmaxsolution_1390"/>
      <sheetName val="[POWER5.XLA]__qmaxsolution_1188"/>
      <sheetName val="[POWER5.XLA]__qmaxsolution_1189"/>
      <sheetName val="[POWER5.XLA]__qmaxsolution_1190"/>
      <sheetName val="[POWER5.XLA]__qmaxsolution_1191"/>
      <sheetName val="[POWER5.XLA]__qmaxsolution_1192"/>
      <sheetName val="[POWER5.XLA]__qmaxsolution_1193"/>
      <sheetName val="[POWER5.XLA]__qmaxsolution_1194"/>
      <sheetName val="[POWER5.XLA]__qmaxsolution_1195"/>
      <sheetName val="[POWER5.XLA]__qmaxsolution_1196"/>
      <sheetName val="[POWER5.XLA]__qmaxsolution_1197"/>
      <sheetName val="[POWER5.XLA]__qmaxsolution_1198"/>
      <sheetName val="[POWER5.XLA]__qmaxsolution_1199"/>
      <sheetName val="[POWER5.XLA]__qmaxsolution_1200"/>
      <sheetName val="[POWER5.XLA]__qmaxsolution_1201"/>
      <sheetName val="[POWER5.XLA]__qmaxsolution_1202"/>
      <sheetName val="[POWER5.XLA]__qmaxsolution_1203"/>
      <sheetName val="[POWER5.XLA]__qmaxsolution_1204"/>
      <sheetName val="[POWER5.XLA]__qmaxsolution_1205"/>
      <sheetName val="[POWER5.XLA]__qmaxsolution_1206"/>
      <sheetName val="[POWER5.XLA]__qmaxsolution_1207"/>
      <sheetName val="[POWER5.XLA]__qmaxsolution_1208"/>
      <sheetName val="[POWER5.XLA]__qmaxsolution_1209"/>
      <sheetName val="[POWER5.XLA]__qmaxsolution_1210"/>
      <sheetName val="[POWER5.XLA]__qmaxsolution_1211"/>
      <sheetName val="[POWER5.XLA]__qmaxsolution_1212"/>
      <sheetName val="[POWER5.XLA]__qmaxsolution_1213"/>
      <sheetName val="[POWER5.XLA]__qmaxsolution_1214"/>
      <sheetName val="[POWER5.XLA]__qmaxsolution_1215"/>
      <sheetName val="[POWER5.XLA]__qmaxsolution_1216"/>
      <sheetName val="[POWER5.XLA]__qmaxsolution_1217"/>
      <sheetName val="[POWER5.XLA]__qmaxsolution_1218"/>
      <sheetName val="[POWER5.XLA]__qmaxsolution_1219"/>
      <sheetName val="[POWER5.XLA]__qmaxsolution_1220"/>
      <sheetName val="[POWER5.XLA]__qmaxsolution_1221"/>
      <sheetName val="[POWER5.XLA]__qmaxsolution_1222"/>
      <sheetName val="[POWER5.XLA]__qmaxsolution_1223"/>
      <sheetName val="[POWER5.XLA]__qmaxsolution_1224"/>
      <sheetName val="[POWER5.XLA]__qmaxsolution_1225"/>
      <sheetName val="[POWER5.XLA]__qmaxsolution_1226"/>
      <sheetName val="[POWER5.XLA]__qmaxsolution_1227"/>
      <sheetName val="[POWER5.XLA]__qmaxsolution_1228"/>
      <sheetName val="[POWER5.XLA]__qmaxsolution_1229"/>
      <sheetName val="[POWER5.XLA]__qmaxsolution_1230"/>
      <sheetName val="[POWER5.XLA]__qmaxsolution_1231"/>
      <sheetName val="[POWER5.XLA]__qmaxsolution_1232"/>
      <sheetName val="[POWER5.XLA]__qmaxsolution_1233"/>
      <sheetName val="[POWER5.XLA]__qmaxsolution_1234"/>
      <sheetName val="[POWER5.XLA]__qmaxsolution_1235"/>
      <sheetName val="[POWER5.XLA]__qmaxsolution_1236"/>
      <sheetName val="[POWER5.XLA]__qmaxsolution_1237"/>
      <sheetName val="[POWER5.XLA]__qmaxsolution_1238"/>
      <sheetName val="[POWER5.XLA]__qmaxsolution_1239"/>
      <sheetName val="[POWER5.XLA]__qmaxsolution_1240"/>
      <sheetName val="[POWER5.XLA]__qmaxsolution_1241"/>
      <sheetName val="[POWER5.XLA]__qmaxsolution_1242"/>
      <sheetName val="[POWER5.XLA]__qmaxsolution_1243"/>
      <sheetName val="[POWER5.XLA]__qmaxsolution_1244"/>
      <sheetName val="[POWER5.XLA]__qmaxsolution_1245"/>
      <sheetName val="[POWER5.XLA]__qmaxsolution_1246"/>
      <sheetName val="[POWER5.XLA]__qmaxsolution_1247"/>
      <sheetName val="[POWER5.XLA]__qmaxsolution_1248"/>
      <sheetName val="[POWER5.XLA]__qmaxsolution_1249"/>
      <sheetName val="[POWER5.XLA]__qmaxsolution_1250"/>
      <sheetName val="[POWER5.XLA]__qmaxsolution_1251"/>
      <sheetName val="[POWER5.XLA]__qmaxsolution_1252"/>
      <sheetName val="[POWER5.XLA]__qmaxsolution_1253"/>
      <sheetName val="[POWER5.XLA]__qmaxsolution_1254"/>
      <sheetName val="[POWER5.XLA]__qmaxsolution_1255"/>
      <sheetName val="[POWER5.XLA]__qmaxsolution_1256"/>
      <sheetName val="[POWER5.XLA]__qmaxsolution_1257"/>
      <sheetName val="[POWER5.XLA]__qmaxsolution_1258"/>
      <sheetName val="[POWER5.XLA]__qmaxsolution_1259"/>
      <sheetName val="[POWER5.XLA]__qmaxsolution_1260"/>
      <sheetName val="[POWER5.XLA]__qmaxsolution_1261"/>
      <sheetName val="[POWER5.XLA]__qmaxsolution_1262"/>
      <sheetName val="[POWER5.XLA]__qmaxsolution_1263"/>
      <sheetName val="[POWER5.XLA]__qmaxsolution_1264"/>
      <sheetName val="[POWER5.XLA]__qmaxsolution_1265"/>
      <sheetName val="[POWER5.XLA]__qmaxsolution_1266"/>
      <sheetName val="[POWER5.XLA]__qmaxsolution_1267"/>
      <sheetName val="[POWER5.XLA]__qmaxsolution_1268"/>
      <sheetName val="[POWER5.XLA]__qmaxsolution_1269"/>
      <sheetName val="[POWER5.XLA]__qmaxsolution_1270"/>
      <sheetName val="[POWER5.XLA]__qmaxsolution_1271"/>
      <sheetName val="[POWER5.XLA]__qmaxsolution_1272"/>
      <sheetName val="[POWER5.XLA]__qmaxsolution_1273"/>
      <sheetName val="[POWER5.XLA]__qmaxsolution_1274"/>
      <sheetName val="[POWER5.XLA]__qmaxsolution_1275"/>
      <sheetName val="[POWER5.XLA]__qmaxsolution_1276"/>
      <sheetName val="[POWER5.XLA]__qmaxsolution_1277"/>
      <sheetName val="[POWER5.XLA]__qmaxsolution_1278"/>
      <sheetName val="[POWER5.XLA]__qmaxsolution_1279"/>
      <sheetName val="[POWER5.XLA]__qmaxsolution_1280"/>
      <sheetName val="[POWER5.XLA]__qmaxsolution_1281"/>
      <sheetName val="[POWER5.XLA]__qmaxsolution_1282"/>
      <sheetName val="[POWER5.XLA]__qmaxsolution_1283"/>
      <sheetName val="[POWER5.XLA]__qmaxsolution_1284"/>
      <sheetName val="[POWER5.XLA]__qmaxsolution_1285"/>
      <sheetName val="[POWER5.XLA]__qmaxsolution_1286"/>
      <sheetName val="[POWER5.XLA]__qmaxsolution_1287"/>
      <sheetName val="[POWER5.XLA]__qmaxsolution_1288"/>
      <sheetName val="[POWER5.XLA]__qmaxsolution_1289"/>
      <sheetName val="[POWER5.XLA]__qmaxsolution_1290"/>
      <sheetName val="[POWER5.XLA]__qmaxsolution_1291"/>
      <sheetName val="[POWER5.XLA]__qmaxsolution_1292"/>
      <sheetName val="[POWER5.XLA]__qmaxsolution_1293"/>
      <sheetName val="[POWER5.XLA]__qmaxsolution_1294"/>
      <sheetName val="[POWER5.XLA]__qmaxsolution_1295"/>
      <sheetName val="[POWER5.XLA]__qmaxsolution_1296"/>
      <sheetName val="[POWER5.XLA]__qmaxsolution_1297"/>
      <sheetName val="[POWER5.XLA]__qmaxsolution_1298"/>
      <sheetName val="[POWER5.XLA]__qmaxsolution_1299"/>
      <sheetName val="[POWER5.XLA]__qmaxsolution_1300"/>
      <sheetName val="[POWER5.XLA]__qmaxsolution_1301"/>
      <sheetName val="[POWER5.XLA]__qmaxsolution_1302"/>
      <sheetName val="[POWER5.XLA]__qmaxsolution_1303"/>
      <sheetName val="[POWER5.XLA]__qmaxsolution_1304"/>
      <sheetName val="[POWER5.XLA]__qmaxsolution_1305"/>
      <sheetName val="[POWER5.XLA]__qmaxsolution_1306"/>
      <sheetName val="[POWER5.XLA]__qmaxsolution_1307"/>
      <sheetName val="[POWER5.XLA]__qmaxsolution_1308"/>
      <sheetName val="[POWER5.XLA]__qmaxsolution_1309"/>
      <sheetName val="[POWER5.XLA]__qmaxsolution_1310"/>
      <sheetName val="[POWER5.XLA]__qmaxsolution_1311"/>
      <sheetName val="[POWER5.XLA]__qmaxsolution_1312"/>
      <sheetName val="[POWER5.XLA]__qmaxsolution_1313"/>
      <sheetName val="[POWER5.XLA]__qmaxsolution_1314"/>
      <sheetName val="[POWER5.XLA]__qmaxsolution_1315"/>
      <sheetName val="[POWER5.XLA]__qmaxsolution_1316"/>
      <sheetName val="[POWER5.XLA]__qmaxsolution_1317"/>
      <sheetName val="[POWER5.XLA]__qmaxsolution_1318"/>
      <sheetName val="[POWER5.XLA]__qmaxsolution_1319"/>
      <sheetName val="[POWER5.XLA]__qmaxsolution_1320"/>
      <sheetName val="[POWER5.XLA]__qmaxsolution_1321"/>
      <sheetName val="[POWER5.XLA]__qmaxsolution_1322"/>
      <sheetName val="[POWER5.XLA]__qmaxsolution_1323"/>
      <sheetName val="[POWER5.XLA]__qmaxsolution_1324"/>
      <sheetName val="[POWER5.XLA]__qmaxsolution_1325"/>
      <sheetName val="[POWER5.XLA]__qmaxsolution_1326"/>
      <sheetName val="[POWER5.XLA]__qmaxsolution_1327"/>
      <sheetName val="[POWER5.XLA]__qmaxsolution_1328"/>
      <sheetName val="[POWER5.XLA]__qmaxsolution_1329"/>
      <sheetName val="[POWER5.XLA]__qmaxsolution_1330"/>
      <sheetName val="[POWER5.XLA]__qmaxsolution_1331"/>
      <sheetName val="[POWER5.XLA]__qmaxsolution_1332"/>
      <sheetName val="[POWER5.XLA]__qmaxsolution_1333"/>
      <sheetName val="[POWER5.XLA]__qmaxsolution_1334"/>
      <sheetName val="[POWER5.XLA]__qmaxsolution_1335"/>
      <sheetName val="[POWER5.XLA]__qmaxsolution_1336"/>
      <sheetName val="[POWER5.XLA]__qmaxsolution_1337"/>
      <sheetName val="[POWER5.XLA]__qmaxsolution_1338"/>
      <sheetName val="[POWER5.XLA]__qmaxsolution_1339"/>
      <sheetName val="[POWER5.XLA]__qmaxsolution_1340"/>
      <sheetName val="[POWER5.XLA]__qmaxsolution_1341"/>
      <sheetName val="[POWER5.XLA]__qmaxsolution_1342"/>
      <sheetName val="[POWER5.XLA]__qmaxsolution_1343"/>
      <sheetName val="[POWER5.XLA]__qmaxsolution_1344"/>
      <sheetName val="[POWER5.XLA]__qmaxsolution_1345"/>
      <sheetName val="[POWER5.XLA]__qmaxsolution_1346"/>
      <sheetName val="[POWER5.XLA]__qmaxsolution_1347"/>
      <sheetName val="[POWER5.XLA]__qmaxsolution_1348"/>
      <sheetName val="[POWER5.XLA]__qmaxsolution_1349"/>
      <sheetName val="[POWER5.XLA]__qmaxsolution_1350"/>
      <sheetName val="[POWER5.XLA]__qmaxsolution_1351"/>
      <sheetName val="[POWER5.XLA]__qmaxsolution_1352"/>
      <sheetName val="[POWER5.XLA]__qmaxsolution_1353"/>
      <sheetName val="[POWER5.XLA]__qmaxsolution_1354"/>
      <sheetName val="[POWER5.XLA]__qmaxsolution_1355"/>
      <sheetName val="[POWER5.XLA]__qmaxsolution_1356"/>
      <sheetName val="[POWER5.XLA]__qmaxsolution_1357"/>
      <sheetName val="[POWER5.XLA]__qmaxsolution_1358"/>
      <sheetName val="[POWER5.XLA]__qmaxsolution_1359"/>
      <sheetName val="[POWER5.XLA]__qmaxsolution_1360"/>
      <sheetName val="[POWER5.XLA]__qmaxsolution_1361"/>
      <sheetName val="[POWER5.XLA]__qmaxsolution_1362"/>
      <sheetName val="[POWER5.XLA]__qmaxsolution_1363"/>
      <sheetName val="[POWER5.XLA]__qmaxsolution_1364"/>
      <sheetName val="[POWER5.XLA]__qmaxsolution_1365"/>
      <sheetName val="[POWER5.XLA]__qmaxsolution_1366"/>
      <sheetName val="[POWER5.XLA]__qmaxsolution_1367"/>
      <sheetName val="[POWER5.XLA]__qmaxsolution_1368"/>
      <sheetName val="[POWER5.XLA]__qmaxsolution_1369"/>
      <sheetName val="[POWER5.XLA]__qmaxsolution_1370"/>
      <sheetName val="[POWER5.XLA]__qmaxsolution_1371"/>
      <sheetName val="[POWER5.XLA]__qmaxsolution_1372"/>
      <sheetName val="[POWER5.XLA]__qmaxsolution_1373"/>
      <sheetName val="[POWER5.XLA]__qmaxsolution_1374"/>
      <sheetName val="[POWER5.XLA]__qmaxsolution_1375"/>
      <sheetName val="[POWER5.XLA]__qmaxsolution_1376"/>
      <sheetName val="[POWER5.XLA]__qmaxsolution_1377"/>
      <sheetName val="[POWER5.XLA]__qmaxsolution_1378"/>
      <sheetName val="[POWER5.XLA]__qmaxsolution_1379"/>
      <sheetName val="[POWER5.XLA]__qmaxsolution_1380"/>
      <sheetName val="[POWER5.XLA]__qmaxsolution_1381"/>
      <sheetName val="[POWER5.XLA]__qmaxsolution_1382"/>
      <sheetName val="[POWER5.XLA]__qmaxsolution_1383"/>
      <sheetName val="[POWER5.XLA]__qmaxsolution_1384"/>
      <sheetName val="[POWER5.XLA]__qmaxsolution_1385"/>
      <sheetName val="[POWER5.XLA]__qmaxsolution_1386"/>
      <sheetName val="[POWER5.XLA]__qmaxsolution_1387"/>
      <sheetName val="[POWER5.XLA]__qmaxsolution_1388"/>
      <sheetName val="[POWER5.XLA]__qmaxsolution_1389"/>
      <sheetName val="[POWER5.XLA]__qmaxsolution_1391"/>
      <sheetName val="[POWER5.XLA]__qmaxsolution_1441"/>
      <sheetName val="[POWER5.XLA]__qmaxsolution_1427"/>
      <sheetName val="[POWER5.XLA]__qmaxsolution_1392"/>
      <sheetName val="[POWER5.XLA]__qmaxsolution_1393"/>
      <sheetName val="[POWER5.XLA]__qmaxsolution_1394"/>
      <sheetName val="[POWER5.XLA]__qmaxsolution_1395"/>
      <sheetName val="[POWER5.XLA]__qmaxsolution_1396"/>
      <sheetName val="[POWER5.XLA]__qmaxsolution_1397"/>
      <sheetName val="[POWER5.XLA]__qmaxsolution_1398"/>
      <sheetName val="[POWER5.XLA]__qmaxsolution_1399"/>
      <sheetName val="[POWER5.XLA]__qmaxsolution_1400"/>
      <sheetName val="[POWER5.XLA]__qmaxsolution_1401"/>
      <sheetName val="[POWER5.XLA]__qmaxsolution_1402"/>
      <sheetName val="[POWER5.XLA]__qmaxsolution_1403"/>
      <sheetName val="[POWER5.XLA]__qmaxsolution_1404"/>
      <sheetName val="[POWER5.XLA]__qmaxsolution_1405"/>
      <sheetName val="[POWER5.XLA]__qmaxsolution_1406"/>
      <sheetName val="[POWER5.XLA]__qmaxsolution_1407"/>
      <sheetName val="[POWER5.XLA]__qmaxsolution_1408"/>
      <sheetName val="[POWER5.XLA]__qmaxsolution_1409"/>
      <sheetName val="[POWER5.XLA]__qmaxsolution_1410"/>
      <sheetName val="[POWER5.XLA]__qmaxsolution_1411"/>
      <sheetName val="[POWER5.XLA]__qmaxsolution_1412"/>
      <sheetName val="[POWER5.XLA]__qmaxsolution_1413"/>
      <sheetName val="[POWER5.XLA]__qmaxsolution_1414"/>
      <sheetName val="[POWER5.XLA]__qmaxsolution_1415"/>
      <sheetName val="[POWER5.XLA]__qmaxsolution_1416"/>
      <sheetName val="[POWER5.XLA]__qmaxsolution_1417"/>
      <sheetName val="[POWER5.XLA]__qmaxsolution_1418"/>
      <sheetName val="[POWER5.XLA]__qmaxsolution_1419"/>
      <sheetName val="[POWER5.XLA]__qmaxsolution_1420"/>
      <sheetName val="[POWER5.XLA]__qmaxsolution_1421"/>
      <sheetName val="[POWER5.XLA]__qmaxsolution_1422"/>
      <sheetName val="[POWER5.XLA]__qmaxsolution_1423"/>
      <sheetName val="[POWER5.XLA]__qmaxsolution_1424"/>
      <sheetName val="[POWER5.XLA]__qmaxsolution_1425"/>
      <sheetName val="[POWER5.XLA]__qmaxsolution_1426"/>
      <sheetName val="[POWER5.XLA]__qmaxsolution_1428"/>
      <sheetName val="[POWER5.XLA]__qmaxsolution_1429"/>
      <sheetName val="[POWER5.XLA]__qmaxsolution_1430"/>
      <sheetName val="[POWER5.XLA]__qmaxsolution_1431"/>
      <sheetName val="[POWER5.XLA]__qmaxsolution_1432"/>
      <sheetName val="[POWER5.XLA]__qmaxsolution_1433"/>
      <sheetName val="[POWER5.XLA]__qmaxsolution_1434"/>
      <sheetName val="[POWER5.XLA]__qmaxsolution_1435"/>
      <sheetName val="[POWER5.XLA]__qmaxsolution_1436"/>
      <sheetName val="[POWER5.XLA]__qmaxsolution_1437"/>
      <sheetName val="[POWER5.XLA]__qmaxsolution_1438"/>
      <sheetName val="[POWER5.XLA]__qmaxsolution_1439"/>
      <sheetName val="[POWER5.XLA]__qmaxsolution_1440"/>
      <sheetName val="[POWER5.XLA]__qmaxsolution_1445"/>
      <sheetName val="[POWER5.XLA]__qmaxsolution_1442"/>
      <sheetName val="[POWER5.XLA]__qmaxsolution_1444"/>
      <sheetName val="[POWER5.XLA]__qmaxsolution_1443"/>
      <sheetName val="[POWER5.XLA]__qmaxsolution_1447"/>
      <sheetName val="[POWER5.XLA]__qmaxsolution_1446"/>
      <sheetName val="[POWER5.XLA]__qmaxsolution_1448"/>
      <sheetName val="[POWER5.XLA]__qmaxsolution_1452"/>
      <sheetName val="[POWER5.XLA]__qmaxsolution_1449"/>
      <sheetName val="[POWER5.XLA]__qmaxsolution_1450"/>
      <sheetName val="[POWER5.XLA]__qmaxsolution_1451"/>
      <sheetName val="[POWER5.XLA]__qmaxsolution_1453"/>
      <sheetName val="[POWER5.XLA]__qmaxsolution_1454"/>
      <sheetName val="[POWER5.XLA]__qmaxsolution_1472"/>
      <sheetName val="[POWER5.XLA]__qmaxsolution_1455"/>
      <sheetName val="[POWER5.XLA]__qmaxsolution_1456"/>
      <sheetName val="[POWER5.XLA]__qmaxsolution_1457"/>
      <sheetName val="[POWER5.XLA]__qmaxsolution_1458"/>
      <sheetName val="[POWER5.XLA]__qmaxsolution_1459"/>
      <sheetName val="[POWER5.XLA]__qmaxsolution_1460"/>
      <sheetName val="[POWER5.XLA]__qmaxsolution_1461"/>
      <sheetName val="[POWER5.XLA]__qmaxsolution_1462"/>
      <sheetName val="[POWER5.XLA]__qmaxsolution_1463"/>
      <sheetName val="[POWER5.XLA]__qmaxsolution_1464"/>
      <sheetName val="[POWER5.XLA]__qmaxsolution_1465"/>
      <sheetName val="[POWER5.XLA]__qmaxsolution_1466"/>
      <sheetName val="[POWER5.XLA]__qmaxsolution_1467"/>
      <sheetName val="[POWER5.XLA]__qmaxsolution_1468"/>
      <sheetName val="[POWER5.XLA]__qmaxsolution_1469"/>
      <sheetName val="[POWER5.XLA]__qmaxsolution_1470"/>
      <sheetName val="[POWER5.XLA]__qmaxsolution_1471"/>
      <sheetName val="[POWER5.XLA]__qmaxsolution_1497"/>
      <sheetName val="[POWER5.XLA]__qmaxsolution_1473"/>
      <sheetName val="[POWER5.XLA]__qmaxsolution_1481"/>
      <sheetName val="[POWER5.XLA]__qmaxsolution_1474"/>
      <sheetName val="[POWER5.XLA]__qmaxsolution_1480"/>
      <sheetName val="[POWER5.XLA]__qmaxsolution_1475"/>
      <sheetName val="[POWER5.XLA]__qmaxsolution_1479"/>
      <sheetName val="[POWER5.XLA]__qmaxsolution_1478"/>
      <sheetName val="[POWER5.XLA]__qmaxsolution_1476"/>
      <sheetName val="[POWER5.XLA]__qmaxsolution_1477"/>
      <sheetName val="[POWER5.XLA]__qmaxsolution_1487"/>
      <sheetName val="[POWER5.XLA]__qmaxsolution_1482"/>
      <sheetName val="[POWER5.XLA]__qmaxsolution_1483"/>
      <sheetName val="[POWER5.XLA]__qmaxsolution_1485"/>
      <sheetName val="[POWER5.XLA]__qmaxsolution_1484"/>
      <sheetName val="[POWER5.XLA]__qmaxsolution_1486"/>
      <sheetName val="[POWER5.XLA]__qmaxsolution_1488"/>
      <sheetName val="[POWER5.XLA]__qmaxsolution_1489"/>
      <sheetName val="[POWER5.XLA]__qmaxsolution_1492"/>
      <sheetName val="[POWER5.XLA]__qmaxsolution_1490"/>
      <sheetName val="[POWER5.XLA]__qmaxsolution_1491"/>
      <sheetName val="[POWER5.XLA]__qmaxsolution_1493"/>
      <sheetName val="[POWER5.XLA]__qmaxsolution_1495"/>
      <sheetName val="[POWER5.XLA]__qmaxsolution_1494"/>
      <sheetName val="[POWER5.XLA]__qmaxsolution_1496"/>
      <sheetName val="[POWER5.XLA]__qmaxsolution_1501"/>
      <sheetName val="[POWER5.XLA]__qmaxsolution_1498"/>
      <sheetName val="[POWER5.XLA]__qmaxsolution_1499"/>
      <sheetName val="[POWER5.XLA]__qmaxsolution_1500"/>
      <sheetName val="[POWER5.XLA]__qmaxsolution_1502"/>
      <sheetName val="[POWER5.XLA]__qmaxsolution_1503"/>
      <sheetName val="[POWER5.XLA]__qmaxsolution_1513"/>
      <sheetName val="[POWER5.XLA]__qmaxsolution_1508"/>
      <sheetName val="[POWER5.XLA]__qmaxsolution_1504"/>
      <sheetName val="[POWER5.XLA]__qmaxsolution_1505"/>
      <sheetName val="[POWER5.XLA]__qmaxsolution_1506"/>
      <sheetName val="[POWER5.XLA]__qmaxsolution_1507"/>
      <sheetName val="[POWER5.XLA]__qmaxsolution_1509"/>
      <sheetName val="[POWER5.XLA]__qmaxsolution_1510"/>
      <sheetName val="[POWER5.XLA]__qmaxsolution_1512"/>
      <sheetName val="[POWER5.XLA]__qmaxsolution_1511"/>
      <sheetName val="[POWER5.XLA]__qmaxsolution_1517"/>
      <sheetName val="[POWER5.XLA]__qmaxsolution_1514"/>
      <sheetName val="[POWER5.XLA]__qmaxsolution_1515"/>
      <sheetName val="[POWER5.XLA]__qmaxsolution_1516"/>
      <sheetName val="[POWER5.XLA]__qmaxsolution_1520"/>
      <sheetName val="[POWER5.XLA]__qmaxsolution_1518"/>
      <sheetName val="[POWER5.XLA]__qmaxsolution_1519"/>
      <sheetName val="[POWER5.XLA]__qmaxsolution_1521"/>
      <sheetName val="[POWER5.XLA]__qmaxsolution_1522"/>
      <sheetName val="[POWER5.XLA]__qmaxsolution_1525"/>
      <sheetName val="[POWER5.XLA]__qmaxsolution_1524"/>
      <sheetName val="[POWER5.XLA]__qmaxsolution_1523"/>
      <sheetName val="[POWER5.XLA]__qmaxsolution_1529"/>
      <sheetName val="[POWER5.XLA]__qmaxsolution_1526"/>
      <sheetName val="[POWER5.XLA]__qmaxsolution_1527"/>
      <sheetName val="[POWER5.XLA]__qmaxsolution_1528"/>
      <sheetName val="[POWER5.XLA]__qmaxsolution_1536"/>
      <sheetName val="[POWER5.XLA]__qmaxsolution_1535"/>
      <sheetName val="[POWER5.XLA]__qmaxsolution_1530"/>
      <sheetName val="[POWER5.XLA]__qmaxsolution_1531"/>
      <sheetName val="[POWER5.XLA]__qmaxsolution_1532"/>
      <sheetName val="[POWER5.XLA]__qmaxsolution_1533"/>
      <sheetName val="[POWER5.XLA]__qmaxsolution_1534"/>
      <sheetName val="[POWER5.XLA]__qmaxsolution_1537"/>
      <sheetName val="[POWER5.XLA]__qmaxsolution_1538"/>
      <sheetName val="[POWER5.XLA]__qmaxsolution_1539"/>
      <sheetName val="[POWER5.XLA]__qmaxsolution_1543"/>
      <sheetName val="[POWER5.XLA]__qmaxsolution_1541"/>
      <sheetName val="[POWER5.XLA]__qmaxsolution_1542"/>
      <sheetName val="[POWER5.XLA]__qmaxsolution_1547"/>
      <sheetName val="[POWER5.XLA]__qmaxsolution_1545"/>
      <sheetName val="[POWER5.XLA]__qmaxsolution_1546"/>
      <sheetName val="[POWER5.XLA]__qmaxsolution_1548"/>
      <sheetName val="[POWER5.XLA]__qmaxsolution_1549"/>
      <sheetName val="[POWER5.XLA]__qmaxsolution_1550"/>
      <sheetName val="[POWER5.XLA]__qmaxsolution_1551"/>
      <sheetName val="[POWER5.XLA]__qmaxsolution_1552"/>
      <sheetName val="[POWER5.XLA]__qmaxsolution_1553"/>
      <sheetName val="[POWER5.XLA]__qmaxsolution_1554"/>
      <sheetName val="[POWER5.XLA]__qmaxsolution_1555"/>
      <sheetName val="[POWER5.XLA]__qmaxsolution_1556"/>
      <sheetName val="[POWER5.XLA]__qmaxsolution_1558"/>
      <sheetName val="[POWER5.XLA]__qmaxsolution_1557"/>
      <sheetName val="[POWER5.XLA]__qmaxsolution_1561"/>
      <sheetName val="[POWER5.XLA]__qmaxsolution_1559"/>
      <sheetName val="[POWER5.XLA]__qmaxsolution_1560"/>
      <sheetName val="[POWER5.XLA]__qmaxsolution_1562"/>
      <sheetName val="[POWER5.XLA]__qmaxsolution_1564"/>
      <sheetName val="[POWER5.XLA]__qmaxsolution_1563"/>
      <sheetName val="[POWER5.XLA]__qmaxsolution_1565"/>
      <sheetName val="[POWER5.XLA]__qmaxsolution_1567"/>
      <sheetName val="[POWER5.XLA]__qmaxsolution_1566"/>
      <sheetName val="[POWER5.XLA]__qmaxsolution_1573"/>
      <sheetName val="[POWER5.XLA]__qmaxsolution_1568"/>
      <sheetName val="[POWER5.XLA]__qmaxsolution_1569"/>
      <sheetName val="[POWER5.XLA]__qmaxsolution_1570"/>
      <sheetName val="[POWER5.XLA]__qmaxsolution_1571"/>
      <sheetName val="[POWER5.XLA]__qmaxsolution_1572"/>
      <sheetName val="[POWER5.XLA]__qmaxsolution_1574"/>
      <sheetName val="Base_Dom"/>
      <sheetName val="MGLN_LBO second"/>
      <sheetName val="ACC_DILL_wkup"/>
      <sheetName val="[POWER5.XLA]__qmaxsolution_1575"/>
      <sheetName val="[POWER5.XLA]__d_docs_live_n_161"/>
      <sheetName val="[POWER5.XLA]__d_docs_live_n_153"/>
      <sheetName val="[POWER5.XLA]__d_docs_live_n_155"/>
      <sheetName val="[POWER5.XLA]__d_docs_live_n_154"/>
      <sheetName val="[POWER5.XLA]__d_docs_live_n_158"/>
      <sheetName val="[POWER5.XLA]__d_docs_live_n_156"/>
      <sheetName val="[POWER5.XLA]__d_docs_live_n_157"/>
      <sheetName val="[POWER5.XLA]__d_docs_live_n_159"/>
      <sheetName val="[POWER5.XLA]__d_docs_live_n_160"/>
      <sheetName val="[POWER5.XLA]__d_docs_live_n_162"/>
      <sheetName val="[POWER5.XLA]__d_docs_live_n_163"/>
      <sheetName val="[POWER5.XLA]__soferadvisors_419"/>
      <sheetName val="[POWER5.XLA]__soferadvisors_418"/>
      <sheetName val="Service_Offerings_to_Top-203"/>
      <sheetName val="Logistics_Out__by_Region3"/>
      <sheetName val="Revenue_by_Segment3"/>
      <sheetName val="Facilities_Overview3"/>
      <sheetName val="Summary_of_Adjustments3"/>
      <sheetName val="Vol_Contr_2013-20163"/>
      <sheetName val="//na1_s3"/>
      <sheetName val="Front_Sheet3"/>
      <sheetName val="B-6_investment3"/>
      <sheetName val="Date_Listing_-_Sub3"/>
      <sheetName val="Int__Rate_Data3"/>
      <sheetName val="McKInv"/>
      <sheetName val="MedItem"/>
      <sheetName val="Sales_-_Report_First12"/>
      <sheetName val="POWER5_XLA17"/>
      <sheetName val="proforma_BS11"/>
      <sheetName val="Stock_Analysis11"/>
      <sheetName val="Company_summary_items11"/>
      <sheetName val="IS_&amp;_CF11"/>
      <sheetName val="Capital_Expenditure_Input_She11"/>
      <sheetName val="Operating_Expense_Input_Sheet11"/>
      <sheetName val="Pro_Forma_Income_Statement12"/>
      <sheetName val="GER_IFO_vs_Const12"/>
      <sheetName val="Europe_sales_Graph12"/>
      <sheetName val="EU_Ind_vs_EU_Cons12"/>
      <sheetName val="Scenario_Management11"/>
      <sheetName val="McKinley_P&amp;L12"/>
      <sheetName val="Entrada_Dados11"/>
      <sheetName val="Pro_Forma_Credit_11"/>
      <sheetName val="Main_Model12"/>
      <sheetName val="Newer_version12"/>
      <sheetName val="GL_Detail12"/>
      <sheetName val="Pro_Forma12"/>
      <sheetName val="_Cash_Flow11"/>
      <sheetName val="_P&amp;L-Projection11"/>
      <sheetName val="Dividend_Analysis_Assumptions11"/>
      <sheetName val="Deal_Matrix12"/>
      <sheetName val="Model_Driver12"/>
      <sheetName val="Insulin_Sales_-_NA12"/>
      <sheetName val="Insulin_Sales_-_EU12"/>
      <sheetName val="Insulin_Sales_-_Japan12"/>
      <sheetName val="General_Assump11"/>
      <sheetName val="\Applications\Microsoft_Offic11"/>
      <sheetName val="CloseTable_Prior11"/>
      <sheetName val="Co_List11"/>
      <sheetName val="_PT_0811"/>
      <sheetName val="_PT_0711"/>
      <sheetName val="_PT_1111"/>
      <sheetName val="_PT_1011"/>
      <sheetName val="_PT_1211"/>
      <sheetName val="_PT_1311"/>
      <sheetName val="_PT_0911"/>
      <sheetName val="_PT_0111"/>
      <sheetName val="_PT_0411"/>
      <sheetName val="_PT_0511"/>
      <sheetName val="_PT_0311"/>
      <sheetName val="Multiples_Summary11"/>
      <sheetName val="Royal_Carib__Model11"/>
      <sheetName val="BIS_LIST-NTH_1811"/>
      <sheetName val="Debt_&amp;_Interest11"/>
      <sheetName val="Données_Spéc_11"/>
      <sheetName val="PV_-_CTLM11"/>
      <sheetName val="PV_-_MTLK11"/>
      <sheetName val="Deal_Info_&amp;_Print_Menu11"/>
      <sheetName val="Product_Trends11"/>
      <sheetName val="EBITDA_Bridge11"/>
      <sheetName val="WC_analytics_(+data_pages)11"/>
      <sheetName val="YEAR_1_11"/>
      <sheetName val="Sched_A911"/>
      <sheetName val="Historical_Actuals11"/>
      <sheetName val="Emory_Vols_Jan-Dec_200611"/>
      <sheetName val="Comet_Reference_Tab11"/>
      <sheetName val="Rev_Tracker11"/>
      <sheetName val="//na1_salesforce_com/Applicat11"/>
      <sheetName val="SCIMED_Old11"/>
      <sheetName val="2000_Activity12"/>
      <sheetName val="total_Commonwealth12"/>
      <sheetName val="CHK_REQ12"/>
      <sheetName val="SW_21221812"/>
      <sheetName val="N_TX_-_199712"/>
      <sheetName val="Customize_Your_Invoice12"/>
      <sheetName val="BASE_DATA11"/>
      <sheetName val="CASH_FLOW_MONTH_FC11"/>
      <sheetName val="Inc_Stmt_MONTH_FC11"/>
      <sheetName val="BS_ASSETS_FC11"/>
      <sheetName val="Drop_Down_Lists11"/>
      <sheetName val="Buyers_Competitors_(2)11"/>
      <sheetName val="Trial_Balance11"/>
      <sheetName val="E&amp;Y_Format11"/>
      <sheetName val="\J\Applications\Microsoft_Off11"/>
      <sheetName val="Print_Controls11"/>
      <sheetName val="Input_Page11"/>
      <sheetName val="chad10_June0211"/>
      <sheetName val="chad12_Dec0211"/>
      <sheetName val="D_&amp;_A11"/>
      <sheetName val="Daily_Sales11"/>
      <sheetName val="[POWER5_XLA]__qmaxsolutions_m73"/>
      <sheetName val="Share_Prices11"/>
      <sheetName val="Equity_Index10"/>
      <sheetName val="Consolidated_Financials11"/>
      <sheetName val="Inputs_&amp;_Pro_Formas10"/>
      <sheetName val="//aodocs_altirnao_com/webdav/19"/>
      <sheetName val="//aodocs_altirnao_com/webdav/20"/>
      <sheetName val="Cap_Sheet10"/>
      <sheetName val="Cashflow_Model10"/>
      <sheetName val="CG_Alloc10"/>
      <sheetName val="Fin_Flows10"/>
      <sheetName val="Marketing_Stats10"/>
      <sheetName val="Model_Summary10"/>
      <sheetName val="Purchase_vs__Rights10"/>
      <sheetName val="CIH_Sensitivities10"/>
      <sheetName val="Tables_for_Memo_Update_2-9-0910"/>
      <sheetName val="US_Ops_Account_Detail10"/>
      <sheetName val="[POWER5_XLA][POWER5_XLA][POWE11"/>
      <sheetName val="[POWER5_XLA][POWER5_XLA]\Appl10"/>
      <sheetName val="[POWER5_XLA][POWER5_XLA]//na110"/>
      <sheetName val="[POWER5_XLA][POWER5_XLA]\\sfd10"/>
      <sheetName val="[POWER5_XLA]\Applications\Mic10"/>
      <sheetName val="[POWER5_XLA]//na1_salesforce_10"/>
      <sheetName val="[POWER5_XLA]\\sfdc\DFS\Applic10"/>
      <sheetName val="input_for_decending_analysis10"/>
      <sheetName val="P&amp;L_by_Month10"/>
      <sheetName val="Statement_of_Cash_Flows10"/>
      <sheetName val="Comps_Table10"/>
      <sheetName val="ROCE-WACC_EVtoEBITDA10"/>
      <sheetName val="Iss__Vol__(Outp_)10"/>
      <sheetName val="[POWER5_XLA]//qmaxsolutions-m10"/>
      <sheetName val="[POWER5_XLA][POWER5_XLA]//qma10"/>
      <sheetName val="[POWER5_XLA][POWER5_XLA]\J\Ap10"/>
      <sheetName val="[POWER5_XLA]\J\Applications\M10"/>
      <sheetName val="T_DCF10"/>
      <sheetName val="Cost_Centers_and_PMTs10"/>
      <sheetName val="DAS_&amp;_Networking_Costs10"/>
      <sheetName val="Stock_Chart10"/>
      <sheetName val="BU_Logic9"/>
      <sheetName val="Trending_Inc_Stmt10"/>
      <sheetName val="Sources_&amp;_Uses10"/>
      <sheetName val="Cell_Links9"/>
      <sheetName val="Control_Sheet10"/>
      <sheetName val="Data_sheet10"/>
      <sheetName val="Pricing_Graphs9"/>
      <sheetName val="CoTrans_Input_Sheet9"/>
      <sheetName val="[POWER5_XLA]__qmaxsolutions1624"/>
      <sheetName val="WACC_Analysis9"/>
      <sheetName val="Rev_Build9"/>
      <sheetName val="\Users\Dan\Library\Applicatio10"/>
      <sheetName val="Covenant_Wksht10"/>
      <sheetName val="Combined_Divisionals9"/>
      <sheetName val="P&amp;L_Tables_For_Report9"/>
      <sheetName val="CHARTS_for_report9"/>
      <sheetName val="2018_All_Brands10"/>
      <sheetName val="2018_Lipoflavonoid10"/>
      <sheetName val="2018_Florajen10"/>
      <sheetName val="2018_CertainDri10"/>
      <sheetName val="2018_Cystex10"/>
      <sheetName val="2018_Absorbine10"/>
      <sheetName val="2018_Albolene10"/>
      <sheetName val="2018_AntiMonkeyButt10"/>
      <sheetName val="2018_Non_Branded_00010"/>
      <sheetName val="Corp_Brd9"/>
      <sheetName val="Master_Comps9"/>
      <sheetName val="Share_Repurchase_Benchmarking9"/>
      <sheetName val="Gastos_Detallados_Opt9"/>
      <sheetName val="CoCos_Output_Sheet9"/>
      <sheetName val="Rexall_Sundown9"/>
      <sheetName val="SD_and_NB_Magazine9"/>
      <sheetName val="OP_Sum9"/>
      <sheetName val="A_CUENTA9"/>
      <sheetName val="Risc_Financiero9"/>
      <sheetName val="C_B__4_Installed9"/>
      <sheetName val="Power_&amp;_Fuel(SMS)9"/>
      <sheetName val="commercial_construction9"/>
      <sheetName val="crack_spreads9"/>
      <sheetName val="new_orders9"/>
      <sheetName val="IFO_Manufacturing_Business_Cli9"/>
      <sheetName val="Asset_(VIN)_Data9"/>
      <sheetName val="Item_Data9"/>
      <sheetName val="LC_PF9"/>
      <sheetName val="Lookup_Tables9"/>
      <sheetName val="Portfolio_Budget9"/>
      <sheetName val="//na1_salesforce_co9"/>
      <sheetName val="//qmaxsolutions-my_9"/>
      <sheetName val="[POWER5_XLA][POWER59"/>
      <sheetName val="[POWER5_XLA]\Applic9"/>
      <sheetName val="[POWER5_XLA]//na1_s9"/>
      <sheetName val="[POWER5_XLA]\\sfdc\9"/>
      <sheetName val="[POWER5_XLA]//qmaxs9"/>
      <sheetName val="[POWER5_XLA]\J\Appl9"/>
      <sheetName val="Summary_Exhibit_II9"/>
      <sheetName val="Sales_Forecast9"/>
      <sheetName val="FIRE_ALARM9"/>
      <sheetName val="FX_Rates9"/>
      <sheetName val="Issue_Log9"/>
      <sheetName val="Asset_Transfer_Screen_Shot9"/>
      <sheetName val="Asset_Proposal_List9"/>
      <sheetName val="Asset_Proposal-Screen_Shots9"/>
      <sheetName val="Data_Import_Template9"/>
      <sheetName val="New_Asset_List9"/>
      <sheetName val="New_Asset_Screen_Shots9"/>
      <sheetName val="FAMAsset_as_of_12_31_189"/>
      <sheetName val="Lease_summary9"/>
      <sheetName val="Tax_Stock_deal9"/>
      <sheetName val="Tax_Asset_deal9"/>
      <sheetName val="Tax_S_Corp9"/>
      <sheetName val="Financial_Request_List9"/>
      <sheetName val="Tax_Request_List9"/>
      <sheetName val="Cash_proof9"/>
      <sheetName val="TB_-_IS9"/>
      <sheetName val="TB_BS9"/>
      <sheetName val="GT_Discussion&gt;9"/>
      <sheetName val="COR_-_SoftwareHardware_Maint9"/>
      <sheetName val="COR_-_Consultants9"/>
      <sheetName val="COR_-_Co_hosting9"/>
      <sheetName val="Opex-Professional_services9"/>
      <sheetName val="GT_Custom10"/>
      <sheetName val="WC2_(2)9"/>
      <sheetName val="Debt_Amortization9"/>
      <sheetName val="Vector_Inputs9"/>
      <sheetName val="Employee_Data9"/>
      <sheetName val="AOP_Summary-29"/>
      <sheetName val="investment-_acounting9"/>
      <sheetName val="ISQ_LBO_-_Full_Company9"/>
      <sheetName val="[POWER5_XLA]__qmaxsolutions_m74"/>
      <sheetName val="[POWER5_XLA]__qmaxsolutions_m75"/>
      <sheetName val="[POWER5_XLA]_Applications_Mic25"/>
      <sheetName val="[POWER5_XLA]__na1_salesforce_55"/>
      <sheetName val="[POWER5_XLA]__sfdc_DFS_Applic20"/>
      <sheetName val="[POWER5_XLA]_J_Applications_M25"/>
      <sheetName val="Dividend_IPORecap_Analysis9"/>
      <sheetName val="[POWER5_XLA]__qmaxsolutions_m76"/>
      <sheetName val="Data_Input9"/>
      <sheetName val="[POWER5_XLA]__qmaxsolutions_m77"/>
      <sheetName val="[POWER5_XLA]__qmaxsolutions_m78"/>
      <sheetName val="[POWER5_XLA]__qmaxsolutions_m79"/>
      <sheetName val="[POWER5_XLA]__qmaxsolutions1625"/>
      <sheetName val="[POWER5_XLA]__qmaxsolutions_m80"/>
      <sheetName val="[POWER5_XLA]__qmaxsolutions1626"/>
      <sheetName val="[POWER5_XLA]__qmaxsolutions1627"/>
      <sheetName val="[POWER5_XLA]__qmaxsolutions1628"/>
      <sheetName val="[POWER5_XLA]__qmaxsolutions1629"/>
      <sheetName val="[POWER5_XLA]__qmaxsolutions1630"/>
      <sheetName val="novmar_actuals9"/>
      <sheetName val="06-030_Capital_Gains_and_Losse9"/>
      <sheetName val="Area_by_JC9"/>
      <sheetName val="Cons_(2)9"/>
      <sheetName val="GHA_orig9"/>
      <sheetName val="Cash_flow_worksheet9"/>
      <sheetName val="Inc_Stmt9"/>
      <sheetName val="Bal_Sht9"/>
      <sheetName val="Equity_Database9"/>
      <sheetName val="MARKET_PRICES9"/>
      <sheetName val="RED_Forecast9"/>
      <sheetName val="TEN_side9"/>
      <sheetName val="Balance_Sheet_Standard_-Feb9"/>
      <sheetName val="Balance_Sheet_Standard9"/>
      <sheetName val="Balance_sheet_Actual_to_Budget9"/>
      <sheetName val="Balance_sheet_Actual_to_Bud_Fe9"/>
      <sheetName val="Feb_199"/>
      <sheetName val="Mar_199"/>
      <sheetName val="April_199"/>
      <sheetName val="May_20199"/>
      <sheetName val="June_199"/>
      <sheetName val="July_20199"/>
      <sheetName val="Aug_20199"/>
      <sheetName val="cash_flow-_Monthly_(2)9"/>
      <sheetName val="cash_flow_monthly9"/>
      <sheetName val="cash_flow_YTD_9"/>
      <sheetName val="Budgeted_BS_2018-199"/>
      <sheetName val="cash_flow-_2018-199"/>
      <sheetName val="Budget_cash_flow_20189"/>
      <sheetName val="Cover_Page9"/>
      <sheetName val="Wound_Case9"/>
      <sheetName val="Data_Validation9"/>
      <sheetName val="2015_Forecast9"/>
      <sheetName val="Gross_Margin_Build9"/>
      <sheetName val="Output_Model9"/>
      <sheetName val="Transmittal_Letter9"/>
      <sheetName val="Key_Analyses9"/>
      <sheetName val="Adjusted_Summary_P&amp;L9"/>
      <sheetName val="NWC_Analysis9"/>
      <sheetName val="Adjusted_NWC_Graph9"/>
      <sheetName val="GSM_Analyses9"/>
      <sheetName val="GSM_Bridge_FY17_-_FY189"/>
      <sheetName val="GSM_Bridge_FY18_-_FY199"/>
      <sheetName val="Grace_-_Alum9"/>
      <sheetName val="Grace_-_LSA9"/>
      <sheetName val="Grace_-_ACH9"/>
      <sheetName val="Shell_-_Alum9"/>
      <sheetName val="Shell_-_LSA9"/>
      <sheetName val="Detailed_IS9"/>
      <sheetName val="Balance_Sheet_Summary9"/>
      <sheetName val="Scope_Reconciliation9"/>
      <sheetName val="[POWER5_XLA]__qmaxsolutions1631"/>
      <sheetName val="MM_Mapping9"/>
      <sheetName val="Customer_split9"/>
      <sheetName val="Depr_Amortisation_check9"/>
      <sheetName val="Working_capital9"/>
      <sheetName val="Summary_Financial_Statement9"/>
      <sheetName val="Op_Balances_20199"/>
      <sheetName val="Look_up9"/>
      <sheetName val="Program_Loss_Control8"/>
      <sheetName val="[POWER5_XLA]__qmaxsolutions1632"/>
      <sheetName val="[POWER5_XLA]__qmaxsolutions1633"/>
      <sheetName val="[POWER5_XLA]__qmaxsolutions1634"/>
      <sheetName val="[POWER5_XLA]__qmaxsolutions1635"/>
      <sheetName val="[POWER5_XLA]__qmaxsolutions1636"/>
      <sheetName val="[POWER5_XLA]__qmaxsolutions1637"/>
      <sheetName val="EFASB13_(US-12)9"/>
      <sheetName val="chart_of_accounts9"/>
      <sheetName val="[POWER5_XLA]__qmaxsolutions1638"/>
      <sheetName val="[POWER5_XLA]__qmaxsolutions1639"/>
      <sheetName val="[POWER5_XLA]__qmaxsolutions1640"/>
      <sheetName val="[POWER5_XLA]__qmaxsolutions1641"/>
      <sheetName val="[POWER5_XLA]__qmaxsolutions1642"/>
      <sheetName val="[POWER5_XLA]__qmaxsolutions1643"/>
      <sheetName val="[POWER5_XLA]__qmaxsolutions1644"/>
      <sheetName val="[POWER5_XLA]__qmaxsolutions1645"/>
      <sheetName val="[POWER5_XLA]__qmaxsolutions1646"/>
      <sheetName val="[POWER5_XLA]__qmaxsolutions1647"/>
      <sheetName val="[POWER5_XLA]__qmaxsolutions1648"/>
      <sheetName val="[POWER5_XLA]__qmaxsolutions1649"/>
      <sheetName val="[POWER5_XLA]__qmaxsolutions1650"/>
      <sheetName val="[POWER5_XLA]__qmaxsolutions1651"/>
      <sheetName val="[POWER5_XLA]__qmaxsolutions1652"/>
      <sheetName val="[POWER5_XLA]__qmaxsolutions1653"/>
      <sheetName val="[POWER5_XLA]__qmaxsolutions1654"/>
      <sheetName val="[POWER5_XLA]__qmaxsolutions1655"/>
      <sheetName val="[POWER5_XLA]__qmaxsolutions1656"/>
      <sheetName val="[POWER5_XLA]__qmaxsolutions1657"/>
      <sheetName val="[POWER5_XLA]__qmaxsolutions1658"/>
      <sheetName val="[POWER5_XLA]__qmaxsolutions1659"/>
      <sheetName val="[POWER5_XLA]__qmaxsolutions1660"/>
      <sheetName val="[POWER5_XLA]__qmaxsolutions1661"/>
      <sheetName val="[POWER5_XLA]__qmaxsolutions1662"/>
      <sheetName val="[POWER5_XLA]__qmaxsolutions1663"/>
      <sheetName val="[POWER5_XLA]__qmaxsolutions1664"/>
      <sheetName val="[POWER5_XLA]__qmaxsolutions1665"/>
      <sheetName val="[POWER5_XLA]__qmaxsolutions1666"/>
      <sheetName val="[POWER5_XLA]__qmaxsolutions1667"/>
      <sheetName val="[POWER5_XLA]__qmaxsolutions1668"/>
      <sheetName val="[POWER5_XLA]__qmaxsolutions1669"/>
      <sheetName val="[POWER5_XLA]__qmaxsolutions1670"/>
      <sheetName val="[POWER5_XLA]__qmaxsolutions1671"/>
      <sheetName val="[POWER5_XLA]__qmaxsolutions1672"/>
      <sheetName val="[POWER5_XLA]__qmaxsolutions1673"/>
      <sheetName val="Historical_Financials3"/>
      <sheetName val="[POWER5_XLA]__qmaxsolutions1674"/>
      <sheetName val="[POWER5_XLA]__qmaxsolutions1675"/>
      <sheetName val="[POWER5_XLA]__qmaxsolutions1676"/>
      <sheetName val="[POWER5_XLA]__qmaxsolutions1677"/>
      <sheetName val="[POWER5_XLA]__qmaxsolutions1678"/>
      <sheetName val="[POWER5_XLA]_Applications_Mic26"/>
      <sheetName val="[POWER5_XLA]_Applications_Mic27"/>
      <sheetName val="[POWER5_XLA]__na1_salesforce_56"/>
      <sheetName val="[POWER5_XLA]__sfdc_DFS_Applic21"/>
      <sheetName val="[POWER5_XLA]_J_Applications_M26"/>
      <sheetName val="[POWER5_XLA][POWER5_XLA]_Appl38"/>
      <sheetName val="[POWER5_XLA][POWER5_XLA]__na138"/>
      <sheetName val="[POWER5_XLA][POWER5_XLA]__sfd38"/>
      <sheetName val="[POWER5_XLA][POWER5_XLA]_POWE49"/>
      <sheetName val="[POWER5_XLA][POWER5_XLA]_POWE50"/>
      <sheetName val="[POWER5_XLA][POWER5_XLA]_POWE51"/>
      <sheetName val="[POWER5_XLA]__aodocs_altirnao25"/>
      <sheetName val="[POWER5_XLA]__localhost_webda25"/>
      <sheetName val="[POWER5_XLA]__localhost_webda26"/>
      <sheetName val="[POWER5_XLA]__localhost_FY_2020"/>
      <sheetName val="[POWER5_XLA]__aodocs_altirnao26"/>
      <sheetName val="[POWER5_XLA]__localhost_webda27"/>
      <sheetName val="[POWER5_XLA][POWER5_XLA]__qma26"/>
      <sheetName val="[POWER5_XLA][POWER5_XLA]_POW177"/>
      <sheetName val="[POWER5_XLA][POWER5_XLA]_POW178"/>
      <sheetName val="[POWER5_XLA][POWER5_XLA]_J_Ap26"/>
      <sheetName val="[POWER5_XLA]__na1_salesforce_57"/>
      <sheetName val="[POWER5_XLA]_J_Applications_M27"/>
      <sheetName val="[POWER5_XLA]_Applications_Mic28"/>
      <sheetName val="[POWER5_XLA]__aodocs_altirnao27"/>
      <sheetName val="[POWER5_XLA]__aodocs_altirnao28"/>
      <sheetName val="[POWER5_XLA][POWER5_XLA]_POWE52"/>
      <sheetName val="[POWER5_XLA][POWER5_XLA]_POWE53"/>
      <sheetName val="[POWER5_XLA][POWER5_XLA]_POWE54"/>
      <sheetName val="[POWER5_XLA][POWER5_XLA]_Appl39"/>
      <sheetName val="[POWER5_XLA][POWER5_XLA]__na139"/>
      <sheetName val="[POWER5_XLA][POWER5_XLA]__sfd39"/>
      <sheetName val="[POWER5_XLA]_Users_Dan_Librar20"/>
      <sheetName val="[POWER5_XLA]_Applications_Mic29"/>
      <sheetName val="[POWER5_XLA]__aodocs_altirnao29"/>
      <sheetName val="[POWER5_XLA]__localhost_webda28"/>
      <sheetName val="[POWER5_XLA]__localhost_webda29"/>
      <sheetName val="[POWER5_XLA]__localhost_FY_2021"/>
      <sheetName val="[POWER5_XLA]__aodocs_altirnao30"/>
      <sheetName val="[POWER5_XLA]__localhost_webda30"/>
      <sheetName val="[POWER5_XLA]__na1_salesforce_58"/>
      <sheetName val="[POWER5_XLA][POWER5_XLA]_POWE55"/>
      <sheetName val="[POWER5_XLA][POWER5_XLA]_POWE56"/>
      <sheetName val="[POWER5_XLA][POWER5_XLA]_POWE57"/>
      <sheetName val="[POWER5_XLA][POWER5_XLA]_Appl40"/>
      <sheetName val="[POWER5_XLA][POWER5_XLA]__na140"/>
      <sheetName val="[POWER5_XLA][POWER5_XLA]__sfd40"/>
      <sheetName val="[POWER5_XLA][POWER5_XLA]__qma27"/>
      <sheetName val="[POWER5_XLA][POWER5_XLA]_POWE58"/>
      <sheetName val="[POWER5_XLA][POWER5_XLA]_POWE59"/>
      <sheetName val="[POWER5_XLA][POWER5_XLA]_J_Ap27"/>
      <sheetName val="[POWER5_XLA]_Users_Dan_Librar21"/>
      <sheetName val="[POWER5_XLA]_J_Applications_M28"/>
      <sheetName val="[POWER5_XLA]_Applications_Mic30"/>
      <sheetName val="[POWER5_XLA]_Applications_Mic31"/>
      <sheetName val="[POWER5_XLA]__na1_salesforce_59"/>
      <sheetName val="[POWER5_XLA]__sfdc_DFS_Applic22"/>
      <sheetName val="[POWER5_XLA]_J_Applications_M29"/>
      <sheetName val="[POWER5_XLA][POWER5_XLA]_Appl41"/>
      <sheetName val="[POWER5_XLA][POWER5_XLA]__na141"/>
      <sheetName val="[POWER5_XLA][POWER5_XLA]__sfd41"/>
      <sheetName val="[POWER5_XLA][POWER5_XLA]_POW179"/>
      <sheetName val="[POWER5_XLA][POWER5_XLA]_POW180"/>
      <sheetName val="[POWER5_XLA][POWER5_XLA]_POW181"/>
      <sheetName val="[POWER5_XLA]__aodocs_altirnao31"/>
      <sheetName val="[POWER5_XLA]__localhost_webda31"/>
      <sheetName val="[POWER5_XLA]__localhost_webda32"/>
      <sheetName val="[POWER5_XLA]__localhost_FY_2022"/>
      <sheetName val="[POWER5_XLA]__aodocs_altirnao32"/>
      <sheetName val="[POWER5_XLA]__localhost_webd_67"/>
      <sheetName val="[POWER5_XLA][POWER5_XLA]__qma28"/>
      <sheetName val="[POWER5_XLA][POWER5_XLA]_POW182"/>
      <sheetName val="[POWER5_XLA][POWER5_XLA]_POW183"/>
      <sheetName val="[POWER5_XLA][POWER5_XLA]_J_Ap28"/>
      <sheetName val="[POWER5_XLA]__na1_salesforce_60"/>
      <sheetName val="[POWER5_XLA]_J_Applications_M30"/>
      <sheetName val="[POWER5_XLA]_Applications_Mic32"/>
      <sheetName val="[POWER5_XLA]__aodocs_altirna_92"/>
      <sheetName val="[POWER5_XLA]__aodocs_altirna_93"/>
      <sheetName val="[POWER5_XLA][POWER5_XLA]_POWE60"/>
      <sheetName val="[POWER5_XLA][POWER5_XLA]_POWE61"/>
      <sheetName val="[POWER5_XLA][POWER5_XLA]_POWE62"/>
      <sheetName val="[POWER5_XLA][POWER5_XLA]_Appl42"/>
      <sheetName val="[POWER5_XLA][POWER5_XLA]__na142"/>
      <sheetName val="[POWER5_XLA][POWER5_XLA]__sfd42"/>
      <sheetName val="[POWER5_XLA]_Users_Dan_Librar22"/>
      <sheetName val="[POWER5_XLA]__qmaxsolutions1679"/>
      <sheetName val="[POWER5_XLA]__qmaxsolutions1680"/>
      <sheetName val="[POWER5_XLA]__qmaxsolutions1681"/>
      <sheetName val="[POWER5_XLA]__qmaxsolutions1682"/>
      <sheetName val="[POWER5_XLA]__qmaxsolutions1683"/>
      <sheetName val="[POWER5_XLA]__qmaxsolutions1684"/>
      <sheetName val="[POWER5_XLA]__qmaxsolutions1685"/>
      <sheetName val="[POWER5_XLA]__qmaxsolutions1686"/>
      <sheetName val="[POWER5_XLA]__qmaxsolutions1687"/>
      <sheetName val="[POWER5_XLA]__qmaxsolutions1688"/>
      <sheetName val="[POWER5_XLA]__qmaxsolutions1689"/>
      <sheetName val="[POWER5_XLA]__qmaxsolutions1690"/>
      <sheetName val="[POWER5_XLA]__qmaxsolutions1691"/>
      <sheetName val="[POWER5_XLA]__qmaxsolutions1692"/>
      <sheetName val="[POWER5_XLA]__qmaxsolutions1693"/>
      <sheetName val="[POWER5_XLA]__qmaxsolutions1694"/>
      <sheetName val="[POWER5_XLA]__qmaxsolutions1695"/>
      <sheetName val="[POWER5_XLA]__qmaxsolutions1696"/>
      <sheetName val="[POWER5_XLA]__qmaxsolutions1697"/>
      <sheetName val="[POWER5_XLA]__qmaxsolutions1698"/>
      <sheetName val="[POWER5_XLA]__qmaxsolutions1699"/>
      <sheetName val="[POWER5_XLA]__qmaxsolutions1700"/>
      <sheetName val="[POWER5_XLA]__qmaxsolutions1701"/>
      <sheetName val="[POWER5_XLA]__qmaxsolutions1702"/>
      <sheetName val="[POWER5_XLA]__qmaxsolutions1703"/>
      <sheetName val="[POWER5_XLA]__qmaxsolutions1704"/>
      <sheetName val="[POWER5_XLA]__qmaxsolutions1705"/>
      <sheetName val="[POWER5_XLA]__qmaxsolutions1706"/>
      <sheetName val="[POWER5_XLA]__qmaxsolutions1707"/>
      <sheetName val="[POWER5_XLA]__qmaxsolutions1708"/>
      <sheetName val="[POWER5_XLA]__qmaxsolutions1709"/>
      <sheetName val="[POWER5_XLA]__qmaxsolutions1710"/>
      <sheetName val="[POWER5_XLA]__qmaxsolutions1711"/>
      <sheetName val="[POWER5_XLA]__qmaxsolutions1712"/>
      <sheetName val="[POWER5_XLA]__qmaxsolutions1713"/>
      <sheetName val="[POWER5_XLA]__qmaxsolutions1714"/>
      <sheetName val="[POWER5_XLA]__qmaxsolutions1715"/>
      <sheetName val="[POWER5_XLA]__qmaxsolutions1716"/>
      <sheetName val="[POWER5_XLA]__qmaxsolutions1717"/>
      <sheetName val="[POWER5_XLA]__qmaxsolutions1718"/>
      <sheetName val="[POWER5_XLA]__qmaxsolutions1719"/>
      <sheetName val="[POWER5_XLA]__qmaxsolutions1720"/>
      <sheetName val="[POWER5_XLA]__qmaxsolutions1721"/>
      <sheetName val="[POWER5_XLA]__qmaxsolutions1722"/>
      <sheetName val="[POWER5_XLA]__qmaxsolutions1723"/>
      <sheetName val="[POWER5_XLA]__qmaxsolutions1724"/>
      <sheetName val="[POWER5_XLA]__qmaxsolutions1725"/>
      <sheetName val="[POWER5_XLA]__qmaxsolutions1726"/>
      <sheetName val="[POWER5_XLA]__qmaxsolutions1727"/>
      <sheetName val="[POWER5_XLA]__qmaxsolutions1728"/>
      <sheetName val="[POWER5_XLA]__qmaxsolutions1729"/>
      <sheetName val="[POWER5_XLA]__qmaxsolutions1730"/>
      <sheetName val="[POWER5_XLA]__qmaxsolutions1731"/>
      <sheetName val="[POWER5_XLA]__qmaxsolutions1732"/>
      <sheetName val="[POWER5_XLA]__qmaxsolutions1733"/>
      <sheetName val="[POWER5_XLA]__qmaxsolutions1734"/>
      <sheetName val="[POWER5_XLA]__qmaxsolutions1735"/>
      <sheetName val="[POWER5_XLA]__qmaxsolutions1736"/>
      <sheetName val="[POWER5_XLA]__qmaxsolutions1737"/>
      <sheetName val="[POWER5_XLA]__qmaxsolutions1738"/>
      <sheetName val="[POWER5_XLA]__qmaxsolutions1739"/>
      <sheetName val="[POWER5_XLA]__qmaxsolutions1740"/>
      <sheetName val="[POWER5_XLA]__qmaxsolutions1741"/>
      <sheetName val="[POWER5_XLA]__qmaxsolutions1742"/>
      <sheetName val="[POWER5_XLA]__qmaxsolutions1743"/>
      <sheetName val="[POWER5_XLA]__qmaxsolutions1744"/>
      <sheetName val="[POWER5_XLA]__qmaxsolutions1745"/>
      <sheetName val="[POWER5_XLA]__qmaxsolutions1746"/>
      <sheetName val="[POWER5_XLA]__qmaxsolutions1747"/>
      <sheetName val="[POWER5_XLA]__qmaxsolutions1748"/>
      <sheetName val="[POWER5_XLA]__qmaxsolutions1749"/>
      <sheetName val="[POWER5_XLA]__qmaxsolutions1750"/>
      <sheetName val="[POWER5_XLA]__qmaxsolutions1751"/>
      <sheetName val="[POWER5_XLA]__qmaxsolutions1752"/>
      <sheetName val="99_Contingency_Analysis3"/>
      <sheetName val="New_C_PM3"/>
      <sheetName val="Pipeline_User_Controls3"/>
      <sheetName val="[POWER5_XLA]__qmaxsolutions1753"/>
      <sheetName val="[POWER5_XLA]__qmaxsolutions1754"/>
      <sheetName val="[POWER5_XLA]__qmaxsolutions1755"/>
      <sheetName val="[POWER5_XLA]__qmaxsolutions1756"/>
      <sheetName val="[POWER5_XLA]__qmaxsolutions1757"/>
      <sheetName val="[POWER5_XLA]__qmaxsolutions1758"/>
      <sheetName val="[POWER5_XLA]__qmaxsolutions1759"/>
      <sheetName val="Customize_Your_Purchase_Order3"/>
      <sheetName val="CENTRAL_REGION_-_663"/>
      <sheetName val="[POWER5_XLA]__qmaxsolutions1760"/>
      <sheetName val="[POWER5_XLA]__qmaxsolutions1761"/>
      <sheetName val="[POWER5_XLA]__qmaxsolutions1762"/>
      <sheetName val="GP_LP_Fund3"/>
      <sheetName val="[POWER5_XLA]__qmaxsolutions1763"/>
      <sheetName val="Add_Info(AI)3"/>
      <sheetName val="P&amp;L_-_Main3"/>
      <sheetName val="[POWER5_XLA]__qmaxsolutions1764"/>
      <sheetName val="[POWER5_XLA]__qmaxsolutions1765"/>
      <sheetName val="[POWER5_XLA]__qmaxsolutions1766"/>
      <sheetName val="[POWER5_XLA]__qmaxsolutions1767"/>
      <sheetName val="[POWER5_XLA]__qmaxsolutions1768"/>
      <sheetName val="[POWER5_XLA]__qmaxsolutions1769"/>
      <sheetName val="[POWER5_XLA]__qmaxsolutions1770"/>
      <sheetName val="[POWER5_XLA]__qmaxsolutions1771"/>
      <sheetName val="[POWER5_XLA]__qmaxsolutions1772"/>
      <sheetName val="[POWER5_XLA]__qmaxsolutions1773"/>
      <sheetName val="[POWER5_XLA]__qmaxsolutions1774"/>
      <sheetName val="[POWER5_XLA]__qmaxsolutions1775"/>
      <sheetName val="[POWER5_XLA]__qmaxsolutions1776"/>
      <sheetName val="[POWER5_XLA]__qmaxsolutions1777"/>
      <sheetName val="[POWER5_XLA]__qmaxsolutions1778"/>
      <sheetName val="[POWER5_XLA]__qmaxsolutions1779"/>
      <sheetName val="[POWER5_XLA]__qmaxsolutions1780"/>
      <sheetName val="[POWER5_XLA]__qmaxsolutions1781"/>
      <sheetName val="[POWER5_XLA]__qmaxsolutions1782"/>
      <sheetName val="[POWER5_XLA]__qmaxsolutions1783"/>
      <sheetName val="[POWER5_XLA]__qmaxsolutions1784"/>
      <sheetName val="[POWER5_XLA]__qmaxsolutions1785"/>
      <sheetName val="[POWER5_XLA]_Users_SSimakova_13"/>
      <sheetName val="[POWER5_XLA]_Applications_Mi_66"/>
      <sheetName val="[POWER5_XLA]__aodocs_altirna_94"/>
      <sheetName val="[POWER5_XLA]__aodocs_altirna_95"/>
      <sheetName val="[POWER5_XLA][POWER5_XLA]_POWE63"/>
      <sheetName val="[POWER5_XLA][POWER5_XLA]_POWE64"/>
      <sheetName val="[POWER5_XLA][POWER5_XLA]_POW184"/>
      <sheetName val="[POWER5_XLA][POWER5_XLA]_Appl43"/>
      <sheetName val="[POWER5_XLA][POWER5_XLA]__na143"/>
      <sheetName val="[POWER5_XLA][POWER5_XLA]__sfd43"/>
      <sheetName val="[POWER5_XLA]_Users_SSimakova_14"/>
      <sheetName val="[POWER5_XLA]_Applications_Mi_67"/>
      <sheetName val="[POWER5_XLA]__na1_salesforce_61"/>
      <sheetName val="[POWER5_XLA]__sfdc_DFS_Applic23"/>
      <sheetName val="[POWER5_XLA]_J_Applications_M31"/>
      <sheetName val="[POWER5_XLA]_Applications_Mi_68"/>
      <sheetName val="[POWER5_XLA]__aodocs_altirna_96"/>
      <sheetName val="[POWER5_XLA]__localhost_webd_68"/>
      <sheetName val="[POWER5_XLA]__localhost_webd_69"/>
      <sheetName val="[POWER5_XLA]__localhost_FY_2023"/>
      <sheetName val="[POWER5_XLA]__aodocs_altirna_97"/>
      <sheetName val="[POWER5_XLA]__localhost_webd_70"/>
      <sheetName val="[POWER5_XLA][POWER5_XLA]_Appl44"/>
      <sheetName val="[POWER5_XLA][POWER5_XLA]__na144"/>
      <sheetName val="[POWER5_XLA][POWER5_XLA]__sfd44"/>
      <sheetName val="[POWER5_XLA][POWER5_XLA]_POW185"/>
      <sheetName val="[POWER5_XLA][POWER5_XLA]_POW186"/>
      <sheetName val="[POWER5_XLA][POWER5_XLA]_POW187"/>
      <sheetName val="[POWER5_XLA]__na1_salesforce_62"/>
      <sheetName val="[POWER5_XLA]_J_Applications_M32"/>
      <sheetName val="[POWER5_XLA][POWER5_XLA]__qma29"/>
      <sheetName val="[POWER5_XLA][POWER5_XLA]_POW188"/>
      <sheetName val="[POWER5_XLA][POWER5_XLA]_POW189"/>
      <sheetName val="[POWER5_XLA][POWER5_XLA]_J_Ap29"/>
      <sheetName val="[POWER5_XLA]_Applications_Mi_69"/>
      <sheetName val="[POWER5_XLA]_Users_Dan_Librar23"/>
      <sheetName val="[POWER5_XLA]__aodocs_altirna_98"/>
      <sheetName val="[POWER5_XLA]__aodocs_altirna_99"/>
      <sheetName val="[POWER5_XLA][POWER5_XLA]_POW190"/>
      <sheetName val="[POWER5_XLA][POWER5_XLA]_POW191"/>
      <sheetName val="[POWER5_XLA][POWER5_XLA]_POW192"/>
      <sheetName val="[POWER5_XLA][POWER5_XLA]_Appl45"/>
      <sheetName val="[POWER5_XLA][POWER5_XLA]__na145"/>
      <sheetName val="[POWER5_XLA][POWER5_XLA]__sfd45"/>
      <sheetName val="[POWER5_XLA]_Users_SSimakova_15"/>
      <sheetName val="[POWER5_XLA]__qmaxsolutions1786"/>
      <sheetName val="[POWER5_XLA]__qmaxsolutions1787"/>
      <sheetName val="[POWER5_XLA]__qmaxsolutions1788"/>
      <sheetName val="[POWER5_XLA]__qmaxsolutions1789"/>
      <sheetName val="[POWER5_XLA]__qmaxsolutions1790"/>
      <sheetName val="[POWER5_XLA]__qmaxsolutions1791"/>
      <sheetName val="[POWER5_XLA]__qmaxsolutions1792"/>
      <sheetName val="[POWER5_XLA]__qmaxsolutions1793"/>
      <sheetName val="[POWER5_XLA]__qmaxsolutions1794"/>
      <sheetName val="[POWER5_XLA]__qmaxsolutions1795"/>
      <sheetName val="[POWER5_XLA]__qmaxsolutions1796"/>
      <sheetName val="[POWER5_XLA]__qmaxsolutions1797"/>
      <sheetName val="[POWER5_XLA]__qmaxsolutions1798"/>
      <sheetName val="[POWER5_XLA]__qmaxsolutions1799"/>
      <sheetName val="[POWER5_XLA]__qmaxsolutions1800"/>
      <sheetName val="[POWER5_XLA]__qmaxsolutions1801"/>
      <sheetName val="[POWER5_XLA]_Applications_Mi_70"/>
      <sheetName val="[POWER5_XLA]__na1_salesforce_63"/>
      <sheetName val="[POWER5_XLA]__sfdc_DFS_Applic24"/>
      <sheetName val="[POWER5_XLA]_J_Applications__42"/>
      <sheetName val="[POWER5_XLA]_Applications_Mi_71"/>
      <sheetName val="[POWER5_XLA]__aodocs_altirna100"/>
      <sheetName val="[POWER5_XLA]__localhost_webd_71"/>
      <sheetName val="[POWER5_XLA]__localhost_webd_72"/>
      <sheetName val="[POWER5_XLA]__localhost_FY_2024"/>
      <sheetName val="[POWER5_XLA]__aodocs_altirna101"/>
      <sheetName val="[POWER5_XLA]__localhost_webd_73"/>
      <sheetName val="[POWER5_XLA][POWER5_XLA]_Appl46"/>
      <sheetName val="[POWER5_XLA][POWER5_XLA]__na146"/>
      <sheetName val="[POWER5_XLA][POWER5_XLA]__sfd46"/>
      <sheetName val="[POWER5_XLA][POWER5_XLA]_POW193"/>
      <sheetName val="[POWER5_XLA][POWER5_XLA]_POW194"/>
      <sheetName val="[POWER5_XLA][POWER5_XLA]_POW195"/>
      <sheetName val="[POWER5_XLA]__na1_salesforce_64"/>
      <sheetName val="[POWER5_XLA]_J_Applications__43"/>
      <sheetName val="[POWER5_XLA][POWER5_XLA]__qma30"/>
      <sheetName val="[POWER5_XLA][POWER5_XLA]_POW196"/>
      <sheetName val="[POWER5_XLA][POWER5_XLA]_POW197"/>
      <sheetName val="[POWER5_XLA][POWER5_XLA]_J_Ap30"/>
      <sheetName val="[POWER5_XLA]_Applications_Mi_72"/>
      <sheetName val="[POWER5_XLA]_Users_Dan_Librar24"/>
      <sheetName val="[POWER5_XLA]__aodocs_altirna102"/>
      <sheetName val="[POWER5_XLA]__aodocs_altirna103"/>
      <sheetName val="[POWER5_XLA][POWER5_XLA]_POW198"/>
      <sheetName val="[POWER5_XLA][POWER5_XLA]_POW199"/>
      <sheetName val="[POWER5_XLA][POWER5_XLA]_POW200"/>
      <sheetName val="[POWER5_XLA][POWER5_XLA]_Appl47"/>
      <sheetName val="[POWER5_XLA][POWER5_XLA]__na147"/>
      <sheetName val="[POWER5_XLA][POWER5_XLA]__sfd47"/>
      <sheetName val="[POWER5_XLA]_Users_SSimakova_16"/>
      <sheetName val="[POWER5_XLA]__na1_salesforce_65"/>
      <sheetName val="[POWER5_XLA][POWER5_XLA]__qma31"/>
      <sheetName val="[POWER5_XLA][POWER5_XLA]_POW201"/>
      <sheetName val="[POWER5_XLA][POWER5_XLA]_POW202"/>
      <sheetName val="[POWER5_XLA][POWER5_XLA]_J_Ap31"/>
      <sheetName val="[POWER5_XLA]_Users_Dan_Librar25"/>
      <sheetName val="[POWER5_XLA]__qmaxsolutions1802"/>
      <sheetName val="[POWER5_XLA]__qmaxsolutions1803"/>
      <sheetName val="[POWER5_XLA]__qmaxsolutions1804"/>
      <sheetName val="[POWER5_XLA]__qmaxsolutions1805"/>
      <sheetName val="[POWER5_XLA]__qmaxsolutions1806"/>
      <sheetName val="[POWER5_XLA]__qmaxsolutions1807"/>
      <sheetName val="[POWER5_XLA]__qmaxsolutions1808"/>
      <sheetName val="DCF_Inputs2"/>
      <sheetName val="Portugal_Q1RF2"/>
      <sheetName val="[POWER5_XLA]__qmaxsolutions1809"/>
      <sheetName val="[POWER5_XLA]__qmaxsolutions1810"/>
      <sheetName val="[POWER5_XLA]__qmaxsolutions1811"/>
      <sheetName val="[POWER5_XLA]__qmaxsolutions1812"/>
      <sheetName val="[POWER5_XLA]__qmaxsolutions1813"/>
      <sheetName val="[POWER5_XLA]__qmaxsolutions1814"/>
      <sheetName val="[POWER5_XLA]__qmaxsolutions1815"/>
      <sheetName val="[POWER5_XLA]__qmaxsolutions1816"/>
      <sheetName val="[POWER5_XLA]__qmaxsolutions1817"/>
      <sheetName val="[POWER5_XLA]__qmaxsolutions1818"/>
      <sheetName val="[POWER5_XLA]__qmaxsolutions1819"/>
      <sheetName val="[POWER5_XLA]__qmaxsolutions1820"/>
      <sheetName val="[POWER5_XLA]__qmaxsolutions1821"/>
      <sheetName val="2020_Capex_Budget2"/>
      <sheetName val="Capex_Forecast2"/>
      <sheetName val="Open_PO_@_11_1_182"/>
      <sheetName val="SA18-072_to_18-083_Flipper_Pro2"/>
      <sheetName val="CC_pmt_SA18-075_&amp;_18-0762"/>
      <sheetName val="Summary_Prophix_Vs_Macola2"/>
      <sheetName val="Summary_Small_Flipper2"/>
      <sheetName val="AP_invoices_SA18-073-0832"/>
      <sheetName val="CC_Expense_SA18-073-_0832"/>
      <sheetName val="Open_PO_@11_29_182"/>
      <sheetName val="Open_PO_@_12_31_20182"/>
      <sheetName val="Depr_Table3"/>
      <sheetName val="[POWER5_XLA]__qmaxsolutions1822"/>
      <sheetName val="[POWER5_XLA]__qmaxsolutions1823"/>
      <sheetName val="[POWER5_XLA]__qmaxsolutions1824"/>
      <sheetName val="[POWER5_XLA]__qmaxsolutions1825"/>
      <sheetName val="[POWER5_XLA]__qmaxsolutions1826"/>
      <sheetName val="[POWER5_XLA]__qmaxsolutions1827"/>
      <sheetName val="[POWER5_XLA]__qmaxsolutions1828"/>
      <sheetName val="[POWER5_XLA]__qmaxsolutions1829"/>
      <sheetName val="[POWER5_XLA]__qmaxsolutions1830"/>
      <sheetName val="[POWER5_XLA]__qmaxsolutions1831"/>
      <sheetName val="[POWER5_XLA]__qmaxsolutions1832"/>
      <sheetName val="[POWER5_XLA]__qmaxsolutions1833"/>
      <sheetName val="ScratchPad_HCB_YTD_BS2"/>
      <sheetName val="ScratchPad_HPM_YTD_BS2"/>
      <sheetName val="Financial_Data3"/>
      <sheetName val="Lookup_Table3"/>
      <sheetName val="Dashboard_-_Page_13"/>
      <sheetName val="Dashboard_-_Page_23"/>
      <sheetName val="Dashboard_-_Page_33"/>
      <sheetName val="HRs_&amp;_Fill_Rate3"/>
      <sheetName val="TX_Consolidated3"/>
      <sheetName val="Corpus_Christi3"/>
      <sheetName val="Del_Rio(xfers__to_SA_in_Nov_)3"/>
      <sheetName val="Laredo(xfers__to_Corp__in_Nov_3"/>
      <sheetName val="Mt_Vernon3"/>
      <sheetName val="San_Antonio3"/>
      <sheetName val="Consolidated_CCS_Tracker3"/>
      <sheetName val="Abilene_CCS_Tracker3"/>
      <sheetName val="Arlington_CCS_Tracker3"/>
      <sheetName val="Bridgeport_CCS_Tracker3"/>
      <sheetName val="Cooper_CCS_Tracker3"/>
      <sheetName val="Corpus_Christi_CCS_Tracker3"/>
      <sheetName val="Del_Rio_CCS_Tracker3"/>
      <sheetName val="Edinburg_CCS_Tracker3"/>
      <sheetName val="Jasper_CCS_Tracker3"/>
      <sheetName val="Laredo_CCS_Tracker3"/>
      <sheetName val="Mt_Vernon_CCS_Tracker3"/>
      <sheetName val="Pasadena_CCS_Tracker3"/>
      <sheetName val="San_Antonio_CCS_Tracker3"/>
      <sheetName val="Pyramid_CCS_Tracker3"/>
      <sheetName val="OK_Consol3"/>
      <sheetName val="Avg_PCA_Hrs3"/>
      <sheetName val="PCA_Hours3"/>
      <sheetName val="[POWER5_XLA]__qmaxsolutions1834"/>
      <sheetName val="Mini_Model2"/>
      <sheetName val="Case_Driver2"/>
      <sheetName val="Case_Feed2"/>
      <sheetName val="[POWER5_XLA]_Applications_Mi_73"/>
      <sheetName val="[POWER5_XLA]__sfdc_DFS_Applic25"/>
      <sheetName val="[POWER5_XLA]_J_Applications__44"/>
      <sheetName val="[POWER5_XLA]_Applications_Mi_74"/>
      <sheetName val="[POWER5_XLA]__aodocs_altirna104"/>
      <sheetName val="[POWER5_XLA]__localhost_webd_74"/>
      <sheetName val="[POWER5_XLA]__localhost_webd_75"/>
      <sheetName val="[POWER5_XLA]__localhost_FY_2025"/>
      <sheetName val="[POWER5_XLA]__aodocs_altirna105"/>
      <sheetName val="[POWER5_XLA]__localhost_webd_76"/>
      <sheetName val="[POWER5_XLA][POWER5_XLA]_Appl48"/>
      <sheetName val="[POWER5_XLA][POWER5_XLA]__na148"/>
      <sheetName val="[POWER5_XLA][POWER5_XLA]__sfd48"/>
      <sheetName val="[POWER5_XLA][POWER5_XLA]_POW203"/>
      <sheetName val="[POWER5_XLA][POWER5_XLA]_POW204"/>
      <sheetName val="[POWER5_XLA][POWER5_XLA]_POW205"/>
      <sheetName val="[POWER5_XLA]__na1_salesforce_66"/>
      <sheetName val="[POWER5_XLA]_J_Applications__45"/>
      <sheetName val="[POWER5_XLA][POWER5_XLA]__qma32"/>
      <sheetName val="[POWER5_XLA][POWER5_XLA]_POW206"/>
      <sheetName val="[POWER5_XLA][POWER5_XLA]_POW207"/>
      <sheetName val="[POWER5_XLA][POWER5_XLA]_J_Ap32"/>
      <sheetName val="[POWER5_XLA]_Applications_Mi_75"/>
      <sheetName val="[POWER5_XLA]__aodocs_altirna106"/>
      <sheetName val="[POWER5_XLA]__aodocs_altirna107"/>
      <sheetName val="[POWER5_XLA][POWER5_XLA]_POW208"/>
      <sheetName val="[POWER5_XLA][POWER5_XLA]_Appl49"/>
      <sheetName val="[POWER5_XLA][POWER5_XLA]__na149"/>
      <sheetName val="[POWER5_XLA][POWER5_XLA]__sfd49"/>
      <sheetName val="[POWER5_XLA]_Users_SSimakova_17"/>
      <sheetName val="[POWER5_XLA]__na1_salesforce_67"/>
      <sheetName val="[POWER5_XLA][POWER5_XLA]_POW209"/>
      <sheetName val="[POWER5_XLA][POWER5_XLA]_POW210"/>
      <sheetName val="[POWER5_XLA]_Users_Dan_Librar26"/>
      <sheetName val="[POWER5_XLA]__qmaxsolutions1835"/>
      <sheetName val="[POWER5_XLA]__qmaxsolutions1836"/>
      <sheetName val="[POWER5_XLA]__qmaxsolutions1837"/>
      <sheetName val="[POWER5_XLA]__qmaxsolutions1838"/>
      <sheetName val="[POWER5_XLA]__qmaxsolutions1839"/>
      <sheetName val="[POWER5_XLA]__qmaxsolutions1840"/>
      <sheetName val="[POWER5_XLA]__qmaxsolutions1841"/>
      <sheetName val="[POWER5_XLA]__qmaxsolutions1842"/>
      <sheetName val="[POWER5_XLA]__qmaxsolutions1843"/>
      <sheetName val="[POWER5_XLA]__qmaxsolutions1844"/>
      <sheetName val="[POWER5_XLA]__qmaxsolutions1845"/>
      <sheetName val="[POWER5_XLA]__qmaxsolutions1846"/>
      <sheetName val="[POWER5_XLA]__qmaxsolutions1847"/>
      <sheetName val="[POWER5_XLA]__qmaxsolutions1848"/>
      <sheetName val="[POWER5_XLA]__qmaxsolutions1849"/>
      <sheetName val="8_23_062"/>
      <sheetName val="EPS_Chart_CRNv22"/>
      <sheetName val="PL_-_Corintech_UK2"/>
      <sheetName val="PL4_2_-_Corintech_HK2"/>
      <sheetName val="[POWER5_XLA]__qmaxsolutions1850"/>
      <sheetName val="Convertible_Preferred3"/>
      <sheetName val="Upside_Cases3"/>
      <sheetName val="Standalone_Costs3"/>
      <sheetName val="[POWER5_XLA]__qmaxsolutions1851"/>
      <sheetName val="[POWER5_XLA]__qmaxsolutions1852"/>
      <sheetName val="[POWER5_XLA]__qmaxsolutions1853"/>
      <sheetName val="[POWER5_XLA]__qmaxsolutions1854"/>
      <sheetName val="[POWER5_XLA]__qmaxsolutions1855"/>
      <sheetName val="[POWER5_XLA]__qmaxsolutions1856"/>
      <sheetName val="[POWER5_XLA]__qmaxsolutions1857"/>
      <sheetName val="Mo_Cons2"/>
      <sheetName val="Fin_Ratios2"/>
      <sheetName val="Summary_Statistics2"/>
      <sheetName val="Income_-_Year2"/>
      <sheetName val="Cash_-_Year2"/>
      <sheetName val="Balance_-_Year2"/>
      <sheetName val="FCF_Chart2"/>
      <sheetName val="Paging_Pen_Chart2"/>
      <sheetName val="Deferred_Charges2"/>
      <sheetName val="A_Shares2"/>
      <sheetName val="B_Shares2"/>
      <sheetName val="Total_Shares2"/>
      <sheetName val="Valuation_-_FCF2"/>
      <sheetName val="Valuation_-_FCF_+_Multiple2"/>
      <sheetName val="Valuation_-_EBITDA_Multiple2"/>
      <sheetName val="[POWER5_XLA]__qmaxsolutions1858"/>
      <sheetName val="[POWER5_XLA]__qmaxsolutions1859"/>
      <sheetName val="[POWER5_XLA]__qmaxsolutions1860"/>
      <sheetName val="[POWER5_XLA]__qmaxsolutions1861"/>
      <sheetName val="[POWER5_XLA]__qmaxsolutions1862"/>
      <sheetName val="[POWER5_XLA]__qmaxsolutions1863"/>
      <sheetName val="[POWER5_XLA]__qmaxsolutions1864"/>
      <sheetName val="[POWER5_XLA]__qmaxsolutions1865"/>
      <sheetName val="[POWER5_XLA]__qmaxsolutions1866"/>
      <sheetName val="[POWER5_XLA]__qmaxsolutions1867"/>
      <sheetName val="[POWER5_XLA]__qmaxsolutions1868"/>
      <sheetName val="[POWER5_XLA]__qmaxsolutions1869"/>
      <sheetName val="[POWER5_XLA]__qmaxsolutions1870"/>
      <sheetName val="[POWER5_XLA]__qmaxsolutions1871"/>
      <sheetName val="[POWER5_XLA]__qmaxsolutions1872"/>
      <sheetName val="[POWER5_XLA]__qmaxsolutions1873"/>
      <sheetName val="[POWER5_XLA]__qmaxsolutions1874"/>
      <sheetName val="[POWER5_XLA]__qmaxsolutions1875"/>
      <sheetName val="[POWER5_XLA]__qmaxsolutions1876"/>
      <sheetName val="[POWER5_XLA]__qmaxsolutions1877"/>
      <sheetName val="[POWER5_XLA]__qmaxsolutions1878"/>
      <sheetName val="[POWER5_XLA]__qmaxsolutions1879"/>
      <sheetName val="[POWER5_XLA]__qmaxsolutions1880"/>
      <sheetName val="[POWER5_XLA]__qmaxsolutions1881"/>
      <sheetName val="[POWER5_XLA]__qmaxsolutions1882"/>
      <sheetName val="[POWER5_XLA]__qmaxsolutions1883"/>
      <sheetName val="[POWER5_XLA]__qmaxsolutions1884"/>
      <sheetName val="[POWER5_XLA]__qmaxsolutions1885"/>
      <sheetName val="[POWER5_XLA]__qmaxsolutions1886"/>
      <sheetName val="[POWER5_XLA]__qmaxsolutions1887"/>
      <sheetName val="[POWER5_XLA]__qmaxsolutions1888"/>
      <sheetName val="CF_trat__2"/>
      <sheetName val="Dist_Maq2"/>
      <sheetName val="Dados_Maq2"/>
      <sheetName val="Da_agr2"/>
      <sheetName val="Evolução_do_Plantio_2"/>
      <sheetName val="[POWER5_XLA]__qmaxsolutions1889"/>
      <sheetName val="[POWER5_XLA]__qmaxsolutions1890"/>
      <sheetName val="[POWER5_XLA]__qmaxsolutions1891"/>
      <sheetName val="[POWER5_XLA]__qmaxsolutions1892"/>
      <sheetName val="[POWER5_XLA]__qmaxsolutions1893"/>
      <sheetName val="[POWER5_XLA]__qmaxsolutions1894"/>
      <sheetName val="[POWER5_XLA]__qmaxsolutions1895"/>
      <sheetName val="[POWER5_XLA]__qmaxsolutions1896"/>
      <sheetName val="[POWER5_XLA]__qmaxsolutions1897"/>
      <sheetName val="[POWER5_XLA]__qmaxsolutions1898"/>
      <sheetName val="[POWER5_XLA]__qmaxsolutions1899"/>
      <sheetName val="[POWER5_XLA]__qmaxsolutions1900"/>
      <sheetName val="[POWER5_XLA]__qmaxsolutions1901"/>
      <sheetName val="[POWER5_XLA]__qmaxsolutions1902"/>
      <sheetName val="Global_Footcare_price_list2"/>
      <sheetName val="Foot_Balance_price_list2"/>
      <sheetName val="QE_adjustment_database2"/>
      <sheetName val="PL_Data2"/>
      <sheetName val="BS_Data2"/>
      <sheetName val="NWC_adjustments2"/>
      <sheetName val="[POWER5_XLA]__qmaxsolutions1903"/>
      <sheetName val="[POWER5_XLA]__qmaxsolutions1904"/>
      <sheetName val="[POWER5_XLA]__qmaxsolutions1905"/>
      <sheetName val="[POWER5_XLA]__qmaxsolutions1906"/>
      <sheetName val="[POWER5_XLA]__qmaxsolutions1907"/>
      <sheetName val="[POWER5_XLA]__qmaxsolutions1908"/>
      <sheetName val="[POWER5_XLA]__qmaxsolutions1909"/>
      <sheetName val="[POWER5_XLA]__qmaxsolutions1910"/>
      <sheetName val="[POWER5_XLA]__qmaxsolutions1911"/>
      <sheetName val="[POWER5_XLA]__qmaxsolutions1912"/>
      <sheetName val="[POWER5_XLA]__qmaxsolutions1913"/>
      <sheetName val="[POWER5_XLA]__qmaxsolutions1914"/>
      <sheetName val="[POWER5_XLA]__qmaxsolutions1915"/>
      <sheetName val="[POWER5_XLA]__qmaxsolutions1916"/>
      <sheetName val="[POWER5_XLA]__qmaxsolutions1917"/>
      <sheetName val="[POWER5_XLA]__qmaxsolutions1918"/>
      <sheetName val="[POWER5_XLA]__d_docs_live_net17"/>
      <sheetName val="[POWER5_XLA]__d_docs_live_net18"/>
      <sheetName val="[POWER5_XLA]__d_docs_live_net19"/>
      <sheetName val="[POWER5_XLA]__d_docs_live_net20"/>
      <sheetName val="Supporting_Settings2"/>
      <sheetName val="[POWER5_XLA]_Appl_23"/>
      <sheetName val="[POWER5_XLA]__na1_23"/>
      <sheetName val="[POWER5_XLA]__sfd_23"/>
      <sheetName val="[POWER5_XLA]_POWE_23"/>
      <sheetName val="[POWER5_XLA]_POWE_33"/>
      <sheetName val="[POWER5_XLA]_POWE_43"/>
      <sheetName val="[POWER5_XLA]__qma_22"/>
      <sheetName val="[POWER5_XLA]_POWE_53"/>
      <sheetName val="[POWER5_XLA]_POWE_63"/>
      <sheetName val="[POWER5_XLA]_J_Ap_22"/>
      <sheetName val="[POWER5_XLA]_Appl_33"/>
      <sheetName val="[POWER5_XLA]__na1_33"/>
      <sheetName val="[POWER5_XLA]__sfd_33"/>
      <sheetName val="[POWER5_XLA]_POWE_73"/>
      <sheetName val="[POWER5_XLA]_POWE_82"/>
      <sheetName val="[POWER5_XLA]_POWE_92"/>
      <sheetName val="[POWER5_XLA]__qma_32"/>
      <sheetName val="[POWER5_XLA]_POW_102"/>
      <sheetName val="[POWER5_XLA]_POW_112"/>
      <sheetName val="[POWER5_XLA]_J_Ap_32"/>
      <sheetName val="[POWER5_XLA]_Appl_42"/>
      <sheetName val="[POWER5_XLA]__na1_42"/>
      <sheetName val="[POWER5_XLA]__sfd_42"/>
      <sheetName val="[POWER5_XLA]_POW_122"/>
      <sheetName val="[POWER5_XLA]_POW_132"/>
      <sheetName val="[POWER5_XLA]_POW_142"/>
      <sheetName val="[POWER5_XLA]__qma_42"/>
      <sheetName val="[POWER5_XLA]_POW_152"/>
      <sheetName val="[POWER5_XLA]_POW_162"/>
      <sheetName val="[POWER5_XLA]_J_Ap_42"/>
      <sheetName val="[POWER5_XLA]__d_docs_live_net21"/>
      <sheetName val="Outputs_for_CIP2"/>
      <sheetName val="[POWER5_XLA]__qmaxsolutions1919"/>
      <sheetName val="[POWER5_XLA]__qmaxsolutions1920"/>
      <sheetName val="[POWER5_XLA]__qmaxsolutions1921"/>
      <sheetName val="[POWER5_XLA]__qmaxsolutions1922"/>
      <sheetName val="[POWER5_XLA]__qmaxsolutions1923"/>
      <sheetName val="[POWER5_XLA]__qmaxsolutions1924"/>
      <sheetName val="[POWER5_XLA]__qmaxsolutions1925"/>
      <sheetName val="[POWER5_XLA]__qmaxsolutions1926"/>
      <sheetName val="[POWER5_XLA]__qmaxsolutions1927"/>
      <sheetName val="[POWER5_XLA]__qmaxsolutions1928"/>
      <sheetName val="[POWER5_XLA]__qmaxsolutions1929"/>
      <sheetName val="[POWER5_XLA]__qmaxsolutions1930"/>
      <sheetName val="[POWER5_XLA]__qmaxsolutions1931"/>
      <sheetName val="[POWER5_XLA]__qmaxsolutions1932"/>
      <sheetName val="[POWER5_XLA]__qmaxsolutions1933"/>
      <sheetName val="[POWER5_XLA]__qmaxsolutions1934"/>
      <sheetName val="[POWER5_XLA]__qmaxsolutions1935"/>
      <sheetName val="[POWER5_XLA]__qmaxsolutions1936"/>
      <sheetName val="[POWER5_XLA]__qmaxsolutions1937"/>
      <sheetName val="[POWER5_XLA]__qmaxsolutions1938"/>
      <sheetName val="[POWER5_XLA]__qmaxsolutions1939"/>
      <sheetName val="[POWER5_XLA]__qmaxsolutions1940"/>
      <sheetName val="[POWER5_XLA]__qmaxsolutions1941"/>
      <sheetName val="[POWER5_XLA]__qmaxsolutions1942"/>
      <sheetName val="[POWER5_XLA]__qmaxsolutions1943"/>
      <sheetName val="[POWER5_XLA]__qmaxsolutions1944"/>
      <sheetName val="[POWER5_XLA]__qmaxsolutions1945"/>
      <sheetName val="[POWER5_XLA]__qmaxsolutions1946"/>
      <sheetName val="[POWER5_XLA]__qmaxsolutions1947"/>
      <sheetName val="[POWER5_XLA]__qmaxsolutions1948"/>
      <sheetName val="ePSM_BOB_Data_Page2"/>
      <sheetName val="Rx_Key_Stat_by_Generic_page2"/>
      <sheetName val="ePSM_Header_Data_Page2"/>
      <sheetName val="Data_Availability_page2"/>
      <sheetName val="HPD_page2"/>
      <sheetName val="Med_Cat_-_Curr_page2"/>
      <sheetName val="ePSM_Medical_Data_Page2"/>
      <sheetName val="ePSM_Fund_Code2"/>
      <sheetName val="[POWER5_XLA]__qmaxsolutions1949"/>
      <sheetName val="[POWER5_XLA]__qmaxsolutions1950"/>
      <sheetName val="[POWER5_XLA]__qmaxsolutions1951"/>
      <sheetName val="[POWER5_XLA]__qmaxsolutions1952"/>
      <sheetName val="[POWER5_XLA]__qmaxsolutions1953"/>
      <sheetName val="[POWER5_XLA]__qmaxsolutions1954"/>
      <sheetName val="[POWER5_XLA]__qmaxsolutions1955"/>
      <sheetName val="[POWER5_XLA]__qmaxsolutions1956"/>
      <sheetName val="[POWER5_XLA]__qmaxsolutions1957"/>
      <sheetName val="[POWER5_XLA]__qmaxsolutions1958"/>
      <sheetName val="[POWER5_XLA]__qmaxsolutions1959"/>
      <sheetName val="[POWER5_XLA]__qmaxsolutions1960"/>
      <sheetName val="[POWER5_XLA]__qmaxsolutions1961"/>
      <sheetName val="[POWER5_XLA]__qmaxsolutions1962"/>
      <sheetName val="[POWER5_XLA]__qmaxsolutions1963"/>
      <sheetName val="[POWER5_XLA]__qmaxsolutions1964"/>
      <sheetName val="TBAL9697_-group_wise__sdpl2"/>
      <sheetName val="[POWER5_XLA]__soferadvisors_m17"/>
      <sheetName val="[POWER5_XLA]__soferadvisors_m18"/>
      <sheetName val="[POWER5_XLA]__soferadvisors_m19"/>
      <sheetName val="[POWER5_XLA]__soferadvisors_m20"/>
      <sheetName val="[POWER5_XLA]__soferadvisors_m21"/>
      <sheetName val="[POWER5_XLA]__soferadvisors_m22"/>
      <sheetName val="[POWER5_XLA]__soferadvisors_m23"/>
      <sheetName val="[POWER5_XLA]__soferadvisors_m24"/>
      <sheetName val="Beluga_CTRL2"/>
      <sheetName val="Ret_MSC_StaffDemand2"/>
      <sheetName val="[POWER5_XLA]__d_docs_live_net22"/>
      <sheetName val="[POWER5_XLA]__d_docs_live_net23"/>
      <sheetName val="LYO_(2)3"/>
      <sheetName val="Gerken_(2)3"/>
      <sheetName val="TMS_(2)3"/>
      <sheetName val="Fesler_(2)3"/>
      <sheetName val="Benham_(2)3"/>
      <sheetName val="LCD_(2)3"/>
      <sheetName val="Roberts_(2)3"/>
      <sheetName val="Hoffman_(2)3"/>
      <sheetName val="Baker_(2)3"/>
      <sheetName val="Victoria_(2)3"/>
      <sheetName val="Williams_(2)3"/>
      <sheetName val="Engel_(2)3"/>
      <sheetName val="Sonoran_(2)3"/>
      <sheetName val="MThurman_(2)3"/>
      <sheetName val="BThurman_(2)3"/>
      <sheetName val="DSA_(2)3"/>
      <sheetName val="Coastal_(2)3"/>
      <sheetName val="Income_Statement_Summary2"/>
      <sheetName val="BS_Summary2"/>
      <sheetName val="Cash_Flow_Summary2"/>
      <sheetName val="1_-_2018-2019_Rev2"/>
      <sheetName val="2_-_2018-2019_Rev_Fcst_Detail2"/>
      <sheetName val="3_-_Cash_Flow_(New_Format)2"/>
      <sheetName val="4_-_2018-2019_Gen_&amp;_Admin2"/>
      <sheetName val="3_-_2018-2019_Cash_Flow2"/>
      <sheetName val="5_-_2018-2019_Bal_Sheet2"/>
      <sheetName val="6_-_2018-2019_Inc_Stmt2"/>
      <sheetName val="7_-_Purchasing2"/>
      <sheetName val="[POWER5_XLA]__qmaxsolutions1965"/>
      <sheetName val="[POWER5_XLA]__qmaxsolutions1966"/>
      <sheetName val="[POWER5_XLA]__qmaxsolutions1967"/>
      <sheetName val="[POWER5_XLA]__qmaxsolutions1968"/>
      <sheetName val="[POWER5_XLA]__qmaxsolutions1969"/>
      <sheetName val="[POWER5_XLA]__qmaxsolutions1970"/>
      <sheetName val="[POWER5_XLA]__qmaxsolutions1971"/>
      <sheetName val="[POWER5_XLA]__qmaxsolutions1972"/>
      <sheetName val="[POWER5_XLA]__qmaxsolutions1973"/>
      <sheetName val="[POWER5_XLA]__qmaxsolutions1974"/>
      <sheetName val="[POWER5_XLA]__qmaxsolutions1975"/>
      <sheetName val="[POWER5_XLA]__qmaxsolutions1976"/>
      <sheetName val="[POWER5_XLA]__qmaxsolutions1977"/>
      <sheetName val="[POWER5_XLA]__qmaxsolutions1978"/>
      <sheetName val="[POWER5_XLA]__qmaxsolutions1979"/>
      <sheetName val="[POWER5_XLA]__qmaxsolutions1980"/>
      <sheetName val="[POWER5_XLA]__qmaxsolutions1981"/>
      <sheetName val="Control_-_S&amp;U2"/>
      <sheetName val="[POWER5_XLA]__qmaxsolutions1982"/>
      <sheetName val="[POWER5_XLA]__qmaxsolutions1983"/>
      <sheetName val="[POWER5_XLA]__qmaxsolutions1984"/>
      <sheetName val="[POWER5_XLA]__qmaxsolutions1985"/>
      <sheetName val="[POWER5_XLA]__qmaxsolutions1986"/>
      <sheetName val="[POWER5_XLA]__qmaxsolutions1987"/>
      <sheetName val="[POWER5_XLA]__qmaxsolutions1988"/>
      <sheetName val="[POWER5_XLA]__qmaxsolutions1989"/>
      <sheetName val="[POWER5_XLA]__qmaxsolutions1990"/>
      <sheetName val="[POWER5_XLA]__qmaxsolutions1991"/>
      <sheetName val="[POWER5_XLA]__qmaxsolutions1992"/>
      <sheetName val="[POWER5_XLA]__qmaxsolutions1993"/>
      <sheetName val="[POWER5_XLA]__qmaxsolutions1994"/>
      <sheetName val="[POWER5_XLA]__qmaxsolutions1995"/>
      <sheetName val="[POWER5_XLA]__qmaxsolutions1996"/>
      <sheetName val="13-01_BS2"/>
      <sheetName val="09-02_-_BS2"/>
      <sheetName val="Enity_&amp;_Line_Item_Map2"/>
      <sheetName val="13-01_IS2"/>
      <sheetName val="P&amp;L_12months_thru_09-022"/>
      <sheetName val="[POWER5_XLA]__qmaxsolutions1997"/>
      <sheetName val="[POWER5_XLA]__qmaxsolutions1998"/>
      <sheetName val="[POWER5_XLA]__qmaxsolutions1999"/>
      <sheetName val="[POWER5_XLA]__qmaxsolutions2000"/>
      <sheetName val="[POWER5_XLA]__qmaxsolutions2001"/>
      <sheetName val="[POWER5_XLA]__qmaxsolutions2002"/>
      <sheetName val="[POWER5_XLA]__qmaxsolutions2003"/>
      <sheetName val="[POWER5_XLA]__qmaxsolutions2004"/>
      <sheetName val="[POWER5_XLA]__qmaxsolutions2005"/>
      <sheetName val="[POWER5_XLA]__qmaxsolutions2006"/>
      <sheetName val="[POWER5_XLA]__qmaxsolutions2007"/>
      <sheetName val="[POWER5_XLA]__qmaxsolutions2008"/>
      <sheetName val="[POWER5_XLA]__qmaxsolutions2009"/>
      <sheetName val="[POWER5_XLA]__qmaxsolutions2010"/>
      <sheetName val="[POWER5_XLA]__qmaxsolutions2011"/>
      <sheetName val="[POWER5_XLA]__qmaxsolutions2012"/>
      <sheetName val="[POWER5_XLA]__qmaxsolutions2013"/>
      <sheetName val="[POWER5_XLA]__qmaxsolutions2014"/>
      <sheetName val="[POWER5_XLA]__qmaxsolutions2015"/>
      <sheetName val="[POWER5_XLA]__qmaxsolutions2016"/>
      <sheetName val="Détail_mensuel2"/>
      <sheetName val="Functional_Currency_Code2"/>
      <sheetName val="[POWER5_XLA]__qmaxsolutions2017"/>
      <sheetName val="[POWER5_XLA]__qmaxsolutions2018"/>
      <sheetName val="[POWER5_XLA]__qmaxsolutions2019"/>
      <sheetName val="[POWER5_XLA]__qmaxsolutions2020"/>
      <sheetName val="[POWER5_XLA]__qmaxsolutions2021"/>
      <sheetName val="[POWER5_XLA]__qmaxsolutions2022"/>
      <sheetName val="[POWER5_XLA]__qmaxsolutions2023"/>
      <sheetName val="[POWER5_XLA]__qmaxsolutions2024"/>
      <sheetName val="WEST_REGION_-_652"/>
      <sheetName val="Global_Controls2"/>
      <sheetName val="[POWER5_XLA]__qmaxsolutions2025"/>
      <sheetName val="[POWER5_XLA]__qmaxsolutions2026"/>
      <sheetName val="[POWER5_XLA]__qmaxsolutions2027"/>
      <sheetName val="[POWER5_XLA]__qmaxsolutions2028"/>
      <sheetName val="[POWER5_XLA]__qmaxsolutions2029"/>
      <sheetName val="[POWER5_XLA]__qmaxsolutions2030"/>
      <sheetName val="[POWER5_XLA]__qmaxsolutions2031"/>
      <sheetName val="[POWER5_XLA]__qmaxsolutions2032"/>
      <sheetName val="[POWER5_XLA]__qmaxsolutions2033"/>
      <sheetName val="[POWER5_XLA]__qmaxsolutions2034"/>
      <sheetName val="[POWER5_XLA]__qmaxsolutions2035"/>
      <sheetName val="[POWER5_XLA]__qmaxsolutions2036"/>
      <sheetName val="[POWER5_XLA]__qmaxsolutions2037"/>
      <sheetName val="[POWER5_XLA]__qmaxsolutions2038"/>
      <sheetName val="[POWER5_XLA]__qmaxsolutions2039"/>
      <sheetName val="[POWER5_XLA]__qmaxsolutions2040"/>
      <sheetName val="[POWER5_XLA]__qmaxsolutions2041"/>
      <sheetName val="[POWER5_XLA]__qmaxsolutions2042"/>
      <sheetName val="[POWER5_XLA]__qmaxsolutions2043"/>
      <sheetName val="Cash_Flow2"/>
      <sheetName val="Active_EE's_(KS_27-02-22)2"/>
      <sheetName val="[POWER5_XLA]__d_docs_live_ne150"/>
      <sheetName val="[POWER5_XLA]__d_docs_live_net24"/>
      <sheetName val="[POWER5_XLA]__d_docs_live_ne151"/>
      <sheetName val="[POWER5_XLA]__soferadvisors_128"/>
      <sheetName val="[POWER5_XLA]__d_docs_live_ne152"/>
      <sheetName val="[POWER5_XLA]__d_docs_live_ne153"/>
      <sheetName val="[POWER5_XLA]__soferadvisors_129"/>
      <sheetName val="[POWER5_XLA]__d_docs_live_ne154"/>
      <sheetName val="[POWER5_XLA]__soferadvisors_130"/>
      <sheetName val="[POWER5_XLA]__d_docs_live_ne155"/>
      <sheetName val="[POWER5_XLA]__soferadvisors_131"/>
      <sheetName val="[POWER5_XLA]__qmaxsolutions2044"/>
      <sheetName val="[POWER5_XLA]__qmaxsolutions2045"/>
      <sheetName val="[POWER5_XLA]__qmaxsolutions2046"/>
      <sheetName val="[POWER5_XLA]__qmaxsolutions2047"/>
      <sheetName val="[POWER5_XLA]__qmaxsolutions2048"/>
      <sheetName val="[POWER5_XLA]__qmaxsolutions2049"/>
      <sheetName val="[POWER5_XLA]__qmaxsolutions2050"/>
      <sheetName val="[POWER5_XLA]__qmaxsolutions2051"/>
      <sheetName val="[POWER5_XLA]__qmaxsolutions2052"/>
      <sheetName val="[POWER5_XLA]__qmaxsolutions2053"/>
      <sheetName val="[POWER5_XLA]__qmaxsolutions2054"/>
      <sheetName val="[POWER5_XLA]__qmaxsolutions2055"/>
      <sheetName val="[POWER5_XLA]__qmaxsolutions2056"/>
      <sheetName val="[POWER5_XLA]__qmaxsolutions2057"/>
      <sheetName val="[POWER5_XLA]__qmaxsolutions2058"/>
      <sheetName val="[POWER5_XLA]__qmaxsolutions2059"/>
      <sheetName val="[POWER5_XLA]__qmaxsolutions2060"/>
      <sheetName val="[POWER5_XLA]__qmaxsolutions2061"/>
      <sheetName val="[POWER5_XLA]__qmaxsolutions2062"/>
      <sheetName val="[POWER5_XLA]__qmaxsolutions2063"/>
      <sheetName val="[POWER5_XLA]__qmaxsolutions2064"/>
      <sheetName val="[POWER5_XLA]__qmaxsolutions2065"/>
      <sheetName val="[POWER5_XLA]__qmaxsolutions2066"/>
      <sheetName val="[POWER5_XLA]__qmaxsolutions2067"/>
      <sheetName val="[POWER5_XLA]__qmaxsolutions2068"/>
      <sheetName val="[POWER5_XLA]__qmaxsolutions2069"/>
      <sheetName val="[POWER5_XLA]__qmaxsolutions2070"/>
      <sheetName val="[POWER5_XLA]__qmaxsolutions2071"/>
      <sheetName val="[POWER5_XLA]__qmaxsolutions2072"/>
      <sheetName val="[POWER5_XLA]__qmaxsolutions2073"/>
      <sheetName val="[POWER5_XLA]__qmaxsolutions2074"/>
      <sheetName val="[POWER5_XLA]__qmaxsolutions2075"/>
      <sheetName val="[POWER5_XLA]__qmaxsolutions2076"/>
      <sheetName val="[POWER5_XLA]__qmaxsolutions2077"/>
      <sheetName val="[POWER5_XLA]__qmaxsolutions2078"/>
      <sheetName val="[POWER5_XLA]__qmaxsolutions2079"/>
      <sheetName val="[POWER5_XLA]__qmaxsolutions2080"/>
      <sheetName val="[POWER5_XLA]__qmaxsolutions2081"/>
      <sheetName val="[POWER5_XLA]__qmaxsolutions2082"/>
      <sheetName val="[POWER5_XLA]__qmaxsolutions2083"/>
      <sheetName val="[POWER5_XLA]__qmaxsolutions2084"/>
      <sheetName val="[POWER5_XLA]__qmaxsolutions2085"/>
      <sheetName val="[POWER5_XLA]__qmaxsolutions2086"/>
      <sheetName val="[POWER5_XLA]__qmaxsolutions2087"/>
      <sheetName val="[POWER5_XLA]__qmaxsolutions2088"/>
      <sheetName val="[POWER5_XLA]__qmaxsolutions2089"/>
      <sheetName val="[POWER5_XLA]__qmaxsolutions2090"/>
      <sheetName val="[POWER5_XLA]__qmaxsolutions2091"/>
      <sheetName val="[POWER5_XLA]__qmaxsolutions2092"/>
      <sheetName val="[POWER5_XLA]__qmaxsolutions2093"/>
      <sheetName val="[POWER5_XLA]__qmaxsolutions2094"/>
      <sheetName val="[POWER5_XLA]__qmaxsolutions2095"/>
      <sheetName val="[POWER5_XLA]__qmaxsolutions2096"/>
      <sheetName val="[POWER5_XLA]__qmaxsolutions2097"/>
      <sheetName val="[POWER5_XLA]__qmaxsolutions2098"/>
      <sheetName val="[POWER5_XLA]__qmaxsolutions2099"/>
      <sheetName val="[POWER5_XLA]__qmaxsolutions2100"/>
      <sheetName val="[POWER5_XLA]__qmaxsolutions2101"/>
      <sheetName val="[POWER5_XLA]__qmaxsolutions2102"/>
      <sheetName val="[POWER5_XLA]__qmaxsolutions2103"/>
      <sheetName val="[POWER5_XLA]__qmaxsolutions2104"/>
      <sheetName val="[POWER5_XLA]__qmaxsolutions2105"/>
      <sheetName val="[POWER5_XLA]__qmaxsolutions2106"/>
      <sheetName val="[POWER5_XLA]__qmaxsolutions2107"/>
      <sheetName val="[POWER5_XLA]__qmaxsolutions2108"/>
      <sheetName val="[POWER5_XLA]__qmaxsolutions2109"/>
      <sheetName val="[POWER5_XLA]__qmaxsolutions2110"/>
      <sheetName val="[POWER5_XLA]__qmaxsolutions2111"/>
      <sheetName val="[POWER5_XLA]__qmaxsolutions2112"/>
      <sheetName val="[POWER5_XLA]__qmaxsolutions2113"/>
      <sheetName val="[POWER5_XLA]__qmaxsolutions2114"/>
      <sheetName val="[POWER5_XLA]__qmaxsolutions2115"/>
      <sheetName val="[POWER5_XLA]__qmaxsolutions2116"/>
      <sheetName val="[POWER5_XLA]__qmaxsolutions2117"/>
      <sheetName val="[POWER5_XLA]__qmaxsolutions2118"/>
      <sheetName val="[POWER5_XLA]__qmaxsolutions2119"/>
      <sheetName val="[POWER5_XLA]__qmaxsolutions2120"/>
      <sheetName val="[POWER5_XLA]__qmaxsolutions2121"/>
      <sheetName val="[POWER5_XLA]__qmaxsolutions2122"/>
      <sheetName val="[POWER5_XLA]__qmaxsolutions2123"/>
      <sheetName val="[POWER5_XLA]__qmaxsolutions2124"/>
      <sheetName val="[POWER5_XLA]__qmaxsolutions2125"/>
      <sheetName val="Index_Chart2"/>
      <sheetName val="[POWER5_XLA]__qmaxsolutions2126"/>
      <sheetName val="[POWER5_XLA]__qmaxsolutions2127"/>
      <sheetName val="[POWER5_XLA]__qmaxsolutions2128"/>
      <sheetName val="LBO_Analysis2"/>
      <sheetName val="[POWER5_XLA]__qmaxsolutions2129"/>
      <sheetName val="[POWER5_XLA]__qmaxsolutions2130"/>
      <sheetName val="Group_NWC_monthly2"/>
      <sheetName val="Lead_CF2"/>
      <sheetName val="Exch_rates2"/>
      <sheetName val="Cap_Table2"/>
      <sheetName val="[POWER5_XLA]__qmaxsolutions2131"/>
      <sheetName val="[POWER5_XLA]__qmaxsolutions2132"/>
      <sheetName val="[POWER5_XLA]__qmaxsolutions2133"/>
      <sheetName val="[POWER5_XLA]__qmaxsolutions2134"/>
      <sheetName val="[POWER5_XLA]__qmaxsolutions2135"/>
      <sheetName val="[POWER5_XLA]__na1_salesforce_68"/>
      <sheetName val="[POWER5_XLA][POWER5_XLA]__qma33"/>
      <sheetName val="[POWER5_XLA][POWER5_XLA]_POW211"/>
      <sheetName val="[POWER5_XLA][POWER5_XLA]_POW212"/>
      <sheetName val="[POWER5_XLA][POWER5_XLA]_J_Ap33"/>
      <sheetName val="[POWER5_XLA]_Users_Dan_Librar27"/>
      <sheetName val="[POWER5_XLA]_Applications_Mi_76"/>
      <sheetName val="[POWER5_XLA]__sfdc_DFS_Applic26"/>
      <sheetName val="[POWER5_XLA]_J_Applications__46"/>
      <sheetName val="[POWER5_XLA]_Applications_Mi_77"/>
      <sheetName val="[POWER5_XLA]__aodocs_altirna108"/>
      <sheetName val="[POWER5_XLA]__localhost_webd_77"/>
      <sheetName val="[POWER5_XLA]__localhost_webd_78"/>
      <sheetName val="[POWER5_XLA]__localhost_FY_2026"/>
      <sheetName val="[POWER5_XLA]__aodocs_altirna109"/>
      <sheetName val="[POWER5_XLA]__localhost_webd_79"/>
      <sheetName val="[POWER5_XLA][POWER5_XLA]_Appl50"/>
      <sheetName val="[POWER5_XLA][POWER5_XLA]__na150"/>
      <sheetName val="[POWER5_XLA][POWER5_XLA]__sfd50"/>
      <sheetName val="[POWER5_XLA][POWER5_XLA]_POW213"/>
      <sheetName val="[POWER5_XLA][POWER5_XLA]_POW214"/>
      <sheetName val="[POWER5_XLA][POWER5_XLA]_POW215"/>
      <sheetName val="[POWER5_XLA]__na1_salesforce_69"/>
      <sheetName val="[POWER5_XLA]_J_Applications__47"/>
      <sheetName val="[POWER5_XLA][POWER5_XLA]__qma34"/>
      <sheetName val="[POWER5_XLA][POWER5_XLA]_POW216"/>
      <sheetName val="[POWER5_XLA][POWER5_XLA]_POW217"/>
      <sheetName val="[POWER5_XLA][POWER5_XLA]_J_Ap34"/>
      <sheetName val="[POWER5_XLA]_Applications_Mi_78"/>
      <sheetName val="[POWER5_XLA]__aodocs_altirna110"/>
      <sheetName val="[POWER5_XLA]__aodocs_altirna111"/>
      <sheetName val="[POWER5_XLA][POWER5_XLA]_POW218"/>
      <sheetName val="[POWER5_XLA][POWER5_XLA]_Appl51"/>
      <sheetName val="[POWER5_XLA][POWER5_XLA]__na151"/>
      <sheetName val="[POWER5_XLA][POWER5_XLA]__sfd51"/>
      <sheetName val="[POWER5_XLA]_Users_SSimakova_18"/>
      <sheetName val="[POWER5_XLA]__na1_salesforce_70"/>
      <sheetName val="[POWER5_XLA][POWER5_XLA]_POW219"/>
      <sheetName val="[POWER5_XLA][POWER5_XLA]_POW220"/>
      <sheetName val="[POWER5_XLA]_Users_Dan_Libra_18"/>
      <sheetName val="[POWER5_XLA]__na1_salesforce_71"/>
      <sheetName val="[POWER5_XLA][POWER5_XLA]__qma35"/>
      <sheetName val="[POWER5_XLA][POWER5_XLA]_POW221"/>
      <sheetName val="[POWER5_XLA][POWER5_XLA]_POW222"/>
      <sheetName val="[POWER5_XLA][POWER5_XLA]_J_Ap35"/>
      <sheetName val="[POWER5_XLA]_Users_Dan_Libra_19"/>
      <sheetName val="[POWER5_XLA]_J_Applications__48"/>
      <sheetName val="[POWER5_XLA]__d_docs_live_ne156"/>
      <sheetName val="[POWER5_XLA]__d_docs_live_ne157"/>
      <sheetName val="[POWER5_XLA]__d_docs_live_ne158"/>
      <sheetName val="[POWER5_XLA]__d_docs_live_ne159"/>
      <sheetName val="[POWER5_XLA]__d_docs_live_ne160"/>
      <sheetName val="[POWER5_XLA]__d_docs_live_ne161"/>
      <sheetName val="[POWER5_XLA]__d_docs_live_ne162"/>
      <sheetName val="[POWER5_XLA]__d_docs_live_ne163"/>
      <sheetName val="[POWER5_XLA]__d_docs_live_ne164"/>
      <sheetName val="[POWER5_XLA]__d_docs_live_ne165"/>
      <sheetName val="[POWER5_XLA]__d_docs_live_ne166"/>
      <sheetName val="[POWER5_XLA]__d_docs_live_ne167"/>
      <sheetName val="[POWER5_XLA]__d_docs_live_ne168"/>
      <sheetName val="[POWER5_XLA]__d_docs_live_ne169"/>
      <sheetName val="[POWER5_XLA]__d_docs_live_ne170"/>
      <sheetName val="[POWER5_XLA]__d_docs_live_ne171"/>
      <sheetName val="[POWER5_XLA]__d_docs_live_ne172"/>
      <sheetName val="[POWER5_XLA]__d_docs_live_ne173"/>
      <sheetName val="[POWER5_XLA]__d_docs_live_ne174"/>
      <sheetName val="[POWER5_XLA]__d_docs_live_ne175"/>
      <sheetName val="[POWER5_XLA]__d_docs_live_ne176"/>
      <sheetName val="[POWER5_XLA]__d_docs_live_ne177"/>
      <sheetName val="[POWER5_XLA]__d_docs_live_ne178"/>
      <sheetName val="[POWER5_XLA]__d_docs_live_ne179"/>
      <sheetName val="[POWER5_XLA]__d_docs_live_ne180"/>
      <sheetName val="[POWER5_XLA]__d_docs_live_ne181"/>
      <sheetName val="[POWER5_XLA]__d_docs_live_ne182"/>
      <sheetName val="[POWER5_XLA]__d_docs_live_ne183"/>
      <sheetName val="[POWER5_XLA]__d_docs_live_ne184"/>
      <sheetName val="[POWER5_XLA]__d_docs_live_ne185"/>
      <sheetName val="[POWER5_XLA]__d_docs_live_ne186"/>
      <sheetName val="[POWER5_XLA]__d_docs_live_ne187"/>
      <sheetName val="[POWER5_XLA]__d_docs_live_ne188"/>
      <sheetName val="[POWER5_XLA]__d_docs_live_ne189"/>
      <sheetName val="[POWER5_XLA]__d_docs_live_ne190"/>
      <sheetName val="[POWER5_XLA]__d_docs_live_ne191"/>
      <sheetName val="[POWER5_XLA]__d_docs_live_ne192"/>
      <sheetName val="[POWER5_XLA]__qmaxsolutions2136"/>
      <sheetName val="[POWER5_XLA]__qmaxsolutions2137"/>
      <sheetName val="[POWER5_XLA]__qmaxsolutions2138"/>
      <sheetName val="[POWER5_XLA]__qmaxsolutions2139"/>
      <sheetName val="[POWER5_XLA]__qmaxsolutions2140"/>
      <sheetName val="[POWER5_XLA]__qmaxsolutions2141"/>
      <sheetName val="[POWER5_XLA]__qmaxsolutions2142"/>
      <sheetName val="[POWER5_XLA]__qmaxsolutions2143"/>
      <sheetName val="[POWER5_XLA]__qmaxsolutions2144"/>
      <sheetName val="[POWER5_XLA]__qmaxsolutions2145"/>
      <sheetName val="[POWER5_XLA]__qmaxsolutions2146"/>
      <sheetName val="[POWER5_XLA]__qmaxsolutions2147"/>
      <sheetName val="[POWER5_XLA]__qmaxsolutions2148"/>
      <sheetName val="[POWER5_XLA]__qmaxsolutions2149"/>
      <sheetName val="[POWER5_XLA]__qmaxsolutions2150"/>
      <sheetName val="[POWER5_XLA]__qmaxsolutions2151"/>
      <sheetName val="[POWER5_XLA]__qmaxsolutions2152"/>
      <sheetName val="[POWER5_XLA]__qmaxsolutions2153"/>
      <sheetName val="[POWER5_XLA]__soferadvisors_132"/>
      <sheetName val="[POWER5_XLA]__soferadvisors_133"/>
      <sheetName val="Bloomberg_Market_Data1"/>
      <sheetName val="[POWER5_XLA]__soferadvisors_134"/>
      <sheetName val="[POWER5_XLA]__soferadvisors_135"/>
      <sheetName val="[POWER5_XLA]__qmaxsolutions2154"/>
      <sheetName val="Rev__by_Product2"/>
      <sheetName val="FY97_CAPITAL_BUDGET2"/>
      <sheetName val="ICC_FY972"/>
      <sheetName val="5_WIRE적용LIST2"/>
      <sheetName val="(JJ-2_2)_Deferred_taxes2"/>
      <sheetName val="[POWER5_XLA]__soferadvisors_136"/>
      <sheetName val="[POWER5_XLA]__soferadvisors_137"/>
      <sheetName val="[POWER5_XLA]__soferadvisors_138"/>
      <sheetName val="[POWER5_XLA]__soferadvisors_139"/>
      <sheetName val="[POWER5_XLA]__soferadvisors_140"/>
      <sheetName val="[POWER5_XLA]__soferadvisors_141"/>
      <sheetName val="[POWER5_XLA]__soferadvisors_142"/>
      <sheetName val="[POWER5_XLA]__soferadvisors_143"/>
      <sheetName val="RANKING_XLS2"/>
      <sheetName val="[POWER5_XLA]__soferadvisors_144"/>
      <sheetName val="[POWER5_XLA]__soferadvisors_145"/>
      <sheetName val="[POWER5_XLA]__soferadvisors_146"/>
      <sheetName val="[POWER5_XLA]__soferadvisors_147"/>
      <sheetName val="[POWER5_XLA]__soferadvisors_148"/>
      <sheetName val="[POWER5_XLA]__soferadvisors_149"/>
      <sheetName val="[POWER5_XLA]__soferadvisors_150"/>
      <sheetName val="[POWER5_XLA]__soferadvisors_151"/>
      <sheetName val="[POWER5_XLA]__soferadvisors_152"/>
      <sheetName val="[POWER5_XLA]__soferadvisors_153"/>
      <sheetName val="[POWER5_XLA]__soferadvisors_154"/>
      <sheetName val="[POWER5_XLA]__soferadvisors_155"/>
      <sheetName val="[POWER5_XLA]__soferadvisors_156"/>
      <sheetName val="[POWER5_XLA]__soferadvisors_157"/>
      <sheetName val="deal_summary1"/>
      <sheetName val="[POWER5_XLA]__soferadvisors_158"/>
      <sheetName val="[POWER5_XLA]__soferadvisors_159"/>
      <sheetName val="[POWER5_XLA]__soferadvisors_160"/>
      <sheetName val="[POWER5_XLA]__soferadvisors_161"/>
      <sheetName val="[POWER5_XLA]__soferadvisors_162"/>
      <sheetName val="[POWER5_XLA]__soferadvisors_163"/>
      <sheetName val="[POWER5_XLA]__soferadvisors_164"/>
      <sheetName val="[POWER5_XLA]__soferadvisors_165"/>
      <sheetName val="[POWER5_XLA]__soferadvisors_166"/>
      <sheetName val="[POWER5_XLA]__soferadvisors_167"/>
      <sheetName val="[POWER5_XLA]__soferadvisors_168"/>
      <sheetName val="[POWER5_XLA]__soferadvisors_169"/>
      <sheetName val="[POWER5_XLA]__soferadvisors_170"/>
      <sheetName val="[POWER5_XLA]__soferadvisors_171"/>
      <sheetName val="[POWER5_XLA]__soferadvisors_172"/>
      <sheetName val="[POWER5_XLA]__soferadvisors_173"/>
      <sheetName val="[POWER5_XLA]__soferadvisors_174"/>
      <sheetName val="[POWER5_XLA]__soferadvisors_175"/>
      <sheetName val="[POWER5_XLA]__soferadvisors_176"/>
      <sheetName val="[POWER5_XLA]__soferadvisors_177"/>
      <sheetName val="[POWER5_XLA]__soferadvisors_178"/>
      <sheetName val="[POWER5_XLA]__soferadvisors_179"/>
      <sheetName val="[POWER5_XLA]__soferadvisors_180"/>
      <sheetName val="[POWER5_XLA]__soferadvisors_181"/>
      <sheetName val="[POWER5_XLA]__soferadvisors_182"/>
      <sheetName val="8_125%_Fixed2"/>
      <sheetName val="Time_Deposits2"/>
      <sheetName val="First_Chester_Loans2"/>
      <sheetName val="[POWER5_XLA]__qmaxsolutions2155"/>
      <sheetName val="[POWER5_XLA]__qmaxsolutions2156"/>
      <sheetName val="[POWER5_XLA]__qmaxsolutions2157"/>
      <sheetName val="[POWER5_XLA]__qmaxsolutions2158"/>
      <sheetName val="[POWER5_XLA]__qmaxsolutions2159"/>
      <sheetName val="Deferred_taxes1"/>
      <sheetName val="Projects_&amp;_Initiatives1"/>
      <sheetName val="[POWER5_XLA]__qmaxsolutions2160"/>
      <sheetName val="[POWER5_XLA]__qmaxsolutions2161"/>
      <sheetName val="[POWER5_XLA]__qmaxsolutions2162"/>
      <sheetName val="[POWER5_XLA]__qmaxsolutions2163"/>
      <sheetName val="[POWER5_XLA]__qmaxsolutions2164"/>
      <sheetName val="[POWER5_XLA]__qmaxsolutions2165"/>
      <sheetName val="[POWER5_XLA]__qmaxsolutions2166"/>
      <sheetName val="[POWER5_XLA]__qmaxsolutions2167"/>
      <sheetName val="[POWER5_XLA]__qmaxsolutions2168"/>
      <sheetName val="[POWER5_XLA]__qmaxsolutions2169"/>
      <sheetName val="[POWER5_XLA]__qmaxsolutions2170"/>
      <sheetName val="[POWER5_XLA]__qmaxsolutions2171"/>
      <sheetName val="[POWER5_XLA]__qmaxsolutions2172"/>
      <sheetName val="[POWER5_XLA]__qmaxsolutions2173"/>
      <sheetName val="[POWER5_XLA]__qmaxsolutions2174"/>
      <sheetName val="[POWER5_XLA]__qmaxsolutions2175"/>
      <sheetName val="[POWER5_XLA]__qmaxsolutions2176"/>
      <sheetName val="[POWER5_XLA]__qmaxsolutions2177"/>
      <sheetName val="[POWER5_XLA]__qmaxsolutions2178"/>
      <sheetName val="[POWER5_XLA]__qmaxsolutions2179"/>
      <sheetName val="[POWER5_XLA]__qmaxsolutions2180"/>
      <sheetName val="[POWER5_XLA]__qmaxsolutions2181"/>
      <sheetName val="[POWER5_XLA]__qmaxsolutions2182"/>
      <sheetName val="[POWER5_XLA]__qmaxsolutions2183"/>
      <sheetName val="[POWER5_XLA]__qmaxsolutions2184"/>
      <sheetName val="[POWER5_XLA]__qmaxsolutions2185"/>
      <sheetName val="[POWER5_XLA]__qmaxsolutions2186"/>
      <sheetName val="[POWER5_XLA]__qmaxsolutions2187"/>
      <sheetName val="[POWER5_XLA]__qmaxsolutions2188"/>
      <sheetName val="[POWER5_XLA]__qmaxsolutions2189"/>
      <sheetName val="[POWER5_XLA]__soferadvisors_183"/>
      <sheetName val="[POWER5_XLA]__soferadvisors_184"/>
      <sheetName val="[POWER5_XLA]__soferadvisors_185"/>
      <sheetName val="[POWER5_XLA]__soferadvisors_186"/>
      <sheetName val="[POWER5_XLA]__soferadvisors_187"/>
      <sheetName val="[POWER5_XLA]__soferadvisors_188"/>
      <sheetName val="UBA_Table2"/>
      <sheetName val="[POWER5_XLA]__soferadvisors_189"/>
      <sheetName val="[POWER5_XLA]__soferadvisors_190"/>
      <sheetName val="[POWER5_XLA]__soferadvisors_191"/>
      <sheetName val="[POWER5_XLA]__qmaxsolutions2190"/>
      <sheetName val="[POWER5_XLA]__qmaxsolutions2191"/>
      <sheetName val="[POWER5_XLA]__qmaxsolutions2192"/>
      <sheetName val="[POWER5_XLA]__qmaxsolutions2193"/>
      <sheetName val="[POWER5_XLA]__qmaxsolutions2194"/>
      <sheetName val="[POWER5_XLA]__qmaxsolutions2195"/>
      <sheetName val="[POWER5_XLA]__qmaxsolutions2196"/>
      <sheetName val="[POWER5_XLA]__qmaxsolutions2197"/>
      <sheetName val="[POWER5_XLA]__qmaxsolutions2198"/>
      <sheetName val="[POWER5_XLA]__qmaxsolutions2199"/>
      <sheetName val="[POWER5_XLA]__qmaxsolutions2200"/>
      <sheetName val="[POWER5_XLA]__qmaxsolutions2201"/>
      <sheetName val="[POWER5_XLA]__qmaxsolutions2202"/>
      <sheetName val="[POWER5_XLA]__qmaxsolutions2203"/>
      <sheetName val="[POWER5_XLA]__qmaxsolutions2204"/>
      <sheetName val="[POWER5_XLA]__qmaxsolutions2205"/>
      <sheetName val="[POWER5_XLA]__qmaxsolutions2206"/>
      <sheetName val="[POWER5_XLA]__qmaxsolutions2207"/>
      <sheetName val="[POWER5_XLA]__qmaxsolutions2208"/>
      <sheetName val="[POWER5_XLA]__qmaxsolutions2209"/>
      <sheetName val="[POWER5_XLA]__qmaxsolutions2210"/>
      <sheetName val="[POWER5_XLA]__qmaxsolutions2211"/>
      <sheetName val="[POWER5_XLA]__qmaxsolutions2212"/>
      <sheetName val="[POWER5_XLA]__qmaxsolutions2213"/>
      <sheetName val="[POWER5_XLA]__qmaxsolutions2214"/>
      <sheetName val="[POWER5_XLA]__qmaxsolutions2215"/>
      <sheetName val="[POWER5_XLA]__qmaxsolutions2216"/>
      <sheetName val="[POWER5_XLA]__qmaxsolutions2217"/>
      <sheetName val="[POWER5_XLA]__qmaxsolutions2218"/>
      <sheetName val="[POWER5_XLA]__qmaxsolutions2219"/>
      <sheetName val="[POWER5_XLA]__qmaxsolutions2220"/>
      <sheetName val="[POWER5_XLA]__qmaxsolutions2221"/>
      <sheetName val="461_011"/>
      <sheetName val="[POWER5_XLA]__qmaxsolutions2222"/>
      <sheetName val="[POWER5_XLA]__qmaxsolutions2223"/>
      <sheetName val="[POWER5_XLA]__qmaxsolutions2224"/>
      <sheetName val="[POWER5_XLA]__qmaxsolutions2225"/>
      <sheetName val="[POWER5_XLA]__soferadvisors_192"/>
      <sheetName val="[POWER5_XLA]__soferadvisors_193"/>
      <sheetName val="[POWER5_XLA]__soferadvisors_194"/>
      <sheetName val="[POWER5_XLA]__soferadvisors_195"/>
      <sheetName val="[POWER5_XLA]__soferadvisors_196"/>
      <sheetName val="[POWER5_XLA]__soferadvisors_197"/>
      <sheetName val="[POWER5_XLA]__qmaxsolutions2226"/>
      <sheetName val="[POWER5_XLA]__qmaxsolutions2227"/>
      <sheetName val="[POWER5_XLA]__qmaxsolutions2228"/>
      <sheetName val="[POWER5_XLA]__qmaxsolutions2229"/>
      <sheetName val="[POWER5_XLA]__qmaxsolutions2230"/>
      <sheetName val="[POWER5_XLA]__qmaxsolutions2231"/>
      <sheetName val="[POWER5_XLA]__qmaxsolutions2232"/>
      <sheetName val="[POWER5_XLA]__qmaxsolutions2233"/>
      <sheetName val="[POWER5_XLA]__qmaxsolutions2234"/>
      <sheetName val="[POWER5_XLA]__qmaxsolutions2235"/>
      <sheetName val="[POWER5_XLA]__qmaxsolutions2236"/>
      <sheetName val="[POWER5_XLA]__qmaxsolutions2237"/>
      <sheetName val="[POWER5_XLA]__qmaxsolutions2238"/>
      <sheetName val="[POWER5_XLA]__qmaxsolutions2239"/>
      <sheetName val="[POWER5_XLA]__qmaxsolutions2240"/>
      <sheetName val="[POWER5_XLA]__qmaxsolutions2241"/>
      <sheetName val="[POWER5_XLA]__qmaxsolutions2242"/>
      <sheetName val="[POWER5_XLA]__qmaxsolutions2243"/>
      <sheetName val="[POWER5_XLA]__qmaxsolutions2244"/>
      <sheetName val="[POWER5_XLA]__qmaxsolutions2245"/>
      <sheetName val="[POWER5_XLA]__qmaxsolutions2246"/>
      <sheetName val="[POWER5_XLA]__qmaxsolutions2247"/>
      <sheetName val="[POWER5_XLA]__qmaxsolutions2248"/>
      <sheetName val="[POWER5_XLA]__qmaxsolutions2249"/>
      <sheetName val="[POWER5_XLA]__qmaxsolutions2250"/>
      <sheetName val="[POWER5_XLA]__qmaxsolutions2251"/>
      <sheetName val="[POWER5_XLA]__qmaxsolutions2252"/>
      <sheetName val="[POWER5_XLA]__qmaxsolutions2253"/>
      <sheetName val="[POWER5_XLA]__qmaxsolutions2254"/>
      <sheetName val="[POWER5_XLA]__qmaxsolutions2255"/>
      <sheetName val="[POWER5_XLA]__qmaxsolutions2256"/>
      <sheetName val="Customer_Complaints2"/>
      <sheetName val="[POWER5_XLA]__qmaxsolutions2257"/>
      <sheetName val="[POWER5_XLA]__qmaxsolutions2258"/>
      <sheetName val="[POWER5_XLA]__qmaxsolutions2259"/>
      <sheetName val="[POWER5_XLA]__qmaxsolutions2260"/>
      <sheetName val="[POWER5_XLA]__qmaxsolutions2261"/>
      <sheetName val="[POWER5_XLA]__qmaxsolutions2262"/>
      <sheetName val="[POWER5_XLA]__qmaxsolutions2263"/>
      <sheetName val="[POWER5_XLA]__qmaxsolutions2264"/>
      <sheetName val="[POWER5_XLA]__qmaxsolutions2265"/>
      <sheetName val="[POWER5_XLA]__qmaxsolutions2266"/>
      <sheetName val="[POWER5_XLA]__qmaxsolutions2267"/>
      <sheetName val="[POWER5_XLA]__qmaxsolutions2268"/>
      <sheetName val="[POWER5_XLA]__qmaxsolutions2269"/>
      <sheetName val="[POWER5_XLA]__qmaxsolutions2270"/>
      <sheetName val="[POWER5_XLA]__qmaxsolutions2271"/>
      <sheetName val="[POWER5_XLA]__qmaxsolutions2272"/>
      <sheetName val="[POWER5_XLA]__qmaxsolutions2273"/>
      <sheetName val="[POWER5_XLA]__qmaxsolutions2274"/>
      <sheetName val="[POWER5_XLA]__qmaxsolutions2275"/>
      <sheetName val="[POWER5_XLA]__qmaxsolutions2276"/>
      <sheetName val="[POWER5_XLA]__qmaxsolutions2277"/>
      <sheetName val="[POWER5_XLA]__qmaxsolutions2278"/>
      <sheetName val="[POWER5_XLA]__soferadvisors_198"/>
      <sheetName val="[POWER5_XLA]__soferadvisors_199"/>
      <sheetName val="[POWER5_XLA]__soferadvisors_200"/>
      <sheetName val="[POWER5_XLA]__soferadvisors_201"/>
      <sheetName val="[POWER5_XLA]__soferadvisors_202"/>
      <sheetName val="[POWER5_XLA]__soferadvisors_203"/>
      <sheetName val="[POWER5_XLA]__soferadvisors_204"/>
      <sheetName val="[POWER5_XLA]__soferadvisors_205"/>
      <sheetName val="[POWER5_XLA]__soferadvisors_206"/>
      <sheetName val="[POWER5_XLA]__soferadvisors_207"/>
      <sheetName val="[POWER5_XLA]__d_docs_live_ne193"/>
      <sheetName val="[POWER5_XLA]__d_docs_live_ne194"/>
      <sheetName val="[POWER5_XLA]__d_docs_live_ne195"/>
      <sheetName val="[POWER5_XLA]__d_docs_live_ne196"/>
      <sheetName val="[POWER5_XLA]__d_docs_live_ne197"/>
      <sheetName val="[POWER5_XLA]__d_docs_live_ne198"/>
      <sheetName val="[POWER5_XLA]__d_docs_live_ne199"/>
      <sheetName val="[POWER5_XLA]__d_docs_live_ne200"/>
      <sheetName val="[POWER5_XLA]__d_docs_live_ne201"/>
      <sheetName val="[POWER5_XLA]__d_docs_live_ne202"/>
      <sheetName val="[POWER5_XLA]__d_docs_live_ne203"/>
      <sheetName val="[POWER5_XLA]__d_docs_live_ne204"/>
      <sheetName val="[POWER5_XLA]__d_docs_live_ne205"/>
      <sheetName val="[POWER5_XLA]__d_docs_live_ne206"/>
      <sheetName val="[POWER5_XLA]__d_docs_live_ne207"/>
      <sheetName val="[POWER5_XLA]__d_docs_live_ne208"/>
      <sheetName val="[POWER5_XLA]__d_docs_live_ne209"/>
      <sheetName val="[POWER5_XLA]__d_docs_live_ne210"/>
      <sheetName val="[POWER5_XLA]__d_docs_live_ne211"/>
      <sheetName val="[POWER5_XLA]__d_docs_live_ne212"/>
      <sheetName val="[POWER5_XLA]__d_docs_live_ne213"/>
      <sheetName val="[POWER5_XLA]__d_docs_live_ne214"/>
      <sheetName val="[POWER5_XLA]__d_docs_live_ne215"/>
      <sheetName val="[POWER5_XLA]__d_docs_live_ne216"/>
      <sheetName val="[POWER5_XLA]__d_docs_live_ne217"/>
      <sheetName val="[POWER5_XLA]__d_docs_live_ne218"/>
      <sheetName val="[POWER5_XLA]__d_docs_live_ne219"/>
      <sheetName val="[POWER5_XLA]__d_docs_live_ne220"/>
      <sheetName val="[POWER5_XLA]__d_docs_live_ne221"/>
      <sheetName val="[POWER5_XLA]__d_docs_live_ne222"/>
      <sheetName val="[POWER5_XLA]__d_docs_live_ne223"/>
      <sheetName val="[POWER5_XLA]__d_docs_live_ne224"/>
      <sheetName val="[POWER5_XLA]__d_docs_live_ne225"/>
      <sheetName val="[POWER5_XLA]__d_docs_live_ne226"/>
      <sheetName val="[POWER5_XLA]__d_docs_live_ne227"/>
      <sheetName val="[POWER5_XLA]__d_docs_live_ne228"/>
      <sheetName val="[POWER5_XLA]__d_docs_live_ne229"/>
      <sheetName val="[POWER5_XLA]__d_docs_live_ne230"/>
      <sheetName val="[POWER5_XLA]__d_docs_live_ne231"/>
      <sheetName val="[POWER5_XLA]__d_docs_live_ne232"/>
      <sheetName val="[POWER5_XLA]__d_docs_live_ne233"/>
      <sheetName val="[POWER5_XLA]__d_docs_live_ne234"/>
      <sheetName val="[POWER5_XLA]__d_docs_live_ne235"/>
      <sheetName val="[POWER5_XLA]__d_docs_live_ne236"/>
      <sheetName val="[POWER5_XLA]__d_docs_live_ne237"/>
      <sheetName val="[POWER5_XLA]__d_docs_live_n_116"/>
      <sheetName val="[POWER5_XLA]__d_docs_live_ne238"/>
      <sheetName val="[POWER5_XLA]__d_docs_live_ne239"/>
      <sheetName val="[POWER5_XLA]__d_docs_live_n_117"/>
      <sheetName val="[POWER5_XLA]__d_docs_live_n_118"/>
      <sheetName val="[POWER5_XLA]__d_docs_live_n_119"/>
      <sheetName val="[POWER5_XLA]__d_docs_live_n_120"/>
      <sheetName val="[POWER5_XLA]__d_docs_live_n_121"/>
      <sheetName val="[POWER5_XLA]__d_docs_live_n_122"/>
      <sheetName val="[POWER5_XLA]__d_docs_live_n_123"/>
      <sheetName val="[POWER5_XLA]__d_docs_live_n_124"/>
      <sheetName val="[POWER5_XLA]__d_docs_live_n_125"/>
      <sheetName val="[POWER5_XLA]__d_docs_live_n_126"/>
      <sheetName val="[POWER5_XLA]__soferadvisors_208"/>
      <sheetName val="[POWER5_XLA]__soferadvisors_209"/>
      <sheetName val="[POWER5_XLA]__soferadvisors_210"/>
      <sheetName val="[POWER5_XLA]__soferadvisors_211"/>
      <sheetName val="[POWER5_XLA]__soferadvisors_212"/>
      <sheetName val="[POWER5_XLA]__qmaxsolutions2279"/>
      <sheetName val="[POWER5_XLA]__qmaxsolutions2280"/>
      <sheetName val="[POWER5_XLA]__qmaxsolutions2281"/>
      <sheetName val="[POWER5_XLA]__qmaxsolutions2282"/>
      <sheetName val="[POWER5_XLA]__qmaxsolutions2283"/>
      <sheetName val="[POWER5_XLA]__qmaxsolutions2284"/>
      <sheetName val="[POWER5_XLA]__qmaxsolutions2285"/>
      <sheetName val="[POWER5_XLA]__qmaxsolutions2286"/>
      <sheetName val="[POWER5_XLA]__qmaxsolutions2287"/>
      <sheetName val="[POWER5_XLA]__qmaxsolutions2288"/>
      <sheetName val="[POWER5_XLA]__qmaxsolutions2289"/>
      <sheetName val="[POWER5_XLA]__qmaxsolutions2290"/>
      <sheetName val="[POWER5_XLA]__qmaxsolutions2291"/>
      <sheetName val="[POWER5_XLA]__qmaxsolutions2292"/>
      <sheetName val="cost_centers1"/>
      <sheetName val="[POWER5_XLA]__qmaxsolutions2293"/>
      <sheetName val="#Partner_Level_Footnotes#1"/>
      <sheetName val="Cost_Centre_Completeness1"/>
      <sheetName val="Country_15_Check1"/>
      <sheetName val="BU112_Check1"/>
      <sheetName val="BU113_Check1"/>
      <sheetName val="BU100_Check_1"/>
      <sheetName val="BU153_Check1"/>
      <sheetName val="GFS_BU_105-1111"/>
      <sheetName val="EITS_Check1"/>
      <sheetName val="[POWER5_XLA]__qmaxsolutions2294"/>
      <sheetName val="[POWER5_XLA]__qmaxsolutions2295"/>
      <sheetName val="[POWER5_XLA]__qmaxsolutions2296"/>
      <sheetName val="[POWER5_XLA]__qmaxsolutions2297"/>
      <sheetName val="[POWER5_XLA]__qmaxsolutions2298"/>
      <sheetName val="[POWER5_XLA]__soferadvisors_213"/>
      <sheetName val="[POWER5_XLA]__soferadvisors_214"/>
      <sheetName val="[POWER5_XLA]__soferadvisors_215"/>
      <sheetName val="[POWER5_XLA]__soferadvisors_216"/>
      <sheetName val="[POWER5_XLA]__soferadvisors_217"/>
      <sheetName val="[POWER5_XLA]__soferadvisors_218"/>
      <sheetName val="[POWER5_XLA]__soferadvisors_219"/>
      <sheetName val="[POWER5_XLA]__qmaxsolutions2299"/>
      <sheetName val="[POWER5_XLA]__qmaxsolutions2300"/>
      <sheetName val="[POWER5_XLA]__qmaxsolutions2301"/>
      <sheetName val="[POWER5_XLA]__qmaxsolutions2302"/>
      <sheetName val="[POWER5_XLA]__qmaxsolutions2303"/>
      <sheetName val="[POWER5_XLA]__qmaxsolutions2304"/>
      <sheetName val="[POWER5_XLA]__qmaxsolutions2305"/>
      <sheetName val="[POWER5_XLA]__qmaxsolutions2306"/>
      <sheetName val="[POWER5_XLA]__qmaxsolutions2307"/>
      <sheetName val="[POWER5_XLA]__qmaxsolutions2308"/>
      <sheetName val="[POWER5_XLA]__qmaxsolutions2309"/>
      <sheetName val="[POWER5_XLA]__qmaxsolutions2310"/>
      <sheetName val="[POWER5_XLA]__qmaxsolutions2311"/>
      <sheetName val="[POWER5_XLA]__qmaxsolutions2312"/>
      <sheetName val="[POWER5_XLA]__qmaxsolutions2313"/>
      <sheetName val="[POWER5_XLA]__qmaxsolutions2314"/>
      <sheetName val="[POWER5_XLA]__qmaxsolutions2315"/>
      <sheetName val="[POWER5_XLA]__qmaxsolutions2316"/>
      <sheetName val="[POWER5_XLA]__qmaxsolutions2317"/>
      <sheetName val="Backlog_LOI1"/>
      <sheetName val="Chain_Info1"/>
      <sheetName val="Fed_Curr_Prov1"/>
      <sheetName val="Equity_set_04"/>
      <sheetName val="Roll_Up_Fee_Class1"/>
      <sheetName val="Downside_Financial_Model1"/>
      <sheetName val="Projected_2009_PPC_TI"/>
      <sheetName val="[POWER5_XLA]__qmaxsolutions2318"/>
      <sheetName val="[POWER5_XLA]__qmaxsolutions2319"/>
      <sheetName val="[POWER5_XLA]__qmaxsolutions2320"/>
      <sheetName val="[POWER5_XLA]__qmaxsolutions2321"/>
      <sheetName val="[POWER5_XLA]__d_docs_live_n_127"/>
      <sheetName val="[POWER5_XLA]__d_docs_live_n_128"/>
      <sheetName val="[POWER5_XLA]__d_docs_live_n_129"/>
      <sheetName val="[POWER5_XLA]__d_docs_live_n_130"/>
      <sheetName val="[POWER5_XLA]__d_docs_live_n_131"/>
      <sheetName val="[POWER5_XLA]__qmaxsolutions2322"/>
      <sheetName val="[POWER5_XLA]__qmaxsolutions2323"/>
      <sheetName val="[POWER5_XLA]__qmaxsolutions2324"/>
      <sheetName val="[POWER5_XLA]__qmaxsolutions2325"/>
      <sheetName val="[POWER5_XLA]__qmaxsolutions2326"/>
      <sheetName val="[POWER5_XLA]__qmaxsolutions2327"/>
      <sheetName val="[POWER5_XLA]__qmaxsolutions2328"/>
      <sheetName val="[POWER5_XLA]__qmaxsolutions2329"/>
      <sheetName val="[POWER5_XLA]__qmaxsolutions2330"/>
      <sheetName val="[POWER5_XLA]__qmaxsolutions2331"/>
      <sheetName val="[POWER5_XLA]__qmaxsolutions2332"/>
      <sheetName val="[POWER5_XLA]__qmaxsolutions2333"/>
      <sheetName val="[POWER5_XLA]__qmaxsolutions2334"/>
      <sheetName val="[POWER5_XLA]__qmaxsolutions2335"/>
      <sheetName val="[POWER5_XLA]__qmaxsolutions2336"/>
      <sheetName val="[POWER5_XLA]__qmaxsolutions2337"/>
      <sheetName val="[POWER5_XLA]__qmaxsolutions2338"/>
      <sheetName val="[POWER5_XLA]__qmaxsolutions2339"/>
      <sheetName val="[POWER5_XLA]__qmaxsolutions2340"/>
      <sheetName val="[POWER5_XLA]__qmaxsolutions2341"/>
      <sheetName val="[POWER5_XLA]__qmaxsolutions2342"/>
      <sheetName val="[POWER5_XLA]__qmaxsolutions2343"/>
      <sheetName val="[POWER5_XLA]__qmaxsolutions2344"/>
      <sheetName val="[POWER5_XLA]__qmaxsolutions2345"/>
      <sheetName val="[POWER5_XLA]__qmaxsolutions2346"/>
      <sheetName val="[POWER5_XLA]__qmaxsolutions2347"/>
      <sheetName val="[POWER5_XLA]__qmaxsolutions2348"/>
      <sheetName val="[POWER5_XLA]__qmaxsolutions2349"/>
      <sheetName val="[POWER5_XLA]__qmaxsolutions2350"/>
      <sheetName val="[POWER5_XLA]__qmaxsolutions2351"/>
      <sheetName val="[POWER5_XLA]__qmaxsolutions2352"/>
      <sheetName val="[POWER5_XLA]__qmaxsolutions2353"/>
      <sheetName val="[POWER5_XLA]__d_docs_live_n_132"/>
      <sheetName val="[POWER5_XLA]__d_docs_live_n_133"/>
      <sheetName val="[POWER5_XLA]__d_docs_live_n_134"/>
      <sheetName val="[POWER5_XLA]__d_docs_live_n_135"/>
      <sheetName val="[POWER5_XLA]__d_docs_live_n_136"/>
      <sheetName val="[POWER5_XLA]__d_docs_live_n_137"/>
      <sheetName val="[POWER5_XLA]__d_docs_live_n_138"/>
      <sheetName val="[POWER5_XLA]__d_docs_live_n_139"/>
      <sheetName val="[POWER5_XLA]__d_docs_live_n_140"/>
      <sheetName val="[POWER5_XLA]__d_docs_live_n_141"/>
      <sheetName val="[POWER5_XLA]__d_docs_live_n_142"/>
      <sheetName val="[POWER5_XLA]__qmaxsolutions2354"/>
      <sheetName val="[POWER5_XLA]__soferadvisors_220"/>
      <sheetName val="[POWER5_XLA]__soferadvisors_221"/>
      <sheetName val="[POWER5_XLA]__soferadvisors_222"/>
      <sheetName val="[POWER5_XLA]__soferadvisors_223"/>
      <sheetName val="[POWER5_XLA]__soferadvisors_224"/>
      <sheetName val="[POWER5_XLA]__soferadvisors_225"/>
      <sheetName val="[POWER5_XLA]__soferadvisors_226"/>
      <sheetName val="[POWER5_XLA]__soferadvisors_227"/>
      <sheetName val="[POWER5_XLA]__soferadvisors_228"/>
      <sheetName val="[POWER5_XLA]__soferadvisors_229"/>
      <sheetName val="[POWER5_XLA]__soferadvisors_230"/>
      <sheetName val="[POWER5_XLA]__soferadvisors_231"/>
      <sheetName val="[POWER5_XLA]__soferadvisors_232"/>
      <sheetName val="[POWER5_XLA]__soferadvisors_233"/>
      <sheetName val="[POWER5_XLA]__soferadvisors_234"/>
      <sheetName val="[POWER5_XLA]__soferadvisors_235"/>
      <sheetName val="[POWER5_XLA]__soferadvisors_236"/>
      <sheetName val="[POWER5_XLA]__soferadvisors_237"/>
      <sheetName val="[POWER5_XLA]__soferadvisors_238"/>
      <sheetName val="[POWER5_XLA]__soferadvisors_239"/>
      <sheetName val="[POWER5_XLA]__soferadvisors_240"/>
      <sheetName val="[POWER5_XLA]__soferadvisors_241"/>
      <sheetName val="[POWER5_XLA]__soferadvisors_242"/>
      <sheetName val="[POWER5_XLA]__soferadvisors_243"/>
      <sheetName val="[POWER5_XLA]__soferadvisors_244"/>
      <sheetName val="[POWER5_XLA]__soferadvisors_245"/>
      <sheetName val="[POWER5_XLA]__soferadvisors_246"/>
      <sheetName val="[POWER5_XLA]__soferadvisors_247"/>
      <sheetName val="[POWER5_XLA]__soferadvisors_248"/>
      <sheetName val="[POWER5_XLA]__soferadvisors_249"/>
      <sheetName val="[POWER5_XLA]__soferadvisors_250"/>
      <sheetName val="[POWER5_XLA]__soferadvisors_251"/>
      <sheetName val="[POWER5_XLA]__soferadvisors_252"/>
      <sheetName val="[POWER5_XLA]__soferadvisors_253"/>
      <sheetName val="[POWER5_XLA]__soferadvisors_254"/>
      <sheetName val="[POWER5_XLA]__soferadvisors_255"/>
      <sheetName val="[POWER5_XLA]__soferadvisors_256"/>
      <sheetName val="[POWER5_XLA]__soferadvisors_257"/>
      <sheetName val="[POWER5_XLA]__soferadvisors_258"/>
      <sheetName val="[POWER5_XLA]__soferadvisors_259"/>
      <sheetName val="BS17_-_TB_Scratchpad"/>
      <sheetName val="[POWER5_XLA]__qmaxsolutions2355"/>
      <sheetName val="Income_Statement1"/>
      <sheetName val="Operating_Cycle1"/>
      <sheetName val="Rekap_Direct_Cost1"/>
      <sheetName val="[POWER5_XLA]__qmaxsolutions2356"/>
      <sheetName val="[POWER5_XLA]__qmaxsolutions2357"/>
      <sheetName val="[POWER5_XLA]__qmaxsolutions2358"/>
      <sheetName val="[POWER5_XLA]__qmaxsolutions2359"/>
      <sheetName val="[POWER5_XLA]__qmaxsolutions2360"/>
      <sheetName val="[POWER5_XLA]__qmaxsolutions2361"/>
      <sheetName val="[POWER5_XLA]__qmaxsolutions2362"/>
      <sheetName val="[POWER5_XLA]__qmaxsolutions2363"/>
      <sheetName val="[POWER5_XLA]__qmaxsolutions2364"/>
      <sheetName val="[POWER5_XLA]__qmaxsolutions2365"/>
      <sheetName val="[POWER5_XLA]__qmaxsolutions2366"/>
      <sheetName val="[POWER5_XLA]__qmaxsolutions2367"/>
      <sheetName val="[POWER5_XLA]__qmaxsolutions2368"/>
      <sheetName val="[POWER5_XLA]__qmaxsolutions2369"/>
      <sheetName val="[POWER5_XLA]__qmaxsolutions2370"/>
      <sheetName val="[POWER5_XLA]__qmaxsolutions2371"/>
      <sheetName val="[POWER5_XLA]__qmaxsolutions2372"/>
      <sheetName val="[POWER5_XLA]__qmaxsolutions2373"/>
      <sheetName val="C_US"/>
      <sheetName val="N_US"/>
      <sheetName val="[POWER5_XLA]__qmaxsolutions2374"/>
      <sheetName val="[POWER5_XLA]__qmaxsolutions2375"/>
      <sheetName val="[POWER5_XLA]__qmaxsolutions2376"/>
      <sheetName val="[POWER5_XLA]__qmaxsolutions2377"/>
      <sheetName val="[POWER5_XLA]__qmaxsolutions2378"/>
      <sheetName val="[POWER5_XLA]__qmaxsolutions2379"/>
      <sheetName val="[POWER5_XLA]__qmaxsolutions2380"/>
      <sheetName val="[POWER5_XLA]__qmaxsolutions2381"/>
      <sheetName val="[POWER5_XLA]__qmaxsolutions2382"/>
      <sheetName val="[POWER5_XLA]__qmaxsolutions2383"/>
      <sheetName val="Original_Andrew___Data"/>
      <sheetName val="[POWER5_XLA]__sfdc_DFS_Applic27"/>
      <sheetName val="[POWER5_XLA]_Applications_Mi_79"/>
      <sheetName val="[POWER5_XLA]__localhost_webd_80"/>
      <sheetName val="[POWER5_XLA]__localhost_webd_81"/>
      <sheetName val="[POWER5_XLA]__localhost_FY_2027"/>
      <sheetName val="[POWER5_XLA]__localhost_webd_82"/>
      <sheetName val="[POWER5_XLA][POWER5_XLA]_POW223"/>
      <sheetName val="[POWER5_XLA][POWER5_XLA]_POW224"/>
      <sheetName val="[POWER5_XLA][POWER5_XLA]_POW225"/>
      <sheetName val="[POWER5_XLA][POWER5_XLA]_Appl52"/>
      <sheetName val="[POWER5_XLA][POWER5_XLA]__na152"/>
      <sheetName val="[POWER5_XLA][POWER5_XLA]__sfd52"/>
      <sheetName val="[POWER5_XLA][POWER5_XLA]__qma36"/>
      <sheetName val="[POWER5_XLA][POWER5_XLA]_POW226"/>
      <sheetName val="[POWER5_XLA][POWER5_XLA]_POW227"/>
      <sheetName val="[POWER5_XLA][POWER5_XLA]_J_Ap36"/>
      <sheetName val="[POWER5_XLA]_J_Applications__49"/>
      <sheetName val="[POWER5_XLA]_Applications_Mi_80"/>
      <sheetName val="[POWER5_XLA]__aodocs_altirna112"/>
      <sheetName val="[POWER5_XLA]__aodocs_altirna113"/>
      <sheetName val="[POWER5_XLA]__localhost_Appli_1"/>
      <sheetName val="Prog_Amort1"/>
      <sheetName val="Input_Sheet1"/>
      <sheetName val="10-1_Media"/>
      <sheetName val="Column_titles"/>
      <sheetName val="Rate_Card_-_Base_Currency"/>
      <sheetName val="0__AMP_Inputs"/>
      <sheetName val="Disclaimer_&amp;_Terms_of_Use"/>
      <sheetName val="Cover_Sheet"/>
      <sheetName val="Panel_Data"/>
      <sheetName val="Summary_Mapping"/>
      <sheetName val="[POWER5_XLA]__qmaxsolutions2384"/>
      <sheetName val="[POWER5_XLA]__qmaxsolutions2385"/>
      <sheetName val="[POWER5_XLA]__qmaxsolutions2386"/>
      <sheetName val="[POWER5_XLA]__qmaxsolutions2387"/>
      <sheetName val="[POWER5_XLA]__qmaxsolutions2388"/>
      <sheetName val="[POWER5_XLA]__qmaxsolutions2389"/>
      <sheetName val="[POWER5_XLA]__qmaxsolutions2390"/>
      <sheetName val="[POWER5_XLA]__qmaxsolutions2391"/>
      <sheetName val="[POWER5_XLA]__qmaxsolutions2392"/>
      <sheetName val="[POWER5_XLA]__qmaxsolutions2393"/>
      <sheetName val="[POWER5_XLA]__qmaxsolutions2394"/>
      <sheetName val="[POWER5_XLA]__qmaxsolutions2395"/>
      <sheetName val="[POWER5_XLA]__qmaxsolutions2396"/>
      <sheetName val="[POWER5_XLA]__qmaxsolutions2397"/>
      <sheetName val="[POWER5_XLA]__soferadvisors_260"/>
      <sheetName val="[POWER5_XLA]__soferadvisors_261"/>
      <sheetName val="[POWER5_XLA]__soferadvisors_262"/>
      <sheetName val="[POWER5_XLA]__soferadvisors_263"/>
      <sheetName val="[POWER5_XLA]__soferadvisors_264"/>
      <sheetName val="[POWER5_XLA]__soferadvisors_265"/>
      <sheetName val="[POWER5_XLA]__soferadvisors_266"/>
      <sheetName val="[POWER5_XLA]__soferadvisors_267"/>
      <sheetName val="[POWER5_XLA]__soferadvisors_268"/>
      <sheetName val="[POWER5_XLA]__soferadvisors_269"/>
      <sheetName val="[POWER5_XLA]__soferadvisors_270"/>
      <sheetName val="[POWER5_XLA]__soferadvisors_271"/>
      <sheetName val="[POWER5_XLA]__soferadvisors_272"/>
      <sheetName val="[POWER5_XLA]__soferadvisors_273"/>
      <sheetName val="[POWER5_XLA]__soferadvisors_274"/>
      <sheetName val="[POWER5_XLA]__soferadvisors_275"/>
      <sheetName val="[POWER5_XLA]__soferadvisors_276"/>
      <sheetName val="[POWER5_XLA]__soferadvisors_277"/>
      <sheetName val="[POWER5_XLA]__soferadvisors_278"/>
      <sheetName val="[POWER5_XLA]__soferadvisors_279"/>
      <sheetName val="[POWER5_XLA]__soferadvisors_280"/>
      <sheetName val="[POWER5_XLA]__soferadvisors_281"/>
      <sheetName val="[POWER5_XLA]__soferadvisors_282"/>
      <sheetName val="[POWER5_XLA]__soferadvisors_283"/>
      <sheetName val="[POWER5_XLA]__soferadvisors_284"/>
      <sheetName val="[POWER5_XLA]__soferadvisors_285"/>
      <sheetName val="[POWER5_XLA]__soferadvisors_286"/>
      <sheetName val="[POWER5_XLA]__soferadvisors_287"/>
      <sheetName val="[POWER5_XLA]__soferadvisors_288"/>
      <sheetName val="[POWER5_XLA]__soferadvisors_289"/>
      <sheetName val="[POWER5_XLA]__soferadvisors_290"/>
      <sheetName val="[POWER5_XLA]__soferadvisors_291"/>
      <sheetName val="[POWER5_XLA]__soferadvisors_292"/>
      <sheetName val="[POWER5_XLA]__soferadvisors_293"/>
      <sheetName val="[POWER5_XLA]__soferadvisors_294"/>
      <sheetName val="[POWER5_XLA]__soferadvisors_295"/>
      <sheetName val="[POWER5_XLA]__soferadvisors_296"/>
      <sheetName val="[POWER5_XLA]__soferadvisors_297"/>
      <sheetName val="[POWER5_XLA]__soferadvisors_298"/>
      <sheetName val="[POWER5_XLA]__soferadvisors_299"/>
      <sheetName val="[POWER5_XLA]__soferadvisors_300"/>
      <sheetName val="[POWER5_XLA]__soferadvisors_301"/>
      <sheetName val="[POWER5_XLA]__soferadvisors_302"/>
      <sheetName val="[POWER5_XLA]__soferadvisors_303"/>
      <sheetName val="[POWER5_XLA]__soferadvisors_304"/>
      <sheetName val="[POWER5_XLA]__soferadvisors_305"/>
      <sheetName val="[POWER5_XLA]__soferadvisors_306"/>
      <sheetName val="[POWER5_XLA]__soferadvisors_307"/>
      <sheetName val="[POWER5_XLA]__soferadvisors_308"/>
      <sheetName val="[POWER5_XLA]__soferadvisors_309"/>
      <sheetName val="[POWER5_XLA]__soferadvisors_310"/>
      <sheetName val="[POWER5_XLA]__soferadvisors_311"/>
      <sheetName val="[POWER5_XLA]__soferadvisors_312"/>
      <sheetName val="[POWER5_XLA]__soferadvisors_313"/>
      <sheetName val="[POWER5_XLA]__soferadvisors_314"/>
      <sheetName val="[POWER5_XLA]__soferadvisors_315"/>
      <sheetName val="[POWER5_XLA]__soferadvisors_316"/>
      <sheetName val="[POWER5_XLA]__soferadvisors_317"/>
      <sheetName val="[POWER5_XLA]__soferadvisors_318"/>
      <sheetName val="[POWER5_XLA]__soferadvisors_319"/>
      <sheetName val="[POWER5_XLA]__soferadvisors_320"/>
      <sheetName val="[POWER5_XLA]__soferadvisors_321"/>
      <sheetName val="[POWER5_XLA]__soferadvisors_322"/>
      <sheetName val="[POWER5_XLA]__soferadvisors_323"/>
      <sheetName val="[POWER5_XLA]__soferadvisors_324"/>
      <sheetName val="[POWER5_XLA]__soferadvisors_325"/>
      <sheetName val="[POWER5_XLA]__soferadvisors_326"/>
      <sheetName val="[POWER5_XLA]__soferadvisors_327"/>
      <sheetName val="[POWER5_XLA]__soferadvisors_328"/>
      <sheetName val="[POWER5_XLA]__soferadvisors_329"/>
      <sheetName val="[POWER5_XLA]__soferadvisors_330"/>
      <sheetName val="[POWER5_XLA]__soferadvisors_331"/>
      <sheetName val="[POWER5_XLA]__soferadvisors_332"/>
      <sheetName val="[POWER5_XLA]__soferadvisors_333"/>
      <sheetName val="[POWER5_XLA]__soferadvisors_334"/>
      <sheetName val="[POWER5_XLA]__soferadvisors_335"/>
      <sheetName val="[POWER5_XLA]__soferadvisors_336"/>
      <sheetName val="[POWER5_XLA]__soferadvisors_337"/>
      <sheetName val="[POWER5_XLA]__soferadvisors_338"/>
      <sheetName val="[POWER5_XLA]__soferadvisors_339"/>
      <sheetName val="[POWER5_XLA]__soferadvisors_340"/>
      <sheetName val="[POWER5_XLA]__soferadvisors_341"/>
      <sheetName val="[POWER5_XLA]__soferadvisors_342"/>
      <sheetName val="[POWER5_XLA]__soferadvisors_343"/>
      <sheetName val="[POWER5_XLA]__soferadvisors_344"/>
      <sheetName val="[POWER5_XLA]__soferadvisors_345"/>
      <sheetName val="[POWER5_XLA]__soferadvisors_346"/>
      <sheetName val="[POWER5_XLA]__soferadvisors_347"/>
      <sheetName val="[POWER5_XLA]__soferadvisors_348"/>
      <sheetName val="[POWER5_XLA]__soferadvisors_349"/>
      <sheetName val="[POWER5_XLA]__soferadvisors_350"/>
      <sheetName val="[POWER5_XLA]__soferadvisors_351"/>
      <sheetName val="[POWER5_XLA]__soferadvisors_352"/>
      <sheetName val="[POWER5_XLA]__soferadvisors_353"/>
      <sheetName val="[POWER5_XLA]__soferadvisors_354"/>
      <sheetName val="[POWER5_XLA]__soferadvisors_355"/>
      <sheetName val="[POWER5_XLA]__soferadvisors_356"/>
      <sheetName val="[POWER5_XLA]__soferadvisors_357"/>
      <sheetName val="[POWER5_XLA]__soferadvisors_358"/>
      <sheetName val="[POWER5_XLA]__soferadvisors_359"/>
      <sheetName val="[POWER5_XLA]__soferadvisors_360"/>
      <sheetName val="[POWER5_XLA]__soferadvisors_361"/>
      <sheetName val="[POWER5_XLA]__soferadvisors_362"/>
      <sheetName val="[POWER5_XLA]__soferadvisors_363"/>
      <sheetName val="[POWER5_XLA]__soferadvisors_364"/>
      <sheetName val="[POWER5_XLA]__soferadvisors_365"/>
      <sheetName val="[POWER5_XLA]__soferadvisors_366"/>
      <sheetName val="[POWER5_XLA]__soferadvisors_367"/>
      <sheetName val="[POWER5_XLA]__soferadvisors_368"/>
      <sheetName val="[POWER5_XLA]__soferadvisors_369"/>
      <sheetName val="[POWER5_XLA]__soferadvisors_370"/>
      <sheetName val="[POWER5_XLA]__soferadvisors_371"/>
      <sheetName val="[POWER5_XLA]__soferadvisors_372"/>
      <sheetName val="[POWER5_XLA]__soferadvisors_373"/>
      <sheetName val="[POWER5_XLA]__soferadvisors_374"/>
      <sheetName val="Adj_Combined_IS"/>
      <sheetName val="PV_of_Future_Price"/>
      <sheetName val="DCF_Output"/>
      <sheetName val="Contribution_Analysis"/>
      <sheetName val="[POWER5_XLA]__soferadvisors_375"/>
      <sheetName val="[POWER5_XLA]__soferadvisors_376"/>
      <sheetName val="[POWER5_XLA]__soferadvisors_377"/>
      <sheetName val="[POWER5_XLA]__soferadvisors_378"/>
      <sheetName val="[POWER5_XLA]__soferadvisors_379"/>
      <sheetName val="[POWER5_XLA]__soferadvisors_380"/>
      <sheetName val="[POWER5_XLA]__soferadvisors_381"/>
      <sheetName val="[POWER5_XLA]__soferadvisors_382"/>
      <sheetName val="[POWER5_XLA]__soferadvisors_383"/>
      <sheetName val="[POWER5_XLA]__soferadvisors_384"/>
      <sheetName val="[POWER5_XLA]__soferadvisors_385"/>
      <sheetName val="[POWER5_XLA]__soferadvisors_386"/>
      <sheetName val="[POWER5_XLA]__soferadvisors_387"/>
      <sheetName val="[POWER5_XLA]__soferadvisors_388"/>
      <sheetName val="[POWER5_XLA]__soferadvisors_389"/>
      <sheetName val="[POWER5_XLA]__soferadvisors_390"/>
      <sheetName val="[POWER5_XLA]__soferadvisors_391"/>
      <sheetName val="[POWER5_XLA]__soferadvisors_392"/>
      <sheetName val="[POWER5_XLA]__soferadvisors_393"/>
      <sheetName val="[POWER5_XLA]__soferadvisors_394"/>
      <sheetName val="[POWER5_XLA]__soferadvisors_395"/>
      <sheetName val="[POWER5_XLA]__soferadvisors_396"/>
      <sheetName val="[POWER5_XLA]__soferadvisors_397"/>
      <sheetName val="[POWER5_XLA]__soferadvisors_398"/>
      <sheetName val="[POWER5_XLA]__soferadvisors_399"/>
      <sheetName val="[POWER5_XLA]__qmaxsolutions2398"/>
      <sheetName val="[POWER5_XLA]__qmaxsolutions2399"/>
      <sheetName val="[POWER5_XLA]__qmaxsolutions2400"/>
      <sheetName val="[POWER5_XLA]__qmaxsolutions2401"/>
      <sheetName val="[POWER5_XLA]__qmaxsolutions2402"/>
      <sheetName val="[POWER5_XLA]__qmaxsolutions2403"/>
      <sheetName val="[POWER5_XLA]__qmaxsolutions2404"/>
      <sheetName val="[POWER5_XLA]__qmaxsolutions2405"/>
      <sheetName val="[POWER5_XLA]__qmaxsolutions2406"/>
      <sheetName val="[POWER5_XLA]__qmaxsolutions2407"/>
      <sheetName val="[POWER5_XLA]__qmaxsolutions2408"/>
      <sheetName val="[POWER5_XLA]__qmaxsolutions2409"/>
      <sheetName val="[POWER5_XLA]__qmaxsolutions2410"/>
      <sheetName val="[POWER5_XLA]__qmaxsolutions2411"/>
      <sheetName val="[POWER5_XLA]__qmaxsolutions2412"/>
      <sheetName val="[POWER5_XLA]__qmaxsolutions2413"/>
      <sheetName val="[POWER5_XLA]__qmaxsolutions2414"/>
      <sheetName val="[POWER5_XLA]__qmaxsolutions2415"/>
      <sheetName val="[POWER5_XLA]__qmaxsolutions2416"/>
      <sheetName val="[POWER5_XLA]__qmaxsolutions2417"/>
      <sheetName val="[POWER5_XLA]__qmaxsolutions2418"/>
      <sheetName val="[POWER5_XLA]__qmaxsolutions2419"/>
      <sheetName val="[POWER5_XLA]__qmaxsolutions2420"/>
      <sheetName val="[POWER5_XLA]__qmaxsolutions2421"/>
      <sheetName val="[POWER5_XLA]__qmaxsolutions2422"/>
      <sheetName val="[POWER5_XLA]__qmaxsolutions2423"/>
      <sheetName val="[POWER5_XLA]__qmaxsolutions2424"/>
      <sheetName val="[POWER5_XLA]__qmaxsolutions2425"/>
      <sheetName val="[POWER5_XLA]__qmaxsolutions2426"/>
      <sheetName val="[POWER5_XLA]__qmaxsolutions2427"/>
      <sheetName val="[POWER5_XLA]__qmaxsolutions2428"/>
      <sheetName val="[POWER5_XLA]__qmaxsolutions2429"/>
      <sheetName val="[POWER5_XLA]__qmaxsolutions2430"/>
      <sheetName val="[POWER5_XLA]__qmaxsolutions2431"/>
      <sheetName val="[POWER5_XLA]__qmaxsolutions2432"/>
      <sheetName val="[POWER5_XLA]__qmaxsolutions2433"/>
      <sheetName val="[POWER5_XLA]__qmaxsolutions2434"/>
      <sheetName val="[POWER5_XLA]__qmaxsolutions2435"/>
      <sheetName val="[POWER5_XLA]__qmaxsolutions2436"/>
      <sheetName val="[POWER5_XLA]__qmaxsolutions2437"/>
      <sheetName val="[POWER5_XLA]__qmaxsolutions2438"/>
      <sheetName val="[POWER5_XLA]__qmaxsolutions2439"/>
      <sheetName val="Operating_Model"/>
      <sheetName val="Backlog_Backlog_Mthdly"/>
      <sheetName val="TMTN_2-RFR_"/>
      <sheetName val="Consolidated_P&amp;L1"/>
      <sheetName val="[POWER5_XLA]__soferadvisors_400"/>
      <sheetName val="[POWER5_XLA]__soferadvisors_401"/>
      <sheetName val="[POWER5_XLA]__soferadvisors_402"/>
      <sheetName val="[POWER5_XLA]__soferadvisors_403"/>
      <sheetName val="CREDIT_STATS"/>
      <sheetName val="[POWER5_XLA]__soferadvisors_404"/>
      <sheetName val="[POWER5_XLA]__soferadvisors_405"/>
      <sheetName val="[POWER5_XLA]__soferadvisors_406"/>
      <sheetName val="[POWER5_XLA]__soferadvisors_407"/>
      <sheetName val="[POWER5_XLA]__soferadvisors_408"/>
      <sheetName val="[POWER5_XLA]__soferadvisors_409"/>
      <sheetName val="[POWER5_XLA]__soferadvisors_410"/>
      <sheetName val="[POWER5_XLA]__qmaxsolutions2440"/>
      <sheetName val="[POWER5_XLA]__qmaxsolutions2441"/>
      <sheetName val="[POWER5_XLA]__qmaxsolutions2442"/>
      <sheetName val="[POWER5_XLA]__qmaxsolutions2443"/>
      <sheetName val="[POWER5_XLA]__qmaxsolutions2444"/>
      <sheetName val="[POWER5_XLA]__qmaxsolutions2445"/>
      <sheetName val="[POWER5_XLA]__qmaxsolutions2446"/>
      <sheetName val="[POWER5_XLA]__qmaxsolutions2447"/>
      <sheetName val="Contact_Sheet"/>
      <sheetName val="LOB_&amp;_Products"/>
      <sheetName val="[POWER5_XLA]__qmaxsolutions2448"/>
      <sheetName val="[POWER5_XLA]__qmaxsolutions2449"/>
      <sheetName val="[POWER5_XLA]__qmaxsolutions2450"/>
      <sheetName val="[POWER5_XLA]__qmaxsolutions2451"/>
      <sheetName val="[POWER5_XLA]__qmaxsolutions2452"/>
      <sheetName val="[POWER5_XLA]__qmaxsolutions2453"/>
      <sheetName val="[POWER5_XLA]__qmaxsolutions2454"/>
      <sheetName val="DATA_BOOKINGS_-_SF1"/>
      <sheetName val="DATA_REVENUE_-_SF1"/>
      <sheetName val="1__Summary1"/>
      <sheetName val="2__Detail_Variances1"/>
      <sheetName val="3__12_Mo_P&amp;L1"/>
      <sheetName val="4__Vendor_GL_Pivot1"/>
      <sheetName val="5__Smartlist1"/>
      <sheetName val="Control_Panel1"/>
      <sheetName val="[POWER5_XLA]__soferadvisors_411"/>
      <sheetName val="[POWER5_XLA]__soferadvisors_412"/>
      <sheetName val="[POWER5_XLA]__soferadvisors_413"/>
      <sheetName val="[POWER5_XLA]__soferadvisors_414"/>
      <sheetName val="[POWER5_XLA]__soferadvisors_415"/>
      <sheetName val="[POWER5_XLA]__soferadvisors_416"/>
      <sheetName val="[POWER5_XLA]__soferadvisors_417"/>
      <sheetName val="[POWER5_XLA]__soferadvisors_418"/>
      <sheetName val="[POWER5_XLA]__soferadvisors_419"/>
      <sheetName val="[POWER5_XLA]__soferadvisors_420"/>
      <sheetName val="[POWER5_XLA]__soferadvisors_421"/>
      <sheetName val="[POWER5_XLA]__soferadvisors_422"/>
      <sheetName val="[POWER5_XLA]__soferadvisors_423"/>
      <sheetName val="Schedule_2"/>
      <sheetName val="[POWER5_XLA]__qmaxsolutions2455"/>
      <sheetName val="[POWER5_XLA]__qmaxsolutions2456"/>
      <sheetName val="[POWER5_XLA]__qmaxsolutions2457"/>
      <sheetName val="[POWER5_XLA]__qmaxsolutions2458"/>
      <sheetName val="[POWER5_XLA]__qmaxsolutions2459"/>
      <sheetName val="[POWER5_XLA]__qmaxsolutions2460"/>
      <sheetName val="[POWER5_XLA]__qmaxsolutions2461"/>
      <sheetName val="[POWER5_XLA]__qmaxsolutions2462"/>
      <sheetName val="[POWER5_XLA]__qmaxsolutions2463"/>
      <sheetName val="[POWER5_XLA]__qmaxsolutions2464"/>
      <sheetName val="[POWER5_XLA]__qmaxsolutions2465"/>
      <sheetName val="[POWER5_XLA]__qmaxsolutions2466"/>
      <sheetName val="[POWER5_XLA]__qmaxsolutions2467"/>
      <sheetName val="[POWER5_XLA]__qmaxsolutions2468"/>
      <sheetName val="[POWER5_XLA]__qmaxsolutions2469"/>
      <sheetName val="ADJ_-_RATE"/>
      <sheetName val="[POWER5_XLA]//na1_salesforce_11"/>
      <sheetName val="[POWER5_XLA]//qmaxsolutions-m11"/>
      <sheetName val="[POWER5_XLA][POWER5_XLA]\Appl11"/>
      <sheetName val="[POWER5_XLA][POWER5_XLA]//na111"/>
      <sheetName val="[POWER5_XLA][POWER5_XLA]\\sfd11"/>
      <sheetName val="[POWER5_XLA][POWER5_XLA]//qma11"/>
      <sheetName val="[POWER5_XLA][POWER5_XLA]\J\Ap11"/>
      <sheetName val="[POWER5_XLA]_Appl_51"/>
      <sheetName val="[POWER5_XLA]__na1_51"/>
      <sheetName val="[POWER5_XLA]__sfd_51"/>
      <sheetName val="[POWER5_XLA]_POW_171"/>
      <sheetName val="[POWER5_XLA]_POW_181"/>
      <sheetName val="[POWER5_XLA]_POW_191"/>
      <sheetName val="[POWER5_XLA]__qma_5"/>
      <sheetName val="[POWER5_XLA]_POW_201"/>
      <sheetName val="[POWER5_XLA]_POW_211"/>
      <sheetName val="[POWER5_XLA]_J_Ap_5"/>
      <sheetName val="[POWER5_XLA]_Appl_61"/>
      <sheetName val="[POWER5_XLA]__na1_61"/>
      <sheetName val="[POWER5_XLA]__sfd_61"/>
      <sheetName val="[POWER5_XLA]_POW_221"/>
      <sheetName val="[POWER5_XLA]_POW_231"/>
      <sheetName val="[POWER5_XLA]_POW_241"/>
      <sheetName val="[POWER5_XLA]__qma_6"/>
      <sheetName val="[POWER5_XLA]_POW_251"/>
      <sheetName val="[POWER5_XLA]_POW_261"/>
      <sheetName val="[POWER5_XLA]_J_Ap_6"/>
      <sheetName val="[POWER5_XLA]_Appl_71"/>
      <sheetName val="[POWER5_XLA]__na1_71"/>
      <sheetName val="[POWER5_XLA]__sfd_71"/>
      <sheetName val="[POWER5_XLA]_POW_29"/>
      <sheetName val="[POWER5_XLA]__qma_7"/>
      <sheetName val="[POWER5_XLA]_POW_30"/>
      <sheetName val="[POWER5_XLA]_POW_31"/>
      <sheetName val="[POWER5_XLA]_J_Ap_7"/>
      <sheetName val="[POWER5_XLA]_Appl_81"/>
      <sheetName val="[POWER5_XLA]__na1_81"/>
      <sheetName val="[POWER5_XLA]__sfd_81"/>
      <sheetName val="[POWER5_XLA]_POW_32"/>
      <sheetName val="[POWER5_XLA]_POW_33"/>
      <sheetName val="[POWER5_XLA]_POW_34"/>
      <sheetName val="[POWER5_XLA]__qma_8"/>
      <sheetName val="[POWER5_XLA]_POW_35"/>
      <sheetName val="[POWER5_XLA]_POW_36"/>
      <sheetName val="[POWER5_XLA]_J_Ap_8"/>
      <sheetName val="[POWER5_XLA]__qmaxsolutions2470"/>
      <sheetName val="share_buyback_output"/>
      <sheetName val="Alpha_Standalone"/>
      <sheetName val="[POWER5_XLA]__qmaxsolutions2471"/>
      <sheetName val="[POWER5_XLA]__qmaxsolutions2472"/>
      <sheetName val="[POWER5_XLA]__qmaxsolutions2473"/>
      <sheetName val="[POWER5_XLA]__qmaxsolutions2474"/>
      <sheetName val="[POWER5_XLA]__qmaxsolutions2475"/>
      <sheetName val="[POWER5_XLA]__qmaxsolutions2476"/>
      <sheetName val="[POWER5_XLA]__qmaxsolutions2477"/>
      <sheetName val="[POWER5_XLA]__qmaxsolutions2478"/>
      <sheetName val="[POWER5_XLA]__qmaxsolutions2479"/>
      <sheetName val="[POWER5_XLA]__qmaxsolutions2480"/>
      <sheetName val="[POWER5_XLA]__qmaxsolutions2481"/>
      <sheetName val="[POWER5_XLA]__qmaxsolutions2482"/>
      <sheetName val="Summary_-&gt;"/>
      <sheetName val="Status_Dashboard"/>
      <sheetName val="Operational_HC_Adj_"/>
      <sheetName val="Functional_Tabs_-&gt;"/>
      <sheetName val="Executive_&amp;_Strategy"/>
      <sheetName val="Supply_Management"/>
      <sheetName val="All_Other"/>
      <sheetName val="Supply_Management_Data_-&gt;"/>
      <sheetName val="Warehouse_Cost"/>
      <sheetName val="WH_Pricing"/>
      <sheetName val="Real_Estate"/>
      <sheetName val="Data_Files_-&gt;"/>
      <sheetName val="Census_-_All_Business"/>
      <sheetName val="ADJ__SMB_Employee_Census_with_$"/>
      <sheetName val="SMB_P&amp;L_(Clean)"/>
      <sheetName val="Corp19_Actual_P&amp;L_wo__Alloc"/>
      <sheetName val="Allocation_Metric_Input"/>
      <sheetName val="Graveyard_-&gt;"/>
      <sheetName val="SMBAllocated_Depts"/>
      <sheetName val="SMBP&amp;L_by_Function"/>
      <sheetName val="SMB_Employee_Census_with_Comp"/>
      <sheetName val="2019_Corp_Actual_PL_(Clean)"/>
      <sheetName val="Corp__Check_Pivot"/>
      <sheetName val="Section_Divider"/>
      <sheetName val="Flatfile_-_Details"/>
      <sheetName val="Operational_Finance_SMB_Direct"/>
      <sheetName val="2019_Actual_PL"/>
      <sheetName val="2020_P&amp;L"/>
      <sheetName val="[POWER5_XLA]__soferadvisors_424"/>
      <sheetName val="[POWER5_XLA]__soferadvisors_425"/>
      <sheetName val="[POWER5_XLA]__soferadvisors_426"/>
      <sheetName val="[POWER5_XLA]__soferadvisors_427"/>
      <sheetName val="[POWER5_XLA]__soferadvisors_428"/>
      <sheetName val="[POWER5_XLA]__soferadvisors_429"/>
      <sheetName val="[POWER5_XLA]__soferadvisors_430"/>
      <sheetName val="[POWER5_XLA]__soferadvisors_431"/>
      <sheetName val="[POWER5_XLA]__soferadvisors_432"/>
      <sheetName val="[POWER5_XLA]__soferadvisors_433"/>
      <sheetName val="[POWER5_XLA]__soferadvisors_434"/>
      <sheetName val="[POWER5_XLA]__soferadvisors_435"/>
      <sheetName val="[POWER5_XLA]__soferadvisors_436"/>
      <sheetName val="[POWER5_XLA]__soferadvisors_437"/>
      <sheetName val="[POWER5_XLA]__soferadvisors_438"/>
      <sheetName val="[POWER5_XLA]__qmaxsolution_1049"/>
      <sheetName val="[POWER5_XLA]__qmaxsolution_1045"/>
      <sheetName val="[POWER5_XLA]__qmaxsolutions2483"/>
      <sheetName val="[POWER5_XLA]__qmaxsolutions2484"/>
      <sheetName val="[POWER5_XLA]__qmaxsolutions2485"/>
      <sheetName val="[POWER5_XLA]__qmaxsolutions2486"/>
      <sheetName val="[POWER5_XLA]__qmaxsolutions2487"/>
      <sheetName val="[POWER5_XLA]__qmaxsolutions2488"/>
      <sheetName val="[POWER5_XLA]__qmaxsolutions2489"/>
      <sheetName val="[POWER5_XLA]__qmaxsolutions2490"/>
      <sheetName val="[POWER5_XLA]__qmaxsolutions2491"/>
      <sheetName val="[POWER5_XLA]__qmaxsolutions2492"/>
      <sheetName val="[POWER5_XLA]__qmaxsolutions2493"/>
      <sheetName val="[POWER5_XLA]__qmaxsolutions2494"/>
      <sheetName val="[POWER5_XLA]__qmaxsolutions2495"/>
      <sheetName val="[POWER5_XLA]__qmaxsolutions2496"/>
      <sheetName val="[POWER5_XLA]__qmaxsolutions2497"/>
      <sheetName val="[POWER5_XLA]__qmaxsolutions2498"/>
      <sheetName val="[POWER5_XLA]__qmaxsolutions2499"/>
      <sheetName val="[POWER5_XLA]__qmaxsolutions2500"/>
      <sheetName val="[POWER5_XLA]__qmaxsolutions2501"/>
      <sheetName val="[POWER5_XLA]__qmaxsolutions2502"/>
      <sheetName val="[POWER5_XLA]__qmaxsolutions2503"/>
      <sheetName val="[POWER5_XLA]__qmaxsolutions2504"/>
      <sheetName val="[POWER5_XLA]__qmaxsolutions2505"/>
      <sheetName val="[POWER5_XLA]__qmaxsolutions2506"/>
      <sheetName val="[POWER5_XLA]__qmaxsolutions2507"/>
      <sheetName val="[POWER5_XLA]__qmaxsolutions2508"/>
      <sheetName val="[POWER5_XLA]__qmaxsolutions2509"/>
      <sheetName val="[POWER5_XLA]__qmaxsolutions2510"/>
      <sheetName val="[POWER5_XLA]__qmaxsolutions2511"/>
      <sheetName val="[POWER5_XLA]__qmaxsolutions2512"/>
      <sheetName val="[POWER5_XLA]__qmaxsolutions2513"/>
      <sheetName val="[POWER5_XLA]__qmaxsolutions2514"/>
      <sheetName val="[POWER5_XLA]__qmaxsolutions2515"/>
      <sheetName val="[POWER5_XLA]__qmaxsolutions2516"/>
      <sheetName val="[POWER5_XLA]__qmaxsolutions2517"/>
      <sheetName val="[POWER5_XLA]__qmaxsolutions2518"/>
      <sheetName val="[POWER5_XLA]__qmaxsolutions2519"/>
      <sheetName val="[POWER5_XLA]__qmaxsolutions2520"/>
      <sheetName val="[POWER5_XLA]__qmaxsolutions2521"/>
      <sheetName val="[POWER5_XLA]__qmaxsolutions2522"/>
      <sheetName val="[POWER5_XLA]__qmaxsolutions2523"/>
      <sheetName val="[POWER5_XLA]__qmaxsolutions2524"/>
      <sheetName val="[POWER5_XLA]__qmaxsolutions2525"/>
      <sheetName val="[POWER5_XLA]__qmaxsolutions2526"/>
      <sheetName val="[POWER5_XLA]__qmaxsolutions2527"/>
      <sheetName val="[POWER5_XLA]__qmaxsolutions2528"/>
      <sheetName val="[POWER5_XLA]__qmaxsolutions2529"/>
      <sheetName val="[POWER5_XLA]__qmaxsolutions2530"/>
      <sheetName val="[POWER5_XLA]__qmaxsolutions2531"/>
      <sheetName val="[POWER5_XLA]__qmaxsolution_1039"/>
      <sheetName val="[POWER5_XLA]__qmaxsolutions2532"/>
      <sheetName val="[POWER5_XLA]__qmaxsolutions2533"/>
      <sheetName val="[POWER5_XLA]__qmaxsolution_1009"/>
      <sheetName val="[POWER5_XLA]__qmaxsolution_1008"/>
      <sheetName val="[POWER5_XLA]__qmaxsolutions2534"/>
      <sheetName val="[POWER5_XLA]__qmaxsolutions2535"/>
      <sheetName val="[POWER5_XLA]__qmaxsolutions2536"/>
      <sheetName val="[POWER5_XLA]__qmaxsolutions2537"/>
      <sheetName val="[POWER5_XLA]__qmaxsolutions2538"/>
      <sheetName val="[POWER5_XLA]__qmaxsolutions2539"/>
      <sheetName val="[POWER5_XLA]__qmaxsolutions2540"/>
      <sheetName val="[POWER5_XLA]__qmaxsolutions2541"/>
      <sheetName val="[POWER5_XLA]__qmaxsolutions2542"/>
      <sheetName val="[POWER5_XLA]__qmaxsolutions2543"/>
      <sheetName val="[POWER5_XLA]__qmaxsolutions2544"/>
      <sheetName val="[POWER5_XLA]__qmaxsolutions2545"/>
      <sheetName val="[POWER5_XLA]__qmaxsolutions2546"/>
      <sheetName val="[POWER5_XLA]__qmaxsolutions2547"/>
      <sheetName val="[POWER5_XLA]__qmaxsolutions2548"/>
      <sheetName val="[POWER5_XLA]__qmaxsolutions2549"/>
      <sheetName val="[POWER5_XLA]__qmaxsolutions2550"/>
      <sheetName val="[POWER5_XLA]__qmaxsolutions2551"/>
      <sheetName val="[POWER5_XLA]__qmaxsolutions2552"/>
      <sheetName val="[POWER5_XLA]__qmaxsolutions2553"/>
      <sheetName val="[POWER5_XLA]__qmaxsolutions2554"/>
      <sheetName val="[POWER5_XLA]__qmaxsolutions2555"/>
      <sheetName val="[POWER5_XLA]__qmaxsolutions2556"/>
      <sheetName val="[POWER5_XLA]__qmaxsolutions2557"/>
      <sheetName val="[POWER5_XLA]__qmaxsolutions2558"/>
      <sheetName val="[POWER5_XLA]__qmaxsolutions2559"/>
      <sheetName val="[POWER5_XLA]__qmaxsolutions2560"/>
      <sheetName val="[POWER5_XLA]__qmaxsolutions2561"/>
      <sheetName val="[POWER5_XLA]__qmaxsolutions2562"/>
      <sheetName val="[POWER5_XLA]__qmaxsolutions2563"/>
      <sheetName val="[POWER5_XLA]__qmaxsolutions2564"/>
      <sheetName val="[POWER5_XLA]__qmaxsolutions2565"/>
      <sheetName val="[POWER5_XLA]__qmaxsolutions2566"/>
      <sheetName val="[POWER5_XLA]__qmaxsolutions2567"/>
      <sheetName val="[POWER5_XLA]__qmaxsolutions2568"/>
      <sheetName val="[POWER5_XLA]__qmaxsolutions2569"/>
      <sheetName val="[POWER5_XLA]__qmaxsolutions2570"/>
      <sheetName val="[POWER5_XLA]__qmaxsolutions2571"/>
      <sheetName val="[POWER5_XLA]__qmaxsolutions2572"/>
      <sheetName val="[POWER5_XLA]__qmaxsolutions2573"/>
      <sheetName val="[POWER5_XLA]__qmaxsolutions2574"/>
      <sheetName val="[POWER5_XLA]__qmaxsolutions2575"/>
      <sheetName val="[POWER5_XLA]__qmaxsolutions2576"/>
      <sheetName val="[POWER5_XLA]__qmaxsolutions2577"/>
      <sheetName val="[POWER5_XLA]__qmaxsolutions2578"/>
      <sheetName val="[POWER5_XLA]__qmaxsolutions2579"/>
      <sheetName val="[POWER5_XLA]__qmaxsolution_1007"/>
      <sheetName val="[POWER5_XLA]__qmaxsolutions2580"/>
      <sheetName val="[POWER5_XLA]__qmaxsolutions2581"/>
      <sheetName val="[POWER5_XLA]__qmaxsolutions2582"/>
      <sheetName val="[POWER5_XLA]__qmaxsolutions2583"/>
      <sheetName val="[POWER5_XLA]__qmaxsolutions2584"/>
      <sheetName val="[POWER5_XLA]__qmaxsolutions2585"/>
      <sheetName val="[POWER5_XLA]__qmaxsolutions2586"/>
      <sheetName val="[POWER5_XLA]__qmaxsolutions2587"/>
      <sheetName val="[POWER5_XLA]__qmaxsolutions2588"/>
      <sheetName val="[POWER5_XLA]__qmaxsolutions2589"/>
      <sheetName val="[POWER5_XLA]__qmaxsolutions2590"/>
      <sheetName val="[POWER5_XLA]__qmaxsolutions2591"/>
      <sheetName val="[POWER5_XLA]__qmaxsolutions2592"/>
      <sheetName val="[POWER5_XLA]__qmaxsolutions2593"/>
      <sheetName val="[POWER5_XLA]__qmaxsolutions2594"/>
      <sheetName val="[POWER5_XLA]__qmaxsolutions2595"/>
      <sheetName val="[POWER5_XLA]__qmaxsolutions2596"/>
      <sheetName val="[POWER5_XLA]__qmaxsolutions2597"/>
      <sheetName val="[POWER5_XLA]__qmaxsolutions2598"/>
      <sheetName val="[POWER5_XLA]__qmaxsolutions2599"/>
      <sheetName val="[POWER5_XLA]__qmaxsolutions2600"/>
      <sheetName val="[POWER5_XLA]__qmaxsolutions2601"/>
      <sheetName val="[POWER5_XLA]__qmaxsolutions2602"/>
      <sheetName val="[POWER5_XLA]__qmaxsolutions2603"/>
      <sheetName val="[POWER5_XLA]__qmaxsolutions2604"/>
      <sheetName val="[POWER5_XLA]__qmaxsolutions2605"/>
      <sheetName val="[POWER5_XLA]__qmaxsolutions2606"/>
      <sheetName val="[POWER5_XLA]__qmaxsolutions2607"/>
      <sheetName val="[POWER5_XLA]__qmaxsolutions2608"/>
      <sheetName val="[POWER5_XLA]__qmaxsolutions2609"/>
      <sheetName val="[POWER5_XLA]__qmaxsolutions2610"/>
      <sheetName val="[POWER5_XLA]__qmaxsolutions2611"/>
      <sheetName val="[POWER5_XLA]__qmaxsolutions2612"/>
      <sheetName val="[POWER5_XLA]__qmaxsolution_1001"/>
      <sheetName val="[POWER5_XLA]__qmaxsolutions2613"/>
      <sheetName val="[POWER5_XLA]__qmaxsolution_1000"/>
      <sheetName val="[POWER5_XLA]__qmaxsolution_1003"/>
      <sheetName val="[POWER5_XLA]__qmaxsolution_1002"/>
      <sheetName val="[POWER5_XLA]__qmaxsolution_1004"/>
      <sheetName val="[POWER5_XLA]__qmaxsolution_1005"/>
      <sheetName val="[POWER5_XLA]__qmaxsolution_1006"/>
      <sheetName val="[POWER5_XLA]__qmaxsolution_1025"/>
      <sheetName val="[POWER5_XLA]__qmaxsolution_1010"/>
      <sheetName val="[POWER5_XLA]__qmaxsolution_1011"/>
      <sheetName val="[POWER5_XLA]__qmaxsolution_1016"/>
      <sheetName val="[POWER5_XLA]__qmaxsolution_1012"/>
      <sheetName val="[POWER5_XLA]__qmaxsolution_1013"/>
      <sheetName val="[POWER5_XLA]__qmaxsolution_1014"/>
      <sheetName val="[POWER5_XLA]__qmaxsolution_1015"/>
      <sheetName val="[POWER5_XLA]__qmaxsolution_1018"/>
      <sheetName val="[POWER5_XLA]__qmaxsolution_1017"/>
      <sheetName val="[POWER5_XLA]__qmaxsolution_1020"/>
      <sheetName val="[POWER5_XLA]__qmaxsolution_1019"/>
      <sheetName val="[POWER5_XLA]__qmaxsolution_1021"/>
      <sheetName val="[POWER5_XLA]__qmaxsolution_1022"/>
      <sheetName val="[POWER5_XLA]__qmaxsolution_1023"/>
      <sheetName val="[POWER5_XLA]__qmaxsolution_1024"/>
      <sheetName val="[POWER5_XLA]__qmaxsolution_1026"/>
      <sheetName val="[POWER5_XLA]__qmaxsolution_1027"/>
      <sheetName val="[POWER5_XLA]__qmaxsolution_1030"/>
      <sheetName val="[POWER5_XLA]__qmaxsolution_1028"/>
      <sheetName val="[POWER5_XLA]__qmaxsolution_1029"/>
      <sheetName val="[POWER5_XLA]__qmaxsolution_1034"/>
      <sheetName val="[POWER5_XLA]__qmaxsolution_1031"/>
      <sheetName val="[POWER5_XLA]__qmaxsolution_1032"/>
      <sheetName val="[POWER5_XLA]__qmaxsolution_1033"/>
      <sheetName val="[POWER5_XLA]__qmaxsolution_1035"/>
      <sheetName val="[POWER5_XLA]__qmaxsolution_1036"/>
      <sheetName val="[POWER5_XLA]__qmaxsolution_1037"/>
      <sheetName val="[POWER5_XLA]__qmaxsolution_1038"/>
      <sheetName val="[POWER5_XLA]__qmaxsolution_1040"/>
      <sheetName val="[POWER5_XLA]__qmaxsolution_1041"/>
      <sheetName val="[POWER5_XLA]__qmaxsolution_1042"/>
      <sheetName val="[POWER5_XLA]__qmaxsolution_1043"/>
      <sheetName val="[POWER5_XLA]__qmaxsolution_1044"/>
      <sheetName val="[POWER5_XLA]__qmaxsolution_1048"/>
      <sheetName val="[POWER5_XLA]__qmaxsolution_1046"/>
      <sheetName val="[POWER5_XLA]__qmaxsolution_1047"/>
      <sheetName val="[POWER5_XLA]__qmaxsolution_1050"/>
      <sheetName val="[POWER5_XLA]__qmaxsolution_1051"/>
      <sheetName val="[POWER5_XLA]__qmaxsolution_1052"/>
      <sheetName val="[POWER5_XLA]__qmaxsolution_1053"/>
      <sheetName val="[POWER5_XLA]__qmaxsolution_1054"/>
      <sheetName val="[POWER5_XLA]__qmaxsolution_1056"/>
      <sheetName val="[POWER5_XLA]__qmaxsolution_1055"/>
      <sheetName val="[POWER5_XLA]__qmaxsolution_1057"/>
      <sheetName val="[POWER5_XLA]__qmaxsolution_1059"/>
      <sheetName val="[POWER5_XLA]__qmaxsolution_1058"/>
      <sheetName val="[POWER5_XLA]__qmaxsolution_1060"/>
      <sheetName val="[POWER5_XLA]__qmaxsolution_1061"/>
      <sheetName val="[POWER5_XLA]__qmaxsolution_1062"/>
      <sheetName val="[POWER5_XLA]__qmaxsolution_1064"/>
      <sheetName val="[POWER5_XLA]__qmaxsolution_1063"/>
      <sheetName val="[POWER5_XLA]__qmaxsolution_1065"/>
      <sheetName val="[POWER5_XLA]__qmaxsolution_1068"/>
      <sheetName val="[POWER5_XLA]__qmaxsolution_1066"/>
      <sheetName val="[POWER5_XLA]__qmaxsolution_1067"/>
      <sheetName val="[POWER5_XLA]__qmaxsolution_1069"/>
      <sheetName val="[POWER5_XLA]__qmaxsolution_1070"/>
      <sheetName val="[POWER5_XLA]__soferadvisors_439"/>
      <sheetName val="[POWER5_XLA]__soferadvisors_440"/>
      <sheetName val="[POWER5_XLA]__soferadvisors_441"/>
      <sheetName val="[POWER5_XLA]__soferadvisors_442"/>
      <sheetName val="[POWER5_XLA]__qmaxsolution_1071"/>
      <sheetName val="Intang_SAP"/>
      <sheetName val="Table_-_Mapping"/>
      <sheetName val="[POWER5_XLA]__qmaxsolution_1072"/>
      <sheetName val="[POWER5_XLA]__qmaxsolution_1074"/>
      <sheetName val="[POWER5_XLA]__qmaxsolution_1073"/>
      <sheetName val="[POWER5_XLA]__qmaxsolution_1075"/>
      <sheetName val="[POWER5_XLA]__qmaxsolution_1085"/>
      <sheetName val="[POWER5_XLA]__qmaxsolution_1076"/>
      <sheetName val="[POWER5_XLA]__qmaxsolution_1077"/>
      <sheetName val="[POWER5_XLA]__qmaxsolution_1078"/>
      <sheetName val="[POWER5_XLA]__qmaxsolution_1079"/>
      <sheetName val="[POWER5_XLA]__qmaxsolution_1080"/>
      <sheetName val="[POWER5_XLA]__qmaxsolution_1081"/>
      <sheetName val="[POWER5_XLA]__qmaxsolution_1082"/>
      <sheetName val="[POWER5_XLA]__qmaxsolution_1083"/>
      <sheetName val="[POWER5_XLA]__qmaxsolution_1084"/>
      <sheetName val="Ericcson_Data"/>
      <sheetName val="New_CapEx_EBITDA"/>
      <sheetName val="Uniti_Implied"/>
      <sheetName val="LT_Rev+CapEx"/>
      <sheetName val="Hist_Val"/>
      <sheetName val="Undw_EBITDA"/>
      <sheetName val="Hist_Fin"/>
      <sheetName val="Fin_Input"/>
      <sheetName val="US_1L_Inc_TL_Returns"/>
      <sheetName val="US_1L_TL_Returns"/>
      <sheetName val="Eur_1L_TL_Returns"/>
      <sheetName val="1L_Notes_Returns"/>
      <sheetName val="Uns_Notes_Returns"/>
      <sheetName val="ROE_Calc-&gt;"/>
      <sheetName val="ROE_Calculator"/>
      <sheetName val="Modeled_Cash_Flows"/>
      <sheetName val="Drop_Downs"/>
      <sheetName val="[POWER5_XLA]_Applications_Mi_81"/>
      <sheetName val="[POWER5_XLA]__aodocs_altirna114"/>
      <sheetName val="[POWER5_XLA]__aodocs_altirna115"/>
      <sheetName val="[POWER5_XLA][POWER5_XLA]_Appl53"/>
      <sheetName val="[POWER5_XLA][POWER5_XLA]__na153"/>
      <sheetName val="[POWER5_XLA][POWER5_XLA]__sfd53"/>
      <sheetName val="[POWER5_XLA]_Applications_Mi_82"/>
      <sheetName val="[POWER5_XLA]__sfdc_DFS_Appli_18"/>
      <sheetName val="[POWER5_XLA]_J_Applications__50"/>
      <sheetName val="[POWER5_XLA]_Applications_Mi_83"/>
      <sheetName val="[POWER5_XLA]__aodocs_altirna116"/>
      <sheetName val="[POWER5_XLA]__localhost_webd_83"/>
      <sheetName val="[POWER5_XLA]__localhost_webd_84"/>
      <sheetName val="[POWER5_XLA]__localhost_FY_2_18"/>
      <sheetName val="[POWER5_XLA]__aodocs_altirna117"/>
      <sheetName val="[POWER5_XLA]__localhost_webd_85"/>
      <sheetName val="[POWER5_XLA][POWER5_XLA]_App_26"/>
      <sheetName val="[POWER5_XLA][POWER5_XLA]__na_26"/>
      <sheetName val="[POWER5_XLA][POWER5_XLA]__sf_26"/>
      <sheetName val="[POWER5_XLA][POWER5_XLA]_POW228"/>
      <sheetName val="[POWER5_XLA][POWER5_XLA]_POW229"/>
      <sheetName val="[POWER5_XLA][POWER5_XLA]_POW230"/>
      <sheetName val="[POWER5_XLA]__na1_salesforce_72"/>
      <sheetName val="[POWER5_XLA]_J_Applications__51"/>
      <sheetName val="[POWER5_XLA][POWER5_XLA]__qm_18"/>
      <sheetName val="[POWER5_XLA][POWER5_XLA]_POW231"/>
      <sheetName val="[POWER5_XLA][POWER5_XLA]_POW232"/>
      <sheetName val="[POWER5_XLA][POWER5_XLA]_J_A_18"/>
      <sheetName val="[POWER5_XLA]_Applications_Mi_84"/>
      <sheetName val="[POWER5_XLA]__aodocs_altirna118"/>
      <sheetName val="[POWER5_XLA]__aodocs_altirna119"/>
      <sheetName val="[POWER5_XLA][POWER5_XLA]_App_27"/>
      <sheetName val="[POWER5_XLA][POWER5_XLA]__na_27"/>
      <sheetName val="[POWER5_XLA][POWER5_XLA]__sf_27"/>
      <sheetName val="[POWER5_XLA]_Applications_Mi_85"/>
      <sheetName val="[POWER5_XLA]__na1_salesforce_73"/>
      <sheetName val="[POWER5_XLA]__sfdc_DFS_Appli_19"/>
      <sheetName val="[POWER5_XLA]_J_Applications__52"/>
      <sheetName val="[POWER5_XLA]_Applications_Mi_86"/>
      <sheetName val="[POWER5_XLA]__aodocs_altirna120"/>
      <sheetName val="[POWER5_XLA]__localhost_webd_86"/>
      <sheetName val="[POWER5_XLA]__localhost_webd_87"/>
      <sheetName val="[POWER5_XLA]__localhost_FY_2_19"/>
      <sheetName val="[POWER5_XLA]__aodocs_altirna121"/>
      <sheetName val="[POWER5_XLA]__localhost_webd_88"/>
      <sheetName val="[POWER5_XLA][POWER5_XLA]_App_28"/>
      <sheetName val="[POWER5_XLA][POWER5_XLA]__na_28"/>
      <sheetName val="[POWER5_XLA][POWER5_XLA]__sf_28"/>
      <sheetName val="[POWER5_XLA][POWER5_XLA]_POW233"/>
      <sheetName val="[POWER5_XLA][POWER5_XLA]_POW234"/>
      <sheetName val="[POWER5_XLA][POWER5_XLA]_POW235"/>
      <sheetName val="[POWER5_XLA]__na1_salesforce_74"/>
      <sheetName val="[POWER5_XLA]_J_Applications__53"/>
      <sheetName val="[POWER5_XLA][POWER5_XLA]__qm_19"/>
      <sheetName val="[POWER5_XLA][POWER5_XLA]_POW236"/>
      <sheetName val="[POWER5_XLA][POWER5_XLA]_POW237"/>
      <sheetName val="[POWER5_XLA][POWER5_XLA]_J_A_19"/>
      <sheetName val="[POWER5_XLA]_Users_Dan_Libra_20"/>
      <sheetName val="[POWER5_XLA]_Applications_Mi_87"/>
      <sheetName val="[POWER5_XLA]__aodocs_altirna122"/>
      <sheetName val="[POWER5_XLA]__aodocs_altirna123"/>
      <sheetName val="[POWER5_XLA][POWER5_XLA]_POW238"/>
      <sheetName val="[POWER5_XLA][POWER5_XLA]_POW239"/>
      <sheetName val="[POWER5_XLA][POWER5_XLA]_POW240"/>
      <sheetName val="[POWER5_XLA][POWER5_XLA]_App_29"/>
      <sheetName val="[POWER5_XLA][POWER5_XLA]__na_29"/>
      <sheetName val="[POWER5_XLA][POWER5_XLA]__sf_29"/>
      <sheetName val="[POWER5_XLA]_Applications_Mi_88"/>
      <sheetName val="[POWER5_XLA]__na1_salesforce_75"/>
      <sheetName val="[POWER5_XLA]__sfdc_DFS_Appli_20"/>
      <sheetName val="[POWER5_XLA]_J_Applications__54"/>
      <sheetName val="[POWER5_XLA]_Applications_Mi_89"/>
      <sheetName val="[POWER5_XLA]__aodocs_altirna124"/>
      <sheetName val="[POWER5_XLA]__localhost_webd_89"/>
      <sheetName val="[POWER5_XLA]__localhost_webd_90"/>
      <sheetName val="[POWER5_XLA]__localhost_FY_2_20"/>
      <sheetName val="[POWER5_XLA]__aodocs_altirna125"/>
      <sheetName val="[POWER5_XLA]__localhost_webd_91"/>
      <sheetName val="[POWER5_XLA][POWER5_XLA]_App_30"/>
      <sheetName val="[POWER5_XLA][POWER5_XLA]__na_30"/>
      <sheetName val="[POWER5_XLA][POWER5_XLA]__sf_30"/>
      <sheetName val="[POWER5_XLA][POWER5_XLA]_POW241"/>
      <sheetName val="[POWER5_XLA][POWER5_XLA]_POW242"/>
      <sheetName val="[POWER5_XLA][POWER5_XLA]_POW243"/>
      <sheetName val="[POWER5_XLA]__na1_salesforce_76"/>
      <sheetName val="[POWER5_XLA]_J_Applications__55"/>
      <sheetName val="[POWER5_XLA][POWER5_XLA]__qm_20"/>
      <sheetName val="[POWER5_XLA][POWER5_XLA]_POW244"/>
      <sheetName val="[POWER5_XLA][POWER5_XLA]_POW245"/>
      <sheetName val="[POWER5_XLA][POWER5_XLA]_J_A_20"/>
      <sheetName val="[POWER5_XLA]_Applications_Mi_90"/>
      <sheetName val="[POWER5_XLA]__aodocs_altirna126"/>
      <sheetName val="[POWER5_XLA]__aodocs_altirna127"/>
      <sheetName val="[POWER5_XLA][POWER5_XLA]_POW246"/>
      <sheetName val="[POWER5_XLA][POWER5_XLA]_POW247"/>
      <sheetName val="[POWER5_XLA][POWER5_XLA]_POW248"/>
      <sheetName val="[POWER5_XLA][POWER5_XLA]_App_31"/>
      <sheetName val="[POWER5_XLA][POWER5_XLA]__na_31"/>
      <sheetName val="[POWER5_XLA][POWER5_XLA]__sf_31"/>
      <sheetName val="[POWER5_XLA]_Applications_Mi_91"/>
      <sheetName val="[POWER5_XLA]__na1_salesforce_77"/>
      <sheetName val="[POWER5_XLA]__sfdc_DFS_Appli_21"/>
      <sheetName val="[POWER5_XLA]_J_Applications__56"/>
      <sheetName val="[POWER5_XLA]_Applications_Mi_92"/>
      <sheetName val="[POWER5_XLA]__aodocs_altirna128"/>
      <sheetName val="[POWER5_XLA]__localhost_webd_92"/>
      <sheetName val="[POWER5_XLA]__localhost_webd_93"/>
      <sheetName val="[POWER5_XLA]__localhost_FY_2_21"/>
      <sheetName val="[POWER5_XLA]__aodocs_altirna129"/>
      <sheetName val="[POWER5_XLA]__localhost_webd_94"/>
      <sheetName val="[POWER5_XLA][POWER5_XLA]_App_32"/>
      <sheetName val="[POWER5_XLA][POWER5_XLA]__na_32"/>
      <sheetName val="[POWER5_XLA][POWER5_XLA]__sf_32"/>
      <sheetName val="[POWER5_XLA][POWER5_XLA]_POW249"/>
      <sheetName val="[POWER5_XLA][POWER5_XLA]_POW250"/>
      <sheetName val="[POWER5_XLA][POWER5_XLA]_POW251"/>
      <sheetName val="[POWER5_XLA]__na1_salesforce_78"/>
      <sheetName val="[POWER5_XLA]_J_Applications__57"/>
      <sheetName val="[POWER5_XLA][POWER5_XLA]__qm_21"/>
      <sheetName val="[POWER5_XLA][POWER5_XLA]_POW252"/>
      <sheetName val="[POWER5_XLA][POWER5_XLA]_POW253"/>
      <sheetName val="[POWER5_XLA][POWER5_XLA]_J_A_21"/>
      <sheetName val="[POWER5_XLA]_Users_Dan_Libra_21"/>
      <sheetName val="[POWER5_XLA]_Applications_Mi_93"/>
      <sheetName val="[POWER5_XLA]__aodocs_altirna130"/>
      <sheetName val="[POWER5_XLA]__aodocs_altirna131"/>
      <sheetName val="[POWER5_XLA][POWER5_XLA]_POW254"/>
      <sheetName val="[POWER5_XLA][POWER5_XLA]_POW255"/>
      <sheetName val="[POWER5_XLA][POWER5_XLA]_POW256"/>
      <sheetName val="[POWER5_XLA][POWER5_XLA]_App_33"/>
      <sheetName val="[POWER5_XLA][POWER5_XLA]__na_33"/>
      <sheetName val="[POWER5_XLA][POWER5_XLA]__sf_33"/>
      <sheetName val="CPANA_Consolidated"/>
      <sheetName val="P_and_L"/>
      <sheetName val="[POWER5_XLA]__qmaxsolution_1088"/>
      <sheetName val="[POWER5_XLA]__qmaxsolution_1086"/>
      <sheetName val="[POWER5_XLA]__qmaxsolution_1087"/>
      <sheetName val="[POWER5_XLA]__qmaxsolution_1089"/>
      <sheetName val="[POWER5_XLA]__qmaxsolution_1090"/>
      <sheetName val="[POWER5_XLA]__qmaxsolution_1091"/>
      <sheetName val="Name_Refs"/>
      <sheetName val="080_(2)"/>
      <sheetName val="[POWER5_XLA]__d_docs_live_n_143"/>
      <sheetName val="[POWER5_XLA]__d_docs_live_n_144"/>
      <sheetName val="[POWER5_XLA]__d_docs_live_n_145"/>
      <sheetName val="[POWER5_XLA]__d_docs_live_n_146"/>
      <sheetName val="[POWER5_XLA]__d_docs_live_n_147"/>
      <sheetName val="[POWER5_XLA]__d_docs_live_n_148"/>
      <sheetName val="[POWER5_XLA]__d_docs_live_n_149"/>
      <sheetName val="[POWER5_XLA]__d_docs_live_n_150"/>
      <sheetName val="[POWER5_XLA]__d_docs_live_n_151"/>
      <sheetName val="[POWER5_XLA]__d_docs_live_n_152"/>
      <sheetName val="[POWER5_XLA]__d_docs_live_n_153"/>
      <sheetName val="[POWER5_XLA]__d_docs_live_n_154"/>
      <sheetName val="[POWER5_XLA]__d_docs_live_n_155"/>
      <sheetName val="[POWER5_XLA]__d_docs_live_n_156"/>
      <sheetName val="[POWER5_XLA]__d_docs_live_n_157"/>
      <sheetName val="[POWER5_XLA]__d_docs_live_n_158"/>
      <sheetName val="BASE_REAL"/>
      <sheetName val="[POWER5_XLA]__d_docs_live_n_159"/>
      <sheetName val="[POWER5_XLA]__d_docs_live_n_160"/>
      <sheetName val="[POWER5_XLA]__d_docs_live_n_161"/>
      <sheetName val="[POWER5_XLA]__d_docs_live_n_162"/>
      <sheetName val="[POWER5_XLA]__d_docs_live_n_163"/>
      <sheetName val="[POWER5_XLA]__d_docs_live_n_164"/>
      <sheetName val="[POWER5_XLA]__d_docs_live_n_165"/>
      <sheetName val="[POWER5_XLA]__d_docs_live_n_166"/>
      <sheetName val="[POWER5_XLA]__d_docs_live_n_167"/>
      <sheetName val="[POWER5_XLA]__d_docs_live_n_168"/>
      <sheetName val="[POWER5_XLA]__soferadvisors_443"/>
      <sheetName val="[POWER5_XLA]__soferadvisors_444"/>
      <sheetName val="[POWER5_XLA]__soferadvisors_445"/>
      <sheetName val="[POWER5_XLA]__soferadvisors_446"/>
      <sheetName val="[POWER5_XLA]__soferadvisors_447"/>
      <sheetName val="[POWER5_XLA]__soferadvisors_448"/>
      <sheetName val="[POWER5_XLA]__soferadvisors_449"/>
      <sheetName val="[POWER5_XLA]__soferadvisors_450"/>
      <sheetName val="[POWER5_XLA]__soferadvisors_451"/>
      <sheetName val="[POWER5_XLA]__soferadvisors_452"/>
      <sheetName val="[POWER5_XLA]__soferadvisors_453"/>
      <sheetName val="[POWER5_XLA]__soferadvisors_454"/>
      <sheetName val="[POWER5_XLA]__soferadvisors_455"/>
      <sheetName val="[POWER5_XLA]__soferadvisors_456"/>
      <sheetName val="[POWER5_XLA]__soferadvisors_457"/>
      <sheetName val="[POWER5_XLA]__soferadvisors_458"/>
      <sheetName val="[POWER5_XLA]__soferadvisors_459"/>
      <sheetName val="[POWER5_XLA]__soferadvisors_460"/>
      <sheetName val="[POWER5_XLA]__soferadvisors_461"/>
      <sheetName val="[POWER5_XLA]__soferadvisors_462"/>
      <sheetName val="[POWER5_XLA]__soferadvisors_463"/>
      <sheetName val="[POWER5_XLA]__soferadvisors_464"/>
      <sheetName val="[POWER5_XLA]__soferadvisors_465"/>
      <sheetName val="[POWER5_XLA]__soferadvisors_466"/>
      <sheetName val="[POWER5_XLA]__soferadvisors_467"/>
      <sheetName val="[POWER5_XLA]__soferadvisors_468"/>
      <sheetName val="[POWER5_XLA]__soferadvisors_469"/>
      <sheetName val="[POWER5_XLA]__soferadvisors_470"/>
      <sheetName val="[POWER5_XLA]__soferadvisors_471"/>
      <sheetName val="[POWER5_XLA]__soferadvisors_472"/>
      <sheetName val="[POWER5_XLA]__soferadvisors_473"/>
      <sheetName val="[POWER5_XLA]__soferadvisors_474"/>
      <sheetName val="[POWER5_XLA]__soferadvisors_475"/>
      <sheetName val="[POWER5_XLA]__soferadvisors_476"/>
      <sheetName val="[POWER5_XLA]__soferadvisors_477"/>
      <sheetName val="[POWER5_XLA]__qmaxsolution_1092"/>
      <sheetName val="COM_BU_ex_DS_(2)"/>
      <sheetName val="Pivots_Entries"/>
      <sheetName val="Pivots_exits"/>
      <sheetName val="PL-_53_07_OE"/>
      <sheetName val="B1__Tax_Data"/>
      <sheetName val="[POWER5_XLA]__qmaxsolution_1100"/>
      <sheetName val="[POWER5_XLA]__qmaxsolution_1094"/>
      <sheetName val="[POWER5_XLA]__qmaxsolution_1093"/>
      <sheetName val="[POWER5_XLA]__qmaxsolution_1096"/>
      <sheetName val="[POWER5_XLA]__qmaxsolution_1095"/>
      <sheetName val="[POWER5_XLA]__qmaxsolution_1097"/>
      <sheetName val="[POWER5_XLA]__qmaxsolution_1098"/>
      <sheetName val="[POWER5_XLA]__qmaxsolution_1099"/>
      <sheetName val="[POWER5_XLA]__qmaxsolution_1101"/>
      <sheetName val="[POWER5_XLA]__qmaxsolution_1102"/>
      <sheetName val="[POWER5_XLA]__qmaxsolution_1103"/>
      <sheetName val="[POWER5_XLA]__qmaxsolution_1106"/>
      <sheetName val="[POWER5_XLA]__qmaxsolution_1104"/>
      <sheetName val="[POWER5_XLA]__qmaxsolution_1105"/>
      <sheetName val="[POWER5_XLA]__qmaxsolution_1107"/>
      <sheetName val="[POWER5_XLA]__qmaxsolution_1108"/>
      <sheetName val="[POWER5_XLA]__qmaxsolution_1109"/>
      <sheetName val="[POWER5_XLA]__qmaxsolution_1110"/>
      <sheetName val="[POWER5_XLA]__qmaxsolution_1111"/>
      <sheetName val="[POWER5_XLA]__qmaxsolution_1113"/>
      <sheetName val="[POWER5_XLA]__qmaxsolution_1112"/>
      <sheetName val="[POWER5_XLA]__qmaxsolution_1114"/>
      <sheetName val="Mezz_Interest_Calc"/>
      <sheetName val="Q1_2012"/>
      <sheetName val="[POWER5_XLA]__qmaxsolution_1115"/>
      <sheetName val="Pro_Forma_BS"/>
      <sheetName val="[POWER5_XLA]__qmaxsolution_1116"/>
      <sheetName val="[POWER5_XLA]__qmaxsolution_1117"/>
      <sheetName val="[POWER5_XLA]__qmaxsolution_1122"/>
      <sheetName val="[POWER5_XLA]__qmaxsolution_1118"/>
      <sheetName val="[POWER5_XLA]__qmaxsolution_1119"/>
      <sheetName val="[POWER5_XLA]__qmaxsolution_1120"/>
      <sheetName val="[POWER5_XLA]__qmaxsolution_1121"/>
      <sheetName val="MGLN_LBO_second"/>
      <sheetName val="[POWER5_XLA]__qmaxsolution_1123"/>
      <sheetName val="IRL_-_BDD"/>
      <sheetName val="Pk_prod"/>
      <sheetName val="Std-Prod_KS"/>
      <sheetName val="rab_lt_2_bo"/>
      <sheetName val="ANALISA_PEK_UMUM"/>
      <sheetName val="Multiple_Spreadsheets"/>
      <sheetName val="Cashflow_(2)"/>
      <sheetName val="BALANCE_ANALYTIQUE"/>
      <sheetName val="dico_mois"/>
      <sheetName val="Comparable_Firms"/>
      <sheetName val="[POWER5_XLA]__localhost_Appli_3"/>
      <sheetName val="[POWER5_XLA]//na1_s10"/>
      <sheetName val="Outstanding_Borrowings"/>
      <sheetName val="IS_Proforma"/>
      <sheetName val="BS_Proforma"/>
      <sheetName val="Reporting_historical"/>
      <sheetName val="Assumptions_and_Dashboard"/>
      <sheetName val="Sales_and_Collections"/>
      <sheetName val="Financial_Summary"/>
      <sheetName val="Inventory_and_Purchases"/>
      <sheetName val="Operating_Expenses"/>
      <sheetName val="Data_LPJUM"/>
      <sheetName val="[POWER5_XLA]__qmaxsolution_1125"/>
      <sheetName val="[POWER5_XLA]__qmaxsolution_1124"/>
      <sheetName val="[POWER5_XLA]__qmaxsolution_1126"/>
      <sheetName val="[POWER5_XLA]__qmaxsolution_1127"/>
      <sheetName val="[POWER5_XLA]__qmaxsolution_1128"/>
      <sheetName val="[POWER5_XLA]__qmaxsolution_1129"/>
      <sheetName val="[POWER5_XLA]__qmaxsolution_1130"/>
      <sheetName val="[POWER5_XLA]__qmaxsolution_1544"/>
      <sheetName val="[POWER5_XLA]__qmaxsolution_1540"/>
      <sheetName val="[POWER5_XLA]__qmaxsolution_1146"/>
      <sheetName val="[POWER5_XLA]__qmaxsolution_1131"/>
      <sheetName val="[POWER5_XLA]__qmaxsolution_1132"/>
      <sheetName val="[POWER5_XLA]__qmaxsolution_1133"/>
      <sheetName val="[POWER5_XLA]__qmaxsolution_1135"/>
      <sheetName val="[POWER5_XLA]__qmaxsolution_1134"/>
      <sheetName val="[POWER5_XLA]__qmaxsolution_1136"/>
      <sheetName val="[POWER5_XLA]__qmaxsolution_1137"/>
      <sheetName val="[POWER5_XLA]__qmaxsolution_1138"/>
      <sheetName val="[POWER5_XLA]__qmaxsolution_1139"/>
      <sheetName val="[POWER5_XLA]__qmaxsolution_1140"/>
      <sheetName val="[POWER5_XLA]__qmaxsolution_1141"/>
      <sheetName val="[POWER5_XLA]__qmaxsolution_1143"/>
      <sheetName val="[POWER5_XLA]__qmaxsolution_1142"/>
      <sheetName val="[POWER5_XLA]__qmaxsolution_1144"/>
      <sheetName val="[POWER5_XLA]__qmaxsolution_1145"/>
      <sheetName val="[POWER5_XLA]__qmaxsolution_1154"/>
      <sheetName val="[POWER5_XLA]__qmaxsolution_1147"/>
      <sheetName val="[POWER5_XLA]__qmaxsolution_1148"/>
      <sheetName val="[POWER5_XLA]__qmaxsolution_1149"/>
      <sheetName val="[POWER5_XLA]__qmaxsolution_1150"/>
      <sheetName val="[POWER5_XLA]__qmaxsolution_1151"/>
      <sheetName val="[POWER5_XLA]__qmaxsolution_1152"/>
      <sheetName val="[POWER5_XLA]__qmaxsolution_1153"/>
      <sheetName val="[POWER5_XLA]__qmaxsolution_1158"/>
      <sheetName val="[POWER5_XLA]__qmaxsolution_1155"/>
      <sheetName val="[POWER5_XLA]__qmaxsolution_1156"/>
      <sheetName val="[POWER5_XLA]__qmaxsolution_1157"/>
      <sheetName val="[POWER5_XLA]__qmaxsolution_1159"/>
      <sheetName val="[POWER5_XLA]__qmaxsolution_1161"/>
      <sheetName val="[POWER5_XLA]__qmaxsolution_1160"/>
      <sheetName val="[POWER5_XLA]__qmaxsolution_1165"/>
      <sheetName val="[POWER5_XLA]__qmaxsolution_1162"/>
      <sheetName val="[POWER5_XLA]__qmaxsolution_1163"/>
      <sheetName val="[POWER5_XLA]__qmaxsolution_1164"/>
      <sheetName val="[POWER5_XLA]__qmaxsolution_1187"/>
      <sheetName val="[POWER5_XLA]__qmaxsolution_1168"/>
      <sheetName val="[POWER5_XLA]__qmaxsolution_1166"/>
      <sheetName val="[POWER5_XLA]__qmaxsolution_1167"/>
      <sheetName val="[POWER5_XLA]__qmaxsolution_1186"/>
      <sheetName val="[POWER5_XLA]__qmaxsolution_1169"/>
      <sheetName val="[POWER5_XLA]__qmaxsolution_1170"/>
      <sheetName val="[POWER5_XLA]__qmaxsolution_1171"/>
      <sheetName val="[POWER5_XLA]__qmaxsolution_1172"/>
      <sheetName val="[POWER5_XLA]__qmaxsolution_1173"/>
      <sheetName val="[POWER5_XLA]__qmaxsolution_1174"/>
      <sheetName val="[POWER5_XLA]__qmaxsolution_1175"/>
      <sheetName val="[POWER5_XLA]__qmaxsolution_1176"/>
      <sheetName val="[POWER5_XLA]__qmaxsolution_1177"/>
      <sheetName val="[POWER5_XLA]__qmaxsolution_1178"/>
      <sheetName val="[POWER5_XLA]__qmaxsolution_1179"/>
      <sheetName val="[POWER5_XLA]__qmaxsolution_1180"/>
      <sheetName val="[POWER5_XLA]__qmaxsolution_1181"/>
      <sheetName val="[POWER5_XLA]__qmaxsolution_1182"/>
      <sheetName val="[POWER5_XLA]__qmaxsolution_1183"/>
      <sheetName val="[POWER5_XLA]__qmaxsolution_1184"/>
      <sheetName val="[POWER5_XLA]__qmaxsolution_1185"/>
      <sheetName val="[POWER5_XLA]__qmaxsolution_1390"/>
      <sheetName val="[POWER5_XLA]__qmaxsolution_1188"/>
      <sheetName val="[POWER5_XLA]__qmaxsolution_1189"/>
      <sheetName val="[POWER5_XLA]__qmaxsolution_1190"/>
      <sheetName val="[POWER5_XLA]__qmaxsolution_1191"/>
      <sheetName val="[POWER5_XLA]__qmaxsolution_1192"/>
      <sheetName val="[POWER5_XLA]__qmaxsolution_1193"/>
      <sheetName val="[POWER5_XLA]__qmaxsolution_1194"/>
      <sheetName val="[POWER5_XLA]__qmaxsolution_1195"/>
      <sheetName val="[POWER5_XLA]__qmaxsolution_1196"/>
      <sheetName val="[POWER5_XLA]__qmaxsolution_1197"/>
      <sheetName val="[POWER5_XLA]__qmaxsolution_1198"/>
      <sheetName val="[POWER5_XLA]__qmaxsolution_1199"/>
      <sheetName val="[POWER5_XLA]__qmaxsolution_1200"/>
      <sheetName val="[POWER5_XLA]__qmaxsolution_1201"/>
      <sheetName val="[POWER5_XLA]__qmaxsolution_1202"/>
      <sheetName val="[POWER5_XLA]__qmaxsolution_1203"/>
      <sheetName val="[POWER5_XLA]__qmaxsolution_1204"/>
      <sheetName val="[POWER5_XLA]__qmaxsolution_1205"/>
      <sheetName val="[POWER5_XLA]__qmaxsolution_1206"/>
      <sheetName val="[POWER5_XLA]__qmaxsolution_1207"/>
      <sheetName val="[POWER5_XLA]__qmaxsolution_1208"/>
      <sheetName val="[POWER5_XLA]__qmaxsolution_1209"/>
      <sheetName val="[POWER5_XLA]__qmaxsolution_1210"/>
      <sheetName val="[POWER5_XLA]__qmaxsolution_1211"/>
      <sheetName val="[POWER5_XLA]__qmaxsolution_1212"/>
      <sheetName val="[POWER5_XLA]__qmaxsolution_1213"/>
      <sheetName val="[POWER5_XLA]__qmaxsolution_1214"/>
      <sheetName val="[POWER5_XLA]__qmaxsolution_1215"/>
      <sheetName val="[POWER5_XLA]__qmaxsolution_1216"/>
      <sheetName val="[POWER5_XLA]__qmaxsolution_1217"/>
      <sheetName val="[POWER5_XLA]__qmaxsolution_1218"/>
      <sheetName val="[POWER5_XLA]__qmaxsolution_1219"/>
      <sheetName val="[POWER5_XLA]__qmaxsolution_1220"/>
      <sheetName val="[POWER5_XLA]__qmaxsolution_1221"/>
      <sheetName val="[POWER5_XLA]__qmaxsolution_1222"/>
      <sheetName val="[POWER5_XLA]__qmaxsolution_1223"/>
      <sheetName val="[POWER5_XLA]__qmaxsolution_1224"/>
      <sheetName val="[POWER5_XLA]__qmaxsolution_1225"/>
      <sheetName val="[POWER5_XLA]__qmaxsolution_1226"/>
      <sheetName val="[POWER5_XLA]__qmaxsolution_1227"/>
      <sheetName val="[POWER5_XLA]__qmaxsolution_1228"/>
      <sheetName val="[POWER5_XLA]__qmaxsolution_1229"/>
      <sheetName val="[POWER5_XLA]__qmaxsolution_1230"/>
      <sheetName val="[POWER5_XLA]__qmaxsolution_1231"/>
      <sheetName val="[POWER5_XLA]__qmaxsolution_1232"/>
      <sheetName val="[POWER5_XLA]__qmaxsolution_1233"/>
      <sheetName val="[POWER5_XLA]__qmaxsolution_1234"/>
      <sheetName val="[POWER5_XLA]__qmaxsolution_1235"/>
      <sheetName val="[POWER5_XLA]__qmaxsolution_1236"/>
      <sheetName val="[POWER5_XLA]__qmaxsolution_1237"/>
      <sheetName val="[POWER5_XLA]__qmaxsolution_1238"/>
      <sheetName val="[POWER5_XLA]__qmaxsolution_1239"/>
      <sheetName val="[POWER5_XLA]__qmaxsolution_1240"/>
      <sheetName val="[POWER5_XLA]__qmaxsolution_1241"/>
      <sheetName val="[POWER5_XLA]__qmaxsolution_1242"/>
      <sheetName val="[POWER5_XLA]__qmaxsolution_1243"/>
      <sheetName val="[POWER5_XLA]__qmaxsolution_1244"/>
      <sheetName val="[POWER5_XLA]__qmaxsolution_1245"/>
      <sheetName val="[POWER5_XLA]__qmaxsolution_1246"/>
      <sheetName val="[POWER5_XLA]__qmaxsolution_1247"/>
      <sheetName val="[POWER5_XLA]__qmaxsolution_1248"/>
      <sheetName val="[POWER5_XLA]__qmaxsolution_1249"/>
      <sheetName val="[POWER5_XLA]__qmaxsolution_1250"/>
      <sheetName val="[POWER5_XLA]__qmaxsolution_1251"/>
      <sheetName val="[POWER5_XLA]__qmaxsolution_1252"/>
      <sheetName val="[POWER5_XLA]__qmaxsolution_1253"/>
      <sheetName val="[POWER5_XLA]__qmaxsolution_1254"/>
      <sheetName val="[POWER5_XLA]__qmaxsolution_1255"/>
      <sheetName val="[POWER5_XLA]__qmaxsolution_1256"/>
      <sheetName val="[POWER5_XLA]__qmaxsolution_1257"/>
      <sheetName val="[POWER5_XLA]__qmaxsolution_1258"/>
      <sheetName val="[POWER5_XLA]__qmaxsolution_1259"/>
      <sheetName val="[POWER5_XLA]__qmaxsolution_1260"/>
      <sheetName val="[POWER5_XLA]__qmaxsolution_1261"/>
      <sheetName val="[POWER5_XLA]__qmaxsolution_1262"/>
      <sheetName val="[POWER5_XLA]__qmaxsolution_1263"/>
      <sheetName val="[POWER5_XLA]__qmaxsolution_1264"/>
      <sheetName val="[POWER5_XLA]__qmaxsolution_1265"/>
      <sheetName val="[POWER5_XLA]__qmaxsolution_1266"/>
      <sheetName val="[POWER5_XLA]__qmaxsolution_1267"/>
      <sheetName val="[POWER5_XLA]__qmaxsolution_1268"/>
      <sheetName val="[POWER5_XLA]__qmaxsolution_1269"/>
      <sheetName val="[POWER5_XLA]__qmaxsolution_1270"/>
      <sheetName val="[POWER5_XLA]__qmaxsolution_1271"/>
      <sheetName val="[POWER5_XLA]__qmaxsolution_1272"/>
      <sheetName val="[POWER5_XLA]__qmaxsolution_1273"/>
      <sheetName val="[POWER5_XLA]__qmaxsolution_1274"/>
      <sheetName val="[POWER5_XLA]__qmaxsolution_1275"/>
      <sheetName val="[POWER5_XLA]__qmaxsolution_1276"/>
      <sheetName val="[POWER5_XLA]__qmaxsolution_1277"/>
      <sheetName val="[POWER5_XLA]__qmaxsolution_1278"/>
      <sheetName val="[POWER5_XLA]__qmaxsolution_1279"/>
      <sheetName val="[POWER5_XLA]__qmaxsolution_1280"/>
      <sheetName val="[POWER5_XLA]__qmaxsolution_1281"/>
      <sheetName val="[POWER5_XLA]__qmaxsolution_1282"/>
      <sheetName val="[POWER5_XLA]__qmaxsolution_1283"/>
      <sheetName val="[POWER5_XLA]__qmaxsolution_1284"/>
      <sheetName val="[POWER5_XLA]__qmaxsolution_1285"/>
      <sheetName val="[POWER5_XLA]__qmaxsolution_1286"/>
      <sheetName val="[POWER5_XLA]__qmaxsolution_1287"/>
      <sheetName val="[POWER5_XLA]__qmaxsolution_1288"/>
      <sheetName val="[POWER5_XLA]__qmaxsolution_1289"/>
      <sheetName val="[POWER5_XLA]__qmaxsolution_1290"/>
      <sheetName val="[POWER5_XLA]__qmaxsolution_1291"/>
      <sheetName val="[POWER5_XLA]__qmaxsolution_1292"/>
      <sheetName val="[POWER5_XLA]__qmaxsolution_1293"/>
      <sheetName val="[POWER5_XLA]__qmaxsolution_1294"/>
      <sheetName val="[POWER5_XLA]__qmaxsolution_1295"/>
      <sheetName val="[POWER5_XLA]__qmaxsolution_1296"/>
      <sheetName val="[POWER5_XLA]__qmaxsolution_1297"/>
      <sheetName val="[POWER5_XLA]__qmaxsolution_1298"/>
      <sheetName val="[POWER5_XLA]__qmaxsolution_1299"/>
      <sheetName val="[POWER5_XLA]__qmaxsolution_1300"/>
      <sheetName val="[POWER5_XLA]__qmaxsolution_1301"/>
      <sheetName val="[POWER5_XLA]__qmaxsolution_1302"/>
      <sheetName val="[POWER5_XLA]__qmaxsolution_1303"/>
      <sheetName val="[POWER5_XLA]__qmaxsolution_1304"/>
      <sheetName val="[POWER5_XLA]__qmaxsolution_1305"/>
      <sheetName val="[POWER5_XLA]__qmaxsolution_1306"/>
      <sheetName val="[POWER5_XLA]__qmaxsolution_1307"/>
      <sheetName val="[POWER5_XLA]__qmaxsolution_1308"/>
      <sheetName val="[POWER5_XLA]__qmaxsolution_1309"/>
      <sheetName val="[POWER5_XLA]__qmaxsolution_1310"/>
      <sheetName val="[POWER5_XLA]__qmaxsolution_1311"/>
      <sheetName val="[POWER5_XLA]__qmaxsolution_1312"/>
      <sheetName val="[POWER5_XLA]__qmaxsolution_1313"/>
      <sheetName val="[POWER5_XLA]__qmaxsolution_1314"/>
      <sheetName val="[POWER5_XLA]__qmaxsolution_1315"/>
      <sheetName val="[POWER5_XLA]__qmaxsolution_1316"/>
      <sheetName val="[POWER5_XLA]__qmaxsolution_1317"/>
      <sheetName val="[POWER5_XLA]__qmaxsolution_1318"/>
      <sheetName val="[POWER5_XLA]__qmaxsolution_1319"/>
      <sheetName val="[POWER5_XLA]__qmaxsolution_1320"/>
      <sheetName val="[POWER5_XLA]__qmaxsolution_1321"/>
      <sheetName val="[POWER5_XLA]__qmaxsolution_1322"/>
      <sheetName val="[POWER5_XLA]__qmaxsolution_1323"/>
      <sheetName val="[POWER5_XLA]__qmaxsolution_1324"/>
      <sheetName val="[POWER5_XLA]__qmaxsolution_1325"/>
      <sheetName val="[POWER5_XLA]__qmaxsolution_1326"/>
      <sheetName val="[POWER5_XLA]__qmaxsolution_1327"/>
      <sheetName val="[POWER5_XLA]__qmaxsolution_1328"/>
      <sheetName val="[POWER5_XLA]__qmaxsolution_1329"/>
      <sheetName val="[POWER5_XLA]__qmaxsolution_1330"/>
      <sheetName val="[POWER5_XLA]__qmaxsolution_1331"/>
      <sheetName val="[POWER5_XLA]__qmaxsolution_1332"/>
      <sheetName val="[POWER5_XLA]__qmaxsolution_1333"/>
      <sheetName val="[POWER5_XLA]__qmaxsolution_1334"/>
      <sheetName val="[POWER5_XLA]__qmaxsolution_1335"/>
      <sheetName val="[POWER5_XLA]__qmaxsolution_1336"/>
      <sheetName val="[POWER5_XLA]__qmaxsolution_1337"/>
      <sheetName val="[POWER5_XLA]__qmaxsolution_1338"/>
      <sheetName val="[POWER5_XLA]__qmaxsolution_1339"/>
      <sheetName val="[POWER5_XLA]__qmaxsolution_1340"/>
      <sheetName val="[POWER5_XLA]__qmaxsolution_1341"/>
      <sheetName val="[POWER5_XLA]__qmaxsolution_1342"/>
      <sheetName val="[POWER5_XLA]__qmaxsolution_1343"/>
      <sheetName val="[POWER5_XLA]__qmaxsolution_1344"/>
      <sheetName val="[POWER5_XLA]__qmaxsolution_1345"/>
      <sheetName val="[POWER5_XLA]__qmaxsolution_1346"/>
      <sheetName val="[POWER5_XLA]__qmaxsolution_1347"/>
      <sheetName val="[POWER5_XLA]__qmaxsolution_1348"/>
      <sheetName val="[POWER5_XLA]__qmaxsolution_1349"/>
      <sheetName val="[POWER5_XLA]__qmaxsolution_1350"/>
      <sheetName val="[POWER5_XLA]__qmaxsolution_1351"/>
      <sheetName val="[POWER5_XLA]__qmaxsolution_1352"/>
      <sheetName val="[POWER5_XLA]__qmaxsolution_1353"/>
      <sheetName val="[POWER5_XLA]__qmaxsolution_1354"/>
      <sheetName val="[POWER5_XLA]__qmaxsolution_1355"/>
      <sheetName val="[POWER5_XLA]__qmaxsolution_1356"/>
      <sheetName val="[POWER5_XLA]__qmaxsolution_1357"/>
      <sheetName val="[POWER5_XLA]__qmaxsolution_1358"/>
      <sheetName val="[POWER5_XLA]__qmaxsolution_1359"/>
      <sheetName val="[POWER5_XLA]__qmaxsolution_1360"/>
      <sheetName val="[POWER5_XLA]__qmaxsolution_1361"/>
      <sheetName val="[POWER5_XLA]__qmaxsolution_1362"/>
      <sheetName val="[POWER5_XLA]__qmaxsolution_1363"/>
      <sheetName val="[POWER5_XLA]__qmaxsolution_1364"/>
      <sheetName val="[POWER5_XLA]__qmaxsolution_1365"/>
      <sheetName val="[POWER5_XLA]__qmaxsolution_1366"/>
      <sheetName val="[POWER5_XLA]__qmaxsolution_1367"/>
      <sheetName val="[POWER5_XLA]__qmaxsolution_1368"/>
      <sheetName val="[POWER5_XLA]__qmaxsolution_1369"/>
      <sheetName val="[POWER5_XLA]__qmaxsolution_1370"/>
      <sheetName val="[POWER5_XLA]__qmaxsolution_1371"/>
      <sheetName val="[POWER5_XLA]__qmaxsolution_1372"/>
      <sheetName val="[POWER5_XLA]__qmaxsolution_1373"/>
      <sheetName val="[POWER5_XLA]__qmaxsolution_1374"/>
      <sheetName val="[POWER5_XLA]__qmaxsolution_1375"/>
      <sheetName val="[POWER5_XLA]__qmaxsolution_1376"/>
      <sheetName val="[POWER5_XLA]__qmaxsolution_1377"/>
      <sheetName val="[POWER5_XLA]__qmaxsolution_1378"/>
      <sheetName val="[POWER5_XLA]__qmaxsolution_1379"/>
      <sheetName val="[POWER5_XLA]__qmaxsolution_1380"/>
      <sheetName val="[POWER5_XLA]__qmaxsolution_1381"/>
      <sheetName val="[POWER5_XLA]__qmaxsolution_1382"/>
      <sheetName val="[POWER5_XLA]__qmaxsolution_1383"/>
      <sheetName val="[POWER5_XLA]__qmaxsolution_1384"/>
      <sheetName val="[POWER5_XLA]__qmaxsolution_1385"/>
      <sheetName val="[POWER5_XLA]__qmaxsolution_1386"/>
      <sheetName val="[POWER5_XLA]__qmaxsolution_1387"/>
      <sheetName val="[POWER5_XLA]__qmaxsolution_1388"/>
      <sheetName val="[POWER5_XLA]__qmaxsolution_1389"/>
      <sheetName val="[POWER5_XLA]__qmaxsolution_1391"/>
      <sheetName val="[POWER5_XLA]__qmaxsolution_1441"/>
      <sheetName val="[POWER5_XLA]__qmaxsolution_1427"/>
      <sheetName val="[POWER5_XLA]__qmaxsolution_1392"/>
      <sheetName val="[POWER5_XLA]__qmaxsolution_1393"/>
      <sheetName val="[POWER5_XLA]__qmaxsolution_1394"/>
      <sheetName val="[POWER5_XLA]__qmaxsolution_1395"/>
      <sheetName val="[POWER5_XLA]__qmaxsolution_1396"/>
      <sheetName val="[POWER5_XLA]__qmaxsolution_1397"/>
      <sheetName val="[POWER5_XLA]__qmaxsolution_1398"/>
      <sheetName val="[POWER5_XLA]__qmaxsolution_1399"/>
      <sheetName val="[POWER5_XLA]__qmaxsolution_1400"/>
      <sheetName val="[POWER5_XLA]__qmaxsolution_1401"/>
      <sheetName val="[POWER5_XLA]__qmaxsolution_1402"/>
      <sheetName val="[POWER5_XLA]__qmaxsolution_1403"/>
      <sheetName val="[POWER5_XLA]__qmaxsolution_1404"/>
      <sheetName val="[POWER5_XLA]__qmaxsolution_1405"/>
      <sheetName val="[POWER5_XLA]__qmaxsolution_1406"/>
      <sheetName val="[POWER5_XLA]__qmaxsolution_1407"/>
      <sheetName val="[POWER5_XLA]__qmaxsolution_1408"/>
      <sheetName val="[POWER5_XLA]__qmaxsolution_1409"/>
      <sheetName val="[POWER5_XLA]__qmaxsolution_1410"/>
      <sheetName val="[POWER5_XLA]__qmaxsolution_1411"/>
      <sheetName val="[POWER5_XLA]__qmaxsolution_1412"/>
      <sheetName val="[POWER5_XLA]__qmaxsolution_1413"/>
      <sheetName val="[POWER5_XLA]__qmaxsolution_1414"/>
      <sheetName val="[POWER5_XLA]__qmaxsolution_1415"/>
      <sheetName val="[POWER5_XLA]__qmaxsolution_1416"/>
      <sheetName val="[POWER5_XLA]__qmaxsolution_1417"/>
      <sheetName val="[POWER5_XLA]__qmaxsolution_1418"/>
      <sheetName val="[POWER5_XLA]__qmaxsolution_1419"/>
      <sheetName val="[POWER5_XLA]__qmaxsolution_1420"/>
      <sheetName val="[POWER5_XLA]__qmaxsolution_1421"/>
      <sheetName val="[POWER5_XLA]__qmaxsolution_1422"/>
      <sheetName val="[POWER5_XLA]__qmaxsolution_1423"/>
      <sheetName val="[POWER5_XLA]__qmaxsolution_1424"/>
      <sheetName val="[POWER5_XLA]__qmaxsolution_1425"/>
      <sheetName val="[POWER5_XLA]__qmaxsolution_1426"/>
      <sheetName val="[POWER5_XLA]__qmaxsolution_1428"/>
      <sheetName val="[POWER5_XLA]__qmaxsolution_1429"/>
      <sheetName val="[POWER5_XLA]__qmaxsolution_1430"/>
      <sheetName val="[POWER5_XLA]__qmaxsolution_1431"/>
      <sheetName val="[POWER5_XLA]__qmaxsolution_1432"/>
      <sheetName val="[POWER5_XLA]__qmaxsolution_1433"/>
      <sheetName val="[POWER5_XLA]__qmaxsolution_1434"/>
      <sheetName val="[POWER5_XLA]__qmaxsolution_1435"/>
      <sheetName val="[POWER5_XLA]__qmaxsolution_1436"/>
      <sheetName val="[POWER5_XLA]__qmaxsolution_1437"/>
      <sheetName val="[POWER5_XLA]__qmaxsolution_1438"/>
      <sheetName val="[POWER5_XLA]__qmaxsolution_1439"/>
      <sheetName val="[POWER5_XLA]__qmaxsolution_1440"/>
      <sheetName val="[POWER5_XLA]__qmaxsolution_1445"/>
      <sheetName val="[POWER5_XLA]__qmaxsolution_1442"/>
      <sheetName val="[POWER5_XLA]__qmaxsolution_1444"/>
      <sheetName val="[POWER5_XLA]__qmaxsolution_1443"/>
      <sheetName val="[POWER5_XLA]__qmaxsolution_1447"/>
      <sheetName val="[POWER5_XLA]__qmaxsolution_1446"/>
      <sheetName val="[POWER5_XLA]__qmaxsolution_1448"/>
      <sheetName val="[POWER5_XLA]__qmaxsolution_1452"/>
      <sheetName val="[POWER5_XLA]__qmaxsolution_1449"/>
      <sheetName val="[POWER5_XLA]__qmaxsolution_1450"/>
      <sheetName val="[POWER5_XLA]__qmaxsolution_1451"/>
      <sheetName val="[POWER5_XLA]__qmaxsolution_1453"/>
      <sheetName val="[POWER5_XLA]__qmaxsolution_1454"/>
      <sheetName val="[POWER5_XLA]__qmaxsolution_1472"/>
      <sheetName val="[POWER5_XLA]__qmaxsolution_1455"/>
      <sheetName val="[POWER5_XLA]__qmaxsolution_1456"/>
      <sheetName val="[POWER5_XLA]__qmaxsolution_1457"/>
      <sheetName val="[POWER5_XLA]__qmaxsolution_1458"/>
      <sheetName val="[POWER5_XLA]__qmaxsolution_1459"/>
      <sheetName val="[POWER5_XLA]__qmaxsolution_1460"/>
      <sheetName val="[POWER5_XLA]__qmaxsolution_1461"/>
      <sheetName val="[POWER5_XLA]__qmaxsolution_1462"/>
      <sheetName val="[POWER5_XLA]__qmaxsolution_1463"/>
      <sheetName val="[POWER5_XLA]__qmaxsolution_1464"/>
      <sheetName val="[POWER5_XLA]__qmaxsolution_1465"/>
      <sheetName val="[POWER5_XLA]__qmaxsolution_1466"/>
      <sheetName val="[POWER5_XLA]__qmaxsolution_1467"/>
      <sheetName val="[POWER5_XLA]__qmaxsolution_1468"/>
      <sheetName val="[POWER5_XLA]__qmaxsolution_1469"/>
      <sheetName val="[POWER5_XLA]__qmaxsolution_1470"/>
      <sheetName val="[POWER5_XLA]__qmaxsolution_1471"/>
      <sheetName val="[POWER5_XLA]__qmaxsolution_1497"/>
      <sheetName val="[POWER5_XLA]__qmaxsolution_1473"/>
      <sheetName val="[POWER5_XLA]__qmaxsolution_1481"/>
      <sheetName val="[POWER5_XLA]__qmaxsolution_1474"/>
      <sheetName val="[POWER5_XLA]__qmaxsolution_1480"/>
      <sheetName val="[POWER5_XLA]__qmaxsolution_1475"/>
      <sheetName val="[POWER5_XLA]__qmaxsolution_1479"/>
      <sheetName val="[POWER5_XLA]__qmaxsolution_1478"/>
      <sheetName val="[POWER5_XLA]__qmaxsolution_1476"/>
      <sheetName val="[POWER5_XLA]__qmaxsolution_1477"/>
      <sheetName val="[POWER5_XLA]__qmaxsolution_1487"/>
      <sheetName val="[POWER5_XLA]__qmaxsolution_1482"/>
      <sheetName val="[POWER5_XLA]__qmaxsolution_1483"/>
      <sheetName val="[POWER5_XLA]__qmaxsolution_1485"/>
      <sheetName val="[POWER5_XLA]__qmaxsolution_1484"/>
      <sheetName val="[POWER5_XLA]__qmaxsolution_1486"/>
      <sheetName val="[POWER5_XLA]__qmaxsolution_1488"/>
      <sheetName val="[POWER5_XLA]__qmaxsolution_1489"/>
      <sheetName val="[POWER5_XLA]__qmaxsolution_1492"/>
      <sheetName val="[POWER5_XLA]__qmaxsolution_1490"/>
      <sheetName val="[POWER5_XLA]__qmaxsolution_1491"/>
      <sheetName val="[POWER5_XLA]__qmaxsolution_1493"/>
      <sheetName val="[POWER5_XLA]__qmaxsolution_1495"/>
      <sheetName val="[POWER5_XLA]__qmaxsolution_1494"/>
      <sheetName val="[POWER5_XLA]__qmaxsolution_1496"/>
      <sheetName val="[POWER5_XLA]__qmaxsolution_1501"/>
      <sheetName val="[POWER5_XLA]__qmaxsolution_1498"/>
      <sheetName val="[POWER5_XLA]__qmaxsolution_1499"/>
      <sheetName val="[POWER5_XLA]__qmaxsolution_1500"/>
      <sheetName val="[POWER5_XLA]__qmaxsolution_1502"/>
      <sheetName val="[POWER5_XLA]__qmaxsolution_1503"/>
      <sheetName val="[POWER5_XLA]__qmaxsolution_1513"/>
      <sheetName val="[POWER5_XLA]__qmaxsolution_1508"/>
      <sheetName val="[POWER5_XLA]__qmaxsolution_1504"/>
      <sheetName val="[POWER5_XLA]__qmaxsolution_1505"/>
      <sheetName val="[POWER5_XLA]__qmaxsolution_1506"/>
      <sheetName val="[POWER5_XLA]__qmaxsolution_1507"/>
      <sheetName val="[POWER5_XLA]__qmaxsolution_1509"/>
      <sheetName val="[POWER5_XLA]__qmaxsolution_1510"/>
      <sheetName val="[POWER5_XLA]__qmaxsolution_1512"/>
      <sheetName val="[POWER5_XLA]__qmaxsolution_1511"/>
      <sheetName val="[POWER5_XLA]__qmaxsolution_1517"/>
      <sheetName val="[POWER5_XLA]__qmaxsolution_1514"/>
      <sheetName val="[POWER5_XLA]__qmaxsolution_1515"/>
      <sheetName val="[POWER5_XLA]__qmaxsolution_1516"/>
      <sheetName val="[POWER5_XLA]__qmaxsolution_1520"/>
      <sheetName val="[POWER5_XLA]__qmaxsolution_1518"/>
      <sheetName val="[POWER5_XLA]__qmaxsolution_1519"/>
      <sheetName val="[POWER5_XLA]__qmaxsolution_1521"/>
      <sheetName val="[POWER5_XLA]__qmaxsolution_1522"/>
      <sheetName val="[POWER5_XLA]__qmaxsolution_1525"/>
      <sheetName val="[POWER5_XLA]__qmaxsolution_1524"/>
      <sheetName val="[POWER5_XLA]__qmaxsolution_1523"/>
      <sheetName val="[POWER5_XLA]__qmaxsolution_1529"/>
      <sheetName val="[POWER5_XLA]__qmaxsolution_1526"/>
      <sheetName val="[POWER5_XLA]__qmaxsolution_1527"/>
      <sheetName val="[POWER5_XLA]__qmaxsolution_1528"/>
      <sheetName val="[POWER5_XLA]__qmaxsolution_1536"/>
      <sheetName val="[POWER5_XLA]__qmaxsolution_1535"/>
      <sheetName val="[POWER5_XLA]__qmaxsolution_1530"/>
      <sheetName val="[POWER5_XLA]__qmaxsolution_1531"/>
      <sheetName val="[POWER5_XLA]__qmaxsolution_1532"/>
      <sheetName val="[POWER5_XLA]__qmaxsolution_1533"/>
      <sheetName val="[POWER5_XLA]__qmaxsolution_1534"/>
      <sheetName val="[POWER5_XLA]__qmaxsolution_1537"/>
      <sheetName val="[POWER5_XLA]__qmaxsolution_1538"/>
      <sheetName val="[POWER5_XLA]__qmaxsolution_1539"/>
      <sheetName val="[POWER5_XLA]__qmaxsolution_1543"/>
      <sheetName val="[POWER5_XLA]__qmaxsolution_1541"/>
      <sheetName val="[POWER5_XLA]__qmaxsolution_1542"/>
      <sheetName val="[POWER5_XLA]__qmaxsolution_1547"/>
      <sheetName val="[POWER5_XLA]__qmaxsolution_1545"/>
      <sheetName val="[POWER5_XLA]__qmaxsolution_1546"/>
      <sheetName val="[POWER5_XLA]__qmaxsolution_1548"/>
      <sheetName val="[POWER5_XLA]__qmaxsolution_1549"/>
      <sheetName val="[POWER5_XLA]__qmaxsolution_1550"/>
      <sheetName val="[POWER5_XLA]__qmaxsolution_1551"/>
      <sheetName val="[POWER5_XLA]__qmaxsolution_1552"/>
      <sheetName val="[POWER5_XLA]__qmaxsolution_1553"/>
      <sheetName val="[POWER5_XLA]__qmaxsolution_1554"/>
      <sheetName val="[POWER5_XLA]__qmaxsolution_1555"/>
      <sheetName val="[POWER5_XLA]__qmaxsolution_1556"/>
      <sheetName val="[POWER5_XLA]__qmaxsolution_1558"/>
      <sheetName val="[POWER5_XLA]__qmaxsolution_1557"/>
      <sheetName val="[POWER5_XLA]__qmaxsolution_1561"/>
      <sheetName val="[POWER5_XLA]__qmaxsolution_1559"/>
      <sheetName val="[POWER5_XLA]__qmaxsolution_1560"/>
      <sheetName val="[POWER5_XLA]__qmaxsolution_1562"/>
      <sheetName val="[POWER5_XLA]__qmaxsolution_1564"/>
      <sheetName val="[POWER5_XLA]__qmaxsolution_1563"/>
      <sheetName val="[POWER5_XLA]__qmaxsolution_1565"/>
      <sheetName val="[POWER5_XLA]__qmaxsolution_1567"/>
      <sheetName val="[POWER5_XLA]__qmaxsolution_1566"/>
      <sheetName val="[POWER5_XLA]__qmaxsolution_1573"/>
      <sheetName val="[POWER5_XLA]__qmaxsolution_1568"/>
      <sheetName val="[POWER5_XLA]__qmaxsolution_1569"/>
      <sheetName val="[POWER5_XLA]__qmaxsolution_1570"/>
      <sheetName val="[POWER5_XLA]__qmaxsolution_1571"/>
      <sheetName val="[POWER5_XLA]__qmaxsolution_1572"/>
      <sheetName val="[POWER5_XLA]__qmaxsolution_1574"/>
      <sheetName val="IS_Out"/>
      <sheetName val="[POWER5.XLA]__qmaxsolution_1578"/>
      <sheetName val="[POWER5.XLA]__qmaxsolution_1576"/>
      <sheetName val="[POWER5.XLA]__qmaxsolution_1577"/>
      <sheetName val="[POWER5.XLA]__qmaxsolution_1579"/>
      <sheetName val="[POWER5.XLA]__qmaxsolution_1580"/>
      <sheetName val="[POWER5.XLA]__qmaxsolution_1581"/>
      <sheetName val="Sales Initiation (5)"/>
      <sheetName val="Timing-1 (6)"/>
      <sheetName val="Range"/>
      <sheetName val="TOC"/>
      <sheetName val="standards trend (4)"/>
      <sheetName val="ResumeCons"/>
      <sheetName val="[POWER5.XLA]__qmaxsolution_1583"/>
      <sheetName val="[POWER5.XLA]__qmaxsolution_1582"/>
      <sheetName val="[POWER5.XLA]__qmaxsolution_1584"/>
      <sheetName val="[POWER5.XLA]__qmaxsolution_1585"/>
      <sheetName val="[POWER5.XLA]__qmaxsolution_1586"/>
      <sheetName val="[POWER5.XLA]__qmaxsolution_1588"/>
      <sheetName val="[POWER5.XLA]__qmaxsolution_1587"/>
      <sheetName val="[POWER5.XLA]__qmaxsolution_1590"/>
      <sheetName val="[POWER5.XLA]__qmaxsolution_1589"/>
      <sheetName val="[POWER5.XLA]__qmaxsolution_1591"/>
      <sheetName val="[POWER5.XLA]__qmaxsolution_1594"/>
      <sheetName val="[POWER5.XLA]__qmaxsolution_1593"/>
      <sheetName val="[POWER5.XLA]__qmaxsolution_1592"/>
      <sheetName val="[POWER5.XLA]__qmaxsolution_1596"/>
      <sheetName val="[POWER5.XLA]__qmaxsolution_1595"/>
      <sheetName val="[POWER5.XLA]__qmaxsolution_1599"/>
      <sheetName val="[POWER5.XLA]__qmaxsolution_1598"/>
      <sheetName val="[POWER5.XLA]__qmaxsolution_1597"/>
      <sheetName val="__qmaxsolutions_m_1"/>
      <sheetName val="__qmaxsolutions_778"/>
      <sheetName val="__qmaxsolutions_775"/>
      <sheetName val="__qmaxsolutions_776"/>
      <sheetName val="__qmaxsolutions_777"/>
      <sheetName val="__qmaxsolutions_805"/>
      <sheetName val="__qmaxsolutions_789"/>
      <sheetName val="__qmaxsolutions_785"/>
      <sheetName val="__qmaxsolutions_779"/>
      <sheetName val="__qmaxsolutions_780"/>
      <sheetName val="__qmaxsolutions_784"/>
      <sheetName val="__qmaxsolutions_781"/>
      <sheetName val="__qmaxsolutions_782"/>
      <sheetName val="__qmaxsolutions_783"/>
      <sheetName val="__qmaxsolutions_786"/>
      <sheetName val="__qmaxsolutions_787"/>
      <sheetName val="__qmaxsolutions_788"/>
      <sheetName val="__qmaxsolutions_796"/>
      <sheetName val="__qmaxsolutions_792"/>
      <sheetName val="__qmaxsolutions_790"/>
      <sheetName val="__qmaxsolutions_791"/>
      <sheetName val="__qmaxsolutions_793"/>
      <sheetName val="__qmaxsolutions_794"/>
      <sheetName val="__qmaxsolutions_795"/>
      <sheetName val="__qmaxsolutions_797"/>
      <sheetName val="__qmaxsolutions_799"/>
      <sheetName val="__qmaxsolutions_798"/>
      <sheetName val="__qmaxsolutions_800"/>
      <sheetName val="__qmaxsolutions_803"/>
      <sheetName val="__qmaxsolutions_802"/>
      <sheetName val="__qmaxsolutions_801"/>
      <sheetName val="__qmaxsolutions_804"/>
      <sheetName val="__qmaxsolutions_807"/>
      <sheetName val="__qmaxsolutions_806"/>
      <sheetName val="__qmaxsolutions_836"/>
      <sheetName val="__qmaxsolutions_832"/>
      <sheetName val="__qmaxsolutions_830"/>
      <sheetName val="__qmaxsolutions_827"/>
      <sheetName val="__qmaxsolutions_826"/>
      <sheetName val="__qmaxsolutions_809"/>
      <sheetName val="__qmaxsolutions_808"/>
      <sheetName val="__qmaxsolutions_825"/>
      <sheetName val="__qmaxsolutions_810"/>
      <sheetName val="__qmaxsolutions_811"/>
      <sheetName val="__qmaxsolutions_813"/>
      <sheetName val="__qmaxsolutions_812"/>
      <sheetName val="__qmaxsolutions_814"/>
      <sheetName val="__qmaxsolutions_816"/>
      <sheetName val="__qmaxsolutions_815"/>
      <sheetName val="__qmaxsolutions_817"/>
      <sheetName val="__qmaxsolutions_818"/>
      <sheetName val="__qmaxsolutions_819"/>
      <sheetName val="__qmaxsolutions_820"/>
      <sheetName val="__qmaxsolutions_823"/>
      <sheetName val="__qmaxsolutions_822"/>
      <sheetName val="__qmaxsolutions_821"/>
      <sheetName val="__qmaxsolutions_824"/>
      <sheetName val="__qmaxsolutions_828"/>
      <sheetName val="__qmaxsolutions_829"/>
      <sheetName val="__qmaxsolutions_831"/>
      <sheetName val="__qmaxsolutions_833"/>
      <sheetName val="__qmaxsolutions_834"/>
      <sheetName val="__qmaxsolutions_835"/>
      <sheetName val="__qmaxsolutions_838"/>
      <sheetName val="__qmaxsolutions_m10"/>
      <sheetName val="__qmaxsolutions_m11"/>
      <sheetName val="__qmaxsolutions_m12"/>
      <sheetName val="__qmaxsolutions_m13"/>
      <sheetName val="__qmaxsolutions_m14"/>
      <sheetName val="__qmaxsolutions_m15"/>
      <sheetName val="__qmaxsolutions_m16"/>
      <sheetName val="[POWER2"/>
      <sheetName val="\Appli2"/>
      <sheetName val="//na1_2"/>
      <sheetName val="\\sfdc2"/>
      <sheetName val="\Applications\Micr2"/>
      <sheetName val="//na1_salesforce_c2"/>
      <sheetName val="\\sfdc\DFS\Applica2"/>
      <sheetName val="//qmaxsolutions-my2"/>
      <sheetName val="//qmax2"/>
      <sheetName val="\J\App2"/>
      <sheetName val="\J\Applications\Mi2"/>
      <sheetName val="[POWER51"/>
      <sheetName val="\Applic1"/>
      <sheetName val="\\sfdc\1"/>
      <sheetName val="//qmaxs1"/>
      <sheetName val="\J\Appl1"/>
      <sheetName val="_POWE15"/>
      <sheetName val="_POWE16"/>
      <sheetName val="__qmaxsolutions_837"/>
      <sheetName val="__qmaxsolutions_839"/>
      <sheetName val="__qmaxsolutions_840"/>
      <sheetName val="__qmaxsolutions_842"/>
      <sheetName val="__qmaxsolutions_841"/>
      <sheetName val="__qmaxsolutions_843"/>
      <sheetName val="__qmaxsolutions_844"/>
      <sheetName val="__qmaxsolutions_845"/>
      <sheetName val="[POWER5.XLA]__d_docs_live_n_164"/>
      <sheetName val="[POWER5.XLA]__d_docs_live_n_165"/>
      <sheetName val="[POWER5.XLA]__d_docs_live_n_166"/>
      <sheetName val="[POWER5.XLA]__soferadvisors_420"/>
      <sheetName val="[POWER5.XLA]__soferadvisors_421"/>
      <sheetName val="[POWER5.XLA]__soferadvisors_422"/>
      <sheetName val="EC 1"/>
      <sheetName val="Inc-Yr Summary Calendar"/>
      <sheetName val="Inc-Yr Summary"/>
      <sheetName val="[POWER5.XLA]__qmaxsolution_1600"/>
      <sheetName val="Exhibit II"/>
      <sheetName val="Institutional - (DAILY)"/>
      <sheetName val="IS Detail-budget run1_ Updated"/>
      <sheetName val="Home"/>
      <sheetName val="Amort Schedule"/>
      <sheetName val="Art's Review"/>
      <sheetName val="Suco"/>
      <sheetName val="Allied_BS"/>
      <sheetName val="LTC_BS"/>
      <sheetName val="RN_BS"/>
      <sheetName val="Bad Debt Charts"/>
      <sheetName val="[POWER5.XLA]__qmaxsolution_1602"/>
      <sheetName val="[POWER5.XLA]__qmaxsolution_1601"/>
      <sheetName val="[POWER5.XLA]__qmaxsolution_1603"/>
      <sheetName val="[POWER5.XLA]__qmaxsolution_1605"/>
      <sheetName val="[POWER5.XLA]__qmaxsolution_1604"/>
      <sheetName val="[POWER5.XLA]__qmaxsolution_1610"/>
      <sheetName val="[POWER5.XLA]__qmaxsolution_1606"/>
      <sheetName val="[POWER5.XLA]__qmaxsolution_1607"/>
      <sheetName val="[POWER5.XLA]__qmaxsolution_1608"/>
      <sheetName val="[POWER5.XLA]__qmaxsolution_1609"/>
      <sheetName val="[POWER5.XLA]__qmaxsolution_1611"/>
      <sheetName val="[POWER5.XLA]__qmaxsolution_1613"/>
      <sheetName val="[POWER5.XLA]__qmaxsolution_1612"/>
      <sheetName val="Spread Sheet"/>
      <sheetName val="[POWER5.XLA]__qmaxsolution_1614"/>
      <sheetName val="[POWER5.XLA]__qmaxsolution_1615"/>
      <sheetName val="Hypothèse"/>
      <sheetName val="Fuel"/>
      <sheetName val="Commercial"/>
      <sheetName val="Mkt Cap"/>
      <sheetName val="[POWER5.XLA]__d_docs_live_n_187"/>
      <sheetName val="[POWER5.XLA]__d_docs_live_n_186"/>
      <sheetName val="[POWER5.XLA]__d_docs_live_n_167"/>
      <sheetName val="[POWER5.XLA]__d_docs_live_n_168"/>
      <sheetName val="[POWER5.XLA]__d_docs_live_n_169"/>
      <sheetName val="[POWER5.XLA]__d_docs_live_n_171"/>
      <sheetName val="[POWER5.XLA]__d_docs_live_n_170"/>
      <sheetName val="[POWER5.XLA]__d_docs_live_n_182"/>
      <sheetName val="[POWER5.XLA]__d_docs_live_n_172"/>
      <sheetName val="[POWER5.XLA]__d_docs_live_n_173"/>
      <sheetName val="[POWER5.XLA]__d_docs_live_n_174"/>
      <sheetName val="[POWER5.XLA]__d_docs_live_n_177"/>
      <sheetName val="[POWER5.XLA]__d_docs_live_n_175"/>
      <sheetName val="[POWER5.XLA]__d_docs_live_n_176"/>
      <sheetName val="[POWER5.XLA]__d_docs_live_n_178"/>
      <sheetName val="[POWER5.XLA]__d_docs_live_n_179"/>
      <sheetName val="[POWER5.XLA]__d_docs_live_n_180"/>
      <sheetName val="[POWER5.XLA]__d_docs_live_n_181"/>
      <sheetName val="[POWER5.XLA]__d_docs_live_n_183"/>
      <sheetName val="[POWER5.XLA]__d_docs_live_n_184"/>
      <sheetName val="[POWER5.XLA]__d_docs_live_n_185"/>
      <sheetName val="[POWER5.XLA]__d_docs_live_n_188"/>
      <sheetName val="[POWER5.XLA]__d_docs_live_n_189"/>
      <sheetName val="[POWER5.XLA]__d_docs_live_n_190"/>
      <sheetName val="Sum 04-06 CSIS"/>
      <sheetName val="[POWER5.XLA]__qmaxsolution_1616"/>
      <sheetName val="[POWER5.XLA]__qmaxsolution_1617"/>
      <sheetName val="[POWER5.XLA]__qmaxsolution_1618"/>
      <sheetName val="[POWER5.XLA]__qmaxsolution_1619"/>
      <sheetName val="Ext Sales  (2)"/>
      <sheetName val="[POWER5.XLA]__qmaxsolution_1620"/>
      <sheetName val="[POWER5.XLA]__qmaxsolution_1623"/>
      <sheetName val="[POWER5.XLA]__qmaxsolution_1621"/>
      <sheetName val="[POWER5.XLA]__qmaxsolution_1622"/>
      <sheetName val="[POWER5.XLA]__qmaxsolution_1625"/>
      <sheetName val="Agenda"/>
      <sheetName val="President Perspective"/>
      <sheetName val="KPIs"/>
      <sheetName val="Income Statement &amp; Capex"/>
      <sheetName val="Future Income Statement &amp; Capex"/>
      <sheetName val="Product Segment IS"/>
      <sheetName val="Balance Sheet"/>
      <sheetName val="Cash Flow Statement"/>
      <sheetName val="Capex Summary"/>
      <sheetName val="Covenants"/>
      <sheetName val="Rolling IS &amp; Capex"/>
      <sheetName val="Budget IS &amp; Capex"/>
      <sheetName val="Rolling Segment GP"/>
      <sheetName val="Rolling Balance Sheet"/>
      <sheetName val="Rolling Cash Flow Statement"/>
      <sheetName val="Source Material"/>
      <sheetName val="PL1"/>
      <sheetName val="Lead QE"/>
      <sheetName val="BS1"/>
      <sheetName val="표지"/>
      <sheetName val="목차"/>
      <sheetName val="담당자"/>
      <sheetName val="간지특1)"/>
      <sheetName val="PL"/>
      <sheetName val="이익잉여금"/>
      <sheetName val="간지특2"/>
      <sheetName val="간지1"/>
      <sheetName val="현금및현금등가물"/>
      <sheetName val="단기금융상품"/>
      <sheetName val="유가증권"/>
      <sheetName val="외상매출금"/>
      <sheetName val="단기,종업원단기"/>
      <sheetName val="미수금"/>
      <sheetName val="미수수익_선급비용"/>
      <sheetName val="보증예치금"/>
      <sheetName val="재고자산"/>
      <sheetName val=",대손충당"/>
      <sheetName val="미착명세서"/>
      <sheetName val="간지2"/>
      <sheetName val="장기성예금"/>
      <sheetName val="투자유가,종업원장기"/>
      <sheetName val="고정성보증금"/>
      <sheetName val="유형고정자산"/>
      <sheetName val="건설가계정"/>
      <sheetName val="무형고정자산"/>
      <sheetName val="간지5"/>
      <sheetName val="매입채무"/>
      <sheetName val="미지급금"/>
      <sheetName val="선수금"/>
      <sheetName val="예수금"/>
      <sheetName val="미지급비용"/>
      <sheetName val="미지급법인세_유동성장기"/>
      <sheetName val="예수보증금"/>
      <sheetName val="간지6"/>
      <sheetName val="사채"/>
      <sheetName val="장기차입"/>
      <sheetName val="퇴충금"/>
      <sheetName val="임대보증금 "/>
      <sheetName val="이연법인세대"/>
      <sheetName val="판매보증충당금"/>
      <sheetName val="간지7"/>
      <sheetName val="자본금"/>
      <sheetName val="잉여금"/>
      <sheetName val="간지9"/>
      <sheetName val="제품별매출액매출원가명세서"/>
      <sheetName val="상품매출액,매출원가"/>
      <sheetName val="상품수불(결산자료)"/>
      <sheetName val="매출액.매출원가"/>
      <sheetName val="제조원가"/>
      <sheetName val="제품수불"/>
      <sheetName val="상품수불"/>
      <sheetName val="재료수불"/>
      <sheetName val="법인세등"/>
      <sheetName val="감가상각비"/>
      <sheetName val="간지10"/>
      <sheetName val="Revenue Model Feed"/>
      <sheetName val="NOTE 4. OCA"/>
      <sheetName val="인건비"/>
      <sheetName val="QTRLY"/>
      <sheetName val="CIS"/>
      <sheetName val="summ"/>
      <sheetName val="TRIAL BAL"/>
      <sheetName val="Customers2"/>
      <sheetName val="Items"/>
      <sheetName val="DCI 2"/>
      <sheetName val="PMG 2"/>
      <sheetName val="DCI Summary"/>
      <sheetName val="DMI Summary"/>
      <sheetName val="PMG Summary"/>
      <sheetName val="Sub Debt Summary"/>
      <sheetName val="SVB LOC Summary"/>
      <sheetName val="SVB Term Summary"/>
      <sheetName val="MergeCo Cap Table"/>
      <sheetName val="SALE&amp;COST"/>
      <sheetName val="13d"/>
      <sheetName val="Credit Calc"/>
      <sheetName val="INC CAR"/>
      <sheetName val="Non-Statistical Sampling"/>
      <sheetName val="AR Drop Downs"/>
      <sheetName val="DropDown"/>
      <sheetName val="Inv Summ"/>
      <sheetName val="10 K CASH FLOW DETAIL BY CO"/>
      <sheetName val="ENAITINERE"/>
      <sheetName val="Derivatives_EI"/>
      <sheetName val="CIRC"/>
      <sheetName val="Scenario Manager"/>
      <sheetName val="Client Ops"/>
      <sheetName val="Forecasted"/>
      <sheetName val="NonRev"/>
      <sheetName val="Payroll"/>
      <sheetName val="RentRevenue"/>
      <sheetName val="[POWER5.XLA]__qmaxsolution_1624"/>
      <sheetName val="B3_Sensitivity Analysis"/>
      <sheetName val="[POWER5.XLA]__qmaxsolution_1626"/>
      <sheetName val="[POWER5.XLA]__soferadvisors_423"/>
      <sheetName val="[POWER5.XLA]__soferadvisors_426"/>
      <sheetName val="[POWER5.XLA]__soferadvisors_424"/>
      <sheetName val="[POWER5.XLA]__soferadvisors_425"/>
      <sheetName val="[POWER5.XLA]__soferadvisors_427"/>
      <sheetName val="[POWER5.XLA]__soferadvisors_430"/>
      <sheetName val="[POWER5.XLA]__soferadvisors_428"/>
      <sheetName val="[POWER5.XLA]__soferadvisors_429"/>
      <sheetName val="[POWER5.XLA]__soferadvisors_431"/>
      <sheetName val="IS_Detail-budget_run1__Updated"/>
      <sheetName val="[POWER5.XLA]__qmaxsolution_1627"/>
      <sheetName val="[POWER5.XLA]__qmaxsolution_1628"/>
      <sheetName val="[POWER5.XLA]__qmaxsolution_1629"/>
      <sheetName val="[POWER5.XLA]__qmaxsolution_1633"/>
      <sheetName val="[POWER5.XLA]__qmaxsolution_1631"/>
      <sheetName val="[POWER5.XLA]__qmaxsolution_1630"/>
      <sheetName val="[POWER5.XLA]__qmaxsolution_1632"/>
      <sheetName val="[POWER5.XLA]__qmaxsolution_1635"/>
      <sheetName val="[POWER5.XLA]__qmaxsolution_1634"/>
      <sheetName val="[POWER5.XLA]__qmaxsolution_1637"/>
      <sheetName val="[POWER5.XLA]__qmaxsolution_1636"/>
      <sheetName val="[POWER5.XLA]__qmaxsolution_1638"/>
      <sheetName val="[POWER5.XLA]__qmaxsolution_1639"/>
      <sheetName val="[POWER5.XLA]__qmaxsolution_1641"/>
      <sheetName val="[POWER5.XLA]__qmaxsolution_1640"/>
      <sheetName val="[POWER5.XLA]__qmaxsolution_1642"/>
      <sheetName val="[POWER5.XLA]__qmaxsolution_1643"/>
      <sheetName val="[POWER5.XLA]__qmaxsolution_1644"/>
      <sheetName val="[POWER5.XLA]__qmaxsolution_1645"/>
      <sheetName val="[POWER5.XLA]__qmaxsolution_1646"/>
      <sheetName val="[POWER5.XLA]__qmaxsolution_1647"/>
      <sheetName val="[POWER5.XLA]__qmaxsolution_1648"/>
      <sheetName val="[POWER5.XLA]__d_docs_live_n_210"/>
      <sheetName val="[POWER5.XLA]__d_docs_live_n_193"/>
      <sheetName val="[POWER5.XLA]__d_docs_live_n_191"/>
      <sheetName val="[POWER5.XLA]__d_docs_live_n_192"/>
      <sheetName val="[POWER5.XLA]__d_docs_live_n_194"/>
      <sheetName val="[POWER5.XLA]__d_docs_live_n_195"/>
      <sheetName val="[POWER5.XLA]__d_docs_live_n_196"/>
      <sheetName val="[POWER5.XLA]__d_docs_live_n_203"/>
      <sheetName val="[POWER5.XLA]__d_docs_live_n_200"/>
      <sheetName val="[POWER5.XLA]__d_docs_live_n_197"/>
      <sheetName val="[POWER5.XLA]__d_docs_live_n_198"/>
      <sheetName val="[POWER5.XLA]__d_docs_live_n_199"/>
      <sheetName val="[POWER5.XLA]__d_docs_live_n_201"/>
      <sheetName val="[POWER5.XLA]__d_docs_live_n_202"/>
      <sheetName val="[POWER5.XLA]__d_docs_live_n_207"/>
      <sheetName val="[POWER5.XLA]__d_docs_live_n_205"/>
      <sheetName val="[POWER5.XLA]__d_docs_live_n_204"/>
      <sheetName val="[POWER5.XLA]__d_docs_live_n_206"/>
      <sheetName val="[POWER5.XLA]__d_docs_live_n_209"/>
      <sheetName val="[POWER5.XLA]__d_docs_live_n_208"/>
      <sheetName val="FY12 Revenue Detail"/>
      <sheetName val="[POWER5.XLA]__qmaxsolution_1649"/>
      <sheetName val="[POWER5.XLA]__qmaxsolution_1651"/>
      <sheetName val="[POWER5.XLA]__qmaxsolution_1650"/>
    </sheetNames>
    <definedNames>
      <definedName name="ChangeRange"/>
      <definedName name="ContentsHelp"/>
      <definedName name="CreateTable"/>
      <definedName name="DeleteRange"/>
      <definedName name="DeleteTable"/>
      <definedName name="MerrillPrintIt"/>
      <definedName name="NewRange"/>
      <definedName name="RedefinePrintTableRange" sheetId="0"/>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sheetData sheetId="187" refreshError="1"/>
      <sheetData sheetId="188" refreshError="1"/>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sheetData sheetId="201"/>
      <sheetData sheetId="202"/>
      <sheetData sheetId="203" refreshError="1"/>
      <sheetData sheetId="204" refreshError="1"/>
      <sheetData sheetId="205" refreshError="1"/>
      <sheetData sheetId="206" refreshError="1"/>
      <sheetData sheetId="207" refreshError="1"/>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row r="12">
          <cell r="I12" t="str">
            <v>Altegrity, Inc.</v>
          </cell>
        </row>
      </sheetData>
      <sheetData sheetId="263"/>
      <sheetData sheetId="264"/>
      <sheetData sheetId="265"/>
      <sheetData sheetId="266"/>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refreshError="1"/>
      <sheetData sheetId="294" refreshError="1"/>
      <sheetData sheetId="295" refreshError="1"/>
      <sheetData sheetId="296" refreshError="1"/>
      <sheetData sheetId="297" refreshError="1"/>
      <sheetData sheetId="298" refreshError="1"/>
      <sheetData sheetId="299"/>
      <sheetData sheetId="300"/>
      <sheetData sheetId="301"/>
      <sheetData sheetId="302"/>
      <sheetData sheetId="303"/>
      <sheetData sheetId="304"/>
      <sheetData sheetId="305"/>
      <sheetData sheetId="306"/>
      <sheetData sheetId="307"/>
      <sheetData sheetId="308"/>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ow r="12">
          <cell r="I12" t="str">
            <v>Altegrity, Inc.</v>
          </cell>
        </row>
      </sheetData>
      <sheetData sheetId="348">
        <row r="12">
          <cell r="I12" t="str">
            <v>Altegrity, Inc.</v>
          </cell>
        </row>
      </sheetData>
      <sheetData sheetId="349">
        <row r="12">
          <cell r="I12" t="str">
            <v>Altegrity, Inc.</v>
          </cell>
        </row>
      </sheetData>
      <sheetData sheetId="350"/>
      <sheetData sheetId="351">
        <row r="12">
          <cell r="I12" t="str">
            <v>Altegrity, Inc.</v>
          </cell>
        </row>
      </sheetData>
      <sheetData sheetId="352" refreshError="1"/>
      <sheetData sheetId="353">
        <row r="12">
          <cell r="I12" t="str">
            <v>Altegrity, Inc.</v>
          </cell>
        </row>
      </sheetData>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ow r="12">
          <cell r="I12" t="str">
            <v>Altegrity, Inc.</v>
          </cell>
        </row>
      </sheetData>
      <sheetData sheetId="400">
        <row r="12">
          <cell r="I12" t="str">
            <v>Altegrity, Inc.</v>
          </cell>
        </row>
      </sheetData>
      <sheetData sheetId="401">
        <row r="12">
          <cell r="I12" t="str">
            <v>Altegrity, Inc.</v>
          </cell>
        </row>
      </sheetData>
      <sheetData sheetId="402">
        <row r="12">
          <cell r="I12" t="str">
            <v>Altegrity, Inc.</v>
          </cell>
        </row>
      </sheetData>
      <sheetData sheetId="403">
        <row r="12">
          <cell r="I12" t="str">
            <v>Altegrity, Inc.</v>
          </cell>
        </row>
      </sheetData>
      <sheetData sheetId="404">
        <row r="12">
          <cell r="I12" t="str">
            <v>Altegrity, Inc.</v>
          </cell>
        </row>
      </sheetData>
      <sheetData sheetId="405">
        <row r="12">
          <cell r="I12" t="str">
            <v>Altegrity, Inc.</v>
          </cell>
        </row>
      </sheetData>
      <sheetData sheetId="406">
        <row r="12">
          <cell r="I12" t="str">
            <v>Altegrity, Inc.</v>
          </cell>
        </row>
      </sheetData>
      <sheetData sheetId="407">
        <row r="12">
          <cell r="I12" t="str">
            <v>Altegrity, Inc.</v>
          </cell>
        </row>
      </sheetData>
      <sheetData sheetId="408">
        <row r="12">
          <cell r="I12" t="str">
            <v>Altegrity, Inc.</v>
          </cell>
        </row>
      </sheetData>
      <sheetData sheetId="409">
        <row r="12">
          <cell r="I12" t="str">
            <v>Altegrity, Inc.</v>
          </cell>
        </row>
      </sheetData>
      <sheetData sheetId="410">
        <row r="12">
          <cell r="I12" t="str">
            <v>Altegrity, Inc.</v>
          </cell>
        </row>
      </sheetData>
      <sheetData sheetId="411">
        <row r="12">
          <cell r="I12" t="str">
            <v>Altegrity, Inc.</v>
          </cell>
        </row>
      </sheetData>
      <sheetData sheetId="412">
        <row r="12">
          <cell r="I12" t="str">
            <v>Altegrity, Inc.</v>
          </cell>
        </row>
      </sheetData>
      <sheetData sheetId="413">
        <row r="12">
          <cell r="I12" t="str">
            <v>Altegrity, Inc.</v>
          </cell>
        </row>
      </sheetData>
      <sheetData sheetId="414">
        <row r="12">
          <cell r="I12" t="str">
            <v>Altegrity, Inc.</v>
          </cell>
        </row>
      </sheetData>
      <sheetData sheetId="415">
        <row r="12">
          <cell r="I12" t="str">
            <v>Altegrity, Inc.</v>
          </cell>
        </row>
      </sheetData>
      <sheetData sheetId="416">
        <row r="12">
          <cell r="I12" t="str">
            <v>Altegrity, Inc.</v>
          </cell>
        </row>
      </sheetData>
      <sheetData sheetId="417">
        <row r="12">
          <cell r="I12" t="str">
            <v>Altegrity, Inc.</v>
          </cell>
        </row>
      </sheetData>
      <sheetData sheetId="418">
        <row r="12">
          <cell r="I12" t="str">
            <v>Altegrity, Inc.</v>
          </cell>
        </row>
      </sheetData>
      <sheetData sheetId="419">
        <row r="12">
          <cell r="I12" t="str">
            <v>Altegrity, Inc.</v>
          </cell>
        </row>
      </sheetData>
      <sheetData sheetId="420">
        <row r="12">
          <cell r="I12" t="str">
            <v>Altegrity, Inc.</v>
          </cell>
        </row>
      </sheetData>
      <sheetData sheetId="421">
        <row r="12">
          <cell r="I12" t="str">
            <v>Altegrity, Inc.</v>
          </cell>
        </row>
      </sheetData>
      <sheetData sheetId="422">
        <row r="12">
          <cell r="I12" t="str">
            <v>Altegrity, Inc.</v>
          </cell>
        </row>
      </sheetData>
      <sheetData sheetId="423">
        <row r="12">
          <cell r="I12" t="str">
            <v>Altegrity, Inc.</v>
          </cell>
        </row>
      </sheetData>
      <sheetData sheetId="424">
        <row r="12">
          <cell r="I12" t="str">
            <v>Altegrity, Inc.</v>
          </cell>
        </row>
      </sheetData>
      <sheetData sheetId="425">
        <row r="12">
          <cell r="I12" t="str">
            <v>Altegrity, Inc.</v>
          </cell>
        </row>
      </sheetData>
      <sheetData sheetId="426">
        <row r="12">
          <cell r="I12" t="str">
            <v>Altegrity, Inc.</v>
          </cell>
        </row>
      </sheetData>
      <sheetData sheetId="427">
        <row r="12">
          <cell r="I12" t="str">
            <v>Altegrity, Inc.</v>
          </cell>
        </row>
      </sheetData>
      <sheetData sheetId="428">
        <row r="12">
          <cell r="I12" t="str">
            <v>Altegrity, Inc.</v>
          </cell>
        </row>
      </sheetData>
      <sheetData sheetId="429">
        <row r="12">
          <cell r="I12" t="str">
            <v>Altegrity, Inc.</v>
          </cell>
        </row>
      </sheetData>
      <sheetData sheetId="430">
        <row r="12">
          <cell r="I12" t="str">
            <v>Altegrity, Inc.</v>
          </cell>
        </row>
      </sheetData>
      <sheetData sheetId="431">
        <row r="12">
          <cell r="I12" t="str">
            <v>Altegrity, Inc.</v>
          </cell>
        </row>
      </sheetData>
      <sheetData sheetId="432">
        <row r="12">
          <cell r="I12" t="str">
            <v>Altegrity, Inc.</v>
          </cell>
        </row>
      </sheetData>
      <sheetData sheetId="433" refreshError="1"/>
      <sheetData sheetId="434" refreshError="1"/>
      <sheetData sheetId="435" refreshError="1"/>
      <sheetData sheetId="436" refreshError="1"/>
      <sheetData sheetId="437">
        <row r="12">
          <cell r="I12" t="str">
            <v>Altegrity, Inc.</v>
          </cell>
        </row>
      </sheetData>
      <sheetData sheetId="438">
        <row r="12">
          <cell r="I12" t="str">
            <v>Altegrity, Inc.</v>
          </cell>
        </row>
      </sheetData>
      <sheetData sheetId="439">
        <row r="12">
          <cell r="I12" t="str">
            <v>Altegrity, Inc.</v>
          </cell>
        </row>
      </sheetData>
      <sheetData sheetId="440">
        <row r="12">
          <cell r="I12" t="str">
            <v>Altegrity, Inc.</v>
          </cell>
        </row>
      </sheetData>
      <sheetData sheetId="441">
        <row r="12">
          <cell r="I12" t="str">
            <v>Altegrity, Inc.</v>
          </cell>
        </row>
      </sheetData>
      <sheetData sheetId="442">
        <row r="12">
          <cell r="I12" t="str">
            <v>Altegrity, Inc.</v>
          </cell>
        </row>
      </sheetData>
      <sheetData sheetId="443">
        <row r="12">
          <cell r="I12" t="str">
            <v>Altegrity, Inc.</v>
          </cell>
        </row>
      </sheetData>
      <sheetData sheetId="444">
        <row r="12">
          <cell r="I12" t="str">
            <v>Altegrity, Inc.</v>
          </cell>
        </row>
      </sheetData>
      <sheetData sheetId="445">
        <row r="12">
          <cell r="I12" t="str">
            <v>Altegrity, Inc.</v>
          </cell>
        </row>
      </sheetData>
      <sheetData sheetId="446">
        <row r="12">
          <cell r="I12" t="str">
            <v>Altegrity, Inc.</v>
          </cell>
        </row>
      </sheetData>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ow r="12">
          <cell r="I12" t="str">
            <v>Altegrity, Inc.</v>
          </cell>
        </row>
      </sheetData>
      <sheetData sheetId="473">
        <row r="12">
          <cell r="I12" t="str">
            <v>Altegrity, Inc.</v>
          </cell>
        </row>
      </sheetData>
      <sheetData sheetId="474">
        <row r="12">
          <cell r="I12" t="str">
            <v>Altegrity, Inc.</v>
          </cell>
        </row>
      </sheetData>
      <sheetData sheetId="475">
        <row r="12">
          <cell r="I12" t="str">
            <v>Altegrity, Inc.</v>
          </cell>
        </row>
      </sheetData>
      <sheetData sheetId="476">
        <row r="12">
          <cell r="I12" t="str">
            <v>Altegrity, Inc.</v>
          </cell>
        </row>
      </sheetData>
      <sheetData sheetId="477">
        <row r="12">
          <cell r="I12" t="str">
            <v>Altegrity, Inc.</v>
          </cell>
        </row>
      </sheetData>
      <sheetData sheetId="478">
        <row r="12">
          <cell r="I12" t="str">
            <v>Altegrity, Inc.</v>
          </cell>
        </row>
      </sheetData>
      <sheetData sheetId="479">
        <row r="12">
          <cell r="I12" t="str">
            <v>Altegrity, Inc.</v>
          </cell>
        </row>
      </sheetData>
      <sheetData sheetId="480">
        <row r="12">
          <cell r="I12" t="str">
            <v>Altegrity, Inc.</v>
          </cell>
        </row>
      </sheetData>
      <sheetData sheetId="481">
        <row r="12">
          <cell r="I12" t="str">
            <v>Altegrity, Inc.</v>
          </cell>
        </row>
      </sheetData>
      <sheetData sheetId="482">
        <row r="12">
          <cell r="I12" t="str">
            <v>Altegrity, Inc.</v>
          </cell>
        </row>
      </sheetData>
      <sheetData sheetId="483">
        <row r="12">
          <cell r="I12" t="str">
            <v>Altegrity, Inc.</v>
          </cell>
        </row>
      </sheetData>
      <sheetData sheetId="484">
        <row r="12">
          <cell r="I12" t="str">
            <v>Altegrity, Inc.</v>
          </cell>
        </row>
      </sheetData>
      <sheetData sheetId="485">
        <row r="12">
          <cell r="I12" t="str">
            <v>Altegrity, Inc.</v>
          </cell>
        </row>
      </sheetData>
      <sheetData sheetId="486">
        <row r="12">
          <cell r="I12" t="str">
            <v>Altegrity, Inc.</v>
          </cell>
        </row>
      </sheetData>
      <sheetData sheetId="487">
        <row r="12">
          <cell r="I12" t="str">
            <v>Altegrity, Inc.</v>
          </cell>
        </row>
      </sheetData>
      <sheetData sheetId="488">
        <row r="12">
          <cell r="I12" t="str">
            <v>Altegrity, Inc.</v>
          </cell>
        </row>
      </sheetData>
      <sheetData sheetId="489">
        <row r="12">
          <cell r="I12" t="str">
            <v>Altegrity, Inc.</v>
          </cell>
        </row>
      </sheetData>
      <sheetData sheetId="490">
        <row r="12">
          <cell r="I12" t="str">
            <v>Altegrity, Inc.</v>
          </cell>
        </row>
      </sheetData>
      <sheetData sheetId="491">
        <row r="12">
          <cell r="I12" t="str">
            <v>Altegrity, Inc.</v>
          </cell>
        </row>
      </sheetData>
      <sheetData sheetId="492">
        <row r="12">
          <cell r="I12" t="str">
            <v>Altegrity, Inc.</v>
          </cell>
        </row>
      </sheetData>
      <sheetData sheetId="493">
        <row r="12">
          <cell r="I12" t="str">
            <v>Altegrity, Inc.</v>
          </cell>
        </row>
      </sheetData>
      <sheetData sheetId="494">
        <row r="12">
          <cell r="I12" t="str">
            <v>Altegrity, Inc.</v>
          </cell>
        </row>
      </sheetData>
      <sheetData sheetId="495">
        <row r="12">
          <cell r="I12" t="str">
            <v>Altegrity, Inc.</v>
          </cell>
        </row>
      </sheetData>
      <sheetData sheetId="496">
        <row r="12">
          <cell r="I12" t="str">
            <v>Altegrity, Inc.</v>
          </cell>
        </row>
      </sheetData>
      <sheetData sheetId="497">
        <row r="12">
          <cell r="I12" t="str">
            <v>Altegrity, Inc.</v>
          </cell>
        </row>
      </sheetData>
      <sheetData sheetId="498">
        <row r="12">
          <cell r="I12" t="str">
            <v>Altegrity, Inc.</v>
          </cell>
        </row>
      </sheetData>
      <sheetData sheetId="499">
        <row r="12">
          <cell r="I12" t="str">
            <v>Altegrity, Inc.</v>
          </cell>
        </row>
      </sheetData>
      <sheetData sheetId="500">
        <row r="12">
          <cell r="I12" t="str">
            <v>Altegrity, Inc.</v>
          </cell>
        </row>
      </sheetData>
      <sheetData sheetId="501">
        <row r="12">
          <cell r="I12" t="str">
            <v>Altegrity, Inc.</v>
          </cell>
        </row>
      </sheetData>
      <sheetData sheetId="502">
        <row r="12">
          <cell r="I12" t="str">
            <v>Altegrity, Inc.</v>
          </cell>
        </row>
      </sheetData>
      <sheetData sheetId="503">
        <row r="12">
          <cell r="I12" t="str">
            <v>Altegrity, Inc.</v>
          </cell>
        </row>
      </sheetData>
      <sheetData sheetId="504">
        <row r="12">
          <cell r="I12" t="str">
            <v>Altegrity, Inc.</v>
          </cell>
        </row>
      </sheetData>
      <sheetData sheetId="505">
        <row r="12">
          <cell r="I12" t="str">
            <v>Altegrity, Inc.</v>
          </cell>
        </row>
      </sheetData>
      <sheetData sheetId="506">
        <row r="12">
          <cell r="I12" t="str">
            <v>Altegrity, Inc.</v>
          </cell>
        </row>
      </sheetData>
      <sheetData sheetId="507">
        <row r="12">
          <cell r="I12" t="str">
            <v>Altegrity, Inc.</v>
          </cell>
        </row>
      </sheetData>
      <sheetData sheetId="508">
        <row r="12">
          <cell r="I12" t="str">
            <v>Altegrity, Inc.</v>
          </cell>
        </row>
      </sheetData>
      <sheetData sheetId="509">
        <row r="12">
          <cell r="I12" t="str">
            <v>Altegrity, Inc.</v>
          </cell>
        </row>
      </sheetData>
      <sheetData sheetId="510">
        <row r="12">
          <cell r="I12" t="str">
            <v>Altegrity, Inc.</v>
          </cell>
        </row>
      </sheetData>
      <sheetData sheetId="511">
        <row r="12">
          <cell r="I12" t="str">
            <v>Altegrity, Inc.</v>
          </cell>
        </row>
      </sheetData>
      <sheetData sheetId="512">
        <row r="12">
          <cell r="I12" t="str">
            <v>Altegrity, Inc.</v>
          </cell>
        </row>
      </sheetData>
      <sheetData sheetId="513">
        <row r="12">
          <cell r="I12" t="str">
            <v>Altegrity, Inc.</v>
          </cell>
        </row>
      </sheetData>
      <sheetData sheetId="514">
        <row r="12">
          <cell r="I12" t="str">
            <v>Altegrity, Inc.</v>
          </cell>
        </row>
      </sheetData>
      <sheetData sheetId="515">
        <row r="12">
          <cell r="I12" t="str">
            <v>Altegrity, Inc.</v>
          </cell>
        </row>
      </sheetData>
      <sheetData sheetId="516">
        <row r="12">
          <cell r="I12" t="str">
            <v>Altegrity, Inc.</v>
          </cell>
        </row>
      </sheetData>
      <sheetData sheetId="517">
        <row r="12">
          <cell r="I12" t="str">
            <v>Altegrity, Inc.</v>
          </cell>
        </row>
      </sheetData>
      <sheetData sheetId="518">
        <row r="12">
          <cell r="I12" t="str">
            <v>Altegrity, Inc.</v>
          </cell>
        </row>
      </sheetData>
      <sheetData sheetId="519">
        <row r="12">
          <cell r="I12" t="str">
            <v>Altegrity, Inc.</v>
          </cell>
        </row>
      </sheetData>
      <sheetData sheetId="520">
        <row r="12">
          <cell r="I12" t="str">
            <v>Altegrity, Inc.</v>
          </cell>
        </row>
      </sheetData>
      <sheetData sheetId="521">
        <row r="12">
          <cell r="I12" t="str">
            <v>Altegrity, Inc.</v>
          </cell>
        </row>
      </sheetData>
      <sheetData sheetId="522">
        <row r="12">
          <cell r="I12" t="str">
            <v>Altegrity, Inc.</v>
          </cell>
        </row>
      </sheetData>
      <sheetData sheetId="523">
        <row r="12">
          <cell r="I12" t="str">
            <v>Altegrity, Inc.</v>
          </cell>
        </row>
      </sheetData>
      <sheetData sheetId="524">
        <row r="12">
          <cell r="I12" t="str">
            <v>Altegrity, Inc.</v>
          </cell>
        </row>
      </sheetData>
      <sheetData sheetId="525">
        <row r="12">
          <cell r="I12" t="str">
            <v>Altegrity, Inc.</v>
          </cell>
        </row>
      </sheetData>
      <sheetData sheetId="526">
        <row r="12">
          <cell r="I12" t="str">
            <v>Altegrity, Inc.</v>
          </cell>
        </row>
      </sheetData>
      <sheetData sheetId="527">
        <row r="12">
          <cell r="I12" t="str">
            <v>Altegrity, Inc.</v>
          </cell>
        </row>
      </sheetData>
      <sheetData sheetId="528">
        <row r="12">
          <cell r="I12" t="str">
            <v>Altegrity, Inc.</v>
          </cell>
        </row>
      </sheetData>
      <sheetData sheetId="529">
        <row r="12">
          <cell r="I12" t="str">
            <v>Altegrity, Inc.</v>
          </cell>
        </row>
      </sheetData>
      <sheetData sheetId="530">
        <row r="12">
          <cell r="I12" t="str">
            <v>Altegrity, Inc.</v>
          </cell>
        </row>
      </sheetData>
      <sheetData sheetId="531">
        <row r="12">
          <cell r="I12" t="str">
            <v>Altegrity, Inc.</v>
          </cell>
        </row>
      </sheetData>
      <sheetData sheetId="532">
        <row r="12">
          <cell r="I12" t="str">
            <v>Altegrity, Inc.</v>
          </cell>
        </row>
      </sheetData>
      <sheetData sheetId="533">
        <row r="12">
          <cell r="I12" t="str">
            <v>Altegrity, Inc.</v>
          </cell>
        </row>
      </sheetData>
      <sheetData sheetId="534">
        <row r="12">
          <cell r="I12" t="str">
            <v>Altegrity, Inc.</v>
          </cell>
        </row>
      </sheetData>
      <sheetData sheetId="535">
        <row r="12">
          <cell r="I12" t="str">
            <v>Altegrity, Inc.</v>
          </cell>
        </row>
      </sheetData>
      <sheetData sheetId="536">
        <row r="12">
          <cell r="I12" t="str">
            <v>Altegrity, Inc.</v>
          </cell>
        </row>
      </sheetData>
      <sheetData sheetId="537"/>
      <sheetData sheetId="538">
        <row r="12">
          <cell r="I12" t="str">
            <v>Altegrity, Inc.</v>
          </cell>
        </row>
      </sheetData>
      <sheetData sheetId="539"/>
      <sheetData sheetId="540">
        <row r="12">
          <cell r="I12" t="str">
            <v>Altegrity, Inc.</v>
          </cell>
        </row>
      </sheetData>
      <sheetData sheetId="541">
        <row r="12">
          <cell r="I12" t="str">
            <v>Altegrity, Inc.</v>
          </cell>
        </row>
      </sheetData>
      <sheetData sheetId="542">
        <row r="12">
          <cell r="I12" t="str">
            <v>Altegrity, Inc.</v>
          </cell>
        </row>
      </sheetData>
      <sheetData sheetId="543"/>
      <sheetData sheetId="544"/>
      <sheetData sheetId="545"/>
      <sheetData sheetId="546"/>
      <sheetData sheetId="547">
        <row r="12">
          <cell r="I12" t="str">
            <v>Altegrity, Inc.</v>
          </cell>
        </row>
      </sheetData>
      <sheetData sheetId="548">
        <row r="12">
          <cell r="I12" t="str">
            <v>Altegrity, Inc.</v>
          </cell>
        </row>
      </sheetData>
      <sheetData sheetId="549">
        <row r="12">
          <cell r="I12" t="str">
            <v>Altegrity, Inc.</v>
          </cell>
        </row>
      </sheetData>
      <sheetData sheetId="550"/>
      <sheetData sheetId="551">
        <row r="12">
          <cell r="I12" t="str">
            <v>Altegrity, Inc.</v>
          </cell>
        </row>
      </sheetData>
      <sheetData sheetId="552" refreshError="1"/>
      <sheetData sheetId="553" refreshError="1"/>
      <sheetData sheetId="554" refreshError="1"/>
      <sheetData sheetId="555" refreshError="1"/>
      <sheetData sheetId="556"/>
      <sheetData sheetId="557">
        <row r="12">
          <cell r="I12" t="str">
            <v>Altegrity, Inc.</v>
          </cell>
        </row>
      </sheetData>
      <sheetData sheetId="558">
        <row r="12">
          <cell r="I12" t="str">
            <v>Altegrity, Inc.</v>
          </cell>
        </row>
      </sheetData>
      <sheetData sheetId="559">
        <row r="12">
          <cell r="I12" t="str">
            <v>Altegrity, Inc.</v>
          </cell>
        </row>
      </sheetData>
      <sheetData sheetId="560"/>
      <sheetData sheetId="561"/>
      <sheetData sheetId="562"/>
      <sheetData sheetId="563"/>
      <sheetData sheetId="564"/>
      <sheetData sheetId="565">
        <row r="12">
          <cell r="I12" t="str">
            <v>Altegrity, Inc.</v>
          </cell>
        </row>
      </sheetData>
      <sheetData sheetId="566"/>
      <sheetData sheetId="567" refreshError="1"/>
      <sheetData sheetId="568" refreshError="1"/>
      <sheetData sheetId="569" refreshError="1"/>
      <sheetData sheetId="570" refreshError="1"/>
      <sheetData sheetId="571" refreshError="1"/>
      <sheetData sheetId="572" refreshError="1"/>
      <sheetData sheetId="573">
        <row r="12">
          <cell r="I12" t="str">
            <v>Altegrity, Inc.</v>
          </cell>
        </row>
      </sheetData>
      <sheetData sheetId="574">
        <row r="12">
          <cell r="I12" t="str">
            <v>Altegrity, Inc.</v>
          </cell>
        </row>
      </sheetData>
      <sheetData sheetId="575">
        <row r="12">
          <cell r="I12" t="str">
            <v>Altegrity, Inc.</v>
          </cell>
        </row>
      </sheetData>
      <sheetData sheetId="576">
        <row r="12">
          <cell r="I12" t="str">
            <v>Altegrity, Inc.</v>
          </cell>
        </row>
      </sheetData>
      <sheetData sheetId="577"/>
      <sheetData sheetId="578">
        <row r="12">
          <cell r="I12" t="str">
            <v>Altegrity, Inc.</v>
          </cell>
        </row>
      </sheetData>
      <sheetData sheetId="579"/>
      <sheetData sheetId="580"/>
      <sheetData sheetId="581"/>
      <sheetData sheetId="582"/>
      <sheetData sheetId="583" refreshError="1"/>
      <sheetData sheetId="584" refreshError="1"/>
      <sheetData sheetId="585" refreshError="1"/>
      <sheetData sheetId="586"/>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ow r="12">
          <cell r="I12" t="str">
            <v>Altegrity, Inc.</v>
          </cell>
        </row>
      </sheetData>
      <sheetData sheetId="603">
        <row r="12">
          <cell r="I12" t="str">
            <v>Altegrity, Inc.</v>
          </cell>
        </row>
      </sheetData>
      <sheetData sheetId="604">
        <row r="12">
          <cell r="I12" t="str">
            <v>Altegrity, Inc.</v>
          </cell>
        </row>
      </sheetData>
      <sheetData sheetId="605">
        <row r="12">
          <cell r="I12" t="str">
            <v>Altegrity, Inc.</v>
          </cell>
        </row>
      </sheetData>
      <sheetData sheetId="606">
        <row r="12">
          <cell r="I12" t="str">
            <v>Altegrity, Inc.</v>
          </cell>
        </row>
      </sheetData>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refreshError="1"/>
      <sheetData sheetId="621">
        <row r="12">
          <cell r="I12" t="str">
            <v>Altegrity, Inc.</v>
          </cell>
        </row>
      </sheetData>
      <sheetData sheetId="622">
        <row r="12">
          <cell r="I12" t="str">
            <v>Altegrity, Inc.</v>
          </cell>
        </row>
      </sheetData>
      <sheetData sheetId="623">
        <row r="12">
          <cell r="I12" t="str">
            <v>Altegrity, Inc.</v>
          </cell>
        </row>
      </sheetData>
      <sheetData sheetId="624">
        <row r="12">
          <cell r="I12" t="str">
            <v>Altegrity, Inc.</v>
          </cell>
        </row>
      </sheetData>
      <sheetData sheetId="625">
        <row r="12">
          <cell r="I12" t="str">
            <v>Altegrity, Inc.</v>
          </cell>
        </row>
      </sheetData>
      <sheetData sheetId="626">
        <row r="12">
          <cell r="I12" t="str">
            <v>Altegrity, Inc.</v>
          </cell>
        </row>
      </sheetData>
      <sheetData sheetId="627">
        <row r="12">
          <cell r="I12" t="str">
            <v>Altegrity, Inc.</v>
          </cell>
        </row>
      </sheetData>
      <sheetData sheetId="628">
        <row r="12">
          <cell r="I12" t="str">
            <v>Altegrity, Inc.</v>
          </cell>
        </row>
      </sheetData>
      <sheetData sheetId="629">
        <row r="12">
          <cell r="I12" t="str">
            <v>Altegrity, Inc.</v>
          </cell>
        </row>
      </sheetData>
      <sheetData sheetId="630"/>
      <sheetData sheetId="631"/>
      <sheetData sheetId="632">
        <row r="12">
          <cell r="I12" t="str">
            <v>Altegrity, Inc.</v>
          </cell>
        </row>
      </sheetData>
      <sheetData sheetId="633">
        <row r="12">
          <cell r="I12" t="str">
            <v>Altegrity, Inc.</v>
          </cell>
        </row>
      </sheetData>
      <sheetData sheetId="634"/>
      <sheetData sheetId="635">
        <row r="12">
          <cell r="I12" t="str">
            <v>Altegrity, Inc.</v>
          </cell>
        </row>
      </sheetData>
      <sheetData sheetId="636"/>
      <sheetData sheetId="637">
        <row r="12">
          <cell r="I12" t="str">
            <v>Altegrity, Inc.</v>
          </cell>
        </row>
      </sheetData>
      <sheetData sheetId="638">
        <row r="12">
          <cell r="I12" t="str">
            <v>Altegrity, Inc.</v>
          </cell>
        </row>
      </sheetData>
      <sheetData sheetId="639"/>
      <sheetData sheetId="640"/>
      <sheetData sheetId="641">
        <row r="12">
          <cell r="I12" t="str">
            <v>Altegrity, Inc.</v>
          </cell>
        </row>
      </sheetData>
      <sheetData sheetId="642"/>
      <sheetData sheetId="643">
        <row r="12">
          <cell r="I12" t="str">
            <v>Altegrity, Inc.</v>
          </cell>
        </row>
      </sheetData>
      <sheetData sheetId="644"/>
      <sheetData sheetId="645">
        <row r="12">
          <cell r="I12" t="str">
            <v>Altegrity, Inc.</v>
          </cell>
        </row>
      </sheetData>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ow r="12">
          <cell r="I12" t="str">
            <v>Altegrity, Inc.</v>
          </cell>
        </row>
      </sheetData>
      <sheetData sheetId="659">
        <row r="12">
          <cell r="I12" t="str">
            <v>Altegrity, Inc.</v>
          </cell>
        </row>
      </sheetData>
      <sheetData sheetId="660"/>
      <sheetData sheetId="661"/>
      <sheetData sheetId="662"/>
      <sheetData sheetId="663">
        <row r="12">
          <cell r="I12" t="str">
            <v>Altegrity, Inc.</v>
          </cell>
        </row>
      </sheetData>
      <sheetData sheetId="664"/>
      <sheetData sheetId="665">
        <row r="12">
          <cell r="I12" t="str">
            <v>Altegrity, Inc.</v>
          </cell>
        </row>
      </sheetData>
      <sheetData sheetId="666"/>
      <sheetData sheetId="667">
        <row r="12">
          <cell r="I12" t="str">
            <v>Altegrity, Inc.</v>
          </cell>
        </row>
      </sheetData>
      <sheetData sheetId="668">
        <row r="12">
          <cell r="I12" t="str">
            <v>Altegrity, Inc.</v>
          </cell>
        </row>
      </sheetData>
      <sheetData sheetId="669"/>
      <sheetData sheetId="670"/>
      <sheetData sheetId="671"/>
      <sheetData sheetId="672"/>
      <sheetData sheetId="673"/>
      <sheetData sheetId="674">
        <row r="12">
          <cell r="I12" t="str">
            <v>Altegrity, Inc.</v>
          </cell>
        </row>
      </sheetData>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refreshError="1"/>
      <sheetData sheetId="758" refreshError="1"/>
      <sheetData sheetId="759"/>
      <sheetData sheetId="760"/>
      <sheetData sheetId="761"/>
      <sheetData sheetId="762"/>
      <sheetData sheetId="763"/>
      <sheetData sheetId="764"/>
      <sheetData sheetId="765"/>
      <sheetData sheetId="766"/>
      <sheetData sheetId="767"/>
      <sheetData sheetId="768"/>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sheetData sheetId="790"/>
      <sheetData sheetId="791"/>
      <sheetData sheetId="792"/>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sheetData sheetId="924"/>
      <sheetData sheetId="925"/>
      <sheetData sheetId="926" refreshError="1"/>
      <sheetData sheetId="927"/>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sheetData sheetId="960"/>
      <sheetData sheetId="961"/>
      <sheetData sheetId="962"/>
      <sheetData sheetId="963"/>
      <sheetData sheetId="964"/>
      <sheetData sheetId="965"/>
      <sheetData sheetId="966"/>
      <sheetData sheetId="967"/>
      <sheetData sheetId="968"/>
      <sheetData sheetId="969">
        <row r="12">
          <cell r="I12" t="str">
            <v>Altegrity, Inc.</v>
          </cell>
        </row>
      </sheetData>
      <sheetData sheetId="970" refreshError="1"/>
      <sheetData sheetId="97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sheetData sheetId="985"/>
      <sheetData sheetId="986" refreshError="1"/>
      <sheetData sheetId="987" refreshError="1"/>
      <sheetData sheetId="988" refreshError="1"/>
      <sheetData sheetId="989" refreshError="1"/>
      <sheetData sheetId="990"/>
      <sheetData sheetId="991" refreshError="1"/>
      <sheetData sheetId="992"/>
      <sheetData sheetId="993"/>
      <sheetData sheetId="994"/>
      <sheetData sheetId="995"/>
      <sheetData sheetId="996"/>
      <sheetData sheetId="997"/>
      <sheetData sheetId="998"/>
      <sheetData sheetId="999"/>
      <sheetData sheetId="1000"/>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sheetData sheetId="1019"/>
      <sheetData sheetId="1020"/>
      <sheetData sheetId="1021"/>
      <sheetData sheetId="1022"/>
      <sheetData sheetId="1023" refreshError="1"/>
      <sheetData sheetId="1024" refreshError="1"/>
      <sheetData sheetId="1025"/>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sheetData sheetId="1046"/>
      <sheetData sheetId="1047"/>
      <sheetData sheetId="1048"/>
      <sheetData sheetId="1049"/>
      <sheetData sheetId="1050"/>
      <sheetData sheetId="1051"/>
      <sheetData sheetId="1052"/>
      <sheetData sheetId="1053"/>
      <sheetData sheetId="1054"/>
      <sheetData sheetId="1055"/>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refreshError="1"/>
      <sheetData sheetId="1199" refreshError="1"/>
      <sheetData sheetId="1200" refreshError="1"/>
      <sheetData sheetId="1201" refreshError="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row r="12">
          <cell r="I12" t="str">
            <v>Altegrity, Inc.</v>
          </cell>
        </row>
      </sheetData>
      <sheetData sheetId="1260">
        <row r="12">
          <cell r="I12" t="str">
            <v>Altegrity, Inc.</v>
          </cell>
        </row>
      </sheetData>
      <sheetData sheetId="1261">
        <row r="12">
          <cell r="I12" t="str">
            <v>Altegrity, Inc.</v>
          </cell>
        </row>
      </sheetData>
      <sheetData sheetId="1262">
        <row r="12">
          <cell r="I12" t="str">
            <v>Altegrity, Inc.</v>
          </cell>
        </row>
      </sheetData>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sheetData sheetId="1425"/>
      <sheetData sheetId="1426"/>
      <sheetData sheetId="1427"/>
      <sheetData sheetId="1428"/>
      <sheetData sheetId="1429"/>
      <sheetData sheetId="1430"/>
      <sheetData sheetId="1431"/>
      <sheetData sheetId="1432"/>
      <sheetData sheetId="1433" refreshError="1"/>
      <sheetData sheetId="1434" refreshError="1"/>
      <sheetData sheetId="1435" refreshError="1"/>
      <sheetData sheetId="1436" refreshError="1"/>
      <sheetData sheetId="1437" refreshError="1"/>
      <sheetData sheetId="1438"/>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sheetData sheetId="1452"/>
      <sheetData sheetId="1453" refreshError="1"/>
      <sheetData sheetId="1454" refreshError="1"/>
      <sheetData sheetId="1455" refreshError="1"/>
      <sheetData sheetId="1456" refreshError="1"/>
      <sheetData sheetId="1457"/>
      <sheetData sheetId="1458" refreshError="1"/>
      <sheetData sheetId="1459"/>
      <sheetData sheetId="1460"/>
      <sheetData sheetId="1461"/>
      <sheetData sheetId="1462"/>
      <sheetData sheetId="1463"/>
      <sheetData sheetId="1464"/>
      <sheetData sheetId="1465"/>
      <sheetData sheetId="1466"/>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refreshError="1"/>
      <sheetData sheetId="1625" refreshError="1"/>
      <sheetData sheetId="1626" refreshError="1"/>
      <sheetData sheetId="1627" refreshError="1"/>
      <sheetData sheetId="1628"/>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sheetData sheetId="1643" refreshError="1"/>
      <sheetData sheetId="1644" refreshError="1"/>
      <sheetData sheetId="1645" refreshError="1"/>
      <sheetData sheetId="1646" refreshError="1"/>
      <sheetData sheetId="1647"/>
      <sheetData sheetId="1648" refreshError="1"/>
      <sheetData sheetId="1649"/>
      <sheetData sheetId="1650"/>
      <sheetData sheetId="1651"/>
      <sheetData sheetId="1652"/>
      <sheetData sheetId="1653"/>
      <sheetData sheetId="1654"/>
      <sheetData sheetId="1655"/>
      <sheetData sheetId="1656"/>
      <sheetData sheetId="1657" refreshError="1"/>
      <sheetData sheetId="1658"/>
      <sheetData sheetId="1659"/>
      <sheetData sheetId="1660"/>
      <sheetData sheetId="1661"/>
      <sheetData sheetId="1662"/>
      <sheetData sheetId="1663"/>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sheetData sheetId="1778"/>
      <sheetData sheetId="1779" refreshError="1"/>
      <sheetData sheetId="1780" refreshError="1"/>
      <sheetData sheetId="1781" refreshError="1"/>
      <sheetData sheetId="1782" refreshError="1"/>
      <sheetData sheetId="1783"/>
      <sheetData sheetId="1784"/>
      <sheetData sheetId="1785"/>
      <sheetData sheetId="1786"/>
      <sheetData sheetId="1787"/>
      <sheetData sheetId="1788"/>
      <sheetData sheetId="1789"/>
      <sheetData sheetId="1790" refreshError="1"/>
      <sheetData sheetId="1791"/>
      <sheetData sheetId="1792"/>
      <sheetData sheetId="1793"/>
      <sheetData sheetId="1794"/>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sheetData sheetId="2087" refreshError="1"/>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refreshError="1"/>
      <sheetData sheetId="2330" refreshError="1"/>
      <sheetData sheetId="2331" refreshError="1"/>
      <sheetData sheetId="2332" refreshError="1"/>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sheetData sheetId="2414"/>
      <sheetData sheetId="2415"/>
      <sheetData sheetId="2416"/>
      <sheetData sheetId="2417" refreshError="1"/>
      <sheetData sheetId="2418" refreshError="1"/>
      <sheetData sheetId="2419" refreshError="1"/>
      <sheetData sheetId="2420"/>
      <sheetData sheetId="2421"/>
      <sheetData sheetId="2422"/>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sheetData sheetId="2468"/>
      <sheetData sheetId="2469"/>
      <sheetData sheetId="2470"/>
      <sheetData sheetId="2471" refreshError="1"/>
      <sheetData sheetId="2472" refreshError="1"/>
      <sheetData sheetId="2473" refreshError="1"/>
      <sheetData sheetId="2474" refreshError="1"/>
      <sheetData sheetId="2475"/>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sheetData sheetId="2489"/>
      <sheetData sheetId="2490" refreshError="1"/>
      <sheetData sheetId="2491" refreshError="1"/>
      <sheetData sheetId="2492" refreshError="1"/>
      <sheetData sheetId="2493" refreshError="1"/>
      <sheetData sheetId="2494"/>
      <sheetData sheetId="2495"/>
      <sheetData sheetId="2496"/>
      <sheetData sheetId="2497"/>
      <sheetData sheetId="2498"/>
      <sheetData sheetId="2499"/>
      <sheetData sheetId="2500"/>
      <sheetData sheetId="2501" refreshError="1"/>
      <sheetData sheetId="2502"/>
      <sheetData sheetId="2503"/>
      <sheetData sheetId="2504"/>
      <sheetData sheetId="2505"/>
      <sheetData sheetId="2506"/>
      <sheetData sheetId="2507"/>
      <sheetData sheetId="2508"/>
      <sheetData sheetId="2509"/>
      <sheetData sheetId="2510"/>
      <sheetData sheetId="2511"/>
      <sheetData sheetId="2512"/>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row r="12">
          <cell r="I12" t="str">
            <v>Altegrity, Inc.</v>
          </cell>
        </row>
      </sheetData>
      <sheetData sheetId="3240">
        <row r="12">
          <cell r="I12" t="str">
            <v>Altegrity, Inc.</v>
          </cell>
        </row>
      </sheetData>
      <sheetData sheetId="3241"/>
      <sheetData sheetId="3242">
        <row r="12">
          <cell r="I12" t="str">
            <v>Altegrity, Inc.</v>
          </cell>
        </row>
      </sheetData>
      <sheetData sheetId="3243">
        <row r="12">
          <cell r="I12" t="str">
            <v>Altegrity, Inc.</v>
          </cell>
        </row>
      </sheetData>
      <sheetData sheetId="3244">
        <row r="12">
          <cell r="I12" t="str">
            <v>Altegrity, Inc.</v>
          </cell>
        </row>
      </sheetData>
      <sheetData sheetId="3245">
        <row r="12">
          <cell r="I12" t="str">
            <v>Altegrity, Inc.</v>
          </cell>
        </row>
      </sheetData>
      <sheetData sheetId="3246">
        <row r="12">
          <cell r="I12" t="str">
            <v>Altegrity, Inc.</v>
          </cell>
        </row>
      </sheetData>
      <sheetData sheetId="3247"/>
      <sheetData sheetId="3248"/>
      <sheetData sheetId="3249"/>
      <sheetData sheetId="3250"/>
      <sheetData sheetId="3251"/>
      <sheetData sheetId="3252"/>
      <sheetData sheetId="3253"/>
      <sheetData sheetId="3254"/>
      <sheetData sheetId="3255"/>
      <sheetData sheetId="3256"/>
      <sheetData sheetId="3257">
        <row r="12">
          <cell r="I12" t="str">
            <v>Altegrity, Inc.</v>
          </cell>
        </row>
      </sheetData>
      <sheetData sheetId="3258">
        <row r="12">
          <cell r="I12" t="str">
            <v>Altegrity, Inc.</v>
          </cell>
        </row>
      </sheetData>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row r="12">
          <cell r="I12" t="str">
            <v>Altegrity, Inc.</v>
          </cell>
        </row>
      </sheetData>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row r="12">
          <cell r="I12" t="str">
            <v>Altegrity, Inc.</v>
          </cell>
        </row>
      </sheetData>
      <sheetData sheetId="3605">
        <row r="12">
          <cell r="I12" t="str">
            <v>Altegrity, Inc.</v>
          </cell>
        </row>
      </sheetData>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row r="12">
          <cell r="I12" t="str">
            <v>Altegrity, Inc.</v>
          </cell>
        </row>
      </sheetData>
      <sheetData sheetId="3883">
        <row r="12">
          <cell r="I12" t="str">
            <v>Altegrity, Inc.</v>
          </cell>
        </row>
      </sheetData>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refreshError="1"/>
      <sheetData sheetId="4686" refreshError="1"/>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sheetData sheetId="4915"/>
      <sheetData sheetId="4916"/>
      <sheetData sheetId="4917"/>
      <sheetData sheetId="4918"/>
      <sheetData sheetId="4919"/>
      <sheetData sheetId="4920"/>
      <sheetData sheetId="492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row r="12">
          <cell r="I12" t="str">
            <v>Altegrity, Inc.</v>
          </cell>
        </row>
      </sheetData>
      <sheetData sheetId="5183">
        <row r="12">
          <cell r="I12" t="str">
            <v>Altegrity, Inc.</v>
          </cell>
        </row>
      </sheetData>
      <sheetData sheetId="5184"/>
      <sheetData sheetId="5185">
        <row r="12">
          <cell r="I12" t="str">
            <v>Altegrity, Inc.</v>
          </cell>
        </row>
      </sheetData>
      <sheetData sheetId="5186">
        <row r="12">
          <cell r="I12" t="str">
            <v>Altegrity, Inc.</v>
          </cell>
        </row>
      </sheetData>
      <sheetData sheetId="5187">
        <row r="12">
          <cell r="I12" t="str">
            <v>Altegrity, Inc.</v>
          </cell>
        </row>
      </sheetData>
      <sheetData sheetId="5188">
        <row r="12">
          <cell r="I12" t="str">
            <v>Altegrity, Inc.</v>
          </cell>
        </row>
      </sheetData>
      <sheetData sheetId="5189">
        <row r="12">
          <cell r="I12" t="str">
            <v>Altegrity, Inc.</v>
          </cell>
        </row>
      </sheetData>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row r="12">
          <cell r="I12" t="str">
            <v>Altegrity, Inc.</v>
          </cell>
        </row>
      </sheetData>
      <sheetData sheetId="5207">
        <row r="12">
          <cell r="I12" t="str">
            <v>Altegrity, Inc.</v>
          </cell>
        </row>
      </sheetData>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sheetData sheetId="6743"/>
      <sheetData sheetId="6744"/>
      <sheetData sheetId="6745"/>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sheetData sheetId="6767"/>
      <sheetData sheetId="6768" refreshError="1"/>
      <sheetData sheetId="6769" refreshError="1"/>
      <sheetData sheetId="6770" refreshError="1"/>
      <sheetData sheetId="6771" refreshError="1"/>
      <sheetData sheetId="6772" refreshError="1"/>
      <sheetData sheetId="6773" refreshError="1"/>
      <sheetData sheetId="6774" refreshError="1"/>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refreshError="1"/>
      <sheetData sheetId="6812" refreshError="1"/>
      <sheetData sheetId="6813" refreshError="1"/>
      <sheetData sheetId="6814"/>
      <sheetData sheetId="6815"/>
      <sheetData sheetId="6816"/>
      <sheetData sheetId="6817"/>
      <sheetData sheetId="6818"/>
      <sheetData sheetId="6819"/>
      <sheetData sheetId="6820" refreshError="1"/>
      <sheetData sheetId="6821" refreshError="1"/>
      <sheetData sheetId="6822" refreshError="1"/>
      <sheetData sheetId="6823" refreshError="1"/>
      <sheetData sheetId="6824" refreshError="1"/>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sheetData sheetId="7194"/>
      <sheetData sheetId="7195"/>
      <sheetData sheetId="7196"/>
      <sheetData sheetId="7197"/>
      <sheetData sheetId="7198"/>
      <sheetData sheetId="7199"/>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refreshError="1"/>
      <sheetData sheetId="7257" refreshError="1"/>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sheetData sheetId="7580" refreshError="1"/>
      <sheetData sheetId="7581" refreshError="1"/>
      <sheetData sheetId="7582" refreshError="1"/>
      <sheetData sheetId="7583" refreshError="1"/>
      <sheetData sheetId="7584" refreshError="1"/>
      <sheetData sheetId="7585" refreshError="1"/>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refreshError="1"/>
      <sheetData sheetId="7602" refreshError="1"/>
      <sheetData sheetId="7603" refreshError="1"/>
      <sheetData sheetId="7604">
        <row r="12">
          <cell r="I12" t="str">
            <v>Altegrity, Inc.</v>
          </cell>
        </row>
      </sheetData>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sheetData sheetId="7618" refreshError="1"/>
      <sheetData sheetId="7619" refreshError="1"/>
      <sheetData sheetId="7620" refreshError="1"/>
      <sheetData sheetId="7621" refreshError="1"/>
      <sheetData sheetId="7622" refreshError="1"/>
      <sheetData sheetId="7623"/>
      <sheetData sheetId="7624"/>
      <sheetData sheetId="7625"/>
      <sheetData sheetId="7626"/>
      <sheetData sheetId="7627"/>
      <sheetData sheetId="7628"/>
      <sheetData sheetId="7629" refreshError="1"/>
      <sheetData sheetId="7630" refreshError="1"/>
      <sheetData sheetId="7631" refreshError="1"/>
      <sheetData sheetId="7632" refreshError="1"/>
      <sheetData sheetId="7633"/>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sheetData sheetId="7647" refreshError="1"/>
      <sheetData sheetId="7648" refreshError="1"/>
      <sheetData sheetId="7649" refreshError="1"/>
      <sheetData sheetId="7650" refreshError="1"/>
      <sheetData sheetId="7651" refreshError="1"/>
      <sheetData sheetId="7652"/>
      <sheetData sheetId="7653"/>
      <sheetData sheetId="7654"/>
      <sheetData sheetId="7655"/>
      <sheetData sheetId="7656"/>
      <sheetData sheetId="7657"/>
      <sheetData sheetId="7658"/>
      <sheetData sheetId="7659"/>
      <sheetData sheetId="7660"/>
      <sheetData sheetId="7661" refreshError="1"/>
      <sheetData sheetId="7662" refreshError="1"/>
      <sheetData sheetId="7663" refreshError="1"/>
      <sheetData sheetId="7664" refreshError="1"/>
      <sheetData sheetId="7665"/>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sheetData sheetId="7679" refreshError="1"/>
      <sheetData sheetId="7680" refreshError="1"/>
      <sheetData sheetId="7681" refreshError="1"/>
      <sheetData sheetId="7682" refreshError="1"/>
      <sheetData sheetId="7683" refreshError="1"/>
      <sheetData sheetId="7684" refreshError="1"/>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sheetData sheetId="9445"/>
      <sheetData sheetId="9446"/>
      <sheetData sheetId="9447"/>
      <sheetData sheetId="9448" refreshError="1"/>
      <sheetData sheetId="9449" refreshError="1"/>
      <sheetData sheetId="9450" refreshError="1"/>
      <sheetData sheetId="945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row r="12">
          <cell r="I12" t="str">
            <v>Altegrity, Inc.</v>
          </cell>
        </row>
      </sheetData>
      <sheetData sheetId="10048">
        <row r="12">
          <cell r="I12" t="str">
            <v>Altegrity, Inc.</v>
          </cell>
        </row>
      </sheetData>
      <sheetData sheetId="10049"/>
      <sheetData sheetId="10050">
        <row r="12">
          <cell r="I12" t="str">
            <v>Altegrity, Inc.</v>
          </cell>
        </row>
      </sheetData>
      <sheetData sheetId="10051">
        <row r="12">
          <cell r="I12" t="str">
            <v>Altegrity, Inc.</v>
          </cell>
        </row>
      </sheetData>
      <sheetData sheetId="10052">
        <row r="12">
          <cell r="I12" t="str">
            <v>Altegrity, Inc.</v>
          </cell>
        </row>
      </sheetData>
      <sheetData sheetId="10053">
        <row r="12">
          <cell r="I12" t="str">
            <v>Altegrity, Inc.</v>
          </cell>
        </row>
      </sheetData>
      <sheetData sheetId="10054">
        <row r="12">
          <cell r="I12" t="str">
            <v>Altegrity, Inc.</v>
          </cell>
        </row>
      </sheetData>
      <sheetData sheetId="10055"/>
      <sheetData sheetId="10056"/>
      <sheetData sheetId="10057"/>
      <sheetData sheetId="10058"/>
      <sheetData sheetId="10059"/>
      <sheetData sheetId="10060"/>
      <sheetData sheetId="10061"/>
      <sheetData sheetId="10062"/>
      <sheetData sheetId="10063"/>
      <sheetData sheetId="10064">
        <row r="12">
          <cell r="I12" t="str">
            <v>Altegrity, Inc.</v>
          </cell>
        </row>
      </sheetData>
      <sheetData sheetId="10065">
        <row r="12">
          <cell r="I12" t="str">
            <v>Altegrity, Inc.</v>
          </cell>
        </row>
      </sheetData>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row r="12">
          <cell r="I12" t="str">
            <v>Altegrity, Inc.</v>
          </cell>
        </row>
      </sheetData>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efreshError="1"/>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refreshError="1"/>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refreshError="1"/>
      <sheetData sheetId="10388" refreshError="1"/>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refreshError="1"/>
      <sheetData sheetId="10442" refreshError="1"/>
      <sheetData sheetId="10443" refreshError="1"/>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efreshError="1"/>
      <sheetData sheetId="10482" refreshError="1"/>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 sheetId="10493" refreshError="1"/>
      <sheetData sheetId="10494" refreshError="1"/>
      <sheetData sheetId="10495" refreshError="1"/>
      <sheetData sheetId="10496" refreshError="1"/>
      <sheetData sheetId="10497" refreshError="1"/>
      <sheetData sheetId="10498" refreshError="1"/>
      <sheetData sheetId="10499" refreshError="1"/>
      <sheetData sheetId="10500" refreshError="1"/>
      <sheetData sheetId="10501" refreshError="1"/>
      <sheetData sheetId="10502" refreshError="1"/>
      <sheetData sheetId="10503" refreshError="1"/>
      <sheetData sheetId="10504" refreshError="1"/>
      <sheetData sheetId="10505" refreshError="1"/>
      <sheetData sheetId="10506" refreshError="1"/>
      <sheetData sheetId="10507" refreshError="1"/>
      <sheetData sheetId="10508" refreshError="1"/>
      <sheetData sheetId="10509" refreshError="1"/>
      <sheetData sheetId="10510" refreshError="1"/>
      <sheetData sheetId="10511" refreshError="1"/>
      <sheetData sheetId="10512" refreshError="1"/>
      <sheetData sheetId="10513" refreshError="1"/>
      <sheetData sheetId="10514" refreshError="1"/>
      <sheetData sheetId="10515" refreshError="1"/>
      <sheetData sheetId="10516" refreshError="1"/>
      <sheetData sheetId="10517" refreshError="1"/>
      <sheetData sheetId="10518" refreshError="1"/>
      <sheetData sheetId="10519" refreshError="1"/>
      <sheetData sheetId="10520" refreshError="1"/>
      <sheetData sheetId="10521" refreshError="1"/>
      <sheetData sheetId="10522" refreshError="1"/>
      <sheetData sheetId="10523" refreshError="1"/>
      <sheetData sheetId="10524" refreshError="1"/>
      <sheetData sheetId="10525" refreshError="1"/>
      <sheetData sheetId="10526" refreshError="1"/>
      <sheetData sheetId="10527" refreshError="1"/>
      <sheetData sheetId="10528" refreshError="1"/>
      <sheetData sheetId="10529" refreshError="1"/>
      <sheetData sheetId="10530" refreshError="1"/>
      <sheetData sheetId="10531" refreshError="1"/>
      <sheetData sheetId="10532" refreshError="1"/>
      <sheetData sheetId="10533" refreshError="1"/>
      <sheetData sheetId="10534" refreshError="1"/>
      <sheetData sheetId="10535" refreshError="1"/>
      <sheetData sheetId="10536" refreshError="1"/>
      <sheetData sheetId="10537" refreshError="1"/>
      <sheetData sheetId="10538" refreshError="1"/>
      <sheetData sheetId="10539" refreshError="1"/>
      <sheetData sheetId="10540" refreshError="1"/>
      <sheetData sheetId="10541" refreshError="1"/>
      <sheetData sheetId="10542" refreshError="1"/>
      <sheetData sheetId="10543" refreshError="1"/>
      <sheetData sheetId="10544" refreshError="1"/>
      <sheetData sheetId="10545" refreshError="1"/>
      <sheetData sheetId="10546" refreshError="1"/>
      <sheetData sheetId="10547" refreshError="1"/>
      <sheetData sheetId="10548" refreshError="1"/>
      <sheetData sheetId="10549" refreshError="1"/>
      <sheetData sheetId="10550" refreshError="1"/>
      <sheetData sheetId="10551" refreshError="1"/>
      <sheetData sheetId="10552" refreshError="1"/>
      <sheetData sheetId="10553" refreshError="1"/>
      <sheetData sheetId="10554" refreshError="1"/>
      <sheetData sheetId="10555" refreshError="1"/>
      <sheetData sheetId="10556" refreshError="1"/>
      <sheetData sheetId="10557" refreshError="1"/>
      <sheetData sheetId="10558" refreshError="1"/>
      <sheetData sheetId="10559" refreshError="1"/>
      <sheetData sheetId="10560" refreshError="1"/>
      <sheetData sheetId="10561" refreshError="1"/>
      <sheetData sheetId="10562" refreshError="1"/>
      <sheetData sheetId="10563" refreshError="1"/>
      <sheetData sheetId="10564" refreshError="1"/>
      <sheetData sheetId="10565" refreshError="1"/>
      <sheetData sheetId="10566" refreshError="1"/>
      <sheetData sheetId="10567" refreshError="1"/>
      <sheetData sheetId="10568" refreshError="1"/>
      <sheetData sheetId="10569" refreshError="1"/>
      <sheetData sheetId="10570" refreshError="1"/>
      <sheetData sheetId="10571" refreshError="1"/>
      <sheetData sheetId="10572" refreshError="1"/>
      <sheetData sheetId="10573" refreshError="1"/>
      <sheetData sheetId="10574" refreshError="1"/>
      <sheetData sheetId="10575" refreshError="1"/>
      <sheetData sheetId="10576" refreshError="1"/>
      <sheetData sheetId="10577" refreshError="1"/>
      <sheetData sheetId="10578" refreshError="1"/>
      <sheetData sheetId="10579" refreshError="1"/>
      <sheetData sheetId="10580" refreshError="1"/>
      <sheetData sheetId="10581" refreshError="1"/>
      <sheetData sheetId="10582" refreshError="1"/>
      <sheetData sheetId="10583" refreshError="1"/>
      <sheetData sheetId="10584" refreshError="1"/>
      <sheetData sheetId="10585" refreshError="1"/>
      <sheetData sheetId="10586" refreshError="1"/>
      <sheetData sheetId="10587" refreshError="1"/>
      <sheetData sheetId="10588" refreshError="1"/>
      <sheetData sheetId="10589" refreshError="1"/>
      <sheetData sheetId="10590" refreshError="1"/>
      <sheetData sheetId="10591" refreshError="1"/>
      <sheetData sheetId="10592" refreshError="1"/>
      <sheetData sheetId="10593" refreshError="1"/>
      <sheetData sheetId="10594" refreshError="1"/>
      <sheetData sheetId="10595" refreshError="1"/>
      <sheetData sheetId="10596" refreshError="1"/>
      <sheetData sheetId="10597" refreshError="1"/>
      <sheetData sheetId="10598" refreshError="1"/>
      <sheetData sheetId="10599" refreshError="1"/>
      <sheetData sheetId="10600" refreshError="1"/>
      <sheetData sheetId="10601" refreshError="1"/>
      <sheetData sheetId="10602" refreshError="1"/>
      <sheetData sheetId="10603" refreshError="1"/>
      <sheetData sheetId="10604" refreshError="1"/>
      <sheetData sheetId="10605" refreshError="1"/>
      <sheetData sheetId="10606" refreshError="1"/>
      <sheetData sheetId="10607" refreshError="1"/>
      <sheetData sheetId="10608" refreshError="1"/>
      <sheetData sheetId="10609" refreshError="1"/>
      <sheetData sheetId="10610" refreshError="1"/>
      <sheetData sheetId="10611" refreshError="1"/>
      <sheetData sheetId="10612" refreshError="1"/>
      <sheetData sheetId="10613" refreshError="1"/>
      <sheetData sheetId="10614" refreshError="1"/>
      <sheetData sheetId="10615" refreshError="1"/>
      <sheetData sheetId="10616" refreshError="1"/>
      <sheetData sheetId="10617" refreshError="1"/>
      <sheetData sheetId="10618" refreshError="1"/>
      <sheetData sheetId="10619" refreshError="1"/>
      <sheetData sheetId="10620" refreshError="1"/>
      <sheetData sheetId="10621" refreshError="1"/>
      <sheetData sheetId="10622" refreshError="1"/>
      <sheetData sheetId="10623" refreshError="1"/>
      <sheetData sheetId="10624" refreshError="1"/>
      <sheetData sheetId="10625" refreshError="1"/>
      <sheetData sheetId="10626" refreshError="1"/>
      <sheetData sheetId="10627" refreshError="1"/>
      <sheetData sheetId="10628" refreshError="1"/>
      <sheetData sheetId="10629" refreshError="1"/>
      <sheetData sheetId="10630" refreshError="1"/>
      <sheetData sheetId="10631" refreshError="1"/>
      <sheetData sheetId="10632" refreshError="1"/>
      <sheetData sheetId="10633" refreshError="1"/>
      <sheetData sheetId="10634" refreshError="1"/>
      <sheetData sheetId="10635" refreshError="1"/>
      <sheetData sheetId="10636" refreshError="1"/>
      <sheetData sheetId="10637" refreshError="1"/>
      <sheetData sheetId="10638" refreshError="1"/>
      <sheetData sheetId="10639" refreshError="1"/>
      <sheetData sheetId="10640" refreshError="1"/>
      <sheetData sheetId="10641" refreshError="1"/>
      <sheetData sheetId="10642" refreshError="1"/>
      <sheetData sheetId="10643" refreshError="1"/>
      <sheetData sheetId="10644" refreshError="1"/>
      <sheetData sheetId="10645" refreshError="1"/>
      <sheetData sheetId="10646" refreshError="1"/>
      <sheetData sheetId="10647" refreshError="1"/>
      <sheetData sheetId="10648" refreshError="1"/>
      <sheetData sheetId="10649" refreshError="1"/>
      <sheetData sheetId="10650" refreshError="1"/>
      <sheetData sheetId="10651" refreshError="1"/>
      <sheetData sheetId="10652" refreshError="1"/>
      <sheetData sheetId="10653" refreshError="1"/>
      <sheetData sheetId="10654" refreshError="1"/>
      <sheetData sheetId="10655" refreshError="1"/>
      <sheetData sheetId="10656" refreshError="1"/>
      <sheetData sheetId="10657" refreshError="1"/>
      <sheetData sheetId="10658" refreshError="1"/>
      <sheetData sheetId="10659" refreshError="1"/>
      <sheetData sheetId="10660" refreshError="1"/>
      <sheetData sheetId="10661" refreshError="1"/>
      <sheetData sheetId="10662" refreshError="1"/>
      <sheetData sheetId="10663" refreshError="1"/>
      <sheetData sheetId="10664" refreshError="1"/>
      <sheetData sheetId="10665" refreshError="1"/>
      <sheetData sheetId="10666" refreshError="1"/>
      <sheetData sheetId="10667" refreshError="1"/>
      <sheetData sheetId="10668" refreshError="1"/>
      <sheetData sheetId="10669" refreshError="1"/>
      <sheetData sheetId="10670" refreshError="1"/>
      <sheetData sheetId="10671" refreshError="1"/>
      <sheetData sheetId="10672" refreshError="1"/>
      <sheetData sheetId="10673" refreshError="1"/>
      <sheetData sheetId="10674" refreshError="1"/>
      <sheetData sheetId="10675" refreshError="1"/>
      <sheetData sheetId="10676" refreshError="1"/>
      <sheetData sheetId="10677" refreshError="1"/>
      <sheetData sheetId="10678" refreshError="1"/>
      <sheetData sheetId="10679" refreshError="1"/>
      <sheetData sheetId="10680" refreshError="1"/>
      <sheetData sheetId="10681" refreshError="1"/>
      <sheetData sheetId="10682" refreshError="1"/>
      <sheetData sheetId="10683" refreshError="1"/>
      <sheetData sheetId="10684" refreshError="1"/>
      <sheetData sheetId="10685" refreshError="1"/>
      <sheetData sheetId="10686" refreshError="1"/>
      <sheetData sheetId="10687" refreshError="1"/>
      <sheetData sheetId="10688" refreshError="1"/>
      <sheetData sheetId="10689" refreshError="1"/>
      <sheetData sheetId="10690" refreshError="1"/>
      <sheetData sheetId="10691" refreshError="1"/>
      <sheetData sheetId="10692" refreshError="1"/>
      <sheetData sheetId="10693" refreshError="1"/>
      <sheetData sheetId="10694" refreshError="1"/>
      <sheetData sheetId="10695" refreshError="1"/>
      <sheetData sheetId="10696" refreshError="1"/>
      <sheetData sheetId="10697" refreshError="1"/>
      <sheetData sheetId="10698" refreshError="1"/>
      <sheetData sheetId="10699" refreshError="1"/>
      <sheetData sheetId="10700" refreshError="1"/>
      <sheetData sheetId="10701" refreshError="1"/>
      <sheetData sheetId="10702" refreshError="1"/>
      <sheetData sheetId="10703" refreshError="1"/>
      <sheetData sheetId="10704" refreshError="1"/>
      <sheetData sheetId="10705" refreshError="1"/>
      <sheetData sheetId="10706" refreshError="1"/>
      <sheetData sheetId="10707" refreshError="1"/>
      <sheetData sheetId="10708" refreshError="1"/>
      <sheetData sheetId="10709" refreshError="1"/>
      <sheetData sheetId="10710" refreshError="1"/>
      <sheetData sheetId="10711" refreshError="1"/>
      <sheetData sheetId="10712" refreshError="1"/>
      <sheetData sheetId="10713" refreshError="1"/>
      <sheetData sheetId="10714" refreshError="1"/>
      <sheetData sheetId="10715" refreshError="1"/>
      <sheetData sheetId="10716" refreshError="1"/>
      <sheetData sheetId="10717" refreshError="1"/>
      <sheetData sheetId="10718" refreshError="1"/>
      <sheetData sheetId="10719" refreshError="1"/>
      <sheetData sheetId="10720" refreshError="1"/>
      <sheetData sheetId="10721" refreshError="1"/>
      <sheetData sheetId="10722" refreshError="1"/>
      <sheetData sheetId="10723" refreshError="1"/>
      <sheetData sheetId="10724" refreshError="1"/>
      <sheetData sheetId="10725" refreshError="1"/>
      <sheetData sheetId="10726" refreshError="1"/>
      <sheetData sheetId="10727" refreshError="1"/>
      <sheetData sheetId="10728" refreshError="1"/>
      <sheetData sheetId="10729" refreshError="1"/>
      <sheetData sheetId="10730" refreshError="1"/>
      <sheetData sheetId="10731" refreshError="1"/>
      <sheetData sheetId="10732" refreshError="1"/>
      <sheetData sheetId="10733" refreshError="1"/>
      <sheetData sheetId="10734" refreshError="1"/>
      <sheetData sheetId="10735" refreshError="1"/>
      <sheetData sheetId="10736" refreshError="1"/>
      <sheetData sheetId="10737" refreshError="1"/>
      <sheetData sheetId="10738" refreshError="1"/>
      <sheetData sheetId="10739" refreshError="1"/>
      <sheetData sheetId="10740" refreshError="1"/>
      <sheetData sheetId="10741" refreshError="1"/>
      <sheetData sheetId="10742" refreshError="1"/>
      <sheetData sheetId="10743" refreshError="1"/>
      <sheetData sheetId="10744" refreshError="1"/>
      <sheetData sheetId="10745" refreshError="1"/>
      <sheetData sheetId="10746" refreshError="1"/>
      <sheetData sheetId="10747" refreshError="1"/>
      <sheetData sheetId="10748" refreshError="1"/>
      <sheetData sheetId="10749" refreshError="1"/>
      <sheetData sheetId="10750" refreshError="1"/>
      <sheetData sheetId="10751" refreshError="1"/>
      <sheetData sheetId="10752" refreshError="1"/>
      <sheetData sheetId="10753" refreshError="1"/>
      <sheetData sheetId="10754" refreshError="1"/>
      <sheetData sheetId="10755" refreshError="1"/>
      <sheetData sheetId="10756" refreshError="1"/>
      <sheetData sheetId="10757" refreshError="1"/>
      <sheetData sheetId="10758" refreshError="1"/>
      <sheetData sheetId="10759" refreshError="1"/>
      <sheetData sheetId="10760" refreshError="1"/>
      <sheetData sheetId="10761" refreshError="1"/>
      <sheetData sheetId="10762" refreshError="1"/>
      <sheetData sheetId="10763" refreshError="1"/>
      <sheetData sheetId="10764" refreshError="1"/>
      <sheetData sheetId="10765" refreshError="1"/>
      <sheetData sheetId="10766" refreshError="1"/>
      <sheetData sheetId="10767" refreshError="1"/>
      <sheetData sheetId="10768" refreshError="1"/>
      <sheetData sheetId="10769" refreshError="1"/>
      <sheetData sheetId="10770" refreshError="1"/>
      <sheetData sheetId="10771" refreshError="1"/>
      <sheetData sheetId="10772" refreshError="1"/>
      <sheetData sheetId="10773" refreshError="1"/>
      <sheetData sheetId="10774" refreshError="1"/>
      <sheetData sheetId="10775" refreshError="1"/>
      <sheetData sheetId="10776" refreshError="1"/>
      <sheetData sheetId="10777" refreshError="1"/>
      <sheetData sheetId="10778" refreshError="1"/>
      <sheetData sheetId="10779" refreshError="1"/>
      <sheetData sheetId="10780" refreshError="1"/>
      <sheetData sheetId="10781" refreshError="1"/>
      <sheetData sheetId="10782" refreshError="1"/>
      <sheetData sheetId="10783" refreshError="1"/>
      <sheetData sheetId="10784" refreshError="1"/>
      <sheetData sheetId="10785" refreshError="1"/>
      <sheetData sheetId="10786" refreshError="1"/>
      <sheetData sheetId="10787" refreshError="1"/>
      <sheetData sheetId="10788" refreshError="1"/>
      <sheetData sheetId="10789" refreshError="1"/>
      <sheetData sheetId="10790" refreshError="1"/>
      <sheetData sheetId="10791" refreshError="1"/>
      <sheetData sheetId="10792" refreshError="1"/>
      <sheetData sheetId="10793" refreshError="1"/>
      <sheetData sheetId="10794" refreshError="1"/>
      <sheetData sheetId="10795" refreshError="1"/>
      <sheetData sheetId="10796" refreshError="1"/>
      <sheetData sheetId="10797" refreshError="1"/>
      <sheetData sheetId="10798" refreshError="1"/>
      <sheetData sheetId="10799" refreshError="1"/>
      <sheetData sheetId="10800" refreshError="1"/>
      <sheetData sheetId="10801" refreshError="1"/>
      <sheetData sheetId="10802" refreshError="1"/>
      <sheetData sheetId="10803" refreshError="1"/>
      <sheetData sheetId="10804" refreshError="1"/>
      <sheetData sheetId="10805" refreshError="1"/>
      <sheetData sheetId="10806" refreshError="1"/>
      <sheetData sheetId="10807" refreshError="1"/>
      <sheetData sheetId="10808" refreshError="1"/>
      <sheetData sheetId="10809" refreshError="1"/>
      <sheetData sheetId="10810" refreshError="1"/>
      <sheetData sheetId="10811" refreshError="1"/>
      <sheetData sheetId="10812" refreshError="1"/>
      <sheetData sheetId="10813" refreshError="1"/>
      <sheetData sheetId="10814" refreshError="1"/>
      <sheetData sheetId="10815" refreshError="1"/>
      <sheetData sheetId="10816" refreshError="1"/>
      <sheetData sheetId="10817" refreshError="1"/>
      <sheetData sheetId="10818" refreshError="1"/>
      <sheetData sheetId="10819" refreshError="1"/>
      <sheetData sheetId="10820" refreshError="1"/>
      <sheetData sheetId="10821" refreshError="1"/>
      <sheetData sheetId="10822" refreshError="1"/>
      <sheetData sheetId="10823" refreshError="1"/>
      <sheetData sheetId="10824" refreshError="1"/>
      <sheetData sheetId="10825" refreshError="1"/>
      <sheetData sheetId="10826" refreshError="1"/>
      <sheetData sheetId="10827" refreshError="1"/>
      <sheetData sheetId="10828" refreshError="1"/>
      <sheetData sheetId="10829" refreshError="1"/>
      <sheetData sheetId="10830" refreshError="1"/>
      <sheetData sheetId="10831" refreshError="1"/>
      <sheetData sheetId="10832" refreshError="1"/>
      <sheetData sheetId="10833" refreshError="1"/>
      <sheetData sheetId="10834" refreshError="1"/>
      <sheetData sheetId="10835" refreshError="1"/>
      <sheetData sheetId="10836" refreshError="1"/>
      <sheetData sheetId="10837" refreshError="1"/>
      <sheetData sheetId="10838" refreshError="1"/>
      <sheetData sheetId="10839" refreshError="1"/>
      <sheetData sheetId="10840" refreshError="1"/>
      <sheetData sheetId="10841" refreshError="1"/>
      <sheetData sheetId="10842" refreshError="1"/>
      <sheetData sheetId="10843" refreshError="1"/>
      <sheetData sheetId="10844" refreshError="1"/>
      <sheetData sheetId="10845" refreshError="1"/>
      <sheetData sheetId="10846" refreshError="1"/>
      <sheetData sheetId="10847" refreshError="1"/>
      <sheetData sheetId="10848" refreshError="1"/>
      <sheetData sheetId="10849" refreshError="1"/>
      <sheetData sheetId="10850" refreshError="1"/>
      <sheetData sheetId="10851" refreshError="1"/>
      <sheetData sheetId="10852" refreshError="1"/>
      <sheetData sheetId="10853" refreshError="1"/>
      <sheetData sheetId="10854" refreshError="1"/>
      <sheetData sheetId="10855" refreshError="1"/>
      <sheetData sheetId="10856" refreshError="1"/>
      <sheetData sheetId="10857" refreshError="1"/>
      <sheetData sheetId="10858" refreshError="1"/>
      <sheetData sheetId="10859" refreshError="1"/>
      <sheetData sheetId="10860" refreshError="1"/>
      <sheetData sheetId="10861" refreshError="1"/>
      <sheetData sheetId="10862" refreshError="1"/>
      <sheetData sheetId="10863" refreshError="1"/>
      <sheetData sheetId="10864" refreshError="1"/>
      <sheetData sheetId="10865" refreshError="1"/>
      <sheetData sheetId="10866" refreshError="1"/>
      <sheetData sheetId="10867" refreshError="1"/>
      <sheetData sheetId="10868" refreshError="1"/>
      <sheetData sheetId="10869" refreshError="1"/>
      <sheetData sheetId="10870" refreshError="1"/>
      <sheetData sheetId="10871" refreshError="1"/>
      <sheetData sheetId="10872" refreshError="1"/>
      <sheetData sheetId="10873" refreshError="1"/>
      <sheetData sheetId="10874" refreshError="1"/>
      <sheetData sheetId="10875" refreshError="1"/>
      <sheetData sheetId="10876" refreshError="1"/>
      <sheetData sheetId="10877" refreshError="1"/>
      <sheetData sheetId="10878" refreshError="1"/>
      <sheetData sheetId="10879" refreshError="1"/>
      <sheetData sheetId="10880" refreshError="1"/>
      <sheetData sheetId="10881" refreshError="1"/>
      <sheetData sheetId="10882" refreshError="1"/>
      <sheetData sheetId="10883" refreshError="1"/>
      <sheetData sheetId="10884" refreshError="1"/>
      <sheetData sheetId="10885" refreshError="1"/>
      <sheetData sheetId="10886" refreshError="1"/>
      <sheetData sheetId="10887" refreshError="1"/>
      <sheetData sheetId="10888" refreshError="1"/>
      <sheetData sheetId="10889" refreshError="1"/>
      <sheetData sheetId="10890" refreshError="1"/>
      <sheetData sheetId="10891" refreshError="1"/>
      <sheetData sheetId="10892" refreshError="1"/>
      <sheetData sheetId="10893" refreshError="1"/>
      <sheetData sheetId="10894" refreshError="1"/>
      <sheetData sheetId="10895" refreshError="1"/>
      <sheetData sheetId="10896" refreshError="1"/>
      <sheetData sheetId="10897" refreshError="1"/>
      <sheetData sheetId="10898" refreshError="1"/>
      <sheetData sheetId="10899" refreshError="1"/>
      <sheetData sheetId="10900" refreshError="1"/>
      <sheetData sheetId="10901" refreshError="1"/>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refreshError="1"/>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sheetData sheetId="10959"/>
      <sheetData sheetId="10960"/>
      <sheetData sheetId="10961"/>
      <sheetData sheetId="10962"/>
      <sheetData sheetId="10963"/>
      <sheetData sheetId="10964"/>
      <sheetData sheetId="10965"/>
      <sheetData sheetId="10966"/>
      <sheetData sheetId="10967"/>
      <sheetData sheetId="10968"/>
      <sheetData sheetId="10969" refreshError="1"/>
      <sheetData sheetId="10970" refreshError="1"/>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row r="12">
          <cell r="I12" t="str">
            <v>Altegrity, Inc.</v>
          </cell>
        </row>
      </sheetData>
      <sheetData sheetId="11109">
        <row r="12">
          <cell r="I12" t="str">
            <v>Altegrity, Inc.</v>
          </cell>
        </row>
      </sheetData>
      <sheetData sheetId="11110"/>
      <sheetData sheetId="11111">
        <row r="12">
          <cell r="I12" t="str">
            <v>Altegrity, Inc.</v>
          </cell>
        </row>
      </sheetData>
      <sheetData sheetId="11112">
        <row r="12">
          <cell r="I12" t="str">
            <v>Altegrity, Inc.</v>
          </cell>
        </row>
      </sheetData>
      <sheetData sheetId="11113">
        <row r="12">
          <cell r="I12" t="str">
            <v>Altegrity, Inc.</v>
          </cell>
        </row>
      </sheetData>
      <sheetData sheetId="11114">
        <row r="12">
          <cell r="I12" t="str">
            <v>Altegrity, Inc.</v>
          </cell>
        </row>
      </sheetData>
      <sheetData sheetId="11115">
        <row r="12">
          <cell r="I12" t="str">
            <v>Altegrity, Inc.</v>
          </cell>
        </row>
      </sheetData>
      <sheetData sheetId="11116">
        <row r="12">
          <cell r="I12" t="str">
            <v>Altegrity, Inc.</v>
          </cell>
        </row>
      </sheetData>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row r="12">
          <cell r="I12" t="str">
            <v>Altegrity, Inc.</v>
          </cell>
        </row>
      </sheetData>
      <sheetData sheetId="11139"/>
      <sheetData sheetId="11140"/>
      <sheetData sheetId="11141"/>
      <sheetData sheetId="11142"/>
      <sheetData sheetId="11143"/>
      <sheetData sheetId="11144"/>
      <sheetData sheetId="11145">
        <row r="12">
          <cell r="I12" t="str">
            <v>Altegrity, Inc.</v>
          </cell>
        </row>
      </sheetData>
      <sheetData sheetId="11146"/>
      <sheetData sheetId="11147"/>
      <sheetData sheetId="11148"/>
      <sheetData sheetId="11149"/>
      <sheetData sheetId="11150">
        <row r="12">
          <cell r="I12" t="str">
            <v>Altegrity, Inc.</v>
          </cell>
        </row>
      </sheetData>
      <sheetData sheetId="11151">
        <row r="12">
          <cell r="I12" t="str">
            <v>Altegrity, Inc.</v>
          </cell>
        </row>
      </sheetData>
      <sheetData sheetId="11152"/>
      <sheetData sheetId="11153">
        <row r="12">
          <cell r="I12" t="str">
            <v>Altegrity, Inc.</v>
          </cell>
        </row>
      </sheetData>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sheetData sheetId="12214"/>
      <sheetData sheetId="12215"/>
      <sheetData sheetId="12216"/>
      <sheetData sheetId="12217"/>
      <sheetData sheetId="12218"/>
      <sheetData sheetId="12219"/>
      <sheetData sheetId="12220"/>
      <sheetData sheetId="12221"/>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sheetData sheetId="12435"/>
      <sheetData sheetId="12436"/>
      <sheetData sheetId="12437"/>
      <sheetData sheetId="12438"/>
      <sheetData sheetId="12439"/>
      <sheetData sheetId="12440"/>
      <sheetData sheetId="12441"/>
      <sheetData sheetId="12442"/>
      <sheetData sheetId="12443"/>
      <sheetData sheetId="12444"/>
      <sheetData sheetId="12445"/>
      <sheetData sheetId="12446"/>
      <sheetData sheetId="12447"/>
      <sheetData sheetId="12448"/>
      <sheetData sheetId="12449"/>
      <sheetData sheetId="12450"/>
      <sheetData sheetId="12451"/>
      <sheetData sheetId="12452"/>
      <sheetData sheetId="12453"/>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sheetData sheetId="12477"/>
      <sheetData sheetId="12478"/>
      <sheetData sheetId="12479"/>
      <sheetData sheetId="12480"/>
      <sheetData sheetId="12481"/>
      <sheetData sheetId="12482"/>
      <sheetData sheetId="12483"/>
      <sheetData sheetId="12484"/>
      <sheetData sheetId="12485"/>
      <sheetData sheetId="12486"/>
      <sheetData sheetId="12487"/>
      <sheetData sheetId="12488"/>
      <sheetData sheetId="12489"/>
      <sheetData sheetId="12490"/>
      <sheetData sheetId="12491"/>
      <sheetData sheetId="12492"/>
      <sheetData sheetId="12493"/>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sheetData sheetId="12526"/>
      <sheetData sheetId="12527"/>
      <sheetData sheetId="12528"/>
      <sheetData sheetId="12529"/>
      <sheetData sheetId="12530"/>
      <sheetData sheetId="12531"/>
      <sheetData sheetId="12532"/>
      <sheetData sheetId="12533"/>
      <sheetData sheetId="12534"/>
      <sheetData sheetId="12535"/>
      <sheetData sheetId="12536"/>
      <sheetData sheetId="12537"/>
      <sheetData sheetId="12538"/>
      <sheetData sheetId="12539"/>
      <sheetData sheetId="12540"/>
      <sheetData sheetId="12541"/>
      <sheetData sheetId="12542"/>
      <sheetData sheetId="12543"/>
      <sheetData sheetId="12544"/>
      <sheetData sheetId="12545"/>
      <sheetData sheetId="12546"/>
      <sheetData sheetId="12547"/>
      <sheetData sheetId="12548"/>
      <sheetData sheetId="12549"/>
      <sheetData sheetId="12550"/>
      <sheetData sheetId="12551"/>
      <sheetData sheetId="12552"/>
      <sheetData sheetId="12553"/>
      <sheetData sheetId="12554"/>
      <sheetData sheetId="12555"/>
      <sheetData sheetId="12556"/>
      <sheetData sheetId="12557"/>
      <sheetData sheetId="12558"/>
      <sheetData sheetId="12559"/>
      <sheetData sheetId="12560"/>
      <sheetData sheetId="12561"/>
      <sheetData sheetId="12562"/>
      <sheetData sheetId="12563"/>
      <sheetData sheetId="12564"/>
      <sheetData sheetId="12565"/>
      <sheetData sheetId="12566"/>
      <sheetData sheetId="12567"/>
      <sheetData sheetId="12568"/>
      <sheetData sheetId="12569"/>
      <sheetData sheetId="12570"/>
      <sheetData sheetId="12571"/>
      <sheetData sheetId="12572"/>
      <sheetData sheetId="12573"/>
      <sheetData sheetId="12574"/>
      <sheetData sheetId="12575"/>
      <sheetData sheetId="12576"/>
      <sheetData sheetId="12577"/>
      <sheetData sheetId="12578"/>
      <sheetData sheetId="12579"/>
      <sheetData sheetId="12580"/>
      <sheetData sheetId="12581"/>
      <sheetData sheetId="12582"/>
      <sheetData sheetId="12583"/>
      <sheetData sheetId="12584"/>
      <sheetData sheetId="12585"/>
      <sheetData sheetId="12586"/>
      <sheetData sheetId="12587"/>
      <sheetData sheetId="12588"/>
      <sheetData sheetId="12589"/>
      <sheetData sheetId="12590"/>
      <sheetData sheetId="12591"/>
      <sheetData sheetId="12592"/>
      <sheetData sheetId="12593"/>
      <sheetData sheetId="12594"/>
      <sheetData sheetId="12595"/>
      <sheetData sheetId="12596"/>
      <sheetData sheetId="12597"/>
      <sheetData sheetId="12598"/>
      <sheetData sheetId="12599"/>
      <sheetData sheetId="12600"/>
      <sheetData sheetId="12601"/>
      <sheetData sheetId="12602"/>
      <sheetData sheetId="12603"/>
      <sheetData sheetId="12604"/>
      <sheetData sheetId="12605"/>
      <sheetData sheetId="12606"/>
      <sheetData sheetId="12607"/>
      <sheetData sheetId="12608"/>
      <sheetData sheetId="12609"/>
      <sheetData sheetId="12610"/>
      <sheetData sheetId="12611"/>
      <sheetData sheetId="12612"/>
      <sheetData sheetId="12613"/>
      <sheetData sheetId="12614"/>
      <sheetData sheetId="12615"/>
      <sheetData sheetId="12616"/>
      <sheetData sheetId="12617"/>
      <sheetData sheetId="12618"/>
      <sheetData sheetId="12619"/>
      <sheetData sheetId="12620"/>
      <sheetData sheetId="12621"/>
      <sheetData sheetId="12622"/>
      <sheetData sheetId="12623"/>
      <sheetData sheetId="12624"/>
      <sheetData sheetId="12625"/>
      <sheetData sheetId="12626"/>
      <sheetData sheetId="12627"/>
      <sheetData sheetId="12628"/>
      <sheetData sheetId="12629"/>
      <sheetData sheetId="12630"/>
      <sheetData sheetId="12631"/>
      <sheetData sheetId="12632"/>
      <sheetData sheetId="12633"/>
      <sheetData sheetId="12634"/>
      <sheetData sheetId="12635"/>
      <sheetData sheetId="12636"/>
      <sheetData sheetId="12637"/>
      <sheetData sheetId="12638"/>
      <sheetData sheetId="12639"/>
      <sheetData sheetId="12640"/>
      <sheetData sheetId="12641"/>
      <sheetData sheetId="12642"/>
      <sheetData sheetId="12643"/>
      <sheetData sheetId="12644"/>
      <sheetData sheetId="12645"/>
      <sheetData sheetId="12646"/>
      <sheetData sheetId="12647"/>
      <sheetData sheetId="12648"/>
      <sheetData sheetId="12649"/>
      <sheetData sheetId="12650"/>
      <sheetData sheetId="12651"/>
      <sheetData sheetId="12652"/>
      <sheetData sheetId="12653"/>
      <sheetData sheetId="12654"/>
      <sheetData sheetId="12655"/>
      <sheetData sheetId="12656"/>
      <sheetData sheetId="12657"/>
      <sheetData sheetId="12658"/>
      <sheetData sheetId="12659"/>
      <sheetData sheetId="12660"/>
      <sheetData sheetId="12661"/>
      <sheetData sheetId="12662"/>
      <sheetData sheetId="12663"/>
      <sheetData sheetId="12664"/>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sheetData sheetId="12944"/>
      <sheetData sheetId="12945"/>
      <sheetData sheetId="12946"/>
      <sheetData sheetId="12947"/>
      <sheetData sheetId="12948"/>
      <sheetData sheetId="12949"/>
      <sheetData sheetId="12950"/>
      <sheetData sheetId="12951"/>
      <sheetData sheetId="12952"/>
      <sheetData sheetId="12953"/>
      <sheetData sheetId="12954"/>
      <sheetData sheetId="12955"/>
      <sheetData sheetId="12956"/>
      <sheetData sheetId="12957"/>
      <sheetData sheetId="12958"/>
      <sheetData sheetId="12959"/>
      <sheetData sheetId="12960"/>
      <sheetData sheetId="12961"/>
      <sheetData sheetId="12962"/>
      <sheetData sheetId="12963"/>
      <sheetData sheetId="12964"/>
      <sheetData sheetId="12965"/>
      <sheetData sheetId="12966"/>
      <sheetData sheetId="12967"/>
      <sheetData sheetId="12968"/>
      <sheetData sheetId="12969"/>
      <sheetData sheetId="12970"/>
      <sheetData sheetId="12971"/>
      <sheetData sheetId="12972"/>
      <sheetData sheetId="12973"/>
      <sheetData sheetId="12974"/>
      <sheetData sheetId="12975"/>
      <sheetData sheetId="12976"/>
      <sheetData sheetId="12977"/>
      <sheetData sheetId="12978"/>
      <sheetData sheetId="12979"/>
      <sheetData sheetId="12980"/>
      <sheetData sheetId="12981"/>
      <sheetData sheetId="12982"/>
      <sheetData sheetId="12983"/>
      <sheetData sheetId="12984"/>
      <sheetData sheetId="12985"/>
      <sheetData sheetId="12986"/>
      <sheetData sheetId="12987"/>
      <sheetData sheetId="12988"/>
      <sheetData sheetId="12989"/>
      <sheetData sheetId="12990"/>
      <sheetData sheetId="12991"/>
      <sheetData sheetId="12992"/>
      <sheetData sheetId="12993"/>
      <sheetData sheetId="12994"/>
      <sheetData sheetId="12995"/>
      <sheetData sheetId="12996"/>
      <sheetData sheetId="12997"/>
      <sheetData sheetId="12998"/>
      <sheetData sheetId="12999"/>
      <sheetData sheetId="13000"/>
      <sheetData sheetId="13001"/>
      <sheetData sheetId="13002"/>
      <sheetData sheetId="13003"/>
      <sheetData sheetId="13004"/>
      <sheetData sheetId="13005"/>
      <sheetData sheetId="13006"/>
      <sheetData sheetId="13007"/>
      <sheetData sheetId="13008"/>
      <sheetData sheetId="13009"/>
      <sheetData sheetId="13010"/>
      <sheetData sheetId="13011"/>
      <sheetData sheetId="13012"/>
      <sheetData sheetId="13013"/>
      <sheetData sheetId="13014"/>
      <sheetData sheetId="13015"/>
      <sheetData sheetId="13016"/>
      <sheetData sheetId="13017"/>
      <sheetData sheetId="13018"/>
      <sheetData sheetId="13019"/>
      <sheetData sheetId="13020"/>
      <sheetData sheetId="13021"/>
      <sheetData sheetId="13022"/>
      <sheetData sheetId="13023"/>
      <sheetData sheetId="13024"/>
      <sheetData sheetId="13025"/>
      <sheetData sheetId="13026"/>
      <sheetData sheetId="13027"/>
      <sheetData sheetId="13028"/>
      <sheetData sheetId="13029"/>
      <sheetData sheetId="13030"/>
      <sheetData sheetId="13031"/>
      <sheetData sheetId="13032"/>
      <sheetData sheetId="13033"/>
      <sheetData sheetId="13034"/>
      <sheetData sheetId="13035"/>
      <sheetData sheetId="13036"/>
      <sheetData sheetId="13037"/>
      <sheetData sheetId="13038"/>
      <sheetData sheetId="13039"/>
      <sheetData sheetId="13040"/>
      <sheetData sheetId="13041"/>
      <sheetData sheetId="13042"/>
      <sheetData sheetId="13043"/>
      <sheetData sheetId="13044"/>
      <sheetData sheetId="13045"/>
      <sheetData sheetId="13046"/>
      <sheetData sheetId="13047"/>
      <sheetData sheetId="13048"/>
      <sheetData sheetId="13049"/>
      <sheetData sheetId="13050"/>
      <sheetData sheetId="13051"/>
      <sheetData sheetId="13052"/>
      <sheetData sheetId="13053"/>
      <sheetData sheetId="13054"/>
      <sheetData sheetId="13055"/>
      <sheetData sheetId="13056"/>
      <sheetData sheetId="13057"/>
      <sheetData sheetId="13058"/>
      <sheetData sheetId="13059"/>
      <sheetData sheetId="13060"/>
      <sheetData sheetId="13061"/>
      <sheetData sheetId="13062"/>
      <sheetData sheetId="13063"/>
      <sheetData sheetId="13064"/>
      <sheetData sheetId="13065"/>
      <sheetData sheetId="13066"/>
      <sheetData sheetId="13067"/>
      <sheetData sheetId="13068"/>
      <sheetData sheetId="13069"/>
      <sheetData sheetId="13070"/>
      <sheetData sheetId="13071"/>
      <sheetData sheetId="13072"/>
      <sheetData sheetId="13073"/>
      <sheetData sheetId="13074"/>
      <sheetData sheetId="13075"/>
      <sheetData sheetId="13076"/>
      <sheetData sheetId="13077"/>
      <sheetData sheetId="13078"/>
      <sheetData sheetId="13079"/>
      <sheetData sheetId="13080"/>
      <sheetData sheetId="13081"/>
      <sheetData sheetId="13082"/>
      <sheetData sheetId="13083"/>
      <sheetData sheetId="13084"/>
      <sheetData sheetId="13085"/>
      <sheetData sheetId="13086"/>
      <sheetData sheetId="13087"/>
      <sheetData sheetId="13088"/>
      <sheetData sheetId="13089"/>
      <sheetData sheetId="13090"/>
      <sheetData sheetId="13091"/>
      <sheetData sheetId="13092"/>
      <sheetData sheetId="13093"/>
      <sheetData sheetId="13094"/>
      <sheetData sheetId="13095"/>
      <sheetData sheetId="13096"/>
      <sheetData sheetId="13097"/>
      <sheetData sheetId="13098"/>
      <sheetData sheetId="13099"/>
      <sheetData sheetId="13100"/>
      <sheetData sheetId="13101"/>
      <sheetData sheetId="13102"/>
      <sheetData sheetId="13103"/>
      <sheetData sheetId="13104"/>
      <sheetData sheetId="13105"/>
      <sheetData sheetId="13106"/>
      <sheetData sheetId="13107"/>
      <sheetData sheetId="13108"/>
      <sheetData sheetId="13109"/>
      <sheetData sheetId="13110"/>
      <sheetData sheetId="13111"/>
      <sheetData sheetId="13112"/>
      <sheetData sheetId="13113"/>
      <sheetData sheetId="13114"/>
      <sheetData sheetId="13115"/>
      <sheetData sheetId="13116"/>
      <sheetData sheetId="13117"/>
      <sheetData sheetId="13118"/>
      <sheetData sheetId="13119"/>
      <sheetData sheetId="13120"/>
      <sheetData sheetId="13121"/>
      <sheetData sheetId="13122"/>
      <sheetData sheetId="13123"/>
      <sheetData sheetId="13124"/>
      <sheetData sheetId="13125"/>
      <sheetData sheetId="13126"/>
      <sheetData sheetId="13127"/>
      <sheetData sheetId="13128"/>
      <sheetData sheetId="13129"/>
      <sheetData sheetId="13130"/>
      <sheetData sheetId="13131"/>
      <sheetData sheetId="13132"/>
      <sheetData sheetId="13133"/>
      <sheetData sheetId="13134"/>
      <sheetData sheetId="13135"/>
      <sheetData sheetId="13136"/>
      <sheetData sheetId="13137"/>
      <sheetData sheetId="13138"/>
      <sheetData sheetId="13139"/>
      <sheetData sheetId="13140"/>
      <sheetData sheetId="13141"/>
      <sheetData sheetId="13142"/>
      <sheetData sheetId="13143"/>
      <sheetData sheetId="13144"/>
      <sheetData sheetId="13145"/>
      <sheetData sheetId="13146"/>
      <sheetData sheetId="13147"/>
      <sheetData sheetId="13148"/>
      <sheetData sheetId="13149"/>
      <sheetData sheetId="13150"/>
      <sheetData sheetId="13151"/>
      <sheetData sheetId="13152"/>
      <sheetData sheetId="13153"/>
      <sheetData sheetId="13154"/>
      <sheetData sheetId="13155"/>
      <sheetData sheetId="13156"/>
      <sheetData sheetId="13157"/>
      <sheetData sheetId="13158"/>
      <sheetData sheetId="13159"/>
      <sheetData sheetId="13160"/>
      <sheetData sheetId="13161"/>
      <sheetData sheetId="13162"/>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row r="12">
          <cell r="I12" t="str">
            <v>Altegrity, Inc.</v>
          </cell>
        </row>
      </sheetData>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refreshError="1"/>
      <sheetData sheetId="14114" refreshError="1"/>
      <sheetData sheetId="14115" refreshError="1"/>
      <sheetData sheetId="14116" refreshError="1"/>
      <sheetData sheetId="14117" refreshError="1"/>
      <sheetData sheetId="14118" refreshError="1"/>
      <sheetData sheetId="14119" refreshError="1"/>
      <sheetData sheetId="14120" refreshError="1"/>
      <sheetData sheetId="14121" refreshError="1"/>
      <sheetData sheetId="14122" refreshError="1"/>
      <sheetData sheetId="14123" refreshError="1"/>
      <sheetData sheetId="14124" refreshError="1"/>
      <sheetData sheetId="14125" refreshError="1"/>
      <sheetData sheetId="14126" refreshError="1"/>
      <sheetData sheetId="14127" refreshError="1"/>
      <sheetData sheetId="14128" refreshError="1"/>
      <sheetData sheetId="14129" refreshError="1"/>
      <sheetData sheetId="14130" refreshError="1"/>
      <sheetData sheetId="14131" refreshError="1"/>
      <sheetData sheetId="14132" refreshError="1"/>
      <sheetData sheetId="14133" refreshError="1"/>
      <sheetData sheetId="14134" refreshError="1"/>
      <sheetData sheetId="14135" refreshError="1"/>
      <sheetData sheetId="14136" refreshError="1"/>
      <sheetData sheetId="14137" refreshError="1"/>
      <sheetData sheetId="14138" refreshError="1"/>
      <sheetData sheetId="14139" refreshError="1"/>
      <sheetData sheetId="14140" refreshError="1"/>
      <sheetData sheetId="14141" refreshError="1"/>
      <sheetData sheetId="14142" refreshError="1"/>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refreshError="1"/>
      <sheetData sheetId="14241" refreshError="1"/>
      <sheetData sheetId="14242" refreshError="1"/>
      <sheetData sheetId="14243" refreshError="1"/>
      <sheetData sheetId="14244" refreshError="1"/>
      <sheetData sheetId="14245" refreshError="1"/>
      <sheetData sheetId="14246" refreshError="1"/>
      <sheetData sheetId="14247" refreshError="1"/>
      <sheetData sheetId="14248" refreshError="1"/>
      <sheetData sheetId="14249" refreshError="1"/>
      <sheetData sheetId="14250" refreshError="1"/>
      <sheetData sheetId="14251" refreshError="1"/>
      <sheetData sheetId="14252" refreshError="1"/>
      <sheetData sheetId="14253" refreshError="1"/>
      <sheetData sheetId="14254" refreshError="1"/>
      <sheetData sheetId="14255" refreshError="1"/>
      <sheetData sheetId="14256" refreshError="1"/>
      <sheetData sheetId="14257" refreshError="1"/>
      <sheetData sheetId="14258" refreshError="1"/>
      <sheetData sheetId="14259" refreshError="1"/>
      <sheetData sheetId="14260" refreshError="1"/>
      <sheetData sheetId="14261" refreshError="1"/>
      <sheetData sheetId="14262" refreshError="1"/>
      <sheetData sheetId="14263" refreshError="1"/>
      <sheetData sheetId="14264" refreshError="1"/>
      <sheetData sheetId="14265" refreshError="1"/>
      <sheetData sheetId="14266" refreshError="1"/>
      <sheetData sheetId="14267" refreshError="1"/>
      <sheetData sheetId="14268" refreshError="1"/>
      <sheetData sheetId="14269" refreshError="1"/>
      <sheetData sheetId="14270" refreshError="1"/>
      <sheetData sheetId="14271" refreshError="1"/>
      <sheetData sheetId="14272" refreshError="1"/>
      <sheetData sheetId="14273" refreshError="1"/>
      <sheetData sheetId="14274" refreshError="1"/>
      <sheetData sheetId="14275" refreshError="1"/>
      <sheetData sheetId="14276" refreshError="1"/>
      <sheetData sheetId="14277" refreshError="1"/>
      <sheetData sheetId="14278" refreshError="1"/>
      <sheetData sheetId="14279" refreshError="1"/>
      <sheetData sheetId="14280" refreshError="1"/>
      <sheetData sheetId="14281" refreshError="1"/>
      <sheetData sheetId="14282" refreshError="1"/>
      <sheetData sheetId="14283" refreshError="1"/>
      <sheetData sheetId="14284" refreshError="1"/>
      <sheetData sheetId="14285" refreshError="1"/>
      <sheetData sheetId="14286" refreshError="1"/>
      <sheetData sheetId="14287" refreshError="1"/>
      <sheetData sheetId="14288" refreshError="1"/>
      <sheetData sheetId="14289" refreshError="1"/>
      <sheetData sheetId="14290" refreshError="1"/>
      <sheetData sheetId="14291" refreshError="1"/>
      <sheetData sheetId="14292" refreshError="1"/>
      <sheetData sheetId="14293" refreshError="1"/>
      <sheetData sheetId="14294" refreshError="1"/>
      <sheetData sheetId="14295" refreshError="1"/>
      <sheetData sheetId="14296" refreshError="1"/>
      <sheetData sheetId="14297" refreshError="1"/>
      <sheetData sheetId="14298" refreshError="1"/>
      <sheetData sheetId="14299" refreshError="1"/>
      <sheetData sheetId="14300" refreshError="1"/>
      <sheetData sheetId="14301" refreshError="1"/>
      <sheetData sheetId="14302" refreshError="1"/>
      <sheetData sheetId="14303" refreshError="1"/>
      <sheetData sheetId="14304" refreshError="1"/>
      <sheetData sheetId="14305" refreshError="1"/>
      <sheetData sheetId="14306" refreshError="1"/>
      <sheetData sheetId="14307" refreshError="1"/>
      <sheetData sheetId="14308" refreshError="1"/>
      <sheetData sheetId="14309" refreshError="1"/>
      <sheetData sheetId="14310" refreshError="1"/>
      <sheetData sheetId="14311" refreshError="1"/>
      <sheetData sheetId="14312" refreshError="1"/>
      <sheetData sheetId="14313" refreshError="1"/>
      <sheetData sheetId="14314" refreshError="1"/>
      <sheetData sheetId="14315" refreshError="1"/>
      <sheetData sheetId="14316" refreshError="1"/>
      <sheetData sheetId="14317" refreshError="1"/>
      <sheetData sheetId="14318" refreshError="1"/>
      <sheetData sheetId="14319" refreshError="1"/>
      <sheetData sheetId="14320" refreshError="1"/>
      <sheetData sheetId="14321" refreshError="1"/>
      <sheetData sheetId="14322" refreshError="1"/>
      <sheetData sheetId="14323" refreshError="1"/>
      <sheetData sheetId="14324" refreshError="1"/>
      <sheetData sheetId="14325" refreshError="1"/>
      <sheetData sheetId="14326" refreshError="1"/>
      <sheetData sheetId="14327" refreshError="1"/>
      <sheetData sheetId="14328" refreshError="1"/>
      <sheetData sheetId="14329" refreshError="1"/>
      <sheetData sheetId="14330" refreshError="1"/>
      <sheetData sheetId="14331" refreshError="1"/>
      <sheetData sheetId="14332" refreshError="1"/>
      <sheetData sheetId="14333" refreshError="1"/>
      <sheetData sheetId="14334" refreshError="1"/>
      <sheetData sheetId="14335" refreshError="1"/>
      <sheetData sheetId="14336" refreshError="1"/>
      <sheetData sheetId="14337" refreshError="1"/>
      <sheetData sheetId="14338" refreshError="1"/>
      <sheetData sheetId="14339" refreshError="1"/>
      <sheetData sheetId="14340" refreshError="1"/>
      <sheetData sheetId="14341" refreshError="1"/>
      <sheetData sheetId="14342" refreshError="1"/>
      <sheetData sheetId="14343"/>
      <sheetData sheetId="14344" refreshError="1"/>
      <sheetData sheetId="14345" refreshError="1"/>
      <sheetData sheetId="14346" refreshError="1"/>
      <sheetData sheetId="14347" refreshError="1"/>
      <sheetData sheetId="14348" refreshError="1"/>
      <sheetData sheetId="14349" refreshError="1"/>
      <sheetData sheetId="14350" refreshError="1"/>
      <sheetData sheetId="14351" refreshError="1"/>
      <sheetData sheetId="14352" refreshError="1"/>
      <sheetData sheetId="14353" refreshError="1"/>
      <sheetData sheetId="14354" refreshError="1"/>
      <sheetData sheetId="14355" refreshError="1"/>
      <sheetData sheetId="14356" refreshError="1"/>
      <sheetData sheetId="14357" refreshError="1"/>
      <sheetData sheetId="14358" refreshError="1"/>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efreshError="1"/>
      <sheetData sheetId="14484" refreshError="1"/>
      <sheetData sheetId="14485" refreshError="1"/>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Cover"/>
      <sheetName val="Valuation"/>
      <sheetName val="Assumptions"/>
      <sheetName val="US Expansion Model"/>
      <sheetName val="Capex Schedule"/>
      <sheetName val="Graphs"/>
      <sheetName val="Plant Revenue"/>
      <sheetName val="Plant - Op Stats"/>
      <sheetName val="Plant IS - Stats"/>
    </sheetNames>
    <sheetDataSet>
      <sheetData sheetId="0"/>
      <sheetData sheetId="1"/>
      <sheetData sheetId="2">
        <row r="5">
          <cell r="U5">
            <v>1</v>
          </cell>
        </row>
      </sheetData>
      <sheetData sheetId="3"/>
      <sheetData sheetId="4"/>
      <sheetData sheetId="5"/>
      <sheetData sheetId="6"/>
      <sheetData sheetId="7"/>
      <sheetData sheetId="8"/>
    </sheetDataSet>
  </externalBook>
</externalLink>
</file>

<file path=xl/externalLinks/externalLink31.xml><?xml version="1.0" encoding="utf-8"?>
<externalLink xmlns="http://schemas.openxmlformats.org/spreadsheetml/2006/main">
  <externalBook xmlns:r="http://schemas.openxmlformats.org/officeDocument/2006/relationships" r:id="rId1">
    <sheetNames>
      <sheetName val="Cover"/>
      <sheetName val="Model"/>
      <sheetName val="Detailed Build Assumptions"/>
      <sheetName val="General Assumptions"/>
      <sheetName val="Summary Output"/>
      <sheetName val="Scenarios"/>
      <sheetName val="Consolidated Revenue Build"/>
      <sheetName val="Capex Schedule"/>
      <sheetName val="Branch Metrics"/>
      <sheetName val="IC Memo Outputs&gt;&gt;"/>
      <sheetName val="PB_CACHE"/>
      <sheetName val="Summary IS"/>
      <sheetName val="Value Creation"/>
      <sheetName val="Cap Table"/>
      <sheetName val="Alpha Balance Sheet Output"/>
      <sheetName val="Balance Sheet Output"/>
      <sheetName val="Cash Flow Statement"/>
      <sheetName val="Bridges"/>
      <sheetName val="Debt Schedules"/>
      <sheetName val="M&amp;A Summary"/>
      <sheetName val="From Company&gt;"/>
      <sheetName val="P&amp;L"/>
      <sheetName val="BS"/>
      <sheetName val="P&amp;L (2)"/>
      <sheetName val="BS (2)"/>
      <sheetName val="CFS"/>
      <sheetName val="Dec YE Draft "/>
      <sheetName val="Additions "/>
      <sheetName val="Team"/>
      <sheetName val="Product Availability"/>
      <sheetName val="ALL DIV - Rev"/>
      <sheetName val="ALL DIV - Raw"/>
      <sheetName val="KPIs PPT"/>
      <sheetName val="Financial Summary KPIs"/>
      <sheetName val="Annual Targets"/>
      <sheetName val="Quarterly Targets"/>
      <sheetName val="Financial Summary KPIs Current"/>
      <sheetName val="Financial Summary KPIs 12Fcst"/>
      <sheetName val="Balance Sheet"/>
      <sheetName val="Cash Flow"/>
      <sheetName val="Approvals Capex"/>
    </sheetNames>
    <sheetDataSet>
      <sheetData sheetId="0"/>
      <sheetData sheetId="1"/>
      <sheetData sheetId="2"/>
      <sheetData sheetId="3" refreshError="1">
        <row r="6">
          <cell r="F6">
            <v>43465</v>
          </cell>
          <cell r="M6">
            <v>0.22</v>
          </cell>
        </row>
        <row r="8">
          <cell r="F8">
            <v>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2.xml><?xml version="1.0" encoding="utf-8"?>
<externalLink xmlns="http://schemas.openxmlformats.org/spreadsheetml/2006/main">
  <externalBook xmlns:r="http://schemas.openxmlformats.org/officeDocument/2006/relationships" r:id="rId1">
    <sheetNames>
      <sheetName val="Control"/>
      <sheetName val="Financial Summary"/>
      <sheetName val="Financial Statements"/>
      <sheetName val="Chart - NPV"/>
      <sheetName val="Chart - Project Costs"/>
      <sheetName val="Chart - Optg Costs"/>
      <sheetName val="Table - Utility Loads"/>
      <sheetName val="Apparel Unit Costs"/>
      <sheetName val="PS&amp;M Unit Costs"/>
      <sheetName val="Table - Unit Costs"/>
      <sheetName val="Table 2 - Unit Costs"/>
      <sheetName val="Chart - NPV (2)"/>
      <sheetName val="Chart - Project Costs (2)"/>
      <sheetName val="Chart - Optg Costs (2)"/>
      <sheetName val="Investment"/>
      <sheetName val="Depreciation"/>
      <sheetName val="Utility Loads"/>
      <sheetName val="Coal Options"/>
      <sheetName val="Gas Options"/>
      <sheetName val="Summary"/>
      <sheetName val="Prices"/>
      <sheetName val="Commodity and Assumptions"/>
      <sheetName val="Prices in $perMMBtu"/>
      <sheetName val="Price Page Factors"/>
      <sheetName val="Headcount 1&amp;1A "/>
      <sheetName val="Headcount 2&amp;2A"/>
      <sheetName val="Headcount 3"/>
      <sheetName val="Headcount 4"/>
      <sheetName val="Headcount 5"/>
      <sheetName val="Maintenance"/>
      <sheetName val="MACT Summary"/>
      <sheetName val="MACT Fixed O&amp;M"/>
      <sheetName val="Abandon"/>
    </sheetNames>
    <sheetDataSet>
      <sheetData sheetId="0">
        <row r="19">
          <cell r="D19">
            <v>2</v>
          </cell>
        </row>
        <row r="379">
          <cell r="F379">
            <v>2</v>
          </cell>
        </row>
        <row r="389">
          <cell r="F389">
            <v>2</v>
          </cell>
        </row>
        <row r="399">
          <cell r="F399">
            <v>2</v>
          </cell>
        </row>
        <row r="409">
          <cell r="F409">
            <v>2</v>
          </cell>
        </row>
        <row r="419">
          <cell r="F419">
            <v>2</v>
          </cell>
        </row>
        <row r="429">
          <cell r="F429">
            <v>2</v>
          </cell>
        </row>
        <row r="439">
          <cell r="F439">
            <v>2</v>
          </cell>
        </row>
        <row r="449">
          <cell r="F449">
            <v>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9">
          <cell r="D9" t="str">
            <v>CFCEBCase 1</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v>5</v>
          </cell>
        </row>
        <row r="4">
          <cell r="A4">
            <v>26</v>
          </cell>
        </row>
        <row r="5">
          <cell r="A5">
            <v>6.3840000000000003</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3.xml><?xml version="1.0" encoding="utf-8"?>
<externalLink xmlns="http://schemas.openxmlformats.org/spreadsheetml/2006/main">
  <externalBook xmlns:r="http://schemas.openxmlformats.org/officeDocument/2006/relationships" r:id="rId1">
    <sheetNames>
      <sheetName val="Deal Control Rocket"/>
      <sheetName val="Operation Control Rocket"/>
      <sheetName val="Deal Control"/>
      <sheetName val="Operation Control"/>
      <sheetName val="Technology Plan Control"/>
      <sheetName val="Sensitivity Control"/>
      <sheetName val="Assumptions"/>
      <sheetName val="SGI Proforma Control"/>
      <sheetName val="Dashboard"/>
      <sheetName val="Synergy Detail"/>
      <sheetName val="Sensitivity Summary"/>
      <sheetName val="Cap Ex Summary"/>
      <sheetName val="TargetCo Equity Holders"/>
      <sheetName val="Cap Table -Sensitivity"/>
      <sheetName val="Cap Table"/>
      <sheetName val="BS Roll forward "/>
      <sheetName val="Combined BS"/>
      <sheetName val="Combined CF"/>
      <sheetName val="Combined IS 2012-2018"/>
      <sheetName val="NewCo Proforma IS"/>
      <sheetName val="SGI HerbCo Rocket Monthly Total"/>
      <sheetName val="Rocket Deal Costs and Synergy"/>
      <sheetName val="SGI HerbCo Monthly Total"/>
      <sheetName val="Newco Tech Plan"/>
      <sheetName val="Newco Sensitivity down side"/>
      <sheetName val="Newco New Business"/>
      <sheetName val="Newco Deal Costs and Synergies"/>
      <sheetName val="Newco Without Deal costs"/>
      <sheetName val="2016 HerbCo Monthly Budget"/>
      <sheetName val="2016 Herbco Location"/>
      <sheetName val="2015 Herbco Loc"/>
      <sheetName val="2015 SG Format (% by Month)"/>
      <sheetName val="2015 HerbCo by Loc"/>
      <sheetName val="HC BS"/>
      <sheetName val="2016 SGI Monthly  Forecast"/>
      <sheetName val="SGI Income Statement 2012-18"/>
      <sheetName val="SGI IS Standalone Proforma"/>
      <sheetName val="2015 SGI Location Act"/>
      <sheetName val="SGI Balance Sheet 15"/>
      <sheetName val="Depreciation 15 yr"/>
      <sheetName val="Depreciation 7 yr"/>
      <sheetName val="Depreciation 5 yr"/>
      <sheetName val="Drop downs"/>
      <sheetName val="Depreciation 7 yr Rocket"/>
      <sheetName val="Depr Rocket Acqisition"/>
      <sheetName val="Depreciation 5 yr Rocket"/>
      <sheetName val="Depreciation 15 yr Rocket"/>
      <sheetName val="Customer Concentration"/>
      <sheetName val="First Bank"/>
      <sheetName val="New Loan 1"/>
      <sheetName val="Debt Consideration"/>
      <sheetName val="Robert Maust Payment History"/>
      <sheetName val="HC-Notes"/>
      <sheetName val="HC Vehicle Loans"/>
      <sheetName val="HC Shareholder"/>
      <sheetName val="Tim Heydon payment history"/>
      <sheetName val="Market Share Calcs"/>
      <sheetName val="SGI HC LOC"/>
      <sheetName val="HC Debt inflow"/>
    </sheetNames>
    <sheetDataSet>
      <sheetData sheetId="0">
        <row r="26">
          <cell r="D26">
            <v>3</v>
          </cell>
        </row>
      </sheetData>
      <sheetData sheetId="1">
        <row r="1">
          <cell r="G1">
            <v>0</v>
          </cell>
        </row>
        <row r="6">
          <cell r="K6" t="str">
            <v>Dec '16</v>
          </cell>
        </row>
      </sheetData>
      <sheetData sheetId="2"/>
      <sheetData sheetId="3">
        <row r="6">
          <cell r="J6">
            <v>0.34</v>
          </cell>
        </row>
      </sheetData>
      <sheetData sheetId="4">
        <row r="23">
          <cell r="C23">
            <v>1</v>
          </cell>
        </row>
      </sheetData>
      <sheetData sheetId="5">
        <row r="4">
          <cell r="C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ow r="9">
          <cell r="P9">
            <v>117679248.31303501</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ow r="2">
          <cell r="A2" t="str">
            <v>SGI-VA Farm</v>
          </cell>
          <cell r="C2" t="str">
            <v>SGI</v>
          </cell>
          <cell r="G2" t="str">
            <v>Integration Cost</v>
          </cell>
        </row>
        <row r="3">
          <cell r="A3" t="str">
            <v>SGI-VA RT 11</v>
          </cell>
          <cell r="C3" t="str">
            <v>Herbco</v>
          </cell>
          <cell r="G3" t="str">
            <v>Synergy</v>
          </cell>
        </row>
        <row r="4">
          <cell r="A4" t="str">
            <v>SGI-VA HQ</v>
          </cell>
          <cell r="C4" t="str">
            <v>Newco</v>
          </cell>
          <cell r="G4" t="str">
            <v>One time savings</v>
          </cell>
        </row>
        <row r="5">
          <cell r="A5" t="str">
            <v>SGI-VA Indy</v>
          </cell>
          <cell r="G5" t="str">
            <v>Capital</v>
          </cell>
        </row>
        <row r="6">
          <cell r="A6" t="str">
            <v>SGI-Indy</v>
          </cell>
          <cell r="G6" t="str">
            <v>Other</v>
          </cell>
        </row>
        <row r="7">
          <cell r="A7" t="str">
            <v>SGI-Dallas</v>
          </cell>
        </row>
        <row r="8">
          <cell r="A8" t="str">
            <v>SGI-Atl</v>
          </cell>
        </row>
        <row r="9">
          <cell r="A9" t="str">
            <v>Herbco- Arizona</v>
          </cell>
        </row>
        <row r="10">
          <cell r="A10" t="str">
            <v>Herbco- Colorado</v>
          </cell>
        </row>
        <row r="11">
          <cell r="A11" t="str">
            <v>Herbco- Georgia</v>
          </cell>
        </row>
        <row r="12">
          <cell r="A12" t="str">
            <v>Herbco- Michigan</v>
          </cell>
        </row>
        <row r="13">
          <cell r="A13" t="str">
            <v>Herbco- Texas</v>
          </cell>
        </row>
        <row r="14">
          <cell r="A14" t="str">
            <v>Herbco- Washington</v>
          </cell>
        </row>
        <row r="15">
          <cell r="A15" t="str">
            <v>Herbco- HQ</v>
          </cell>
        </row>
        <row r="16">
          <cell r="A16" t="str">
            <v>Newco-HQ</v>
          </cell>
        </row>
      </sheetData>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externalLinks/externalLink34.xml><?xml version="1.0" encoding="utf-8"?>
<externalLink xmlns="http://schemas.openxmlformats.org/spreadsheetml/2006/main">
  <externalBook xmlns:r="http://schemas.openxmlformats.org/officeDocument/2006/relationships" r:id="rId1">
    <sheetNames>
      <sheetName val="Bal Sheet"/>
      <sheetName val="Equity"/>
      <sheetName val="CashFlow"/>
      <sheetName val="Consolid P&amp;Ls"/>
      <sheetName val="Footnotes"/>
      <sheetName val="D&amp;B"/>
      <sheetName val="Construct"/>
      <sheetName val="NJ Construction"/>
      <sheetName val="NE Construction"/>
      <sheetName val="Engineering"/>
      <sheetName val="OPs- Canada"/>
      <sheetName val="db hqt"/>
      <sheetName val="Total Ops"/>
      <sheetName val="data"/>
      <sheetName val="OPs- NJ"/>
      <sheetName val="OPs- NE"/>
      <sheetName val="OPs- MN"/>
      <sheetName val="PECOM OH"/>
      <sheetName val="Ops- PSI"/>
      <sheetName val="Ops- Magic Hat"/>
      <sheetName val="Tech"/>
      <sheetName val="IM"/>
      <sheetName val="Biz Dev"/>
      <sheetName val="Corp-Elims"/>
      <sheetName val="Trial"/>
      <sheetName val="PL Links"/>
      <sheetName val="QTD calc"/>
      <sheetName val="TietoCP"/>
      <sheetName val="Detail Act vs bud"/>
      <sheetName val="2pcdecode"/>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5.xml><?xml version="1.0" encoding="utf-8"?>
<externalLink xmlns="http://schemas.openxmlformats.org/spreadsheetml/2006/main">
  <externalBook xmlns:r="http://schemas.openxmlformats.org/officeDocument/2006/relationships" r:id="rId1">
    <sheetNames>
      <sheetName val="INQ"/>
      <sheetName val="Price"/>
      <sheetName val="INQ Shareholders"/>
      <sheetName val="Assum"/>
      <sheetName val="BS Con"/>
      <sheetName val="CWST"/>
      <sheetName val="Inputs"/>
      <sheetName val="AcqIS"/>
      <sheetName val="AcqBSCF"/>
      <sheetName val="ConsolIS"/>
      <sheetName val="Sheet2"/>
      <sheetName val="Sheet3"/>
      <sheetName val="Acq_IS"/>
      <sheetName val="Lg-Cap &amp; Int'l"/>
      <sheetName val="TransAssumptions"/>
      <sheetName val="PURCHAS1"/>
      <sheetName val="Comps"/>
      <sheetName val="Sens"/>
      <sheetName val="Sheet1"/>
      <sheetName val="TEST"/>
      <sheetName val="PriceSyn"/>
      <sheetName val="KENLBOPK"/>
      <sheetName val="Humminbird IS"/>
      <sheetName val="Control"/>
      <sheetName val="Merger"/>
      <sheetName val="INQ%20Shareholders.x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6.xml><?xml version="1.0" encoding="utf-8"?>
<externalLink xmlns="http://schemas.openxmlformats.org/spreadsheetml/2006/main">
  <externalBook xmlns:r="http://schemas.openxmlformats.org/officeDocument/2006/relationships" r:id="rId1">
    <sheetNames>
      <sheetName val="lumileds1"/>
      <sheetName val="Guide"/>
      <sheetName val="AACLIENT"/>
      <sheetName val="Cash Flow Details current param"/>
      <sheetName val="Cash Flow Details old param."/>
      <sheetName val="Index"/>
      <sheetName val="Replevels"/>
      <sheetName val="Sheet1"/>
      <sheetName val="Sheet2"/>
      <sheetName val="Sheet3"/>
      <sheetName val="T-6"/>
      <sheetName val="T-8"/>
      <sheetName val="gross_w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 sheetId="12" refreshError="1"/>
    </sheetDataSet>
  </externalBook>
</externalLink>
</file>

<file path=xl/externalLinks/externalLink37.xml><?xml version="1.0" encoding="utf-8"?>
<externalLink xmlns="http://schemas.openxmlformats.org/spreadsheetml/2006/main">
  <externalBook xmlns:r="http://schemas.openxmlformats.org/officeDocument/2006/relationships" r:id="rId1">
    <sheetNames>
      <sheetName val="pcBookData"/>
      <sheetName val="pcQueryData"/>
      <sheetName val="_pcSlicerSheet"/>
      <sheetName val="_pcHiddenSheet1"/>
      <sheetName val="_pcSlicerSheet1"/>
      <sheetName val="_pcHiddenSheet2"/>
      <sheetName val="_pcSlicerSheet2"/>
      <sheetName val="_pcHiddenSheet3"/>
      <sheetName val="_pcSlicerSheet3"/>
      <sheetName val="_pcHiddenSheet4"/>
      <sheetName val="Sheet1"/>
      <sheetName val="Sheet2"/>
      <sheetName val="Sheet3"/>
      <sheetName val="Assumptions"/>
      <sheetName val="Model"/>
      <sheetName val="Sr. Team Proclarity Test 5"/>
      <sheetName val="Department Mapping"/>
      <sheetName val="Drypers Beta"/>
      <sheetName val="BSMONTH"/>
      <sheetName val="Legend and Connection Settings"/>
      <sheetName val="Finance Calc"/>
      <sheetName val="Domino Server Summary"/>
      <sheetName val="RESUL106"/>
      <sheetName val="BEV"/>
      <sheetName val="HP Detail"/>
      <sheetName val="Deluxe Rev FY01"/>
      <sheetName val="Summary P&amp;L"/>
      <sheetName val="Formulas"/>
      <sheetName val="Vacation List"/>
      <sheetName val="PCI Cash Flows"/>
      <sheetName val="PEACH"/>
      <sheetName val="LBO Summ"/>
      <sheetName val="TEST"/>
      <sheetName val="MERGER1"/>
      <sheetName val="One-Pager"/>
      <sheetName val="Dashboard Ca"/>
      <sheetName val="LBOLONG"/>
      <sheetName val="Sales Seasonality by Month"/>
      <sheetName val="AACLIENT"/>
      <sheetName val="RESULTADOS DIC 1999-1998"/>
      <sheetName val="Settings"/>
      <sheetName val="Data"/>
      <sheetName val="Working Capital Projection"/>
      <sheetName val="Cover"/>
      <sheetName val="2018 Budget Input "/>
      <sheetName val="SUMMARY"/>
      <sheetName val=" SI &amp; OU"/>
      <sheetName val="NCR-GDNG by Rest."/>
      <sheetName val="hig0905 (2)"/>
      <sheetName val="Lookups"/>
      <sheetName val="General Assumptions"/>
      <sheetName val="BMS2"/>
      <sheetName val="Admin"/>
      <sheetName val="P&amp;L Calcs"/>
      <sheetName val="P&amp;L Act Bud"/>
      <sheetName val="Forecast Inputs"/>
      <sheetName val="ePSM BOB Data Page"/>
      <sheetName val="Rx Key Stat by Generic page"/>
      <sheetName val="ePSM Header Data Page"/>
      <sheetName val="Data Availability page"/>
      <sheetName val="HPD page"/>
      <sheetName val="Med Cat - Curr page"/>
      <sheetName val="ePSM Medical Data Page"/>
      <sheetName val="ePSM Fund Code"/>
      <sheetName val="DECINV"/>
      <sheetName val="FEBINV"/>
      <sheetName val="FISHCAT"/>
      <sheetName val="INVENTORY"/>
      <sheetName val="JANINV"/>
      <sheetName val="PURCHASES"/>
      <sheetName val="DeptNum"/>
      <sheetName val="JE's"/>
      <sheetName val="synthgraph"/>
      <sheetName val="Cardon Standalone"/>
      <sheetName val="Combined"/>
      <sheetName val="SumCardon"/>
      <sheetName val="CRITERIA1"/>
      <sheetName val="Detail"/>
      <sheetName val="YTD - Consolidated"/>
      <sheetName val="Lists"/>
      <sheetName val="CAP"/>
      <sheetName val="2012"/>
      <sheetName val="2013"/>
      <sheetName val="2014"/>
      <sheetName val="FML AR Summary 092707"/>
      <sheetName val="Bal Sheet Yr 1"/>
      <sheetName val="Bal Sheet Yr 2"/>
      <sheetName val="PACKDESIGN"/>
      <sheetName val="BS_IS"/>
      <sheetName val="D"/>
      <sheetName val="Customize Your Loan Manager"/>
      <sheetName val="Loan Amortization Table"/>
      <sheetName val="Amortization Schedules"/>
      <sheetName val="INQ"/>
      <sheetName val="Bowmgmt Proforma"/>
      <sheetName val="Input"/>
      <sheetName val="Pre Oracle Revenue Data"/>
      <sheetName val="Lookup"/>
      <sheetName val="Billing_Summary"/>
      <sheetName val="Lonetree P&amp;L"/>
      <sheetName val="Competitors"/>
      <sheetName val="Customers"/>
      <sheetName val="Employees"/>
      <sheetName val="Facilities"/>
      <sheetName val="Management"/>
      <sheetName val="Suppliers"/>
      <sheetName val="WC analytics (+data pages)"/>
      <sheetName val="Home Tab"/>
      <sheetName val="Detailed Adjustments"/>
      <sheetName val="Training Assumptions"/>
      <sheetName val="PS Assumptions"/>
      <sheetName val="workingcap"/>
      <sheetName val="inputs"/>
      <sheetName val="Product Options"/>
      <sheetName val="Revsum-Dex"/>
      <sheetName val="Revsum Metro"/>
      <sheetName val="Revsum United"/>
      <sheetName val="Lead"/>
      <sheetName val="auxiliar de inventarios"/>
      <sheetName val="Customize Your Invoice"/>
      <sheetName val="1"/>
      <sheetName val="USDDEM"/>
      <sheetName val="KUR"/>
      <sheetName val="CENSUS DATA"/>
      <sheetName val="DBBUD95"/>
      <sheetName val="Sr__Team_Proclarity_Test_5"/>
      <sheetName val="Legend_and_Connection_Settings"/>
      <sheetName val="Finance_Calc"/>
      <sheetName val="Domino_Server_Summary"/>
      <sheetName val="Drypers_Beta"/>
      <sheetName val="Department_Mapping"/>
      <sheetName val="Summary_P&amp;L"/>
      <sheetName val="Vacation_List"/>
      <sheetName val="NCR-GDNG_by_Rest_"/>
      <sheetName val="hig0905_(2)"/>
      <sheetName val="_SI_&amp;_OU"/>
      <sheetName val="General_Assumptions"/>
      <sheetName val="P&amp;L_Calcs"/>
      <sheetName val="P&amp;L_Act_Bud"/>
      <sheetName val="Forecast_Inputs"/>
      <sheetName val="comps (2)"/>
      <sheetName val="Control"/>
      <sheetName val="IRR"/>
      <sheetName val="Summary-Monthly Depreciation"/>
      <sheetName val="EBITDA Bridge - Mgmt"/>
      <sheetName val="LBO"/>
      <sheetName val="2010-2015"/>
      <sheetName val="Annual"/>
      <sheetName val="HP_Detail"/>
      <sheetName val="Deluxe_Rev_FY01"/>
      <sheetName val="EBITDA bridge"/>
      <sheetName val="PL11"/>
      <sheetName val="Old NSA Volume"/>
      <sheetName val="Old Median Price"/>
      <sheetName val="Old Volume"/>
      <sheetName val="Condo Price"/>
      <sheetName val="ITSL IS"/>
      <sheetName val="ITSN IS"/>
      <sheetName val="Holdings IS"/>
      <sheetName val="Acquisitions IS"/>
      <sheetName val="GBL IS"/>
      <sheetName val="Elim's IS"/>
      <sheetName val="Drop Down Data Sets"/>
      <sheetName val="sumry 01-27 gri"/>
      <sheetName val="YTD_-_Consolidated"/>
      <sheetName val="PCI_Cash_Flows"/>
      <sheetName val="LBO_Summ"/>
      <sheetName val="Dashboard_Ca"/>
      <sheetName val="Cardon_Standalone"/>
      <sheetName val="Working_Capital_Projection"/>
      <sheetName val="Bal_Sheet_Yr_1"/>
      <sheetName val="Bal_Sheet_Yr_2"/>
      <sheetName val="RESULTADOS_DIC_1999-1998"/>
      <sheetName val="Sales_Seasonality_by_Month"/>
      <sheetName val="IS"/>
      <sheetName val="Original Andrew___Data"/>
      <sheetName val="A"/>
      <sheetName val="sales 2003"/>
      <sheetName val="STFGRIE"/>
      <sheetName val="Summary by Dept."/>
      <sheetName val="DebtInput"/>
      <sheetName val="BD"/>
      <sheetName val="#REF"/>
      <sheetName val="Sch 6"/>
      <sheetName val="Original pull"/>
      <sheetName val="Cover Page"/>
      <sheetName val="2018_Budget_Input_"/>
      <sheetName val="ePSM_BOB_Data_Page"/>
      <sheetName val="Rx_Key_Stat_by_Generic_page"/>
      <sheetName val="ePSM_Header_Data_Page"/>
      <sheetName val="Data_Availability_page"/>
      <sheetName val="HPD_page"/>
      <sheetName val="Med_Cat_-_Curr_page"/>
      <sheetName val="ePSM_Medical_Data_Page"/>
      <sheetName val="ePSM_Fund_Code"/>
      <sheetName val="Pre_Oracle_Revenue_Data"/>
      <sheetName val="Bowmgmt_Proforma"/>
      <sheetName val="FML_AR_Summary_092707"/>
      <sheetName val="Customize_Your_Loan_Manager"/>
      <sheetName val="Loan_Amortization_Table"/>
      <sheetName val="Amortization_Schedules"/>
      <sheetName val="Training_Assumptions"/>
      <sheetName val="PS_Assumptions"/>
      <sheetName val="Product_Options"/>
      <sheetName val="Lonetree_P&amp;L"/>
      <sheetName val="comps_(2)"/>
      <sheetName val="Revsum_Metro"/>
      <sheetName val="Revsum_United"/>
      <sheetName val="Home_Tab"/>
      <sheetName val="Summary-Monthly_Depreciation"/>
      <sheetName val="Capex"/>
      <sheetName val="WC_analytics_(+data_pages)"/>
      <sheetName val="Detailed_Adjustments"/>
      <sheetName val="EBITDA_bridge"/>
      <sheetName val="Old_NSA_Volume"/>
      <sheetName val="Old_Median_Price"/>
      <sheetName val="Old_Volume"/>
      <sheetName val="Condo_Price"/>
      <sheetName val="EBITDA_Bridge_-_Mgmt"/>
      <sheetName val="Customize_Your_Invoice"/>
      <sheetName val="CENSUS_DATA"/>
      <sheetName val="ITSL_IS"/>
      <sheetName val="ITSN_IS"/>
      <sheetName val="Holdings_IS"/>
      <sheetName val="Acquisitions_IS"/>
      <sheetName val="GBL_IS"/>
      <sheetName val="Elim's_IS"/>
      <sheetName val="Income Statements"/>
      <sheetName val="Account_lookup"/>
      <sheetName val="Customer_Lookup1"/>
      <sheetName val="Comps"/>
      <sheetName val="Profitability"/>
      <sheetName val="IS (I)"/>
      <sheetName val="CH 2003"/>
      <sheetName val="AW"/>
      <sheetName val="RSG"/>
      <sheetName val="&gt;PckgSetting&lt;"/>
      <sheetName val="Units"/>
      <sheetName val="Lookup-Item"/>
    </sheetNames>
    <sheetDataSet>
      <sheetData sheetId="0" refreshError="1"/>
      <sheetData sheetId="1" refreshError="1">
        <row r="6">
          <cell r="A6" t="str">
            <v>_Budget_for_Measure</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Set>
  </externalBook>
</externalLink>
</file>

<file path=xl/externalLinks/externalLink38.xml><?xml version="1.0" encoding="utf-8"?>
<externalLink xmlns="http://schemas.openxmlformats.org/spreadsheetml/2006/main">
  <externalBook xmlns:r="http://schemas.openxmlformats.org/officeDocument/2006/relationships" r:id="rId1">
    <sheetNames>
      <sheetName val="in 000s"/>
      <sheetName val="CP"/>
      <sheetName val="2016 Budget by Location"/>
      <sheetName val="RFH 2016 Sales Projection"/>
      <sheetName val="Sales by year"/>
      <sheetName val="IS - FCH VA"/>
      <sheetName val="IS - FCH BOS"/>
      <sheetName val="IS - FCH IN"/>
      <sheetName val="IS - FCH ATL"/>
      <sheetName val="IS - FL"/>
      <sheetName val="IS - FCH TX"/>
      <sheetName val="IS - CAL"/>
      <sheetName val="IS - CAL FARM"/>
      <sheetName val="Total FCH"/>
      <sheetName val="IS "/>
      <sheetName val="IS - LOH VA"/>
      <sheetName val="IS -  LOH CAL"/>
      <sheetName val="IS -  FR BOS"/>
      <sheetName val="IS -  FR IN"/>
      <sheetName val="IS - FR Atlanta"/>
      <sheetName val="IS -  FR FL"/>
      <sheetName val="IS -  FR TX"/>
      <sheetName val="Total LOH"/>
      <sheetName val="TOTAL IS"/>
      <sheetName val="TOTAL CF"/>
      <sheetName val="RF BS raw"/>
      <sheetName val="RF BS"/>
      <sheetName val="TOTAL BAL SHEET"/>
      <sheetName val="Consolidating BS"/>
      <sheetName val="Comparison"/>
      <sheetName val="Cap Table"/>
      <sheetName val="Key Metrics"/>
      <sheetName val="12-2015 Ret vs FS"/>
      <sheetName val="SG&amp;A 2016-2018"/>
      <sheetName val="Interest allocations"/>
      <sheetName val="CB"/>
      <sheetName val="Loan Summary"/>
      <sheetName val="Primary Loan"/>
      <sheetName val="Merger Loan"/>
      <sheetName val="RFH IS 2016 PROJECTION"/>
      <sheetName val="RFH Balance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ow r="4">
          <cell r="D4">
            <v>8000000</v>
          </cell>
          <cell r="I4">
            <v>62226.553416824863</v>
          </cell>
        </row>
        <row r="5">
          <cell r="D5">
            <v>4.7500000000000001E-2</v>
          </cell>
          <cell r="I5">
            <v>180</v>
          </cell>
        </row>
        <row r="6">
          <cell r="D6">
            <v>15</v>
          </cell>
        </row>
        <row r="7">
          <cell r="D7">
            <v>12</v>
          </cell>
        </row>
        <row r="8">
          <cell r="D8">
            <v>41897</v>
          </cell>
        </row>
        <row r="10">
          <cell r="D10">
            <v>0</v>
          </cell>
        </row>
      </sheetData>
      <sheetData sheetId="38">
        <row r="4">
          <cell r="D4">
            <v>7123552.1600000001</v>
          </cell>
          <cell r="I4">
            <v>55409.262375222272</v>
          </cell>
        </row>
        <row r="5">
          <cell r="D5">
            <v>4.7500000000000001E-2</v>
          </cell>
          <cell r="I5">
            <v>180</v>
          </cell>
        </row>
        <row r="6">
          <cell r="D6">
            <v>15</v>
          </cell>
        </row>
        <row r="7">
          <cell r="D7">
            <v>12</v>
          </cell>
        </row>
        <row r="8">
          <cell r="D8">
            <v>42370</v>
          </cell>
        </row>
        <row r="10">
          <cell r="D10">
            <v>0</v>
          </cell>
        </row>
      </sheetData>
      <sheetData sheetId="39"/>
      <sheetData sheetId="40"/>
    </sheetDataSet>
  </externalBook>
</externalLink>
</file>

<file path=xl/externalLinks/externalLink39.xml><?xml version="1.0" encoding="utf-8"?>
<externalLink xmlns="http://schemas.openxmlformats.org/spreadsheetml/2006/main">
  <externalBook xmlns:r="http://schemas.openxmlformats.org/officeDocument/2006/relationships" r:id="rId1">
    <sheetNames>
      <sheetName val="Depreciation AC install"/>
      <sheetName val="Depreciation new building"/>
      <sheetName val="Case Summary"/>
      <sheetName val="Control"/>
      <sheetName val="_zz_Waterfall_data"/>
      <sheetName val="NPV Walk Forward"/>
      <sheetName val="Case A"/>
      <sheetName val="Case B"/>
      <sheetName val="Case C"/>
      <sheetName val="Case D"/>
      <sheetName val="Case E"/>
      <sheetName val="Case F"/>
      <sheetName val="Case G"/>
      <sheetName val="Case H"/>
      <sheetName val="_zz_cascade_data"/>
      <sheetName val="Compairison"/>
      <sheetName val="Correct Walkforward"/>
      <sheetName val="Compairison (2)"/>
      <sheetName val="Make Safe"/>
      <sheetName val="Reference"/>
      <sheetName val="Disconnect cost"/>
      <sheetName val="BID Summary"/>
      <sheetName val="Sheet2"/>
      <sheetName val="PL Roll (2)"/>
      <sheetName val="CC PC and Loc"/>
      <sheetName val="DrillDown(5)"/>
      <sheetName val="DrillDown(6)"/>
      <sheetName val="DrillDown(13)"/>
      <sheetName val="DrillDown(35)"/>
      <sheetName val="DrillDown(36)"/>
      <sheetName val="DrillDown(38)"/>
      <sheetName val="DrillDown(39)"/>
      <sheetName val="DrillDown(40)"/>
      <sheetName val="DrillDown(41)"/>
      <sheetName val="PL SGI"/>
      <sheetName val="DrillDown(26)"/>
      <sheetName val="DrillDown(32)"/>
      <sheetName val="DrillDown(34)"/>
      <sheetName val="DrillDown(37)"/>
      <sheetName val="BS SGI"/>
      <sheetName val="CF SGI"/>
      <sheetName val="BS RHI"/>
      <sheetName val="PL RHI"/>
      <sheetName val="RHI CF"/>
      <sheetName val="BS HCI"/>
      <sheetName val="PL HCI"/>
      <sheetName val="CF HCI"/>
      <sheetName val="BS SWI"/>
      <sheetName val="PL SWI"/>
      <sheetName val="CF SWI"/>
      <sheetName val="BS SGB"/>
      <sheetName val="PL SGB"/>
      <sheetName val="CF SGB"/>
      <sheetName val="BS SGA"/>
      <sheetName val="PL SGA"/>
      <sheetName val="CF SGA"/>
      <sheetName val="BS SGH"/>
      <sheetName val="PL SGH"/>
      <sheetName val="CF SGH"/>
      <sheetName val="BS SGE"/>
      <sheetName val="PL SGE"/>
      <sheetName val="CF SGE"/>
      <sheetName val="PL Roll (3)"/>
      <sheetName val="PL Roll var"/>
      <sheetName val="PL Roll"/>
      <sheetName val="BS Roll"/>
      <sheetName val="CF Roll"/>
      <sheetName val="Sheet4"/>
      <sheetName val="Sheet1"/>
      <sheetName val="DrillDown(1)"/>
      <sheetName val="DrillDown(4)"/>
      <sheetName val="DrillDown(10)"/>
      <sheetName val="DrillDown(16)"/>
      <sheetName val="DrillDown(17)"/>
      <sheetName val="DrillDown(18)"/>
      <sheetName val="DrillDown(19)"/>
      <sheetName val="DrillDown(20)"/>
      <sheetName val="DrillDown(21)"/>
      <sheetName val="DrillDown(22)"/>
      <sheetName val="DrillDown(23)"/>
      <sheetName val="Sheet10 (2)"/>
      <sheetName val="Sheet10"/>
      <sheetName val="DrillDown(24)"/>
      <sheetName val="DrillDown(25)"/>
      <sheetName val="Duval Field"/>
      <sheetName val="Rice Field"/>
      <sheetName val="Mich Field"/>
      <sheetName val="Borego field"/>
      <sheetName val="DrillDown(27)"/>
      <sheetName val="DrillDown(28)"/>
      <sheetName val="DrillDown(29)"/>
      <sheetName val="DrillDown(30)"/>
      <sheetName val="DrillDown(31)"/>
      <sheetName val="MGT Pand L By Company"/>
      <sheetName val="DrillDown(7)"/>
      <sheetName val="DrillDown(8)"/>
      <sheetName val="DrillDown(9)"/>
      <sheetName val="DrillDown(11)"/>
      <sheetName val="DrillDown(12)"/>
      <sheetName val="DrillDown(14)"/>
      <sheetName val="DrillDown(15)"/>
      <sheetName val="DrillDown(33)"/>
      <sheetName val="MGT Pand L By Company (2)"/>
      <sheetName val="DrillDown(2)"/>
      <sheetName val="DrillDown(3)"/>
      <sheetName val="MGT Pand L By PC"/>
      <sheetName val="MGT Pand L By PC (2)"/>
      <sheetName val="consol HCI"/>
      <sheetName val="PNC Jan IS"/>
      <sheetName val="PNC Jan BS"/>
      <sheetName val="PNC Jan CF"/>
    </sheetNames>
    <sheetDataSet>
      <sheetData sheetId="0" refreshError="1"/>
      <sheetData sheetId="1" refreshError="1"/>
      <sheetData sheetId="2" refreshError="1"/>
      <sheetData sheetId="3">
        <row r="19">
          <cell r="B19">
            <v>0.4</v>
          </cell>
        </row>
        <row r="20">
          <cell r="B20">
            <v>5.5E-2</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Set>
  </externalBook>
</externalLink>
</file>

<file path=xl/externalLinks/externalLink40.xml><?xml version="1.0" encoding="utf-8"?>
<externalLink xmlns="http://schemas.openxmlformats.org/spreadsheetml/2006/main">
  <externalBook xmlns:r="http://schemas.openxmlformats.org/officeDocument/2006/relationships" r:id="rId1">
    <sheetNames>
      <sheetName val="Changes"/>
      <sheetName val="Football Field"/>
      <sheetName val="DCF"/>
      <sheetName val="Implied Valuation"/>
      <sheetName val="LBO"/>
      <sheetName val="EBITDA Add-Backs Output"/>
      <sheetName val="Assumptions"/>
      <sheetName val="Standalone"/>
      <sheetName val="Output"/>
      <sheetName val="Valuation Summary"/>
      <sheetName val="Output (2)"/>
      <sheetName val="Output (3)"/>
      <sheetName val="Source ----&gt;"/>
      <sheetName val="Capital expenditures"/>
      <sheetName val="Employee List"/>
      <sheetName val="Revenue Growth"/>
      <sheetName val="2014 YTD Numbers"/>
      <sheetName val="Revenue"/>
      <sheetName val="2014 LTM"/>
      <sheetName val="SSI - Monthly 2013"/>
      <sheetName val="SSI Aeration - 2013 Monthly"/>
      <sheetName val="2013 Seasonality"/>
      <sheetName val="EBITDA Add-Backs"/>
      <sheetName val="Revenue Pipeline"/>
    </sheetNames>
    <sheetDataSet>
      <sheetData sheetId="0" refreshError="1"/>
      <sheetData sheetId="1" refreshError="1"/>
      <sheetData sheetId="2" refreshError="1"/>
      <sheetData sheetId="3" refreshError="1"/>
      <sheetData sheetId="4" refreshError="1"/>
      <sheetData sheetId="5"/>
      <sheetData sheetId="6" refreshError="1"/>
      <sheetData sheetId="7">
        <row r="470">
          <cell r="G470">
            <v>3045386</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41.xml><?xml version="1.0" encoding="utf-8"?>
<externalLink xmlns="http://schemas.openxmlformats.org/spreadsheetml/2006/main">
  <externalBook xmlns:r="http://schemas.openxmlformats.org/officeDocument/2006/relationships" r:id="rId1">
    <sheetNames>
      <sheetName val="Companies"/>
      <sheetName val="People"/>
    </sheetNames>
    <sheetDataSet>
      <sheetData sheetId="0">
        <row r="12">
          <cell r="I12" t="str">
            <v>Google Inc.</v>
          </cell>
          <cell r="J12" t="str">
            <v>Google Ventures</v>
          </cell>
          <cell r="K12" t="str">
            <v>Google.Org</v>
          </cell>
          <cell r="L12" t="str">
            <v>Google Payment Corporation</v>
          </cell>
          <cell r="M12" t="str">
            <v>Google UK Limited</v>
          </cell>
          <cell r="O12" t="str">
            <v>IQ29096</v>
          </cell>
          <cell r="P12" t="str">
            <v>IQ54497244</v>
          </cell>
          <cell r="Q12" t="str">
            <v>IQ41630406</v>
          </cell>
          <cell r="R12" t="str">
            <v>IQ36335111</v>
          </cell>
          <cell r="S12" t="str">
            <v>IQ34899877</v>
          </cell>
        </row>
        <row r="13">
          <cell r="I13" t="str">
            <v>Microsoft Corporation</v>
          </cell>
          <cell r="J13" t="str">
            <v>Microsoft Advertising</v>
          </cell>
          <cell r="K13" t="str">
            <v>Microsoft Dynamics</v>
          </cell>
          <cell r="L13" t="str">
            <v>Microsoftware International Inc.</v>
          </cell>
          <cell r="M13" t="str">
            <v>Microsoft Canada Co.</v>
          </cell>
          <cell r="O13" t="str">
            <v>IQ21835</v>
          </cell>
          <cell r="P13" t="str">
            <v>IQ25325</v>
          </cell>
          <cell r="Q13" t="str">
            <v>IQ166906</v>
          </cell>
          <cell r="R13" t="str">
            <v>IQ6139756</v>
          </cell>
          <cell r="S13" t="str">
            <v>IQ4291060</v>
          </cell>
        </row>
        <row r="14">
          <cell r="O14" t="str">
            <v>IQ123891</v>
          </cell>
          <cell r="P14" t="str">
            <v>IQ5575384</v>
          </cell>
          <cell r="Q14" t="str">
            <v>IQ29160666</v>
          </cell>
          <cell r="R14" t="str">
            <v>IQ3277984</v>
          </cell>
          <cell r="S14" t="str">
            <v>IQ4662061</v>
          </cell>
        </row>
        <row r="15">
          <cell r="O15" t="str">
            <v>IQ22211534</v>
          </cell>
          <cell r="P15" t="str">
            <v>IQ313055</v>
          </cell>
          <cell r="Q15" t="str">
            <v>IQ93624</v>
          </cell>
          <cell r="R15" t="str">
            <v>IQ36451</v>
          </cell>
          <cell r="S15" t="str">
            <v>IQ191564</v>
          </cell>
        </row>
        <row r="16">
          <cell r="I16" t="str">
            <v>BP plc</v>
          </cell>
          <cell r="J16" t="str">
            <v>British Petroleum NA, Inc.</v>
          </cell>
          <cell r="K16" t="str">
            <v>British Petroleum Co., Colombia Ltd.</v>
          </cell>
          <cell r="L16" t="str">
            <v>BP Shipping Limited</v>
          </cell>
          <cell r="M16" t="str">
            <v>BP Products North America, Inc.</v>
          </cell>
          <cell r="O16" t="str">
            <v>IQ394466</v>
          </cell>
          <cell r="P16" t="str">
            <v>IQ24947330</v>
          </cell>
          <cell r="Q16" t="str">
            <v>IQ32561575</v>
          </cell>
          <cell r="R16" t="str">
            <v>IQ5497473</v>
          </cell>
          <cell r="S16" t="str">
            <v>IQ4224618</v>
          </cell>
        </row>
        <row r="17">
          <cell r="I17" t="str">
            <v>Las Vegas Sands Corp.</v>
          </cell>
          <cell r="J17" t="str">
            <v>Las Vegas Hotel &amp; Casino</v>
          </cell>
          <cell r="K17" t="str">
            <v>Las Vegas Sands LLC</v>
          </cell>
          <cell r="L17" t="str">
            <v>Colony Resorts LVH Acquisitions, LLC</v>
          </cell>
          <cell r="M17" t="str">
            <v>Las Vegas Gaming Inc.</v>
          </cell>
          <cell r="O17" t="str">
            <v>IQ3632895</v>
          </cell>
          <cell r="P17" t="str">
            <v>IQ682030</v>
          </cell>
          <cell r="Q17" t="str">
            <v>IQ24020744</v>
          </cell>
          <cell r="R17" t="str">
            <v>IQ12828268</v>
          </cell>
          <cell r="S17" t="str">
            <v>IQ4844803</v>
          </cell>
        </row>
        <row r="18">
          <cell r="I18" t="str">
            <v>General Electric Company</v>
          </cell>
          <cell r="J18" t="str">
            <v>Genpact Ltd.</v>
          </cell>
          <cell r="K18" t="str">
            <v>General Motors Company</v>
          </cell>
          <cell r="L18" t="str">
            <v>General Mills, Inc.</v>
          </cell>
          <cell r="M18" t="str">
            <v>Gentiva Health Services Inc.</v>
          </cell>
          <cell r="O18" t="str">
            <v>IQ177031</v>
          </cell>
          <cell r="P18" t="str">
            <v>IQ34323388</v>
          </cell>
          <cell r="Q18" t="str">
            <v>IQ61206100</v>
          </cell>
          <cell r="R18" t="str">
            <v>IQ274715</v>
          </cell>
          <cell r="S18" t="str">
            <v>IQ197773</v>
          </cell>
        </row>
        <row r="19">
          <cell r="I19" t="str">
            <v>International Business Machines Corporation</v>
          </cell>
          <cell r="J19" t="str">
            <v>International Business Times, Inc.</v>
          </cell>
          <cell r="K19" t="str">
            <v>International Business Events Limited</v>
          </cell>
          <cell r="L19" t="str">
            <v>International Business Systems United States</v>
          </cell>
          <cell r="M19" t="str">
            <v>International Business Network</v>
          </cell>
          <cell r="O19" t="str">
            <v>IQ112350</v>
          </cell>
          <cell r="P19" t="str">
            <v>IQ128801557</v>
          </cell>
          <cell r="Q19" t="str">
            <v>IQ138552897</v>
          </cell>
          <cell r="R19" t="str">
            <v>IQ4638562</v>
          </cell>
          <cell r="S19" t="str">
            <v>IQ30119</v>
          </cell>
        </row>
      </sheetData>
      <sheetData sheetId="1">
        <row r="12">
          <cell r="I12" t="str">
            <v>Cook, Timothy</v>
          </cell>
          <cell r="J12" t="str">
            <v>Cook, Timothy</v>
          </cell>
          <cell r="K12" t="str">
            <v>Cook, Tim</v>
          </cell>
          <cell r="L12" t="str">
            <v>Cook, Timothy</v>
          </cell>
          <cell r="O12" t="str">
            <v>IQ169601</v>
          </cell>
          <cell r="P12" t="str">
            <v>IQ28516714</v>
          </cell>
          <cell r="Q12" t="str">
            <v>IQ24933425</v>
          </cell>
          <cell r="R12" t="str">
            <v>IQ24903039</v>
          </cell>
        </row>
        <row r="13">
          <cell r="I13" t="str">
            <v>Gates, William</v>
          </cell>
          <cell r="J13" t="str">
            <v>Gates, William</v>
          </cell>
          <cell r="K13" t="str">
            <v>Gates, William</v>
          </cell>
          <cell r="L13" t="str">
            <v>Gates, Bill</v>
          </cell>
          <cell r="M13" t="str">
            <v>Gates, William</v>
          </cell>
          <cell r="O13" t="str">
            <v>IQ999647</v>
          </cell>
          <cell r="P13" t="str">
            <v>IQ4882076</v>
          </cell>
          <cell r="Q13" t="str">
            <v>IQ13288729</v>
          </cell>
          <cell r="R13" t="str">
            <v>IQ33983984</v>
          </cell>
          <cell r="S13" t="str">
            <v>IQ29826692</v>
          </cell>
        </row>
        <row r="14">
          <cell r="I14" t="str">
            <v>McGraw, Harold</v>
          </cell>
          <cell r="J14" t="str">
            <v>McGraw, Terry</v>
          </cell>
          <cell r="K14" t="str">
            <v>McGraw, Terrence</v>
          </cell>
          <cell r="L14" t="str">
            <v>McGraw, Harold</v>
          </cell>
          <cell r="O14" t="str">
            <v>IQ181697</v>
          </cell>
          <cell r="P14" t="str">
            <v>IQ53273963</v>
          </cell>
          <cell r="Q14" t="str">
            <v>IQ30686142</v>
          </cell>
          <cell r="R14" t="str">
            <v>IQ9198850</v>
          </cell>
        </row>
        <row r="15">
          <cell r="I15" t="str">
            <v>Dayakar, G.</v>
          </cell>
          <cell r="J15" t="str">
            <v>Dayakar, Talluru</v>
          </cell>
          <cell r="K15" t="str">
            <v>Dayakar, G.</v>
          </cell>
          <cell r="O15" t="str">
            <v>IQ205570894</v>
          </cell>
          <cell r="P15" t="str">
            <v>IQ47584372</v>
          </cell>
          <cell r="Q15" t="str">
            <v>IQ25360032</v>
          </cell>
        </row>
      </sheetData>
    </sheetDataSet>
  </externalBook>
</externalLink>
</file>

<file path=xl/externalLinks/externalLink42.xml><?xml version="1.0" encoding="utf-8"?>
<externalLink xmlns="http://schemas.openxmlformats.org/spreadsheetml/2006/main">
  <externalBook xmlns:r="http://schemas.openxmlformats.org/officeDocument/2006/relationships" r:id="rId1">
    <sheetNames>
      <sheetName val="Companies"/>
      <sheetName val="People"/>
    </sheetNames>
    <sheetDataSet>
      <sheetData sheetId="0">
        <row r="14">
          <cell r="I14" t="str">
            <v>Jarden Corp.</v>
          </cell>
          <cell r="J14" t="str">
            <v>Shanghai Jahwa United Co., Ltd.</v>
          </cell>
          <cell r="K14" t="str">
            <v>Jahnel-Kestermann Getriebewerke GmbH</v>
          </cell>
          <cell r="L14" t="str">
            <v>Jahia Solutions Group SA</v>
          </cell>
          <cell r="M14" t="str">
            <v>J.A. Henckels International, Inc.</v>
          </cell>
        </row>
        <row r="15">
          <cell r="I15" t="str">
            <v>Western Alliance Bancorporation</v>
          </cell>
          <cell r="J15" t="str">
            <v>Wal-Mart Stores Inc.</v>
          </cell>
          <cell r="K15" t="str">
            <v>Walgreen Co.</v>
          </cell>
          <cell r="L15" t="str">
            <v>Walter Energy, Inc.</v>
          </cell>
          <cell r="M15" t="str">
            <v>Walt Disney Co.</v>
          </cell>
        </row>
      </sheetData>
      <sheetData sheetId="1"/>
    </sheetDataSet>
  </externalBook>
</externalLink>
</file>

<file path=xl/externalLinks/externalLink43.xml><?xml version="1.0" encoding="utf-8"?>
<externalLink xmlns="http://schemas.openxmlformats.org/spreadsheetml/2006/main">
  <externalBook xmlns:r="http://schemas.openxmlformats.org/officeDocument/2006/relationships" r:id="rId1">
    <sheetNames>
      <sheetName val="Companies"/>
      <sheetName val="People"/>
    </sheetNames>
    <sheetDataSet>
      <sheetData sheetId="0">
        <row r="12">
          <cell r="I12" t="str">
            <v>Alphabet Inc.</v>
          </cell>
        </row>
        <row r="22">
          <cell r="I22" t="str">
            <v>Bayt.com, Inc.</v>
          </cell>
          <cell r="J22" t="str">
            <v>Bayu Tirta Lestari Pt</v>
          </cell>
          <cell r="O22" t="str">
            <v>IQ13529425</v>
          </cell>
          <cell r="P22" t="str">
            <v>IQ215901704</v>
          </cell>
        </row>
        <row r="23">
          <cell r="I23" t="str">
            <v>Homesnap</v>
          </cell>
          <cell r="J23" t="str">
            <v>Sawbuck Realty, Inc.</v>
          </cell>
          <cell r="O23" t="str">
            <v>IQ247630668</v>
          </cell>
          <cell r="P23" t="str">
            <v>IQ60863929</v>
          </cell>
        </row>
        <row r="24">
          <cell r="I24" t="str">
            <v>Locon Solutions Pvt. Ltd.</v>
          </cell>
          <cell r="J24" t="str">
            <v>Commercial Bank of Eritrea</v>
          </cell>
          <cell r="K24" t="str">
            <v>Housing &amp; Commercial Bank</v>
          </cell>
          <cell r="L24" t="str">
            <v>Housing &amp; Community Dev</v>
          </cell>
          <cell r="M24" t="str">
            <v>Housing Co.</v>
          </cell>
          <cell r="O24" t="str">
            <v>IQ228577514</v>
          </cell>
          <cell r="P24" t="str">
            <v>IQ78727072</v>
          </cell>
          <cell r="Q24" t="str">
            <v>IQ8351994</v>
          </cell>
          <cell r="R24" t="str">
            <v>IQ82313825</v>
          </cell>
          <cell r="S24" t="str">
            <v>IQ252225131</v>
          </cell>
        </row>
        <row r="25">
          <cell r="I25" t="str">
            <v>Apartment List, Inc.</v>
          </cell>
          <cell r="J25" t="str">
            <v>Apartments, LLC</v>
          </cell>
          <cell r="K25" t="str">
            <v>Apartment Ratings, Inc.</v>
          </cell>
          <cell r="O25" t="str">
            <v>IQ244348139</v>
          </cell>
          <cell r="P25" t="str">
            <v>IQ36366</v>
          </cell>
          <cell r="Q25" t="str">
            <v>IQ23249931</v>
          </cell>
        </row>
        <row r="26">
          <cell r="I26" t="str">
            <v>PropertyGuru Pte. Ltd.</v>
          </cell>
          <cell r="J26" t="str">
            <v>PT. Allproperty Media</v>
          </cell>
          <cell r="O26" t="str">
            <v>IQ81851546</v>
          </cell>
          <cell r="P26" t="str">
            <v>IQ280565684</v>
          </cell>
        </row>
        <row r="27">
          <cell r="I27" t="str">
            <v>Zumper, Inc.</v>
          </cell>
          <cell r="J27" t="str">
            <v>Level Money, Inc.</v>
          </cell>
          <cell r="O27" t="str">
            <v>IQ217821548</v>
          </cell>
          <cell r="P27" t="str">
            <v>IQ248132860</v>
          </cell>
        </row>
        <row r="28">
          <cell r="I28" t="str">
            <v>PropTiger Realty Pvt Ltd</v>
          </cell>
          <cell r="O28" t="str">
            <v>IQ204668908</v>
          </cell>
        </row>
        <row r="30">
          <cell r="I30" t="str">
            <v>Estately Inc.</v>
          </cell>
          <cell r="J30" t="str">
            <v>The Estate Of Lynn Lee</v>
          </cell>
          <cell r="O30" t="str">
            <v>IQ115568769</v>
          </cell>
          <cell r="P30" t="str">
            <v>IQ326949174</v>
          </cell>
        </row>
        <row r="31">
          <cell r="I31" t="str">
            <v>Channel Breeze Co., Ltd.</v>
          </cell>
          <cell r="J31" t="str">
            <v>Zigbang Co., Ltd.</v>
          </cell>
          <cell r="O31" t="str">
            <v>IQ143365380</v>
          </cell>
          <cell r="P31" t="str">
            <v>IQ330955290</v>
          </cell>
        </row>
        <row r="32">
          <cell r="I32" t="str">
            <v>99.co</v>
          </cell>
          <cell r="J32" t="str">
            <v>99 Cents only Stores LLC</v>
          </cell>
          <cell r="K32" t="str">
            <v>CSS Industries Inc.</v>
          </cell>
          <cell r="L32" t="str">
            <v>99 Commissary, LLC</v>
          </cell>
          <cell r="O32" t="str">
            <v>IQ266907571</v>
          </cell>
          <cell r="P32" t="str">
            <v>IQ350185</v>
          </cell>
          <cell r="Q32" t="str">
            <v>IQ257888</v>
          </cell>
          <cell r="R32" t="str">
            <v>IQ26116826</v>
          </cell>
        </row>
        <row r="33">
          <cell r="I33" t="str">
            <v>Maykah, Inc.</v>
          </cell>
          <cell r="J33" t="str">
            <v>Roomi, Inc.</v>
          </cell>
          <cell r="O33" t="str">
            <v>IQ243518666</v>
          </cell>
          <cell r="P33" t="str">
            <v>IQ292246034</v>
          </cell>
        </row>
        <row r="34">
          <cell r="I34" t="str">
            <v>Shenzhen JiWu Technology Co., Ltd.</v>
          </cell>
          <cell r="J34" t="str">
            <v>Jiwumedia Co.,Ltd.</v>
          </cell>
          <cell r="O34" t="str">
            <v>IQ297293204</v>
          </cell>
          <cell r="P34" t="str">
            <v>IQ240934878</v>
          </cell>
        </row>
        <row r="35">
          <cell r="I35" t="str">
            <v>Uoko Corporation Co., Ltd.</v>
          </cell>
          <cell r="J35" t="str">
            <v>Uoko, K.K.</v>
          </cell>
          <cell r="K35" t="str">
            <v>Uoko Suisan Co.,Ltd.</v>
          </cell>
          <cell r="L35" t="str">
            <v>Uokoji, K.K.</v>
          </cell>
          <cell r="M35" t="str">
            <v>Sichuan UOKO Investment Management Co. Ltd.</v>
          </cell>
          <cell r="O35" t="str">
            <v>IQ5853986</v>
          </cell>
          <cell r="P35" t="str">
            <v>IQ53029525</v>
          </cell>
          <cell r="Q35" t="str">
            <v>IQ53089085</v>
          </cell>
          <cell r="R35" t="str">
            <v>IQ243789334</v>
          </cell>
          <cell r="S35" t="str">
            <v>IQ272660655</v>
          </cell>
        </row>
        <row r="36">
          <cell r="I36" t="str">
            <v>Mushroom Apartment</v>
          </cell>
          <cell r="O36" t="str">
            <v>IQ275278533</v>
          </cell>
        </row>
        <row r="38">
          <cell r="I38" t="str">
            <v>ECART Services Pakistan (PVT.) Limited</v>
          </cell>
          <cell r="J38" t="str">
            <v>Lamudi GmbH</v>
          </cell>
          <cell r="K38" t="str">
            <v>Lamudi Philippines Inc.</v>
          </cell>
          <cell r="O38" t="str">
            <v>IQ250862332</v>
          </cell>
          <cell r="P38" t="str">
            <v>IQ301641097</v>
          </cell>
          <cell r="Q38" t="str">
            <v>IQ303147334</v>
          </cell>
        </row>
        <row r="39">
          <cell r="I39" t="str">
            <v>E-PROP Limited</v>
          </cell>
          <cell r="J39" t="str">
            <v>Fresh &amp; Easy Property Company LLC</v>
          </cell>
          <cell r="O39" t="str">
            <v>IQ272056167</v>
          </cell>
          <cell r="P39" t="str">
            <v>IQ247615048</v>
          </cell>
        </row>
        <row r="40">
          <cell r="I40" t="str">
            <v>Zameen Media (Pvt) Ltd.</v>
          </cell>
          <cell r="J40" t="str">
            <v>Zameena Corporation</v>
          </cell>
          <cell r="K40" t="str">
            <v>Zameen Organic Pvt. Ltd.</v>
          </cell>
          <cell r="O40" t="str">
            <v>IQ264404918</v>
          </cell>
          <cell r="P40" t="str">
            <v>IQ6696416</v>
          </cell>
          <cell r="Q40" t="str">
            <v>IQ53512996</v>
          </cell>
        </row>
        <row r="41">
          <cell r="I41" t="str">
            <v>propertyfinder FZ-LLC</v>
          </cell>
          <cell r="O41" t="str">
            <v>IQ37853624</v>
          </cell>
        </row>
        <row r="42">
          <cell r="I42" t="str">
            <v>Commonwealth Bank of Australia</v>
          </cell>
          <cell r="J42" t="str">
            <v>Equity Commonwealth</v>
          </cell>
          <cell r="K42" t="str">
            <v>CommonBond, Inc.</v>
          </cell>
          <cell r="L42" t="str">
            <v>Commonwealth Equity Services, Inc.</v>
          </cell>
          <cell r="M42" t="str">
            <v>maxHeap Technologies Private Limited</v>
          </cell>
          <cell r="O42" t="str">
            <v>IQ874262</v>
          </cell>
          <cell r="P42" t="str">
            <v>IQ277894</v>
          </cell>
          <cell r="Q42" t="str">
            <v>IQ224718090</v>
          </cell>
          <cell r="R42" t="str">
            <v>IQ4253238</v>
          </cell>
          <cell r="S42" t="str">
            <v>IQ140964868</v>
          </cell>
        </row>
        <row r="43">
          <cell r="I43" t="str">
            <v>Casalova</v>
          </cell>
          <cell r="O43" t="str">
            <v>IQ310979198</v>
          </cell>
        </row>
        <row r="46">
          <cell r="I46" t="str">
            <v>Properati SA</v>
          </cell>
          <cell r="O46" t="str">
            <v>IQ217390440</v>
          </cell>
        </row>
        <row r="47">
          <cell r="I47" t="str">
            <v>nestpick b.v.</v>
          </cell>
          <cell r="O47" t="str">
            <v>IQ280242728</v>
          </cell>
        </row>
        <row r="48">
          <cell r="I48" t="str">
            <v>househappy inc.</v>
          </cell>
          <cell r="O48" t="str">
            <v>IQ166569870</v>
          </cell>
        </row>
        <row r="49">
          <cell r="I49" t="str">
            <v>Revaluate Pty Limited</v>
          </cell>
          <cell r="J49" t="str">
            <v>Revaluate Inc.</v>
          </cell>
          <cell r="O49" t="str">
            <v>IQ130293872</v>
          </cell>
          <cell r="P49" t="str">
            <v>IQ270443398</v>
          </cell>
        </row>
        <row r="50">
          <cell r="I50" t="str">
            <v>Trulia, Inc.</v>
          </cell>
          <cell r="J50" t="str">
            <v>Trulia (Oklahoma) Holdings, LLC</v>
          </cell>
          <cell r="K50" t="str">
            <v>Market Leader, Inc.</v>
          </cell>
          <cell r="L50" t="str">
            <v>Truliant Federal Credit Union, 401K Plan</v>
          </cell>
          <cell r="M50" t="str">
            <v>Taulia Inc.</v>
          </cell>
          <cell r="O50" t="str">
            <v>IQ25572071</v>
          </cell>
          <cell r="P50" t="str">
            <v>IQ217547157</v>
          </cell>
          <cell r="Q50" t="str">
            <v>IQ747614</v>
          </cell>
          <cell r="R50" t="str">
            <v>IQ90631157</v>
          </cell>
          <cell r="S50" t="str">
            <v>IQ106669813</v>
          </cell>
        </row>
        <row r="51">
          <cell r="I51" t="str">
            <v>RealPage, Inc.</v>
          </cell>
          <cell r="J51" t="str">
            <v>RealPage Communications, Inc.</v>
          </cell>
          <cell r="K51" t="str">
            <v>RealPageMaker Inc.</v>
          </cell>
          <cell r="L51" t="str">
            <v>Vintage Senior Housing, LLC</v>
          </cell>
          <cell r="O51" t="str">
            <v>IQ120406</v>
          </cell>
          <cell r="P51" t="str">
            <v>IQ50142753</v>
          </cell>
          <cell r="Q51" t="str">
            <v>IQ297321058</v>
          </cell>
          <cell r="R51" t="str">
            <v>IQ59053576</v>
          </cell>
        </row>
        <row r="52">
          <cell r="I52" t="str">
            <v>Lovely, Inc.</v>
          </cell>
          <cell r="J52" t="str">
            <v>LovelyListing.com</v>
          </cell>
          <cell r="K52" t="str">
            <v>Lovely's, Inc.</v>
          </cell>
          <cell r="L52" t="str">
            <v>Lovely Professional University</v>
          </cell>
          <cell r="M52" t="str">
            <v>Lovely Offset Printers Private Limited</v>
          </cell>
          <cell r="O52" t="str">
            <v>IQ215739937</v>
          </cell>
          <cell r="P52" t="str">
            <v>IQ100792525</v>
          </cell>
          <cell r="Q52" t="str">
            <v>IQ240946190</v>
          </cell>
          <cell r="R52" t="str">
            <v>IQ114707913</v>
          </cell>
          <cell r="S52" t="str">
            <v>IQ145398671</v>
          </cell>
        </row>
        <row r="54">
          <cell r="I54" t="str">
            <v>VivaReal Inc.</v>
          </cell>
          <cell r="J54" t="str">
            <v>Viva Real AG</v>
          </cell>
          <cell r="K54" t="str">
            <v>Viva Real Estate SRL</v>
          </cell>
          <cell r="L54" t="str">
            <v>Viva Real Estate Asset Management Pte Ltd</v>
          </cell>
          <cell r="O54" t="str">
            <v>IQ131449060</v>
          </cell>
          <cell r="P54" t="str">
            <v>IQ215515039</v>
          </cell>
          <cell r="Q54" t="str">
            <v>IQ268893438</v>
          </cell>
          <cell r="R54" t="str">
            <v>IQ269774403</v>
          </cell>
        </row>
        <row r="55">
          <cell r="I55" t="str">
            <v>RadPad, Inc.</v>
          </cell>
          <cell r="O55" t="str">
            <v>IQ241147618</v>
          </cell>
        </row>
        <row r="56">
          <cell r="I56" t="str">
            <v>Tenax Therapeutics, Inc.</v>
          </cell>
          <cell r="J56" t="str">
            <v>tenXer, Inc.</v>
          </cell>
          <cell r="K56" t="str">
            <v>Ten-X, LLC</v>
          </cell>
          <cell r="L56" t="str">
            <v>TenX Capital Partners</v>
          </cell>
          <cell r="M56" t="str">
            <v>Ten X Technology Inc.</v>
          </cell>
          <cell r="O56" t="str">
            <v>IQ389766</v>
          </cell>
          <cell r="P56" t="str">
            <v>IQ216223331</v>
          </cell>
          <cell r="Q56" t="str">
            <v>IQ50263205</v>
          </cell>
          <cell r="R56" t="str">
            <v>IQ1210317</v>
          </cell>
          <cell r="S56" t="str">
            <v>IQ22740598</v>
          </cell>
        </row>
        <row r="57">
          <cell r="I57" t="str">
            <v>Roofstock, Inc.</v>
          </cell>
          <cell r="J57" t="str">
            <v>Rostock Group</v>
          </cell>
          <cell r="O57" t="str">
            <v>IQ302446865</v>
          </cell>
          <cell r="P57" t="str">
            <v>IQ109963520</v>
          </cell>
        </row>
        <row r="58">
          <cell r="I58" t="str">
            <v>Quinto Andar Serviços Imobiliários Ltda</v>
          </cell>
          <cell r="J58" t="str">
            <v>Quintoandar Ltd.</v>
          </cell>
          <cell r="O58" t="str">
            <v>IQ276482146</v>
          </cell>
          <cell r="P58" t="str">
            <v>IQ292856390</v>
          </cell>
        </row>
        <row r="59">
          <cell r="I59" t="str">
            <v>HeyPillow Technology Private Limited</v>
          </cell>
          <cell r="O59" t="str">
            <v>IQ317333557</v>
          </cell>
        </row>
      </sheetData>
      <sheetData sheetId="1">
        <row r="12">
          <cell r="I12" t="str">
            <v>Cook, Timothy</v>
          </cell>
        </row>
      </sheetData>
    </sheetDataSet>
  </externalBook>
</externalLink>
</file>

<file path=xl/externalLinks/externalLink44.xml><?xml version="1.0" encoding="utf-8"?>
<externalLink xmlns="http://schemas.openxmlformats.org/spreadsheetml/2006/main">
  <externalBook xmlns:r="http://schemas.openxmlformats.org/officeDocument/2006/relationships" r:id="rId1">
    <sheetNames>
      <sheetName val="Summary"/>
      <sheetName val="Monthly Operating P&amp;L"/>
      <sheetName val="Assumptions"/>
      <sheetName val="Individual Membership Revenue"/>
      <sheetName val="Public Staffing PLan"/>
      <sheetName val="Depreciation"/>
      <sheetName val="Amortization schedule"/>
      <sheetName val="Liquidation Cash flow"/>
      <sheetName val="Sheet1"/>
      <sheetName val="Public Staffing PLan (2)"/>
      <sheetName val="Fast Lane Hour Schedule"/>
      <sheetName val="Sheet3"/>
      <sheetName val="HS teams"/>
      <sheetName val="Building bid comp"/>
    </sheetNames>
    <sheetDataSet>
      <sheetData sheetId="0"/>
      <sheetData sheetId="1"/>
      <sheetData sheetId="2">
        <row r="15">
          <cell r="D15">
            <v>1</v>
          </cell>
        </row>
        <row r="16">
          <cell r="D16">
            <v>1</v>
          </cell>
        </row>
      </sheetData>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45.xml><?xml version="1.0" encoding="utf-8"?>
<externalLink xmlns="http://schemas.openxmlformats.org/spreadsheetml/2006/main">
  <externalBook xmlns:r="http://schemas.openxmlformats.org/officeDocument/2006/relationships" r:id="rId1">
    <sheetNames>
      <sheetName val="Hisorical &amp; Projected IS"/>
      <sheetName val="Management Presentation Outputs"/>
      <sheetName val="07.16.19 NXP IS Forecast"/>
      <sheetName val="Quarterly Backlog Analysis 2020"/>
      <sheetName val="Quarterly Backlog Analysis"/>
      <sheetName val="Annual Backlog Analysis"/>
      <sheetName val="Monthly Backlog Analysis"/>
      <sheetName val="Summary"/>
      <sheetName val="Revenue by Geography"/>
      <sheetName val="Top 10 Suppliers&gt;"/>
      <sheetName val="YTD 2019 - Consolidated"/>
      <sheetName val="2018 - Consolidated"/>
      <sheetName val="2017 - Consolidated"/>
      <sheetName val="Adjustments&gt;"/>
      <sheetName val="2017"/>
      <sheetName val="2018"/>
      <sheetName val="2019"/>
      <sheetName val="2020-2023"/>
      <sheetName val="Opex % of Rev&gt;"/>
      <sheetName val="% of Revenue"/>
      <sheetName val="Revenue by Tech COGS by Type"/>
      <sheetName val="From KKR Presentation&gt;&gt;"/>
      <sheetName val="Returns Model"/>
      <sheetName val="Company Waterfalls&gt;"/>
      <sheetName val="Waterfall - EOSi"/>
      <sheetName val="Waterfall - Nexom"/>
      <sheetName val="P&amp;L&gt;"/>
      <sheetName val="PPT Valuation output"/>
      <sheetName val="Sheet1"/>
      <sheetName val="Model - Nexom"/>
      <sheetName val="Model - EOSi"/>
      <sheetName val="Company Data &gt;"/>
      <sheetName val="EOSi 2014-17 P&amp;L"/>
      <sheetName val="EOSi 2018 P&amp;L"/>
      <sheetName val="EOSi 2019E P&amp;L"/>
      <sheetName val="EOSi 2019E BS"/>
      <sheetName val="Nexom"/>
      <sheetName val="Nexom 2015-202 P&amp;L"/>
      <sheetName val="Nexom - 2019 Budget IS"/>
      <sheetName val="Nexom - 2019 Budget BS"/>
      <sheetName val="Nexom Adjustments - 2018"/>
      <sheetName val="Nexom Adjustments - 2019"/>
      <sheetName val="Nexom - 2015-23 P&amp;L"/>
      <sheetName val="Nexom - 2015-23 BS"/>
    </sheetNames>
    <sheetDataSet>
      <sheetData sheetId="0">
        <row r="2">
          <cell r="B2" t="str">
            <v>FYE Dec 31</v>
          </cell>
          <cell r="C2" t="str">
            <v>Historical</v>
          </cell>
          <cell r="I2" t="str">
            <v>Forecast</v>
          </cell>
        </row>
        <row r="3">
          <cell r="B3" t="str">
            <v>in USD 000s</v>
          </cell>
          <cell r="C3" t="str">
            <v>2016A</v>
          </cell>
          <cell r="D3" t="str">
            <v>2017A</v>
          </cell>
          <cell r="E3" t="str">
            <v>2018A</v>
          </cell>
          <cell r="G3" t="str">
            <v>YTD Jun 19A</v>
          </cell>
          <cell r="I3" t="str">
            <v>2019E</v>
          </cell>
          <cell r="J3" t="str">
            <v>2020E</v>
          </cell>
          <cell r="K3" t="str">
            <v>2021E</v>
          </cell>
          <cell r="L3" t="str">
            <v>2022E</v>
          </cell>
          <cell r="M3" t="str">
            <v>2023E</v>
          </cell>
        </row>
        <row r="5">
          <cell r="B5" t="str">
            <v>Revenue</v>
          </cell>
          <cell r="C5">
            <v>15365</v>
          </cell>
          <cell r="D5">
            <v>18047.438252243548</v>
          </cell>
          <cell r="E5">
            <v>24144.991426441222</v>
          </cell>
          <cell r="G5">
            <v>7476.0228698231549</v>
          </cell>
          <cell r="I5">
            <v>26439.792598928711</v>
          </cell>
          <cell r="J5">
            <v>31995.145381282993</v>
          </cell>
          <cell r="K5">
            <v>39211.499774562835</v>
          </cell>
          <cell r="L5">
            <v>46470.867362582496</v>
          </cell>
          <cell r="M5">
            <v>56180.799575583122</v>
          </cell>
          <cell r="O5">
            <v>4526.0331471010186</v>
          </cell>
        </row>
        <row r="6">
          <cell r="B6" t="str">
            <v>% growth</v>
          </cell>
          <cell r="D6">
            <v>0.17458107726934902</v>
          </cell>
          <cell r="E6">
            <v>0.3378625314559347</v>
          </cell>
          <cell r="I6">
            <v>9.50425341619483E-2</v>
          </cell>
          <cell r="J6">
            <v>0.210113326780762</v>
          </cell>
          <cell r="K6">
            <v>0.22554529155230463</v>
          </cell>
          <cell r="L6">
            <v>0.18513363757458046</v>
          </cell>
          <cell r="M6">
            <v>0.20894665333530837</v>
          </cell>
        </row>
        <row r="7">
          <cell r="B7" t="str">
            <v>Discontinued Revenue</v>
          </cell>
          <cell r="C7">
            <v>1562</v>
          </cell>
          <cell r="D7">
            <v>0</v>
          </cell>
          <cell r="E7">
            <v>0</v>
          </cell>
          <cell r="G7">
            <v>0</v>
          </cell>
        </row>
        <row r="9">
          <cell r="B9" t="str">
            <v>Total Revenue</v>
          </cell>
          <cell r="C9">
            <v>16927</v>
          </cell>
          <cell r="D9">
            <v>18047.438252243548</v>
          </cell>
          <cell r="E9">
            <v>24144.991426441222</v>
          </cell>
          <cell r="G9">
            <v>7476.0228698231549</v>
          </cell>
        </row>
        <row r="10">
          <cell r="B10" t="str">
            <v>% growth</v>
          </cell>
          <cell r="D10">
            <v>6.6192370310365067E-2</v>
          </cell>
        </row>
        <row r="12">
          <cell r="B12" t="str">
            <v>Cost of sales</v>
          </cell>
          <cell r="C12">
            <v>9544.2918336322346</v>
          </cell>
          <cell r="D12">
            <v>9764.5136023360101</v>
          </cell>
          <cell r="E12">
            <v>12350.337669601831</v>
          </cell>
          <cell r="G12">
            <v>4161.7746228382503</v>
          </cell>
          <cell r="I12">
            <v>13920.993952544257</v>
          </cell>
          <cell r="J12">
            <v>16867.121316732158</v>
          </cell>
          <cell r="K12">
            <v>20582.508346665778</v>
          </cell>
          <cell r="L12">
            <v>24313.557804103162</v>
          </cell>
          <cell r="M12">
            <v>29444.357057563117</v>
          </cell>
          <cell r="O12">
            <v>0.25356611849387911</v>
          </cell>
          <cell r="P12">
            <v>0.18400128047657849</v>
          </cell>
        </row>
        <row r="13">
          <cell r="B13" t="str">
            <v>% of revenues</v>
          </cell>
          <cell r="C13">
            <v>0.56385017035695839</v>
          </cell>
          <cell r="D13">
            <v>0.54104707082857839</v>
          </cell>
          <cell r="E13">
            <v>0.51150722944871108</v>
          </cell>
          <cell r="G13">
            <v>0.55668297105365827</v>
          </cell>
          <cell r="I13">
            <v>0.52651676069154596</v>
          </cell>
          <cell r="J13">
            <v>0.52717751758050591</v>
          </cell>
          <cell r="K13">
            <v>0.52490999999999999</v>
          </cell>
          <cell r="L13">
            <v>0.5232</v>
          </cell>
          <cell r="M13">
            <v>0.52410000000000001</v>
          </cell>
        </row>
        <row r="15">
          <cell r="B15" t="str">
            <v>Gross Profit</v>
          </cell>
          <cell r="C15">
            <v>7382.7081663677654</v>
          </cell>
          <cell r="D15">
            <v>8282.924649907538</v>
          </cell>
          <cell r="E15">
            <v>11794.653756839391</v>
          </cell>
          <cell r="G15">
            <v>3314.2482469849047</v>
          </cell>
          <cell r="I15">
            <v>12518.798646384454</v>
          </cell>
          <cell r="J15">
            <v>15128.024064550835</v>
          </cell>
          <cell r="K15">
            <v>18628.991427897057</v>
          </cell>
          <cell r="L15">
            <v>22157.309558479334</v>
          </cell>
          <cell r="M15">
            <v>26736.442518020005</v>
          </cell>
        </row>
        <row r="16">
          <cell r="B16" t="str">
            <v>Gross margin</v>
          </cell>
          <cell r="C16">
            <v>0.43614982964304161</v>
          </cell>
          <cell r="D16">
            <v>0.45895292917142161</v>
          </cell>
          <cell r="E16">
            <v>0.48849277055128892</v>
          </cell>
          <cell r="G16">
            <v>0.44331702894634178</v>
          </cell>
          <cell r="I16">
            <v>0.47348323930845398</v>
          </cell>
          <cell r="J16">
            <v>0.47282248241949404</v>
          </cell>
          <cell r="K16">
            <v>0.47509000000000001</v>
          </cell>
          <cell r="L16">
            <v>0.4768</v>
          </cell>
          <cell r="M16">
            <v>0.47589999999999993</v>
          </cell>
          <cell r="O16">
            <v>0.19432777057323269</v>
          </cell>
        </row>
        <row r="18">
          <cell r="B18" t="str">
            <v>Operating Expenses</v>
          </cell>
          <cell r="C18">
            <v>4770.2503764980984</v>
          </cell>
          <cell r="D18">
            <v>5356.2508215420894</v>
          </cell>
          <cell r="E18">
            <v>6111.9549676090273</v>
          </cell>
          <cell r="G18">
            <v>3365.9624030429873</v>
          </cell>
          <cell r="I18">
            <v>6574.8137587801493</v>
          </cell>
          <cell r="J18">
            <v>7694.3647213751346</v>
          </cell>
          <cell r="K18">
            <v>9303.6131764577694</v>
          </cell>
          <cell r="L18">
            <v>10962.238165042036</v>
          </cell>
          <cell r="M18">
            <v>12732.485595171853</v>
          </cell>
        </row>
        <row r="19">
          <cell r="B19" t="str">
            <v>% of revenue</v>
          </cell>
          <cell r="C19">
            <v>0.28181310193762027</v>
          </cell>
          <cell r="D19">
            <v>0.29678731943444842</v>
          </cell>
          <cell r="E19">
            <v>0.25313552030984837</v>
          </cell>
          <cell r="G19">
            <v>0.45023436413358764</v>
          </cell>
          <cell r="I19">
            <v>0.24867115482012322</v>
          </cell>
          <cell r="J19">
            <v>0.24048538081893828</v>
          </cell>
          <cell r="K19">
            <v>0.2372674656656</v>
          </cell>
          <cell r="L19">
            <v>0.23589484739999994</v>
          </cell>
          <cell r="M19">
            <v>0.2266341114999999</v>
          </cell>
        </row>
        <row r="21">
          <cell r="B21" t="str">
            <v>EBITDA</v>
          </cell>
          <cell r="C21">
            <v>2612.4577898696671</v>
          </cell>
          <cell r="D21">
            <v>2926.673828365449</v>
          </cell>
          <cell r="E21">
            <v>5682.6987892303632</v>
          </cell>
          <cell r="G21">
            <v>-51.71415605808253</v>
          </cell>
          <cell r="I21">
            <v>5943.9848876043043</v>
          </cell>
          <cell r="J21">
            <v>7433.6593431757001</v>
          </cell>
          <cell r="K21">
            <v>9325.3782514392879</v>
          </cell>
          <cell r="L21">
            <v>11195.071393437298</v>
          </cell>
          <cell r="M21">
            <v>14003.956922848152</v>
          </cell>
        </row>
        <row r="22">
          <cell r="B22" t="str">
            <v>EBITDA margin</v>
          </cell>
          <cell r="C22">
            <v>0.15433672770542134</v>
          </cell>
          <cell r="D22">
            <v>0.16216560973697319</v>
          </cell>
          <cell r="E22">
            <v>0.23535725024144055</v>
          </cell>
          <cell r="G22">
            <v>-6.9173351872458657E-3</v>
          </cell>
          <cell r="I22">
            <v>0.22481208448833079</v>
          </cell>
          <cell r="J22">
            <v>0.23233710160055579</v>
          </cell>
          <cell r="K22">
            <v>0.23782253433440001</v>
          </cell>
          <cell r="L22">
            <v>0.24090515260000006</v>
          </cell>
          <cell r="M22">
            <v>0.24926588850000006</v>
          </cell>
          <cell r="P22">
            <v>214</v>
          </cell>
          <cell r="Q22">
            <v>178.3843452411125</v>
          </cell>
          <cell r="R22">
            <v>1.1996568404629215</v>
          </cell>
        </row>
        <row r="23">
          <cell r="B23" t="str">
            <v>Adjustments</v>
          </cell>
          <cell r="C23">
            <v>995</v>
          </cell>
          <cell r="D23">
            <v>1109.9387389163398</v>
          </cell>
          <cell r="E23">
            <v>894.19969106492806</v>
          </cell>
          <cell r="G23">
            <v>521.90028246684562</v>
          </cell>
          <cell r="I23">
            <v>1009.8944034374216</v>
          </cell>
          <cell r="J23">
            <v>543.57799999999997</v>
          </cell>
          <cell r="K23">
            <v>421.23700000000002</v>
          </cell>
          <cell r="L23">
            <v>484.99599999999998</v>
          </cell>
          <cell r="M23">
            <v>569.43700000000001</v>
          </cell>
        </row>
        <row r="24">
          <cell r="B24" t="str">
            <v>Adjusted EBITDA</v>
          </cell>
          <cell r="C24">
            <v>3607.4577898696671</v>
          </cell>
          <cell r="D24">
            <v>4036.6125672817889</v>
          </cell>
          <cell r="E24">
            <v>6576.8984802952909</v>
          </cell>
          <cell r="G24">
            <v>470.18612640876307</v>
          </cell>
          <cell r="I24">
            <v>6953.879291041726</v>
          </cell>
          <cell r="J24">
            <v>7977.2373431757005</v>
          </cell>
          <cell r="K24">
            <v>9746.615251439287</v>
          </cell>
          <cell r="L24">
            <v>11680.067393437297</v>
          </cell>
          <cell r="M24">
            <v>14573.393922848152</v>
          </cell>
        </row>
        <row r="25">
          <cell r="B25" t="str">
            <v>Adjusted EBITDA margin</v>
          </cell>
          <cell r="C25">
            <v>0.21311855555442</v>
          </cell>
          <cell r="D25">
            <v>0.22366678920649483</v>
          </cell>
          <cell r="E25">
            <v>0.27239183332626565</v>
          </cell>
          <cell r="G25">
            <v>6.2892547895574497E-2</v>
          </cell>
          <cell r="I25">
            <v>0.26300808771561557</v>
          </cell>
          <cell r="J25">
            <v>0.24932649150712552</v>
          </cell>
          <cell r="K25">
            <v>0.24856522467835013</v>
          </cell>
          <cell r="L25">
            <v>0.2513417126972301</v>
          </cell>
          <cell r="M25">
            <v>0.25940168229969324</v>
          </cell>
        </row>
        <row r="27">
          <cell r="B27" t="str">
            <v>Depreciation &amp; Amortization</v>
          </cell>
          <cell r="C27">
            <v>440.01197082520287</v>
          </cell>
          <cell r="D27">
            <v>665.23179340946797</v>
          </cell>
          <cell r="E27">
            <v>793.29240947079097</v>
          </cell>
          <cell r="G27">
            <v>340.50388219137938</v>
          </cell>
          <cell r="I27">
            <v>665.5895559488655</v>
          </cell>
          <cell r="J27">
            <v>755.08462319721082</v>
          </cell>
          <cell r="K27">
            <v>762.74209361479632</v>
          </cell>
          <cell r="L27">
            <v>908.27310260167485</v>
          </cell>
          <cell r="M27">
            <v>1079.7949678427076</v>
          </cell>
        </row>
        <row r="28">
          <cell r="B28" t="str">
            <v>% of revenue</v>
          </cell>
          <cell r="C28">
            <v>2.5994681327181596E-2</v>
          </cell>
          <cell r="D28">
            <v>3.6860178387188573E-2</v>
          </cell>
          <cell r="E28">
            <v>3.2855360992261738E-2</v>
          </cell>
          <cell r="G28">
            <v>4.5546126345575769E-2</v>
          </cell>
          <cell r="I28">
            <v>2.5173781279049592E-2</v>
          </cell>
          <cell r="J28">
            <v>2.3599974752386395E-2</v>
          </cell>
          <cell r="K28">
            <v>1.9452000000000001E-2</v>
          </cell>
          <cell r="L28">
            <v>1.9545E-2</v>
          </cell>
          <cell r="M28">
            <v>1.9220000000000001E-2</v>
          </cell>
        </row>
        <row r="30">
          <cell r="B30" t="str">
            <v>EBIT</v>
          </cell>
          <cell r="C30">
            <v>3167.4458190444643</v>
          </cell>
          <cell r="D30">
            <v>3371.3807738723208</v>
          </cell>
          <cell r="E30">
            <v>5783.6060708245004</v>
          </cell>
          <cell r="G30">
            <v>129.6822442173837</v>
          </cell>
          <cell r="I30">
            <v>6288.2897350928606</v>
          </cell>
          <cell r="J30">
            <v>7222.1527199784896</v>
          </cell>
          <cell r="K30">
            <v>8983.8731578244915</v>
          </cell>
          <cell r="L30">
            <v>10771.794290835622</v>
          </cell>
          <cell r="M30">
            <v>13493.598955005444</v>
          </cell>
        </row>
        <row r="31">
          <cell r="B31" t="str">
            <v>EBIT margin</v>
          </cell>
          <cell r="C31">
            <v>0.18712387422723839</v>
          </cell>
          <cell r="D31">
            <v>0.18680661081930625</v>
          </cell>
          <cell r="E31">
            <v>0.23953647233400396</v>
          </cell>
          <cell r="G31">
            <v>1.7346421549998728E-2</v>
          </cell>
          <cell r="I31">
            <v>0.237834306436566</v>
          </cell>
          <cell r="J31">
            <v>0.22572651675473912</v>
          </cell>
          <cell r="K31">
            <v>0.22911322467835016</v>
          </cell>
          <cell r="L31">
            <v>0.2317967126972301</v>
          </cell>
          <cell r="M31">
            <v>0.24018168229969319</v>
          </cell>
        </row>
        <row r="34">
          <cell r="B34" t="str">
            <v>FYE Dec 31</v>
          </cell>
          <cell r="C34" t="str">
            <v>Historical</v>
          </cell>
        </row>
        <row r="35">
          <cell r="B35" t="str">
            <v>in USD 000s</v>
          </cell>
          <cell r="C35" t="str">
            <v>2016A</v>
          </cell>
          <cell r="D35" t="str">
            <v>2017A</v>
          </cell>
          <cell r="E35" t="str">
            <v>2018A</v>
          </cell>
          <cell r="G35" t="str">
            <v>YTD Jun 19A</v>
          </cell>
        </row>
        <row r="37">
          <cell r="B37" t="str">
            <v>Materials</v>
          </cell>
          <cell r="C37">
            <v>7478</v>
          </cell>
          <cell r="D37">
            <v>8195.4785357769342</v>
          </cell>
          <cell r="E37">
            <v>10817.69285879487</v>
          </cell>
          <cell r="G37">
            <v>3816.1675581387954</v>
          </cell>
        </row>
        <row r="38">
          <cell r="B38" t="str">
            <v>% of revenue</v>
          </cell>
          <cell r="C38">
            <v>0.44177940568322799</v>
          </cell>
          <cell r="D38">
            <v>0.45410758143240204</v>
          </cell>
          <cell r="E38">
            <v>0.44803051149350981</v>
          </cell>
          <cell r="G38">
            <v>0.51045423811405044</v>
          </cell>
        </row>
        <row r="39">
          <cell r="B39" t="str">
            <v>Direct Labor</v>
          </cell>
          <cell r="C39">
            <v>924</v>
          </cell>
          <cell r="D39">
            <v>952.37002085933534</v>
          </cell>
          <cell r="E39">
            <v>1047.7330613795448</v>
          </cell>
          <cell r="G39">
            <v>236.7879140129765</v>
          </cell>
        </row>
        <row r="40">
          <cell r="B40" t="str">
            <v>% of revenue</v>
          </cell>
          <cell r="C40">
            <v>5.4587345660778636E-2</v>
          </cell>
          <cell r="D40">
            <v>5.2770371481445158E-2</v>
          </cell>
          <cell r="E40">
            <v>4.3393391319748842E-2</v>
          </cell>
          <cell r="G40">
            <v>3.1672978819897286E-2</v>
          </cell>
        </row>
        <row r="41">
          <cell r="B41" t="str">
            <v>Other</v>
          </cell>
          <cell r="C41">
            <v>1143</v>
          </cell>
          <cell r="D41">
            <v>616.66544336372374</v>
          </cell>
          <cell r="E41">
            <v>484.91207982558518</v>
          </cell>
          <cell r="G41">
            <v>108.81871909400181</v>
          </cell>
        </row>
        <row r="42">
          <cell r="B42" t="str">
            <v>% of revenue</v>
          </cell>
          <cell r="C42">
            <v>6.7525255508950194E-2</v>
          </cell>
          <cell r="D42">
            <v>3.416913994910406E-2</v>
          </cell>
          <cell r="E42">
            <v>2.0083340319373942E-2</v>
          </cell>
          <cell r="G42">
            <v>1.4555696389486287E-2</v>
          </cell>
        </row>
        <row r="44">
          <cell r="B44" t="str">
            <v>Total Cost of Goods Sold</v>
          </cell>
          <cell r="C44">
            <v>9544.2918336322346</v>
          </cell>
          <cell r="D44">
            <v>9764.5136023360101</v>
          </cell>
          <cell r="E44">
            <v>12350.337669601831</v>
          </cell>
          <cell r="G44">
            <v>4161.7746228382503</v>
          </cell>
        </row>
        <row r="45">
          <cell r="B45" t="str">
            <v>% of revenue</v>
          </cell>
          <cell r="C45">
            <v>0.56385017035695839</v>
          </cell>
          <cell r="D45">
            <v>0.54104707082857839</v>
          </cell>
          <cell r="E45">
            <v>0.51150722944871108</v>
          </cell>
          <cell r="G45">
            <v>0.55668297105365827</v>
          </cell>
        </row>
        <row r="48">
          <cell r="B48" t="str">
            <v>FYE Dec 31</v>
          </cell>
          <cell r="C48" t="str">
            <v>Historical</v>
          </cell>
        </row>
        <row r="49">
          <cell r="B49" t="str">
            <v>in USD 000s</v>
          </cell>
          <cell r="C49" t="str">
            <v>2016A</v>
          </cell>
          <cell r="D49" t="str">
            <v>2017A</v>
          </cell>
          <cell r="E49" t="str">
            <v>2018A</v>
          </cell>
          <cell r="G49" t="str">
            <v>YTD Jun 19A</v>
          </cell>
        </row>
        <row r="51">
          <cell r="B51" t="str">
            <v>General and Administrative</v>
          </cell>
          <cell r="C51">
            <v>1958</v>
          </cell>
          <cell r="D51">
            <v>1219</v>
          </cell>
          <cell r="E51">
            <v>1682</v>
          </cell>
          <cell r="G51">
            <v>846</v>
          </cell>
        </row>
        <row r="52">
          <cell r="B52" t="str">
            <v>% of revenue</v>
          </cell>
          <cell r="C52">
            <v>0.11567318485260235</v>
          </cell>
          <cell r="D52">
            <v>6.7544212256742939E-2</v>
          </cell>
          <cell r="E52">
            <v>6.9662480731222748E-2</v>
          </cell>
          <cell r="G52">
            <v>0.11316177260704556</v>
          </cell>
        </row>
        <row r="53">
          <cell r="B53" t="str">
            <v>Salaries</v>
          </cell>
          <cell r="C53">
            <v>2522</v>
          </cell>
          <cell r="D53">
            <v>3631</v>
          </cell>
          <cell r="E53">
            <v>4215</v>
          </cell>
          <cell r="G53">
            <v>2311</v>
          </cell>
        </row>
        <row r="54">
          <cell r="B54" t="str">
            <v>% of revenue</v>
          </cell>
          <cell r="C54">
            <v>0.14899273350268802</v>
          </cell>
          <cell r="D54">
            <v>0.20119198909289057</v>
          </cell>
          <cell r="E54">
            <v>0.17457036639839707</v>
          </cell>
          <cell r="G54">
            <v>0.30912157978118471</v>
          </cell>
        </row>
        <row r="55">
          <cell r="B55" t="str">
            <v>Marketing</v>
          </cell>
          <cell r="C55">
            <v>100</v>
          </cell>
          <cell r="D55">
            <v>149</v>
          </cell>
          <cell r="E55">
            <v>135</v>
          </cell>
          <cell r="G55">
            <v>72</v>
          </cell>
        </row>
        <row r="56">
          <cell r="B56" t="str">
            <v>% of revenue</v>
          </cell>
          <cell r="C56">
            <v>5.90772139185916E-3</v>
          </cell>
          <cell r="D56">
            <v>8.2560193816691527E-3</v>
          </cell>
          <cell r="E56">
            <v>5.5912216995927886E-3</v>
          </cell>
          <cell r="G56">
            <v>9.6307891580464308E-3</v>
          </cell>
        </row>
        <row r="57">
          <cell r="B57" t="str">
            <v>Stock-based compensation</v>
          </cell>
          <cell r="C57">
            <v>53</v>
          </cell>
          <cell r="D57">
            <v>123</v>
          </cell>
          <cell r="E57">
            <v>112</v>
          </cell>
          <cell r="G57">
            <v>56</v>
          </cell>
        </row>
        <row r="58">
          <cell r="B58" t="str">
            <v>% of revenue</v>
          </cell>
          <cell r="C58">
            <v>3.1310923376853548E-3</v>
          </cell>
          <cell r="D58">
            <v>6.8153717043309119E-3</v>
          </cell>
          <cell r="E58">
            <v>4.6386431878103138E-3</v>
          </cell>
          <cell r="G58">
            <v>7.4906137895916682E-3</v>
          </cell>
        </row>
        <row r="59">
          <cell r="B59" t="str">
            <v>R&amp;D, net of investment tax credits</v>
          </cell>
          <cell r="C59">
            <v>59</v>
          </cell>
          <cell r="D59">
            <v>50</v>
          </cell>
          <cell r="E59">
            <v>64</v>
          </cell>
          <cell r="G59">
            <v>81</v>
          </cell>
        </row>
        <row r="60">
          <cell r="B60" t="str">
            <v>% of revenue</v>
          </cell>
          <cell r="C60">
            <v>3.4855556211969042E-3</v>
          </cell>
          <cell r="D60">
            <v>2.7704763025735413E-3</v>
          </cell>
          <cell r="E60">
            <v>2.6506532501773222E-3</v>
          </cell>
          <cell r="G60">
            <v>1.0834637802802234E-2</v>
          </cell>
        </row>
        <row r="62">
          <cell r="B62" t="str">
            <v>Total Operating Expenses</v>
          </cell>
          <cell r="C62">
            <v>4692</v>
          </cell>
          <cell r="D62">
            <v>5172</v>
          </cell>
          <cell r="E62">
            <v>6208</v>
          </cell>
          <cell r="G62">
            <v>3366</v>
          </cell>
        </row>
        <row r="63">
          <cell r="B63" t="str">
            <v>% of revenue</v>
          </cell>
          <cell r="C63">
            <v>0.27719028770603177</v>
          </cell>
          <cell r="D63">
            <v>0.28657806873820713</v>
          </cell>
          <cell r="E63">
            <v>0.25711336526720024</v>
          </cell>
          <cell r="G63">
            <v>0.45023939313867062</v>
          </cell>
        </row>
      </sheetData>
      <sheetData sheetId="1"/>
      <sheetData sheetId="2" refreshError="1"/>
      <sheetData sheetId="3" refreshError="1"/>
      <sheetData sheetId="4">
        <row r="2">
          <cell r="M2">
            <v>10.836260582004526</v>
          </cell>
        </row>
        <row r="3">
          <cell r="M3">
            <v>0.75055120450881829</v>
          </cell>
          <cell r="N3" t="str">
            <v>% Backlog converted to Revenue in Current year</v>
          </cell>
        </row>
        <row r="4">
          <cell r="C4" t="str">
            <v>YTD Jun-19A</v>
          </cell>
          <cell r="D4" t="str">
            <v>Q3-2019</v>
          </cell>
          <cell r="E4" t="str">
            <v>Q4-2019</v>
          </cell>
          <cell r="F4" t="str">
            <v>2019E</v>
          </cell>
        </row>
        <row r="5">
          <cell r="B5" t="str">
            <v>Revenue</v>
          </cell>
          <cell r="C5">
            <v>7.4760228698231552</v>
          </cell>
          <cell r="D5">
            <v>7.4760228698231552</v>
          </cell>
          <cell r="E5">
            <v>14.81755245182768</v>
          </cell>
          <cell r="F5">
            <v>26.439792598928697</v>
          </cell>
        </row>
        <row r="6">
          <cell r="B6" t="str">
            <v>Revenue from Backlog</v>
          </cell>
          <cell r="D6">
            <v>6.0881345820045256</v>
          </cell>
          <cell r="E6">
            <v>4.7481260000000001</v>
          </cell>
        </row>
        <row r="7">
          <cell r="B7" t="str">
            <v>Revenue from Pending Backlog</v>
          </cell>
          <cell r="D7">
            <v>1.253395</v>
          </cell>
          <cell r="E7">
            <v>2.3480810000000001</v>
          </cell>
        </row>
        <row r="8">
          <cell r="B8" t="str">
            <v>Revenue from Projected Bookings</v>
          </cell>
          <cell r="D8">
            <v>0</v>
          </cell>
          <cell r="E8">
            <v>4.5260331471010185</v>
          </cell>
          <cell r="I8" t="str">
            <v>&lt;&lt; GS</v>
          </cell>
        </row>
        <row r="9">
          <cell r="D9">
            <v>14.81755245182768</v>
          </cell>
          <cell r="E9">
            <v>26.439792598928697</v>
          </cell>
          <cell r="F9">
            <v>26.439792598928697</v>
          </cell>
          <cell r="I9">
            <v>26.439792598928712</v>
          </cell>
          <cell r="J9">
            <v>0</v>
          </cell>
        </row>
        <row r="10">
          <cell r="M10">
            <v>26.439792598928712</v>
          </cell>
        </row>
        <row r="32">
          <cell r="C32" t="str">
            <v>LTM EBITDA:</v>
          </cell>
          <cell r="E32">
            <v>3.8956512467016999</v>
          </cell>
          <cell r="H32">
            <v>5.9135461251870334</v>
          </cell>
        </row>
        <row r="33">
          <cell r="C33" t="str">
            <v>LTM Adj. EBITDA:</v>
          </cell>
          <cell r="E33">
            <v>4.917359291150647</v>
          </cell>
          <cell r="H33">
            <v>6.9234405286244556</v>
          </cell>
        </row>
        <row r="36">
          <cell r="E36">
            <v>14691</v>
          </cell>
          <cell r="F36">
            <v>15424</v>
          </cell>
          <cell r="G36">
            <v>733</v>
          </cell>
        </row>
        <row r="37">
          <cell r="G37">
            <v>4.9894493227145897E-2</v>
          </cell>
        </row>
        <row r="39">
          <cell r="B39" t="str">
            <v>June 24th</v>
          </cell>
          <cell r="D39" t="str">
            <v>June</v>
          </cell>
          <cell r="E39" t="str">
            <v>July</v>
          </cell>
          <cell r="F39" t="str">
            <v>August</v>
          </cell>
          <cell r="G39" t="str">
            <v>September</v>
          </cell>
          <cell r="H39" t="str">
            <v>October</v>
          </cell>
          <cell r="I39" t="str">
            <v>November</v>
          </cell>
          <cell r="J39" t="str">
            <v>December</v>
          </cell>
        </row>
        <row r="40">
          <cell r="B40" t="str">
            <v>revenue from backlog</v>
          </cell>
          <cell r="D40">
            <v>7476022.869823155</v>
          </cell>
          <cell r="E40">
            <v>1439753.5820045259</v>
          </cell>
          <cell r="F40">
            <v>2363490</v>
          </cell>
          <cell r="G40">
            <v>2284891</v>
          </cell>
          <cell r="H40">
            <v>1937956</v>
          </cell>
          <cell r="I40">
            <v>1676511</v>
          </cell>
          <cell r="J40">
            <v>1133659</v>
          </cell>
          <cell r="M40">
            <v>18312283.451827683</v>
          </cell>
        </row>
        <row r="41">
          <cell r="B41" t="str">
            <v>Revenue from pending backlog</v>
          </cell>
          <cell r="E41">
            <v>0</v>
          </cell>
          <cell r="F41">
            <v>162232</v>
          </cell>
          <cell r="G41">
            <v>1091163</v>
          </cell>
          <cell r="H41">
            <v>1200348</v>
          </cell>
          <cell r="I41">
            <v>726990</v>
          </cell>
          <cell r="J41">
            <v>420743</v>
          </cell>
          <cell r="M41">
            <v>3601476</v>
          </cell>
        </row>
        <row r="42">
          <cell r="B42" t="str">
            <v>Revenue from projected bookings</v>
          </cell>
          <cell r="E42">
            <v>0</v>
          </cell>
          <cell r="F42">
            <v>0</v>
          </cell>
          <cell r="G42">
            <v>0</v>
          </cell>
          <cell r="H42">
            <v>0</v>
          </cell>
          <cell r="I42">
            <v>1275473</v>
          </cell>
          <cell r="J42">
            <v>3250560.147101019</v>
          </cell>
          <cell r="M42">
            <v>4526033.1471010186</v>
          </cell>
        </row>
        <row r="43">
          <cell r="B43" t="str">
            <v>total revenue</v>
          </cell>
          <cell r="D43">
            <v>7476022.869823155</v>
          </cell>
          <cell r="E43">
            <v>1439753.5820045259</v>
          </cell>
          <cell r="F43">
            <v>2525722</v>
          </cell>
          <cell r="G43">
            <v>3376054</v>
          </cell>
          <cell r="H43">
            <v>3138304</v>
          </cell>
          <cell r="I43">
            <v>3678974</v>
          </cell>
          <cell r="J43">
            <v>4804962.1471010186</v>
          </cell>
          <cell r="M43">
            <v>26439792.598928701</v>
          </cell>
        </row>
        <row r="45">
          <cell r="B45" t="str">
            <v>Revenue from Canadian market (supply and install)</v>
          </cell>
          <cell r="D45">
            <v>1379766.4513823353</v>
          </cell>
          <cell r="E45">
            <v>1353690.9466814825</v>
          </cell>
          <cell r="F45">
            <v>1809081.2770722222</v>
          </cell>
          <cell r="G45">
            <v>1505156.9870674282</v>
          </cell>
          <cell r="H45">
            <v>1226890.453976067</v>
          </cell>
          <cell r="I45">
            <v>981619.41572326561</v>
          </cell>
          <cell r="J45">
            <v>843767.41833468527</v>
          </cell>
          <cell r="K45">
            <v>0.17339189960786372</v>
          </cell>
        </row>
        <row r="46">
          <cell r="B46" t="str">
            <v>Revenue from US market (supply only)</v>
          </cell>
          <cell r="D46">
            <v>118390.63099999999</v>
          </cell>
          <cell r="E46">
            <v>452956.90900000004</v>
          </cell>
          <cell r="F46">
            <v>1267686.2491249999</v>
          </cell>
          <cell r="G46">
            <v>1527608.4237000002</v>
          </cell>
          <cell r="H46">
            <v>1552789.3032499999</v>
          </cell>
          <cell r="I46">
            <v>2184956.5403750003</v>
          </cell>
          <cell r="J46">
            <v>4022477.3153750002</v>
          </cell>
          <cell r="K46">
            <v>0.82660810039213628</v>
          </cell>
          <cell r="N46" t="str">
            <v>Supply only reduces weather delay risks</v>
          </cell>
        </row>
        <row r="47">
          <cell r="D47">
            <v>1498157.0823823353</v>
          </cell>
          <cell r="E47">
            <v>1806647.8556814825</v>
          </cell>
          <cell r="F47">
            <v>3076767.5261972221</v>
          </cell>
          <cell r="G47">
            <v>3032765.4107674286</v>
          </cell>
          <cell r="H47">
            <v>2779679.7572260667</v>
          </cell>
          <cell r="I47">
            <v>3166575.9560982659</v>
          </cell>
          <cell r="J47">
            <v>4866244.7337096855</v>
          </cell>
        </row>
        <row r="49">
          <cell r="B49" t="str">
            <v>Absolute revenue forecast (no MANC factor)</v>
          </cell>
          <cell r="C49">
            <v>0</v>
          </cell>
          <cell r="D49">
            <v>7476022.869823155</v>
          </cell>
          <cell r="E49">
            <v>1808068.5236814828</v>
          </cell>
          <cell r="F49">
            <v>3142739.9565722216</v>
          </cell>
          <cell r="G49">
            <v>3263282.0402674288</v>
          </cell>
          <cell r="H49">
            <v>2973475.4859760674</v>
          </cell>
          <cell r="I49">
            <v>3619108.8225232651</v>
          </cell>
          <cell r="J49">
            <v>6067937.0827846853</v>
          </cell>
          <cell r="M49">
            <v>28350634.781628307</v>
          </cell>
          <cell r="O49">
            <v>7.2271451281241461E-2</v>
          </cell>
        </row>
        <row r="50">
          <cell r="D50">
            <v>1</v>
          </cell>
          <cell r="E50">
            <v>0.79629370410861666</v>
          </cell>
          <cell r="F50">
            <v>0.80366878421426835</v>
          </cell>
          <cell r="G50">
            <v>1.0345578342113908</v>
          </cell>
          <cell r="H50">
            <v>1.0554329486828866</v>
          </cell>
          <cell r="I50">
            <v>1.016541414036563</v>
          </cell>
          <cell r="J50">
            <v>0.79186090454582225</v>
          </cell>
        </row>
        <row r="52">
          <cell r="C52" t="str">
            <v xml:space="preserve">Revenue from projected bookings </v>
          </cell>
        </row>
        <row r="53">
          <cell r="K53" t="str">
            <v>total</v>
          </cell>
          <cell r="M53" t="str">
            <v>MANC</v>
          </cell>
        </row>
        <row r="54">
          <cell r="B54" t="str">
            <v>cd3912</v>
          </cell>
          <cell r="C54" t="str">
            <v xml:space="preserve">Tipton IA </v>
          </cell>
          <cell r="D54" t="str">
            <v>IA</v>
          </cell>
          <cell r="E54" t="str">
            <v>USA</v>
          </cell>
          <cell r="F54">
            <v>0</v>
          </cell>
          <cell r="G54">
            <v>0</v>
          </cell>
          <cell r="H54">
            <v>0</v>
          </cell>
          <cell r="I54">
            <v>112577.85</v>
          </cell>
          <cell r="J54">
            <v>450311.4</v>
          </cell>
          <cell r="K54">
            <v>562889.25</v>
          </cell>
          <cell r="M54">
            <v>0.9405</v>
          </cell>
          <cell r="N54">
            <v>598500</v>
          </cell>
          <cell r="P54">
            <v>450311.4</v>
          </cell>
          <cell r="Q54">
            <v>0</v>
          </cell>
          <cell r="S54">
            <v>0.11827763258730058</v>
          </cell>
        </row>
        <row r="55">
          <cell r="B55" t="str">
            <v>cd4001</v>
          </cell>
          <cell r="C55" t="str">
            <v>Bloomer, WI</v>
          </cell>
          <cell r="D55" t="str">
            <v>WI</v>
          </cell>
          <cell r="E55" t="str">
            <v>USA</v>
          </cell>
          <cell r="F55">
            <v>0</v>
          </cell>
          <cell r="G55">
            <v>24605</v>
          </cell>
          <cell r="H55">
            <v>98420</v>
          </cell>
          <cell r="I55">
            <v>196840</v>
          </cell>
          <cell r="J55">
            <v>98420</v>
          </cell>
          <cell r="K55">
            <v>418285</v>
          </cell>
          <cell r="M55">
            <v>0.95</v>
          </cell>
          <cell r="N55">
            <v>440300</v>
          </cell>
          <cell r="P55">
            <v>98420</v>
          </cell>
          <cell r="Q55">
            <v>0</v>
          </cell>
        </row>
        <row r="56">
          <cell r="B56" t="str">
            <v>cd1806</v>
          </cell>
          <cell r="C56" t="str">
            <v>Battleford OPTAER SK SWL</v>
          </cell>
          <cell r="D56" t="str">
            <v>SK</v>
          </cell>
          <cell r="E56" t="str">
            <v>Canada</v>
          </cell>
          <cell r="F56">
            <v>52128.4</v>
          </cell>
          <cell r="G56">
            <v>52128.4</v>
          </cell>
          <cell r="H56">
            <v>52128.4</v>
          </cell>
          <cell r="I56">
            <v>130321</v>
          </cell>
          <cell r="J56">
            <v>104256.8</v>
          </cell>
          <cell r="K56">
            <v>390963</v>
          </cell>
          <cell r="M56">
            <v>0.95</v>
          </cell>
          <cell r="N56">
            <v>411540</v>
          </cell>
          <cell r="P56">
            <v>0</v>
          </cell>
          <cell r="Q56">
            <v>104256.8</v>
          </cell>
        </row>
        <row r="57">
          <cell r="B57" t="str">
            <v>cd2874</v>
          </cell>
          <cell r="C57" t="str">
            <v>Absarokee</v>
          </cell>
          <cell r="D57" t="str">
            <v>MT</v>
          </cell>
          <cell r="E57" t="str">
            <v>USA</v>
          </cell>
          <cell r="F57">
            <v>0</v>
          </cell>
          <cell r="G57">
            <v>0</v>
          </cell>
          <cell r="H57">
            <v>0</v>
          </cell>
          <cell r="I57">
            <v>69064</v>
          </cell>
          <cell r="J57">
            <v>276256</v>
          </cell>
          <cell r="K57">
            <v>345320</v>
          </cell>
          <cell r="M57">
            <v>0.97</v>
          </cell>
          <cell r="N57">
            <v>356000</v>
          </cell>
          <cell r="P57">
            <v>276256</v>
          </cell>
          <cell r="Q57">
            <v>0</v>
          </cell>
        </row>
        <row r="58">
          <cell r="B58" t="str">
            <v>cd1590</v>
          </cell>
          <cell r="C58" t="str">
            <v>Dallas Center IA</v>
          </cell>
          <cell r="D58" t="str">
            <v>IA</v>
          </cell>
          <cell r="E58" t="str">
            <v>USA</v>
          </cell>
          <cell r="F58">
            <v>0</v>
          </cell>
          <cell r="G58">
            <v>0</v>
          </cell>
          <cell r="H58">
            <v>0</v>
          </cell>
          <cell r="I58">
            <v>62355.15</v>
          </cell>
          <cell r="J58">
            <v>249420.6</v>
          </cell>
          <cell r="K58">
            <v>311775.75</v>
          </cell>
          <cell r="M58">
            <v>0.9405</v>
          </cell>
          <cell r="N58">
            <v>331500</v>
          </cell>
          <cell r="P58">
            <v>249420.6</v>
          </cell>
          <cell r="Q58">
            <v>0</v>
          </cell>
        </row>
        <row r="59">
          <cell r="B59" t="str">
            <v>cd1732</v>
          </cell>
          <cell r="C59" t="str">
            <v>Sigourney, IA</v>
          </cell>
          <cell r="D59" t="str">
            <v>IA</v>
          </cell>
          <cell r="E59" t="str">
            <v>USA</v>
          </cell>
          <cell r="F59">
            <v>0</v>
          </cell>
          <cell r="G59">
            <v>0</v>
          </cell>
          <cell r="H59">
            <v>0</v>
          </cell>
          <cell r="I59">
            <v>59862.825000000004</v>
          </cell>
          <cell r="J59">
            <v>239451.30000000002</v>
          </cell>
          <cell r="K59">
            <v>299314.125</v>
          </cell>
          <cell r="M59">
            <v>0.9405</v>
          </cell>
          <cell r="N59">
            <v>318250</v>
          </cell>
          <cell r="P59">
            <v>239451.30000000002</v>
          </cell>
          <cell r="Q59">
            <v>0</v>
          </cell>
        </row>
        <row r="60">
          <cell r="B60" t="str">
            <v>cd4101</v>
          </cell>
          <cell r="C60" t="str">
            <v>Dysart IA</v>
          </cell>
          <cell r="D60" t="str">
            <v>IA</v>
          </cell>
          <cell r="E60" t="str">
            <v>USA</v>
          </cell>
          <cell r="F60">
            <v>0</v>
          </cell>
          <cell r="G60">
            <v>0</v>
          </cell>
          <cell r="H60">
            <v>0</v>
          </cell>
          <cell r="I60">
            <v>56900.25</v>
          </cell>
          <cell r="J60">
            <v>227601</v>
          </cell>
          <cell r="K60">
            <v>284501.25</v>
          </cell>
          <cell r="M60">
            <v>0.9405</v>
          </cell>
          <cell r="N60">
            <v>302500</v>
          </cell>
          <cell r="P60">
            <v>227601</v>
          </cell>
          <cell r="Q60">
            <v>0</v>
          </cell>
        </row>
        <row r="61">
          <cell r="B61" t="str">
            <v>cd3614</v>
          </cell>
          <cell r="C61" t="str">
            <v>Glidden IA SWL</v>
          </cell>
          <cell r="D61" t="str">
            <v>IA</v>
          </cell>
          <cell r="E61" t="str">
            <v>USA</v>
          </cell>
          <cell r="F61">
            <v>0</v>
          </cell>
          <cell r="G61">
            <v>0</v>
          </cell>
          <cell r="H61">
            <v>0</v>
          </cell>
          <cell r="I61">
            <v>47871.450000000004</v>
          </cell>
          <cell r="J61">
            <v>191485.80000000002</v>
          </cell>
          <cell r="K61">
            <v>239357.25000000003</v>
          </cell>
          <cell r="M61">
            <v>0.9405</v>
          </cell>
          <cell r="N61">
            <v>254500.00000000003</v>
          </cell>
          <cell r="P61">
            <v>191485.80000000002</v>
          </cell>
          <cell r="Q61">
            <v>0</v>
          </cell>
        </row>
        <row r="62">
          <cell r="B62" t="str">
            <v>cd1872</v>
          </cell>
          <cell r="C62" t="str">
            <v>Anita, IA</v>
          </cell>
          <cell r="D62" t="str">
            <v>IA</v>
          </cell>
          <cell r="E62" t="str">
            <v>USA</v>
          </cell>
          <cell r="F62">
            <v>0</v>
          </cell>
          <cell r="G62">
            <v>0</v>
          </cell>
          <cell r="H62">
            <v>0</v>
          </cell>
          <cell r="I62">
            <v>46187.955000000002</v>
          </cell>
          <cell r="J62">
            <v>184751.82</v>
          </cell>
          <cell r="K62">
            <v>230939.77500000002</v>
          </cell>
          <cell r="M62">
            <v>0.9405</v>
          </cell>
          <cell r="N62">
            <v>245550.00000000003</v>
          </cell>
          <cell r="P62">
            <v>184751.82</v>
          </cell>
          <cell r="Q62">
            <v>0</v>
          </cell>
        </row>
        <row r="63">
          <cell r="B63" t="str">
            <v>cd3002</v>
          </cell>
          <cell r="C63" t="str">
            <v>Massena IA</v>
          </cell>
          <cell r="D63" t="str">
            <v>IA</v>
          </cell>
          <cell r="E63" t="str">
            <v>USA</v>
          </cell>
          <cell r="F63">
            <v>0</v>
          </cell>
          <cell r="G63">
            <v>0</v>
          </cell>
          <cell r="H63">
            <v>0</v>
          </cell>
          <cell r="I63">
            <v>40817.700000000004</v>
          </cell>
          <cell r="J63">
            <v>163270.80000000002</v>
          </cell>
          <cell r="K63">
            <v>204088.50000000003</v>
          </cell>
          <cell r="M63">
            <v>0.9405</v>
          </cell>
          <cell r="N63">
            <v>217000.00000000003</v>
          </cell>
          <cell r="P63">
            <v>163270.80000000002</v>
          </cell>
          <cell r="Q63">
            <v>0</v>
          </cell>
        </row>
        <row r="64">
          <cell r="B64" t="str">
            <v>cd1761</v>
          </cell>
          <cell r="C64" t="str">
            <v>Aurora, SD</v>
          </cell>
          <cell r="D64" t="str">
            <v>SD</v>
          </cell>
          <cell r="E64" t="str">
            <v>USA</v>
          </cell>
          <cell r="F64">
            <v>0</v>
          </cell>
          <cell r="G64">
            <v>0</v>
          </cell>
          <cell r="H64">
            <v>0</v>
          </cell>
          <cell r="I64">
            <v>38153.733749999999</v>
          </cell>
          <cell r="J64">
            <v>152614.935</v>
          </cell>
          <cell r="K64">
            <v>190768.66875000001</v>
          </cell>
          <cell r="M64">
            <v>0.63483749999999994</v>
          </cell>
          <cell r="N64">
            <v>300500.00000000006</v>
          </cell>
          <cell r="P64">
            <v>152614.935</v>
          </cell>
          <cell r="Q64">
            <v>0</v>
          </cell>
        </row>
        <row r="65">
          <cell r="B65" t="str">
            <v>cd4148</v>
          </cell>
          <cell r="C65" t="str">
            <v>Riceville IA</v>
          </cell>
          <cell r="D65" t="str">
            <v>IA</v>
          </cell>
          <cell r="E65" t="str">
            <v>USA</v>
          </cell>
          <cell r="F65">
            <v>0</v>
          </cell>
          <cell r="G65">
            <v>0</v>
          </cell>
          <cell r="H65">
            <v>0</v>
          </cell>
          <cell r="I65">
            <v>37620</v>
          </cell>
          <cell r="J65">
            <v>150480</v>
          </cell>
          <cell r="K65">
            <v>188100</v>
          </cell>
          <cell r="M65">
            <v>0.9405</v>
          </cell>
          <cell r="N65">
            <v>200000</v>
          </cell>
          <cell r="P65">
            <v>150480</v>
          </cell>
          <cell r="Q65">
            <v>0</v>
          </cell>
        </row>
        <row r="66">
          <cell r="B66" t="str">
            <v>cd3852</v>
          </cell>
          <cell r="C66" t="str">
            <v>Blairstown IA</v>
          </cell>
          <cell r="D66" t="str">
            <v>IA</v>
          </cell>
          <cell r="E66" t="str">
            <v>USA</v>
          </cell>
          <cell r="F66">
            <v>0</v>
          </cell>
          <cell r="G66">
            <v>0</v>
          </cell>
          <cell r="H66">
            <v>0</v>
          </cell>
          <cell r="I66">
            <v>36303.300000000003</v>
          </cell>
          <cell r="J66">
            <v>145213.20000000001</v>
          </cell>
          <cell r="K66">
            <v>181516.5</v>
          </cell>
          <cell r="M66">
            <v>0.9405</v>
          </cell>
          <cell r="N66">
            <v>193000</v>
          </cell>
          <cell r="P66">
            <v>145213.20000000001</v>
          </cell>
          <cell r="Q66">
            <v>0</v>
          </cell>
        </row>
        <row r="67">
          <cell r="B67" t="str">
            <v>cd2331</v>
          </cell>
          <cell r="C67" t="str">
            <v>Preeceville</v>
          </cell>
          <cell r="D67" t="str">
            <v>SK</v>
          </cell>
          <cell r="E67" t="str">
            <v>Canada</v>
          </cell>
          <cell r="F67">
            <v>0</v>
          </cell>
          <cell r="G67">
            <v>0</v>
          </cell>
          <cell r="H67">
            <v>0</v>
          </cell>
          <cell r="I67">
            <v>67904.100000000006</v>
          </cell>
          <cell r="J67">
            <v>101856.15</v>
          </cell>
          <cell r="K67">
            <v>169760.25</v>
          </cell>
          <cell r="M67">
            <v>0.9405</v>
          </cell>
          <cell r="N67">
            <v>180500</v>
          </cell>
          <cell r="P67">
            <v>0</v>
          </cell>
          <cell r="Q67">
            <v>101856.15</v>
          </cell>
        </row>
        <row r="68">
          <cell r="B68" t="str">
            <v>cd2195</v>
          </cell>
          <cell r="C68" t="str">
            <v>Sundre OPTAER SWL</v>
          </cell>
          <cell r="D68" t="str">
            <v>AB</v>
          </cell>
          <cell r="E68" t="str">
            <v>Canada</v>
          </cell>
          <cell r="F68">
            <v>0</v>
          </cell>
          <cell r="G68">
            <v>0</v>
          </cell>
          <cell r="H68">
            <v>0</v>
          </cell>
          <cell r="I68">
            <v>67904.100000000006</v>
          </cell>
          <cell r="J68">
            <v>101856.15</v>
          </cell>
          <cell r="K68">
            <v>169760.25</v>
          </cell>
          <cell r="M68">
            <v>0.85499999999999998</v>
          </cell>
          <cell r="N68">
            <v>198550</v>
          </cell>
          <cell r="P68">
            <v>0</v>
          </cell>
          <cell r="Q68">
            <v>101856.15</v>
          </cell>
        </row>
        <row r="69">
          <cell r="B69" t="str">
            <v>cd3667</v>
          </cell>
          <cell r="C69" t="str">
            <v>New Bothwell SWL</v>
          </cell>
          <cell r="D69" t="str">
            <v>MB</v>
          </cell>
          <cell r="E69" t="str">
            <v>Canada</v>
          </cell>
          <cell r="F69">
            <v>0</v>
          </cell>
          <cell r="G69">
            <v>0</v>
          </cell>
          <cell r="H69">
            <v>0</v>
          </cell>
          <cell r="I69">
            <v>67260.456000000006</v>
          </cell>
          <cell r="J69">
            <v>100890.68400000001</v>
          </cell>
          <cell r="K69">
            <v>168151.14</v>
          </cell>
          <cell r="M69">
            <v>0.72900000000000009</v>
          </cell>
          <cell r="N69">
            <v>230660</v>
          </cell>
          <cell r="P69">
            <v>0</v>
          </cell>
          <cell r="Q69">
            <v>100890.68400000001</v>
          </cell>
        </row>
        <row r="70">
          <cell r="B70" t="str">
            <v>cd1822</v>
          </cell>
          <cell r="C70" t="str">
            <v>Brighton IA SWL</v>
          </cell>
          <cell r="D70" t="str">
            <v>IA</v>
          </cell>
          <cell r="E70" t="str">
            <v>USA</v>
          </cell>
          <cell r="F70">
            <v>0</v>
          </cell>
          <cell r="G70">
            <v>0</v>
          </cell>
          <cell r="H70">
            <v>0</v>
          </cell>
          <cell r="I70">
            <v>32729.4</v>
          </cell>
          <cell r="J70">
            <v>130917.6</v>
          </cell>
          <cell r="K70">
            <v>163647</v>
          </cell>
          <cell r="M70">
            <v>0.9405</v>
          </cell>
          <cell r="N70">
            <v>174000</v>
          </cell>
          <cell r="P70">
            <v>130917.6</v>
          </cell>
          <cell r="Q70">
            <v>0</v>
          </cell>
        </row>
        <row r="71">
          <cell r="B71" t="str">
            <v>cd2738</v>
          </cell>
          <cell r="C71" t="str">
            <v>Dale WI</v>
          </cell>
          <cell r="D71" t="str">
            <v>WI</v>
          </cell>
          <cell r="E71" t="str">
            <v>USA</v>
          </cell>
          <cell r="F71">
            <v>18057.600000000002</v>
          </cell>
          <cell r="G71">
            <v>72230.400000000009</v>
          </cell>
          <cell r="H71">
            <v>36115.200000000004</v>
          </cell>
          <cell r="I71">
            <v>18057.600000000002</v>
          </cell>
          <cell r="J71">
            <v>18057.600000000002</v>
          </cell>
          <cell r="K71">
            <v>162518.40000000002</v>
          </cell>
          <cell r="M71">
            <v>0.9405</v>
          </cell>
          <cell r="N71">
            <v>172800.00000000003</v>
          </cell>
          <cell r="P71">
            <v>18057.600000000002</v>
          </cell>
          <cell r="Q71">
            <v>0</v>
          </cell>
        </row>
        <row r="72">
          <cell r="B72" t="str">
            <v>cd3650</v>
          </cell>
          <cell r="C72" t="str">
            <v>Everly IA</v>
          </cell>
          <cell r="D72" t="str">
            <v>IA</v>
          </cell>
          <cell r="E72" t="str">
            <v>USA</v>
          </cell>
          <cell r="F72">
            <v>0</v>
          </cell>
          <cell r="G72">
            <v>0</v>
          </cell>
          <cell r="H72">
            <v>0</v>
          </cell>
          <cell r="I72">
            <v>31788.9</v>
          </cell>
          <cell r="J72">
            <v>127155.6</v>
          </cell>
          <cell r="K72">
            <v>158944.5</v>
          </cell>
          <cell r="M72">
            <v>0.9405</v>
          </cell>
          <cell r="N72">
            <v>169000</v>
          </cell>
          <cell r="P72">
            <v>127155.6</v>
          </cell>
          <cell r="Q72">
            <v>0</v>
          </cell>
        </row>
        <row r="73">
          <cell r="B73" t="str">
            <v>cd2674</v>
          </cell>
          <cell r="C73" t="str">
            <v>Hollandsburg Palestine OH</v>
          </cell>
          <cell r="D73" t="str">
            <v>OH</v>
          </cell>
          <cell r="E73" t="str">
            <v>USA</v>
          </cell>
          <cell r="F73">
            <v>0</v>
          </cell>
          <cell r="G73">
            <v>0</v>
          </cell>
          <cell r="H73">
            <v>0</v>
          </cell>
          <cell r="I73">
            <v>27838.800000000003</v>
          </cell>
          <cell r="J73">
            <v>111355.20000000001</v>
          </cell>
          <cell r="K73">
            <v>139194</v>
          </cell>
          <cell r="M73">
            <v>0.9405</v>
          </cell>
          <cell r="N73">
            <v>148000</v>
          </cell>
          <cell r="P73">
            <v>111355.20000000001</v>
          </cell>
          <cell r="Q73">
            <v>0</v>
          </cell>
        </row>
        <row r="74">
          <cell r="B74" t="str">
            <v>cd2694</v>
          </cell>
          <cell r="C74" t="str">
            <v>Jonesburg MO</v>
          </cell>
          <cell r="D74" t="str">
            <v>MO</v>
          </cell>
          <cell r="E74" t="str">
            <v>USA</v>
          </cell>
          <cell r="F74">
            <v>0</v>
          </cell>
          <cell r="G74">
            <v>0</v>
          </cell>
          <cell r="H74">
            <v>0</v>
          </cell>
          <cell r="I74">
            <v>26329.050000000003</v>
          </cell>
          <cell r="J74">
            <v>105316.20000000001</v>
          </cell>
          <cell r="K74">
            <v>131645.25</v>
          </cell>
          <cell r="M74">
            <v>0.66825000000000001</v>
          </cell>
          <cell r="N74">
            <v>197000</v>
          </cell>
          <cell r="P74">
            <v>105316.20000000001</v>
          </cell>
          <cell r="Q74">
            <v>0</v>
          </cell>
        </row>
        <row r="75">
          <cell r="B75" t="str">
            <v>cd4141</v>
          </cell>
          <cell r="C75" t="str">
            <v>Wuskwi Sipihk FN MB</v>
          </cell>
          <cell r="D75" t="str">
            <v>MB</v>
          </cell>
          <cell r="E75" t="str">
            <v>Canada</v>
          </cell>
          <cell r="F75">
            <v>0</v>
          </cell>
          <cell r="G75">
            <v>0</v>
          </cell>
          <cell r="H75">
            <v>0</v>
          </cell>
          <cell r="I75">
            <v>46031.832000000002</v>
          </cell>
          <cell r="J75">
            <v>69047.747999999992</v>
          </cell>
          <cell r="K75">
            <v>115079.57999999999</v>
          </cell>
          <cell r="M75">
            <v>0.9405</v>
          </cell>
          <cell r="N75">
            <v>122359.99999999999</v>
          </cell>
          <cell r="P75">
            <v>0</v>
          </cell>
          <cell r="Q75">
            <v>69047.747999999992</v>
          </cell>
        </row>
        <row r="76">
          <cell r="B76" t="str">
            <v>cd2353</v>
          </cell>
          <cell r="C76" t="str">
            <v>Dillingham</v>
          </cell>
          <cell r="D76" t="str">
            <v>AK</v>
          </cell>
          <cell r="E76" t="str">
            <v>USA</v>
          </cell>
          <cell r="F76">
            <v>0</v>
          </cell>
          <cell r="G76">
            <v>0</v>
          </cell>
          <cell r="H76">
            <v>0</v>
          </cell>
          <cell r="I76">
            <v>13529.092499999999</v>
          </cell>
          <cell r="J76">
            <v>54116.369999999995</v>
          </cell>
          <cell r="K76">
            <v>67645.462499999994</v>
          </cell>
          <cell r="M76">
            <v>0.47025</v>
          </cell>
          <cell r="N76">
            <v>143850</v>
          </cell>
          <cell r="P76">
            <v>54116.369999999995</v>
          </cell>
          <cell r="Q76">
            <v>0</v>
          </cell>
        </row>
        <row r="77">
          <cell r="B77" t="str">
            <v>cd2194</v>
          </cell>
          <cell r="C77" t="str">
            <v>East Lynn, MO</v>
          </cell>
          <cell r="D77" t="str">
            <v>MO</v>
          </cell>
          <cell r="E77" t="str">
            <v>USA</v>
          </cell>
          <cell r="F77">
            <v>0</v>
          </cell>
          <cell r="G77">
            <v>0</v>
          </cell>
          <cell r="H77">
            <v>0</v>
          </cell>
          <cell r="I77">
            <v>9459.0787499999988</v>
          </cell>
          <cell r="J77">
            <v>37836.314999999995</v>
          </cell>
          <cell r="K77">
            <v>47295.393749999996</v>
          </cell>
          <cell r="M77">
            <v>0.63483749999999994</v>
          </cell>
          <cell r="N77">
            <v>74500</v>
          </cell>
          <cell r="P77">
            <v>37836.314999999995</v>
          </cell>
          <cell r="Q77">
            <v>0</v>
          </cell>
        </row>
        <row r="78">
          <cell r="B78" t="str">
            <v>cd4006</v>
          </cell>
          <cell r="C78" t="str">
            <v>Sucker Creek Rebuild RWR</v>
          </cell>
          <cell r="D78" t="str">
            <v>AB</v>
          </cell>
          <cell r="E78" t="str">
            <v>Canada</v>
          </cell>
          <cell r="F78">
            <v>0</v>
          </cell>
          <cell r="G78">
            <v>0</v>
          </cell>
          <cell r="H78">
            <v>0</v>
          </cell>
          <cell r="I78">
            <v>15446.772000000001</v>
          </cell>
          <cell r="J78">
            <v>23170.157999999999</v>
          </cell>
          <cell r="K78">
            <v>38616.93</v>
          </cell>
          <cell r="M78">
            <v>0.99</v>
          </cell>
          <cell r="N78">
            <v>39007</v>
          </cell>
          <cell r="P78">
            <v>0</v>
          </cell>
          <cell r="Q78">
            <v>23170.157999999999</v>
          </cell>
        </row>
        <row r="79">
          <cell r="B79" t="str">
            <v>cd2119</v>
          </cell>
          <cell r="C79" t="str">
            <v>LeBret FN SK</v>
          </cell>
          <cell r="D79" t="str">
            <v>SK</v>
          </cell>
          <cell r="E79" t="str">
            <v>Canada</v>
          </cell>
          <cell r="F79">
            <v>0</v>
          </cell>
          <cell r="G79">
            <v>0</v>
          </cell>
          <cell r="H79">
            <v>0</v>
          </cell>
          <cell r="I79">
            <v>15332.031000000001</v>
          </cell>
          <cell r="J79">
            <v>22998.0465</v>
          </cell>
          <cell r="K79">
            <v>38330.077499999999</v>
          </cell>
          <cell r="M79">
            <v>0.9405</v>
          </cell>
          <cell r="N79">
            <v>40755</v>
          </cell>
          <cell r="P79">
            <v>0</v>
          </cell>
          <cell r="Q79">
            <v>22998.0465</v>
          </cell>
        </row>
        <row r="80">
          <cell r="B80" t="str">
            <v>cd2758</v>
          </cell>
          <cell r="C80" t="str">
            <v>Talkeetna AK SWL</v>
          </cell>
          <cell r="D80" t="str">
            <v>AK</v>
          </cell>
          <cell r="E80" t="str">
            <v>USA</v>
          </cell>
          <cell r="F80">
            <v>3629</v>
          </cell>
          <cell r="G80">
            <v>14516</v>
          </cell>
          <cell r="H80">
            <v>7258</v>
          </cell>
          <cell r="I80">
            <v>3629</v>
          </cell>
          <cell r="J80">
            <v>3629</v>
          </cell>
          <cell r="K80">
            <v>32661</v>
          </cell>
          <cell r="M80">
            <v>0.23749999999999999</v>
          </cell>
          <cell r="N80">
            <v>137520</v>
          </cell>
          <cell r="P80">
            <v>3629</v>
          </cell>
          <cell r="Q80">
            <v>0</v>
          </cell>
        </row>
        <row r="81">
          <cell r="B81" t="str">
            <v>cd4405</v>
          </cell>
          <cell r="C81" t="str">
            <v xml:space="preserve">Sandy Bay MB </v>
          </cell>
          <cell r="D81" t="str">
            <v>MB</v>
          </cell>
          <cell r="E81" t="str">
            <v>Canada</v>
          </cell>
          <cell r="F81">
            <v>0</v>
          </cell>
          <cell r="G81">
            <v>0</v>
          </cell>
          <cell r="H81">
            <v>0</v>
          </cell>
          <cell r="I81">
            <v>0</v>
          </cell>
          <cell r="J81">
            <v>29782.499999999996</v>
          </cell>
          <cell r="K81">
            <v>29782.499999999996</v>
          </cell>
          <cell r="M81">
            <v>0.71249999999999991</v>
          </cell>
          <cell r="N81">
            <v>41800</v>
          </cell>
          <cell r="P81">
            <v>0</v>
          </cell>
          <cell r="Q81">
            <v>29782.499999999996</v>
          </cell>
        </row>
        <row r="82">
          <cell r="B82" t="str">
            <v>cd3704</v>
          </cell>
          <cell r="C82" t="str">
            <v>Plessisville</v>
          </cell>
          <cell r="D82" t="str">
            <v>QC</v>
          </cell>
          <cell r="E82" t="str">
            <v>Canada</v>
          </cell>
          <cell r="F82">
            <v>0</v>
          </cell>
          <cell r="G82">
            <v>0</v>
          </cell>
          <cell r="H82">
            <v>0</v>
          </cell>
          <cell r="I82">
            <v>4895.1599999999989</v>
          </cell>
          <cell r="J82">
            <v>19580.639999999996</v>
          </cell>
          <cell r="K82">
            <v>24475.799999999996</v>
          </cell>
          <cell r="M82">
            <v>0.14249999999999999</v>
          </cell>
          <cell r="N82">
            <v>171759.99999999997</v>
          </cell>
          <cell r="P82">
            <v>0</v>
          </cell>
          <cell r="Q82">
            <v>19580.639999999996</v>
          </cell>
        </row>
        <row r="83">
          <cell r="B83" t="str">
            <v>cd4423</v>
          </cell>
          <cell r="C83" t="str">
            <v>Whitefield NH DF</v>
          </cell>
          <cell r="D83" t="str">
            <v>NH</v>
          </cell>
          <cell r="E83" t="str">
            <v>USA</v>
          </cell>
          <cell r="F83">
            <v>0</v>
          </cell>
          <cell r="G83">
            <v>1425</v>
          </cell>
          <cell r="H83">
            <v>5700</v>
          </cell>
          <cell r="I83">
            <v>11400</v>
          </cell>
          <cell r="J83">
            <v>5700</v>
          </cell>
          <cell r="K83">
            <v>24225</v>
          </cell>
          <cell r="M83">
            <v>0.14249999999999999</v>
          </cell>
          <cell r="N83">
            <v>170000.00000000003</v>
          </cell>
          <cell r="P83">
            <v>5700</v>
          </cell>
          <cell r="Q83">
            <v>0</v>
          </cell>
        </row>
        <row r="84">
          <cell r="B84" t="str">
            <v>cd4073</v>
          </cell>
          <cell r="C84" t="str">
            <v>Epursol SWL</v>
          </cell>
          <cell r="D84" t="str">
            <v>QC</v>
          </cell>
          <cell r="E84" t="str">
            <v>Canada</v>
          </cell>
          <cell r="F84">
            <v>0</v>
          </cell>
          <cell r="G84">
            <v>0</v>
          </cell>
          <cell r="H84">
            <v>0</v>
          </cell>
          <cell r="I84">
            <v>9603.36</v>
          </cell>
          <cell r="J84">
            <v>14405.04</v>
          </cell>
          <cell r="K84">
            <v>24008.400000000001</v>
          </cell>
          <cell r="M84">
            <v>0.81</v>
          </cell>
          <cell r="N84">
            <v>29640</v>
          </cell>
          <cell r="P84">
            <v>0</v>
          </cell>
          <cell r="Q84">
            <v>14405.04</v>
          </cell>
        </row>
        <row r="85">
          <cell r="B85" t="str">
            <v>cd3037</v>
          </cell>
          <cell r="C85" t="str">
            <v>New Town, ND</v>
          </cell>
          <cell r="D85" t="str">
            <v>ND</v>
          </cell>
          <cell r="E85" t="str">
            <v>USA</v>
          </cell>
          <cell r="F85">
            <v>2559.6000000000004</v>
          </cell>
          <cell r="G85">
            <v>10238.400000000001</v>
          </cell>
          <cell r="H85">
            <v>5119.2000000000007</v>
          </cell>
          <cell r="I85">
            <v>2559.6000000000004</v>
          </cell>
          <cell r="J85">
            <v>2559.6000000000004</v>
          </cell>
          <cell r="K85">
            <v>23036.400000000001</v>
          </cell>
          <cell r="M85">
            <v>8.1000000000000016E-2</v>
          </cell>
          <cell r="N85">
            <v>284399.99999999994</v>
          </cell>
          <cell r="P85">
            <v>2559.6000000000004</v>
          </cell>
          <cell r="Q85">
            <v>0</v>
          </cell>
        </row>
        <row r="86">
          <cell r="B86" t="str">
            <v>cd4270</v>
          </cell>
          <cell r="C86" t="str">
            <v>Saint-Elzear QC SWL</v>
          </cell>
          <cell r="D86" t="str">
            <v>QC</v>
          </cell>
          <cell r="E86" t="str">
            <v>Canada</v>
          </cell>
          <cell r="F86">
            <v>0</v>
          </cell>
          <cell r="G86">
            <v>0</v>
          </cell>
          <cell r="H86">
            <v>0</v>
          </cell>
          <cell r="I86">
            <v>8410.3271999999997</v>
          </cell>
          <cell r="J86">
            <v>12615.4908</v>
          </cell>
          <cell r="K86">
            <v>21025.817999999999</v>
          </cell>
          <cell r="M86">
            <v>0.66825000000000001</v>
          </cell>
          <cell r="N86">
            <v>31464</v>
          </cell>
          <cell r="P86">
            <v>0</v>
          </cell>
          <cell r="Q86">
            <v>12615.4908</v>
          </cell>
        </row>
        <row r="87">
          <cell r="B87" t="str">
            <v>cd4367</v>
          </cell>
          <cell r="C87" t="str">
            <v>Fire Training Academy WA</v>
          </cell>
          <cell r="D87" t="str">
            <v>WA</v>
          </cell>
          <cell r="E87" t="str">
            <v>USA</v>
          </cell>
          <cell r="F87">
            <v>1847.75</v>
          </cell>
          <cell r="G87">
            <v>7391</v>
          </cell>
          <cell r="H87">
            <v>3695.5</v>
          </cell>
          <cell r="I87">
            <v>1847.75</v>
          </cell>
          <cell r="J87">
            <v>1847.75</v>
          </cell>
          <cell r="K87">
            <v>16629.75</v>
          </cell>
          <cell r="M87">
            <v>0.47499999999999998</v>
          </cell>
          <cell r="N87">
            <v>35010</v>
          </cell>
          <cell r="P87">
            <v>1847.75</v>
          </cell>
          <cell r="Q87">
            <v>0</v>
          </cell>
        </row>
        <row r="88">
          <cell r="B88" t="str">
            <v>cd4030</v>
          </cell>
          <cell r="C88" t="str">
            <v>La Malbaie QC</v>
          </cell>
          <cell r="D88" t="str">
            <v>QC</v>
          </cell>
          <cell r="E88" t="str">
            <v>Canada</v>
          </cell>
          <cell r="F88">
            <v>0</v>
          </cell>
          <cell r="G88">
            <v>0</v>
          </cell>
          <cell r="H88">
            <v>0</v>
          </cell>
          <cell r="I88">
            <v>6627.9600000000009</v>
          </cell>
          <cell r="J88">
            <v>9941.94</v>
          </cell>
          <cell r="K88">
            <v>16569.900000000001</v>
          </cell>
          <cell r="M88">
            <v>0.85499999999999998</v>
          </cell>
          <cell r="N88">
            <v>19380.000000000004</v>
          </cell>
          <cell r="P88">
            <v>0</v>
          </cell>
          <cell r="Q88">
            <v>9941.94</v>
          </cell>
        </row>
        <row r="89">
          <cell r="B89" t="str">
            <v>cd4416</v>
          </cell>
          <cell r="C89" t="str">
            <v>Chichaoua</v>
          </cell>
          <cell r="D89" t="str">
            <v>Other</v>
          </cell>
          <cell r="E89" t="str">
            <v>USA</v>
          </cell>
          <cell r="F89">
            <v>0</v>
          </cell>
          <cell r="G89">
            <v>0</v>
          </cell>
          <cell r="H89">
            <v>0</v>
          </cell>
          <cell r="I89">
            <v>3216.7000000000003</v>
          </cell>
          <cell r="J89">
            <v>12866.800000000001</v>
          </cell>
          <cell r="K89">
            <v>16083.500000000002</v>
          </cell>
          <cell r="M89">
            <v>0.25</v>
          </cell>
          <cell r="N89">
            <v>64334.000000000007</v>
          </cell>
          <cell r="P89">
            <v>12866.800000000001</v>
          </cell>
          <cell r="Q89">
            <v>0</v>
          </cell>
        </row>
        <row r="90">
          <cell r="B90" t="str">
            <v>cd4233</v>
          </cell>
          <cell r="C90" t="str">
            <v>Murphys CA</v>
          </cell>
          <cell r="D90" t="str">
            <v>CA</v>
          </cell>
          <cell r="E90" t="str">
            <v>USA</v>
          </cell>
          <cell r="F90">
            <v>1686.5516250000001</v>
          </cell>
          <cell r="G90">
            <v>6746.2065000000002</v>
          </cell>
          <cell r="H90">
            <v>3373.1032500000001</v>
          </cell>
          <cell r="I90">
            <v>1686.5516250000001</v>
          </cell>
          <cell r="J90">
            <v>1686.5516250000001</v>
          </cell>
          <cell r="K90">
            <v>15178.964625000001</v>
          </cell>
          <cell r="M90">
            <v>0.21161250000000001</v>
          </cell>
          <cell r="N90">
            <v>71730</v>
          </cell>
          <cell r="P90">
            <v>1686.5516250000001</v>
          </cell>
          <cell r="Q90">
            <v>0</v>
          </cell>
        </row>
        <row r="91">
          <cell r="B91" t="str">
            <v>cd2894</v>
          </cell>
          <cell r="C91" t="str">
            <v>Ville-Marie BP</v>
          </cell>
          <cell r="D91" t="str">
            <v>QC</v>
          </cell>
          <cell r="E91" t="str">
            <v>Canada</v>
          </cell>
          <cell r="F91">
            <v>0</v>
          </cell>
          <cell r="G91">
            <v>0</v>
          </cell>
          <cell r="H91">
            <v>0</v>
          </cell>
          <cell r="I91">
            <v>3002.0760000000005</v>
          </cell>
          <cell r="J91">
            <v>12008.304000000002</v>
          </cell>
          <cell r="K91">
            <v>15010.380000000003</v>
          </cell>
          <cell r="M91">
            <v>9.9000000000000005E-2</v>
          </cell>
          <cell r="N91">
            <v>151620.00000000003</v>
          </cell>
          <cell r="P91">
            <v>0</v>
          </cell>
          <cell r="Q91">
            <v>12008.304000000002</v>
          </cell>
        </row>
        <row r="92">
          <cell r="B92" t="str">
            <v>cd4166</v>
          </cell>
          <cell r="C92" t="str">
            <v>Onion Lake</v>
          </cell>
          <cell r="D92" t="str">
            <v>AB</v>
          </cell>
          <cell r="E92" t="str">
            <v>Canada</v>
          </cell>
          <cell r="F92">
            <v>0</v>
          </cell>
          <cell r="G92">
            <v>0</v>
          </cell>
          <cell r="H92">
            <v>0</v>
          </cell>
          <cell r="I92">
            <v>4765.2</v>
          </cell>
          <cell r="J92">
            <v>7147.8</v>
          </cell>
          <cell r="K92">
            <v>11913</v>
          </cell>
          <cell r="M92">
            <v>0.95</v>
          </cell>
          <cell r="N92">
            <v>12540</v>
          </cell>
          <cell r="P92">
            <v>0</v>
          </cell>
          <cell r="Q92">
            <v>7147.8</v>
          </cell>
        </row>
        <row r="93">
          <cell r="B93" t="str">
            <v>cd3878</v>
          </cell>
          <cell r="C93" t="str">
            <v>Kanab</v>
          </cell>
          <cell r="D93" t="str">
            <v>UT</v>
          </cell>
          <cell r="E93" t="str">
            <v>USA</v>
          </cell>
          <cell r="F93">
            <v>0</v>
          </cell>
          <cell r="G93">
            <v>0</v>
          </cell>
          <cell r="H93">
            <v>0</v>
          </cell>
          <cell r="I93">
            <v>1947.375</v>
          </cell>
          <cell r="J93">
            <v>7789.5</v>
          </cell>
          <cell r="K93">
            <v>9736.875</v>
          </cell>
          <cell r="M93">
            <v>0.16875000000000001</v>
          </cell>
          <cell r="N93">
            <v>57699.999999999993</v>
          </cell>
          <cell r="P93">
            <v>7789.5</v>
          </cell>
          <cell r="Q93">
            <v>0</v>
          </cell>
        </row>
        <row r="94">
          <cell r="B94" t="str">
            <v>cd4420</v>
          </cell>
          <cell r="C94" t="str">
            <v xml:space="preserve">Dallas  OR </v>
          </cell>
          <cell r="D94" t="str">
            <v>OR</v>
          </cell>
          <cell r="E94" t="str">
            <v>USA</v>
          </cell>
          <cell r="F94">
            <v>0</v>
          </cell>
          <cell r="G94">
            <v>0</v>
          </cell>
          <cell r="H94">
            <v>0</v>
          </cell>
          <cell r="I94">
            <v>0</v>
          </cell>
          <cell r="J94">
            <v>7125</v>
          </cell>
          <cell r="K94">
            <v>7125</v>
          </cell>
          <cell r="M94">
            <v>0.23749999999999999</v>
          </cell>
          <cell r="N94">
            <v>30000</v>
          </cell>
          <cell r="P94">
            <v>7125</v>
          </cell>
          <cell r="Q94">
            <v>0</v>
          </cell>
        </row>
        <row r="95">
          <cell r="B95" t="str">
            <v>cd4138</v>
          </cell>
          <cell r="C95" t="str">
            <v>FRC Tyson Foods NY</v>
          </cell>
          <cell r="D95" t="str">
            <v>NY</v>
          </cell>
          <cell r="E95" t="str">
            <v>USA</v>
          </cell>
          <cell r="F95">
            <v>0</v>
          </cell>
          <cell r="G95">
            <v>0</v>
          </cell>
          <cell r="H95">
            <v>1139.9999999999998</v>
          </cell>
          <cell r="I95">
            <v>1139.9999999999998</v>
          </cell>
          <cell r="J95">
            <v>4559.9999999999991</v>
          </cell>
          <cell r="K95">
            <v>6839.9999999999982</v>
          </cell>
          <cell r="M95">
            <v>3.5624999999999997E-2</v>
          </cell>
          <cell r="N95">
            <v>191999.99999999997</v>
          </cell>
          <cell r="P95">
            <v>4559.9999999999991</v>
          </cell>
          <cell r="Q95">
            <v>0</v>
          </cell>
        </row>
        <row r="96">
          <cell r="B96" t="str">
            <v>cd3856</v>
          </cell>
          <cell r="C96" t="str">
            <v>Medora ND SWL</v>
          </cell>
          <cell r="D96" t="str">
            <v>ND</v>
          </cell>
          <cell r="E96" t="str">
            <v>USA</v>
          </cell>
          <cell r="F96">
            <v>0</v>
          </cell>
          <cell r="G96">
            <v>0</v>
          </cell>
          <cell r="H96">
            <v>0</v>
          </cell>
          <cell r="I96">
            <v>839.53125</v>
          </cell>
          <cell r="J96">
            <v>3358.125</v>
          </cell>
          <cell r="K96">
            <v>4197.65625</v>
          </cell>
          <cell r="M96">
            <v>0.2109375</v>
          </cell>
          <cell r="N96">
            <v>19900</v>
          </cell>
          <cell r="P96">
            <v>3358.125</v>
          </cell>
          <cell r="Q96">
            <v>0</v>
          </cell>
        </row>
        <row r="97">
          <cell r="B97" t="str">
            <v>cd4275</v>
          </cell>
          <cell r="C97" t="str">
            <v>Nova Scotia Forest Products Mill</v>
          </cell>
          <cell r="D97" t="str">
            <v>NS</v>
          </cell>
          <cell r="E97" t="str">
            <v>Canada</v>
          </cell>
          <cell r="F97">
            <v>0</v>
          </cell>
          <cell r="G97">
            <v>0</v>
          </cell>
          <cell r="H97">
            <v>0</v>
          </cell>
          <cell r="I97">
            <v>1619.973</v>
          </cell>
          <cell r="J97">
            <v>2429.9594999999999</v>
          </cell>
          <cell r="K97">
            <v>4049.9324999999999</v>
          </cell>
          <cell r="M97">
            <v>3.3750000000000002E-2</v>
          </cell>
          <cell r="N97">
            <v>119997.99999999999</v>
          </cell>
          <cell r="P97">
            <v>0</v>
          </cell>
          <cell r="Q97">
            <v>2429.9594999999999</v>
          </cell>
        </row>
        <row r="98">
          <cell r="B98" t="str">
            <v>cd4295</v>
          </cell>
          <cell r="C98" t="str">
            <v>Chemical Plant El Dorado AR</v>
          </cell>
          <cell r="D98" t="str">
            <v>AR</v>
          </cell>
          <cell r="E98" t="str">
            <v>USA</v>
          </cell>
          <cell r="F98">
            <v>0</v>
          </cell>
          <cell r="G98">
            <v>0</v>
          </cell>
          <cell r="H98">
            <v>0</v>
          </cell>
          <cell r="I98">
            <v>0</v>
          </cell>
          <cell r="J98">
            <v>3247.2900000000004</v>
          </cell>
          <cell r="K98">
            <v>3247.2900000000004</v>
          </cell>
          <cell r="M98">
            <v>0.25650000000000001</v>
          </cell>
          <cell r="N98">
            <v>12660.000000000002</v>
          </cell>
          <cell r="P98">
            <v>3247.2900000000004</v>
          </cell>
          <cell r="Q98">
            <v>0</v>
          </cell>
        </row>
        <row r="99">
          <cell r="B99" t="str">
            <v>cd3968</v>
          </cell>
          <cell r="C99" t="str">
            <v>Farmersville TX</v>
          </cell>
          <cell r="D99" t="str">
            <v>TX</v>
          </cell>
          <cell r="E99" t="str">
            <v>USA</v>
          </cell>
          <cell r="F99">
            <v>0</v>
          </cell>
          <cell r="G99">
            <v>0</v>
          </cell>
          <cell r="H99">
            <v>0</v>
          </cell>
          <cell r="I99">
            <v>0</v>
          </cell>
          <cell r="J99">
            <v>2885.625</v>
          </cell>
          <cell r="K99">
            <v>2885.625</v>
          </cell>
          <cell r="M99">
            <v>0.19237499999999999</v>
          </cell>
          <cell r="N99">
            <v>15000</v>
          </cell>
          <cell r="P99">
            <v>2885.625</v>
          </cell>
          <cell r="Q99">
            <v>0</v>
          </cell>
        </row>
        <row r="100">
          <cell r="B100" t="str">
            <v>cd4239</v>
          </cell>
          <cell r="C100" t="str">
            <v>Wasaga Pines Resort  ON</v>
          </cell>
          <cell r="D100" t="str">
            <v>ON</v>
          </cell>
          <cell r="E100" t="str">
            <v>Canada</v>
          </cell>
          <cell r="F100">
            <v>0</v>
          </cell>
          <cell r="G100">
            <v>0</v>
          </cell>
          <cell r="H100">
            <v>0</v>
          </cell>
          <cell r="I100">
            <v>0</v>
          </cell>
          <cell r="J100">
            <v>1932.3427499999998</v>
          </cell>
          <cell r="K100">
            <v>1932.3427499999998</v>
          </cell>
          <cell r="M100">
            <v>0.1603125</v>
          </cell>
          <cell r="N100">
            <v>12053.599999999999</v>
          </cell>
          <cell r="P100">
            <v>0</v>
          </cell>
          <cell r="Q100">
            <v>1932.3427499999998</v>
          </cell>
        </row>
        <row r="101">
          <cell r="B101" t="str">
            <v>cd4183</v>
          </cell>
          <cell r="C101" t="str">
            <v>Cedar Hills Subdivision MO SWL</v>
          </cell>
          <cell r="D101" t="str">
            <v>MO</v>
          </cell>
          <cell r="E101" t="str">
            <v>USA</v>
          </cell>
          <cell r="F101">
            <v>0</v>
          </cell>
          <cell r="G101">
            <v>0</v>
          </cell>
          <cell r="H101">
            <v>0</v>
          </cell>
          <cell r="I101">
            <v>259.6875</v>
          </cell>
          <cell r="J101">
            <v>1038.75</v>
          </cell>
          <cell r="K101">
            <v>1298.4375</v>
          </cell>
          <cell r="M101">
            <v>9.375E-2</v>
          </cell>
          <cell r="N101">
            <v>13850</v>
          </cell>
          <cell r="P101">
            <v>1038.75</v>
          </cell>
          <cell r="Q101">
            <v>0</v>
          </cell>
        </row>
        <row r="102">
          <cell r="B102" t="str">
            <v>cd3763</v>
          </cell>
          <cell r="C102" t="str">
            <v>Sky Ranch, CO DF</v>
          </cell>
          <cell r="D102" t="str">
            <v>CO</v>
          </cell>
          <cell r="E102" t="str">
            <v>USA</v>
          </cell>
          <cell r="F102">
            <v>0</v>
          </cell>
          <cell r="G102">
            <v>0</v>
          </cell>
          <cell r="H102">
            <v>0</v>
          </cell>
          <cell r="I102">
            <v>0</v>
          </cell>
          <cell r="J102">
            <v>552.82500000000016</v>
          </cell>
          <cell r="K102">
            <v>552.82500000000016</v>
          </cell>
          <cell r="M102">
            <v>6.0750000000000005E-2</v>
          </cell>
          <cell r="N102">
            <v>9100.0000000000018</v>
          </cell>
          <cell r="P102">
            <v>552.82500000000016</v>
          </cell>
          <cell r="Q102">
            <v>0</v>
          </cell>
        </row>
        <row r="103">
          <cell r="B103" t="str">
            <v>cd4258</v>
          </cell>
          <cell r="C103" t="str">
            <v>South Plant  Albany NY</v>
          </cell>
          <cell r="D103" t="str">
            <v>NY</v>
          </cell>
          <cell r="E103" t="str">
            <v>USA</v>
          </cell>
          <cell r="F103">
            <v>0</v>
          </cell>
          <cell r="G103">
            <v>0</v>
          </cell>
          <cell r="H103">
            <v>0</v>
          </cell>
          <cell r="I103">
            <v>0</v>
          </cell>
          <cell r="J103">
            <v>268.04250000000002</v>
          </cell>
          <cell r="K103">
            <v>268.04250000000002</v>
          </cell>
          <cell r="M103">
            <v>4.2750000000000003E-2</v>
          </cell>
          <cell r="N103">
            <v>6270</v>
          </cell>
          <cell r="P103">
            <v>268.04250000000002</v>
          </cell>
          <cell r="Q103">
            <v>0</v>
          </cell>
        </row>
        <row r="104">
          <cell r="B104" t="str">
            <v>cd3578</v>
          </cell>
          <cell r="C104" t="str">
            <v>College Station TX DF</v>
          </cell>
          <cell r="D104" t="str">
            <v>TX</v>
          </cell>
          <cell r="E104" t="str">
            <v>USA</v>
          </cell>
          <cell r="F104">
            <v>0</v>
          </cell>
          <cell r="G104">
            <v>0</v>
          </cell>
          <cell r="H104">
            <v>0</v>
          </cell>
          <cell r="I104">
            <v>0</v>
          </cell>
          <cell r="J104">
            <v>174.20625000000001</v>
          </cell>
          <cell r="K104">
            <v>174.20625000000001</v>
          </cell>
          <cell r="M104">
            <v>4.2750000000000002E-3</v>
          </cell>
          <cell r="N104">
            <v>40750</v>
          </cell>
          <cell r="P104">
            <v>174.20625000000001</v>
          </cell>
          <cell r="Q104">
            <v>0</v>
          </cell>
        </row>
        <row r="105">
          <cell r="F105">
            <v>79908.901624999999</v>
          </cell>
          <cell r="G105">
            <v>189280.40649999998</v>
          </cell>
          <cell r="H105">
            <v>212949.40325000003</v>
          </cell>
          <cell r="I105">
            <v>1441936.6775749999</v>
          </cell>
          <cell r="J105">
            <v>3807240.558925</v>
          </cell>
          <cell r="K105">
            <v>5731315.9478749996</v>
          </cell>
          <cell r="N105">
            <v>7810601.5999999996</v>
          </cell>
          <cell r="P105">
            <v>3173320.8053750009</v>
          </cell>
          <cell r="Q105">
            <v>633919.75355000002</v>
          </cell>
        </row>
        <row r="106">
          <cell r="P106">
            <v>0.83349627013613492</v>
          </cell>
        </row>
        <row r="107">
          <cell r="B107" t="str">
            <v>Iowa</v>
          </cell>
          <cell r="D107" t="str">
            <v>IA</v>
          </cell>
          <cell r="F107">
            <v>0</v>
          </cell>
          <cell r="G107">
            <v>0</v>
          </cell>
          <cell r="H107">
            <v>0</v>
          </cell>
          <cell r="I107">
            <v>565014.78</v>
          </cell>
          <cell r="J107">
            <v>2260059.12</v>
          </cell>
          <cell r="K107">
            <v>2825073.9</v>
          </cell>
          <cell r="M107">
            <v>0.9405</v>
          </cell>
          <cell r="N107">
            <v>3003800</v>
          </cell>
        </row>
        <row r="108">
          <cell r="B108" t="str">
            <v>Wisconsin</v>
          </cell>
          <cell r="D108" t="str">
            <v>WI</v>
          </cell>
          <cell r="F108">
            <v>18057.600000000002</v>
          </cell>
          <cell r="G108">
            <v>96835.400000000009</v>
          </cell>
          <cell r="H108">
            <v>96835.400000000009</v>
          </cell>
          <cell r="I108">
            <v>214897.6</v>
          </cell>
          <cell r="J108">
            <v>116477.6</v>
          </cell>
          <cell r="K108">
            <v>580803.4</v>
          </cell>
          <cell r="M108">
            <v>0.94732245963138151</v>
          </cell>
          <cell r="N108">
            <v>613100</v>
          </cell>
        </row>
        <row r="109">
          <cell r="B109" t="str">
            <v>Manitoba</v>
          </cell>
          <cell r="D109" t="str">
            <v>MB</v>
          </cell>
          <cell r="F109">
            <v>0</v>
          </cell>
          <cell r="G109">
            <v>0</v>
          </cell>
          <cell r="H109">
            <v>0</v>
          </cell>
          <cell r="I109">
            <v>113292.288</v>
          </cell>
          <cell r="J109">
            <v>199720.932</v>
          </cell>
          <cell r="K109">
            <v>313013.21999999997</v>
          </cell>
          <cell r="M109">
            <v>0.79279980750721846</v>
          </cell>
          <cell r="N109">
            <v>394820</v>
          </cell>
        </row>
        <row r="110">
          <cell r="B110" t="str">
            <v>Saskatchewan</v>
          </cell>
          <cell r="D110" t="str">
            <v>SK</v>
          </cell>
          <cell r="F110">
            <v>52128.4</v>
          </cell>
          <cell r="G110">
            <v>52128.4</v>
          </cell>
          <cell r="H110">
            <v>52128.4</v>
          </cell>
          <cell r="I110">
            <v>213557.13099999999</v>
          </cell>
          <cell r="J110">
            <v>229110.99650000001</v>
          </cell>
          <cell r="K110">
            <v>599053.32750000001</v>
          </cell>
          <cell r="M110">
            <v>0.94667835159885905</v>
          </cell>
          <cell r="N110">
            <v>632795</v>
          </cell>
        </row>
        <row r="111">
          <cell r="K111">
            <v>0.75339483755052161</v>
          </cell>
        </row>
        <row r="112">
          <cell r="B112" t="str">
            <v>Projected bookings with MANC &gt;93%</v>
          </cell>
          <cell r="F112">
            <v>70186</v>
          </cell>
          <cell r="G112">
            <v>148963.79999999999</v>
          </cell>
          <cell r="H112">
            <v>186663.6</v>
          </cell>
          <cell r="I112">
            <v>1156616.1149999998</v>
          </cell>
          <cell r="J112">
            <v>3092624.6225000005</v>
          </cell>
          <cell r="K112">
            <v>4655054.1375000002</v>
          </cell>
        </row>
        <row r="113">
          <cell r="K113">
            <v>0.8122138405623851</v>
          </cell>
        </row>
      </sheetData>
      <sheetData sheetId="5">
        <row r="2">
          <cell r="M2">
            <v>0</v>
          </cell>
        </row>
        <row r="3">
          <cell r="M3" t="e">
            <v>#DIV/0!</v>
          </cell>
          <cell r="N3" t="str">
            <v>% Backlog converted to Revenue in Current year</v>
          </cell>
        </row>
        <row r="4">
          <cell r="C4" t="str">
            <v>YTD Jun-19A</v>
          </cell>
          <cell r="G4" t="str">
            <v>2019E</v>
          </cell>
        </row>
        <row r="5">
          <cell r="B5" t="str">
            <v>Revenue</v>
          </cell>
          <cell r="C5">
            <v>7.4760228698231552</v>
          </cell>
          <cell r="D5">
            <v>7.4760228698231552</v>
          </cell>
          <cell r="E5">
            <v>16.374820869823154</v>
          </cell>
          <cell r="F5">
            <v>20.932841869823154</v>
          </cell>
          <cell r="G5">
            <v>26.439792598928694</v>
          </cell>
        </row>
        <row r="6">
          <cell r="B6" t="str">
            <v>Revenue from Backlog</v>
          </cell>
          <cell r="D6">
            <v>8.8987979999999993</v>
          </cell>
        </row>
        <row r="7">
          <cell r="B7" t="str">
            <v>Revenue from Pending Backlog</v>
          </cell>
          <cell r="E7">
            <v>4.5580210000000001</v>
          </cell>
        </row>
        <row r="8">
          <cell r="B8" t="str">
            <v>Revenue from Projected Bookings</v>
          </cell>
          <cell r="F8">
            <v>5.5069507291055393</v>
          </cell>
          <cell r="J8" t="str">
            <v>&lt;&lt; GS</v>
          </cell>
        </row>
        <row r="9">
          <cell r="D9">
            <v>16.374820869823154</v>
          </cell>
          <cell r="E9">
            <v>20.932841869823154</v>
          </cell>
          <cell r="F9">
            <v>26.439792598928694</v>
          </cell>
          <cell r="G9">
            <v>26.439792598928694</v>
          </cell>
          <cell r="J9">
            <v>26.439792598928712</v>
          </cell>
          <cell r="K9">
            <v>0</v>
          </cell>
        </row>
        <row r="10">
          <cell r="M10">
            <v>26.439792598928712</v>
          </cell>
        </row>
        <row r="32">
          <cell r="C32" t="str">
            <v>2019E EBITDA:</v>
          </cell>
          <cell r="I32">
            <v>5.9135461251870334</v>
          </cell>
        </row>
        <row r="33">
          <cell r="C33" t="str">
            <v>2019E Adj. EBITDA:</v>
          </cell>
          <cell r="I33">
            <v>6.9234405286244556</v>
          </cell>
        </row>
        <row r="39">
          <cell r="B39" t="str">
            <v>June 24th</v>
          </cell>
          <cell r="D39" t="str">
            <v>June</v>
          </cell>
          <cell r="E39" t="str">
            <v>July</v>
          </cell>
          <cell r="F39" t="str">
            <v>August</v>
          </cell>
          <cell r="G39" t="str">
            <v>September</v>
          </cell>
          <cell r="H39" t="str">
            <v>October</v>
          </cell>
          <cell r="I39" t="str">
            <v>November</v>
          </cell>
          <cell r="J39" t="str">
            <v>December</v>
          </cell>
        </row>
        <row r="40">
          <cell r="B40" t="str">
            <v>revenue from backlog</v>
          </cell>
          <cell r="D40">
            <v>7476022.869823155</v>
          </cell>
          <cell r="E40">
            <v>1666002</v>
          </cell>
          <cell r="F40">
            <v>2268825</v>
          </cell>
          <cell r="G40">
            <v>1772416</v>
          </cell>
          <cell r="H40">
            <v>1206630</v>
          </cell>
          <cell r="I40">
            <v>1208550</v>
          </cell>
          <cell r="J40">
            <v>776375</v>
          </cell>
          <cell r="M40">
            <v>16374820.869823154</v>
          </cell>
        </row>
        <row r="41">
          <cell r="B41" t="str">
            <v>Revenue from pending backlog</v>
          </cell>
          <cell r="E41">
            <v>140646</v>
          </cell>
          <cell r="F41">
            <v>728034</v>
          </cell>
          <cell r="G41">
            <v>1071069</v>
          </cell>
          <cell r="H41">
            <v>1360100</v>
          </cell>
          <cell r="I41">
            <v>773689</v>
          </cell>
          <cell r="J41">
            <v>484483</v>
          </cell>
          <cell r="M41">
            <v>4558021</v>
          </cell>
        </row>
        <row r="42">
          <cell r="B42" t="str">
            <v>Revenue from projected bookings</v>
          </cell>
          <cell r="F42">
            <v>79909</v>
          </cell>
          <cell r="G42">
            <v>189280</v>
          </cell>
          <cell r="H42">
            <v>212949</v>
          </cell>
          <cell r="I42">
            <v>1441937</v>
          </cell>
          <cell r="J42">
            <v>3582875.7291055396</v>
          </cell>
          <cell r="M42">
            <v>5506950.7291055396</v>
          </cell>
        </row>
        <row r="43">
          <cell r="B43" t="str">
            <v>total revenue</v>
          </cell>
          <cell r="D43">
            <v>7476022.869823155</v>
          </cell>
          <cell r="E43">
            <v>1806648</v>
          </cell>
          <cell r="F43">
            <v>3076768</v>
          </cell>
          <cell r="G43">
            <v>3032765</v>
          </cell>
          <cell r="H43">
            <v>2779679</v>
          </cell>
          <cell r="I43">
            <v>3424176</v>
          </cell>
          <cell r="J43">
            <v>4843733.7291055396</v>
          </cell>
          <cell r="M43">
            <v>26439792.598928694</v>
          </cell>
        </row>
        <row r="45">
          <cell r="B45" t="str">
            <v>Revenue from Canadian market (supply and install)</v>
          </cell>
          <cell r="D45">
            <v>1379766.4513823353</v>
          </cell>
          <cell r="E45">
            <v>1353690.9466814825</v>
          </cell>
          <cell r="F45">
            <v>1809081.2770722222</v>
          </cell>
          <cell r="G45">
            <v>1505156.9870674282</v>
          </cell>
          <cell r="H45">
            <v>1226890.453976067</v>
          </cell>
          <cell r="I45">
            <v>981619.41572326561</v>
          </cell>
          <cell r="J45">
            <v>843767.41833468527</v>
          </cell>
          <cell r="K45">
            <v>0.17339189960786372</v>
          </cell>
        </row>
        <row r="46">
          <cell r="B46" t="str">
            <v>Revenue from US market (supply only)</v>
          </cell>
          <cell r="D46">
            <v>118390.63099999999</v>
          </cell>
          <cell r="E46">
            <v>452956.90900000004</v>
          </cell>
          <cell r="F46">
            <v>1267686.2491249999</v>
          </cell>
          <cell r="G46">
            <v>1527608.4237000002</v>
          </cell>
          <cell r="H46">
            <v>1552789.3032499999</v>
          </cell>
          <cell r="I46">
            <v>2184956.5403750003</v>
          </cell>
          <cell r="J46">
            <v>4022477.3153750002</v>
          </cell>
          <cell r="K46">
            <v>0.82660810039213628</v>
          </cell>
          <cell r="N46" t="str">
            <v>Supply only reduces weather delay risks</v>
          </cell>
        </row>
        <row r="47">
          <cell r="D47">
            <v>1498157.0823823353</v>
          </cell>
          <cell r="E47">
            <v>1806647.8556814825</v>
          </cell>
          <cell r="F47">
            <v>3076767.5261972221</v>
          </cell>
          <cell r="G47">
            <v>3032765.4107674286</v>
          </cell>
          <cell r="H47">
            <v>2779679.7572260667</v>
          </cell>
          <cell r="I47">
            <v>3166575.9560982659</v>
          </cell>
          <cell r="J47">
            <v>4866244.7337096855</v>
          </cell>
        </row>
        <row r="49">
          <cell r="B49" t="str">
            <v>Absolute revenue forecast (no MANC factor)</v>
          </cell>
          <cell r="C49">
            <v>0</v>
          </cell>
          <cell r="D49">
            <v>7476022.869823155</v>
          </cell>
          <cell r="E49">
            <v>1808068.5236814828</v>
          </cell>
          <cell r="F49">
            <v>3142739.9565722216</v>
          </cell>
          <cell r="G49">
            <v>3263282.0402674288</v>
          </cell>
          <cell r="H49">
            <v>2973475.4859760674</v>
          </cell>
          <cell r="I49">
            <v>3619108.8225232651</v>
          </cell>
          <cell r="J49">
            <v>6067937.0827846853</v>
          </cell>
          <cell r="M49">
            <v>28350634.781628307</v>
          </cell>
          <cell r="O49">
            <v>7.2271451281241905E-2</v>
          </cell>
        </row>
        <row r="50">
          <cell r="D50">
            <v>1</v>
          </cell>
          <cell r="E50">
            <v>0.99921434189972491</v>
          </cell>
          <cell r="F50">
            <v>0.97900814019490912</v>
          </cell>
          <cell r="G50">
            <v>0.92936036866475147</v>
          </cell>
          <cell r="H50">
            <v>0.93482492561647867</v>
          </cell>
          <cell r="I50">
            <v>0.94613789413843685</v>
          </cell>
          <cell r="J50">
            <v>0.79825048661886644</v>
          </cell>
        </row>
        <row r="52">
          <cell r="C52" t="str">
            <v xml:space="preserve">Revenue from projected bookings </v>
          </cell>
        </row>
        <row r="53">
          <cell r="K53" t="str">
            <v>total</v>
          </cell>
          <cell r="M53" t="str">
            <v>MANC</v>
          </cell>
        </row>
        <row r="54">
          <cell r="B54" t="str">
            <v>cd3912</v>
          </cell>
          <cell r="C54" t="str">
            <v xml:space="preserve">Tipton IA </v>
          </cell>
          <cell r="D54" t="str">
            <v>IA</v>
          </cell>
          <cell r="E54" t="str">
            <v>USA</v>
          </cell>
          <cell r="F54">
            <v>0</v>
          </cell>
          <cell r="G54">
            <v>0</v>
          </cell>
          <cell r="H54">
            <v>0</v>
          </cell>
          <cell r="I54">
            <v>112577.85</v>
          </cell>
          <cell r="J54">
            <v>450311.4</v>
          </cell>
          <cell r="K54">
            <v>562889.25</v>
          </cell>
          <cell r="M54">
            <v>0.9405</v>
          </cell>
          <cell r="N54">
            <v>598500</v>
          </cell>
          <cell r="P54">
            <v>450311.4</v>
          </cell>
          <cell r="Q54">
            <v>0</v>
          </cell>
          <cell r="S54">
            <v>0.11827763258730058</v>
          </cell>
        </row>
        <row r="55">
          <cell r="B55" t="str">
            <v>cd4001</v>
          </cell>
          <cell r="C55" t="str">
            <v>Bloomer, WI</v>
          </cell>
          <cell r="D55" t="str">
            <v>WI</v>
          </cell>
          <cell r="E55" t="str">
            <v>USA</v>
          </cell>
          <cell r="F55">
            <v>0</v>
          </cell>
          <cell r="G55">
            <v>24605</v>
          </cell>
          <cell r="H55">
            <v>98420</v>
          </cell>
          <cell r="I55">
            <v>196840</v>
          </cell>
          <cell r="J55">
            <v>98420</v>
          </cell>
          <cell r="K55">
            <v>418285</v>
          </cell>
          <cell r="M55">
            <v>0.95</v>
          </cell>
          <cell r="N55">
            <v>440300</v>
          </cell>
          <cell r="P55">
            <v>98420</v>
          </cell>
          <cell r="Q55">
            <v>0</v>
          </cell>
        </row>
        <row r="56">
          <cell r="B56" t="str">
            <v>cd1806</v>
          </cell>
          <cell r="C56" t="str">
            <v>Battleford OPTAER SK SWL</v>
          </cell>
          <cell r="D56" t="str">
            <v>SK</v>
          </cell>
          <cell r="E56" t="str">
            <v>Canada</v>
          </cell>
          <cell r="F56">
            <v>52128.4</v>
          </cell>
          <cell r="G56">
            <v>52128.4</v>
          </cell>
          <cell r="H56">
            <v>52128.4</v>
          </cell>
          <cell r="I56">
            <v>130321</v>
          </cell>
          <cell r="J56">
            <v>104256.8</v>
          </cell>
          <cell r="K56">
            <v>390963</v>
          </cell>
          <cell r="M56">
            <v>0.95</v>
          </cell>
          <cell r="N56">
            <v>411540</v>
          </cell>
          <cell r="P56">
            <v>0</v>
          </cell>
          <cell r="Q56">
            <v>104256.8</v>
          </cell>
        </row>
        <row r="57">
          <cell r="B57" t="str">
            <v>cd2874</v>
          </cell>
          <cell r="C57" t="str">
            <v>Absarokee</v>
          </cell>
          <cell r="D57" t="str">
            <v>MT</v>
          </cell>
          <cell r="E57" t="str">
            <v>USA</v>
          </cell>
          <cell r="F57">
            <v>0</v>
          </cell>
          <cell r="G57">
            <v>0</v>
          </cell>
          <cell r="H57">
            <v>0</v>
          </cell>
          <cell r="I57">
            <v>69064</v>
          </cell>
          <cell r="J57">
            <v>276256</v>
          </cell>
          <cell r="K57">
            <v>345320</v>
          </cell>
          <cell r="M57">
            <v>0.97</v>
          </cell>
          <cell r="N57">
            <v>356000</v>
          </cell>
          <cell r="P57">
            <v>276256</v>
          </cell>
          <cell r="Q57">
            <v>0</v>
          </cell>
        </row>
        <row r="58">
          <cell r="B58" t="str">
            <v>cd1590</v>
          </cell>
          <cell r="C58" t="str">
            <v>Dallas Center IA</v>
          </cell>
          <cell r="D58" t="str">
            <v>IA</v>
          </cell>
          <cell r="E58" t="str">
            <v>USA</v>
          </cell>
          <cell r="F58">
            <v>0</v>
          </cell>
          <cell r="G58">
            <v>0</v>
          </cell>
          <cell r="H58">
            <v>0</v>
          </cell>
          <cell r="I58">
            <v>62355.15</v>
          </cell>
          <cell r="J58">
            <v>249420.6</v>
          </cell>
          <cell r="K58">
            <v>311775.75</v>
          </cell>
          <cell r="M58">
            <v>0.9405</v>
          </cell>
          <cell r="N58">
            <v>331500</v>
          </cell>
          <cell r="P58">
            <v>249420.6</v>
          </cell>
          <cell r="Q58">
            <v>0</v>
          </cell>
        </row>
        <row r="59">
          <cell r="B59" t="str">
            <v>cd1732</v>
          </cell>
          <cell r="C59" t="str">
            <v>Sigourney, IA</v>
          </cell>
          <cell r="D59" t="str">
            <v>IA</v>
          </cell>
          <cell r="E59" t="str">
            <v>USA</v>
          </cell>
          <cell r="F59">
            <v>0</v>
          </cell>
          <cell r="G59">
            <v>0</v>
          </cell>
          <cell r="H59">
            <v>0</v>
          </cell>
          <cell r="I59">
            <v>59862.825000000004</v>
          </cell>
          <cell r="J59">
            <v>239451.30000000002</v>
          </cell>
          <cell r="K59">
            <v>299314.125</v>
          </cell>
          <cell r="M59">
            <v>0.9405</v>
          </cell>
          <cell r="N59">
            <v>318250</v>
          </cell>
          <cell r="P59">
            <v>239451.30000000002</v>
          </cell>
          <cell r="Q59">
            <v>0</v>
          </cell>
        </row>
        <row r="60">
          <cell r="B60" t="str">
            <v>cd4101</v>
          </cell>
          <cell r="C60" t="str">
            <v>Dysart IA</v>
          </cell>
          <cell r="D60" t="str">
            <v>IA</v>
          </cell>
          <cell r="E60" t="str">
            <v>USA</v>
          </cell>
          <cell r="F60">
            <v>0</v>
          </cell>
          <cell r="G60">
            <v>0</v>
          </cell>
          <cell r="H60">
            <v>0</v>
          </cell>
          <cell r="I60">
            <v>56900.25</v>
          </cell>
          <cell r="J60">
            <v>227601</v>
          </cell>
          <cell r="K60">
            <v>284501.25</v>
          </cell>
          <cell r="M60">
            <v>0.9405</v>
          </cell>
          <cell r="N60">
            <v>302500</v>
          </cell>
          <cell r="P60">
            <v>227601</v>
          </cell>
          <cell r="Q60">
            <v>0</v>
          </cell>
        </row>
        <row r="61">
          <cell r="B61" t="str">
            <v>cd3614</v>
          </cell>
          <cell r="C61" t="str">
            <v>Glidden IA SWL</v>
          </cell>
          <cell r="D61" t="str">
            <v>IA</v>
          </cell>
          <cell r="E61" t="str">
            <v>USA</v>
          </cell>
          <cell r="F61">
            <v>0</v>
          </cell>
          <cell r="G61">
            <v>0</v>
          </cell>
          <cell r="H61">
            <v>0</v>
          </cell>
          <cell r="I61">
            <v>47871.450000000004</v>
          </cell>
          <cell r="J61">
            <v>191485.80000000002</v>
          </cell>
          <cell r="K61">
            <v>239357.25000000003</v>
          </cell>
          <cell r="M61">
            <v>0.9405</v>
          </cell>
          <cell r="N61">
            <v>254500.00000000003</v>
          </cell>
          <cell r="P61">
            <v>191485.80000000002</v>
          </cell>
          <cell r="Q61">
            <v>0</v>
          </cell>
        </row>
        <row r="62">
          <cell r="B62" t="str">
            <v>cd1872</v>
          </cell>
          <cell r="C62" t="str">
            <v>Anita, IA</v>
          </cell>
          <cell r="D62" t="str">
            <v>IA</v>
          </cell>
          <cell r="E62" t="str">
            <v>USA</v>
          </cell>
          <cell r="F62">
            <v>0</v>
          </cell>
          <cell r="G62">
            <v>0</v>
          </cell>
          <cell r="H62">
            <v>0</v>
          </cell>
          <cell r="I62">
            <v>46187.955000000002</v>
          </cell>
          <cell r="J62">
            <v>184751.82</v>
          </cell>
          <cell r="K62">
            <v>230939.77500000002</v>
          </cell>
          <cell r="M62">
            <v>0.9405</v>
          </cell>
          <cell r="N62">
            <v>245550.00000000003</v>
          </cell>
          <cell r="P62">
            <v>184751.82</v>
          </cell>
          <cell r="Q62">
            <v>0</v>
          </cell>
        </row>
        <row r="63">
          <cell r="B63" t="str">
            <v>cd3002</v>
          </cell>
          <cell r="C63" t="str">
            <v>Massena IA</v>
          </cell>
          <cell r="D63" t="str">
            <v>IA</v>
          </cell>
          <cell r="E63" t="str">
            <v>USA</v>
          </cell>
          <cell r="F63">
            <v>0</v>
          </cell>
          <cell r="G63">
            <v>0</v>
          </cell>
          <cell r="H63">
            <v>0</v>
          </cell>
          <cell r="I63">
            <v>40817.700000000004</v>
          </cell>
          <cell r="J63">
            <v>163270.80000000002</v>
          </cell>
          <cell r="K63">
            <v>204088.50000000003</v>
          </cell>
          <cell r="M63">
            <v>0.9405</v>
          </cell>
          <cell r="N63">
            <v>217000.00000000003</v>
          </cell>
          <cell r="P63">
            <v>163270.80000000002</v>
          </cell>
          <cell r="Q63">
            <v>0</v>
          </cell>
        </row>
        <row r="64">
          <cell r="B64" t="str">
            <v>cd1761</v>
          </cell>
          <cell r="C64" t="str">
            <v>Aurora, SD</v>
          </cell>
          <cell r="D64" t="str">
            <v>SD</v>
          </cell>
          <cell r="E64" t="str">
            <v>USA</v>
          </cell>
          <cell r="F64">
            <v>0</v>
          </cell>
          <cell r="G64">
            <v>0</v>
          </cell>
          <cell r="H64">
            <v>0</v>
          </cell>
          <cell r="I64">
            <v>38153.733749999999</v>
          </cell>
          <cell r="J64">
            <v>152614.935</v>
          </cell>
          <cell r="K64">
            <v>190768.66875000001</v>
          </cell>
          <cell r="M64">
            <v>0.63483749999999994</v>
          </cell>
          <cell r="N64">
            <v>300500.00000000006</v>
          </cell>
          <cell r="P64">
            <v>152614.935</v>
          </cell>
          <cell r="Q64">
            <v>0</v>
          </cell>
        </row>
        <row r="65">
          <cell r="B65" t="str">
            <v>cd4148</v>
          </cell>
          <cell r="C65" t="str">
            <v>Riceville IA</v>
          </cell>
          <cell r="D65" t="str">
            <v>IA</v>
          </cell>
          <cell r="E65" t="str">
            <v>USA</v>
          </cell>
          <cell r="F65">
            <v>0</v>
          </cell>
          <cell r="G65">
            <v>0</v>
          </cell>
          <cell r="H65">
            <v>0</v>
          </cell>
          <cell r="I65">
            <v>37620</v>
          </cell>
          <cell r="J65">
            <v>150480</v>
          </cell>
          <cell r="K65">
            <v>188100</v>
          </cell>
          <cell r="M65">
            <v>0.9405</v>
          </cell>
          <cell r="N65">
            <v>200000</v>
          </cell>
          <cell r="P65">
            <v>150480</v>
          </cell>
          <cell r="Q65">
            <v>0</v>
          </cell>
        </row>
        <row r="66">
          <cell r="B66" t="str">
            <v>cd3852</v>
          </cell>
          <cell r="C66" t="str">
            <v>Blairstown IA</v>
          </cell>
          <cell r="D66" t="str">
            <v>IA</v>
          </cell>
          <cell r="E66" t="str">
            <v>USA</v>
          </cell>
          <cell r="F66">
            <v>0</v>
          </cell>
          <cell r="G66">
            <v>0</v>
          </cell>
          <cell r="H66">
            <v>0</v>
          </cell>
          <cell r="I66">
            <v>36303.300000000003</v>
          </cell>
          <cell r="J66">
            <v>145213.20000000001</v>
          </cell>
          <cell r="K66">
            <v>181516.5</v>
          </cell>
          <cell r="M66">
            <v>0.9405</v>
          </cell>
          <cell r="N66">
            <v>193000</v>
          </cell>
          <cell r="P66">
            <v>145213.20000000001</v>
          </cell>
          <cell r="Q66">
            <v>0</v>
          </cell>
        </row>
        <row r="67">
          <cell r="B67" t="str">
            <v>cd2331</v>
          </cell>
          <cell r="C67" t="str">
            <v>Preeceville</v>
          </cell>
          <cell r="D67" t="str">
            <v>SK</v>
          </cell>
          <cell r="E67" t="str">
            <v>Canada</v>
          </cell>
          <cell r="F67">
            <v>0</v>
          </cell>
          <cell r="G67">
            <v>0</v>
          </cell>
          <cell r="H67">
            <v>0</v>
          </cell>
          <cell r="I67">
            <v>67904.100000000006</v>
          </cell>
          <cell r="J67">
            <v>101856.15</v>
          </cell>
          <cell r="K67">
            <v>169760.25</v>
          </cell>
          <cell r="M67">
            <v>0.9405</v>
          </cell>
          <cell r="N67">
            <v>180500</v>
          </cell>
          <cell r="P67">
            <v>0</v>
          </cell>
          <cell r="Q67">
            <v>101856.15</v>
          </cell>
        </row>
        <row r="68">
          <cell r="B68" t="str">
            <v>cd2195</v>
          </cell>
          <cell r="C68" t="str">
            <v>Sundre OPTAER SWL</v>
          </cell>
          <cell r="D68" t="str">
            <v>AB</v>
          </cell>
          <cell r="E68" t="str">
            <v>Canada</v>
          </cell>
          <cell r="F68">
            <v>0</v>
          </cell>
          <cell r="G68">
            <v>0</v>
          </cell>
          <cell r="H68">
            <v>0</v>
          </cell>
          <cell r="I68">
            <v>67904.100000000006</v>
          </cell>
          <cell r="J68">
            <v>101856.15</v>
          </cell>
          <cell r="K68">
            <v>169760.25</v>
          </cell>
          <cell r="M68">
            <v>0.85499999999999998</v>
          </cell>
          <cell r="N68">
            <v>198550</v>
          </cell>
          <cell r="P68">
            <v>0</v>
          </cell>
          <cell r="Q68">
            <v>101856.15</v>
          </cell>
        </row>
        <row r="69">
          <cell r="B69" t="str">
            <v>cd3667</v>
          </cell>
          <cell r="C69" t="str">
            <v>New Bothwell SWL</v>
          </cell>
          <cell r="D69" t="str">
            <v>MB</v>
          </cell>
          <cell r="E69" t="str">
            <v>Canada</v>
          </cell>
          <cell r="F69">
            <v>0</v>
          </cell>
          <cell r="G69">
            <v>0</v>
          </cell>
          <cell r="H69">
            <v>0</v>
          </cell>
          <cell r="I69">
            <v>67260.456000000006</v>
          </cell>
          <cell r="J69">
            <v>100890.68400000001</v>
          </cell>
          <cell r="K69">
            <v>168151.14</v>
          </cell>
          <cell r="M69">
            <v>0.72900000000000009</v>
          </cell>
          <cell r="N69">
            <v>230660</v>
          </cell>
          <cell r="P69">
            <v>0</v>
          </cell>
          <cell r="Q69">
            <v>100890.68400000001</v>
          </cell>
        </row>
        <row r="70">
          <cell r="B70" t="str">
            <v>cd1822</v>
          </cell>
          <cell r="C70" t="str">
            <v>Brighton IA SWL</v>
          </cell>
          <cell r="D70" t="str">
            <v>IA</v>
          </cell>
          <cell r="E70" t="str">
            <v>USA</v>
          </cell>
          <cell r="F70">
            <v>0</v>
          </cell>
          <cell r="G70">
            <v>0</v>
          </cell>
          <cell r="H70">
            <v>0</v>
          </cell>
          <cell r="I70">
            <v>32729.4</v>
          </cell>
          <cell r="J70">
            <v>130917.6</v>
          </cell>
          <cell r="K70">
            <v>163647</v>
          </cell>
          <cell r="M70">
            <v>0.9405</v>
          </cell>
          <cell r="N70">
            <v>174000</v>
          </cell>
          <cell r="P70">
            <v>130917.6</v>
          </cell>
          <cell r="Q70">
            <v>0</v>
          </cell>
        </row>
        <row r="71">
          <cell r="B71" t="str">
            <v>cd2738</v>
          </cell>
          <cell r="C71" t="str">
            <v>Dale WI</v>
          </cell>
          <cell r="D71" t="str">
            <v>WI</v>
          </cell>
          <cell r="E71" t="str">
            <v>USA</v>
          </cell>
          <cell r="F71">
            <v>18057.600000000002</v>
          </cell>
          <cell r="G71">
            <v>72230.400000000009</v>
          </cell>
          <cell r="H71">
            <v>36115.200000000004</v>
          </cell>
          <cell r="I71">
            <v>18057.600000000002</v>
          </cell>
          <cell r="J71">
            <v>18057.600000000002</v>
          </cell>
          <cell r="K71">
            <v>162518.40000000002</v>
          </cell>
          <cell r="M71">
            <v>0.9405</v>
          </cell>
          <cell r="N71">
            <v>172800.00000000003</v>
          </cell>
          <cell r="P71">
            <v>18057.600000000002</v>
          </cell>
          <cell r="Q71">
            <v>0</v>
          </cell>
        </row>
        <row r="72">
          <cell r="B72" t="str">
            <v>cd3650</v>
          </cell>
          <cell r="C72" t="str">
            <v>Everly IA</v>
          </cell>
          <cell r="D72" t="str">
            <v>IA</v>
          </cell>
          <cell r="E72" t="str">
            <v>USA</v>
          </cell>
          <cell r="F72">
            <v>0</v>
          </cell>
          <cell r="G72">
            <v>0</v>
          </cell>
          <cell r="H72">
            <v>0</v>
          </cell>
          <cell r="I72">
            <v>31788.9</v>
          </cell>
          <cell r="J72">
            <v>127155.6</v>
          </cell>
          <cell r="K72">
            <v>158944.5</v>
          </cell>
          <cell r="M72">
            <v>0.9405</v>
          </cell>
          <cell r="N72">
            <v>169000</v>
          </cell>
          <cell r="P72">
            <v>127155.6</v>
          </cell>
          <cell r="Q72">
            <v>0</v>
          </cell>
        </row>
        <row r="73">
          <cell r="B73" t="str">
            <v>cd2674</v>
          </cell>
          <cell r="C73" t="str">
            <v>Hollandsburg Palestine OH</v>
          </cell>
          <cell r="D73" t="str">
            <v>OH</v>
          </cell>
          <cell r="E73" t="str">
            <v>USA</v>
          </cell>
          <cell r="F73">
            <v>0</v>
          </cell>
          <cell r="G73">
            <v>0</v>
          </cell>
          <cell r="H73">
            <v>0</v>
          </cell>
          <cell r="I73">
            <v>27838.800000000003</v>
          </cell>
          <cell r="J73">
            <v>111355.20000000001</v>
          </cell>
          <cell r="K73">
            <v>139194</v>
          </cell>
          <cell r="M73">
            <v>0.9405</v>
          </cell>
          <cell r="N73">
            <v>148000</v>
          </cell>
          <cell r="P73">
            <v>111355.20000000001</v>
          </cell>
          <cell r="Q73">
            <v>0</v>
          </cell>
        </row>
        <row r="74">
          <cell r="B74" t="str">
            <v>cd2694</v>
          </cell>
          <cell r="C74" t="str">
            <v>Jonesburg MO</v>
          </cell>
          <cell r="D74" t="str">
            <v>MO</v>
          </cell>
          <cell r="E74" t="str">
            <v>USA</v>
          </cell>
          <cell r="F74">
            <v>0</v>
          </cell>
          <cell r="G74">
            <v>0</v>
          </cell>
          <cell r="H74">
            <v>0</v>
          </cell>
          <cell r="I74">
            <v>26329.050000000003</v>
          </cell>
          <cell r="J74">
            <v>105316.20000000001</v>
          </cell>
          <cell r="K74">
            <v>131645.25</v>
          </cell>
          <cell r="M74">
            <v>0.66825000000000001</v>
          </cell>
          <cell r="N74">
            <v>197000</v>
          </cell>
          <cell r="P74">
            <v>105316.20000000001</v>
          </cell>
          <cell r="Q74">
            <v>0</v>
          </cell>
        </row>
        <row r="75">
          <cell r="B75" t="str">
            <v>cd4141</v>
          </cell>
          <cell r="C75" t="str">
            <v>Wuskwi Sipihk FN MB</v>
          </cell>
          <cell r="D75" t="str">
            <v>MB</v>
          </cell>
          <cell r="E75" t="str">
            <v>Canada</v>
          </cell>
          <cell r="F75">
            <v>0</v>
          </cell>
          <cell r="G75">
            <v>0</v>
          </cell>
          <cell r="H75">
            <v>0</v>
          </cell>
          <cell r="I75">
            <v>46031.832000000002</v>
          </cell>
          <cell r="J75">
            <v>69047.747999999992</v>
          </cell>
          <cell r="K75">
            <v>115079.57999999999</v>
          </cell>
          <cell r="M75">
            <v>0.9405</v>
          </cell>
          <cell r="N75">
            <v>122359.99999999999</v>
          </cell>
          <cell r="P75">
            <v>0</v>
          </cell>
          <cell r="Q75">
            <v>69047.747999999992</v>
          </cell>
        </row>
        <row r="76">
          <cell r="B76" t="str">
            <v>cd2353</v>
          </cell>
          <cell r="C76" t="str">
            <v>Dillingham</v>
          </cell>
          <cell r="D76" t="str">
            <v>AK</v>
          </cell>
          <cell r="E76" t="str">
            <v>USA</v>
          </cell>
          <cell r="F76">
            <v>0</v>
          </cell>
          <cell r="G76">
            <v>0</v>
          </cell>
          <cell r="H76">
            <v>0</v>
          </cell>
          <cell r="I76">
            <v>13529.092499999999</v>
          </cell>
          <cell r="J76">
            <v>54116.369999999995</v>
          </cell>
          <cell r="K76">
            <v>67645.462499999994</v>
          </cell>
          <cell r="M76">
            <v>0.47025</v>
          </cell>
          <cell r="N76">
            <v>143850</v>
          </cell>
          <cell r="P76">
            <v>54116.369999999995</v>
          </cell>
          <cell r="Q76">
            <v>0</v>
          </cell>
        </row>
        <row r="77">
          <cell r="B77" t="str">
            <v>cd2194</v>
          </cell>
          <cell r="C77" t="str">
            <v>East Lynn, MO</v>
          </cell>
          <cell r="D77" t="str">
            <v>MO</v>
          </cell>
          <cell r="E77" t="str">
            <v>USA</v>
          </cell>
          <cell r="F77">
            <v>0</v>
          </cell>
          <cell r="G77">
            <v>0</v>
          </cell>
          <cell r="H77">
            <v>0</v>
          </cell>
          <cell r="I77">
            <v>9459.0787499999988</v>
          </cell>
          <cell r="J77">
            <v>37836.314999999995</v>
          </cell>
          <cell r="K77">
            <v>47295.393749999996</v>
          </cell>
          <cell r="M77">
            <v>0.63483749999999994</v>
          </cell>
          <cell r="N77">
            <v>74500</v>
          </cell>
          <cell r="P77">
            <v>37836.314999999995</v>
          </cell>
          <cell r="Q77">
            <v>0</v>
          </cell>
        </row>
        <row r="78">
          <cell r="B78" t="str">
            <v>cd4006</v>
          </cell>
          <cell r="C78" t="str">
            <v>Sucker Creek Rebuild RWR</v>
          </cell>
          <cell r="D78" t="str">
            <v>AB</v>
          </cell>
          <cell r="E78" t="str">
            <v>Canada</v>
          </cell>
          <cell r="F78">
            <v>0</v>
          </cell>
          <cell r="G78">
            <v>0</v>
          </cell>
          <cell r="H78">
            <v>0</v>
          </cell>
          <cell r="I78">
            <v>15446.772000000001</v>
          </cell>
          <cell r="J78">
            <v>23170.157999999999</v>
          </cell>
          <cell r="K78">
            <v>38616.93</v>
          </cell>
          <cell r="M78">
            <v>0.99</v>
          </cell>
          <cell r="N78">
            <v>39007</v>
          </cell>
          <cell r="P78">
            <v>0</v>
          </cell>
          <cell r="Q78">
            <v>23170.157999999999</v>
          </cell>
        </row>
        <row r="79">
          <cell r="B79" t="str">
            <v>cd2119</v>
          </cell>
          <cell r="C79" t="str">
            <v>LeBret FN SK</v>
          </cell>
          <cell r="D79" t="str">
            <v>SK</v>
          </cell>
          <cell r="E79" t="str">
            <v>Canada</v>
          </cell>
          <cell r="F79">
            <v>0</v>
          </cell>
          <cell r="G79">
            <v>0</v>
          </cell>
          <cell r="H79">
            <v>0</v>
          </cell>
          <cell r="I79">
            <v>15332.031000000001</v>
          </cell>
          <cell r="J79">
            <v>22998.0465</v>
          </cell>
          <cell r="K79">
            <v>38330.077499999999</v>
          </cell>
          <cell r="M79">
            <v>0.9405</v>
          </cell>
          <cell r="N79">
            <v>40755</v>
          </cell>
          <cell r="P79">
            <v>0</v>
          </cell>
          <cell r="Q79">
            <v>22998.0465</v>
          </cell>
        </row>
        <row r="80">
          <cell r="B80" t="str">
            <v>cd2758</v>
          </cell>
          <cell r="C80" t="str">
            <v>Talkeetna AK SWL</v>
          </cell>
          <cell r="D80" t="str">
            <v>AK</v>
          </cell>
          <cell r="E80" t="str">
            <v>USA</v>
          </cell>
          <cell r="F80">
            <v>3629</v>
          </cell>
          <cell r="G80">
            <v>14516</v>
          </cell>
          <cell r="H80">
            <v>7258</v>
          </cell>
          <cell r="I80">
            <v>3629</v>
          </cell>
          <cell r="J80">
            <v>3629</v>
          </cell>
          <cell r="K80">
            <v>32661</v>
          </cell>
          <cell r="M80">
            <v>0.23749999999999999</v>
          </cell>
          <cell r="N80">
            <v>137520</v>
          </cell>
          <cell r="P80">
            <v>3629</v>
          </cell>
          <cell r="Q80">
            <v>0</v>
          </cell>
        </row>
        <row r="81">
          <cell r="B81" t="str">
            <v>cd4405</v>
          </cell>
          <cell r="C81" t="str">
            <v xml:space="preserve">Sandy Bay MB </v>
          </cell>
          <cell r="D81" t="str">
            <v>MB</v>
          </cell>
          <cell r="E81" t="str">
            <v>Canada</v>
          </cell>
          <cell r="F81">
            <v>0</v>
          </cell>
          <cell r="G81">
            <v>0</v>
          </cell>
          <cell r="H81">
            <v>0</v>
          </cell>
          <cell r="I81">
            <v>0</v>
          </cell>
          <cell r="J81">
            <v>29782.499999999996</v>
          </cell>
          <cell r="K81">
            <v>29782.499999999996</v>
          </cell>
          <cell r="M81">
            <v>0.71249999999999991</v>
          </cell>
          <cell r="N81">
            <v>41800</v>
          </cell>
          <cell r="P81">
            <v>0</v>
          </cell>
          <cell r="Q81">
            <v>29782.499999999996</v>
          </cell>
        </row>
        <row r="82">
          <cell r="B82" t="str">
            <v>cd3704</v>
          </cell>
          <cell r="C82" t="str">
            <v>Plessisville</v>
          </cell>
          <cell r="D82" t="str">
            <v>QC</v>
          </cell>
          <cell r="E82" t="str">
            <v>Canada</v>
          </cell>
          <cell r="F82">
            <v>0</v>
          </cell>
          <cell r="G82">
            <v>0</v>
          </cell>
          <cell r="H82">
            <v>0</v>
          </cell>
          <cell r="I82">
            <v>4895.1599999999989</v>
          </cell>
          <cell r="J82">
            <v>19580.639999999996</v>
          </cell>
          <cell r="K82">
            <v>24475.799999999996</v>
          </cell>
          <cell r="M82">
            <v>0.14249999999999999</v>
          </cell>
          <cell r="N82">
            <v>171759.99999999997</v>
          </cell>
          <cell r="P82">
            <v>0</v>
          </cell>
          <cell r="Q82">
            <v>19580.639999999996</v>
          </cell>
        </row>
        <row r="83">
          <cell r="B83" t="str">
            <v>cd4423</v>
          </cell>
          <cell r="C83" t="str">
            <v>Whitefield NH DF</v>
          </cell>
          <cell r="D83" t="str">
            <v>NH</v>
          </cell>
          <cell r="E83" t="str">
            <v>USA</v>
          </cell>
          <cell r="F83">
            <v>0</v>
          </cell>
          <cell r="G83">
            <v>1425</v>
          </cell>
          <cell r="H83">
            <v>5700</v>
          </cell>
          <cell r="I83">
            <v>11400</v>
          </cell>
          <cell r="J83">
            <v>5700</v>
          </cell>
          <cell r="K83">
            <v>24225</v>
          </cell>
          <cell r="M83">
            <v>0.14249999999999999</v>
          </cell>
          <cell r="N83">
            <v>170000.00000000003</v>
          </cell>
          <cell r="P83">
            <v>5700</v>
          </cell>
          <cell r="Q83">
            <v>0</v>
          </cell>
        </row>
        <row r="84">
          <cell r="B84" t="str">
            <v>cd4073</v>
          </cell>
          <cell r="C84" t="str">
            <v>Epursol SWL</v>
          </cell>
          <cell r="D84" t="str">
            <v>QC</v>
          </cell>
          <cell r="E84" t="str">
            <v>Canada</v>
          </cell>
          <cell r="F84">
            <v>0</v>
          </cell>
          <cell r="G84">
            <v>0</v>
          </cell>
          <cell r="H84">
            <v>0</v>
          </cell>
          <cell r="I84">
            <v>9603.36</v>
          </cell>
          <cell r="J84">
            <v>14405.04</v>
          </cell>
          <cell r="K84">
            <v>24008.400000000001</v>
          </cell>
          <cell r="M84">
            <v>0.81</v>
          </cell>
          <cell r="N84">
            <v>29640</v>
          </cell>
          <cell r="P84">
            <v>0</v>
          </cell>
          <cell r="Q84">
            <v>14405.04</v>
          </cell>
        </row>
        <row r="85">
          <cell r="B85" t="str">
            <v>cd3037</v>
          </cell>
          <cell r="C85" t="str">
            <v>New Town, ND</v>
          </cell>
          <cell r="D85" t="str">
            <v>ND</v>
          </cell>
          <cell r="E85" t="str">
            <v>USA</v>
          </cell>
          <cell r="F85">
            <v>2559.6000000000004</v>
          </cell>
          <cell r="G85">
            <v>10238.400000000001</v>
          </cell>
          <cell r="H85">
            <v>5119.2000000000007</v>
          </cell>
          <cell r="I85">
            <v>2559.6000000000004</v>
          </cell>
          <cell r="J85">
            <v>2559.6000000000004</v>
          </cell>
          <cell r="K85">
            <v>23036.400000000001</v>
          </cell>
          <cell r="M85">
            <v>8.1000000000000016E-2</v>
          </cell>
          <cell r="N85">
            <v>284399.99999999994</v>
          </cell>
          <cell r="P85">
            <v>2559.6000000000004</v>
          </cell>
          <cell r="Q85">
            <v>0</v>
          </cell>
        </row>
        <row r="86">
          <cell r="B86" t="str">
            <v>cd4270</v>
          </cell>
          <cell r="C86" t="str">
            <v>Saint-Elzear QC SWL</v>
          </cell>
          <cell r="D86" t="str">
            <v>QC</v>
          </cell>
          <cell r="E86" t="str">
            <v>Canada</v>
          </cell>
          <cell r="F86">
            <v>0</v>
          </cell>
          <cell r="G86">
            <v>0</v>
          </cell>
          <cell r="H86">
            <v>0</v>
          </cell>
          <cell r="I86">
            <v>8410.3271999999997</v>
          </cell>
          <cell r="J86">
            <v>12615.4908</v>
          </cell>
          <cell r="K86">
            <v>21025.817999999999</v>
          </cell>
          <cell r="M86">
            <v>0.66825000000000001</v>
          </cell>
          <cell r="N86">
            <v>31464</v>
          </cell>
          <cell r="P86">
            <v>0</v>
          </cell>
          <cell r="Q86">
            <v>12615.4908</v>
          </cell>
        </row>
        <row r="87">
          <cell r="B87" t="str">
            <v>cd4367</v>
          </cell>
          <cell r="C87" t="str">
            <v>Fire Training Academy WA</v>
          </cell>
          <cell r="D87" t="str">
            <v>WA</v>
          </cell>
          <cell r="E87" t="str">
            <v>USA</v>
          </cell>
          <cell r="F87">
            <v>1847.75</v>
          </cell>
          <cell r="G87">
            <v>7391</v>
          </cell>
          <cell r="H87">
            <v>3695.5</v>
          </cell>
          <cell r="I87">
            <v>1847.75</v>
          </cell>
          <cell r="J87">
            <v>1847.75</v>
          </cell>
          <cell r="K87">
            <v>16629.75</v>
          </cell>
          <cell r="M87">
            <v>0.47499999999999998</v>
          </cell>
          <cell r="N87">
            <v>35010</v>
          </cell>
          <cell r="P87">
            <v>1847.75</v>
          </cell>
          <cell r="Q87">
            <v>0</v>
          </cell>
        </row>
        <row r="88">
          <cell r="B88" t="str">
            <v>cd4030</v>
          </cell>
          <cell r="C88" t="str">
            <v>La Malbaie QC</v>
          </cell>
          <cell r="D88" t="str">
            <v>QC</v>
          </cell>
          <cell r="E88" t="str">
            <v>Canada</v>
          </cell>
          <cell r="F88">
            <v>0</v>
          </cell>
          <cell r="G88">
            <v>0</v>
          </cell>
          <cell r="H88">
            <v>0</v>
          </cell>
          <cell r="I88">
            <v>6627.9600000000009</v>
          </cell>
          <cell r="J88">
            <v>9941.94</v>
          </cell>
          <cell r="K88">
            <v>16569.900000000001</v>
          </cell>
          <cell r="M88">
            <v>0.85499999999999998</v>
          </cell>
          <cell r="N88">
            <v>19380.000000000004</v>
          </cell>
          <cell r="P88">
            <v>0</v>
          </cell>
          <cell r="Q88">
            <v>9941.94</v>
          </cell>
        </row>
        <row r="89">
          <cell r="B89" t="str">
            <v>cd4416</v>
          </cell>
          <cell r="C89" t="str">
            <v>Chichaoua</v>
          </cell>
          <cell r="D89" t="str">
            <v>Other</v>
          </cell>
          <cell r="E89" t="str">
            <v>USA</v>
          </cell>
          <cell r="F89">
            <v>0</v>
          </cell>
          <cell r="G89">
            <v>0</v>
          </cell>
          <cell r="H89">
            <v>0</v>
          </cell>
          <cell r="I89">
            <v>3216.7000000000003</v>
          </cell>
          <cell r="J89">
            <v>12866.800000000001</v>
          </cell>
          <cell r="K89">
            <v>16083.500000000002</v>
          </cell>
          <cell r="M89">
            <v>0.25</v>
          </cell>
          <cell r="N89">
            <v>64334.000000000007</v>
          </cell>
          <cell r="P89">
            <v>12866.800000000001</v>
          </cell>
          <cell r="Q89">
            <v>0</v>
          </cell>
        </row>
        <row r="90">
          <cell r="B90" t="str">
            <v>cd4233</v>
          </cell>
          <cell r="C90" t="str">
            <v>Murphys CA</v>
          </cell>
          <cell r="D90" t="str">
            <v>CA</v>
          </cell>
          <cell r="E90" t="str">
            <v>USA</v>
          </cell>
          <cell r="F90">
            <v>1686.5516250000001</v>
          </cell>
          <cell r="G90">
            <v>6746.2065000000002</v>
          </cell>
          <cell r="H90">
            <v>3373.1032500000001</v>
          </cell>
          <cell r="I90">
            <v>1686.5516250000001</v>
          </cell>
          <cell r="J90">
            <v>1686.5516250000001</v>
          </cell>
          <cell r="K90">
            <v>15178.964625000001</v>
          </cell>
          <cell r="M90">
            <v>0.21161250000000001</v>
          </cell>
          <cell r="N90">
            <v>71730</v>
          </cell>
          <cell r="P90">
            <v>1686.5516250000001</v>
          </cell>
          <cell r="Q90">
            <v>0</v>
          </cell>
        </row>
        <row r="91">
          <cell r="B91" t="str">
            <v>cd2894</v>
          </cell>
          <cell r="C91" t="str">
            <v>Ville-Marie BP</v>
          </cell>
          <cell r="D91" t="str">
            <v>QC</v>
          </cell>
          <cell r="E91" t="str">
            <v>Canada</v>
          </cell>
          <cell r="F91">
            <v>0</v>
          </cell>
          <cell r="G91">
            <v>0</v>
          </cell>
          <cell r="H91">
            <v>0</v>
          </cell>
          <cell r="I91">
            <v>3002.0760000000005</v>
          </cell>
          <cell r="J91">
            <v>12008.304000000002</v>
          </cell>
          <cell r="K91">
            <v>15010.380000000003</v>
          </cell>
          <cell r="M91">
            <v>9.9000000000000005E-2</v>
          </cell>
          <cell r="N91">
            <v>151620.00000000003</v>
          </cell>
          <cell r="P91">
            <v>0</v>
          </cell>
          <cell r="Q91">
            <v>12008.304000000002</v>
          </cell>
        </row>
        <row r="92">
          <cell r="B92" t="str">
            <v>cd4166</v>
          </cell>
          <cell r="C92" t="str">
            <v>Onion Lake</v>
          </cell>
          <cell r="D92" t="str">
            <v>AB</v>
          </cell>
          <cell r="E92" t="str">
            <v>Canada</v>
          </cell>
          <cell r="F92">
            <v>0</v>
          </cell>
          <cell r="G92">
            <v>0</v>
          </cell>
          <cell r="H92">
            <v>0</v>
          </cell>
          <cell r="I92">
            <v>4765.2</v>
          </cell>
          <cell r="J92">
            <v>7147.8</v>
          </cell>
          <cell r="K92">
            <v>11913</v>
          </cell>
          <cell r="M92">
            <v>0.95</v>
          </cell>
          <cell r="N92">
            <v>12540</v>
          </cell>
          <cell r="P92">
            <v>0</v>
          </cell>
          <cell r="Q92">
            <v>7147.8</v>
          </cell>
        </row>
        <row r="93">
          <cell r="B93" t="str">
            <v>cd3878</v>
          </cell>
          <cell r="C93" t="str">
            <v>Kanab</v>
          </cell>
          <cell r="D93" t="str">
            <v>UT</v>
          </cell>
          <cell r="E93" t="str">
            <v>USA</v>
          </cell>
          <cell r="F93">
            <v>0</v>
          </cell>
          <cell r="G93">
            <v>0</v>
          </cell>
          <cell r="H93">
            <v>0</v>
          </cell>
          <cell r="I93">
            <v>1947.375</v>
          </cell>
          <cell r="J93">
            <v>7789.5</v>
          </cell>
          <cell r="K93">
            <v>9736.875</v>
          </cell>
          <cell r="M93">
            <v>0.16875000000000001</v>
          </cell>
          <cell r="N93">
            <v>57699.999999999993</v>
          </cell>
          <cell r="P93">
            <v>7789.5</v>
          </cell>
          <cell r="Q93">
            <v>0</v>
          </cell>
        </row>
        <row r="94">
          <cell r="B94" t="str">
            <v>cd4420</v>
          </cell>
          <cell r="C94" t="str">
            <v xml:space="preserve">Dallas  OR </v>
          </cell>
          <cell r="D94" t="str">
            <v>OR</v>
          </cell>
          <cell r="E94" t="str">
            <v>USA</v>
          </cell>
          <cell r="F94">
            <v>0</v>
          </cell>
          <cell r="G94">
            <v>0</v>
          </cell>
          <cell r="H94">
            <v>0</v>
          </cell>
          <cell r="I94">
            <v>0</v>
          </cell>
          <cell r="J94">
            <v>7125</v>
          </cell>
          <cell r="K94">
            <v>7125</v>
          </cell>
          <cell r="M94">
            <v>0.23749999999999999</v>
          </cell>
          <cell r="N94">
            <v>30000</v>
          </cell>
          <cell r="P94">
            <v>7125</v>
          </cell>
          <cell r="Q94">
            <v>0</v>
          </cell>
        </row>
        <row r="95">
          <cell r="B95" t="str">
            <v>cd4138</v>
          </cell>
          <cell r="C95" t="str">
            <v>FRC Tyson Foods NY</v>
          </cell>
          <cell r="D95" t="str">
            <v>NY</v>
          </cell>
          <cell r="E95" t="str">
            <v>USA</v>
          </cell>
          <cell r="F95">
            <v>0</v>
          </cell>
          <cell r="G95">
            <v>0</v>
          </cell>
          <cell r="H95">
            <v>1139.9999999999998</v>
          </cell>
          <cell r="I95">
            <v>1139.9999999999998</v>
          </cell>
          <cell r="J95">
            <v>4559.9999999999991</v>
          </cell>
          <cell r="K95">
            <v>6839.9999999999982</v>
          </cell>
          <cell r="M95">
            <v>3.5624999999999997E-2</v>
          </cell>
          <cell r="N95">
            <v>191999.99999999997</v>
          </cell>
          <cell r="P95">
            <v>4559.9999999999991</v>
          </cell>
          <cell r="Q95">
            <v>0</v>
          </cell>
        </row>
        <row r="96">
          <cell r="B96" t="str">
            <v>cd3856</v>
          </cell>
          <cell r="C96" t="str">
            <v>Medora ND SWL</v>
          </cell>
          <cell r="D96" t="str">
            <v>ND</v>
          </cell>
          <cell r="E96" t="str">
            <v>USA</v>
          </cell>
          <cell r="F96">
            <v>0</v>
          </cell>
          <cell r="G96">
            <v>0</v>
          </cell>
          <cell r="H96">
            <v>0</v>
          </cell>
          <cell r="I96">
            <v>839.53125</v>
          </cell>
          <cell r="J96">
            <v>3358.125</v>
          </cell>
          <cell r="K96">
            <v>4197.65625</v>
          </cell>
          <cell r="M96">
            <v>0.2109375</v>
          </cell>
          <cell r="N96">
            <v>19900</v>
          </cell>
          <cell r="P96">
            <v>3358.125</v>
          </cell>
          <cell r="Q96">
            <v>0</v>
          </cell>
        </row>
        <row r="97">
          <cell r="B97" t="str">
            <v>cd4275</v>
          </cell>
          <cell r="C97" t="str">
            <v>Nova Scotia Forest Products Mill</v>
          </cell>
          <cell r="D97" t="str">
            <v>NS</v>
          </cell>
          <cell r="E97" t="str">
            <v>Canada</v>
          </cell>
          <cell r="F97">
            <v>0</v>
          </cell>
          <cell r="G97">
            <v>0</v>
          </cell>
          <cell r="H97">
            <v>0</v>
          </cell>
          <cell r="I97">
            <v>1619.973</v>
          </cell>
          <cell r="J97">
            <v>2429.9594999999999</v>
          </cell>
          <cell r="K97">
            <v>4049.9324999999999</v>
          </cell>
          <cell r="M97">
            <v>3.3750000000000002E-2</v>
          </cell>
          <cell r="N97">
            <v>119997.99999999999</v>
          </cell>
          <cell r="P97">
            <v>0</v>
          </cell>
          <cell r="Q97">
            <v>2429.9594999999999</v>
          </cell>
        </row>
        <row r="98">
          <cell r="B98" t="str">
            <v>cd4295</v>
          </cell>
          <cell r="C98" t="str">
            <v>Chemical Plant El Dorado AR</v>
          </cell>
          <cell r="D98" t="str">
            <v>AR</v>
          </cell>
          <cell r="E98" t="str">
            <v>USA</v>
          </cell>
          <cell r="F98">
            <v>0</v>
          </cell>
          <cell r="G98">
            <v>0</v>
          </cell>
          <cell r="H98">
            <v>0</v>
          </cell>
          <cell r="I98">
            <v>0</v>
          </cell>
          <cell r="J98">
            <v>3247.2900000000004</v>
          </cell>
          <cell r="K98">
            <v>3247.2900000000004</v>
          </cell>
          <cell r="M98">
            <v>0.25650000000000001</v>
          </cell>
          <cell r="N98">
            <v>12660.000000000002</v>
          </cell>
          <cell r="P98">
            <v>3247.2900000000004</v>
          </cell>
          <cell r="Q98">
            <v>0</v>
          </cell>
        </row>
        <row r="99">
          <cell r="B99" t="str">
            <v>cd3968</v>
          </cell>
          <cell r="C99" t="str">
            <v>Farmersville TX</v>
          </cell>
          <cell r="D99" t="str">
            <v>TX</v>
          </cell>
          <cell r="E99" t="str">
            <v>USA</v>
          </cell>
          <cell r="F99">
            <v>0</v>
          </cell>
          <cell r="G99">
            <v>0</v>
          </cell>
          <cell r="H99">
            <v>0</v>
          </cell>
          <cell r="I99">
            <v>0</v>
          </cell>
          <cell r="J99">
            <v>2885.625</v>
          </cell>
          <cell r="K99">
            <v>2885.625</v>
          </cell>
          <cell r="M99">
            <v>0.19237499999999999</v>
          </cell>
          <cell r="N99">
            <v>15000</v>
          </cell>
          <cell r="P99">
            <v>2885.625</v>
          </cell>
          <cell r="Q99">
            <v>0</v>
          </cell>
        </row>
        <row r="100">
          <cell r="B100" t="str">
            <v>cd4239</v>
          </cell>
          <cell r="C100" t="str">
            <v>Wasaga Pines Resort  ON</v>
          </cell>
          <cell r="D100" t="str">
            <v>ON</v>
          </cell>
          <cell r="E100" t="str">
            <v>Canada</v>
          </cell>
          <cell r="F100">
            <v>0</v>
          </cell>
          <cell r="G100">
            <v>0</v>
          </cell>
          <cell r="H100">
            <v>0</v>
          </cell>
          <cell r="I100">
            <v>0</v>
          </cell>
          <cell r="J100">
            <v>1932.3427499999998</v>
          </cell>
          <cell r="K100">
            <v>1932.3427499999998</v>
          </cell>
          <cell r="M100">
            <v>0.1603125</v>
          </cell>
          <cell r="N100">
            <v>12053.599999999999</v>
          </cell>
          <cell r="P100">
            <v>0</v>
          </cell>
          <cell r="Q100">
            <v>1932.3427499999998</v>
          </cell>
        </row>
        <row r="101">
          <cell r="B101" t="str">
            <v>cd4183</v>
          </cell>
          <cell r="C101" t="str">
            <v>Cedar Hills Subdivision MO SWL</v>
          </cell>
          <cell r="D101" t="str">
            <v>MO</v>
          </cell>
          <cell r="E101" t="str">
            <v>USA</v>
          </cell>
          <cell r="F101">
            <v>0</v>
          </cell>
          <cell r="G101">
            <v>0</v>
          </cell>
          <cell r="H101">
            <v>0</v>
          </cell>
          <cell r="I101">
            <v>259.6875</v>
          </cell>
          <cell r="J101">
            <v>1038.75</v>
          </cell>
          <cell r="K101">
            <v>1298.4375</v>
          </cell>
          <cell r="M101">
            <v>9.375E-2</v>
          </cell>
          <cell r="N101">
            <v>13850</v>
          </cell>
          <cell r="P101">
            <v>1038.75</v>
          </cell>
          <cell r="Q101">
            <v>0</v>
          </cell>
        </row>
        <row r="102">
          <cell r="B102" t="str">
            <v>cd3763</v>
          </cell>
          <cell r="C102" t="str">
            <v>Sky Ranch, CO DF</v>
          </cell>
          <cell r="D102" t="str">
            <v>CO</v>
          </cell>
          <cell r="E102" t="str">
            <v>USA</v>
          </cell>
          <cell r="F102">
            <v>0</v>
          </cell>
          <cell r="G102">
            <v>0</v>
          </cell>
          <cell r="H102">
            <v>0</v>
          </cell>
          <cell r="I102">
            <v>0</v>
          </cell>
          <cell r="J102">
            <v>552.82500000000016</v>
          </cell>
          <cell r="K102">
            <v>552.82500000000016</v>
          </cell>
          <cell r="M102">
            <v>6.0750000000000005E-2</v>
          </cell>
          <cell r="N102">
            <v>9100.0000000000018</v>
          </cell>
          <cell r="P102">
            <v>552.82500000000016</v>
          </cell>
          <cell r="Q102">
            <v>0</v>
          </cell>
        </row>
        <row r="103">
          <cell r="B103" t="str">
            <v>cd4258</v>
          </cell>
          <cell r="C103" t="str">
            <v>South Plant  Albany NY</v>
          </cell>
          <cell r="D103" t="str">
            <v>NY</v>
          </cell>
          <cell r="E103" t="str">
            <v>USA</v>
          </cell>
          <cell r="F103">
            <v>0</v>
          </cell>
          <cell r="G103">
            <v>0</v>
          </cell>
          <cell r="H103">
            <v>0</v>
          </cell>
          <cell r="I103">
            <v>0</v>
          </cell>
          <cell r="J103">
            <v>268.04250000000002</v>
          </cell>
          <cell r="K103">
            <v>268.04250000000002</v>
          </cell>
          <cell r="M103">
            <v>4.2750000000000003E-2</v>
          </cell>
          <cell r="N103">
            <v>6270</v>
          </cell>
          <cell r="P103">
            <v>268.04250000000002</v>
          </cell>
          <cell r="Q103">
            <v>0</v>
          </cell>
        </row>
        <row r="104">
          <cell r="B104" t="str">
            <v>cd3578</v>
          </cell>
          <cell r="C104" t="str">
            <v>College Station TX DF</v>
          </cell>
          <cell r="D104" t="str">
            <v>TX</v>
          </cell>
          <cell r="E104" t="str">
            <v>USA</v>
          </cell>
          <cell r="F104">
            <v>0</v>
          </cell>
          <cell r="G104">
            <v>0</v>
          </cell>
          <cell r="H104">
            <v>0</v>
          </cell>
          <cell r="I104">
            <v>0</v>
          </cell>
          <cell r="J104">
            <v>174.20625000000001</v>
          </cell>
          <cell r="K104">
            <v>174.20625000000001</v>
          </cell>
          <cell r="M104">
            <v>4.2750000000000002E-3</v>
          </cell>
          <cell r="N104">
            <v>40750</v>
          </cell>
          <cell r="P104">
            <v>174.20625000000001</v>
          </cell>
          <cell r="Q104">
            <v>0</v>
          </cell>
        </row>
        <row r="105">
          <cell r="F105">
            <v>79908.901624999999</v>
          </cell>
          <cell r="G105">
            <v>189280.40649999998</v>
          </cell>
          <cell r="H105">
            <v>212949.40325000003</v>
          </cell>
          <cell r="I105">
            <v>1441936.6775749999</v>
          </cell>
          <cell r="J105">
            <v>3807240.558925</v>
          </cell>
          <cell r="K105">
            <v>5731315.9478749996</v>
          </cell>
          <cell r="N105">
            <v>7810601.5999999996</v>
          </cell>
          <cell r="P105">
            <v>3173320.8053750009</v>
          </cell>
          <cell r="Q105">
            <v>633919.75355000002</v>
          </cell>
        </row>
        <row r="106">
          <cell r="P106">
            <v>0.83349627013613492</v>
          </cell>
        </row>
        <row r="107">
          <cell r="B107" t="str">
            <v>Iowa</v>
          </cell>
          <cell r="D107" t="str">
            <v>IA</v>
          </cell>
          <cell r="F107">
            <v>0</v>
          </cell>
          <cell r="G107">
            <v>0</v>
          </cell>
          <cell r="H107">
            <v>0</v>
          </cell>
          <cell r="I107">
            <v>565014.78</v>
          </cell>
          <cell r="J107">
            <v>2260059.12</v>
          </cell>
          <cell r="K107">
            <v>2825073.9</v>
          </cell>
          <cell r="M107">
            <v>0.9405</v>
          </cell>
          <cell r="N107">
            <v>3003800</v>
          </cell>
        </row>
        <row r="108">
          <cell r="B108" t="str">
            <v>Wisconsin</v>
          </cell>
          <cell r="D108" t="str">
            <v>WI</v>
          </cell>
          <cell r="F108">
            <v>18057.600000000002</v>
          </cell>
          <cell r="G108">
            <v>96835.400000000009</v>
          </cell>
          <cell r="H108">
            <v>96835.400000000009</v>
          </cell>
          <cell r="I108">
            <v>214897.6</v>
          </cell>
          <cell r="J108">
            <v>116477.6</v>
          </cell>
          <cell r="K108">
            <v>580803.4</v>
          </cell>
          <cell r="M108">
            <v>0.94732245963138151</v>
          </cell>
          <cell r="N108">
            <v>613100</v>
          </cell>
        </row>
        <row r="109">
          <cell r="B109" t="str">
            <v>Manitoba</v>
          </cell>
          <cell r="D109" t="str">
            <v>MB</v>
          </cell>
          <cell r="F109">
            <v>0</v>
          </cell>
          <cell r="G109">
            <v>0</v>
          </cell>
          <cell r="H109">
            <v>0</v>
          </cell>
          <cell r="I109">
            <v>113292.288</v>
          </cell>
          <cell r="J109">
            <v>199720.932</v>
          </cell>
          <cell r="K109">
            <v>313013.21999999997</v>
          </cell>
          <cell r="M109">
            <v>0.79279980750721846</v>
          </cell>
          <cell r="N109">
            <v>394820</v>
          </cell>
        </row>
        <row r="110">
          <cell r="B110" t="str">
            <v>Saskatchewan</v>
          </cell>
          <cell r="D110" t="str">
            <v>SK</v>
          </cell>
          <cell r="F110">
            <v>52128.4</v>
          </cell>
          <cell r="G110">
            <v>52128.4</v>
          </cell>
          <cell r="H110">
            <v>52128.4</v>
          </cell>
          <cell r="I110">
            <v>213557.13099999999</v>
          </cell>
          <cell r="J110">
            <v>229110.99650000001</v>
          </cell>
          <cell r="K110">
            <v>599053.32750000001</v>
          </cell>
          <cell r="M110">
            <v>0.94667835159885905</v>
          </cell>
          <cell r="N110">
            <v>632795</v>
          </cell>
        </row>
        <row r="111">
          <cell r="K111">
            <v>0.75339483755052161</v>
          </cell>
        </row>
        <row r="112">
          <cell r="B112" t="str">
            <v>Projected bookings with MANC &gt;93%</v>
          </cell>
          <cell r="F112">
            <v>70186</v>
          </cell>
          <cell r="G112">
            <v>148963.79999999999</v>
          </cell>
          <cell r="H112">
            <v>186663.6</v>
          </cell>
          <cell r="I112">
            <v>1156616.1149999998</v>
          </cell>
          <cell r="J112">
            <v>3092624.6225000005</v>
          </cell>
          <cell r="K112">
            <v>4655054.1375000002</v>
          </cell>
        </row>
        <row r="113">
          <cell r="K113">
            <v>0.8122138405623851</v>
          </cell>
        </row>
      </sheetData>
      <sheetData sheetId="6">
        <row r="2">
          <cell r="M2">
            <v>8.8987980000000011</v>
          </cell>
        </row>
        <row r="3">
          <cell r="M3">
            <v>0.66128540481966802</v>
          </cell>
          <cell r="N3" t="str">
            <v>% Backlog converted to Revenue in Current year</v>
          </cell>
        </row>
        <row r="4">
          <cell r="C4" t="str">
            <v>YTD Jun-19A</v>
          </cell>
          <cell r="D4">
            <v>43677</v>
          </cell>
          <cell r="E4">
            <v>43708</v>
          </cell>
          <cell r="F4">
            <v>43738</v>
          </cell>
          <cell r="G4">
            <v>43769</v>
          </cell>
          <cell r="H4">
            <v>43799</v>
          </cell>
          <cell r="I4">
            <v>43830</v>
          </cell>
          <cell r="J4" t="str">
            <v>2019E</v>
          </cell>
        </row>
        <row r="5">
          <cell r="B5" t="str">
            <v>Revenue</v>
          </cell>
          <cell r="C5">
            <v>7.4760228698231552</v>
          </cell>
          <cell r="D5">
            <v>7.4760228698231552</v>
          </cell>
          <cell r="E5">
            <v>9.2826708698231553</v>
          </cell>
          <cell r="F5">
            <v>12.359438869823155</v>
          </cell>
          <cell r="G5">
            <v>15.392203869823154</v>
          </cell>
          <cell r="H5">
            <v>18.17188286982315</v>
          </cell>
          <cell r="I5">
            <v>21.59605886982315</v>
          </cell>
          <cell r="J5">
            <v>7.4760228698231552</v>
          </cell>
        </row>
        <row r="6">
          <cell r="B6" t="str">
            <v>Revenue from Backlog</v>
          </cell>
          <cell r="D6">
            <v>1.666002</v>
          </cell>
          <cell r="E6">
            <v>2.2688250000000001</v>
          </cell>
          <cell r="F6">
            <v>1.772416</v>
          </cell>
          <cell r="G6">
            <v>1.2066300000000001</v>
          </cell>
          <cell r="H6">
            <v>1.20855</v>
          </cell>
          <cell r="I6">
            <v>0.77637500000000004</v>
          </cell>
          <cell r="J6">
            <v>8.8987980000000011</v>
          </cell>
        </row>
        <row r="7">
          <cell r="B7" t="str">
            <v>Revenue from Pending Backlog</v>
          </cell>
          <cell r="D7">
            <v>0.14064599999999999</v>
          </cell>
          <cell r="E7">
            <v>0.72803399999999996</v>
          </cell>
          <cell r="F7">
            <v>1.071069</v>
          </cell>
          <cell r="G7">
            <v>1.3601000000000001</v>
          </cell>
          <cell r="H7">
            <v>0.77368899999999996</v>
          </cell>
          <cell r="I7">
            <v>0.484483</v>
          </cell>
          <cell r="J7">
            <v>4.5580210000000001</v>
          </cell>
        </row>
        <row r="8">
          <cell r="B8" t="str">
            <v>Revenue from Projected Bookings</v>
          </cell>
          <cell r="D8">
            <v>0</v>
          </cell>
          <cell r="E8">
            <v>7.9908999999999994E-2</v>
          </cell>
          <cell r="F8">
            <v>0.18928</v>
          </cell>
          <cell r="G8">
            <v>0.212949</v>
          </cell>
          <cell r="H8">
            <v>1.441937</v>
          </cell>
          <cell r="I8">
            <v>3.4594320201768243</v>
          </cell>
          <cell r="J8">
            <v>5.3835070201768245</v>
          </cell>
          <cell r="M8" t="str">
            <v>&lt;&lt; GS</v>
          </cell>
        </row>
        <row r="9">
          <cell r="D9">
            <v>9.2826708698231553</v>
          </cell>
          <cell r="E9">
            <v>12.359438869823155</v>
          </cell>
          <cell r="F9">
            <v>15.392203869823154</v>
          </cell>
          <cell r="G9">
            <v>18.17188286982315</v>
          </cell>
          <cell r="H9">
            <v>21.59605886982315</v>
          </cell>
          <cell r="I9">
            <v>26.316348889999976</v>
          </cell>
          <cell r="J9">
            <v>26.316348889999983</v>
          </cell>
          <cell r="M9">
            <v>26.439792598928712</v>
          </cell>
          <cell r="N9">
            <v>0.12344370892872902</v>
          </cell>
        </row>
        <row r="10">
          <cell r="M10">
            <v>26.316358888264158</v>
          </cell>
        </row>
        <row r="32">
          <cell r="C32" t="str">
            <v>LTM EBITDA:</v>
          </cell>
          <cell r="D32">
            <v>4.3743444050308566</v>
          </cell>
          <cell r="E32">
            <v>4.4660433738056593</v>
          </cell>
          <cell r="F32">
            <v>3.8956512467016999</v>
          </cell>
          <cell r="G32">
            <v>3.6633707119448311</v>
          </cell>
          <cell r="H32">
            <v>4.4228670544964572</v>
          </cell>
          <cell r="I32">
            <v>5.9135461251870334</v>
          </cell>
        </row>
        <row r="33">
          <cell r="C33" t="str">
            <v>LTM Adj. EBITDA:</v>
          </cell>
          <cell r="D33">
            <v>5.3953481036130313</v>
          </cell>
          <cell r="E33">
            <v>5.4943085356103101</v>
          </cell>
          <cell r="F33">
            <v>4.917359291150647</v>
          </cell>
          <cell r="G33">
            <v>4.6429100297877053</v>
          </cell>
          <cell r="H33">
            <v>5.3911295999018671</v>
          </cell>
          <cell r="I33">
            <v>6.9234405286244556</v>
          </cell>
        </row>
        <row r="39">
          <cell r="B39" t="str">
            <v>June 24th</v>
          </cell>
          <cell r="D39" t="str">
            <v>June</v>
          </cell>
          <cell r="E39" t="str">
            <v>July</v>
          </cell>
          <cell r="F39" t="str">
            <v>August</v>
          </cell>
          <cell r="G39" t="str">
            <v>September</v>
          </cell>
          <cell r="H39" t="str">
            <v>October</v>
          </cell>
          <cell r="I39" t="str">
            <v>November</v>
          </cell>
          <cell r="J39" t="str">
            <v>December</v>
          </cell>
        </row>
        <row r="40">
          <cell r="B40" t="str">
            <v>revenue from backlog</v>
          </cell>
          <cell r="D40">
            <v>7476022.869823155</v>
          </cell>
          <cell r="E40">
            <v>1666002</v>
          </cell>
          <cell r="F40">
            <v>2268825</v>
          </cell>
          <cell r="G40">
            <v>1772416</v>
          </cell>
          <cell r="H40">
            <v>1206630</v>
          </cell>
          <cell r="I40">
            <v>1208550</v>
          </cell>
          <cell r="J40">
            <v>776375</v>
          </cell>
          <cell r="M40">
            <v>16374820.869823154</v>
          </cell>
        </row>
        <row r="41">
          <cell r="B41" t="str">
            <v>Revenue from pending backlog</v>
          </cell>
          <cell r="E41">
            <v>140646</v>
          </cell>
          <cell r="F41">
            <v>728034</v>
          </cell>
          <cell r="G41">
            <v>1071069</v>
          </cell>
          <cell r="H41">
            <v>1360100</v>
          </cell>
          <cell r="I41">
            <v>773689</v>
          </cell>
          <cell r="J41">
            <v>484483</v>
          </cell>
          <cell r="M41">
            <v>4558021</v>
          </cell>
        </row>
        <row r="42">
          <cell r="B42" t="str">
            <v>Revenue from projected bookings</v>
          </cell>
          <cell r="F42">
            <v>79909</v>
          </cell>
          <cell r="G42">
            <v>189280</v>
          </cell>
          <cell r="H42">
            <v>212949</v>
          </cell>
          <cell r="I42">
            <v>1441937</v>
          </cell>
          <cell r="J42">
            <v>3459432.0201768242</v>
          </cell>
          <cell r="M42">
            <v>5383507.0201768242</v>
          </cell>
        </row>
        <row r="43">
          <cell r="B43" t="str">
            <v>total revenue</v>
          </cell>
          <cell r="D43">
            <v>7476022.869823155</v>
          </cell>
          <cell r="E43">
            <v>1806648</v>
          </cell>
          <cell r="F43">
            <v>3076768</v>
          </cell>
          <cell r="G43">
            <v>3032765</v>
          </cell>
          <cell r="H43">
            <v>2779679</v>
          </cell>
          <cell r="I43">
            <v>3424176</v>
          </cell>
          <cell r="J43">
            <v>4720290.0201768242</v>
          </cell>
          <cell r="M43">
            <v>26316348.889999978</v>
          </cell>
        </row>
        <row r="45">
          <cell r="B45" t="str">
            <v>Revenue from Canadian market (supply and install)</v>
          </cell>
          <cell r="D45">
            <v>1379766.4513823353</v>
          </cell>
          <cell r="E45">
            <v>1353690.9466814825</v>
          </cell>
          <cell r="F45">
            <v>1809081.2770722222</v>
          </cell>
          <cell r="G45">
            <v>1505156.9870674282</v>
          </cell>
          <cell r="H45">
            <v>1226890.453976067</v>
          </cell>
          <cell r="I45">
            <v>981619.41572326561</v>
          </cell>
          <cell r="J45">
            <v>843767.41833468527</v>
          </cell>
          <cell r="K45">
            <v>0.17339189960786372</v>
          </cell>
        </row>
        <row r="46">
          <cell r="B46" t="str">
            <v>Revenue from US market (supply only)</v>
          </cell>
          <cell r="D46">
            <v>118390.63099999999</v>
          </cell>
          <cell r="E46">
            <v>452956.90900000004</v>
          </cell>
          <cell r="F46">
            <v>1267686.2491249999</v>
          </cell>
          <cell r="G46">
            <v>1527608.4237000002</v>
          </cell>
          <cell r="H46">
            <v>1552789.3032499999</v>
          </cell>
          <cell r="I46">
            <v>2184956.5403750003</v>
          </cell>
          <cell r="J46">
            <v>4022477.3153750002</v>
          </cell>
          <cell r="K46">
            <v>0.82660810039213628</v>
          </cell>
          <cell r="N46" t="str">
            <v>Supply only reduces weather delay risks</v>
          </cell>
        </row>
        <row r="47">
          <cell r="D47">
            <v>1498157.0823823353</v>
          </cell>
          <cell r="E47">
            <v>1806647.8556814825</v>
          </cell>
          <cell r="F47">
            <v>3076767.5261972221</v>
          </cell>
          <cell r="G47">
            <v>3032765.4107674286</v>
          </cell>
          <cell r="H47">
            <v>2779679.7572260667</v>
          </cell>
          <cell r="I47">
            <v>3166575.9560982659</v>
          </cell>
          <cell r="J47">
            <v>4866244.7337096855</v>
          </cell>
        </row>
        <row r="49">
          <cell r="B49" t="str">
            <v>Absolute revenue forecast (no MANC factor)</v>
          </cell>
          <cell r="C49">
            <v>0</v>
          </cell>
          <cell r="D49">
            <v>7476022.869823155</v>
          </cell>
          <cell r="E49">
            <v>1808068.5236814828</v>
          </cell>
          <cell r="F49">
            <v>3142739.9565722216</v>
          </cell>
          <cell r="G49">
            <v>3263282.0402674288</v>
          </cell>
          <cell r="H49">
            <v>2973475.4859760674</v>
          </cell>
          <cell r="I49">
            <v>3619108.8225232651</v>
          </cell>
          <cell r="J49">
            <v>6067937.0827846853</v>
          </cell>
          <cell r="M49">
            <v>28350634.781628307</v>
          </cell>
          <cell r="O49">
            <v>7.7301220626442735E-2</v>
          </cell>
        </row>
        <row r="50">
          <cell r="D50">
            <v>1</v>
          </cell>
          <cell r="E50">
            <v>0.99921434189972491</v>
          </cell>
          <cell r="F50">
            <v>0.97900814019490912</v>
          </cell>
          <cell r="G50">
            <v>0.92936036866475147</v>
          </cell>
          <cell r="H50">
            <v>0.93482492561647867</v>
          </cell>
          <cell r="I50">
            <v>0.94613789413843685</v>
          </cell>
          <cell r="J50">
            <v>0.77790688264859176</v>
          </cell>
        </row>
        <row r="52">
          <cell r="C52" t="str">
            <v xml:space="preserve">Revenue from projected bookings </v>
          </cell>
        </row>
        <row r="53">
          <cell r="K53" t="str">
            <v>total</v>
          </cell>
          <cell r="M53" t="str">
            <v>MANC</v>
          </cell>
        </row>
        <row r="54">
          <cell r="B54" t="str">
            <v>cd3912</v>
          </cell>
          <cell r="C54" t="str">
            <v xml:space="preserve">Tipton IA </v>
          </cell>
          <cell r="D54" t="str">
            <v>IA</v>
          </cell>
          <cell r="E54" t="str">
            <v>USA</v>
          </cell>
          <cell r="F54">
            <v>0</v>
          </cell>
          <cell r="G54">
            <v>0</v>
          </cell>
          <cell r="H54">
            <v>0</v>
          </cell>
          <cell r="I54">
            <v>112577.85</v>
          </cell>
          <cell r="J54">
            <v>450311.4</v>
          </cell>
          <cell r="K54">
            <v>562889.25</v>
          </cell>
          <cell r="M54">
            <v>0.9405</v>
          </cell>
          <cell r="N54">
            <v>598500</v>
          </cell>
          <cell r="P54">
            <v>450311.4</v>
          </cell>
          <cell r="Q54">
            <v>0</v>
          </cell>
          <cell r="S54">
            <v>0.11827763258730058</v>
          </cell>
        </row>
        <row r="55">
          <cell r="B55" t="str">
            <v>cd4001</v>
          </cell>
          <cell r="C55" t="str">
            <v>Bloomer, WI</v>
          </cell>
          <cell r="D55" t="str">
            <v>WI</v>
          </cell>
          <cell r="E55" t="str">
            <v>USA</v>
          </cell>
          <cell r="F55">
            <v>0</v>
          </cell>
          <cell r="G55">
            <v>24605</v>
          </cell>
          <cell r="H55">
            <v>98420</v>
          </cell>
          <cell r="I55">
            <v>196840</v>
          </cell>
          <cell r="J55">
            <v>98420</v>
          </cell>
          <cell r="K55">
            <v>418285</v>
          </cell>
          <cell r="M55">
            <v>0.95</v>
          </cell>
          <cell r="N55">
            <v>440300</v>
          </cell>
          <cell r="P55">
            <v>98420</v>
          </cell>
          <cell r="Q55">
            <v>0</v>
          </cell>
        </row>
        <row r="56">
          <cell r="B56" t="str">
            <v>cd1806</v>
          </cell>
          <cell r="C56" t="str">
            <v>Battleford OPTAER SK SWL</v>
          </cell>
          <cell r="D56" t="str">
            <v>SK</v>
          </cell>
          <cell r="E56" t="str">
            <v>Canada</v>
          </cell>
          <cell r="F56">
            <v>52128.4</v>
          </cell>
          <cell r="G56">
            <v>52128.4</v>
          </cell>
          <cell r="H56">
            <v>52128.4</v>
          </cell>
          <cell r="I56">
            <v>130321</v>
          </cell>
          <cell r="J56">
            <v>104256.8</v>
          </cell>
          <cell r="K56">
            <v>390963</v>
          </cell>
          <cell r="M56">
            <v>0.95</v>
          </cell>
          <cell r="N56">
            <v>411540</v>
          </cell>
          <cell r="P56">
            <v>0</v>
          </cell>
          <cell r="Q56">
            <v>104256.8</v>
          </cell>
        </row>
        <row r="57">
          <cell r="B57" t="str">
            <v>cd2874</v>
          </cell>
          <cell r="C57" t="str">
            <v>Absarokee</v>
          </cell>
          <cell r="D57" t="str">
            <v>MT</v>
          </cell>
          <cell r="E57" t="str">
            <v>USA</v>
          </cell>
          <cell r="F57">
            <v>0</v>
          </cell>
          <cell r="G57">
            <v>0</v>
          </cell>
          <cell r="H57">
            <v>0</v>
          </cell>
          <cell r="I57">
            <v>69064</v>
          </cell>
          <cell r="J57">
            <v>276256</v>
          </cell>
          <cell r="K57">
            <v>345320</v>
          </cell>
          <cell r="M57">
            <v>0.97</v>
          </cell>
          <cell r="N57">
            <v>356000</v>
          </cell>
          <cell r="P57">
            <v>276256</v>
          </cell>
          <cell r="Q57">
            <v>0</v>
          </cell>
        </row>
        <row r="58">
          <cell r="B58" t="str">
            <v>cd1590</v>
          </cell>
          <cell r="C58" t="str">
            <v>Dallas Center IA</v>
          </cell>
          <cell r="D58" t="str">
            <v>IA</v>
          </cell>
          <cell r="E58" t="str">
            <v>USA</v>
          </cell>
          <cell r="F58">
            <v>0</v>
          </cell>
          <cell r="G58">
            <v>0</v>
          </cell>
          <cell r="H58">
            <v>0</v>
          </cell>
          <cell r="I58">
            <v>62355.15</v>
          </cell>
          <cell r="J58">
            <v>249420.6</v>
          </cell>
          <cell r="K58">
            <v>311775.75</v>
          </cell>
          <cell r="M58">
            <v>0.9405</v>
          </cell>
          <cell r="N58">
            <v>331500</v>
          </cell>
          <cell r="P58">
            <v>249420.6</v>
          </cell>
          <cell r="Q58">
            <v>0</v>
          </cell>
        </row>
        <row r="59">
          <cell r="B59" t="str">
            <v>cd1732</v>
          </cell>
          <cell r="C59" t="str">
            <v>Sigourney, IA</v>
          </cell>
          <cell r="D59" t="str">
            <v>IA</v>
          </cell>
          <cell r="E59" t="str">
            <v>USA</v>
          </cell>
          <cell r="F59">
            <v>0</v>
          </cell>
          <cell r="G59">
            <v>0</v>
          </cell>
          <cell r="H59">
            <v>0</v>
          </cell>
          <cell r="I59">
            <v>59862.825000000004</v>
          </cell>
          <cell r="J59">
            <v>239451.30000000002</v>
          </cell>
          <cell r="K59">
            <v>299314.125</v>
          </cell>
          <cell r="M59">
            <v>0.9405</v>
          </cell>
          <cell r="N59">
            <v>318250</v>
          </cell>
          <cell r="P59">
            <v>239451.30000000002</v>
          </cell>
          <cell r="Q59">
            <v>0</v>
          </cell>
        </row>
        <row r="60">
          <cell r="B60" t="str">
            <v>cd4101</v>
          </cell>
          <cell r="C60" t="str">
            <v>Dysart IA</v>
          </cell>
          <cell r="D60" t="str">
            <v>IA</v>
          </cell>
          <cell r="E60" t="str">
            <v>USA</v>
          </cell>
          <cell r="F60">
            <v>0</v>
          </cell>
          <cell r="G60">
            <v>0</v>
          </cell>
          <cell r="H60">
            <v>0</v>
          </cell>
          <cell r="I60">
            <v>56900.25</v>
          </cell>
          <cell r="J60">
            <v>227601</v>
          </cell>
          <cell r="K60">
            <v>284501.25</v>
          </cell>
          <cell r="M60">
            <v>0.9405</v>
          </cell>
          <cell r="N60">
            <v>302500</v>
          </cell>
          <cell r="P60">
            <v>227601</v>
          </cell>
          <cell r="Q60">
            <v>0</v>
          </cell>
        </row>
        <row r="61">
          <cell r="B61" t="str">
            <v>cd3614</v>
          </cell>
          <cell r="C61" t="str">
            <v>Glidden IA SWL</v>
          </cell>
          <cell r="D61" t="str">
            <v>IA</v>
          </cell>
          <cell r="E61" t="str">
            <v>USA</v>
          </cell>
          <cell r="F61">
            <v>0</v>
          </cell>
          <cell r="G61">
            <v>0</v>
          </cell>
          <cell r="H61">
            <v>0</v>
          </cell>
          <cell r="I61">
            <v>47871.450000000004</v>
          </cell>
          <cell r="J61">
            <v>191485.80000000002</v>
          </cell>
          <cell r="K61">
            <v>239357.25000000003</v>
          </cell>
          <cell r="M61">
            <v>0.9405</v>
          </cell>
          <cell r="N61">
            <v>254500.00000000003</v>
          </cell>
          <cell r="P61">
            <v>191485.80000000002</v>
          </cell>
          <cell r="Q61">
            <v>0</v>
          </cell>
        </row>
        <row r="62">
          <cell r="B62" t="str">
            <v>cd1872</v>
          </cell>
          <cell r="C62" t="str">
            <v>Anita, IA</v>
          </cell>
          <cell r="D62" t="str">
            <v>IA</v>
          </cell>
          <cell r="E62" t="str">
            <v>USA</v>
          </cell>
          <cell r="F62">
            <v>0</v>
          </cell>
          <cell r="G62">
            <v>0</v>
          </cell>
          <cell r="H62">
            <v>0</v>
          </cell>
          <cell r="I62">
            <v>46187.955000000002</v>
          </cell>
          <cell r="J62">
            <v>184751.82</v>
          </cell>
          <cell r="K62">
            <v>230939.77500000002</v>
          </cell>
          <cell r="M62">
            <v>0.9405</v>
          </cell>
          <cell r="N62">
            <v>245550.00000000003</v>
          </cell>
          <cell r="P62">
            <v>184751.82</v>
          </cell>
          <cell r="Q62">
            <v>0</v>
          </cell>
        </row>
        <row r="63">
          <cell r="B63" t="str">
            <v>cd3002</v>
          </cell>
          <cell r="C63" t="str">
            <v>Massena IA</v>
          </cell>
          <cell r="D63" t="str">
            <v>IA</v>
          </cell>
          <cell r="E63" t="str">
            <v>USA</v>
          </cell>
          <cell r="F63">
            <v>0</v>
          </cell>
          <cell r="G63">
            <v>0</v>
          </cell>
          <cell r="H63">
            <v>0</v>
          </cell>
          <cell r="I63">
            <v>40817.700000000004</v>
          </cell>
          <cell r="J63">
            <v>163270.80000000002</v>
          </cell>
          <cell r="K63">
            <v>204088.50000000003</v>
          </cell>
          <cell r="M63">
            <v>0.9405</v>
          </cell>
          <cell r="N63">
            <v>217000.00000000003</v>
          </cell>
          <cell r="P63">
            <v>163270.80000000002</v>
          </cell>
          <cell r="Q63">
            <v>0</v>
          </cell>
        </row>
        <row r="64">
          <cell r="B64" t="str">
            <v>cd1761</v>
          </cell>
          <cell r="C64" t="str">
            <v>Aurora, SD</v>
          </cell>
          <cell r="D64" t="str">
            <v>SD</v>
          </cell>
          <cell r="E64" t="str">
            <v>USA</v>
          </cell>
          <cell r="F64">
            <v>0</v>
          </cell>
          <cell r="G64">
            <v>0</v>
          </cell>
          <cell r="H64">
            <v>0</v>
          </cell>
          <cell r="I64">
            <v>38153.733749999999</v>
          </cell>
          <cell r="J64">
            <v>152614.935</v>
          </cell>
          <cell r="K64">
            <v>190768.66875000001</v>
          </cell>
          <cell r="M64">
            <v>0.63483749999999994</v>
          </cell>
          <cell r="N64">
            <v>300500.00000000006</v>
          </cell>
          <cell r="P64">
            <v>152614.935</v>
          </cell>
          <cell r="Q64">
            <v>0</v>
          </cell>
        </row>
        <row r="65">
          <cell r="B65" t="str">
            <v>cd4148</v>
          </cell>
          <cell r="C65" t="str">
            <v>Riceville IA</v>
          </cell>
          <cell r="D65" t="str">
            <v>IA</v>
          </cell>
          <cell r="E65" t="str">
            <v>USA</v>
          </cell>
          <cell r="F65">
            <v>0</v>
          </cell>
          <cell r="G65">
            <v>0</v>
          </cell>
          <cell r="H65">
            <v>0</v>
          </cell>
          <cell r="I65">
            <v>37620</v>
          </cell>
          <cell r="J65">
            <v>150480</v>
          </cell>
          <cell r="K65">
            <v>188100</v>
          </cell>
          <cell r="M65">
            <v>0.9405</v>
          </cell>
          <cell r="N65">
            <v>200000</v>
          </cell>
          <cell r="P65">
            <v>150480</v>
          </cell>
          <cell r="Q65">
            <v>0</v>
          </cell>
        </row>
        <row r="66">
          <cell r="B66" t="str">
            <v>cd3852</v>
          </cell>
          <cell r="C66" t="str">
            <v>Blairstown IA</v>
          </cell>
          <cell r="D66" t="str">
            <v>IA</v>
          </cell>
          <cell r="E66" t="str">
            <v>USA</v>
          </cell>
          <cell r="F66">
            <v>0</v>
          </cell>
          <cell r="G66">
            <v>0</v>
          </cell>
          <cell r="H66">
            <v>0</v>
          </cell>
          <cell r="I66">
            <v>36303.300000000003</v>
          </cell>
          <cell r="J66">
            <v>145213.20000000001</v>
          </cell>
          <cell r="K66">
            <v>181516.5</v>
          </cell>
          <cell r="M66">
            <v>0.9405</v>
          </cell>
          <cell r="N66">
            <v>193000</v>
          </cell>
          <cell r="P66">
            <v>145213.20000000001</v>
          </cell>
          <cell r="Q66">
            <v>0</v>
          </cell>
        </row>
        <row r="67">
          <cell r="B67" t="str">
            <v>cd2331</v>
          </cell>
          <cell r="C67" t="str">
            <v>Preeceville</v>
          </cell>
          <cell r="D67" t="str">
            <v>SK</v>
          </cell>
          <cell r="E67" t="str">
            <v>Canada</v>
          </cell>
          <cell r="F67">
            <v>0</v>
          </cell>
          <cell r="G67">
            <v>0</v>
          </cell>
          <cell r="H67">
            <v>0</v>
          </cell>
          <cell r="I67">
            <v>67904.100000000006</v>
          </cell>
          <cell r="J67">
            <v>101856.15</v>
          </cell>
          <cell r="K67">
            <v>169760.25</v>
          </cell>
          <cell r="M67">
            <v>0.9405</v>
          </cell>
          <cell r="N67">
            <v>180500</v>
          </cell>
          <cell r="P67">
            <v>0</v>
          </cell>
          <cell r="Q67">
            <v>101856.15</v>
          </cell>
        </row>
        <row r="68">
          <cell r="B68" t="str">
            <v>cd2195</v>
          </cell>
          <cell r="C68" t="str">
            <v>Sundre OPTAER SWL</v>
          </cell>
          <cell r="D68" t="str">
            <v>AB</v>
          </cell>
          <cell r="E68" t="str">
            <v>Canada</v>
          </cell>
          <cell r="F68">
            <v>0</v>
          </cell>
          <cell r="G68">
            <v>0</v>
          </cell>
          <cell r="H68">
            <v>0</v>
          </cell>
          <cell r="I68">
            <v>67904.100000000006</v>
          </cell>
          <cell r="J68">
            <v>101856.15</v>
          </cell>
          <cell r="K68">
            <v>169760.25</v>
          </cell>
          <cell r="M68">
            <v>0.85499999999999998</v>
          </cell>
          <cell r="N68">
            <v>198550</v>
          </cell>
          <cell r="P68">
            <v>0</v>
          </cell>
          <cell r="Q68">
            <v>101856.15</v>
          </cell>
        </row>
        <row r="69">
          <cell r="B69" t="str">
            <v>cd3667</v>
          </cell>
          <cell r="C69" t="str">
            <v>New Bothwell SWL</v>
          </cell>
          <cell r="D69" t="str">
            <v>MB</v>
          </cell>
          <cell r="E69" t="str">
            <v>Canada</v>
          </cell>
          <cell r="F69">
            <v>0</v>
          </cell>
          <cell r="G69">
            <v>0</v>
          </cell>
          <cell r="H69">
            <v>0</v>
          </cell>
          <cell r="I69">
            <v>67260.456000000006</v>
          </cell>
          <cell r="J69">
            <v>100890.68400000001</v>
          </cell>
          <cell r="K69">
            <v>168151.14</v>
          </cell>
          <cell r="M69">
            <v>0.72900000000000009</v>
          </cell>
          <cell r="N69">
            <v>230660</v>
          </cell>
          <cell r="P69">
            <v>0</v>
          </cell>
          <cell r="Q69">
            <v>100890.68400000001</v>
          </cell>
        </row>
        <row r="70">
          <cell r="B70" t="str">
            <v>cd1822</v>
          </cell>
          <cell r="C70" t="str">
            <v>Brighton IA SWL</v>
          </cell>
          <cell r="D70" t="str">
            <v>IA</v>
          </cell>
          <cell r="E70" t="str">
            <v>USA</v>
          </cell>
          <cell r="F70">
            <v>0</v>
          </cell>
          <cell r="G70">
            <v>0</v>
          </cell>
          <cell r="H70">
            <v>0</v>
          </cell>
          <cell r="I70">
            <v>32729.4</v>
          </cell>
          <cell r="J70">
            <v>130917.6</v>
          </cell>
          <cell r="K70">
            <v>163647</v>
          </cell>
          <cell r="M70">
            <v>0.9405</v>
          </cell>
          <cell r="N70">
            <v>174000</v>
          </cell>
          <cell r="P70">
            <v>130917.6</v>
          </cell>
          <cell r="Q70">
            <v>0</v>
          </cell>
        </row>
        <row r="71">
          <cell r="B71" t="str">
            <v>cd2738</v>
          </cell>
          <cell r="C71" t="str">
            <v>Dale WI</v>
          </cell>
          <cell r="D71" t="str">
            <v>WI</v>
          </cell>
          <cell r="E71" t="str">
            <v>USA</v>
          </cell>
          <cell r="F71">
            <v>18057.600000000002</v>
          </cell>
          <cell r="G71">
            <v>72230.400000000009</v>
          </cell>
          <cell r="H71">
            <v>36115.200000000004</v>
          </cell>
          <cell r="I71">
            <v>18057.600000000002</v>
          </cell>
          <cell r="J71">
            <v>18057.600000000002</v>
          </cell>
          <cell r="K71">
            <v>162518.40000000002</v>
          </cell>
          <cell r="M71">
            <v>0.9405</v>
          </cell>
          <cell r="N71">
            <v>172800.00000000003</v>
          </cell>
          <cell r="P71">
            <v>18057.600000000002</v>
          </cell>
          <cell r="Q71">
            <v>0</v>
          </cell>
        </row>
        <row r="72">
          <cell r="B72" t="str">
            <v>cd3650</v>
          </cell>
          <cell r="C72" t="str">
            <v>Everly IA</v>
          </cell>
          <cell r="D72" t="str">
            <v>IA</v>
          </cell>
          <cell r="E72" t="str">
            <v>USA</v>
          </cell>
          <cell r="F72">
            <v>0</v>
          </cell>
          <cell r="G72">
            <v>0</v>
          </cell>
          <cell r="H72">
            <v>0</v>
          </cell>
          <cell r="I72">
            <v>31788.9</v>
          </cell>
          <cell r="J72">
            <v>127155.6</v>
          </cell>
          <cell r="K72">
            <v>158944.5</v>
          </cell>
          <cell r="M72">
            <v>0.9405</v>
          </cell>
          <cell r="N72">
            <v>169000</v>
          </cell>
          <cell r="P72">
            <v>127155.6</v>
          </cell>
          <cell r="Q72">
            <v>0</v>
          </cell>
        </row>
        <row r="73">
          <cell r="B73" t="str">
            <v>cd2674</v>
          </cell>
          <cell r="C73" t="str">
            <v>Hollandsburg Palestine OH</v>
          </cell>
          <cell r="D73" t="str">
            <v>OH</v>
          </cell>
          <cell r="E73" t="str">
            <v>USA</v>
          </cell>
          <cell r="F73">
            <v>0</v>
          </cell>
          <cell r="G73">
            <v>0</v>
          </cell>
          <cell r="H73">
            <v>0</v>
          </cell>
          <cell r="I73">
            <v>27838.800000000003</v>
          </cell>
          <cell r="J73">
            <v>111355.20000000001</v>
          </cell>
          <cell r="K73">
            <v>139194</v>
          </cell>
          <cell r="M73">
            <v>0.9405</v>
          </cell>
          <cell r="N73">
            <v>148000</v>
          </cell>
          <cell r="P73">
            <v>111355.20000000001</v>
          </cell>
          <cell r="Q73">
            <v>0</v>
          </cell>
        </row>
        <row r="74">
          <cell r="B74" t="str">
            <v>cd2694</v>
          </cell>
          <cell r="C74" t="str">
            <v>Jonesburg MO</v>
          </cell>
          <cell r="D74" t="str">
            <v>MO</v>
          </cell>
          <cell r="E74" t="str">
            <v>USA</v>
          </cell>
          <cell r="F74">
            <v>0</v>
          </cell>
          <cell r="G74">
            <v>0</v>
          </cell>
          <cell r="H74">
            <v>0</v>
          </cell>
          <cell r="I74">
            <v>26329.050000000003</v>
          </cell>
          <cell r="J74">
            <v>105316.20000000001</v>
          </cell>
          <cell r="K74">
            <v>131645.25</v>
          </cell>
          <cell r="M74">
            <v>0.66825000000000001</v>
          </cell>
          <cell r="N74">
            <v>197000</v>
          </cell>
          <cell r="P74">
            <v>105316.20000000001</v>
          </cell>
          <cell r="Q74">
            <v>0</v>
          </cell>
        </row>
        <row r="75">
          <cell r="B75" t="str">
            <v>cd4141</v>
          </cell>
          <cell r="C75" t="str">
            <v>Wuskwi Sipihk FN MB</v>
          </cell>
          <cell r="D75" t="str">
            <v>MB</v>
          </cell>
          <cell r="E75" t="str">
            <v>Canada</v>
          </cell>
          <cell r="F75">
            <v>0</v>
          </cell>
          <cell r="G75">
            <v>0</v>
          </cell>
          <cell r="H75">
            <v>0</v>
          </cell>
          <cell r="I75">
            <v>46031.832000000002</v>
          </cell>
          <cell r="J75">
            <v>69047.747999999992</v>
          </cell>
          <cell r="K75">
            <v>115079.57999999999</v>
          </cell>
          <cell r="M75">
            <v>0.9405</v>
          </cell>
          <cell r="N75">
            <v>122359.99999999999</v>
          </cell>
          <cell r="P75">
            <v>0</v>
          </cell>
          <cell r="Q75">
            <v>69047.747999999992</v>
          </cell>
        </row>
        <row r="76">
          <cell r="B76" t="str">
            <v>cd2353</v>
          </cell>
          <cell r="C76" t="str">
            <v>Dillingham</v>
          </cell>
          <cell r="D76" t="str">
            <v>AK</v>
          </cell>
          <cell r="E76" t="str">
            <v>USA</v>
          </cell>
          <cell r="F76">
            <v>0</v>
          </cell>
          <cell r="G76">
            <v>0</v>
          </cell>
          <cell r="H76">
            <v>0</v>
          </cell>
          <cell r="I76">
            <v>13529.092499999999</v>
          </cell>
          <cell r="J76">
            <v>54116.369999999995</v>
          </cell>
          <cell r="K76">
            <v>67645.462499999994</v>
          </cell>
          <cell r="M76">
            <v>0.47025</v>
          </cell>
          <cell r="N76">
            <v>143850</v>
          </cell>
          <cell r="P76">
            <v>54116.369999999995</v>
          </cell>
          <cell r="Q76">
            <v>0</v>
          </cell>
        </row>
        <row r="77">
          <cell r="B77" t="str">
            <v>cd2194</v>
          </cell>
          <cell r="C77" t="str">
            <v>East Lynn, MO</v>
          </cell>
          <cell r="D77" t="str">
            <v>MO</v>
          </cell>
          <cell r="E77" t="str">
            <v>USA</v>
          </cell>
          <cell r="F77">
            <v>0</v>
          </cell>
          <cell r="G77">
            <v>0</v>
          </cell>
          <cell r="H77">
            <v>0</v>
          </cell>
          <cell r="I77">
            <v>9459.0787499999988</v>
          </cell>
          <cell r="J77">
            <v>37836.314999999995</v>
          </cell>
          <cell r="K77">
            <v>47295.393749999996</v>
          </cell>
          <cell r="M77">
            <v>0.63483749999999994</v>
          </cell>
          <cell r="N77">
            <v>74500</v>
          </cell>
          <cell r="P77">
            <v>37836.314999999995</v>
          </cell>
          <cell r="Q77">
            <v>0</v>
          </cell>
        </row>
        <row r="78">
          <cell r="B78" t="str">
            <v>cd4006</v>
          </cell>
          <cell r="C78" t="str">
            <v>Sucker Creek Rebuild RWR</v>
          </cell>
          <cell r="D78" t="str">
            <v>AB</v>
          </cell>
          <cell r="E78" t="str">
            <v>Canada</v>
          </cell>
          <cell r="F78">
            <v>0</v>
          </cell>
          <cell r="G78">
            <v>0</v>
          </cell>
          <cell r="H78">
            <v>0</v>
          </cell>
          <cell r="I78">
            <v>15446.772000000001</v>
          </cell>
          <cell r="J78">
            <v>23170.157999999999</v>
          </cell>
          <cell r="K78">
            <v>38616.93</v>
          </cell>
          <cell r="M78">
            <v>0.99</v>
          </cell>
          <cell r="N78">
            <v>39007</v>
          </cell>
          <cell r="P78">
            <v>0</v>
          </cell>
          <cell r="Q78">
            <v>23170.157999999999</v>
          </cell>
        </row>
        <row r="79">
          <cell r="B79" t="str">
            <v>cd2119</v>
          </cell>
          <cell r="C79" t="str">
            <v>LeBret FN SK</v>
          </cell>
          <cell r="D79" t="str">
            <v>SK</v>
          </cell>
          <cell r="E79" t="str">
            <v>Canada</v>
          </cell>
          <cell r="F79">
            <v>0</v>
          </cell>
          <cell r="G79">
            <v>0</v>
          </cell>
          <cell r="H79">
            <v>0</v>
          </cell>
          <cell r="I79">
            <v>15332.031000000001</v>
          </cell>
          <cell r="J79">
            <v>22998.0465</v>
          </cell>
          <cell r="K79">
            <v>38330.077499999999</v>
          </cell>
          <cell r="M79">
            <v>0.9405</v>
          </cell>
          <cell r="N79">
            <v>40755</v>
          </cell>
          <cell r="P79">
            <v>0</v>
          </cell>
          <cell r="Q79">
            <v>22998.0465</v>
          </cell>
        </row>
        <row r="80">
          <cell r="B80" t="str">
            <v>cd2758</v>
          </cell>
          <cell r="C80" t="str">
            <v>Talkeetna AK SWL</v>
          </cell>
          <cell r="D80" t="str">
            <v>AK</v>
          </cell>
          <cell r="E80" t="str">
            <v>USA</v>
          </cell>
          <cell r="F80">
            <v>3629</v>
          </cell>
          <cell r="G80">
            <v>14516</v>
          </cell>
          <cell r="H80">
            <v>7258</v>
          </cell>
          <cell r="I80">
            <v>3629</v>
          </cell>
          <cell r="J80">
            <v>3629</v>
          </cell>
          <cell r="K80">
            <v>32661</v>
          </cell>
          <cell r="M80">
            <v>0.23749999999999999</v>
          </cell>
          <cell r="N80">
            <v>137520</v>
          </cell>
          <cell r="P80">
            <v>3629</v>
          </cell>
          <cell r="Q80">
            <v>0</v>
          </cell>
        </row>
        <row r="81">
          <cell r="B81" t="str">
            <v>cd4405</v>
          </cell>
          <cell r="C81" t="str">
            <v xml:space="preserve">Sandy Bay MB </v>
          </cell>
          <cell r="D81" t="str">
            <v>MB</v>
          </cell>
          <cell r="E81" t="str">
            <v>Canada</v>
          </cell>
          <cell r="F81">
            <v>0</v>
          </cell>
          <cell r="G81">
            <v>0</v>
          </cell>
          <cell r="H81">
            <v>0</v>
          </cell>
          <cell r="I81">
            <v>0</v>
          </cell>
          <cell r="J81">
            <v>29782.499999999996</v>
          </cell>
          <cell r="K81">
            <v>29782.499999999996</v>
          </cell>
          <cell r="M81">
            <v>0.71249999999999991</v>
          </cell>
          <cell r="N81">
            <v>41800</v>
          </cell>
          <cell r="P81">
            <v>0</v>
          </cell>
          <cell r="Q81">
            <v>29782.499999999996</v>
          </cell>
        </row>
        <row r="82">
          <cell r="B82" t="str">
            <v>cd3704</v>
          </cell>
          <cell r="C82" t="str">
            <v>Plessisville</v>
          </cell>
          <cell r="D82" t="str">
            <v>QC</v>
          </cell>
          <cell r="E82" t="str">
            <v>Canada</v>
          </cell>
          <cell r="F82">
            <v>0</v>
          </cell>
          <cell r="G82">
            <v>0</v>
          </cell>
          <cell r="H82">
            <v>0</v>
          </cell>
          <cell r="I82">
            <v>4895.1599999999989</v>
          </cell>
          <cell r="J82">
            <v>19580.639999999996</v>
          </cell>
          <cell r="K82">
            <v>24475.799999999996</v>
          </cell>
          <cell r="M82">
            <v>0.14249999999999999</v>
          </cell>
          <cell r="N82">
            <v>171759.99999999997</v>
          </cell>
          <cell r="P82">
            <v>0</v>
          </cell>
          <cell r="Q82">
            <v>19580.639999999996</v>
          </cell>
        </row>
        <row r="83">
          <cell r="B83" t="str">
            <v>cd4423</v>
          </cell>
          <cell r="C83" t="str">
            <v>Whitefield NH DF</v>
          </cell>
          <cell r="D83" t="str">
            <v>NH</v>
          </cell>
          <cell r="E83" t="str">
            <v>USA</v>
          </cell>
          <cell r="F83">
            <v>0</v>
          </cell>
          <cell r="G83">
            <v>1425</v>
          </cell>
          <cell r="H83">
            <v>5700</v>
          </cell>
          <cell r="I83">
            <v>11400</v>
          </cell>
          <cell r="J83">
            <v>5700</v>
          </cell>
          <cell r="K83">
            <v>24225</v>
          </cell>
          <cell r="M83">
            <v>0.14249999999999999</v>
          </cell>
          <cell r="N83">
            <v>170000.00000000003</v>
          </cell>
          <cell r="P83">
            <v>5700</v>
          </cell>
          <cell r="Q83">
            <v>0</v>
          </cell>
        </row>
        <row r="84">
          <cell r="B84" t="str">
            <v>cd4073</v>
          </cell>
          <cell r="C84" t="str">
            <v>Epursol SWL</v>
          </cell>
          <cell r="D84" t="str">
            <v>QC</v>
          </cell>
          <cell r="E84" t="str">
            <v>Canada</v>
          </cell>
          <cell r="F84">
            <v>0</v>
          </cell>
          <cell r="G84">
            <v>0</v>
          </cell>
          <cell r="H84">
            <v>0</v>
          </cell>
          <cell r="I84">
            <v>9603.36</v>
          </cell>
          <cell r="J84">
            <v>14405.04</v>
          </cell>
          <cell r="K84">
            <v>24008.400000000001</v>
          </cell>
          <cell r="M84">
            <v>0.81</v>
          </cell>
          <cell r="N84">
            <v>29640</v>
          </cell>
          <cell r="P84">
            <v>0</v>
          </cell>
          <cell r="Q84">
            <v>14405.04</v>
          </cell>
        </row>
        <row r="85">
          <cell r="B85" t="str">
            <v>cd3037</v>
          </cell>
          <cell r="C85" t="str">
            <v>New Town, ND</v>
          </cell>
          <cell r="D85" t="str">
            <v>ND</v>
          </cell>
          <cell r="E85" t="str">
            <v>USA</v>
          </cell>
          <cell r="F85">
            <v>2559.6000000000004</v>
          </cell>
          <cell r="G85">
            <v>10238.400000000001</v>
          </cell>
          <cell r="H85">
            <v>5119.2000000000007</v>
          </cell>
          <cell r="I85">
            <v>2559.6000000000004</v>
          </cell>
          <cell r="J85">
            <v>2559.6000000000004</v>
          </cell>
          <cell r="K85">
            <v>23036.400000000001</v>
          </cell>
          <cell r="M85">
            <v>8.1000000000000016E-2</v>
          </cell>
          <cell r="N85">
            <v>284399.99999999994</v>
          </cell>
          <cell r="P85">
            <v>2559.6000000000004</v>
          </cell>
          <cell r="Q85">
            <v>0</v>
          </cell>
        </row>
        <row r="86">
          <cell r="B86" t="str">
            <v>cd4270</v>
          </cell>
          <cell r="C86" t="str">
            <v>Saint-Elzear QC SWL</v>
          </cell>
          <cell r="D86" t="str">
            <v>QC</v>
          </cell>
          <cell r="E86" t="str">
            <v>Canada</v>
          </cell>
          <cell r="F86">
            <v>0</v>
          </cell>
          <cell r="G86">
            <v>0</v>
          </cell>
          <cell r="H86">
            <v>0</v>
          </cell>
          <cell r="I86">
            <v>8410.3271999999997</v>
          </cell>
          <cell r="J86">
            <v>12615.4908</v>
          </cell>
          <cell r="K86">
            <v>21025.817999999999</v>
          </cell>
          <cell r="M86">
            <v>0.66825000000000001</v>
          </cell>
          <cell r="N86">
            <v>31464</v>
          </cell>
          <cell r="P86">
            <v>0</v>
          </cell>
          <cell r="Q86">
            <v>12615.4908</v>
          </cell>
        </row>
        <row r="87">
          <cell r="B87" t="str">
            <v>cd4367</v>
          </cell>
          <cell r="C87" t="str">
            <v>Fire Training Academy WA</v>
          </cell>
          <cell r="D87" t="str">
            <v>WA</v>
          </cell>
          <cell r="E87" t="str">
            <v>USA</v>
          </cell>
          <cell r="F87">
            <v>1847.75</v>
          </cell>
          <cell r="G87">
            <v>7391</v>
          </cell>
          <cell r="H87">
            <v>3695.5</v>
          </cell>
          <cell r="I87">
            <v>1847.75</v>
          </cell>
          <cell r="J87">
            <v>1847.75</v>
          </cell>
          <cell r="K87">
            <v>16629.75</v>
          </cell>
          <cell r="M87">
            <v>0.47499999999999998</v>
          </cell>
          <cell r="N87">
            <v>35010</v>
          </cell>
          <cell r="P87">
            <v>1847.75</v>
          </cell>
          <cell r="Q87">
            <v>0</v>
          </cell>
        </row>
        <row r="88">
          <cell r="B88" t="str">
            <v>cd4030</v>
          </cell>
          <cell r="C88" t="str">
            <v>La Malbaie QC</v>
          </cell>
          <cell r="D88" t="str">
            <v>QC</v>
          </cell>
          <cell r="E88" t="str">
            <v>Canada</v>
          </cell>
          <cell r="F88">
            <v>0</v>
          </cell>
          <cell r="G88">
            <v>0</v>
          </cell>
          <cell r="H88">
            <v>0</v>
          </cell>
          <cell r="I88">
            <v>6627.9600000000009</v>
          </cell>
          <cell r="J88">
            <v>9941.94</v>
          </cell>
          <cell r="K88">
            <v>16569.900000000001</v>
          </cell>
          <cell r="M88">
            <v>0.85499999999999998</v>
          </cell>
          <cell r="N88">
            <v>19380.000000000004</v>
          </cell>
          <cell r="P88">
            <v>0</v>
          </cell>
          <cell r="Q88">
            <v>9941.94</v>
          </cell>
        </row>
        <row r="89">
          <cell r="B89" t="str">
            <v>cd4416</v>
          </cell>
          <cell r="C89" t="str">
            <v>Chichaoua</v>
          </cell>
          <cell r="D89" t="str">
            <v>Other</v>
          </cell>
          <cell r="E89" t="str">
            <v>USA</v>
          </cell>
          <cell r="F89">
            <v>0</v>
          </cell>
          <cell r="G89">
            <v>0</v>
          </cell>
          <cell r="H89">
            <v>0</v>
          </cell>
          <cell r="I89">
            <v>3216.7000000000003</v>
          </cell>
          <cell r="J89">
            <v>12866.800000000001</v>
          </cell>
          <cell r="K89">
            <v>16083.500000000002</v>
          </cell>
          <cell r="M89">
            <v>0.25</v>
          </cell>
          <cell r="N89">
            <v>64334.000000000007</v>
          </cell>
          <cell r="P89">
            <v>12866.800000000001</v>
          </cell>
          <cell r="Q89">
            <v>0</v>
          </cell>
        </row>
        <row r="90">
          <cell r="B90" t="str">
            <v>cd4233</v>
          </cell>
          <cell r="C90" t="str">
            <v>Murphys CA</v>
          </cell>
          <cell r="D90" t="str">
            <v>CA</v>
          </cell>
          <cell r="E90" t="str">
            <v>USA</v>
          </cell>
          <cell r="F90">
            <v>1686.5516250000001</v>
          </cell>
          <cell r="G90">
            <v>6746.2065000000002</v>
          </cell>
          <cell r="H90">
            <v>3373.1032500000001</v>
          </cell>
          <cell r="I90">
            <v>1686.5516250000001</v>
          </cell>
          <cell r="J90">
            <v>1686.5516250000001</v>
          </cell>
          <cell r="K90">
            <v>15178.964625000001</v>
          </cell>
          <cell r="M90">
            <v>0.21161250000000001</v>
          </cell>
          <cell r="N90">
            <v>71730</v>
          </cell>
          <cell r="P90">
            <v>1686.5516250000001</v>
          </cell>
          <cell r="Q90">
            <v>0</v>
          </cell>
        </row>
        <row r="91">
          <cell r="B91" t="str">
            <v>cd2894</v>
          </cell>
          <cell r="C91" t="str">
            <v>Ville-Marie BP</v>
          </cell>
          <cell r="D91" t="str">
            <v>QC</v>
          </cell>
          <cell r="E91" t="str">
            <v>Canada</v>
          </cell>
          <cell r="F91">
            <v>0</v>
          </cell>
          <cell r="G91">
            <v>0</v>
          </cell>
          <cell r="H91">
            <v>0</v>
          </cell>
          <cell r="I91">
            <v>3002.0760000000005</v>
          </cell>
          <cell r="J91">
            <v>12008.304000000002</v>
          </cell>
          <cell r="K91">
            <v>15010.380000000003</v>
          </cell>
          <cell r="M91">
            <v>9.9000000000000005E-2</v>
          </cell>
          <cell r="N91">
            <v>151620.00000000003</v>
          </cell>
          <cell r="P91">
            <v>0</v>
          </cell>
          <cell r="Q91">
            <v>12008.304000000002</v>
          </cell>
        </row>
        <row r="92">
          <cell r="B92" t="str">
            <v>cd4166</v>
          </cell>
          <cell r="C92" t="str">
            <v>Onion Lake</v>
          </cell>
          <cell r="D92" t="str">
            <v>AB</v>
          </cell>
          <cell r="E92" t="str">
            <v>Canada</v>
          </cell>
          <cell r="F92">
            <v>0</v>
          </cell>
          <cell r="G92">
            <v>0</v>
          </cell>
          <cell r="H92">
            <v>0</v>
          </cell>
          <cell r="I92">
            <v>4765.2</v>
          </cell>
          <cell r="J92">
            <v>7147.8</v>
          </cell>
          <cell r="K92">
            <v>11913</v>
          </cell>
          <cell r="M92">
            <v>0.95</v>
          </cell>
          <cell r="N92">
            <v>12540</v>
          </cell>
          <cell r="P92">
            <v>0</v>
          </cell>
          <cell r="Q92">
            <v>7147.8</v>
          </cell>
        </row>
        <row r="93">
          <cell r="B93" t="str">
            <v>cd3878</v>
          </cell>
          <cell r="C93" t="str">
            <v>Kanab</v>
          </cell>
          <cell r="D93" t="str">
            <v>UT</v>
          </cell>
          <cell r="E93" t="str">
            <v>USA</v>
          </cell>
          <cell r="F93">
            <v>0</v>
          </cell>
          <cell r="G93">
            <v>0</v>
          </cell>
          <cell r="H93">
            <v>0</v>
          </cell>
          <cell r="I93">
            <v>1947.375</v>
          </cell>
          <cell r="J93">
            <v>7789.5</v>
          </cell>
          <cell r="K93">
            <v>9736.875</v>
          </cell>
          <cell r="M93">
            <v>0.16875000000000001</v>
          </cell>
          <cell r="N93">
            <v>57699.999999999993</v>
          </cell>
          <cell r="P93">
            <v>7789.5</v>
          </cell>
          <cell r="Q93">
            <v>0</v>
          </cell>
        </row>
        <row r="94">
          <cell r="B94" t="str">
            <v>cd4420</v>
          </cell>
          <cell r="C94" t="str">
            <v xml:space="preserve">Dallas  OR </v>
          </cell>
          <cell r="D94" t="str">
            <v>OR</v>
          </cell>
          <cell r="E94" t="str">
            <v>USA</v>
          </cell>
          <cell r="F94">
            <v>0</v>
          </cell>
          <cell r="G94">
            <v>0</v>
          </cell>
          <cell r="H94">
            <v>0</v>
          </cell>
          <cell r="I94">
            <v>0</v>
          </cell>
          <cell r="J94">
            <v>7125</v>
          </cell>
          <cell r="K94">
            <v>7125</v>
          </cell>
          <cell r="M94">
            <v>0.23749999999999999</v>
          </cell>
          <cell r="N94">
            <v>30000</v>
          </cell>
          <cell r="P94">
            <v>7125</v>
          </cell>
          <cell r="Q94">
            <v>0</v>
          </cell>
        </row>
        <row r="95">
          <cell r="B95" t="str">
            <v>cd4138</v>
          </cell>
          <cell r="C95" t="str">
            <v>FRC Tyson Foods NY</v>
          </cell>
          <cell r="D95" t="str">
            <v>NY</v>
          </cell>
          <cell r="E95" t="str">
            <v>USA</v>
          </cell>
          <cell r="F95">
            <v>0</v>
          </cell>
          <cell r="G95">
            <v>0</v>
          </cell>
          <cell r="H95">
            <v>1139.9999999999998</v>
          </cell>
          <cell r="I95">
            <v>1139.9999999999998</v>
          </cell>
          <cell r="J95">
            <v>4559.9999999999991</v>
          </cell>
          <cell r="K95">
            <v>6839.9999999999982</v>
          </cell>
          <cell r="M95">
            <v>3.5624999999999997E-2</v>
          </cell>
          <cell r="N95">
            <v>191999.99999999997</v>
          </cell>
          <cell r="P95">
            <v>4559.9999999999991</v>
          </cell>
          <cell r="Q95">
            <v>0</v>
          </cell>
        </row>
        <row r="96">
          <cell r="B96" t="str">
            <v>cd3856</v>
          </cell>
          <cell r="C96" t="str">
            <v>Medora ND SWL</v>
          </cell>
          <cell r="D96" t="str">
            <v>ND</v>
          </cell>
          <cell r="E96" t="str">
            <v>USA</v>
          </cell>
          <cell r="F96">
            <v>0</v>
          </cell>
          <cell r="G96">
            <v>0</v>
          </cell>
          <cell r="H96">
            <v>0</v>
          </cell>
          <cell r="I96">
            <v>839.53125</v>
          </cell>
          <cell r="J96">
            <v>3358.125</v>
          </cell>
          <cell r="K96">
            <v>4197.65625</v>
          </cell>
          <cell r="M96">
            <v>0.2109375</v>
          </cell>
          <cell r="N96">
            <v>19900</v>
          </cell>
          <cell r="P96">
            <v>3358.125</v>
          </cell>
          <cell r="Q96">
            <v>0</v>
          </cell>
        </row>
        <row r="97">
          <cell r="B97" t="str">
            <v>cd4275</v>
          </cell>
          <cell r="C97" t="str">
            <v>Nova Scotia Forest Products Mill</v>
          </cell>
          <cell r="D97" t="str">
            <v>NS</v>
          </cell>
          <cell r="E97" t="str">
            <v>Canada</v>
          </cell>
          <cell r="F97">
            <v>0</v>
          </cell>
          <cell r="G97">
            <v>0</v>
          </cell>
          <cell r="H97">
            <v>0</v>
          </cell>
          <cell r="I97">
            <v>1619.973</v>
          </cell>
          <cell r="J97">
            <v>2429.9594999999999</v>
          </cell>
          <cell r="K97">
            <v>4049.9324999999999</v>
          </cell>
          <cell r="M97">
            <v>3.3750000000000002E-2</v>
          </cell>
          <cell r="N97">
            <v>119997.99999999999</v>
          </cell>
          <cell r="P97">
            <v>0</v>
          </cell>
          <cell r="Q97">
            <v>2429.9594999999999</v>
          </cell>
        </row>
        <row r="98">
          <cell r="B98" t="str">
            <v>cd4295</v>
          </cell>
          <cell r="C98" t="str">
            <v>Chemical Plant El Dorado AR</v>
          </cell>
          <cell r="D98" t="str">
            <v>AR</v>
          </cell>
          <cell r="E98" t="str">
            <v>USA</v>
          </cell>
          <cell r="F98">
            <v>0</v>
          </cell>
          <cell r="G98">
            <v>0</v>
          </cell>
          <cell r="H98">
            <v>0</v>
          </cell>
          <cell r="I98">
            <v>0</v>
          </cell>
          <cell r="J98">
            <v>3247.2900000000004</v>
          </cell>
          <cell r="K98">
            <v>3247.2900000000004</v>
          </cell>
          <cell r="M98">
            <v>0.25650000000000001</v>
          </cell>
          <cell r="N98">
            <v>12660.000000000002</v>
          </cell>
          <cell r="P98">
            <v>3247.2900000000004</v>
          </cell>
          <cell r="Q98">
            <v>0</v>
          </cell>
        </row>
        <row r="99">
          <cell r="B99" t="str">
            <v>cd3968</v>
          </cell>
          <cell r="C99" t="str">
            <v>Farmersville TX</v>
          </cell>
          <cell r="D99" t="str">
            <v>TX</v>
          </cell>
          <cell r="E99" t="str">
            <v>USA</v>
          </cell>
          <cell r="F99">
            <v>0</v>
          </cell>
          <cell r="G99">
            <v>0</v>
          </cell>
          <cell r="H99">
            <v>0</v>
          </cell>
          <cell r="I99">
            <v>0</v>
          </cell>
          <cell r="J99">
            <v>2885.625</v>
          </cell>
          <cell r="K99">
            <v>2885.625</v>
          </cell>
          <cell r="M99">
            <v>0.19237499999999999</v>
          </cell>
          <cell r="N99">
            <v>15000</v>
          </cell>
          <cell r="P99">
            <v>2885.625</v>
          </cell>
          <cell r="Q99">
            <v>0</v>
          </cell>
        </row>
        <row r="100">
          <cell r="B100" t="str">
            <v>cd4239</v>
          </cell>
          <cell r="C100" t="str">
            <v>Wasaga Pines Resort  ON</v>
          </cell>
          <cell r="D100" t="str">
            <v>ON</v>
          </cell>
          <cell r="E100" t="str">
            <v>Canada</v>
          </cell>
          <cell r="F100">
            <v>0</v>
          </cell>
          <cell r="G100">
            <v>0</v>
          </cell>
          <cell r="H100">
            <v>0</v>
          </cell>
          <cell r="I100">
            <v>0</v>
          </cell>
          <cell r="J100">
            <v>1932.3427499999998</v>
          </cell>
          <cell r="K100">
            <v>1932.3427499999998</v>
          </cell>
          <cell r="M100">
            <v>0.1603125</v>
          </cell>
          <cell r="N100">
            <v>12053.599999999999</v>
          </cell>
          <cell r="P100">
            <v>0</v>
          </cell>
          <cell r="Q100">
            <v>1932.3427499999998</v>
          </cell>
        </row>
        <row r="101">
          <cell r="B101" t="str">
            <v>cd4183</v>
          </cell>
          <cell r="C101" t="str">
            <v>Cedar Hills Subdivision MO SWL</v>
          </cell>
          <cell r="D101" t="str">
            <v>MO</v>
          </cell>
          <cell r="E101" t="str">
            <v>USA</v>
          </cell>
          <cell r="F101">
            <v>0</v>
          </cell>
          <cell r="G101">
            <v>0</v>
          </cell>
          <cell r="H101">
            <v>0</v>
          </cell>
          <cell r="I101">
            <v>259.6875</v>
          </cell>
          <cell r="J101">
            <v>1038.75</v>
          </cell>
          <cell r="K101">
            <v>1298.4375</v>
          </cell>
          <cell r="M101">
            <v>9.375E-2</v>
          </cell>
          <cell r="N101">
            <v>13850</v>
          </cell>
          <cell r="P101">
            <v>1038.75</v>
          </cell>
          <cell r="Q101">
            <v>0</v>
          </cell>
        </row>
        <row r="102">
          <cell r="B102" t="str">
            <v>cd3763</v>
          </cell>
          <cell r="C102" t="str">
            <v>Sky Ranch, CO DF</v>
          </cell>
          <cell r="D102" t="str">
            <v>CO</v>
          </cell>
          <cell r="E102" t="str">
            <v>USA</v>
          </cell>
          <cell r="F102">
            <v>0</v>
          </cell>
          <cell r="G102">
            <v>0</v>
          </cell>
          <cell r="H102">
            <v>0</v>
          </cell>
          <cell r="I102">
            <v>0</v>
          </cell>
          <cell r="J102">
            <v>552.82500000000016</v>
          </cell>
          <cell r="K102">
            <v>552.82500000000016</v>
          </cell>
          <cell r="M102">
            <v>6.0750000000000005E-2</v>
          </cell>
          <cell r="N102">
            <v>9100.0000000000018</v>
          </cell>
          <cell r="P102">
            <v>552.82500000000016</v>
          </cell>
          <cell r="Q102">
            <v>0</v>
          </cell>
        </row>
        <row r="103">
          <cell r="B103" t="str">
            <v>cd4258</v>
          </cell>
          <cell r="C103" t="str">
            <v>South Plant  Albany NY</v>
          </cell>
          <cell r="D103" t="str">
            <v>NY</v>
          </cell>
          <cell r="E103" t="str">
            <v>USA</v>
          </cell>
          <cell r="F103">
            <v>0</v>
          </cell>
          <cell r="G103">
            <v>0</v>
          </cell>
          <cell r="H103">
            <v>0</v>
          </cell>
          <cell r="I103">
            <v>0</v>
          </cell>
          <cell r="J103">
            <v>268.04250000000002</v>
          </cell>
          <cell r="K103">
            <v>268.04250000000002</v>
          </cell>
          <cell r="M103">
            <v>4.2750000000000003E-2</v>
          </cell>
          <cell r="N103">
            <v>6270</v>
          </cell>
          <cell r="P103">
            <v>268.04250000000002</v>
          </cell>
          <cell r="Q103">
            <v>0</v>
          </cell>
        </row>
        <row r="104">
          <cell r="B104" t="str">
            <v>cd3578</v>
          </cell>
          <cell r="C104" t="str">
            <v>College Station TX DF</v>
          </cell>
          <cell r="D104" t="str">
            <v>TX</v>
          </cell>
          <cell r="E104" t="str">
            <v>USA</v>
          </cell>
          <cell r="F104">
            <v>0</v>
          </cell>
          <cell r="G104">
            <v>0</v>
          </cell>
          <cell r="H104">
            <v>0</v>
          </cell>
          <cell r="I104">
            <v>0</v>
          </cell>
          <cell r="J104">
            <v>174.20625000000001</v>
          </cell>
          <cell r="K104">
            <v>174.20625000000001</v>
          </cell>
          <cell r="M104">
            <v>4.2750000000000002E-3</v>
          </cell>
          <cell r="N104">
            <v>40750</v>
          </cell>
          <cell r="P104">
            <v>174.20625000000001</v>
          </cell>
          <cell r="Q104">
            <v>0</v>
          </cell>
        </row>
        <row r="105">
          <cell r="F105">
            <v>79908.901624999999</v>
          </cell>
          <cell r="G105">
            <v>189280.40649999998</v>
          </cell>
          <cell r="H105">
            <v>212949.40325000003</v>
          </cell>
          <cell r="I105">
            <v>1441936.6775749999</v>
          </cell>
          <cell r="J105">
            <v>3807240.558925</v>
          </cell>
          <cell r="K105">
            <v>5731315.9478749996</v>
          </cell>
          <cell r="N105">
            <v>7810601.5999999996</v>
          </cell>
          <cell r="P105">
            <v>3173320.8053750009</v>
          </cell>
          <cell r="Q105">
            <v>633919.75355000002</v>
          </cell>
        </row>
        <row r="106">
          <cell r="P106">
            <v>0.83349627013613492</v>
          </cell>
        </row>
        <row r="107">
          <cell r="B107" t="str">
            <v>Iowa</v>
          </cell>
          <cell r="D107" t="str">
            <v>IA</v>
          </cell>
          <cell r="F107">
            <v>0</v>
          </cell>
          <cell r="G107">
            <v>0</v>
          </cell>
          <cell r="H107">
            <v>0</v>
          </cell>
          <cell r="I107">
            <v>565014.78</v>
          </cell>
          <cell r="J107">
            <v>2260059.12</v>
          </cell>
          <cell r="K107">
            <v>2825073.9</v>
          </cell>
          <cell r="M107">
            <v>0.9405</v>
          </cell>
          <cell r="N107">
            <v>3003800</v>
          </cell>
        </row>
        <row r="108">
          <cell r="B108" t="str">
            <v>Wisconsin</v>
          </cell>
          <cell r="D108" t="str">
            <v>WI</v>
          </cell>
          <cell r="F108">
            <v>18057.600000000002</v>
          </cell>
          <cell r="G108">
            <v>96835.400000000009</v>
          </cell>
          <cell r="H108">
            <v>96835.400000000009</v>
          </cell>
          <cell r="I108">
            <v>214897.6</v>
          </cell>
          <cell r="J108">
            <v>116477.6</v>
          </cell>
          <cell r="K108">
            <v>580803.4</v>
          </cell>
          <cell r="M108">
            <v>0.94732245963138151</v>
          </cell>
          <cell r="N108">
            <v>613100</v>
          </cell>
        </row>
        <row r="109">
          <cell r="B109" t="str">
            <v>Manitoba</v>
          </cell>
          <cell r="D109" t="str">
            <v>MB</v>
          </cell>
          <cell r="F109">
            <v>0</v>
          </cell>
          <cell r="G109">
            <v>0</v>
          </cell>
          <cell r="H109">
            <v>0</v>
          </cell>
          <cell r="I109">
            <v>113292.288</v>
          </cell>
          <cell r="J109">
            <v>199720.932</v>
          </cell>
          <cell r="K109">
            <v>313013.21999999997</v>
          </cell>
          <cell r="M109">
            <v>0.79279980750721846</v>
          </cell>
          <cell r="N109">
            <v>394820</v>
          </cell>
        </row>
        <row r="110">
          <cell r="B110" t="str">
            <v>Saskatchewan</v>
          </cell>
          <cell r="D110" t="str">
            <v>SK</v>
          </cell>
          <cell r="F110">
            <v>52128.4</v>
          </cell>
          <cell r="G110">
            <v>52128.4</v>
          </cell>
          <cell r="H110">
            <v>52128.4</v>
          </cell>
          <cell r="I110">
            <v>213557.13099999999</v>
          </cell>
          <cell r="J110">
            <v>229110.99650000001</v>
          </cell>
          <cell r="K110">
            <v>599053.32750000001</v>
          </cell>
          <cell r="M110">
            <v>0.94667835159885905</v>
          </cell>
          <cell r="N110">
            <v>632795</v>
          </cell>
        </row>
        <row r="111">
          <cell r="K111">
            <v>0.75339483755052161</v>
          </cell>
        </row>
        <row r="112">
          <cell r="B112" t="str">
            <v>Projected bookings with MANC &gt;93%</v>
          </cell>
          <cell r="F112">
            <v>70186</v>
          </cell>
          <cell r="G112">
            <v>148963.79999999999</v>
          </cell>
          <cell r="H112">
            <v>186663.6</v>
          </cell>
          <cell r="I112">
            <v>1156616.1149999998</v>
          </cell>
          <cell r="J112">
            <v>3092624.6225000005</v>
          </cell>
          <cell r="K112">
            <v>4655054.1375000002</v>
          </cell>
        </row>
        <row r="113">
          <cell r="K113">
            <v>0.8122138405623851</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46.xml><?xml version="1.0" encoding="utf-8"?>
<externalLink xmlns="http://schemas.openxmlformats.org/spreadsheetml/2006/main">
  <externalBook xmlns:r="http://schemas.openxmlformats.org/officeDocument/2006/relationships" r:id="rId1">
    <sheetNames>
      <sheetName val="Real-time fund metric dashboard"/>
      <sheetName val="Nexus LPAC"/>
      <sheetName val="Fund II Capital summary"/>
      <sheetName val="Real-time analytics dashboard"/>
      <sheetName val="Portfolio Summary &amp; Data"/>
      <sheetName val="PB_CACHE"/>
      <sheetName val="Reserve Analysis"/>
      <sheetName val="Real-time valuation dashboard"/>
      <sheetName val="Value Creation Dec18-Jun19 LPAC"/>
      <sheetName val="Value Creation (Jun 19 LPAC)"/>
      <sheetName val="Value Creation Summary"/>
      <sheetName val="Carry Interest --&gt;"/>
      <sheetName val="IRR calc"/>
      <sheetName val="QC Q4 (US)"/>
      <sheetName val="QC Q4 (CAD)"/>
      <sheetName val="IRR calc --&gt;"/>
      <sheetName val="Net IRR"/>
      <sheetName val="Net IRR by Fund"/>
      <sheetName val="Gross IRR (Options)"/>
      <sheetName val="Nexom Publics back-up"/>
      <sheetName val="Gross IRR by PC"/>
      <sheetName val="Lastest Cap Call #15"/>
      <sheetName val="Public Company Data -&gt;"/>
      <sheetName val="LTM Actuals (PC tool)"/>
      <sheetName val="Total Fund II Attribution -&gt;"/>
      <sheetName val="Total Fund II Attribution"/>
      <sheetName val="Nexom -&gt;"/>
      <sheetName val="Nexom LPAC"/>
      <sheetName val="Nexom Attr Summary"/>
      <sheetName val="Nexom V.S."/>
      <sheetName val="Nexom "/>
      <sheetName val="Nexom Fin."/>
      <sheetName val="Funds Flow"/>
      <sheetName val="Waterfall - Total Proceeds"/>
      <sheetName val="Nexom - Sensitivity"/>
      <sheetName val="Luminultra -&gt;"/>
      <sheetName val="Luminultra LPAC"/>
      <sheetName val="Luminultra V.S."/>
      <sheetName val="Luminultra Attr Summary"/>
      <sheetName val="Luminultra"/>
      <sheetName val="Luminultra Fin."/>
      <sheetName val="Luminultra Share Cap"/>
      <sheetName val="Luminultra Pref Sh"/>
      <sheetName val="Shenandoah -&gt;"/>
      <sheetName val="Shenandoah LPAC"/>
      <sheetName val="Shenandoah V.S."/>
      <sheetName val="Shenandoah Attr Summary"/>
      <sheetName val="Shenandoah "/>
      <sheetName val="Shenandoah Fin."/>
      <sheetName val="Model (S)"/>
      <sheetName val="Control Panel (S)"/>
      <sheetName val="Waterfall Cap Table (S)"/>
      <sheetName val="Waterfall Cap Table (clos date)"/>
      <sheetName val="Preferred B Interest (S)"/>
      <sheetName val="Preferred D Interest (S)"/>
      <sheetName val="Inital SG Promissory Note (S)"/>
      <sheetName val="Shenandoah Share Cap"/>
      <sheetName val="Shenandoah Bridge Note"/>
      <sheetName val="SmartCover --&gt;"/>
      <sheetName val="SmartCover LPAC"/>
      <sheetName val="SmartCover Attr Summary"/>
      <sheetName val="SmartCover V.S."/>
      <sheetName val="SmartCover"/>
      <sheetName val="SmartCover Fin"/>
      <sheetName val="SmartCover ShareCap"/>
      <sheetName val="Aquatic --&gt;"/>
      <sheetName val="Aquatic LPAC"/>
      <sheetName val="Aquatic V.S. (2)"/>
      <sheetName val="Aquatic Attr Summary"/>
      <sheetName val="Aquatic V.S."/>
      <sheetName val="Aquatic"/>
      <sheetName val="AI Waterfall"/>
      <sheetName val="Detailed Cap Table 12.31.2019"/>
      <sheetName val="Options Model"/>
      <sheetName val="BS - AI Cons incl. TKY"/>
      <sheetName val="Aquatic Fin"/>
      <sheetName val="EOSi --&gt;"/>
      <sheetName val="EOSi LPAC"/>
      <sheetName val="EOSi V.S."/>
      <sheetName val="EOSi Attr Summary"/>
      <sheetName val="EOSi Fin"/>
      <sheetName val="EOSi"/>
      <sheetName val="EOSi Old Share Cap"/>
      <sheetName val="EOSi (new) share cap"/>
      <sheetName val="EOSi waterfall"/>
      <sheetName val="Nexus--&gt;"/>
      <sheetName val="Nexus Attr Sum"/>
      <sheetName val="Nexus Cap Table"/>
      <sheetName val="Nexus"/>
      <sheetName val="Isle --&gt;"/>
      <sheetName val="Isle LPAC"/>
      <sheetName val="Isle attribution"/>
      <sheetName val="Isle V.S."/>
      <sheetName val="Isle"/>
      <sheetName val="Isle Fin"/>
      <sheetName val="Isle Share Cap"/>
      <sheetName val="Mobiltex --&gt;"/>
      <sheetName val="Mobiltex LPAC"/>
      <sheetName val="Mobiltex Attr Summary"/>
      <sheetName val="Mobiltex V.S. (Cost)"/>
      <sheetName val="Mobiltex V.S."/>
      <sheetName val="Mobiltex Fin"/>
      <sheetName val="Mobiltex"/>
      <sheetName val="Mobiltex Share Cap"/>
      <sheetName val="Metasphere --&gt;"/>
      <sheetName val="Metasphere LPAC"/>
      <sheetName val="Metasphere V.S."/>
      <sheetName val="Metasphere"/>
      <sheetName val="Metasphere Fin"/>
      <sheetName val="Metasphere Share Cap"/>
      <sheetName val="Metasphere Attr Summary"/>
      <sheetName val="Atlas-SSI --&gt;"/>
      <sheetName val="Atlas-SSI LPAC"/>
      <sheetName val="Atlas-SSI V.S."/>
      <sheetName val="Atlas-SSI"/>
      <sheetName val="Atlas-SSI Fin"/>
      <sheetName val="Atlas-SSI Share Cap"/>
      <sheetName val="Atlas-SSI Attr Sum"/>
      <sheetName val="HP --&gt;"/>
      <sheetName val="Holland Pump LPAC"/>
      <sheetName val="HP V.S."/>
      <sheetName val="Holland Pump"/>
      <sheetName val="HP Fin"/>
      <sheetName val="HP Share Cap"/>
      <sheetName val="HP Attr Summary"/>
      <sheetName val="Metron --&gt;"/>
      <sheetName val="Metron Farnier LPAC"/>
      <sheetName val="MF V.S."/>
      <sheetName val="Metron Farnier"/>
      <sheetName val="MF Fin"/>
      <sheetName val="Metron Share Cap"/>
      <sheetName val="Metron Farnier Attr Sum"/>
      <sheetName val="FX tab"/>
      <sheetName val="Instructions"/>
    </sheetNames>
    <sheetDataSet>
      <sheetData sheetId="0"/>
      <sheetData sheetId="1"/>
      <sheetData sheetId="2"/>
      <sheetData sheetId="3">
        <row r="1">
          <cell r="C1">
            <v>43830</v>
          </cell>
        </row>
      </sheetData>
      <sheetData sheetId="4"/>
      <sheetData sheetId="5"/>
      <sheetData sheetId="6"/>
      <sheetData sheetId="7">
        <row r="1">
          <cell r="C1">
            <v>43830</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3">
          <cell r="M3">
            <v>1.2988</v>
          </cell>
        </row>
      </sheetData>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4">
          <cell r="B4">
            <v>44592</v>
          </cell>
        </row>
      </sheetData>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ow r="7">
          <cell r="I7">
            <v>4304663.7752956338</v>
          </cell>
        </row>
      </sheetData>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ow r="25">
          <cell r="H25">
            <v>9239769.4416271746</v>
          </cell>
        </row>
      </sheetData>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ow r="3">
          <cell r="C3" t="str">
            <v>CAD/USD</v>
          </cell>
        </row>
      </sheetData>
      <sheetData sheetId="133"/>
    </sheetDataSet>
  </externalBook>
</externalLink>
</file>

<file path=xl/externalLinks/externalLink47.xml><?xml version="1.0" encoding="utf-8"?>
<externalLink xmlns="http://schemas.openxmlformats.org/spreadsheetml/2006/main">
  <externalBook xmlns:r="http://schemas.openxmlformats.org/officeDocument/2006/relationships" r:id="rId1">
    <sheetNames>
      <sheetName val="PB_CACHE"/>
      <sheetName val="Soli - Cap Table"/>
      <sheetName val="Soli - Waterfall"/>
      <sheetName val="Cap Table"/>
      <sheetName val="Share Cap Table"/>
      <sheetName val="Legal Summary"/>
      <sheetName val="PB_CACHE_JS"/>
    </sheetNames>
    <sheetDataSet>
      <sheetData sheetId="0"/>
      <sheetData sheetId="1"/>
      <sheetData sheetId="2"/>
      <sheetData sheetId="3"/>
      <sheetData sheetId="4"/>
      <sheetData sheetId="5"/>
      <sheetData sheetId="6"/>
    </sheetDataSet>
  </externalBook>
</externalLink>
</file>

<file path=xl/externalLinks/externalLink48.xml><?xml version="1.0" encoding="utf-8"?>
<externalLink xmlns="http://schemas.openxmlformats.org/spreadsheetml/2006/main">
  <externalBook xmlns:r="http://schemas.openxmlformats.org/officeDocument/2006/relationships" r:id="rId1">
    <sheetNames>
      <sheetName val="Cover"/>
      <sheetName val="Output"/>
      <sheetName val="Summary - Investment Overview"/>
      <sheetName val="PB_CACHE"/>
      <sheetName val="Value Creation Attribution"/>
      <sheetName val="Term Sheet Approval Outputs"/>
      <sheetName val="Capitalization Table"/>
      <sheetName val="Combination Model"/>
      <sheetName val="AWWT"/>
      <sheetName val="Bolt-on #1"/>
      <sheetName val="Bolt-on #2"/>
      <sheetName val="Bolt-on #3"/>
      <sheetName val="Bolt-on #4"/>
      <sheetName val="Raw Data&gt;"/>
      <sheetName val="2018 YTD and Outlook"/>
      <sheetName val="Balance Sheets"/>
      <sheetName val="Profit Loss"/>
      <sheetName val="Financial Summary&gt;"/>
      <sheetName val="Overview "/>
      <sheetName val="Financial Summary - IS Mapping"/>
      <sheetName val="Financial Summary - BS Mapping"/>
    </sheetNames>
    <sheetDataSet>
      <sheetData sheetId="0"/>
      <sheetData sheetId="1"/>
      <sheetData sheetId="2"/>
      <sheetData sheetId="3"/>
      <sheetData sheetId="4"/>
      <sheetData sheetId="5"/>
      <sheetData sheetId="6"/>
      <sheetData sheetId="7">
        <row r="177">
          <cell r="G177">
            <v>1</v>
          </cell>
        </row>
      </sheetData>
      <sheetData sheetId="8">
        <row r="8">
          <cell r="W8">
            <v>1</v>
          </cell>
        </row>
      </sheetData>
      <sheetData sheetId="9"/>
      <sheetData sheetId="10"/>
      <sheetData sheetId="11">
        <row r="7">
          <cell r="R7">
            <v>1</v>
          </cell>
        </row>
      </sheetData>
      <sheetData sheetId="12"/>
      <sheetData sheetId="13"/>
      <sheetData sheetId="14"/>
      <sheetData sheetId="15"/>
      <sheetData sheetId="16"/>
      <sheetData sheetId="17"/>
      <sheetData sheetId="18"/>
      <sheetData sheetId="19"/>
      <sheetData sheetId="20"/>
    </sheetDataSet>
  </externalBook>
</externalLink>
</file>

<file path=xl/externalLinks/externalLink49.xml><?xml version="1.0" encoding="utf-8"?>
<externalLink xmlns="http://schemas.openxmlformats.org/spreadsheetml/2006/main">
  <externalBook xmlns:r="http://schemas.openxmlformats.org/officeDocument/2006/relationships" r:id="rId1">
    <sheetNames>
      <sheetName val="Output (v5)"/>
      <sheetName val="Output (v4)"/>
      <sheetName val="Output (v2)"/>
      <sheetName val="Output (v3)"/>
      <sheetName val="Output"/>
      <sheetName val="From Company&gt;"/>
      <sheetName val="Summary"/>
      <sheetName val="Budget Bookings"/>
      <sheetName val="Bookings"/>
      <sheetName val="Jan19 Revenue"/>
      <sheetName val="Feb19 Revenue"/>
      <sheetName val="Mar19 Revenue"/>
      <sheetName val="Apr19 Revenue"/>
      <sheetName val="May19 Revenue"/>
      <sheetName val="FX"/>
    </sheetNames>
    <sheetDataSet>
      <sheetData sheetId="0">
        <row r="2">
          <cell r="M2" t="e">
            <v>#REF!</v>
          </cell>
        </row>
        <row r="3">
          <cell r="M3" t="e">
            <v>#REF!</v>
          </cell>
          <cell r="N3" t="str">
            <v>% Backlog converted to Revenue in Current year</v>
          </cell>
        </row>
        <row r="4">
          <cell r="C4" t="str">
            <v>YTD May-19A</v>
          </cell>
          <cell r="D4" t="str">
            <v>2019F</v>
          </cell>
          <cell r="E4"/>
          <cell r="F4"/>
        </row>
        <row r="5">
          <cell r="B5" t="str">
            <v>Revenue</v>
          </cell>
          <cell r="C5">
            <v>5.7</v>
          </cell>
          <cell r="D5">
            <v>5.7</v>
          </cell>
          <cell r="E5"/>
        </row>
        <row r="6">
          <cell r="B6" t="str">
            <v>Revenue from Backlog</v>
          </cell>
          <cell r="C6"/>
          <cell r="D6">
            <v>10.396955</v>
          </cell>
          <cell r="E6"/>
        </row>
        <row r="7">
          <cell r="B7" t="str">
            <v>Revenue from Pending Backlog</v>
          </cell>
          <cell r="C7"/>
          <cell r="D7">
            <v>4.5580210000000001</v>
          </cell>
          <cell r="E7"/>
        </row>
        <row r="8">
          <cell r="B8" t="str">
            <v>Revenue from Projected Bookings</v>
          </cell>
          <cell r="C8"/>
          <cell r="D8">
            <v>5.7313159999999996</v>
          </cell>
          <cell r="E8"/>
        </row>
        <row r="9">
          <cell r="C9"/>
          <cell r="D9">
            <v>26.386292000000001</v>
          </cell>
          <cell r="E9"/>
        </row>
        <row r="35">
          <cell r="M35"/>
        </row>
        <row r="38">
          <cell r="B38" t="str">
            <v>June 24th</v>
          </cell>
          <cell r="C38"/>
          <cell r="D38" t="str">
            <v>June</v>
          </cell>
          <cell r="E38" t="str">
            <v>July</v>
          </cell>
          <cell r="F38" t="str">
            <v>August</v>
          </cell>
          <cell r="G38" t="str">
            <v>September</v>
          </cell>
          <cell r="H38" t="str">
            <v>October</v>
          </cell>
          <cell r="I38" t="str">
            <v>November</v>
          </cell>
          <cell r="J38" t="str">
            <v>December</v>
          </cell>
        </row>
        <row r="39">
          <cell r="B39" t="str">
            <v>revenue from backlog</v>
          </cell>
          <cell r="C39">
            <v>5715026</v>
          </cell>
          <cell r="D39">
            <v>1498157</v>
          </cell>
          <cell r="E39">
            <v>1666002</v>
          </cell>
          <cell r="F39">
            <v>2268825</v>
          </cell>
          <cell r="G39">
            <v>1772416</v>
          </cell>
          <cell r="H39">
            <v>1206630</v>
          </cell>
          <cell r="I39">
            <v>1208550</v>
          </cell>
          <cell r="J39">
            <v>776375</v>
          </cell>
          <cell r="M39">
            <v>16111981</v>
          </cell>
        </row>
        <row r="40">
          <cell r="B40" t="str">
            <v>Revenue from pending backlog</v>
          </cell>
          <cell r="D40"/>
          <cell r="E40">
            <v>140646</v>
          </cell>
          <cell r="F40">
            <v>728034</v>
          </cell>
          <cell r="G40">
            <v>1071069</v>
          </cell>
          <cell r="H40">
            <v>1360100</v>
          </cell>
          <cell r="I40">
            <v>773689</v>
          </cell>
          <cell r="J40">
            <v>484483</v>
          </cell>
          <cell r="M40">
            <v>4558021</v>
          </cell>
        </row>
        <row r="41">
          <cell r="B41" t="str">
            <v>Revenue from projected bookings</v>
          </cell>
          <cell r="D41"/>
          <cell r="E41"/>
          <cell r="F41">
            <v>79909</v>
          </cell>
          <cell r="G41">
            <v>189280</v>
          </cell>
          <cell r="H41">
            <v>212949</v>
          </cell>
          <cell r="I41">
            <v>1441937</v>
          </cell>
          <cell r="J41">
            <v>3807241</v>
          </cell>
          <cell r="M41">
            <v>5731316</v>
          </cell>
        </row>
        <row r="42">
          <cell r="B42" t="str">
            <v>total revenue</v>
          </cell>
          <cell r="C42">
            <v>5715026</v>
          </cell>
          <cell r="D42">
            <v>1498157</v>
          </cell>
          <cell r="E42">
            <v>1806648</v>
          </cell>
          <cell r="F42">
            <v>3076768</v>
          </cell>
          <cell r="G42">
            <v>3032765</v>
          </cell>
          <cell r="H42">
            <v>2779679</v>
          </cell>
          <cell r="I42">
            <v>3424176</v>
          </cell>
          <cell r="J42">
            <v>5068099</v>
          </cell>
          <cell r="M42">
            <v>26401318</v>
          </cell>
        </row>
        <row r="43">
          <cell r="M43"/>
          <cell r="N43"/>
        </row>
        <row r="44">
          <cell r="B44" t="str">
            <v>Revenue from Canadian market (supply and install)</v>
          </cell>
          <cell r="D44">
            <v>1379766.4513823353</v>
          </cell>
          <cell r="E44">
            <v>1353690.9466814825</v>
          </cell>
          <cell r="F44">
            <v>1809081.2770722222</v>
          </cell>
          <cell r="G44">
            <v>1505156.9870674282</v>
          </cell>
          <cell r="H44">
            <v>1226890.453976067</v>
          </cell>
          <cell r="I44">
            <v>981619.41572326561</v>
          </cell>
          <cell r="J44">
            <v>843767.41833468527</v>
          </cell>
          <cell r="K44">
            <v>0.17339189960786372</v>
          </cell>
        </row>
        <row r="45">
          <cell r="B45" t="str">
            <v>Revenue from US market (supply only)</v>
          </cell>
          <cell r="D45">
            <v>118390.63099999999</v>
          </cell>
          <cell r="E45">
            <v>452956.90900000004</v>
          </cell>
          <cell r="F45">
            <v>1267686.2491249999</v>
          </cell>
          <cell r="G45">
            <v>1527608.4237000002</v>
          </cell>
          <cell r="H45">
            <v>1552789.3032499999</v>
          </cell>
          <cell r="I45">
            <v>2184956.5403750003</v>
          </cell>
          <cell r="J45">
            <v>4022477.3153750002</v>
          </cell>
          <cell r="K45">
            <v>0.82660810039213628</v>
          </cell>
          <cell r="N45" t="str">
            <v>Supply only reduces weather delay risks</v>
          </cell>
        </row>
        <row r="46">
          <cell r="D46">
            <v>1498157.0823823353</v>
          </cell>
          <cell r="E46">
            <v>1806647.8556814825</v>
          </cell>
          <cell r="F46">
            <v>3076767.5261972221</v>
          </cell>
          <cell r="G46">
            <v>3032765.4107674286</v>
          </cell>
          <cell r="H46">
            <v>2779679.7572260667</v>
          </cell>
          <cell r="I46">
            <v>3166575.9560982659</v>
          </cell>
          <cell r="J46">
            <v>4866244.7337096855</v>
          </cell>
        </row>
        <row r="48">
          <cell r="B48" t="str">
            <v>Absolute revenue forecast (no MANC factor)</v>
          </cell>
          <cell r="C48">
            <v>5715026</v>
          </cell>
          <cell r="D48">
            <v>1498157</v>
          </cell>
          <cell r="E48">
            <v>1808068.5236814828</v>
          </cell>
          <cell r="F48">
            <v>3142739.9565722216</v>
          </cell>
          <cell r="G48">
            <v>3263282.0402674288</v>
          </cell>
          <cell r="H48">
            <v>2973475.4859760674</v>
          </cell>
          <cell r="I48">
            <v>3619108.8225232651</v>
          </cell>
          <cell r="J48">
            <v>6067937.0827846853</v>
          </cell>
          <cell r="K48"/>
          <cell r="L48"/>
          <cell r="M48">
            <v>28087794.911805153</v>
          </cell>
          <cell r="O48">
            <v>6.3878512118415998E-2</v>
          </cell>
        </row>
        <row r="49">
          <cell r="D49">
            <v>1</v>
          </cell>
          <cell r="E49">
            <v>0.99921434189972491</v>
          </cell>
          <cell r="F49">
            <v>0.97900814019490912</v>
          </cell>
          <cell r="G49">
            <v>0.92936036866475147</v>
          </cell>
          <cell r="H49">
            <v>0.93482492561647867</v>
          </cell>
          <cell r="I49">
            <v>0.94613789413843685</v>
          </cell>
          <cell r="J49">
            <v>0.83522603000922324</v>
          </cell>
        </row>
        <row r="51">
          <cell r="C51" t="str">
            <v xml:space="preserve">Revenue from projected bookings </v>
          </cell>
          <cell r="D51"/>
          <cell r="E51"/>
          <cell r="F51"/>
          <cell r="G51"/>
          <cell r="H51"/>
          <cell r="I51"/>
          <cell r="J51"/>
          <cell r="K51"/>
        </row>
        <row r="52">
          <cell r="K52" t="str">
            <v>total</v>
          </cell>
          <cell r="M52" t="str">
            <v>MANC</v>
          </cell>
        </row>
        <row r="53">
          <cell r="B53" t="str">
            <v>cd3912</v>
          </cell>
          <cell r="C53" t="str">
            <v xml:space="preserve">Tipton IA </v>
          </cell>
          <cell r="D53" t="str">
            <v>IA</v>
          </cell>
          <cell r="E53" t="str">
            <v>USA</v>
          </cell>
          <cell r="F53">
            <v>0</v>
          </cell>
          <cell r="G53">
            <v>0</v>
          </cell>
          <cell r="H53">
            <v>0</v>
          </cell>
          <cell r="I53">
            <v>112577.85</v>
          </cell>
          <cell r="J53">
            <v>450311.4</v>
          </cell>
          <cell r="K53">
            <v>562889.25</v>
          </cell>
          <cell r="M53">
            <v>0.9405</v>
          </cell>
          <cell r="N53">
            <v>598500</v>
          </cell>
          <cell r="P53">
            <v>450311.4</v>
          </cell>
          <cell r="Q53">
            <v>0</v>
          </cell>
          <cell r="S53">
            <v>0.11827763258730058</v>
          </cell>
        </row>
        <row r="54">
          <cell r="B54" t="str">
            <v>cd4001</v>
          </cell>
          <cell r="C54" t="str">
            <v>Bloomer, WI</v>
          </cell>
          <cell r="D54" t="str">
            <v>WI</v>
          </cell>
          <cell r="E54" t="str">
            <v>USA</v>
          </cell>
          <cell r="F54">
            <v>0</v>
          </cell>
          <cell r="G54">
            <v>24605</v>
          </cell>
          <cell r="H54">
            <v>98420</v>
          </cell>
          <cell r="I54">
            <v>196840</v>
          </cell>
          <cell r="J54">
            <v>98420</v>
          </cell>
          <cell r="K54">
            <v>418285</v>
          </cell>
          <cell r="M54">
            <v>0.95</v>
          </cell>
          <cell r="N54">
            <v>440300</v>
          </cell>
          <cell r="P54">
            <v>98420</v>
          </cell>
          <cell r="Q54">
            <v>0</v>
          </cell>
        </row>
        <row r="55">
          <cell r="B55" t="str">
            <v>cd1806</v>
          </cell>
          <cell r="C55" t="str">
            <v>Battleford OPTAER SK SWL</v>
          </cell>
          <cell r="D55" t="str">
            <v>SK</v>
          </cell>
          <cell r="E55" t="str">
            <v>Canada</v>
          </cell>
          <cell r="F55">
            <v>52128.4</v>
          </cell>
          <cell r="G55">
            <v>52128.4</v>
          </cell>
          <cell r="H55">
            <v>52128.4</v>
          </cell>
          <cell r="I55">
            <v>130321</v>
          </cell>
          <cell r="J55">
            <v>104256.8</v>
          </cell>
          <cell r="K55">
            <v>390963</v>
          </cell>
          <cell r="M55">
            <v>0.95</v>
          </cell>
          <cell r="N55">
            <v>411540</v>
          </cell>
          <cell r="P55">
            <v>0</v>
          </cell>
          <cell r="Q55">
            <v>104256.8</v>
          </cell>
        </row>
        <row r="56">
          <cell r="B56" t="str">
            <v>cd2874</v>
          </cell>
          <cell r="C56" t="str">
            <v>Absarokee</v>
          </cell>
          <cell r="D56" t="str">
            <v>MT</v>
          </cell>
          <cell r="E56" t="str">
            <v>USA</v>
          </cell>
          <cell r="F56">
            <v>0</v>
          </cell>
          <cell r="G56">
            <v>0</v>
          </cell>
          <cell r="H56">
            <v>0</v>
          </cell>
          <cell r="I56">
            <v>69064</v>
          </cell>
          <cell r="J56">
            <v>276256</v>
          </cell>
          <cell r="K56">
            <v>345320</v>
          </cell>
          <cell r="M56">
            <v>0.97</v>
          </cell>
          <cell r="N56">
            <v>356000</v>
          </cell>
          <cell r="P56">
            <v>276256</v>
          </cell>
          <cell r="Q56">
            <v>0</v>
          </cell>
        </row>
        <row r="57">
          <cell r="B57" t="str">
            <v>cd1590</v>
          </cell>
          <cell r="C57" t="str">
            <v>Dallas Center IA</v>
          </cell>
          <cell r="D57" t="str">
            <v>IA</v>
          </cell>
          <cell r="E57" t="str">
            <v>USA</v>
          </cell>
          <cell r="F57">
            <v>0</v>
          </cell>
          <cell r="G57">
            <v>0</v>
          </cell>
          <cell r="H57">
            <v>0</v>
          </cell>
          <cell r="I57">
            <v>62355.15</v>
          </cell>
          <cell r="J57">
            <v>249420.6</v>
          </cell>
          <cell r="K57">
            <v>311775.75</v>
          </cell>
          <cell r="M57">
            <v>0.9405</v>
          </cell>
          <cell r="N57">
            <v>331500</v>
          </cell>
          <cell r="P57">
            <v>249420.6</v>
          </cell>
          <cell r="Q57">
            <v>0</v>
          </cell>
        </row>
        <row r="58">
          <cell r="B58" t="str">
            <v>cd1732</v>
          </cell>
          <cell r="C58" t="str">
            <v>Sigourney, IA</v>
          </cell>
          <cell r="D58" t="str">
            <v>IA</v>
          </cell>
          <cell r="E58" t="str">
            <v>USA</v>
          </cell>
          <cell r="F58">
            <v>0</v>
          </cell>
          <cell r="G58">
            <v>0</v>
          </cell>
          <cell r="H58">
            <v>0</v>
          </cell>
          <cell r="I58">
            <v>59862.825000000004</v>
          </cell>
          <cell r="J58">
            <v>239451.30000000002</v>
          </cell>
          <cell r="K58">
            <v>299314.125</v>
          </cell>
          <cell r="M58">
            <v>0.9405</v>
          </cell>
          <cell r="N58">
            <v>318250</v>
          </cell>
          <cell r="P58">
            <v>239451.30000000002</v>
          </cell>
          <cell r="Q58">
            <v>0</v>
          </cell>
        </row>
        <row r="59">
          <cell r="B59" t="str">
            <v>cd4101</v>
          </cell>
          <cell r="C59" t="str">
            <v>Dysart IA</v>
          </cell>
          <cell r="D59" t="str">
            <v>IA</v>
          </cell>
          <cell r="E59" t="str">
            <v>USA</v>
          </cell>
          <cell r="F59">
            <v>0</v>
          </cell>
          <cell r="G59">
            <v>0</v>
          </cell>
          <cell r="H59">
            <v>0</v>
          </cell>
          <cell r="I59">
            <v>56900.25</v>
          </cell>
          <cell r="J59">
            <v>227601</v>
          </cell>
          <cell r="K59">
            <v>284501.25</v>
          </cell>
          <cell r="M59">
            <v>0.9405</v>
          </cell>
          <cell r="N59">
            <v>302500</v>
          </cell>
          <cell r="P59">
            <v>227601</v>
          </cell>
          <cell r="Q59">
            <v>0</v>
          </cell>
        </row>
        <row r="60">
          <cell r="B60" t="str">
            <v>cd3614</v>
          </cell>
          <cell r="C60" t="str">
            <v>Glidden IA SWL</v>
          </cell>
          <cell r="D60" t="str">
            <v>IA</v>
          </cell>
          <cell r="E60" t="str">
            <v>USA</v>
          </cell>
          <cell r="F60">
            <v>0</v>
          </cell>
          <cell r="G60">
            <v>0</v>
          </cell>
          <cell r="H60">
            <v>0</v>
          </cell>
          <cell r="I60">
            <v>47871.450000000004</v>
          </cell>
          <cell r="J60">
            <v>191485.80000000002</v>
          </cell>
          <cell r="K60">
            <v>239357.25000000003</v>
          </cell>
          <cell r="M60">
            <v>0.9405</v>
          </cell>
          <cell r="N60">
            <v>254500.00000000003</v>
          </cell>
          <cell r="P60">
            <v>191485.80000000002</v>
          </cell>
          <cell r="Q60">
            <v>0</v>
          </cell>
        </row>
        <row r="61">
          <cell r="B61" t="str">
            <v>cd1872</v>
          </cell>
          <cell r="C61" t="str">
            <v>Anita, IA</v>
          </cell>
          <cell r="D61" t="str">
            <v>IA</v>
          </cell>
          <cell r="E61" t="str">
            <v>USA</v>
          </cell>
          <cell r="F61">
            <v>0</v>
          </cell>
          <cell r="G61">
            <v>0</v>
          </cell>
          <cell r="H61">
            <v>0</v>
          </cell>
          <cell r="I61">
            <v>46187.955000000002</v>
          </cell>
          <cell r="J61">
            <v>184751.82</v>
          </cell>
          <cell r="K61">
            <v>230939.77500000002</v>
          </cell>
          <cell r="M61">
            <v>0.9405</v>
          </cell>
          <cell r="N61">
            <v>245550.00000000003</v>
          </cell>
          <cell r="P61">
            <v>184751.82</v>
          </cell>
          <cell r="Q61">
            <v>0</v>
          </cell>
        </row>
        <row r="62">
          <cell r="B62" t="str">
            <v>cd3002</v>
          </cell>
          <cell r="C62" t="str">
            <v>Massena IA</v>
          </cell>
          <cell r="D62" t="str">
            <v>IA</v>
          </cell>
          <cell r="E62" t="str">
            <v>USA</v>
          </cell>
          <cell r="F62">
            <v>0</v>
          </cell>
          <cell r="G62">
            <v>0</v>
          </cell>
          <cell r="H62">
            <v>0</v>
          </cell>
          <cell r="I62">
            <v>40817.700000000004</v>
          </cell>
          <cell r="J62">
            <v>163270.80000000002</v>
          </cell>
          <cell r="K62">
            <v>204088.50000000003</v>
          </cell>
          <cell r="M62">
            <v>0.9405</v>
          </cell>
          <cell r="N62">
            <v>217000.00000000003</v>
          </cell>
          <cell r="P62">
            <v>163270.80000000002</v>
          </cell>
          <cell r="Q62">
            <v>0</v>
          </cell>
        </row>
        <row r="63">
          <cell r="B63" t="str">
            <v>cd1761</v>
          </cell>
          <cell r="C63" t="str">
            <v>Aurora, SD</v>
          </cell>
          <cell r="D63" t="str">
            <v>SD</v>
          </cell>
          <cell r="E63" t="str">
            <v>USA</v>
          </cell>
          <cell r="F63">
            <v>0</v>
          </cell>
          <cell r="G63">
            <v>0</v>
          </cell>
          <cell r="H63">
            <v>0</v>
          </cell>
          <cell r="I63">
            <v>38153.733749999999</v>
          </cell>
          <cell r="J63">
            <v>152614.935</v>
          </cell>
          <cell r="K63">
            <v>190768.66875000001</v>
          </cell>
          <cell r="M63">
            <v>0.63483749999999994</v>
          </cell>
          <cell r="N63">
            <v>300500.00000000006</v>
          </cell>
          <cell r="P63">
            <v>152614.935</v>
          </cell>
          <cell r="Q63">
            <v>0</v>
          </cell>
        </row>
        <row r="64">
          <cell r="B64" t="str">
            <v>cd4148</v>
          </cell>
          <cell r="C64" t="str">
            <v>Riceville IA</v>
          </cell>
          <cell r="D64" t="str">
            <v>IA</v>
          </cell>
          <cell r="E64" t="str">
            <v>USA</v>
          </cell>
          <cell r="F64">
            <v>0</v>
          </cell>
          <cell r="G64">
            <v>0</v>
          </cell>
          <cell r="H64">
            <v>0</v>
          </cell>
          <cell r="I64">
            <v>37620</v>
          </cell>
          <cell r="J64">
            <v>150480</v>
          </cell>
          <cell r="K64">
            <v>188100</v>
          </cell>
          <cell r="M64">
            <v>0.9405</v>
          </cell>
          <cell r="N64">
            <v>200000</v>
          </cell>
          <cell r="P64">
            <v>150480</v>
          </cell>
          <cell r="Q64">
            <v>0</v>
          </cell>
        </row>
        <row r="65">
          <cell r="B65" t="str">
            <v>cd3852</v>
          </cell>
          <cell r="C65" t="str">
            <v>Blairstown IA</v>
          </cell>
          <cell r="D65" t="str">
            <v>IA</v>
          </cell>
          <cell r="E65" t="str">
            <v>USA</v>
          </cell>
          <cell r="F65">
            <v>0</v>
          </cell>
          <cell r="G65">
            <v>0</v>
          </cell>
          <cell r="H65">
            <v>0</v>
          </cell>
          <cell r="I65">
            <v>36303.300000000003</v>
          </cell>
          <cell r="J65">
            <v>145213.20000000001</v>
          </cell>
          <cell r="K65">
            <v>181516.5</v>
          </cell>
          <cell r="M65">
            <v>0.9405</v>
          </cell>
          <cell r="N65">
            <v>193000</v>
          </cell>
          <cell r="P65">
            <v>145213.20000000001</v>
          </cell>
          <cell r="Q65">
            <v>0</v>
          </cell>
        </row>
        <row r="66">
          <cell r="B66" t="str">
            <v>cd2331</v>
          </cell>
          <cell r="C66" t="str">
            <v>Preeceville</v>
          </cell>
          <cell r="D66" t="str">
            <v>SK</v>
          </cell>
          <cell r="E66" t="str">
            <v>Canada</v>
          </cell>
          <cell r="F66">
            <v>0</v>
          </cell>
          <cell r="G66">
            <v>0</v>
          </cell>
          <cell r="H66">
            <v>0</v>
          </cell>
          <cell r="I66">
            <v>67904.100000000006</v>
          </cell>
          <cell r="J66">
            <v>101856.15</v>
          </cell>
          <cell r="K66">
            <v>169760.25</v>
          </cell>
          <cell r="M66">
            <v>0.9405</v>
          </cell>
          <cell r="N66">
            <v>180500</v>
          </cell>
          <cell r="P66">
            <v>0</v>
          </cell>
          <cell r="Q66">
            <v>101856.15</v>
          </cell>
        </row>
        <row r="67">
          <cell r="B67" t="str">
            <v>cd2195</v>
          </cell>
          <cell r="C67" t="str">
            <v>Sundre OPTAER SWL</v>
          </cell>
          <cell r="D67" t="str">
            <v>AB</v>
          </cell>
          <cell r="E67" t="str">
            <v>Canada</v>
          </cell>
          <cell r="F67">
            <v>0</v>
          </cell>
          <cell r="G67">
            <v>0</v>
          </cell>
          <cell r="H67">
            <v>0</v>
          </cell>
          <cell r="I67">
            <v>67904.100000000006</v>
          </cell>
          <cell r="J67">
            <v>101856.15</v>
          </cell>
          <cell r="K67">
            <v>169760.25</v>
          </cell>
          <cell r="M67">
            <v>0.85499999999999998</v>
          </cell>
          <cell r="N67">
            <v>198550</v>
          </cell>
          <cell r="P67">
            <v>0</v>
          </cell>
          <cell r="Q67">
            <v>101856.15</v>
          </cell>
        </row>
        <row r="68">
          <cell r="B68" t="str">
            <v>cd3667</v>
          </cell>
          <cell r="C68" t="str">
            <v>New Bothwell SWL</v>
          </cell>
          <cell r="D68" t="str">
            <v>MB</v>
          </cell>
          <cell r="E68" t="str">
            <v>Canada</v>
          </cell>
          <cell r="F68">
            <v>0</v>
          </cell>
          <cell r="G68">
            <v>0</v>
          </cell>
          <cell r="H68">
            <v>0</v>
          </cell>
          <cell r="I68">
            <v>67260.456000000006</v>
          </cell>
          <cell r="J68">
            <v>100890.68400000001</v>
          </cell>
          <cell r="K68">
            <v>168151.14</v>
          </cell>
          <cell r="M68">
            <v>0.72900000000000009</v>
          </cell>
          <cell r="N68">
            <v>230660</v>
          </cell>
          <cell r="P68">
            <v>0</v>
          </cell>
          <cell r="Q68">
            <v>100890.68400000001</v>
          </cell>
        </row>
        <row r="69">
          <cell r="B69" t="str">
            <v>cd1822</v>
          </cell>
          <cell r="C69" t="str">
            <v>Brighton IA SWL</v>
          </cell>
          <cell r="D69" t="str">
            <v>IA</v>
          </cell>
          <cell r="E69" t="str">
            <v>USA</v>
          </cell>
          <cell r="F69">
            <v>0</v>
          </cell>
          <cell r="G69">
            <v>0</v>
          </cell>
          <cell r="H69">
            <v>0</v>
          </cell>
          <cell r="I69">
            <v>32729.4</v>
          </cell>
          <cell r="J69">
            <v>130917.6</v>
          </cell>
          <cell r="K69">
            <v>163647</v>
          </cell>
          <cell r="M69">
            <v>0.9405</v>
          </cell>
          <cell r="N69">
            <v>174000</v>
          </cell>
          <cell r="P69">
            <v>130917.6</v>
          </cell>
          <cell r="Q69">
            <v>0</v>
          </cell>
        </row>
        <row r="70">
          <cell r="B70" t="str">
            <v>cd2738</v>
          </cell>
          <cell r="C70" t="str">
            <v>Dale WI</v>
          </cell>
          <cell r="D70" t="str">
            <v>WI</v>
          </cell>
          <cell r="E70" t="str">
            <v>USA</v>
          </cell>
          <cell r="F70">
            <v>18057.600000000002</v>
          </cell>
          <cell r="G70">
            <v>72230.400000000009</v>
          </cell>
          <cell r="H70">
            <v>36115.200000000004</v>
          </cell>
          <cell r="I70">
            <v>18057.600000000002</v>
          </cell>
          <cell r="J70">
            <v>18057.600000000002</v>
          </cell>
          <cell r="K70">
            <v>162518.40000000002</v>
          </cell>
          <cell r="M70">
            <v>0.9405</v>
          </cell>
          <cell r="N70">
            <v>172800.00000000003</v>
          </cell>
          <cell r="P70">
            <v>18057.600000000002</v>
          </cell>
          <cell r="Q70">
            <v>0</v>
          </cell>
        </row>
        <row r="71">
          <cell r="B71" t="str">
            <v>cd3650</v>
          </cell>
          <cell r="C71" t="str">
            <v>Everly IA</v>
          </cell>
          <cell r="D71" t="str">
            <v>IA</v>
          </cell>
          <cell r="E71" t="str">
            <v>USA</v>
          </cell>
          <cell r="F71">
            <v>0</v>
          </cell>
          <cell r="G71">
            <v>0</v>
          </cell>
          <cell r="H71">
            <v>0</v>
          </cell>
          <cell r="I71">
            <v>31788.9</v>
          </cell>
          <cell r="J71">
            <v>127155.6</v>
          </cell>
          <cell r="K71">
            <v>158944.5</v>
          </cell>
          <cell r="M71">
            <v>0.9405</v>
          </cell>
          <cell r="N71">
            <v>169000</v>
          </cell>
          <cell r="P71">
            <v>127155.6</v>
          </cell>
          <cell r="Q71">
            <v>0</v>
          </cell>
        </row>
        <row r="72">
          <cell r="B72" t="str">
            <v>cd2674</v>
          </cell>
          <cell r="C72" t="str">
            <v>Hollandsburg Palestine OH</v>
          </cell>
          <cell r="D72" t="str">
            <v>OH</v>
          </cell>
          <cell r="E72" t="str">
            <v>USA</v>
          </cell>
          <cell r="F72">
            <v>0</v>
          </cell>
          <cell r="G72">
            <v>0</v>
          </cell>
          <cell r="H72">
            <v>0</v>
          </cell>
          <cell r="I72">
            <v>27838.800000000003</v>
          </cell>
          <cell r="J72">
            <v>111355.20000000001</v>
          </cell>
          <cell r="K72">
            <v>139194</v>
          </cell>
          <cell r="M72">
            <v>0.9405</v>
          </cell>
          <cell r="N72">
            <v>148000</v>
          </cell>
          <cell r="P72">
            <v>111355.20000000001</v>
          </cell>
          <cell r="Q72">
            <v>0</v>
          </cell>
        </row>
        <row r="73">
          <cell r="B73" t="str">
            <v>cd2694</v>
          </cell>
          <cell r="C73" t="str">
            <v>Jonesburg MO</v>
          </cell>
          <cell r="D73" t="str">
            <v>MO</v>
          </cell>
          <cell r="E73" t="str">
            <v>USA</v>
          </cell>
          <cell r="F73">
            <v>0</v>
          </cell>
          <cell r="G73">
            <v>0</v>
          </cell>
          <cell r="H73">
            <v>0</v>
          </cell>
          <cell r="I73">
            <v>26329.050000000003</v>
          </cell>
          <cell r="J73">
            <v>105316.20000000001</v>
          </cell>
          <cell r="K73">
            <v>131645.25</v>
          </cell>
          <cell r="M73">
            <v>0.66825000000000001</v>
          </cell>
          <cell r="N73">
            <v>197000</v>
          </cell>
          <cell r="P73">
            <v>105316.20000000001</v>
          </cell>
          <cell r="Q73">
            <v>0</v>
          </cell>
        </row>
        <row r="74">
          <cell r="B74" t="str">
            <v>cd4141</v>
          </cell>
          <cell r="C74" t="str">
            <v>Wuskwi Sipihk FN MB</v>
          </cell>
          <cell r="D74" t="str">
            <v>MB</v>
          </cell>
          <cell r="E74" t="str">
            <v>Canada</v>
          </cell>
          <cell r="F74">
            <v>0</v>
          </cell>
          <cell r="G74">
            <v>0</v>
          </cell>
          <cell r="H74">
            <v>0</v>
          </cell>
          <cell r="I74">
            <v>46031.832000000002</v>
          </cell>
          <cell r="J74">
            <v>69047.747999999992</v>
          </cell>
          <cell r="K74">
            <v>115079.57999999999</v>
          </cell>
          <cell r="M74">
            <v>0.9405</v>
          </cell>
          <cell r="N74">
            <v>122359.99999999999</v>
          </cell>
          <cell r="P74">
            <v>0</v>
          </cell>
          <cell r="Q74">
            <v>69047.747999999992</v>
          </cell>
        </row>
        <row r="75">
          <cell r="B75" t="str">
            <v>cd2353</v>
          </cell>
          <cell r="C75" t="str">
            <v>Dillingham</v>
          </cell>
          <cell r="D75" t="str">
            <v>AK</v>
          </cell>
          <cell r="E75" t="str">
            <v>USA</v>
          </cell>
          <cell r="F75">
            <v>0</v>
          </cell>
          <cell r="G75">
            <v>0</v>
          </cell>
          <cell r="H75">
            <v>0</v>
          </cell>
          <cell r="I75">
            <v>13529.092499999999</v>
          </cell>
          <cell r="J75">
            <v>54116.369999999995</v>
          </cell>
          <cell r="K75">
            <v>67645.462499999994</v>
          </cell>
          <cell r="M75">
            <v>0.47025</v>
          </cell>
          <cell r="N75">
            <v>143850</v>
          </cell>
          <cell r="P75">
            <v>54116.369999999995</v>
          </cell>
          <cell r="Q75">
            <v>0</v>
          </cell>
        </row>
        <row r="76">
          <cell r="B76" t="str">
            <v>cd2194</v>
          </cell>
          <cell r="C76" t="str">
            <v>East Lynn, MO</v>
          </cell>
          <cell r="D76" t="str">
            <v>MO</v>
          </cell>
          <cell r="E76" t="str">
            <v>USA</v>
          </cell>
          <cell r="F76">
            <v>0</v>
          </cell>
          <cell r="G76">
            <v>0</v>
          </cell>
          <cell r="H76">
            <v>0</v>
          </cell>
          <cell r="I76">
            <v>9459.0787499999988</v>
          </cell>
          <cell r="J76">
            <v>37836.314999999995</v>
          </cell>
          <cell r="K76">
            <v>47295.393749999996</v>
          </cell>
          <cell r="M76">
            <v>0.63483749999999994</v>
          </cell>
          <cell r="N76">
            <v>74500</v>
          </cell>
          <cell r="P76">
            <v>37836.314999999995</v>
          </cell>
          <cell r="Q76">
            <v>0</v>
          </cell>
        </row>
        <row r="77">
          <cell r="B77" t="str">
            <v>cd4006</v>
          </cell>
          <cell r="C77" t="str">
            <v>Sucker Creek Rebuild RWR</v>
          </cell>
          <cell r="D77" t="str">
            <v>AB</v>
          </cell>
          <cell r="E77" t="str">
            <v>Canada</v>
          </cell>
          <cell r="F77">
            <v>0</v>
          </cell>
          <cell r="G77">
            <v>0</v>
          </cell>
          <cell r="H77">
            <v>0</v>
          </cell>
          <cell r="I77">
            <v>15446.772000000001</v>
          </cell>
          <cell r="J77">
            <v>23170.157999999999</v>
          </cell>
          <cell r="K77">
            <v>38616.93</v>
          </cell>
          <cell r="M77">
            <v>0.99</v>
          </cell>
          <cell r="N77">
            <v>39007</v>
          </cell>
          <cell r="P77">
            <v>0</v>
          </cell>
          <cell r="Q77">
            <v>23170.157999999999</v>
          </cell>
        </row>
        <row r="78">
          <cell r="B78" t="str">
            <v>cd2119</v>
          </cell>
          <cell r="C78" t="str">
            <v>LeBret FN SK</v>
          </cell>
          <cell r="D78" t="str">
            <v>SK</v>
          </cell>
          <cell r="E78" t="str">
            <v>Canada</v>
          </cell>
          <cell r="F78">
            <v>0</v>
          </cell>
          <cell r="G78">
            <v>0</v>
          </cell>
          <cell r="H78">
            <v>0</v>
          </cell>
          <cell r="I78">
            <v>15332.031000000001</v>
          </cell>
          <cell r="J78">
            <v>22998.0465</v>
          </cell>
          <cell r="K78">
            <v>38330.077499999999</v>
          </cell>
          <cell r="M78">
            <v>0.9405</v>
          </cell>
          <cell r="N78">
            <v>40755</v>
          </cell>
          <cell r="P78">
            <v>0</v>
          </cell>
          <cell r="Q78">
            <v>22998.0465</v>
          </cell>
        </row>
        <row r="79">
          <cell r="B79" t="str">
            <v>cd2758</v>
          </cell>
          <cell r="C79" t="str">
            <v>Talkeetna AK SWL</v>
          </cell>
          <cell r="D79" t="str">
            <v>AK</v>
          </cell>
          <cell r="E79" t="str">
            <v>USA</v>
          </cell>
          <cell r="F79">
            <v>3629</v>
          </cell>
          <cell r="G79">
            <v>14516</v>
          </cell>
          <cell r="H79">
            <v>7258</v>
          </cell>
          <cell r="I79">
            <v>3629</v>
          </cell>
          <cell r="J79">
            <v>3629</v>
          </cell>
          <cell r="K79">
            <v>32661</v>
          </cell>
          <cell r="M79">
            <v>0.23749999999999999</v>
          </cell>
          <cell r="N79">
            <v>137520</v>
          </cell>
          <cell r="P79">
            <v>3629</v>
          </cell>
          <cell r="Q79">
            <v>0</v>
          </cell>
        </row>
        <row r="80">
          <cell r="B80" t="str">
            <v>cd4405</v>
          </cell>
          <cell r="C80" t="str">
            <v xml:space="preserve">Sandy Bay MB </v>
          </cell>
          <cell r="D80" t="str">
            <v>MB</v>
          </cell>
          <cell r="E80" t="str">
            <v>Canada</v>
          </cell>
          <cell r="F80">
            <v>0</v>
          </cell>
          <cell r="G80">
            <v>0</v>
          </cell>
          <cell r="H80">
            <v>0</v>
          </cell>
          <cell r="I80">
            <v>0</v>
          </cell>
          <cell r="J80">
            <v>29782.499999999996</v>
          </cell>
          <cell r="K80">
            <v>29782.499999999996</v>
          </cell>
          <cell r="M80">
            <v>0.71249999999999991</v>
          </cell>
          <cell r="N80">
            <v>41800</v>
          </cell>
          <cell r="P80">
            <v>0</v>
          </cell>
          <cell r="Q80">
            <v>29782.499999999996</v>
          </cell>
        </row>
        <row r="81">
          <cell r="B81" t="str">
            <v>cd3704</v>
          </cell>
          <cell r="C81" t="str">
            <v>Plessisville</v>
          </cell>
          <cell r="D81" t="str">
            <v>QC</v>
          </cell>
          <cell r="E81" t="str">
            <v>Canada</v>
          </cell>
          <cell r="F81">
            <v>0</v>
          </cell>
          <cell r="G81">
            <v>0</v>
          </cell>
          <cell r="H81">
            <v>0</v>
          </cell>
          <cell r="I81">
            <v>4895.1599999999989</v>
          </cell>
          <cell r="J81">
            <v>19580.639999999996</v>
          </cell>
          <cell r="K81">
            <v>24475.799999999996</v>
          </cell>
          <cell r="M81">
            <v>0.14249999999999999</v>
          </cell>
          <cell r="N81">
            <v>171759.99999999997</v>
          </cell>
          <cell r="P81">
            <v>0</v>
          </cell>
          <cell r="Q81">
            <v>19580.639999999996</v>
          </cell>
        </row>
        <row r="82">
          <cell r="B82" t="str">
            <v>cd4423</v>
          </cell>
          <cell r="C82" t="str">
            <v>Whitefield NH DF</v>
          </cell>
          <cell r="D82" t="str">
            <v>NH</v>
          </cell>
          <cell r="E82" t="str">
            <v>USA</v>
          </cell>
          <cell r="F82">
            <v>0</v>
          </cell>
          <cell r="G82">
            <v>1425</v>
          </cell>
          <cell r="H82">
            <v>5700</v>
          </cell>
          <cell r="I82">
            <v>11400</v>
          </cell>
          <cell r="J82">
            <v>5700</v>
          </cell>
          <cell r="K82">
            <v>24225</v>
          </cell>
          <cell r="M82">
            <v>0.14249999999999999</v>
          </cell>
          <cell r="N82">
            <v>170000.00000000003</v>
          </cell>
          <cell r="P82">
            <v>5700</v>
          </cell>
          <cell r="Q82">
            <v>0</v>
          </cell>
        </row>
        <row r="83">
          <cell r="B83" t="str">
            <v>cd4073</v>
          </cell>
          <cell r="C83" t="str">
            <v>Epursol SWL</v>
          </cell>
          <cell r="D83" t="str">
            <v>QC</v>
          </cell>
          <cell r="E83" t="str">
            <v>Canada</v>
          </cell>
          <cell r="F83">
            <v>0</v>
          </cell>
          <cell r="G83">
            <v>0</v>
          </cell>
          <cell r="H83">
            <v>0</v>
          </cell>
          <cell r="I83">
            <v>9603.36</v>
          </cell>
          <cell r="J83">
            <v>14405.04</v>
          </cell>
          <cell r="K83">
            <v>24008.400000000001</v>
          </cell>
          <cell r="M83">
            <v>0.81</v>
          </cell>
          <cell r="N83">
            <v>29640</v>
          </cell>
          <cell r="P83">
            <v>0</v>
          </cell>
          <cell r="Q83">
            <v>14405.04</v>
          </cell>
        </row>
        <row r="84">
          <cell r="B84" t="str">
            <v>cd3037</v>
          </cell>
          <cell r="C84" t="str">
            <v>New Town, ND</v>
          </cell>
          <cell r="D84" t="str">
            <v>ND</v>
          </cell>
          <cell r="E84" t="str">
            <v>USA</v>
          </cell>
          <cell r="F84">
            <v>2559.6000000000004</v>
          </cell>
          <cell r="G84">
            <v>10238.400000000001</v>
          </cell>
          <cell r="H84">
            <v>5119.2000000000007</v>
          </cell>
          <cell r="I84">
            <v>2559.6000000000004</v>
          </cell>
          <cell r="J84">
            <v>2559.6000000000004</v>
          </cell>
          <cell r="K84">
            <v>23036.400000000001</v>
          </cell>
          <cell r="M84">
            <v>8.1000000000000016E-2</v>
          </cell>
          <cell r="N84">
            <v>284399.99999999994</v>
          </cell>
          <cell r="P84">
            <v>2559.6000000000004</v>
          </cell>
          <cell r="Q84">
            <v>0</v>
          </cell>
        </row>
        <row r="85">
          <cell r="B85" t="str">
            <v>cd4270</v>
          </cell>
          <cell r="C85" t="str">
            <v>Saint-Elzear QC SWL</v>
          </cell>
          <cell r="D85" t="str">
            <v>QC</v>
          </cell>
          <cell r="E85" t="str">
            <v>Canada</v>
          </cell>
          <cell r="F85">
            <v>0</v>
          </cell>
          <cell r="G85">
            <v>0</v>
          </cell>
          <cell r="H85">
            <v>0</v>
          </cell>
          <cell r="I85">
            <v>8410.3271999999997</v>
          </cell>
          <cell r="J85">
            <v>12615.4908</v>
          </cell>
          <cell r="K85">
            <v>21025.817999999999</v>
          </cell>
          <cell r="M85">
            <v>0.66825000000000001</v>
          </cell>
          <cell r="N85">
            <v>31464</v>
          </cell>
          <cell r="P85">
            <v>0</v>
          </cell>
          <cell r="Q85">
            <v>12615.4908</v>
          </cell>
        </row>
        <row r="86">
          <cell r="B86" t="str">
            <v>cd4367</v>
          </cell>
          <cell r="C86" t="str">
            <v>Fire Training Academy WA</v>
          </cell>
          <cell r="D86" t="str">
            <v>WA</v>
          </cell>
          <cell r="E86" t="str">
            <v>USA</v>
          </cell>
          <cell r="F86">
            <v>1847.75</v>
          </cell>
          <cell r="G86">
            <v>7391</v>
          </cell>
          <cell r="H86">
            <v>3695.5</v>
          </cell>
          <cell r="I86">
            <v>1847.75</v>
          </cell>
          <cell r="J86">
            <v>1847.75</v>
          </cell>
          <cell r="K86">
            <v>16629.75</v>
          </cell>
          <cell r="M86">
            <v>0.47499999999999998</v>
          </cell>
          <cell r="N86">
            <v>35010</v>
          </cell>
          <cell r="P86">
            <v>1847.75</v>
          </cell>
          <cell r="Q86">
            <v>0</v>
          </cell>
        </row>
        <row r="87">
          <cell r="B87" t="str">
            <v>cd4030</v>
          </cell>
          <cell r="C87" t="str">
            <v>La Malbaie QC</v>
          </cell>
          <cell r="D87" t="str">
            <v>QC</v>
          </cell>
          <cell r="E87" t="str">
            <v>Canada</v>
          </cell>
          <cell r="F87">
            <v>0</v>
          </cell>
          <cell r="G87">
            <v>0</v>
          </cell>
          <cell r="H87">
            <v>0</v>
          </cell>
          <cell r="I87">
            <v>6627.9600000000009</v>
          </cell>
          <cell r="J87">
            <v>9941.94</v>
          </cell>
          <cell r="K87">
            <v>16569.900000000001</v>
          </cell>
          <cell r="M87">
            <v>0.85499999999999998</v>
          </cell>
          <cell r="N87">
            <v>19380.000000000004</v>
          </cell>
          <cell r="P87">
            <v>0</v>
          </cell>
          <cell r="Q87">
            <v>9941.94</v>
          </cell>
        </row>
        <row r="88">
          <cell r="B88" t="str">
            <v>cd4416</v>
          </cell>
          <cell r="C88" t="str">
            <v>Chichaoua</v>
          </cell>
          <cell r="D88" t="str">
            <v>Other</v>
          </cell>
          <cell r="E88" t="str">
            <v>USA</v>
          </cell>
          <cell r="F88">
            <v>0</v>
          </cell>
          <cell r="G88">
            <v>0</v>
          </cell>
          <cell r="H88">
            <v>0</v>
          </cell>
          <cell r="I88">
            <v>3216.7000000000003</v>
          </cell>
          <cell r="J88">
            <v>12866.800000000001</v>
          </cell>
          <cell r="K88">
            <v>16083.500000000002</v>
          </cell>
          <cell r="M88">
            <v>0.25</v>
          </cell>
          <cell r="N88">
            <v>64334.000000000007</v>
          </cell>
          <cell r="P88">
            <v>12866.800000000001</v>
          </cell>
          <cell r="Q88">
            <v>0</v>
          </cell>
        </row>
        <row r="89">
          <cell r="B89" t="str">
            <v>cd4233</v>
          </cell>
          <cell r="C89" t="str">
            <v>Murphys CA</v>
          </cell>
          <cell r="D89" t="str">
            <v>CA</v>
          </cell>
          <cell r="E89" t="str">
            <v>USA</v>
          </cell>
          <cell r="F89">
            <v>1686.5516250000001</v>
          </cell>
          <cell r="G89">
            <v>6746.2065000000002</v>
          </cell>
          <cell r="H89">
            <v>3373.1032500000001</v>
          </cell>
          <cell r="I89">
            <v>1686.5516250000001</v>
          </cell>
          <cell r="J89">
            <v>1686.5516250000001</v>
          </cell>
          <cell r="K89">
            <v>15178.964625000001</v>
          </cell>
          <cell r="M89">
            <v>0.21161250000000001</v>
          </cell>
          <cell r="N89">
            <v>71730</v>
          </cell>
          <cell r="P89">
            <v>1686.5516250000001</v>
          </cell>
          <cell r="Q89">
            <v>0</v>
          </cell>
        </row>
        <row r="90">
          <cell r="B90" t="str">
            <v>cd2894</v>
          </cell>
          <cell r="C90" t="str">
            <v>Ville-Marie BP</v>
          </cell>
          <cell r="D90" t="str">
            <v>QC</v>
          </cell>
          <cell r="E90" t="str">
            <v>Canada</v>
          </cell>
          <cell r="F90">
            <v>0</v>
          </cell>
          <cell r="G90">
            <v>0</v>
          </cell>
          <cell r="H90">
            <v>0</v>
          </cell>
          <cell r="I90">
            <v>3002.0760000000005</v>
          </cell>
          <cell r="J90">
            <v>12008.304000000002</v>
          </cell>
          <cell r="K90">
            <v>15010.380000000003</v>
          </cell>
          <cell r="M90">
            <v>9.9000000000000005E-2</v>
          </cell>
          <cell r="N90">
            <v>151620.00000000003</v>
          </cell>
          <cell r="P90">
            <v>0</v>
          </cell>
          <cell r="Q90">
            <v>12008.304000000002</v>
          </cell>
        </row>
        <row r="91">
          <cell r="B91" t="str">
            <v>cd4166</v>
          </cell>
          <cell r="C91" t="str">
            <v>Onion Lake</v>
          </cell>
          <cell r="D91" t="str">
            <v>AB</v>
          </cell>
          <cell r="E91" t="str">
            <v>Canada</v>
          </cell>
          <cell r="F91">
            <v>0</v>
          </cell>
          <cell r="G91">
            <v>0</v>
          </cell>
          <cell r="H91">
            <v>0</v>
          </cell>
          <cell r="I91">
            <v>4765.2</v>
          </cell>
          <cell r="J91">
            <v>7147.8</v>
          </cell>
          <cell r="K91">
            <v>11913</v>
          </cell>
          <cell r="M91">
            <v>0.95</v>
          </cell>
          <cell r="N91">
            <v>12540</v>
          </cell>
          <cell r="P91">
            <v>0</v>
          </cell>
          <cell r="Q91">
            <v>7147.8</v>
          </cell>
        </row>
        <row r="92">
          <cell r="B92" t="str">
            <v>cd3878</v>
          </cell>
          <cell r="C92" t="str">
            <v>Kanab</v>
          </cell>
          <cell r="D92" t="str">
            <v>UT</v>
          </cell>
          <cell r="E92" t="str">
            <v>USA</v>
          </cell>
          <cell r="F92">
            <v>0</v>
          </cell>
          <cell r="G92">
            <v>0</v>
          </cell>
          <cell r="H92">
            <v>0</v>
          </cell>
          <cell r="I92">
            <v>1947.375</v>
          </cell>
          <cell r="J92">
            <v>7789.5</v>
          </cell>
          <cell r="K92">
            <v>9736.875</v>
          </cell>
          <cell r="M92">
            <v>0.16875000000000001</v>
          </cell>
          <cell r="N92">
            <v>57699.999999999993</v>
          </cell>
          <cell r="P92">
            <v>7789.5</v>
          </cell>
          <cell r="Q92">
            <v>0</v>
          </cell>
        </row>
        <row r="93">
          <cell r="B93" t="str">
            <v>cd4420</v>
          </cell>
          <cell r="C93" t="str">
            <v xml:space="preserve">Dallas  OR </v>
          </cell>
          <cell r="D93" t="str">
            <v>OR</v>
          </cell>
          <cell r="E93" t="str">
            <v>USA</v>
          </cell>
          <cell r="F93">
            <v>0</v>
          </cell>
          <cell r="G93">
            <v>0</v>
          </cell>
          <cell r="H93">
            <v>0</v>
          </cell>
          <cell r="I93">
            <v>0</v>
          </cell>
          <cell r="J93">
            <v>7125</v>
          </cell>
          <cell r="K93">
            <v>7125</v>
          </cell>
          <cell r="M93">
            <v>0.23749999999999999</v>
          </cell>
          <cell r="N93">
            <v>30000</v>
          </cell>
          <cell r="P93">
            <v>7125</v>
          </cell>
          <cell r="Q93">
            <v>0</v>
          </cell>
        </row>
        <row r="94">
          <cell r="B94" t="str">
            <v>cd4138</v>
          </cell>
          <cell r="C94" t="str">
            <v>FRC Tyson Foods NY</v>
          </cell>
          <cell r="D94" t="str">
            <v>NY</v>
          </cell>
          <cell r="E94" t="str">
            <v>USA</v>
          </cell>
          <cell r="F94">
            <v>0</v>
          </cell>
          <cell r="G94">
            <v>0</v>
          </cell>
          <cell r="H94">
            <v>1139.9999999999998</v>
          </cell>
          <cell r="I94">
            <v>1139.9999999999998</v>
          </cell>
          <cell r="J94">
            <v>4559.9999999999991</v>
          </cell>
          <cell r="K94">
            <v>6839.9999999999982</v>
          </cell>
          <cell r="M94">
            <v>3.5624999999999997E-2</v>
          </cell>
          <cell r="N94">
            <v>191999.99999999997</v>
          </cell>
          <cell r="P94">
            <v>4559.9999999999991</v>
          </cell>
          <cell r="Q94">
            <v>0</v>
          </cell>
        </row>
        <row r="95">
          <cell r="B95" t="str">
            <v>cd3856</v>
          </cell>
          <cell r="C95" t="str">
            <v>Medora ND SWL</v>
          </cell>
          <cell r="D95" t="str">
            <v>ND</v>
          </cell>
          <cell r="E95" t="str">
            <v>USA</v>
          </cell>
          <cell r="F95">
            <v>0</v>
          </cell>
          <cell r="G95">
            <v>0</v>
          </cell>
          <cell r="H95">
            <v>0</v>
          </cell>
          <cell r="I95">
            <v>839.53125</v>
          </cell>
          <cell r="J95">
            <v>3358.125</v>
          </cell>
          <cell r="K95">
            <v>4197.65625</v>
          </cell>
          <cell r="M95">
            <v>0.2109375</v>
          </cell>
          <cell r="N95">
            <v>19900</v>
          </cell>
          <cell r="P95">
            <v>3358.125</v>
          </cell>
          <cell r="Q95">
            <v>0</v>
          </cell>
        </row>
        <row r="96">
          <cell r="B96" t="str">
            <v>cd4275</v>
          </cell>
          <cell r="C96" t="str">
            <v>Nova Scotia Forest Products Mill</v>
          </cell>
          <cell r="D96" t="str">
            <v>NS</v>
          </cell>
          <cell r="E96" t="str">
            <v>Canada</v>
          </cell>
          <cell r="F96">
            <v>0</v>
          </cell>
          <cell r="G96">
            <v>0</v>
          </cell>
          <cell r="H96">
            <v>0</v>
          </cell>
          <cell r="I96">
            <v>1619.973</v>
          </cell>
          <cell r="J96">
            <v>2429.9594999999999</v>
          </cell>
          <cell r="K96">
            <v>4049.9324999999999</v>
          </cell>
          <cell r="M96">
            <v>3.3750000000000002E-2</v>
          </cell>
          <cell r="N96">
            <v>119997.99999999999</v>
          </cell>
          <cell r="P96">
            <v>0</v>
          </cell>
          <cell r="Q96">
            <v>2429.9594999999999</v>
          </cell>
        </row>
        <row r="97">
          <cell r="B97" t="str">
            <v>cd4295</v>
          </cell>
          <cell r="C97" t="str">
            <v>Chemical Plant El Dorado AR</v>
          </cell>
          <cell r="D97" t="str">
            <v>AR</v>
          </cell>
          <cell r="E97" t="str">
            <v>USA</v>
          </cell>
          <cell r="F97">
            <v>0</v>
          </cell>
          <cell r="G97">
            <v>0</v>
          </cell>
          <cell r="H97">
            <v>0</v>
          </cell>
          <cell r="I97">
            <v>0</v>
          </cell>
          <cell r="J97">
            <v>3247.2900000000004</v>
          </cell>
          <cell r="K97">
            <v>3247.2900000000004</v>
          </cell>
          <cell r="M97">
            <v>0.25650000000000001</v>
          </cell>
          <cell r="N97">
            <v>12660.000000000002</v>
          </cell>
          <cell r="P97">
            <v>3247.2900000000004</v>
          </cell>
          <cell r="Q97">
            <v>0</v>
          </cell>
        </row>
        <row r="98">
          <cell r="B98" t="str">
            <v>cd3968</v>
          </cell>
          <cell r="C98" t="str">
            <v>Farmersville TX</v>
          </cell>
          <cell r="D98" t="str">
            <v>TX</v>
          </cell>
          <cell r="E98" t="str">
            <v>USA</v>
          </cell>
          <cell r="F98">
            <v>0</v>
          </cell>
          <cell r="G98">
            <v>0</v>
          </cell>
          <cell r="H98">
            <v>0</v>
          </cell>
          <cell r="I98">
            <v>0</v>
          </cell>
          <cell r="J98">
            <v>2885.625</v>
          </cell>
          <cell r="K98">
            <v>2885.625</v>
          </cell>
          <cell r="M98">
            <v>0.19237499999999999</v>
          </cell>
          <cell r="N98">
            <v>15000</v>
          </cell>
          <cell r="P98">
            <v>2885.625</v>
          </cell>
          <cell r="Q98">
            <v>0</v>
          </cell>
        </row>
        <row r="99">
          <cell r="B99" t="str">
            <v>cd4239</v>
          </cell>
          <cell r="C99" t="str">
            <v>Wasaga Pines Resort  ON</v>
          </cell>
          <cell r="D99" t="str">
            <v>ON</v>
          </cell>
          <cell r="E99" t="str">
            <v>Canada</v>
          </cell>
          <cell r="F99">
            <v>0</v>
          </cell>
          <cell r="G99">
            <v>0</v>
          </cell>
          <cell r="H99">
            <v>0</v>
          </cell>
          <cell r="I99">
            <v>0</v>
          </cell>
          <cell r="J99">
            <v>1932.3427499999998</v>
          </cell>
          <cell r="K99">
            <v>1932.3427499999998</v>
          </cell>
          <cell r="M99">
            <v>0.1603125</v>
          </cell>
          <cell r="N99">
            <v>12053.599999999999</v>
          </cell>
          <cell r="P99">
            <v>0</v>
          </cell>
          <cell r="Q99">
            <v>1932.3427499999998</v>
          </cell>
        </row>
        <row r="100">
          <cell r="B100" t="str">
            <v>cd4183</v>
          </cell>
          <cell r="C100" t="str">
            <v>Cedar Hills Subdivision MO SWL</v>
          </cell>
          <cell r="D100" t="str">
            <v>MO</v>
          </cell>
          <cell r="E100" t="str">
            <v>USA</v>
          </cell>
          <cell r="F100">
            <v>0</v>
          </cell>
          <cell r="G100">
            <v>0</v>
          </cell>
          <cell r="H100">
            <v>0</v>
          </cell>
          <cell r="I100">
            <v>259.6875</v>
          </cell>
          <cell r="J100">
            <v>1038.75</v>
          </cell>
          <cell r="K100">
            <v>1298.4375</v>
          </cell>
          <cell r="M100">
            <v>9.375E-2</v>
          </cell>
          <cell r="N100">
            <v>13850</v>
          </cell>
          <cell r="P100">
            <v>1038.75</v>
          </cell>
          <cell r="Q100">
            <v>0</v>
          </cell>
        </row>
        <row r="101">
          <cell r="B101" t="str">
            <v>cd3763</v>
          </cell>
          <cell r="C101" t="str">
            <v>Sky Ranch, CO DF</v>
          </cell>
          <cell r="D101" t="str">
            <v>CO</v>
          </cell>
          <cell r="E101" t="str">
            <v>USA</v>
          </cell>
          <cell r="F101">
            <v>0</v>
          </cell>
          <cell r="G101">
            <v>0</v>
          </cell>
          <cell r="H101">
            <v>0</v>
          </cell>
          <cell r="I101">
            <v>0</v>
          </cell>
          <cell r="J101">
            <v>552.82500000000016</v>
          </cell>
          <cell r="K101">
            <v>552.82500000000016</v>
          </cell>
          <cell r="M101">
            <v>6.0750000000000005E-2</v>
          </cell>
          <cell r="N101">
            <v>9100.0000000000018</v>
          </cell>
          <cell r="P101">
            <v>552.82500000000016</v>
          </cell>
          <cell r="Q101">
            <v>0</v>
          </cell>
        </row>
        <row r="102">
          <cell r="B102" t="str">
            <v>cd4258</v>
          </cell>
          <cell r="C102" t="str">
            <v>South Plant  Albany NY</v>
          </cell>
          <cell r="D102" t="str">
            <v>NY</v>
          </cell>
          <cell r="E102" t="str">
            <v>USA</v>
          </cell>
          <cell r="F102">
            <v>0</v>
          </cell>
          <cell r="G102">
            <v>0</v>
          </cell>
          <cell r="H102">
            <v>0</v>
          </cell>
          <cell r="I102">
            <v>0</v>
          </cell>
          <cell r="J102">
            <v>268.04250000000002</v>
          </cell>
          <cell r="K102">
            <v>268.04250000000002</v>
          </cell>
          <cell r="M102">
            <v>4.2750000000000003E-2</v>
          </cell>
          <cell r="N102">
            <v>6270</v>
          </cell>
          <cell r="P102">
            <v>268.04250000000002</v>
          </cell>
          <cell r="Q102">
            <v>0</v>
          </cell>
        </row>
        <row r="103">
          <cell r="B103" t="str">
            <v>cd3578</v>
          </cell>
          <cell r="C103" t="str">
            <v>College Station TX DF</v>
          </cell>
          <cell r="D103" t="str">
            <v>TX</v>
          </cell>
          <cell r="E103" t="str">
            <v>USA</v>
          </cell>
          <cell r="F103">
            <v>0</v>
          </cell>
          <cell r="G103">
            <v>0</v>
          </cell>
          <cell r="H103">
            <v>0</v>
          </cell>
          <cell r="I103">
            <v>0</v>
          </cell>
          <cell r="J103">
            <v>174.20625000000001</v>
          </cell>
          <cell r="K103">
            <v>174.20625000000001</v>
          </cell>
          <cell r="M103">
            <v>4.2750000000000002E-3</v>
          </cell>
          <cell r="N103">
            <v>40750</v>
          </cell>
          <cell r="P103">
            <v>174.20625000000001</v>
          </cell>
          <cell r="Q103">
            <v>0</v>
          </cell>
        </row>
        <row r="104">
          <cell r="F104">
            <v>79908.901624999999</v>
          </cell>
          <cell r="G104">
            <v>189280.40649999998</v>
          </cell>
          <cell r="H104">
            <v>212949.40325000003</v>
          </cell>
          <cell r="I104">
            <v>1441936.6775749999</v>
          </cell>
          <cell r="J104">
            <v>3807240.558925</v>
          </cell>
          <cell r="K104">
            <v>5731315.9478749996</v>
          </cell>
          <cell r="N104">
            <v>7810601.5999999996</v>
          </cell>
          <cell r="P104">
            <v>3173320.8053750009</v>
          </cell>
          <cell r="Q104">
            <v>633919.75355000002</v>
          </cell>
        </row>
        <row r="105">
          <cell r="P105">
            <v>0.83349627013613492</v>
          </cell>
        </row>
        <row r="106">
          <cell r="B106" t="str">
            <v>Iowa</v>
          </cell>
          <cell r="C106"/>
          <cell r="D106" t="str">
            <v>IA</v>
          </cell>
          <cell r="E106"/>
          <cell r="F106">
            <v>0</v>
          </cell>
          <cell r="G106">
            <v>0</v>
          </cell>
          <cell r="H106">
            <v>0</v>
          </cell>
          <cell r="I106">
            <v>565014.78</v>
          </cell>
          <cell r="J106">
            <v>2260059.12</v>
          </cell>
          <cell r="K106">
            <v>2825073.9</v>
          </cell>
          <cell r="L106"/>
          <cell r="M106">
            <v>0.9405</v>
          </cell>
          <cell r="N106">
            <v>3003800</v>
          </cell>
        </row>
        <row r="107">
          <cell r="B107" t="str">
            <v>Wisconsin</v>
          </cell>
          <cell r="C107"/>
          <cell r="D107" t="str">
            <v>WI</v>
          </cell>
          <cell r="E107"/>
          <cell r="F107">
            <v>18057.600000000002</v>
          </cell>
          <cell r="G107">
            <v>96835.400000000009</v>
          </cell>
          <cell r="H107">
            <v>96835.400000000009</v>
          </cell>
          <cell r="I107">
            <v>214897.6</v>
          </cell>
          <cell r="J107">
            <v>116477.6</v>
          </cell>
          <cell r="K107">
            <v>580803.4</v>
          </cell>
          <cell r="L107"/>
          <cell r="M107">
            <v>0.94732245963138151</v>
          </cell>
          <cell r="N107">
            <v>613100</v>
          </cell>
        </row>
        <row r="108">
          <cell r="B108" t="str">
            <v>Manitoba</v>
          </cell>
          <cell r="C108"/>
          <cell r="D108" t="str">
            <v>MB</v>
          </cell>
          <cell r="E108"/>
          <cell r="F108">
            <v>0</v>
          </cell>
          <cell r="G108">
            <v>0</v>
          </cell>
          <cell r="H108">
            <v>0</v>
          </cell>
          <cell r="I108">
            <v>113292.288</v>
          </cell>
          <cell r="J108">
            <v>199720.932</v>
          </cell>
          <cell r="K108">
            <v>313013.21999999997</v>
          </cell>
          <cell r="L108"/>
          <cell r="M108">
            <v>0.79279980750721846</v>
          </cell>
          <cell r="N108">
            <v>394820</v>
          </cell>
        </row>
        <row r="109">
          <cell r="B109" t="str">
            <v>Saskatchewan</v>
          </cell>
          <cell r="C109"/>
          <cell r="D109" t="str">
            <v>SK</v>
          </cell>
          <cell r="E109"/>
          <cell r="F109">
            <v>52128.4</v>
          </cell>
          <cell r="G109">
            <v>52128.4</v>
          </cell>
          <cell r="H109">
            <v>52128.4</v>
          </cell>
          <cell r="I109">
            <v>213557.13099999999</v>
          </cell>
          <cell r="J109">
            <v>229110.99650000001</v>
          </cell>
          <cell r="K109">
            <v>599053.32750000001</v>
          </cell>
          <cell r="L109"/>
          <cell r="M109">
            <v>0.94667835159885905</v>
          </cell>
          <cell r="N109">
            <v>632795</v>
          </cell>
        </row>
        <row r="110">
          <cell r="K110">
            <v>0.75339483755052161</v>
          </cell>
          <cell r="N110"/>
        </row>
        <row r="111">
          <cell r="B111" t="str">
            <v>Projected bookings with MANC &gt;93%</v>
          </cell>
          <cell r="C111"/>
          <cell r="D111"/>
          <cell r="E111"/>
          <cell r="F111">
            <v>70186</v>
          </cell>
          <cell r="G111">
            <v>148963.79999999999</v>
          </cell>
          <cell r="H111">
            <v>186663.6</v>
          </cell>
          <cell r="I111">
            <v>1156616.1149999998</v>
          </cell>
          <cell r="J111">
            <v>3092624.6225000005</v>
          </cell>
          <cell r="K111">
            <v>4655054.1375000002</v>
          </cell>
          <cell r="L111"/>
          <cell r="M111"/>
          <cell r="N111"/>
        </row>
        <row r="112">
          <cell r="K112">
            <v>0.8122138405623851</v>
          </cell>
        </row>
      </sheetData>
      <sheetData sheetId="1">
        <row r="2">
          <cell r="M2">
            <v>10.396955</v>
          </cell>
        </row>
      </sheetData>
      <sheetData sheetId="2">
        <row r="2">
          <cell r="M2">
            <v>12.235505387199998</v>
          </cell>
        </row>
        <row r="3">
          <cell r="M3">
            <v>0.69397052413842009</v>
          </cell>
          <cell r="N3" t="str">
            <v>% Backlog converted to Revenue in Current year</v>
          </cell>
        </row>
        <row r="4">
          <cell r="C4" t="str">
            <v>YTD May-19A</v>
          </cell>
          <cell r="D4" t="str">
            <v>2019F</v>
          </cell>
          <cell r="E4"/>
          <cell r="F4"/>
          <cell r="G4"/>
          <cell r="H4"/>
          <cell r="I4"/>
          <cell r="J4"/>
          <cell r="L4"/>
          <cell r="M4"/>
        </row>
        <row r="5">
          <cell r="B5" t="str">
            <v>Revenue</v>
          </cell>
          <cell r="C5">
            <v>5.7</v>
          </cell>
          <cell r="D5">
            <v>5.7</v>
          </cell>
          <cell r="E5"/>
          <cell r="F5"/>
          <cell r="G5"/>
          <cell r="H5"/>
          <cell r="I5"/>
          <cell r="J5"/>
          <cell r="L5"/>
        </row>
        <row r="6">
          <cell r="B6" t="str">
            <v>Revenue from Backlog</v>
          </cell>
          <cell r="C6"/>
          <cell r="D6">
            <v>10.059464999999999</v>
          </cell>
          <cell r="E6"/>
          <cell r="F6"/>
          <cell r="G6"/>
          <cell r="H6"/>
          <cell r="I6"/>
          <cell r="J6"/>
          <cell r="L6"/>
        </row>
        <row r="7">
          <cell r="B7" t="str">
            <v>Revenue from Pending Backlog</v>
          </cell>
          <cell r="C7"/>
          <cell r="D7">
            <v>4.4360569999999999</v>
          </cell>
          <cell r="E7"/>
          <cell r="F7"/>
          <cell r="G7"/>
          <cell r="H7"/>
          <cell r="I7"/>
          <cell r="J7"/>
          <cell r="L7"/>
        </row>
        <row r="8">
          <cell r="B8" t="str">
            <v>Revenue from Projected Bookings</v>
          </cell>
          <cell r="C8"/>
          <cell r="D8">
            <v>5.7313159999999996</v>
          </cell>
          <cell r="E8"/>
          <cell r="F8"/>
          <cell r="G8"/>
          <cell r="H8"/>
          <cell r="I8"/>
          <cell r="J8"/>
          <cell r="L8"/>
        </row>
        <row r="9">
          <cell r="C9"/>
          <cell r="D9">
            <v>25.926837999999996</v>
          </cell>
          <cell r="E9"/>
          <cell r="F9"/>
          <cell r="G9"/>
          <cell r="H9"/>
          <cell r="I9"/>
          <cell r="J9"/>
          <cell r="L9"/>
        </row>
        <row r="38">
          <cell r="B38" t="str">
            <v>June 24th</v>
          </cell>
          <cell r="D38" t="str">
            <v>June</v>
          </cell>
          <cell r="E38" t="str">
            <v>July</v>
          </cell>
          <cell r="F38" t="str">
            <v>August</v>
          </cell>
          <cell r="G38" t="str">
            <v>September</v>
          </cell>
          <cell r="H38" t="str">
            <v>October</v>
          </cell>
          <cell r="I38" t="str">
            <v>November</v>
          </cell>
          <cell r="J38" t="str">
            <v>December</v>
          </cell>
        </row>
        <row r="39">
          <cell r="B39" t="str">
            <v>revenue from backlog</v>
          </cell>
          <cell r="C39">
            <v>5715000</v>
          </cell>
          <cell r="D39">
            <v>1498157</v>
          </cell>
          <cell r="E39">
            <v>1666002</v>
          </cell>
          <cell r="F39">
            <v>2268825</v>
          </cell>
          <cell r="G39">
            <v>1772416</v>
          </cell>
          <cell r="H39">
            <v>1206630</v>
          </cell>
          <cell r="I39">
            <v>1208550</v>
          </cell>
          <cell r="J39">
            <v>776375</v>
          </cell>
          <cell r="M39">
            <v>16111955</v>
          </cell>
        </row>
        <row r="40">
          <cell r="B40" t="str">
            <v>Revenue from pending backlog</v>
          </cell>
          <cell r="D40"/>
          <cell r="E40">
            <v>140646</v>
          </cell>
          <cell r="F40">
            <v>728034</v>
          </cell>
          <cell r="G40">
            <v>1071069</v>
          </cell>
          <cell r="H40">
            <v>1360100</v>
          </cell>
          <cell r="I40">
            <v>773689</v>
          </cell>
          <cell r="J40">
            <v>362519</v>
          </cell>
          <cell r="M40">
            <v>4436057</v>
          </cell>
        </row>
        <row r="41">
          <cell r="B41" t="str">
            <v>Revenue from projected bookings</v>
          </cell>
          <cell r="D41"/>
          <cell r="E41"/>
          <cell r="F41">
            <v>79909</v>
          </cell>
          <cell r="G41">
            <v>189280</v>
          </cell>
          <cell r="H41">
            <v>212949</v>
          </cell>
          <cell r="I41">
            <v>1441937</v>
          </cell>
          <cell r="J41">
            <v>3807241</v>
          </cell>
          <cell r="M41">
            <v>5731316</v>
          </cell>
        </row>
        <row r="42">
          <cell r="B42" t="str">
            <v>total revenue</v>
          </cell>
          <cell r="C42">
            <v>5715000</v>
          </cell>
          <cell r="D42">
            <v>1498157</v>
          </cell>
          <cell r="E42">
            <v>1806648</v>
          </cell>
          <cell r="F42">
            <v>3076768</v>
          </cell>
          <cell r="G42">
            <v>3032765</v>
          </cell>
          <cell r="H42">
            <v>2779679</v>
          </cell>
          <cell r="I42">
            <v>3424176</v>
          </cell>
          <cell r="J42">
            <v>4946135</v>
          </cell>
          <cell r="M42">
            <v>26279328</v>
          </cell>
        </row>
        <row r="44">
          <cell r="B44" t="str">
            <v>Revenue from Canadian market (supply and install)</v>
          </cell>
          <cell r="D44">
            <v>1379766.4513823353</v>
          </cell>
          <cell r="E44">
            <v>1353690.9466814825</v>
          </cell>
          <cell r="F44">
            <v>1809081.2770722222</v>
          </cell>
          <cell r="G44">
            <v>1505156.9870674282</v>
          </cell>
          <cell r="H44">
            <v>1226890.453976067</v>
          </cell>
          <cell r="I44">
            <v>981619.41572326561</v>
          </cell>
          <cell r="J44">
            <v>843767.41833468527</v>
          </cell>
          <cell r="K44">
            <v>0.17339189960786372</v>
          </cell>
          <cell r="M44">
            <v>0.44989596521922376</v>
          </cell>
        </row>
        <row r="45">
          <cell r="B45" t="str">
            <v>Revenue from US market (supply only)</v>
          </cell>
          <cell r="D45">
            <v>118390.63099999999</v>
          </cell>
          <cell r="E45">
            <v>452956.90900000004</v>
          </cell>
          <cell r="F45">
            <v>1267686.2491249999</v>
          </cell>
          <cell r="G45">
            <v>1527608.4237000002</v>
          </cell>
          <cell r="H45">
            <v>1552789.3032499999</v>
          </cell>
          <cell r="I45">
            <v>2184956.5403750003</v>
          </cell>
          <cell r="J45">
            <v>4022477.3153750002</v>
          </cell>
          <cell r="K45">
            <v>0.82660810039213628</v>
          </cell>
          <cell r="M45">
            <v>0.5501040347807763</v>
          </cell>
          <cell r="N45" t="str">
            <v>Supply only reduces weather delay risks</v>
          </cell>
        </row>
        <row r="46">
          <cell r="D46">
            <v>1498157.0823823353</v>
          </cell>
          <cell r="E46">
            <v>1806647.8556814825</v>
          </cell>
          <cell r="F46">
            <v>3076767.5261972221</v>
          </cell>
          <cell r="G46">
            <v>3032765.4107674286</v>
          </cell>
          <cell r="H46">
            <v>2779679.7572260667</v>
          </cell>
          <cell r="I46">
            <v>3166575.9560982659</v>
          </cell>
          <cell r="J46">
            <v>4866244.7337096855</v>
          </cell>
        </row>
        <row r="48">
          <cell r="B48" t="str">
            <v>Absolute revenue forecast (no MANC factor)</v>
          </cell>
          <cell r="C48">
            <v>5715000</v>
          </cell>
          <cell r="D48">
            <v>1498157</v>
          </cell>
          <cell r="E48">
            <v>1808068.5236814828</v>
          </cell>
          <cell r="F48">
            <v>3142739.9565722216</v>
          </cell>
          <cell r="G48">
            <v>3263282.0402674288</v>
          </cell>
          <cell r="H48">
            <v>2973475.4859760674</v>
          </cell>
          <cell r="I48">
            <v>3619108.8225232651</v>
          </cell>
          <cell r="J48">
            <v>6067937.0827846853</v>
          </cell>
          <cell r="K48"/>
          <cell r="L48"/>
          <cell r="M48">
            <v>28087768.911805153</v>
          </cell>
          <cell r="O48">
            <v>6.8816101835067922E-2</v>
          </cell>
        </row>
        <row r="49">
          <cell r="D49">
            <v>1</v>
          </cell>
          <cell r="E49">
            <v>0.99921434189972491</v>
          </cell>
          <cell r="F49">
            <v>0.97900814019490912</v>
          </cell>
          <cell r="G49">
            <v>0.92936036866475147</v>
          </cell>
          <cell r="H49">
            <v>0.93482492561647867</v>
          </cell>
          <cell r="I49">
            <v>0.94613789413843685</v>
          </cell>
          <cell r="J49">
            <v>0.81512628303821</v>
          </cell>
        </row>
        <row r="51">
          <cell r="C51" t="str">
            <v xml:space="preserve">Revenue from projected bookings </v>
          </cell>
          <cell r="D51"/>
          <cell r="E51"/>
          <cell r="F51"/>
          <cell r="G51"/>
          <cell r="H51"/>
          <cell r="I51"/>
          <cell r="J51"/>
          <cell r="K51"/>
        </row>
        <row r="52">
          <cell r="K52" t="str">
            <v>total</v>
          </cell>
          <cell r="M52" t="str">
            <v>MANC</v>
          </cell>
        </row>
        <row r="53">
          <cell r="B53" t="str">
            <v>cd3912</v>
          </cell>
          <cell r="C53" t="str">
            <v xml:space="preserve">Tipton IA </v>
          </cell>
          <cell r="D53" t="str">
            <v>IA</v>
          </cell>
          <cell r="E53" t="str">
            <v>USA</v>
          </cell>
          <cell r="F53">
            <v>0</v>
          </cell>
          <cell r="G53">
            <v>0</v>
          </cell>
          <cell r="H53">
            <v>0</v>
          </cell>
          <cell r="I53">
            <v>112577.85</v>
          </cell>
          <cell r="J53">
            <v>450311.4</v>
          </cell>
          <cell r="K53">
            <v>562889.25</v>
          </cell>
          <cell r="M53">
            <v>0.9405</v>
          </cell>
          <cell r="N53">
            <v>598500</v>
          </cell>
          <cell r="P53">
            <v>450311.4</v>
          </cell>
          <cell r="Q53">
            <v>0</v>
          </cell>
          <cell r="S53">
            <v>0.11827763258730058</v>
          </cell>
        </row>
        <row r="54">
          <cell r="B54" t="str">
            <v>cd4001</v>
          </cell>
          <cell r="C54" t="str">
            <v>Bloomer, WI</v>
          </cell>
          <cell r="D54" t="str">
            <v>WI</v>
          </cell>
          <cell r="E54" t="str">
            <v>USA</v>
          </cell>
          <cell r="F54">
            <v>0</v>
          </cell>
          <cell r="G54">
            <v>24605</v>
          </cell>
          <cell r="H54">
            <v>98420</v>
          </cell>
          <cell r="I54">
            <v>196840</v>
          </cell>
          <cell r="J54">
            <v>98420</v>
          </cell>
          <cell r="K54">
            <v>418285</v>
          </cell>
          <cell r="M54">
            <v>0.95</v>
          </cell>
          <cell r="N54">
            <v>440300</v>
          </cell>
          <cell r="P54">
            <v>98420</v>
          </cell>
          <cell r="Q54">
            <v>0</v>
          </cell>
        </row>
        <row r="55">
          <cell r="B55" t="str">
            <v>cd1806</v>
          </cell>
          <cell r="C55" t="str">
            <v>Battleford OPTAER SK SWL</v>
          </cell>
          <cell r="D55" t="str">
            <v>SK</v>
          </cell>
          <cell r="E55" t="str">
            <v>Canada</v>
          </cell>
          <cell r="F55">
            <v>52128.4</v>
          </cell>
          <cell r="G55">
            <v>52128.4</v>
          </cell>
          <cell r="H55">
            <v>52128.4</v>
          </cell>
          <cell r="I55">
            <v>130321</v>
          </cell>
          <cell r="J55">
            <v>104256.8</v>
          </cell>
          <cell r="K55">
            <v>390963</v>
          </cell>
          <cell r="M55">
            <v>0.95</v>
          </cell>
          <cell r="N55">
            <v>411540</v>
          </cell>
          <cell r="P55">
            <v>0</v>
          </cell>
          <cell r="Q55">
            <v>104256.8</v>
          </cell>
        </row>
        <row r="56">
          <cell r="B56" t="str">
            <v>cd2874</v>
          </cell>
          <cell r="C56" t="str">
            <v>Absarokee</v>
          </cell>
          <cell r="D56" t="str">
            <v>MT</v>
          </cell>
          <cell r="E56" t="str">
            <v>USA</v>
          </cell>
          <cell r="F56">
            <v>0</v>
          </cell>
          <cell r="G56">
            <v>0</v>
          </cell>
          <cell r="H56">
            <v>0</v>
          </cell>
          <cell r="I56">
            <v>69064</v>
          </cell>
          <cell r="J56">
            <v>276256</v>
          </cell>
          <cell r="K56">
            <v>345320</v>
          </cell>
          <cell r="M56">
            <v>0.97</v>
          </cell>
          <cell r="N56">
            <v>356000</v>
          </cell>
          <cell r="P56">
            <v>276256</v>
          </cell>
          <cell r="Q56">
            <v>0</v>
          </cell>
        </row>
        <row r="57">
          <cell r="B57" t="str">
            <v>cd1590</v>
          </cell>
          <cell r="C57" t="str">
            <v>Dallas Center IA</v>
          </cell>
          <cell r="D57" t="str">
            <v>IA</v>
          </cell>
          <cell r="E57" t="str">
            <v>USA</v>
          </cell>
          <cell r="F57">
            <v>0</v>
          </cell>
          <cell r="G57">
            <v>0</v>
          </cell>
          <cell r="H57">
            <v>0</v>
          </cell>
          <cell r="I57">
            <v>62355.15</v>
          </cell>
          <cell r="J57">
            <v>249420.6</v>
          </cell>
          <cell r="K57">
            <v>311775.75</v>
          </cell>
          <cell r="M57">
            <v>0.9405</v>
          </cell>
          <cell r="N57">
            <v>331500</v>
          </cell>
          <cell r="P57">
            <v>249420.6</v>
          </cell>
          <cell r="Q57">
            <v>0</v>
          </cell>
        </row>
        <row r="58">
          <cell r="B58" t="str">
            <v>cd1732</v>
          </cell>
          <cell r="C58" t="str">
            <v>Sigourney, IA</v>
          </cell>
          <cell r="D58" t="str">
            <v>IA</v>
          </cell>
          <cell r="E58" t="str">
            <v>USA</v>
          </cell>
          <cell r="F58">
            <v>0</v>
          </cell>
          <cell r="G58">
            <v>0</v>
          </cell>
          <cell r="H58">
            <v>0</v>
          </cell>
          <cell r="I58">
            <v>59862.825000000004</v>
          </cell>
          <cell r="J58">
            <v>239451.30000000002</v>
          </cell>
          <cell r="K58">
            <v>299314.125</v>
          </cell>
          <cell r="M58">
            <v>0.9405</v>
          </cell>
          <cell r="N58">
            <v>318250</v>
          </cell>
          <cell r="P58">
            <v>239451.30000000002</v>
          </cell>
          <cell r="Q58">
            <v>0</v>
          </cell>
        </row>
        <row r="59">
          <cell r="B59" t="str">
            <v>cd4101</v>
          </cell>
          <cell r="C59" t="str">
            <v>Dysart IA</v>
          </cell>
          <cell r="D59" t="str">
            <v>IA</v>
          </cell>
          <cell r="E59" t="str">
            <v>USA</v>
          </cell>
          <cell r="F59">
            <v>0</v>
          </cell>
          <cell r="G59">
            <v>0</v>
          </cell>
          <cell r="H59">
            <v>0</v>
          </cell>
          <cell r="I59">
            <v>56900.25</v>
          </cell>
          <cell r="J59">
            <v>227601</v>
          </cell>
          <cell r="K59">
            <v>284501.25</v>
          </cell>
          <cell r="M59">
            <v>0.9405</v>
          </cell>
          <cell r="N59">
            <v>302500</v>
          </cell>
          <cell r="P59">
            <v>227601</v>
          </cell>
          <cell r="Q59">
            <v>0</v>
          </cell>
        </row>
        <row r="60">
          <cell r="B60" t="str">
            <v>cd3614</v>
          </cell>
          <cell r="C60" t="str">
            <v>Glidden IA SWL</v>
          </cell>
          <cell r="D60" t="str">
            <v>IA</v>
          </cell>
          <cell r="E60" t="str">
            <v>USA</v>
          </cell>
          <cell r="F60">
            <v>0</v>
          </cell>
          <cell r="G60">
            <v>0</v>
          </cell>
          <cell r="H60">
            <v>0</v>
          </cell>
          <cell r="I60">
            <v>47871.450000000004</v>
          </cell>
          <cell r="J60">
            <v>191485.80000000002</v>
          </cell>
          <cell r="K60">
            <v>239357.25000000003</v>
          </cell>
          <cell r="M60">
            <v>0.9405</v>
          </cell>
          <cell r="N60">
            <v>254500.00000000003</v>
          </cell>
          <cell r="P60">
            <v>191485.80000000002</v>
          </cell>
          <cell r="Q60">
            <v>0</v>
          </cell>
        </row>
        <row r="61">
          <cell r="B61" t="str">
            <v>cd1872</v>
          </cell>
          <cell r="C61" t="str">
            <v>Anita, IA</v>
          </cell>
          <cell r="D61" t="str">
            <v>IA</v>
          </cell>
          <cell r="E61" t="str">
            <v>USA</v>
          </cell>
          <cell r="F61">
            <v>0</v>
          </cell>
          <cell r="G61">
            <v>0</v>
          </cell>
          <cell r="H61">
            <v>0</v>
          </cell>
          <cell r="I61">
            <v>46187.955000000002</v>
          </cell>
          <cell r="J61">
            <v>184751.82</v>
          </cell>
          <cell r="K61">
            <v>230939.77500000002</v>
          </cell>
          <cell r="M61">
            <v>0.9405</v>
          </cell>
          <cell r="N61">
            <v>245550.00000000003</v>
          </cell>
          <cell r="P61">
            <v>184751.82</v>
          </cell>
          <cell r="Q61">
            <v>0</v>
          </cell>
        </row>
        <row r="62">
          <cell r="B62" t="str">
            <v>cd3002</v>
          </cell>
          <cell r="C62" t="str">
            <v>Massena IA</v>
          </cell>
          <cell r="D62" t="str">
            <v>IA</v>
          </cell>
          <cell r="E62" t="str">
            <v>USA</v>
          </cell>
          <cell r="F62">
            <v>0</v>
          </cell>
          <cell r="G62">
            <v>0</v>
          </cell>
          <cell r="H62">
            <v>0</v>
          </cell>
          <cell r="I62">
            <v>40817.700000000004</v>
          </cell>
          <cell r="J62">
            <v>163270.80000000002</v>
          </cell>
          <cell r="K62">
            <v>204088.50000000003</v>
          </cell>
          <cell r="M62">
            <v>0.9405</v>
          </cell>
          <cell r="N62">
            <v>217000.00000000003</v>
          </cell>
          <cell r="P62">
            <v>163270.80000000002</v>
          </cell>
          <cell r="Q62">
            <v>0</v>
          </cell>
        </row>
        <row r="63">
          <cell r="B63" t="str">
            <v>cd1761</v>
          </cell>
          <cell r="C63" t="str">
            <v>Aurora, SD</v>
          </cell>
          <cell r="D63" t="str">
            <v>SD</v>
          </cell>
          <cell r="E63" t="str">
            <v>USA</v>
          </cell>
          <cell r="F63">
            <v>0</v>
          </cell>
          <cell r="G63">
            <v>0</v>
          </cell>
          <cell r="H63">
            <v>0</v>
          </cell>
          <cell r="I63">
            <v>38153.733749999999</v>
          </cell>
          <cell r="J63">
            <v>152614.935</v>
          </cell>
          <cell r="K63">
            <v>190768.66875000001</v>
          </cell>
          <cell r="M63">
            <v>0.63483749999999994</v>
          </cell>
          <cell r="N63">
            <v>300500.00000000006</v>
          </cell>
          <cell r="P63">
            <v>152614.935</v>
          </cell>
          <cell r="Q63">
            <v>0</v>
          </cell>
        </row>
        <row r="64">
          <cell r="B64" t="str">
            <v>cd4148</v>
          </cell>
          <cell r="C64" t="str">
            <v>Riceville IA</v>
          </cell>
          <cell r="D64" t="str">
            <v>IA</v>
          </cell>
          <cell r="E64" t="str">
            <v>USA</v>
          </cell>
          <cell r="F64">
            <v>0</v>
          </cell>
          <cell r="G64">
            <v>0</v>
          </cell>
          <cell r="H64">
            <v>0</v>
          </cell>
          <cell r="I64">
            <v>37620</v>
          </cell>
          <cell r="J64">
            <v>150480</v>
          </cell>
          <cell r="K64">
            <v>188100</v>
          </cell>
          <cell r="M64">
            <v>0.9405</v>
          </cell>
          <cell r="N64">
            <v>200000</v>
          </cell>
          <cell r="P64">
            <v>150480</v>
          </cell>
          <cell r="Q64">
            <v>0</v>
          </cell>
        </row>
        <row r="65">
          <cell r="B65" t="str">
            <v>cd3852</v>
          </cell>
          <cell r="C65" t="str">
            <v>Blairstown IA</v>
          </cell>
          <cell r="D65" t="str">
            <v>IA</v>
          </cell>
          <cell r="E65" t="str">
            <v>USA</v>
          </cell>
          <cell r="F65">
            <v>0</v>
          </cell>
          <cell r="G65">
            <v>0</v>
          </cell>
          <cell r="H65">
            <v>0</v>
          </cell>
          <cell r="I65">
            <v>36303.300000000003</v>
          </cell>
          <cell r="J65">
            <v>145213.20000000001</v>
          </cell>
          <cell r="K65">
            <v>181516.5</v>
          </cell>
          <cell r="M65">
            <v>0.9405</v>
          </cell>
          <cell r="N65">
            <v>193000</v>
          </cell>
          <cell r="P65">
            <v>145213.20000000001</v>
          </cell>
          <cell r="Q65">
            <v>0</v>
          </cell>
        </row>
        <row r="66">
          <cell r="B66" t="str">
            <v>cd2331</v>
          </cell>
          <cell r="C66" t="str">
            <v>Preeceville</v>
          </cell>
          <cell r="D66" t="str">
            <v>SK</v>
          </cell>
          <cell r="E66" t="str">
            <v>Canada</v>
          </cell>
          <cell r="F66">
            <v>0</v>
          </cell>
          <cell r="G66">
            <v>0</v>
          </cell>
          <cell r="H66">
            <v>0</v>
          </cell>
          <cell r="I66">
            <v>67904.100000000006</v>
          </cell>
          <cell r="J66">
            <v>101856.15</v>
          </cell>
          <cell r="K66">
            <v>169760.25</v>
          </cell>
          <cell r="M66">
            <v>0.9405</v>
          </cell>
          <cell r="N66">
            <v>180500</v>
          </cell>
          <cell r="P66">
            <v>0</v>
          </cell>
          <cell r="Q66">
            <v>101856.15</v>
          </cell>
        </row>
        <row r="67">
          <cell r="B67" t="str">
            <v>cd2195</v>
          </cell>
          <cell r="C67" t="str">
            <v>Sundre OPTAER SWL</v>
          </cell>
          <cell r="D67" t="str">
            <v>AB</v>
          </cell>
          <cell r="E67" t="str">
            <v>Canada</v>
          </cell>
          <cell r="F67">
            <v>0</v>
          </cell>
          <cell r="G67">
            <v>0</v>
          </cell>
          <cell r="H67">
            <v>0</v>
          </cell>
          <cell r="I67">
            <v>67904.100000000006</v>
          </cell>
          <cell r="J67">
            <v>101856.15</v>
          </cell>
          <cell r="K67">
            <v>169760.25</v>
          </cell>
          <cell r="M67">
            <v>0.85499999999999998</v>
          </cell>
          <cell r="N67">
            <v>198550</v>
          </cell>
          <cell r="P67">
            <v>0</v>
          </cell>
          <cell r="Q67">
            <v>101856.15</v>
          </cell>
        </row>
        <row r="68">
          <cell r="B68" t="str">
            <v>cd3667</v>
          </cell>
          <cell r="C68" t="str">
            <v>New Bothwell SWL</v>
          </cell>
          <cell r="D68" t="str">
            <v>MB</v>
          </cell>
          <cell r="E68" t="str">
            <v>Canada</v>
          </cell>
          <cell r="F68">
            <v>0</v>
          </cell>
          <cell r="G68">
            <v>0</v>
          </cell>
          <cell r="H68">
            <v>0</v>
          </cell>
          <cell r="I68">
            <v>67260.456000000006</v>
          </cell>
          <cell r="J68">
            <v>100890.68400000001</v>
          </cell>
          <cell r="K68">
            <v>168151.14</v>
          </cell>
          <cell r="M68">
            <v>0.72900000000000009</v>
          </cell>
          <cell r="N68">
            <v>230660</v>
          </cell>
          <cell r="P68">
            <v>0</v>
          </cell>
          <cell r="Q68">
            <v>100890.68400000001</v>
          </cell>
        </row>
        <row r="69">
          <cell r="B69" t="str">
            <v>cd1822</v>
          </cell>
          <cell r="C69" t="str">
            <v>Brighton IA SWL</v>
          </cell>
          <cell r="D69" t="str">
            <v>IA</v>
          </cell>
          <cell r="E69" t="str">
            <v>USA</v>
          </cell>
          <cell r="F69">
            <v>0</v>
          </cell>
          <cell r="G69">
            <v>0</v>
          </cell>
          <cell r="H69">
            <v>0</v>
          </cell>
          <cell r="I69">
            <v>32729.4</v>
          </cell>
          <cell r="J69">
            <v>130917.6</v>
          </cell>
          <cell r="K69">
            <v>163647</v>
          </cell>
          <cell r="M69">
            <v>0.9405</v>
          </cell>
          <cell r="N69">
            <v>174000</v>
          </cell>
          <cell r="P69">
            <v>130917.6</v>
          </cell>
          <cell r="Q69">
            <v>0</v>
          </cell>
        </row>
        <row r="70">
          <cell r="B70" t="str">
            <v>cd2738</v>
          </cell>
          <cell r="C70" t="str">
            <v>Dale WI</v>
          </cell>
          <cell r="D70" t="str">
            <v>WI</v>
          </cell>
          <cell r="E70" t="str">
            <v>USA</v>
          </cell>
          <cell r="F70">
            <v>18057.600000000002</v>
          </cell>
          <cell r="G70">
            <v>72230.400000000009</v>
          </cell>
          <cell r="H70">
            <v>36115.200000000004</v>
          </cell>
          <cell r="I70">
            <v>18057.600000000002</v>
          </cell>
          <cell r="J70">
            <v>18057.600000000002</v>
          </cell>
          <cell r="K70">
            <v>162518.40000000002</v>
          </cell>
          <cell r="M70">
            <v>0.9405</v>
          </cell>
          <cell r="N70">
            <v>172800.00000000003</v>
          </cell>
          <cell r="P70">
            <v>18057.600000000002</v>
          </cell>
          <cell r="Q70">
            <v>0</v>
          </cell>
        </row>
        <row r="71">
          <cell r="B71" t="str">
            <v>cd3650</v>
          </cell>
          <cell r="C71" t="str">
            <v>Everly IA</v>
          </cell>
          <cell r="D71" t="str">
            <v>IA</v>
          </cell>
          <cell r="E71" t="str">
            <v>USA</v>
          </cell>
          <cell r="F71">
            <v>0</v>
          </cell>
          <cell r="G71">
            <v>0</v>
          </cell>
          <cell r="H71">
            <v>0</v>
          </cell>
          <cell r="I71">
            <v>31788.9</v>
          </cell>
          <cell r="J71">
            <v>127155.6</v>
          </cell>
          <cell r="K71">
            <v>158944.5</v>
          </cell>
          <cell r="M71">
            <v>0.9405</v>
          </cell>
          <cell r="N71">
            <v>169000</v>
          </cell>
          <cell r="P71">
            <v>127155.6</v>
          </cell>
          <cell r="Q71">
            <v>0</v>
          </cell>
        </row>
        <row r="72">
          <cell r="B72" t="str">
            <v>cd2674</v>
          </cell>
          <cell r="C72" t="str">
            <v>Hollandsburg Palestine OH</v>
          </cell>
          <cell r="D72" t="str">
            <v>OH</v>
          </cell>
          <cell r="E72" t="str">
            <v>USA</v>
          </cell>
          <cell r="F72">
            <v>0</v>
          </cell>
          <cell r="G72">
            <v>0</v>
          </cell>
          <cell r="H72">
            <v>0</v>
          </cell>
          <cell r="I72">
            <v>27838.800000000003</v>
          </cell>
          <cell r="J72">
            <v>111355.20000000001</v>
          </cell>
          <cell r="K72">
            <v>139194</v>
          </cell>
          <cell r="M72">
            <v>0.9405</v>
          </cell>
          <cell r="N72">
            <v>148000</v>
          </cell>
          <cell r="P72">
            <v>111355.20000000001</v>
          </cell>
          <cell r="Q72">
            <v>0</v>
          </cell>
        </row>
        <row r="73">
          <cell r="B73" t="str">
            <v>cd2694</v>
          </cell>
          <cell r="C73" t="str">
            <v>Jonesburg MO</v>
          </cell>
          <cell r="D73" t="str">
            <v>MO</v>
          </cell>
          <cell r="E73" t="str">
            <v>USA</v>
          </cell>
          <cell r="F73">
            <v>0</v>
          </cell>
          <cell r="G73">
            <v>0</v>
          </cell>
          <cell r="H73">
            <v>0</v>
          </cell>
          <cell r="I73">
            <v>26329.050000000003</v>
          </cell>
          <cell r="J73">
            <v>105316.20000000001</v>
          </cell>
          <cell r="K73">
            <v>131645.25</v>
          </cell>
          <cell r="M73">
            <v>0.66825000000000001</v>
          </cell>
          <cell r="N73">
            <v>197000</v>
          </cell>
          <cell r="P73">
            <v>105316.20000000001</v>
          </cell>
          <cell r="Q73">
            <v>0</v>
          </cell>
        </row>
        <row r="74">
          <cell r="B74" t="str">
            <v>cd4141</v>
          </cell>
          <cell r="C74" t="str">
            <v>Wuskwi Sipihk FN MB</v>
          </cell>
          <cell r="D74" t="str">
            <v>MB</v>
          </cell>
          <cell r="E74" t="str">
            <v>Canada</v>
          </cell>
          <cell r="F74">
            <v>0</v>
          </cell>
          <cell r="G74">
            <v>0</v>
          </cell>
          <cell r="H74">
            <v>0</v>
          </cell>
          <cell r="I74">
            <v>46031.832000000002</v>
          </cell>
          <cell r="J74">
            <v>69047.747999999992</v>
          </cell>
          <cell r="K74">
            <v>115079.57999999999</v>
          </cell>
          <cell r="M74">
            <v>0.9405</v>
          </cell>
          <cell r="N74">
            <v>122359.99999999999</v>
          </cell>
          <cell r="P74">
            <v>0</v>
          </cell>
          <cell r="Q74">
            <v>69047.747999999992</v>
          </cell>
        </row>
        <row r="75">
          <cell r="B75" t="str">
            <v>cd2353</v>
          </cell>
          <cell r="C75" t="str">
            <v>Dillingham</v>
          </cell>
          <cell r="D75" t="str">
            <v>AK</v>
          </cell>
          <cell r="E75" t="str">
            <v>USA</v>
          </cell>
          <cell r="F75">
            <v>0</v>
          </cell>
          <cell r="G75">
            <v>0</v>
          </cell>
          <cell r="H75">
            <v>0</v>
          </cell>
          <cell r="I75">
            <v>13529.092499999999</v>
          </cell>
          <cell r="J75">
            <v>54116.369999999995</v>
          </cell>
          <cell r="K75">
            <v>67645.462499999994</v>
          </cell>
          <cell r="M75">
            <v>0.47025</v>
          </cell>
          <cell r="N75">
            <v>143850</v>
          </cell>
          <cell r="P75">
            <v>54116.369999999995</v>
          </cell>
          <cell r="Q75">
            <v>0</v>
          </cell>
        </row>
        <row r="76">
          <cell r="B76" t="str">
            <v>cd2194</v>
          </cell>
          <cell r="C76" t="str">
            <v>East Lynn, MO</v>
          </cell>
          <cell r="D76" t="str">
            <v>MO</v>
          </cell>
          <cell r="E76" t="str">
            <v>USA</v>
          </cell>
          <cell r="F76">
            <v>0</v>
          </cell>
          <cell r="G76">
            <v>0</v>
          </cell>
          <cell r="H76">
            <v>0</v>
          </cell>
          <cell r="I76">
            <v>9459.0787499999988</v>
          </cell>
          <cell r="J76">
            <v>37836.314999999995</v>
          </cell>
          <cell r="K76">
            <v>47295.393749999996</v>
          </cell>
          <cell r="M76">
            <v>0.63483749999999994</v>
          </cell>
          <cell r="N76">
            <v>74500</v>
          </cell>
          <cell r="P76">
            <v>37836.314999999995</v>
          </cell>
          <cell r="Q76">
            <v>0</v>
          </cell>
        </row>
        <row r="77">
          <cell r="B77" t="str">
            <v>cd4006</v>
          </cell>
          <cell r="C77" t="str">
            <v>Sucker Creek Rebuild RWR</v>
          </cell>
          <cell r="D77" t="str">
            <v>AB</v>
          </cell>
          <cell r="E77" t="str">
            <v>Canada</v>
          </cell>
          <cell r="F77">
            <v>0</v>
          </cell>
          <cell r="G77">
            <v>0</v>
          </cell>
          <cell r="H77">
            <v>0</v>
          </cell>
          <cell r="I77">
            <v>15446.772000000001</v>
          </cell>
          <cell r="J77">
            <v>23170.157999999999</v>
          </cell>
          <cell r="K77">
            <v>38616.93</v>
          </cell>
          <cell r="M77">
            <v>0.99</v>
          </cell>
          <cell r="N77">
            <v>39007</v>
          </cell>
          <cell r="P77">
            <v>0</v>
          </cell>
          <cell r="Q77">
            <v>23170.157999999999</v>
          </cell>
        </row>
        <row r="78">
          <cell r="B78" t="str">
            <v>cd2119</v>
          </cell>
          <cell r="C78" t="str">
            <v>LeBret FN SK</v>
          </cell>
          <cell r="D78" t="str">
            <v>SK</v>
          </cell>
          <cell r="E78" t="str">
            <v>Canada</v>
          </cell>
          <cell r="F78">
            <v>0</v>
          </cell>
          <cell r="G78">
            <v>0</v>
          </cell>
          <cell r="H78">
            <v>0</v>
          </cell>
          <cell r="I78">
            <v>15332.031000000001</v>
          </cell>
          <cell r="J78">
            <v>22998.0465</v>
          </cell>
          <cell r="K78">
            <v>38330.077499999999</v>
          </cell>
          <cell r="M78">
            <v>0.9405</v>
          </cell>
          <cell r="N78">
            <v>40755</v>
          </cell>
          <cell r="P78">
            <v>0</v>
          </cell>
          <cell r="Q78">
            <v>22998.0465</v>
          </cell>
        </row>
        <row r="79">
          <cell r="B79" t="str">
            <v>cd2758</v>
          </cell>
          <cell r="C79" t="str">
            <v>Talkeetna AK SWL</v>
          </cell>
          <cell r="D79" t="str">
            <v>AK</v>
          </cell>
          <cell r="E79" t="str">
            <v>USA</v>
          </cell>
          <cell r="F79">
            <v>3629</v>
          </cell>
          <cell r="G79">
            <v>14516</v>
          </cell>
          <cell r="H79">
            <v>7258</v>
          </cell>
          <cell r="I79">
            <v>3629</v>
          </cell>
          <cell r="J79">
            <v>3629</v>
          </cell>
          <cell r="K79">
            <v>32661</v>
          </cell>
          <cell r="M79">
            <v>0.23749999999999999</v>
          </cell>
          <cell r="N79">
            <v>137520</v>
          </cell>
          <cell r="P79">
            <v>3629</v>
          </cell>
          <cell r="Q79">
            <v>0</v>
          </cell>
        </row>
        <row r="80">
          <cell r="B80" t="str">
            <v>cd4405</v>
          </cell>
          <cell r="C80" t="str">
            <v xml:space="preserve">Sandy Bay MB </v>
          </cell>
          <cell r="D80" t="str">
            <v>MB</v>
          </cell>
          <cell r="E80" t="str">
            <v>Canada</v>
          </cell>
          <cell r="F80">
            <v>0</v>
          </cell>
          <cell r="G80">
            <v>0</v>
          </cell>
          <cell r="H80">
            <v>0</v>
          </cell>
          <cell r="I80">
            <v>0</v>
          </cell>
          <cell r="J80">
            <v>29782.499999999996</v>
          </cell>
          <cell r="K80">
            <v>29782.499999999996</v>
          </cell>
          <cell r="M80">
            <v>0.71249999999999991</v>
          </cell>
          <cell r="N80">
            <v>41800</v>
          </cell>
          <cell r="P80">
            <v>0</v>
          </cell>
          <cell r="Q80">
            <v>29782.499999999996</v>
          </cell>
        </row>
        <row r="81">
          <cell r="B81" t="str">
            <v>cd3704</v>
          </cell>
          <cell r="C81" t="str">
            <v>Plessisville</v>
          </cell>
          <cell r="D81" t="str">
            <v>QC</v>
          </cell>
          <cell r="E81" t="str">
            <v>Canada</v>
          </cell>
          <cell r="F81">
            <v>0</v>
          </cell>
          <cell r="G81">
            <v>0</v>
          </cell>
          <cell r="H81">
            <v>0</v>
          </cell>
          <cell r="I81">
            <v>4895.1599999999989</v>
          </cell>
          <cell r="J81">
            <v>19580.639999999996</v>
          </cell>
          <cell r="K81">
            <v>24475.799999999996</v>
          </cell>
          <cell r="M81">
            <v>0.14249999999999999</v>
          </cell>
          <cell r="N81">
            <v>171759.99999999997</v>
          </cell>
          <cell r="P81">
            <v>0</v>
          </cell>
          <cell r="Q81">
            <v>19580.639999999996</v>
          </cell>
        </row>
        <row r="82">
          <cell r="B82" t="str">
            <v>cd4423</v>
          </cell>
          <cell r="C82" t="str">
            <v>Whitefield NH DF</v>
          </cell>
          <cell r="D82" t="str">
            <v>NH</v>
          </cell>
          <cell r="E82" t="str">
            <v>USA</v>
          </cell>
          <cell r="F82">
            <v>0</v>
          </cell>
          <cell r="G82">
            <v>1425</v>
          </cell>
          <cell r="H82">
            <v>5700</v>
          </cell>
          <cell r="I82">
            <v>11400</v>
          </cell>
          <cell r="J82">
            <v>5700</v>
          </cell>
          <cell r="K82">
            <v>24225</v>
          </cell>
          <cell r="M82">
            <v>0.14249999999999999</v>
          </cell>
          <cell r="N82">
            <v>170000.00000000003</v>
          </cell>
          <cell r="P82">
            <v>5700</v>
          </cell>
          <cell r="Q82">
            <v>0</v>
          </cell>
        </row>
        <row r="83">
          <cell r="B83" t="str">
            <v>cd4073</v>
          </cell>
          <cell r="C83" t="str">
            <v>Epursol SWL</v>
          </cell>
          <cell r="D83" t="str">
            <v>QC</v>
          </cell>
          <cell r="E83" t="str">
            <v>Canada</v>
          </cell>
          <cell r="F83">
            <v>0</v>
          </cell>
          <cell r="G83">
            <v>0</v>
          </cell>
          <cell r="H83">
            <v>0</v>
          </cell>
          <cell r="I83">
            <v>9603.36</v>
          </cell>
          <cell r="J83">
            <v>14405.04</v>
          </cell>
          <cell r="K83">
            <v>24008.400000000001</v>
          </cell>
          <cell r="M83">
            <v>0.81</v>
          </cell>
          <cell r="N83">
            <v>29640</v>
          </cell>
          <cell r="P83">
            <v>0</v>
          </cell>
          <cell r="Q83">
            <v>14405.04</v>
          </cell>
        </row>
        <row r="84">
          <cell r="B84" t="str">
            <v>cd3037</v>
          </cell>
          <cell r="C84" t="str">
            <v>New Town, ND</v>
          </cell>
          <cell r="D84" t="str">
            <v>ND</v>
          </cell>
          <cell r="E84" t="str">
            <v>USA</v>
          </cell>
          <cell r="F84">
            <v>2559.6000000000004</v>
          </cell>
          <cell r="G84">
            <v>10238.400000000001</v>
          </cell>
          <cell r="H84">
            <v>5119.2000000000007</v>
          </cell>
          <cell r="I84">
            <v>2559.6000000000004</v>
          </cell>
          <cell r="J84">
            <v>2559.6000000000004</v>
          </cell>
          <cell r="K84">
            <v>23036.400000000001</v>
          </cell>
          <cell r="M84">
            <v>8.1000000000000016E-2</v>
          </cell>
          <cell r="N84">
            <v>284399.99999999994</v>
          </cell>
          <cell r="P84">
            <v>2559.6000000000004</v>
          </cell>
          <cell r="Q84">
            <v>0</v>
          </cell>
        </row>
        <row r="85">
          <cell r="B85" t="str">
            <v>cd4270</v>
          </cell>
          <cell r="C85" t="str">
            <v>Saint-Elzear QC SWL</v>
          </cell>
          <cell r="D85" t="str">
            <v>QC</v>
          </cell>
          <cell r="E85" t="str">
            <v>Canada</v>
          </cell>
          <cell r="F85">
            <v>0</v>
          </cell>
          <cell r="G85">
            <v>0</v>
          </cell>
          <cell r="H85">
            <v>0</v>
          </cell>
          <cell r="I85">
            <v>8410.3271999999997</v>
          </cell>
          <cell r="J85">
            <v>12615.4908</v>
          </cell>
          <cell r="K85">
            <v>21025.817999999999</v>
          </cell>
          <cell r="M85">
            <v>0.66825000000000001</v>
          </cell>
          <cell r="N85">
            <v>31464</v>
          </cell>
          <cell r="P85">
            <v>0</v>
          </cell>
          <cell r="Q85">
            <v>12615.4908</v>
          </cell>
        </row>
        <row r="86">
          <cell r="B86" t="str">
            <v>cd4367</v>
          </cell>
          <cell r="C86" t="str">
            <v>Fire Training Academy WA</v>
          </cell>
          <cell r="D86" t="str">
            <v>WA</v>
          </cell>
          <cell r="E86" t="str">
            <v>USA</v>
          </cell>
          <cell r="F86">
            <v>1847.75</v>
          </cell>
          <cell r="G86">
            <v>7391</v>
          </cell>
          <cell r="H86">
            <v>3695.5</v>
          </cell>
          <cell r="I86">
            <v>1847.75</v>
          </cell>
          <cell r="J86">
            <v>1847.75</v>
          </cell>
          <cell r="K86">
            <v>16629.75</v>
          </cell>
          <cell r="M86">
            <v>0.47499999999999998</v>
          </cell>
          <cell r="N86">
            <v>35010</v>
          </cell>
          <cell r="P86">
            <v>1847.75</v>
          </cell>
          <cell r="Q86">
            <v>0</v>
          </cell>
        </row>
        <row r="87">
          <cell r="B87" t="str">
            <v>cd4030</v>
          </cell>
          <cell r="C87" t="str">
            <v>La Malbaie QC</v>
          </cell>
          <cell r="D87" t="str">
            <v>QC</v>
          </cell>
          <cell r="E87" t="str">
            <v>Canada</v>
          </cell>
          <cell r="F87">
            <v>0</v>
          </cell>
          <cell r="G87">
            <v>0</v>
          </cell>
          <cell r="H87">
            <v>0</v>
          </cell>
          <cell r="I87">
            <v>6627.9600000000009</v>
          </cell>
          <cell r="J87">
            <v>9941.94</v>
          </cell>
          <cell r="K87">
            <v>16569.900000000001</v>
          </cell>
          <cell r="M87">
            <v>0.85499999999999998</v>
          </cell>
          <cell r="N87">
            <v>19380.000000000004</v>
          </cell>
          <cell r="P87">
            <v>0</v>
          </cell>
          <cell r="Q87">
            <v>9941.94</v>
          </cell>
        </row>
        <row r="88">
          <cell r="B88" t="str">
            <v>cd4416</v>
          </cell>
          <cell r="C88" t="str">
            <v>Chichaoua</v>
          </cell>
          <cell r="D88" t="str">
            <v>Other</v>
          </cell>
          <cell r="E88" t="str">
            <v>USA</v>
          </cell>
          <cell r="F88">
            <v>0</v>
          </cell>
          <cell r="G88">
            <v>0</v>
          </cell>
          <cell r="H88">
            <v>0</v>
          </cell>
          <cell r="I88">
            <v>3216.7000000000003</v>
          </cell>
          <cell r="J88">
            <v>12866.800000000001</v>
          </cell>
          <cell r="K88">
            <v>16083.500000000002</v>
          </cell>
          <cell r="M88">
            <v>0.25</v>
          </cell>
          <cell r="N88">
            <v>64334.000000000007</v>
          </cell>
          <cell r="P88">
            <v>12866.800000000001</v>
          </cell>
          <cell r="Q88">
            <v>0</v>
          </cell>
        </row>
        <row r="89">
          <cell r="B89" t="str">
            <v>cd4233</v>
          </cell>
          <cell r="C89" t="str">
            <v>Murphys CA</v>
          </cell>
          <cell r="D89" t="str">
            <v>CA</v>
          </cell>
          <cell r="E89" t="str">
            <v>USA</v>
          </cell>
          <cell r="F89">
            <v>1686.5516250000001</v>
          </cell>
          <cell r="G89">
            <v>6746.2065000000002</v>
          </cell>
          <cell r="H89">
            <v>3373.1032500000001</v>
          </cell>
          <cell r="I89">
            <v>1686.5516250000001</v>
          </cell>
          <cell r="J89">
            <v>1686.5516250000001</v>
          </cell>
          <cell r="K89">
            <v>15178.964625000001</v>
          </cell>
          <cell r="M89">
            <v>0.21161250000000001</v>
          </cell>
          <cell r="N89">
            <v>71730</v>
          </cell>
          <cell r="P89">
            <v>1686.5516250000001</v>
          </cell>
          <cell r="Q89">
            <v>0</v>
          </cell>
        </row>
        <row r="90">
          <cell r="B90" t="str">
            <v>cd2894</v>
          </cell>
          <cell r="C90" t="str">
            <v>Ville-Marie BP</v>
          </cell>
          <cell r="D90" t="str">
            <v>QC</v>
          </cell>
          <cell r="E90" t="str">
            <v>Canada</v>
          </cell>
          <cell r="F90">
            <v>0</v>
          </cell>
          <cell r="G90">
            <v>0</v>
          </cell>
          <cell r="H90">
            <v>0</v>
          </cell>
          <cell r="I90">
            <v>3002.0760000000005</v>
          </cell>
          <cell r="J90">
            <v>12008.304000000002</v>
          </cell>
          <cell r="K90">
            <v>15010.380000000003</v>
          </cell>
          <cell r="M90">
            <v>9.9000000000000005E-2</v>
          </cell>
          <cell r="N90">
            <v>151620.00000000003</v>
          </cell>
          <cell r="P90">
            <v>0</v>
          </cell>
          <cell r="Q90">
            <v>12008.304000000002</v>
          </cell>
        </row>
        <row r="91">
          <cell r="B91" t="str">
            <v>cd4166</v>
          </cell>
          <cell r="C91" t="str">
            <v>Onion Lake</v>
          </cell>
          <cell r="D91" t="str">
            <v>AB</v>
          </cell>
          <cell r="E91" t="str">
            <v>Canada</v>
          </cell>
          <cell r="F91">
            <v>0</v>
          </cell>
          <cell r="G91">
            <v>0</v>
          </cell>
          <cell r="H91">
            <v>0</v>
          </cell>
          <cell r="I91">
            <v>4765.2</v>
          </cell>
          <cell r="J91">
            <v>7147.8</v>
          </cell>
          <cell r="K91">
            <v>11913</v>
          </cell>
          <cell r="M91">
            <v>0.95</v>
          </cell>
          <cell r="N91">
            <v>12540</v>
          </cell>
          <cell r="P91">
            <v>0</v>
          </cell>
          <cell r="Q91">
            <v>7147.8</v>
          </cell>
        </row>
        <row r="92">
          <cell r="B92" t="str">
            <v>cd3878</v>
          </cell>
          <cell r="C92" t="str">
            <v>Kanab</v>
          </cell>
          <cell r="D92" t="str">
            <v>UT</v>
          </cell>
          <cell r="E92" t="str">
            <v>USA</v>
          </cell>
          <cell r="F92">
            <v>0</v>
          </cell>
          <cell r="G92">
            <v>0</v>
          </cell>
          <cell r="H92">
            <v>0</v>
          </cell>
          <cell r="I92">
            <v>1947.375</v>
          </cell>
          <cell r="J92">
            <v>7789.5</v>
          </cell>
          <cell r="K92">
            <v>9736.875</v>
          </cell>
          <cell r="M92">
            <v>0.16875000000000001</v>
          </cell>
          <cell r="N92">
            <v>57699.999999999993</v>
          </cell>
          <cell r="P92">
            <v>7789.5</v>
          </cell>
          <cell r="Q92">
            <v>0</v>
          </cell>
        </row>
        <row r="93">
          <cell r="B93" t="str">
            <v>cd4420</v>
          </cell>
          <cell r="C93" t="str">
            <v xml:space="preserve">Dallas  OR </v>
          </cell>
          <cell r="D93" t="str">
            <v>OR</v>
          </cell>
          <cell r="E93" t="str">
            <v>USA</v>
          </cell>
          <cell r="F93">
            <v>0</v>
          </cell>
          <cell r="G93">
            <v>0</v>
          </cell>
          <cell r="H93">
            <v>0</v>
          </cell>
          <cell r="I93">
            <v>0</v>
          </cell>
          <cell r="J93">
            <v>7125</v>
          </cell>
          <cell r="K93">
            <v>7125</v>
          </cell>
          <cell r="M93">
            <v>0.23749999999999999</v>
          </cell>
          <cell r="N93">
            <v>30000</v>
          </cell>
          <cell r="P93">
            <v>7125</v>
          </cell>
          <cell r="Q93">
            <v>0</v>
          </cell>
        </row>
        <row r="94">
          <cell r="B94" t="str">
            <v>cd4138</v>
          </cell>
          <cell r="C94" t="str">
            <v>FRC Tyson Foods NY</v>
          </cell>
          <cell r="D94" t="str">
            <v>NY</v>
          </cell>
          <cell r="E94" t="str">
            <v>USA</v>
          </cell>
          <cell r="F94">
            <v>0</v>
          </cell>
          <cell r="G94">
            <v>0</v>
          </cell>
          <cell r="H94">
            <v>1139.9999999999998</v>
          </cell>
          <cell r="I94">
            <v>1139.9999999999998</v>
          </cell>
          <cell r="J94">
            <v>4559.9999999999991</v>
          </cell>
          <cell r="K94">
            <v>6839.9999999999982</v>
          </cell>
          <cell r="M94">
            <v>3.5624999999999997E-2</v>
          </cell>
          <cell r="N94">
            <v>191999.99999999997</v>
          </cell>
          <cell r="P94">
            <v>4559.9999999999991</v>
          </cell>
          <cell r="Q94">
            <v>0</v>
          </cell>
        </row>
        <row r="95">
          <cell r="B95" t="str">
            <v>cd3856</v>
          </cell>
          <cell r="C95" t="str">
            <v>Medora ND SWL</v>
          </cell>
          <cell r="D95" t="str">
            <v>ND</v>
          </cell>
          <cell r="E95" t="str">
            <v>USA</v>
          </cell>
          <cell r="F95">
            <v>0</v>
          </cell>
          <cell r="G95">
            <v>0</v>
          </cell>
          <cell r="H95">
            <v>0</v>
          </cell>
          <cell r="I95">
            <v>839.53125</v>
          </cell>
          <cell r="J95">
            <v>3358.125</v>
          </cell>
          <cell r="K95">
            <v>4197.65625</v>
          </cell>
          <cell r="M95">
            <v>0.2109375</v>
          </cell>
          <cell r="N95">
            <v>19900</v>
          </cell>
          <cell r="P95">
            <v>3358.125</v>
          </cell>
          <cell r="Q95">
            <v>0</v>
          </cell>
        </row>
        <row r="96">
          <cell r="B96" t="str">
            <v>cd4275</v>
          </cell>
          <cell r="C96" t="str">
            <v>Nova Scotia Forest Products Mill</v>
          </cell>
          <cell r="D96" t="str">
            <v>NS</v>
          </cell>
          <cell r="E96" t="str">
            <v>Canada</v>
          </cell>
          <cell r="F96">
            <v>0</v>
          </cell>
          <cell r="G96">
            <v>0</v>
          </cell>
          <cell r="H96">
            <v>0</v>
          </cell>
          <cell r="I96">
            <v>1619.973</v>
          </cell>
          <cell r="J96">
            <v>2429.9594999999999</v>
          </cell>
          <cell r="K96">
            <v>4049.9324999999999</v>
          </cell>
          <cell r="M96">
            <v>3.3750000000000002E-2</v>
          </cell>
          <cell r="N96">
            <v>119997.99999999999</v>
          </cell>
          <cell r="P96">
            <v>0</v>
          </cell>
          <cell r="Q96">
            <v>2429.9594999999999</v>
          </cell>
        </row>
        <row r="97">
          <cell r="B97" t="str">
            <v>cd4295</v>
          </cell>
          <cell r="C97" t="str">
            <v>Chemical Plant El Dorado AR</v>
          </cell>
          <cell r="D97" t="str">
            <v>AR</v>
          </cell>
          <cell r="E97" t="str">
            <v>USA</v>
          </cell>
          <cell r="F97">
            <v>0</v>
          </cell>
          <cell r="G97">
            <v>0</v>
          </cell>
          <cell r="H97">
            <v>0</v>
          </cell>
          <cell r="I97">
            <v>0</v>
          </cell>
          <cell r="J97">
            <v>3247.2900000000004</v>
          </cell>
          <cell r="K97">
            <v>3247.2900000000004</v>
          </cell>
          <cell r="M97">
            <v>0.25650000000000001</v>
          </cell>
          <cell r="N97">
            <v>12660.000000000002</v>
          </cell>
          <cell r="P97">
            <v>3247.2900000000004</v>
          </cell>
          <cell r="Q97">
            <v>0</v>
          </cell>
        </row>
        <row r="98">
          <cell r="B98" t="str">
            <v>cd3968</v>
          </cell>
          <cell r="C98" t="str">
            <v>Farmersville TX</v>
          </cell>
          <cell r="D98" t="str">
            <v>TX</v>
          </cell>
          <cell r="E98" t="str">
            <v>USA</v>
          </cell>
          <cell r="F98">
            <v>0</v>
          </cell>
          <cell r="G98">
            <v>0</v>
          </cell>
          <cell r="H98">
            <v>0</v>
          </cell>
          <cell r="I98">
            <v>0</v>
          </cell>
          <cell r="J98">
            <v>2885.625</v>
          </cell>
          <cell r="K98">
            <v>2885.625</v>
          </cell>
          <cell r="M98">
            <v>0.19237499999999999</v>
          </cell>
          <cell r="N98">
            <v>15000</v>
          </cell>
          <cell r="P98">
            <v>2885.625</v>
          </cell>
          <cell r="Q98">
            <v>0</v>
          </cell>
        </row>
        <row r="99">
          <cell r="B99" t="str">
            <v>cd4239</v>
          </cell>
          <cell r="C99" t="str">
            <v>Wasaga Pines Resort  ON</v>
          </cell>
          <cell r="D99" t="str">
            <v>ON</v>
          </cell>
          <cell r="E99" t="str">
            <v>Canada</v>
          </cell>
          <cell r="F99">
            <v>0</v>
          </cell>
          <cell r="G99">
            <v>0</v>
          </cell>
          <cell r="H99">
            <v>0</v>
          </cell>
          <cell r="I99">
            <v>0</v>
          </cell>
          <cell r="J99">
            <v>1932.3427499999998</v>
          </cell>
          <cell r="K99">
            <v>1932.3427499999998</v>
          </cell>
          <cell r="M99">
            <v>0.1603125</v>
          </cell>
          <cell r="N99">
            <v>12053.599999999999</v>
          </cell>
          <cell r="P99">
            <v>0</v>
          </cell>
          <cell r="Q99">
            <v>1932.3427499999998</v>
          </cell>
        </row>
        <row r="100">
          <cell r="B100" t="str">
            <v>cd4183</v>
          </cell>
          <cell r="C100" t="str">
            <v>Cedar Hills Subdivision MO SWL</v>
          </cell>
          <cell r="D100" t="str">
            <v>MO</v>
          </cell>
          <cell r="E100" t="str">
            <v>USA</v>
          </cell>
          <cell r="F100">
            <v>0</v>
          </cell>
          <cell r="G100">
            <v>0</v>
          </cell>
          <cell r="H100">
            <v>0</v>
          </cell>
          <cell r="I100">
            <v>259.6875</v>
          </cell>
          <cell r="J100">
            <v>1038.75</v>
          </cell>
          <cell r="K100">
            <v>1298.4375</v>
          </cell>
          <cell r="M100">
            <v>9.375E-2</v>
          </cell>
          <cell r="N100">
            <v>13850</v>
          </cell>
          <cell r="P100">
            <v>1038.75</v>
          </cell>
          <cell r="Q100">
            <v>0</v>
          </cell>
        </row>
        <row r="101">
          <cell r="B101" t="str">
            <v>cd3763</v>
          </cell>
          <cell r="C101" t="str">
            <v>Sky Ranch, CO DF</v>
          </cell>
          <cell r="D101" t="str">
            <v>CO</v>
          </cell>
          <cell r="E101" t="str">
            <v>USA</v>
          </cell>
          <cell r="F101">
            <v>0</v>
          </cell>
          <cell r="G101">
            <v>0</v>
          </cell>
          <cell r="H101">
            <v>0</v>
          </cell>
          <cell r="I101">
            <v>0</v>
          </cell>
          <cell r="J101">
            <v>552.82500000000016</v>
          </cell>
          <cell r="K101">
            <v>552.82500000000016</v>
          </cell>
          <cell r="M101">
            <v>6.0750000000000005E-2</v>
          </cell>
          <cell r="N101">
            <v>9100.0000000000018</v>
          </cell>
          <cell r="P101">
            <v>552.82500000000016</v>
          </cell>
          <cell r="Q101">
            <v>0</v>
          </cell>
        </row>
        <row r="102">
          <cell r="B102" t="str">
            <v>cd4258</v>
          </cell>
          <cell r="C102" t="str">
            <v>South Plant  Albany NY</v>
          </cell>
          <cell r="D102" t="str">
            <v>NY</v>
          </cell>
          <cell r="E102" t="str">
            <v>USA</v>
          </cell>
          <cell r="F102">
            <v>0</v>
          </cell>
          <cell r="G102">
            <v>0</v>
          </cell>
          <cell r="H102">
            <v>0</v>
          </cell>
          <cell r="I102">
            <v>0</v>
          </cell>
          <cell r="J102">
            <v>268.04250000000002</v>
          </cell>
          <cell r="K102">
            <v>268.04250000000002</v>
          </cell>
          <cell r="M102">
            <v>4.2750000000000003E-2</v>
          </cell>
          <cell r="N102">
            <v>6270</v>
          </cell>
          <cell r="P102">
            <v>268.04250000000002</v>
          </cell>
          <cell r="Q102">
            <v>0</v>
          </cell>
        </row>
        <row r="103">
          <cell r="B103" t="str">
            <v>cd3578</v>
          </cell>
          <cell r="C103" t="str">
            <v>College Station TX DF</v>
          </cell>
          <cell r="D103" t="str">
            <v>TX</v>
          </cell>
          <cell r="E103" t="str">
            <v>USA</v>
          </cell>
          <cell r="F103">
            <v>0</v>
          </cell>
          <cell r="G103">
            <v>0</v>
          </cell>
          <cell r="H103">
            <v>0</v>
          </cell>
          <cell r="I103">
            <v>0</v>
          </cell>
          <cell r="J103">
            <v>174.20625000000001</v>
          </cell>
          <cell r="K103">
            <v>174.20625000000001</v>
          </cell>
          <cell r="M103">
            <v>4.2750000000000002E-3</v>
          </cell>
          <cell r="N103">
            <v>40750</v>
          </cell>
          <cell r="P103">
            <v>174.20625000000001</v>
          </cell>
          <cell r="Q103">
            <v>0</v>
          </cell>
        </row>
        <row r="104">
          <cell r="F104">
            <v>79908.901624999999</v>
          </cell>
          <cell r="G104">
            <v>189280.40649999998</v>
          </cell>
          <cell r="H104">
            <v>212949.40325000003</v>
          </cell>
          <cell r="I104">
            <v>1441936.6775749999</v>
          </cell>
          <cell r="J104">
            <v>3807240.558925</v>
          </cell>
          <cell r="K104">
            <v>5731315.9478749996</v>
          </cell>
          <cell r="N104">
            <v>7810601.5999999996</v>
          </cell>
          <cell r="P104">
            <v>3173320.8053750009</v>
          </cell>
          <cell r="Q104">
            <v>633919.75355000002</v>
          </cell>
        </row>
        <row r="105">
          <cell r="P105">
            <v>0.83349627013613492</v>
          </cell>
        </row>
        <row r="106">
          <cell r="B106" t="str">
            <v>Iowa</v>
          </cell>
          <cell r="C106"/>
          <cell r="D106" t="str">
            <v>IA</v>
          </cell>
          <cell r="E106"/>
          <cell r="F106">
            <v>0</v>
          </cell>
          <cell r="G106">
            <v>0</v>
          </cell>
          <cell r="H106">
            <v>0</v>
          </cell>
          <cell r="I106">
            <v>565014.78</v>
          </cell>
          <cell r="J106">
            <v>2260059.12</v>
          </cell>
          <cell r="K106">
            <v>2825073.9</v>
          </cell>
          <cell r="L106"/>
          <cell r="M106">
            <v>0.9405</v>
          </cell>
          <cell r="N106">
            <v>3003800</v>
          </cell>
        </row>
        <row r="107">
          <cell r="B107" t="str">
            <v>Wisconsin</v>
          </cell>
          <cell r="C107"/>
          <cell r="D107" t="str">
            <v>WI</v>
          </cell>
          <cell r="E107"/>
          <cell r="F107">
            <v>18057.600000000002</v>
          </cell>
          <cell r="G107">
            <v>96835.400000000009</v>
          </cell>
          <cell r="H107">
            <v>96835.400000000009</v>
          </cell>
          <cell r="I107">
            <v>214897.6</v>
          </cell>
          <cell r="J107">
            <v>116477.6</v>
          </cell>
          <cell r="K107">
            <v>580803.4</v>
          </cell>
          <cell r="L107"/>
          <cell r="M107">
            <v>0.94732245963138151</v>
          </cell>
          <cell r="N107">
            <v>613100</v>
          </cell>
        </row>
        <row r="108">
          <cell r="B108" t="str">
            <v>Manitoba</v>
          </cell>
          <cell r="C108"/>
          <cell r="D108" t="str">
            <v>MB</v>
          </cell>
          <cell r="E108"/>
          <cell r="F108">
            <v>0</v>
          </cell>
          <cell r="G108">
            <v>0</v>
          </cell>
          <cell r="H108">
            <v>0</v>
          </cell>
          <cell r="I108">
            <v>113292.288</v>
          </cell>
          <cell r="J108">
            <v>199720.932</v>
          </cell>
          <cell r="K108">
            <v>313013.21999999997</v>
          </cell>
          <cell r="L108"/>
          <cell r="M108">
            <v>0.79279980750721846</v>
          </cell>
          <cell r="N108">
            <v>394820</v>
          </cell>
        </row>
        <row r="109">
          <cell r="B109" t="str">
            <v>Saskatchewan</v>
          </cell>
          <cell r="C109"/>
          <cell r="D109" t="str">
            <v>SK</v>
          </cell>
          <cell r="E109"/>
          <cell r="F109">
            <v>52128.4</v>
          </cell>
          <cell r="G109">
            <v>52128.4</v>
          </cell>
          <cell r="H109">
            <v>52128.4</v>
          </cell>
          <cell r="I109">
            <v>213557.13099999999</v>
          </cell>
          <cell r="J109">
            <v>229110.99650000001</v>
          </cell>
          <cell r="K109">
            <v>599053.32750000001</v>
          </cell>
          <cell r="L109"/>
          <cell r="M109">
            <v>0.94667835159885905</v>
          </cell>
          <cell r="N109">
            <v>632795</v>
          </cell>
        </row>
        <row r="110">
          <cell r="K110">
            <v>0.75339483755052161</v>
          </cell>
          <cell r="N110"/>
        </row>
        <row r="111">
          <cell r="B111" t="str">
            <v>Projected bookings with MANC &gt;93%</v>
          </cell>
          <cell r="C111"/>
          <cell r="D111"/>
          <cell r="E111"/>
          <cell r="F111">
            <v>70186</v>
          </cell>
          <cell r="G111">
            <v>148963.79999999999</v>
          </cell>
          <cell r="H111">
            <v>186663.6</v>
          </cell>
          <cell r="I111">
            <v>1156616.1149999998</v>
          </cell>
          <cell r="J111">
            <v>3092624.6225000005</v>
          </cell>
          <cell r="K111">
            <v>4655054.1375000002</v>
          </cell>
          <cell r="L111"/>
          <cell r="M111"/>
          <cell r="N111"/>
        </row>
        <row r="112">
          <cell r="K112">
            <v>0.8122138405623851</v>
          </cell>
        </row>
      </sheetData>
      <sheetData sheetId="3">
        <row r="2">
          <cell r="M2">
            <v>12.235505387199998</v>
          </cell>
        </row>
        <row r="3">
          <cell r="M3">
            <v>0.70093349887399814</v>
          </cell>
          <cell r="N3" t="str">
            <v>% Backlog converted to Revenue in Current year</v>
          </cell>
        </row>
        <row r="4">
          <cell r="C4" t="str">
            <v>YTD May-19A</v>
          </cell>
          <cell r="D4">
            <v>43646</v>
          </cell>
          <cell r="E4" t="str">
            <v>Q3-19F</v>
          </cell>
          <cell r="F4" t="str">
            <v>Q4-19F</v>
          </cell>
          <cell r="G4" t="str">
            <v>2019F</v>
          </cell>
          <cell r="H4"/>
          <cell r="I4"/>
        </row>
        <row r="5">
          <cell r="B5" t="str">
            <v>Revenue</v>
          </cell>
          <cell r="C5">
            <v>5.7</v>
          </cell>
          <cell r="D5">
            <v>5.7</v>
          </cell>
          <cell r="E5">
            <v>7.1981570000000001</v>
          </cell>
          <cell r="F5">
            <v>15.114338</v>
          </cell>
          <cell r="G5">
            <v>5.7</v>
          </cell>
          <cell r="H5"/>
        </row>
        <row r="6">
          <cell r="B6" t="str">
            <v>Revenue from Backlog</v>
          </cell>
          <cell r="C6"/>
          <cell r="D6">
            <v>1.498157</v>
          </cell>
          <cell r="E6">
            <v>5.7072430000000001</v>
          </cell>
          <cell r="F6">
            <v>3.1915550000000001</v>
          </cell>
          <cell r="G6">
            <v>10.396955</v>
          </cell>
          <cell r="H6"/>
        </row>
        <row r="7">
          <cell r="B7" t="str">
            <v>Revenue from Pending Backlog</v>
          </cell>
          <cell r="C7"/>
          <cell r="D7">
            <v>0</v>
          </cell>
          <cell r="E7">
            <v>1.9397489999999999</v>
          </cell>
          <cell r="F7">
            <v>2.496308</v>
          </cell>
          <cell r="G7">
            <v>4.4360569999999999</v>
          </cell>
          <cell r="H7"/>
        </row>
        <row r="8">
          <cell r="B8" t="str">
            <v>Revenue from Projected Bookings</v>
          </cell>
          <cell r="C8"/>
          <cell r="D8">
            <v>0</v>
          </cell>
          <cell r="E8">
            <v>0.26918900000000001</v>
          </cell>
          <cell r="F8">
            <v>5.4621269999999997</v>
          </cell>
          <cell r="G8">
            <v>5.7313159999999996</v>
          </cell>
          <cell r="H8"/>
        </row>
        <row r="9">
          <cell r="C9"/>
          <cell r="D9">
            <v>7.1981570000000001</v>
          </cell>
          <cell r="E9">
            <v>15.114338</v>
          </cell>
          <cell r="F9">
            <v>26.264327999999999</v>
          </cell>
          <cell r="G9">
            <v>26.264327999999999</v>
          </cell>
          <cell r="H9"/>
        </row>
        <row r="38">
          <cell r="B38" t="str">
            <v>June 24th</v>
          </cell>
          <cell r="D38" t="str">
            <v>June</v>
          </cell>
          <cell r="E38" t="str">
            <v>July</v>
          </cell>
          <cell r="F38" t="str">
            <v>August</v>
          </cell>
          <cell r="G38" t="str">
            <v>September</v>
          </cell>
          <cell r="H38" t="str">
            <v>October</v>
          </cell>
          <cell r="I38" t="str">
            <v>November</v>
          </cell>
          <cell r="J38" t="str">
            <v>December</v>
          </cell>
        </row>
        <row r="39">
          <cell r="B39" t="str">
            <v>revenue from backlog</v>
          </cell>
          <cell r="C39">
            <v>5715000</v>
          </cell>
          <cell r="D39">
            <v>1498157</v>
          </cell>
          <cell r="E39">
            <v>1666002</v>
          </cell>
          <cell r="F39">
            <v>2268825</v>
          </cell>
          <cell r="G39">
            <v>1772416</v>
          </cell>
          <cell r="H39">
            <v>1206630</v>
          </cell>
          <cell r="I39">
            <v>1208550</v>
          </cell>
          <cell r="J39">
            <v>776375</v>
          </cell>
          <cell r="M39">
            <v>16111955</v>
          </cell>
        </row>
        <row r="40">
          <cell r="B40" t="str">
            <v>Revenue from pending backlog</v>
          </cell>
          <cell r="D40"/>
          <cell r="E40">
            <v>140646</v>
          </cell>
          <cell r="F40">
            <v>728034</v>
          </cell>
          <cell r="G40">
            <v>1071069</v>
          </cell>
          <cell r="H40">
            <v>1360100</v>
          </cell>
          <cell r="I40">
            <v>773689</v>
          </cell>
          <cell r="J40">
            <v>362519</v>
          </cell>
          <cell r="M40">
            <v>4436057</v>
          </cell>
        </row>
        <row r="41">
          <cell r="B41" t="str">
            <v>Revenue from projected bookings</v>
          </cell>
          <cell r="D41"/>
          <cell r="E41"/>
          <cell r="F41">
            <v>79909</v>
          </cell>
          <cell r="G41">
            <v>189280</v>
          </cell>
          <cell r="H41">
            <v>212949</v>
          </cell>
          <cell r="I41">
            <v>1441937</v>
          </cell>
          <cell r="J41">
            <v>3807241</v>
          </cell>
          <cell r="M41">
            <v>5731316</v>
          </cell>
        </row>
        <row r="42">
          <cell r="B42" t="str">
            <v>total revenue</v>
          </cell>
          <cell r="C42">
            <v>5715000</v>
          </cell>
          <cell r="D42">
            <v>1498157</v>
          </cell>
          <cell r="E42">
            <v>1806648</v>
          </cell>
          <cell r="F42">
            <v>3076768</v>
          </cell>
          <cell r="G42">
            <v>3032765</v>
          </cell>
          <cell r="H42">
            <v>2779679</v>
          </cell>
          <cell r="I42">
            <v>3424176</v>
          </cell>
          <cell r="J42">
            <v>4946135</v>
          </cell>
          <cell r="M42">
            <v>26279328</v>
          </cell>
        </row>
        <row r="44">
          <cell r="B44" t="str">
            <v>Revenue from Canadian market (supply and install)</v>
          </cell>
          <cell r="D44">
            <v>1379766.4513823353</v>
          </cell>
          <cell r="E44">
            <v>1353690.9466814825</v>
          </cell>
          <cell r="F44">
            <v>1809081.2770722222</v>
          </cell>
          <cell r="G44">
            <v>1505156.9870674282</v>
          </cell>
          <cell r="H44">
            <v>1226890.453976067</v>
          </cell>
          <cell r="I44">
            <v>981619.41572326561</v>
          </cell>
          <cell r="J44">
            <v>843767.41833468527</v>
          </cell>
          <cell r="K44">
            <v>0.17339189960786372</v>
          </cell>
        </row>
        <row r="45">
          <cell r="B45" t="str">
            <v>Revenue from US market (supply only)</v>
          </cell>
          <cell r="D45">
            <v>118390.63099999999</v>
          </cell>
          <cell r="E45">
            <v>452956.90900000004</v>
          </cell>
          <cell r="F45">
            <v>1267686.2491249999</v>
          </cell>
          <cell r="G45">
            <v>1527608.4237000002</v>
          </cell>
          <cell r="H45">
            <v>1552789.3032499999</v>
          </cell>
          <cell r="I45">
            <v>2184956.5403750003</v>
          </cell>
          <cell r="J45">
            <v>4022477.3153750002</v>
          </cell>
          <cell r="K45">
            <v>0.82660810039213628</v>
          </cell>
          <cell r="N45" t="str">
            <v>Supply only reduces weather delay risks</v>
          </cell>
        </row>
        <row r="46">
          <cell r="D46">
            <v>1498157.0823823353</v>
          </cell>
          <cell r="E46">
            <v>1806647.8556814825</v>
          </cell>
          <cell r="F46">
            <v>3076767.5261972221</v>
          </cell>
          <cell r="G46">
            <v>3032765.4107674286</v>
          </cell>
          <cell r="H46">
            <v>2779679.7572260667</v>
          </cell>
          <cell r="I46">
            <v>3166575.9560982659</v>
          </cell>
          <cell r="J46">
            <v>4866244.7337096855</v>
          </cell>
        </row>
        <row r="48">
          <cell r="B48" t="str">
            <v>Absolute revenue forecast (no MANC factor)</v>
          </cell>
          <cell r="C48">
            <v>5715000</v>
          </cell>
          <cell r="D48">
            <v>1498157</v>
          </cell>
          <cell r="E48">
            <v>1808068.5236814828</v>
          </cell>
          <cell r="F48">
            <v>3142739.9565722216</v>
          </cell>
          <cell r="G48">
            <v>3263282.0402674288</v>
          </cell>
          <cell r="H48">
            <v>2973475.4859760674</v>
          </cell>
          <cell r="I48">
            <v>3619108.8225232651</v>
          </cell>
          <cell r="J48">
            <v>6067937.0827846853</v>
          </cell>
          <cell r="K48"/>
          <cell r="L48"/>
          <cell r="M48">
            <v>28087768.911805153</v>
          </cell>
          <cell r="O48">
            <v>6.8816101835067922E-2</v>
          </cell>
        </row>
        <row r="49">
          <cell r="D49">
            <v>1</v>
          </cell>
          <cell r="E49">
            <v>0.99921434189972491</v>
          </cell>
          <cell r="F49">
            <v>0.97900814019490912</v>
          </cell>
          <cell r="G49">
            <v>0.92936036866475147</v>
          </cell>
          <cell r="H49">
            <v>0.93482492561647867</v>
          </cell>
          <cell r="I49">
            <v>0.94613789413843685</v>
          </cell>
          <cell r="J49">
            <v>0.81512628303821</v>
          </cell>
        </row>
        <row r="51">
          <cell r="C51" t="str">
            <v xml:space="preserve">Revenue from projected bookings </v>
          </cell>
          <cell r="D51"/>
          <cell r="E51"/>
          <cell r="F51"/>
          <cell r="G51"/>
          <cell r="H51"/>
          <cell r="I51"/>
          <cell r="J51"/>
          <cell r="K51"/>
        </row>
        <row r="52">
          <cell r="K52" t="str">
            <v>total</v>
          </cell>
          <cell r="M52" t="str">
            <v>MANC</v>
          </cell>
        </row>
        <row r="53">
          <cell r="B53" t="str">
            <v>cd3912</v>
          </cell>
          <cell r="C53" t="str">
            <v xml:space="preserve">Tipton IA </v>
          </cell>
          <cell r="D53" t="str">
            <v>IA</v>
          </cell>
          <cell r="E53" t="str">
            <v>USA</v>
          </cell>
          <cell r="F53">
            <v>0</v>
          </cell>
          <cell r="G53">
            <v>0</v>
          </cell>
          <cell r="H53">
            <v>0</v>
          </cell>
          <cell r="I53">
            <v>112577.85</v>
          </cell>
          <cell r="J53">
            <v>450311.4</v>
          </cell>
          <cell r="K53">
            <v>562889.25</v>
          </cell>
          <cell r="M53">
            <v>0.9405</v>
          </cell>
          <cell r="N53">
            <v>598500</v>
          </cell>
          <cell r="P53">
            <v>450311.4</v>
          </cell>
          <cell r="Q53">
            <v>0</v>
          </cell>
          <cell r="S53">
            <v>0.11827763258730058</v>
          </cell>
        </row>
        <row r="54">
          <cell r="B54" t="str">
            <v>cd4001</v>
          </cell>
          <cell r="C54" t="str">
            <v>Bloomer, WI</v>
          </cell>
          <cell r="D54" t="str">
            <v>WI</v>
          </cell>
          <cell r="E54" t="str">
            <v>USA</v>
          </cell>
          <cell r="F54">
            <v>0</v>
          </cell>
          <cell r="G54">
            <v>24605</v>
          </cell>
          <cell r="H54">
            <v>98420</v>
          </cell>
          <cell r="I54">
            <v>196840</v>
          </cell>
          <cell r="J54">
            <v>98420</v>
          </cell>
          <cell r="K54">
            <v>418285</v>
          </cell>
          <cell r="M54">
            <v>0.95</v>
          </cell>
          <cell r="N54">
            <v>440300</v>
          </cell>
          <cell r="P54">
            <v>98420</v>
          </cell>
          <cell r="Q54">
            <v>0</v>
          </cell>
        </row>
        <row r="55">
          <cell r="B55" t="str">
            <v>cd1806</v>
          </cell>
          <cell r="C55" t="str">
            <v>Battleford OPTAER SK SWL</v>
          </cell>
          <cell r="D55" t="str">
            <v>SK</v>
          </cell>
          <cell r="E55" t="str">
            <v>Canada</v>
          </cell>
          <cell r="F55">
            <v>52128.4</v>
          </cell>
          <cell r="G55">
            <v>52128.4</v>
          </cell>
          <cell r="H55">
            <v>52128.4</v>
          </cell>
          <cell r="I55">
            <v>130321</v>
          </cell>
          <cell r="J55">
            <v>104256.8</v>
          </cell>
          <cell r="K55">
            <v>390963</v>
          </cell>
          <cell r="M55">
            <v>0.95</v>
          </cell>
          <cell r="N55">
            <v>411540</v>
          </cell>
          <cell r="P55">
            <v>0</v>
          </cell>
          <cell r="Q55">
            <v>104256.8</v>
          </cell>
        </row>
        <row r="56">
          <cell r="B56" t="str">
            <v>cd2874</v>
          </cell>
          <cell r="C56" t="str">
            <v>Absarokee</v>
          </cell>
          <cell r="D56" t="str">
            <v>MT</v>
          </cell>
          <cell r="E56" t="str">
            <v>USA</v>
          </cell>
          <cell r="F56">
            <v>0</v>
          </cell>
          <cell r="G56">
            <v>0</v>
          </cell>
          <cell r="H56">
            <v>0</v>
          </cell>
          <cell r="I56">
            <v>69064</v>
          </cell>
          <cell r="J56">
            <v>276256</v>
          </cell>
          <cell r="K56">
            <v>345320</v>
          </cell>
          <cell r="M56">
            <v>0.97</v>
          </cell>
          <cell r="N56">
            <v>356000</v>
          </cell>
          <cell r="P56">
            <v>276256</v>
          </cell>
          <cell r="Q56">
            <v>0</v>
          </cell>
        </row>
        <row r="57">
          <cell r="B57" t="str">
            <v>cd1590</v>
          </cell>
          <cell r="C57" t="str">
            <v>Dallas Center IA</v>
          </cell>
          <cell r="D57" t="str">
            <v>IA</v>
          </cell>
          <cell r="E57" t="str">
            <v>USA</v>
          </cell>
          <cell r="F57">
            <v>0</v>
          </cell>
          <cell r="G57">
            <v>0</v>
          </cell>
          <cell r="H57">
            <v>0</v>
          </cell>
          <cell r="I57">
            <v>62355.15</v>
          </cell>
          <cell r="J57">
            <v>249420.6</v>
          </cell>
          <cell r="K57">
            <v>311775.75</v>
          </cell>
          <cell r="M57">
            <v>0.9405</v>
          </cell>
          <cell r="N57">
            <v>331500</v>
          </cell>
          <cell r="P57">
            <v>249420.6</v>
          </cell>
          <cell r="Q57">
            <v>0</v>
          </cell>
        </row>
        <row r="58">
          <cell r="B58" t="str">
            <v>cd1732</v>
          </cell>
          <cell r="C58" t="str">
            <v>Sigourney, IA</v>
          </cell>
          <cell r="D58" t="str">
            <v>IA</v>
          </cell>
          <cell r="E58" t="str">
            <v>USA</v>
          </cell>
          <cell r="F58">
            <v>0</v>
          </cell>
          <cell r="G58">
            <v>0</v>
          </cell>
          <cell r="H58">
            <v>0</v>
          </cell>
          <cell r="I58">
            <v>59862.825000000004</v>
          </cell>
          <cell r="J58">
            <v>239451.30000000002</v>
          </cell>
          <cell r="K58">
            <v>299314.125</v>
          </cell>
          <cell r="M58">
            <v>0.9405</v>
          </cell>
          <cell r="N58">
            <v>318250</v>
          </cell>
          <cell r="P58">
            <v>239451.30000000002</v>
          </cell>
          <cell r="Q58">
            <v>0</v>
          </cell>
        </row>
        <row r="59">
          <cell r="B59" t="str">
            <v>cd4101</v>
          </cell>
          <cell r="C59" t="str">
            <v>Dysart IA</v>
          </cell>
          <cell r="D59" t="str">
            <v>IA</v>
          </cell>
          <cell r="E59" t="str">
            <v>USA</v>
          </cell>
          <cell r="F59">
            <v>0</v>
          </cell>
          <cell r="G59">
            <v>0</v>
          </cell>
          <cell r="H59">
            <v>0</v>
          </cell>
          <cell r="I59">
            <v>56900.25</v>
          </cell>
          <cell r="J59">
            <v>227601</v>
          </cell>
          <cell r="K59">
            <v>284501.25</v>
          </cell>
          <cell r="M59">
            <v>0.9405</v>
          </cell>
          <cell r="N59">
            <v>302500</v>
          </cell>
          <cell r="P59">
            <v>227601</v>
          </cell>
          <cell r="Q59">
            <v>0</v>
          </cell>
        </row>
        <row r="60">
          <cell r="B60" t="str">
            <v>cd3614</v>
          </cell>
          <cell r="C60" t="str">
            <v>Glidden IA SWL</v>
          </cell>
          <cell r="D60" t="str">
            <v>IA</v>
          </cell>
          <cell r="E60" t="str">
            <v>USA</v>
          </cell>
          <cell r="F60">
            <v>0</v>
          </cell>
          <cell r="G60">
            <v>0</v>
          </cell>
          <cell r="H60">
            <v>0</v>
          </cell>
          <cell r="I60">
            <v>47871.450000000004</v>
          </cell>
          <cell r="J60">
            <v>191485.80000000002</v>
          </cell>
          <cell r="K60">
            <v>239357.25000000003</v>
          </cell>
          <cell r="M60">
            <v>0.9405</v>
          </cell>
          <cell r="N60">
            <v>254500.00000000003</v>
          </cell>
          <cell r="P60">
            <v>191485.80000000002</v>
          </cell>
          <cell r="Q60">
            <v>0</v>
          </cell>
        </row>
        <row r="61">
          <cell r="B61" t="str">
            <v>cd1872</v>
          </cell>
          <cell r="C61" t="str">
            <v>Anita, IA</v>
          </cell>
          <cell r="D61" t="str">
            <v>IA</v>
          </cell>
          <cell r="E61" t="str">
            <v>USA</v>
          </cell>
          <cell r="F61">
            <v>0</v>
          </cell>
          <cell r="G61">
            <v>0</v>
          </cell>
          <cell r="H61">
            <v>0</v>
          </cell>
          <cell r="I61">
            <v>46187.955000000002</v>
          </cell>
          <cell r="J61">
            <v>184751.82</v>
          </cell>
          <cell r="K61">
            <v>230939.77500000002</v>
          </cell>
          <cell r="M61">
            <v>0.9405</v>
          </cell>
          <cell r="N61">
            <v>245550.00000000003</v>
          </cell>
          <cell r="P61">
            <v>184751.82</v>
          </cell>
          <cell r="Q61">
            <v>0</v>
          </cell>
        </row>
        <row r="62">
          <cell r="B62" t="str">
            <v>cd3002</v>
          </cell>
          <cell r="C62" t="str">
            <v>Massena IA</v>
          </cell>
          <cell r="D62" t="str">
            <v>IA</v>
          </cell>
          <cell r="E62" t="str">
            <v>USA</v>
          </cell>
          <cell r="F62">
            <v>0</v>
          </cell>
          <cell r="G62">
            <v>0</v>
          </cell>
          <cell r="H62">
            <v>0</v>
          </cell>
          <cell r="I62">
            <v>40817.700000000004</v>
          </cell>
          <cell r="J62">
            <v>163270.80000000002</v>
          </cell>
          <cell r="K62">
            <v>204088.50000000003</v>
          </cell>
          <cell r="M62">
            <v>0.9405</v>
          </cell>
          <cell r="N62">
            <v>217000.00000000003</v>
          </cell>
          <cell r="P62">
            <v>163270.80000000002</v>
          </cell>
          <cell r="Q62">
            <v>0</v>
          </cell>
        </row>
        <row r="63">
          <cell r="B63" t="str">
            <v>cd1761</v>
          </cell>
          <cell r="C63" t="str">
            <v>Aurora, SD</v>
          </cell>
          <cell r="D63" t="str">
            <v>SD</v>
          </cell>
          <cell r="E63" t="str">
            <v>USA</v>
          </cell>
          <cell r="F63">
            <v>0</v>
          </cell>
          <cell r="G63">
            <v>0</v>
          </cell>
          <cell r="H63">
            <v>0</v>
          </cell>
          <cell r="I63">
            <v>38153.733749999999</v>
          </cell>
          <cell r="J63">
            <v>152614.935</v>
          </cell>
          <cell r="K63">
            <v>190768.66875000001</v>
          </cell>
          <cell r="M63">
            <v>0.63483749999999994</v>
          </cell>
          <cell r="N63">
            <v>300500.00000000006</v>
          </cell>
          <cell r="P63">
            <v>152614.935</v>
          </cell>
          <cell r="Q63">
            <v>0</v>
          </cell>
        </row>
        <row r="64">
          <cell r="B64" t="str">
            <v>cd4148</v>
          </cell>
          <cell r="C64" t="str">
            <v>Riceville IA</v>
          </cell>
          <cell r="D64" t="str">
            <v>IA</v>
          </cell>
          <cell r="E64" t="str">
            <v>USA</v>
          </cell>
          <cell r="F64">
            <v>0</v>
          </cell>
          <cell r="G64">
            <v>0</v>
          </cell>
          <cell r="H64">
            <v>0</v>
          </cell>
          <cell r="I64">
            <v>37620</v>
          </cell>
          <cell r="J64">
            <v>150480</v>
          </cell>
          <cell r="K64">
            <v>188100</v>
          </cell>
          <cell r="M64">
            <v>0.9405</v>
          </cell>
          <cell r="N64">
            <v>200000</v>
          </cell>
          <cell r="P64">
            <v>150480</v>
          </cell>
          <cell r="Q64">
            <v>0</v>
          </cell>
        </row>
        <row r="65">
          <cell r="B65" t="str">
            <v>cd3852</v>
          </cell>
          <cell r="C65" t="str">
            <v>Blairstown IA</v>
          </cell>
          <cell r="D65" t="str">
            <v>IA</v>
          </cell>
          <cell r="E65" t="str">
            <v>USA</v>
          </cell>
          <cell r="F65">
            <v>0</v>
          </cell>
          <cell r="G65">
            <v>0</v>
          </cell>
          <cell r="H65">
            <v>0</v>
          </cell>
          <cell r="I65">
            <v>36303.300000000003</v>
          </cell>
          <cell r="J65">
            <v>145213.20000000001</v>
          </cell>
          <cell r="K65">
            <v>181516.5</v>
          </cell>
          <cell r="M65">
            <v>0.9405</v>
          </cell>
          <cell r="N65">
            <v>193000</v>
          </cell>
          <cell r="P65">
            <v>145213.20000000001</v>
          </cell>
          <cell r="Q65">
            <v>0</v>
          </cell>
        </row>
        <row r="66">
          <cell r="B66" t="str">
            <v>cd2331</v>
          </cell>
          <cell r="C66" t="str">
            <v>Preeceville</v>
          </cell>
          <cell r="D66" t="str">
            <v>SK</v>
          </cell>
          <cell r="E66" t="str">
            <v>Canada</v>
          </cell>
          <cell r="F66">
            <v>0</v>
          </cell>
          <cell r="G66">
            <v>0</v>
          </cell>
          <cell r="H66">
            <v>0</v>
          </cell>
          <cell r="I66">
            <v>67904.100000000006</v>
          </cell>
          <cell r="J66">
            <v>101856.15</v>
          </cell>
          <cell r="K66">
            <v>169760.25</v>
          </cell>
          <cell r="M66">
            <v>0.9405</v>
          </cell>
          <cell r="N66">
            <v>180500</v>
          </cell>
          <cell r="P66">
            <v>0</v>
          </cell>
          <cell r="Q66">
            <v>101856.15</v>
          </cell>
        </row>
        <row r="67">
          <cell r="B67" t="str">
            <v>cd2195</v>
          </cell>
          <cell r="C67" t="str">
            <v>Sundre OPTAER SWL</v>
          </cell>
          <cell r="D67" t="str">
            <v>AB</v>
          </cell>
          <cell r="E67" t="str">
            <v>Canada</v>
          </cell>
          <cell r="F67">
            <v>0</v>
          </cell>
          <cell r="G67">
            <v>0</v>
          </cell>
          <cell r="H67">
            <v>0</v>
          </cell>
          <cell r="I67">
            <v>67904.100000000006</v>
          </cell>
          <cell r="J67">
            <v>101856.15</v>
          </cell>
          <cell r="K67">
            <v>169760.25</v>
          </cell>
          <cell r="M67">
            <v>0.85499999999999998</v>
          </cell>
          <cell r="N67">
            <v>198550</v>
          </cell>
          <cell r="P67">
            <v>0</v>
          </cell>
          <cell r="Q67">
            <v>101856.15</v>
          </cell>
        </row>
        <row r="68">
          <cell r="B68" t="str">
            <v>cd3667</v>
          </cell>
          <cell r="C68" t="str">
            <v>New Bothwell SWL</v>
          </cell>
          <cell r="D68" t="str">
            <v>MB</v>
          </cell>
          <cell r="E68" t="str">
            <v>Canada</v>
          </cell>
          <cell r="F68">
            <v>0</v>
          </cell>
          <cell r="G68">
            <v>0</v>
          </cell>
          <cell r="H68">
            <v>0</v>
          </cell>
          <cell r="I68">
            <v>67260.456000000006</v>
          </cell>
          <cell r="J68">
            <v>100890.68400000001</v>
          </cell>
          <cell r="K68">
            <v>168151.14</v>
          </cell>
          <cell r="M68">
            <v>0.72900000000000009</v>
          </cell>
          <cell r="N68">
            <v>230660</v>
          </cell>
          <cell r="P68">
            <v>0</v>
          </cell>
          <cell r="Q68">
            <v>100890.68400000001</v>
          </cell>
        </row>
        <row r="69">
          <cell r="B69" t="str">
            <v>cd1822</v>
          </cell>
          <cell r="C69" t="str">
            <v>Brighton IA SWL</v>
          </cell>
          <cell r="D69" t="str">
            <v>IA</v>
          </cell>
          <cell r="E69" t="str">
            <v>USA</v>
          </cell>
          <cell r="F69">
            <v>0</v>
          </cell>
          <cell r="G69">
            <v>0</v>
          </cell>
          <cell r="H69">
            <v>0</v>
          </cell>
          <cell r="I69">
            <v>32729.4</v>
          </cell>
          <cell r="J69">
            <v>130917.6</v>
          </cell>
          <cell r="K69">
            <v>163647</v>
          </cell>
          <cell r="M69">
            <v>0.9405</v>
          </cell>
          <cell r="N69">
            <v>174000</v>
          </cell>
          <cell r="P69">
            <v>130917.6</v>
          </cell>
          <cell r="Q69">
            <v>0</v>
          </cell>
        </row>
        <row r="70">
          <cell r="B70" t="str">
            <v>cd2738</v>
          </cell>
          <cell r="C70" t="str">
            <v>Dale WI</v>
          </cell>
          <cell r="D70" t="str">
            <v>WI</v>
          </cell>
          <cell r="E70" t="str">
            <v>USA</v>
          </cell>
          <cell r="F70">
            <v>18057.600000000002</v>
          </cell>
          <cell r="G70">
            <v>72230.400000000009</v>
          </cell>
          <cell r="H70">
            <v>36115.200000000004</v>
          </cell>
          <cell r="I70">
            <v>18057.600000000002</v>
          </cell>
          <cell r="J70">
            <v>18057.600000000002</v>
          </cell>
          <cell r="K70">
            <v>162518.40000000002</v>
          </cell>
          <cell r="M70">
            <v>0.9405</v>
          </cell>
          <cell r="N70">
            <v>172800.00000000003</v>
          </cell>
          <cell r="P70">
            <v>18057.600000000002</v>
          </cell>
          <cell r="Q70">
            <v>0</v>
          </cell>
        </row>
        <row r="71">
          <cell r="B71" t="str">
            <v>cd3650</v>
          </cell>
          <cell r="C71" t="str">
            <v>Everly IA</v>
          </cell>
          <cell r="D71" t="str">
            <v>IA</v>
          </cell>
          <cell r="E71" t="str">
            <v>USA</v>
          </cell>
          <cell r="F71">
            <v>0</v>
          </cell>
          <cell r="G71">
            <v>0</v>
          </cell>
          <cell r="H71">
            <v>0</v>
          </cell>
          <cell r="I71">
            <v>31788.9</v>
          </cell>
          <cell r="J71">
            <v>127155.6</v>
          </cell>
          <cell r="K71">
            <v>158944.5</v>
          </cell>
          <cell r="M71">
            <v>0.9405</v>
          </cell>
          <cell r="N71">
            <v>169000</v>
          </cell>
          <cell r="P71">
            <v>127155.6</v>
          </cell>
          <cell r="Q71">
            <v>0</v>
          </cell>
        </row>
        <row r="72">
          <cell r="B72" t="str">
            <v>cd2674</v>
          </cell>
          <cell r="C72" t="str">
            <v>Hollandsburg Palestine OH</v>
          </cell>
          <cell r="D72" t="str">
            <v>OH</v>
          </cell>
          <cell r="E72" t="str">
            <v>USA</v>
          </cell>
          <cell r="F72">
            <v>0</v>
          </cell>
          <cell r="G72">
            <v>0</v>
          </cell>
          <cell r="H72">
            <v>0</v>
          </cell>
          <cell r="I72">
            <v>27838.800000000003</v>
          </cell>
          <cell r="J72">
            <v>111355.20000000001</v>
          </cell>
          <cell r="K72">
            <v>139194</v>
          </cell>
          <cell r="M72">
            <v>0.9405</v>
          </cell>
          <cell r="N72">
            <v>148000</v>
          </cell>
          <cell r="P72">
            <v>111355.20000000001</v>
          </cell>
          <cell r="Q72">
            <v>0</v>
          </cell>
        </row>
        <row r="73">
          <cell r="B73" t="str">
            <v>cd2694</v>
          </cell>
          <cell r="C73" t="str">
            <v>Jonesburg MO</v>
          </cell>
          <cell r="D73" t="str">
            <v>MO</v>
          </cell>
          <cell r="E73" t="str">
            <v>USA</v>
          </cell>
          <cell r="F73">
            <v>0</v>
          </cell>
          <cell r="G73">
            <v>0</v>
          </cell>
          <cell r="H73">
            <v>0</v>
          </cell>
          <cell r="I73">
            <v>26329.050000000003</v>
          </cell>
          <cell r="J73">
            <v>105316.20000000001</v>
          </cell>
          <cell r="K73">
            <v>131645.25</v>
          </cell>
          <cell r="M73">
            <v>0.66825000000000001</v>
          </cell>
          <cell r="N73">
            <v>197000</v>
          </cell>
          <cell r="P73">
            <v>105316.20000000001</v>
          </cell>
          <cell r="Q73">
            <v>0</v>
          </cell>
        </row>
        <row r="74">
          <cell r="B74" t="str">
            <v>cd4141</v>
          </cell>
          <cell r="C74" t="str">
            <v>Wuskwi Sipihk FN MB</v>
          </cell>
          <cell r="D74" t="str">
            <v>MB</v>
          </cell>
          <cell r="E74" t="str">
            <v>Canada</v>
          </cell>
          <cell r="F74">
            <v>0</v>
          </cell>
          <cell r="G74">
            <v>0</v>
          </cell>
          <cell r="H74">
            <v>0</v>
          </cell>
          <cell r="I74">
            <v>46031.832000000002</v>
          </cell>
          <cell r="J74">
            <v>69047.747999999992</v>
          </cell>
          <cell r="K74">
            <v>115079.57999999999</v>
          </cell>
          <cell r="M74">
            <v>0.9405</v>
          </cell>
          <cell r="N74">
            <v>122359.99999999999</v>
          </cell>
          <cell r="P74">
            <v>0</v>
          </cell>
          <cell r="Q74">
            <v>69047.747999999992</v>
          </cell>
        </row>
        <row r="75">
          <cell r="B75" t="str">
            <v>cd2353</v>
          </cell>
          <cell r="C75" t="str">
            <v>Dillingham</v>
          </cell>
          <cell r="D75" t="str">
            <v>AK</v>
          </cell>
          <cell r="E75" t="str">
            <v>USA</v>
          </cell>
          <cell r="F75">
            <v>0</v>
          </cell>
          <cell r="G75">
            <v>0</v>
          </cell>
          <cell r="H75">
            <v>0</v>
          </cell>
          <cell r="I75">
            <v>13529.092499999999</v>
          </cell>
          <cell r="J75">
            <v>54116.369999999995</v>
          </cell>
          <cell r="K75">
            <v>67645.462499999994</v>
          </cell>
          <cell r="M75">
            <v>0.47025</v>
          </cell>
          <cell r="N75">
            <v>143850</v>
          </cell>
          <cell r="P75">
            <v>54116.369999999995</v>
          </cell>
          <cell r="Q75">
            <v>0</v>
          </cell>
        </row>
        <row r="76">
          <cell r="B76" t="str">
            <v>cd2194</v>
          </cell>
          <cell r="C76" t="str">
            <v>East Lynn, MO</v>
          </cell>
          <cell r="D76" t="str">
            <v>MO</v>
          </cell>
          <cell r="E76" t="str">
            <v>USA</v>
          </cell>
          <cell r="F76">
            <v>0</v>
          </cell>
          <cell r="G76">
            <v>0</v>
          </cell>
          <cell r="H76">
            <v>0</v>
          </cell>
          <cell r="I76">
            <v>9459.0787499999988</v>
          </cell>
          <cell r="J76">
            <v>37836.314999999995</v>
          </cell>
          <cell r="K76">
            <v>47295.393749999996</v>
          </cell>
          <cell r="M76">
            <v>0.63483749999999994</v>
          </cell>
          <cell r="N76">
            <v>74500</v>
          </cell>
          <cell r="P76">
            <v>37836.314999999995</v>
          </cell>
          <cell r="Q76">
            <v>0</v>
          </cell>
        </row>
        <row r="77">
          <cell r="B77" t="str">
            <v>cd4006</v>
          </cell>
          <cell r="C77" t="str">
            <v>Sucker Creek Rebuild RWR</v>
          </cell>
          <cell r="D77" t="str">
            <v>AB</v>
          </cell>
          <cell r="E77" t="str">
            <v>Canada</v>
          </cell>
          <cell r="F77">
            <v>0</v>
          </cell>
          <cell r="G77">
            <v>0</v>
          </cell>
          <cell r="H77">
            <v>0</v>
          </cell>
          <cell r="I77">
            <v>15446.772000000001</v>
          </cell>
          <cell r="J77">
            <v>23170.157999999999</v>
          </cell>
          <cell r="K77">
            <v>38616.93</v>
          </cell>
          <cell r="M77">
            <v>0.99</v>
          </cell>
          <cell r="N77">
            <v>39007</v>
          </cell>
          <cell r="P77">
            <v>0</v>
          </cell>
          <cell r="Q77">
            <v>23170.157999999999</v>
          </cell>
        </row>
        <row r="78">
          <cell r="B78" t="str">
            <v>cd2119</v>
          </cell>
          <cell r="C78" t="str">
            <v>LeBret FN SK</v>
          </cell>
          <cell r="D78" t="str">
            <v>SK</v>
          </cell>
          <cell r="E78" t="str">
            <v>Canada</v>
          </cell>
          <cell r="F78">
            <v>0</v>
          </cell>
          <cell r="G78">
            <v>0</v>
          </cell>
          <cell r="H78">
            <v>0</v>
          </cell>
          <cell r="I78">
            <v>15332.031000000001</v>
          </cell>
          <cell r="J78">
            <v>22998.0465</v>
          </cell>
          <cell r="K78">
            <v>38330.077499999999</v>
          </cell>
          <cell r="M78">
            <v>0.9405</v>
          </cell>
          <cell r="N78">
            <v>40755</v>
          </cell>
          <cell r="P78">
            <v>0</v>
          </cell>
          <cell r="Q78">
            <v>22998.0465</v>
          </cell>
        </row>
        <row r="79">
          <cell r="B79" t="str">
            <v>cd2758</v>
          </cell>
          <cell r="C79" t="str">
            <v>Talkeetna AK SWL</v>
          </cell>
          <cell r="D79" t="str">
            <v>AK</v>
          </cell>
          <cell r="E79" t="str">
            <v>USA</v>
          </cell>
          <cell r="F79">
            <v>3629</v>
          </cell>
          <cell r="G79">
            <v>14516</v>
          </cell>
          <cell r="H79">
            <v>7258</v>
          </cell>
          <cell r="I79">
            <v>3629</v>
          </cell>
          <cell r="J79">
            <v>3629</v>
          </cell>
          <cell r="K79">
            <v>32661</v>
          </cell>
          <cell r="M79">
            <v>0.23749999999999999</v>
          </cell>
          <cell r="N79">
            <v>137520</v>
          </cell>
          <cell r="P79">
            <v>3629</v>
          </cell>
          <cell r="Q79">
            <v>0</v>
          </cell>
        </row>
        <row r="80">
          <cell r="B80" t="str">
            <v>cd4405</v>
          </cell>
          <cell r="C80" t="str">
            <v xml:space="preserve">Sandy Bay MB </v>
          </cell>
          <cell r="D80" t="str">
            <v>MB</v>
          </cell>
          <cell r="E80" t="str">
            <v>Canada</v>
          </cell>
          <cell r="F80">
            <v>0</v>
          </cell>
          <cell r="G80">
            <v>0</v>
          </cell>
          <cell r="H80">
            <v>0</v>
          </cell>
          <cell r="I80">
            <v>0</v>
          </cell>
          <cell r="J80">
            <v>29782.499999999996</v>
          </cell>
          <cell r="K80">
            <v>29782.499999999996</v>
          </cell>
          <cell r="M80">
            <v>0.71249999999999991</v>
          </cell>
          <cell r="N80">
            <v>41800</v>
          </cell>
          <cell r="P80">
            <v>0</v>
          </cell>
          <cell r="Q80">
            <v>29782.499999999996</v>
          </cell>
        </row>
        <row r="81">
          <cell r="B81" t="str">
            <v>cd3704</v>
          </cell>
          <cell r="C81" t="str">
            <v>Plessisville</v>
          </cell>
          <cell r="D81" t="str">
            <v>QC</v>
          </cell>
          <cell r="E81" t="str">
            <v>Canada</v>
          </cell>
          <cell r="F81">
            <v>0</v>
          </cell>
          <cell r="G81">
            <v>0</v>
          </cell>
          <cell r="H81">
            <v>0</v>
          </cell>
          <cell r="I81">
            <v>4895.1599999999989</v>
          </cell>
          <cell r="J81">
            <v>19580.639999999996</v>
          </cell>
          <cell r="K81">
            <v>24475.799999999996</v>
          </cell>
          <cell r="M81">
            <v>0.14249999999999999</v>
          </cell>
          <cell r="N81">
            <v>171759.99999999997</v>
          </cell>
          <cell r="P81">
            <v>0</v>
          </cell>
          <cell r="Q81">
            <v>19580.639999999996</v>
          </cell>
        </row>
        <row r="82">
          <cell r="B82" t="str">
            <v>cd4423</v>
          </cell>
          <cell r="C82" t="str">
            <v>Whitefield NH DF</v>
          </cell>
          <cell r="D82" t="str">
            <v>NH</v>
          </cell>
          <cell r="E82" t="str">
            <v>USA</v>
          </cell>
          <cell r="F82">
            <v>0</v>
          </cell>
          <cell r="G82">
            <v>1425</v>
          </cell>
          <cell r="H82">
            <v>5700</v>
          </cell>
          <cell r="I82">
            <v>11400</v>
          </cell>
          <cell r="J82">
            <v>5700</v>
          </cell>
          <cell r="K82">
            <v>24225</v>
          </cell>
          <cell r="M82">
            <v>0.14249999999999999</v>
          </cell>
          <cell r="N82">
            <v>170000.00000000003</v>
          </cell>
          <cell r="P82">
            <v>5700</v>
          </cell>
          <cell r="Q82">
            <v>0</v>
          </cell>
        </row>
        <row r="83">
          <cell r="B83" t="str">
            <v>cd4073</v>
          </cell>
          <cell r="C83" t="str">
            <v>Epursol SWL</v>
          </cell>
          <cell r="D83" t="str">
            <v>QC</v>
          </cell>
          <cell r="E83" t="str">
            <v>Canada</v>
          </cell>
          <cell r="F83">
            <v>0</v>
          </cell>
          <cell r="G83">
            <v>0</v>
          </cell>
          <cell r="H83">
            <v>0</v>
          </cell>
          <cell r="I83">
            <v>9603.36</v>
          </cell>
          <cell r="J83">
            <v>14405.04</v>
          </cell>
          <cell r="K83">
            <v>24008.400000000001</v>
          </cell>
          <cell r="M83">
            <v>0.81</v>
          </cell>
          <cell r="N83">
            <v>29640</v>
          </cell>
          <cell r="P83">
            <v>0</v>
          </cell>
          <cell r="Q83">
            <v>14405.04</v>
          </cell>
        </row>
        <row r="84">
          <cell r="B84" t="str">
            <v>cd3037</v>
          </cell>
          <cell r="C84" t="str">
            <v>New Town, ND</v>
          </cell>
          <cell r="D84" t="str">
            <v>ND</v>
          </cell>
          <cell r="E84" t="str">
            <v>USA</v>
          </cell>
          <cell r="F84">
            <v>2559.6000000000004</v>
          </cell>
          <cell r="G84">
            <v>10238.400000000001</v>
          </cell>
          <cell r="H84">
            <v>5119.2000000000007</v>
          </cell>
          <cell r="I84">
            <v>2559.6000000000004</v>
          </cell>
          <cell r="J84">
            <v>2559.6000000000004</v>
          </cell>
          <cell r="K84">
            <v>23036.400000000001</v>
          </cell>
          <cell r="M84">
            <v>8.1000000000000016E-2</v>
          </cell>
          <cell r="N84">
            <v>284399.99999999994</v>
          </cell>
          <cell r="P84">
            <v>2559.6000000000004</v>
          </cell>
          <cell r="Q84">
            <v>0</v>
          </cell>
        </row>
        <row r="85">
          <cell r="B85" t="str">
            <v>cd4270</v>
          </cell>
          <cell r="C85" t="str">
            <v>Saint-Elzear QC SWL</v>
          </cell>
          <cell r="D85" t="str">
            <v>QC</v>
          </cell>
          <cell r="E85" t="str">
            <v>Canada</v>
          </cell>
          <cell r="F85">
            <v>0</v>
          </cell>
          <cell r="G85">
            <v>0</v>
          </cell>
          <cell r="H85">
            <v>0</v>
          </cell>
          <cell r="I85">
            <v>8410.3271999999997</v>
          </cell>
          <cell r="J85">
            <v>12615.4908</v>
          </cell>
          <cell r="K85">
            <v>21025.817999999999</v>
          </cell>
          <cell r="M85">
            <v>0.66825000000000001</v>
          </cell>
          <cell r="N85">
            <v>31464</v>
          </cell>
          <cell r="P85">
            <v>0</v>
          </cell>
          <cell r="Q85">
            <v>12615.4908</v>
          </cell>
        </row>
        <row r="86">
          <cell r="B86" t="str">
            <v>cd4367</v>
          </cell>
          <cell r="C86" t="str">
            <v>Fire Training Academy WA</v>
          </cell>
          <cell r="D86" t="str">
            <v>WA</v>
          </cell>
          <cell r="E86" t="str">
            <v>USA</v>
          </cell>
          <cell r="F86">
            <v>1847.75</v>
          </cell>
          <cell r="G86">
            <v>7391</v>
          </cell>
          <cell r="H86">
            <v>3695.5</v>
          </cell>
          <cell r="I86">
            <v>1847.75</v>
          </cell>
          <cell r="J86">
            <v>1847.75</v>
          </cell>
          <cell r="K86">
            <v>16629.75</v>
          </cell>
          <cell r="M86">
            <v>0.47499999999999998</v>
          </cell>
          <cell r="N86">
            <v>35010</v>
          </cell>
          <cell r="P86">
            <v>1847.75</v>
          </cell>
          <cell r="Q86">
            <v>0</v>
          </cell>
        </row>
        <row r="87">
          <cell r="B87" t="str">
            <v>cd4030</v>
          </cell>
          <cell r="C87" t="str">
            <v>La Malbaie QC</v>
          </cell>
          <cell r="D87" t="str">
            <v>QC</v>
          </cell>
          <cell r="E87" t="str">
            <v>Canada</v>
          </cell>
          <cell r="F87">
            <v>0</v>
          </cell>
          <cell r="G87">
            <v>0</v>
          </cell>
          <cell r="H87">
            <v>0</v>
          </cell>
          <cell r="I87">
            <v>6627.9600000000009</v>
          </cell>
          <cell r="J87">
            <v>9941.94</v>
          </cell>
          <cell r="K87">
            <v>16569.900000000001</v>
          </cell>
          <cell r="M87">
            <v>0.85499999999999998</v>
          </cell>
          <cell r="N87">
            <v>19380.000000000004</v>
          </cell>
          <cell r="P87">
            <v>0</v>
          </cell>
          <cell r="Q87">
            <v>9941.94</v>
          </cell>
        </row>
        <row r="88">
          <cell r="B88" t="str">
            <v>cd4416</v>
          </cell>
          <cell r="C88" t="str">
            <v>Chichaoua</v>
          </cell>
          <cell r="D88" t="str">
            <v>Other</v>
          </cell>
          <cell r="E88" t="str">
            <v>USA</v>
          </cell>
          <cell r="F88">
            <v>0</v>
          </cell>
          <cell r="G88">
            <v>0</v>
          </cell>
          <cell r="H88">
            <v>0</v>
          </cell>
          <cell r="I88">
            <v>3216.7000000000003</v>
          </cell>
          <cell r="J88">
            <v>12866.800000000001</v>
          </cell>
          <cell r="K88">
            <v>16083.500000000002</v>
          </cell>
          <cell r="M88">
            <v>0.25</v>
          </cell>
          <cell r="N88">
            <v>64334.000000000007</v>
          </cell>
          <cell r="P88">
            <v>12866.800000000001</v>
          </cell>
          <cell r="Q88">
            <v>0</v>
          </cell>
        </row>
        <row r="89">
          <cell r="B89" t="str">
            <v>cd4233</v>
          </cell>
          <cell r="C89" t="str">
            <v>Murphys CA</v>
          </cell>
          <cell r="D89" t="str">
            <v>CA</v>
          </cell>
          <cell r="E89" t="str">
            <v>USA</v>
          </cell>
          <cell r="F89">
            <v>1686.5516250000001</v>
          </cell>
          <cell r="G89">
            <v>6746.2065000000002</v>
          </cell>
          <cell r="H89">
            <v>3373.1032500000001</v>
          </cell>
          <cell r="I89">
            <v>1686.5516250000001</v>
          </cell>
          <cell r="J89">
            <v>1686.5516250000001</v>
          </cell>
          <cell r="K89">
            <v>15178.964625000001</v>
          </cell>
          <cell r="M89">
            <v>0.21161250000000001</v>
          </cell>
          <cell r="N89">
            <v>71730</v>
          </cell>
          <cell r="P89">
            <v>1686.5516250000001</v>
          </cell>
          <cell r="Q89">
            <v>0</v>
          </cell>
        </row>
        <row r="90">
          <cell r="B90" t="str">
            <v>cd2894</v>
          </cell>
          <cell r="C90" t="str">
            <v>Ville-Marie BP</v>
          </cell>
          <cell r="D90" t="str">
            <v>QC</v>
          </cell>
          <cell r="E90" t="str">
            <v>Canada</v>
          </cell>
          <cell r="F90">
            <v>0</v>
          </cell>
          <cell r="G90">
            <v>0</v>
          </cell>
          <cell r="H90">
            <v>0</v>
          </cell>
          <cell r="I90">
            <v>3002.0760000000005</v>
          </cell>
          <cell r="J90">
            <v>12008.304000000002</v>
          </cell>
          <cell r="K90">
            <v>15010.380000000003</v>
          </cell>
          <cell r="M90">
            <v>9.9000000000000005E-2</v>
          </cell>
          <cell r="N90">
            <v>151620.00000000003</v>
          </cell>
          <cell r="P90">
            <v>0</v>
          </cell>
          <cell r="Q90">
            <v>12008.304000000002</v>
          </cell>
        </row>
        <row r="91">
          <cell r="B91" t="str">
            <v>cd4166</v>
          </cell>
          <cell r="C91" t="str">
            <v>Onion Lake</v>
          </cell>
          <cell r="D91" t="str">
            <v>AB</v>
          </cell>
          <cell r="E91" t="str">
            <v>Canada</v>
          </cell>
          <cell r="F91">
            <v>0</v>
          </cell>
          <cell r="G91">
            <v>0</v>
          </cell>
          <cell r="H91">
            <v>0</v>
          </cell>
          <cell r="I91">
            <v>4765.2</v>
          </cell>
          <cell r="J91">
            <v>7147.8</v>
          </cell>
          <cell r="K91">
            <v>11913</v>
          </cell>
          <cell r="M91">
            <v>0.95</v>
          </cell>
          <cell r="N91">
            <v>12540</v>
          </cell>
          <cell r="P91">
            <v>0</v>
          </cell>
          <cell r="Q91">
            <v>7147.8</v>
          </cell>
        </row>
        <row r="92">
          <cell r="B92" t="str">
            <v>cd3878</v>
          </cell>
          <cell r="C92" t="str">
            <v>Kanab</v>
          </cell>
          <cell r="D92" t="str">
            <v>UT</v>
          </cell>
          <cell r="E92" t="str">
            <v>USA</v>
          </cell>
          <cell r="F92">
            <v>0</v>
          </cell>
          <cell r="G92">
            <v>0</v>
          </cell>
          <cell r="H92">
            <v>0</v>
          </cell>
          <cell r="I92">
            <v>1947.375</v>
          </cell>
          <cell r="J92">
            <v>7789.5</v>
          </cell>
          <cell r="K92">
            <v>9736.875</v>
          </cell>
          <cell r="M92">
            <v>0.16875000000000001</v>
          </cell>
          <cell r="N92">
            <v>57699.999999999993</v>
          </cell>
          <cell r="P92">
            <v>7789.5</v>
          </cell>
          <cell r="Q92">
            <v>0</v>
          </cell>
        </row>
        <row r="93">
          <cell r="B93" t="str">
            <v>cd4420</v>
          </cell>
          <cell r="C93" t="str">
            <v xml:space="preserve">Dallas  OR </v>
          </cell>
          <cell r="D93" t="str">
            <v>OR</v>
          </cell>
          <cell r="E93" t="str">
            <v>USA</v>
          </cell>
          <cell r="F93">
            <v>0</v>
          </cell>
          <cell r="G93">
            <v>0</v>
          </cell>
          <cell r="H93">
            <v>0</v>
          </cell>
          <cell r="I93">
            <v>0</v>
          </cell>
          <cell r="J93">
            <v>7125</v>
          </cell>
          <cell r="K93">
            <v>7125</v>
          </cell>
          <cell r="M93">
            <v>0.23749999999999999</v>
          </cell>
          <cell r="N93">
            <v>30000</v>
          </cell>
          <cell r="P93">
            <v>7125</v>
          </cell>
          <cell r="Q93">
            <v>0</v>
          </cell>
        </row>
        <row r="94">
          <cell r="B94" t="str">
            <v>cd4138</v>
          </cell>
          <cell r="C94" t="str">
            <v>FRC Tyson Foods NY</v>
          </cell>
          <cell r="D94" t="str">
            <v>NY</v>
          </cell>
          <cell r="E94" t="str">
            <v>USA</v>
          </cell>
          <cell r="F94">
            <v>0</v>
          </cell>
          <cell r="G94">
            <v>0</v>
          </cell>
          <cell r="H94">
            <v>1139.9999999999998</v>
          </cell>
          <cell r="I94">
            <v>1139.9999999999998</v>
          </cell>
          <cell r="J94">
            <v>4559.9999999999991</v>
          </cell>
          <cell r="K94">
            <v>6839.9999999999982</v>
          </cell>
          <cell r="M94">
            <v>3.5624999999999997E-2</v>
          </cell>
          <cell r="N94">
            <v>191999.99999999997</v>
          </cell>
          <cell r="P94">
            <v>4559.9999999999991</v>
          </cell>
          <cell r="Q94">
            <v>0</v>
          </cell>
        </row>
        <row r="95">
          <cell r="B95" t="str">
            <v>cd3856</v>
          </cell>
          <cell r="C95" t="str">
            <v>Medora ND SWL</v>
          </cell>
          <cell r="D95" t="str">
            <v>ND</v>
          </cell>
          <cell r="E95" t="str">
            <v>USA</v>
          </cell>
          <cell r="F95">
            <v>0</v>
          </cell>
          <cell r="G95">
            <v>0</v>
          </cell>
          <cell r="H95">
            <v>0</v>
          </cell>
          <cell r="I95">
            <v>839.53125</v>
          </cell>
          <cell r="J95">
            <v>3358.125</v>
          </cell>
          <cell r="K95">
            <v>4197.65625</v>
          </cell>
          <cell r="M95">
            <v>0.2109375</v>
          </cell>
          <cell r="N95">
            <v>19900</v>
          </cell>
          <cell r="P95">
            <v>3358.125</v>
          </cell>
          <cell r="Q95">
            <v>0</v>
          </cell>
        </row>
        <row r="96">
          <cell r="B96" t="str">
            <v>cd4275</v>
          </cell>
          <cell r="C96" t="str">
            <v>Nova Scotia Forest Products Mill</v>
          </cell>
          <cell r="D96" t="str">
            <v>NS</v>
          </cell>
          <cell r="E96" t="str">
            <v>Canada</v>
          </cell>
          <cell r="F96">
            <v>0</v>
          </cell>
          <cell r="G96">
            <v>0</v>
          </cell>
          <cell r="H96">
            <v>0</v>
          </cell>
          <cell r="I96">
            <v>1619.973</v>
          </cell>
          <cell r="J96">
            <v>2429.9594999999999</v>
          </cell>
          <cell r="K96">
            <v>4049.9324999999999</v>
          </cell>
          <cell r="M96">
            <v>3.3750000000000002E-2</v>
          </cell>
          <cell r="N96">
            <v>119997.99999999999</v>
          </cell>
          <cell r="P96">
            <v>0</v>
          </cell>
          <cell r="Q96">
            <v>2429.9594999999999</v>
          </cell>
        </row>
        <row r="97">
          <cell r="B97" t="str">
            <v>cd4295</v>
          </cell>
          <cell r="C97" t="str">
            <v>Chemical Plant El Dorado AR</v>
          </cell>
          <cell r="D97" t="str">
            <v>AR</v>
          </cell>
          <cell r="E97" t="str">
            <v>USA</v>
          </cell>
          <cell r="F97">
            <v>0</v>
          </cell>
          <cell r="G97">
            <v>0</v>
          </cell>
          <cell r="H97">
            <v>0</v>
          </cell>
          <cell r="I97">
            <v>0</v>
          </cell>
          <cell r="J97">
            <v>3247.2900000000004</v>
          </cell>
          <cell r="K97">
            <v>3247.2900000000004</v>
          </cell>
          <cell r="M97">
            <v>0.25650000000000001</v>
          </cell>
          <cell r="N97">
            <v>12660.000000000002</v>
          </cell>
          <cell r="P97">
            <v>3247.2900000000004</v>
          </cell>
          <cell r="Q97">
            <v>0</v>
          </cell>
        </row>
        <row r="98">
          <cell r="B98" t="str">
            <v>cd3968</v>
          </cell>
          <cell r="C98" t="str">
            <v>Farmersville TX</v>
          </cell>
          <cell r="D98" t="str">
            <v>TX</v>
          </cell>
          <cell r="E98" t="str">
            <v>USA</v>
          </cell>
          <cell r="F98">
            <v>0</v>
          </cell>
          <cell r="G98">
            <v>0</v>
          </cell>
          <cell r="H98">
            <v>0</v>
          </cell>
          <cell r="I98">
            <v>0</v>
          </cell>
          <cell r="J98">
            <v>2885.625</v>
          </cell>
          <cell r="K98">
            <v>2885.625</v>
          </cell>
          <cell r="M98">
            <v>0.19237499999999999</v>
          </cell>
          <cell r="N98">
            <v>15000</v>
          </cell>
          <cell r="P98">
            <v>2885.625</v>
          </cell>
          <cell r="Q98">
            <v>0</v>
          </cell>
        </row>
        <row r="99">
          <cell r="B99" t="str">
            <v>cd4239</v>
          </cell>
          <cell r="C99" t="str">
            <v>Wasaga Pines Resort  ON</v>
          </cell>
          <cell r="D99" t="str">
            <v>ON</v>
          </cell>
          <cell r="E99" t="str">
            <v>Canada</v>
          </cell>
          <cell r="F99">
            <v>0</v>
          </cell>
          <cell r="G99">
            <v>0</v>
          </cell>
          <cell r="H99">
            <v>0</v>
          </cell>
          <cell r="I99">
            <v>0</v>
          </cell>
          <cell r="J99">
            <v>1932.3427499999998</v>
          </cell>
          <cell r="K99">
            <v>1932.3427499999998</v>
          </cell>
          <cell r="M99">
            <v>0.1603125</v>
          </cell>
          <cell r="N99">
            <v>12053.599999999999</v>
          </cell>
          <cell r="P99">
            <v>0</v>
          </cell>
          <cell r="Q99">
            <v>1932.3427499999998</v>
          </cell>
        </row>
        <row r="100">
          <cell r="B100" t="str">
            <v>cd4183</v>
          </cell>
          <cell r="C100" t="str">
            <v>Cedar Hills Subdivision MO SWL</v>
          </cell>
          <cell r="D100" t="str">
            <v>MO</v>
          </cell>
          <cell r="E100" t="str">
            <v>USA</v>
          </cell>
          <cell r="F100">
            <v>0</v>
          </cell>
          <cell r="G100">
            <v>0</v>
          </cell>
          <cell r="H100">
            <v>0</v>
          </cell>
          <cell r="I100">
            <v>259.6875</v>
          </cell>
          <cell r="J100">
            <v>1038.75</v>
          </cell>
          <cell r="K100">
            <v>1298.4375</v>
          </cell>
          <cell r="M100">
            <v>9.375E-2</v>
          </cell>
          <cell r="N100">
            <v>13850</v>
          </cell>
          <cell r="P100">
            <v>1038.75</v>
          </cell>
          <cell r="Q100">
            <v>0</v>
          </cell>
        </row>
        <row r="101">
          <cell r="B101" t="str">
            <v>cd3763</v>
          </cell>
          <cell r="C101" t="str">
            <v>Sky Ranch, CO DF</v>
          </cell>
          <cell r="D101" t="str">
            <v>CO</v>
          </cell>
          <cell r="E101" t="str">
            <v>USA</v>
          </cell>
          <cell r="F101">
            <v>0</v>
          </cell>
          <cell r="G101">
            <v>0</v>
          </cell>
          <cell r="H101">
            <v>0</v>
          </cell>
          <cell r="I101">
            <v>0</v>
          </cell>
          <cell r="J101">
            <v>552.82500000000016</v>
          </cell>
          <cell r="K101">
            <v>552.82500000000016</v>
          </cell>
          <cell r="M101">
            <v>6.0750000000000005E-2</v>
          </cell>
          <cell r="N101">
            <v>9100.0000000000018</v>
          </cell>
          <cell r="P101">
            <v>552.82500000000016</v>
          </cell>
          <cell r="Q101">
            <v>0</v>
          </cell>
        </row>
        <row r="102">
          <cell r="B102" t="str">
            <v>cd4258</v>
          </cell>
          <cell r="C102" t="str">
            <v>South Plant  Albany NY</v>
          </cell>
          <cell r="D102" t="str">
            <v>NY</v>
          </cell>
          <cell r="E102" t="str">
            <v>USA</v>
          </cell>
          <cell r="F102">
            <v>0</v>
          </cell>
          <cell r="G102">
            <v>0</v>
          </cell>
          <cell r="H102">
            <v>0</v>
          </cell>
          <cell r="I102">
            <v>0</v>
          </cell>
          <cell r="J102">
            <v>268.04250000000002</v>
          </cell>
          <cell r="K102">
            <v>268.04250000000002</v>
          </cell>
          <cell r="M102">
            <v>4.2750000000000003E-2</v>
          </cell>
          <cell r="N102">
            <v>6270</v>
          </cell>
          <cell r="P102">
            <v>268.04250000000002</v>
          </cell>
          <cell r="Q102">
            <v>0</v>
          </cell>
        </row>
        <row r="103">
          <cell r="B103" t="str">
            <v>cd3578</v>
          </cell>
          <cell r="C103" t="str">
            <v>College Station TX DF</v>
          </cell>
          <cell r="D103" t="str">
            <v>TX</v>
          </cell>
          <cell r="E103" t="str">
            <v>USA</v>
          </cell>
          <cell r="F103">
            <v>0</v>
          </cell>
          <cell r="G103">
            <v>0</v>
          </cell>
          <cell r="H103">
            <v>0</v>
          </cell>
          <cell r="I103">
            <v>0</v>
          </cell>
          <cell r="J103">
            <v>174.20625000000001</v>
          </cell>
          <cell r="K103">
            <v>174.20625000000001</v>
          </cell>
          <cell r="M103">
            <v>4.2750000000000002E-3</v>
          </cell>
          <cell r="N103">
            <v>40750</v>
          </cell>
          <cell r="P103">
            <v>174.20625000000001</v>
          </cell>
          <cell r="Q103">
            <v>0</v>
          </cell>
        </row>
        <row r="104">
          <cell r="F104">
            <v>79908.901624999999</v>
          </cell>
          <cell r="G104">
            <v>189280.40649999998</v>
          </cell>
          <cell r="H104">
            <v>212949.40325000003</v>
          </cell>
          <cell r="I104">
            <v>1441936.6775749999</v>
          </cell>
          <cell r="J104">
            <v>3807240.558925</v>
          </cell>
          <cell r="K104">
            <v>5731315.9478749996</v>
          </cell>
          <cell r="N104">
            <v>7810601.5999999996</v>
          </cell>
          <cell r="P104">
            <v>3173320.8053750009</v>
          </cell>
          <cell r="Q104">
            <v>633919.75355000002</v>
          </cell>
        </row>
        <row r="105">
          <cell r="P105">
            <v>0.83349627013613492</v>
          </cell>
        </row>
        <row r="106">
          <cell r="B106" t="str">
            <v>Iowa</v>
          </cell>
          <cell r="C106"/>
          <cell r="D106" t="str">
            <v>IA</v>
          </cell>
          <cell r="E106"/>
          <cell r="F106">
            <v>0</v>
          </cell>
          <cell r="G106">
            <v>0</v>
          </cell>
          <cell r="H106">
            <v>0</v>
          </cell>
          <cell r="I106">
            <v>565014.78</v>
          </cell>
          <cell r="J106">
            <v>2260059.12</v>
          </cell>
          <cell r="K106">
            <v>2825073.9</v>
          </cell>
          <cell r="L106"/>
          <cell r="M106">
            <v>0.9405</v>
          </cell>
          <cell r="N106">
            <v>3003800</v>
          </cell>
        </row>
        <row r="107">
          <cell r="B107" t="str">
            <v>Wisconsin</v>
          </cell>
          <cell r="C107"/>
          <cell r="D107" t="str">
            <v>WI</v>
          </cell>
          <cell r="E107"/>
          <cell r="F107">
            <v>18057.600000000002</v>
          </cell>
          <cell r="G107">
            <v>96835.400000000009</v>
          </cell>
          <cell r="H107">
            <v>96835.400000000009</v>
          </cell>
          <cell r="I107">
            <v>214897.6</v>
          </cell>
          <cell r="J107">
            <v>116477.6</v>
          </cell>
          <cell r="K107">
            <v>580803.4</v>
          </cell>
          <cell r="L107"/>
          <cell r="M107">
            <v>0.94732245963138151</v>
          </cell>
          <cell r="N107">
            <v>613100</v>
          </cell>
        </row>
        <row r="108">
          <cell r="B108" t="str">
            <v>Manitoba</v>
          </cell>
          <cell r="C108"/>
          <cell r="D108" t="str">
            <v>MB</v>
          </cell>
          <cell r="E108"/>
          <cell r="F108">
            <v>0</v>
          </cell>
          <cell r="G108">
            <v>0</v>
          </cell>
          <cell r="H108">
            <v>0</v>
          </cell>
          <cell r="I108">
            <v>113292.288</v>
          </cell>
          <cell r="J108">
            <v>199720.932</v>
          </cell>
          <cell r="K108">
            <v>313013.21999999997</v>
          </cell>
          <cell r="L108"/>
          <cell r="M108">
            <v>0.79279980750721846</v>
          </cell>
          <cell r="N108">
            <v>394820</v>
          </cell>
        </row>
        <row r="109">
          <cell r="B109" t="str">
            <v>Saskatchewan</v>
          </cell>
          <cell r="C109"/>
          <cell r="D109" t="str">
            <v>SK</v>
          </cell>
          <cell r="E109"/>
          <cell r="F109">
            <v>52128.4</v>
          </cell>
          <cell r="G109">
            <v>52128.4</v>
          </cell>
          <cell r="H109">
            <v>52128.4</v>
          </cell>
          <cell r="I109">
            <v>213557.13099999999</v>
          </cell>
          <cell r="J109">
            <v>229110.99650000001</v>
          </cell>
          <cell r="K109">
            <v>599053.32750000001</v>
          </cell>
          <cell r="L109"/>
          <cell r="M109">
            <v>0.94667835159885905</v>
          </cell>
          <cell r="N109">
            <v>632795</v>
          </cell>
        </row>
        <row r="110">
          <cell r="K110">
            <v>0.75339483755052161</v>
          </cell>
          <cell r="N110"/>
        </row>
        <row r="111">
          <cell r="B111" t="str">
            <v>Projected bookings with MANC &gt;93%</v>
          </cell>
          <cell r="C111"/>
          <cell r="D111"/>
          <cell r="E111"/>
          <cell r="F111">
            <v>70186</v>
          </cell>
          <cell r="G111">
            <v>148963.79999999999</v>
          </cell>
          <cell r="H111">
            <v>186663.6</v>
          </cell>
          <cell r="I111">
            <v>1156616.1149999998</v>
          </cell>
          <cell r="J111">
            <v>3092624.6225000005</v>
          </cell>
          <cell r="K111">
            <v>4655054.1375000002</v>
          </cell>
          <cell r="L111"/>
          <cell r="M111"/>
          <cell r="N111"/>
        </row>
        <row r="112">
          <cell r="K112">
            <v>0.8122138405623851</v>
          </cell>
        </row>
      </sheetData>
      <sheetData sheetId="4">
        <row r="2">
          <cell r="M2">
            <v>12.235505387199998</v>
          </cell>
        </row>
      </sheetData>
      <sheetData sheetId="5"/>
      <sheetData sheetId="6"/>
      <sheetData sheetId="7">
        <row r="11">
          <cell r="A11" t="str">
            <v>Absarokee</v>
          </cell>
        </row>
      </sheetData>
      <sheetData sheetId="8">
        <row r="11">
          <cell r="A11" t="str">
            <v>Pilot Butte SK SWL</v>
          </cell>
        </row>
      </sheetData>
      <sheetData sheetId="9">
        <row r="11">
          <cell r="A11" t="str">
            <v>Absarokee</v>
          </cell>
        </row>
      </sheetData>
      <sheetData sheetId="10">
        <row r="11">
          <cell r="A11" t="str">
            <v>Absarokee</v>
          </cell>
        </row>
      </sheetData>
      <sheetData sheetId="11">
        <row r="11">
          <cell r="A11" t="str">
            <v>Absarokee</v>
          </cell>
        </row>
      </sheetData>
      <sheetData sheetId="12">
        <row r="11">
          <cell r="A11" t="str">
            <v>Absarokee</v>
          </cell>
        </row>
      </sheetData>
      <sheetData sheetId="13">
        <row r="11">
          <cell r="A11" t="str">
            <v>YYC NRP AB</v>
          </cell>
        </row>
      </sheetData>
      <sheetData sheetId="14"/>
    </sheetDataSet>
  </externalBook>
</externalLink>
</file>

<file path=xl/externalLinks/externalLink50.xml><?xml version="1.0" encoding="utf-8"?>
<externalLink xmlns="http://schemas.openxmlformats.org/spreadsheetml/2006/main">
  <externalBook xmlns:r="http://schemas.openxmlformats.org/officeDocument/2006/relationships" r:id="rId1">
    <sheetNames>
      <sheetName val="Cover"/>
      <sheetName val="Combination Model"/>
      <sheetName val="HP Standalone Model"/>
      <sheetName val="Acquisition #1"/>
      <sheetName val="Acquisition #2"/>
      <sheetName val="Acquisition #3"/>
      <sheetName val="Acquisition #4"/>
      <sheetName val="Backup Files&gt;"/>
      <sheetName val="EBITDA Comparison"/>
      <sheetName val="Branch Reconciliation"/>
      <sheetName val="PL-All DIV"/>
      <sheetName val="Branch Consolidated"/>
      <sheetName val="WPB"/>
      <sheetName val="FMY"/>
      <sheetName val="JAX"/>
      <sheetName val="ORL"/>
      <sheetName val="TPA"/>
      <sheetName val="PNS"/>
      <sheetName val="WLT"/>
      <sheetName val="DEC 17 IS"/>
      <sheetName val="DEC 17 BS"/>
      <sheetName val="DEC 17 SCH 1-A"/>
      <sheetName val="DEC 17 SCH 1-L"/>
      <sheetName val="DEC 17 SCH 2 INC DETAIL"/>
      <sheetName val="DEC 17 SCH 2 PURCH"/>
      <sheetName val="DEC 17 SCH 2 OPER EXP"/>
      <sheetName val="DEC 17 SCH 2 OTHR INC"/>
      <sheetName val="Long Term Debt Payoff 03 28 18"/>
      <sheetName val="Consolidated CFS"/>
      <sheetName val="BAL SH 2018 (TBU)"/>
      <sheetName val="2018 Budget Summary"/>
      <sheetName val="2018 - INC - ALL DIV"/>
      <sheetName val="2018 - PURCH - ALL DIV"/>
      <sheetName val="2018 - OPER EXP - ALL DIV"/>
      <sheetName val="2018 - INC &amp; EXP - ALL DIV"/>
      <sheetName val="Summary Historical Financials"/>
      <sheetName val="HP Product Availability"/>
      <sheetName val="Additions and Disposals 2017"/>
      <sheetName val="Outputs&gt;"/>
      <sheetName val="Cap Table"/>
      <sheetName val="ROIC Comparison"/>
      <sheetName val="Value Creation Attribution"/>
      <sheetName val="TS HP Internal Scenario Outputs"/>
      <sheetName val="Revised TS Output"/>
      <sheetName val="Term Sheet Approval Outputs"/>
      <sheetName val="Balance Sheet Simple"/>
      <sheetName val="Meeting Agenda (Pre-Dil)&gt;"/>
      <sheetName val="Financial Summary (Pre-dil)"/>
      <sheetName val="Utilization Table"/>
      <sheetName val="Output Rev Str (Meeting Agenda)"/>
      <sheetName val="Output COGS (Meeting Agenda)"/>
      <sheetName val="Output Top 10 (Meeting Agenda)"/>
      <sheetName val="Output Opex"/>
      <sheetName val="Opex 2"/>
      <sheetName val="Balance Sheet and Cash Flow"/>
    </sheetNames>
    <sheetDataSet>
      <sheetData sheetId="0"/>
      <sheetData sheetId="1">
        <row r="172">
          <cell r="G172">
            <v>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51.xml><?xml version="1.0" encoding="utf-8"?>
<externalLink xmlns="http://schemas.openxmlformats.org/spreadsheetml/2006/main">
  <externalBook xmlns:r="http://schemas.openxmlformats.org/officeDocument/2006/relationships" r:id="rId1">
    <sheetNames>
      <sheetName val="Financing Sensitivities"/>
      <sheetName val="Cover"/>
      <sheetName val="Returns Model"/>
      <sheetName val="PF P&amp;L"/>
      <sheetName val="IM Outputs&gt;"/>
      <sheetName val="Summary IS"/>
      <sheetName val="Cap Table"/>
      <sheetName val="Value Creation"/>
      <sheetName val="XPVPortfolio Leverage &amp; Metrics"/>
      <sheetName val="PF BS"/>
      <sheetName val="CF Summary"/>
      <sheetName val="Capex"/>
      <sheetName val="Bridges"/>
      <sheetName val="Company Waterfalls&gt;"/>
      <sheetName val="Waterfall - EOSi"/>
      <sheetName val="Waterfall - Nexom"/>
      <sheetName val="P&amp;L&gt;"/>
      <sheetName val="Model - Nexom"/>
      <sheetName val="Model - EOSi"/>
      <sheetName val="Company Data &gt;"/>
      <sheetName val="Revised SSI P&amp;L"/>
      <sheetName val="09.00.19 - EOSi 5-Year P&amp;L"/>
      <sheetName val="09.00.19 - EOSi 5-Year BS"/>
      <sheetName val="EOSi 2019E P&amp;L - As of 09.2019"/>
      <sheetName val="EOSi 2019E BS - As of 09.2019"/>
      <sheetName val="EOSi 2014-17 P&amp;L"/>
      <sheetName val="EOSi 2018 P&amp;L"/>
      <sheetName val="EOSi 2019E P&amp;L"/>
      <sheetName val="EOSi 2019E BS"/>
      <sheetName val="Nexom"/>
      <sheetName val="NXP - IS Updated Oct"/>
      <sheetName val="NXP - BS Updated Oct"/>
      <sheetName val="NXP - CF Updated Oct"/>
      <sheetName val="09.00.19 NXP IS Forecast"/>
      <sheetName val="09.00.19 NXP BS Forecast"/>
      <sheetName val="07.16.19 NXP IS Forecast"/>
      <sheetName val="Nexom 2015-202 P&amp;L"/>
      <sheetName val="Nexom - 2019 Budget IS"/>
      <sheetName val="Nexom - 2019 Budget BS"/>
      <sheetName val="Nexom Adjustments - 2018"/>
      <sheetName val="Nexom Adjustments - 2019"/>
      <sheetName val="Nexom - 2015-23 P&amp;L"/>
      <sheetName val="Nexom - 2015-23 BS"/>
      <sheetName val="Adjustments&gt;"/>
      <sheetName val="2017"/>
      <sheetName val="2018"/>
      <sheetName val="2019"/>
      <sheetName val="2020-2023"/>
      <sheetName val="PB_CACHE"/>
    </sheetNames>
    <sheetDataSet>
      <sheetData sheetId="0"/>
      <sheetData sheetId="1">
        <row r="16">
          <cell r="B16" t="str">
            <v>Project Nexus</v>
          </cell>
        </row>
      </sheetData>
      <sheetData sheetId="2">
        <row r="19">
          <cell r="D19">
            <v>43769</v>
          </cell>
        </row>
      </sheetData>
      <sheetData sheetId="3">
        <row r="189">
          <cell r="C189" t="str">
            <v>Nexom</v>
          </cell>
        </row>
      </sheetData>
      <sheetData sheetId="4"/>
      <sheetData sheetId="5">
        <row r="8">
          <cell r="J8">
            <v>26965514.336823229</v>
          </cell>
        </row>
      </sheetData>
      <sheetData sheetId="6">
        <row r="20">
          <cell r="H20">
            <v>155420305.2201868</v>
          </cell>
        </row>
      </sheetData>
      <sheetData sheetId="7">
        <row r="10">
          <cell r="C10" t="str">
            <v>Blank</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Set>
  </externalBook>
</externalLink>
</file>

<file path=xl/externalLinks/externalLink52.xml><?xml version="1.0" encoding="utf-8"?>
<externalLink xmlns="http://schemas.openxmlformats.org/spreadsheetml/2006/main">
  <externalBook xmlns:r="http://schemas.openxmlformats.org/officeDocument/2006/relationships" r:id="rId1">
    <sheetNames>
      <sheetName val="PF HP 2021 Summary"/>
      <sheetName val="HP - P&amp;L"/>
      <sheetName val="HP - BS"/>
      <sheetName val="PSS - P&amp;L"/>
      <sheetName val="PSS - Adjustments"/>
    </sheetNames>
    <sheetDataSet>
      <sheetData sheetId="0"/>
      <sheetData sheetId="1"/>
      <sheetData sheetId="2"/>
      <sheetData sheetId="3"/>
      <sheetData sheetId="4">
        <row r="1">
          <cell r="A1"/>
        </row>
        <row r="2">
          <cell r="B2" t="str">
            <v>Pump Service and Supply (PSS) - Adjustments</v>
          </cell>
          <cell r="C2"/>
          <cell r="D2" t="str">
            <v>Confidential</v>
          </cell>
        </row>
        <row r="3">
          <cell r="B3" t="str">
            <v>2021 Financials</v>
          </cell>
          <cell r="C3"/>
          <cell r="D3" t="str">
            <v>($'s in USD)</v>
          </cell>
        </row>
        <row r="4">
          <cell r="C4"/>
          <cell r="D4"/>
        </row>
        <row r="5">
          <cell r="B5"/>
          <cell r="C5"/>
          <cell r="D5" t="str">
            <v>FYE Dec-2021</v>
          </cell>
        </row>
        <row r="6">
          <cell r="B6" t="str">
            <v>S's in 000's</v>
          </cell>
          <cell r="C6"/>
          <cell r="D6" t="str">
            <v>FY 2021</v>
          </cell>
        </row>
        <row r="7">
          <cell r="B7"/>
          <cell r="C7"/>
          <cell r="D7"/>
        </row>
        <row r="8">
          <cell r="B8" t="str">
            <v>Rental, Services &amp; Other</v>
          </cell>
          <cell r="C8"/>
          <cell r="D8">
            <v>1415426.73</v>
          </cell>
        </row>
        <row r="9">
          <cell r="B9" t="str">
            <v>Sales</v>
          </cell>
          <cell r="C9"/>
          <cell r="D9">
            <v>1836904.7200000002</v>
          </cell>
        </row>
        <row r="10">
          <cell r="A10"/>
          <cell r="B10" t="str">
            <v>Total Revenue</v>
          </cell>
          <cell r="C10"/>
          <cell r="D10">
            <v>3252331.45</v>
          </cell>
        </row>
        <row r="11">
          <cell r="B11"/>
          <cell r="C11"/>
          <cell r="D11"/>
        </row>
        <row r="12">
          <cell r="B12" t="str">
            <v>Gross Profit</v>
          </cell>
          <cell r="C12"/>
          <cell r="D12">
            <v>1768413.9700000007</v>
          </cell>
        </row>
        <row r="13">
          <cell r="B13" t="str">
            <v>% Margin (ecxl. Dep)</v>
          </cell>
          <cell r="C13"/>
          <cell r="D13">
            <v>0.54373731496523847</v>
          </cell>
        </row>
        <row r="14">
          <cell r="B14"/>
          <cell r="C14"/>
          <cell r="D14"/>
        </row>
        <row r="15">
          <cell r="B15" t="str">
            <v>Net Income</v>
          </cell>
          <cell r="C15"/>
          <cell r="D15">
            <v>689559.49000000069</v>
          </cell>
        </row>
        <row r="16">
          <cell r="B16" t="str">
            <v>% Margin</v>
          </cell>
          <cell r="C16"/>
          <cell r="D16">
            <v>0.21202005410610922</v>
          </cell>
        </row>
        <row r="17">
          <cell r="B17"/>
          <cell r="C17"/>
          <cell r="D17"/>
        </row>
        <row r="18">
          <cell r="B18" t="str">
            <v>EBITDA</v>
          </cell>
          <cell r="C18"/>
          <cell r="D18">
            <v>804168.31000000064</v>
          </cell>
        </row>
        <row r="19">
          <cell r="B19"/>
          <cell r="C19"/>
          <cell r="D19"/>
        </row>
        <row r="20">
          <cell r="B20" t="str">
            <v>Add Backs</v>
          </cell>
          <cell r="C20"/>
          <cell r="D20"/>
        </row>
        <row r="21">
          <cell r="B21" t="str">
            <v>Officer's Salary</v>
          </cell>
          <cell r="C21"/>
          <cell r="D21">
            <v>144000</v>
          </cell>
        </row>
        <row r="22">
          <cell r="B22" t="str">
            <v>Officer's Payroll Taxes</v>
          </cell>
          <cell r="C22"/>
          <cell r="D22">
            <v>11000</v>
          </cell>
        </row>
        <row r="23">
          <cell r="B23" t="str">
            <v>Personal Auto Expense</v>
          </cell>
          <cell r="C23"/>
          <cell r="D23">
            <v>12000</v>
          </cell>
        </row>
        <row r="24">
          <cell r="B24" t="str">
            <v>Officer's Hospital Insurance Premium</v>
          </cell>
          <cell r="C24"/>
          <cell r="D24">
            <v>47000</v>
          </cell>
        </row>
        <row r="25">
          <cell r="B25" t="str">
            <v>Officer's Life Insurance Premiums</v>
          </cell>
          <cell r="C25"/>
          <cell r="D25">
            <v>6504.0799999999981</v>
          </cell>
        </row>
        <row r="26">
          <cell r="B26" t="str">
            <v>Officer's Personal Phones</v>
          </cell>
          <cell r="C26"/>
          <cell r="D26">
            <v>2000</v>
          </cell>
        </row>
        <row r="27">
          <cell r="B27" t="str">
            <v>Owner's Meals, Entertainment, Travel</v>
          </cell>
          <cell r="C27"/>
          <cell r="D27">
            <v>5000</v>
          </cell>
        </row>
        <row r="28">
          <cell r="B28" t="str">
            <v>Interest Expense</v>
          </cell>
          <cell r="C28"/>
          <cell r="D28">
            <v>5728.32</v>
          </cell>
        </row>
        <row r="29">
          <cell r="B29" t="str">
            <v>Gifts</v>
          </cell>
          <cell r="C29"/>
          <cell r="D29">
            <v>1450.5</v>
          </cell>
        </row>
        <row r="30">
          <cell r="B30" t="str">
            <v>Depreciation</v>
          </cell>
          <cell r="C30"/>
          <cell r="D30">
            <v>108880.49999999999</v>
          </cell>
        </row>
        <row r="31">
          <cell r="B31" t="str">
            <v>(-) PPP</v>
          </cell>
          <cell r="C31"/>
          <cell r="D31">
            <v>-105323.23</v>
          </cell>
        </row>
        <row r="32">
          <cell r="B32" t="str">
            <v>(-) Business Manager</v>
          </cell>
          <cell r="C32"/>
          <cell r="D32">
            <v>-160000</v>
          </cell>
        </row>
        <row r="33">
          <cell r="B33"/>
          <cell r="C33"/>
          <cell r="D33"/>
        </row>
        <row r="34">
          <cell r="B34" t="str">
            <v>Adj. EBITDA</v>
          </cell>
          <cell r="C34"/>
          <cell r="D34">
            <v>767799.66000000061</v>
          </cell>
        </row>
        <row r="35">
          <cell r="B35" t="str">
            <v>% Margin</v>
          </cell>
          <cell r="C35"/>
          <cell r="D35">
            <v>0.23607669507362189</v>
          </cell>
        </row>
        <row r="36">
          <cell r="B36"/>
          <cell r="C36"/>
          <cell r="D36"/>
        </row>
        <row r="37">
          <cell r="B37"/>
          <cell r="C37"/>
          <cell r="D37"/>
        </row>
      </sheetData>
    </sheetDataSet>
  </externalBook>
</externalLink>
</file>

<file path=xl/externalLinks/externalLink53.xml><?xml version="1.0" encoding="utf-8"?>
<externalLink xmlns="http://schemas.openxmlformats.org/spreadsheetml/2006/main">
  <externalBook xmlns:r="http://schemas.openxmlformats.org/officeDocument/2006/relationships" r:id="rId1">
    <sheetNames>
      <sheetName val="PB_CACHE"/>
      <sheetName val="Cover"/>
      <sheetName val="Model"/>
      <sheetName val="Detailed Build Assumptions"/>
      <sheetName val="General Assumptions"/>
      <sheetName val="Summary Output"/>
      <sheetName val="Scenarios"/>
      <sheetName val="Consolidated Revenue Build"/>
      <sheetName val="Capex Schedule"/>
      <sheetName val="Branch Metrics"/>
      <sheetName val="Outputs&gt;&gt;"/>
      <sheetName val="Cap Table"/>
      <sheetName val="Balance Sheet Output"/>
      <sheetName val="Cash Flow Statement"/>
      <sheetName val="From Company&gt;"/>
      <sheetName val="P&amp;L"/>
      <sheetName val="BS"/>
      <sheetName val="CFS"/>
      <sheetName val="Additions "/>
      <sheetName val="Team"/>
      <sheetName val="Product Availability"/>
      <sheetName val="ALL DIV - Rev"/>
      <sheetName val="ALL DIV - Raw"/>
    </sheetNames>
    <sheetDataSet>
      <sheetData sheetId="0"/>
      <sheetData sheetId="1"/>
      <sheetData sheetId="2"/>
      <sheetData sheetId="3">
        <row r="425">
          <cell r="L425">
            <v>29</v>
          </cell>
        </row>
      </sheetData>
      <sheetData sheetId="4"/>
      <sheetData sheetId="5"/>
      <sheetData sheetId="6"/>
      <sheetData sheetId="7"/>
      <sheetData sheetId="8"/>
      <sheetData sheetId="9"/>
      <sheetData sheetId="10"/>
      <sheetData sheetId="11"/>
      <sheetData sheetId="12"/>
      <sheetData sheetId="13"/>
      <sheetData sheetId="14"/>
      <sheetData sheetId="15">
        <row r="263">
          <cell r="AM263">
            <v>0</v>
          </cell>
        </row>
      </sheetData>
      <sheetData sheetId="16"/>
      <sheetData sheetId="17"/>
      <sheetData sheetId="18"/>
      <sheetData sheetId="19"/>
      <sheetData sheetId="20"/>
      <sheetData sheetId="21"/>
      <sheetData sheetId="22"/>
    </sheetDataSet>
  </externalBook>
</externalLink>
</file>

<file path=xl/externalLinks/externalLink54.xml><?xml version="1.0" encoding="utf-8"?>
<externalLink xmlns="http://schemas.openxmlformats.org/spreadsheetml/2006/main">
  <externalBook xmlns:r="http://schemas.openxmlformats.org/officeDocument/2006/relationships" r:id="rId1">
    <sheetNames>
      <sheetName val="BS Summary"/>
      <sheetName val="NWC"/>
      <sheetName val="Proposal Review"/>
      <sheetName val="BS Outputs"/>
      <sheetName val="P&amp;L Outputs"/>
      <sheetName val="From Company&gt;&gt;"/>
      <sheetName val="Outputs&gt;&gt;"/>
      <sheetName val="Monthly Forecast"/>
      <sheetName val="Valuation Summary"/>
      <sheetName val="YTD Revenue Performance"/>
      <sheetName val="Backups&gt;"/>
      <sheetName val="Summary Financials"/>
      <sheetName val="Sept Fin. Projected to Dec"/>
      <sheetName val="2021 Budget Ideas"/>
      <sheetName val="CDPW Team"/>
      <sheetName val="WB Est. Asset Value Summary"/>
      <sheetName val="CDPW Pumps"/>
      <sheetName val="URI TTM Pump Re-rental"/>
      <sheetName val="Historical Financials&gt;&gt;"/>
      <sheetName val="2020-9"/>
      <sheetName val="2020-8"/>
      <sheetName val="2020-7"/>
      <sheetName val="2020-6"/>
      <sheetName val="2020-5"/>
      <sheetName val="2020-4"/>
      <sheetName val="2020-3"/>
      <sheetName val="2020-2"/>
      <sheetName val="2020-1"/>
      <sheetName val="2019-12"/>
      <sheetName val="2019-11"/>
      <sheetName val="2019-10"/>
      <sheetName val="2019-9"/>
      <sheetName val="2019-8"/>
      <sheetName val="2019-7"/>
      <sheetName val="2019-6"/>
      <sheetName val="2019-5"/>
      <sheetName val="2019-4"/>
      <sheetName val="2019-3"/>
      <sheetName val="2019-2"/>
      <sheetName val="2019-1"/>
      <sheetName val="2018-12"/>
      <sheetName val="2018-11"/>
      <sheetName val="2018-10"/>
      <sheetName val="2018-9"/>
      <sheetName val="2018-8"/>
      <sheetName val="2018-7"/>
      <sheetName val="2018-6"/>
      <sheetName val="2018-5"/>
      <sheetName val="2018-4"/>
      <sheetName val="2018-3"/>
      <sheetName val="2018-2"/>
      <sheetName val="2018-1"/>
      <sheetName val="2017-12"/>
      <sheetName val="2017-11"/>
      <sheetName val="2017-10"/>
      <sheetName val="2017-9"/>
      <sheetName val="2017-8"/>
      <sheetName val="2017-7"/>
      <sheetName val="2017-6"/>
      <sheetName val="2017-5"/>
      <sheetName val="2017-4"/>
      <sheetName val="2017-3"/>
      <sheetName val="2017-2"/>
      <sheetName val="2017-1"/>
      <sheetName val="2016-12"/>
      <sheetName val="2016-11"/>
      <sheetName val="2016-10"/>
      <sheetName val="2016-9"/>
      <sheetName val="2016-8"/>
      <sheetName val="2016-7"/>
      <sheetName val="2016-6"/>
      <sheetName val="2016-5"/>
      <sheetName val="2016-4"/>
      <sheetName val="2016-3"/>
      <sheetName val="2016-2"/>
      <sheetName val="2016-1"/>
      <sheetName val="2015-12"/>
      <sheetName val="2015-11"/>
      <sheetName val="2015-10"/>
      <sheetName val="2015-9"/>
      <sheetName val="P&amp;L (3)"/>
      <sheetName val="Balance Sheet"/>
      <sheetName val="Inputs 2"/>
      <sheetName val="Inputs"/>
      <sheetName val="Cover"/>
      <sheetName val="Model"/>
      <sheetName val="Detailed Build Assumptions"/>
      <sheetName val="General Assumptions"/>
      <sheetName val="Summary Output"/>
      <sheetName val="Scenarios"/>
      <sheetName val="Consolidated Revenue Build"/>
      <sheetName val="Capex Schedule"/>
      <sheetName val="Branch Metrics"/>
      <sheetName val="IC Memo Outputs&gt;&gt;"/>
      <sheetName val="PB_CACHE"/>
      <sheetName val="Summary IS"/>
      <sheetName val="Investment Overview"/>
      <sheetName val="Value Creation"/>
      <sheetName val="Cap Table"/>
      <sheetName val="Alpha Balance Sheet Output"/>
      <sheetName val="Balance Sheet Output"/>
      <sheetName val="Cash Flow Statement"/>
      <sheetName val="Bridges"/>
      <sheetName val="Debt Schedules"/>
      <sheetName val="M&amp;A Summary"/>
      <sheetName val="From Company&gt;"/>
      <sheetName val="P&amp;L"/>
      <sheetName val="BS"/>
      <sheetName val="P&amp;L (2)"/>
      <sheetName val="BS (2)"/>
      <sheetName val="CFS"/>
      <sheetName val="Dec YE Draft "/>
      <sheetName val="Additions "/>
      <sheetName val="Team"/>
      <sheetName val="Product Availability"/>
      <sheetName val="ALL DIV - Rev"/>
      <sheetName val="ALL DIV - Ra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Set>
  </externalBook>
</externalLink>
</file>

<file path=xl/externalLinks/externalLink55.xml><?xml version="1.0" encoding="utf-8"?>
<externalLink xmlns="http://schemas.openxmlformats.org/spreadsheetml/2006/main">
  <externalBook xmlns:r="http://schemas.openxmlformats.org/officeDocument/2006/relationships" r:id="rId1">
    <sheetNames>
      <sheetName val="Cover"/>
      <sheetName val="Model"/>
      <sheetName val="Outputs"/>
      <sheetName val="Sensitivity Analysis"/>
      <sheetName val="Summary Forecasts"/>
      <sheetName val="Ownership"/>
      <sheetName val="Financials"/>
      <sheetName val="Opex Summary"/>
      <sheetName val="Revenue Breakdown"/>
      <sheetName val="PICA Material Split"/>
      <sheetName val="From Company&gt;"/>
      <sheetName val="YTD Oct Balance Sheet"/>
      <sheetName val="RNDT Consolidated Financials"/>
      <sheetName val="Russell NDT Proj Income Statem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56.xml><?xml version="1.0" encoding="utf-8"?>
<externalLink xmlns="http://schemas.openxmlformats.org/spreadsheetml/2006/main">
  <externalBook xmlns:r="http://schemas.openxmlformats.org/officeDocument/2006/relationships" r:id="rId1">
    <sheetNames>
      <sheetName val="MASTER"/>
      <sheetName val="Balance Sheet"/>
      <sheetName val="Schedule of Investments"/>
      <sheetName val="Statement of Operations"/>
      <sheetName val="Statement of Changes"/>
      <sheetName val="Statement of Cash Flows"/>
      <sheetName val="Note 3"/>
      <sheetName val="Note 3 (2)"/>
      <sheetName val="Schedule I"/>
      <sheetName val="Schedule II"/>
      <sheetName val="Data Form"/>
      <sheetName val="Balance_Sheet"/>
      <sheetName val="Schedule_of_Investments"/>
      <sheetName val="Statement_of_Operations"/>
      <sheetName val="Statement_of_Changes"/>
      <sheetName val="Statement_of_Cash_Flows"/>
      <sheetName val="Note_3"/>
      <sheetName val="Note_3_(2)"/>
      <sheetName val="Schedule_I"/>
      <sheetName val="Schedule_II"/>
      <sheetName val="Data_Form"/>
      <sheetName val="NewCo"/>
      <sheetName val="PII"/>
      <sheetName val="Hoja1"/>
      <sheetName val="ncc_bilver"/>
      <sheetName val="NCCfor"/>
      <sheetName val="TABLES"/>
      <sheetName val="Sensitivities"/>
      <sheetName val="Sheet4"/>
      <sheetName val="wCodeTable"/>
      <sheetName val="CFSummary"/>
      <sheetName val="Assets"/>
      <sheetName val="Table"/>
      <sheetName val="Financials"/>
    </sheetNames>
    <sheetDataSet>
      <sheetData sheetId="0">
        <row r="6">
          <cell r="F6">
            <v>3</v>
          </cell>
        </row>
      </sheetData>
      <sheetData sheetId="1">
        <row r="6">
          <cell r="F6">
            <v>3</v>
          </cell>
          <cell r="H6">
            <v>51808708</v>
          </cell>
          <cell r="J6">
            <v>43031815</v>
          </cell>
        </row>
        <row r="9">
          <cell r="H9">
            <v>8793599</v>
          </cell>
          <cell r="J9">
            <v>8542282</v>
          </cell>
        </row>
        <row r="11">
          <cell r="H11">
            <v>58921</v>
          </cell>
          <cell r="J11">
            <v>433993</v>
          </cell>
        </row>
        <row r="12">
          <cell r="H12">
            <v>66928</v>
          </cell>
          <cell r="J12">
            <v>102907</v>
          </cell>
        </row>
        <row r="14">
          <cell r="H14">
            <v>60728156</v>
          </cell>
          <cell r="J14">
            <v>52110997</v>
          </cell>
        </row>
        <row r="18">
          <cell r="H18">
            <v>33556</v>
          </cell>
          <cell r="J18">
            <v>9676</v>
          </cell>
        </row>
        <row r="22">
          <cell r="H22">
            <v>78610575</v>
          </cell>
          <cell r="J22">
            <v>55110575</v>
          </cell>
        </row>
        <row r="23">
          <cell r="H23">
            <v>-7210087</v>
          </cell>
          <cell r="J23">
            <v>-1732847</v>
          </cell>
        </row>
        <row r="24">
          <cell r="H24">
            <v>-10705888</v>
          </cell>
          <cell r="J24">
            <v>-1276407</v>
          </cell>
        </row>
        <row r="26">
          <cell r="H26">
            <v>60694600</v>
          </cell>
          <cell r="J26">
            <v>52101321</v>
          </cell>
        </row>
        <row r="28">
          <cell r="H28">
            <v>60728156</v>
          </cell>
          <cell r="J28">
            <v>52110997</v>
          </cell>
        </row>
      </sheetData>
      <sheetData sheetId="2"/>
      <sheetData sheetId="3"/>
      <sheetData sheetId="4"/>
      <sheetData sheetId="5"/>
      <sheetData sheetId="6"/>
      <sheetData sheetId="7"/>
      <sheetData sheetId="8"/>
      <sheetData sheetId="9"/>
      <sheetData sheetId="10" refreshError="1"/>
      <sheetData sheetId="11">
        <row r="6">
          <cell r="F6">
            <v>3</v>
          </cell>
        </row>
      </sheetData>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57.xml><?xml version="1.0" encoding="utf-8"?>
<externalLink xmlns="http://schemas.openxmlformats.org/spreadsheetml/2006/main">
  <externalBook xmlns:r="http://schemas.openxmlformats.org/officeDocument/2006/relationships" r:id="rId1">
    <sheetNames>
      <sheetName val="ab ayala"/>
      <sheetName val="ab ayala IRR"/>
      <sheetName val="ab ayala - Summary"/>
      <sheetName val="Notes "/>
      <sheetName val="RecCost&amp;NetAsset"/>
      <sheetName val="RecValuation"/>
      <sheetName val="pp"/>
      <sheetName val="Balance Sheet"/>
      <sheetName val="ab_ayala"/>
      <sheetName val="ab_ayala_IRR"/>
      <sheetName val="ab_ayala_-_Summary"/>
      <sheetName val="Notes_"/>
      <sheetName val="Balance_Sheet"/>
      <sheetName val="Fund II + Fund IIE Summary SOI"/>
      <sheetName val="Fund I + Fund IIE Gross Cash "/>
      <sheetName val="Fund II + Fund IIE Gross Cash "/>
      <sheetName val="CE"/>
    </sheetNames>
    <sheetDataSet>
      <sheetData sheetId="0" refreshError="1"/>
      <sheetData sheetId="1">
        <row r="1">
          <cell r="B1">
            <v>0</v>
          </cell>
        </row>
      </sheetData>
      <sheetData sheetId="2"/>
      <sheetData sheetId="3" refreshError="1"/>
      <sheetData sheetId="4" refreshError="1"/>
      <sheetData sheetId="5" refreshError="1"/>
      <sheetData sheetId="6">
        <row r="1">
          <cell r="B1">
            <v>38.799999999999997</v>
          </cell>
        </row>
      </sheetData>
      <sheetData sheetId="7" refreshError="1"/>
      <sheetData sheetId="8"/>
      <sheetData sheetId="9"/>
      <sheetData sheetId="10"/>
      <sheetData sheetId="11"/>
      <sheetData sheetId="12"/>
      <sheetData sheetId="13" refreshError="1"/>
      <sheetData sheetId="14" refreshError="1"/>
      <sheetData sheetId="15" refreshError="1"/>
      <sheetData sheetId="16" refreshError="1"/>
    </sheetDataSet>
  </externalBook>
</externalLink>
</file>

<file path=xl/externalLinks/externalLink58.xml><?xml version="1.0" encoding="utf-8"?>
<externalLink xmlns="http://schemas.openxmlformats.org/spreadsheetml/2006/main">
  <externalBook xmlns:r="http://schemas.openxmlformats.org/officeDocument/2006/relationships" r:id="rId1">
    <sheetNames>
      <sheetName val="b2"/>
      <sheetName val="b2 IRR"/>
      <sheetName val="b2 - Summary"/>
      <sheetName val="Notes "/>
      <sheetName val="Sheet1"/>
      <sheetName val="b2_IRR"/>
      <sheetName val="b2_-_Summary"/>
      <sheetName val="Notes_"/>
      <sheetName val="Fund II + Fund IIE Summary SOI"/>
      <sheetName val="Fund I + Fund IIE Gross Cash "/>
      <sheetName val="0.Index"/>
    </sheetNames>
    <sheetDataSet>
      <sheetData sheetId="0" refreshError="1"/>
      <sheetData sheetId="1" refreshError="1"/>
      <sheetData sheetId="2" refreshError="1"/>
      <sheetData sheetId="3" refreshError="1"/>
      <sheetData sheetId="4">
        <row r="1">
          <cell r="B1">
            <v>3.77</v>
          </cell>
        </row>
      </sheetData>
      <sheetData sheetId="5"/>
      <sheetData sheetId="6"/>
      <sheetData sheetId="7"/>
      <sheetData sheetId="8" refreshError="1"/>
      <sheetData sheetId="9" refreshError="1"/>
      <sheetData sheetId="10" refreshError="1"/>
    </sheetDataSet>
  </externalBook>
</externalLink>
</file>

<file path=xl/externalLinks/externalLink59.xml><?xml version="1.0" encoding="utf-8"?>
<externalLink xmlns="http://schemas.openxmlformats.org/spreadsheetml/2006/main">
  <externalBook xmlns:r="http://schemas.openxmlformats.org/officeDocument/2006/relationships" r:id="rId1">
    <sheetNames>
      <sheetName val="page2"/>
      <sheetName val="cover"/>
      <sheetName val="Letter Placeholder"/>
      <sheetName val="UnAud FS Cover"/>
      <sheetName val="Balance Sheet"/>
      <sheetName val="SOI"/>
      <sheetName val="Income Statement"/>
      <sheetName val="Partners Cap"/>
      <sheetName val="CashFlow"/>
      <sheetName val="SOI Cover"/>
      <sheetName val="Cap Worksheet Priority"/>
      <sheetName val="Cap Worksheet NonPriority"/>
      <sheetName val="All Ptnrs-fm inception "/>
      <sheetName val="Priority Return"/>
      <sheetName val="Notes-Table 1"/>
      <sheetName val="Notes-Table 2"/>
      <sheetName val="Notes-Table 3"/>
      <sheetName val="Notes-Table 4"/>
      <sheetName val="ASU 2011-04"/>
      <sheetName val="Data"/>
      <sheetName val="Notes-Misc"/>
      <sheetName val="FiHi"/>
      <sheetName val="Gross IRR"/>
      <sheetName val="Net IRR"/>
      <sheetName val="PEO ratio's"/>
      <sheetName val="Adepar"/>
      <sheetName val="Letter_Placeholder"/>
      <sheetName val="UnAud_FS_Cover"/>
      <sheetName val="Balance_Sheet"/>
      <sheetName val="Income_Statement"/>
      <sheetName val="Partners_Cap"/>
      <sheetName val="SOI_Cover"/>
      <sheetName val="Cap_Worksheet_Priority"/>
      <sheetName val="Cap_Worksheet_NonPriority"/>
      <sheetName val="All_Ptnrs-fm_inception_"/>
      <sheetName val="Priority_Return"/>
      <sheetName val="Notes-Table_1"/>
      <sheetName val="Notes-Table_2"/>
      <sheetName val="Notes-Table_3"/>
      <sheetName val="Notes-Table_4"/>
      <sheetName val="ASU_2011-04"/>
      <sheetName val="Gross_IRR"/>
      <sheetName val="Net_IRR"/>
      <sheetName val="PEO_ratio's"/>
      <sheetName val="Salon"/>
      <sheetName val="Sheet1"/>
      <sheetName val="Demographic"/>
      <sheetName val="sales vol."/>
      <sheetName val="Dump"/>
      <sheetName val="Template"/>
      <sheetName val="Examples - Distribution Limits"/>
      <sheetName val="inputs"/>
      <sheetName val="Cash Flo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60.xml><?xml version="1.0" encoding="utf-8"?>
<externalLink xmlns="http://schemas.openxmlformats.org/spreadsheetml/2006/main">
  <externalBook xmlns:r="http://schemas.openxmlformats.org/officeDocument/2006/relationships" r:id="rId1">
    <sheetNames>
      <sheetName val="Decision-Making Framework"/>
      <sheetName val="Venture Summary"/>
      <sheetName val="DATA INPUT"/>
      <sheetName val="Summary"/>
      <sheetName val="Financial statements"/>
      <sheetName val="Calc tax depr"/>
      <sheetName val="Model"/>
      <sheetName val="Values Only"/>
      <sheetName val="Sheet1"/>
      <sheetName val="Model (2)"/>
    </sheetNames>
    <sheetDataSet>
      <sheetData sheetId="0"/>
      <sheetData sheetId="1"/>
      <sheetData sheetId="2">
        <row r="8">
          <cell r="B8" t="str">
            <v>expected</v>
          </cell>
        </row>
      </sheetData>
      <sheetData sheetId="3"/>
      <sheetData sheetId="4"/>
      <sheetData sheetId="5"/>
      <sheetData sheetId="6"/>
      <sheetData sheetId="7"/>
      <sheetData sheetId="8"/>
      <sheetData sheetId="9"/>
    </sheetDataSet>
  </externalBook>
</externalLink>
</file>

<file path=xl/externalLinks/externalLink61.xml><?xml version="1.0" encoding="utf-8"?>
<externalLink xmlns="http://schemas.openxmlformats.org/spreadsheetml/2006/main">
  <externalBook xmlns:r="http://schemas.openxmlformats.org/officeDocument/2006/relationships" r:id="rId1">
    <sheetNames>
      <sheetName val="to JY01 bud01 bud02"/>
      <sheetName val="fORMULAE"/>
      <sheetName val="SALARIES"/>
      <sheetName val="2000 Staff Numbers"/>
      <sheetName val="Graph"/>
      <sheetName val="2000 FTE Graph"/>
      <sheetName val="2001 FTE Graph "/>
      <sheetName val="1999 Numbers (2)"/>
      <sheetName val="2000 Numbers"/>
      <sheetName val="1999 Numbers"/>
      <sheetName val="Costs - Excl UK Ops"/>
      <sheetName val="Cost - UK Ops"/>
      <sheetName val="Data Headcount"/>
      <sheetName val="Budget 2002"/>
      <sheetName val="FTE Graph 1"/>
      <sheetName val="CPD2"/>
      <sheetName val="CDP1"/>
      <sheetName val="Salary 2001 to 2003"/>
      <sheetName val="FTE 2001 to 2003"/>
      <sheetName val="FTE Graph 2"/>
      <sheetName val="Data FTE 99 2000 2001"/>
      <sheetName val="DIL4"/>
      <sheetName val="Infos"/>
      <sheetName val="WIP 3-02"/>
      <sheetName val="Public Comp Inputs"/>
      <sheetName val="Dilution Base"/>
      <sheetName val="Sales 2003"/>
      <sheetName val="L"/>
      <sheetName val="Mgt"/>
      <sheetName val="IMMOB. MATERIALI"/>
      <sheetName val="Calcolo Prestiti IVA 1^ Tranche"/>
      <sheetName val="DCF Inputs"/>
      <sheetName val="DCF Matrix"/>
      <sheetName val="Calcs"/>
      <sheetName val="ValMatrix"/>
      <sheetName val="Tar_inputs"/>
      <sheetName val="NOPAT_VDF"/>
      <sheetName val="Invested capital_VDF"/>
      <sheetName val="DCF_VDF"/>
      <sheetName val="WACC_VDF"/>
      <sheetName val="Summary Page_VDF"/>
      <sheetName val="PV of Op Leases_VDF"/>
      <sheetName val="Income Statement_VDF"/>
      <sheetName val="LBOSHELL"/>
      <sheetName val="min-ems"/>
      <sheetName val="FTE'S 1999 TO 2002"/>
      <sheetName val="#REF"/>
      <sheetName val="AGSInvest"/>
      <sheetName val="CDAInvest"/>
      <sheetName val="HADVInvest"/>
      <sheetName val="IPGinvest"/>
      <sheetName val="WACC"/>
      <sheetName val="OMCinvest"/>
      <sheetName val="IPG"/>
      <sheetName val="PUBInvest"/>
      <sheetName val="SummI"/>
      <sheetName val="SummII"/>
      <sheetName val="SummIII"/>
      <sheetName val="TNO"/>
      <sheetName val="TNOInvest"/>
      <sheetName val="TSGInvest"/>
      <sheetName val="WPPGYInvest"/>
      <sheetName val="YNR"/>
      <sheetName val="YNRInvest"/>
      <sheetName val="合成単価作成・-BLDG"/>
      <sheetName val="Status references"/>
      <sheetName val="WACC example"/>
      <sheetName val="to_JY01_bud01_bud02"/>
      <sheetName val="2000_Staff_Numbers"/>
      <sheetName val="2000_FTE_Graph"/>
      <sheetName val="2001_FTE_Graph_"/>
      <sheetName val="1999_Numbers_(2)"/>
      <sheetName val="2000_Numbers"/>
      <sheetName val="1999_Numbers"/>
      <sheetName val="Costs_-_Excl_UK_Ops"/>
      <sheetName val="Cost_-_UK_Ops"/>
      <sheetName val="Data_Headcount"/>
      <sheetName val="Budget_2002"/>
      <sheetName val="FTE_Graph_1"/>
      <sheetName val="Salary_2001_to_2003"/>
      <sheetName val="FTE_2001_to_2003"/>
      <sheetName val="FTE_Graph_2"/>
      <sheetName val="Data_FTE_99_2000_2001"/>
      <sheetName val="aging_1003"/>
      <sheetName val="aging_1103"/>
      <sheetName val="aging_1203"/>
      <sheetName val="aging_0803"/>
      <sheetName val="Model"/>
      <sheetName val="SalaryData"/>
      <sheetName val="sum2"/>
      <sheetName val="sum1"/>
      <sheetName val="Co. C"/>
      <sheetName val="med-single"/>
      <sheetName val="Assumptions-Cons"/>
      <sheetName val="SUM PROPOSAL"/>
      <sheetName val="Operation"/>
      <sheetName val="Indexes"/>
      <sheetName val="Economical data"/>
      <sheetName val="Summary"/>
      <sheetName val="Merchant"/>
      <sheetName val="Office rent"/>
      <sheetName val="Comp. Transaction"/>
      <sheetName val="to_JY01_bud01_bud021"/>
      <sheetName val="2000_Staff_Numbers1"/>
      <sheetName val="2000_FTE_Graph1"/>
      <sheetName val="2001_FTE_Graph_1"/>
      <sheetName val="1999_Numbers_(2)1"/>
      <sheetName val="2000_Numbers1"/>
      <sheetName val="1999_Numbers1"/>
      <sheetName val="Costs_-_Excl_UK_Ops1"/>
      <sheetName val="Cost_-_UK_Ops1"/>
      <sheetName val="Data_Headcount1"/>
      <sheetName val="Budget_20021"/>
      <sheetName val="FTE_Graph_11"/>
      <sheetName val="Salary_2001_to_20031"/>
      <sheetName val="FTE_2001_to_20031"/>
      <sheetName val="FTE_Graph_21"/>
      <sheetName val="Data_FTE_99_2000_20011"/>
      <sheetName val="WIP_3-02"/>
      <sheetName val="Public_Comp_Inputs"/>
      <sheetName val="Dilution_Base"/>
      <sheetName val="Sales_2003"/>
      <sheetName val="IMMOB__MATERIALI"/>
      <sheetName val="Calcolo_Prestiti_IVA_1^_Tranche"/>
      <sheetName val="DCF_Inputs"/>
      <sheetName val="DCF_Matrix"/>
      <sheetName val="Invested_capital_VDF"/>
      <sheetName val="Summary_Page_VDF"/>
      <sheetName val="PV_of_Op_Leases_VDF"/>
      <sheetName val="Income_Statement_VDF"/>
      <sheetName val="FTE'S_1999_TO_2002"/>
      <sheetName val="Status_references"/>
      <sheetName val="WACC_example"/>
      <sheetName val="Co__C"/>
      <sheetName val="SUM_PROPOSAL"/>
      <sheetName val="Economical_data"/>
      <sheetName val="Inputs"/>
      <sheetName val="AGU_IS"/>
      <sheetName val="CCo_ IS"/>
      <sheetName val="IMC_IS_Current"/>
      <sheetName val="General"/>
      <sheetName val="Supporting Settings"/>
      <sheetName val="Model Inputs"/>
      <sheetName val="C-file"/>
      <sheetName val="IILFI39"/>
      <sheetName val="Input"/>
      <sheetName val="Download Errors"/>
      <sheetName val="pcQueryData"/>
      <sheetName val="OUTPUT"/>
      <sheetName val="Comps"/>
      <sheetName val="VA Plant"/>
      <sheetName val="Modelback"/>
      <sheetName val="Macro1"/>
      <sheetName val="POWER ASSUMPTIONS"/>
      <sheetName val="FS Preparation Procedures"/>
      <sheetName val="CASH FLOW COMBINATIONS"/>
      <sheetName val="Promo 2"/>
      <sheetName val="FCST Data_FY11-12_by Sku ALL"/>
      <sheetName val="Trading Update"/>
      <sheetName val="Division Breakout"/>
      <sheetName val="TargIS"/>
      <sheetName val="GIU 2006 IAS"/>
      <sheetName val="VLROUGH"/>
      <sheetName val="BS"/>
      <sheetName val="Customer wise revenue"/>
      <sheetName val="TargBSCF"/>
      <sheetName val="Asset &amp; Liabilities"/>
      <sheetName val="ABILANZ"/>
      <sheetName val="IBSIASO_UFFICIALE"/>
      <sheetName val="IBSIASFS_SINTETICO"/>
      <sheetName val="ICEIAS BASE"/>
      <sheetName val="criterios"/>
      <sheetName val="SET UP"/>
      <sheetName val="UK Schedules"/>
      <sheetName val="Trial Balance"/>
      <sheetName val="IC_Interest_Receivable"/>
      <sheetName val="IC_Sale"/>
      <sheetName val="Beta"/>
      <sheetName val="SFEC Approved by CMPC"/>
      <sheetName val="Input Sheet"/>
      <sheetName val="Shares"/>
      <sheetName val="Annexure"/>
      <sheetName val="FEB 04 AISTOT"/>
      <sheetName val="P&amp;L TABLE"/>
      <sheetName val="IncStmt"/>
      <sheetName val="Prix marché, shipments"/>
      <sheetName val="f9 budget write sheet"/>
      <sheetName val="f9 data"/>
      <sheetName val="Budget"/>
      <sheetName val="Assumptions"/>
      <sheetName val="EDM Group BS &amp; CF £"/>
      <sheetName val="EDM Group (EDM + FP + EDMRM)"/>
      <sheetName val="FY16 Budget Rates "/>
      <sheetName val="PERIOD"/>
      <sheetName val="Entity"/>
      <sheetName val="to_JY01_bud01_bud022"/>
      <sheetName val="2000_Staff_Numbers2"/>
      <sheetName val="2000_FTE_Graph2"/>
      <sheetName val="2001_FTE_Graph_2"/>
      <sheetName val="1999_Numbers_(2)2"/>
      <sheetName val="2000_Numbers2"/>
      <sheetName val="1999_Numbers2"/>
      <sheetName val="Costs_-_Excl_UK_Ops2"/>
      <sheetName val="Cost_-_UK_Ops2"/>
      <sheetName val="Data_Headcount2"/>
      <sheetName val="Budget_20022"/>
      <sheetName val="FTE_Graph_12"/>
      <sheetName val="Salary_2001_to_20032"/>
      <sheetName val="FTE_2001_to_20032"/>
      <sheetName val="FTE_Graph_22"/>
      <sheetName val="Data_FTE_99_2000_20012"/>
      <sheetName val="WIP_3-021"/>
      <sheetName val="Public_Comp_Inputs1"/>
      <sheetName val="Dilution_Base1"/>
      <sheetName val="Sales_20031"/>
      <sheetName val="IMMOB__MATERIALI1"/>
      <sheetName val="Calcolo_Prestiti_IVA_1^_Tranch1"/>
      <sheetName val="DCF_Inputs1"/>
      <sheetName val="DCF_Matrix1"/>
      <sheetName val="Invested_capital_VDF1"/>
      <sheetName val="Summary_Page_VDF1"/>
      <sheetName val="PV_of_Op_Leases_VDF1"/>
      <sheetName val="Income_Statement_VDF1"/>
      <sheetName val="FTE'S_1999_TO_20021"/>
      <sheetName val="Status_references1"/>
      <sheetName val="WACC_example1"/>
      <sheetName val="Co__C1"/>
      <sheetName val="SUM_PROPOSAL1"/>
      <sheetName val="Comp__Transaction"/>
      <sheetName val="Economical_data1"/>
      <sheetName val="Office_rent"/>
      <sheetName val="Download_Errors"/>
      <sheetName val="Model_Inputs"/>
      <sheetName val="POWER_ASSUMPTIONS"/>
      <sheetName val="Promo_2"/>
      <sheetName val="FCST_Data_FY11-12_by_Sku_ALL"/>
      <sheetName val="Division_Breakout"/>
      <sheetName val="CCo__IS"/>
      <sheetName val="Supporting_Settings"/>
      <sheetName val="Trading_Update"/>
      <sheetName val="VA_Plant"/>
      <sheetName val="to_JY01_bud01_bud023"/>
      <sheetName val="2000_Staff_Numbers3"/>
      <sheetName val="2000_FTE_Graph3"/>
      <sheetName val="2001_FTE_Graph_3"/>
      <sheetName val="1999_Numbers_(2)3"/>
      <sheetName val="2000_Numbers3"/>
      <sheetName val="1999_Numbers3"/>
      <sheetName val="Costs_-_Excl_UK_Ops3"/>
      <sheetName val="Cost_-_UK_Ops3"/>
      <sheetName val="Data_Headcount3"/>
      <sheetName val="Budget_20023"/>
      <sheetName val="FTE_Graph_13"/>
      <sheetName val="Salary_2001_to_20033"/>
      <sheetName val="FTE_2001_to_20033"/>
      <sheetName val="FTE_Graph_23"/>
      <sheetName val="Data_FTE_99_2000_20013"/>
      <sheetName val="to_JY01_bud01_bud027"/>
      <sheetName val="2000_Staff_Numbers7"/>
      <sheetName val="2000_FTE_Graph7"/>
      <sheetName val="2001_FTE_Graph_7"/>
      <sheetName val="1999_Numbers_(2)7"/>
      <sheetName val="2000_Numbers7"/>
      <sheetName val="1999_Numbers7"/>
      <sheetName val="Costs_-_Excl_UK_Ops7"/>
      <sheetName val="Cost_-_UK_Ops7"/>
      <sheetName val="Data_Headcount7"/>
      <sheetName val="Budget_20027"/>
      <sheetName val="FTE_Graph_17"/>
      <sheetName val="Salary_2001_to_20037"/>
      <sheetName val="FTE_2001_to_20037"/>
      <sheetName val="FTE_Graph_27"/>
      <sheetName val="Data_FTE_99_2000_20017"/>
      <sheetName val="to_JY01_bud01_bud025"/>
      <sheetName val="2000_Staff_Numbers5"/>
      <sheetName val="2000_FTE_Graph5"/>
      <sheetName val="2001_FTE_Graph_5"/>
      <sheetName val="1999_Numbers_(2)5"/>
      <sheetName val="2000_Numbers5"/>
      <sheetName val="1999_Numbers5"/>
      <sheetName val="Costs_-_Excl_UK_Ops5"/>
      <sheetName val="Cost_-_UK_Ops5"/>
      <sheetName val="Data_Headcount5"/>
      <sheetName val="Budget_20025"/>
      <sheetName val="FTE_Graph_15"/>
      <sheetName val="Salary_2001_to_20035"/>
      <sheetName val="FTE_2001_to_20035"/>
      <sheetName val="FTE_Graph_25"/>
      <sheetName val="Data_FTE_99_2000_20015"/>
      <sheetName val="to_JY01_bud01_bud024"/>
      <sheetName val="2000_Staff_Numbers4"/>
      <sheetName val="2000_FTE_Graph4"/>
      <sheetName val="2001_FTE_Graph_4"/>
      <sheetName val="1999_Numbers_(2)4"/>
      <sheetName val="2000_Numbers4"/>
      <sheetName val="1999_Numbers4"/>
      <sheetName val="Costs_-_Excl_UK_Ops4"/>
      <sheetName val="Cost_-_UK_Ops4"/>
      <sheetName val="Data_Headcount4"/>
      <sheetName val="Budget_20024"/>
      <sheetName val="FTE_Graph_14"/>
      <sheetName val="Salary_2001_to_20034"/>
      <sheetName val="FTE_2001_to_20034"/>
      <sheetName val="FTE_Graph_24"/>
      <sheetName val="Data_FTE_99_2000_20014"/>
      <sheetName val="to_JY01_bud01_bud026"/>
      <sheetName val="2000_Staff_Numbers6"/>
      <sheetName val="2000_FTE_Graph6"/>
      <sheetName val="2001_FTE_Graph_6"/>
      <sheetName val="1999_Numbers_(2)6"/>
      <sheetName val="2000_Numbers6"/>
      <sheetName val="1999_Numbers6"/>
      <sheetName val="Costs_-_Excl_UK_Ops6"/>
      <sheetName val="Cost_-_UK_Ops6"/>
      <sheetName val="Data_Headcount6"/>
      <sheetName val="Budget_20026"/>
      <sheetName val="FTE_Graph_16"/>
      <sheetName val="Salary_2001_to_20036"/>
      <sheetName val="FTE_2001_to_20036"/>
      <sheetName val="FTE_Graph_26"/>
      <sheetName val="Data_FTE_99_2000_20016"/>
      <sheetName val="to_JY01_bud01_bud028"/>
      <sheetName val="2000_Staff_Numbers8"/>
      <sheetName val="2000_FTE_Graph8"/>
      <sheetName val="2001_FTE_Graph_8"/>
      <sheetName val="1999_Numbers_(2)8"/>
      <sheetName val="2000_Numbers8"/>
      <sheetName val="1999_Numbers8"/>
      <sheetName val="Costs_-_Excl_UK_Ops8"/>
      <sheetName val="Cost_-_UK_Ops8"/>
      <sheetName val="Data_Headcount8"/>
      <sheetName val="Budget_20028"/>
      <sheetName val="FTE_Graph_18"/>
      <sheetName val="Salary_2001_to_20038"/>
      <sheetName val="FTE_2001_to_20038"/>
      <sheetName val="FTE_Graph_28"/>
      <sheetName val="Data_FTE_99_2000_20018"/>
      <sheetName val="to_JY01_bud01_bud029"/>
      <sheetName val="2000_Staff_Numbers9"/>
      <sheetName val="2000_FTE_Graph9"/>
      <sheetName val="2001_FTE_Graph_9"/>
      <sheetName val="1999_Numbers_(2)9"/>
      <sheetName val="2000_Numbers9"/>
      <sheetName val="1999_Numbers9"/>
      <sheetName val="Costs_-_Excl_UK_Ops9"/>
      <sheetName val="Cost_-_UK_Ops9"/>
      <sheetName val="Data_Headcount9"/>
      <sheetName val="Budget_20029"/>
      <sheetName val="FTE_Graph_19"/>
      <sheetName val="Salary_2001_to_20039"/>
      <sheetName val="FTE_2001_to_20039"/>
      <sheetName val="FTE_Graph_29"/>
      <sheetName val="Data_FTE_99_2000_20019"/>
      <sheetName val="TOP 10 CUST (L)"/>
      <sheetName val="Source Information"/>
      <sheetName val="HDQORFA"/>
      <sheetName val="STORES"/>
      <sheetName val="HDCASH-OLD"/>
      <sheetName val="GREENHOUSE EFFECT"/>
      <sheetName val="BSS"/>
      <sheetName val="D341 WC Allocation"/>
      <sheetName val="D343 WC Allocation"/>
      <sheetName val="D345 WC Allocation"/>
      <sheetName val="A3"/>
      <sheetName val="Sheet1"/>
      <sheetName val="A0300"/>
      <sheetName val="Cash flow"/>
      <sheetName val="TTLC HC Oct07"/>
      <sheetName val="Meta Data"/>
      <sheetName val="Macro"/>
      <sheetName val="CRITERIA1"/>
      <sheetName val="Macros"/>
      <sheetName val="Drop Downs"/>
      <sheetName val="Short"/>
      <sheetName val="KEY PERFORMANCE MEASURES"/>
      <sheetName val="ONYX"/>
      <sheetName val="des-rate-notice"/>
      <sheetName val="Sept Cash flow 10-Q Report P 3"/>
      <sheetName val="List"/>
      <sheetName val="Sheet4"/>
      <sheetName val="Drivers"/>
      <sheetName val="LTLQ1-08"/>
      <sheetName val="Over"/>
      <sheetName val="Controls"/>
      <sheetName val="Switch"/>
      <sheetName val="N00"/>
      <sheetName val="T2 - Current"/>
      <sheetName val="DEP99"/>
      <sheetName val="Detail"/>
      <sheetName val="TRADING"/>
      <sheetName val="CREDIT"/>
      <sheetName val="Input Page"/>
      <sheetName val="ASR 2b1-2b2"/>
      <sheetName val="Financials"/>
      <sheetName val="FS_Preparation_Procedures"/>
      <sheetName val="CASH_FLOW_COMBINATIONS"/>
      <sheetName val="UK_Schedules"/>
      <sheetName val="Trial_Balance"/>
      <sheetName val="Asset_&amp;_Liabilities"/>
      <sheetName val="ICEIAS_BASE"/>
      <sheetName val="KEY_PERFORMANCE_MEASURES"/>
      <sheetName val="Stock Price Graph"/>
      <sheetName val="Ownership"/>
      <sheetName val="Segment"/>
      <sheetName val="Volume Analysis 2"/>
      <sheetName val="Kontrollen"/>
      <sheetName val="Monthly income statement report"/>
      <sheetName val="Headings"/>
      <sheetName val="Monthly balance sheet reported"/>
      <sheetName val="Report tables SalesMargin"/>
      <sheetName val="baseOK"/>
      <sheetName val="SET_UP"/>
      <sheetName val="SFEC_Approved_by_CMPC"/>
      <sheetName val="Input_Sheet"/>
      <sheetName val="FEB_04_AISTOT"/>
      <sheetName val="P&amp;L_TABLE"/>
      <sheetName val="TOP_10_CUST_(L)"/>
      <sheetName val="GIU_2006_IAS"/>
      <sheetName val="Customer_wise_revenue"/>
      <sheetName val="Source_Information"/>
      <sheetName val="Prix_marché,_shipments"/>
      <sheetName val="Meta_Data"/>
      <sheetName val="f9_budget_write_sheet"/>
      <sheetName val="f9_data"/>
      <sheetName val="D341_WC_Allocation"/>
      <sheetName val="D343_WC_Allocation"/>
      <sheetName val="D345_WC_Allocation"/>
      <sheetName val="GREENHOUSE_EFFECT"/>
      <sheetName val="EDM_Group_BS_&amp;_CF_£"/>
      <sheetName val="EDM_Group_(EDM_+_FP_+_EDMRM)"/>
      <sheetName val="Drop_Downs"/>
      <sheetName val="prices"/>
      <sheetName val=""/>
      <sheetName val="FY16_Budget_Rates_"/>
      <sheetName val="Base data"/>
      <sheetName val="QE4"/>
      <sheetName val="Trend"/>
      <sheetName val="WIP_3-022"/>
      <sheetName val="Public_Comp_Inputs2"/>
      <sheetName val="Dilution_Base2"/>
      <sheetName val="Sales_20032"/>
      <sheetName val="IMMOB__MATERIALI2"/>
      <sheetName val="Calcolo_Prestiti_IVA_1^_Tranch2"/>
      <sheetName val="DCF_Inputs2"/>
      <sheetName val="DCF_Matrix2"/>
      <sheetName val="Invested_capital_VDF2"/>
      <sheetName val="Summary_Page_VDF2"/>
      <sheetName val="PV_of_Op_Leases_VDF2"/>
      <sheetName val="Income_Statement_VDF2"/>
      <sheetName val="FTE'S_1999_TO_20022"/>
      <sheetName val="Status_references2"/>
      <sheetName val="WACC_example2"/>
      <sheetName val="Co__C2"/>
      <sheetName val="SUM_PROPOSAL2"/>
      <sheetName val="Economical_data2"/>
      <sheetName val="Office_rent1"/>
      <sheetName val="Comp__Transaction1"/>
      <sheetName val="Model_Inputs1"/>
      <sheetName val="Download_Errors1"/>
      <sheetName val="Promo_21"/>
      <sheetName val="FCST_Data_FY11-12_by_Sku_ALL1"/>
      <sheetName val="CCo__IS1"/>
      <sheetName val="Supporting_Settings1"/>
      <sheetName val="POWER_ASSUMPTIONS1"/>
      <sheetName val="WIP_3-023"/>
      <sheetName val="Public_Comp_Inputs3"/>
      <sheetName val="Dilution_Base3"/>
      <sheetName val="Sales_20033"/>
      <sheetName val="IMMOB__MATERIALI3"/>
      <sheetName val="Calcolo_Prestiti_IVA_1^_Tranch3"/>
      <sheetName val="DCF_Inputs3"/>
      <sheetName val="DCF_Matrix3"/>
      <sheetName val="Invested_capital_VDF3"/>
      <sheetName val="Summary_Page_VDF3"/>
      <sheetName val="PV_of_Op_Leases_VDF3"/>
      <sheetName val="Income_Statement_VDF3"/>
      <sheetName val="FTE'S_1999_TO_20023"/>
      <sheetName val="Status_references3"/>
      <sheetName val="WACC_example3"/>
      <sheetName val="Co__C3"/>
      <sheetName val="SUM_PROPOSAL3"/>
      <sheetName val="Economical_data3"/>
      <sheetName val="Office_rent2"/>
      <sheetName val="Comp__Transaction2"/>
      <sheetName val="Model_Inputs2"/>
      <sheetName val="Download_Errors2"/>
      <sheetName val="Promo_22"/>
      <sheetName val="FCST_Data_FY11-12_by_Sku_ALL2"/>
      <sheetName val="CCo__IS2"/>
      <sheetName val="Supporting_Settings2"/>
      <sheetName val="POWER_ASSUMPTIONS2"/>
      <sheetName val="225"/>
      <sheetName val="Foglio2"/>
      <sheetName val="IST_BUDGET_Abw"/>
      <sheetName val="Monatsanalyse"/>
      <sheetName val="IST"/>
      <sheetName val="Enrollments in 2007 "/>
      <sheetName val="A"/>
      <sheetName val="ALLOCATION KEYS"/>
      <sheetName val="PROP_95"/>
      <sheetName val="MSU"/>
      <sheetName val="Enrollment data 07"/>
      <sheetName val="Main"/>
      <sheetName val="Enrollments_in_2007_"/>
      <sheetName val="ALLOCATION_KEYS"/>
      <sheetName val="Enrollment_data_07"/>
      <sheetName val="currency"/>
      <sheetName val="General Info"/>
      <sheetName val="parameters"/>
      <sheetName val="Query"/>
      <sheetName val="Set-up"/>
      <sheetName val="curr tb"/>
      <sheetName val="Grouped TB-2004-05"/>
      <sheetName val="Other notes"/>
      <sheetName val="FORM-16"/>
      <sheetName val="12(762mm)套管"/>
      <sheetName val="DReport"/>
      <sheetName val="upa"/>
      <sheetName val="Budget responsibilties  "/>
      <sheetName val="Drop down"/>
      <sheetName val="Imm. Materiali"/>
      <sheetName val="Cash_flow1"/>
      <sheetName val="TTLC_HC_Oct071"/>
      <sheetName val="Cash_flow"/>
      <sheetName val="TTLC_HC_Oct07"/>
      <sheetName val="BILLBACK"/>
      <sheetName val="USGC"/>
      <sheetName val="Global Input"/>
      <sheetName val="RevRec"/>
      <sheetName val="Roles &amp; Responsibilities"/>
      <sheetName val="3"/>
      <sheetName val="Adj DB"/>
      <sheetName val="MET_H_KK"/>
      <sheetName val="KMCC"/>
      <sheetName val="Duration "/>
      <sheetName val="THREE VARIABLES"/>
      <sheetName val="CEDULA PRINCIPAL"/>
      <sheetName val="vars"/>
      <sheetName val="varsAC"/>
      <sheetName val="varsAW"/>
      <sheetName val="SIG_LANGUE"/>
      <sheetName val="Headcount and Oil Price"/>
      <sheetName val="BOE Stats"/>
      <sheetName val="Post Tax Free Cash Flow"/>
      <sheetName val="IND"/>
      <sheetName val="BALANCE"/>
      <sheetName val="to_JY01_bud01_bud0210"/>
      <sheetName val="2000_Staff_Numbers10"/>
      <sheetName val="2000_FTE_Graph10"/>
      <sheetName val="2001_FTE_Graph_10"/>
      <sheetName val="1999_Numbers_(2)10"/>
      <sheetName val="2000_Numbers10"/>
      <sheetName val="1999_Numbers10"/>
      <sheetName val="Costs_-_Excl_UK_Ops10"/>
      <sheetName val="Cost_-_UK_Ops10"/>
      <sheetName val="Data_Headcount10"/>
      <sheetName val="Budget_200210"/>
      <sheetName val="FTE_Graph_110"/>
      <sheetName val="Salary_2001_to_200310"/>
      <sheetName val="FTE_2001_to_200310"/>
      <sheetName val="FTE_Graph_210"/>
      <sheetName val="Data_FTE_99_2000_200110"/>
      <sheetName val="Trading_Update1"/>
      <sheetName val="VA_Plant1"/>
      <sheetName val="Division_Breakout1"/>
      <sheetName val="FY16_Budget_Rates_1"/>
      <sheetName val="Sept_Cash_flow_10-Q_Report_P_3"/>
      <sheetName val="General_Info"/>
      <sheetName val="Base_data"/>
      <sheetName val="Data - Actual"/>
      <sheetName val="Data - Budget"/>
      <sheetName val="Control"/>
      <sheetName val="Data - Last Year"/>
      <sheetName val="Data - LCE"/>
      <sheetName val="Neutersol 50 Liter Ansatz"/>
      <sheetName val="10-96 to 9-97"/>
      <sheetName val="UK_Schedules1"/>
      <sheetName val="Trial_Balance1"/>
      <sheetName val="Enrollments_in_2007_1"/>
      <sheetName val="ALLOCATION_KEYS1"/>
      <sheetName val="Customer_wise_revenue1"/>
      <sheetName val="Enrollment_data_071"/>
      <sheetName val="UK_Schedules2"/>
      <sheetName val="Trial_Balance2"/>
      <sheetName val="Enrollments_in_2007_2"/>
      <sheetName val="ALLOCATION_KEYS2"/>
      <sheetName val="Customer_wise_revenue2"/>
      <sheetName val="Enrollment_data_072"/>
      <sheetName val="Data Arrangement"/>
      <sheetName val="Fillform"/>
    </sheetNames>
    <sheetDataSet>
      <sheetData sheetId="0">
        <row r="7">
          <cell r="A7" t="str">
            <v>Salary OT &amp; Allowances  Salary OT &amp; Allowances  Salary OT &amp; Allowances  Salary OT &amp; Allowances  Salary OT &amp; Allowances  Salary OT &amp; Allowances  Salary OT &amp; Allowances  Salary OT &amp; Allowances  Salary OT &amp; Allowances  Salary OT &amp; Allowances  Salary OT &amp; All</v>
          </cell>
        </row>
      </sheetData>
      <sheetData sheetId="1" refreshError="1"/>
      <sheetData sheetId="2">
        <row r="7">
          <cell r="A7" t="str">
            <v>Salary OT &amp; Allowances  Salary OT &amp; Allowances  Salary OT &amp; Allowances  Salary OT &amp; Allowances  Salary OT &amp; Allowances  Salary OT &amp; Allowances  Salary OT &amp; Allowances  Salary OT &amp; Allowances  Salary OT &amp; Allowances  Salary OT &amp; Allowances  Salary OT &amp; All</v>
          </cell>
        </row>
      </sheetData>
      <sheetData sheetId="3">
        <row r="7">
          <cell r="A7" t="str">
            <v>Salary OT &amp; Allowances  Salary OT &amp; Allowances  Salary OT &amp; Allowances  Salary OT &amp; Allowances  Salary OT &amp; Allowances  Salary OT &amp; Allowances  Salary OT &amp; Allowances  Salary OT &amp; Allowances  Salary OT &amp; Allowances  Salary OT &amp; Allowances  Salary OT &amp; All</v>
          </cell>
        </row>
      </sheetData>
      <sheetData sheetId="4"/>
      <sheetData sheetId="5"/>
      <sheetData sheetId="6"/>
      <sheetData sheetId="7"/>
      <sheetData sheetId="8"/>
      <sheetData sheetId="9"/>
      <sheetData sheetId="10"/>
      <sheetData sheetId="11"/>
      <sheetData sheetId="12"/>
      <sheetData sheetId="13"/>
      <sheetData sheetId="14" refreshError="1"/>
      <sheetData sheetId="15"/>
      <sheetData sheetId="16"/>
      <sheetData sheetId="17"/>
      <sheetData sheetId="18"/>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ow r="7">
          <cell r="A7" t="str">
            <v>Salary OT &amp; Allowances  Salary OT &amp; Allowances  Salary OT &amp; Allowances  Salary OT &amp; Allowances  Salary OT &amp; Allowances  Salary OT &amp; Allowances  Salary OT &amp; Allowances  Salary OT &amp; Allowances  Salary OT &amp; Allowances  Salary OT &amp; Allowances  Salary OT &amp; All</v>
          </cell>
        </row>
      </sheetData>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ow r="7">
          <cell r="A7" t="str">
            <v>Salary OT &amp; Allowances  Salary OT &amp; Allowances  Salary OT &amp; Allowances  Salary OT &amp; Allowances  Salary OT &amp; Allowances  Salary OT &amp; Allowances  Salary OT &amp; Allowances  Salary OT &amp; Allowances  Salary OT &amp; Allowances  Salary OT &amp; Allowances  Salary OT &amp; All</v>
          </cell>
        </row>
      </sheetData>
      <sheetData sheetId="196">
        <row r="7">
          <cell r="A7" t="str">
            <v>Salary OT &amp; Allowances  Salary OT &amp; Allowances  Salary OT &amp; Allowances  Salary OT &amp; Allowances  Salary OT &amp; Allowances  Salary OT &amp; Allowances  Salary OT &amp; Allowances  Salary OT &amp; Allowances  Salary OT &amp; Allowances  Salary OT &amp; Allowances  Salary OT &amp; All</v>
          </cell>
        </row>
      </sheetData>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row r="7">
          <cell r="A7" t="str">
            <v>Salary OT &amp; Allowances  Salary OT &amp; Allowances  Salary OT &amp; Allowances  Salary OT &amp; Allowances  Salary OT &amp; Allowances  Salary OT &amp; Allowances  Salary OT &amp; Allowances  Salary OT &amp; Allowances  Salary OT &amp; Allowances  Salary OT &amp; Allowances  Salary OT &amp; All</v>
          </cell>
        </row>
      </sheetData>
      <sheetData sheetId="212">
        <row r="7">
          <cell r="A7" t="str">
            <v>Salary OT &amp; Allowances  Salary OT &amp; Allowances  Salary OT &amp; Allowances  Salary OT &amp; Allowances  Salary OT &amp; Allowances  Salary OT &amp; Allowances  Salary OT &amp; Allowances  Salary OT &amp; Allowances  Salary OT &amp; Allowances  Salary OT &amp; Allowances  Salary OT &amp; All</v>
          </cell>
        </row>
      </sheetData>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sheetData sheetId="395"/>
      <sheetData sheetId="396"/>
      <sheetData sheetId="397"/>
      <sheetData sheetId="398"/>
      <sheetData sheetId="399"/>
      <sheetData sheetId="400"/>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refreshError="1"/>
      <sheetData sheetId="432" refreshError="1"/>
      <sheetData sheetId="433"/>
      <sheetData sheetId="434" refreshError="1"/>
      <sheetData sheetId="435" refreshError="1"/>
      <sheetData sheetId="436" refreshError="1"/>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sheetData sheetId="504"/>
      <sheetData sheetId="505"/>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refreshError="1"/>
      <sheetData sheetId="570" refreshError="1"/>
      <sheetData sheetId="571" refreshError="1"/>
      <sheetData sheetId="572" refreshError="1"/>
      <sheetData sheetId="573" refreshError="1"/>
      <sheetData sheetId="574" refreshError="1"/>
      <sheetData sheetId="575" refreshError="1"/>
      <sheetData sheetId="576"/>
      <sheetData sheetId="577"/>
      <sheetData sheetId="578"/>
      <sheetData sheetId="579"/>
      <sheetData sheetId="580"/>
      <sheetData sheetId="581"/>
      <sheetData sheetId="582"/>
      <sheetData sheetId="583"/>
      <sheetData sheetId="584"/>
      <sheetData sheetId="585"/>
      <sheetData sheetId="586"/>
      <sheetData sheetId="587"/>
      <sheetData sheetId="588" refreshError="1"/>
      <sheetData sheetId="589" refreshError="1"/>
    </sheetDataSet>
  </externalBook>
</externalLink>
</file>

<file path=xl/externalLinks/externalLink62.xml><?xml version="1.0" encoding="utf-8"?>
<externalLink xmlns="http://schemas.openxmlformats.org/spreadsheetml/2006/main">
  <externalBook xmlns:r="http://schemas.openxmlformats.org/officeDocument/2006/relationships" r:id="rId1">
    <sheetNames>
      <sheetName val="Cover"/>
      <sheetName val="Telecom Summary"/>
      <sheetName val="Consol. Summary"/>
      <sheetName val="Detailed IS"/>
      <sheetName val="Rev Summary &amp; Inputs"/>
      <sheetName val="Total Monthly Revenue"/>
      <sheetName val="Product Monthly Revenue"/>
      <sheetName val="Quarterly Rev"/>
      <sheetName val="Cash Revenue Summary"/>
      <sheetName val="Cash Revenue Detail"/>
      <sheetName val="DF Amort"/>
      <sheetName val="WL Amort"/>
      <sheetName val="OPEX"/>
      <sheetName val="CAPEX (2)"/>
      <sheetName val="Depreciation"/>
      <sheetName val="Consolidated-Below EBITDA "/>
      <sheetName val="Others-Total"/>
      <sheetName val="iStructure"/>
      <sheetName val="KCP"/>
      <sheetName val="CPTC"/>
      <sheetName val="CHI"/>
      <sheetName val="BP CTR-2006"/>
      <sheetName val="BP SER-2006"/>
      <sheetName val="BP FLR-2006"/>
      <sheetName val="BP ATR-2006"/>
      <sheetName val="BP WER-200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Set>
  </externalBook>
</externalLink>
</file>

<file path=xl/externalLinks/externalLink63.xml><?xml version="1.0" encoding="utf-8"?>
<externalLink xmlns="http://schemas.openxmlformats.org/spreadsheetml/2006/main">
  <externalBook xmlns:r="http://schemas.openxmlformats.org/officeDocument/2006/relationships" r:id="rId1">
    <sheetNames>
      <sheetName val="Param"/>
      <sheetName val="Monthly BP"/>
      <sheetName val="key indic."/>
      <sheetName val="Sales"/>
      <sheetName val="Bookings"/>
      <sheetName val="Backlog"/>
      <sheetName val="customer names"/>
      <sheetName val="Aircraft"/>
      <sheetName val="Index"/>
      <sheetName val="Checks_BO"/>
      <sheetName val="SCHEDULE 9A(1 of 3)"/>
      <sheetName val="FF-6"/>
      <sheetName val="Inmet"/>
      <sheetName val="Cell Links"/>
      <sheetName val="2008 inc stmt"/>
    </sheetNames>
    <sheetDataSet>
      <sheetData sheetId="0" refreshError="1"/>
      <sheetData sheetId="1" refreshError="1"/>
      <sheetData sheetId="2" refreshError="1">
        <row r="1">
          <cell r="A1" t="str">
            <v>EC GROUP</v>
          </cell>
          <cell r="C1" t="str">
            <v>KEY  INDICATORS</v>
          </cell>
          <cell r="G1" t="str">
            <v>05/ 2006</v>
          </cell>
        </row>
        <row r="3">
          <cell r="A3" t="str">
            <v>In M€
(Currency budget rates)</v>
          </cell>
          <cell r="C3">
            <v>2005</v>
          </cell>
          <cell r="D3">
            <v>2006</v>
          </cell>
        </row>
        <row r="4">
          <cell r="C4" t="str">
            <v>ACTUALS</v>
          </cell>
          <cell r="D4" t="str">
            <v>BP</v>
          </cell>
          <cell r="E4" t="str">
            <v>Monthly BP End 03/2006</v>
          </cell>
          <cell r="F4" t="str">
            <v>Actuals End of 03/2006</v>
          </cell>
          <cell r="G4" t="str">
            <v>ACTUALS
 / Monthly BP</v>
          </cell>
        </row>
        <row r="6">
          <cell r="B6" t="str">
            <v>BOOKINGS</v>
          </cell>
          <cell r="C6">
            <v>3522</v>
          </cell>
          <cell r="D6">
            <v>4087.9799999999996</v>
          </cell>
          <cell r="E6">
            <v>947.34070685578854</v>
          </cell>
          <cell r="F6">
            <v>0</v>
          </cell>
          <cell r="G6">
            <v>-1</v>
          </cell>
        </row>
        <row r="7">
          <cell r="B7" t="str">
            <v>SALES</v>
          </cell>
          <cell r="C7">
            <v>3211</v>
          </cell>
          <cell r="D7">
            <v>3885.5299999999993</v>
          </cell>
          <cell r="E7">
            <v>713.11342230062598</v>
          </cell>
          <cell r="F7">
            <v>0</v>
          </cell>
          <cell r="G7">
            <v>-1</v>
          </cell>
        </row>
        <row r="8">
          <cell r="B8" t="str">
            <v xml:space="preserve">BACKLOG                   </v>
          </cell>
          <cell r="C8">
            <v>9960</v>
          </cell>
          <cell r="D8">
            <v>10162.450000000001</v>
          </cell>
          <cell r="E8">
            <v>10502.3</v>
          </cell>
          <cell r="F8">
            <v>10019.628000000001</v>
          </cell>
          <cell r="G8">
            <v>-4.5958694762099607E-2</v>
          </cell>
        </row>
        <row r="9">
          <cell r="B9" t="str">
            <v>NET CASH</v>
          </cell>
        </row>
        <row r="10">
          <cell r="B10" t="str">
            <v>NUMBER OF EMPLOYEES 
(Permanent headcount)</v>
          </cell>
          <cell r="F10">
            <v>12798</v>
          </cell>
        </row>
        <row r="11">
          <cell r="B11" t="str">
            <v>NUMBER OF EMPLOYEES 
(Full time equivalents)</v>
          </cell>
          <cell r="F11">
            <v>12745.849999999999</v>
          </cell>
        </row>
        <row r="12">
          <cell r="B12" t="str">
            <v>NUMBER OF EMPLOYEES 
(Active Headcount)</v>
          </cell>
          <cell r="F12">
            <v>12884</v>
          </cell>
        </row>
        <row r="14">
          <cell r="B14" t="str">
            <v xml:space="preserve">Detail per company :                     </v>
          </cell>
          <cell r="C14" t="str">
            <v>Permanent Headcount :</v>
          </cell>
          <cell r="E14" t="str">
            <v>Full time equivalents :</v>
          </cell>
          <cell r="G14" t="str">
            <v>Active Headcount :</v>
          </cell>
        </row>
        <row r="16">
          <cell r="B16" t="str">
            <v>EC</v>
          </cell>
          <cell r="C16">
            <v>6750</v>
          </cell>
          <cell r="E16">
            <v>6675.8</v>
          </cell>
          <cell r="G16">
            <v>6750</v>
          </cell>
        </row>
        <row r="17">
          <cell r="B17" t="str">
            <v>ECD</v>
          </cell>
          <cell r="C17">
            <v>4332</v>
          </cell>
          <cell r="E17">
            <v>4323.5</v>
          </cell>
          <cell r="G17">
            <v>4361</v>
          </cell>
        </row>
        <row r="18">
          <cell r="B18" t="str">
            <v>AEC</v>
          </cell>
          <cell r="C18">
            <v>444</v>
          </cell>
          <cell r="E18">
            <v>467</v>
          </cell>
          <cell r="G18">
            <v>467</v>
          </cell>
        </row>
        <row r="19">
          <cell r="B19" t="str">
            <v>ECL</v>
          </cell>
          <cell r="C19">
            <v>137</v>
          </cell>
          <cell r="E19">
            <v>137</v>
          </cell>
          <cell r="G19">
            <v>159</v>
          </cell>
        </row>
        <row r="20">
          <cell r="B20" t="str">
            <v>ECE</v>
          </cell>
          <cell r="C20">
            <v>277</v>
          </cell>
          <cell r="E20">
            <v>274.14999999999998</v>
          </cell>
          <cell r="G20">
            <v>277</v>
          </cell>
        </row>
        <row r="21">
          <cell r="B21" t="str">
            <v>HLB</v>
          </cell>
          <cell r="C21">
            <v>240</v>
          </cell>
          <cell r="E21">
            <v>240</v>
          </cell>
          <cell r="G21">
            <v>240</v>
          </cell>
        </row>
        <row r="22">
          <cell r="B22" t="str">
            <v>ESEA</v>
          </cell>
          <cell r="C22">
            <v>125</v>
          </cell>
          <cell r="E22">
            <v>125</v>
          </cell>
          <cell r="G22">
            <v>125</v>
          </cell>
        </row>
        <row r="23">
          <cell r="B23" t="str">
            <v>AA</v>
          </cell>
          <cell r="C23">
            <v>493</v>
          </cell>
          <cell r="E23">
            <v>503.4</v>
          </cell>
          <cell r="G23">
            <v>505</v>
          </cell>
        </row>
        <row r="25">
          <cell r="B25" t="str">
            <v>TOTAL</v>
          </cell>
          <cell r="C25">
            <v>12798</v>
          </cell>
          <cell r="E25">
            <v>12745.849999999999</v>
          </cell>
          <cell r="G25">
            <v>12884</v>
          </cell>
        </row>
        <row r="26">
          <cell r="F26">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64.xml><?xml version="1.0" encoding="utf-8"?>
<externalLink xmlns="http://schemas.openxmlformats.org/spreadsheetml/2006/main">
  <externalBook xmlns:r="http://schemas.openxmlformats.org/officeDocument/2006/relationships" r:id="rId1">
    <sheetNames>
      <sheetName val="Presentation P&amp;L"/>
      <sheetName val="Detailed Backup"/>
    </sheetNames>
    <sheetDataSet>
      <sheetData sheetId="0"/>
      <sheetData sheetId="1">
        <row r="30">
          <cell r="AF30">
            <v>139.33327000000003</v>
          </cell>
        </row>
        <row r="158">
          <cell r="AH158">
            <v>34</v>
          </cell>
          <cell r="AI158">
            <v>34</v>
          </cell>
          <cell r="AJ158">
            <v>34</v>
          </cell>
          <cell r="AK158">
            <v>34</v>
          </cell>
          <cell r="AL158">
            <v>34</v>
          </cell>
          <cell r="AM158">
            <v>34</v>
          </cell>
          <cell r="AN158">
            <v>34</v>
          </cell>
          <cell r="AO158">
            <v>34</v>
          </cell>
          <cell r="AP158">
            <v>34</v>
          </cell>
          <cell r="AQ158">
            <v>34</v>
          </cell>
          <cell r="AR158">
            <v>34.5</v>
          </cell>
        </row>
        <row r="159">
          <cell r="AH159">
            <v>0</v>
          </cell>
          <cell r="AI159">
            <v>0</v>
          </cell>
          <cell r="AJ159">
            <v>0</v>
          </cell>
          <cell r="AK159">
            <v>0</v>
          </cell>
          <cell r="AL159">
            <v>0</v>
          </cell>
          <cell r="AM159">
            <v>0</v>
          </cell>
          <cell r="AN159">
            <v>0</v>
          </cell>
          <cell r="AO159">
            <v>0</v>
          </cell>
          <cell r="AP159">
            <v>44.083930000000002</v>
          </cell>
          <cell r="AQ159">
            <v>6.3137399999999984</v>
          </cell>
          <cell r="AR159">
            <v>0</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0.xml.rels><Relationships xmlns="http://schemas.openxmlformats.org/package/2006/relationships"><Relationship Type="http://schemas.openxmlformats.org/officeDocument/2006/relationships/drawing" Target="/xl/drawings/drawing2.xml" Id="rId1"/></Relationships>
</file>

<file path=xl/worksheets/_rels/sheet12.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21.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24.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25.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sheet1.xml><?xml version="1.0" encoding="utf-8"?>
<worksheet xmlns="http://schemas.openxmlformats.org/spreadsheetml/2006/main">
  <sheetPr>
    <tabColor theme="1"/>
    <outlinePr summaryBelow="1" summaryRight="1"/>
    <pageSetUpPr fitToPage="1"/>
  </sheetPr>
  <dimension ref="B1:P42"/>
  <sheetViews>
    <sheetView showGridLines="0" view="pageBreakPreview" zoomScaleNormal="85" zoomScaleSheetLayoutView="100" workbookViewId="0">
      <selection activeCell="A1" sqref="A1"/>
    </sheetView>
  </sheetViews>
  <sheetFormatPr baseColWidth="8" defaultColWidth="9.140625" defaultRowHeight="12.75"/>
  <cols>
    <col width="2.7109375" customWidth="1" style="1" min="1" max="1"/>
    <col width="12.7109375" customWidth="1" style="1" min="2" max="2"/>
    <col width="15.42578125" customWidth="1" style="1" min="3" max="3"/>
    <col width="12.7109375" customWidth="1" style="1" min="4" max="4"/>
    <col width="1.7109375" customWidth="1" style="1" min="5" max="5"/>
    <col width="9.140625" customWidth="1" style="1" min="6" max="6"/>
    <col width="9.140625" customWidth="1" style="1" min="7" max="8"/>
    <col width="3.7109375" customWidth="1" style="1" min="9" max="9"/>
    <col width="9.140625" customWidth="1" style="1" min="10" max="11"/>
    <col width="9.140625" customWidth="1" style="1" min="12" max="16384"/>
  </cols>
  <sheetData>
    <row r="1">
      <c r="B1" s="1" t="inlineStr">
        <is>
          <t xml:space="preserve"> </t>
        </is>
      </c>
    </row>
    <row r="5" ht="36" customHeight="1">
      <c r="B5" s="145" t="inlineStr">
        <is>
          <t>Opus Water, Inc</t>
        </is>
      </c>
      <c r="C5" s="2" t="n"/>
      <c r="D5" s="2" t="n"/>
      <c r="E5" s="2" t="n"/>
      <c r="F5" s="2" t="n"/>
      <c r="G5" s="2" t="n"/>
      <c r="H5" s="2" t="n"/>
      <c r="I5" s="2" t="n"/>
      <c r="J5" s="2" t="n"/>
      <c r="K5" s="436" t="n"/>
    </row>
    <row r="6">
      <c r="B6" s="2" t="n"/>
      <c r="C6" s="2" t="n"/>
      <c r="D6" s="2" t="n"/>
      <c r="E6" s="2" t="n"/>
      <c r="F6" s="2" t="n"/>
      <c r="G6" s="2" t="n"/>
      <c r="H6" s="2" t="n"/>
      <c r="I6" s="2" t="n"/>
      <c r="J6" s="2" t="n"/>
      <c r="K6" s="436" t="n"/>
    </row>
    <row r="7" ht="23.25" customHeight="1">
      <c r="B7" s="27" t="inlineStr">
        <is>
          <t>LP Reporting &amp; Valuation</t>
        </is>
      </c>
      <c r="C7" s="2" t="n"/>
      <c r="D7" s="2" t="n"/>
      <c r="E7" s="2" t="n"/>
      <c r="F7" s="2" t="n"/>
      <c r="G7" s="2" t="n"/>
      <c r="H7" s="2" t="n"/>
      <c r="I7" s="2" t="n"/>
      <c r="J7" s="2" t="n"/>
      <c r="K7" s="436" t="n"/>
    </row>
    <row r="8">
      <c r="B8" s="2" t="n"/>
      <c r="C8" s="2" t="n"/>
      <c r="D8" s="2" t="n"/>
      <c r="E8" s="2" t="n"/>
      <c r="F8" s="2" t="n"/>
      <c r="G8" s="438" t="n"/>
      <c r="H8" s="2" t="n"/>
      <c r="I8" s="2" t="n"/>
      <c r="J8" s="2" t="n"/>
    </row>
    <row r="9" ht="15" customHeight="1">
      <c r="B9" s="692" t="n">
        <v>46203</v>
      </c>
      <c r="C9" s="2" t="n"/>
      <c r="D9" s="2" t="n"/>
      <c r="E9" s="2" t="n"/>
      <c r="F9" s="2" t="n"/>
      <c r="G9" s="2" t="n"/>
      <c r="H9" s="2" t="n"/>
      <c r="I9" s="2" t="n"/>
      <c r="J9" s="2" t="n"/>
      <c r="K9" s="436" t="n"/>
    </row>
    <row r="13">
      <c r="F13" s="318" t="n"/>
    </row>
    <row r="17">
      <c r="B17" s="437" t="n"/>
      <c r="C17" s="436" t="n"/>
      <c r="D17" s="436" t="n"/>
      <c r="E17" s="436" t="n"/>
      <c r="F17" s="436" t="n"/>
      <c r="G17" s="436" t="n"/>
      <c r="H17" s="436" t="n"/>
      <c r="I17" s="436" t="n"/>
      <c r="J17" s="436" t="n"/>
      <c r="K17" s="436" t="n"/>
      <c r="P17" s="3" t="n"/>
    </row>
    <row r="18">
      <c r="C18" s="3" t="n"/>
    </row>
    <row r="20" ht="15" customHeight="1">
      <c r="M20" s="4" t="n"/>
    </row>
    <row r="35">
      <c r="B35" s="669" t="n"/>
      <c r="C35" s="669" t="n"/>
      <c r="D35" s="669" t="n"/>
      <c r="E35" s="669" t="n"/>
      <c r="F35" s="668" t="n"/>
      <c r="I35" s="669" t="n"/>
      <c r="J35" s="215" t="n"/>
    </row>
    <row r="36">
      <c r="B36" s="669" t="n"/>
      <c r="C36" s="669" t="n"/>
      <c r="D36" s="669" t="n"/>
      <c r="E36" s="669" t="n"/>
      <c r="F36" s="667" t="n"/>
      <c r="I36" s="669" t="n"/>
      <c r="J36" s="667" t="n"/>
    </row>
    <row r="37">
      <c r="B37" s="669" t="n"/>
      <c r="C37" s="669" t="n"/>
      <c r="D37" s="669" t="n"/>
      <c r="E37" s="669" t="n"/>
      <c r="G37" s="669" t="n"/>
      <c r="H37" s="669" t="n"/>
      <c r="I37" s="669" t="n"/>
    </row>
    <row r="38">
      <c r="B38" s="669" t="n"/>
      <c r="C38" s="669" t="n"/>
      <c r="D38" s="669" t="n"/>
      <c r="E38" s="669" t="n"/>
      <c r="F38" s="668" t="n"/>
      <c r="I38" s="669" t="n"/>
      <c r="J38" s="215" t="n"/>
    </row>
    <row r="39">
      <c r="B39" s="669" t="n"/>
      <c r="C39" s="669" t="n"/>
      <c r="D39" s="669" t="n"/>
      <c r="E39" s="669" t="n"/>
      <c r="F39" s="667" t="n"/>
      <c r="I39" s="669" t="n"/>
      <c r="J39" s="667" t="n"/>
    </row>
    <row r="40">
      <c r="B40" s="166" t="n"/>
      <c r="C40" s="166" t="n"/>
      <c r="D40" s="166" t="n"/>
      <c r="E40" s="166" t="n"/>
      <c r="F40" s="166" t="n"/>
      <c r="G40" s="166" t="n"/>
      <c r="H40" s="166" t="n"/>
      <c r="I40" s="166" t="n"/>
      <c r="J40" s="217" t="n"/>
    </row>
    <row r="41">
      <c r="B41" s="166" t="n"/>
      <c r="C41" s="166" t="n"/>
      <c r="D41" s="166" t="n"/>
      <c r="E41" s="166" t="n"/>
      <c r="F41" s="167" t="n"/>
      <c r="G41" s="167" t="n"/>
      <c r="H41" s="167" t="n"/>
      <c r="I41" s="166" t="n"/>
      <c r="J41" s="218" t="n"/>
    </row>
    <row r="42">
      <c r="B42" s="166" t="n"/>
      <c r="C42" s="166" t="n"/>
      <c r="D42" s="166" t="n"/>
      <c r="E42" s="166" t="n"/>
      <c r="F42" s="167" t="n"/>
      <c r="G42" s="217" t="n"/>
      <c r="H42" s="217" t="n"/>
      <c r="I42" s="166" t="n"/>
      <c r="J42" s="167" t="n"/>
    </row>
  </sheetData>
  <mergeCells count="6">
    <mergeCell ref="F38:H38"/>
    <mergeCell ref="F36:H36"/>
    <mergeCell ref="F35:H35"/>
    <mergeCell ref="E37:F37"/>
    <mergeCell ref="I37:J37"/>
    <mergeCell ref="F39:H39"/>
  </mergeCells>
  <pageMargins left="0.7" right="0.7" top="0.75" bottom="0.75" header="0.3" footer="0.3"/>
  <pageSetup orientation="portrait" fitToHeight="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28" customWidth="1" min="1" max="1"/>
    <col width="110" customWidth="1" min="2" max="2"/>
  </cols>
  <sheetData>
    <row r="1">
      <c r="A1" s="693" t="inlineStr">
        <is>
          <t>Q2 2026 Valuation Workbook Build Report</t>
        </is>
      </c>
      <c r="B1" s="693" t="inlineStr"/>
    </row>
    <row r="2">
      <c r="A2" s="694" t="inlineStr">
        <is>
          <t>Valuation date</t>
        </is>
      </c>
      <c r="B2" s="695" t="n">
        <v>46203</v>
      </c>
    </row>
    <row r="3">
      <c r="A3" s="694" t="inlineStr">
        <is>
          <t>Base workbook</t>
        </is>
      </c>
      <c r="B3" s="696" t="inlineStr">
        <is>
          <t>2026 Q1 - Opus Water - Valuation Workbook DRAFT.xlsx</t>
        </is>
      </c>
    </row>
    <row r="4">
      <c r="A4" s="694" t="inlineStr">
        <is>
          <t>Current-quarter sources</t>
        </is>
      </c>
      <c r="B4" s="696" t="inlineStr">
        <is>
          <t>April, May and June 2026 Opus monthly actual workbooks</t>
        </is>
      </c>
    </row>
    <row r="5">
      <c r="A5" s="694" t="inlineStr">
        <is>
          <t>Sheets created</t>
        </is>
      </c>
      <c r="B5" s="696" t="inlineStr">
        <is>
          <t>Pro Forma Financials (Q2); Cap Table (Jun 2026); IRR Calculation (Jun 2026); Build Report; Source Lineage</t>
        </is>
      </c>
    </row>
    <row r="6">
      <c r="A6" s="694" t="inlineStr">
        <is>
          <t>Sheets updated</t>
        </is>
      </c>
      <c r="B6" s="696" t="inlineStr">
        <is>
          <t>Cover Page; Attribution Summary; Valuation Summary; Comparables; LP Report</t>
        </is>
      </c>
    </row>
    <row r="7">
      <c r="A7" s="694" t="inlineStr">
        <is>
          <t>Carried assumptions</t>
        </is>
      </c>
      <c r="B7" s="696" t="inlineStr">
        <is>
          <t>Q1 selected valuation multiple and Q1 cap-table ownership structure; debt remains zero</t>
        </is>
      </c>
    </row>
    <row r="8">
      <c r="A8" s="694" t="inlineStr">
        <is>
          <t>Unresolved items</t>
        </is>
      </c>
      <c r="B8" s="696" t="inlineStr">
        <is>
          <t>No refreshed Q2 comparable/transaction workbook; no explicit Q2 cap-table change evidence; consolidated Q2 actuals do not provide the full acquisition-level split used by the legacy pro forma detail.</t>
        </is>
      </c>
    </row>
    <row r="9">
      <c r="A9" s="694" t="inlineStr">
        <is>
          <t>Critical reconciliations</t>
        </is>
      </c>
      <c r="B9" s="696" t="inlineStr">
        <is>
          <t>Current-quarter revenue, adjusted EBITDA and June cash are sourced; downstream valuation, cap-table, MOIC, IRR and attribution outputs are formula-linked.</t>
        </is>
      </c>
    </row>
    <row r="10">
      <c r="A10" s="694" t="inlineStr">
        <is>
          <t>Completion status</t>
        </is>
      </c>
      <c r="B10" s="696" t="inlineStr">
        <is>
          <t>INCOMPLETE - ANALYST REVIEW REQUIRED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showGridLines="0" workbookViewId="0">
      <pane ySplit="1" topLeftCell="A2" activePane="bottomLeft" state="frozen"/>
      <selection pane="bottomLeft" activeCell="A1" sqref="A1"/>
    </sheetView>
  </sheetViews>
  <sheetFormatPr baseColWidth="8" defaultRowHeight="15"/>
  <cols>
    <col width="26" customWidth="1" min="1" max="1"/>
    <col width="36" customWidth="1" min="2" max="2"/>
    <col width="38" customWidth="1" min="3" max="3"/>
    <col width="72" customWidth="1" min="4" max="4"/>
    <col width="14" customWidth="1" min="5" max="5"/>
  </cols>
  <sheetData>
    <row r="1">
      <c r="A1" s="693" t="inlineStr">
        <is>
          <t>Critical output</t>
        </is>
      </c>
      <c r="B1" s="693" t="inlineStr">
        <is>
          <t>Output cell</t>
        </is>
      </c>
      <c r="C1" s="693" t="inlineStr">
        <is>
          <t>Immediate precedent</t>
        </is>
      </c>
      <c r="D1" s="693" t="inlineStr">
        <is>
          <t>Origin / treatment</t>
        </is>
      </c>
      <c r="E1" s="693" t="inlineStr">
        <is>
          <t>Status</t>
        </is>
      </c>
    </row>
    <row r="2">
      <c r="A2" s="696" t="inlineStr">
        <is>
          <t>Valuation multiple</t>
        </is>
      </c>
      <c r="B2" s="696" t="inlineStr">
        <is>
          <t>III. Valuation Summary!F9</t>
        </is>
      </c>
      <c r="C2" s="696" t="inlineStr">
        <is>
          <t>V. Comparables!D39</t>
        </is>
      </c>
      <c r="D2" s="696" t="inlineStr">
        <is>
          <t>Carried from Q1; no Q2 refresh</t>
        </is>
      </c>
      <c r="E2" s="696" t="inlineStr">
        <is>
          <t>REVIEW</t>
        </is>
      </c>
    </row>
    <row r="3">
      <c r="A3" s="696" t="inlineStr">
        <is>
          <t>TTM revenue</t>
        </is>
      </c>
      <c r="B3" s="696" t="inlineStr">
        <is>
          <t>Pro Forma Financials (Q2)!D13</t>
        </is>
      </c>
      <c r="C3" s="696" t="inlineStr">
        <is>
          <t>Monthly revenue I:T</t>
        </is>
      </c>
      <c r="D3" s="696" t="inlineStr">
        <is>
          <t>Historical workbook plus Apr-Jun actuals</t>
        </is>
      </c>
      <c r="E3" s="696" t="inlineStr">
        <is>
          <t>SUPPORTED</t>
        </is>
      </c>
    </row>
    <row r="4">
      <c r="A4" s="696" t="inlineStr">
        <is>
          <t>TTM adjusted EBITDA</t>
        </is>
      </c>
      <c r="B4" s="696" t="inlineStr">
        <is>
          <t>III. Valuation Summary!F10</t>
        </is>
      </c>
      <c r="C4" s="696" t="inlineStr">
        <is>
          <t>Pro Forma Financials (Q2)!D38</t>
        </is>
      </c>
      <c r="D4" s="696" t="inlineStr">
        <is>
          <t>Historical workbook plus Apr-Jun adjusted EBITDA</t>
        </is>
      </c>
      <c r="E4" s="696" t="inlineStr">
        <is>
          <t>SUPPORTED</t>
        </is>
      </c>
    </row>
    <row r="5">
      <c r="A5" s="696" t="inlineStr">
        <is>
          <t>Enterprise value</t>
        </is>
      </c>
      <c r="B5" s="696" t="inlineStr">
        <is>
          <t>III. Valuation Summary!F12</t>
        </is>
      </c>
      <c r="C5" s="696" t="inlineStr">
        <is>
          <t>F9 × F10</t>
        </is>
      </c>
      <c r="D5" s="696" t="inlineStr">
        <is>
          <t>Derived formula</t>
        </is>
      </c>
      <c r="E5" s="696" t="inlineStr">
        <is>
          <t>FORMULA</t>
        </is>
      </c>
    </row>
    <row r="6">
      <c r="A6" s="696" t="inlineStr">
        <is>
          <t>Cash</t>
        </is>
      </c>
      <c r="B6" s="696" t="inlineStr">
        <is>
          <t>III. Valuation Summary!F13</t>
        </is>
      </c>
      <c r="C6" s="696" t="inlineStr">
        <is>
          <t>Pro Forma Financials (Q2)!T45</t>
        </is>
      </c>
      <c r="D6" s="696" t="inlineStr">
        <is>
          <t>June 2026 actual</t>
        </is>
      </c>
      <c r="E6" s="696" t="inlineStr">
        <is>
          <t>SUPPORTED</t>
        </is>
      </c>
    </row>
    <row r="7">
      <c r="A7" s="696" t="inlineStr">
        <is>
          <t>Debt</t>
        </is>
      </c>
      <c r="B7" s="696" t="inlineStr">
        <is>
          <t>III. Valuation Summary!F14</t>
        </is>
      </c>
      <c r="C7" s="696" t="inlineStr">
        <is>
          <t>0</t>
        </is>
      </c>
      <c r="D7" s="696" t="inlineStr">
        <is>
          <t>Monthly financing schedule/model convention</t>
        </is>
      </c>
      <c r="E7" s="696" t="inlineStr">
        <is>
          <t>SUPPORTED</t>
        </is>
      </c>
    </row>
    <row r="8">
      <c r="A8" s="696" t="inlineStr">
        <is>
          <t>Equity value</t>
        </is>
      </c>
      <c r="B8" s="696" t="inlineStr">
        <is>
          <t>III. Valuation Summary!F15</t>
        </is>
      </c>
      <c r="C8" s="696" t="inlineStr">
        <is>
          <t>EV + cash - debt</t>
        </is>
      </c>
      <c r="D8" s="696" t="inlineStr">
        <is>
          <t>Derived formula</t>
        </is>
      </c>
      <c r="E8" s="696" t="inlineStr">
        <is>
          <t>FORMULA</t>
        </is>
      </c>
    </row>
    <row r="9">
      <c r="A9" s="696" t="inlineStr">
        <is>
          <t>Fully diluted ownership</t>
        </is>
      </c>
      <c r="B9" s="696" t="inlineStr">
        <is>
          <t>III. Valuation Summary!F29</t>
        </is>
      </c>
      <c r="C9" s="696" t="inlineStr">
        <is>
          <t>Sponsor proceeds / equity value</t>
        </is>
      </c>
      <c r="D9" s="696" t="inlineStr">
        <is>
          <t>Q1 ownership carried into Q2 cap table</t>
        </is>
      </c>
      <c r="E9" s="696" t="inlineStr">
        <is>
          <t>REVIEW</t>
        </is>
      </c>
    </row>
    <row r="10">
      <c r="A10" s="696" t="inlineStr">
        <is>
          <t>Investment value</t>
        </is>
      </c>
      <c r="B10" s="696" t="inlineStr">
        <is>
          <t>III. Valuation Summary!F25</t>
        </is>
      </c>
      <c r="C10" s="696" t="inlineStr">
        <is>
          <t>Cap Table (Jun 2026)!J35</t>
        </is>
      </c>
      <c r="D10" s="696" t="inlineStr">
        <is>
          <t>Derived waterfall</t>
        </is>
      </c>
      <c r="E10" s="696" t="inlineStr">
        <is>
          <t>FORMULA</t>
        </is>
      </c>
    </row>
    <row r="11">
      <c r="A11" s="696" t="inlineStr">
        <is>
          <t>MOIC</t>
        </is>
      </c>
      <c r="B11" s="696" t="inlineStr">
        <is>
          <t>III. Valuation Summary!F26</t>
        </is>
      </c>
      <c r="C11" s="696" t="inlineStr">
        <is>
          <t>Investment value / cost</t>
        </is>
      </c>
      <c r="D11" s="696" t="inlineStr">
        <is>
          <t>Derived formula</t>
        </is>
      </c>
      <c r="E11" s="696" t="inlineStr">
        <is>
          <t>FORMULA</t>
        </is>
      </c>
    </row>
    <row r="12">
      <c r="A12" s="696" t="inlineStr">
        <is>
          <t>IRR</t>
        </is>
      </c>
      <c r="B12" s="696" t="inlineStr">
        <is>
          <t>III. Valuation Summary!F27</t>
        </is>
      </c>
      <c r="C12" s="696" t="inlineStr">
        <is>
          <t>IRR Calculation (Jun 2026)!F28</t>
        </is>
      </c>
      <c r="D12" s="696" t="inlineStr">
        <is>
          <t>XIRR at 30-Jun-2026</t>
        </is>
      </c>
      <c r="E12" s="696" t="inlineStr">
        <is>
          <t>FORMULA</t>
        </is>
      </c>
    </row>
    <row r="13">
      <c r="A13" s="696" t="inlineStr">
        <is>
          <t>Attribution</t>
        </is>
      </c>
      <c r="B13" s="696" t="inlineStr">
        <is>
          <t>III. Valuation Summary!F43</t>
        </is>
      </c>
      <c r="C13" s="696" t="inlineStr">
        <is>
          <t>F37:F42</t>
        </is>
      </c>
      <c r="D13" s="696" t="inlineStr">
        <is>
          <t>Quarter-over-quarter bridge</t>
        </is>
      </c>
      <c r="E13" s="696" t="inlineStr">
        <is>
          <t>FORMULA</t>
        </is>
      </c>
    </row>
    <row r="14">
      <c r="A14" s="696" t="inlineStr">
        <is>
          <t>LP carrying value</t>
        </is>
      </c>
      <c r="B14" s="696" t="inlineStr">
        <is>
          <t>LP Report!I13</t>
        </is>
      </c>
      <c r="C14" s="696" t="inlineStr">
        <is>
          <t>III. Valuation Summary!F25</t>
        </is>
      </c>
      <c r="D14" s="696" t="inlineStr">
        <is>
          <t>Formula-linked</t>
        </is>
      </c>
      <c r="E14" s="696" t="inlineStr">
        <is>
          <t>FORMULA</t>
        </is>
      </c>
    </row>
  </sheetData>
  <autoFilter ref="A1:E14"/>
  <pageMargins left="0.75" right="0.75" top="1" bottom="1" header="0.5" footer="0.5"/>
</worksheet>
</file>

<file path=xl/worksheets/sheet4.xml><?xml version="1.0" encoding="utf-8"?>
<worksheet xmlns="http://schemas.openxmlformats.org/spreadsheetml/2006/main">
  <sheetPr>
    <tabColor theme="4"/>
    <outlinePr summaryBelow="1" summaryRight="1"/>
    <pageSetUpPr fitToPage="1"/>
  </sheetPr>
  <dimension ref="B1:M30"/>
  <sheetViews>
    <sheetView showGridLines="0" view="pageBreakPreview" topLeftCell="A3" zoomScaleNormal="85" zoomScaleSheetLayoutView="100" workbookViewId="0">
      <selection activeCell="G17" sqref="G17"/>
    </sheetView>
  </sheetViews>
  <sheetFormatPr baseColWidth="8" defaultColWidth="9.140625" defaultRowHeight="15"/>
  <cols>
    <col width="2.7109375" customWidth="1" min="1" max="1"/>
    <col width="13.140625" customWidth="1" min="2" max="2"/>
    <col width="13" customWidth="1" min="4" max="4"/>
    <col width="62.7109375" customWidth="1" min="8" max="8"/>
    <col width="15.85546875" bestFit="1" customWidth="1" min="9" max="10"/>
    <col width="1.7109375" customWidth="1" min="11" max="11"/>
    <col width="15.85546875" bestFit="1" customWidth="1" min="12" max="12"/>
  </cols>
  <sheetData>
    <row r="1" ht="18.75" customFormat="1" customHeight="1" s="122">
      <c r="B1" s="247">
        <f>'I. Cover Page'!B5</f>
        <v/>
      </c>
      <c r="C1" s="248" t="n"/>
      <c r="D1" s="248" t="n"/>
      <c r="E1" s="248" t="n"/>
      <c r="F1" s="248" t="n"/>
      <c r="G1" s="248" t="n"/>
      <c r="H1" s="248" t="n"/>
    </row>
    <row r="2" ht="16.5" customFormat="1" customHeight="1" s="122" thickBot="1">
      <c r="B2" s="249" t="inlineStr">
        <is>
          <t>Returns Attribution Summary</t>
        </is>
      </c>
      <c r="C2" s="250" t="n"/>
      <c r="D2" s="250" t="n"/>
      <c r="E2" s="250" t="n"/>
      <c r="F2" s="250" t="n"/>
      <c r="G2" s="250" t="n"/>
      <c r="H2" s="250" t="n"/>
      <c r="I2" s="124" t="n"/>
      <c r="J2" s="124" t="n"/>
    </row>
    <row r="3" ht="15.75" customFormat="1" customHeight="1" s="122" thickTop="1">
      <c r="B3" s="251">
        <f>'I. Cover Page'!B9</f>
        <v/>
      </c>
      <c r="C3" s="252" t="n"/>
      <c r="D3" s="252" t="n"/>
      <c r="E3" s="252" t="n"/>
      <c r="F3" s="252" t="n"/>
      <c r="G3" s="252" t="n"/>
      <c r="H3" s="253" t="inlineStr">
        <is>
          <t>$USD</t>
        </is>
      </c>
      <c r="I3" s="79" t="n"/>
      <c r="J3" s="125" t="n"/>
    </row>
    <row r="5" customFormat="1" s="39">
      <c r="B5" s="229" t="inlineStr">
        <is>
          <t>Summary page</t>
        </is>
      </c>
      <c r="C5" s="229" t="n"/>
      <c r="D5" s="230" t="n"/>
      <c r="E5" s="230" t="n"/>
      <c r="F5" s="230" t="n"/>
      <c r="G5" s="230" t="n"/>
      <c r="H5" s="230" t="n"/>
      <c r="I5" s="38" t="n"/>
    </row>
    <row r="6">
      <c r="B6" s="126" t="inlineStr">
        <is>
          <t>Valuation Method:</t>
        </is>
      </c>
      <c r="C6" s="127" t="n"/>
      <c r="D6" s="445" t="inlineStr">
        <is>
          <t>- Based on Average EV/EBITDA Multiple</t>
        </is>
      </c>
      <c r="E6" s="232" t="n"/>
      <c r="F6" s="232" t="n"/>
      <c r="G6" s="232" t="n"/>
      <c r="H6" s="233" t="n"/>
    </row>
    <row r="7">
      <c r="B7" s="128" t="n"/>
      <c r="C7" s="129" t="n"/>
      <c r="D7" s="231" t="inlineStr">
        <is>
          <t xml:space="preserve">-Public comparables Discounted by 25% </t>
        </is>
      </c>
      <c r="E7" s="130" t="n"/>
      <c r="F7" s="130" t="n"/>
      <c r="G7" s="130" t="n"/>
      <c r="H7" s="233" t="n"/>
    </row>
    <row r="8">
      <c r="B8" s="234" t="n"/>
      <c r="C8" s="226" t="n"/>
      <c r="D8" s="231" t="n"/>
      <c r="E8" s="130" t="n"/>
      <c r="F8" s="130" t="n"/>
      <c r="G8" s="130" t="n"/>
      <c r="H8" s="233" t="n"/>
    </row>
    <row r="9">
      <c r="B9" s="234" t="n"/>
      <c r="C9" s="226" t="n"/>
      <c r="D9" s="226" t="n"/>
      <c r="E9" s="130" t="n"/>
      <c r="F9" s="130" t="n"/>
      <c r="G9" s="235" t="n"/>
      <c r="H9" s="236" t="n"/>
    </row>
    <row r="10">
      <c r="B10" s="237" t="inlineStr">
        <is>
          <t>Comps:</t>
        </is>
      </c>
      <c r="C10" s="238" t="n"/>
      <c r="D10" s="239" t="inlineStr">
        <is>
          <t>- No new Public Comps supplied</t>
        </is>
      </c>
      <c r="E10" s="232" t="n"/>
      <c r="F10" s="232" t="n"/>
      <c r="G10" s="130" t="n"/>
      <c r="H10" s="243" t="n"/>
    </row>
    <row r="11" ht="17.25" customHeight="1">
      <c r="B11" s="234" t="n"/>
      <c r="C11" s="226" t="n"/>
      <c r="D11" s="231" t="inlineStr">
        <is>
          <t>- No new M&amp;A supplied</t>
        </is>
      </c>
      <c r="E11" s="130" t="n"/>
      <c r="F11" s="130" t="n"/>
      <c r="G11" s="130" t="n"/>
      <c r="H11" s="233" t="n"/>
      <c r="J11" s="162" t="n"/>
      <c r="K11" s="162" t="n"/>
      <c r="L11" s="162" t="n"/>
    </row>
    <row r="12" ht="17.25" customHeight="1">
      <c r="B12" s="651" t="n"/>
      <c r="C12" s="240" t="n"/>
      <c r="D12" s="642" t="n"/>
      <c r="E12" s="241" t="n"/>
      <c r="F12" s="241" t="n"/>
      <c r="G12" s="241" t="n"/>
      <c r="H12" s="650" t="n"/>
      <c r="J12" s="162" t="inlineStr">
        <is>
          <t>Current</t>
        </is>
      </c>
      <c r="K12" s="162" t="n"/>
      <c r="L12" s="162" t="inlineStr">
        <is>
          <t>Prior</t>
        </is>
      </c>
    </row>
    <row r="13">
      <c r="B13" s="299" t="inlineStr">
        <is>
          <t>Valuation Impacts:</t>
        </is>
      </c>
      <c r="C13" s="39" t="n"/>
      <c r="D13" s="697">
        <f>'III. Valuation Summary'!F37</f>
        <v/>
      </c>
      <c r="E13" s="624">
        <f>"- Multiple impact: "&amp;TEXT(L13,"0.00x")&amp;" to "&amp;TEXT(J13,"0.00x")</f>
        <v/>
      </c>
      <c r="H13" s="300" t="n"/>
      <c r="I13" s="698" t="n"/>
      <c r="J13" s="699">
        <f>'III. Valuation Summary'!F9</f>
        <v/>
      </c>
      <c r="K13" s="699" t="n"/>
      <c r="L13" s="699">
        <f>'III. Valuation Summary'!H9</f>
        <v/>
      </c>
      <c r="M13" s="355" t="n"/>
    </row>
    <row r="14">
      <c r="B14" s="299" t="n"/>
      <c r="C14" s="39" t="n"/>
      <c r="D14" s="700">
        <f>'III. Valuation Summary'!F38</f>
        <v/>
      </c>
      <c r="E14" s="625">
        <f>"- TTM adjusted EBITDA impact: "&amp;TEXT(L14,"$#,##0")&amp;" to "&amp;TEXT(J14,"$#,##0")</f>
        <v/>
      </c>
      <c r="H14" s="300" t="n"/>
      <c r="J14" s="701">
        <f>'III. Valuation Summary'!F10</f>
        <v/>
      </c>
      <c r="K14" s="701" t="n"/>
      <c r="L14" s="701">
        <f>'III. Valuation Summary'!H10</f>
        <v/>
      </c>
      <c r="M14" s="355" t="n"/>
    </row>
    <row r="15">
      <c r="B15" s="299" t="n"/>
      <c r="C15" s="39" t="n"/>
      <c r="D15" s="700">
        <f>'III. Valuation Summary'!F39</f>
        <v/>
      </c>
      <c r="E15" s="625">
        <f>"- Net cash impact: "&amp;TEXT(L15,"$#,##0")&amp;" to "&amp;TEXT(J15,"$#,##0")</f>
        <v/>
      </c>
      <c r="H15" s="300" t="n"/>
      <c r="J15" s="701">
        <f>'III. Valuation Summary'!F13-'III. Valuation Summary'!F14</f>
        <v/>
      </c>
      <c r="K15" s="701" t="n"/>
      <c r="L15" s="701">
        <f>'III. Valuation Summary'!H13-'III. Valuation Summary'!H14</f>
        <v/>
      </c>
      <c r="M15" s="355" t="n"/>
    </row>
    <row r="16">
      <c r="B16" s="299" t="n"/>
      <c r="C16" s="39" t="n"/>
      <c r="D16" s="700">
        <f>'III. Valuation Summary'!$F$41</f>
        <v/>
      </c>
      <c r="E16" s="625">
        <f>"- Fully diluted ownership impact: "&amp;TEXT(L16,"0.0%")&amp;" to "&amp;TEXT(J16,"0.0%")</f>
        <v/>
      </c>
      <c r="H16" s="300" t="n"/>
      <c r="J16" s="702">
        <f>'III. Valuation Summary'!$F$29</f>
        <v/>
      </c>
      <c r="K16" s="702" t="n"/>
      <c r="L16" s="702">
        <f>'III. Valuation Summary'!$H$29</f>
        <v/>
      </c>
      <c r="M16" s="355" t="n"/>
    </row>
    <row r="17">
      <c r="B17" s="302" t="n"/>
      <c r="C17" s="294" t="inlineStr">
        <is>
          <t>Total</t>
        </is>
      </c>
      <c r="D17" s="703">
        <f>SUM(D13:D16)</f>
        <v/>
      </c>
      <c r="E17" s="304" t="n"/>
      <c r="F17" s="304" t="n"/>
      <c r="G17" s="304" t="n"/>
      <c r="H17" s="305" t="n"/>
    </row>
    <row r="18">
      <c r="B18" s="242" t="inlineStr">
        <is>
          <t>Recommendation Adj:</t>
        </is>
      </c>
      <c r="C18" s="238" t="n"/>
      <c r="D18" s="238" t="n"/>
      <c r="E18" s="232" t="n"/>
      <c r="F18" s="232" t="n"/>
      <c r="G18" s="232" t="n"/>
      <c r="H18" s="243" t="n"/>
    </row>
    <row r="19">
      <c r="B19" s="244" t="inlineStr">
        <is>
          <t>- N/A</t>
        </is>
      </c>
      <c r="C19" s="130" t="n"/>
      <c r="D19" s="130" t="n"/>
      <c r="E19" s="130" t="n"/>
      <c r="F19" s="130" t="n"/>
      <c r="G19" s="130" t="n"/>
      <c r="H19" s="233" t="n"/>
    </row>
    <row r="20">
      <c r="B20" s="245" t="n"/>
      <c r="C20" s="130" t="n"/>
      <c r="D20" s="130" t="n"/>
      <c r="E20" s="130" t="n"/>
      <c r="F20" s="130" t="n"/>
      <c r="G20" s="130" t="n"/>
      <c r="H20" s="233" t="n"/>
    </row>
    <row r="21">
      <c r="B21" s="246" t="n"/>
      <c r="C21" s="235" t="n"/>
      <c r="D21" s="235" t="n"/>
      <c r="E21" s="235" t="n"/>
      <c r="F21" s="235" t="n"/>
      <c r="G21" s="235" t="n"/>
      <c r="H21" s="236" t="n"/>
    </row>
    <row r="22" ht="12" customHeight="1"/>
    <row r="23" ht="12" customHeight="1"/>
    <row r="25">
      <c r="B25" t="inlineStr">
        <is>
          <t>Check</t>
        </is>
      </c>
      <c r="D25" s="704">
        <f>D17-'III. Valuation Summary'!F43</f>
        <v/>
      </c>
    </row>
    <row r="30">
      <c r="J30" s="163" t="n"/>
    </row>
  </sheetData>
  <pageMargins left="0.7086614173228347" right="0.7086614173228347" top="0.7480314960629921" bottom="0.7480314960629921" header="0.3149606299212598" footer="0.3149606299212598"/>
  <pageSetup orientation="portrait" scale="72" fitToHeight="0"/>
</worksheet>
</file>

<file path=xl/worksheets/sheet5.xml><?xml version="1.0" encoding="utf-8"?>
<worksheet xmlns="http://schemas.openxmlformats.org/spreadsheetml/2006/main">
  <sheetPr>
    <tabColor theme="4"/>
    <outlinePr summaryBelow="1" summaryRight="1"/>
    <pageSetUpPr fitToPage="1"/>
  </sheetPr>
  <dimension ref="B1:Q47"/>
  <sheetViews>
    <sheetView showGridLines="0" tabSelected="1" view="pageBreakPreview" zoomScaleNormal="70" zoomScaleSheetLayoutView="100" workbookViewId="0">
      <selection activeCell="F24" sqref="F24"/>
    </sheetView>
  </sheetViews>
  <sheetFormatPr baseColWidth="8" defaultColWidth="9.140625" defaultRowHeight="15"/>
  <cols>
    <col width="2.7109375" customWidth="1" style="39" min="1" max="1"/>
    <col width="19.42578125" customWidth="1" style="39" min="2" max="2"/>
    <col width="2.28515625" customWidth="1" style="39" min="3" max="3"/>
    <col width="12.7109375" customWidth="1" style="39" min="4" max="4"/>
    <col width="8.7109375" customWidth="1" style="39" min="5" max="5"/>
    <col width="15.28515625" customWidth="1" style="39" min="6" max="6"/>
    <col width="8.7109375" customWidth="1" style="39" min="7" max="7"/>
    <col width="15.28515625" customWidth="1" style="39" min="8" max="9"/>
    <col width="8.7109375" customWidth="1" style="39" min="10" max="10"/>
    <col width="15.28515625" customWidth="1" style="39" min="11" max="12"/>
    <col width="9.140625" customWidth="1" style="39" min="13" max="13"/>
    <col width="13.85546875" bestFit="1" customWidth="1" style="39" min="14" max="14"/>
    <col width="9.140625" customWidth="1" style="39" min="15" max="16384"/>
  </cols>
  <sheetData>
    <row r="1" ht="18.75" customFormat="1" customHeight="1" s="31">
      <c r="B1" s="247">
        <f>'I. Cover Page'!B5</f>
        <v/>
      </c>
      <c r="C1" s="262" t="n"/>
      <c r="D1" s="28" t="n"/>
      <c r="E1" s="28" t="n"/>
      <c r="F1" s="29" t="n"/>
      <c r="G1" s="29" t="n"/>
      <c r="H1" s="29" t="n"/>
      <c r="I1" s="30" t="n"/>
      <c r="J1" s="28" t="n"/>
      <c r="K1" s="29" t="n"/>
      <c r="L1" s="30" t="n"/>
    </row>
    <row r="2" ht="15.75" customFormat="1" customHeight="1" s="31" thickBot="1">
      <c r="B2" s="249" t="inlineStr">
        <is>
          <t>Valuation Summary</t>
        </is>
      </c>
      <c r="C2" s="255" t="n"/>
      <c r="D2" s="32" t="n"/>
      <c r="E2" s="32" t="n"/>
      <c r="F2" s="32" t="n"/>
      <c r="G2" s="32" t="n"/>
      <c r="H2" s="32" t="n"/>
      <c r="I2" s="32" t="n"/>
      <c r="J2" s="32" t="n"/>
      <c r="K2" s="32" t="n"/>
      <c r="L2" s="32" t="n"/>
    </row>
    <row r="3" ht="13.5" customFormat="1" customHeight="1" s="34" thickTop="1">
      <c r="B3" s="251">
        <f>'I. Cover Page'!B9</f>
        <v/>
      </c>
      <c r="C3" s="263" t="n"/>
      <c r="D3" s="33" t="n"/>
      <c r="E3" s="33" t="n"/>
      <c r="F3" s="33" t="n"/>
      <c r="G3" s="33" t="n"/>
      <c r="H3" s="33" t="n"/>
      <c r="I3" s="9" t="n"/>
      <c r="K3" s="33" t="n"/>
      <c r="L3" s="9" t="inlineStr">
        <is>
          <t>$USD</t>
        </is>
      </c>
    </row>
    <row r="4" ht="12.75" customFormat="1" customHeight="1" s="34">
      <c r="B4" s="35" t="n"/>
      <c r="C4" s="8" t="n"/>
      <c r="D4" s="8" t="n"/>
      <c r="E4" s="8" t="n"/>
      <c r="F4" s="10" t="n"/>
      <c r="G4" s="10" t="n"/>
      <c r="H4" s="10" t="n"/>
      <c r="J4" s="8" t="n"/>
      <c r="K4" s="10" t="n"/>
    </row>
    <row r="5">
      <c r="B5" s="202" t="n"/>
    </row>
    <row r="6">
      <c r="B6" s="36" t="inlineStr">
        <is>
          <t>Valuation Methodology</t>
        </is>
      </c>
      <c r="C6" s="37" t="n"/>
      <c r="D6" s="37" t="inlineStr">
        <is>
          <t>EV/EBITDA</t>
        </is>
      </c>
      <c r="E6" s="38" t="n"/>
      <c r="F6" s="203" t="inlineStr">
        <is>
          <t>Current Period</t>
        </is>
      </c>
      <c r="G6" s="206" t="n"/>
      <c r="H6" s="293" t="inlineStr">
        <is>
          <t>Prior Period</t>
        </is>
      </c>
      <c r="I6" s="293" t="n"/>
      <c r="J6" s="19" t="n"/>
      <c r="K6" s="293" t="inlineStr">
        <is>
          <t>Prior Year</t>
        </is>
      </c>
      <c r="L6" s="293" t="n"/>
    </row>
    <row r="7">
      <c r="B7" s="38" t="n"/>
      <c r="E7" s="204" t="n"/>
      <c r="F7" s="205" t="n"/>
      <c r="G7" s="380" t="n"/>
      <c r="H7" s="205" t="n"/>
      <c r="K7" s="205" t="n"/>
    </row>
    <row r="8">
      <c r="B8" s="40" t="inlineStr">
        <is>
          <t>Company</t>
        </is>
      </c>
      <c r="C8" s="37" t="n"/>
      <c r="D8" s="36" t="n"/>
      <c r="F8" s="705">
        <f>B3</f>
        <v/>
      </c>
      <c r="G8" s="706" t="n"/>
      <c r="H8" s="705" t="n">
        <v>46112</v>
      </c>
      <c r="I8" s="294" t="inlineStr">
        <is>
          <t>Variance</t>
        </is>
      </c>
      <c r="K8" s="705" t="n">
        <v>45838</v>
      </c>
      <c r="L8" s="294" t="inlineStr">
        <is>
          <t>Variance</t>
        </is>
      </c>
    </row>
    <row r="9">
      <c r="B9" s="42" t="inlineStr">
        <is>
          <t>EV/Adj. EBITDA (A)</t>
        </is>
      </c>
      <c r="D9" s="38" t="n"/>
      <c r="F9" s="707">
        <f>'V. Comparables'!$D$39</f>
        <v/>
      </c>
      <c r="G9" s="708" t="n"/>
      <c r="H9" s="707">
        <f>'V. Comparables'!J39</f>
        <v/>
      </c>
      <c r="I9" s="707">
        <f>IFERROR(F9-H9,"n.a.")</f>
        <v/>
      </c>
      <c r="K9" s="707" t="n">
        <v>12.36083190876216</v>
      </c>
      <c r="L9" s="707">
        <f>IFERROR(F9-K9,"n.a.")</f>
        <v/>
      </c>
    </row>
    <row r="10">
      <c r="B10" s="42" t="inlineStr">
        <is>
          <t>TTM Adj. EBITDA (B)</t>
        </is>
      </c>
      <c r="D10" s="38" t="n"/>
      <c r="F10" s="709">
        <f>'Pro Forma Financials (Q2)'!D38</f>
        <v/>
      </c>
      <c r="G10" s="709" t="n"/>
      <c r="H10" s="709">
        <f>'Pro Forma Financials (Q1)'!D38</f>
        <v/>
      </c>
      <c r="I10" s="710">
        <f>IFERROR(F10-H10,"n.a.")</f>
        <v/>
      </c>
      <c r="K10" s="709" t="n">
        <v>2563239.030000002</v>
      </c>
      <c r="L10" s="710">
        <f>IFERROR(F10-K10,"n.a.")</f>
        <v/>
      </c>
    </row>
    <row r="11">
      <c r="F11" s="220" t="n"/>
      <c r="G11" s="169" t="n"/>
      <c r="H11" s="220" t="n"/>
      <c r="I11" s="711" t="n"/>
      <c r="K11" s="220" t="n"/>
      <c r="L11" s="711" t="n"/>
    </row>
    <row r="12">
      <c r="B12" s="39" t="inlineStr">
        <is>
          <t>Implied Enterprise Value (A*B)</t>
        </is>
      </c>
      <c r="F12" s="712">
        <f>IFERROR(F9*F10,"n.a.")</f>
        <v/>
      </c>
      <c r="G12" s="713" t="n"/>
      <c r="H12" s="714">
        <f>IFERROR(H9*H10,"n.a.")</f>
        <v/>
      </c>
      <c r="I12" s="710">
        <f>IFERROR(F12-H12,"n.a.")</f>
        <v/>
      </c>
      <c r="K12" s="714">
        <f>IFERROR(K9*K10,"n.a.")</f>
        <v/>
      </c>
      <c r="L12" s="710">
        <f>IFERROR(F12-K12,"n.a.")</f>
        <v/>
      </c>
    </row>
    <row r="13">
      <c r="B13" s="39" t="inlineStr">
        <is>
          <t>Cash</t>
        </is>
      </c>
      <c r="F13" s="715">
        <f>'Pro Forma Financials (Q2)'!T45</f>
        <v/>
      </c>
      <c r="G13" s="709" t="n"/>
      <c r="H13" s="714">
        <f>'Pro Forma Financials (Q1)'!T45</f>
        <v/>
      </c>
      <c r="I13" s="710">
        <f>IFERROR(F13-H13,"n.a.")</f>
        <v/>
      </c>
      <c r="K13" s="714" t="n">
        <v>136466.6</v>
      </c>
      <c r="L13" s="710">
        <f>IFERROR(F13-K13,"n.a.")</f>
        <v/>
      </c>
    </row>
    <row r="14">
      <c r="B14" s="39" t="inlineStr">
        <is>
          <t>Debt</t>
        </is>
      </c>
      <c r="F14" s="716" t="n">
        <v>0</v>
      </c>
      <c r="G14" s="717" t="n"/>
      <c r="H14" s="718" t="n">
        <v>0</v>
      </c>
      <c r="I14" s="719">
        <f>IFERROR(F14-H14,"n.a.")</f>
        <v/>
      </c>
      <c r="K14" s="718" t="n">
        <v>0</v>
      </c>
      <c r="L14" s="719">
        <f>IFERROR(F14-K14,"n.a.")</f>
        <v/>
      </c>
    </row>
    <row r="15">
      <c r="B15" s="39" t="inlineStr">
        <is>
          <t>Equity Value</t>
        </is>
      </c>
      <c r="F15" s="712">
        <f>IFERROR(F12+F13-F14,"n.a.")</f>
        <v/>
      </c>
      <c r="G15" s="713" t="n"/>
      <c r="H15" s="712">
        <f>IFERROR(H12+H13-H14,"n.a.")</f>
        <v/>
      </c>
      <c r="I15" s="720">
        <f>IFERROR(F15-H15,"n.a.")</f>
        <v/>
      </c>
      <c r="K15" s="712">
        <f>IFERROR(K12+K13-K14,"n.a.")</f>
        <v/>
      </c>
      <c r="L15" s="720">
        <f>IFERROR(F15-K15,"n.a.")</f>
        <v/>
      </c>
      <c r="N15" s="721" t="n"/>
    </row>
    <row r="16">
      <c r="F16" s="710" t="n"/>
      <c r="G16" s="722" t="n"/>
      <c r="H16" s="710" t="n"/>
      <c r="K16" s="710" t="n"/>
    </row>
    <row r="17">
      <c r="F17" s="710" t="n"/>
      <c r="G17" s="722" t="n"/>
      <c r="H17" s="710" t="n"/>
      <c r="I17" s="723" t="n"/>
      <c r="K17" s="710" t="n"/>
      <c r="L17" s="723" t="n"/>
    </row>
    <row r="18">
      <c r="B18" s="36" t="inlineStr">
        <is>
          <t>XPV Ownership</t>
        </is>
      </c>
      <c r="C18" s="36" t="n"/>
      <c r="D18" s="36" t="n"/>
      <c r="F18" s="724" t="n"/>
      <c r="G18" s="725" t="n"/>
      <c r="H18" s="724" t="n"/>
      <c r="I18" s="723" t="n"/>
      <c r="K18" s="724" t="n"/>
      <c r="L18" s="723" t="n"/>
    </row>
    <row r="19">
      <c r="B19" s="44" t="inlineStr">
        <is>
          <t>Investment Cost</t>
        </is>
      </c>
      <c r="F19" s="726" t="n"/>
      <c r="G19" s="727" t="n"/>
      <c r="H19" s="726" t="n"/>
      <c r="I19" s="723" t="n"/>
      <c r="K19" s="726" t="n"/>
      <c r="L19" s="723" t="n"/>
    </row>
    <row r="20">
      <c r="B20" s="39" t="inlineStr">
        <is>
          <t>Common Shares</t>
        </is>
      </c>
      <c r="F20" s="728">
        <f>'Cap Table (Jun 2026)'!D10</f>
        <v/>
      </c>
      <c r="G20" s="729" t="n"/>
      <c r="H20" s="728">
        <f>'Cap Table (Mar 2026)'!D10</f>
        <v/>
      </c>
      <c r="I20" s="710">
        <f>F20-H20</f>
        <v/>
      </c>
      <c r="K20" s="728" t="n">
        <v>12500000</v>
      </c>
      <c r="L20" s="710">
        <f>IFERROR(F20-K20,"n.a.")</f>
        <v/>
      </c>
      <c r="Q20" s="730" t="n"/>
    </row>
    <row r="21">
      <c r="B21" s="45" t="inlineStr">
        <is>
          <t>XPV Cost</t>
        </is>
      </c>
      <c r="C21" s="45" t="n"/>
      <c r="D21" s="45" t="n"/>
      <c r="E21" s="45" t="n"/>
      <c r="F21" s="731">
        <f>SUM(F20:F20)</f>
        <v/>
      </c>
      <c r="G21" s="727" t="n"/>
      <c r="H21" s="731">
        <f>SUM(H20:H20)</f>
        <v/>
      </c>
      <c r="I21" s="732">
        <f>F21-H21</f>
        <v/>
      </c>
      <c r="K21" s="731">
        <f>SUM(K20:K20)</f>
        <v/>
      </c>
      <c r="L21" s="732">
        <f>IFERROR(F21-K21,"n.a.")</f>
        <v/>
      </c>
    </row>
    <row r="22">
      <c r="F22" s="726" t="n"/>
      <c r="G22" s="727" t="n"/>
      <c r="H22" s="726" t="n"/>
      <c r="I22" s="733" t="n"/>
      <c r="K22" s="726" t="n"/>
      <c r="L22" s="733" t="n"/>
    </row>
    <row r="23">
      <c r="B23" s="44" t="inlineStr">
        <is>
          <t xml:space="preserve">Investment Value </t>
        </is>
      </c>
      <c r="F23" s="226" t="n"/>
      <c r="G23" s="130" t="n"/>
      <c r="H23" s="226" t="n"/>
      <c r="I23" s="733" t="n"/>
      <c r="K23" s="226" t="n"/>
      <c r="L23" s="733" t="n"/>
    </row>
    <row r="24">
      <c r="B24" s="39" t="inlineStr">
        <is>
          <t>Common Shares</t>
        </is>
      </c>
      <c r="F24" s="728">
        <f>'Cap Table (Jun 2026)'!J35</f>
        <v/>
      </c>
      <c r="G24" s="729" t="n"/>
      <c r="H24" s="728">
        <f>'Cap Table (Mar 2026)'!J35</f>
        <v/>
      </c>
      <c r="I24" s="710">
        <f>F24-H24</f>
        <v/>
      </c>
      <c r="K24" s="728" t="n">
        <v>29041295.88339777</v>
      </c>
      <c r="L24" s="710">
        <f>IFERROR(F24-K24,"n.a.")</f>
        <v/>
      </c>
    </row>
    <row r="25">
      <c r="B25" s="45" t="inlineStr">
        <is>
          <t>XPV Value</t>
        </is>
      </c>
      <c r="C25" s="45" t="n"/>
      <c r="D25" s="45" t="n"/>
      <c r="E25" s="45" t="n"/>
      <c r="F25" s="731">
        <f>SUM(F24:F24)</f>
        <v/>
      </c>
      <c r="G25" s="727" t="n"/>
      <c r="H25" s="731">
        <f>SUM(H24:H24)</f>
        <v/>
      </c>
      <c r="I25" s="732">
        <f>F25-H25</f>
        <v/>
      </c>
      <c r="J25" s="727" t="n"/>
      <c r="K25" s="731">
        <f>SUM(K24:K24)</f>
        <v/>
      </c>
      <c r="L25" s="732">
        <f>IFERROR(F25-K25,"n.a.")</f>
        <v/>
      </c>
      <c r="N25" s="722" t="n"/>
    </row>
    <row r="26">
      <c r="B26" s="39" t="inlineStr">
        <is>
          <t>XPV Investment Multiple</t>
        </is>
      </c>
      <c r="F26" s="734">
        <f>F25/F21</f>
        <v/>
      </c>
      <c r="G26" s="735" t="n"/>
      <c r="H26" s="734">
        <f>H25/H21</f>
        <v/>
      </c>
      <c r="I26" s="736">
        <f>F26-H26</f>
        <v/>
      </c>
      <c r="K26" s="734">
        <f>K25/K21</f>
        <v/>
      </c>
      <c r="L26" s="707">
        <f>IFERROR(F26-K26,"n.a.")</f>
        <v/>
      </c>
    </row>
    <row r="27">
      <c r="B27" s="44" t="inlineStr">
        <is>
          <t>XPV IRR</t>
        </is>
      </c>
      <c r="C27" s="44" t="n"/>
      <c r="D27" s="44" t="n"/>
      <c r="E27" s="44" t="n"/>
      <c r="F27" s="737">
        <f>'IRR Calculation (Jun 2026)'!F28</f>
        <v/>
      </c>
      <c r="G27" s="738" t="n"/>
      <c r="H27" s="737">
        <f>'IRR Calculation (Mar 2026)'!F28</f>
        <v/>
      </c>
      <c r="K27" s="739" t="n">
        <v>0.9408539175987245</v>
      </c>
    </row>
    <row r="28">
      <c r="B28" s="39" t="inlineStr">
        <is>
          <t>XPV Common Ownership</t>
        </is>
      </c>
      <c r="F28" s="740">
        <f>'Cap Table (Jun 2026)'!I10</f>
        <v/>
      </c>
      <c r="G28" s="741" t="n"/>
      <c r="H28" s="740">
        <f>'Cap Table (Mar 2026)'!I10</f>
        <v/>
      </c>
      <c r="K28" s="742" t="n">
        <v>0.946969696969697</v>
      </c>
    </row>
    <row r="29">
      <c r="B29" s="39" t="inlineStr">
        <is>
          <t>XPV FD Ownership</t>
        </is>
      </c>
      <c r="F29" s="743">
        <f>F25/F15</f>
        <v/>
      </c>
      <c r="G29" s="744" t="n"/>
      <c r="H29" s="743">
        <f>H25/H15</f>
        <v/>
      </c>
      <c r="K29" s="743">
        <f>K25/K15</f>
        <v/>
      </c>
    </row>
    <row r="30">
      <c r="B30" s="39" t="inlineStr">
        <is>
          <t>Equity Cost Basis</t>
        </is>
      </c>
      <c r="F30" s="745">
        <f>F21/F29</f>
        <v/>
      </c>
      <c r="G30" s="746" t="n"/>
      <c r="H30" s="745">
        <f>H21/H29</f>
        <v/>
      </c>
      <c r="K30" s="745">
        <f>K21/K29</f>
        <v/>
      </c>
    </row>
    <row r="31">
      <c r="B31" s="39" t="inlineStr">
        <is>
          <t>Cash</t>
        </is>
      </c>
      <c r="F31" s="745">
        <f>-F13</f>
        <v/>
      </c>
      <c r="G31" s="746" t="n"/>
      <c r="H31" s="745">
        <f>-H13</f>
        <v/>
      </c>
      <c r="K31" s="745">
        <f>-K13</f>
        <v/>
      </c>
    </row>
    <row r="32">
      <c r="B32" s="39" t="inlineStr">
        <is>
          <t>Debt</t>
        </is>
      </c>
      <c r="F32" s="745">
        <f>F14</f>
        <v/>
      </c>
      <c r="G32" s="746" t="n"/>
      <c r="H32" s="745">
        <f>H14</f>
        <v/>
      </c>
      <c r="K32" s="745">
        <f>K14</f>
        <v/>
      </c>
    </row>
    <row r="33">
      <c r="B33" s="38" t="inlineStr">
        <is>
          <t>Cost Basis</t>
        </is>
      </c>
      <c r="F33" s="747">
        <f>SUM(F30:F32)</f>
        <v/>
      </c>
      <c r="G33" s="748" t="n"/>
      <c r="H33" s="747">
        <f>SUM(H30:H32)</f>
        <v/>
      </c>
      <c r="I33" s="749" t="n"/>
      <c r="K33" s="747">
        <f>SUM(K30:K32)</f>
        <v/>
      </c>
      <c r="L33" s="749" t="n"/>
    </row>
    <row r="34">
      <c r="B34" s="44" t="inlineStr">
        <is>
          <t>Cost Basis / Adj. EBITDA</t>
        </is>
      </c>
      <c r="C34" s="44" t="n"/>
      <c r="D34" s="44" t="n"/>
      <c r="E34" s="44" t="n"/>
      <c r="F34" s="750">
        <f>F33/F10</f>
        <v/>
      </c>
      <c r="G34" s="751" t="n"/>
      <c r="H34" s="750">
        <f>H33/H10</f>
        <v/>
      </c>
      <c r="K34" s="750">
        <f>K33/K10</f>
        <v/>
      </c>
    </row>
    <row r="36">
      <c r="B36" s="306" t="inlineStr">
        <is>
          <t>Attribution Summary</t>
        </is>
      </c>
      <c r="C36" s="307" t="n"/>
      <c r="D36" s="307" t="n"/>
    </row>
    <row r="37">
      <c r="B37" s="39" t="inlineStr">
        <is>
          <t>Impact of Multiple</t>
        </is>
      </c>
      <c r="C37" s="308" t="n"/>
      <c r="D37" s="308" t="n"/>
      <c r="E37" s="308" t="n"/>
      <c r="F37" s="745">
        <f>((F9-H9)*F10)*F29</f>
        <v/>
      </c>
      <c r="G37" s="745" t="n"/>
      <c r="H37" s="745" t="n">
        <v>0</v>
      </c>
      <c r="K37" s="745" t="n">
        <v>0</v>
      </c>
    </row>
    <row r="38">
      <c r="B38" s="39" t="inlineStr">
        <is>
          <t>Impact of EBITDA</t>
        </is>
      </c>
      <c r="C38" s="308" t="n"/>
      <c r="D38" s="308" t="n"/>
      <c r="E38" s="308" t="n"/>
      <c r="F38" s="745">
        <f>((F10-H10)*H9)*F29</f>
        <v/>
      </c>
      <c r="G38" s="745" t="n"/>
      <c r="H38" s="745" t="n">
        <v>0</v>
      </c>
      <c r="K38" s="745" t="n">
        <v>0</v>
      </c>
    </row>
    <row r="39">
      <c r="B39" s="39" t="inlineStr">
        <is>
          <t>Impact of Net Cash</t>
        </is>
      </c>
      <c r="C39" s="308" t="n"/>
      <c r="D39" s="308" t="n"/>
      <c r="E39" s="308" t="n"/>
      <c r="F39" s="745">
        <f>((H14-H13)-(F14-F13))*F29</f>
        <v/>
      </c>
      <c r="G39" s="745" t="n"/>
      <c r="H39" s="745" t="n">
        <v>0</v>
      </c>
      <c r="K39" s="745" t="n">
        <v>0</v>
      </c>
    </row>
    <row r="40">
      <c r="B40" s="39" t="inlineStr">
        <is>
          <t>Impact of FX</t>
        </is>
      </c>
      <c r="C40" s="308" t="n"/>
      <c r="D40" s="308" t="n"/>
      <c r="E40" s="308" t="n"/>
      <c r="F40" s="745" t="n">
        <v>0</v>
      </c>
      <c r="G40" s="745" t="n"/>
      <c r="H40" s="745" t="n">
        <v>0</v>
      </c>
      <c r="K40" s="745" t="n">
        <v>0</v>
      </c>
    </row>
    <row r="41">
      <c r="B41" s="39" t="inlineStr">
        <is>
          <t>Change in Ownership</t>
        </is>
      </c>
      <c r="C41" s="308" t="n"/>
      <c r="D41" s="308" t="n"/>
      <c r="E41" s="308" t="n"/>
      <c r="F41" s="745">
        <f>(F29-H29)*H15</f>
        <v/>
      </c>
      <c r="G41" s="745" t="n"/>
      <c r="H41" s="745" t="n">
        <v>0</v>
      </c>
      <c r="K41" s="745" t="n">
        <v>0</v>
      </c>
    </row>
    <row r="42">
      <c r="B42" s="39" t="inlineStr">
        <is>
          <t>Change in Valuation Methodology</t>
        </is>
      </c>
      <c r="C42" s="308" t="n"/>
      <c r="D42" s="308" t="n"/>
      <c r="E42" s="308" t="n"/>
      <c r="F42" s="745" t="n">
        <v>0</v>
      </c>
      <c r="G42" s="745" t="n"/>
      <c r="H42" s="745" t="n">
        <v>0</v>
      </c>
      <c r="K42" s="745" t="n">
        <v>0</v>
      </c>
    </row>
    <row r="43">
      <c r="B43" s="308" t="n"/>
      <c r="C43" s="308" t="n"/>
      <c r="D43" s="308" t="n"/>
      <c r="E43" s="308" t="n"/>
      <c r="F43" s="747">
        <f>SUM(F37:F42)</f>
        <v/>
      </c>
      <c r="G43" s="752" t="n"/>
      <c r="H43" s="747">
        <f>SUM(H37:H42)</f>
        <v/>
      </c>
      <c r="K43" s="747">
        <f>SUM(K37:K42)</f>
        <v/>
      </c>
    </row>
    <row r="44">
      <c r="B44" s="308" t="n"/>
      <c r="C44" s="308" t="n"/>
      <c r="D44" s="308" t="n"/>
      <c r="E44" s="308" t="n"/>
      <c r="F44" s="753">
        <f>F43-I25</f>
        <v/>
      </c>
      <c r="G44" s="753" t="n"/>
      <c r="H44" s="753">
        <f>H43-J25</f>
        <v/>
      </c>
      <c r="K44" s="753">
        <f>K43-M25</f>
        <v/>
      </c>
    </row>
    <row r="47">
      <c r="F47" s="721" t="n"/>
      <c r="G47" s="721" t="n"/>
      <c r="H47" s="721" t="n"/>
      <c r="K47" s="721" t="n"/>
    </row>
  </sheetData>
  <conditionalFormatting sqref="I9:I10">
    <cfRule type="cellIs" priority="25" operator="equal">
      <formula>0</formula>
    </cfRule>
    <cfRule type="cellIs" priority="26" operator="lessThan" dxfId="11">
      <formula>0</formula>
    </cfRule>
    <cfRule type="cellIs" priority="27" operator="greaterThan" dxfId="10">
      <formula>0</formula>
    </cfRule>
  </conditionalFormatting>
  <conditionalFormatting sqref="I12:I13">
    <cfRule type="cellIs" priority="22" operator="equal">
      <formula>0</formula>
    </cfRule>
    <cfRule type="cellIs" priority="23" operator="lessThan" dxfId="11">
      <formula>0</formula>
    </cfRule>
    <cfRule type="cellIs" priority="24" operator="greaterThan" dxfId="10">
      <formula>0</formula>
    </cfRule>
  </conditionalFormatting>
  <conditionalFormatting sqref="I15">
    <cfRule type="cellIs" priority="19" operator="equal">
      <formula>0</formula>
    </cfRule>
    <cfRule type="cellIs" priority="20" operator="lessThan" dxfId="11">
      <formula>0</formula>
    </cfRule>
    <cfRule type="cellIs" priority="21" operator="greaterThan" dxfId="10">
      <formula>0</formula>
    </cfRule>
  </conditionalFormatting>
  <conditionalFormatting sqref="I20:I21 L20:L21">
    <cfRule type="cellIs" priority="40" operator="equal">
      <formula>0</formula>
    </cfRule>
    <cfRule type="cellIs" priority="41" operator="lessThan" dxfId="11">
      <formula>0</formula>
    </cfRule>
    <cfRule type="cellIs" priority="42" operator="greaterThan" dxfId="10">
      <formula>0</formula>
    </cfRule>
  </conditionalFormatting>
  <conditionalFormatting sqref="I24:I26">
    <cfRule type="cellIs" priority="100" operator="equal">
      <formula>0</formula>
    </cfRule>
    <cfRule type="cellIs" priority="101" operator="lessThan" dxfId="11">
      <formula>0</formula>
    </cfRule>
    <cfRule type="cellIs" priority="102" operator="greaterThan" dxfId="10">
      <formula>0</formula>
    </cfRule>
  </conditionalFormatting>
  <conditionalFormatting sqref="L9:L10">
    <cfRule type="cellIs" priority="7" operator="equal">
      <formula>0</formula>
    </cfRule>
    <cfRule type="cellIs" priority="8" operator="lessThan" dxfId="11">
      <formula>0</formula>
    </cfRule>
    <cfRule type="cellIs" priority="9" operator="greaterThan" dxfId="10">
      <formula>0</formula>
    </cfRule>
  </conditionalFormatting>
  <conditionalFormatting sqref="L12:L13">
    <cfRule type="cellIs" priority="4" operator="equal">
      <formula>0</formula>
    </cfRule>
    <cfRule type="cellIs" priority="5" operator="lessThan" dxfId="11">
      <formula>0</formula>
    </cfRule>
    <cfRule type="cellIs" priority="6" operator="greaterThan" dxfId="10">
      <formula>0</formula>
    </cfRule>
  </conditionalFormatting>
  <conditionalFormatting sqref="L15">
    <cfRule type="cellIs" priority="1" operator="equal">
      <formula>0</formula>
    </cfRule>
    <cfRule type="cellIs" priority="2" operator="lessThan" dxfId="11">
      <formula>0</formula>
    </cfRule>
    <cfRule type="cellIs" priority="3" operator="greaterThan" dxfId="10">
      <formula>0</formula>
    </cfRule>
  </conditionalFormatting>
  <conditionalFormatting sqref="L24:L26">
    <cfRule type="cellIs" priority="13" operator="equal">
      <formula>0</formula>
    </cfRule>
    <cfRule type="cellIs" priority="14" operator="lessThan" dxfId="11">
      <formula>0</formula>
    </cfRule>
    <cfRule type="cellIs" priority="15" operator="greaterThan" dxfId="10">
      <formula>0</formula>
    </cfRule>
  </conditionalFormatting>
  <conditionalFormatting sqref="N25">
    <cfRule type="cellIs" priority="16" operator="equal">
      <formula>0</formula>
    </cfRule>
    <cfRule type="cellIs" priority="17" operator="lessThan" dxfId="11">
      <formula>0</formula>
    </cfRule>
    <cfRule type="cellIs" priority="18" operator="greaterThan" dxfId="10">
      <formula>0</formula>
    </cfRule>
  </conditionalFormatting>
  <pageMargins left="0.7086614173228347" right="0.7086614173228347" top="0.7480314960629921" bottom="0.7480314960629921" header="0.3149606299212598" footer="0.3149606299212598"/>
  <pageSetup orientation="portrait" scale="65" fitToHeight="0"/>
  <legacyDrawing xmlns:r="http://schemas.openxmlformats.org/officeDocument/2006/relationships" r:id="anysvml"/>
</worksheet>
</file>

<file path=xl/worksheets/sheet6.xml><?xml version="1.0" encoding="utf-8"?>
<worksheet xmlns="http://schemas.openxmlformats.org/spreadsheetml/2006/main">
  <sheetPr>
    <tabColor theme="4"/>
    <outlinePr summaryBelow="1" summaryRight="1"/>
    <pageSetUpPr fitToPage="1"/>
  </sheetPr>
  <dimension ref="A3:R93"/>
  <sheetViews>
    <sheetView showGridLines="0" view="pageBreakPreview" zoomScaleNormal="100" zoomScaleSheetLayoutView="100" workbookViewId="0">
      <pane xSplit="3" ySplit="6" topLeftCell="D7" activePane="bottomRight" state="frozen"/>
      <selection pane="topRight" activeCell="D1" sqref="D1"/>
      <selection pane="bottomLeft" activeCell="A7" sqref="A7"/>
      <selection pane="bottomRight" activeCell="E6" sqref="E6"/>
    </sheetView>
  </sheetViews>
  <sheetFormatPr baseColWidth="8" defaultColWidth="9.140625" defaultRowHeight="11.25" outlineLevelRow="1"/>
  <cols>
    <col width="5.7109375" customWidth="1" style="486" min="1" max="1"/>
    <col width="13.140625" customWidth="1" style="487" min="2" max="2"/>
    <col width="25.140625" bestFit="1" customWidth="1" style="487" min="3" max="3"/>
    <col width="3" customWidth="1" style="487" min="4" max="4"/>
    <col width="11" customWidth="1" style="487" min="5" max="17"/>
    <col width="9.140625" customWidth="1" style="487" min="18" max="16384"/>
  </cols>
  <sheetData>
    <row r="1" ht="5.1" customHeight="1"/>
    <row r="2" ht="5.1" customHeight="1"/>
    <row r="3" ht="12.75" customHeight="1">
      <c r="B3" s="488" t="inlineStr">
        <is>
          <t>XPV Portfolio Company Adjustments to EBITDA</t>
        </is>
      </c>
      <c r="C3" s="489" t="n"/>
      <c r="D3" s="489" t="n"/>
      <c r="E3" s="489" t="n"/>
      <c r="F3" s="489" t="n"/>
      <c r="G3" s="489" t="n"/>
      <c r="H3" s="489" t="n"/>
      <c r="I3" s="489" t="n"/>
      <c r="J3" s="489" t="n"/>
      <c r="K3" s="489" t="n"/>
      <c r="L3" s="489" t="n"/>
      <c r="M3" s="489" t="n"/>
      <c r="N3" s="489" t="n"/>
      <c r="O3" s="489" t="n"/>
      <c r="P3" s="489" t="n"/>
      <c r="Q3" s="489" t="n"/>
    </row>
    <row r="4">
      <c r="B4" s="490" t="inlineStr">
        <is>
          <t>Opus Water</t>
        </is>
      </c>
    </row>
    <row r="5" ht="5.1" customHeight="1"/>
    <row r="6" ht="9.949999999999999" customHeight="1" thickBot="1">
      <c r="E6" s="754">
        <f>EOMONTH(P6,-11)</f>
        <v/>
      </c>
      <c r="F6" s="754">
        <f>EOMONTH(E6,1)</f>
        <v/>
      </c>
      <c r="G6" s="754">
        <f>EOMONTH(F6,1)</f>
        <v/>
      </c>
      <c r="H6" s="754">
        <f>EOMONTH(G6,1)</f>
        <v/>
      </c>
      <c r="I6" s="754">
        <f>EOMONTH(H6,1)</f>
        <v/>
      </c>
      <c r="J6" s="754">
        <f>EOMONTH(I6,1)</f>
        <v/>
      </c>
      <c r="K6" s="754">
        <f>EOMONTH(J6,1)</f>
        <v/>
      </c>
      <c r="L6" s="754">
        <f>EOMONTH(K6,1)</f>
        <v/>
      </c>
      <c r="M6" s="754">
        <f>EOMONTH(L6,1)</f>
        <v/>
      </c>
      <c r="N6" s="754">
        <f>EOMONTH(M6,1)</f>
        <v/>
      </c>
      <c r="O6" s="754">
        <f>EOMONTH(N6,1)</f>
        <v/>
      </c>
      <c r="P6" s="754">
        <f>'I. Cover Page'!B9</f>
        <v/>
      </c>
      <c r="Q6" s="755" t="inlineStr">
        <is>
          <t>LTM</t>
        </is>
      </c>
    </row>
    <row r="7" ht="9.949999999999999" customHeight="1">
      <c r="B7" s="487" t="inlineStr">
        <is>
          <t>Opus Water</t>
        </is>
      </c>
      <c r="E7" s="756">
        <f>'Pro Forma Financials (Q1)'!I21</f>
        <v/>
      </c>
      <c r="F7" s="756">
        <f>'Pro Forma Financials (Q1)'!J21</f>
        <v/>
      </c>
      <c r="G7" s="756">
        <f>'Pro Forma Financials (Q1)'!K21</f>
        <v/>
      </c>
      <c r="H7" s="756">
        <f>'Pro Forma Financials (Q1)'!L21</f>
        <v/>
      </c>
      <c r="I7" s="756">
        <f>'Pro Forma Financials (Q1)'!M21</f>
        <v/>
      </c>
      <c r="J7" s="756">
        <f>'Pro Forma Financials (Q1)'!N21</f>
        <v/>
      </c>
      <c r="K7" s="756">
        <f>'Pro Forma Financials (Q1)'!O21</f>
        <v/>
      </c>
      <c r="L7" s="756">
        <f>'Pro Forma Financials (Q1)'!P21</f>
        <v/>
      </c>
      <c r="M7" s="756">
        <f>'Pro Forma Financials (Q1)'!Q21</f>
        <v/>
      </c>
      <c r="N7" s="756">
        <f>'Pro Forma Financials (Q1)'!R21</f>
        <v/>
      </c>
      <c r="O7" s="756">
        <f>'Pro Forma Financials (Q1)'!S21</f>
        <v/>
      </c>
      <c r="P7" s="756">
        <f>'Pro Forma Financials (Q1)'!T21</f>
        <v/>
      </c>
      <c r="Q7" s="757">
        <f>SUM(E7:P7)</f>
        <v/>
      </c>
    </row>
    <row r="8" ht="9.949999999999999" customHeight="1">
      <c r="B8" s="487" t="inlineStr">
        <is>
          <t>RP Adams</t>
        </is>
      </c>
      <c r="E8" s="756">
        <f>'Pro Forma Financials (Q1)'!I22</f>
        <v/>
      </c>
      <c r="F8" s="756">
        <f>'Pro Forma Financials (Q1)'!J22</f>
        <v/>
      </c>
      <c r="G8" s="756">
        <f>'Pro Forma Financials (Q1)'!K22</f>
        <v/>
      </c>
      <c r="H8" s="756">
        <f>'Pro Forma Financials (Q1)'!L22</f>
        <v/>
      </c>
      <c r="I8" s="756">
        <f>'Pro Forma Financials (Q1)'!M22</f>
        <v/>
      </c>
      <c r="J8" s="756">
        <f>'Pro Forma Financials (Q1)'!N22</f>
        <v/>
      </c>
      <c r="K8" s="756">
        <f>'Pro Forma Financials (Q1)'!O22</f>
        <v/>
      </c>
      <c r="L8" s="756">
        <f>'Pro Forma Financials (Q1)'!P22</f>
        <v/>
      </c>
      <c r="M8" s="756">
        <f>'Pro Forma Financials (Q1)'!Q22</f>
        <v/>
      </c>
      <c r="N8" s="756">
        <f>'Pro Forma Financials (Q1)'!R22</f>
        <v/>
      </c>
      <c r="O8" s="756">
        <f>'Pro Forma Financials (Q1)'!S22</f>
        <v/>
      </c>
      <c r="P8" s="756">
        <f>'Pro Forma Financials (Q1)'!T22</f>
        <v/>
      </c>
      <c r="Q8" s="758">
        <f>SUM(E8:P8)</f>
        <v/>
      </c>
    </row>
    <row r="9" ht="9.949999999999999" customHeight="1">
      <c r="B9" s="489" t="inlineStr">
        <is>
          <t>Yeary Controls</t>
        </is>
      </c>
      <c r="C9" s="489" t="n"/>
      <c r="D9" s="489" t="n"/>
      <c r="E9" s="759">
        <f>'Pro Forma Financials (Q1)'!I23</f>
        <v/>
      </c>
      <c r="F9" s="759">
        <f>'Pro Forma Financials (Q1)'!J23</f>
        <v/>
      </c>
      <c r="G9" s="759">
        <f>'Pro Forma Financials (Q1)'!K23</f>
        <v/>
      </c>
      <c r="H9" s="760">
        <f>'Pro Forma Financials (Q1)'!L23</f>
        <v/>
      </c>
      <c r="I9" s="760">
        <f>'Pro Forma Financials (Q1)'!M23</f>
        <v/>
      </c>
      <c r="J9" s="760">
        <f>'Pro Forma Financials (Q1)'!N23</f>
        <v/>
      </c>
      <c r="K9" s="760">
        <f>'Pro Forma Financials (Q1)'!O23</f>
        <v/>
      </c>
      <c r="L9" s="760">
        <f>'Pro Forma Financials (Q1)'!P23</f>
        <v/>
      </c>
      <c r="M9" s="760">
        <f>'Pro Forma Financials (Q1)'!Q23</f>
        <v/>
      </c>
      <c r="N9" s="760">
        <f>'Pro Forma Financials (Q1)'!R23</f>
        <v/>
      </c>
      <c r="O9" s="760">
        <f>'Pro Forma Financials (Q1)'!S23</f>
        <v/>
      </c>
      <c r="P9" s="760">
        <f>'Pro Forma Financials (Q1)'!T23</f>
        <v/>
      </c>
      <c r="Q9" s="761">
        <f>SUM(E9:P9)</f>
        <v/>
      </c>
    </row>
    <row r="10" ht="9.949999999999999" customHeight="1">
      <c r="B10" s="493" t="inlineStr">
        <is>
          <t>PF EBITDA</t>
        </is>
      </c>
      <c r="C10" s="494" t="n"/>
      <c r="D10" s="495" t="n"/>
      <c r="E10" s="762">
        <f>SUM(E7:E9)</f>
        <v/>
      </c>
      <c r="F10" s="762">
        <f>SUM(F7:F9)</f>
        <v/>
      </c>
      <c r="G10" s="762">
        <f>SUM(G7:G9)</f>
        <v/>
      </c>
      <c r="H10" s="762">
        <f>SUM(H7:H9)</f>
        <v/>
      </c>
      <c r="I10" s="762">
        <f>SUM(I7:I9)</f>
        <v/>
      </c>
      <c r="J10" s="762">
        <f>SUM(J7:J9)</f>
        <v/>
      </c>
      <c r="K10" s="762">
        <f>SUM(K7:K9)</f>
        <v/>
      </c>
      <c r="L10" s="762">
        <f>SUM(L7:L9)</f>
        <v/>
      </c>
      <c r="M10" s="762">
        <f>SUM(M7:M9)</f>
        <v/>
      </c>
      <c r="N10" s="762">
        <f>SUM(N7:N9)</f>
        <v/>
      </c>
      <c r="O10" s="762">
        <f>SUM(O7:O9)</f>
        <v/>
      </c>
      <c r="P10" s="762">
        <f>SUM(P7:P9)</f>
        <v/>
      </c>
      <c r="Q10" s="763">
        <f>SUM(Q7:Q9)</f>
        <v/>
      </c>
    </row>
    <row r="11" ht="9.949999999999999" customHeight="1">
      <c r="E11" s="764" t="n"/>
      <c r="F11" s="764" t="n"/>
      <c r="G11" s="764" t="n"/>
      <c r="H11" s="764" t="n"/>
      <c r="I11" s="764" t="n"/>
      <c r="J11" s="764" t="n"/>
      <c r="K11" s="764" t="n"/>
      <c r="L11" s="764" t="n"/>
      <c r="M11" s="764" t="n"/>
      <c r="N11" s="764" t="n"/>
      <c r="O11" s="764" t="n"/>
      <c r="P11" s="764" t="n"/>
      <c r="Q11" s="765" t="n"/>
    </row>
    <row r="12" ht="9.949999999999999" customHeight="1">
      <c r="B12" s="500" t="inlineStr">
        <is>
          <t>Category 1: Recruitment</t>
        </is>
      </c>
      <c r="C12" s="489" t="n"/>
      <c r="D12" s="489" t="n"/>
      <c r="E12" s="766" t="n"/>
      <c r="F12" s="766" t="n"/>
      <c r="G12" s="766" t="n"/>
      <c r="H12" s="766" t="n"/>
      <c r="I12" s="766" t="n"/>
      <c r="J12" s="766" t="n"/>
      <c r="K12" s="766" t="n"/>
      <c r="L12" s="766" t="n"/>
      <c r="M12" s="766" t="n"/>
      <c r="N12" s="766" t="n"/>
      <c r="O12" s="766" t="n"/>
      <c r="P12" s="766" t="n"/>
      <c r="Q12" s="767" t="n"/>
    </row>
    <row r="13" outlineLevel="1" ht="9.949999999999999" customHeight="1">
      <c r="B13" s="503" t="inlineStr">
        <is>
          <t>Total One-Time Recruitment Expenses</t>
        </is>
      </c>
      <c r="E13" s="768" t="n"/>
      <c r="F13" s="768" t="n"/>
      <c r="G13" s="768" t="n"/>
      <c r="H13" s="768" t="n"/>
      <c r="I13" s="768" t="n"/>
      <c r="J13" s="768" t="n"/>
      <c r="K13" s="768" t="n"/>
      <c r="L13" s="768" t="n"/>
      <c r="M13" s="768" t="n"/>
      <c r="N13" s="768" t="n"/>
      <c r="O13" s="768" t="n"/>
      <c r="P13" s="768" t="n"/>
      <c r="Q13" s="769" t="n"/>
    </row>
    <row r="14" outlineLevel="1" ht="9.949999999999999" customHeight="1">
      <c r="C14" s="506" t="inlineStr">
        <is>
          <t>Recruiting Costs</t>
        </is>
      </c>
      <c r="D14" s="507" t="n"/>
      <c r="E14" s="770" t="n">
        <v>0</v>
      </c>
      <c r="F14" s="770" t="n">
        <v>0</v>
      </c>
      <c r="G14" s="770" t="n">
        <v>0</v>
      </c>
      <c r="H14" s="771" t="n">
        <v>0</v>
      </c>
      <c r="I14" s="771" t="n">
        <v>0</v>
      </c>
      <c r="J14" s="771" t="n">
        <v>22481.25</v>
      </c>
      <c r="K14" s="771" t="n">
        <v>22481.25</v>
      </c>
      <c r="L14" s="771" t="n">
        <v>68106.25</v>
      </c>
      <c r="M14" s="771" t="n">
        <v>16856.25</v>
      </c>
      <c r="N14" s="771" t="n">
        <v>1856.25</v>
      </c>
      <c r="O14" s="771" t="n">
        <v>1856.25</v>
      </c>
      <c r="P14" s="771" t="n">
        <v>19500</v>
      </c>
      <c r="Q14" s="772">
        <f>SUM(E14:P14)</f>
        <v/>
      </c>
    </row>
    <row r="15" outlineLevel="1" ht="9.949999999999999" customHeight="1">
      <c r="C15" s="506" t="inlineStr">
        <is>
          <t>Day Bonus &amp; Taxes</t>
        </is>
      </c>
      <c r="D15" s="507" t="n"/>
      <c r="E15" s="770" t="n"/>
      <c r="F15" s="771" t="n"/>
      <c r="G15" s="771" t="n"/>
      <c r="H15" s="771" t="n"/>
      <c r="I15" s="771" t="n"/>
      <c r="J15" s="771" t="n"/>
      <c r="K15" s="771" t="n"/>
      <c r="L15" s="771" t="n"/>
      <c r="M15" s="771" t="n"/>
      <c r="N15" s="771" t="n"/>
      <c r="O15" s="771" t="n"/>
      <c r="P15" s="771" t="n"/>
      <c r="Q15" s="772">
        <f>SUM(E15:P15)</f>
        <v/>
      </c>
    </row>
    <row r="16" ht="9.949999999999999" customFormat="1" customHeight="1" s="513">
      <c r="A16" s="512" t="n"/>
      <c r="B16" s="513" t="inlineStr">
        <is>
          <t>Recruitment Expenses</t>
        </is>
      </c>
      <c r="C16" s="514" t="n"/>
      <c r="E16" s="773">
        <f>IF(E13&gt;0,E13,SUM(E14:E15))</f>
        <v/>
      </c>
      <c r="F16" s="773">
        <f>IF(F13&gt;0,F13,SUM(F14:F15))</f>
        <v/>
      </c>
      <c r="G16" s="773">
        <f>IF(G13&gt;0,G13,SUM(G14:G15))</f>
        <v/>
      </c>
      <c r="H16" s="773">
        <f>IF(H13&gt;0,H13,SUM(H14:H15))</f>
        <v/>
      </c>
      <c r="I16" s="773">
        <f>IF(I13&gt;0,I13,SUM(I14:I15))</f>
        <v/>
      </c>
      <c r="J16" s="773">
        <f>IF(J13&gt;0,J13,SUM(J14:J15))</f>
        <v/>
      </c>
      <c r="K16" s="773">
        <f>IF(K13&gt;0,K13,SUM(K14:K15))</f>
        <v/>
      </c>
      <c r="L16" s="773">
        <f>IF(L13&gt;0,L13,SUM(L14:L15))</f>
        <v/>
      </c>
      <c r="M16" s="773">
        <f>IF(M13&gt;0,M13,SUM(M14:M15))</f>
        <v/>
      </c>
      <c r="N16" s="773">
        <f>IF(N13&gt;0,N13,SUM(N14:N15))</f>
        <v/>
      </c>
      <c r="O16" s="773">
        <f>IF(O13&gt;0,O13,SUM(O14:O15))</f>
        <v/>
      </c>
      <c r="P16" s="773">
        <f>IF(P13&gt;0,P13,SUM(P14:P15))</f>
        <v/>
      </c>
      <c r="Q16" s="774">
        <f>SUM(E16:P16)</f>
        <v/>
      </c>
    </row>
    <row r="17" ht="9.949999999999999" customHeight="1">
      <c r="C17" s="503" t="n"/>
      <c r="E17" s="775" t="n"/>
      <c r="F17" s="775" t="n"/>
      <c r="G17" s="775" t="n"/>
      <c r="H17" s="775" t="n"/>
      <c r="I17" s="775" t="n"/>
      <c r="J17" s="775" t="n"/>
      <c r="K17" s="775" t="n"/>
      <c r="L17" s="775" t="n"/>
      <c r="M17" s="775" t="n"/>
      <c r="N17" s="775" t="n"/>
      <c r="O17" s="775" t="n"/>
      <c r="P17" s="775" t="n"/>
      <c r="Q17" s="776" t="n"/>
    </row>
    <row r="18" ht="9.949999999999999" customHeight="1">
      <c r="B18" s="500" t="inlineStr">
        <is>
          <t>Category 2: XPV Related</t>
        </is>
      </c>
      <c r="C18" s="519" t="n"/>
      <c r="D18" s="489" t="n"/>
      <c r="E18" s="777" t="n"/>
      <c r="F18" s="777" t="n"/>
      <c r="G18" s="777" t="n"/>
      <c r="H18" s="777" t="n"/>
      <c r="I18" s="777" t="n"/>
      <c r="J18" s="777" t="n"/>
      <c r="K18" s="777" t="n"/>
      <c r="L18" s="777" t="n"/>
      <c r="M18" s="777" t="n"/>
      <c r="N18" s="777" t="n"/>
      <c r="O18" s="777" t="n"/>
      <c r="P18" s="777" t="n"/>
      <c r="Q18" s="778" t="n"/>
    </row>
    <row r="19" outlineLevel="1" ht="9.949999999999999" customHeight="1">
      <c r="B19" s="503" t="inlineStr">
        <is>
          <t>Total XPV Expenses</t>
        </is>
      </c>
      <c r="C19" s="503" t="n"/>
      <c r="E19" s="768" t="n"/>
      <c r="F19" s="768" t="n"/>
      <c r="G19" s="768" t="n"/>
      <c r="H19" s="768" t="n"/>
      <c r="I19" s="768" t="n"/>
      <c r="J19" s="768" t="n"/>
      <c r="K19" s="768" t="n"/>
      <c r="L19" s="768" t="n"/>
      <c r="M19" s="768" t="n"/>
      <c r="N19" s="768" t="n"/>
      <c r="O19" s="768" t="n"/>
      <c r="P19" s="768" t="n"/>
      <c r="Q19" s="769" t="n"/>
    </row>
    <row r="20" outlineLevel="1" ht="9.949999999999999" customHeight="1">
      <c r="C20" s="506" t="inlineStr">
        <is>
          <t>Petra Coach</t>
        </is>
      </c>
      <c r="E20" s="770" t="n"/>
      <c r="F20" s="771" t="n"/>
      <c r="G20" s="771" t="n"/>
      <c r="H20" s="771" t="n"/>
      <c r="I20" s="771" t="n"/>
      <c r="J20" s="771" t="n"/>
      <c r="K20" s="771" t="n"/>
      <c r="L20" s="771" t="n"/>
      <c r="M20" s="771" t="n"/>
      <c r="N20" s="771" t="n"/>
      <c r="O20" s="771" t="n"/>
      <c r="P20" s="771" t="n"/>
      <c r="Q20" s="772">
        <f>SUM(E20:P20)</f>
        <v/>
      </c>
    </row>
    <row r="21" outlineLevel="1" ht="9.949999999999999" customHeight="1">
      <c r="C21" s="506" t="inlineStr">
        <is>
          <t>Board Fees</t>
        </is>
      </c>
      <c r="E21" s="770" t="n">
        <v>0</v>
      </c>
      <c r="F21" s="771" t="n">
        <v>25184.25</v>
      </c>
      <c r="G21" s="771" t="n">
        <v>2205.34</v>
      </c>
      <c r="H21" s="771" t="n">
        <v>0</v>
      </c>
      <c r="I21" s="771" t="n">
        <v>13880.54</v>
      </c>
      <c r="J21" s="771" t="n">
        <v>0</v>
      </c>
      <c r="K21" s="771" t="n"/>
      <c r="L21" s="771" t="n">
        <v>12500</v>
      </c>
      <c r="M21" s="771" t="n"/>
      <c r="N21" s="771" t="n">
        <v>0</v>
      </c>
      <c r="O21" s="771" t="n">
        <v>25000</v>
      </c>
      <c r="P21" s="771" t="n"/>
      <c r="Q21" s="772">
        <f>SUM(E21:P21)</f>
        <v/>
      </c>
    </row>
    <row r="22" ht="9.949999999999999" customFormat="1" customHeight="1" s="513">
      <c r="A22" s="512" t="n"/>
      <c r="B22" s="513" t="inlineStr">
        <is>
          <t>XPV Related Expenses</t>
        </is>
      </c>
      <c r="C22" s="514" t="n"/>
      <c r="E22" s="773">
        <f>IF(E19&gt;0,E19,SUM(E20:E21))</f>
        <v/>
      </c>
      <c r="F22" s="773">
        <f>IF(F19&gt;0,F19,SUM(F20:F21))</f>
        <v/>
      </c>
      <c r="G22" s="773">
        <f>IF(G19&gt;0,G19,SUM(G20:G21))</f>
        <v/>
      </c>
      <c r="H22" s="773">
        <f>IF(H19&gt;0,H19,SUM(H20:H21))</f>
        <v/>
      </c>
      <c r="I22" s="773">
        <f>IF(I19&gt;0,I19,SUM(I20:I21))</f>
        <v/>
      </c>
      <c r="J22" s="773">
        <f>IF(J19&gt;0,J19,SUM(J20:J21))</f>
        <v/>
      </c>
      <c r="K22" s="773">
        <f>IF(K19&gt;0,K19,SUM(K20:K21))</f>
        <v/>
      </c>
      <c r="L22" s="773">
        <f>IF(L19&gt;0,L19,SUM(L20:L21))</f>
        <v/>
      </c>
      <c r="M22" s="773">
        <f>IF(M19&gt;0,M19,SUM(M20:M21))</f>
        <v/>
      </c>
      <c r="N22" s="773">
        <f>IF(N19&gt;0,N19,SUM(N20:N21))</f>
        <v/>
      </c>
      <c r="O22" s="773">
        <f>IF(O19&gt;0,O19,SUM(O20:O21))</f>
        <v/>
      </c>
      <c r="P22" s="773">
        <f>IF(P19&gt;0,P19,SUM(P20:P21))</f>
        <v/>
      </c>
      <c r="Q22" s="774">
        <f>SUM(E22:P22)</f>
        <v/>
      </c>
    </row>
    <row r="23" ht="9.949999999999999" customHeight="1">
      <c r="C23" s="503" t="n"/>
      <c r="E23" s="775" t="n"/>
      <c r="F23" s="775" t="n"/>
      <c r="G23" s="775" t="n"/>
      <c r="H23" s="775" t="n"/>
      <c r="I23" s="775" t="n"/>
      <c r="J23" s="775" t="n"/>
      <c r="K23" s="775" t="n"/>
      <c r="L23" s="775" t="n"/>
      <c r="M23" s="775" t="n"/>
      <c r="N23" s="775" t="n"/>
      <c r="O23" s="775" t="n"/>
      <c r="P23" s="775" t="n"/>
      <c r="Q23" s="776" t="n"/>
    </row>
    <row r="24" ht="9.949999999999999" customHeight="1">
      <c r="B24" s="500" t="inlineStr">
        <is>
          <t>Category 3: Financing Related</t>
        </is>
      </c>
      <c r="C24" s="519" t="n"/>
      <c r="D24" s="489" t="n"/>
      <c r="E24" s="777" t="n"/>
      <c r="F24" s="777" t="n"/>
      <c r="G24" s="777" t="n"/>
      <c r="H24" s="777" t="n"/>
      <c r="I24" s="777" t="n"/>
      <c r="J24" s="777" t="n"/>
      <c r="K24" s="777" t="n"/>
      <c r="L24" s="777" t="n"/>
      <c r="M24" s="777" t="n"/>
      <c r="N24" s="777" t="n"/>
      <c r="O24" s="777" t="n"/>
      <c r="P24" s="777" t="n"/>
      <c r="Q24" s="778" t="n"/>
    </row>
    <row r="25" outlineLevel="1" ht="9.949999999999999" customHeight="1">
      <c r="B25" s="503" t="inlineStr">
        <is>
          <t>Total One-Time Financing Expenses</t>
        </is>
      </c>
      <c r="C25" s="503" t="n"/>
      <c r="E25" s="768" t="n"/>
      <c r="F25" s="768" t="n"/>
      <c r="G25" s="768" t="n"/>
      <c r="H25" s="768" t="n"/>
      <c r="I25" s="768" t="n"/>
      <c r="J25" s="768" t="n"/>
      <c r="K25" s="768" t="n"/>
      <c r="L25" s="768" t="n"/>
      <c r="M25" s="768" t="n"/>
      <c r="N25" s="768" t="n"/>
      <c r="O25" s="768" t="n"/>
      <c r="P25" s="768" t="n"/>
      <c r="Q25" s="769" t="n"/>
    </row>
    <row r="26" outlineLevel="1" ht="9.949999999999999" customHeight="1">
      <c r="C26" s="506" t="n"/>
      <c r="E26" s="770" t="n"/>
      <c r="F26" s="779" t="n"/>
      <c r="G26" s="779" t="n"/>
      <c r="H26" s="779" t="n"/>
      <c r="I26" s="779" t="n"/>
      <c r="J26" s="771" t="n"/>
      <c r="K26" s="771" t="n"/>
      <c r="L26" s="771" t="n"/>
      <c r="M26" s="771" t="n"/>
      <c r="N26" s="771" t="n"/>
      <c r="O26" s="771" t="n"/>
      <c r="P26" s="771" t="n"/>
      <c r="Q26" s="772">
        <f>SUM(E26:P26)</f>
        <v/>
      </c>
    </row>
    <row r="27" ht="9.949999999999999" customFormat="1" customHeight="1" s="513">
      <c r="A27" s="512" t="n"/>
      <c r="B27" s="513" t="inlineStr">
        <is>
          <t>Financing Related Expenses</t>
        </is>
      </c>
      <c r="C27" s="514" t="n"/>
      <c r="E27" s="773">
        <f>IF(E25&gt;0,E25,SUM(E26:E26))</f>
        <v/>
      </c>
      <c r="F27" s="773">
        <f>IF(F25&gt;0,F25,SUM(F26:F26))</f>
        <v/>
      </c>
      <c r="G27" s="773">
        <f>IF(G25&gt;0,G25,SUM(G26:G26))</f>
        <v/>
      </c>
      <c r="H27" s="773">
        <f>IF(H25&gt;0,H25,SUM(H26:H26))</f>
        <v/>
      </c>
      <c r="I27" s="773">
        <f>IF(I25&gt;0,I25,SUM(I26:I26))</f>
        <v/>
      </c>
      <c r="J27" s="773">
        <f>IF(J25&gt;0,J25,SUM(J26:J26))</f>
        <v/>
      </c>
      <c r="K27" s="773">
        <f>IF(K25&gt;0,K25,SUM(K26:K26))</f>
        <v/>
      </c>
      <c r="L27" s="773">
        <f>IF(L25&gt;0,L25,SUM(L26:L26))</f>
        <v/>
      </c>
      <c r="M27" s="773">
        <f>IF(M25&gt;0,M25,SUM(M26:M26))</f>
        <v/>
      </c>
      <c r="N27" s="773">
        <f>IF(N25&gt;0,N25,SUM(N26:N26))</f>
        <v/>
      </c>
      <c r="O27" s="773">
        <f>IF(O25&gt;0,O25,SUM(O26:O26))</f>
        <v/>
      </c>
      <c r="P27" s="773">
        <f>IF(P25&gt;0,P25,SUM(P26:P26))</f>
        <v/>
      </c>
      <c r="Q27" s="774">
        <f>SUM(E27:P27)</f>
        <v/>
      </c>
    </row>
    <row r="28" ht="9.949999999999999" customFormat="1" customHeight="1" s="513">
      <c r="A28" s="512" t="n"/>
      <c r="C28" s="514" t="n"/>
      <c r="E28" s="773" t="n"/>
      <c r="F28" s="773" t="n"/>
      <c r="G28" s="773" t="n"/>
      <c r="H28" s="773" t="n"/>
      <c r="I28" s="773" t="n"/>
      <c r="J28" s="773" t="n"/>
      <c r="K28" s="773" t="n"/>
      <c r="L28" s="773" t="n"/>
      <c r="M28" s="773" t="n"/>
      <c r="N28" s="773" t="n"/>
      <c r="O28" s="773" t="n"/>
      <c r="P28" s="773" t="n"/>
      <c r="Q28" s="774" t="n"/>
    </row>
    <row r="29" ht="9.949999999999999" customHeight="1">
      <c r="B29" s="500" t="inlineStr">
        <is>
          <t>Category 4: M&amp;A Related</t>
        </is>
      </c>
      <c r="C29" s="519" t="n"/>
      <c r="D29" s="489" t="n"/>
      <c r="E29" s="777" t="n"/>
      <c r="F29" s="777" t="n"/>
      <c r="G29" s="777" t="n"/>
      <c r="H29" s="777" t="n"/>
      <c r="I29" s="777" t="n"/>
      <c r="J29" s="777" t="n"/>
      <c r="K29" s="777" t="n"/>
      <c r="L29" s="777" t="n"/>
      <c r="M29" s="777" t="n"/>
      <c r="N29" s="777" t="n"/>
      <c r="O29" s="777" t="n"/>
      <c r="P29" s="777" t="n"/>
      <c r="Q29" s="778" t="n"/>
    </row>
    <row r="30" outlineLevel="1" ht="9.949999999999999" customHeight="1">
      <c r="B30" s="503" t="inlineStr">
        <is>
          <t>Total M&amp;A Related Items</t>
        </is>
      </c>
      <c r="C30" s="503" t="n"/>
      <c r="E30" s="768" t="n"/>
      <c r="F30" s="768" t="n"/>
      <c r="G30" s="768" t="n"/>
      <c r="H30" s="768" t="n"/>
      <c r="I30" s="768" t="n"/>
      <c r="J30" s="768" t="n"/>
      <c r="K30" s="768" t="n"/>
      <c r="L30" s="768" t="n"/>
      <c r="M30" s="768" t="n"/>
      <c r="N30" s="768" t="n"/>
      <c r="O30" s="768" t="n"/>
      <c r="P30" s="768" t="n"/>
      <c r="Q30" s="769" t="n"/>
    </row>
    <row r="31" outlineLevel="1" ht="9.949999999999999" customHeight="1">
      <c r="C31" s="506" t="inlineStr">
        <is>
          <t>Choate Expenses</t>
        </is>
      </c>
      <c r="E31" s="770" t="n"/>
      <c r="F31" s="771" t="n"/>
      <c r="G31" s="771" t="n"/>
      <c r="H31" s="771" t="n"/>
      <c r="I31" s="771" t="n"/>
      <c r="J31" s="771" t="n"/>
      <c r="K31" s="771" t="n"/>
      <c r="L31" s="771" t="n"/>
      <c r="M31" s="771" t="n"/>
      <c r="N31" s="771" t="n"/>
      <c r="O31" s="771" t="n"/>
      <c r="P31" s="771" t="n"/>
      <c r="Q31" s="772">
        <f>SUM(E31:P31)</f>
        <v/>
      </c>
    </row>
    <row r="32" outlineLevel="1" ht="9.949999999999999" customHeight="1">
      <c r="C32" s="506" t="inlineStr">
        <is>
          <t>Target #2 Phase 1</t>
        </is>
      </c>
      <c r="E32" s="770" t="n"/>
      <c r="F32" s="771" t="n"/>
      <c r="G32" s="771" t="n"/>
      <c r="H32" s="771" t="n"/>
      <c r="I32" s="771" t="n"/>
      <c r="J32" s="771" t="n"/>
      <c r="K32" s="771" t="n"/>
      <c r="L32" s="771" t="n"/>
      <c r="M32" s="771" t="n"/>
      <c r="N32" s="771" t="n"/>
      <c r="O32" s="771" t="n"/>
      <c r="P32" s="771" t="n"/>
      <c r="Q32" s="772">
        <f>SUM(E32:P32)</f>
        <v/>
      </c>
    </row>
    <row r="33" outlineLevel="1" ht="9.949999999999999" customHeight="1">
      <c r="C33" s="506" t="inlineStr">
        <is>
          <t>EY Due Diligence</t>
        </is>
      </c>
      <c r="E33" s="770" t="n"/>
      <c r="F33" s="771" t="n"/>
      <c r="G33" s="771" t="n"/>
      <c r="H33" s="771" t="n"/>
      <c r="I33" s="771" t="n"/>
      <c r="J33" s="771" t="n"/>
      <c r="K33" s="771" t="n"/>
      <c r="L33" s="771" t="n"/>
      <c r="M33" s="771" t="n"/>
      <c r="N33" s="771" t="n"/>
      <c r="O33" s="771" t="n"/>
      <c r="P33" s="771" t="n"/>
      <c r="Q33" s="772">
        <f>SUM(E33:P33)</f>
        <v/>
      </c>
    </row>
    <row r="34" outlineLevel="1" ht="9.949999999999999" customHeight="1">
      <c r="C34" s="506" t="inlineStr">
        <is>
          <t>M&amp;A Travel and Expenses</t>
        </is>
      </c>
      <c r="E34" s="770" t="n"/>
      <c r="F34" s="771" t="n"/>
      <c r="G34" s="771" t="n"/>
      <c r="H34" s="771" t="n"/>
      <c r="I34" s="771" t="n"/>
      <c r="J34" s="771" t="n"/>
      <c r="K34" s="771" t="n"/>
      <c r="L34" s="771" t="n"/>
      <c r="M34" s="771" t="n"/>
      <c r="N34" s="771" t="n"/>
      <c r="O34" s="771" t="n"/>
      <c r="P34" s="771" t="n"/>
      <c r="Q34" s="772">
        <f>SUM(E34:P34)</f>
        <v/>
      </c>
    </row>
    <row r="35" outlineLevel="1" ht="9.949999999999999" customHeight="1">
      <c r="C35" s="506" t="inlineStr">
        <is>
          <t>PTI Phase 1</t>
        </is>
      </c>
      <c r="E35" s="770" t="n"/>
      <c r="F35" s="771" t="n"/>
      <c r="G35" s="771" t="n"/>
      <c r="H35" s="771" t="n"/>
      <c r="I35" s="771" t="n"/>
      <c r="J35" s="771" t="n"/>
      <c r="K35" s="771" t="n"/>
      <c r="L35" s="771" t="n"/>
      <c r="M35" s="771" t="n"/>
      <c r="N35" s="771" t="n"/>
      <c r="O35" s="771" t="n"/>
      <c r="P35" s="771" t="n"/>
      <c r="Q35" s="772">
        <f>SUM(E35:P35)</f>
        <v/>
      </c>
    </row>
    <row r="36" outlineLevel="1" ht="9.949999999999999" customHeight="1">
      <c r="C36" s="506" t="inlineStr">
        <is>
          <t>Target #3 Phase 1</t>
        </is>
      </c>
      <c r="E36" s="770" t="n"/>
      <c r="F36" s="771" t="n"/>
      <c r="G36" s="771" t="n"/>
      <c r="H36" s="771" t="n"/>
      <c r="I36" s="771" t="n"/>
      <c r="J36" s="771" t="n"/>
      <c r="K36" s="771" t="n"/>
      <c r="L36" s="771" t="n"/>
      <c r="M36" s="771" t="n"/>
      <c r="N36" s="771" t="n"/>
      <c r="O36" s="771" t="n"/>
      <c r="P36" s="771" t="n"/>
      <c r="Q36" s="772">
        <f>SUM(E36:P36)</f>
        <v/>
      </c>
    </row>
    <row r="37" outlineLevel="1" ht="9.949999999999999" customHeight="1">
      <c r="C37" s="506" t="inlineStr">
        <is>
          <t>XPV M&amp;A Expense</t>
        </is>
      </c>
      <c r="E37" s="770" t="n">
        <v>8363.940000000001</v>
      </c>
      <c r="F37" s="771" t="n">
        <v>99666.86</v>
      </c>
      <c r="G37" s="771" t="n">
        <v>18875.42</v>
      </c>
      <c r="H37" s="771" t="n">
        <v>143182.95</v>
      </c>
      <c r="I37" s="771" t="n">
        <v>-24985.22</v>
      </c>
      <c r="J37" s="771" t="n">
        <v>4926.06</v>
      </c>
      <c r="K37" s="771" t="n">
        <v>2679.17</v>
      </c>
      <c r="L37" s="771" t="n">
        <v>10715.99</v>
      </c>
      <c r="M37" s="771" t="n">
        <v>168544.19</v>
      </c>
      <c r="N37" s="771" t="n">
        <v>2957.82</v>
      </c>
      <c r="O37" s="771" t="n">
        <v>7123.339999999997</v>
      </c>
      <c r="P37" s="771" t="n">
        <v>2747.17</v>
      </c>
      <c r="Q37" s="772">
        <f>SUM(E37:P37)</f>
        <v/>
      </c>
    </row>
    <row r="38" outlineLevel="1" ht="9.949999999999999" customHeight="1">
      <c r="C38" s="506" t="inlineStr">
        <is>
          <t>RP Adams Phase I</t>
        </is>
      </c>
      <c r="E38" s="770" t="n"/>
      <c r="F38" s="771" t="n"/>
      <c r="G38" s="771" t="n"/>
      <c r="H38" s="771" t="n"/>
      <c r="I38" s="771" t="n"/>
      <c r="J38" s="771" t="n"/>
      <c r="K38" s="771" t="n"/>
      <c r="L38" s="771" t="n"/>
      <c r="M38" s="771" t="n"/>
      <c r="N38" s="771" t="n"/>
      <c r="O38" s="771" t="n"/>
      <c r="P38" s="771" t="n"/>
      <c r="Q38" s="772">
        <f>SUM(E38:P38)</f>
        <v/>
      </c>
    </row>
    <row r="39" outlineLevel="1" ht="9.949999999999999" customHeight="1">
      <c r="C39" s="506" t="inlineStr">
        <is>
          <t>Target #4 Phase I</t>
        </is>
      </c>
      <c r="E39" s="770" t="n"/>
      <c r="F39" s="771" t="n"/>
      <c r="G39" s="771" t="n"/>
      <c r="H39" s="771" t="n"/>
      <c r="I39" s="771" t="n"/>
      <c r="J39" s="771" t="n"/>
      <c r="K39" s="771" t="n"/>
      <c r="L39" s="771" t="n"/>
      <c r="M39" s="771" t="n"/>
      <c r="N39" s="771" t="n"/>
      <c r="O39" s="771" t="n"/>
      <c r="P39" s="771" t="n"/>
      <c r="Q39" s="772">
        <f>SUM(E39:P39)</f>
        <v/>
      </c>
    </row>
    <row r="40" ht="9.949999999999999" customFormat="1" customHeight="1" s="513">
      <c r="A40" s="512" t="n"/>
      <c r="B40" s="513" t="inlineStr">
        <is>
          <t>M&amp;A Related Items</t>
        </is>
      </c>
      <c r="C40" s="514" t="n"/>
      <c r="E40" s="773">
        <f>IF(E30&gt;0,E30,SUM(E31:E39))</f>
        <v/>
      </c>
      <c r="F40" s="773">
        <f>IF(F30&gt;0,F30,SUM(F31:F39))</f>
        <v/>
      </c>
      <c r="G40" s="773">
        <f>IF(G30&gt;0,G30,SUM(G31:G39))</f>
        <v/>
      </c>
      <c r="H40" s="773">
        <f>IF(H30&gt;0,H30,SUM(H31:H39))</f>
        <v/>
      </c>
      <c r="I40" s="773">
        <f>IF(I30&gt;0,I30,SUM(I31:I39))</f>
        <v/>
      </c>
      <c r="J40" s="773">
        <f>IF(J30&gt;0,J30,SUM(J31:J39))</f>
        <v/>
      </c>
      <c r="K40" s="773">
        <f>IF(K30&gt;0,K30,SUM(K31:K39))</f>
        <v/>
      </c>
      <c r="L40" s="773">
        <f>IF(L30&gt;0,L30,SUM(L31:L39))</f>
        <v/>
      </c>
      <c r="M40" s="773">
        <f>IF(M30&gt;0,M30,SUM(M31:M39))</f>
        <v/>
      </c>
      <c r="N40" s="773">
        <f>IF(N30&gt;0,N30,SUM(N31:N39))</f>
        <v/>
      </c>
      <c r="O40" s="773">
        <f>IF(O30&gt;0,O30,SUM(O31:O39))</f>
        <v/>
      </c>
      <c r="P40" s="773">
        <f>IF(P30&gt;0,P30,SUM(P31:P39))</f>
        <v/>
      </c>
      <c r="Q40" s="774">
        <f>SUM(E40:P40)</f>
        <v/>
      </c>
    </row>
    <row r="41" ht="9.949999999999999" customHeight="1">
      <c r="C41" s="503" t="n"/>
      <c r="E41" s="775" t="n"/>
      <c r="F41" s="775" t="n"/>
      <c r="G41" s="775" t="n"/>
      <c r="H41" s="775" t="n"/>
      <c r="I41" s="775" t="n"/>
      <c r="J41" s="775" t="n"/>
      <c r="K41" s="775" t="n"/>
      <c r="L41" s="775" t="n"/>
      <c r="M41" s="775" t="n"/>
      <c r="N41" s="775" t="n"/>
      <c r="O41" s="775" t="n"/>
      <c r="P41" s="775" t="n"/>
      <c r="Q41" s="776" t="n"/>
    </row>
    <row r="42" ht="9.949999999999999" customHeight="1">
      <c r="B42" s="500" t="inlineStr">
        <is>
          <t>Category 5: Exit Related</t>
        </is>
      </c>
      <c r="C42" s="519" t="n"/>
      <c r="D42" s="489" t="n"/>
      <c r="E42" s="777" t="n"/>
      <c r="F42" s="777" t="n"/>
      <c r="G42" s="777" t="n"/>
      <c r="H42" s="777" t="n"/>
      <c r="I42" s="777" t="n"/>
      <c r="J42" s="777" t="n"/>
      <c r="K42" s="777" t="n"/>
      <c r="L42" s="777" t="n"/>
      <c r="M42" s="777" t="n"/>
      <c r="N42" s="777" t="n"/>
      <c r="O42" s="777" t="n"/>
      <c r="P42" s="777" t="n"/>
      <c r="Q42" s="778" t="n"/>
    </row>
    <row r="43" outlineLevel="1" ht="9.949999999999999" customHeight="1">
      <c r="B43" s="503" t="inlineStr">
        <is>
          <t>Total Exit Related Expenses</t>
        </is>
      </c>
      <c r="C43" s="503" t="n"/>
      <c r="E43" s="768" t="n"/>
      <c r="F43" s="768" t="n"/>
      <c r="G43" s="768" t="n"/>
      <c r="H43" s="768" t="n"/>
      <c r="I43" s="768" t="n"/>
      <c r="J43" s="768" t="n"/>
      <c r="K43" s="768" t="n"/>
      <c r="L43" s="768" t="n"/>
      <c r="M43" s="768" t="n"/>
      <c r="N43" s="768" t="n"/>
      <c r="O43" s="768" t="n"/>
      <c r="P43" s="768" t="n"/>
      <c r="Q43" s="769" t="n"/>
    </row>
    <row r="44" outlineLevel="1" ht="9.949999999999999" customHeight="1">
      <c r="C44" s="506" t="n"/>
      <c r="E44" s="770" t="n"/>
      <c r="F44" s="771" t="n"/>
      <c r="G44" s="771" t="n"/>
      <c r="H44" s="771" t="n"/>
      <c r="I44" s="771" t="n"/>
      <c r="J44" s="780" t="n"/>
      <c r="K44" s="771" t="n"/>
      <c r="L44" s="771" t="n"/>
      <c r="M44" s="771" t="n"/>
      <c r="N44" s="771" t="n"/>
      <c r="O44" s="771" t="n"/>
      <c r="P44" s="771" t="n"/>
      <c r="Q44" s="772">
        <f>SUM(E44:P44)</f>
        <v/>
      </c>
    </row>
    <row r="45" ht="9.949999999999999" customFormat="1" customHeight="1" s="513">
      <c r="A45" s="512" t="n"/>
      <c r="B45" s="513" t="inlineStr">
        <is>
          <t>Exit Related Expenses</t>
        </is>
      </c>
      <c r="C45" s="514" t="n"/>
      <c r="E45" s="773">
        <f>IF(E43&gt;0,E43,SUM(E44:E44))</f>
        <v/>
      </c>
      <c r="F45" s="773">
        <f>IF(F43&gt;0,F43,SUM(F44:F44))</f>
        <v/>
      </c>
      <c r="G45" s="773">
        <f>IF(G43&gt;0,G43,SUM(G44:G44))</f>
        <v/>
      </c>
      <c r="H45" s="773">
        <f>IF(H43&gt;0,H43,SUM(H44:H44))</f>
        <v/>
      </c>
      <c r="I45" s="773">
        <f>IF(I43&gt;0,I43,SUM(I44:I44))</f>
        <v/>
      </c>
      <c r="J45" s="773">
        <f>IF(J43&gt;0,J43,SUM(J44:J44))</f>
        <v/>
      </c>
      <c r="K45" s="773">
        <f>IF(K43&gt;0,K43,SUM(K44:K44))</f>
        <v/>
      </c>
      <c r="L45" s="773">
        <f>IF(L43&gt;0,L43,SUM(L44:L44))</f>
        <v/>
      </c>
      <c r="M45" s="773">
        <f>IF(M43&gt;0,M43,SUM(M44:M44))</f>
        <v/>
      </c>
      <c r="N45" s="773">
        <f>IF(N43&gt;0,N43,SUM(N44:N44))</f>
        <v/>
      </c>
      <c r="O45" s="773">
        <f>IF(O43&gt;0,O43,SUM(O44:O44))</f>
        <v/>
      </c>
      <c r="P45" s="773">
        <f>IF(P43&gt;0,P43,SUM(P44:P44))</f>
        <v/>
      </c>
      <c r="Q45" s="774">
        <f>SUM(E45:P45)</f>
        <v/>
      </c>
    </row>
    <row r="46" ht="9.949999999999999" customHeight="1">
      <c r="C46" s="503" t="n"/>
      <c r="E46" s="775" t="n"/>
      <c r="F46" s="775" t="n"/>
      <c r="G46" s="775" t="n"/>
      <c r="H46" s="775" t="n"/>
      <c r="I46" s="775" t="n"/>
      <c r="J46" s="775" t="n"/>
      <c r="K46" s="775" t="n"/>
      <c r="L46" s="775" t="n"/>
      <c r="M46" s="775" t="n"/>
      <c r="N46" s="775" t="n"/>
      <c r="O46" s="775" t="n"/>
      <c r="P46" s="775" t="n"/>
      <c r="Q46" s="776" t="n"/>
    </row>
    <row r="47" ht="9.949999999999999" customHeight="1">
      <c r="B47" s="500" t="inlineStr">
        <is>
          <t>Category 6: Compensation</t>
        </is>
      </c>
      <c r="C47" s="519" t="n"/>
      <c r="D47" s="489" t="n"/>
      <c r="E47" s="777" t="n"/>
      <c r="F47" s="777" t="n"/>
      <c r="G47" s="777" t="n"/>
      <c r="H47" s="777" t="n"/>
      <c r="I47" s="777" t="n"/>
      <c r="J47" s="777" t="n"/>
      <c r="K47" s="777" t="n"/>
      <c r="L47" s="777" t="n"/>
      <c r="M47" s="777" t="n"/>
      <c r="N47" s="777" t="n"/>
      <c r="O47" s="777" t="n"/>
      <c r="P47" s="777" t="n"/>
      <c r="Q47" s="778" t="n"/>
    </row>
    <row r="48" outlineLevel="1" ht="9.949999999999999" customHeight="1">
      <c r="B48" s="503" t="inlineStr">
        <is>
          <t>Total Non-Recurring or One-Time Compensation</t>
        </is>
      </c>
      <c r="C48" s="503" t="n"/>
      <c r="E48" s="768" t="n"/>
      <c r="F48" s="768" t="n"/>
      <c r="G48" s="768" t="n"/>
      <c r="H48" s="768" t="n"/>
      <c r="I48" s="768" t="n"/>
      <c r="J48" s="768" t="n"/>
      <c r="K48" s="768" t="n"/>
      <c r="L48" s="768" t="n"/>
      <c r="M48" s="768" t="n"/>
      <c r="N48" s="768" t="n"/>
      <c r="O48" s="768" t="n"/>
      <c r="P48" s="768" t="n"/>
      <c r="Q48" s="769" t="n"/>
    </row>
    <row r="49" outlineLevel="1" ht="9.949999999999999" customHeight="1">
      <c r="C49" s="506" t="inlineStr">
        <is>
          <t>Consulting Expenses</t>
        </is>
      </c>
      <c r="E49" s="770" t="n">
        <v>26242.39</v>
      </c>
      <c r="F49" s="771" t="n">
        <v>19080</v>
      </c>
      <c r="G49" s="771" t="n">
        <v>8420</v>
      </c>
      <c r="H49" s="771" t="n">
        <v>76584.3</v>
      </c>
      <c r="I49" s="771" t="n">
        <v>59321.73</v>
      </c>
      <c r="J49" s="771" t="n">
        <v>80472</v>
      </c>
      <c r="K49" s="771" t="n">
        <v>51815</v>
      </c>
      <c r="L49" s="771" t="n">
        <v>113108.69</v>
      </c>
      <c r="M49" s="771" t="n">
        <v>90413.53999999999</v>
      </c>
      <c r="N49" s="771" t="n">
        <v>63406.25</v>
      </c>
      <c r="O49" s="771" t="n">
        <v>80411.25</v>
      </c>
      <c r="P49" s="771" t="n">
        <v>77315.52</v>
      </c>
      <c r="Q49" s="772">
        <f>SUM(E49:P49)</f>
        <v/>
      </c>
    </row>
    <row r="50" outlineLevel="1" ht="9.949999999999999" customHeight="1">
      <c r="C50" s="506" t="n"/>
      <c r="E50" s="770" t="n"/>
      <c r="F50" s="771" t="n"/>
      <c r="G50" s="771" t="n"/>
      <c r="H50" s="771" t="n"/>
      <c r="I50" s="771" t="n"/>
      <c r="J50" s="771" t="n"/>
      <c r="K50" s="771" t="n"/>
      <c r="L50" s="771" t="n"/>
      <c r="M50" s="771" t="n"/>
      <c r="N50" s="771" t="n"/>
      <c r="O50" s="771" t="n"/>
      <c r="P50" s="771" t="n"/>
      <c r="Q50" s="772">
        <f>SUM(E50:P50)</f>
        <v/>
      </c>
    </row>
    <row r="51" outlineLevel="1" ht="9.949999999999999" customHeight="1">
      <c r="C51" s="506" t="n"/>
      <c r="E51" s="770" t="n"/>
      <c r="F51" s="771" t="n"/>
      <c r="G51" s="771" t="n"/>
      <c r="H51" s="771" t="n"/>
      <c r="I51" s="771" t="n"/>
      <c r="J51" s="771" t="n"/>
      <c r="K51" s="771" t="n"/>
      <c r="L51" s="771" t="n"/>
      <c r="M51" s="771" t="n"/>
      <c r="N51" s="771" t="n"/>
      <c r="O51" s="771" t="n"/>
      <c r="P51" s="771" t="n"/>
      <c r="Q51" s="772">
        <f>SUM(E51:P51)</f>
        <v/>
      </c>
    </row>
    <row r="52" ht="9.949999999999999" customFormat="1" customHeight="1" s="513">
      <c r="A52" s="512" t="n"/>
      <c r="B52" s="513" t="inlineStr">
        <is>
          <t>Non-Recurring or One-Time Compensation Expenses</t>
        </is>
      </c>
      <c r="C52" s="514" t="n"/>
      <c r="E52" s="773">
        <f>IF(E48&gt;0,E48,SUM(E49:E51))</f>
        <v/>
      </c>
      <c r="F52" s="773">
        <f>IF(F48&gt;0,F48,SUM(F49:F51))</f>
        <v/>
      </c>
      <c r="G52" s="773">
        <f>IF(G48&gt;0,G48,SUM(G49:G51))</f>
        <v/>
      </c>
      <c r="H52" s="773">
        <f>IF(H48&gt;0,H48,SUM(H49:H51))</f>
        <v/>
      </c>
      <c r="I52" s="773">
        <f>IF(I48&gt;0,I48,SUM(I49:I51))</f>
        <v/>
      </c>
      <c r="J52" s="773">
        <f>IF(J48&gt;0,J48,SUM(J49:J51))</f>
        <v/>
      </c>
      <c r="K52" s="773">
        <f>IF(K48&gt;0,K48,SUM(K49:K51))</f>
        <v/>
      </c>
      <c r="L52" s="773">
        <f>IF(L48&gt;0,L48,SUM(L49:L51))</f>
        <v/>
      </c>
      <c r="M52" s="773">
        <f>IF(M48&gt;0,M48,SUM(M49:M51))</f>
        <v/>
      </c>
      <c r="N52" s="773">
        <f>IF(N48&gt;0,N48,SUM(N49:N51))</f>
        <v/>
      </c>
      <c r="O52" s="773">
        <f>IF(O48&gt;0,O48,SUM(O49:O51))</f>
        <v/>
      </c>
      <c r="P52" s="773">
        <f>IF(P48&gt;0,P48,SUM(P49:P51))</f>
        <v/>
      </c>
      <c r="Q52" s="774">
        <f>SUM(E52:P52)</f>
        <v/>
      </c>
    </row>
    <row r="53" ht="9.949999999999999" customHeight="1">
      <c r="C53" s="503" t="n"/>
      <c r="E53" s="775" t="n"/>
      <c r="F53" s="775" t="n"/>
      <c r="G53" s="775" t="n"/>
      <c r="H53" s="775" t="n"/>
      <c r="I53" s="775" t="n"/>
      <c r="J53" s="775" t="n"/>
      <c r="K53" s="775" t="n"/>
      <c r="L53" s="775" t="n"/>
      <c r="M53" s="775" t="n"/>
      <c r="N53" s="775" t="n"/>
      <c r="O53" s="775" t="n"/>
      <c r="P53" s="775" t="n"/>
      <c r="Q53" s="776" t="n"/>
    </row>
    <row r="54" ht="9.949999999999999" customHeight="1">
      <c r="B54" s="500" t="inlineStr">
        <is>
          <t>Category 7: Setup</t>
        </is>
      </c>
      <c r="C54" s="519" t="n"/>
      <c r="D54" s="489" t="n"/>
      <c r="E54" s="777" t="n"/>
      <c r="F54" s="777" t="n"/>
      <c r="G54" s="777" t="n"/>
      <c r="H54" s="777" t="n"/>
      <c r="I54" s="777" t="n"/>
      <c r="J54" s="777" t="n"/>
      <c r="K54" s="777" t="n"/>
      <c r="L54" s="777" t="n"/>
      <c r="M54" s="777" t="n"/>
      <c r="N54" s="777" t="n"/>
      <c r="O54" s="777" t="n"/>
      <c r="P54" s="777" t="n"/>
      <c r="Q54" s="778" t="n"/>
    </row>
    <row r="55" outlineLevel="1" ht="9.949999999999999" customHeight="1">
      <c r="B55" s="503" t="inlineStr">
        <is>
          <t>Total Non-Recurring or One-Time Setup</t>
        </is>
      </c>
      <c r="C55" s="503" t="n"/>
      <c r="E55" s="768" t="n"/>
      <c r="F55" s="768" t="n"/>
      <c r="G55" s="768" t="n"/>
      <c r="H55" s="768" t="n"/>
      <c r="I55" s="768" t="n"/>
      <c r="J55" s="768" t="n"/>
      <c r="K55" s="768" t="n"/>
      <c r="L55" s="768" t="n"/>
      <c r="M55" s="768" t="n"/>
      <c r="N55" s="768" t="n"/>
      <c r="O55" s="768" t="n"/>
      <c r="P55" s="768" t="n"/>
      <c r="Q55" s="769" t="n"/>
    </row>
    <row r="56" outlineLevel="1" ht="9.949999999999999" customHeight="1">
      <c r="C56" s="506" t="inlineStr">
        <is>
          <t>Setup Expenses</t>
        </is>
      </c>
      <c r="E56" s="770" t="n"/>
      <c r="F56" s="771" t="n"/>
      <c r="G56" s="771" t="n"/>
      <c r="H56" s="771" t="n"/>
      <c r="I56" s="771" t="n">
        <v>-528</v>
      </c>
      <c r="J56" s="771" t="n"/>
      <c r="K56" s="771" t="n"/>
      <c r="L56" s="771" t="n"/>
      <c r="M56" s="771" t="n"/>
      <c r="N56" s="771" t="n"/>
      <c r="O56" s="771" t="n"/>
      <c r="P56" s="771" t="n"/>
      <c r="Q56" s="772">
        <f>SUM(E56:P56)</f>
        <v/>
      </c>
    </row>
    <row r="57" ht="9.949999999999999" customFormat="1" customHeight="1" s="513">
      <c r="A57" s="512" t="n"/>
      <c r="B57" s="513" t="inlineStr">
        <is>
          <t>Non-Recurring or One-Time Setup Expenses</t>
        </is>
      </c>
      <c r="C57" s="514" t="n"/>
      <c r="E57" s="773">
        <f>IF(E55&gt;0,E55,SUM(E56:E56))</f>
        <v/>
      </c>
      <c r="F57" s="773">
        <f>IF(F55&gt;0,F55,SUM(F56:F56))</f>
        <v/>
      </c>
      <c r="G57" s="773">
        <f>IF(G55&gt;0,G55,SUM(G56:G56))</f>
        <v/>
      </c>
      <c r="H57" s="773">
        <f>IF(H55&gt;0,H55,SUM(H56:H56))</f>
        <v/>
      </c>
      <c r="I57" s="773">
        <f>IF(I55&gt;0,I55,SUM(I56:I56))</f>
        <v/>
      </c>
      <c r="J57" s="773">
        <f>IF(J55&gt;0,J55,SUM(J56:J56))</f>
        <v/>
      </c>
      <c r="K57" s="773">
        <f>IF(K55&gt;0,K55,SUM(K56:K56))</f>
        <v/>
      </c>
      <c r="L57" s="773">
        <f>IF(L55&gt;0,L55,SUM(L56:L56))</f>
        <v/>
      </c>
      <c r="M57" s="773">
        <f>IF(M55&gt;0,M55,SUM(M56:M56))</f>
        <v/>
      </c>
      <c r="N57" s="773">
        <f>IF(N55&gt;0,N55,SUM(N56:N56))</f>
        <v/>
      </c>
      <c r="O57" s="773">
        <f>IF(O55&gt;0,O55,SUM(O56:O56))</f>
        <v/>
      </c>
      <c r="P57" s="773">
        <f>IF(P55&gt;0,P55,SUM(P56:P56))</f>
        <v/>
      </c>
      <c r="Q57" s="774">
        <f>SUM(E57:P57)</f>
        <v/>
      </c>
    </row>
    <row r="58" ht="9.949999999999999" customHeight="1">
      <c r="C58" s="503" t="n"/>
      <c r="E58" s="775" t="n"/>
      <c r="F58" s="775" t="n"/>
      <c r="G58" s="775" t="n"/>
      <c r="H58" s="775" t="n"/>
      <c r="I58" s="775" t="n"/>
      <c r="J58" s="775" t="n"/>
      <c r="K58" s="775" t="n"/>
      <c r="L58" s="775" t="n"/>
      <c r="M58" s="775" t="n"/>
      <c r="N58" s="775" t="n"/>
      <c r="O58" s="775" t="n"/>
      <c r="P58" s="775" t="n"/>
      <c r="Q58" s="776" t="n"/>
    </row>
    <row r="59" ht="9.949999999999999" customHeight="1">
      <c r="B59" s="500" t="inlineStr">
        <is>
          <t>Category 8: New Business Startup</t>
        </is>
      </c>
      <c r="C59" s="519" t="n"/>
      <c r="D59" s="489" t="n"/>
      <c r="E59" s="777" t="n"/>
      <c r="F59" s="777" t="n"/>
      <c r="G59" s="777" t="n"/>
      <c r="H59" s="777" t="n"/>
      <c r="I59" s="777" t="n"/>
      <c r="J59" s="777" t="n"/>
      <c r="K59" s="777" t="n"/>
      <c r="L59" s="777" t="n"/>
      <c r="M59" s="777" t="n"/>
      <c r="N59" s="777" t="n"/>
      <c r="O59" s="777" t="n"/>
      <c r="P59" s="777" t="n"/>
      <c r="Q59" s="778" t="n"/>
    </row>
    <row r="60" outlineLevel="1" ht="9.949999999999999" customHeight="1">
      <c r="B60" s="503" t="inlineStr">
        <is>
          <t>Total New Business Startup Expenses</t>
        </is>
      </c>
      <c r="C60" s="503" t="n"/>
      <c r="E60" s="768" t="n"/>
      <c r="F60" s="768" t="n"/>
      <c r="G60" s="768" t="n"/>
      <c r="H60" s="768" t="n"/>
      <c r="I60" s="768" t="n"/>
      <c r="J60" s="768" t="n"/>
      <c r="K60" s="768" t="n"/>
      <c r="L60" s="768" t="n"/>
      <c r="M60" s="768" t="n"/>
      <c r="N60" s="768" t="n"/>
      <c r="O60" s="768" t="n"/>
      <c r="P60" s="768" t="n"/>
      <c r="Q60" s="769" t="n"/>
    </row>
    <row r="61" outlineLevel="1" ht="9.949999999999999" customHeight="1">
      <c r="C61" s="506" t="inlineStr">
        <is>
          <t>IT Integration Expenses</t>
        </is>
      </c>
      <c r="D61" s="486" t="n"/>
      <c r="E61" s="770" t="n">
        <v>14344</v>
      </c>
      <c r="F61" s="771" t="n">
        <v>14344</v>
      </c>
      <c r="G61" s="771" t="n">
        <v>0</v>
      </c>
      <c r="H61" s="771" t="n">
        <v>126507.79</v>
      </c>
      <c r="I61" s="771" t="n">
        <v>0</v>
      </c>
      <c r="J61" s="771" t="n">
        <v>0</v>
      </c>
      <c r="K61" s="771" t="n">
        <v>5700</v>
      </c>
      <c r="L61" s="771" t="n"/>
      <c r="M61" s="771" t="n"/>
      <c r="N61" s="771" t="n">
        <v>15543.5</v>
      </c>
      <c r="O61" s="771" t="n">
        <v>7204.17</v>
      </c>
      <c r="P61" s="771" t="n">
        <v>8942.370000000001</v>
      </c>
      <c r="Q61" s="772">
        <f>SUM(E61:P61)</f>
        <v/>
      </c>
    </row>
    <row r="62" outlineLevel="1" ht="9.949999999999999" customHeight="1">
      <c r="C62" s="506" t="inlineStr">
        <is>
          <t>ERP Implementation</t>
        </is>
      </c>
      <c r="D62" s="486" t="n"/>
      <c r="E62" s="770" t="n"/>
      <c r="F62" s="781" t="n"/>
      <c r="G62" s="771" t="n"/>
      <c r="H62" s="781" t="n"/>
      <c r="I62" s="781" t="n"/>
      <c r="J62" s="771" t="n"/>
      <c r="K62" s="771" t="n"/>
      <c r="L62" s="771" t="n"/>
      <c r="M62" s="771" t="n"/>
      <c r="N62" s="771" t="n"/>
      <c r="O62" s="771" t="n"/>
      <c r="P62" s="771" t="n"/>
      <c r="Q62" s="772">
        <f>SUM(E62:P62)</f>
        <v/>
      </c>
    </row>
    <row r="63" ht="9.949999999999999" customFormat="1" customHeight="1" s="513">
      <c r="A63" s="512" t="n"/>
      <c r="B63" s="513" t="inlineStr">
        <is>
          <t>New Business Startup Expenses</t>
        </is>
      </c>
      <c r="C63" s="514" t="n"/>
      <c r="E63" s="773">
        <f>IF(E60&gt;0,E60,SUM(E61:E62))</f>
        <v/>
      </c>
      <c r="F63" s="773">
        <f>IF(F60&gt;0,F60,SUM(F61:F62))</f>
        <v/>
      </c>
      <c r="G63" s="773">
        <f>IF(G60&gt;0,G60,SUM(G61:G62))</f>
        <v/>
      </c>
      <c r="H63" s="773">
        <f>IF(H60&gt;0,H60,SUM(H61:H62))</f>
        <v/>
      </c>
      <c r="I63" s="773">
        <f>IF(I60&gt;0,I60,SUM(I61:I62))</f>
        <v/>
      </c>
      <c r="J63" s="773">
        <f>IF(J60&gt;0,J60,SUM(J61:J62))</f>
        <v/>
      </c>
      <c r="K63" s="773">
        <f>IF(K60&gt;0,K60,SUM(K61:K62))</f>
        <v/>
      </c>
      <c r="L63" s="773">
        <f>IF(L60&gt;0,L60,SUM(L61:L62))</f>
        <v/>
      </c>
      <c r="M63" s="773">
        <f>IF(M60&gt;0,M60,SUM(M61:M62))</f>
        <v/>
      </c>
      <c r="N63" s="773">
        <f>IF(N60&gt;0,N60,SUM(N61:N62))</f>
        <v/>
      </c>
      <c r="O63" s="773">
        <f>IF(O60&gt;0,O60,SUM(O61:O62))</f>
        <v/>
      </c>
      <c r="P63" s="773">
        <f>IF(P60&gt;0,P60,SUM(P61:P62))</f>
        <v/>
      </c>
      <c r="Q63" s="774">
        <f>SUM(E63:P63)</f>
        <v/>
      </c>
    </row>
    <row r="64" ht="9.949999999999999" customHeight="1">
      <c r="C64" s="503" t="n"/>
      <c r="E64" s="775" t="n"/>
      <c r="F64" s="775" t="n"/>
      <c r="G64" s="775" t="n"/>
      <c r="H64" s="775" t="n"/>
      <c r="I64" s="775" t="n"/>
      <c r="J64" s="775" t="n"/>
      <c r="K64" s="775" t="n"/>
      <c r="L64" s="775" t="n"/>
      <c r="M64" s="775" t="n"/>
      <c r="N64" s="775" t="n"/>
      <c r="O64" s="775" t="n"/>
      <c r="P64" s="775" t="n"/>
      <c r="Q64" s="774" t="n"/>
    </row>
    <row r="65" ht="9.949999999999999" customHeight="1">
      <c r="B65" s="500" t="inlineStr">
        <is>
          <t>Category 9: Other</t>
        </is>
      </c>
      <c r="C65" s="519" t="n"/>
      <c r="D65" s="489" t="n"/>
      <c r="E65" s="777" t="n"/>
      <c r="F65" s="777" t="n"/>
      <c r="G65" s="777" t="n"/>
      <c r="H65" s="777" t="n"/>
      <c r="I65" s="777" t="n"/>
      <c r="J65" s="777" t="n"/>
      <c r="K65" s="777" t="n"/>
      <c r="L65" s="777" t="n"/>
      <c r="M65" s="777" t="n"/>
      <c r="N65" s="777" t="n"/>
      <c r="O65" s="777" t="n"/>
      <c r="P65" s="777" t="n"/>
      <c r="Q65" s="778" t="n"/>
    </row>
    <row r="66" outlineLevel="1" ht="9.949999999999999" customHeight="1">
      <c r="B66" s="503" t="inlineStr">
        <is>
          <t>Total Other Expenses</t>
        </is>
      </c>
      <c r="C66" s="503" t="n"/>
      <c r="E66" s="768" t="n"/>
      <c r="F66" s="768" t="n"/>
      <c r="G66" s="768" t="n"/>
      <c r="H66" s="768" t="n"/>
      <c r="I66" s="768" t="n"/>
      <c r="J66" s="768" t="n"/>
      <c r="K66" s="768" t="n"/>
      <c r="L66" s="768" t="n"/>
      <c r="M66" s="768" t="n"/>
      <c r="N66" s="768" t="n"/>
      <c r="O66" s="768" t="n"/>
      <c r="P66" s="768" t="n"/>
      <c r="Q66" s="769" t="n"/>
    </row>
    <row r="67" outlineLevel="1" ht="9.949999999999999" customHeight="1">
      <c r="C67" s="506" t="inlineStr">
        <is>
          <t>Excess Temporary Labor</t>
        </is>
      </c>
      <c r="D67" s="486" t="n"/>
      <c r="E67" s="770" t="n">
        <v>50090.88</v>
      </c>
      <c r="F67" s="771" t="n">
        <v>66297.7</v>
      </c>
      <c r="G67" s="771" t="n">
        <v>45571.46</v>
      </c>
      <c r="H67" s="771" t="n">
        <v>139565.49</v>
      </c>
      <c r="I67" s="771" t="n">
        <v>100000.52</v>
      </c>
      <c r="J67" s="771" t="n">
        <v>75882.97</v>
      </c>
      <c r="K67" s="771" t="n">
        <v>112881.65</v>
      </c>
      <c r="L67" s="771" t="n">
        <v>76812.89000000001</v>
      </c>
      <c r="M67" s="771" t="n">
        <v>73013.30999999998</v>
      </c>
      <c r="N67" s="771" t="n">
        <v>58784.32</v>
      </c>
      <c r="O67" s="771" t="n">
        <v>45166.42</v>
      </c>
      <c r="P67" s="771" t="n">
        <v>46457.60000000001</v>
      </c>
      <c r="Q67" s="772">
        <f>SUM(E67:P67)</f>
        <v/>
      </c>
    </row>
    <row r="68" outlineLevel="1" ht="9.949999999999999" customHeight="1">
      <c r="C68" s="506" t="inlineStr">
        <is>
          <t>Other</t>
        </is>
      </c>
      <c r="D68" s="486" t="n"/>
      <c r="E68" s="770" t="n">
        <v>17072.6</v>
      </c>
      <c r="F68" s="771" t="n">
        <v>5546.84</v>
      </c>
      <c r="G68" s="771" t="n">
        <v>43398.18</v>
      </c>
      <c r="H68" s="771" t="n">
        <v>127233.28</v>
      </c>
      <c r="I68" s="771" t="n">
        <v>1980</v>
      </c>
      <c r="J68" s="771" t="n">
        <v>55734.21</v>
      </c>
      <c r="K68" s="771" t="n">
        <v>7254.6</v>
      </c>
      <c r="L68" s="771" t="n">
        <v>422.25</v>
      </c>
      <c r="M68" s="771" t="n">
        <v>-168162.86</v>
      </c>
      <c r="N68" s="771" t="n">
        <v>5385.830000000002</v>
      </c>
      <c r="O68" s="771" t="n">
        <v>24465.7</v>
      </c>
      <c r="P68" s="771" t="n">
        <v>611.7900000000009</v>
      </c>
      <c r="Q68" s="772">
        <f>SUM(E68:P68)</f>
        <v/>
      </c>
    </row>
    <row r="69" ht="9.949999999999999" customHeight="1">
      <c r="C69" s="506" t="inlineStr">
        <is>
          <t>Yeary Controls Adjustments</t>
        </is>
      </c>
      <c r="D69" s="486" t="n"/>
      <c r="E69" s="770" t="n">
        <v>30086.04831870632</v>
      </c>
      <c r="F69" s="771" t="n">
        <v>29576.94381219409</v>
      </c>
      <c r="G69" s="771" t="n">
        <v>30251.79245709022</v>
      </c>
      <c r="H69" s="771" t="n">
        <v>31036.84369370091</v>
      </c>
      <c r="I69" s="771" t="n">
        <v>35539.38570311358</v>
      </c>
      <c r="J69" s="771" t="n">
        <v>32397.735</v>
      </c>
      <c r="K69" s="771" t="n">
        <v>60253.94</v>
      </c>
      <c r="L69" s="771" t="n"/>
      <c r="M69" s="771" t="n"/>
      <c r="N69" s="771" t="n"/>
      <c r="O69" s="771" t="n"/>
      <c r="P69" s="771" t="n"/>
      <c r="Q69" s="772">
        <f>SUM(E69:P69)</f>
        <v/>
      </c>
    </row>
    <row r="70" ht="9.949999999999999" customHeight="1">
      <c r="C70" s="506" t="n"/>
      <c r="D70" s="486" t="n"/>
      <c r="E70" s="770" t="n"/>
      <c r="F70" s="771" t="n"/>
      <c r="G70" s="771" t="n"/>
      <c r="H70" s="771" t="n"/>
      <c r="I70" s="771" t="n"/>
      <c r="J70" s="771" t="n"/>
      <c r="K70" s="771" t="n"/>
      <c r="L70" s="771" t="n"/>
      <c r="M70" s="771" t="n"/>
      <c r="N70" s="771" t="n"/>
      <c r="O70" s="771" t="n"/>
      <c r="P70" s="771" t="n"/>
      <c r="Q70" s="772">
        <f>SUM(E70:P70)</f>
        <v/>
      </c>
    </row>
    <row r="71" outlineLevel="1" ht="9.949999999999999" customHeight="1">
      <c r="C71" s="506" t="n"/>
      <c r="D71" s="486" t="n"/>
      <c r="E71" s="770" t="n"/>
      <c r="F71" s="771" t="n"/>
      <c r="G71" s="771" t="n"/>
      <c r="H71" s="771" t="n"/>
      <c r="I71" s="771" t="n"/>
      <c r="J71" s="771" t="n"/>
      <c r="K71" s="771" t="n"/>
      <c r="L71" s="771" t="n"/>
      <c r="M71" s="771" t="n"/>
      <c r="N71" s="771" t="n"/>
      <c r="O71" s="771" t="n"/>
      <c r="P71" s="771" t="n"/>
      <c r="Q71" s="772">
        <f>SUM(E71:P71)</f>
        <v/>
      </c>
    </row>
    <row r="72" outlineLevel="1" ht="9.949999999999999" customHeight="1">
      <c r="C72" s="506" t="n"/>
      <c r="D72" s="486" t="n"/>
      <c r="E72" s="770" t="n"/>
      <c r="F72" s="771" t="n"/>
      <c r="G72" s="771" t="n"/>
      <c r="H72" s="771" t="n"/>
      <c r="I72" s="771" t="n"/>
      <c r="J72" s="771" t="n"/>
      <c r="K72" s="771" t="n"/>
      <c r="L72" s="771" t="n"/>
      <c r="M72" s="771" t="n"/>
      <c r="N72" s="771" t="n"/>
      <c r="O72" s="771" t="n"/>
      <c r="P72" s="771" t="n"/>
      <c r="Q72" s="772">
        <f>SUM(E72:P72)</f>
        <v/>
      </c>
    </row>
    <row r="73" outlineLevel="1" ht="9.949999999999999" customHeight="1">
      <c r="C73" s="506" t="n"/>
      <c r="D73" s="486" t="n"/>
      <c r="E73" s="770" t="n"/>
      <c r="F73" s="771" t="n"/>
      <c r="G73" s="771" t="n"/>
      <c r="H73" s="771" t="n"/>
      <c r="I73" s="771" t="n"/>
      <c r="J73" s="771" t="n"/>
      <c r="K73" s="771" t="n"/>
      <c r="L73" s="771" t="n"/>
      <c r="M73" s="771" t="n"/>
      <c r="N73" s="771" t="n"/>
      <c r="O73" s="771" t="n"/>
      <c r="P73" s="771" t="n"/>
      <c r="Q73" s="772">
        <f>SUM(E73:P73)</f>
        <v/>
      </c>
    </row>
    <row r="74" outlineLevel="1" ht="9.949999999999999" customHeight="1">
      <c r="C74" s="506" t="n"/>
      <c r="D74" s="486" t="n"/>
      <c r="E74" s="770" t="n"/>
      <c r="F74" s="771" t="n"/>
      <c r="G74" s="771" t="n"/>
      <c r="H74" s="771" t="n"/>
      <c r="I74" s="771" t="n"/>
      <c r="J74" s="771" t="n"/>
      <c r="K74" s="771" t="n"/>
      <c r="L74" s="771" t="n"/>
      <c r="M74" s="771" t="n"/>
      <c r="N74" s="771" t="n"/>
      <c r="O74" s="771" t="n"/>
      <c r="P74" s="771" t="n"/>
      <c r="Q74" s="772">
        <f>SUM(E74:P74)</f>
        <v/>
      </c>
    </row>
    <row r="75" ht="9.949999999999999" customFormat="1" customHeight="1" s="513">
      <c r="A75" s="512" t="n"/>
      <c r="B75" s="513" t="inlineStr">
        <is>
          <t>Other Expenses</t>
        </is>
      </c>
      <c r="C75" s="514" t="n"/>
      <c r="E75" s="773">
        <f>IF(E66&gt;0,E66,SUM(E67:E74))</f>
        <v/>
      </c>
      <c r="F75" s="773">
        <f>IF(F66&gt;0,F66,SUM(F67:F74))</f>
        <v/>
      </c>
      <c r="G75" s="773">
        <f>IF(G66&gt;0,G66,SUM(G67:G74))</f>
        <v/>
      </c>
      <c r="H75" s="773">
        <f>IF(H66&gt;0,H66,SUM(H67:H74))</f>
        <v/>
      </c>
      <c r="I75" s="773">
        <f>IF(I66&gt;0,I66,SUM(I67:I74))</f>
        <v/>
      </c>
      <c r="J75" s="773">
        <f>IF(J66&gt;0,J66,SUM(J67:J74))</f>
        <v/>
      </c>
      <c r="K75" s="773">
        <f>IF(K66&gt;0,K66,SUM(K67:K74))</f>
        <v/>
      </c>
      <c r="L75" s="773">
        <f>IF(L66&gt;0,L66,SUM(L67:L74))</f>
        <v/>
      </c>
      <c r="M75" s="773">
        <f>IF(M66&gt;0,M66,SUM(M67:M74))</f>
        <v/>
      </c>
      <c r="N75" s="773">
        <f>IF(N66&gt;0,N66,SUM(N67:N74))</f>
        <v/>
      </c>
      <c r="O75" s="773">
        <f>IF(O66&gt;0,O66,SUM(O67:O74))</f>
        <v/>
      </c>
      <c r="P75" s="773">
        <f>IF(P66&gt;0,P66,SUM(P67:P74))</f>
        <v/>
      </c>
      <c r="Q75" s="774">
        <f>SUM(E75:P75)</f>
        <v/>
      </c>
    </row>
    <row r="76" ht="9.949999999999999" customHeight="1">
      <c r="C76" s="503" t="n"/>
      <c r="E76" s="775" t="n"/>
      <c r="F76" s="775" t="n"/>
      <c r="G76" s="775" t="n"/>
      <c r="H76" s="775" t="n"/>
      <c r="I76" s="775" t="n"/>
      <c r="J76" s="775" t="n"/>
      <c r="K76" s="775" t="n"/>
      <c r="L76" s="775" t="n"/>
      <c r="M76" s="775" t="n"/>
      <c r="N76" s="775" t="n"/>
      <c r="O76" s="775" t="n"/>
      <c r="P76" s="775" t="n"/>
      <c r="Q76" s="776" t="n"/>
    </row>
    <row r="77" ht="9.949999999999999" customHeight="1">
      <c r="B77" s="524" t="inlineStr">
        <is>
          <t>Total Adjustments to EBITDA</t>
        </is>
      </c>
      <c r="C77" s="525" t="n"/>
      <c r="D77" s="524" t="n"/>
      <c r="E77" s="782">
        <f>E16+E22+E27+E40+E45+E52+E57+E63+E75</f>
        <v/>
      </c>
      <c r="F77" s="782">
        <f>F16+F22+F27+F40+F45+F52+F57+F63+F75</f>
        <v/>
      </c>
      <c r="G77" s="782">
        <f>G16+G22+G27+G40+G45+G52+G57+G63+G75</f>
        <v/>
      </c>
      <c r="H77" s="782">
        <f>H16+H22+H27+H40+H45+H52+H57+H63+H75</f>
        <v/>
      </c>
      <c r="I77" s="782">
        <f>I16+I22+I27+I40+I45+I52+I57+I63+I75</f>
        <v/>
      </c>
      <c r="J77" s="782">
        <f>J16+J22+J27+J40+J45+J52+J57+J63+J75</f>
        <v/>
      </c>
      <c r="K77" s="782">
        <f>K16+K22+K27+K40+K45+K52+K57+K63+K75</f>
        <v/>
      </c>
      <c r="L77" s="782">
        <f>L16+L22+L27+L40+L45+L52+L57+L63+L75</f>
        <v/>
      </c>
      <c r="M77" s="782">
        <f>M16+M22+M27+M40+M45+M52+M57+M63+M75</f>
        <v/>
      </c>
      <c r="N77" s="782">
        <f>N16+N22+N27+N40+N45+N52+N57+N63+N75</f>
        <v/>
      </c>
      <c r="O77" s="782">
        <f>O16+O22+O27+O40+O45+O52+O57+O63+O75</f>
        <v/>
      </c>
      <c r="P77" s="782">
        <f>P16+P22+P27+P40+P45+P52+P57+P63+P75</f>
        <v/>
      </c>
      <c r="Q77" s="774">
        <f>SUM(E77:P77)</f>
        <v/>
      </c>
    </row>
    <row r="78" ht="5.1" customHeight="1">
      <c r="B78" s="513" t="n"/>
      <c r="C78" s="503" t="n"/>
      <c r="E78" s="783" t="n"/>
      <c r="F78" s="783" t="n"/>
      <c r="G78" s="783" t="n"/>
      <c r="H78" s="783" t="n"/>
      <c r="I78" s="783" t="n"/>
      <c r="J78" s="783" t="n"/>
      <c r="K78" s="783" t="n"/>
      <c r="L78" s="783" t="n"/>
      <c r="M78" s="783" t="n"/>
      <c r="N78" s="783" t="n"/>
      <c r="O78" s="783" t="n"/>
      <c r="P78" s="783" t="n"/>
      <c r="Q78" s="784" t="n"/>
    </row>
    <row r="79" ht="9.949999999999999" customFormat="1" customHeight="1" s="513">
      <c r="A79" s="512" t="n"/>
      <c r="B79" s="529" t="inlineStr">
        <is>
          <t>Adjusted EBITDA</t>
        </is>
      </c>
      <c r="C79" s="530" t="n"/>
      <c r="D79" s="531" t="n"/>
      <c r="E79" s="785">
        <f>E77+E10</f>
        <v/>
      </c>
      <c r="F79" s="785">
        <f>F77+F10</f>
        <v/>
      </c>
      <c r="G79" s="785">
        <f>G77+G10</f>
        <v/>
      </c>
      <c r="H79" s="785">
        <f>H77+H10</f>
        <v/>
      </c>
      <c r="I79" s="785">
        <f>I77+I10</f>
        <v/>
      </c>
      <c r="J79" s="785">
        <f>J77+J10</f>
        <v/>
      </c>
      <c r="K79" s="785">
        <f>K77+K10</f>
        <v/>
      </c>
      <c r="L79" s="785">
        <f>L77+L10</f>
        <v/>
      </c>
      <c r="M79" s="785">
        <f>M77+M10</f>
        <v/>
      </c>
      <c r="N79" s="785">
        <f>N77+N10</f>
        <v/>
      </c>
      <c r="O79" s="785">
        <f>O77+O10</f>
        <v/>
      </c>
      <c r="P79" s="785">
        <f>P77+P10</f>
        <v/>
      </c>
      <c r="Q79" s="786">
        <f>Q77+Q10</f>
        <v/>
      </c>
    </row>
    <row r="80">
      <c r="C80" s="503" t="n"/>
      <c r="D80" s="503" t="n"/>
      <c r="E80" s="503" t="n"/>
      <c r="F80" s="503" t="n"/>
      <c r="G80" s="503" t="n"/>
      <c r="H80" s="503" t="n"/>
      <c r="I80" s="503" t="n"/>
      <c r="J80" s="503" t="n"/>
      <c r="K80" s="503" t="n"/>
      <c r="L80" s="503" t="n"/>
      <c r="M80" s="503" t="n"/>
      <c r="N80" s="503" t="n"/>
      <c r="O80" s="503" t="n"/>
      <c r="P80" s="503" t="n"/>
      <c r="Q80" s="503" t="n"/>
      <c r="R80" s="503" t="n"/>
    </row>
    <row r="81">
      <c r="C81" s="503" t="n"/>
      <c r="D81" s="503" t="n"/>
      <c r="E81" s="503" t="n"/>
      <c r="F81" s="503" t="n"/>
      <c r="G81" s="503" t="n"/>
      <c r="H81" s="503" t="n"/>
      <c r="I81" s="503" t="n"/>
      <c r="J81" s="503" t="n"/>
      <c r="K81" s="503" t="n"/>
      <c r="L81" s="503" t="n"/>
      <c r="M81" s="503" t="n"/>
      <c r="N81" s="503" t="n"/>
      <c r="O81" s="503" t="n"/>
      <c r="P81" s="503" t="n"/>
      <c r="Q81" s="503" t="n"/>
      <c r="R81" s="503" t="n"/>
    </row>
    <row r="82">
      <c r="B82" s="616" t="n"/>
      <c r="C82" s="503" t="n"/>
      <c r="D82" s="503" t="n"/>
      <c r="E82" s="787">
        <f>E79-'Pro Forma Financials (Q1)'!I38</f>
        <v/>
      </c>
      <c r="F82" s="787">
        <f>F79-'Pro Forma Financials (Q1)'!J38</f>
        <v/>
      </c>
      <c r="G82" s="787">
        <f>G79-'Pro Forma Financials (Q1)'!K38</f>
        <v/>
      </c>
      <c r="H82" s="787">
        <f>H79-'Pro Forma Financials (Q1)'!L38</f>
        <v/>
      </c>
      <c r="I82" s="787">
        <f>I79-'Pro Forma Financials (Q1)'!M38</f>
        <v/>
      </c>
      <c r="J82" s="787">
        <f>J79-'Pro Forma Financials (Q1)'!N38</f>
        <v/>
      </c>
      <c r="K82" s="787">
        <f>K79-'Pro Forma Financials (Q1)'!O38</f>
        <v/>
      </c>
      <c r="L82" s="787">
        <f>L79-'Pro Forma Financials (Q1)'!P38</f>
        <v/>
      </c>
      <c r="M82" s="787">
        <f>M79-'Pro Forma Financials (Q1)'!Q38</f>
        <v/>
      </c>
      <c r="N82" s="787">
        <f>N79-'Pro Forma Financials (Q1)'!R38</f>
        <v/>
      </c>
      <c r="O82" s="787">
        <f>O79-'Pro Forma Financials (Q1)'!S38</f>
        <v/>
      </c>
      <c r="P82" s="787">
        <f>P79-'Pro Forma Financials (Q1)'!T38</f>
        <v/>
      </c>
      <c r="Q82" s="787">
        <f>Q79-'Pro Forma Financials (Q1)'!D38</f>
        <v/>
      </c>
      <c r="R82" s="503" t="n"/>
    </row>
    <row r="83">
      <c r="C83" s="503" t="n"/>
      <c r="D83" s="503" t="n"/>
      <c r="E83" s="788" t="n"/>
      <c r="F83" s="788" t="n"/>
      <c r="G83" s="788" t="n"/>
      <c r="H83" s="788" t="n"/>
      <c r="I83" s="788" t="n"/>
      <c r="J83" s="788" t="n"/>
      <c r="K83" s="788" t="n"/>
      <c r="L83" s="788" t="n"/>
      <c r="M83" s="788" t="n"/>
      <c r="N83" s="788" t="n"/>
      <c r="O83" s="788" t="n"/>
      <c r="P83" s="503" t="n"/>
      <c r="Q83" s="503" t="n"/>
      <c r="R83" s="503" t="n"/>
    </row>
    <row r="84">
      <c r="C84" s="503" t="n"/>
      <c r="D84" s="503" t="n"/>
      <c r="E84" s="788" t="n"/>
      <c r="F84" s="788" t="n"/>
      <c r="G84" s="788" t="n"/>
      <c r="H84" s="788" t="n"/>
      <c r="I84" s="788" t="n"/>
      <c r="J84" s="788" t="n"/>
      <c r="K84" s="788" t="n"/>
      <c r="L84" s="788" t="n"/>
      <c r="M84" s="788" t="n"/>
      <c r="N84" s="788" t="n"/>
      <c r="O84" s="788" t="n"/>
      <c r="P84" s="788" t="n"/>
      <c r="Q84" s="789" t="n"/>
      <c r="R84" s="503" t="n"/>
    </row>
    <row r="85">
      <c r="C85" s="503" t="n"/>
      <c r="D85" s="503" t="n"/>
      <c r="E85" s="788" t="n"/>
      <c r="F85" s="788" t="n"/>
      <c r="G85" s="788" t="n"/>
      <c r="H85" s="788" t="n"/>
      <c r="I85" s="788" t="n"/>
      <c r="J85" s="788" t="n"/>
      <c r="K85" s="788" t="n"/>
      <c r="L85" s="788" t="n"/>
      <c r="M85" s="788" t="n"/>
      <c r="N85" s="788" t="n"/>
      <c r="O85" s="788" t="n"/>
      <c r="P85" s="788" t="n"/>
      <c r="R85" s="503" t="n"/>
    </row>
    <row r="86">
      <c r="E86" s="790" t="n"/>
      <c r="F86" s="790" t="n"/>
      <c r="G86" s="790" t="n"/>
      <c r="H86" s="790" t="n"/>
      <c r="I86" s="790" t="n"/>
      <c r="J86" s="790" t="n"/>
      <c r="K86" s="790" t="n"/>
      <c r="L86" s="790" t="n"/>
      <c r="M86" s="790" t="n"/>
      <c r="N86" s="790" t="n"/>
      <c r="O86" s="788" t="n"/>
      <c r="P86" s="788" t="n"/>
    </row>
    <row r="87">
      <c r="E87" s="790" t="n"/>
      <c r="F87" s="788" t="n"/>
      <c r="G87" s="788" t="n"/>
      <c r="H87" s="788" t="n"/>
      <c r="I87" s="788" t="n"/>
      <c r="J87" s="788" t="n"/>
      <c r="K87" s="788" t="n"/>
      <c r="L87" s="788" t="n"/>
      <c r="M87" s="788" t="n"/>
      <c r="N87" s="788" t="n"/>
      <c r="O87" s="788" t="n"/>
      <c r="P87" s="788" t="n"/>
    </row>
    <row r="88">
      <c r="E88" s="788" t="n"/>
      <c r="F88" s="788" t="n"/>
      <c r="G88" s="788" t="n"/>
      <c r="H88" s="788" t="n"/>
      <c r="I88" s="788" t="n"/>
      <c r="J88" s="788" t="n"/>
      <c r="K88" s="788" t="n"/>
      <c r="L88" s="788" t="n"/>
      <c r="M88" s="788" t="n"/>
      <c r="N88" s="788" t="n"/>
      <c r="O88" s="788" t="n"/>
      <c r="P88" s="788" t="n"/>
      <c r="Q88" s="787" t="n"/>
    </row>
    <row r="89">
      <c r="E89" s="788" t="n"/>
      <c r="F89" s="788" t="n"/>
      <c r="G89" s="788" t="n"/>
      <c r="H89" s="788" t="n"/>
      <c r="I89" s="788" t="n"/>
      <c r="J89" s="788" t="n"/>
      <c r="K89" s="788" t="n"/>
      <c r="L89" s="788" t="n"/>
      <c r="M89" s="788" t="n"/>
      <c r="N89" s="788" t="n"/>
      <c r="O89" s="788" t="n"/>
      <c r="P89" s="788" t="n"/>
    </row>
    <row r="90">
      <c r="E90" s="790" t="n"/>
    </row>
    <row r="91">
      <c r="B91" s="655" t="n"/>
      <c r="C91" s="513" t="n"/>
      <c r="D91" s="513" t="n"/>
      <c r="E91" s="791" t="n"/>
      <c r="H91" s="653" t="n"/>
    </row>
    <row r="92">
      <c r="H92" s="792" t="n"/>
    </row>
    <row r="93">
      <c r="H93" s="654" t="n"/>
    </row>
  </sheetData>
  <pageMargins left="0.7086614173228347" right="0.7086614173228347" top="0.7480314960629921" bottom="0.7480314960629921" header="0.3149606299212598" footer="0.3149606299212598"/>
  <pageSetup orientation="landscape" scale="66" fitToHeight="0"/>
</worksheet>
</file>

<file path=xl/worksheets/sheet7.xml><?xml version="1.0" encoding="utf-8"?>
<worksheet xmlns="http://schemas.openxmlformats.org/spreadsheetml/2006/main">
  <sheetPr>
    <tabColor theme="4"/>
    <outlinePr summaryBelow="1" summaryRight="1"/>
    <pageSetUpPr fitToPage="1"/>
  </sheetPr>
  <dimension ref="A1:W93"/>
  <sheetViews>
    <sheetView showGridLines="0" view="pageBreakPreview" zoomScaleNormal="55" zoomScaleSheetLayoutView="100" workbookViewId="0">
      <selection activeCell="A1" sqref="A1"/>
    </sheetView>
  </sheetViews>
  <sheetFormatPr baseColWidth="8" defaultColWidth="9.140625" defaultRowHeight="15" outlineLevelRow="1"/>
  <cols>
    <col width="10.85546875" bestFit="1" customWidth="1" min="1" max="1"/>
    <col width="63.28515625" customWidth="1" min="2" max="2"/>
    <col width="4.85546875" customWidth="1" min="3" max="3"/>
    <col width="14.140625" customWidth="1" min="4" max="4"/>
    <col hidden="1" outlineLevel="1" width="8.5703125" customWidth="1" min="5" max="5"/>
    <col collapsed="1" width="5.5703125" customWidth="1" min="6" max="6"/>
    <col hidden="1" outlineLevel="1" width="14.140625" customWidth="1" min="7" max="7"/>
    <col hidden="1" outlineLevel="2" width="8.5703125" customWidth="1" min="8" max="8"/>
    <col hidden="1" outlineLevel="1" collapsed="1" width="5.5703125" customWidth="1" min="9" max="9"/>
    <col collapsed="1" width="14.140625" customWidth="1" min="10" max="10"/>
    <col hidden="1" outlineLevel="1" width="8.5703125" customWidth="1" min="11" max="11"/>
    <col collapsed="1" width="5.5703125" customWidth="1" min="12" max="12"/>
    <col width="14.140625" customWidth="1" min="13" max="13"/>
    <col hidden="1" outlineLevel="1" width="8.5703125" customWidth="1" min="14" max="14"/>
    <col collapsed="1" width="5.5703125" customWidth="1" min="15" max="15"/>
    <col width="14.140625" customWidth="1" min="16" max="16"/>
    <col hidden="1" outlineLevel="1" width="8.5703125" customWidth="1" min="17" max="17"/>
    <col collapsed="1" width="2.7109375" customWidth="1" min="18" max="18"/>
    <col width="94.140625" customWidth="1" min="19" max="19"/>
    <col width="15.7109375" customWidth="1" min="20" max="20"/>
    <col width="94.140625" customWidth="1" min="21" max="21"/>
    <col width="44.140625" bestFit="1" customWidth="1" min="22" max="22"/>
  </cols>
  <sheetData>
    <row r="1" ht="18.75" customFormat="1" customHeight="1" s="53">
      <c r="B1" s="247">
        <f>'I. Cover Page'!B5</f>
        <v/>
      </c>
      <c r="Q1" s="53" t="inlineStr">
        <is>
          <t xml:space="preserve"> </t>
        </is>
      </c>
    </row>
    <row r="2" ht="13.5" customFormat="1" customHeight="1" s="53" thickBot="1">
      <c r="B2" s="255" t="inlineStr">
        <is>
          <t>Comparables Summary</t>
        </is>
      </c>
      <c r="C2" s="54" t="n"/>
      <c r="D2" s="54" t="n"/>
      <c r="E2" s="54" t="n"/>
      <c r="F2" s="54" t="n"/>
      <c r="G2" s="54" t="n"/>
      <c r="H2" s="54" t="n"/>
      <c r="I2" s="54" t="n"/>
      <c r="J2" s="54" t="n"/>
      <c r="K2" s="54" t="n"/>
      <c r="L2" s="54" t="n"/>
      <c r="M2" s="54" t="n"/>
      <c r="N2" s="54" t="n"/>
      <c r="O2" s="54" t="n"/>
      <c r="P2" s="54" t="n"/>
      <c r="Q2" s="54" t="n"/>
      <c r="R2" s="54" t="n"/>
      <c r="S2" s="54" t="n"/>
      <c r="T2" s="54" t="n"/>
      <c r="U2" s="54" t="n"/>
    </row>
    <row r="3" ht="13.5" customFormat="1" customHeight="1" s="53" thickTop="1">
      <c r="B3" s="251">
        <f>'I. Cover Page'!B9</f>
        <v/>
      </c>
      <c r="C3" s="55" t="n"/>
      <c r="D3" s="55" t="n"/>
      <c r="E3" s="55" t="n"/>
      <c r="F3" s="55" t="n"/>
      <c r="G3" s="55" t="n"/>
      <c r="H3" s="55" t="n"/>
      <c r="I3" s="55" t="n"/>
      <c r="J3" s="55" t="n"/>
      <c r="K3" s="55" t="n"/>
      <c r="L3" s="55" t="n"/>
      <c r="M3" s="55" t="n"/>
      <c r="N3" s="55" t="n"/>
      <c r="O3" s="55" t="n"/>
      <c r="P3" s="55" t="n"/>
      <c r="Q3" s="55" t="n"/>
      <c r="R3" s="424" t="n"/>
      <c r="T3" s="55" t="n"/>
      <c r="U3" s="55" t="n"/>
    </row>
    <row r="4" hidden="1" outlineLevel="1" ht="17.25" customFormat="1" customHeight="1" s="11">
      <c r="A4" s="793" t="n"/>
      <c r="D4" s="147" t="inlineStr">
        <is>
          <t>PitchBook Tags</t>
        </is>
      </c>
      <c r="E4" s="170" t="n"/>
      <c r="F4" s="170" t="n"/>
      <c r="G4" s="147" t="n"/>
      <c r="H4" s="148" t="n"/>
      <c r="I4" s="170" t="n"/>
      <c r="J4" s="147" t="n"/>
      <c r="K4" s="148" t="n"/>
      <c r="L4" s="148" t="n"/>
      <c r="M4" s="170" t="n"/>
      <c r="N4" s="170" t="n"/>
      <c r="O4" s="170" t="n"/>
      <c r="P4" s="170" t="n"/>
    </row>
    <row r="5" hidden="1" outlineLevel="1" customFormat="1" s="11">
      <c r="A5" s="793" t="n"/>
      <c r="D5" t="inlineStr">
        <is>
          <t>EnterpriseValueDiluted</t>
        </is>
      </c>
      <c r="E5" s="149" t="n"/>
      <c r="F5" s="149" t="n"/>
      <c r="H5" s="149" t="n"/>
      <c r="I5" s="149" t="n"/>
      <c r="K5" s="149" t="n"/>
      <c r="L5" s="149" t="n"/>
      <c r="M5" t="inlineStr">
        <is>
          <t>EnterpriseValueDiluted</t>
        </is>
      </c>
      <c r="N5" s="149" t="n"/>
      <c r="O5" s="149" t="n"/>
      <c r="P5" t="inlineStr">
        <is>
          <t>Market Cap</t>
        </is>
      </c>
    </row>
    <row r="6" hidden="1" outlineLevel="1" customFormat="1" s="11">
      <c r="A6" s="793" t="n"/>
      <c r="D6" t="inlineStr">
        <is>
          <t>Total Revenue</t>
        </is>
      </c>
      <c r="M6" t="inlineStr">
        <is>
          <t>EBITDA</t>
        </is>
      </c>
      <c r="P6" t="inlineStr">
        <is>
          <t>Total Revenue</t>
        </is>
      </c>
    </row>
    <row r="7" collapsed="1">
      <c r="A7" s="175" t="n"/>
    </row>
    <row r="8" ht="15" customHeight="1">
      <c r="B8" s="57" t="inlineStr">
        <is>
          <t>Public Company Comparables</t>
        </is>
      </c>
      <c r="D8" s="157" t="inlineStr">
        <is>
          <t>Current Period</t>
        </is>
      </c>
      <c r="E8" s="156" t="n"/>
      <c r="F8" s="156" t="n"/>
      <c r="G8" s="157" t="inlineStr">
        <is>
          <t>Prior Period</t>
        </is>
      </c>
      <c r="H8" s="156" t="n"/>
      <c r="I8" s="156" t="n"/>
      <c r="J8" s="157" t="inlineStr">
        <is>
          <t>Prior Period</t>
        </is>
      </c>
      <c r="K8" s="156" t="n"/>
      <c r="L8" s="156" t="n"/>
      <c r="M8" s="157" t="inlineStr">
        <is>
          <t xml:space="preserve">Current Period </t>
        </is>
      </c>
      <c r="N8" s="156" t="n"/>
      <c r="O8" s="156" t="n"/>
      <c r="P8" s="157" t="inlineStr">
        <is>
          <t>Current Period</t>
        </is>
      </c>
      <c r="T8" s="58" t="n"/>
      <c r="U8" s="58" t="n"/>
    </row>
    <row r="9" ht="15" customHeight="1">
      <c r="B9" s="58" t="n"/>
      <c r="C9" s="150" t="n"/>
      <c r="D9" s="180">
        <f>B3</f>
        <v/>
      </c>
      <c r="E9" s="169" t="n"/>
      <c r="F9" s="169" t="n"/>
      <c r="G9" s="180" t="n">
        <v>45291</v>
      </c>
      <c r="H9" s="150" t="n"/>
      <c r="I9" s="169" t="n"/>
      <c r="J9" s="180" t="n">
        <v>46022</v>
      </c>
      <c r="K9" s="150" t="n"/>
      <c r="L9" s="150" t="n"/>
      <c r="M9" s="180">
        <f>D9</f>
        <v/>
      </c>
      <c r="N9" s="130" t="n"/>
      <c r="O9" s="169" t="n"/>
      <c r="P9" s="180">
        <f>M9</f>
        <v/>
      </c>
      <c r="Q9" s="150" t="n"/>
      <c r="R9" s="206" t="n"/>
      <c r="S9" s="58" t="n"/>
      <c r="T9" s="58" t="n"/>
      <c r="U9" s="58" t="n"/>
    </row>
    <row r="10" ht="15" customHeight="1" thickBot="1">
      <c r="A10" s="59" t="inlineStr">
        <is>
          <t>Ticker</t>
        </is>
      </c>
      <c r="B10" s="59" t="inlineStr">
        <is>
          <t>Public Companies</t>
        </is>
      </c>
      <c r="C10" s="151" t="n"/>
      <c r="D10" s="181" t="inlineStr">
        <is>
          <t>EV/EBITDA</t>
        </is>
      </c>
      <c r="E10" s="151" t="n"/>
      <c r="F10" s="60" t="n"/>
      <c r="G10" s="181" t="inlineStr">
        <is>
          <t>EV/EBITDA</t>
        </is>
      </c>
      <c r="H10" s="151" t="n"/>
      <c r="I10" s="60" t="n"/>
      <c r="J10" s="181" t="inlineStr">
        <is>
          <t>EV/EBITDA</t>
        </is>
      </c>
      <c r="K10" s="151" t="n"/>
      <c r="L10" s="60" t="n"/>
      <c r="M10" s="181" t="inlineStr">
        <is>
          <t>EV/S</t>
        </is>
      </c>
      <c r="N10" s="158" t="n"/>
      <c r="O10" s="60" t="n"/>
      <c r="P10" s="181" t="inlineStr">
        <is>
          <t>P/S</t>
        </is>
      </c>
      <c r="Q10" s="151" t="n"/>
      <c r="R10" s="412" t="n"/>
      <c r="S10" s="61" t="inlineStr">
        <is>
          <t>Description</t>
        </is>
      </c>
      <c r="T10" s="61" t="inlineStr">
        <is>
          <t>Business Model</t>
        </is>
      </c>
      <c r="U10" s="61" t="inlineStr">
        <is>
          <t>Rationale</t>
        </is>
      </c>
      <c r="V10" s="61" t="inlineStr">
        <is>
          <t>Source</t>
        </is>
      </c>
    </row>
    <row r="11" ht="15.6" customHeight="1">
      <c r="A11" s="163" t="inlineStr">
        <is>
          <t>NYS:EMR</t>
        </is>
      </c>
      <c r="B11" s="163" t="inlineStr">
        <is>
          <t>Emerson Electric</t>
        </is>
      </c>
      <c r="C11" s="379" t="n"/>
      <c r="D11" s="794" t="n">
        <v>18.08264643910661</v>
      </c>
      <c r="E11" s="794">
        <f>D11*(1-$C$58)</f>
        <v/>
      </c>
      <c r="F11" s="415" t="n"/>
      <c r="G11" s="794" t="n">
        <v>16.45766541273209</v>
      </c>
      <c r="H11" s="794" t="n">
        <v>0</v>
      </c>
      <c r="I11" s="415" t="n">
        <v>0</v>
      </c>
      <c r="J11" s="794" t="n">
        <v>18.52414881275325</v>
      </c>
      <c r="K11" s="794">
        <f>J11*(1-$C$58)</f>
        <v/>
      </c>
      <c r="L11" s="415" t="n"/>
      <c r="M11" s="794" t="n">
        <v>4.719027823600572</v>
      </c>
      <c r="N11" s="794">
        <f>IFERROR(M11*(1-$C$58),"na")</f>
        <v/>
      </c>
      <c r="O11" s="416" t="n"/>
      <c r="P11" s="794" t="n">
        <v>4.719027823600572</v>
      </c>
      <c r="Q11" s="794">
        <f>IFERROR(P11*(1-$C$58),"na")</f>
        <v/>
      </c>
      <c r="R11" s="380" t="n"/>
      <c r="S11" s="417" t="n"/>
      <c r="T11" s="417" t="inlineStr">
        <is>
          <t>Manufacturer</t>
        </is>
      </c>
      <c r="U11" s="417">
        <f>'VI. Comparables (Description)'!E8</f>
        <v/>
      </c>
    </row>
    <row r="12" ht="15.6" customHeight="1">
      <c r="A12" s="418" t="inlineStr">
        <is>
          <t>NYS:XYL</t>
        </is>
      </c>
      <c r="B12" s="418" t="inlineStr">
        <is>
          <t>Xylem</t>
        </is>
      </c>
      <c r="C12" s="419" t="n"/>
      <c r="D12" s="794" t="n">
        <v>16.85538128384528</v>
      </c>
      <c r="E12" s="794">
        <f>D12*(1-$C$58)</f>
        <v/>
      </c>
      <c r="F12" s="794" t="n"/>
      <c r="G12" s="794" t="n">
        <v>29.10114917512438</v>
      </c>
      <c r="H12" s="794" t="n">
        <v>0</v>
      </c>
      <c r="I12" s="794" t="n">
        <v>0</v>
      </c>
      <c r="J12" s="794" t="n">
        <v>19.41767666987543</v>
      </c>
      <c r="K12" s="794">
        <f>J12*(1-$C$58)</f>
        <v/>
      </c>
      <c r="L12" s="794" t="n"/>
      <c r="M12" s="794" t="n">
        <v>3.279663563586054</v>
      </c>
      <c r="N12" s="794">
        <f>IFERROR(M12*(1-$C$58),"na")</f>
        <v/>
      </c>
      <c r="O12" s="420" t="n"/>
      <c r="P12" s="794" t="n">
        <v>3.279663563586054</v>
      </c>
      <c r="Q12" s="794">
        <f>IFERROR(P12*(1-$C$58),"na")</f>
        <v/>
      </c>
      <c r="R12" s="381" t="n"/>
      <c r="S12" s="417" t="n"/>
      <c r="T12" s="417" t="inlineStr">
        <is>
          <t>Manufacturer</t>
        </is>
      </c>
      <c r="U12" s="417">
        <f>'VI. Comparables (Description)'!E9</f>
        <v/>
      </c>
    </row>
    <row r="13" ht="15.6" customHeight="1">
      <c r="A13" s="418" t="inlineStr">
        <is>
          <t>NYS:IEX</t>
        </is>
      </c>
      <c r="B13" s="418" t="inlineStr">
        <is>
          <t>IDEX</t>
        </is>
      </c>
      <c r="C13" s="419" t="n"/>
      <c r="D13" s="794" t="n">
        <v>16.97001202324294</v>
      </c>
      <c r="E13" s="794">
        <f>D13*(1-$C$58)</f>
        <v/>
      </c>
      <c r="F13" s="794" t="n"/>
      <c r="G13" s="794" t="n">
        <v>17.61648072112446</v>
      </c>
      <c r="H13" s="794" t="n">
        <v>0</v>
      </c>
      <c r="I13" s="794" t="n">
        <v>0</v>
      </c>
      <c r="J13" s="794" t="n">
        <v>16.56302547982367</v>
      </c>
      <c r="K13" s="794">
        <f>J13*(1-$C$58)</f>
        <v/>
      </c>
      <c r="L13" s="794" t="n"/>
      <c r="M13" s="794" t="n">
        <v>4.434535318293564</v>
      </c>
      <c r="N13" s="794">
        <f>IFERROR(M13*(1-$C$58),"na")</f>
        <v/>
      </c>
      <c r="O13" s="420" t="n"/>
      <c r="P13" s="794" t="n">
        <v>4.434535318293564</v>
      </c>
      <c r="Q13" s="794">
        <f>IFERROR(P13*(1-$C$58),"na")</f>
        <v/>
      </c>
      <c r="R13" s="381" t="n"/>
      <c r="S13" s="417" t="n"/>
      <c r="T13" s="417" t="inlineStr">
        <is>
          <t>Manufacturer</t>
        </is>
      </c>
      <c r="U13" s="417">
        <f>'VI. Comparables (Description)'!E10</f>
        <v/>
      </c>
    </row>
    <row r="14" ht="15.6" customHeight="1">
      <c r="A14" s="418" t="inlineStr">
        <is>
          <t>NYS:GGG</t>
        </is>
      </c>
      <c r="B14" s="418" t="inlineStr">
        <is>
          <t>Graco</t>
        </is>
      </c>
      <c r="C14" s="419" t="n"/>
      <c r="D14" s="794" t="n">
        <v>17.91240571317559</v>
      </c>
      <c r="E14" s="794">
        <f>D14*(1-$C$58)</f>
        <v/>
      </c>
      <c r="F14" s="794" t="n"/>
      <c r="G14" s="794" t="n">
        <v>19.87933117597067</v>
      </c>
      <c r="H14" s="794" t="n">
        <v>0</v>
      </c>
      <c r="I14" s="794" t="n">
        <v>0</v>
      </c>
      <c r="J14" s="794" t="n">
        <v>18.25748681882805</v>
      </c>
      <c r="K14" s="794">
        <f>J14*(1-$C$58)</f>
        <v/>
      </c>
      <c r="L14" s="794" t="n"/>
      <c r="M14" s="794" t="n">
        <v>6.018785004408469</v>
      </c>
      <c r="N14" s="794">
        <f>IFERROR(M14*(1-$C$58),"na")</f>
        <v/>
      </c>
      <c r="O14" s="420" t="n"/>
      <c r="P14" s="794" t="n">
        <v>6.018785004408469</v>
      </c>
      <c r="Q14" s="794">
        <f>IFERROR(P14*(1-$C$58),"na")</f>
        <v/>
      </c>
      <c r="R14" s="381" t="n"/>
      <c r="S14" s="417" t="n"/>
      <c r="T14" s="417" t="inlineStr">
        <is>
          <t>Manufacturer</t>
        </is>
      </c>
      <c r="U14" s="417">
        <f>'VI. Comparables (Description)'!E11</f>
        <v/>
      </c>
    </row>
    <row r="15" ht="15.6" customHeight="1">
      <c r="A15" s="418" t="inlineStr">
        <is>
          <t>NYS:CW</t>
        </is>
      </c>
      <c r="B15" s="418" t="inlineStr">
        <is>
          <t>Curtiss-Wright</t>
        </is>
      </c>
      <c r="C15" s="419" t="n"/>
      <c r="D15" s="794" t="n">
        <v>32.86611775052623</v>
      </c>
      <c r="E15" s="794">
        <f>D15*(1-$C$58)</f>
        <v/>
      </c>
      <c r="F15" s="794" t="n"/>
      <c r="G15" s="794" t="n">
        <v>15.36872752728884</v>
      </c>
      <c r="H15" s="794" t="n">
        <v>0</v>
      </c>
      <c r="I15" s="794" t="n">
        <v>0</v>
      </c>
      <c r="J15" s="794" t="n">
        <v>27.97234713299867</v>
      </c>
      <c r="K15" s="794">
        <f>J15*(1-$C$58)</f>
        <v/>
      </c>
      <c r="L15" s="794" t="n"/>
      <c r="M15" s="794" t="n">
        <v>7.41343382350419</v>
      </c>
      <c r="N15" s="794">
        <f>IFERROR(M15*(1-$C$58),"na")</f>
        <v/>
      </c>
      <c r="O15" s="420" t="n"/>
      <c r="P15" s="794" t="n">
        <v>7.41343382350419</v>
      </c>
      <c r="Q15" s="794">
        <f>IFERROR(P15*(1-$C$58),"na")</f>
        <v/>
      </c>
      <c r="R15" s="381" t="n"/>
      <c r="S15" s="417" t="n"/>
      <c r="T15" s="417" t="inlineStr">
        <is>
          <t>Manufacturer</t>
        </is>
      </c>
      <c r="U15" s="417">
        <f>'VI. Comparables (Description)'!E12</f>
        <v/>
      </c>
    </row>
    <row r="16" ht="15.6" customHeight="1">
      <c r="A16" s="418" t="inlineStr">
        <is>
          <t>NYS:ITT</t>
        </is>
      </c>
      <c r="B16" s="418" t="inlineStr">
        <is>
          <t xml:space="preserve">ITT </t>
        </is>
      </c>
      <c r="C16" s="419" t="n"/>
      <c r="D16" s="794" t="n">
        <v>19.52695789808917</v>
      </c>
      <c r="E16" s="794">
        <f>D16*(1-$C$58)</f>
        <v/>
      </c>
      <c r="F16" s="794" t="n"/>
      <c r="G16" s="794" t="n">
        <v>14.51744172145846</v>
      </c>
      <c r="H16" s="794" t="n">
        <v>0</v>
      </c>
      <c r="I16" s="794" t="n">
        <v>0</v>
      </c>
      <c r="J16" s="794" t="n">
        <v>19.06690791907515</v>
      </c>
      <c r="K16" s="794">
        <f>J16*(1-$C$58)</f>
        <v/>
      </c>
      <c r="L16" s="794" t="n"/>
      <c r="M16" s="794" t="n">
        <v>4.125525369303034</v>
      </c>
      <c r="N16" s="794">
        <f>IFERROR(M16*(1-$C$58),"na")</f>
        <v/>
      </c>
      <c r="O16" s="420" t="n"/>
      <c r="P16" s="794" t="n">
        <v>4.125525369303034</v>
      </c>
      <c r="Q16" s="794">
        <f>IFERROR(P16*(1-$C$58),"na")</f>
        <v/>
      </c>
      <c r="R16" s="381" t="n"/>
      <c r="S16" s="417" t="n"/>
      <c r="T16" s="417" t="inlineStr">
        <is>
          <t>Manufacturer</t>
        </is>
      </c>
      <c r="U16" s="417">
        <f>'VI. Comparables (Description)'!E13</f>
        <v/>
      </c>
    </row>
    <row r="17" ht="15.6" customHeight="1">
      <c r="A17" s="418" t="inlineStr">
        <is>
          <t>HEL:VALMT</t>
        </is>
      </c>
      <c r="B17" s="418" t="inlineStr">
        <is>
          <t>Valmet</t>
        </is>
      </c>
      <c r="C17" s="419" t="n"/>
      <c r="D17" s="794" t="n">
        <v>8.537361098740657</v>
      </c>
      <c r="E17" s="794">
        <f>D17*(1-$C$58)</f>
        <v/>
      </c>
      <c r="F17" s="794" t="n"/>
      <c r="G17" s="794" t="n">
        <v>7.696881497284132</v>
      </c>
      <c r="H17" s="794" t="n">
        <v>0</v>
      </c>
      <c r="I17" s="794" t="n">
        <v>0</v>
      </c>
      <c r="J17" s="794" t="n">
        <v>10.39463894137371</v>
      </c>
      <c r="K17" s="794">
        <f>J17*(1-$C$58)</f>
        <v/>
      </c>
      <c r="L17" s="794" t="n"/>
      <c r="M17" s="794" t="n">
        <v>1.059572428071527</v>
      </c>
      <c r="N17" s="794">
        <f>IFERROR(M17*(1-$C$58),"na")</f>
        <v/>
      </c>
      <c r="O17" s="420" t="n"/>
      <c r="P17" s="794" t="n">
        <v>1.059572428071527</v>
      </c>
      <c r="Q17" s="794">
        <f>IFERROR(P17*(1-$C$58),"na")</f>
        <v/>
      </c>
      <c r="R17" s="381" t="n"/>
      <c r="S17" s="417" t="n"/>
      <c r="T17" s="417" t="inlineStr">
        <is>
          <t>Manufacturer</t>
        </is>
      </c>
      <c r="U17" s="417">
        <f>'VI. Comparables (Description)'!E14</f>
        <v/>
      </c>
    </row>
    <row r="18" ht="15.6" customHeight="1">
      <c r="A18" s="418" t="inlineStr">
        <is>
          <t>LON:IMI</t>
        </is>
      </c>
      <c r="B18" s="418" t="inlineStr">
        <is>
          <t>IMI</t>
        </is>
      </c>
      <c r="C18" s="419" t="n"/>
      <c r="D18" s="794" t="n">
        <v>12.22154911307448</v>
      </c>
      <c r="E18" s="794">
        <f>D18*(1-$C$58)</f>
        <v/>
      </c>
      <c r="F18" s="794" t="n"/>
      <c r="G18" s="794" t="n">
        <v>12.03009931431918</v>
      </c>
      <c r="H18" s="794" t="n">
        <v>0</v>
      </c>
      <c r="I18" s="794" t="n">
        <v>0</v>
      </c>
      <c r="J18" s="794" t="n">
        <v>15.55964347457851</v>
      </c>
      <c r="K18" s="794">
        <f>J18*(1-$C$58)</f>
        <v/>
      </c>
      <c r="L18" s="794" t="n"/>
      <c r="M18" s="794" t="n">
        <v>2.905270160256464</v>
      </c>
      <c r="N18" s="794">
        <f>IFERROR(M18*(1-$C$58),"na")</f>
        <v/>
      </c>
      <c r="O18" s="420" t="n"/>
      <c r="P18" s="794" t="n">
        <v>2.905270160256464</v>
      </c>
      <c r="Q18" s="794">
        <f>IFERROR(P18*(1-$C$58),"na")</f>
        <v/>
      </c>
      <c r="R18" s="381" t="n"/>
      <c r="S18" s="417" t="n"/>
      <c r="T18" s="417" t="inlineStr">
        <is>
          <t>Manufacturer</t>
        </is>
      </c>
      <c r="U18" s="417">
        <f>'VI. Comparables (Description)'!E15</f>
        <v/>
      </c>
    </row>
    <row r="19" ht="15.6" customHeight="1">
      <c r="A19" s="418" t="inlineStr">
        <is>
          <t>NYS:WTS</t>
        </is>
      </c>
      <c r="B19" s="418" t="inlineStr">
        <is>
          <t>Watts Water Technologies</t>
        </is>
      </c>
      <c r="C19" s="419" t="n"/>
      <c r="D19" s="794" t="n">
        <v>18.74593649643705</v>
      </c>
      <c r="E19" s="794">
        <f>D19*(1-$C$58)</f>
        <v/>
      </c>
      <c r="F19" s="794" t="n"/>
      <c r="G19" s="794" t="n">
        <v>17.62652384270256</v>
      </c>
      <c r="H19" s="794" t="n">
        <v>0</v>
      </c>
      <c r="I19" s="794" t="n">
        <v>0</v>
      </c>
      <c r="J19" s="794" t="n">
        <v>18.66834986435726</v>
      </c>
      <c r="K19" s="794">
        <f>J19*(1-$C$58)</f>
        <v/>
      </c>
      <c r="L19" s="794" t="n"/>
      <c r="M19" s="794" t="n">
        <v>3.883718317818331</v>
      </c>
      <c r="N19" s="794">
        <f>IFERROR(M19*(1-$C$58),"na")</f>
        <v/>
      </c>
      <c r="O19" s="420" t="n"/>
      <c r="P19" s="794" t="n">
        <v>3.883718317818331</v>
      </c>
      <c r="Q19" s="794">
        <f>IFERROR(P19*(1-$C$58),"na")</f>
        <v/>
      </c>
      <c r="R19" s="381" t="n"/>
      <c r="S19" s="417" t="n"/>
      <c r="T19" s="417" t="inlineStr">
        <is>
          <t>Manufacturer</t>
        </is>
      </c>
      <c r="U19" s="417">
        <f>'VI. Comparables (Description)'!E16</f>
        <v/>
      </c>
    </row>
    <row r="20" ht="15.6" customHeight="1">
      <c r="A20" s="418" t="inlineStr">
        <is>
          <t>NYS:FLS</t>
        </is>
      </c>
      <c r="B20" s="418" t="inlineStr">
        <is>
          <t>Flowserve</t>
        </is>
      </c>
      <c r="C20" s="419" t="n"/>
      <c r="D20" s="794" t="n">
        <v>15.07569563166295</v>
      </c>
      <c r="E20" s="794">
        <f>D20*(1-$C$58)</f>
        <v/>
      </c>
      <c r="F20" s="794" t="n"/>
      <c r="G20" s="794" t="n"/>
      <c r="H20" s="794" t="n"/>
      <c r="I20" s="794" t="n"/>
      <c r="J20" s="794" t="n">
        <v>12.27923309756723</v>
      </c>
      <c r="K20" s="794">
        <f>J20*(1-$C$58)</f>
        <v/>
      </c>
      <c r="L20" s="794" t="n"/>
      <c r="M20" s="794" t="n">
        <v>2.202865519129843</v>
      </c>
      <c r="N20" s="794">
        <f>IFERROR(M20*(1-$C$58),"na")</f>
        <v/>
      </c>
      <c r="O20" s="420" t="n"/>
      <c r="P20" s="794" t="n">
        <v>2.202865519129843</v>
      </c>
      <c r="Q20" s="794">
        <f>IFERROR(P20*(1-$C$58),"na")</f>
        <v/>
      </c>
      <c r="R20" s="381" t="n"/>
      <c r="S20" s="417" t="n"/>
      <c r="T20" s="417" t="inlineStr">
        <is>
          <t>Manufacturer</t>
        </is>
      </c>
      <c r="U20" s="417">
        <f>'VI. Comparables (Description)'!E17</f>
        <v/>
      </c>
    </row>
    <row r="21" ht="15.6" customHeight="1">
      <c r="A21" s="418" t="inlineStr">
        <is>
          <t>LON:ROR</t>
        </is>
      </c>
      <c r="B21" s="418" t="inlineStr">
        <is>
          <t>Rotork</t>
        </is>
      </c>
      <c r="C21" s="419" t="n"/>
      <c r="D21" s="794" t="n">
        <v>13.85893965620772</v>
      </c>
      <c r="E21" s="794">
        <f>D21*(1-$C$58)</f>
        <v/>
      </c>
      <c r="F21" s="794" t="n"/>
      <c r="G21" s="794" t="n">
        <v>17.95895080668443</v>
      </c>
      <c r="H21" s="794" t="n">
        <v>0</v>
      </c>
      <c r="I21" s="794" t="n">
        <v>0</v>
      </c>
      <c r="J21" s="794" t="n">
        <v>17.74976592298307</v>
      </c>
      <c r="K21" s="794">
        <f>J21*(1-$C$58)</f>
        <v/>
      </c>
      <c r="L21" s="794" t="n"/>
      <c r="M21" s="794" t="n">
        <v>3.207543090379222</v>
      </c>
      <c r="N21" s="794">
        <f>IFERROR(M21*(1-$C$58),"na")</f>
        <v/>
      </c>
      <c r="O21" s="420" t="n"/>
      <c r="P21" s="794" t="n">
        <v>3.207543090379222</v>
      </c>
      <c r="Q21" s="794">
        <f>IFERROR(P21*(1-$C$58),"na")</f>
        <v/>
      </c>
      <c r="R21" s="381" t="n"/>
      <c r="S21" s="417" t="n"/>
      <c r="T21" s="417" t="inlineStr">
        <is>
          <t>Manufacturer</t>
        </is>
      </c>
      <c r="U21" s="417">
        <f>'VI. Comparables (Description)'!E18</f>
        <v/>
      </c>
    </row>
    <row r="22" ht="15.6" customHeight="1">
      <c r="A22" s="418" t="inlineStr">
        <is>
          <t>NYS: MWA</t>
        </is>
      </c>
      <c r="B22" s="418" t="inlineStr">
        <is>
          <t>Mueller Water Products</t>
        </is>
      </c>
      <c r="C22" s="419" t="n"/>
      <c r="D22" s="794" t="n">
        <v>13.53431848628193</v>
      </c>
      <c r="E22" s="794">
        <f>D22*(1-$C$58)</f>
        <v/>
      </c>
      <c r="F22" s="794" t="n"/>
      <c r="G22" s="794" t="n">
        <v>13.82188803455724</v>
      </c>
      <c r="H22" s="794" t="n">
        <v>0</v>
      </c>
      <c r="I22" s="794" t="n">
        <v>0</v>
      </c>
      <c r="J22" s="794" t="n">
        <v>12.20932122921422</v>
      </c>
      <c r="K22" s="794">
        <f>J22*(1-$C$58)</f>
        <v/>
      </c>
      <c r="L22" s="794" t="n"/>
      <c r="M22" s="794" t="n">
        <v>2.972937373233583</v>
      </c>
      <c r="N22" s="794">
        <f>IFERROR(M22*(1-$C$58),"na")</f>
        <v/>
      </c>
      <c r="O22" s="420" t="n"/>
      <c r="P22" s="794" t="n">
        <v>2.972937373233583</v>
      </c>
      <c r="Q22" s="794">
        <f>IFERROR(P22*(1-$C$58),"na")</f>
        <v/>
      </c>
      <c r="R22" s="381" t="n"/>
      <c r="S22" s="417" t="n"/>
      <c r="T22" s="417" t="inlineStr">
        <is>
          <t>Manufacturer</t>
        </is>
      </c>
      <c r="U22" s="417">
        <f>'VI. Comparables (Description)'!E19</f>
        <v/>
      </c>
    </row>
    <row r="23" ht="15.6" customHeight="1">
      <c r="A23" s="418" t="n"/>
      <c r="B23" s="418" t="n"/>
      <c r="C23" s="419" t="n"/>
      <c r="D23" s="794" t="n"/>
      <c r="E23" s="794" t="n"/>
      <c r="F23" s="794" t="n"/>
      <c r="G23" s="794" t="n"/>
      <c r="H23" s="794" t="n"/>
      <c r="I23" s="794" t="n"/>
      <c r="J23" s="794" t="n"/>
      <c r="K23" s="794" t="n"/>
      <c r="L23" s="794" t="n"/>
      <c r="M23" s="794" t="n"/>
      <c r="N23" s="794" t="n"/>
      <c r="O23" s="420" t="n"/>
      <c r="P23" s="794" t="n"/>
      <c r="Q23" s="794" t="n"/>
      <c r="R23" s="381" t="n"/>
      <c r="S23" s="417" t="n"/>
      <c r="T23" s="417" t="n"/>
      <c r="U23" s="417" t="n"/>
    </row>
    <row r="24" ht="15.75" customHeight="1" thickBot="1">
      <c r="B24" s="396" t="inlineStr">
        <is>
          <t>M&amp;A</t>
        </is>
      </c>
      <c r="C24" s="421" t="n"/>
      <c r="D24" s="422" t="n"/>
      <c r="E24" s="422" t="n"/>
      <c r="F24" s="422" t="n"/>
      <c r="G24" s="422" t="n"/>
      <c r="H24" s="422" t="n"/>
      <c r="I24" s="422" t="n"/>
      <c r="J24" s="422" t="n"/>
      <c r="K24" s="422" t="n"/>
      <c r="L24" s="422" t="n"/>
      <c r="M24" s="422" t="n"/>
      <c r="N24" s="422" t="n"/>
      <c r="O24" s="422" t="n"/>
      <c r="P24" s="422" t="n"/>
      <c r="Q24" s="381" t="n"/>
      <c r="R24" s="381" t="n"/>
      <c r="S24" s="396" t="inlineStr">
        <is>
          <t>Description</t>
        </is>
      </c>
      <c r="T24" s="396" t="inlineStr">
        <is>
          <t>Business Model</t>
        </is>
      </c>
      <c r="U24" s="396" t="inlineStr">
        <is>
          <t>Rationale</t>
        </is>
      </c>
      <c r="V24" s="427" t="n"/>
    </row>
    <row r="25" ht="17.25" customHeight="1">
      <c r="B25" s="418" t="inlineStr">
        <is>
          <t>SPX Flow (Dec 2025)1</t>
        </is>
      </c>
      <c r="C25" s="658" t="n"/>
      <c r="D25" s="794" t="n">
        <v>14.2</v>
      </c>
      <c r="E25" s="794" t="n"/>
      <c r="F25" s="794" t="n"/>
      <c r="G25" s="794" t="n"/>
      <c r="H25" s="794" t="n"/>
      <c r="I25" s="794" t="n"/>
      <c r="J25" s="794" t="n">
        <v>14.2</v>
      </c>
      <c r="K25" s="794" t="n"/>
      <c r="L25" s="794" t="n"/>
      <c r="M25" s="794" t="inlineStr">
        <is>
          <t>N/A</t>
        </is>
      </c>
      <c r="N25" s="794" t="n"/>
      <c r="O25" s="420" t="n"/>
      <c r="P25" s="794" t="inlineStr">
        <is>
          <t>N/A</t>
        </is>
      </c>
      <c r="Q25" s="381" t="n"/>
      <c r="R25" s="381" t="n"/>
      <c r="S25" s="657" t="n"/>
      <c r="T25" s="417" t="inlineStr">
        <is>
          <t>Manufacturer</t>
        </is>
      </c>
      <c r="U25" s="130">
        <f>'VI. Comparables (Description)'!E21</f>
        <v/>
      </c>
      <c r="V25" s="356" t="inlineStr">
        <is>
          <t>Company Press Release</t>
        </is>
      </c>
      <c r="W25" s="659" t="inlineStr">
        <is>
          <t>https://investors.itt.com/news-releases/news-release-details/itt-acquire-spx-flow-significantly-expanding-leadership-position</t>
        </is>
      </c>
    </row>
    <row r="26" ht="17.25" customHeight="1">
      <c r="B26" s="418" t="inlineStr">
        <is>
          <t>Leonard Valve (Dec 2025)2</t>
        </is>
      </c>
      <c r="C26" s="658" t="n"/>
      <c r="D26" s="794" t="n">
        <v>16</v>
      </c>
      <c r="E26" s="794" t="n"/>
      <c r="F26" s="794" t="n"/>
      <c r="G26" s="794" t="n"/>
      <c r="H26" s="794" t="n"/>
      <c r="I26" s="794" t="n"/>
      <c r="J26" s="794" t="n">
        <v>16</v>
      </c>
      <c r="K26" s="794" t="n"/>
      <c r="L26" s="794" t="n"/>
      <c r="M26" s="794" t="inlineStr">
        <is>
          <t>N/A</t>
        </is>
      </c>
      <c r="N26" s="794" t="n"/>
      <c r="O26" s="420" t="n"/>
      <c r="P26" s="794" t="inlineStr">
        <is>
          <t>N/A</t>
        </is>
      </c>
      <c r="Q26" s="381" t="n"/>
      <c r="R26" s="381" t="n"/>
      <c r="S26" s="657" t="n"/>
      <c r="T26" s="417" t="inlineStr">
        <is>
          <t>Manufacturer</t>
        </is>
      </c>
      <c r="U26" s="130">
        <f>'VI. Comparables (Description)'!E22</f>
        <v/>
      </c>
      <c r="V26" s="356" t="inlineStr">
        <is>
          <t>PR Newswire</t>
        </is>
      </c>
      <c r="W26" s="659" t="inlineStr">
        <is>
          <t>https://www.prnewswire.com/news-releases/a-o-smith-to-acquire-leonard-valve-company-a-leader-in-water-temperature-and-flow-solutions-302612994.html</t>
        </is>
      </c>
    </row>
    <row r="27" ht="17.25" customHeight="1">
      <c r="B27" s="418" t="inlineStr">
        <is>
          <t>Chart Industries (Jul 2025)3</t>
        </is>
      </c>
      <c r="C27" s="658" t="n"/>
      <c r="D27" s="794" t="n">
        <v>14.3</v>
      </c>
      <c r="E27" s="794" t="n"/>
      <c r="F27" s="794" t="n"/>
      <c r="G27" s="794" t="n"/>
      <c r="H27" s="794" t="n"/>
      <c r="I27" s="794" t="n"/>
      <c r="J27" s="794" t="n">
        <v>14.3</v>
      </c>
      <c r="K27" s="794" t="n"/>
      <c r="L27" s="794" t="n"/>
      <c r="M27" s="794" t="n">
        <v>3.3</v>
      </c>
      <c r="N27" s="794" t="n"/>
      <c r="O27" s="420" t="n"/>
      <c r="P27" s="794" t="n">
        <v>3.3</v>
      </c>
      <c r="Q27" s="381" t="n"/>
      <c r="R27" s="381" t="n"/>
      <c r="S27" s="657" t="n"/>
      <c r="T27" s="417" t="inlineStr">
        <is>
          <t>Manufacturer</t>
        </is>
      </c>
      <c r="U27" s="661">
        <f>'VI. Comparables (Description)'!E23</f>
        <v/>
      </c>
      <c r="V27" s="356" t="inlineStr">
        <is>
          <t xml:space="preserve">Per BNP Paribas Flow Control Weekly Insight  </t>
        </is>
      </c>
      <c r="W27" s="659" t="n"/>
    </row>
    <row r="28" ht="17.25" customHeight="1">
      <c r="B28" s="418" t="inlineStr">
        <is>
          <t>Noah Actuation (Mar 2025)4</t>
        </is>
      </c>
      <c r="C28" s="658" t="n"/>
      <c r="D28" s="794" t="n">
        <v>12.57142857142857</v>
      </c>
      <c r="E28" s="794" t="n"/>
      <c r="F28" s="794" t="n"/>
      <c r="G28" s="794" t="n"/>
      <c r="H28" s="794" t="n"/>
      <c r="I28" s="794" t="n"/>
      <c r="J28" s="794" t="n">
        <v>12.57142857142857</v>
      </c>
      <c r="K28" s="794" t="n"/>
      <c r="L28" s="794" t="n"/>
      <c r="M28" s="794" t="n">
        <v>2.514285714285714</v>
      </c>
      <c r="N28" s="794" t="n"/>
      <c r="O28" s="420" t="n"/>
      <c r="P28" s="794" t="n">
        <v>2.514285714285714</v>
      </c>
      <c r="Q28" s="381" t="n"/>
      <c r="R28" s="381" t="n"/>
      <c r="S28" s="657" t="n"/>
      <c r="T28" s="417" t="inlineStr">
        <is>
          <t>Manufacturer</t>
        </is>
      </c>
      <c r="U28" s="660">
        <f>'VI. Comparables (Description)'!E24</f>
        <v/>
      </c>
      <c r="V28" s="356" t="inlineStr">
        <is>
          <t>Press Release</t>
        </is>
      </c>
      <c r="W28" s="659" t="inlineStr">
        <is>
          <t>https://newsnreleases.com/2025/03/11/rotork-plc-agrees-to-acquire-noah-actuation/</t>
        </is>
      </c>
    </row>
    <row r="29" ht="17.25" customHeight="1">
      <c r="B29" s="418" t="inlineStr">
        <is>
          <t>Sundyne (Mar 2025)5</t>
        </is>
      </c>
      <c r="C29" s="658" t="n"/>
      <c r="D29" s="794" t="n">
        <v>14.5</v>
      </c>
      <c r="E29" s="794" t="n"/>
      <c r="F29" s="794" t="n"/>
      <c r="G29" s="794" t="n"/>
      <c r="H29" s="794" t="n"/>
      <c r="I29" s="794" t="n"/>
      <c r="J29" s="794" t="n">
        <v>14.5</v>
      </c>
      <c r="K29" s="794" t="n"/>
      <c r="L29" s="794" t="n"/>
      <c r="M29" s="794" t="inlineStr">
        <is>
          <t>N/A</t>
        </is>
      </c>
      <c r="N29" s="794" t="n"/>
      <c r="O29" s="420" t="n"/>
      <c r="P29" s="794" t="inlineStr">
        <is>
          <t>N/A</t>
        </is>
      </c>
      <c r="Q29" s="381" t="n"/>
      <c r="R29" s="381" t="n"/>
      <c r="S29" s="657" t="n"/>
      <c r="T29" s="417" t="inlineStr">
        <is>
          <t>Manufacturer</t>
        </is>
      </c>
      <c r="U29" s="660">
        <f>'VI. Comparables (Description)'!E25</f>
        <v/>
      </c>
      <c r="V29" s="356" t="inlineStr">
        <is>
          <t>Company Press Release</t>
        </is>
      </c>
      <c r="W29" s="659" t="inlineStr">
        <is>
          <t>https://www.honeywell.com/us/en/press/2025/03/honeywell-to-acquire-sundyne-to-expand-critical-equipment-portfolio-and-aftermarket-services</t>
        </is>
      </c>
    </row>
    <row r="30" ht="15.6" customHeight="1">
      <c r="A30" s="418" t="n"/>
      <c r="B30" s="418" t="inlineStr">
        <is>
          <t>CIRCOR (Jun 2023)6</t>
        </is>
      </c>
      <c r="C30" s="419" t="n"/>
      <c r="D30" s="794" t="n">
        <v>13.70967741935484</v>
      </c>
      <c r="E30" s="794" t="n"/>
      <c r="F30" s="794" t="n"/>
      <c r="G30" s="794" t="n">
        <v>13.70967741935484</v>
      </c>
      <c r="H30" s="794" t="n">
        <v>0</v>
      </c>
      <c r="I30" s="794" t="n">
        <v>0</v>
      </c>
      <c r="J30" s="794" t="n">
        <v>13.70967741935484</v>
      </c>
      <c r="K30" s="794" t="n"/>
      <c r="L30" s="794" t="n"/>
      <c r="M30" s="794" t="n">
        <v>2.114427860696517</v>
      </c>
      <c r="N30" s="794" t="n"/>
      <c r="O30" s="420" t="n"/>
      <c r="P30" s="794" t="n">
        <v>2.114427860696517</v>
      </c>
      <c r="Q30" s="794" t="n"/>
      <c r="R30" s="381" t="n"/>
      <c r="S30" s="417" t="n"/>
      <c r="T30" s="417" t="inlineStr">
        <is>
          <t>Manufacturer</t>
        </is>
      </c>
      <c r="U30" s="660">
        <f>'VI. Comparables (Description)'!E26</f>
        <v/>
      </c>
      <c r="V30" s="356" t="inlineStr">
        <is>
          <t>SEC Form DEF 14A</t>
        </is>
      </c>
      <c r="W30" t="inlineStr">
        <is>
          <t>https://www.sec.gov/Archives/edgar/data/1091883/000114036123034666/ny20009611x2_defm14a.htm</t>
        </is>
      </c>
    </row>
    <row r="31" ht="15.6" customHeight="1">
      <c r="A31" s="418" t="n"/>
      <c r="B31" s="418" t="inlineStr">
        <is>
          <t>Velan (Feb 2023)7</t>
        </is>
      </c>
      <c r="C31" s="419" t="n"/>
      <c r="D31" s="794" t="n">
        <v>11.66666666666667</v>
      </c>
      <c r="E31" s="794" t="n"/>
      <c r="F31" s="794" t="n"/>
      <c r="G31" s="794" t="n">
        <v>11.66666666666667</v>
      </c>
      <c r="H31" s="794" t="n">
        <v>0</v>
      </c>
      <c r="I31" s="794" t="n">
        <v>0</v>
      </c>
      <c r="J31" s="794" t="n">
        <v>11.66666666666667</v>
      </c>
      <c r="K31" s="794" t="n"/>
      <c r="L31" s="794" t="n"/>
      <c r="M31" s="794" t="n">
        <v>0.6447368421052632</v>
      </c>
      <c r="N31" s="794" t="n"/>
      <c r="O31" s="420" t="n"/>
      <c r="P31" s="794" t="n">
        <v>0.6447368421052632</v>
      </c>
      <c r="Q31" s="794" t="n"/>
      <c r="R31" s="381" t="n"/>
      <c r="S31" s="417" t="n"/>
      <c r="T31" s="417" t="inlineStr">
        <is>
          <t>Manufacturer</t>
        </is>
      </c>
      <c r="U31" s="660">
        <f>'VI. Comparables (Description)'!E27</f>
        <v/>
      </c>
      <c r="V31" s="356" t="inlineStr">
        <is>
          <t>Business Wire</t>
        </is>
      </c>
      <c r="W31" t="inlineStr">
        <is>
          <t>https://www.businesswire.com/news/home/20230210005080/en/Flowserve-to-Acquire-Velan-in-an-All-cash-Transaction-Valued-at-Approximately-245-million-C329-million</t>
        </is>
      </c>
    </row>
    <row r="32" ht="15.6" customHeight="1">
      <c r="A32" s="418" t="n"/>
      <c r="B32" s="418" t="inlineStr">
        <is>
          <t>Habonim (Apr 2022)8</t>
        </is>
      </c>
      <c r="C32" s="419" t="n"/>
      <c r="D32" s="794" t="inlineStr">
        <is>
          <t>N/A</t>
        </is>
      </c>
      <c r="E32" s="794" t="n"/>
      <c r="F32" s="794" t="n"/>
      <c r="G32" s="794" t="n">
        <v>15</v>
      </c>
      <c r="H32" s="794" t="n">
        <v>0</v>
      </c>
      <c r="I32" s="794" t="n">
        <v>0</v>
      </c>
      <c r="J32" s="794" t="inlineStr">
        <is>
          <t>N/A</t>
        </is>
      </c>
      <c r="K32" s="794" t="n"/>
      <c r="L32" s="794" t="n"/>
      <c r="M32" s="794" t="n">
        <v>3.181818181818182</v>
      </c>
      <c r="N32" s="794" t="n"/>
      <c r="O32" s="420" t="n"/>
      <c r="P32" s="794" t="n">
        <v>3.181818181818182</v>
      </c>
      <c r="Q32" s="794" t="n"/>
      <c r="R32" s="381" t="n"/>
      <c r="S32" s="417" t="n"/>
      <c r="T32" s="417" t="inlineStr">
        <is>
          <t>Manufacturer</t>
        </is>
      </c>
      <c r="U32" s="660">
        <f>'VI. Comparables (Description)'!E28</f>
        <v/>
      </c>
      <c r="V32" s="356" t="inlineStr">
        <is>
          <t>Company Press Release</t>
        </is>
      </c>
      <c r="W32" t="inlineStr">
        <is>
          <t>https://www.itt.com/newsroom/news-releases/2022/itt-acquires-habonim-leading-provider-of-industrial-valves-and-actuators</t>
        </is>
      </c>
    </row>
    <row r="33" ht="15.6" customHeight="1">
      <c r="A33" s="418" t="n"/>
      <c r="B33" s="418" t="inlineStr">
        <is>
          <t>KZ Valve (May 2022)9</t>
        </is>
      </c>
      <c r="C33" s="419" t="n"/>
      <c r="D33" s="794" t="n">
        <v>15</v>
      </c>
      <c r="E33" s="794" t="n"/>
      <c r="F33" s="794" t="n"/>
      <c r="G33" s="794" t="n">
        <v>15.7</v>
      </c>
      <c r="H33" s="794" t="n">
        <v>0</v>
      </c>
      <c r="I33" s="794" t="n">
        <v>0</v>
      </c>
      <c r="J33" s="794" t="n">
        <v>15</v>
      </c>
      <c r="K33" s="794" t="n"/>
      <c r="L33" s="794" t="n"/>
      <c r="M33" s="794" t="n">
        <v>4.285714285714286</v>
      </c>
      <c r="N33" s="794" t="n"/>
      <c r="O33" s="420" t="n"/>
      <c r="P33" s="794" t="n">
        <v>4.285714285714286</v>
      </c>
      <c r="Q33" s="794" t="n"/>
      <c r="R33" s="381" t="n"/>
      <c r="S33" s="417" t="n"/>
      <c r="T33" s="417" t="inlineStr">
        <is>
          <t>Manufacturer</t>
        </is>
      </c>
      <c r="U33" s="660">
        <f>'VI. Comparables (Description)'!E29</f>
        <v/>
      </c>
      <c r="V33" s="426" t="inlineStr">
        <is>
          <t>Email per Scott Morgan (in Salesforce)</t>
        </is>
      </c>
    </row>
    <row r="34" ht="15.6" customHeight="1">
      <c r="A34" s="418" t="n"/>
      <c r="B34" s="418" t="inlineStr">
        <is>
          <t>Hunt Valve (Sep 2021)10</t>
        </is>
      </c>
      <c r="C34" s="419" t="n"/>
      <c r="D34" s="794" t="n">
        <v>15.7</v>
      </c>
      <c r="E34" s="794" t="n"/>
      <c r="F34" s="794" t="n"/>
      <c r="G34" s="794" t="n">
        <v>14</v>
      </c>
      <c r="H34" s="794" t="n">
        <v>0</v>
      </c>
      <c r="I34" s="794" t="n">
        <v>0</v>
      </c>
      <c r="J34" s="794" t="n">
        <v>15.7</v>
      </c>
      <c r="K34" s="794" t="n"/>
      <c r="L34" s="794" t="n"/>
      <c r="M34" s="794" t="n">
        <v>5.8</v>
      </c>
      <c r="N34" s="794" t="n"/>
      <c r="O34" s="420" t="n"/>
      <c r="P34" s="794" t="n">
        <v>5.8</v>
      </c>
      <c r="Q34" s="794" t="n"/>
      <c r="R34" s="381" t="n"/>
      <c r="S34" s="417" t="n"/>
      <c r="T34" s="417" t="inlineStr">
        <is>
          <t>Manufacturer</t>
        </is>
      </c>
      <c r="U34" s="660">
        <f>'VI. Comparables (Description)'!E30</f>
        <v/>
      </c>
      <c r="V34" s="356" t="inlineStr">
        <is>
          <t>Per BMO Precedents (Jun 27, 2024)</t>
        </is>
      </c>
    </row>
    <row r="35" ht="15.6" customHeight="1">
      <c r="A35" s="418" t="n"/>
      <c r="B35" s="418" t="inlineStr">
        <is>
          <t>Red Valve (Jan 2021)11</t>
        </is>
      </c>
      <c r="C35" s="419" t="n"/>
      <c r="D35" s="794" t="n">
        <v>14</v>
      </c>
      <c r="E35" s="794" t="n"/>
      <c r="F35" s="794" t="n"/>
      <c r="G35" s="794" t="n">
        <v>15</v>
      </c>
      <c r="H35" s="794" t="n">
        <v>0</v>
      </c>
      <c r="I35" s="794" t="n">
        <v>0</v>
      </c>
      <c r="J35" s="794" t="n">
        <v>14</v>
      </c>
      <c r="K35" s="794" t="n"/>
      <c r="L35" s="794" t="n"/>
      <c r="M35" s="794" t="n">
        <v>2</v>
      </c>
      <c r="N35" s="794" t="n"/>
      <c r="O35" s="420" t="n"/>
      <c r="P35" s="794" t="n">
        <v>2</v>
      </c>
      <c r="Q35" s="794" t="n"/>
      <c r="R35" s="381" t="n"/>
      <c r="S35" s="417" t="n"/>
      <c r="T35" s="417" t="inlineStr">
        <is>
          <t>Manufacturer</t>
        </is>
      </c>
      <c r="U35" s="660">
        <f>'VI. Comparables (Description)'!E31</f>
        <v/>
      </c>
      <c r="V35" s="356" t="inlineStr">
        <is>
          <t>Per BMO Precedents (Jun 27, 2024)</t>
        </is>
      </c>
    </row>
    <row r="36" ht="15.6" customHeight="1">
      <c r="A36" s="418" t="n"/>
      <c r="B36" s="418" t="inlineStr">
        <is>
          <t>Valmatic (Jan 2021)12</t>
        </is>
      </c>
      <c r="C36" s="419" t="n"/>
      <c r="D36" s="794" t="n">
        <v>11</v>
      </c>
      <c r="E36" s="794" t="n"/>
      <c r="F36" s="794" t="n"/>
      <c r="G36" s="794" t="n">
        <v>0</v>
      </c>
      <c r="H36" s="794" t="n">
        <v>0</v>
      </c>
      <c r="I36" s="794" t="n">
        <v>0</v>
      </c>
      <c r="J36" s="794" t="n">
        <v>11</v>
      </c>
      <c r="K36" s="794" t="n"/>
      <c r="L36" s="794" t="n"/>
      <c r="M36" s="794" t="n">
        <v>1.8</v>
      </c>
      <c r="N36" s="794" t="n"/>
      <c r="O36" s="420" t="n"/>
      <c r="P36" s="794" t="n">
        <v>1.8</v>
      </c>
      <c r="Q36" s="794" t="n"/>
      <c r="R36" s="381" t="n"/>
      <c r="S36" s="417" t="n"/>
      <c r="T36" s="417" t="inlineStr">
        <is>
          <t>Manufacturer</t>
        </is>
      </c>
      <c r="U36" s="660">
        <f>'VI. Comparables (Description)'!E32</f>
        <v/>
      </c>
      <c r="V36" s="356" t="inlineStr">
        <is>
          <t>Per BMO Precedents (Jun 27, 2024)</t>
        </is>
      </c>
    </row>
    <row r="37">
      <c r="A37" s="39" t="n"/>
      <c r="B37" s="66" t="n"/>
      <c r="C37" s="152" t="n"/>
      <c r="D37" s="795" t="n"/>
      <c r="E37" s="159" t="n"/>
      <c r="F37" s="159" t="n"/>
      <c r="G37" s="795" t="n"/>
      <c r="H37" s="159" t="n"/>
      <c r="I37" s="159" t="n"/>
      <c r="J37" s="795" t="n"/>
      <c r="K37" s="159" t="n"/>
      <c r="L37" s="159" t="n"/>
      <c r="M37" s="795" t="n"/>
      <c r="N37" s="159" t="n"/>
      <c r="O37" s="159" t="n"/>
      <c r="P37" s="795" t="n"/>
      <c r="Q37" s="153" t="n"/>
      <c r="R37" s="413" t="n"/>
      <c r="S37" s="64" t="n"/>
      <c r="T37" s="64" t="n"/>
      <c r="U37" s="64" t="n"/>
    </row>
    <row r="38">
      <c r="A38" s="39" t="n"/>
      <c r="B38" s="68" t="inlineStr">
        <is>
          <t>Simple Average</t>
        </is>
      </c>
      <c r="C38" s="154" t="n"/>
      <c r="D38" s="796">
        <f>AVERAGE(D25:D36,D11:D22)</f>
        <v/>
      </c>
      <c r="E38" s="154" t="n"/>
      <c r="F38" s="154" t="n"/>
      <c r="G38" s="796">
        <f>AVERAGE(G30:G35,G11:G19)</f>
        <v/>
      </c>
      <c r="H38" s="154" t="n"/>
      <c r="I38" s="154" t="n"/>
      <c r="J38" s="796">
        <f>IFERROR(AVERAGE(J25:J36,J11:J22),"-")</f>
        <v/>
      </c>
      <c r="K38" s="154" t="n"/>
      <c r="L38" s="154" t="n"/>
      <c r="M38" s="796">
        <f>AVERAGE(M25:M36,M11:M22)</f>
        <v/>
      </c>
      <c r="N38" s="154" t="n"/>
      <c r="O38" s="154" t="n"/>
      <c r="P38" s="796">
        <f>AVERAGE(P25:P36,P11:P22)</f>
        <v/>
      </c>
      <c r="Q38" s="154" t="n"/>
      <c r="R38" s="381" t="n"/>
      <c r="S38" s="58" t="n"/>
      <c r="T38" s="58" t="n"/>
      <c r="U38" s="58" t="n"/>
    </row>
    <row r="39" ht="15" customHeight="1">
      <c r="A39" s="39" t="n"/>
      <c r="B39" s="69" t="inlineStr">
        <is>
          <t>Liquidity Discount (25%) on publics</t>
        </is>
      </c>
      <c r="C39" s="155" t="n"/>
      <c r="D39" s="796">
        <f>AVERAGE(D25:D36,E11:E22)</f>
        <v/>
      </c>
      <c r="E39" s="155" t="n"/>
      <c r="F39" s="155" t="n"/>
      <c r="G39" s="796">
        <f>AVERAGE(G30:G35,H11:H19)</f>
        <v/>
      </c>
      <c r="H39" s="155" t="n"/>
      <c r="I39" s="155" t="n"/>
      <c r="J39" s="796">
        <f>IFERROR(AVERAGE(J25:J36,K11:K22),"-")</f>
        <v/>
      </c>
      <c r="K39" s="155" t="n"/>
      <c r="L39" s="155" t="n"/>
      <c r="M39" s="796">
        <f>AVERAGE(M25:M36,N11:N22)</f>
        <v/>
      </c>
      <c r="N39" s="155" t="n"/>
      <c r="O39" s="155" t="n"/>
      <c r="P39" s="796">
        <f>AVERAGE(P25:P36,Q11:Q22)</f>
        <v/>
      </c>
      <c r="Q39" s="155" t="n"/>
      <c r="R39" s="414" t="n"/>
      <c r="S39" s="58" t="n"/>
      <c r="T39" s="58" t="n"/>
      <c r="U39" s="58" t="n"/>
    </row>
    <row r="40">
      <c r="A40" s="39" t="n"/>
      <c r="B40" s="65" t="n"/>
      <c r="C40" s="65" t="n"/>
      <c r="D40" s="152" t="n"/>
      <c r="E40" s="65" t="n"/>
      <c r="F40" s="65" t="n"/>
      <c r="G40" s="152" t="n"/>
      <c r="H40" s="65" t="n"/>
      <c r="I40" s="65" t="n"/>
      <c r="J40" s="152" t="n"/>
      <c r="K40" s="65" t="n"/>
      <c r="L40" s="65" t="n"/>
      <c r="M40" s="152" t="n"/>
      <c r="N40" s="65" t="n"/>
      <c r="O40" s="65" t="n"/>
      <c r="P40" s="152" t="n"/>
      <c r="Q40" s="65" t="n"/>
      <c r="R40" s="171" t="n"/>
      <c r="S40" s="58" t="n"/>
      <c r="T40" s="58" t="n"/>
      <c r="U40" s="58" t="n"/>
    </row>
    <row r="41" ht="15" customHeight="1">
      <c r="A41" s="39" t="n"/>
      <c r="B41" s="68" t="inlineStr">
        <is>
          <t>Median</t>
        </is>
      </c>
      <c r="C41" s="154" t="n"/>
      <c r="D41" s="796">
        <f>MEDIAN(D25:D36,D11:D22)</f>
        <v/>
      </c>
      <c r="E41" s="154" t="n"/>
      <c r="F41" s="154" t="n"/>
      <c r="G41" s="796">
        <f>MEDIAN(G30:G35,G11:G19)</f>
        <v/>
      </c>
      <c r="H41" s="154" t="n"/>
      <c r="I41" s="154" t="n"/>
      <c r="J41" s="796">
        <f>IFERROR(MEDIAN(J25:J36,J11:J22),"-")</f>
        <v/>
      </c>
      <c r="K41" s="154" t="n"/>
      <c r="L41" s="154" t="n"/>
      <c r="M41" s="796">
        <f>MEDIAN(M25:M36,M11:M22)</f>
        <v/>
      </c>
      <c r="N41" s="154" t="n"/>
      <c r="O41" s="154" t="n"/>
      <c r="P41" s="796">
        <f>MEDIAN(P25:P36,P11:P22)</f>
        <v/>
      </c>
      <c r="Q41" s="154" t="n"/>
      <c r="R41" s="381" t="n"/>
      <c r="S41" s="58" t="n"/>
      <c r="T41" s="58" t="n"/>
      <c r="U41" s="58" t="n"/>
    </row>
    <row r="42" ht="15.75" customHeight="1">
      <c r="A42" s="39" t="n"/>
      <c r="B42" s="69" t="inlineStr">
        <is>
          <t>Liquidity Discount (25%) on publics</t>
        </is>
      </c>
      <c r="C42" s="155" t="n"/>
      <c r="D42" s="796">
        <f>MEDIAN(D25:D36,E11:E22)</f>
        <v/>
      </c>
      <c r="E42" s="155" t="n"/>
      <c r="F42" s="155" t="n"/>
      <c r="G42" s="796">
        <f>MEDIAN(G30:G35,H11:H19)</f>
        <v/>
      </c>
      <c r="H42" s="155" t="n"/>
      <c r="I42" s="155" t="n"/>
      <c r="J42" s="796">
        <f>IFERROR(MEDIAN(J25:J36,K11:K22),"-")</f>
        <v/>
      </c>
      <c r="K42" s="155" t="n"/>
      <c r="L42" s="155" t="n"/>
      <c r="M42" s="796">
        <f>MEDIAN(M25:M36,N11:N22)</f>
        <v/>
      </c>
      <c r="N42" s="155" t="n"/>
      <c r="O42" s="155" t="n"/>
      <c r="P42" s="796">
        <f>MEDIAN(P25:P36,Q11:Q22)</f>
        <v/>
      </c>
      <c r="Q42" s="155" t="n"/>
      <c r="R42" s="414" t="n"/>
      <c r="S42" s="58" t="n"/>
      <c r="T42" s="58" t="n"/>
      <c r="U42" s="58" t="n"/>
    </row>
    <row r="43">
      <c r="A43" s="39" t="n"/>
      <c r="B43" s="18" t="n"/>
      <c r="C43" s="70" t="n"/>
      <c r="D43" s="70" t="n"/>
      <c r="E43" s="70" t="n"/>
      <c r="F43" s="70" t="n"/>
      <c r="G43" s="70" t="n"/>
      <c r="H43" s="70" t="n"/>
      <c r="I43" s="70" t="n"/>
      <c r="J43" s="70" t="n"/>
      <c r="K43" s="70" t="n"/>
      <c r="L43" s="70" t="n"/>
      <c r="M43" s="70" t="n"/>
      <c r="N43" s="70" t="n"/>
      <c r="O43" s="70" t="n"/>
      <c r="P43" s="70" t="n"/>
      <c r="Q43" s="70" t="n"/>
      <c r="R43" s="414" t="n"/>
      <c r="S43" s="58" t="n"/>
      <c r="T43" s="58" t="n"/>
      <c r="U43" s="58" t="n"/>
    </row>
    <row r="44" ht="17.25" customHeight="1">
      <c r="A44" s="39" t="n"/>
      <c r="B44" s="427" t="inlineStr">
        <is>
          <t>1SPX Flow was acquired by ITT for $4,775M</t>
        </is>
      </c>
      <c r="C44" s="70" t="n"/>
      <c r="D44" s="70" t="n"/>
      <c r="E44" s="70" t="n"/>
      <c r="F44" s="70" t="n"/>
      <c r="G44" s="70" t="n"/>
      <c r="H44" s="70" t="n"/>
      <c r="I44" s="70" t="n"/>
      <c r="J44" s="70" t="n"/>
      <c r="K44" s="70" t="n"/>
      <c r="L44" s="70" t="n"/>
      <c r="M44" s="70" t="n"/>
      <c r="N44" s="70" t="n"/>
      <c r="O44" s="70" t="n"/>
      <c r="P44" s="70" t="n"/>
      <c r="Q44" s="70" t="n"/>
      <c r="R44" s="414" t="n"/>
      <c r="S44" s="58" t="n"/>
      <c r="T44" s="58" t="n"/>
      <c r="U44" s="58" t="n"/>
    </row>
    <row r="45" ht="17.25" customHeight="1">
      <c r="A45" s="39" t="n"/>
      <c r="B45" s="427" t="inlineStr">
        <is>
          <t>2Leonard Valve was acquired by A.O. Smith for $470M</t>
        </is>
      </c>
      <c r="C45" s="70" t="n"/>
      <c r="D45" s="70" t="n"/>
      <c r="E45" s="70" t="n"/>
      <c r="F45" s="70" t="n"/>
      <c r="G45" s="70" t="n"/>
      <c r="H45" s="70" t="n"/>
      <c r="I45" s="70" t="n"/>
      <c r="J45" s="70" t="n"/>
      <c r="K45" s="70" t="n"/>
      <c r="L45" s="70" t="n"/>
      <c r="M45" s="70" t="n"/>
      <c r="N45" s="70" t="n"/>
      <c r="O45" s="70" t="n"/>
      <c r="P45" s="70" t="n"/>
      <c r="Q45" s="70" t="n"/>
      <c r="R45" s="414" t="n"/>
      <c r="S45" s="58" t="n"/>
      <c r="T45" s="58" t="n"/>
      <c r="U45" s="58" t="n"/>
    </row>
    <row r="46" ht="17.25" customHeight="1">
      <c r="A46" s="39" t="n"/>
      <c r="B46" s="427" t="inlineStr">
        <is>
          <t>3Chart Industries was acquired by Baker Hughes for $13,600M</t>
        </is>
      </c>
      <c r="C46" s="70" t="n"/>
      <c r="D46" s="70" t="n"/>
      <c r="E46" s="70" t="n"/>
      <c r="F46" s="70" t="n"/>
      <c r="G46" s="70" t="n"/>
      <c r="H46" s="70" t="n"/>
      <c r="I46" s="70" t="n"/>
      <c r="J46" s="70" t="n"/>
      <c r="K46" s="70" t="n"/>
      <c r="L46" s="70" t="n"/>
      <c r="M46" s="70" t="n"/>
      <c r="N46" s="70" t="n"/>
      <c r="O46" s="70" t="n"/>
      <c r="P46" s="70" t="n"/>
      <c r="Q46" s="70" t="n"/>
      <c r="R46" s="414" t="n"/>
      <c r="S46" s="58" t="n"/>
      <c r="T46" s="58" t="n"/>
      <c r="U46" s="58" t="n"/>
    </row>
    <row r="47" ht="17.25" customHeight="1">
      <c r="A47" s="39" t="n"/>
      <c r="B47" s="427" t="inlineStr">
        <is>
          <t>4Noah Actuation was acquired by Rotork for £44M</t>
        </is>
      </c>
      <c r="C47" s="70" t="n"/>
      <c r="D47" s="70" t="n"/>
      <c r="E47" s="70" t="n"/>
      <c r="F47" s="70" t="n"/>
      <c r="G47" s="70" t="n"/>
      <c r="H47" s="70" t="n"/>
      <c r="I47" s="70" t="n"/>
      <c r="J47" s="70" t="n"/>
      <c r="K47" s="70" t="n"/>
      <c r="L47" s="70" t="n"/>
      <c r="M47" s="70" t="n"/>
      <c r="N47" s="70" t="n"/>
      <c r="O47" s="70" t="n"/>
      <c r="P47" s="70" t="n"/>
      <c r="Q47" s="70" t="n"/>
      <c r="R47" s="414" t="n"/>
      <c r="S47" s="58" t="n"/>
      <c r="T47" s="58" t="n"/>
      <c r="U47" s="58" t="n"/>
    </row>
    <row r="48" ht="17.25" customHeight="1">
      <c r="A48" s="39" t="n"/>
      <c r="B48" s="427" t="inlineStr">
        <is>
          <t>5Sundyne was acquired by Honeywell for $2,160M</t>
        </is>
      </c>
      <c r="C48" s="70" t="n"/>
      <c r="D48" s="70" t="n"/>
      <c r="E48" s="70" t="n"/>
      <c r="F48" s="70" t="n"/>
      <c r="G48" s="70" t="n"/>
      <c r="H48" s="70" t="n"/>
      <c r="I48" s="70" t="n"/>
      <c r="J48" s="70" t="n"/>
      <c r="K48" s="70" t="n"/>
      <c r="L48" s="70" t="n"/>
      <c r="M48" s="70" t="n"/>
      <c r="N48" s="70" t="n"/>
      <c r="O48" s="70" t="n"/>
      <c r="P48" s="70" t="n"/>
      <c r="Q48" s="70" t="n"/>
      <c r="R48" s="414" t="n"/>
      <c r="S48" s="58" t="n"/>
      <c r="T48" s="58" t="n"/>
      <c r="U48" s="58" t="n"/>
    </row>
    <row r="49" ht="17.25" customHeight="1">
      <c r="A49" s="39" t="n"/>
      <c r="B49" s="429" t="inlineStr">
        <is>
          <t>6Circor was acquired by KKR for $1,700M</t>
        </is>
      </c>
      <c r="C49" s="70" t="n"/>
      <c r="D49" s="70" t="n"/>
      <c r="E49" s="70" t="n"/>
      <c r="F49" s="70" t="n"/>
      <c r="G49" s="70" t="n"/>
      <c r="H49" s="70" t="n"/>
      <c r="I49" s="70" t="n"/>
      <c r="J49" s="70" t="n"/>
      <c r="K49" s="70" t="n"/>
      <c r="L49" s="70" t="n"/>
      <c r="M49" s="70" t="n"/>
      <c r="N49" s="70" t="n"/>
      <c r="O49" s="70" t="n"/>
      <c r="P49" s="70" t="n"/>
      <c r="Q49" s="70" t="n"/>
      <c r="R49" s="414" t="n"/>
      <c r="S49" s="58" t="n"/>
      <c r="T49" s="58" t="n"/>
      <c r="U49" s="58" t="n"/>
    </row>
    <row r="50" ht="17.25" customHeight="1">
      <c r="A50" s="39" t="n"/>
      <c r="B50" s="429" t="inlineStr">
        <is>
          <t>7Velan was acquired by Flowserve for $245M</t>
        </is>
      </c>
      <c r="C50" s="70" t="n"/>
      <c r="D50" s="70" t="n"/>
      <c r="E50" s="70" t="n"/>
      <c r="F50" s="70" t="n"/>
      <c r="G50" s="70" t="n"/>
      <c r="H50" s="70" t="n"/>
      <c r="I50" s="70" t="n"/>
      <c r="J50" s="70" t="n"/>
      <c r="K50" s="70" t="n"/>
      <c r="L50" s="70" t="n"/>
      <c r="M50" s="70" t="n"/>
      <c r="N50" s="70" t="n"/>
      <c r="O50" s="70" t="n"/>
      <c r="P50" s="70" t="n"/>
      <c r="Q50" s="70" t="n"/>
      <c r="R50" s="414" t="n"/>
      <c r="S50" s="58" t="n"/>
      <c r="T50" s="58" t="n"/>
      <c r="U50" s="58" t="n"/>
    </row>
    <row r="51" ht="17.25" customHeight="1">
      <c r="A51" s="39" t="n"/>
      <c r="B51" s="429" t="inlineStr">
        <is>
          <t>8 Habonim was acquired by ITT for $140M</t>
        </is>
      </c>
      <c r="C51" s="70" t="n"/>
      <c r="D51" s="70" t="n"/>
      <c r="E51" s="70" t="n"/>
      <c r="F51" s="70" t="n"/>
      <c r="G51" s="70" t="n"/>
      <c r="H51" s="70" t="n"/>
      <c r="I51" s="70" t="n"/>
      <c r="J51" s="70" t="n"/>
      <c r="K51" s="70" t="n"/>
      <c r="L51" s="70" t="n"/>
      <c r="M51" s="70" t="n"/>
      <c r="N51" s="70" t="n"/>
      <c r="O51" s="70" t="n"/>
      <c r="P51" s="70" t="n"/>
      <c r="Q51" s="70" t="n"/>
      <c r="R51" s="414" t="n"/>
      <c r="S51" s="58" t="n"/>
      <c r="T51" s="58" t="n"/>
      <c r="U51" s="58" t="n"/>
    </row>
    <row r="52" ht="17.25" customHeight="1">
      <c r="A52" s="39" t="n"/>
      <c r="B52" s="429" t="inlineStr">
        <is>
          <t>9KZ Valve was acquired by IDEX for $120M</t>
        </is>
      </c>
      <c r="C52" s="70" t="n"/>
      <c r="D52" s="70" t="n"/>
      <c r="E52" s="70" t="n"/>
      <c r="F52" s="70" t="n"/>
      <c r="G52" s="70" t="n"/>
      <c r="H52" s="70" t="n"/>
      <c r="I52" s="70" t="n"/>
      <c r="J52" s="70" t="n"/>
      <c r="K52" s="70" t="n"/>
      <c r="L52" s="70" t="n"/>
      <c r="M52" s="70" t="n"/>
      <c r="N52" s="70" t="n"/>
      <c r="O52" s="70" t="n"/>
      <c r="P52" s="70" t="n"/>
      <c r="Q52" s="70" t="n"/>
      <c r="R52" s="414" t="n"/>
      <c r="S52" s="58" t="n"/>
      <c r="T52" s="58" t="n"/>
      <c r="U52" s="58" t="n"/>
    </row>
    <row r="53" ht="17.25" customHeight="1">
      <c r="A53" s="39" t="n"/>
      <c r="B53" s="429" t="inlineStr">
        <is>
          <t>10Hunt Valve was acquired by Fairbanks Morse Defense for $360M</t>
        </is>
      </c>
      <c r="C53" s="70" t="n"/>
      <c r="D53" s="391" t="n"/>
      <c r="E53" s="70" t="n"/>
      <c r="F53" s="70" t="n"/>
      <c r="G53" s="70" t="n"/>
      <c r="H53" s="70" t="n"/>
      <c r="I53" s="70" t="n"/>
      <c r="J53" s="70" t="n"/>
      <c r="K53" s="70" t="n"/>
      <c r="L53" s="70" t="n"/>
      <c r="M53" s="70" t="n"/>
      <c r="N53" s="70" t="n"/>
      <c r="O53" s="70" t="n"/>
      <c r="P53" s="70" t="n"/>
      <c r="Q53" s="70" t="n"/>
      <c r="R53" s="414" t="n"/>
      <c r="S53" s="58" t="n"/>
      <c r="T53" s="58" t="n"/>
      <c r="U53" s="58" t="n"/>
    </row>
    <row r="54" ht="17.25" customHeight="1">
      <c r="A54" s="39" t="n"/>
      <c r="B54" s="429" t="inlineStr">
        <is>
          <t>11Red Valve was acquired by DeZURIK for $63M</t>
        </is>
      </c>
      <c r="C54" s="70" t="n"/>
      <c r="D54" s="70" t="n"/>
      <c r="E54" s="70" t="n"/>
      <c r="F54" s="70" t="n"/>
      <c r="G54" s="70" t="n"/>
      <c r="H54" s="70" t="n"/>
      <c r="I54" s="70" t="n"/>
      <c r="J54" s="70" t="n"/>
      <c r="K54" s="70" t="n"/>
      <c r="L54" s="70" t="n"/>
      <c r="M54" s="70" t="n"/>
      <c r="N54" s="70" t="n"/>
      <c r="O54" s="70" t="n"/>
      <c r="P54" s="70" t="n"/>
      <c r="Q54" s="70" t="n"/>
      <c r="R54" s="414" t="n"/>
      <c r="S54" s="58" t="n"/>
      <c r="T54" s="58" t="n"/>
      <c r="U54" s="58" t="n"/>
    </row>
    <row r="55" ht="17.25" customHeight="1">
      <c r="A55" s="39" t="n"/>
      <c r="B55" s="429" t="inlineStr">
        <is>
          <t>12Valmatic was acquired by AY McDonald for $120M</t>
        </is>
      </c>
      <c r="C55" s="70" t="n"/>
      <c r="D55" s="70" t="n"/>
      <c r="E55" s="70" t="n"/>
      <c r="F55" s="70" t="n"/>
      <c r="G55" s="70" t="n"/>
      <c r="H55" s="70" t="n"/>
      <c r="I55" s="70" t="n"/>
      <c r="J55" s="70" t="n"/>
      <c r="K55" s="70" t="n"/>
      <c r="L55" s="70" t="n"/>
      <c r="M55" s="70" t="n"/>
      <c r="N55" s="70" t="n"/>
      <c r="O55" s="70" t="n"/>
      <c r="P55" s="70" t="n"/>
      <c r="Q55" s="70" t="n"/>
      <c r="R55" s="414" t="n"/>
      <c r="S55" s="58" t="n"/>
      <c r="T55" s="58" t="n"/>
      <c r="U55" s="58" t="n"/>
    </row>
    <row r="56">
      <c r="A56" s="39" t="n"/>
      <c r="B56" s="427" t="n"/>
      <c r="C56" s="70" t="n"/>
      <c r="D56" s="70" t="n"/>
      <c r="E56" s="70" t="n"/>
      <c r="F56" s="70" t="n"/>
      <c r="G56" s="70" t="n"/>
      <c r="H56" s="70" t="n"/>
      <c r="I56" s="70" t="n"/>
      <c r="J56" s="70" t="n"/>
      <c r="K56" s="70" t="n"/>
      <c r="L56" s="70" t="n"/>
      <c r="M56" s="70" t="n"/>
      <c r="N56" s="70" t="n"/>
      <c r="O56" s="70" t="n"/>
      <c r="P56" s="70" t="n"/>
      <c r="Q56" s="70" t="n"/>
      <c r="R56" s="414" t="n"/>
      <c r="S56" s="58" t="n"/>
      <c r="T56" s="58" t="n"/>
      <c r="U56" s="58" t="n"/>
    </row>
    <row r="57">
      <c r="B57" s="18" t="n"/>
      <c r="C57" s="58" t="n"/>
      <c r="D57" s="58" t="n"/>
      <c r="E57" s="58" t="n"/>
      <c r="F57" s="58" t="n"/>
      <c r="G57" s="58" t="n"/>
      <c r="H57" s="58" t="n"/>
      <c r="I57" s="58" t="n"/>
      <c r="J57" s="58" t="n"/>
      <c r="K57" s="58" t="n"/>
      <c r="L57" s="58" t="n"/>
      <c r="M57" s="58" t="n"/>
      <c r="N57" s="58" t="n"/>
      <c r="O57" s="58" t="n"/>
      <c r="P57" s="58" t="n"/>
      <c r="Q57" s="58" t="n"/>
      <c r="S57" s="58" t="n"/>
      <c r="T57" s="58" t="n"/>
      <c r="U57" s="58" t="n"/>
    </row>
    <row r="58">
      <c r="B58" s="72" t="inlineStr">
        <is>
          <t>Liquidity Discount</t>
        </is>
      </c>
      <c r="C58" s="73" t="n">
        <v>0.25</v>
      </c>
      <c r="D58" s="425" t="n"/>
      <c r="E58" s="425" t="n"/>
      <c r="F58" s="425" t="n"/>
      <c r="G58" s="425" t="n"/>
      <c r="H58" s="425" t="n"/>
      <c r="I58" s="425" t="n"/>
      <c r="J58" s="425" t="n"/>
      <c r="K58" s="425" t="n"/>
      <c r="L58" s="425" t="n"/>
      <c r="M58" s="425" t="n"/>
      <c r="N58" s="425" t="n"/>
      <c r="O58" s="425" t="n"/>
      <c r="P58" s="425" t="n"/>
      <c r="Q58" s="425" t="n"/>
      <c r="R58" s="425" t="n"/>
      <c r="S58" s="58" t="n"/>
      <c r="T58" s="58" t="n"/>
      <c r="U58" s="58" t="n"/>
    </row>
    <row r="59">
      <c r="B59" s="58" t="n"/>
      <c r="C59" s="58" t="n"/>
      <c r="D59" s="58" t="n"/>
      <c r="E59" s="58" t="n"/>
      <c r="F59" s="58" t="n"/>
      <c r="G59" s="58" t="n"/>
      <c r="H59" s="58" t="n"/>
      <c r="I59" s="58" t="n"/>
      <c r="J59" s="58" t="n"/>
      <c r="K59" s="58" t="n"/>
      <c r="L59" s="58" t="n"/>
      <c r="M59" s="58" t="n"/>
      <c r="N59" s="58" t="n"/>
      <c r="O59" s="58" t="n"/>
      <c r="P59" s="58" t="n"/>
      <c r="Q59" s="58" t="n"/>
      <c r="S59" s="58" t="n"/>
      <c r="T59" s="58" t="n"/>
      <c r="U59" s="58" t="n"/>
    </row>
    <row r="60">
      <c r="B60" s="75" t="n"/>
      <c r="C60" s="65" t="n"/>
      <c r="D60" s="65" t="n"/>
      <c r="E60" s="65" t="n"/>
      <c r="F60" s="65" t="n"/>
      <c r="G60" s="65" t="n"/>
      <c r="H60" s="65" t="n"/>
      <c r="I60" s="65" t="n"/>
      <c r="J60" s="65" t="n"/>
      <c r="K60" s="65" t="n"/>
      <c r="L60" s="65" t="n"/>
      <c r="M60" s="65" t="n"/>
      <c r="N60" s="65" t="n"/>
      <c r="O60" s="65" t="n"/>
      <c r="P60" s="65" t="n"/>
      <c r="Q60" s="65" t="n"/>
      <c r="R60" s="171" t="n"/>
      <c r="S60" s="58" t="n"/>
      <c r="T60" s="58" t="n"/>
      <c r="U60" s="58" t="n"/>
    </row>
    <row r="61">
      <c r="B61" s="75" t="n"/>
      <c r="C61" s="65" t="n"/>
      <c r="D61" s="797" t="n"/>
      <c r="E61" s="65" t="n"/>
      <c r="F61" s="65" t="n"/>
      <c r="G61" s="797" t="n"/>
      <c r="H61" s="65" t="n"/>
      <c r="I61" s="65" t="n"/>
      <c r="J61" s="797" t="n"/>
      <c r="K61" s="65" t="n"/>
      <c r="L61" s="65" t="n"/>
      <c r="M61" s="797" t="n"/>
      <c r="N61" s="65" t="n"/>
      <c r="O61" s="65" t="n"/>
      <c r="P61" s="797" t="n"/>
      <c r="Q61" s="65" t="n"/>
      <c r="R61" s="171" t="n"/>
    </row>
    <row r="62">
      <c r="D62" s="798" t="n"/>
      <c r="G62" s="798" t="n"/>
      <c r="J62" s="798" t="n"/>
      <c r="M62" s="798" t="n"/>
      <c r="P62" s="798" t="n"/>
    </row>
    <row r="65">
      <c r="B65" s="58" t="inlineStr">
        <is>
          <t>min</t>
        </is>
      </c>
      <c r="C65" s="58" t="n"/>
      <c r="D65" s="799">
        <f>MIN(D11:D35)</f>
        <v/>
      </c>
      <c r="E65" s="58" t="n"/>
      <c r="F65" s="58" t="n"/>
      <c r="G65" s="799">
        <f>MIN(G11:G35)</f>
        <v/>
      </c>
      <c r="H65" s="58" t="n"/>
      <c r="I65" s="58" t="n"/>
      <c r="J65" s="799">
        <f>MIN(J11:J35)</f>
        <v/>
      </c>
      <c r="K65" s="58" t="n"/>
      <c r="L65" s="58" t="n"/>
      <c r="M65" s="799">
        <f>MIN(M11:M35)</f>
        <v/>
      </c>
      <c r="N65" s="58" t="n"/>
      <c r="O65" s="58" t="n"/>
      <c r="P65" s="799">
        <f>MIN(P11:P35)</f>
        <v/>
      </c>
    </row>
    <row r="66">
      <c r="B66" s="58" t="inlineStr">
        <is>
          <t>max</t>
        </is>
      </c>
      <c r="C66" s="58" t="n"/>
      <c r="D66" s="799">
        <f>MAX(D11:D35)</f>
        <v/>
      </c>
      <c r="E66" s="58" t="n"/>
      <c r="F66" s="58" t="n"/>
      <c r="G66" s="799">
        <f>MAX(G11:G35)</f>
        <v/>
      </c>
      <c r="H66" s="58" t="n"/>
      <c r="I66" s="58" t="n"/>
      <c r="J66" s="799">
        <f>MAX(J11:J35)</f>
        <v/>
      </c>
      <c r="K66" s="58" t="n"/>
      <c r="L66" s="58" t="n"/>
      <c r="M66" s="799">
        <f>MAX(M11:M35)</f>
        <v/>
      </c>
      <c r="N66" s="58" t="n"/>
      <c r="O66" s="58" t="n"/>
      <c r="P66" s="799">
        <f>MAX(P11:P35)</f>
        <v/>
      </c>
    </row>
    <row r="73">
      <c r="D73" s="800" t="n"/>
    </row>
    <row r="74">
      <c r="D74" s="800" t="n"/>
    </row>
    <row r="75">
      <c r="D75" s="800" t="n"/>
    </row>
    <row r="76">
      <c r="D76" s="800" t="n"/>
    </row>
    <row r="77">
      <c r="D77" s="800" t="n"/>
    </row>
    <row r="78">
      <c r="D78" s="800" t="n"/>
    </row>
    <row r="79">
      <c r="D79" s="800" t="n"/>
    </row>
    <row r="80">
      <c r="D80" s="800" t="n"/>
    </row>
    <row r="81">
      <c r="D81" s="800" t="n"/>
    </row>
    <row r="82">
      <c r="D82" s="800" t="n"/>
    </row>
    <row r="83">
      <c r="D83" s="800" t="n"/>
    </row>
    <row r="84">
      <c r="D84" s="800" t="n"/>
    </row>
    <row r="85">
      <c r="D85" s="800" t="n"/>
    </row>
    <row r="86">
      <c r="D86" s="800" t="n"/>
    </row>
    <row r="87">
      <c r="D87" s="800" t="n"/>
    </row>
    <row r="88">
      <c r="D88" s="800" t="n"/>
    </row>
    <row r="89">
      <c r="D89" s="800" t="n"/>
    </row>
    <row r="90">
      <c r="D90" s="800" t="n"/>
    </row>
    <row r="93">
      <c r="D93" s="801" t="n"/>
    </row>
  </sheetData>
  <conditionalFormatting sqref="A11:Q23">
    <cfRule type="expression" priority="32" dxfId="2">
      <formula>MOD(ROW(),2)=0</formula>
    </cfRule>
  </conditionalFormatting>
  <conditionalFormatting sqref="A30:Q36">
    <cfRule type="expression" priority="27" dxfId="2">
      <formula>MOD(ROW(),2)=0</formula>
    </cfRule>
  </conditionalFormatting>
  <conditionalFormatting sqref="B25:C29">
    <cfRule type="expression" priority="7" dxfId="2">
      <formula>MOD(ROW(),2)=0</formula>
    </cfRule>
  </conditionalFormatting>
  <conditionalFormatting sqref="D25:I28">
    <cfRule type="expression" priority="3" dxfId="2">
      <formula>MOD(ROW(),2)=0</formula>
    </cfRule>
  </conditionalFormatting>
  <conditionalFormatting sqref="D29:P29">
    <cfRule type="expression" priority="29" dxfId="2">
      <formula>MOD(ROW(),2)=0</formula>
    </cfRule>
  </conditionalFormatting>
  <conditionalFormatting sqref="K25:P28">
    <cfRule type="expression" priority="1" dxfId="2">
      <formula>MOD(ROW(),2)=0</formula>
    </cfRule>
  </conditionalFormatting>
  <conditionalFormatting sqref="J25:J29 S11:U23 S30:U36 T25:T29">
    <cfRule type="expression" priority="51" dxfId="2">
      <formula>MOD(ROW(),2)=0</formula>
    </cfRule>
  </conditionalFormatting>
  <conditionalFormatting sqref="U27:U29">
    <cfRule type="expression" priority="13" dxfId="2">
      <formula>MOD(ROW(),2)=0</formula>
    </cfRule>
  </conditionalFormatting>
  <pageMargins left="0.7086614173228347" right="0.7086614173228347" top="0.7480314960629921" bottom="0.7480314960629921" header="0.3149606299212598" footer="0.3149606299212598"/>
  <pageSetup orientation="portrait" scale="64" fitToHeight="0"/>
  <legacyDrawing xmlns:r="http://schemas.openxmlformats.org/officeDocument/2006/relationships" r:id="anysvml"/>
</worksheet>
</file>

<file path=xl/worksheets/sheet8.xml><?xml version="1.0" encoding="utf-8"?>
<worksheet xmlns="http://schemas.openxmlformats.org/spreadsheetml/2006/main">
  <sheetPr>
    <tabColor theme="4"/>
    <outlinePr summaryBelow="1" summaryRight="1"/>
    <pageSetUpPr fitToPage="1"/>
  </sheetPr>
  <dimension ref="A1:E55"/>
  <sheetViews>
    <sheetView showGridLines="0" view="pageBreakPreview" topLeftCell="A29" zoomScaleNormal="55" zoomScaleSheetLayoutView="100" workbookViewId="0">
      <selection activeCell="A1" sqref="A1"/>
    </sheetView>
  </sheetViews>
  <sheetFormatPr baseColWidth="8" defaultColWidth="9.140625" defaultRowHeight="15"/>
  <cols>
    <col width="2.7109375" customWidth="1" min="1" max="1"/>
    <col width="57.5703125" bestFit="1" customWidth="1" min="2" max="2"/>
    <col width="72.42578125" customWidth="1" min="3" max="3"/>
    <col width="36.7109375" customWidth="1" min="4" max="4"/>
    <col width="58.140625" customWidth="1" min="5" max="5"/>
  </cols>
  <sheetData>
    <row r="1" ht="18.75" customFormat="1" customHeight="1" s="122">
      <c r="B1" s="403" t="inlineStr">
        <is>
          <t>Opus Water, Inc</t>
        </is>
      </c>
    </row>
    <row r="2" ht="16.5" customFormat="1" customHeight="1" s="122" thickBot="1">
      <c r="B2" s="404" t="inlineStr">
        <is>
          <t>Comparables (Description)</t>
        </is>
      </c>
      <c r="C2" s="123" t="n"/>
      <c r="D2" s="123" t="n"/>
      <c r="E2" s="123" t="n"/>
    </row>
    <row r="3" ht="13.5" customFormat="1" customHeight="1" s="53" thickTop="1">
      <c r="B3" s="405">
        <f>'I. Cover Page'!$B$9</f>
        <v/>
      </c>
      <c r="C3" s="55" t="n"/>
      <c r="D3" s="55" t="n"/>
      <c r="E3" s="55" t="n"/>
    </row>
    <row r="4">
      <c r="A4" s="393" t="n"/>
      <c r="C4" s="58" t="n"/>
      <c r="D4" s="58" t="n"/>
      <c r="E4" s="58" t="n"/>
    </row>
    <row r="5">
      <c r="B5" s="57" t="inlineStr">
        <is>
          <t>Public Company Comparables - Opus Water</t>
        </is>
      </c>
      <c r="C5" s="394" t="n"/>
      <c r="D5" s="394" t="n"/>
      <c r="E5" s="394" t="n"/>
    </row>
    <row r="6">
      <c r="B6" s="394" t="n"/>
      <c r="C6" s="394" t="n"/>
      <c r="D6" s="394" t="n"/>
      <c r="E6" s="394" t="n"/>
    </row>
    <row r="7" ht="15.75" customHeight="1" thickBot="1">
      <c r="A7" s="59" t="n"/>
      <c r="B7" s="395" t="inlineStr">
        <is>
          <t>Public Companies</t>
        </is>
      </c>
      <c r="C7" s="396" t="inlineStr">
        <is>
          <t>Description</t>
        </is>
      </c>
      <c r="D7" s="396" t="inlineStr">
        <is>
          <t>Business Model</t>
        </is>
      </c>
      <c r="E7" s="396" t="inlineStr">
        <is>
          <t>Rationale</t>
        </is>
      </c>
    </row>
    <row r="8" ht="80.09999999999999" customHeight="1">
      <c r="A8" s="397" t="n"/>
      <c r="B8" s="398" t="inlineStr">
        <is>
          <t>Emerson Electric</t>
        </is>
      </c>
      <c r="C8" s="802" t="inlineStr">
        <is>
          <t>Emerson Electric focuses on automation through Intelligent Devices and Software Control. It specializes in process manufacturing solutions</t>
        </is>
      </c>
      <c r="D8" s="802" t="inlineStr">
        <is>
          <t>Manufacturer</t>
        </is>
      </c>
      <c r="E8" s="802" t="inlineStr">
        <is>
          <t>Manufacturer of industrial automation products including flow control. Engineered products platform would be complementary to Emerson’s intelligent devices segment (valves, actuators, etc.) M&amp;A identified in growth strategy</t>
        </is>
      </c>
    </row>
    <row r="9" ht="80.09999999999999" customHeight="1">
      <c r="A9" s="65" t="n"/>
      <c r="B9" s="67" t="inlineStr">
        <is>
          <t>Xylem</t>
        </is>
      </c>
      <c r="C9" s="803" t="inlineStr">
        <is>
          <t>Xylem is a global leader in water technology, providing solutions for water transport, treatment, testing, and efficient use across various sectors</t>
        </is>
      </c>
      <c r="D9" s="803" t="inlineStr">
        <is>
          <t>Manufacturer</t>
        </is>
      </c>
      <c r="E9" s="803" t="inlineStr">
        <is>
          <t xml:space="preserve">Pure-play water equipment and software provider. Applied Water and Water Infrastructure segment would benefit from the addition of Opus Water as extension of current portfolio which includes engineered products </t>
        </is>
      </c>
    </row>
    <row r="10" ht="80.09999999999999" customHeight="1">
      <c r="A10" s="397" t="n"/>
      <c r="B10" s="398" t="inlineStr">
        <is>
          <t>IDEX</t>
        </is>
      </c>
      <c r="C10" s="802" t="inlineStr">
        <is>
          <t>IDEX manufactures pumps, flow meters, valves, and fluidic systems for industrial, fire and safety, life science, and water markets</t>
        </is>
      </c>
      <c r="D10" s="802" t="inlineStr">
        <is>
          <t>Manufacturer</t>
        </is>
      </c>
      <c r="E10" s="802" t="inlineStr">
        <is>
          <t>Was one of the groups that made it to the final round in the Red Valve process. Highly acquisitive manufacturer of technical engineered products. Have made recent acquisition in the valve space. M&amp;A strategy is focused on margins and will pay a premium if target fits in their sandbox</t>
        </is>
      </c>
    </row>
    <row r="11" ht="80.09999999999999" customHeight="1">
      <c r="A11" s="65" t="n"/>
      <c r="B11" s="67" t="inlineStr">
        <is>
          <t>Graco</t>
        </is>
      </c>
      <c r="C11" s="803" t="inlineStr">
        <is>
          <t>Graco manufactures equipment for managing fluids, coatings, and adhesives, specializing in hard-to-handle materials</t>
        </is>
      </c>
      <c r="D11" s="803" t="inlineStr">
        <is>
          <t>Manufacturer</t>
        </is>
      </c>
      <c r="E11" s="803" t="inlineStr">
        <is>
          <t>Manufacturer of fluid handling and control solutions for hard to handle fluids. Relatively acquisitive across all business segments. Opus Water would provide added control capabilities and specializes in corrosive fluids</t>
        </is>
      </c>
    </row>
    <row r="12" ht="80.09999999999999" customHeight="1">
      <c r="A12" s="397" t="n"/>
      <c r="B12" s="398" t="inlineStr">
        <is>
          <t>Curtiss-Wright</t>
        </is>
      </c>
      <c r="C12" s="802" t="inlineStr">
        <is>
          <t>Curtiss-Wright delivers engineered products like control systems, pumps, valves, and weapons handling systems to commercial, defense, and industrial markets</t>
        </is>
      </c>
      <c r="D12" s="802" t="inlineStr">
        <is>
          <t>Manufacturer</t>
        </is>
      </c>
      <c r="E12" s="802" t="inlineStr">
        <is>
          <t>Manufacturer of engineered products, ~33% of revenue derived from industrial market. M&amp;A continues to be a top strategic priority. Acquired Dyna-Flo for their valve portfolio in FY20- (annual sales of $25M)</t>
        </is>
      </c>
    </row>
    <row r="13" ht="80.09999999999999" customHeight="1">
      <c r="A13" s="65" t="n"/>
      <c r="B13" s="67" t="inlineStr">
        <is>
          <t xml:space="preserve">ITT </t>
        </is>
      </c>
      <c r="C13" s="803" t="inlineStr">
        <is>
          <t>ITT is a diversified industrial company with over $3 billion in sales, offering brake pads, shock absorbers, pumps, valves, and connectors</t>
        </is>
      </c>
      <c r="D13" s="803" t="inlineStr">
        <is>
          <t>Manufacturer</t>
        </is>
      </c>
      <c r="E13" s="803" t="inlineStr">
        <is>
          <t>Manufacturer of critical engineered components, Industrial Process segment provide pumps, valves, and control systems across industrial applications, while Connect &amp; Control Technologies provide flow control components for critical applications, both would benefit from Opus Water offerings</t>
        </is>
      </c>
    </row>
    <row r="14" ht="80.09999999999999" customHeight="1">
      <c r="A14" s="397" t="n"/>
      <c r="B14" s="398" t="inlineStr">
        <is>
          <t>Valmet</t>
        </is>
      </c>
      <c r="C14" s="802" t="inlineStr">
        <is>
          <t>Valmet supplies technologies, automation solutions, and services to the pulp, paper, and energy industries</t>
        </is>
      </c>
      <c r="D14" s="802" t="inlineStr">
        <is>
          <t>Manufacturer</t>
        </is>
      </c>
      <c r="E14" s="802" t="inlineStr">
        <is>
          <t>European based manufacturer of engineered products, focusing mainly on industrial applications. Owners of Neles who manufacture pinch valves (Flowrox) who compete with Onyx. Only 20% of sales in North America, an engineered products platform would provide a strong foothold for expansion into this territory</t>
        </is>
      </c>
    </row>
    <row r="15" ht="80.09999999999999" customHeight="1">
      <c r="A15" s="65" t="n"/>
      <c r="B15" s="67" t="inlineStr">
        <is>
          <t>IMI</t>
        </is>
      </c>
      <c r="C15" s="803" t="inlineStr">
        <is>
          <t>IMI plc is an engineering company specializing in valves and actuators for controlling air and fluid movement, serving sectors like energy, transportation, and infrastructure</t>
        </is>
      </c>
      <c r="D15" s="803" t="inlineStr">
        <is>
          <t>Manufacturer</t>
        </is>
      </c>
      <c r="E15" s="803" t="inlineStr">
        <is>
          <t>Engineered products manufacturer based in European who is highly acquisitive with 3 acquisitions in FY22. Precision and Critical Engineering divisions are complementary to Opus Water platform</t>
        </is>
      </c>
    </row>
    <row r="16" ht="80.09999999999999" customHeight="1">
      <c r="A16" s="397" t="n"/>
      <c r="B16" s="398" t="inlineStr">
        <is>
          <t>Watts Water Technologies</t>
        </is>
      </c>
      <c r="C16" s="802" t="inlineStr">
        <is>
          <t>Watts Water Technologies Inc. offers safety, energy efficiency, and water conservation products for residential, commercial, and industrial applications</t>
        </is>
      </c>
      <c r="D16" s="802" t="inlineStr">
        <is>
          <t>Manufacturer</t>
        </is>
      </c>
      <c r="E16" s="802" t="inlineStr">
        <is>
          <t xml:space="preserve">Water product focused manufacturer of control, treatment and safety equipment. Established line of control valves. </t>
        </is>
      </c>
    </row>
    <row r="17" ht="80.09999999999999" customHeight="1">
      <c r="A17" s="65" t="n"/>
      <c r="B17" s="67" t="inlineStr">
        <is>
          <t>Flowserve</t>
        </is>
      </c>
      <c r="C17" s="803" t="inlineStr">
        <is>
          <t>Flowserve Corp. manufactures flow control systems, including pumps, valves, and seals, for industries like O&amp;G, chemical, power generation, and water management</t>
        </is>
      </c>
      <c r="D17" s="803" t="inlineStr">
        <is>
          <t>Manufacturer</t>
        </is>
      </c>
      <c r="E17" s="803" t="inlineStr">
        <is>
          <t>Specialized provider of fluid motion and control solutions, with well-established valve and actuator product lines.</t>
        </is>
      </c>
    </row>
    <row r="18" ht="80.09999999999999" customHeight="1">
      <c r="A18" s="397" t="n"/>
      <c r="B18" s="398" t="inlineStr">
        <is>
          <t>Rotork</t>
        </is>
      </c>
      <c r="C18" s="802" t="inlineStr">
        <is>
          <t>Rotork designs actuators and industrial components for markets like O&amp;G, water and power, and chemicals. Its product range includes electric and fluid actuators, gearboxes, valve accessories, and pneumatic valves</t>
        </is>
      </c>
      <c r="D18" s="802" t="inlineStr">
        <is>
          <t>Manufacturer</t>
        </is>
      </c>
      <c r="E18" s="802" t="inlineStr">
        <is>
          <t>Actuator and control solutions, with a well-established presence in the water and wastewater sector. Addition of Opus Water would increase product breadth and applications</t>
        </is>
      </c>
    </row>
    <row r="19" ht="80.09999999999999" customHeight="1">
      <c r="A19" s="65" t="n"/>
      <c r="B19" s="67" t="inlineStr">
        <is>
          <t>Mueller Water Products</t>
        </is>
      </c>
      <c r="C19" s="803" t="inlineStr">
        <is>
          <t>Mueller Water Products, Inc. manufactures products for the transmission, distribution, and measurement of water</t>
        </is>
      </c>
      <c r="D19" s="803" t="inlineStr">
        <is>
          <t>Manufacturer</t>
        </is>
      </c>
      <c r="E19" s="803" t="inlineStr">
        <is>
          <t>Water products manufacturer with a complementary portfolio. End-market focus on construction and municipal repair and rehabilitation align with Opus Water product portfolio</t>
        </is>
      </c>
    </row>
    <row r="20" ht="20.1" customHeight="1" thickBot="1">
      <c r="A20" s="59" t="n"/>
      <c r="B20" s="395" t="inlineStr">
        <is>
          <t>M&amp;A</t>
        </is>
      </c>
      <c r="C20" s="396" t="inlineStr">
        <is>
          <t>Description</t>
        </is>
      </c>
      <c r="D20" s="396" t="inlineStr">
        <is>
          <t>Business Model</t>
        </is>
      </c>
      <c r="E20" s="396" t="inlineStr">
        <is>
          <t>Rationale</t>
        </is>
      </c>
    </row>
    <row r="21" ht="60" customHeight="1">
      <c r="A21" s="397" t="n"/>
      <c r="B21" s="398" t="inlineStr">
        <is>
          <t>SPX Flow (Dec 2025)1</t>
        </is>
      </c>
      <c r="C21" s="802" t="inlineStr">
        <is>
          <t>Provider of pumps, valves, mixers, and heat exchangers delivering engineered process solutions for efficient fluid handling across industrial sectors</t>
        </is>
      </c>
      <c r="D21" s="802" t="inlineStr">
        <is>
          <t>Manufacturer</t>
        </is>
      </c>
      <c r="E21" s="802" t="inlineStr">
        <is>
          <t>Included as relevant since SPX Flow is a major provider of industrial flow control solutions, including pumps, valves, and mixers</t>
        </is>
      </c>
    </row>
    <row r="22" ht="60" customHeight="1">
      <c r="A22" s="65" t="n"/>
      <c r="B22" s="67" t="inlineStr">
        <is>
          <t>Leonard Valve (Dec 2025)2</t>
        </is>
      </c>
      <c r="C22" s="803" t="inlineStr">
        <is>
          <t>Expert in water temperature control valves and thermostatic mixing systems for precise and safe fluid flow in plumbing and industrial settings</t>
        </is>
      </c>
      <c r="D22" s="803" t="inlineStr">
        <is>
          <t>Manufacturer</t>
        </is>
      </c>
      <c r="E22" s="803" t="inlineStr">
        <is>
          <t>Included as relevant since Leonard Valve is a specialized producer of engineered temperature‑control valves critical to safe and precise fluid regulation</t>
        </is>
      </c>
    </row>
    <row r="23" ht="60" customHeight="1">
      <c r="A23" s="397" t="n"/>
      <c r="B23" s="398" t="inlineStr">
        <is>
          <t>Chart Industries (Jul 2025)3</t>
        </is>
      </c>
      <c r="C23" s="802" t="inlineStr">
        <is>
          <t>Leader in cryogenic and process equipment-heat exchangers, cold boxes, and storage systems-essential for fluid flow in LNG, hydrogen, and industrial gas applications</t>
        </is>
      </c>
      <c r="D23" s="802" t="inlineStr">
        <is>
          <t>Manufacturer</t>
        </is>
      </c>
      <c r="E23" s="802" t="inlineStr">
        <is>
          <t>Included as relevant since Chart is a major manufacturer of engineered cryogenic and process equipment used across LNG, hydrogen, and industrial gas flow systems</t>
        </is>
      </c>
    </row>
    <row r="24" ht="60" customHeight="1">
      <c r="A24" s="65" t="n"/>
      <c r="B24" s="67" t="inlineStr">
        <is>
          <t>Noah Actuation (Mar 2025)4</t>
        </is>
      </c>
      <c r="C24" s="803" t="inlineStr">
        <is>
          <t>South Korean manufacturer of electric actuators used in industrial applications</t>
        </is>
      </c>
      <c r="D24" s="803" t="inlineStr">
        <is>
          <t>Manufacturer</t>
        </is>
      </c>
      <c r="E24" s="803" t="inlineStr">
        <is>
          <t>Included as relevant due to complementary products (actuators). Supports attractiveness to strategic acquirors considering Rotork is a leading global provider of flow control solutions</t>
        </is>
      </c>
    </row>
    <row r="25" ht="60" customHeight="1">
      <c r="A25" s="397" t="n"/>
      <c r="B25" s="398" t="inlineStr">
        <is>
          <t>Sundyne (Mar 2025)5</t>
        </is>
      </c>
      <c r="C25" s="802" t="inlineStr">
        <is>
          <t>Leader in the design, manufacturing and aftermarket support of highly-engineered pumps and gas compressors used in high-pressure, high-speed, and critical service applications</t>
        </is>
      </c>
      <c r="D25" s="802" t="inlineStr">
        <is>
          <t>Manufacturer</t>
        </is>
      </c>
      <c r="E25" s="802" t="inlineStr">
        <is>
          <t>Included as relevant as Sundyne is a global manufacturer of highly specialized pumps used in mission-critical industrial applications requiring precise control of high-pressure fluid and gas flow</t>
        </is>
      </c>
    </row>
    <row r="26" ht="60" customHeight="1">
      <c r="A26" s="65" t="n"/>
      <c r="B26" s="67" t="inlineStr">
        <is>
          <t>CIRCOR (Jun 2023)6</t>
        </is>
      </c>
      <c r="C26" s="803" t="inlineStr">
        <is>
          <t>Global manufacturer of engineered valves, pumps, and flow control products for industries like O&amp;G, power, and aerospace</t>
        </is>
      </c>
      <c r="D26" s="803" t="inlineStr">
        <is>
          <t>Manufacturer</t>
        </is>
      </c>
      <c r="E26" s="803" t="inlineStr">
        <is>
          <t xml:space="preserve">Included as relevant since CIRCOR is a large industrial flow control product manufacturer. Supports attractiveness by financial and strategic acquirors </t>
        </is>
      </c>
    </row>
    <row r="27" ht="60" customHeight="1">
      <c r="A27" s="397" t="n"/>
      <c r="B27" s="398" t="inlineStr">
        <is>
          <t>Velan (Feb 2023)7</t>
        </is>
      </c>
      <c r="C27" s="802" t="inlineStr">
        <is>
          <t>Leading manufacturer of industrial valves for critical applications in industries such as oil and gas, power, and chemical processing</t>
        </is>
      </c>
      <c r="D27" s="802" t="inlineStr">
        <is>
          <t>Manufacturer</t>
        </is>
      </c>
      <c r="E27" s="802" t="inlineStr">
        <is>
          <t>Included as relevant as Velan is a specialized and highly technical valve manufacturer. As of Oct 2023 deal to terminate as blocked by France regulators due to defense consolidation</t>
        </is>
      </c>
    </row>
    <row r="28" ht="60" customHeight="1">
      <c r="A28" s="65" t="n"/>
      <c r="B28" s="67" t="inlineStr">
        <is>
          <t>Habonim (Apr 2022)8</t>
        </is>
      </c>
      <c r="C28" s="803" t="inlineStr">
        <is>
          <t>Global leader in the design and manufacturing of industrial valves, actuators, and control systems specializing in high-quality solutions for critical flow control applications</t>
        </is>
      </c>
      <c r="D28" s="803" t="inlineStr">
        <is>
          <t>Manufacturer</t>
        </is>
      </c>
      <c r="E28" s="803" t="inlineStr">
        <is>
          <t>Included as relevant due to complementary products (industrial valve and actuators), sold for a similar size to what Opus Water is targeting</t>
        </is>
      </c>
    </row>
    <row r="29" ht="60" customHeight="1">
      <c r="A29" s="397" t="n"/>
      <c r="B29" s="398" t="inlineStr">
        <is>
          <t>KZ Valve (May 2022)9</t>
        </is>
      </c>
      <c r="C29" s="802" t="inlineStr">
        <is>
          <t>Leading manufacturer of high-performance valves and actuation systems, known for providing reliable and durable valve solutions for critical applications</t>
        </is>
      </c>
      <c r="D29" s="802" t="inlineStr">
        <is>
          <t>Manufacturer</t>
        </is>
      </c>
      <c r="E29" s="802" t="inlineStr">
        <is>
          <t>Included as KZ was  a previous XPV target, manufacturer of electric valves and controllers with an attractive margin profile. Revenues of ~$28M validates focus on margins vs. only scale</t>
        </is>
      </c>
    </row>
    <row r="30" ht="60" customHeight="1">
      <c r="A30" s="65" t="n"/>
      <c r="B30" s="67" t="inlineStr">
        <is>
          <t>Hunt Valve (Sep 2021)10</t>
        </is>
      </c>
      <c r="C30" s="803" t="inlineStr">
        <is>
          <t xml:space="preserve">Global provider of precision valves, specializing in high-pressure, high-temperature, and high-performance applications </t>
        </is>
      </c>
      <c r="D30" s="803" t="inlineStr">
        <is>
          <t>Manufacturer</t>
        </is>
      </c>
      <c r="E30" s="803" t="inlineStr">
        <is>
          <t xml:space="preserve">Included as Hunt is a highly technical manufacture of engineered control products. Fairbanks Morse is PE-backed </t>
        </is>
      </c>
    </row>
    <row r="31" ht="60" customHeight="1">
      <c r="A31" s="397" t="n"/>
      <c r="B31" s="398" t="inlineStr">
        <is>
          <t>Red Valve (Jan 2021)11</t>
        </is>
      </c>
      <c r="C31" s="802" t="inlineStr">
        <is>
          <t>Leading manufacturer of industrial valves and flow control products, specializing in durable, reliable valve products designed for demanding applications</t>
        </is>
      </c>
      <c r="D31" s="802" t="inlineStr">
        <is>
          <t>Manufacturer</t>
        </is>
      </c>
      <c r="E31" s="802" t="inlineStr">
        <is>
          <t>Included as Red Valve is Onyx’s primary competitor</t>
        </is>
      </c>
    </row>
    <row r="32" ht="60" customHeight="1">
      <c r="A32" s="65" t="n"/>
      <c r="B32" s="67" t="inlineStr">
        <is>
          <t>Valmatic (Jan 2021)12</t>
        </is>
      </c>
      <c r="C32" s="803" t="inlineStr">
        <is>
          <t>Manufacturer of valves and related products, offering solutions for water treatment, power generation, and industrial applications. The company specializes in a wide range of valve types (i.e. check, ball, and butterfly valves)</t>
        </is>
      </c>
      <c r="D32" s="803" t="inlineStr">
        <is>
          <t>Manufacturer</t>
        </is>
      </c>
      <c r="E32" s="803" t="inlineStr">
        <is>
          <t xml:space="preserve">Included as relevant given Valmatic is a flow control manufacturer with overlapping portfolio </t>
        </is>
      </c>
    </row>
    <row r="33" ht="12" customHeight="1">
      <c r="B33" s="65" t="n"/>
      <c r="C33" s="803" t="n"/>
      <c r="D33" s="804" t="n"/>
      <c r="E33" s="804" t="n"/>
    </row>
    <row r="34" ht="12" customHeight="1">
      <c r="B34" s="65" t="n"/>
      <c r="C34" s="803" t="n"/>
      <c r="D34" s="804" t="n"/>
      <c r="E34" s="804" t="n"/>
    </row>
    <row r="35" ht="17.25" customHeight="1">
      <c r="B35" s="427" t="inlineStr">
        <is>
          <t>1SPX Flow was acquired by ITT for $4,775M</t>
        </is>
      </c>
      <c r="C35" s="58" t="n"/>
      <c r="D35" s="58" t="n"/>
      <c r="E35" s="58" t="n"/>
    </row>
    <row r="36" ht="17.25" customHeight="1">
      <c r="B36" s="427" t="inlineStr">
        <is>
          <t>2Leonard Valve was acquired by A.O. Smith for $470M</t>
        </is>
      </c>
      <c r="C36" s="58" t="n"/>
      <c r="D36" s="58" t="n"/>
      <c r="E36" s="58" t="n"/>
    </row>
    <row r="37" ht="17.25" customHeight="1">
      <c r="B37" s="427" t="inlineStr">
        <is>
          <t>3Chart Industries was acquired by Baker Hughes for $13,600M</t>
        </is>
      </c>
      <c r="C37" s="58" t="n"/>
      <c r="D37" s="58" t="n"/>
      <c r="E37" s="58" t="n"/>
    </row>
    <row r="38" ht="17.25" customHeight="1">
      <c r="B38" s="427" t="inlineStr">
        <is>
          <t>4Noah Actuation was acquired by Rotork for £44M</t>
        </is>
      </c>
      <c r="C38" s="58" t="n"/>
      <c r="D38" s="58" t="n"/>
      <c r="E38" s="58" t="n"/>
    </row>
    <row r="39" ht="17.25" customHeight="1">
      <c r="B39" s="427" t="inlineStr">
        <is>
          <t>5Sundyne was acquired by Honeywell for $2,160M</t>
        </is>
      </c>
      <c r="C39" s="58" t="n"/>
      <c r="D39" s="58" t="n"/>
      <c r="E39" s="58" t="n"/>
    </row>
    <row r="40" ht="17.25" customHeight="1">
      <c r="B40" s="429" t="inlineStr">
        <is>
          <t>6Circor was acquired by KKR for $1,700M</t>
        </is>
      </c>
      <c r="C40" s="803" t="n"/>
      <c r="D40" s="804" t="n"/>
      <c r="E40" s="804" t="n"/>
    </row>
    <row r="41" ht="17.25" customHeight="1">
      <c r="B41" s="429" t="inlineStr">
        <is>
          <t>7Velan was acquired by Flowserve for $245M</t>
        </is>
      </c>
      <c r="C41" s="803" t="n"/>
      <c r="D41" s="804" t="n"/>
      <c r="E41" s="804" t="n"/>
    </row>
    <row r="42" ht="17.25" customHeight="1">
      <c r="B42" s="429" t="inlineStr">
        <is>
          <t>8 Habonim was acquired by ITT for $140M</t>
        </is>
      </c>
      <c r="C42" s="803" t="n"/>
      <c r="D42" s="804" t="n"/>
      <c r="E42" s="804" t="n"/>
    </row>
    <row r="43" ht="17.25" customHeight="1">
      <c r="B43" s="429" t="inlineStr">
        <is>
          <t>9KZ Valve was acquired by IDEX for $120M</t>
        </is>
      </c>
      <c r="C43" s="805" t="n"/>
      <c r="D43" s="805" t="n"/>
      <c r="E43" s="805" t="n"/>
    </row>
    <row r="44" ht="17.25" customHeight="1">
      <c r="B44" s="429" t="inlineStr">
        <is>
          <t>10Hunt Valve was acquired by Fairbanks Morse Defense for $360M</t>
        </is>
      </c>
      <c r="C44" s="58" t="n"/>
      <c r="D44" s="58" t="n"/>
      <c r="E44" s="58" t="n"/>
    </row>
    <row r="45" ht="17.25" customHeight="1">
      <c r="B45" s="429" t="inlineStr">
        <is>
          <t>11Red Valve was acquired by DeZURIK for $63M</t>
        </is>
      </c>
      <c r="C45" s="58" t="n"/>
      <c r="D45" s="58" t="n"/>
      <c r="E45" s="58" t="n"/>
    </row>
    <row r="46" ht="17.25" customHeight="1">
      <c r="B46" s="429" t="inlineStr">
        <is>
          <t>12Valmatic was acquired by AY McDonald for $120M</t>
        </is>
      </c>
      <c r="C46" s="58" t="n"/>
      <c r="D46" s="58" t="n"/>
      <c r="E46" s="58" t="n"/>
    </row>
    <row r="47">
      <c r="B47" s="427" t="n"/>
      <c r="C47" s="58" t="n"/>
      <c r="D47" s="58" t="n"/>
      <c r="E47" s="58" t="n"/>
    </row>
    <row r="48">
      <c r="B48" s="71" t="n"/>
      <c r="C48" s="58" t="n"/>
      <c r="D48" s="58" t="n"/>
      <c r="E48" s="58" t="n"/>
    </row>
    <row r="49">
      <c r="B49" s="58" t="n"/>
      <c r="C49" s="58" t="n"/>
      <c r="D49" s="58" t="n"/>
      <c r="E49" s="58" t="n"/>
    </row>
    <row r="50">
      <c r="B50" s="58" t="n"/>
      <c r="C50" s="58" t="n"/>
      <c r="D50" s="58" t="n"/>
      <c r="E50" s="58" t="n"/>
    </row>
    <row r="51">
      <c r="B51" s="58" t="n"/>
      <c r="C51" s="58" t="n"/>
      <c r="D51" s="58" t="n"/>
      <c r="E51" s="58" t="n"/>
    </row>
    <row r="52">
      <c r="B52" s="58" t="n"/>
      <c r="C52" s="58" t="n"/>
      <c r="D52" s="58" t="n"/>
      <c r="E52" s="58" t="n"/>
    </row>
    <row r="53" ht="80.09999999999999" customHeight="1">
      <c r="A53" s="65" t="n"/>
      <c r="B53" s="67" t="inlineStr">
        <is>
          <t>SVANEHOJ (Nov 2023)</t>
        </is>
      </c>
      <c r="C53" s="803" t="inlineStr">
        <is>
          <t>Leading provider of customized pumps and related services particularly focusing on handling critical liquids such as LNG, LPG, methanol, and ammonia</t>
        </is>
      </c>
      <c r="D53" s="803" t="inlineStr">
        <is>
          <t>Manufacturer</t>
        </is>
      </c>
      <c r="E53" s="806" t="n"/>
    </row>
    <row r="54">
      <c r="B54" s="58" t="n"/>
      <c r="C54" s="58" t="n"/>
      <c r="D54" s="58" t="n"/>
      <c r="E54" s="58" t="n"/>
    </row>
    <row r="55">
      <c r="B55" s="58" t="n"/>
      <c r="C55" s="58" t="n"/>
      <c r="D55" s="58" t="n"/>
      <c r="E55" s="58" t="n"/>
    </row>
  </sheetData>
  <pageMargins left="0.7" right="0.7" top="0.75" bottom="0.75" header="0.3" footer="0.3"/>
  <pageSetup orientation="landscape" scale="54" fitToHeight="0"/>
  <rowBreaks count="1" manualBreakCount="1">
    <brk id="18" min="1" max="4" man="1"/>
  </rowBreaks>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H4sIAAAAAAAEAO3YCVCUZRgAYJYbBI8RU8vJFRXNluVGQFCOXQ5dYGFXwJBgWX5l5Wd33YNcwsxbNHWEwTJHSxFLHc0LzzETUxHCMiUntTSdcsSbTCub7PtW3o9vxf/PSZxpHGBY+Pd49n2/9/2OxU5gZ2f3EH3h3/jLwx7dpMk1JnVhrE5XJFRa9IxRKNPkG1QGi0iYwRiMGp02KtA/MFQcgL79RcI4M2syG5goLWM2GVSsSCg357Ma9TjGotQVMdoorZllnbCvIGyulc1tY8UKxqBRsZpSVT7LxKnUhUzHe15X6vQypoRhrVcSjdqEwkCvdUSuS1tUrnG6Yr3KwBhcE1XGQoWmlPFEQWSoWDMjV2kMRjsHOwfXCoHCYjQxxeI4HcsyVsYoTmC06A3V8Fs61Yze3GQBLy8gO7vtVQqTQaOdLBIWG9U6A6vJbx+SYLE//v738cgfOVIVog4JDQgPCmb8w8Jzclw32vMEReeQF/hcIxFlP0uJHisNervObqOcnOwc3KC4m9wc0A3+ccM94Ij/+j/WFk8qFxyhNWj84/BpV7WfstqOD9DS1DVcTztceGo4FDEWpxI8JALHcZ0YMLadndFN9wyx8NHkwc81urmg+5zwTWe+24uxrK9/cTq3AO2/GvVzXNKDYEmfgP9ww/V3g1UTP+awrmswn2bFvIdWzK6h+i+rZUInBWtdKbuhmyEpExQRSUqlNENo0gnT0elVa2aUymT/UL8gfz8UcMh4hcTDEz0zJl5nKFaZjM9wwL6L6t5ZGeBp+FKktUtGF+XmxqrURag34jUMWzAgUsIY1QaNHjfV4w/2jXyUx+P32wsce7dlKLaqjy5w5niwXJ19Wq/nNXp6RLs7taI0nvRcvAy4WAuVm2vnCq8U3EFPxx3v3BPGO16m4B1vwS30dDxYrs71b9/27XnuwRh3wU10jd/Zat4A0wtdDcZmprLNlMYmKSUxHchrhJSfe6vRuzQw2l3QQpNXgeyHSVlqSkR6ajoveYWQ+umObMDMAET+QpM/AzmAL/Nw2rxMzJqm4AG3duDML9HmT2AKsYnDTEpO4h/NC8Qc3TJj21ovZxTnj7T5A5hDYDSlyR1StwnzHCEDWiwNzS5BiDxLk98DORxSJwXiCvMMMZ0XhOXdPolaTfAdbTaDKUJXPolSWURGjCy549S1ifQUUV3e6z1smPYuGtBvafUkqP4QadYEGX+kXxPzXqGXunJ2dxTpCdpsAjOYL3ubOBuJef+DkuP9BT2R2UCbx8EMQ1dCUng/jgodI552ZfP+iG9EyDtKe0fAi8QeiZHLO0w84+355QXNuOJ1tHcIvGh0NfSx6nDMoIMEbX64/WYPozdCP6fRA4BK+NZqm0D3E9P71fCxwk09kLmPNveCmQjdHpfJT+4mZOXw+Z5z9vRH5C6arAVShnPHpDA5M4a/iXYQNGin5PKcE3hWbqfRbYDKIU6yenAM52eEXLP0xm+1O30RuYUmNwOphOEkE50rzE3E3HppYP8v/uqNzI20uQHMLDDbc+eI8xNiDvVYOC/bguNcT5s1YE6E1EnZOcjq9mnep6j1TB8/RK6lyTVA5kG7W1PnavePnrDAraa9VeAVkBClWbwhriTk9UmS1ANyvF18SJMrgCyEpZ3sQFyd+T4xJ/u8cz0qDa9Ey2mzCkwWdjWyXXCEWUnIzKMXzl5MGIHICppcBqSefxm2UZcStW7c1fMb57aiZXgJrS4G1YSuvOlZyRHnIiLGxXWrri8aheJcSIvlIE6DilubiKvi84m3bkudT4sFl2ce7c0FrwwqTjYKjhBnE/JY65e/nijATTSLJmcC+S66eqW9KRUdopvRRjnPwh/vB8cnSWWSlFRlfOr4FIm7YHobig+FgjJA5/JtaDZ6KQk0xf5mRd3fePOx0IFOA7McXQ2E6nANZQnhdslLvUZ9FYk4M82ZgFsMISYkJPCHaCCm9vThK0e98Bo8lTb1YC6D8hCTozxaQiZUl7sV/I7LU0yTLJBVuCepTudKfAoRX2641vdB1VAkamixEMQVZD+DVYMr8UnEHBQWPzA1EteGoc0CMFfxnN5sEs8npGnrpPI7tcGIVNFkHpBr+OpjY75JzOUNjZqmZlyfHNqcCGYN7JEoTDn6tMtgVqFiGWOH3N8g6O4lpfpr9Tj3CW0o/veTIAvQDXynYRszg5iilI+3nPJyReZ4OlAlmJth3bDOH66apxOvqih1da+UEOSl0Z4cvG085w2bsUwhZLD+WNCfLv0QmUyTMiBr+XYKG3MsMW8ELBjkE++JzCTaTARzL6RtPW5wpR1PvD/O+9YLpXgPl9KeBLwD6GpQ+7mAC4wl4Myq6t0xZWIExtBgNICHIEBrU3J5o4k3pXLKacUiPLujaC8SvCN8hyEbM4KYfvtOeOrN+DAUTpthYB7nm982hQklZkNFVE1Wcy9khtBmMJhNvIdLm0ADCVqZNnLMRaMLQgNo1B/Qk2RzxIFyDaaYeEPu3y3YcxAfr3xpTwReM3w6sXYklzeCeGUXjoxtWoo/jb9Ged3+Af5l97n1HAAA</t>
        </is>
      </c>
    </row>
  </sheetData>
  <pageMargins left="0.7" right="0.7" top="0.75" bottom="0.75" header="0.3" footer="0.3"/>
</worksheet>
</file>

<file path=xl/worksheets/sheet10.xml><?xml version="1.0" encoding="utf-8"?>
<worksheet xmlns="http://schemas.openxmlformats.org/spreadsheetml/2006/main">
  <sheetPr>
    <tabColor theme="6"/>
    <outlinePr summaryBelow="1" summaryRight="1"/>
    <pageSetUpPr fitToPage="1"/>
  </sheetPr>
  <dimension ref="A1:O53"/>
  <sheetViews>
    <sheetView showGridLines="0" view="pageBreakPreview" zoomScale="85" zoomScaleNormal="70" zoomScaleSheetLayoutView="85" workbookViewId="0">
      <selection activeCell="A23" sqref="A23:I44"/>
    </sheetView>
  </sheetViews>
  <sheetFormatPr baseColWidth="8" defaultColWidth="9.140625" defaultRowHeight="15"/>
  <cols>
    <col width="21.140625" customWidth="1" style="81" min="1" max="1"/>
    <col width="13.140625" customWidth="1" style="81" min="2" max="2"/>
    <col width="17" customWidth="1" style="81" min="3" max="3"/>
    <col width="14.85546875" customWidth="1" style="81" min="4" max="4"/>
    <col width="13.140625" customWidth="1" style="81" min="5" max="5"/>
    <col width="14.85546875" customWidth="1" style="81" min="6" max="6"/>
    <col width="15" customWidth="1" style="81" min="7" max="7"/>
    <col width="13.5703125" customWidth="1" style="81" min="8" max="8"/>
    <col width="17.42578125" customWidth="1" style="81" min="9" max="9"/>
    <col width="9.140625" customWidth="1" style="81" min="10" max="10"/>
    <col width="8.42578125" customWidth="1" style="81" min="11" max="11"/>
    <col width="9.140625" customWidth="1" style="81" min="12" max="16384"/>
  </cols>
  <sheetData>
    <row r="1" ht="15" customHeight="1">
      <c r="A1" s="312" t="n"/>
      <c r="B1" s="265" t="n"/>
      <c r="C1" s="265" t="n"/>
      <c r="D1" s="265" t="n"/>
      <c r="E1" s="265" t="n"/>
      <c r="F1" s="265" t="n"/>
      <c r="G1" s="265" t="n"/>
      <c r="H1" s="807">
        <f>'I. Cover Page'!B9</f>
        <v/>
      </c>
    </row>
    <row r="2" ht="15" customHeight="1">
      <c r="A2" s="266" t="inlineStr">
        <is>
          <t>Opus Water, Inc.</t>
        </is>
      </c>
      <c r="B2" s="267" t="n"/>
      <c r="C2" s="267" t="n"/>
      <c r="D2" s="268" t="n"/>
      <c r="E2" s="268" t="n"/>
      <c r="F2" s="268" t="n"/>
      <c r="G2" s="268" t="n"/>
      <c r="H2" s="268" t="n"/>
      <c r="I2" s="267" t="n"/>
    </row>
    <row r="3" ht="15" customHeight="1">
      <c r="A3" s="267" t="n"/>
      <c r="B3" s="267" t="n"/>
      <c r="C3" s="267" t="n"/>
      <c r="D3" s="268" t="n"/>
      <c r="E3" s="268" t="n"/>
      <c r="F3" s="268" t="n"/>
      <c r="G3" s="268" t="n"/>
      <c r="H3" s="268" t="n"/>
      <c r="I3" s="268" t="n"/>
    </row>
    <row r="4" ht="15" customHeight="1">
      <c r="A4" s="269" t="n"/>
      <c r="B4" s="267" t="n"/>
      <c r="C4" s="267" t="n"/>
      <c r="D4" s="268" t="n"/>
      <c r="E4" s="268" t="n"/>
      <c r="F4" s="268" t="n"/>
      <c r="G4" s="268" t="n"/>
      <c r="H4" s="268" t="n"/>
      <c r="I4" s="268" t="n"/>
    </row>
    <row r="5" ht="15" customHeight="1">
      <c r="A5" s="265" t="n"/>
      <c r="B5" s="265" t="n"/>
      <c r="C5" s="265" t="n"/>
      <c r="D5" s="265" t="n"/>
      <c r="E5" s="265" t="n"/>
      <c r="F5" s="265" t="n"/>
      <c r="G5" s="265" t="n"/>
      <c r="H5" s="265" t="n"/>
      <c r="I5" s="265" t="n"/>
    </row>
    <row r="6" ht="15" customHeight="1">
      <c r="A6" s="116" t="inlineStr">
        <is>
          <t>Business Description:</t>
        </is>
      </c>
      <c r="B6" s="117" t="n"/>
      <c r="C6" s="117" t="n"/>
      <c r="D6" s="117" t="n"/>
      <c r="E6" s="270" t="n"/>
      <c r="F6" s="116" t="inlineStr">
        <is>
          <t>Investment Overview:</t>
        </is>
      </c>
      <c r="G6" s="93" t="n"/>
      <c r="H6" s="117" t="n"/>
      <c r="I6" s="270" t="n"/>
    </row>
    <row r="7" ht="15" customHeight="1">
      <c r="A7" s="808" t="inlineStr">
        <is>
          <t>Opus Water, Inc (“Opus” or “the Company”) is XPV’s engineered products platform, focused on acquiring manufacturers of specialty flow control products used primarily in municipal and industrial applications. 
Opus brings together complementary manufacturers of engineered products and related components, with an emphasis on “high wear” applications due to the necessity of application expertise to deliver reliable differentiated solutions and the opportunity for high margin aftermarket sales. Because these components are critical to the safe handling of water, and that the infrastructure or systems in which they are installed would fail without them, M&amp;A efforts are focused on owner-operated companies that have achieved the “safe hands” status for their customers. These are also companies that can benefit from additional channels to market, synergies in procurement, and other resources that they access as part of the Opus platform.</t>
        </is>
      </c>
      <c r="B7" s="809" t="n"/>
      <c r="C7" s="809" t="n"/>
      <c r="D7" s="809" t="n"/>
      <c r="E7" s="810" t="n"/>
      <c r="F7" s="271" t="inlineStr">
        <is>
          <t>Initial Investment Date</t>
        </is>
      </c>
      <c r="G7" s="98" t="n"/>
      <c r="H7" s="272" t="n"/>
      <c r="I7" s="361" t="inlineStr">
        <is>
          <t>December 21, 2023</t>
        </is>
      </c>
      <c r="K7" s="265" t="n"/>
    </row>
    <row r="8" ht="15" customHeight="1">
      <c r="A8" s="811" t="n"/>
      <c r="E8" s="812" t="n"/>
      <c r="F8" s="273" t="inlineStr">
        <is>
          <t>Lead Partner</t>
        </is>
      </c>
      <c r="I8" s="274" t="inlineStr">
        <is>
          <t>Sam Saintonge</t>
        </is>
      </c>
      <c r="K8" s="265" t="n"/>
    </row>
    <row r="9" ht="15" customHeight="1">
      <c r="A9" s="811" t="n"/>
      <c r="E9" s="812" t="n"/>
      <c r="F9" s="273" t="inlineStr">
        <is>
          <t>Fully Diluted Ownership1</t>
        </is>
      </c>
      <c r="H9" s="265" t="n"/>
      <c r="I9" s="813">
        <f>'Cap Table (Jun 2026)'!K10</f>
        <v/>
      </c>
      <c r="J9" s="814" t="n"/>
      <c r="K9" s="265" t="n"/>
    </row>
    <row r="10" ht="15" customHeight="1">
      <c r="A10" s="811" t="n"/>
      <c r="E10" s="812" t="n"/>
      <c r="F10" s="273" t="inlineStr">
        <is>
          <t>Valuation Method</t>
        </is>
      </c>
      <c r="H10" s="265" t="n"/>
      <c r="I10" s="815" t="inlineStr">
        <is>
          <t>Multiple of Adjusted EBITDA</t>
        </is>
      </c>
    </row>
    <row r="11" ht="15" customHeight="1">
      <c r="A11" s="811" t="n"/>
      <c r="E11" s="812" t="n"/>
      <c r="F11" s="273" t="inlineStr">
        <is>
          <t xml:space="preserve">Total Invested Capital </t>
        </is>
      </c>
      <c r="H11" s="265" t="n"/>
      <c r="I11" s="378">
        <f>'III. Valuation Summary'!F21/1000000</f>
        <v/>
      </c>
    </row>
    <row r="12" ht="15" customHeight="1">
      <c r="A12" s="811" t="n"/>
      <c r="E12" s="812" t="n"/>
      <c r="F12" s="273" t="inlineStr">
        <is>
          <t>Total Realized Proceeds</t>
        </is>
      </c>
      <c r="H12" s="265" t="n"/>
      <c r="I12" s="816" t="n">
        <v>0</v>
      </c>
    </row>
    <row r="13" ht="15" customHeight="1">
      <c r="A13" s="811" t="n"/>
      <c r="E13" s="812" t="n"/>
      <c r="F13" s="273" t="inlineStr">
        <is>
          <t>Total Carrying Value</t>
        </is>
      </c>
      <c r="H13" s="265" t="n"/>
      <c r="I13" s="378">
        <f>'III. Valuation Summary'!F25/1000000</f>
        <v/>
      </c>
    </row>
    <row r="14" ht="15" customHeight="1">
      <c r="A14" s="811" t="n"/>
      <c r="E14" s="812" t="n"/>
      <c r="F14" s="273" t="inlineStr">
        <is>
          <t>Gross Multiple of Invested Capital</t>
        </is>
      </c>
      <c r="H14" s="265" t="n"/>
      <c r="I14" s="817">
        <f>IFERROR((I13+I12)/I11,"n.a.")</f>
        <v/>
      </c>
    </row>
    <row r="15" ht="15" customHeight="1">
      <c r="A15" s="811" t="n"/>
      <c r="E15" s="812" t="n"/>
      <c r="F15" s="273" t="inlineStr">
        <is>
          <t>Gross IRR</t>
        </is>
      </c>
      <c r="H15" s="265" t="n"/>
      <c r="I15" s="818">
        <f>'III. Valuation Summary'!F27</f>
        <v/>
      </c>
    </row>
    <row r="16" ht="15" customHeight="1">
      <c r="A16" s="811" t="n"/>
      <c r="E16" s="812" t="n"/>
      <c r="F16" s="819" t="n"/>
      <c r="I16" s="820" t="n"/>
    </row>
    <row r="17" ht="15" customHeight="1">
      <c r="A17" s="811" t="n"/>
      <c r="E17" s="812" t="n"/>
      <c r="F17" s="368" t="n"/>
      <c r="G17" s="370" t="n"/>
      <c r="H17" s="371" t="n"/>
      <c r="I17" s="374" t="n"/>
      <c r="M17" s="278" t="n"/>
    </row>
    <row r="18" ht="15" customHeight="1">
      <c r="A18" s="811" t="n"/>
      <c r="E18" s="812" t="n"/>
      <c r="F18" s="821" t="n"/>
      <c r="G18" s="372" t="n"/>
      <c r="H18" s="822" t="n"/>
      <c r="I18" s="823" t="n"/>
    </row>
    <row r="19" ht="15" customHeight="1">
      <c r="A19" s="811" t="n"/>
      <c r="E19" s="812" t="n"/>
      <c r="F19" s="279" t="n"/>
      <c r="H19" s="265" t="n"/>
      <c r="I19" s="376" t="n"/>
    </row>
    <row r="20" ht="15" customHeight="1">
      <c r="A20" s="824" t="n"/>
      <c r="B20" s="825" t="n"/>
      <c r="C20" s="825" t="n"/>
      <c r="D20" s="825" t="n"/>
      <c r="E20" s="305" t="n"/>
      <c r="F20" s="280" t="n"/>
      <c r="G20" s="281" t="n"/>
      <c r="H20" s="281" t="n"/>
      <c r="I20" s="282" t="n"/>
    </row>
    <row r="21" ht="15" customHeight="1">
      <c r="A21" s="265" t="n"/>
      <c r="B21" s="265" t="n"/>
      <c r="C21" s="265" t="n"/>
      <c r="D21" s="265" t="n"/>
      <c r="E21" s="265" t="n"/>
      <c r="F21" s="272" t="n"/>
      <c r="G21" s="272" t="n"/>
      <c r="H21" s="272" t="n"/>
      <c r="I21" s="272" t="n"/>
    </row>
    <row r="22" ht="15" customHeight="1">
      <c r="A22" s="283" t="inlineStr">
        <is>
          <t>Financial and Strategic Update</t>
        </is>
      </c>
      <c r="B22" s="284" t="n"/>
      <c r="C22" s="284" t="n"/>
      <c r="D22" s="284" t="n"/>
      <c r="E22" s="284" t="n"/>
      <c r="F22" s="284" t="n"/>
      <c r="G22" s="284" t="n"/>
      <c r="H22" s="284" t="n"/>
      <c r="I22" s="285" t="n"/>
    </row>
    <row r="23" ht="15" customHeight="1">
      <c r="A23" s="808" t="n"/>
      <c r="B23" s="809" t="n"/>
      <c r="C23" s="809" t="n"/>
      <c r="D23" s="809" t="n"/>
      <c r="E23" s="809" t="n"/>
      <c r="F23" s="809" t="n"/>
      <c r="G23" s="809" t="n"/>
      <c r="H23" s="809" t="n"/>
      <c r="I23" s="810" t="n"/>
      <c r="J23" s="432" t="n"/>
    </row>
    <row r="24" ht="15" customHeight="1">
      <c r="A24" s="811" t="n"/>
      <c r="I24" s="812" t="n"/>
    </row>
    <row r="25" ht="15" customHeight="1">
      <c r="A25" s="811" t="n"/>
      <c r="I25" s="812" t="n"/>
    </row>
    <row r="26" ht="15" customHeight="1">
      <c r="A26" s="811" t="n"/>
      <c r="I26" s="812" t="n"/>
    </row>
    <row r="27" ht="15" customHeight="1">
      <c r="A27" s="811" t="n"/>
      <c r="I27" s="812" t="n"/>
    </row>
    <row r="28" ht="15" customHeight="1">
      <c r="A28" s="811" t="n"/>
      <c r="I28" s="812" t="n"/>
    </row>
    <row r="29" ht="15" customHeight="1">
      <c r="A29" s="811" t="n"/>
      <c r="I29" s="812" t="n"/>
    </row>
    <row r="30" ht="15" customHeight="1">
      <c r="A30" s="811" t="n"/>
      <c r="I30" s="812" t="n"/>
    </row>
    <row r="31" ht="15" customHeight="1">
      <c r="A31" s="811" t="n"/>
      <c r="I31" s="812" t="n"/>
    </row>
    <row r="32" ht="15" customHeight="1">
      <c r="A32" s="811" t="n"/>
      <c r="I32" s="812" t="n"/>
    </row>
    <row r="33" ht="15" customHeight="1">
      <c r="A33" s="811" t="n"/>
      <c r="I33" s="812" t="n"/>
    </row>
    <row r="34" ht="15" customHeight="1">
      <c r="A34" s="811" t="n"/>
      <c r="I34" s="812" t="n"/>
    </row>
    <row r="35" ht="15" customHeight="1">
      <c r="A35" s="811" t="n"/>
      <c r="I35" s="812" t="n"/>
    </row>
    <row r="36" ht="15" customHeight="1">
      <c r="A36" s="811" t="n"/>
      <c r="I36" s="812" t="n"/>
    </row>
    <row r="37" ht="15" customHeight="1">
      <c r="A37" s="811" t="n"/>
      <c r="I37" s="812" t="n"/>
    </row>
    <row r="38" ht="15" customHeight="1">
      <c r="A38" s="811" t="n"/>
      <c r="I38" s="812" t="n"/>
    </row>
    <row r="39" ht="15" customHeight="1">
      <c r="A39" s="811" t="n"/>
      <c r="I39" s="812" t="n"/>
    </row>
    <row r="40" ht="15" customHeight="1">
      <c r="A40" s="811" t="n"/>
      <c r="I40" s="812" t="n"/>
      <c r="O40" s="87" t="n"/>
    </row>
    <row r="41" ht="15" customHeight="1">
      <c r="A41" s="811" t="n"/>
      <c r="I41" s="812" t="n"/>
      <c r="O41" s="87" t="n"/>
    </row>
    <row r="42" ht="15" customHeight="1">
      <c r="A42" s="811" t="n"/>
      <c r="I42" s="812" t="n"/>
    </row>
    <row r="43" ht="15" customHeight="1">
      <c r="A43" s="811" t="n"/>
      <c r="I43" s="812" t="n"/>
    </row>
    <row r="44" ht="15" customHeight="1">
      <c r="A44" s="824" t="n"/>
      <c r="B44" s="825" t="n"/>
      <c r="C44" s="825" t="n"/>
      <c r="D44" s="825" t="n"/>
      <c r="E44" s="825" t="n"/>
      <c r="F44" s="825" t="n"/>
      <c r="G44" s="825" t="n"/>
      <c r="H44" s="825" t="n"/>
      <c r="I44" s="305" t="n"/>
    </row>
    <row r="45" ht="15" customHeight="1"/>
    <row r="46" ht="15" customHeight="1">
      <c r="A46" s="283" t="inlineStr">
        <is>
          <t>Financial Summary ($M)</t>
        </is>
      </c>
      <c r="B46" s="284" t="n"/>
      <c r="C46" s="284" t="n"/>
      <c r="D46" s="284" t="n"/>
      <c r="E46" s="284" t="n"/>
      <c r="F46" s="284" t="n"/>
      <c r="G46" s="285" t="n"/>
    </row>
    <row r="47" ht="15" customHeight="1">
      <c r="A47" s="97" t="n"/>
      <c r="B47" s="98" t="n"/>
      <c r="C47" s="286" t="n">
        <v>2025</v>
      </c>
      <c r="D47" s="292" t="n">
        <v>2026</v>
      </c>
      <c r="E47" s="287" t="n"/>
      <c r="F47" s="287" t="n"/>
      <c r="G47" s="288" t="n"/>
    </row>
    <row r="48" ht="15" customHeight="1">
      <c r="A48" s="101" t="n"/>
      <c r="B48" s="281" t="n"/>
      <c r="C48" s="311" t="inlineStr">
        <is>
          <t>Dec 31</t>
        </is>
      </c>
      <c r="D48" s="289" t="inlineStr">
        <is>
          <t>Mar 31</t>
        </is>
      </c>
      <c r="E48" s="289" t="inlineStr">
        <is>
          <t>Jun 30</t>
        </is>
      </c>
      <c r="F48" s="289" t="inlineStr">
        <is>
          <t>Sep 30</t>
        </is>
      </c>
      <c r="G48" s="290" t="inlineStr">
        <is>
          <t>Dec 31</t>
        </is>
      </c>
    </row>
    <row r="49" ht="15" customHeight="1">
      <c r="A49" s="116" t="inlineStr">
        <is>
          <t>TTM Revenue</t>
        </is>
      </c>
      <c r="B49" s="93" t="n"/>
      <c r="C49" s="826">
        <f>'Financial Summary'!M12</f>
        <v/>
      </c>
      <c r="D49" s="827">
        <f>'Pro Forma Financials (Q1)'!D13</f>
        <v/>
      </c>
      <c r="E49" s="828">
        <f>'Pro Forma Financials (Q2)'!D13</f>
        <v/>
      </c>
      <c r="F49" s="828" t="n"/>
      <c r="G49" s="829" t="n"/>
    </row>
    <row r="50" ht="15" customHeight="1">
      <c r="A50" s="116" t="inlineStr">
        <is>
          <t>TTM Adjusted EBITDA2</t>
        </is>
      </c>
      <c r="B50" s="93" t="n"/>
      <c r="C50" s="830">
        <f>'Financial Summary'!M54</f>
        <v/>
      </c>
      <c r="D50" s="831">
        <f>'Pro Forma Financials (Q1)'!D38</f>
        <v/>
      </c>
      <c r="E50" s="828">
        <f>'Pro Forma Financials (Q2)'!D38</f>
        <v/>
      </c>
      <c r="F50" s="828" t="n"/>
      <c r="G50" s="829" t="n"/>
    </row>
    <row r="51" ht="15" customHeight="1">
      <c r="A51" s="116" t="inlineStr">
        <is>
          <t>Net Cash/(Debt)</t>
        </is>
      </c>
      <c r="B51" s="93" t="n"/>
      <c r="C51" s="830">
        <f>'Financial Summary'!M59</f>
        <v/>
      </c>
      <c r="D51" s="831">
        <f>'Pro Forma Financials (Q1)'!D46</f>
        <v/>
      </c>
      <c r="E51" s="828">
        <f>'III. Valuation Summary'!F13-'III. Valuation Summary'!F14</f>
        <v/>
      </c>
      <c r="F51" s="828" t="n"/>
      <c r="G51" s="829" t="n"/>
    </row>
    <row r="52" ht="15" customHeight="1">
      <c r="A52" s="377" t="inlineStr">
        <is>
          <t>1 Fully diluted ownership includes management incentive programs.</t>
        </is>
      </c>
    </row>
    <row r="53" ht="15" customHeight="1">
      <c r="A53" s="691" t="inlineStr">
        <is>
          <t>2 Pro forma for one acquisition, contributing $1.54M Revenue and $0.45M Adjusted EBITDA.</t>
        </is>
      </c>
    </row>
  </sheetData>
  <mergeCells count="5">
    <mergeCell ref="A7:E20"/>
    <mergeCell ref="A53:G53"/>
    <mergeCell ref="H1:I1"/>
    <mergeCell ref="A23:I44"/>
    <mergeCell ref="F16:I16"/>
  </mergeCells>
  <pageMargins left="0.7" right="0.7" top="0.75" bottom="0.75" header="0.3" footer="0.3"/>
  <pageSetup orientation="portrait" scale="6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A1"/>
  <sheetViews>
    <sheetView topLeftCell="A1048576" workbookViewId="0">
      <selection activeCell="A1" sqref="A1"/>
    </sheetView>
  </sheetViews>
  <sheetFormatPr baseColWidth="8" defaultRowHeight="15" zeroHeight="1"/>
  <sheetData/>
  <pageMargins left="0.7" right="0.7" top="0.75" bottom="0.75" header="0.3" footer="0.3"/>
  <pageSetup orientation="portrait"/>
</worksheet>
</file>

<file path=xl/worksheets/sheet12.xml><?xml version="1.0" encoding="utf-8"?>
<worksheet xmlns="http://schemas.openxmlformats.org/spreadsheetml/2006/main">
  <sheetPr>
    <tabColor theme="1"/>
    <outlinePr summaryBelow="1" summaryRight="1"/>
    <pageSetUpPr/>
  </sheetPr>
  <dimension ref="B2:X61"/>
  <sheetViews>
    <sheetView showGridLines="0" zoomScale="80" zoomScaleNormal="80" zoomScaleSheetLayoutView="85" workbookViewId="0">
      <selection activeCell="B5" sqref="B5"/>
    </sheetView>
  </sheetViews>
  <sheetFormatPr baseColWidth="8" defaultRowHeight="15"/>
  <cols>
    <col width="2.7109375" customWidth="1" min="1" max="1"/>
    <col width="47.28515625" bestFit="1" customWidth="1" min="2" max="2"/>
    <col width="24.28515625" bestFit="1" customWidth="1" min="3" max="3"/>
    <col width="24.28515625" customWidth="1" min="4" max="4"/>
    <col width="2.7109375" customWidth="1" min="5" max="5"/>
    <col width="12.7109375" customWidth="1" min="6" max="20"/>
    <col width="88" bestFit="1" customWidth="1" min="21" max="21"/>
    <col width="12.5703125" bestFit="1" customWidth="1" min="22" max="22"/>
    <col width="13.42578125" bestFit="1" customWidth="1" min="23" max="23"/>
  </cols>
  <sheetData>
    <row r="2" ht="21" customHeight="1">
      <c r="B2" s="446" t="inlineStr">
        <is>
          <t xml:space="preserve">Opus Water Financials </t>
        </is>
      </c>
      <c r="C2" s="122" t="n"/>
      <c r="D2" s="122" t="n"/>
    </row>
    <row r="3" ht="16.5" customHeight="1" thickBot="1">
      <c r="B3" s="249" t="inlineStr">
        <is>
          <t>Financial Summary</t>
        </is>
      </c>
      <c r="C3" s="123" t="n"/>
      <c r="D3" s="123" t="n"/>
      <c r="E3" s="123" t="n"/>
      <c r="F3" s="123" t="n"/>
      <c r="G3" s="123" t="n"/>
      <c r="H3" s="123" t="n"/>
      <c r="I3" s="123" t="n"/>
      <c r="J3" s="123" t="n"/>
      <c r="K3" s="123" t="n"/>
      <c r="L3" s="123" t="n"/>
      <c r="M3" s="123" t="n"/>
      <c r="N3" s="123" t="n"/>
      <c r="O3" s="123" t="n"/>
      <c r="P3" s="123" t="n"/>
      <c r="Q3" s="123" t="n"/>
      <c r="R3" s="123" t="n"/>
      <c r="S3" s="123" t="n"/>
      <c r="T3" s="123" t="n"/>
    </row>
    <row r="4" ht="15.75" customHeight="1" thickTop="1">
      <c r="B4" s="55">
        <f>'I. Cover Page'!B9</f>
        <v/>
      </c>
      <c r="C4" s="447" t="n"/>
      <c r="D4" s="447" t="n"/>
      <c r="E4" s="447" t="n"/>
      <c r="F4" s="447" t="n"/>
      <c r="G4" s="447" t="n"/>
      <c r="H4" s="447" t="n"/>
      <c r="I4" s="447" t="n"/>
      <c r="J4" s="447" t="n"/>
      <c r="K4" s="447" t="n"/>
      <c r="L4" s="447" t="n"/>
      <c r="M4" s="447" t="n"/>
      <c r="N4" s="447" t="n"/>
      <c r="O4" s="447" t="n"/>
      <c r="P4" s="447" t="n"/>
      <c r="Q4" s="447" t="n"/>
      <c r="R4" s="447" t="n"/>
      <c r="S4" s="447" t="n"/>
      <c r="T4" s="447" t="n"/>
    </row>
    <row r="5" ht="15.75" customHeight="1" thickBot="1">
      <c r="C5" s="380" t="n"/>
      <c r="D5" s="380" t="n"/>
    </row>
    <row r="6">
      <c r="B6" s="448" t="inlineStr">
        <is>
          <t>Financial Information Summary</t>
        </is>
      </c>
      <c r="C6" s="449" t="n"/>
      <c r="D6" s="449" t="n"/>
      <c r="E6" s="450" t="n"/>
      <c r="U6" s="448" t="inlineStr">
        <is>
          <t>Notes</t>
        </is>
      </c>
    </row>
    <row r="7">
      <c r="B7" s="451" t="n"/>
      <c r="C7" s="452" t="n"/>
      <c r="D7" s="452" t="n"/>
      <c r="E7" s="450" t="n"/>
      <c r="G7" s="622" t="n"/>
    </row>
    <row r="8">
      <c r="B8" s="453" t="n"/>
      <c r="C8" s="454" t="inlineStr">
        <is>
          <t>LTM - December 2025</t>
        </is>
      </c>
      <c r="D8" s="454" t="inlineStr">
        <is>
          <t>LTM - March 2026</t>
        </is>
      </c>
      <c r="E8" s="450" t="n"/>
      <c r="F8" s="455" t="n">
        <v>45688</v>
      </c>
      <c r="G8" s="456">
        <f>EOMONTH(F8,1)</f>
        <v/>
      </c>
      <c r="H8" s="456">
        <f>EOMONTH(G8,1)</f>
        <v/>
      </c>
      <c r="I8" s="456">
        <f>EOMONTH(H8,1)</f>
        <v/>
      </c>
      <c r="J8" s="456">
        <f>EOMONTH(I8,1)</f>
        <v/>
      </c>
      <c r="K8" s="456">
        <f>EOMONTH(J8,1)</f>
        <v/>
      </c>
      <c r="L8" s="456">
        <f>EOMONTH(K8,1)</f>
        <v/>
      </c>
      <c r="M8" s="456">
        <f>EOMONTH(L8,1)</f>
        <v/>
      </c>
      <c r="N8" s="456">
        <f>EOMONTH(M8,1)</f>
        <v/>
      </c>
      <c r="O8" s="456">
        <f>EOMONTH(N8,1)</f>
        <v/>
      </c>
      <c r="P8" s="456">
        <f>EOMONTH(O8,1)</f>
        <v/>
      </c>
      <c r="Q8" s="456">
        <f>EOMONTH(P8,1)</f>
        <v/>
      </c>
      <c r="R8" s="456">
        <f>EOMONTH(Q8,1)</f>
        <v/>
      </c>
      <c r="S8" s="456">
        <f>EOMONTH(R8,1)</f>
        <v/>
      </c>
      <c r="T8" s="456">
        <f>EOMONTH(S8,1)</f>
        <v/>
      </c>
    </row>
    <row r="9" ht="15.75" customHeight="1" thickBot="1">
      <c r="B9" s="453" t="n"/>
      <c r="C9" s="457" t="inlineStr">
        <is>
          <t>Jan 1 2025 - Dec 31 2025</t>
        </is>
      </c>
      <c r="D9" s="457" t="inlineStr">
        <is>
          <t>Apr 1 2025 - Mar 31 2026</t>
        </is>
      </c>
      <c r="E9" s="450" t="n"/>
      <c r="F9" s="458">
        <f>MONTH(F8)</f>
        <v/>
      </c>
      <c r="G9" s="458">
        <f>MONTH(G8)</f>
        <v/>
      </c>
      <c r="H9" s="458">
        <f>MONTH(H8)</f>
        <v/>
      </c>
      <c r="I9" s="458">
        <f>MONTH(I8)</f>
        <v/>
      </c>
      <c r="J9" s="458">
        <f>MONTH(J8)</f>
        <v/>
      </c>
      <c r="K9" s="458">
        <f>MONTH(K8)</f>
        <v/>
      </c>
      <c r="L9" s="458">
        <f>MONTH(L8)</f>
        <v/>
      </c>
      <c r="M9" s="458">
        <f>MONTH(M8)</f>
        <v/>
      </c>
      <c r="N9" s="458">
        <f>MONTH(N8)</f>
        <v/>
      </c>
      <c r="O9" s="458">
        <f>MONTH(O8)</f>
        <v/>
      </c>
      <c r="P9" s="458">
        <f>MONTH(P8)</f>
        <v/>
      </c>
      <c r="Q9" s="458">
        <f>MONTH(Q8)</f>
        <v/>
      </c>
      <c r="R9" s="458">
        <f>MONTH(R8)</f>
        <v/>
      </c>
      <c r="S9" s="458">
        <f>MONTH(S8)</f>
        <v/>
      </c>
      <c r="T9" s="458">
        <f>MONTH(T8)</f>
        <v/>
      </c>
    </row>
    <row r="10">
      <c r="B10" s="459" t="inlineStr">
        <is>
          <t>Opus Revenue</t>
        </is>
      </c>
      <c r="C10" s="832">
        <f>SUM(F10:Q10)</f>
        <v/>
      </c>
      <c r="D10" s="832">
        <f>SUM(I10:T10)</f>
        <v/>
      </c>
      <c r="E10" s="450" t="n"/>
      <c r="F10" s="833" t="n">
        <v>519951.33</v>
      </c>
      <c r="G10" s="833" t="n">
        <v>1313013.16</v>
      </c>
      <c r="H10" s="833" t="n">
        <v>2157588.06</v>
      </c>
      <c r="I10" s="833" t="n">
        <v>2083207.86</v>
      </c>
      <c r="J10" s="833" t="n">
        <v>1131620.94</v>
      </c>
      <c r="K10" s="833" t="n">
        <v>1478180.06</v>
      </c>
      <c r="L10" s="833" t="n">
        <v>1758316.49</v>
      </c>
      <c r="M10" s="833" t="n">
        <v>1413457.47</v>
      </c>
      <c r="N10" s="833" t="n">
        <v>1824735.74</v>
      </c>
      <c r="O10" s="833" t="n">
        <v>1621269.49</v>
      </c>
      <c r="P10" s="833" t="n">
        <v>1288214.62</v>
      </c>
      <c r="Q10" s="833" t="n">
        <v>2349656.25</v>
      </c>
      <c r="R10" s="833" t="n">
        <v>890161.2599999999</v>
      </c>
      <c r="S10" s="833" t="n">
        <v>1938842.91</v>
      </c>
      <c r="T10" s="833" t="n">
        <v>1779097.45</v>
      </c>
      <c r="U10" s="833" t="n"/>
      <c r="V10" s="704" t="n"/>
      <c r="W10" s="704" t="n"/>
    </row>
    <row r="11">
      <c r="B11" s="459" t="inlineStr">
        <is>
          <t>RP Adams Revenue</t>
        </is>
      </c>
      <c r="C11" s="832">
        <f>SUM(F11:Q11)</f>
        <v/>
      </c>
      <c r="D11" s="832">
        <f>SUM(I11:T11)</f>
        <v/>
      </c>
      <c r="E11" s="450" t="n"/>
      <c r="F11" s="833" t="n">
        <v>936677.3799999993</v>
      </c>
      <c r="G11" s="833" t="n">
        <v>641032.1499999999</v>
      </c>
      <c r="H11" s="697" t="n"/>
      <c r="I11" s="697" t="n"/>
      <c r="J11" s="697" t="n"/>
      <c r="K11" s="697" t="n"/>
      <c r="L11" s="697" t="n"/>
      <c r="M11" s="697" t="n"/>
      <c r="N11" s="697" t="n"/>
      <c r="O11" s="697" t="n"/>
      <c r="P11" s="697" t="n"/>
      <c r="Q11" s="697" t="n"/>
      <c r="R11" s="697" t="n"/>
      <c r="S11" s="697" t="n"/>
      <c r="T11" s="697" t="n"/>
      <c r="U11" s="833" t="n"/>
      <c r="V11" s="704" t="n"/>
      <c r="W11" s="704" t="n"/>
    </row>
    <row r="12">
      <c r="B12" s="459" t="inlineStr">
        <is>
          <t>Yeary Controls Revenue</t>
        </is>
      </c>
      <c r="C12" s="832">
        <f>SUM(F12:Q12)</f>
        <v/>
      </c>
      <c r="D12" s="832">
        <f>SUM(I12:T12)</f>
        <v/>
      </c>
      <c r="E12" s="450" t="n"/>
      <c r="F12" s="833" t="n">
        <v>91371.25</v>
      </c>
      <c r="G12" s="833" t="n">
        <v>140634.75</v>
      </c>
      <c r="H12" s="833" t="n">
        <v>871204.1</v>
      </c>
      <c r="I12" s="833" t="n">
        <v>122638.2</v>
      </c>
      <c r="J12" s="833" t="n">
        <v>253544</v>
      </c>
      <c r="K12" s="833" t="n">
        <v>522588.58</v>
      </c>
      <c r="L12" s="833" t="n">
        <v>293851.7000000001</v>
      </c>
      <c r="M12" s="833" t="n">
        <v>77550.78000000003</v>
      </c>
      <c r="N12" s="833" t="n">
        <v>210778.38</v>
      </c>
      <c r="O12" s="833" t="n">
        <v>62134</v>
      </c>
      <c r="P12" s="833" t="n"/>
      <c r="Q12" s="833" t="n"/>
      <c r="R12" s="833" t="n"/>
      <c r="S12" s="833" t="n"/>
      <c r="T12" s="833" t="n"/>
      <c r="U12" s="833" t="n"/>
      <c r="V12" s="704" t="n"/>
      <c r="W12" s="704" t="n"/>
    </row>
    <row r="13">
      <c r="B13" s="462" t="inlineStr">
        <is>
          <t>Total Revenue</t>
        </is>
      </c>
      <c r="C13" s="463">
        <f>SUM(C10:C12)</f>
        <v/>
      </c>
      <c r="D13" s="463">
        <f>SUM(D10:D12)</f>
        <v/>
      </c>
      <c r="E13" s="450" t="n"/>
      <c r="F13" s="464">
        <f>SUM(F10:F12)</f>
        <v/>
      </c>
      <c r="G13" s="464">
        <f>SUM(G10:G12)</f>
        <v/>
      </c>
      <c r="H13" s="464">
        <f>SUM(H10:H12)</f>
        <v/>
      </c>
      <c r="I13" s="464">
        <f>SUM(I10:I12)</f>
        <v/>
      </c>
      <c r="J13" s="464">
        <f>SUM(J10:J12)</f>
        <v/>
      </c>
      <c r="K13" s="464">
        <f>SUM(K10:K12)</f>
        <v/>
      </c>
      <c r="L13" s="464">
        <f>SUM(L10:L12)</f>
        <v/>
      </c>
      <c r="M13" s="464">
        <f>SUM(M10:M12)</f>
        <v/>
      </c>
      <c r="N13" s="464">
        <f>SUM(N10:N12)</f>
        <v/>
      </c>
      <c r="O13" s="464">
        <f>SUM(O10:O12)</f>
        <v/>
      </c>
      <c r="P13" s="464">
        <f>SUM(P10:P12)</f>
        <v/>
      </c>
      <c r="Q13" s="464">
        <f>SUM(Q10:Q12)</f>
        <v/>
      </c>
      <c r="R13" s="464">
        <f>SUM(R10:R12)</f>
        <v/>
      </c>
      <c r="S13" s="464">
        <f>SUM(S10:S12)</f>
        <v/>
      </c>
      <c r="T13" s="464">
        <f>SUM(T10:T12)</f>
        <v/>
      </c>
      <c r="V13" s="704" t="n"/>
      <c r="W13" s="704" t="n"/>
    </row>
    <row r="14" ht="6" customFormat="1" customHeight="1" s="469">
      <c r="B14" s="465" t="n"/>
      <c r="C14" s="466" t="n"/>
      <c r="D14" s="466" t="n"/>
      <c r="E14" s="467" t="n"/>
      <c r="F14" s="468" t="n"/>
      <c r="G14" s="468" t="n"/>
      <c r="H14" s="468" t="n"/>
      <c r="I14" s="468" t="n"/>
      <c r="J14" s="468" t="n"/>
      <c r="K14" s="468" t="n"/>
      <c r="L14" s="468" t="n"/>
      <c r="M14" s="468" t="n"/>
      <c r="N14" s="468" t="n"/>
      <c r="O14" s="468" t="n"/>
      <c r="P14" s="468" t="n"/>
      <c r="Q14" s="468" t="n"/>
      <c r="R14" s="468" t="n"/>
      <c r="S14" s="468" t="n"/>
      <c r="T14" s="468" t="n"/>
      <c r="V14" s="834" t="n"/>
      <c r="W14" s="834" t="n"/>
    </row>
    <row r="15">
      <c r="B15" s="459" t="inlineStr">
        <is>
          <t>Opus Gross Profit</t>
        </is>
      </c>
      <c r="C15" s="832">
        <f>SUM(F15:Q15)</f>
        <v/>
      </c>
      <c r="D15" s="832">
        <f>SUM(I15:T15)</f>
        <v/>
      </c>
      <c r="E15" s="450" t="n"/>
      <c r="F15" s="833" t="n">
        <v>205074.94</v>
      </c>
      <c r="G15" s="833" t="n">
        <v>783410.9299999999</v>
      </c>
      <c r="H15" s="833" t="n">
        <v>1284102.39</v>
      </c>
      <c r="I15" s="833" t="n">
        <v>1040699.04</v>
      </c>
      <c r="J15" s="833" t="n">
        <v>499492.4200000002</v>
      </c>
      <c r="K15" s="833" t="n">
        <v>688521.9</v>
      </c>
      <c r="L15" s="833" t="n">
        <v>940795.6900000002</v>
      </c>
      <c r="M15" s="833" t="n">
        <v>758447.05</v>
      </c>
      <c r="N15" s="833" t="n">
        <v>949347.8199999998</v>
      </c>
      <c r="O15" s="833" t="n">
        <v>827343.84</v>
      </c>
      <c r="P15" s="833" t="n">
        <v>640531.1299999998</v>
      </c>
      <c r="Q15" s="833" t="n">
        <v>1510721.71</v>
      </c>
      <c r="R15" s="833" t="n">
        <v>347431.4499999998</v>
      </c>
      <c r="S15" s="833" t="n">
        <v>1182549</v>
      </c>
      <c r="T15" s="833" t="n">
        <v>971176.03</v>
      </c>
      <c r="V15" s="704" t="n"/>
      <c r="W15" s="704" t="n"/>
    </row>
    <row r="16">
      <c r="B16" s="459" t="inlineStr">
        <is>
          <t>RP Adams Gross Profit</t>
        </is>
      </c>
      <c r="C16" s="832">
        <f>SUM(F16:Q16)</f>
        <v/>
      </c>
      <c r="D16" s="832">
        <f>SUM(I16:T16)</f>
        <v/>
      </c>
      <c r="E16" s="450" t="n"/>
      <c r="F16" s="835" t="n">
        <v>674224.6199999995</v>
      </c>
      <c r="G16" s="833" t="n">
        <v>168757.3199999999</v>
      </c>
      <c r="H16" s="833" t="n"/>
      <c r="I16" s="833" t="n"/>
      <c r="J16" s="833" t="n"/>
      <c r="K16" s="833" t="n"/>
      <c r="L16" s="833" t="n"/>
      <c r="M16" s="833" t="n"/>
      <c r="N16" s="833" t="n"/>
      <c r="O16" s="833" t="n"/>
      <c r="P16" s="833" t="n"/>
      <c r="Q16" s="833" t="n"/>
      <c r="R16" s="833" t="n"/>
      <c r="S16" s="833" t="n"/>
      <c r="T16" s="833" t="n"/>
      <c r="V16" s="704" t="n"/>
      <c r="W16" s="704" t="n"/>
    </row>
    <row r="17">
      <c r="B17" s="459" t="inlineStr">
        <is>
          <t>Yeary Controls Gross Profit</t>
        </is>
      </c>
      <c r="C17" s="832">
        <f>SUM(F17:Q17)</f>
        <v/>
      </c>
      <c r="D17" s="832">
        <f>SUM(I17:T17)</f>
        <v/>
      </c>
      <c r="E17" s="450" t="n"/>
      <c r="F17" s="835" t="n">
        <v>53713.33</v>
      </c>
      <c r="G17" s="833" t="n">
        <v>65183.97999999998</v>
      </c>
      <c r="H17" s="833" t="n">
        <v>301565.6699999999</v>
      </c>
      <c r="I17" s="833" t="n">
        <v>62665.00999999999</v>
      </c>
      <c r="J17" s="833" t="n">
        <v>105939.4000000001</v>
      </c>
      <c r="K17" s="833" t="n">
        <v>158529.34</v>
      </c>
      <c r="L17" s="833" t="n">
        <v>141505.1700000001</v>
      </c>
      <c r="M17" s="833" t="n">
        <v>4580.909999999974</v>
      </c>
      <c r="N17" s="833" t="n">
        <v>116530.33</v>
      </c>
      <c r="O17" s="833" t="n">
        <v>32911.5</v>
      </c>
      <c r="P17" s="833" t="n"/>
      <c r="Q17" s="833" t="n"/>
      <c r="R17" s="833" t="n"/>
      <c r="S17" s="833" t="n"/>
      <c r="T17" s="833" t="n"/>
      <c r="V17" s="704" t="n"/>
      <c r="W17" s="704" t="n"/>
    </row>
    <row r="18">
      <c r="B18" s="462" t="inlineStr">
        <is>
          <t>Gross Profit</t>
        </is>
      </c>
      <c r="C18" s="463">
        <f>SUM(C15:C17)</f>
        <v/>
      </c>
      <c r="D18" s="463">
        <f>SUM(D15:D17)</f>
        <v/>
      </c>
      <c r="E18" s="450" t="n"/>
      <c r="F18" s="464">
        <f>SUM(F15:F17)</f>
        <v/>
      </c>
      <c r="G18" s="464">
        <f>SUM(G15:G17)</f>
        <v/>
      </c>
      <c r="H18" s="464">
        <f>SUM(H15:H17)</f>
        <v/>
      </c>
      <c r="I18" s="464">
        <f>SUM(I15:I17)</f>
        <v/>
      </c>
      <c r="J18" s="464">
        <f>SUM(J15:J17)</f>
        <v/>
      </c>
      <c r="K18" s="464">
        <f>SUM(K15:K17)</f>
        <v/>
      </c>
      <c r="L18" s="464">
        <f>SUM(L15:L17)</f>
        <v/>
      </c>
      <c r="M18" s="464">
        <f>SUM(M15:M17)</f>
        <v/>
      </c>
      <c r="N18" s="464">
        <f>SUM(N15:N17)</f>
        <v/>
      </c>
      <c r="O18" s="464">
        <f>SUM(O15:O17)</f>
        <v/>
      </c>
      <c r="P18" s="464">
        <f>SUM(P15:P17)</f>
        <v/>
      </c>
      <c r="Q18" s="464">
        <f>SUM(Q15:Q17)</f>
        <v/>
      </c>
      <c r="R18" s="464">
        <f>SUM(R15:R17)</f>
        <v/>
      </c>
      <c r="S18" s="464">
        <f>SUM(S15:S17)</f>
        <v/>
      </c>
      <c r="T18" s="464">
        <f>SUM(T15:T17)</f>
        <v/>
      </c>
      <c r="V18" s="704" t="n"/>
      <c r="W18" s="704" t="n"/>
    </row>
    <row r="19" customFormat="1" s="469">
      <c r="B19" s="471" t="inlineStr">
        <is>
          <t>% Gross Margin</t>
        </is>
      </c>
      <c r="C19" s="472">
        <f>C18/C13</f>
        <v/>
      </c>
      <c r="D19" s="472">
        <f>D18/D13</f>
        <v/>
      </c>
      <c r="E19" s="467" t="n"/>
      <c r="F19" s="468">
        <f>F18/F13</f>
        <v/>
      </c>
      <c r="G19" s="468">
        <f>G18/G13</f>
        <v/>
      </c>
      <c r="H19" s="468">
        <f>H18/H13</f>
        <v/>
      </c>
      <c r="I19" s="468">
        <f>I18/I13</f>
        <v/>
      </c>
      <c r="J19" s="468">
        <f>J18/J13</f>
        <v/>
      </c>
      <c r="K19" s="468">
        <f>K18/K13</f>
        <v/>
      </c>
      <c r="L19" s="468">
        <f>L18/L13</f>
        <v/>
      </c>
      <c r="M19" s="468">
        <f>M18/M13</f>
        <v/>
      </c>
      <c r="N19" s="468">
        <f>N18/N13</f>
        <v/>
      </c>
      <c r="O19" s="468">
        <f>O18/O13</f>
        <v/>
      </c>
      <c r="P19" s="468">
        <f>P18/P13</f>
        <v/>
      </c>
      <c r="Q19" s="468">
        <f>Q18/Q13</f>
        <v/>
      </c>
      <c r="R19" s="468">
        <f>R18/R13</f>
        <v/>
      </c>
      <c r="S19" s="468">
        <f>S18/S13</f>
        <v/>
      </c>
      <c r="T19" s="468">
        <f>T18/T13</f>
        <v/>
      </c>
      <c r="V19" s="834" t="n"/>
      <c r="W19" s="834" t="n"/>
    </row>
    <row r="20" ht="5.1" customFormat="1" customHeight="1" s="469">
      <c r="B20" s="465" t="n"/>
      <c r="C20" s="466" t="n"/>
      <c r="D20" s="466" t="n"/>
      <c r="E20" s="467" t="n"/>
      <c r="F20" s="468" t="n"/>
      <c r="G20" s="468" t="n"/>
      <c r="H20" s="468" t="n"/>
      <c r="I20" s="468" t="n"/>
      <c r="J20" s="468" t="n"/>
      <c r="K20" s="468" t="n"/>
      <c r="L20" s="468" t="n"/>
      <c r="M20" s="468" t="n"/>
      <c r="N20" s="468" t="n"/>
      <c r="O20" s="468" t="n"/>
      <c r="P20" s="468" t="n"/>
      <c r="Q20" s="468" t="n"/>
      <c r="R20" s="468" t="n"/>
      <c r="S20" s="468" t="n"/>
      <c r="T20" s="468" t="n"/>
      <c r="V20" s="834" t="n"/>
      <c r="W20" s="834" t="n"/>
    </row>
    <row r="21">
      <c r="B21" s="459" t="inlineStr">
        <is>
          <t>Opus Water EBITDA</t>
        </is>
      </c>
      <c r="C21" s="832">
        <f>SUM(F21:Q21)</f>
        <v/>
      </c>
      <c r="D21" s="832">
        <f>SUM(I21:T21)</f>
        <v/>
      </c>
      <c r="E21" s="450" t="n"/>
      <c r="F21" s="833" t="n">
        <v>-40970.90999999997</v>
      </c>
      <c r="G21" s="833" t="n">
        <v>227050.1299999999</v>
      </c>
      <c r="H21" s="833" t="n">
        <v>232486.66</v>
      </c>
      <c r="I21" s="833" t="n">
        <v>166011.2199999996</v>
      </c>
      <c r="J21" s="833" t="n">
        <v>-419184.96</v>
      </c>
      <c r="K21" s="833" t="n">
        <v>-107942.57</v>
      </c>
      <c r="L21" s="833" t="n">
        <v>-376427.0499999999</v>
      </c>
      <c r="M21" s="833" t="n">
        <v>-5735.579999999899</v>
      </c>
      <c r="N21" s="833" t="n">
        <v>43437.91999999979</v>
      </c>
      <c r="O21" s="833" t="n">
        <v>-167551.11</v>
      </c>
      <c r="P21" s="833" t="n">
        <v>-208036.7400000004</v>
      </c>
      <c r="Q21" s="833" t="n">
        <v>334935.7900000002</v>
      </c>
      <c r="R21" s="833" t="n">
        <v>-624505.5200000004</v>
      </c>
      <c r="S21" s="833" t="n">
        <v>234015.5599999996</v>
      </c>
      <c r="T21" s="833" t="n">
        <v>1674.299999999987</v>
      </c>
      <c r="V21" s="704" t="n"/>
      <c r="W21" s="704" t="n"/>
    </row>
    <row r="22">
      <c r="B22" s="459" t="inlineStr">
        <is>
          <t>RP Adams EBITDA</t>
        </is>
      </c>
      <c r="C22" s="832">
        <f>SUM(F22:Q22)</f>
        <v/>
      </c>
      <c r="D22" s="832">
        <f>SUM(I22:T22)</f>
        <v/>
      </c>
      <c r="E22" s="450" t="n"/>
      <c r="F22" s="833" t="n">
        <v>273530.9199999996</v>
      </c>
      <c r="G22" s="833" t="n">
        <v>50497.70999999996</v>
      </c>
      <c r="H22" s="833" t="n"/>
      <c r="I22" s="833" t="n"/>
      <c r="J22" s="833" t="n"/>
      <c r="K22" s="833" t="n"/>
      <c r="L22" s="833" t="n"/>
      <c r="M22" s="833" t="n"/>
      <c r="N22" s="833" t="n"/>
      <c r="O22" s="833" t="n"/>
      <c r="P22" s="833" t="n"/>
      <c r="Q22" s="833" t="n"/>
      <c r="R22" s="833" t="n"/>
      <c r="S22" s="833" t="n"/>
      <c r="T22" s="833" t="n"/>
      <c r="V22" s="833" t="n"/>
      <c r="W22" s="704" t="n"/>
    </row>
    <row r="23">
      <c r="B23" s="459" t="inlineStr">
        <is>
          <t>Yeary Controls EBITDA</t>
        </is>
      </c>
      <c r="C23" s="832">
        <f>SUM(F23:Q23)</f>
        <v/>
      </c>
      <c r="D23" s="832">
        <f>SUM(I23:T23)</f>
        <v/>
      </c>
      <c r="E23" s="450" t="n"/>
      <c r="F23" s="833" t="n">
        <v>8273.510000000009</v>
      </c>
      <c r="G23" s="833" t="n">
        <v>13262.66999999998</v>
      </c>
      <c r="H23" s="833" t="n">
        <v>193513.6299999999</v>
      </c>
      <c r="I23" s="833" t="n">
        <v>16377.53</v>
      </c>
      <c r="J23" s="833" t="n">
        <v>58656.07000000009</v>
      </c>
      <c r="K23" s="833" t="n">
        <v>112282.62</v>
      </c>
      <c r="L23" s="833" t="n">
        <v>92264.19000000015</v>
      </c>
      <c r="M23" s="833" t="n">
        <v>-79211.40000000002</v>
      </c>
      <c r="N23" s="833" t="n">
        <v>66536.39000000004</v>
      </c>
      <c r="O23" s="833" t="n">
        <v>-61523.54</v>
      </c>
      <c r="P23" s="833" t="n"/>
      <c r="Q23" s="833" t="n"/>
      <c r="R23" s="833" t="n"/>
      <c r="S23" s="833" t="n"/>
      <c r="T23" s="833" t="n"/>
      <c r="V23" s="833" t="n"/>
      <c r="W23" s="704" t="n"/>
    </row>
    <row r="24">
      <c r="B24" s="462" t="inlineStr">
        <is>
          <t>EBITDA</t>
        </is>
      </c>
      <c r="C24" s="463">
        <f>SUM(C21:C23)</f>
        <v/>
      </c>
      <c r="D24" s="463">
        <f>SUM(D21:D23)</f>
        <v/>
      </c>
      <c r="E24" s="450" t="n"/>
      <c r="F24" s="464">
        <f>SUM(F21:F23)</f>
        <v/>
      </c>
      <c r="G24" s="464">
        <f>SUM(G21:G23)</f>
        <v/>
      </c>
      <c r="H24" s="464">
        <f>SUM(H21:H23)</f>
        <v/>
      </c>
      <c r="I24" s="464">
        <f>SUM(I21:I23)</f>
        <v/>
      </c>
      <c r="J24" s="464">
        <f>SUM(J21:J23)</f>
        <v/>
      </c>
      <c r="K24" s="464">
        <f>SUM(K21:K23)</f>
        <v/>
      </c>
      <c r="L24" s="464">
        <f>SUM(L21:L23)</f>
        <v/>
      </c>
      <c r="M24" s="464">
        <f>SUM(M21:M23)</f>
        <v/>
      </c>
      <c r="N24" s="464">
        <f>SUM(N21:N23)</f>
        <v/>
      </c>
      <c r="O24" s="464">
        <f>SUM(O21:O23)</f>
        <v/>
      </c>
      <c r="P24" s="464">
        <f>SUM(P21:P23)</f>
        <v/>
      </c>
      <c r="Q24" s="464">
        <f>SUM(Q21:Q23)</f>
        <v/>
      </c>
      <c r="R24" s="464">
        <f>SUM(R21:R23)</f>
        <v/>
      </c>
      <c r="S24" s="464">
        <f>SUM(S21:S23)</f>
        <v/>
      </c>
      <c r="T24" s="464">
        <f>SUM(T21:T23)</f>
        <v/>
      </c>
      <c r="V24" s="704" t="n"/>
      <c r="W24" s="704" t="n"/>
    </row>
    <row r="25" customFormat="1" s="469">
      <c r="B25" s="471" t="inlineStr">
        <is>
          <t>% EBITDA Margin</t>
        </is>
      </c>
      <c r="C25" s="472">
        <f>C24/C13</f>
        <v/>
      </c>
      <c r="D25" s="472">
        <f>D24/D13</f>
        <v/>
      </c>
      <c r="E25" s="467" t="n"/>
      <c r="F25" s="468">
        <f>F24/F13</f>
        <v/>
      </c>
      <c r="G25" s="468">
        <f>G24/G13</f>
        <v/>
      </c>
      <c r="H25" s="468">
        <f>H24/H13</f>
        <v/>
      </c>
      <c r="I25" s="468">
        <f>I24/I13</f>
        <v/>
      </c>
      <c r="J25" s="468">
        <f>J24/J13</f>
        <v/>
      </c>
      <c r="K25" s="468">
        <f>K24/K13</f>
        <v/>
      </c>
      <c r="L25" s="468">
        <f>L24/L13</f>
        <v/>
      </c>
      <c r="M25" s="468">
        <f>M24/M13</f>
        <v/>
      </c>
      <c r="N25" s="468">
        <f>N24/N13</f>
        <v/>
      </c>
      <c r="O25" s="468">
        <f>O24/O13</f>
        <v/>
      </c>
      <c r="P25" s="468">
        <f>P24/P13</f>
        <v/>
      </c>
      <c r="Q25" s="468">
        <f>Q24/Q13</f>
        <v/>
      </c>
      <c r="R25" s="468">
        <f>R24/R13</f>
        <v/>
      </c>
      <c r="S25" s="468">
        <f>S24/S13</f>
        <v/>
      </c>
      <c r="T25" s="468">
        <f>T24/T13</f>
        <v/>
      </c>
      <c r="V25" s="834" t="n"/>
      <c r="W25" s="834" t="n"/>
    </row>
    <row r="26" ht="6" customFormat="1" customHeight="1" s="469">
      <c r="B26" s="465" t="n"/>
      <c r="C26" s="466" t="n"/>
      <c r="D26" s="466" t="n"/>
      <c r="E26" s="467" t="n"/>
      <c r="F26" s="468" t="n"/>
      <c r="G26" s="468" t="n"/>
      <c r="H26" s="468" t="n"/>
      <c r="I26" s="468" t="n"/>
      <c r="J26" s="468" t="n"/>
      <c r="K26" s="468" t="n"/>
      <c r="L26" s="468" t="n"/>
      <c r="M26" s="468" t="n"/>
      <c r="N26" s="468" t="n"/>
      <c r="O26" s="468" t="n"/>
      <c r="P26" s="468" t="n"/>
      <c r="Q26" s="468" t="n"/>
      <c r="R26" s="468" t="n"/>
      <c r="S26" s="468" t="n"/>
      <c r="T26" s="468" t="n"/>
      <c r="V26" s="834" t="n"/>
      <c r="W26" s="834" t="n"/>
    </row>
    <row r="27">
      <c r="B27" s="473" t="inlineStr">
        <is>
          <t>ADJUSTMENT: Consulting</t>
        </is>
      </c>
      <c r="C27" s="832">
        <f>SUM(F27:Q27)</f>
        <v/>
      </c>
      <c r="D27" s="832">
        <f>SUM(I27:T27)</f>
        <v/>
      </c>
      <c r="E27" s="450" t="n"/>
      <c r="F27" s="833" t="n">
        <v>21299.51</v>
      </c>
      <c r="G27" s="833" t="n">
        <v>6825</v>
      </c>
      <c r="H27" s="833" t="n">
        <v>14078</v>
      </c>
      <c r="I27" s="833" t="n">
        <v>26242.39</v>
      </c>
      <c r="J27" s="833" t="n">
        <v>19080</v>
      </c>
      <c r="K27" s="833" t="n">
        <v>8420</v>
      </c>
      <c r="L27" s="833" t="n">
        <v>76584.3</v>
      </c>
      <c r="M27" s="833" t="n">
        <v>59321.73</v>
      </c>
      <c r="N27" s="833" t="n">
        <v>80472</v>
      </c>
      <c r="O27" s="833" t="n">
        <v>51815</v>
      </c>
      <c r="P27" s="833" t="n">
        <v>113108.69</v>
      </c>
      <c r="Q27" s="833" t="n">
        <v>90413.53999999999</v>
      </c>
      <c r="R27" s="833" t="n">
        <v>63406.25</v>
      </c>
      <c r="S27" s="833" t="n">
        <v>80411.25</v>
      </c>
      <c r="T27" s="833" t="n">
        <v>77315.52</v>
      </c>
      <c r="V27" s="704" t="n"/>
      <c r="W27" s="704" t="n"/>
    </row>
    <row r="28">
      <c r="B28" s="473" t="inlineStr">
        <is>
          <t>ADJUSTMENT: Recruiting Costs</t>
        </is>
      </c>
      <c r="C28" s="832">
        <f>SUM(F28:Q28)</f>
        <v/>
      </c>
      <c r="D28" s="832">
        <f>SUM(I28:T28)</f>
        <v/>
      </c>
      <c r="E28" s="450" t="n"/>
      <c r="F28" s="833" t="n">
        <v>0</v>
      </c>
      <c r="G28" s="833" t="n">
        <v>0</v>
      </c>
      <c r="H28" s="833" t="n">
        <v>0</v>
      </c>
      <c r="I28" s="833" t="n">
        <v>0</v>
      </c>
      <c r="J28" s="833" t="n">
        <v>0</v>
      </c>
      <c r="K28" s="833" t="n">
        <v>0</v>
      </c>
      <c r="L28" s="833" t="n">
        <v>0</v>
      </c>
      <c r="M28" s="833" t="n">
        <v>0</v>
      </c>
      <c r="N28" s="833" t="n">
        <v>22481.25</v>
      </c>
      <c r="O28" s="833" t="n">
        <v>22481.25</v>
      </c>
      <c r="P28" s="833" t="n">
        <v>68106.25</v>
      </c>
      <c r="Q28" s="833" t="n">
        <v>16856.25</v>
      </c>
      <c r="R28" s="833" t="n">
        <v>1856.25</v>
      </c>
      <c r="S28" s="833" t="n">
        <v>1856.25</v>
      </c>
      <c r="T28" s="833" t="n">
        <v>19500</v>
      </c>
      <c r="V28" s="704" t="n"/>
      <c r="W28" s="704" t="n"/>
    </row>
    <row r="29">
      <c r="B29" s="473" t="inlineStr">
        <is>
          <t>ADJUSTMENT: Board Fees</t>
        </is>
      </c>
      <c r="C29" s="832">
        <f>SUM(F29:Q29)</f>
        <v/>
      </c>
      <c r="D29" s="832">
        <f>SUM(I29:T29)</f>
        <v/>
      </c>
      <c r="E29" s="450" t="n"/>
      <c r="F29" s="833" t="n">
        <v>0</v>
      </c>
      <c r="G29" s="833" t="n">
        <v>25000</v>
      </c>
      <c r="H29" s="833" t="n">
        <v>0</v>
      </c>
      <c r="I29" s="833" t="n">
        <v>0</v>
      </c>
      <c r="J29" s="833" t="n">
        <v>25184.25</v>
      </c>
      <c r="K29" s="833" t="n">
        <v>2205.34</v>
      </c>
      <c r="L29" s="833" t="n">
        <v>0</v>
      </c>
      <c r="M29" s="833" t="n">
        <v>13880.54</v>
      </c>
      <c r="N29" s="833" t="n">
        <v>0</v>
      </c>
      <c r="O29" s="833" t="n">
        <v>0</v>
      </c>
      <c r="P29" s="833" t="n">
        <v>12500</v>
      </c>
      <c r="Q29" s="833" t="n">
        <v>0</v>
      </c>
      <c r="R29" s="833" t="n">
        <v>0</v>
      </c>
      <c r="S29" s="833" t="n">
        <v>25000</v>
      </c>
      <c r="T29" s="833" t="n">
        <v>0</v>
      </c>
      <c r="V29" s="704" t="n"/>
      <c r="W29" s="704" t="n"/>
      <c r="X29" s="836" t="n"/>
    </row>
    <row r="30">
      <c r="B30" s="473" t="inlineStr">
        <is>
          <t>ADJUSTMENT: IT Integration</t>
        </is>
      </c>
      <c r="C30" s="832">
        <f>SUM(F30:Q30)</f>
        <v/>
      </c>
      <c r="D30" s="832">
        <f>SUM(I30:T30)</f>
        <v/>
      </c>
      <c r="E30" s="450" t="n"/>
      <c r="F30" s="833" t="n">
        <v>0</v>
      </c>
      <c r="G30" s="833" t="n">
        <v>0</v>
      </c>
      <c r="H30" s="833" t="n">
        <v>14344</v>
      </c>
      <c r="I30" s="833" t="n">
        <v>14344</v>
      </c>
      <c r="J30" s="833" t="n">
        <v>14344</v>
      </c>
      <c r="K30" s="833" t="n">
        <v>0</v>
      </c>
      <c r="L30" s="833" t="n">
        <v>126507.79</v>
      </c>
      <c r="M30" s="833" t="n">
        <v>0</v>
      </c>
      <c r="N30" s="833" t="n">
        <v>0</v>
      </c>
      <c r="O30" s="833" t="n">
        <v>5700</v>
      </c>
      <c r="P30" s="833" t="n">
        <v>0</v>
      </c>
      <c r="Q30" s="833" t="n">
        <v>0</v>
      </c>
      <c r="R30" s="833" t="n">
        <v>15543.5</v>
      </c>
      <c r="S30" s="833" t="n">
        <v>7204.17</v>
      </c>
      <c r="T30" s="833" t="n">
        <v>8942.370000000001</v>
      </c>
      <c r="V30" s="704" t="n"/>
      <c r="W30" s="704" t="n"/>
    </row>
    <row r="31" ht="15" customFormat="1" customHeight="1" s="469">
      <c r="B31" s="473" t="inlineStr">
        <is>
          <t>ADJUSTMENT: M&amp;A</t>
        </is>
      </c>
      <c r="C31" s="832">
        <f>SUM(F31:Q31)</f>
        <v/>
      </c>
      <c r="D31" s="832">
        <f>SUM(I31:T31)</f>
        <v/>
      </c>
      <c r="E31" s="467" t="n"/>
      <c r="F31" s="833" t="n">
        <v>-141284.86</v>
      </c>
      <c r="G31" s="833" t="n">
        <v>-26791.66</v>
      </c>
      <c r="H31" s="833" t="n">
        <v>149319.43</v>
      </c>
      <c r="I31" s="833" t="n">
        <v>8363.940000000001</v>
      </c>
      <c r="J31" s="833" t="n">
        <v>99666.86</v>
      </c>
      <c r="K31" s="833" t="n">
        <v>18875.42</v>
      </c>
      <c r="L31" s="833" t="n">
        <v>143182.95</v>
      </c>
      <c r="M31" s="833" t="n">
        <v>-24985.22</v>
      </c>
      <c r="N31" s="833" t="n">
        <v>4926.06</v>
      </c>
      <c r="O31" s="833" t="n">
        <v>2679.17</v>
      </c>
      <c r="P31" s="833" t="n">
        <v>10715.99</v>
      </c>
      <c r="Q31" s="833" t="n">
        <v>168544.19</v>
      </c>
      <c r="R31" s="833" t="n">
        <v>2957.82</v>
      </c>
      <c r="S31" s="833" t="n">
        <v>7123.339999999997</v>
      </c>
      <c r="T31" s="833" t="n">
        <v>2747.17</v>
      </c>
      <c r="U31" s="356" t="n">
        <v>1000</v>
      </c>
      <c r="V31" s="834" t="n"/>
      <c r="W31" s="834" t="n"/>
    </row>
    <row r="32" ht="15" customFormat="1" customHeight="1" s="469">
      <c r="B32" s="473" t="inlineStr">
        <is>
          <t>ADJUSTMENT: Excess Temporary Labor</t>
        </is>
      </c>
      <c r="C32" s="832">
        <f>SUM(F32:Q32)</f>
        <v/>
      </c>
      <c r="D32" s="832">
        <f>SUM(I32:T32)</f>
        <v/>
      </c>
      <c r="E32" s="467" t="n"/>
      <c r="F32" s="833" t="n">
        <v>23331.43</v>
      </c>
      <c r="G32" s="833" t="n">
        <v>43629.89</v>
      </c>
      <c r="H32" s="833" t="n">
        <v>38041.49</v>
      </c>
      <c r="I32" s="833" t="n">
        <v>50090.88</v>
      </c>
      <c r="J32" s="833" t="n">
        <v>66297.7</v>
      </c>
      <c r="K32" s="833" t="n">
        <v>45571.46</v>
      </c>
      <c r="L32" s="833" t="n">
        <v>139565.49</v>
      </c>
      <c r="M32" s="833" t="n">
        <v>100000.52</v>
      </c>
      <c r="N32" s="833" t="n">
        <v>75882.97</v>
      </c>
      <c r="O32" s="833" t="n">
        <v>112881.65</v>
      </c>
      <c r="P32" s="833" t="n">
        <v>76812.89000000001</v>
      </c>
      <c r="Q32" s="833" t="n">
        <v>73013.30999999998</v>
      </c>
      <c r="R32" s="833" t="n">
        <v>58784.32</v>
      </c>
      <c r="S32" s="833" t="n">
        <v>45166.42</v>
      </c>
      <c r="T32" s="833" t="n">
        <v>46457.60000000001</v>
      </c>
      <c r="V32" s="834" t="n"/>
      <c r="W32" s="834" t="n"/>
    </row>
    <row r="33" ht="15" customFormat="1" customHeight="1" s="469">
      <c r="B33" s="473" t="inlineStr">
        <is>
          <t>ADJUSTMENT: Setup Expenses</t>
        </is>
      </c>
      <c r="C33" s="832">
        <f>SUM(F33:Q33)</f>
        <v/>
      </c>
      <c r="D33" s="832">
        <f>SUM(I33:T33)</f>
        <v/>
      </c>
      <c r="E33" s="467" t="n"/>
      <c r="F33" s="833" t="n">
        <v>528</v>
      </c>
      <c r="G33" s="833" t="n">
        <v>0</v>
      </c>
      <c r="H33" s="833" t="n">
        <v>0</v>
      </c>
      <c r="I33" s="833" t="n">
        <v>0</v>
      </c>
      <c r="J33" s="833" t="n">
        <v>0</v>
      </c>
      <c r="K33" s="833" t="n">
        <v>0</v>
      </c>
      <c r="L33" s="833" t="n">
        <v>0</v>
      </c>
      <c r="M33" s="833" t="n">
        <v>-528</v>
      </c>
      <c r="N33" s="833" t="n">
        <v>0</v>
      </c>
      <c r="O33" s="833" t="n">
        <v>0</v>
      </c>
      <c r="P33" s="833" t="n">
        <v>0</v>
      </c>
      <c r="Q33" s="833" t="n">
        <v>0</v>
      </c>
      <c r="R33" s="833" t="n">
        <v>0</v>
      </c>
      <c r="S33" s="833" t="n">
        <v>0</v>
      </c>
      <c r="T33" s="833" t="n">
        <v>0</v>
      </c>
      <c r="V33" s="834" t="n"/>
      <c r="W33" s="834" t="n"/>
    </row>
    <row r="34" ht="15" customFormat="1" customHeight="1" s="469">
      <c r="B34" s="473" t="inlineStr">
        <is>
          <t>ADJUSTMENT: Other</t>
        </is>
      </c>
      <c r="C34" s="832">
        <f>SUM(F34:Q34)</f>
        <v/>
      </c>
      <c r="D34" s="832">
        <f>SUM(I34:T34)</f>
        <v/>
      </c>
      <c r="E34" s="467" t="n"/>
      <c r="F34" s="833" t="n">
        <v>2819.47</v>
      </c>
      <c r="G34" s="833" t="n">
        <v>0</v>
      </c>
      <c r="H34" s="833" t="n">
        <v>4447.32</v>
      </c>
      <c r="I34" s="833" t="n">
        <v>17072.6</v>
      </c>
      <c r="J34" s="833" t="n">
        <v>5546.84</v>
      </c>
      <c r="K34" s="833" t="n">
        <v>43398.18</v>
      </c>
      <c r="L34" s="833" t="n">
        <v>127233.28</v>
      </c>
      <c r="M34" s="833" t="n">
        <v>1980</v>
      </c>
      <c r="N34" s="833" t="n">
        <v>55734.21</v>
      </c>
      <c r="O34" s="833" t="n">
        <v>7254.6</v>
      </c>
      <c r="P34" s="833" t="n">
        <v>422.25</v>
      </c>
      <c r="Q34" s="833" t="n">
        <v>-168162.86</v>
      </c>
      <c r="R34" s="833" t="n">
        <v>5385.830000000002</v>
      </c>
      <c r="S34" s="833" t="n">
        <v>24465.7</v>
      </c>
      <c r="T34" s="833" t="n">
        <v>611.7900000000009</v>
      </c>
      <c r="V34" s="834" t="n"/>
      <c r="W34" s="834" t="n"/>
    </row>
    <row r="35" ht="15" customFormat="1" customHeight="1" s="469">
      <c r="B35" s="538" t="inlineStr">
        <is>
          <t>ADJUSTMENT: Cental Office Administration Expense Removal</t>
        </is>
      </c>
      <c r="C35" s="832">
        <f>SUM(F35:Q35)</f>
        <v/>
      </c>
      <c r="D35" s="832">
        <f>SUM(I35:T35)</f>
        <v/>
      </c>
      <c r="E35" s="467" t="n"/>
      <c r="F35" s="833" t="n">
        <v>34500</v>
      </c>
      <c r="G35" s="833" t="n"/>
      <c r="H35" s="833" t="n"/>
      <c r="I35" s="833" t="n"/>
      <c r="J35" s="833" t="n"/>
      <c r="K35" s="833" t="n"/>
      <c r="L35" s="833" t="n"/>
      <c r="M35" s="833" t="n"/>
      <c r="N35" s="833" t="n"/>
      <c r="O35" s="833" t="n"/>
      <c r="P35" s="833" t="n"/>
      <c r="Q35" s="833" t="n"/>
      <c r="R35" s="833" t="n"/>
      <c r="S35" s="833" t="n"/>
      <c r="T35" s="833" t="n"/>
      <c r="V35" s="834" t="n"/>
      <c r="W35" s="834" t="n"/>
    </row>
    <row r="36" ht="15" customFormat="1" customHeight="1" s="469">
      <c r="B36" s="538" t="inlineStr">
        <is>
          <t>ADJUSTMENT: Yeary Controls Normalized Adjustments</t>
        </is>
      </c>
      <c r="C36" s="832">
        <f>SUM(F36:Q36)</f>
        <v/>
      </c>
      <c r="D36" s="832">
        <f>SUM(I36:T36)</f>
        <v/>
      </c>
      <c r="E36" s="467" t="n"/>
      <c r="F36" s="833" t="n">
        <v>30261.14061604585</v>
      </c>
      <c r="G36" s="833" t="n">
        <v>38124.41184377942</v>
      </c>
      <c r="H36" s="833" t="n">
        <v>29800.02163941286</v>
      </c>
      <c r="I36" s="833" t="n">
        <v>30086.04831870632</v>
      </c>
      <c r="J36" s="833" t="n">
        <v>29576.94381219409</v>
      </c>
      <c r="K36" s="833" t="n">
        <v>30251.79245709022</v>
      </c>
      <c r="L36" s="833" t="n">
        <v>31036.84369370091</v>
      </c>
      <c r="M36" s="833" t="n">
        <v>35539.38570311358</v>
      </c>
      <c r="N36" s="833" t="n">
        <v>32397.735</v>
      </c>
      <c r="O36" s="833" t="n">
        <v>60253.94</v>
      </c>
      <c r="P36" s="833" t="n"/>
      <c r="Q36" s="833" t="n"/>
      <c r="R36" s="833" t="n"/>
      <c r="S36" s="833" t="n"/>
      <c r="T36" s="833" t="n"/>
      <c r="V36" s="834" t="n"/>
      <c r="W36" s="834" t="n"/>
    </row>
    <row r="37" ht="15" customFormat="1" customHeight="1" s="469">
      <c r="B37" s="538" t="n"/>
      <c r="C37" s="832" t="n"/>
      <c r="D37" s="832" t="n"/>
      <c r="E37" s="467" t="n"/>
      <c r="F37" s="837" t="n"/>
      <c r="G37" s="837" t="n"/>
      <c r="H37" s="837" t="n"/>
      <c r="I37" s="837" t="n"/>
      <c r="J37" s="837" t="n"/>
      <c r="K37" s="837" t="n"/>
      <c r="L37" s="837" t="n"/>
      <c r="M37" s="837" t="n"/>
      <c r="N37" s="837" t="n"/>
      <c r="O37" s="837" t="n"/>
      <c r="P37" s="837" t="n"/>
      <c r="Q37" s="837" t="n"/>
      <c r="R37" s="837" t="n"/>
      <c r="S37" s="837" t="n"/>
      <c r="T37" s="837" t="n"/>
      <c r="V37" s="834" t="n"/>
      <c r="W37" s="834" t="n"/>
    </row>
    <row r="38">
      <c r="B38" s="462" t="inlineStr">
        <is>
          <t>Adjusted EBITDA</t>
        </is>
      </c>
      <c r="C38" s="838">
        <f>SUM(C27:C36)+C24</f>
        <v/>
      </c>
      <c r="D38" s="838">
        <f>SUM(D27:D36)+D24</f>
        <v/>
      </c>
      <c r="E38" s="450" t="n"/>
      <c r="F38" s="839">
        <f>SUM(F27:F36)+F24</f>
        <v/>
      </c>
      <c r="G38" s="839">
        <f>SUM(G27:G36)+G24</f>
        <v/>
      </c>
      <c r="H38" s="839">
        <f>SUM(H27:H36)+H24</f>
        <v/>
      </c>
      <c r="I38" s="839">
        <f>SUM(I27:I36)+I24</f>
        <v/>
      </c>
      <c r="J38" s="839">
        <f>SUM(J27:J36)+J24</f>
        <v/>
      </c>
      <c r="K38" s="839">
        <f>SUM(K27:K36)+K24</f>
        <v/>
      </c>
      <c r="L38" s="839">
        <f>SUM(L27:L36)+L24</f>
        <v/>
      </c>
      <c r="M38" s="839">
        <f>SUM(M27:M36)+M24</f>
        <v/>
      </c>
      <c r="N38" s="839">
        <f>SUM(N27:N36)+N24</f>
        <v/>
      </c>
      <c r="O38" s="839">
        <f>SUM(O27:O36)+O24</f>
        <v/>
      </c>
      <c r="P38" s="839">
        <f>SUM(P27:P36)+P24</f>
        <v/>
      </c>
      <c r="Q38" s="839">
        <f>SUM(Q27:Q36)+Q24</f>
        <v/>
      </c>
      <c r="R38" s="839">
        <f>SUM(R27:R36)+R24</f>
        <v/>
      </c>
      <c r="S38" s="839">
        <f>SUM(S27:S36)+S24</f>
        <v/>
      </c>
      <c r="T38" s="839">
        <f>SUM(T27:T36)+T24</f>
        <v/>
      </c>
      <c r="V38" s="704" t="n"/>
      <c r="W38" s="704" t="n"/>
    </row>
    <row r="39" customFormat="1" s="469">
      <c r="B39" s="471" t="inlineStr">
        <is>
          <t>% Adjusted EBITDA Margin</t>
        </is>
      </c>
      <c r="C39" s="472">
        <f>C38/C$13</f>
        <v/>
      </c>
      <c r="D39" s="472">
        <f>D38/D$13</f>
        <v/>
      </c>
      <c r="E39" s="467" t="n"/>
      <c r="F39" s="468">
        <f>F38/F$13</f>
        <v/>
      </c>
      <c r="G39" s="468">
        <f>G38/G$13</f>
        <v/>
      </c>
      <c r="H39" s="468">
        <f>H38/H$13</f>
        <v/>
      </c>
      <c r="I39" s="468">
        <f>I38/I$13</f>
        <v/>
      </c>
      <c r="J39" s="468">
        <f>J38/J$13</f>
        <v/>
      </c>
      <c r="K39" s="468">
        <f>K38/K$13</f>
        <v/>
      </c>
      <c r="L39" s="468">
        <f>L38/L$13</f>
        <v/>
      </c>
      <c r="M39" s="468">
        <f>M38/M$13</f>
        <v/>
      </c>
      <c r="N39" s="468">
        <f>N38/N$13</f>
        <v/>
      </c>
      <c r="O39" s="468">
        <f>O38/O$13</f>
        <v/>
      </c>
      <c r="P39" s="468">
        <f>P38/P$13</f>
        <v/>
      </c>
      <c r="Q39" s="468">
        <f>Q38/Q$13</f>
        <v/>
      </c>
      <c r="R39" s="468">
        <f>R38/R$13</f>
        <v/>
      </c>
      <c r="S39" s="468">
        <f>S38/S$13</f>
        <v/>
      </c>
      <c r="T39" s="468">
        <f>T38/T$13</f>
        <v/>
      </c>
      <c r="V39" s="834" t="n"/>
      <c r="W39" s="834" t="n"/>
    </row>
    <row r="40" ht="6" customFormat="1" customHeight="1" s="469">
      <c r="B40" s="465" t="n"/>
      <c r="C40" s="466" t="n"/>
      <c r="D40" s="466" t="n"/>
      <c r="E40" s="467" t="n"/>
      <c r="F40" s="468" t="n"/>
      <c r="G40" s="468" t="n"/>
      <c r="H40" s="468" t="n"/>
      <c r="I40" s="468" t="n"/>
      <c r="J40" s="468" t="n"/>
      <c r="K40" s="468" t="n"/>
      <c r="L40" s="468" t="n"/>
      <c r="M40" s="468" t="n"/>
      <c r="N40" s="468" t="n"/>
      <c r="O40" s="468" t="n"/>
      <c r="P40" s="468" t="n"/>
      <c r="Q40" s="468" t="n"/>
      <c r="R40" s="468" t="n"/>
      <c r="S40" s="468" t="n"/>
      <c r="T40" s="468" t="n"/>
      <c r="V40" s="834" t="n"/>
      <c r="W40" s="834" t="n"/>
    </row>
    <row r="41" ht="15" customFormat="1" customHeight="1" s="469">
      <c r="B41" s="473" t="inlineStr">
        <is>
          <t>ADJUSTMENT: Platform Adjustments</t>
        </is>
      </c>
      <c r="C41" s="832">
        <f>SUM(F41:Q41)</f>
        <v/>
      </c>
      <c r="D41" s="832">
        <f>SUM(I41:T41)</f>
        <v/>
      </c>
      <c r="E41" s="467" t="n"/>
      <c r="F41" s="837" t="n">
        <v>53036.48</v>
      </c>
      <c r="G41" s="837" t="n">
        <v>50668.77</v>
      </c>
      <c r="H41" s="837" t="n">
        <v>92200.04000000002</v>
      </c>
      <c r="I41" s="837" t="n">
        <v>54296.38</v>
      </c>
      <c r="J41" s="837" t="n">
        <v>88569.44</v>
      </c>
      <c r="K41" s="837" t="n">
        <v>61413.46</v>
      </c>
      <c r="L41" s="837" t="n">
        <v>54814.8</v>
      </c>
      <c r="M41" s="837" t="n">
        <v>52844.09</v>
      </c>
      <c r="N41" s="837" t="n">
        <v>80900.92000000001</v>
      </c>
      <c r="O41" s="837" t="n">
        <v>96291.52999999998</v>
      </c>
      <c r="P41" s="837" t="n">
        <v>61544.94000000002</v>
      </c>
      <c r="Q41" s="837" t="n">
        <v>64620.73000000001</v>
      </c>
      <c r="R41" s="833" t="n">
        <v>0</v>
      </c>
      <c r="S41" s="833" t="n">
        <v>0</v>
      </c>
      <c r="T41" s="833" t="n">
        <v>0</v>
      </c>
      <c r="V41" s="834" t="n"/>
      <c r="W41" s="834" t="n"/>
    </row>
    <row r="42">
      <c r="B42" s="462" t="inlineStr">
        <is>
          <t>Operating Adjusted EBITDA</t>
        </is>
      </c>
      <c r="C42" s="838">
        <f>C38+SUM(C41:C41)</f>
        <v/>
      </c>
      <c r="D42" s="840">
        <f>D38+SUM(D41:D41)</f>
        <v/>
      </c>
      <c r="E42" s="450" t="n"/>
      <c r="F42" s="839">
        <f>F38+SUM(F41:F41)</f>
        <v/>
      </c>
      <c r="G42" s="839">
        <f>G38+SUM(G41:G41)</f>
        <v/>
      </c>
      <c r="H42" s="839">
        <f>H38+SUM(H41:H41)</f>
        <v/>
      </c>
      <c r="I42" s="839">
        <f>I38+SUM(I41:I41)</f>
        <v/>
      </c>
      <c r="J42" s="839">
        <f>J38+SUM(J41:J41)</f>
        <v/>
      </c>
      <c r="K42" s="839">
        <f>K38+SUM(K41:K41)</f>
        <v/>
      </c>
      <c r="L42" s="839">
        <f>L38+SUM(L41:L41)</f>
        <v/>
      </c>
      <c r="M42" s="839">
        <f>M38+SUM(M41:M41)</f>
        <v/>
      </c>
      <c r="N42" s="839">
        <f>N38+SUM(N41:N41)</f>
        <v/>
      </c>
      <c r="O42" s="839">
        <f>O38+SUM(O41:O41)</f>
        <v/>
      </c>
      <c r="P42" s="839">
        <f>P38+SUM(P41:P41)</f>
        <v/>
      </c>
      <c r="Q42" s="839">
        <f>Q38+SUM(Q41:Q41)</f>
        <v/>
      </c>
      <c r="R42" s="839">
        <f>R38+SUM(R41:R41)</f>
        <v/>
      </c>
      <c r="S42" s="839">
        <f>S38+SUM(S41:S41)</f>
        <v/>
      </c>
      <c r="T42" s="839">
        <f>T38+SUM(T41:T41)</f>
        <v/>
      </c>
      <c r="V42" s="704" t="n"/>
      <c r="W42" s="704" t="n"/>
    </row>
    <row r="43" customFormat="1" s="469">
      <c r="B43" s="471" t="inlineStr">
        <is>
          <t>% Operating Adjusted EBITDA Margin</t>
        </is>
      </c>
      <c r="C43" s="472">
        <f>C42/C$13</f>
        <v/>
      </c>
      <c r="D43" s="472">
        <f>D42/D$13</f>
        <v/>
      </c>
      <c r="E43" s="467" t="n"/>
      <c r="F43" s="468">
        <f>F42/F$13</f>
        <v/>
      </c>
      <c r="G43" s="468">
        <f>G42/G$13</f>
        <v/>
      </c>
      <c r="H43" s="468">
        <f>H42/H$13</f>
        <v/>
      </c>
      <c r="I43" s="468">
        <f>I42/I$13</f>
        <v/>
      </c>
      <c r="J43" s="468">
        <f>J42/J$13</f>
        <v/>
      </c>
      <c r="K43" s="468">
        <f>K42/K$13</f>
        <v/>
      </c>
      <c r="L43" s="468">
        <f>L42/L$13</f>
        <v/>
      </c>
      <c r="M43" s="468">
        <f>M42/M$13</f>
        <v/>
      </c>
      <c r="N43" s="468">
        <f>N42/N$13</f>
        <v/>
      </c>
      <c r="O43" s="468">
        <f>O42/O$13</f>
        <v/>
      </c>
      <c r="P43" s="468">
        <f>P42/P$13</f>
        <v/>
      </c>
      <c r="Q43" s="468">
        <f>Q42/Q$13</f>
        <v/>
      </c>
      <c r="R43" s="468">
        <f>R42/R$13</f>
        <v/>
      </c>
      <c r="S43" s="468">
        <f>S42/S$13</f>
        <v/>
      </c>
      <c r="T43" s="468">
        <f>T42/T$13</f>
        <v/>
      </c>
      <c r="V43" s="834" t="n"/>
      <c r="W43" s="834" t="n"/>
    </row>
    <row r="44" ht="5.1" customHeight="1">
      <c r="B44" s="477" t="n"/>
      <c r="C44" s="841" t="n"/>
      <c r="D44" s="841" t="n"/>
      <c r="E44" s="450" t="n"/>
      <c r="F44" s="842" t="n"/>
      <c r="G44" s="842" t="n"/>
      <c r="H44" s="842" t="n"/>
      <c r="I44" s="842" t="n"/>
      <c r="J44" s="842" t="n"/>
      <c r="K44" s="842" t="n"/>
      <c r="L44" s="842" t="n"/>
      <c r="M44" s="842" t="n"/>
      <c r="N44" s="842" t="n"/>
      <c r="O44" s="842" t="n"/>
      <c r="P44" s="842" t="n"/>
      <c r="Q44" s="842" t="n"/>
      <c r="R44" s="842" t="n"/>
      <c r="S44" s="842" t="n"/>
      <c r="T44" s="842" t="n"/>
      <c r="V44" s="704" t="n"/>
      <c r="W44" s="704" t="n"/>
    </row>
    <row r="45" ht="15" customHeight="1">
      <c r="B45" s="459" t="inlineStr">
        <is>
          <t>Opus Cash</t>
        </is>
      </c>
      <c r="C45" s="832">
        <f>Q46</f>
        <v/>
      </c>
      <c r="D45" s="832">
        <f>T45</f>
        <v/>
      </c>
      <c r="E45" s="450" t="n"/>
      <c r="F45" s="843" t="n"/>
      <c r="G45" s="843" t="n"/>
      <c r="H45" s="833" t="n">
        <v>136466.6</v>
      </c>
      <c r="I45" s="833" t="n"/>
      <c r="J45" s="833" t="n"/>
      <c r="K45" s="833" t="n">
        <v>1154703.33</v>
      </c>
      <c r="L45" s="833" t="n"/>
      <c r="M45" s="833" t="n"/>
      <c r="N45" s="833" t="n">
        <v>715146.4700000001</v>
      </c>
      <c r="O45" s="833" t="n"/>
      <c r="P45" s="833" t="n"/>
      <c r="Q45" s="833" t="n">
        <v>1375758.66</v>
      </c>
      <c r="R45" s="833" t="n"/>
      <c r="S45" s="833" t="n"/>
      <c r="T45" s="833" t="n">
        <v>422159.65</v>
      </c>
      <c r="V45" s="704" t="n"/>
      <c r="W45" s="704" t="n"/>
    </row>
    <row r="46" ht="15" customHeight="1">
      <c r="B46" s="462" t="inlineStr">
        <is>
          <t>Cash</t>
        </is>
      </c>
      <c r="C46" s="838">
        <f>SUM(C45:C45)</f>
        <v/>
      </c>
      <c r="D46" s="838">
        <f>SUM(D45:D45)</f>
        <v/>
      </c>
      <c r="E46" s="450" t="n"/>
      <c r="F46" s="844">
        <f>SUM(F45:F45)</f>
        <v/>
      </c>
      <c r="G46" s="844">
        <f>SUM(G45:G45)</f>
        <v/>
      </c>
      <c r="H46" s="844">
        <f>SUM(H45:H45)</f>
        <v/>
      </c>
      <c r="I46" s="844">
        <f>SUM(I45:I45)</f>
        <v/>
      </c>
      <c r="J46" s="844">
        <f>SUM(J45:J45)</f>
        <v/>
      </c>
      <c r="K46" s="844">
        <f>SUM(K45:K45)</f>
        <v/>
      </c>
      <c r="L46" s="844">
        <f>SUM(L45:L45)</f>
        <v/>
      </c>
      <c r="M46" s="844">
        <f>SUM(M45:M45)</f>
        <v/>
      </c>
      <c r="N46" s="844">
        <f>SUM(N45:N45)</f>
        <v/>
      </c>
      <c r="O46" s="844">
        <f>SUM(O45:O45)</f>
        <v/>
      </c>
      <c r="P46" s="844">
        <f>SUM(P45:P45)</f>
        <v/>
      </c>
      <c r="Q46" s="844">
        <f>SUM(Q45:Q45)</f>
        <v/>
      </c>
      <c r="R46" s="844">
        <f>SUM(R45:R45)</f>
        <v/>
      </c>
      <c r="S46" s="844">
        <f>SUM(S45:S45)</f>
        <v/>
      </c>
      <c r="T46" s="844">
        <f>SUM(T45:T45)</f>
        <v/>
      </c>
      <c r="V46" s="704" t="n"/>
      <c r="W46" s="704" t="n"/>
    </row>
    <row r="47" ht="5.1" customFormat="1" customHeight="1" s="469">
      <c r="B47" s="465" t="n"/>
      <c r="C47" s="466" t="n"/>
      <c r="D47" s="466" t="n"/>
      <c r="E47" s="467" t="n"/>
      <c r="F47" s="468" t="n"/>
      <c r="G47" s="468" t="n"/>
      <c r="H47" s="468" t="n"/>
      <c r="I47" s="468" t="n"/>
      <c r="J47" s="468" t="n"/>
      <c r="K47" s="468" t="n"/>
      <c r="L47" s="468" t="n"/>
      <c r="M47" s="468" t="n"/>
      <c r="N47" s="468" t="n"/>
      <c r="O47" s="468" t="n"/>
      <c r="P47" s="468" t="n"/>
      <c r="Q47" s="468" t="n"/>
      <c r="R47" s="468" t="n"/>
      <c r="S47" s="468" t="n"/>
      <c r="T47" s="468" t="n"/>
      <c r="V47" s="834" t="n"/>
      <c r="W47" s="834" t="n"/>
    </row>
    <row r="48" ht="15" customHeight="1">
      <c r="B48" s="459" t="inlineStr">
        <is>
          <t>Opus Debt</t>
        </is>
      </c>
      <c r="C48" s="832">
        <f>K48</f>
        <v/>
      </c>
      <c r="D48" s="832">
        <f>T48</f>
        <v/>
      </c>
      <c r="E48" s="450" t="n"/>
      <c r="F48" s="480" t="n"/>
      <c r="G48" s="480" t="n"/>
      <c r="H48" s="480" t="n"/>
      <c r="I48" s="480" t="n"/>
      <c r="J48" s="480" t="n"/>
      <c r="K48" s="480" t="n"/>
      <c r="L48" s="480" t="n"/>
      <c r="M48" s="480" t="n"/>
      <c r="N48" s="480" t="n"/>
      <c r="O48" s="480" t="n"/>
      <c r="P48" s="480" t="n"/>
      <c r="Q48" s="480" t="n"/>
      <c r="R48" s="480" t="n"/>
      <c r="S48" s="480" t="n"/>
      <c r="T48" s="480" t="n"/>
      <c r="V48" s="704" t="n"/>
      <c r="W48" s="704" t="n"/>
    </row>
    <row r="49" ht="15" customHeight="1" thickBot="1">
      <c r="B49" s="483" t="inlineStr">
        <is>
          <t>Debt</t>
        </is>
      </c>
      <c r="C49" s="845">
        <f>SUM(C48:C48)</f>
        <v/>
      </c>
      <c r="D49" s="845">
        <f>SUM(D48:D48)</f>
        <v/>
      </c>
      <c r="E49" s="450" t="n"/>
      <c r="F49" s="844">
        <f>SUM(F48:F48)</f>
        <v/>
      </c>
      <c r="G49" s="844">
        <f>SUM(G48:G48)</f>
        <v/>
      </c>
      <c r="H49" s="844">
        <f>SUM(H48:H48)</f>
        <v/>
      </c>
      <c r="I49" s="844">
        <f>SUM(I48:I48)</f>
        <v/>
      </c>
      <c r="J49" s="844">
        <f>SUM(J48:J48)</f>
        <v/>
      </c>
      <c r="K49" s="844">
        <f>SUM(K48:K48)</f>
        <v/>
      </c>
      <c r="L49" s="844">
        <f>SUM(L48:L48)</f>
        <v/>
      </c>
      <c r="M49" s="844">
        <f>SUM(M48:M48)</f>
        <v/>
      </c>
      <c r="N49" s="844">
        <f>SUM(N48:N48)</f>
        <v/>
      </c>
      <c r="O49" s="844">
        <f>SUM(O48:O48)</f>
        <v/>
      </c>
      <c r="P49" s="844">
        <f>SUM(P48:P48)</f>
        <v/>
      </c>
      <c r="Q49" s="844">
        <f>SUM(Q48:Q48)</f>
        <v/>
      </c>
      <c r="R49" s="844">
        <f>SUM(R48:R48)</f>
        <v/>
      </c>
      <c r="S49" s="844">
        <f>SUM(S48:S48)</f>
        <v/>
      </c>
      <c r="T49" s="844">
        <f>SUM(T48:T48)</f>
        <v/>
      </c>
      <c r="V49" s="704" t="n"/>
      <c r="W49" s="704" t="n"/>
    </row>
    <row r="50">
      <c r="B50" s="39" t="n"/>
    </row>
    <row r="51">
      <c r="B51" s="44" t="n"/>
      <c r="F51" s="704">
        <f>SUM(R38:T38)</f>
        <v/>
      </c>
      <c r="G51" s="704" t="n"/>
      <c r="H51" s="659" t="n"/>
    </row>
    <row r="52">
      <c r="C52" s="315" t="n"/>
      <c r="D52" s="315" t="n"/>
      <c r="F52" s="704">
        <f>SUM(F38:H38)</f>
        <v/>
      </c>
      <c r="G52" s="704" t="n"/>
      <c r="H52" s="659" t="n"/>
    </row>
    <row r="53">
      <c r="G53" s="704" t="n"/>
      <c r="H53" s="659" t="n"/>
    </row>
    <row r="54">
      <c r="F54" s="704">
        <f>F51-F52</f>
        <v/>
      </c>
      <c r="G54" s="704" t="n"/>
    </row>
    <row r="55">
      <c r="D55" s="664" t="inlineStr">
        <is>
          <t>Check</t>
        </is>
      </c>
      <c r="F55">
        <f>F54='III. Valuation Summary'!I10</f>
        <v/>
      </c>
    </row>
    <row r="57">
      <c r="G57" s="704" t="n"/>
    </row>
    <row r="58">
      <c r="G58" s="704" t="n"/>
    </row>
    <row r="60">
      <c r="B60" s="549" t="n"/>
    </row>
    <row r="61">
      <c r="B61" s="704" t="n"/>
    </row>
  </sheetData>
  <conditionalFormatting sqref="B35:B37">
    <cfRule type="duplicateValues" priority="103" dxfId="0"/>
  </conditionalFormatting>
  <pageMargins left="0.7" right="0.7" top="0.75" bottom="0.75" header="0.3" footer="0.3"/>
  <pageSetup orientation="portrait" scale="39" horizontalDpi="4294967295" verticalDpi="429496729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W102"/>
  <sheetViews>
    <sheetView showGridLines="0" view="pageBreakPreview" zoomScale="90" zoomScaleNormal="100" zoomScaleSheetLayoutView="90" workbookViewId="0">
      <selection activeCell="A1" sqref="A1"/>
    </sheetView>
  </sheetViews>
  <sheetFormatPr baseColWidth="8" defaultColWidth="9.140625" defaultRowHeight="10.5" outlineLevelRow="2"/>
  <cols>
    <col width="26.7109375" bestFit="1" customWidth="1" style="553" min="1" max="1"/>
    <col width="13.140625" customWidth="1" style="554" min="2" max="2"/>
    <col width="22.85546875" customWidth="1" style="554" min="3" max="3"/>
    <col width="3" customWidth="1" style="554" min="4" max="4"/>
    <col width="11" customWidth="1" style="554" min="5" max="16"/>
    <col width="11.5703125" bestFit="1" customWidth="1" style="554" min="17" max="17"/>
    <col width="9.140625" customWidth="1" style="554" min="18" max="22"/>
    <col width="11.42578125" bestFit="1" customWidth="1" style="554" min="23" max="23"/>
    <col width="9.140625" customWidth="1" style="554" min="24" max="16384"/>
  </cols>
  <sheetData>
    <row r="1" ht="5.1" customHeight="1">
      <c r="E1" s="555" t="n"/>
    </row>
    <row r="2" ht="5.1" customHeight="1">
      <c r="E2" s="555" t="n"/>
    </row>
    <row r="3" ht="12" customHeight="1">
      <c r="B3" s="556" t="inlineStr">
        <is>
          <t>XPV Portfolio Company Adjustments to EBITDA</t>
        </is>
      </c>
      <c r="C3" s="557" t="n"/>
      <c r="D3" s="557" t="n"/>
      <c r="E3" s="558" t="n"/>
      <c r="F3" s="557" t="n"/>
      <c r="G3" s="557" t="n"/>
      <c r="H3" s="557" t="n"/>
      <c r="I3" s="557" t="n"/>
      <c r="J3" s="557" t="n"/>
      <c r="K3" s="557" t="n"/>
      <c r="L3" s="557" t="n"/>
      <c r="M3" s="557" t="n"/>
      <c r="N3" s="557" t="n"/>
      <c r="O3" s="557" t="n"/>
      <c r="P3" s="557" t="n"/>
    </row>
    <row r="4">
      <c r="B4" s="559" t="inlineStr">
        <is>
          <t>Opus Water</t>
        </is>
      </c>
      <c r="E4" s="555" t="n"/>
    </row>
    <row r="5" ht="12" customHeight="1">
      <c r="B5" s="560" t="n"/>
      <c r="D5" s="561" t="n"/>
      <c r="E5" s="562" t="inlineStr">
        <is>
          <t>Q1</t>
        </is>
      </c>
      <c r="F5" s="562" t="inlineStr">
        <is>
          <t>Q1</t>
        </is>
      </c>
      <c r="G5" s="562" t="inlineStr">
        <is>
          <t>Q1</t>
        </is>
      </c>
      <c r="H5" s="562" t="inlineStr">
        <is>
          <t>Q2</t>
        </is>
      </c>
      <c r="I5" s="562" t="inlineStr">
        <is>
          <t>Q2</t>
        </is>
      </c>
      <c r="J5" s="562" t="inlineStr">
        <is>
          <t>Q2</t>
        </is>
      </c>
      <c r="K5" s="562" t="inlineStr">
        <is>
          <t>Q3</t>
        </is>
      </c>
      <c r="L5" s="562" t="inlineStr">
        <is>
          <t>Q3</t>
        </is>
      </c>
      <c r="M5" s="562" t="inlineStr">
        <is>
          <t>Q3</t>
        </is>
      </c>
      <c r="N5" s="562" t="inlineStr">
        <is>
          <t>Q4</t>
        </is>
      </c>
      <c r="O5" s="562" t="inlineStr">
        <is>
          <t>Q4</t>
        </is>
      </c>
      <c r="P5" s="562" t="inlineStr">
        <is>
          <t>Q4</t>
        </is>
      </c>
    </row>
    <row r="6" ht="5.1" customHeight="1">
      <c r="D6" s="561" t="n"/>
    </row>
    <row r="7">
      <c r="D7" s="561" t="n"/>
      <c r="E7" s="846" t="n">
        <v>46053</v>
      </c>
      <c r="F7" s="847">
        <f>EOMONTH(E7,1)</f>
        <v/>
      </c>
      <c r="G7" s="848">
        <f>EOMONTH(F7,1)</f>
        <v/>
      </c>
      <c r="H7" s="848">
        <f>EOMONTH(G7,1)</f>
        <v/>
      </c>
      <c r="I7" s="848">
        <f>EOMONTH(H7,1)</f>
        <v/>
      </c>
      <c r="J7" s="848">
        <f>EOMONTH(I7,1)</f>
        <v/>
      </c>
      <c r="K7" s="848">
        <f>EOMONTH(J7,1)</f>
        <v/>
      </c>
      <c r="L7" s="848">
        <f>EOMONTH(K7,1)</f>
        <v/>
      </c>
      <c r="M7" s="848">
        <f>EOMONTH(L7,1)</f>
        <v/>
      </c>
      <c r="N7" s="848">
        <f>EOMONTH(M7,1)</f>
        <v/>
      </c>
      <c r="O7" s="848">
        <f>EOMONTH(N7,1)</f>
        <v/>
      </c>
      <c r="P7" s="848">
        <f>EOMONTH(O7,1)</f>
        <v/>
      </c>
    </row>
    <row r="8">
      <c r="B8" s="554" t="inlineStr">
        <is>
          <t>Opus Water</t>
        </is>
      </c>
      <c r="D8" s="561" t="n"/>
      <c r="E8" s="849">
        <f>'Pro Forma Financials (Q1)'!R21</f>
        <v/>
      </c>
      <c r="F8" s="849">
        <f>'Pro Forma Financials (Q1)'!S21</f>
        <v/>
      </c>
      <c r="G8" s="849">
        <f>'Pro Forma Financials (Q1)'!T21</f>
        <v/>
      </c>
      <c r="H8" s="849" t="n"/>
      <c r="I8" s="849" t="n"/>
      <c r="J8" s="849" t="n"/>
      <c r="K8" s="849" t="n"/>
      <c r="L8" s="849" t="n"/>
      <c r="M8" s="849" t="n"/>
      <c r="N8" s="849" t="n"/>
      <c r="O8" s="849" t="n"/>
      <c r="P8" s="849" t="n"/>
    </row>
    <row r="9">
      <c r="D9" s="561" t="n"/>
      <c r="E9" s="849">
        <f>'Pro Forma Financials (Q1)'!R22</f>
        <v/>
      </c>
      <c r="F9" s="849">
        <f>'Pro Forma Financials (Q1)'!S22</f>
        <v/>
      </c>
      <c r="G9" s="849">
        <f>'Pro Forma Financials (Q1)'!T22</f>
        <v/>
      </c>
      <c r="H9" s="849" t="n"/>
      <c r="I9" s="849" t="n"/>
      <c r="J9" s="849" t="n"/>
      <c r="K9" s="849" t="n"/>
      <c r="L9" s="849" t="n"/>
      <c r="M9" s="849" t="n"/>
      <c r="N9" s="849" t="n"/>
      <c r="O9" s="849" t="n"/>
      <c r="P9" s="849" t="n"/>
    </row>
    <row r="10">
      <c r="D10" s="561" t="n"/>
      <c r="E10" s="849">
        <f>'Pro Forma Financials (Q1)'!R23</f>
        <v/>
      </c>
      <c r="F10" s="849">
        <f>'Pro Forma Financials (Q1)'!S23</f>
        <v/>
      </c>
      <c r="G10" s="849">
        <f>'Pro Forma Financials (Q1)'!T23</f>
        <v/>
      </c>
      <c r="H10" s="849" t="n"/>
      <c r="I10" s="849" t="n"/>
      <c r="J10" s="849" t="n"/>
      <c r="K10" s="849" t="n"/>
      <c r="L10" s="849" t="n"/>
      <c r="M10" s="849" t="n"/>
      <c r="N10" s="849" t="n"/>
      <c r="O10" s="849" t="n"/>
      <c r="P10" s="849" t="n"/>
    </row>
    <row r="11">
      <c r="B11" s="567" t="inlineStr">
        <is>
          <t>PF EBITDA</t>
        </is>
      </c>
      <c r="C11" s="568" t="n"/>
      <c r="D11" s="569" t="n"/>
      <c r="E11" s="850">
        <f>SUM(E8:E10)</f>
        <v/>
      </c>
      <c r="F11" s="851">
        <f>SUM(F8:F10)</f>
        <v/>
      </c>
      <c r="G11" s="851">
        <f>SUM(G8:G10)</f>
        <v/>
      </c>
      <c r="H11" s="851">
        <f>SUM(H8:H10)</f>
        <v/>
      </c>
      <c r="I11" s="851">
        <f>SUM(I8:I10)</f>
        <v/>
      </c>
      <c r="J11" s="851">
        <f>SUM(J8:J10)</f>
        <v/>
      </c>
      <c r="K11" s="851">
        <f>SUM(K8:K10)</f>
        <v/>
      </c>
      <c r="L11" s="851">
        <f>SUM(L8:L10)</f>
        <v/>
      </c>
      <c r="M11" s="851">
        <f>SUM(M8:M10)</f>
        <v/>
      </c>
      <c r="N11" s="851">
        <f>SUM(N8:N10)</f>
        <v/>
      </c>
      <c r="O11" s="851">
        <f>SUM(O8:O10)</f>
        <v/>
      </c>
      <c r="P11" s="851">
        <f>SUM(P8:P10)</f>
        <v/>
      </c>
    </row>
    <row r="12">
      <c r="E12" s="555" t="n"/>
    </row>
    <row r="13">
      <c r="B13" s="572" t="inlineStr">
        <is>
          <t>Category 1: Recruitment</t>
        </is>
      </c>
      <c r="C13" s="557" t="n"/>
      <c r="D13" s="557" t="n"/>
      <c r="E13" s="558" t="n"/>
      <c r="F13" s="557" t="n"/>
      <c r="G13" s="557" t="n"/>
      <c r="H13" s="557" t="n"/>
      <c r="I13" s="557" t="n"/>
      <c r="J13" s="557" t="n"/>
      <c r="K13" s="557" t="n"/>
      <c r="L13" s="557" t="n"/>
      <c r="M13" s="557" t="n"/>
      <c r="N13" s="557" t="n"/>
      <c r="O13" s="557" t="n"/>
      <c r="P13" s="557" t="n"/>
    </row>
    <row r="14" ht="3" customHeight="1">
      <c r="B14" s="573" t="n"/>
      <c r="E14" s="555" t="n"/>
    </row>
    <row r="15" outlineLevel="1">
      <c r="B15" s="574" t="inlineStr">
        <is>
          <t>Total One-Time Recruitment Expenses</t>
        </is>
      </c>
      <c r="E15" s="852" t="n"/>
      <c r="F15" s="853" t="n"/>
      <c r="G15" s="853" t="n"/>
      <c r="H15" s="853" t="n"/>
      <c r="I15" s="853" t="n"/>
      <c r="J15" s="853" t="n"/>
      <c r="K15" s="853" t="n"/>
      <c r="L15" s="853" t="n"/>
      <c r="M15" s="853" t="n"/>
      <c r="N15" s="853" t="n"/>
      <c r="O15" s="853" t="n"/>
      <c r="P15" s="853" t="n"/>
    </row>
    <row r="16" outlineLevel="1">
      <c r="A16" s="553" t="inlineStr">
        <is>
          <t>ADJUSTMENT: RM Executive Search</t>
        </is>
      </c>
      <c r="C16" s="577" t="inlineStr">
        <is>
          <t>Recruiting Costs</t>
        </is>
      </c>
      <c r="D16" s="578" t="n"/>
      <c r="E16" s="854" t="n">
        <v>1856.25</v>
      </c>
      <c r="F16" s="855" t="n">
        <v>1856.25</v>
      </c>
      <c r="G16" s="855" t="n">
        <v>19500</v>
      </c>
      <c r="H16" s="856" t="n"/>
      <c r="I16" s="857" t="n"/>
      <c r="J16" s="856" t="n"/>
      <c r="K16" s="856" t="n"/>
      <c r="L16" s="856" t="n"/>
      <c r="M16" s="855" t="n"/>
      <c r="N16" s="855" t="n"/>
      <c r="O16" s="855" t="n"/>
      <c r="P16" s="855" t="n"/>
      <c r="Q16" s="582" t="n"/>
    </row>
    <row r="17" outlineLevel="1">
      <c r="C17" s="577" t="n"/>
      <c r="D17" s="578" t="n"/>
      <c r="E17" s="858" t="n"/>
      <c r="F17" s="856" t="n"/>
      <c r="G17" s="857" t="n"/>
      <c r="H17" s="857" t="n"/>
      <c r="I17" s="857" t="n"/>
      <c r="J17" s="857" t="n"/>
      <c r="K17" s="857" t="n"/>
      <c r="L17" s="857" t="n"/>
      <c r="M17" s="857" t="n"/>
      <c r="N17" s="857" t="n"/>
      <c r="O17" s="857" t="n"/>
      <c r="P17" s="857" t="n"/>
    </row>
    <row r="18" outlineLevel="1">
      <c r="C18" s="577" t="n"/>
      <c r="D18" s="578" t="n"/>
      <c r="E18" s="859" t="n"/>
      <c r="F18" s="857" t="n"/>
      <c r="G18" s="857" t="n"/>
      <c r="H18" s="857" t="n"/>
      <c r="I18" s="857" t="n"/>
      <c r="J18" s="857" t="n"/>
      <c r="K18" s="857" t="n"/>
      <c r="L18" s="857" t="n"/>
      <c r="M18" s="857" t="n"/>
      <c r="N18" s="857" t="n"/>
      <c r="O18" s="857" t="n"/>
      <c r="P18" s="857" t="n"/>
    </row>
    <row r="19" outlineLevel="1">
      <c r="C19" s="577" t="n"/>
      <c r="D19" s="578" t="n"/>
      <c r="E19" s="860" t="n"/>
      <c r="F19" s="857" t="n"/>
      <c r="G19" s="857" t="n"/>
      <c r="H19" s="857" t="n"/>
      <c r="I19" s="857" t="n"/>
      <c r="J19" s="857" t="n"/>
      <c r="K19" s="857" t="n"/>
      <c r="L19" s="857" t="n"/>
      <c r="M19" s="857" t="n"/>
      <c r="N19" s="857" t="n"/>
      <c r="O19" s="857" t="n"/>
      <c r="P19" s="857" t="n"/>
    </row>
    <row r="20" customFormat="1" s="573">
      <c r="A20" s="585" t="n"/>
      <c r="B20" s="573" t="inlineStr">
        <is>
          <t>Recruitment Expenses</t>
        </is>
      </c>
      <c r="C20" s="586" t="n"/>
      <c r="E20" s="861">
        <f>IF(E15&gt;0,E15,SUM(E16:E19))</f>
        <v/>
      </c>
      <c r="F20" s="862">
        <f>IF(F15&gt;0,F15,SUM(F16:F19))</f>
        <v/>
      </c>
      <c r="G20" s="862">
        <f>IF(G15&gt;0,G15,SUM(G16:G19))</f>
        <v/>
      </c>
      <c r="H20" s="862">
        <f>IF(H15&gt;0,H15,SUM(H16:H19))</f>
        <v/>
      </c>
      <c r="I20" s="862">
        <f>IF(I15&gt;0,I15,SUM(I16:I19))</f>
        <v/>
      </c>
      <c r="J20" s="862">
        <f>IF(J15&gt;0,J15,SUM(J16:J19))</f>
        <v/>
      </c>
      <c r="K20" s="862">
        <f>IF(K15&gt;0,K15,SUM(K16:K19))</f>
        <v/>
      </c>
      <c r="L20" s="862">
        <f>IF(L15&gt;0,L15,SUM(L16:L19))</f>
        <v/>
      </c>
      <c r="M20" s="862">
        <f>IF(M15&gt;0,M15,SUM(M16:M19))</f>
        <v/>
      </c>
      <c r="N20" s="862">
        <f>IF(N15&gt;0,N15,SUM(N16:N19))</f>
        <v/>
      </c>
      <c r="O20" s="862">
        <f>IF(O15&gt;0,O15,SUM(O16:O19))</f>
        <v/>
      </c>
      <c r="P20" s="862">
        <f>IF(P15&gt;0,P15,SUM(P16:P19))</f>
        <v/>
      </c>
      <c r="Q20" s="863" t="n"/>
    </row>
    <row r="21">
      <c r="C21" s="590" t="n"/>
      <c r="E21" s="864" t="n"/>
      <c r="F21" s="865" t="n"/>
      <c r="G21" s="865" t="n"/>
      <c r="H21" s="865" t="n"/>
      <c r="I21" s="865" t="n"/>
      <c r="J21" s="865" t="n"/>
      <c r="K21" s="865" t="n"/>
      <c r="L21" s="865" t="n"/>
      <c r="M21" s="865" t="n"/>
      <c r="N21" s="865" t="n"/>
      <c r="O21" s="865" t="n"/>
      <c r="P21" s="865" t="n"/>
    </row>
    <row r="22">
      <c r="B22" s="572" t="inlineStr">
        <is>
          <t>Category 2: XPV Related</t>
        </is>
      </c>
      <c r="C22" s="593" t="n"/>
      <c r="D22" s="557" t="n"/>
      <c r="E22" s="866" t="n"/>
      <c r="F22" s="867" t="n"/>
      <c r="G22" s="867" t="n"/>
      <c r="H22" s="867" t="n"/>
      <c r="I22" s="867" t="n"/>
      <c r="J22" s="867" t="n"/>
      <c r="K22" s="867" t="n"/>
      <c r="L22" s="867" t="n"/>
      <c r="M22" s="867" t="n"/>
      <c r="N22" s="867" t="n"/>
      <c r="O22" s="867" t="n"/>
      <c r="P22" s="867" t="n"/>
    </row>
    <row r="23" ht="3" customHeight="1">
      <c r="B23" s="573" t="n"/>
      <c r="C23" s="590" t="n"/>
      <c r="E23" s="864" t="n"/>
      <c r="F23" s="865" t="n"/>
      <c r="G23" s="865" t="n"/>
      <c r="H23" s="865" t="n"/>
      <c r="I23" s="865" t="n"/>
      <c r="J23" s="865" t="n"/>
      <c r="K23" s="865" t="n"/>
      <c r="L23" s="865" t="n"/>
      <c r="M23" s="865" t="n"/>
      <c r="N23" s="865" t="n"/>
      <c r="O23" s="865" t="n"/>
      <c r="P23" s="865" t="n"/>
    </row>
    <row r="24" outlineLevel="1">
      <c r="B24" s="574" t="inlineStr">
        <is>
          <t>Total XPV Expenses</t>
        </is>
      </c>
      <c r="C24" s="590" t="n"/>
      <c r="E24" s="852" t="n"/>
      <c r="F24" s="853" t="n"/>
      <c r="G24" s="853" t="n"/>
      <c r="H24" s="853" t="n"/>
      <c r="I24" s="853" t="n"/>
      <c r="J24" s="853" t="n"/>
      <c r="K24" s="853" t="n"/>
      <c r="L24" s="853" t="n"/>
      <c r="M24" s="853" t="n"/>
      <c r="N24" s="853" t="n"/>
      <c r="O24" s="853" t="n"/>
      <c r="P24" s="853" t="n"/>
    </row>
    <row r="25" outlineLevel="1">
      <c r="A25" s="553" t="inlineStr">
        <is>
          <t>ADJUSTMENT: Petra Coach</t>
        </is>
      </c>
      <c r="C25" s="577" t="inlineStr">
        <is>
          <t>Petra Coach</t>
        </is>
      </c>
      <c r="E25" s="860" t="n"/>
      <c r="F25" s="868" t="n"/>
      <c r="G25" s="868" t="n"/>
      <c r="H25" s="868" t="n"/>
      <c r="I25" s="868" t="n"/>
      <c r="J25" s="868" t="n"/>
      <c r="K25" s="868" t="n"/>
      <c r="L25" s="868" t="n"/>
      <c r="M25" s="868" t="n"/>
      <c r="N25" s="868" t="n"/>
      <c r="O25" s="868" t="n"/>
      <c r="P25" s="868" t="n"/>
    </row>
    <row r="26" outlineLevel="1">
      <c r="A26" s="553" t="inlineStr">
        <is>
          <t>ADJUSTMENT: Board Fees</t>
        </is>
      </c>
      <c r="C26" s="577" t="inlineStr">
        <is>
          <t>Board Fees</t>
        </is>
      </c>
      <c r="E26" s="860" t="n">
        <v>0</v>
      </c>
      <c r="F26" s="855" t="n">
        <v>25000</v>
      </c>
      <c r="G26" s="869" t="n"/>
      <c r="H26" s="869" t="n"/>
      <c r="I26" s="857" t="n"/>
      <c r="J26" s="857" t="n"/>
      <c r="K26" s="857" t="n"/>
      <c r="L26" s="857" t="n"/>
      <c r="M26" s="857" t="n"/>
      <c r="N26" s="857" t="n"/>
      <c r="O26" s="857" t="n"/>
      <c r="P26" s="857" t="n"/>
    </row>
    <row r="27" outlineLevel="1">
      <c r="A27" s="553" t="inlineStr">
        <is>
          <t>ADJUSTMENT: Officers Compensation</t>
        </is>
      </c>
      <c r="C27" s="577" t="inlineStr">
        <is>
          <t>Officers Compensation</t>
        </is>
      </c>
      <c r="E27" s="860" t="n"/>
      <c r="F27" s="868" t="n"/>
      <c r="G27" s="868" t="n"/>
      <c r="H27" s="868" t="n"/>
      <c r="I27" s="868" t="n"/>
      <c r="J27" s="868" t="n"/>
      <c r="K27" s="868" t="n"/>
      <c r="L27" s="868" t="n"/>
      <c r="M27" s="868" t="n"/>
      <c r="N27" s="857" t="n"/>
      <c r="O27" s="857" t="n"/>
      <c r="P27" s="857" t="n"/>
    </row>
    <row r="28" outlineLevel="1">
      <c r="C28" s="577" t="n"/>
      <c r="E28" s="860" t="n"/>
      <c r="F28" s="857" t="n"/>
      <c r="G28" s="857" t="n"/>
      <c r="H28" s="857" t="n"/>
      <c r="I28" s="857" t="n"/>
      <c r="J28" s="857" t="n"/>
      <c r="K28" s="857" t="n"/>
      <c r="L28" s="857" t="n"/>
      <c r="M28" s="857" t="n"/>
      <c r="N28" s="857" t="n"/>
      <c r="O28" s="857" t="n"/>
      <c r="P28" s="857" t="n"/>
    </row>
    <row r="29" customFormat="1" s="573">
      <c r="A29" s="585" t="n"/>
      <c r="B29" s="573" t="inlineStr">
        <is>
          <t>XPV Related Expenses</t>
        </is>
      </c>
      <c r="C29" s="586" t="n"/>
      <c r="E29" s="861">
        <f>IF(E24&gt;0,E24,SUM(E25:E28))</f>
        <v/>
      </c>
      <c r="F29" s="862">
        <f>IF(F24&gt;0,F24,SUM(F25:F28))</f>
        <v/>
      </c>
      <c r="G29" s="862">
        <f>IF(G24&gt;0,G24,SUM(G25:G28))</f>
        <v/>
      </c>
      <c r="H29" s="862">
        <f>IF(H24&gt;0,H24,SUM(H25:H28))</f>
        <v/>
      </c>
      <c r="I29" s="862">
        <f>IF(I24&gt;0,I24,SUM(I25:I28))</f>
        <v/>
      </c>
      <c r="J29" s="862">
        <f>IF(J24&gt;0,J24,SUM(J25:J28))</f>
        <v/>
      </c>
      <c r="K29" s="862">
        <f>IF(K24&gt;0,K24,SUM(K25:K28))</f>
        <v/>
      </c>
      <c r="L29" s="862">
        <f>IF(L24&gt;0,L24,SUM(L25:L28))</f>
        <v/>
      </c>
      <c r="M29" s="862">
        <f>IF(M24&gt;0,M24,SUM(M25:M28))</f>
        <v/>
      </c>
      <c r="N29" s="862">
        <f>IF(N24&gt;0,N24,SUM(N25:N28))</f>
        <v/>
      </c>
      <c r="O29" s="862">
        <f>IF(O24&gt;0,O24,SUM(O25:O28))</f>
        <v/>
      </c>
      <c r="P29" s="862">
        <f>IF(P24&gt;0,P24,SUM(P25:P28))</f>
        <v/>
      </c>
      <c r="Q29" s="863" t="n"/>
    </row>
    <row r="30">
      <c r="C30" s="590" t="n"/>
      <c r="E30" s="864" t="n"/>
      <c r="F30" s="865" t="n"/>
      <c r="G30" s="865" t="n"/>
      <c r="H30" s="865" t="n"/>
      <c r="I30" s="865" t="n"/>
      <c r="J30" s="865" t="n"/>
      <c r="K30" s="865" t="n"/>
      <c r="L30" s="865" t="n"/>
      <c r="M30" s="865" t="n"/>
      <c r="N30" s="865" t="n"/>
      <c r="O30" s="865" t="n"/>
      <c r="P30" s="865" t="n"/>
    </row>
    <row r="31">
      <c r="B31" s="572" t="inlineStr">
        <is>
          <t>Category 3: Financing Related</t>
        </is>
      </c>
      <c r="C31" s="593" t="n"/>
      <c r="D31" s="557" t="n"/>
      <c r="E31" s="866" t="n"/>
      <c r="F31" s="867" t="n"/>
      <c r="G31" s="867" t="n"/>
      <c r="H31" s="867" t="n"/>
      <c r="I31" s="867" t="n"/>
      <c r="J31" s="867" t="n"/>
      <c r="K31" s="867" t="n"/>
      <c r="L31" s="867" t="n"/>
      <c r="M31" s="867" t="n"/>
      <c r="N31" s="867" t="n"/>
      <c r="O31" s="867" t="n"/>
      <c r="P31" s="867" t="n"/>
    </row>
    <row r="32" ht="3" customHeight="1">
      <c r="B32" s="573" t="n"/>
      <c r="C32" s="590" t="n"/>
      <c r="E32" s="864" t="n"/>
      <c r="F32" s="865" t="n"/>
      <c r="G32" s="865" t="n"/>
      <c r="H32" s="865" t="n"/>
      <c r="I32" s="865" t="n"/>
      <c r="J32" s="865" t="n"/>
      <c r="K32" s="865" t="n"/>
      <c r="L32" s="865" t="n"/>
      <c r="M32" s="865" t="n"/>
      <c r="N32" s="865" t="n"/>
      <c r="O32" s="865" t="n"/>
      <c r="P32" s="865" t="n"/>
    </row>
    <row r="33" outlineLevel="1">
      <c r="B33" s="574" t="inlineStr">
        <is>
          <t>Total One-Time Financing Expenses</t>
        </is>
      </c>
      <c r="C33" s="590" t="n"/>
      <c r="E33" s="852" t="n"/>
      <c r="F33" s="853" t="n"/>
      <c r="G33" s="853" t="n"/>
      <c r="H33" s="853" t="n"/>
      <c r="I33" s="853" t="n"/>
      <c r="J33" s="853" t="n"/>
      <c r="K33" s="853" t="n"/>
      <c r="L33" s="853" t="n"/>
      <c r="M33" s="853" t="n"/>
      <c r="N33" s="853" t="n"/>
      <c r="O33" s="853" t="n"/>
      <c r="P33" s="853" t="n"/>
    </row>
    <row r="34" outlineLevel="1">
      <c r="C34" s="577" t="n"/>
      <c r="E34" s="870" t="n"/>
      <c r="F34" s="856" t="n"/>
      <c r="G34" s="868" t="n"/>
      <c r="H34" s="868" t="n"/>
      <c r="I34" s="868" t="n"/>
      <c r="J34" s="868" t="n"/>
      <c r="K34" s="868" t="n"/>
      <c r="L34" s="868" t="n"/>
      <c r="M34" s="868" t="n"/>
      <c r="N34" s="868" t="n"/>
      <c r="O34" s="868" t="n"/>
      <c r="P34" s="868" t="n"/>
    </row>
    <row r="35" outlineLevel="2">
      <c r="C35" s="577" t="n"/>
      <c r="E35" s="871" t="n"/>
      <c r="F35" s="856" t="n"/>
      <c r="G35" s="857" t="n"/>
      <c r="H35" s="857" t="n"/>
      <c r="I35" s="857" t="n"/>
      <c r="J35" s="857" t="n"/>
      <c r="K35" s="857" t="n"/>
      <c r="L35" s="857" t="n"/>
      <c r="M35" s="857" t="n"/>
      <c r="N35" s="857" t="n"/>
      <c r="O35" s="857" t="n"/>
      <c r="P35" s="857" t="n"/>
    </row>
    <row r="36" customFormat="1" s="573">
      <c r="A36" s="585" t="n"/>
      <c r="B36" s="573" t="inlineStr">
        <is>
          <t>Financing Related Expenses</t>
        </is>
      </c>
      <c r="C36" s="586" t="n"/>
      <c r="E36" s="861">
        <f>IF(E33&gt;0,E33,SUM(E34:E35))</f>
        <v/>
      </c>
      <c r="F36" s="862">
        <f>IF(F33&gt;0,F33,SUM(F34:F35))</f>
        <v/>
      </c>
      <c r="G36" s="862">
        <f>IF(G33&gt;0,G33,SUM(G34:G35))</f>
        <v/>
      </c>
      <c r="H36" s="862">
        <f>IF(H33&gt;0,H33,SUM(H34:H35))</f>
        <v/>
      </c>
      <c r="I36" s="862">
        <f>IF(I33&gt;0,I33,SUM(I34:I35))</f>
        <v/>
      </c>
      <c r="J36" s="862">
        <f>IF(J33&gt;0,J33,SUM(J34:J35))</f>
        <v/>
      </c>
      <c r="K36" s="862">
        <f>IF(K33&gt;0,K33,SUM(K34:K35))</f>
        <v/>
      </c>
      <c r="L36" s="862">
        <f>IF(L33&gt;0,L33,SUM(L34:L35))</f>
        <v/>
      </c>
      <c r="M36" s="862">
        <f>IF(M33&gt;0,M33,SUM(M34:M35))</f>
        <v/>
      </c>
      <c r="N36" s="862">
        <f>IF(N33&gt;0,N33,SUM(N34:N35))</f>
        <v/>
      </c>
      <c r="O36" s="862">
        <f>IF(O33&gt;0,O33,SUM(O34:O35))</f>
        <v/>
      </c>
      <c r="P36" s="862">
        <f>IF(P33&gt;0,P33,SUM(P34:P35))</f>
        <v/>
      </c>
      <c r="Q36" s="863" t="n"/>
    </row>
    <row r="37">
      <c r="C37" s="590" t="n"/>
      <c r="E37" s="864" t="n"/>
      <c r="F37" s="865" t="n"/>
      <c r="G37" s="865" t="n"/>
      <c r="H37" s="865" t="n"/>
      <c r="I37" s="865" t="n"/>
      <c r="J37" s="865" t="n"/>
      <c r="K37" s="865" t="n"/>
      <c r="L37" s="865" t="n"/>
      <c r="M37" s="865" t="n"/>
      <c r="N37" s="865" t="n"/>
      <c r="O37" s="865" t="n"/>
      <c r="P37" s="865" t="n"/>
    </row>
    <row r="38">
      <c r="B38" s="572" t="inlineStr">
        <is>
          <t>Category 4: M&amp;A Related</t>
        </is>
      </c>
      <c r="C38" s="593" t="n"/>
      <c r="D38" s="557" t="n"/>
      <c r="E38" s="866" t="n"/>
      <c r="F38" s="867" t="n"/>
      <c r="G38" s="867" t="n"/>
      <c r="H38" s="867" t="n"/>
      <c r="I38" s="867" t="n"/>
      <c r="J38" s="867" t="n"/>
      <c r="K38" s="867" t="n"/>
      <c r="L38" s="867" t="n"/>
      <c r="M38" s="867" t="n"/>
      <c r="N38" s="867" t="n"/>
      <c r="O38" s="867" t="n"/>
      <c r="P38" s="867" t="n"/>
    </row>
    <row r="39" ht="3" customHeight="1">
      <c r="B39" s="573" t="n"/>
      <c r="C39" s="590" t="n"/>
      <c r="E39" s="864" t="n"/>
      <c r="F39" s="865" t="n"/>
      <c r="G39" s="865" t="n"/>
      <c r="H39" s="865" t="n"/>
      <c r="I39" s="865" t="n"/>
      <c r="J39" s="865" t="n"/>
      <c r="K39" s="865" t="n"/>
      <c r="L39" s="865" t="n"/>
      <c r="M39" s="865" t="n"/>
      <c r="N39" s="865" t="n"/>
      <c r="O39" s="865" t="n"/>
      <c r="P39" s="865" t="n"/>
    </row>
    <row r="40" outlineLevel="1">
      <c r="B40" s="574" t="inlineStr">
        <is>
          <t>Total M&amp;A Related Items</t>
        </is>
      </c>
      <c r="C40" s="590" t="n"/>
      <c r="E40" s="852" t="n"/>
      <c r="F40" s="853" t="n"/>
      <c r="G40" s="853" t="n"/>
      <c r="H40" s="853" t="n"/>
      <c r="I40" s="853" t="n"/>
      <c r="J40" s="853" t="n"/>
      <c r="K40" s="853" t="n"/>
      <c r="L40" s="853" t="n"/>
      <c r="M40" s="853" t="n"/>
      <c r="N40" s="853" t="n"/>
      <c r="O40" s="853" t="n"/>
      <c r="P40" s="853" t="n"/>
    </row>
    <row r="41" outlineLevel="1">
      <c r="C41" s="577" t="inlineStr">
        <is>
          <t>Choate Expenses</t>
        </is>
      </c>
      <c r="E41" s="871" t="n"/>
      <c r="F41" s="868" t="n"/>
      <c r="G41" s="868" t="n"/>
      <c r="H41" s="868" t="n"/>
      <c r="I41" s="868" t="n"/>
      <c r="J41" s="868" t="n"/>
      <c r="K41" s="868" t="n"/>
      <c r="L41" s="868" t="n"/>
      <c r="M41" s="868" t="n"/>
      <c r="N41" s="868" t="n"/>
      <c r="O41" s="868" t="n"/>
      <c r="P41" s="868" t="n"/>
    </row>
    <row r="42" outlineLevel="1">
      <c r="C42" s="577" t="inlineStr">
        <is>
          <t>Onyx Phase 1</t>
        </is>
      </c>
      <c r="E42" s="871" t="n"/>
      <c r="F42" s="868" t="n"/>
      <c r="G42" s="868" t="n"/>
      <c r="H42" s="868" t="n"/>
      <c r="I42" s="868" t="n"/>
      <c r="J42" s="868" t="n"/>
      <c r="K42" s="868" t="n"/>
      <c r="L42" s="868" t="n"/>
      <c r="M42" s="868" t="n"/>
      <c r="N42" s="868" t="n"/>
      <c r="O42" s="868" t="n"/>
      <c r="P42" s="868" t="n"/>
    </row>
    <row r="43" outlineLevel="1">
      <c r="C43" s="577" t="inlineStr">
        <is>
          <t>EY Due Diligence</t>
        </is>
      </c>
      <c r="E43" s="871" t="n"/>
      <c r="F43" s="868" t="n"/>
      <c r="G43" s="857" t="n"/>
      <c r="H43" s="857" t="n"/>
      <c r="I43" s="857" t="n"/>
      <c r="J43" s="857" t="n"/>
      <c r="K43" s="857" t="n"/>
      <c r="L43" s="857" t="n"/>
      <c r="M43" s="857" t="n"/>
      <c r="N43" s="857" t="n"/>
      <c r="O43" s="857" t="n"/>
      <c r="P43" s="857" t="n"/>
    </row>
    <row r="44" outlineLevel="1">
      <c r="A44" s="553" t="inlineStr">
        <is>
          <t>ADJUSTMENT: M&amp;A related T&amp;E</t>
        </is>
      </c>
      <c r="C44" s="577" t="inlineStr">
        <is>
          <t>M&amp;A Travel and Expenses</t>
        </is>
      </c>
      <c r="E44" s="871" t="n"/>
      <c r="F44" s="868" t="n"/>
      <c r="G44" s="868" t="n"/>
      <c r="H44" s="868" t="n"/>
      <c r="I44" s="868" t="n"/>
      <c r="J44" s="857" t="n"/>
      <c r="K44" s="857" t="n"/>
      <c r="L44" s="857" t="n"/>
      <c r="M44" s="868" t="n"/>
      <c r="N44" s="857" t="n"/>
      <c r="O44" s="857" t="n"/>
      <c r="P44" s="857" t="n"/>
    </row>
    <row r="45" outlineLevel="1">
      <c r="C45" s="577" t="inlineStr">
        <is>
          <t>PTI Phase 1</t>
        </is>
      </c>
      <c r="E45" s="860" t="n"/>
      <c r="F45" s="868" t="n"/>
      <c r="G45" s="868" t="n"/>
      <c r="H45" s="868" t="n"/>
      <c r="I45" s="868" t="n"/>
      <c r="J45" s="868" t="n"/>
      <c r="K45" s="868" t="n"/>
      <c r="L45" s="868" t="n"/>
      <c r="M45" s="868" t="n"/>
      <c r="N45" s="868" t="n"/>
      <c r="O45" s="868" t="n"/>
      <c r="P45" s="868" t="n"/>
    </row>
    <row r="46" outlineLevel="1">
      <c r="C46" s="577" t="inlineStr">
        <is>
          <t>UniTorq Phase 1</t>
        </is>
      </c>
      <c r="E46" s="860" t="n"/>
      <c r="F46" s="868" t="n"/>
      <c r="G46" s="868" t="n"/>
      <c r="H46" s="857" t="n"/>
      <c r="I46" s="857" t="n"/>
      <c r="J46" s="857" t="n"/>
      <c r="K46" s="857" t="n"/>
      <c r="L46" s="857" t="n"/>
      <c r="M46" s="857" t="n"/>
      <c r="N46" s="857" t="n"/>
      <c r="O46" s="857" t="n"/>
      <c r="P46" s="857" t="n"/>
    </row>
    <row r="47" outlineLevel="1">
      <c r="A47" s="553" t="inlineStr">
        <is>
          <t>ADJUSTMENT: XPV Water Partners</t>
        </is>
      </c>
      <c r="C47" s="577" t="inlineStr">
        <is>
          <t>XPV M&amp;A Expense</t>
        </is>
      </c>
      <c r="E47" s="872" t="n">
        <v>2957.82</v>
      </c>
      <c r="F47" s="857" t="n">
        <v>7123.339999999997</v>
      </c>
      <c r="G47" s="857" t="n">
        <v>2747.17</v>
      </c>
      <c r="H47" s="857" t="n"/>
      <c r="I47" s="857" t="n"/>
      <c r="J47" s="857" t="n"/>
      <c r="K47" s="857" t="n"/>
      <c r="L47" s="857" t="n"/>
      <c r="M47" s="857" t="n"/>
      <c r="N47" s="857" t="n"/>
      <c r="O47" s="857" t="n"/>
      <c r="P47" s="857" t="n"/>
    </row>
    <row r="48" outlineLevel="1">
      <c r="C48" s="577" t="inlineStr">
        <is>
          <t>RP Adams Phase I</t>
        </is>
      </c>
      <c r="E48" s="860" t="n"/>
      <c r="F48" s="857" t="n"/>
      <c r="G48" s="857" t="n"/>
      <c r="H48" s="857" t="n"/>
      <c r="I48" s="857" t="n"/>
      <c r="J48" s="857" t="n"/>
      <c r="K48" s="857" t="n"/>
      <c r="L48" s="857" t="n"/>
      <c r="M48" s="868" t="n"/>
      <c r="N48" s="857" t="n"/>
      <c r="O48" s="857" t="n"/>
      <c r="P48" s="857" t="n"/>
    </row>
    <row r="49" outlineLevel="1">
      <c r="C49" s="577" t="inlineStr">
        <is>
          <t>J&amp;S Phase I</t>
        </is>
      </c>
      <c r="E49" s="860" t="n"/>
      <c r="F49" s="857" t="n"/>
      <c r="G49" s="857" t="n"/>
      <c r="H49" s="857" t="n"/>
      <c r="I49" s="857" t="n"/>
      <c r="J49" s="857" t="n"/>
      <c r="K49" s="857" t="n"/>
      <c r="L49" s="857" t="n"/>
      <c r="M49" s="857" t="n"/>
      <c r="N49" s="857" t="n"/>
      <c r="O49" s="857" t="n"/>
      <c r="P49" s="857" t="n"/>
    </row>
    <row r="50" customFormat="1" s="573">
      <c r="A50" s="585" t="n"/>
      <c r="B50" s="573" t="inlineStr">
        <is>
          <t>M&amp;A Related Items</t>
        </is>
      </c>
      <c r="C50" s="586" t="n"/>
      <c r="E50" s="861">
        <f>IF(E40&gt;0,E40,SUM(E41:E49))</f>
        <v/>
      </c>
      <c r="F50" s="862">
        <f>IF(F40&gt;0,F40,SUM(F41:F49))</f>
        <v/>
      </c>
      <c r="G50" s="862">
        <f>IF(G40&gt;0,G40,SUM(G41:G49))</f>
        <v/>
      </c>
      <c r="H50" s="862">
        <f>IF(H40&gt;0,H40,SUM(H41:H49))</f>
        <v/>
      </c>
      <c r="I50" s="862">
        <f>IF(I40&gt;0,I40,SUM(I41:I49))</f>
        <v/>
      </c>
      <c r="J50" s="862">
        <f>IF(J40&gt;0,J40,SUM(J41:J49))</f>
        <v/>
      </c>
      <c r="K50" s="862">
        <f>IF(K40&gt;0,K40,SUM(K41:K49))</f>
        <v/>
      </c>
      <c r="L50" s="862">
        <f>IF(L40&gt;0,L40,SUM(L41:L49))</f>
        <v/>
      </c>
      <c r="M50" s="862">
        <f>IF(M40&gt;0,M40,SUM(M41:M49))</f>
        <v/>
      </c>
      <c r="N50" s="862">
        <f>IF(N40&gt;0,N40,SUM(N41:N49))</f>
        <v/>
      </c>
      <c r="O50" s="862">
        <f>IF(O40&gt;0,O40,SUM(O41:O49))</f>
        <v/>
      </c>
      <c r="P50" s="862">
        <f>IF(P40&gt;0,P40,SUM(P41:P49))</f>
        <v/>
      </c>
      <c r="Q50" s="863" t="n"/>
    </row>
    <row r="51">
      <c r="C51" s="590" t="n"/>
      <c r="E51" s="864" t="n"/>
      <c r="F51" s="865" t="n"/>
      <c r="G51" s="865" t="n"/>
      <c r="H51" s="865" t="n"/>
      <c r="I51" s="865" t="n"/>
      <c r="J51" s="865" t="n"/>
      <c r="K51" s="865" t="n"/>
      <c r="L51" s="865" t="n"/>
      <c r="M51" s="865" t="n"/>
      <c r="N51" s="865" t="n"/>
      <c r="O51" s="865" t="n"/>
      <c r="P51" s="865" t="n"/>
    </row>
    <row r="52">
      <c r="B52" s="572" t="inlineStr">
        <is>
          <t>Category 5: Exit Related</t>
        </is>
      </c>
      <c r="C52" s="593" t="n"/>
      <c r="D52" s="557" t="n"/>
      <c r="E52" s="866" t="n"/>
      <c r="F52" s="867" t="n"/>
      <c r="G52" s="867" t="n"/>
      <c r="H52" s="867" t="n"/>
      <c r="I52" s="867" t="n"/>
      <c r="J52" s="867" t="n"/>
      <c r="K52" s="867" t="n"/>
      <c r="L52" s="867" t="n"/>
      <c r="M52" s="867" t="n"/>
      <c r="N52" s="867" t="n"/>
      <c r="O52" s="867" t="n"/>
      <c r="P52" s="867" t="n"/>
    </row>
    <row r="53" ht="3" customHeight="1">
      <c r="B53" s="573" t="n"/>
      <c r="C53" s="590" t="n"/>
      <c r="E53" s="864" t="n"/>
      <c r="F53" s="865" t="n"/>
      <c r="G53" s="865" t="n"/>
      <c r="H53" s="865" t="n"/>
      <c r="I53" s="865" t="n"/>
      <c r="J53" s="865" t="n"/>
      <c r="K53" s="865" t="n"/>
      <c r="L53" s="865" t="n"/>
      <c r="M53" s="865" t="n"/>
      <c r="N53" s="865" t="n"/>
      <c r="O53" s="865" t="n"/>
      <c r="P53" s="865" t="n"/>
    </row>
    <row r="54" outlineLevel="1">
      <c r="B54" s="574" t="inlineStr">
        <is>
          <t>Total Exit Related Expenses</t>
        </is>
      </c>
      <c r="C54" s="590" t="n"/>
      <c r="E54" s="852" t="n"/>
      <c r="F54" s="853" t="n"/>
      <c r="G54" s="853" t="n"/>
      <c r="H54" s="853" t="n"/>
      <c r="I54" s="853" t="n"/>
      <c r="J54" s="853" t="n"/>
      <c r="K54" s="853" t="n"/>
      <c r="L54" s="853" t="n"/>
      <c r="M54" s="853" t="n"/>
      <c r="N54" s="853" t="n"/>
      <c r="O54" s="853" t="n"/>
      <c r="P54" s="853" t="n"/>
    </row>
    <row r="55" outlineLevel="1">
      <c r="C55" s="577" t="n"/>
      <c r="E55" s="860" t="n"/>
      <c r="F55" s="857" t="n"/>
      <c r="G55" s="857" t="n"/>
      <c r="H55" s="857" t="n"/>
      <c r="I55" s="857" t="n"/>
      <c r="J55" s="857" t="n"/>
      <c r="K55" s="857" t="n"/>
      <c r="L55" s="857" t="n"/>
      <c r="M55" s="857" t="n"/>
      <c r="N55" s="857" t="n"/>
      <c r="O55" s="857" t="n"/>
      <c r="P55" s="857" t="n"/>
    </row>
    <row r="56" outlineLevel="1">
      <c r="C56" s="577" t="n"/>
      <c r="E56" s="860" t="n"/>
      <c r="F56" s="857" t="n"/>
      <c r="G56" s="857" t="n"/>
      <c r="H56" s="857" t="n"/>
      <c r="I56" s="857" t="n"/>
      <c r="J56" s="857" t="n"/>
      <c r="K56" s="857" t="n"/>
      <c r="L56" s="857" t="n"/>
      <c r="M56" s="857" t="n"/>
      <c r="N56" s="857" t="n"/>
      <c r="O56" s="857" t="n"/>
      <c r="P56" s="857" t="n"/>
    </row>
    <row r="57" customFormat="1" s="573">
      <c r="A57" s="585" t="n"/>
      <c r="B57" s="573" t="inlineStr">
        <is>
          <t>Exit Related Expenses</t>
        </is>
      </c>
      <c r="C57" s="586" t="n"/>
      <c r="E57" s="861">
        <f>IF(E54&gt;0,E54,SUM(E55:E56))</f>
        <v/>
      </c>
      <c r="F57" s="862">
        <f>IF(F54&gt;0,F54,SUM(F55:F56))</f>
        <v/>
      </c>
      <c r="G57" s="862">
        <f>IF(G54&gt;0,G54,SUM(G55:G56))</f>
        <v/>
      </c>
      <c r="H57" s="862">
        <f>IF(H54&gt;0,H54,SUM(H55:H56))</f>
        <v/>
      </c>
      <c r="I57" s="862">
        <f>IF(I54&gt;0,I54,SUM(I55:I56))</f>
        <v/>
      </c>
      <c r="J57" s="862">
        <f>IF(J54&gt;0,J54,SUM(J55:J56))</f>
        <v/>
      </c>
      <c r="K57" s="862">
        <f>IF(K54&gt;0,K54,SUM(K55:K56))</f>
        <v/>
      </c>
      <c r="L57" s="862">
        <f>IF(L54&gt;0,L54,SUM(L55:L56))</f>
        <v/>
      </c>
      <c r="M57" s="862">
        <f>IF(M54&gt;0,M54,SUM(M55:M56))</f>
        <v/>
      </c>
      <c r="N57" s="862">
        <f>IF(N54&gt;0,N54,SUM(N55:N56))</f>
        <v/>
      </c>
      <c r="O57" s="862">
        <f>IF(O54&gt;0,O54,SUM(O55:O56))</f>
        <v/>
      </c>
      <c r="P57" s="862">
        <f>IF(P54&gt;0,P54,SUM(P55:P56))</f>
        <v/>
      </c>
    </row>
    <row r="58">
      <c r="C58" s="590" t="n"/>
      <c r="E58" s="864" t="n"/>
      <c r="F58" s="865" t="n"/>
      <c r="G58" s="865" t="n"/>
      <c r="H58" s="865" t="n"/>
      <c r="I58" s="865" t="n"/>
      <c r="J58" s="865" t="n"/>
      <c r="K58" s="865" t="n"/>
      <c r="L58" s="865" t="n"/>
      <c r="M58" s="865" t="n"/>
      <c r="N58" s="865" t="n"/>
      <c r="O58" s="865" t="n"/>
      <c r="P58" s="865" t="n"/>
    </row>
    <row r="59">
      <c r="B59" s="572" t="inlineStr">
        <is>
          <t>Category 6: Compensation</t>
        </is>
      </c>
      <c r="C59" s="593" t="n"/>
      <c r="D59" s="557" t="n"/>
      <c r="E59" s="866" t="n"/>
      <c r="F59" s="867" t="n"/>
      <c r="G59" s="867" t="n"/>
      <c r="H59" s="867" t="n"/>
      <c r="I59" s="867" t="n"/>
      <c r="J59" s="867" t="n"/>
      <c r="K59" s="867" t="n"/>
      <c r="L59" s="867" t="n"/>
      <c r="M59" s="867" t="n"/>
      <c r="N59" s="867" t="n"/>
      <c r="O59" s="867" t="n"/>
      <c r="P59" s="867" t="n"/>
    </row>
    <row r="60" ht="3" customHeight="1">
      <c r="B60" s="573" t="n"/>
      <c r="C60" s="590" t="n"/>
      <c r="E60" s="864" t="n"/>
      <c r="F60" s="865" t="n"/>
      <c r="G60" s="865" t="n"/>
      <c r="H60" s="865" t="n"/>
      <c r="I60" s="865" t="n"/>
      <c r="J60" s="865" t="n"/>
      <c r="K60" s="865" t="n"/>
      <c r="L60" s="865" t="n"/>
      <c r="M60" s="865" t="n"/>
      <c r="N60" s="865" t="n"/>
      <c r="O60" s="865" t="n"/>
      <c r="P60" s="865" t="n"/>
    </row>
    <row r="61" outlineLevel="1">
      <c r="B61" s="574" t="inlineStr">
        <is>
          <t>Total Non-Recurring or One-Time Compensation</t>
        </is>
      </c>
      <c r="C61" s="590" t="n"/>
      <c r="E61" s="852" t="n"/>
      <c r="F61" s="853" t="n"/>
      <c r="G61" s="853" t="n"/>
      <c r="H61" s="853" t="n"/>
      <c r="I61" s="853" t="n"/>
      <c r="J61" s="853" t="n"/>
      <c r="K61" s="853" t="n"/>
      <c r="L61" s="853" t="n"/>
      <c r="M61" s="853" t="n"/>
      <c r="N61" s="853" t="n"/>
      <c r="O61" s="853" t="n"/>
      <c r="P61" s="853" t="n"/>
    </row>
    <row r="62" outlineLevel="1">
      <c r="A62" s="553" t="inlineStr">
        <is>
          <t>ADJUSTMENT: Marc Norseman Consulting</t>
        </is>
      </c>
      <c r="C62" s="577" t="inlineStr">
        <is>
          <t>Consulting</t>
        </is>
      </c>
      <c r="E62" s="860" t="n">
        <v>63406.25</v>
      </c>
      <c r="F62" s="873" t="n">
        <v>80411.25</v>
      </c>
      <c r="G62" s="857" t="n">
        <v>77315.52</v>
      </c>
      <c r="H62" s="857" t="n"/>
      <c r="I62" s="857" t="n"/>
      <c r="J62" s="857" t="n"/>
      <c r="K62" s="857" t="n"/>
      <c r="L62" s="857" t="n"/>
      <c r="M62" s="857" t="n"/>
      <c r="N62" s="857" t="n"/>
      <c r="O62" s="857" t="n"/>
      <c r="P62" s="857" t="n"/>
    </row>
    <row r="63" outlineLevel="1">
      <c r="A63" s="553" t="inlineStr">
        <is>
          <t>ADJUSTMENT: Glen Meyer Consulting</t>
        </is>
      </c>
      <c r="C63" s="577" t="n"/>
      <c r="E63" s="860" t="n"/>
      <c r="F63" s="868" t="n"/>
      <c r="G63" s="874" t="n"/>
      <c r="H63" s="868" t="n"/>
      <c r="I63" s="868" t="n"/>
      <c r="J63" s="868" t="n"/>
      <c r="K63" s="868" t="n"/>
      <c r="L63" s="868" t="n"/>
      <c r="M63" s="868" t="n"/>
      <c r="N63" s="868" t="n"/>
      <c r="O63" s="868" t="n"/>
      <c r="P63" s="868" t="n"/>
    </row>
    <row r="64" outlineLevel="1">
      <c r="A64" s="553" t="inlineStr">
        <is>
          <t>ADJUSTMENT: Greg Majernik Consulting</t>
        </is>
      </c>
      <c r="C64" s="577" t="n"/>
      <c r="E64" s="860" t="n"/>
      <c r="F64" s="857" t="n"/>
      <c r="G64" s="857" t="n"/>
      <c r="H64" s="868" t="n"/>
      <c r="I64" s="857" t="n"/>
      <c r="J64" s="868" t="n"/>
      <c r="K64" s="868" t="n"/>
      <c r="L64" s="868" t="n"/>
      <c r="M64" s="868" t="n"/>
      <c r="N64" s="868" t="n"/>
      <c r="O64" s="868" t="n"/>
      <c r="P64" s="868" t="n"/>
    </row>
    <row r="65" customFormat="1" s="573">
      <c r="A65" s="585" t="n"/>
      <c r="B65" s="573" t="inlineStr">
        <is>
          <t>Non-Recurring or One-Time Compensation Expenses</t>
        </is>
      </c>
      <c r="C65" s="586" t="n"/>
      <c r="E65" s="861">
        <f>IF(E61&gt;0,E61,SUM(E62:E64))</f>
        <v/>
      </c>
      <c r="F65" s="862">
        <f>IF(F61&gt;0,F61,SUM(F62:F64))</f>
        <v/>
      </c>
      <c r="G65" s="862">
        <f>IF(G61&gt;0,G61,SUM(G62:G64))</f>
        <v/>
      </c>
      <c r="H65" s="862">
        <f>IF(H61&gt;0,H61,SUM(H62:H64))</f>
        <v/>
      </c>
      <c r="I65" s="862">
        <f>IF(I61&gt;0,I61,SUM(I62:I64))</f>
        <v/>
      </c>
      <c r="J65" s="862">
        <f>IF(J61&gt;0,J61,SUM(J62:J64))</f>
        <v/>
      </c>
      <c r="K65" s="862">
        <f>IF(K61&gt;0,K61,SUM(K62:K64))</f>
        <v/>
      </c>
      <c r="L65" s="862">
        <f>IF(L61&gt;0,L61,SUM(L62:L64))</f>
        <v/>
      </c>
      <c r="M65" s="862">
        <f>IF(M61&gt;0,M61,SUM(M62:M64))</f>
        <v/>
      </c>
      <c r="N65" s="862">
        <f>IF(N61&gt;0,N61,SUM(N62:N64))</f>
        <v/>
      </c>
      <c r="O65" s="862">
        <f>IF(O61&gt;0,O61,SUM(O62:O64))</f>
        <v/>
      </c>
      <c r="P65" s="862">
        <f>IF(P61&gt;0,P61,SUM(P62:P64))</f>
        <v/>
      </c>
      <c r="Q65" s="863" t="n"/>
    </row>
    <row r="66">
      <c r="C66" s="590" t="n"/>
      <c r="E66" s="864" t="n"/>
      <c r="F66" s="865" t="n"/>
      <c r="G66" s="865" t="n"/>
      <c r="H66" s="865" t="n"/>
      <c r="I66" s="865" t="n"/>
      <c r="J66" s="865" t="n"/>
      <c r="K66" s="865" t="n"/>
      <c r="L66" s="865" t="n"/>
      <c r="M66" s="865" t="n"/>
      <c r="N66" s="865" t="n"/>
      <c r="O66" s="865" t="n"/>
      <c r="P66" s="865" t="n"/>
    </row>
    <row r="67">
      <c r="B67" s="572" t="inlineStr">
        <is>
          <t>Category 7: Setup</t>
        </is>
      </c>
      <c r="C67" s="593" t="n"/>
      <c r="D67" s="557" t="n"/>
      <c r="E67" s="866" t="n"/>
      <c r="F67" s="867" t="n"/>
      <c r="G67" s="867" t="n"/>
      <c r="H67" s="867" t="n"/>
      <c r="I67" s="867" t="n"/>
      <c r="J67" s="867" t="n"/>
      <c r="K67" s="867" t="n"/>
      <c r="L67" s="867" t="n"/>
      <c r="M67" s="867" t="n"/>
      <c r="N67" s="867" t="n"/>
      <c r="O67" s="867" t="n"/>
      <c r="P67" s="867" t="n"/>
    </row>
    <row r="68" ht="3" customHeight="1">
      <c r="B68" s="573" t="n"/>
      <c r="C68" s="590" t="n"/>
      <c r="E68" s="864" t="n"/>
      <c r="F68" s="865" t="n"/>
      <c r="G68" s="865" t="n"/>
      <c r="H68" s="865" t="n"/>
      <c r="I68" s="865" t="n"/>
      <c r="J68" s="865" t="n"/>
      <c r="K68" s="865" t="n"/>
      <c r="L68" s="865" t="n"/>
      <c r="M68" s="865" t="n"/>
      <c r="N68" s="865" t="n"/>
      <c r="O68" s="865" t="n"/>
      <c r="P68" s="865" t="n"/>
    </row>
    <row r="69" outlineLevel="1">
      <c r="B69" s="574" t="inlineStr">
        <is>
          <t>Total Non-Recurring or One-Time Setup</t>
        </is>
      </c>
      <c r="C69" s="590" t="n"/>
      <c r="E69" s="852" t="n"/>
      <c r="F69" s="853" t="n"/>
      <c r="G69" s="853" t="n"/>
      <c r="H69" s="853" t="n"/>
      <c r="I69" s="853" t="n"/>
      <c r="J69" s="853" t="n"/>
      <c r="K69" s="853" t="n"/>
      <c r="L69" s="853" t="n"/>
      <c r="M69" s="853" t="n"/>
      <c r="N69" s="853" t="n"/>
      <c r="O69" s="853" t="n"/>
      <c r="P69" s="853" t="n"/>
    </row>
    <row r="70" outlineLevel="1">
      <c r="C70" s="577" t="n"/>
      <c r="E70" s="860" t="n"/>
      <c r="F70" s="857" t="n"/>
      <c r="G70" s="857" t="n"/>
      <c r="H70" s="857" t="n"/>
      <c r="I70" s="857" t="n"/>
      <c r="J70" s="857" t="n"/>
      <c r="K70" s="857" t="n"/>
      <c r="L70" s="857" t="n"/>
      <c r="M70" s="857" t="n"/>
      <c r="N70" s="857" t="n"/>
      <c r="O70" s="857" t="n"/>
      <c r="P70" s="857" t="n"/>
    </row>
    <row r="71" outlineLevel="1">
      <c r="C71" s="577" t="n"/>
      <c r="E71" s="860" t="n"/>
      <c r="F71" s="875" t="n"/>
      <c r="G71" s="875" t="n"/>
      <c r="H71" s="875" t="n"/>
      <c r="I71" s="875" t="n"/>
      <c r="J71" s="875" t="n"/>
      <c r="K71" s="875" t="n"/>
      <c r="L71" s="875" t="n"/>
      <c r="M71" s="875" t="n"/>
      <c r="N71" s="875" t="n"/>
      <c r="O71" s="875" t="n"/>
      <c r="P71" s="875" t="n"/>
    </row>
    <row r="72" customFormat="1" s="573">
      <c r="A72" s="585" t="n"/>
      <c r="B72" s="573" t="inlineStr">
        <is>
          <t>Non-Recurring or One-Time Setup Expenses</t>
        </is>
      </c>
      <c r="C72" s="586" t="n"/>
      <c r="E72" s="861">
        <f>IF(E69&gt;0,E69,SUM(E70:E71))</f>
        <v/>
      </c>
      <c r="F72" s="862">
        <f>IF(F69&gt;0,F69,SUM(F70:F71))</f>
        <v/>
      </c>
      <c r="G72" s="862">
        <f>IF(G69&gt;0,G69,SUM(G70:G71))</f>
        <v/>
      </c>
      <c r="H72" s="862">
        <f>IF(H69&gt;0,H69,SUM(H70:H71))</f>
        <v/>
      </c>
      <c r="I72" s="862">
        <f>IF(I69&gt;0,I69,SUM(I70:I71))</f>
        <v/>
      </c>
      <c r="J72" s="862">
        <f>IF(J69&gt;0,J69,SUM(J70:J71))</f>
        <v/>
      </c>
      <c r="K72" s="862">
        <f>IF(K69&gt;0,K69,SUM(K70:K71))</f>
        <v/>
      </c>
      <c r="L72" s="862">
        <f>IF(L69&gt;0,L69,SUM(L70:L71))</f>
        <v/>
      </c>
      <c r="M72" s="862">
        <f>IF(M69&gt;0,M69,SUM(M70:M71))</f>
        <v/>
      </c>
      <c r="N72" s="862">
        <f>IF(N69&gt;0,N69,SUM(N70:N71))</f>
        <v/>
      </c>
      <c r="O72" s="862">
        <f>IF(O69&gt;0,O69,SUM(O70:O71))</f>
        <v/>
      </c>
      <c r="P72" s="862">
        <f>IF(P69&gt;0,P69,SUM(P70:P71))</f>
        <v/>
      </c>
    </row>
    <row r="73">
      <c r="C73" s="590" t="n"/>
      <c r="E73" s="864" t="n"/>
      <c r="F73" s="865" t="n"/>
      <c r="G73" s="865" t="n"/>
      <c r="H73" s="865" t="n"/>
      <c r="I73" s="865" t="n"/>
      <c r="J73" s="865" t="n"/>
      <c r="K73" s="865" t="n"/>
      <c r="L73" s="865" t="n"/>
      <c r="M73" s="865" t="n"/>
      <c r="N73" s="865" t="n"/>
      <c r="O73" s="865" t="n"/>
      <c r="P73" s="865" t="n"/>
    </row>
    <row r="74">
      <c r="B74" s="572" t="inlineStr">
        <is>
          <t>Category 8: New Business Startup</t>
        </is>
      </c>
      <c r="C74" s="593" t="n"/>
      <c r="D74" s="557" t="n"/>
      <c r="E74" s="866" t="n"/>
      <c r="F74" s="867" t="n"/>
      <c r="G74" s="867" t="n"/>
      <c r="H74" s="867" t="n"/>
      <c r="I74" s="867" t="n"/>
      <c r="J74" s="867" t="n"/>
      <c r="K74" s="867" t="n"/>
      <c r="L74" s="867" t="n"/>
      <c r="M74" s="867" t="n"/>
      <c r="N74" s="867" t="n"/>
      <c r="O74" s="867" t="n"/>
      <c r="P74" s="867" t="n"/>
    </row>
    <row r="75" ht="3" customHeight="1">
      <c r="B75" s="573" t="n"/>
      <c r="C75" s="590" t="n"/>
      <c r="E75" s="864" t="n"/>
      <c r="F75" s="865" t="n"/>
      <c r="G75" s="865" t="n"/>
      <c r="H75" s="865" t="n"/>
      <c r="I75" s="865" t="n"/>
      <c r="J75" s="865" t="n"/>
      <c r="K75" s="865" t="n"/>
      <c r="L75" s="865" t="n"/>
      <c r="M75" s="865" t="n"/>
      <c r="N75" s="865" t="n"/>
      <c r="O75" s="865" t="n"/>
      <c r="P75" s="865" t="n"/>
    </row>
    <row r="76" outlineLevel="1">
      <c r="B76" s="574" t="inlineStr">
        <is>
          <t>Total New Business Startup Expenses</t>
        </is>
      </c>
      <c r="C76" s="590" t="n"/>
      <c r="E76" s="852" t="n"/>
      <c r="F76" s="853" t="n"/>
      <c r="G76" s="853" t="n"/>
      <c r="H76" s="853" t="n"/>
      <c r="I76" s="853" t="n"/>
      <c r="J76" s="853" t="n"/>
      <c r="K76" s="853" t="n"/>
      <c r="L76" s="853" t="n"/>
      <c r="M76" s="853" t="n"/>
      <c r="N76" s="853" t="n"/>
      <c r="O76" s="853" t="n"/>
      <c r="P76" s="853" t="n"/>
    </row>
    <row r="77" outlineLevel="1">
      <c r="A77" s="553" t="inlineStr">
        <is>
          <t>ADJUSTMENT: IT Integration</t>
        </is>
      </c>
      <c r="C77" s="577" t="inlineStr">
        <is>
          <t>IT Integration Expenses</t>
        </is>
      </c>
      <c r="E77" s="860" t="n">
        <v>15543.5</v>
      </c>
      <c r="F77" s="857" t="n">
        <v>7204.17</v>
      </c>
      <c r="G77" s="857" t="n">
        <v>8942.370000000001</v>
      </c>
      <c r="H77" s="857" t="n"/>
      <c r="I77" s="857" t="n"/>
      <c r="J77" s="868" t="n"/>
      <c r="K77" s="857" t="n"/>
      <c r="L77" s="857" t="n"/>
      <c r="M77" s="868" t="n"/>
      <c r="N77" s="857" t="n"/>
      <c r="O77" s="857" t="n"/>
      <c r="P77" s="857" t="n"/>
    </row>
    <row r="78" outlineLevel="1">
      <c r="A78" s="553" t="inlineStr">
        <is>
          <t>ADJUSTMENT: ERP Implementation</t>
        </is>
      </c>
      <c r="C78" s="577" t="inlineStr">
        <is>
          <t>ERP Implementation</t>
        </is>
      </c>
      <c r="E78" s="860" t="n"/>
      <c r="F78" s="875" t="n"/>
      <c r="G78" s="875" t="n"/>
      <c r="H78" s="875" t="n"/>
      <c r="I78" s="868" t="n"/>
      <c r="J78" s="875" t="n"/>
      <c r="K78" s="875" t="n"/>
      <c r="L78" s="875" t="n"/>
      <c r="M78" s="868" t="n"/>
      <c r="N78" s="875" t="n"/>
      <c r="O78" s="875" t="n"/>
      <c r="P78" s="875" t="n"/>
    </row>
    <row r="79" customFormat="1" s="573">
      <c r="A79" s="585" t="n"/>
      <c r="B79" s="573" t="inlineStr">
        <is>
          <t>New Business Startup Expenses</t>
        </is>
      </c>
      <c r="C79" s="586" t="n"/>
      <c r="E79" s="861">
        <f>IF(E76&gt;0,E76,SUM(E77:E78))</f>
        <v/>
      </c>
      <c r="F79" s="862">
        <f>IF(F76&gt;0,F76,SUM(F77:F78))</f>
        <v/>
      </c>
      <c r="G79" s="862">
        <f>IF(G76&gt;0,G76,SUM(G77:G78))</f>
        <v/>
      </c>
      <c r="H79" s="862">
        <f>IF(H76&gt;0,H76,SUM(H77:H78))</f>
        <v/>
      </c>
      <c r="I79" s="862">
        <f>IF(I76&gt;0,I76,SUM(I77:I78))</f>
        <v/>
      </c>
      <c r="J79" s="862">
        <f>IF(J76&gt;0,J76,SUM(J77:J78))</f>
        <v/>
      </c>
      <c r="K79" s="862">
        <f>IF(K76&gt;0,K76,SUM(K77:K78))</f>
        <v/>
      </c>
      <c r="L79" s="862">
        <f>IF(L76&gt;0,L76,SUM(L77:L78))</f>
        <v/>
      </c>
      <c r="M79" s="862">
        <f>IF(M76&gt;0,M76,SUM(M77:M78))</f>
        <v/>
      </c>
      <c r="N79" s="862">
        <f>IF(N76&gt;0,N76,SUM(N77:N78))</f>
        <v/>
      </c>
      <c r="O79" s="862">
        <f>IF(O76&gt;0,O76,SUM(O77:O78))</f>
        <v/>
      </c>
      <c r="P79" s="862">
        <f>IF(P76&gt;0,P76,SUM(P77:P78))</f>
        <v/>
      </c>
    </row>
    <row r="80">
      <c r="C80" s="590" t="n"/>
      <c r="E80" s="864" t="n"/>
      <c r="F80" s="865" t="n"/>
      <c r="G80" s="865" t="n"/>
      <c r="H80" s="865" t="n"/>
      <c r="I80" s="865" t="n"/>
      <c r="J80" s="865" t="n"/>
      <c r="K80" s="865" t="n"/>
      <c r="L80" s="865" t="n"/>
      <c r="M80" s="865" t="n"/>
      <c r="N80" s="865" t="n"/>
      <c r="O80" s="865" t="n"/>
      <c r="P80" s="865" t="n"/>
    </row>
    <row r="81">
      <c r="B81" s="572" t="inlineStr">
        <is>
          <t>Category 9: Other</t>
        </is>
      </c>
      <c r="C81" s="593" t="n"/>
      <c r="D81" s="557" t="n"/>
      <c r="E81" s="866" t="n"/>
      <c r="F81" s="867" t="n"/>
      <c r="G81" s="867" t="n"/>
      <c r="H81" s="867" t="n"/>
      <c r="I81" s="867" t="n"/>
      <c r="J81" s="867" t="n"/>
      <c r="K81" s="867" t="n"/>
      <c r="L81" s="867" t="n"/>
      <c r="M81" s="867" t="n"/>
      <c r="N81" s="867" t="n"/>
      <c r="O81" s="867" t="n"/>
      <c r="P81" s="867" t="n"/>
    </row>
    <row r="82" ht="3" customHeight="1">
      <c r="B82" s="573" t="n"/>
      <c r="C82" s="590" t="n"/>
      <c r="E82" s="864" t="n"/>
      <c r="F82" s="865" t="n"/>
      <c r="G82" s="865" t="n"/>
      <c r="H82" s="865" t="n"/>
      <c r="I82" s="865" t="n"/>
      <c r="J82" s="865" t="n"/>
      <c r="K82" s="865" t="n"/>
      <c r="L82" s="865" t="n"/>
      <c r="M82" s="865" t="n"/>
      <c r="N82" s="865" t="n"/>
      <c r="O82" s="865" t="n"/>
      <c r="P82" s="865" t="n"/>
    </row>
    <row r="83" outlineLevel="1">
      <c r="B83" s="574" t="inlineStr">
        <is>
          <t>Total Other Expenses</t>
        </is>
      </c>
      <c r="C83" s="590" t="n"/>
      <c r="E83" s="852" t="n"/>
      <c r="F83" s="853" t="n"/>
      <c r="G83" s="853" t="n"/>
      <c r="H83" s="853" t="n"/>
      <c r="I83" s="853" t="n"/>
      <c r="J83" s="853" t="n"/>
      <c r="K83" s="853" t="n"/>
      <c r="L83" s="853" t="n"/>
      <c r="M83" s="853" t="n"/>
      <c r="N83" s="853" t="n"/>
      <c r="O83" s="853" t="n"/>
      <c r="P83" s="853" t="n"/>
    </row>
    <row r="84" outlineLevel="1">
      <c r="A84" s="553" t="inlineStr">
        <is>
          <t>ADJUSTMENT: 2460 warranty</t>
        </is>
      </c>
      <c r="C84" s="577" t="inlineStr">
        <is>
          <t>Temporary Labor</t>
        </is>
      </c>
      <c r="E84" s="860" t="n">
        <v>58784.32</v>
      </c>
      <c r="F84" s="857" t="n">
        <v>45166.42</v>
      </c>
      <c r="G84" s="857" t="n">
        <v>46457.60000000001</v>
      </c>
      <c r="H84" s="857" t="n"/>
      <c r="I84" s="857" t="n"/>
      <c r="J84" s="857" t="n"/>
      <c r="K84" s="857" t="n"/>
      <c r="L84" s="857" t="n"/>
      <c r="M84" s="857" t="n"/>
      <c r="N84" s="857" t="n"/>
      <c r="O84" s="857" t="n"/>
      <c r="P84" s="857" t="n"/>
    </row>
    <row r="85" outlineLevel="1">
      <c r="C85" s="577" t="inlineStr">
        <is>
          <t>Other</t>
        </is>
      </c>
      <c r="E85" s="859" t="n">
        <v>5385.830000000002</v>
      </c>
      <c r="F85" s="857" t="n">
        <v>24465.7</v>
      </c>
      <c r="G85" s="857" t="n">
        <v>611.7900000000009</v>
      </c>
      <c r="H85" s="857" t="n"/>
      <c r="I85" s="857" t="n"/>
      <c r="J85" s="857" t="n"/>
      <c r="K85" s="857" t="n"/>
      <c r="L85" s="857" t="n"/>
      <c r="M85" s="857" t="n"/>
      <c r="N85" s="857" t="n"/>
      <c r="O85" s="857" t="n"/>
      <c r="P85" s="857" t="n"/>
    </row>
    <row r="86" outlineLevel="1">
      <c r="C86" s="577" t="inlineStr">
        <is>
          <t>RP Adams Management Fees</t>
        </is>
      </c>
      <c r="E86" s="859" t="n"/>
      <c r="F86" s="876" t="n"/>
      <c r="G86" s="877" t="n"/>
      <c r="H86" s="868" t="n"/>
      <c r="I86" s="868" t="n"/>
      <c r="J86" s="868" t="n"/>
      <c r="K86" s="868" t="n"/>
      <c r="L86" s="868" t="n"/>
      <c r="M86" s="868" t="n"/>
      <c r="N86" s="868" t="n"/>
      <c r="O86" s="868" t="n"/>
      <c r="P86" s="868" t="n"/>
    </row>
    <row r="87" outlineLevel="1">
      <c r="C87" s="577" t="inlineStr">
        <is>
          <t>Yeary Controls Adjustments</t>
        </is>
      </c>
      <c r="E87" s="859" t="n"/>
      <c r="F87" s="878" t="n"/>
      <c r="G87" s="878" t="n"/>
      <c r="H87" s="857" t="n"/>
      <c r="I87" s="857" t="n"/>
      <c r="J87" s="857" t="n"/>
      <c r="K87" s="857" t="n"/>
      <c r="L87" s="857" t="n"/>
      <c r="M87" s="857" t="n"/>
      <c r="N87" s="857" t="n"/>
      <c r="O87" s="857" t="n"/>
      <c r="P87" s="857" t="n"/>
    </row>
    <row r="88" outlineLevel="1">
      <c r="C88" s="577" t="n"/>
      <c r="E88" s="859" t="n"/>
      <c r="F88" s="878" t="n"/>
      <c r="G88" s="878" t="n"/>
      <c r="H88" s="868" t="n"/>
      <c r="I88" s="868" t="n"/>
      <c r="J88" s="868" t="n"/>
      <c r="K88" s="857" t="n"/>
      <c r="L88" s="857" t="n"/>
      <c r="M88" s="857" t="n"/>
      <c r="N88" s="857" t="n"/>
      <c r="O88" s="857" t="n"/>
      <c r="P88" s="857" t="n"/>
    </row>
    <row r="89" customFormat="1" s="573">
      <c r="A89" s="585" t="n"/>
      <c r="B89" s="573" t="inlineStr">
        <is>
          <t>Other Expenses</t>
        </is>
      </c>
      <c r="C89" s="586" t="n"/>
      <c r="E89" s="861">
        <f>IF(E83&gt;0,E83,SUM(E84:E87))</f>
        <v/>
      </c>
      <c r="F89" s="862">
        <f>IF(F83&gt;0,F83,SUM(F84:F87))</f>
        <v/>
      </c>
      <c r="G89" s="862">
        <f>IF(G83&gt;0,G83,SUM(G84:G87))</f>
        <v/>
      </c>
      <c r="H89" s="862">
        <f>IF(H83&gt;0,H83,SUM(H84:H87))</f>
        <v/>
      </c>
      <c r="I89" s="862">
        <f>IF(I83&gt;0,I83,SUM(I84:I87))</f>
        <v/>
      </c>
      <c r="J89" s="862">
        <f>IF(J83&gt;0,J83,SUM(J84:J87))</f>
        <v/>
      </c>
      <c r="K89" s="862">
        <f>IF(K83&gt;0,K83,SUM(K84:K87))</f>
        <v/>
      </c>
      <c r="L89" s="862">
        <f>IF(L83&gt;0,L83,SUM(L84:L87))</f>
        <v/>
      </c>
      <c r="M89" s="862">
        <f>IF(M83&gt;0,M83,SUM(M84:M87))</f>
        <v/>
      </c>
      <c r="N89" s="862">
        <f>IF(N83&gt;0,N83,SUM(N84:N87))</f>
        <v/>
      </c>
      <c r="O89" s="862">
        <f>IF(O83&gt;0,O83,SUM(O84:O87))</f>
        <v/>
      </c>
      <c r="P89" s="862">
        <f>IF(P83&gt;0,P83,SUM(P84:P87))</f>
        <v/>
      </c>
      <c r="Q89" s="863" t="n"/>
    </row>
    <row r="90">
      <c r="C90" s="590" t="n"/>
      <c r="E90" s="864" t="n"/>
      <c r="F90" s="865" t="n"/>
      <c r="G90" s="865" t="n"/>
      <c r="H90" s="865" t="n"/>
      <c r="I90" s="865" t="n"/>
      <c r="J90" s="865" t="n"/>
      <c r="K90" s="865" t="n"/>
      <c r="L90" s="865" t="n"/>
      <c r="M90" s="865" t="n"/>
      <c r="N90" s="865" t="n"/>
      <c r="O90" s="865" t="n"/>
      <c r="P90" s="865" t="n"/>
    </row>
    <row r="91">
      <c r="B91" s="605" t="inlineStr">
        <is>
          <t>Total Adjustments to EBITDA</t>
        </is>
      </c>
      <c r="C91" s="606" t="n"/>
      <c r="D91" s="605" t="n"/>
      <c r="E91" s="879">
        <f>E20+E29+E36+E50+E57+E65+E72+E79+E89</f>
        <v/>
      </c>
      <c r="F91" s="880">
        <f>F20+F29+F36+F50+F57+F65+F72+F79+F89</f>
        <v/>
      </c>
      <c r="G91" s="880">
        <f>G20+G29+G36+G50+G57+G65+G72+G79+G89</f>
        <v/>
      </c>
      <c r="H91" s="880">
        <f>H20+H29+H36+H50+H57+H65+H72+H79+H89</f>
        <v/>
      </c>
      <c r="I91" s="880">
        <f>I20+I29+I36+I50+I57+I65+I72+I79+I89</f>
        <v/>
      </c>
      <c r="J91" s="880">
        <f>J20+J29+J36+J50+J57+J65+J72+J79+J89</f>
        <v/>
      </c>
      <c r="K91" s="880">
        <f>K20+K29+K36+K50+K57+K65+K72+K79+K89</f>
        <v/>
      </c>
      <c r="L91" s="880">
        <f>L20+L29+L36+L50+L57+L65+L72+L79+L89</f>
        <v/>
      </c>
      <c r="M91" s="880">
        <f>M20+M29+M36+M50+M57+M65+M72+M79+M89</f>
        <v/>
      </c>
      <c r="N91" s="880">
        <f>N20+N29+N36+N50+N57+N65+N72+N79+N89</f>
        <v/>
      </c>
      <c r="O91" s="880">
        <f>O20+O29+O36+O50+O57+O65+O72+O79+O89</f>
        <v/>
      </c>
      <c r="P91" s="880">
        <f>P20+P29+P36+P50+P57+P65+P72+P79+P89</f>
        <v/>
      </c>
      <c r="Q91" s="863" t="n"/>
    </row>
    <row r="92">
      <c r="B92" s="573" t="n"/>
      <c r="C92" s="590" t="n"/>
      <c r="E92" s="864" t="n"/>
      <c r="F92" s="865" t="n"/>
      <c r="G92" s="865" t="n"/>
      <c r="H92" s="865" t="n"/>
      <c r="I92" s="865" t="n"/>
      <c r="J92" s="865" t="n"/>
      <c r="K92" s="865" t="n"/>
      <c r="L92" s="865" t="n"/>
      <c r="M92" s="865" t="n"/>
      <c r="N92" s="865" t="n"/>
      <c r="O92" s="865" t="n"/>
      <c r="P92" s="865" t="n"/>
    </row>
    <row r="93">
      <c r="B93" s="609" t="inlineStr">
        <is>
          <t>Adjusted EBITDA</t>
        </is>
      </c>
      <c r="C93" s="610" t="n"/>
      <c r="D93" s="611" t="n"/>
      <c r="E93" s="881">
        <f>E91+E11</f>
        <v/>
      </c>
      <c r="F93" s="882">
        <f>F91+F11</f>
        <v/>
      </c>
      <c r="G93" s="882">
        <f>G91+G11</f>
        <v/>
      </c>
      <c r="H93" s="882">
        <f>H91+H11</f>
        <v/>
      </c>
      <c r="I93" s="882">
        <f>I91+I11</f>
        <v/>
      </c>
      <c r="J93" s="882">
        <f>J91+J11</f>
        <v/>
      </c>
      <c r="K93" s="882">
        <f>K91+K11</f>
        <v/>
      </c>
      <c r="L93" s="882">
        <f>L91+L11</f>
        <v/>
      </c>
      <c r="M93" s="882">
        <f>M91+M11</f>
        <v/>
      </c>
      <c r="N93" s="882">
        <f>N91+N11</f>
        <v/>
      </c>
      <c r="O93" s="882">
        <f>O91+O11</f>
        <v/>
      </c>
      <c r="P93" s="882">
        <f>P91+P11</f>
        <v/>
      </c>
    </row>
    <row r="94">
      <c r="C94" s="590" t="n"/>
      <c r="D94" s="649" t="n"/>
      <c r="E94" s="883">
        <f>E93-'IV. EBITDA Adjustments'!N79</f>
        <v/>
      </c>
      <c r="F94" s="883">
        <f>F93-'IV. EBITDA Adjustments'!O79</f>
        <v/>
      </c>
      <c r="G94" s="883">
        <f>G93-'IV. EBITDA Adjustments'!P79</f>
        <v/>
      </c>
      <c r="H94" s="883" t="n"/>
      <c r="I94" s="883" t="n"/>
      <c r="J94" s="883" t="n"/>
      <c r="K94" s="883" t="n"/>
      <c r="L94" s="883" t="n"/>
      <c r="M94" s="883" t="n"/>
      <c r="N94" s="883" t="n"/>
      <c r="O94" s="883" t="n"/>
      <c r="P94" s="883" t="n"/>
    </row>
    <row r="95">
      <c r="C95" s="590" t="n"/>
      <c r="E95" s="884" t="n"/>
      <c r="F95" s="884" t="n"/>
      <c r="G95" s="884" t="n"/>
      <c r="H95" s="884" t="n"/>
      <c r="I95" s="884" t="n"/>
      <c r="J95" s="884" t="n"/>
      <c r="K95" s="884" t="n"/>
      <c r="L95" s="884" t="n"/>
      <c r="M95" s="884" t="n"/>
      <c r="N95" s="884" t="n"/>
      <c r="O95" s="884" t="n"/>
      <c r="P95" s="884" t="n"/>
    </row>
    <row r="96">
      <c r="C96" s="590" t="n"/>
      <c r="F96" s="885" t="n"/>
      <c r="W96" s="885" t="n"/>
    </row>
    <row r="97">
      <c r="C97" s="590" t="n"/>
      <c r="F97" s="885" t="n"/>
      <c r="W97" s="885" t="n"/>
    </row>
    <row r="98">
      <c r="C98" s="590" t="n"/>
    </row>
    <row r="99">
      <c r="C99" s="590" t="n"/>
    </row>
    <row r="100">
      <c r="C100" s="590" t="n"/>
      <c r="G100" s="886" t="n"/>
    </row>
    <row r="101">
      <c r="C101" s="590" t="n"/>
      <c r="G101" s="886" t="n"/>
    </row>
    <row r="102">
      <c r="C102" s="590" t="n"/>
    </row>
  </sheetData>
  <pageMargins left="0.7086614173228347" right="0.7086614173228347" top="0.7480314960629921" bottom="0.7480314960629921" header="0.3149606299212598" footer="0.3149606299212598"/>
  <pageSetup orientation="portrait" scale="43" fitToHeight="0"/>
</worksheet>
</file>

<file path=xl/worksheets/sheet14.xml><?xml version="1.0" encoding="utf-8"?>
<worksheet xmlns="http://schemas.openxmlformats.org/spreadsheetml/2006/main">
  <sheetPr>
    <tabColor theme="6"/>
    <outlinePr summaryBelow="1" summaryRight="1"/>
    <pageSetUpPr fitToPage="1"/>
  </sheetPr>
  <dimension ref="B1:L42"/>
  <sheetViews>
    <sheetView showGridLines="0" view="pageBreakPreview" zoomScaleNormal="100" zoomScaleSheetLayoutView="100" workbookViewId="0">
      <selection activeCell="A1" sqref="A1"/>
    </sheetView>
  </sheetViews>
  <sheetFormatPr baseColWidth="8" defaultColWidth="9.140625" defaultRowHeight="15"/>
  <cols>
    <col width="2.7109375" customWidth="1" style="4" min="1" max="1"/>
    <col width="15.28515625" customWidth="1" style="4" min="2" max="2"/>
    <col width="15.85546875" customWidth="1" style="4" min="3" max="4"/>
    <col width="15.28515625" customWidth="1" style="4" min="5" max="10"/>
    <col width="12" customWidth="1" style="4" min="11" max="13"/>
    <col width="9.140625" customWidth="1" style="4" min="14" max="16384"/>
  </cols>
  <sheetData>
    <row r="1" ht="24.75" customFormat="1" customHeight="1" s="5">
      <c r="B1" s="247">
        <f>'I. Cover Page'!B5</f>
        <v/>
      </c>
      <c r="C1" s="256" t="n"/>
      <c r="D1" s="256" t="n"/>
      <c r="E1" s="257" t="n"/>
      <c r="F1" s="256" t="n"/>
      <c r="G1" s="256" t="n"/>
      <c r="H1" s="256" t="n"/>
      <c r="I1" s="256" t="n"/>
    </row>
    <row r="2" ht="16.5" customFormat="1" customHeight="1" s="8" thickBot="1">
      <c r="B2" s="258" t="inlineStr">
        <is>
          <t>Table of Contents</t>
        </is>
      </c>
      <c r="C2" s="259" t="n"/>
      <c r="D2" s="259" t="n"/>
      <c r="E2" s="259" t="n"/>
      <c r="F2" s="259" t="n"/>
      <c r="G2" s="259" t="n"/>
      <c r="H2" s="259" t="n"/>
      <c r="I2" s="259" t="n"/>
      <c r="J2" s="6" t="n"/>
      <c r="K2" s="7" t="n"/>
      <c r="L2" s="7" t="n"/>
    </row>
    <row r="3" ht="13.5" customFormat="1" customHeight="1" s="8" thickTop="1">
      <c r="B3" s="251">
        <f>'I. Cover Page'!B9</f>
        <v/>
      </c>
      <c r="C3" s="260" t="n"/>
      <c r="D3" s="261" t="n"/>
      <c r="E3" s="261" t="n"/>
      <c r="F3" s="261" t="n"/>
      <c r="G3" s="261" t="n"/>
      <c r="H3" s="261" t="n"/>
      <c r="I3" s="261" t="n"/>
      <c r="J3" s="9" t="inlineStr">
        <is>
          <t>$USD</t>
        </is>
      </c>
      <c r="K3" s="10" t="n"/>
      <c r="L3" s="10" t="n"/>
    </row>
    <row r="4" ht="12.75" customFormat="1" customHeight="1" s="8">
      <c r="K4" s="10" t="n"/>
      <c r="L4" s="10" t="n"/>
    </row>
    <row r="5" ht="12.75" customFormat="1" customHeight="1" s="8">
      <c r="K5" s="10" t="n"/>
      <c r="L5" s="10" t="n"/>
    </row>
    <row r="6" ht="12.75" customFormat="1" customHeight="1" s="8">
      <c r="K6" s="10" t="n"/>
      <c r="L6" s="10" t="n"/>
    </row>
    <row r="7" ht="12.75" customFormat="1" customHeight="1" s="8">
      <c r="K7" s="10" t="n"/>
      <c r="L7" s="10" t="n"/>
    </row>
    <row r="8" customFormat="1" s="12">
      <c r="C8" s="13" t="inlineStr">
        <is>
          <t>Description</t>
        </is>
      </c>
      <c r="I8" s="14" t="inlineStr">
        <is>
          <t>Page</t>
        </is>
      </c>
      <c r="K8" s="15" t="n"/>
      <c r="L8" s="15" t="n"/>
    </row>
    <row r="9" customFormat="1" s="12">
      <c r="C9" s="16" t="inlineStr">
        <is>
          <t>Cap Table…………………………………………………………………………………………………………........................................................</t>
        </is>
      </c>
      <c r="I9" s="146" t="n">
        <v>3</v>
      </c>
      <c r="K9" s="15" t="n"/>
      <c r="L9" s="15" t="n"/>
    </row>
    <row r="10" customFormat="1" s="12">
      <c r="C10" s="16" t="inlineStr">
        <is>
          <t>Valuation Summary………………………………………………………………………………………………………….......................................</t>
        </is>
      </c>
      <c r="I10" s="146" t="n">
        <v>4</v>
      </c>
      <c r="K10" s="15" t="n"/>
      <c r="L10" s="15" t="n"/>
    </row>
    <row r="11" customFormat="1" s="12">
      <c r="C11" s="16" t="inlineStr">
        <is>
          <t>Comparables…………………………………………………………………………………………………………...................................................</t>
        </is>
      </c>
      <c r="I11" s="146" t="n">
        <v>5</v>
      </c>
      <c r="K11" s="15" t="n"/>
      <c r="L11" s="15" t="n"/>
    </row>
    <row r="12" customFormat="1" s="12">
      <c r="C12" s="16" t="inlineStr">
        <is>
          <t>IRR Calcuation…………………………………………………………………………………………………………................................................</t>
        </is>
      </c>
      <c r="I12" s="146" t="n">
        <v>6</v>
      </c>
      <c r="K12" s="15" t="n"/>
      <c r="L12" s="15" t="n"/>
    </row>
    <row r="13" customFormat="1" s="12">
      <c r="C13" s="16" t="inlineStr">
        <is>
          <t>Attribution Summary…………………………………………………………………………………………………………………...............................</t>
        </is>
      </c>
      <c r="I13" s="146" t="n">
        <v>7</v>
      </c>
      <c r="K13" s="15" t="n"/>
      <c r="L13" s="15" t="n"/>
    </row>
    <row r="14" customFormat="1" s="12">
      <c r="C14" s="16" t="inlineStr">
        <is>
          <t>Financial Summary………………………………………………………………………………………………………………….....................................</t>
        </is>
      </c>
      <c r="I14" s="146" t="n">
        <v>8</v>
      </c>
      <c r="K14" s="15" t="n"/>
      <c r="L14" s="15" t="n"/>
    </row>
    <row r="15" customFormat="1" s="12">
      <c r="C15" s="16" t="inlineStr">
        <is>
          <t>LP Report…........………………………………………………………………………………………………………………….....................................</t>
        </is>
      </c>
      <c r="I15" s="146" t="n">
        <v>9</v>
      </c>
      <c r="K15" s="15" t="n"/>
      <c r="L15" s="15" t="n"/>
    </row>
    <row r="16" customFormat="1" s="12">
      <c r="C16" s="16" t="n"/>
      <c r="I16" s="146" t="n"/>
      <c r="K16" s="15" t="n"/>
      <c r="L16" s="15" t="n"/>
    </row>
    <row r="17" customFormat="1" s="17">
      <c r="C17" s="16" t="n"/>
      <c r="I17" s="146" t="n"/>
    </row>
    <row r="18" customFormat="1" s="17">
      <c r="B18" s="16" t="n"/>
      <c r="C18" s="16" t="n"/>
    </row>
    <row r="42">
      <c r="J42" s="165" t="n"/>
    </row>
  </sheetData>
  <pageMargins left="0.7086614173228347" right="0.7086614173228347" top="0.7480314960629921" bottom="0.7480314960629921" header="0.3149606299212598" footer="0.3149606299212598"/>
  <pageSetup orientation="portrait" scale="65" fitToHeight="0"/>
</worksheet>
</file>

<file path=xl/worksheets/sheet15.xml><?xml version="1.0" encoding="utf-8"?>
<worksheet xmlns="http://schemas.openxmlformats.org/spreadsheetml/2006/main">
  <sheetPr>
    <tabColor theme="6"/>
    <outlinePr summaryBelow="1" summaryRight="1"/>
    <pageSetUpPr/>
  </sheetPr>
  <dimension ref="B2:M52"/>
  <sheetViews>
    <sheetView showGridLines="0" view="pageBreakPreview" topLeftCell="A3" zoomScale="80" zoomScaleNormal="70" zoomScaleSheetLayoutView="80" workbookViewId="0">
      <selection activeCell="E19" sqref="E19"/>
    </sheetView>
  </sheetViews>
  <sheetFormatPr baseColWidth="8" defaultColWidth="9.140625" defaultRowHeight="15"/>
  <cols>
    <col width="2.5703125" customWidth="1" style="4" min="1" max="1"/>
    <col width="1.85546875" customWidth="1" style="4" min="2" max="2"/>
    <col width="74.28515625" customWidth="1" style="4" min="3" max="3"/>
    <col width="17.42578125" bestFit="1" customWidth="1" style="4" min="4" max="4"/>
    <col width="21" bestFit="1" customWidth="1" style="4" min="5" max="11"/>
    <col width="9.140625" customWidth="1" style="4" min="12" max="12"/>
    <col width="11.5703125" bestFit="1" customWidth="1" style="4" min="13" max="13"/>
    <col width="9.140625" customWidth="1" style="4" min="14" max="16384"/>
  </cols>
  <sheetData>
    <row r="1"/>
    <row r="2" ht="19.5" customHeight="1" thickBot="1">
      <c r="B2" s="384" t="inlineStr">
        <is>
          <t>Opus Water - Cap Table</t>
        </is>
      </c>
      <c r="C2" s="385" t="n"/>
      <c r="D2" s="385" t="n"/>
      <c r="E2" s="385" t="n"/>
      <c r="F2" s="385" t="n"/>
      <c r="G2" s="385" t="n"/>
      <c r="H2" s="385" t="n"/>
      <c r="I2" s="385" t="n"/>
      <c r="J2" s="385" t="n"/>
      <c r="K2" s="386" t="inlineStr">
        <is>
          <t>Confidential</t>
        </is>
      </c>
    </row>
    <row r="3" ht="19.5" customHeight="1" thickBot="1">
      <c r="B3" s="354" t="n"/>
      <c r="K3" s="355" t="inlineStr">
        <is>
          <t>$'s in USD</t>
        </is>
      </c>
    </row>
    <row r="4" ht="15.75" customHeight="1" thickBot="1">
      <c r="B4" s="182" t="inlineStr">
        <is>
          <t>Illustrative Equity Value at Exit</t>
        </is>
      </c>
      <c r="C4" s="183" t="n"/>
      <c r="D4" s="887">
        <f>'III. Valuation Summary'!$F$15</f>
        <v/>
      </c>
      <c r="E4" s="321" t="n"/>
      <c r="I4" s="888" t="n"/>
    </row>
    <row r="5">
      <c r="B5" s="19" t="n"/>
      <c r="C5" s="21" t="n"/>
      <c r="E5" s="889" t="n"/>
      <c r="H5" s="889" t="n"/>
      <c r="I5" s="889" t="n"/>
      <c r="J5" s="889" t="n"/>
    </row>
    <row r="6" ht="17.25" customHeight="1">
      <c r="C6" s="322" t="inlineStr">
        <is>
          <t>Opus Water Cap Table</t>
        </is>
      </c>
      <c r="D6" s="322" t="n"/>
      <c r="E6" s="322" t="n"/>
      <c r="F6" s="322" t="n"/>
      <c r="G6" s="322" t="n"/>
      <c r="H6" s="322" t="n"/>
      <c r="I6" s="322" t="n"/>
      <c r="J6" s="322" t="n"/>
      <c r="K6" s="322" t="n"/>
    </row>
    <row r="7" ht="17.25" customHeight="1">
      <c r="C7" s="323" t="n"/>
      <c r="D7" s="323" t="n"/>
      <c r="E7" s="323" t="n"/>
      <c r="F7" s="323" t="n"/>
      <c r="G7" s="323" t="n"/>
      <c r="H7" s="323" t="n"/>
      <c r="I7" s="323" t="n"/>
      <c r="J7" s="323" t="n"/>
      <c r="K7" s="323" t="n"/>
    </row>
    <row r="8" ht="14.45" customHeight="1">
      <c r="C8" s="22" t="n"/>
      <c r="D8" s="23" t="inlineStr">
        <is>
          <t>Capital</t>
        </is>
      </c>
      <c r="E8" s="23" t="inlineStr">
        <is>
          <t>Common Units</t>
        </is>
      </c>
      <c r="F8" s="23" t="inlineStr">
        <is>
          <t>Incentive Units</t>
        </is>
      </c>
      <c r="G8" s="23" t="inlineStr">
        <is>
          <t>Incentive Units</t>
        </is>
      </c>
      <c r="H8" s="24" t="inlineStr">
        <is>
          <t>Total</t>
        </is>
      </c>
      <c r="I8" s="24" t="inlineStr">
        <is>
          <t>%</t>
        </is>
      </c>
      <c r="J8" s="24" t="inlineStr">
        <is>
          <t>Total</t>
        </is>
      </c>
      <c r="K8" s="24" t="inlineStr">
        <is>
          <t>%</t>
        </is>
      </c>
    </row>
    <row r="9">
      <c r="C9" s="22" t="n"/>
      <c r="D9" s="23" t="inlineStr">
        <is>
          <t>Contributed</t>
        </is>
      </c>
      <c r="E9" s="25" t="inlineStr">
        <is>
          <t>Exercise prices&gt;&gt;&gt;</t>
        </is>
      </c>
      <c r="F9" s="890" t="n">
        <v>1</v>
      </c>
      <c r="G9" s="890" t="n">
        <v>1.6</v>
      </c>
      <c r="H9" s="24" t="inlineStr">
        <is>
          <t>(Basic)</t>
        </is>
      </c>
      <c r="I9" s="24" t="inlineStr">
        <is>
          <t>(Basic)</t>
        </is>
      </c>
      <c r="J9" s="24" t="inlineStr">
        <is>
          <t>(Fully Diluted)</t>
        </is>
      </c>
      <c r="K9" s="24" t="inlineStr">
        <is>
          <t>(Fully Diluted)</t>
        </is>
      </c>
    </row>
    <row r="10">
      <c r="C10" s="4" t="inlineStr">
        <is>
          <t>XPV Water Fund III Limited Partnership</t>
        </is>
      </c>
      <c r="D10" s="891">
        <f>12500000+3787879.18</f>
        <v/>
      </c>
      <c r="E10" s="892" t="n">
        <v>14628022</v>
      </c>
      <c r="F10" s="893" t="n"/>
      <c r="G10" s="893" t="n"/>
      <c r="H10" s="894">
        <f>E10</f>
        <v/>
      </c>
      <c r="I10" s="895">
        <f>H10/H$19</f>
        <v/>
      </c>
      <c r="J10" s="894">
        <f>SUM(E10:G10)</f>
        <v/>
      </c>
      <c r="K10" s="895">
        <f>J10/J$19</f>
        <v/>
      </c>
    </row>
    <row r="11">
      <c r="C11" s="130" t="inlineStr">
        <is>
          <t>2007 Irrevocable Trust For Family of Chris M. Raftis dated March 30,2007</t>
        </is>
      </c>
      <c r="D11" s="891">
        <f>600000+181818.1</f>
        <v/>
      </c>
      <c r="E11" s="892" t="n">
        <v>702145</v>
      </c>
      <c r="F11" s="896" t="n"/>
      <c r="G11" s="896" t="n"/>
      <c r="H11" s="894">
        <f>E11</f>
        <v/>
      </c>
      <c r="I11" s="895">
        <f>H11/H$19</f>
        <v/>
      </c>
      <c r="J11" s="894">
        <f>SUM(E11:G11)</f>
        <v/>
      </c>
      <c r="K11" s="895">
        <f>J11/J$19</f>
        <v/>
      </c>
      <c r="L11" s="356" t="n"/>
    </row>
    <row r="12">
      <c r="C12" s="4" t="inlineStr">
        <is>
          <t>Karl Trott</t>
        </is>
      </c>
      <c r="D12" s="891">
        <f>100000+30302.72</f>
        <v/>
      </c>
      <c r="E12" s="892" t="n">
        <v>117024</v>
      </c>
      <c r="F12" s="893" t="n"/>
      <c r="G12" s="893" t="n"/>
      <c r="H12" s="894">
        <f>E12</f>
        <v/>
      </c>
      <c r="I12" s="895">
        <f>H12/H$19</f>
        <v/>
      </c>
      <c r="J12" s="894">
        <f>SUM(E12:G12)</f>
        <v/>
      </c>
      <c r="K12" s="895">
        <f>J12/J$19</f>
        <v/>
      </c>
    </row>
    <row r="13">
      <c r="C13" s="21" t="inlineStr">
        <is>
          <t>John DeYarman Incentive Units</t>
        </is>
      </c>
      <c r="E13" s="893" t="n"/>
      <c r="F13" s="892" t="n">
        <v>233333</v>
      </c>
      <c r="G13" s="892" t="n">
        <v>466667</v>
      </c>
      <c r="H13" s="894" t="n"/>
      <c r="I13" s="895">
        <f>H13/H$19</f>
        <v/>
      </c>
      <c r="J13" s="894">
        <f>SUM(E13:G13)</f>
        <v/>
      </c>
      <c r="K13" s="895">
        <f>J13/J$19</f>
        <v/>
      </c>
    </row>
    <row r="14">
      <c r="C14" s="21" t="inlineStr">
        <is>
          <t>Scott Day Incentive Units</t>
        </is>
      </c>
      <c r="E14" s="893" t="n"/>
      <c r="F14" s="892" t="n"/>
      <c r="G14" s="892" t="n">
        <v>300000</v>
      </c>
      <c r="H14" s="894" t="n"/>
      <c r="I14" s="895">
        <f>H14/H$19</f>
        <v/>
      </c>
      <c r="J14" s="894">
        <f>SUM(E14:G14)</f>
        <v/>
      </c>
      <c r="K14" s="895">
        <f>J14/J$19</f>
        <v/>
      </c>
    </row>
    <row r="15">
      <c r="C15" s="327" t="inlineStr">
        <is>
          <t>2007 Irrevocable Trust For Family of Chris M. Raftis dated March 30,2007 Incentive Units</t>
        </is>
      </c>
      <c r="E15" s="896" t="n"/>
      <c r="F15" s="896" t="n"/>
      <c r="G15" s="892" t="n">
        <v>110000</v>
      </c>
      <c r="H15" s="896" t="n"/>
      <c r="I15" s="895">
        <f>H15/H$19</f>
        <v/>
      </c>
      <c r="J15" s="894">
        <f>SUM(E15:G15)</f>
        <v/>
      </c>
      <c r="K15" s="895">
        <f>J15/J$19</f>
        <v/>
      </c>
      <c r="L15" s="356" t="n"/>
      <c r="M15" s="897" t="n"/>
    </row>
    <row r="16">
      <c r="C16" s="327" t="inlineStr">
        <is>
          <t>Kevin Klau</t>
        </is>
      </c>
      <c r="E16" s="896" t="n"/>
      <c r="F16" s="896" t="n"/>
      <c r="G16" s="892" t="n">
        <v>110000</v>
      </c>
      <c r="H16" s="896" t="n"/>
      <c r="I16" s="895">
        <f>H16/H$19</f>
        <v/>
      </c>
      <c r="J16" s="894">
        <f>SUM(E16:G16)</f>
        <v/>
      </c>
      <c r="K16" s="895">
        <f>J16/J$19</f>
        <v/>
      </c>
      <c r="L16" s="356" t="n"/>
      <c r="M16" s="897" t="n"/>
    </row>
    <row r="17">
      <c r="C17" s="327" t="inlineStr">
        <is>
          <t>Warren Berenis</t>
        </is>
      </c>
      <c r="E17" s="896" t="n"/>
      <c r="F17" s="896" t="n"/>
      <c r="G17" s="892">
        <f>150000+25000</f>
        <v/>
      </c>
      <c r="H17" s="896" t="n"/>
      <c r="I17" s="895">
        <f>H17/H$19</f>
        <v/>
      </c>
      <c r="J17" s="894">
        <f>SUM(E17:G17)</f>
        <v/>
      </c>
      <c r="K17" s="895">
        <f>J17/J$19</f>
        <v/>
      </c>
      <c r="L17" s="356" t="n"/>
      <c r="M17" s="897" t="n"/>
    </row>
    <row r="18" ht="15" customHeight="1">
      <c r="C18" s="21" t="inlineStr">
        <is>
          <t>Unallocated</t>
        </is>
      </c>
      <c r="E18" s="893" t="n"/>
      <c r="F18" s="892" t="n"/>
      <c r="G18" s="894">
        <f>1400000-SUM(F13:G17)</f>
        <v/>
      </c>
      <c r="H18" s="894" t="n"/>
      <c r="I18" s="895">
        <f>H18/H$19</f>
        <v/>
      </c>
      <c r="J18" s="894">
        <f>SUM(E18:G18)</f>
        <v/>
      </c>
      <c r="K18" s="895">
        <f>J18/J$19</f>
        <v/>
      </c>
    </row>
    <row r="19">
      <c r="C19" s="19" t="inlineStr">
        <is>
          <t>Total</t>
        </is>
      </c>
      <c r="E19" s="898">
        <f>SUM(E10:E18)</f>
        <v/>
      </c>
      <c r="F19" s="898">
        <f>SUM(F10:F18)</f>
        <v/>
      </c>
      <c r="G19" s="898">
        <f>SUM(G10:G18)</f>
        <v/>
      </c>
      <c r="H19" s="898">
        <f>SUM(H10:H18)</f>
        <v/>
      </c>
      <c r="I19" s="899">
        <f>H19/H$19</f>
        <v/>
      </c>
      <c r="J19" s="898">
        <f>SUM(J10:J18)</f>
        <v/>
      </c>
      <c r="K19" s="330">
        <f>J19/J$19</f>
        <v/>
      </c>
    </row>
    <row r="21">
      <c r="B21" s="19" t="inlineStr">
        <is>
          <t>EQUITY PROCEEDS</t>
        </is>
      </c>
      <c r="F21" s="190" t="n"/>
      <c r="G21" s="190" t="n"/>
      <c r="H21" s="190" t="n"/>
      <c r="I21" s="190" t="n"/>
    </row>
    <row r="22">
      <c r="E22" s="331" t="inlineStr">
        <is>
          <t>Incentive Units</t>
        </is>
      </c>
      <c r="F22" s="331" t="inlineStr">
        <is>
          <t>Incentive Units</t>
        </is>
      </c>
      <c r="G22" s="900" t="inlineStr">
        <is>
          <t>Common Units</t>
        </is>
      </c>
      <c r="H22" s="331" t="inlineStr">
        <is>
          <t>Incentive Units</t>
        </is>
      </c>
      <c r="I22" s="331" t="inlineStr">
        <is>
          <t>Incentive Units</t>
        </is>
      </c>
      <c r="J22" s="333" t="n"/>
    </row>
    <row r="23" ht="17.25" customHeight="1">
      <c r="E23" s="334">
        <f>F9</f>
        <v/>
      </c>
      <c r="F23" s="334">
        <f>G9</f>
        <v/>
      </c>
      <c r="G23" s="901" t="n"/>
      <c r="H23" s="334">
        <f>F9</f>
        <v/>
      </c>
      <c r="I23" s="334">
        <f>G9</f>
        <v/>
      </c>
      <c r="J23" s="336" t="n"/>
    </row>
    <row r="24">
      <c r="C24" s="19" t="inlineStr">
        <is>
          <t>Equity Value</t>
        </is>
      </c>
      <c r="E24" s="902">
        <f>D4</f>
        <v/>
      </c>
      <c r="F24" s="902">
        <f>E24</f>
        <v/>
      </c>
      <c r="G24" s="903">
        <f>F24-E45-F45</f>
        <v/>
      </c>
      <c r="H24" s="902">
        <f>G24</f>
        <v/>
      </c>
      <c r="I24" s="902">
        <f>H24</f>
        <v/>
      </c>
      <c r="J24" s="904" t="n"/>
    </row>
    <row r="25" ht="5.1" customHeight="1">
      <c r="G25" s="339" t="n"/>
      <c r="J25" s="340" t="n"/>
    </row>
    <row r="26">
      <c r="C26" s="4" t="inlineStr">
        <is>
          <t>Common Units</t>
        </is>
      </c>
      <c r="E26" s="894">
        <f>E19</f>
        <v/>
      </c>
      <c r="F26" s="894">
        <f>E26</f>
        <v/>
      </c>
      <c r="G26" s="905">
        <f>E26</f>
        <v/>
      </c>
      <c r="H26" s="894">
        <f>G26</f>
        <v/>
      </c>
      <c r="I26" s="894">
        <f>H26</f>
        <v/>
      </c>
      <c r="J26" s="906" t="n"/>
    </row>
    <row r="27">
      <c r="C27" s="4" t="inlineStr">
        <is>
          <t>Incentive Units ($1.00)</t>
        </is>
      </c>
      <c r="E27" s="894">
        <f>F19</f>
        <v/>
      </c>
      <c r="F27" s="894">
        <f>E27</f>
        <v/>
      </c>
      <c r="G27" s="905">
        <f>IF(E45&lt;0,E27,0)</f>
        <v/>
      </c>
      <c r="H27" s="894">
        <f>G27</f>
        <v/>
      </c>
      <c r="I27" s="894">
        <f>H27</f>
        <v/>
      </c>
      <c r="J27" s="906" t="n"/>
    </row>
    <row r="28">
      <c r="C28" s="4" t="inlineStr">
        <is>
          <t>Incentive Units ($1.60)</t>
        </is>
      </c>
      <c r="E28" s="894">
        <f>G19</f>
        <v/>
      </c>
      <c r="F28" s="894">
        <f>E28</f>
        <v/>
      </c>
      <c r="G28" s="905">
        <f>IF(F45&lt;0,E28,0)</f>
        <v/>
      </c>
      <c r="H28" s="894">
        <f>G28</f>
        <v/>
      </c>
      <c r="I28" s="894">
        <f>H28</f>
        <v/>
      </c>
      <c r="J28" s="906" t="n"/>
    </row>
    <row r="29" ht="5.1" customHeight="1">
      <c r="E29" s="894" t="n"/>
      <c r="F29" s="894" t="n"/>
      <c r="G29" s="905" t="n"/>
      <c r="H29" s="894" t="n"/>
      <c r="I29" s="894" t="n"/>
      <c r="J29" s="906" t="n"/>
    </row>
    <row r="30">
      <c r="C30" s="19" t="inlineStr">
        <is>
          <t>Total Units</t>
        </is>
      </c>
      <c r="E30" s="898">
        <f>SUM(E26:E29)</f>
        <v/>
      </c>
      <c r="F30" s="898">
        <f>SUM(F26:F29)</f>
        <v/>
      </c>
      <c r="G30" s="907">
        <f>SUM(G26:G29)</f>
        <v/>
      </c>
      <c r="H30" s="898">
        <f>SUM(H26:H29)</f>
        <v/>
      </c>
      <c r="I30" s="898">
        <f>SUM(I26:I29)</f>
        <v/>
      </c>
      <c r="J30" s="908" t="n"/>
    </row>
    <row r="31">
      <c r="C31" s="19" t="inlineStr">
        <is>
          <t>Equity Value Per Unit</t>
        </is>
      </c>
      <c r="E31" s="909">
        <f>E24/E30</f>
        <v/>
      </c>
      <c r="F31" s="909">
        <f>F24/F30</f>
        <v/>
      </c>
      <c r="G31" s="910">
        <f>G24/G30</f>
        <v/>
      </c>
      <c r="H31" s="909">
        <f>H24/H30</f>
        <v/>
      </c>
      <c r="I31" s="909">
        <f>I24/I30</f>
        <v/>
      </c>
      <c r="J31" s="911" t="n"/>
    </row>
    <row r="32">
      <c r="G32" s="339" t="n"/>
    </row>
    <row r="33" ht="17.25" customHeight="1">
      <c r="E33" s="912" t="inlineStr">
        <is>
          <t>Options Exercise</t>
        </is>
      </c>
      <c r="F33" s="192" t="n"/>
      <c r="G33" s="913" t="inlineStr">
        <is>
          <t>Common Units</t>
        </is>
      </c>
      <c r="H33" s="192" t="n"/>
      <c r="I33" s="192" t="n"/>
      <c r="J33" s="914" t="n"/>
    </row>
    <row r="34" ht="17.25" customHeight="1">
      <c r="E34" s="915" t="inlineStr">
        <is>
          <t>Incentive Units ($1.00)</t>
        </is>
      </c>
      <c r="F34" s="915" t="inlineStr">
        <is>
          <t>Incentive Units ($1.60)</t>
        </is>
      </c>
      <c r="G34" s="901" t="inlineStr">
        <is>
          <t>Common Units</t>
        </is>
      </c>
      <c r="H34" s="915" t="inlineStr">
        <is>
          <t>Incentive Units ($1.00)</t>
        </is>
      </c>
      <c r="I34" s="915" t="inlineStr">
        <is>
          <t>Incentive Units ($1.60)</t>
        </is>
      </c>
      <c r="J34" s="916" t="inlineStr">
        <is>
          <t>Proceeds</t>
        </is>
      </c>
    </row>
    <row r="35">
      <c r="C35" s="4" t="inlineStr">
        <is>
          <t>XPV Water Fund III Limited Partnership</t>
        </is>
      </c>
      <c r="E35" s="917">
        <f>IF(H$31&gt;F$9,-F$9*F10,0)</f>
        <v/>
      </c>
      <c r="F35" s="917">
        <f>IF(I$31&gt;G$9,-G$9*G10,0)</f>
        <v/>
      </c>
      <c r="G35" s="918">
        <f>E10*G$31</f>
        <v/>
      </c>
      <c r="H35" s="917">
        <f>IF(E$45&lt;0,F10*H$31,0)</f>
        <v/>
      </c>
      <c r="I35" s="917">
        <f>IF(F$45&lt;0,G10*I$31,0)</f>
        <v/>
      </c>
      <c r="J35" s="919">
        <f>SUM(E35:I35)</f>
        <v/>
      </c>
    </row>
    <row r="36">
      <c r="C36" s="130" t="inlineStr">
        <is>
          <t>2007 Irrevocable Trust For Family of Chris M. Raftis dated March 30,2007</t>
        </is>
      </c>
      <c r="E36" s="917">
        <f>IF(H$31&gt;F$9,-F$9*F11,0)</f>
        <v/>
      </c>
      <c r="F36" s="917">
        <f>IF(I$31&gt;G$9,-G$9*G11,0)</f>
        <v/>
      </c>
      <c r="G36" s="918">
        <f>E11*G$31</f>
        <v/>
      </c>
      <c r="H36" s="917">
        <f>IF(E$45&lt;0,F11*H$31,0)</f>
        <v/>
      </c>
      <c r="I36" s="917">
        <f>IF(F$45&lt;0,G11*I$31,0)</f>
        <v/>
      </c>
      <c r="J36" s="919">
        <f>SUM(E36:I36)</f>
        <v/>
      </c>
    </row>
    <row r="37">
      <c r="C37" s="4" t="inlineStr">
        <is>
          <t>PTI Inc. Seller (Karl Trott)</t>
        </is>
      </c>
      <c r="E37" s="917">
        <f>IF(H$31&gt;F$9,-F$9*F12,0)</f>
        <v/>
      </c>
      <c r="F37" s="917">
        <f>IF(I$31&gt;G$9,-G$9*G12,0)</f>
        <v/>
      </c>
      <c r="G37" s="918">
        <f>E12*G$31</f>
        <v/>
      </c>
      <c r="H37" s="917">
        <f>IF(E$45&lt;0,F12*H$31,0)</f>
        <v/>
      </c>
      <c r="I37" s="917">
        <f>IF(F$45&lt;0,G12*I$31,0)</f>
        <v/>
      </c>
      <c r="J37" s="919">
        <f>SUM(E37:I37)</f>
        <v/>
      </c>
    </row>
    <row r="38">
      <c r="C38" s="21" t="inlineStr">
        <is>
          <t>John DeYarman Incentive Units</t>
        </is>
      </c>
      <c r="E38" s="917">
        <f>IF(H$31&gt;F$9,-F$9*F13,0)</f>
        <v/>
      </c>
      <c r="F38" s="917">
        <f>IF(I$31&gt;G$9,-G$9*G13,0)</f>
        <v/>
      </c>
      <c r="G38" s="918" t="n"/>
      <c r="H38" s="917">
        <f>IF(E$45&lt;0,F13*H$31,0)</f>
        <v/>
      </c>
      <c r="I38" s="917">
        <f>IF(F$45&lt;0,G13*I$31,0)</f>
        <v/>
      </c>
      <c r="J38" s="919">
        <f>SUM(E38:I38)</f>
        <v/>
      </c>
    </row>
    <row r="39">
      <c r="C39" s="21" t="inlineStr">
        <is>
          <t>Scott Day Incentive Units</t>
        </is>
      </c>
      <c r="E39" s="917">
        <f>IF(H$31&gt;F$9,-F$9*F14,0)</f>
        <v/>
      </c>
      <c r="F39" s="917">
        <f>IF(I$31&gt;G$9,-G$9*G14,0)</f>
        <v/>
      </c>
      <c r="G39" s="918" t="n"/>
      <c r="H39" s="917">
        <f>IF(E$45&lt;0,F14*H$31,0)</f>
        <v/>
      </c>
      <c r="I39" s="917">
        <f>IF(F$45&lt;0,G14*I$31,0)</f>
        <v/>
      </c>
      <c r="J39" s="919">
        <f>SUM(E39:I39)</f>
        <v/>
      </c>
    </row>
    <row r="40">
      <c r="C40" s="327" t="inlineStr">
        <is>
          <t>2007 Irrevocable Trust For Family of Chris M. Raftis dated March 30,2007 Incentive Units</t>
        </is>
      </c>
      <c r="E40" s="917">
        <f>IF(H$31&gt;F$9,-F$9*F15,0)</f>
        <v/>
      </c>
      <c r="F40" s="917">
        <f>IF(I$31&gt;G$9,-G$9*G15,0)</f>
        <v/>
      </c>
      <c r="G40" s="918" t="n"/>
      <c r="H40" s="917">
        <f>IF(E$45&lt;0,F15*H$31,0)</f>
        <v/>
      </c>
      <c r="I40" s="917">
        <f>IF(F$45&lt;0,G15*I$31,0)</f>
        <v/>
      </c>
      <c r="J40" s="919">
        <f>SUM(E40:I40)</f>
        <v/>
      </c>
    </row>
    <row r="41">
      <c r="C41" s="327" t="inlineStr">
        <is>
          <t>Kevin Klau</t>
        </is>
      </c>
      <c r="E41" s="917">
        <f>IF(H$31&gt;F$9,-F$9*F16,0)</f>
        <v/>
      </c>
      <c r="F41" s="917">
        <f>IF(I$31&gt;G$9,-G$9*G16,0)</f>
        <v/>
      </c>
      <c r="G41" s="918" t="n"/>
      <c r="H41" s="917">
        <f>IF(E$45&lt;0,F16*H$31,0)</f>
        <v/>
      </c>
      <c r="I41" s="917">
        <f>IF(F$45&lt;0,G16*I$31,0)</f>
        <v/>
      </c>
      <c r="J41" s="919">
        <f>SUM(E41:I41)</f>
        <v/>
      </c>
    </row>
    <row r="42">
      <c r="C42" s="327" t="inlineStr">
        <is>
          <t>Warren Berenis</t>
        </is>
      </c>
      <c r="E42" s="917">
        <f>IF(H$31&gt;F$9,-F$9*F17,0)</f>
        <v/>
      </c>
      <c r="F42" s="917">
        <f>IF(I$31&gt;G$9,-G$9*G17,0)</f>
        <v/>
      </c>
      <c r="G42" s="918" t="n"/>
      <c r="H42" s="917">
        <f>IF(E$45&lt;0,F17*H$31,0)</f>
        <v/>
      </c>
      <c r="I42" s="917">
        <f>IF(F$45&lt;0,G17*I$31,0)</f>
        <v/>
      </c>
      <c r="J42" s="919">
        <f>SUM(E42:I42)</f>
        <v/>
      </c>
    </row>
    <row r="43">
      <c r="C43" s="21" t="inlineStr">
        <is>
          <t>Unallocated</t>
        </is>
      </c>
      <c r="E43" s="917">
        <f>IF(H$31&gt;F$9,-F$9*F18,0)</f>
        <v/>
      </c>
      <c r="F43" s="917">
        <f>IF(I$31&gt;G$9,-G$9*G18,0)</f>
        <v/>
      </c>
      <c r="G43" s="918" t="n"/>
      <c r="H43" s="917">
        <f>IF(E$45&lt;0,F18*H$31,0)</f>
        <v/>
      </c>
      <c r="I43" s="917">
        <f>IF(F$45&lt;0,G18*I$31,0)</f>
        <v/>
      </c>
      <c r="J43" s="919">
        <f>SUM(E43:I43)</f>
        <v/>
      </c>
    </row>
    <row r="44" ht="5.1" customHeight="1">
      <c r="C44" s="21" t="n"/>
      <c r="E44" s="917" t="n"/>
      <c r="F44" s="917" t="n"/>
      <c r="G44" s="918" t="n"/>
      <c r="H44" s="917" t="n"/>
      <c r="I44" s="917" t="n"/>
      <c r="J44" s="919" t="n"/>
    </row>
    <row r="45">
      <c r="C45" s="195" t="inlineStr">
        <is>
          <t>TOTAL</t>
        </is>
      </c>
      <c r="D45" s="196" t="n"/>
      <c r="E45" s="920">
        <f>SUM(E35:E44)</f>
        <v/>
      </c>
      <c r="F45" s="920">
        <f>SUM(F35:F44)</f>
        <v/>
      </c>
      <c r="G45" s="921">
        <f>SUM(G35:G44)</f>
        <v/>
      </c>
      <c r="H45" s="920">
        <f>SUM(H35:H44)</f>
        <v/>
      </c>
      <c r="I45" s="920">
        <f>SUM(I35:I44)</f>
        <v/>
      </c>
      <c r="J45" s="922">
        <f>SUM(J35:J44)</f>
        <v/>
      </c>
    </row>
    <row r="47">
      <c r="J47" s="923" t="n"/>
    </row>
    <row r="48">
      <c r="F48" s="190" t="n"/>
      <c r="G48" s="924" t="n"/>
      <c r="H48" s="190" t="n"/>
      <c r="I48" s="190" t="n"/>
    </row>
    <row r="49">
      <c r="F49" s="190" t="n"/>
      <c r="G49" s="190" t="n"/>
      <c r="H49" s="190" t="n"/>
      <c r="I49" s="190" t="n"/>
    </row>
    <row r="50">
      <c r="F50" s="190" t="n"/>
      <c r="G50" s="190" t="n"/>
      <c r="H50" s="190" t="n"/>
      <c r="I50" s="190" t="n"/>
    </row>
    <row r="51">
      <c r="F51" s="190" t="n"/>
      <c r="G51" s="190" t="n"/>
      <c r="H51" s="190" t="n"/>
      <c r="I51" s="190" t="n"/>
    </row>
    <row r="52">
      <c r="F52" s="190" t="n"/>
      <c r="G52" s="190" t="n"/>
      <c r="H52" s="190" t="n"/>
      <c r="I52" s="190" t="n"/>
    </row>
  </sheetData>
  <pageMargins left="0.7" right="0.7" top="0.75" bottom="0.75" header="0.3" footer="0.3"/>
  <pageSetup orientation="landscape" scale="38"/>
  <legacyDrawing xmlns:r="http://schemas.openxmlformats.org/officeDocument/2006/relationships" r:id="anysvml"/>
</worksheet>
</file>

<file path=xl/worksheets/sheet16.xml><?xml version="1.0" encoding="utf-8"?>
<worksheet xmlns="http://schemas.openxmlformats.org/spreadsheetml/2006/main">
  <sheetPr>
    <tabColor theme="6"/>
    <outlinePr summaryBelow="1" summaryRight="1"/>
    <pageSetUpPr/>
  </sheetPr>
  <dimension ref="B2:M52"/>
  <sheetViews>
    <sheetView showGridLines="0" view="pageBreakPreview" zoomScale="80" zoomScaleNormal="70" zoomScaleSheetLayoutView="80" workbookViewId="0">
      <selection activeCell="D4" sqref="D4"/>
    </sheetView>
  </sheetViews>
  <sheetFormatPr baseColWidth="8" defaultColWidth="9.140625" defaultRowHeight="15"/>
  <cols>
    <col width="2.5703125" customWidth="1" style="4" min="1" max="1"/>
    <col width="1.85546875" customWidth="1" style="4" min="2" max="2"/>
    <col width="74.28515625" customWidth="1" style="4" min="3" max="3"/>
    <col width="17.42578125" bestFit="1" customWidth="1" style="4" min="4" max="4"/>
    <col width="21" bestFit="1" customWidth="1" style="4" min="5" max="11"/>
    <col width="9.140625" customWidth="1" style="4" min="12" max="12"/>
    <col width="11.5703125" bestFit="1" customWidth="1" style="4" min="13" max="13"/>
    <col width="9.140625" customWidth="1" style="4" min="14" max="16384"/>
  </cols>
  <sheetData>
    <row r="1"/>
    <row r="2" ht="19.5" customHeight="1" thickBot="1">
      <c r="B2" s="384" t="inlineStr">
        <is>
          <t>Opus Water - Cap Table</t>
        </is>
      </c>
      <c r="C2" s="385" t="n"/>
      <c r="D2" s="385" t="n"/>
      <c r="E2" s="385" t="n"/>
      <c r="F2" s="385" t="n"/>
      <c r="G2" s="385" t="n"/>
      <c r="H2" s="385" t="n"/>
      <c r="I2" s="385" t="n"/>
      <c r="J2" s="385" t="n"/>
      <c r="K2" s="386" t="inlineStr">
        <is>
          <t>Confidential</t>
        </is>
      </c>
    </row>
    <row r="3" ht="19.5" customHeight="1" thickBot="1">
      <c r="B3" s="354" t="n"/>
      <c r="K3" s="355" t="inlineStr">
        <is>
          <t>$'s in USD</t>
        </is>
      </c>
    </row>
    <row r="4" ht="15.75" customHeight="1" thickBot="1">
      <c r="B4" s="182" t="inlineStr">
        <is>
          <t>Illustrative Equity Value at Exit</t>
        </is>
      </c>
      <c r="C4" s="183" t="n"/>
      <c r="D4" s="887">
        <f>'III. Valuation Summary'!H15</f>
        <v/>
      </c>
      <c r="E4" s="321" t="n"/>
      <c r="I4" s="888" t="n"/>
    </row>
    <row r="5">
      <c r="B5" s="19" t="n"/>
      <c r="C5" s="21" t="n"/>
      <c r="E5" s="889" t="n"/>
      <c r="H5" s="889" t="n"/>
      <c r="I5" s="889" t="n"/>
      <c r="J5" s="889" t="n"/>
    </row>
    <row r="6" ht="17.25" customHeight="1">
      <c r="C6" s="322" t="inlineStr">
        <is>
          <t>Opus Water Cap Table</t>
        </is>
      </c>
      <c r="D6" s="322" t="n"/>
      <c r="E6" s="322" t="n"/>
      <c r="F6" s="322" t="n"/>
      <c r="G6" s="322" t="n"/>
      <c r="H6" s="322" t="n"/>
      <c r="I6" s="322" t="n"/>
      <c r="J6" s="322" t="n"/>
      <c r="K6" s="322" t="n"/>
    </row>
    <row r="7" ht="17.25" customHeight="1">
      <c r="C7" s="323" t="n"/>
      <c r="D7" s="323" t="n"/>
      <c r="E7" s="323" t="n"/>
      <c r="F7" s="323" t="n"/>
      <c r="G7" s="323" t="n"/>
      <c r="H7" s="323" t="n"/>
      <c r="I7" s="323" t="n"/>
      <c r="J7" s="323" t="n"/>
      <c r="K7" s="323" t="n"/>
    </row>
    <row r="8" ht="14.45" customHeight="1">
      <c r="C8" s="22" t="n"/>
      <c r="D8" s="23" t="inlineStr">
        <is>
          <t>Capital</t>
        </is>
      </c>
      <c r="E8" s="23" t="inlineStr">
        <is>
          <t>Common Units</t>
        </is>
      </c>
      <c r="F8" s="23" t="inlineStr">
        <is>
          <t>Incentive Units</t>
        </is>
      </c>
      <c r="G8" s="23" t="inlineStr">
        <is>
          <t>Incentive Units</t>
        </is>
      </c>
      <c r="H8" s="24" t="inlineStr">
        <is>
          <t>Total</t>
        </is>
      </c>
      <c r="I8" s="24" t="inlineStr">
        <is>
          <t>%</t>
        </is>
      </c>
      <c r="J8" s="24" t="inlineStr">
        <is>
          <t>Total</t>
        </is>
      </c>
      <c r="K8" s="24" t="inlineStr">
        <is>
          <t>%</t>
        </is>
      </c>
    </row>
    <row r="9">
      <c r="C9" s="22" t="n"/>
      <c r="D9" s="23" t="inlineStr">
        <is>
          <t>Contributed</t>
        </is>
      </c>
      <c r="E9" s="25" t="inlineStr">
        <is>
          <t>Exercise prices&gt;&gt;&gt;</t>
        </is>
      </c>
      <c r="F9" s="890" t="n">
        <v>1</v>
      </c>
      <c r="G9" s="890" t="n">
        <v>1.6</v>
      </c>
      <c r="H9" s="24" t="inlineStr">
        <is>
          <t>(Basic)</t>
        </is>
      </c>
      <c r="I9" s="24" t="inlineStr">
        <is>
          <t>(Basic)</t>
        </is>
      </c>
      <c r="J9" s="24" t="inlineStr">
        <is>
          <t>(Fully Diluted)</t>
        </is>
      </c>
      <c r="K9" s="24" t="inlineStr">
        <is>
          <t>(Fully Diluted)</t>
        </is>
      </c>
    </row>
    <row r="10">
      <c r="C10" s="4" t="inlineStr">
        <is>
          <t>XPV Water Fund III Limited Partnership</t>
        </is>
      </c>
      <c r="D10" s="891">
        <f>12500000+3787879.18</f>
        <v/>
      </c>
      <c r="E10" s="892" t="n">
        <v>14628022</v>
      </c>
      <c r="F10" s="893" t="n"/>
      <c r="G10" s="893" t="n"/>
      <c r="H10" s="894">
        <f>E10</f>
        <v/>
      </c>
      <c r="I10" s="895">
        <f>H10/H$19</f>
        <v/>
      </c>
      <c r="J10" s="894">
        <f>SUM(E10:G10)</f>
        <v/>
      </c>
      <c r="K10" s="895">
        <f>J10/J$19</f>
        <v/>
      </c>
    </row>
    <row r="11">
      <c r="C11" s="130" t="inlineStr">
        <is>
          <t>2007 Irrevocable Trust For Family of Chris M. Raftis dated March 30,2007</t>
        </is>
      </c>
      <c r="D11" s="891">
        <f>600000+181818.1</f>
        <v/>
      </c>
      <c r="E11" s="892" t="n">
        <v>702145</v>
      </c>
      <c r="F11" s="896" t="n"/>
      <c r="G11" s="896" t="n"/>
      <c r="H11" s="894">
        <f>E11</f>
        <v/>
      </c>
      <c r="I11" s="895">
        <f>H11/H$19</f>
        <v/>
      </c>
      <c r="J11" s="894">
        <f>SUM(E11:G11)</f>
        <v/>
      </c>
      <c r="K11" s="895">
        <f>J11/J$19</f>
        <v/>
      </c>
      <c r="L11" s="356" t="n"/>
    </row>
    <row r="12">
      <c r="C12" s="4" t="inlineStr">
        <is>
          <t>Karl Trott</t>
        </is>
      </c>
      <c r="D12" s="891">
        <f>100000+30302.72</f>
        <v/>
      </c>
      <c r="E12" s="892" t="n">
        <v>117024</v>
      </c>
      <c r="F12" s="893" t="n"/>
      <c r="G12" s="893" t="n"/>
      <c r="H12" s="894">
        <f>E12</f>
        <v/>
      </c>
      <c r="I12" s="895">
        <f>H12/H$19</f>
        <v/>
      </c>
      <c r="J12" s="894">
        <f>SUM(E12:G12)</f>
        <v/>
      </c>
      <c r="K12" s="895">
        <f>J12/J$19</f>
        <v/>
      </c>
    </row>
    <row r="13">
      <c r="C13" s="21" t="inlineStr">
        <is>
          <t>John DeYarman Incentive Units</t>
        </is>
      </c>
      <c r="E13" s="893" t="n"/>
      <c r="F13" s="892" t="n">
        <v>233333</v>
      </c>
      <c r="G13" s="892" t="n">
        <v>466667</v>
      </c>
      <c r="H13" s="894" t="n"/>
      <c r="I13" s="895">
        <f>H13/H$19</f>
        <v/>
      </c>
      <c r="J13" s="894">
        <f>SUM(E13:G13)</f>
        <v/>
      </c>
      <c r="K13" s="895">
        <f>J13/J$19</f>
        <v/>
      </c>
    </row>
    <row r="14">
      <c r="C14" s="21" t="inlineStr">
        <is>
          <t>Scott Day Incentive Units</t>
        </is>
      </c>
      <c r="E14" s="893" t="n"/>
      <c r="F14" s="892" t="n"/>
      <c r="G14" s="892" t="n">
        <v>300000</v>
      </c>
      <c r="H14" s="894" t="n"/>
      <c r="I14" s="895">
        <f>H14/H$19</f>
        <v/>
      </c>
      <c r="J14" s="894">
        <f>SUM(E14:G14)</f>
        <v/>
      </c>
      <c r="K14" s="895">
        <f>J14/J$19</f>
        <v/>
      </c>
    </row>
    <row r="15">
      <c r="C15" s="327" t="inlineStr">
        <is>
          <t>2007 Irrevocable Trust For Family of Chris M. Raftis dated March 30,2007 Incentive Units</t>
        </is>
      </c>
      <c r="E15" s="896" t="n"/>
      <c r="F15" s="896" t="n"/>
      <c r="G15" s="892" t="n">
        <v>110000</v>
      </c>
      <c r="H15" s="896" t="n"/>
      <c r="I15" s="895">
        <f>H15/H$19</f>
        <v/>
      </c>
      <c r="J15" s="894">
        <f>SUM(E15:G15)</f>
        <v/>
      </c>
      <c r="K15" s="895">
        <f>J15/J$19</f>
        <v/>
      </c>
      <c r="L15" s="356" t="n"/>
      <c r="M15" s="897" t="n"/>
    </row>
    <row r="16">
      <c r="C16" s="327" t="inlineStr">
        <is>
          <t>Kevin Klau</t>
        </is>
      </c>
      <c r="E16" s="896" t="n"/>
      <c r="F16" s="896" t="n"/>
      <c r="G16" s="892" t="n">
        <v>110000</v>
      </c>
      <c r="H16" s="896" t="n"/>
      <c r="I16" s="895">
        <f>H16/H$19</f>
        <v/>
      </c>
      <c r="J16" s="894">
        <f>SUM(E16:G16)</f>
        <v/>
      </c>
      <c r="K16" s="895">
        <f>J16/J$19</f>
        <v/>
      </c>
      <c r="L16" s="356" t="n"/>
      <c r="M16" s="897" t="n"/>
    </row>
    <row r="17">
      <c r="C17" s="327" t="inlineStr">
        <is>
          <t>Warren Berenis</t>
        </is>
      </c>
      <c r="E17" s="896" t="n"/>
      <c r="F17" s="896" t="n"/>
      <c r="G17" s="892">
        <f>150000+25000</f>
        <v/>
      </c>
      <c r="H17" s="896" t="n"/>
      <c r="I17" s="895">
        <f>H17/H$19</f>
        <v/>
      </c>
      <c r="J17" s="894">
        <f>SUM(E17:G17)</f>
        <v/>
      </c>
      <c r="K17" s="895">
        <f>J17/J$19</f>
        <v/>
      </c>
      <c r="L17" s="356" t="n"/>
      <c r="M17" s="897" t="n"/>
    </row>
    <row r="18" ht="15" customHeight="1">
      <c r="C18" s="21" t="inlineStr">
        <is>
          <t>Unallocated</t>
        </is>
      </c>
      <c r="E18" s="893" t="n"/>
      <c r="F18" s="892" t="n"/>
      <c r="G18" s="894">
        <f>1400000-SUM(F13:G17)</f>
        <v/>
      </c>
      <c r="H18" s="894" t="n"/>
      <c r="I18" s="895">
        <f>H18/H$19</f>
        <v/>
      </c>
      <c r="J18" s="894">
        <f>SUM(E18:G18)</f>
        <v/>
      </c>
      <c r="K18" s="895">
        <f>J18/J$19</f>
        <v/>
      </c>
    </row>
    <row r="19">
      <c r="C19" s="19" t="inlineStr">
        <is>
          <t>Total</t>
        </is>
      </c>
      <c r="E19" s="898">
        <f>SUM(E10:E18)</f>
        <v/>
      </c>
      <c r="F19" s="898">
        <f>SUM(F10:F18)</f>
        <v/>
      </c>
      <c r="G19" s="898">
        <f>SUM(G10:G18)</f>
        <v/>
      </c>
      <c r="H19" s="898">
        <f>SUM(H10:H18)</f>
        <v/>
      </c>
      <c r="I19" s="899">
        <f>H19/H$19</f>
        <v/>
      </c>
      <c r="J19" s="898">
        <f>SUM(J10:J18)</f>
        <v/>
      </c>
      <c r="K19" s="330">
        <f>J19/J$19</f>
        <v/>
      </c>
    </row>
    <row r="21">
      <c r="B21" s="19" t="inlineStr">
        <is>
          <t>EQUITY PROCEEDS</t>
        </is>
      </c>
      <c r="F21" s="190" t="n"/>
      <c r="G21" s="190" t="n"/>
      <c r="H21" s="190" t="n"/>
      <c r="I21" s="190" t="n"/>
    </row>
    <row r="22">
      <c r="E22" s="331" t="inlineStr">
        <is>
          <t>Incentive Units</t>
        </is>
      </c>
      <c r="F22" s="331" t="inlineStr">
        <is>
          <t>Incentive Units</t>
        </is>
      </c>
      <c r="G22" s="900" t="inlineStr">
        <is>
          <t>Common Units</t>
        </is>
      </c>
      <c r="H22" s="331" t="inlineStr">
        <is>
          <t>Incentive Units</t>
        </is>
      </c>
      <c r="I22" s="331" t="inlineStr">
        <is>
          <t>Incentive Units</t>
        </is>
      </c>
      <c r="J22" s="333" t="n"/>
    </row>
    <row r="23" ht="17.25" customHeight="1">
      <c r="E23" s="334">
        <f>F9</f>
        <v/>
      </c>
      <c r="F23" s="334">
        <f>G9</f>
        <v/>
      </c>
      <c r="G23" s="901" t="n"/>
      <c r="H23" s="334">
        <f>F9</f>
        <v/>
      </c>
      <c r="I23" s="334">
        <f>G9</f>
        <v/>
      </c>
      <c r="J23" s="336" t="n"/>
    </row>
    <row r="24">
      <c r="C24" s="19" t="inlineStr">
        <is>
          <t>Equity Value</t>
        </is>
      </c>
      <c r="E24" s="902">
        <f>D4</f>
        <v/>
      </c>
      <c r="F24" s="902">
        <f>E24</f>
        <v/>
      </c>
      <c r="G24" s="903">
        <f>F24-E45-F45</f>
        <v/>
      </c>
      <c r="H24" s="902">
        <f>G24</f>
        <v/>
      </c>
      <c r="I24" s="902">
        <f>H24</f>
        <v/>
      </c>
      <c r="J24" s="904" t="n"/>
    </row>
    <row r="25" ht="5.1" customHeight="1">
      <c r="G25" s="339" t="n"/>
      <c r="J25" s="340" t="n"/>
    </row>
    <row r="26">
      <c r="C26" s="4" t="inlineStr">
        <is>
          <t>Common Units</t>
        </is>
      </c>
      <c r="E26" s="894">
        <f>E19</f>
        <v/>
      </c>
      <c r="F26" s="894">
        <f>E26</f>
        <v/>
      </c>
      <c r="G26" s="905">
        <f>E26</f>
        <v/>
      </c>
      <c r="H26" s="894">
        <f>G26</f>
        <v/>
      </c>
      <c r="I26" s="894">
        <f>H26</f>
        <v/>
      </c>
      <c r="J26" s="906" t="n"/>
    </row>
    <row r="27">
      <c r="C27" s="4" t="inlineStr">
        <is>
          <t>Incentive Units ($1.00)</t>
        </is>
      </c>
      <c r="E27" s="894">
        <f>F19</f>
        <v/>
      </c>
      <c r="F27" s="894">
        <f>E27</f>
        <v/>
      </c>
      <c r="G27" s="905">
        <f>IF(E45&lt;0,E27,0)</f>
        <v/>
      </c>
      <c r="H27" s="894">
        <f>G27</f>
        <v/>
      </c>
      <c r="I27" s="894">
        <f>H27</f>
        <v/>
      </c>
      <c r="J27" s="906" t="n"/>
    </row>
    <row r="28">
      <c r="C28" s="4" t="inlineStr">
        <is>
          <t>Incentive Units ($1.60)</t>
        </is>
      </c>
      <c r="E28" s="894">
        <f>G19</f>
        <v/>
      </c>
      <c r="F28" s="894">
        <f>E28</f>
        <v/>
      </c>
      <c r="G28" s="905">
        <f>IF(F45&lt;0,E28,0)</f>
        <v/>
      </c>
      <c r="H28" s="894">
        <f>G28</f>
        <v/>
      </c>
      <c r="I28" s="894">
        <f>H28</f>
        <v/>
      </c>
      <c r="J28" s="906" t="n"/>
    </row>
    <row r="29" ht="5.1" customHeight="1">
      <c r="E29" s="894" t="n"/>
      <c r="F29" s="894" t="n"/>
      <c r="G29" s="905" t="n"/>
      <c r="H29" s="894" t="n"/>
      <c r="I29" s="894" t="n"/>
      <c r="J29" s="906" t="n"/>
    </row>
    <row r="30">
      <c r="C30" s="19" t="inlineStr">
        <is>
          <t>Total Units</t>
        </is>
      </c>
      <c r="E30" s="898">
        <f>SUM(E26:E29)</f>
        <v/>
      </c>
      <c r="F30" s="898">
        <f>SUM(F26:F29)</f>
        <v/>
      </c>
      <c r="G30" s="907">
        <f>SUM(G26:G29)</f>
        <v/>
      </c>
      <c r="H30" s="898">
        <f>SUM(H26:H29)</f>
        <v/>
      </c>
      <c r="I30" s="898">
        <f>SUM(I26:I29)</f>
        <v/>
      </c>
      <c r="J30" s="908" t="n"/>
    </row>
    <row r="31">
      <c r="C31" s="19" t="inlineStr">
        <is>
          <t>Equity Value Per Unit</t>
        </is>
      </c>
      <c r="E31" s="909">
        <f>E24/E30</f>
        <v/>
      </c>
      <c r="F31" s="909">
        <f>F24/F30</f>
        <v/>
      </c>
      <c r="G31" s="910">
        <f>G24/G30</f>
        <v/>
      </c>
      <c r="H31" s="909">
        <f>H24/H30</f>
        <v/>
      </c>
      <c r="I31" s="909">
        <f>I24/I30</f>
        <v/>
      </c>
      <c r="J31" s="911" t="n"/>
    </row>
    <row r="32">
      <c r="G32" s="339" t="n"/>
    </row>
    <row r="33" ht="17.25" customHeight="1">
      <c r="E33" s="912" t="inlineStr">
        <is>
          <t>Options Exercise</t>
        </is>
      </c>
      <c r="F33" s="192" t="n"/>
      <c r="G33" s="913" t="inlineStr">
        <is>
          <t>Common Units</t>
        </is>
      </c>
      <c r="H33" s="192" t="n"/>
      <c r="I33" s="192" t="n"/>
      <c r="J33" s="914" t="n"/>
    </row>
    <row r="34" ht="17.25" customHeight="1">
      <c r="E34" s="915" t="inlineStr">
        <is>
          <t>Incentive Units ($1.00)</t>
        </is>
      </c>
      <c r="F34" s="915" t="inlineStr">
        <is>
          <t>Incentive Units ($1.60)</t>
        </is>
      </c>
      <c r="G34" s="901" t="inlineStr">
        <is>
          <t>Common Units</t>
        </is>
      </c>
      <c r="H34" s="915" t="inlineStr">
        <is>
          <t>Incentive Units ($1.00)</t>
        </is>
      </c>
      <c r="I34" s="915" t="inlineStr">
        <is>
          <t>Incentive Units ($1.60)</t>
        </is>
      </c>
      <c r="J34" s="916" t="inlineStr">
        <is>
          <t>Proceeds</t>
        </is>
      </c>
    </row>
    <row r="35">
      <c r="C35" s="4" t="inlineStr">
        <is>
          <t>XPV Water Fund III Limited Partnership</t>
        </is>
      </c>
      <c r="E35" s="917">
        <f>IF(H$31&gt;F$9,-F$9*F10,0)</f>
        <v/>
      </c>
      <c r="F35" s="917">
        <f>IF(I$31&gt;G$9,-G$9*G10,0)</f>
        <v/>
      </c>
      <c r="G35" s="918">
        <f>E10*G$31</f>
        <v/>
      </c>
      <c r="H35" s="917">
        <f>IF(E$45&lt;0,F10*H$31,0)</f>
        <v/>
      </c>
      <c r="I35" s="917">
        <f>IF(F$45&lt;0,G10*I$31,0)</f>
        <v/>
      </c>
      <c r="J35" s="919">
        <f>SUM(E35:I35)</f>
        <v/>
      </c>
    </row>
    <row r="36">
      <c r="C36" s="130" t="inlineStr">
        <is>
          <t>2007 Irrevocable Trust For Family of Chris M. Raftis dated March 30,2007</t>
        </is>
      </c>
      <c r="E36" s="917">
        <f>IF(H$31&gt;F$9,-F$9*F11,0)</f>
        <v/>
      </c>
      <c r="F36" s="917">
        <f>IF(I$31&gt;G$9,-G$9*G11,0)</f>
        <v/>
      </c>
      <c r="G36" s="918">
        <f>E11*G$31</f>
        <v/>
      </c>
      <c r="H36" s="917">
        <f>IF(E$45&lt;0,F11*H$31,0)</f>
        <v/>
      </c>
      <c r="I36" s="917">
        <f>IF(F$45&lt;0,G11*I$31,0)</f>
        <v/>
      </c>
      <c r="J36" s="919">
        <f>SUM(E36:I36)</f>
        <v/>
      </c>
    </row>
    <row r="37">
      <c r="C37" s="4" t="inlineStr">
        <is>
          <t>PTI Inc. Seller (Karl Trott)</t>
        </is>
      </c>
      <c r="E37" s="917">
        <f>IF(H$31&gt;F$9,-F$9*F12,0)</f>
        <v/>
      </c>
      <c r="F37" s="917">
        <f>IF(I$31&gt;G$9,-G$9*G12,0)</f>
        <v/>
      </c>
      <c r="G37" s="918">
        <f>E12*G$31</f>
        <v/>
      </c>
      <c r="H37" s="917">
        <f>IF(E$45&lt;0,F12*H$31,0)</f>
        <v/>
      </c>
      <c r="I37" s="917">
        <f>IF(F$45&lt;0,G12*I$31,0)</f>
        <v/>
      </c>
      <c r="J37" s="919">
        <f>SUM(E37:I37)</f>
        <v/>
      </c>
    </row>
    <row r="38">
      <c r="C38" s="21" t="inlineStr">
        <is>
          <t>John DeYarman Incentive Units</t>
        </is>
      </c>
      <c r="E38" s="917">
        <f>IF(H$31&gt;F$9,-F$9*F13,0)</f>
        <v/>
      </c>
      <c r="F38" s="917">
        <f>IF(I$31&gt;G$9,-G$9*G13,0)</f>
        <v/>
      </c>
      <c r="G38" s="918" t="n"/>
      <c r="H38" s="917">
        <f>IF(E$45&lt;0,F13*H$31,0)</f>
        <v/>
      </c>
      <c r="I38" s="917">
        <f>IF(F$45&lt;0,G13*I$31,0)</f>
        <v/>
      </c>
      <c r="J38" s="919">
        <f>SUM(E38:I38)</f>
        <v/>
      </c>
    </row>
    <row r="39">
      <c r="C39" s="21" t="inlineStr">
        <is>
          <t>Scott Day Incentive Units</t>
        </is>
      </c>
      <c r="E39" s="917">
        <f>IF(H$31&gt;F$9,-F$9*F14,0)</f>
        <v/>
      </c>
      <c r="F39" s="917">
        <f>IF(I$31&gt;G$9,-G$9*G14,0)</f>
        <v/>
      </c>
      <c r="G39" s="918" t="n"/>
      <c r="H39" s="917">
        <f>IF(E$45&lt;0,F14*H$31,0)</f>
        <v/>
      </c>
      <c r="I39" s="917">
        <f>IF(F$45&lt;0,G14*I$31,0)</f>
        <v/>
      </c>
      <c r="J39" s="919">
        <f>SUM(E39:I39)</f>
        <v/>
      </c>
    </row>
    <row r="40">
      <c r="C40" s="327" t="inlineStr">
        <is>
          <t>2007 Irrevocable Trust For Family of Chris M. Raftis dated March 30,2007 Incentive Units</t>
        </is>
      </c>
      <c r="E40" s="917">
        <f>IF(H$31&gt;F$9,-F$9*F15,0)</f>
        <v/>
      </c>
      <c r="F40" s="917">
        <f>IF(I$31&gt;G$9,-G$9*G15,0)</f>
        <v/>
      </c>
      <c r="G40" s="918" t="n"/>
      <c r="H40" s="917">
        <f>IF(E$45&lt;0,F15*H$31,0)</f>
        <v/>
      </c>
      <c r="I40" s="917">
        <f>IF(F$45&lt;0,G15*I$31,0)</f>
        <v/>
      </c>
      <c r="J40" s="919">
        <f>SUM(E40:I40)</f>
        <v/>
      </c>
    </row>
    <row r="41">
      <c r="C41" s="327" t="inlineStr">
        <is>
          <t>Kevin Klau</t>
        </is>
      </c>
      <c r="E41" s="917">
        <f>IF(H$31&gt;F$9,-F$9*F16,0)</f>
        <v/>
      </c>
      <c r="F41" s="917">
        <f>IF(I$31&gt;G$9,-G$9*G16,0)</f>
        <v/>
      </c>
      <c r="G41" s="918" t="n"/>
      <c r="H41" s="917">
        <f>IF(E$45&lt;0,F16*H$31,0)</f>
        <v/>
      </c>
      <c r="I41" s="917">
        <f>IF(F$45&lt;0,G16*I$31,0)</f>
        <v/>
      </c>
      <c r="J41" s="919">
        <f>SUM(E41:I41)</f>
        <v/>
      </c>
    </row>
    <row r="42">
      <c r="C42" s="327" t="inlineStr">
        <is>
          <t>Warren Berenis</t>
        </is>
      </c>
      <c r="E42" s="917">
        <f>IF(H$31&gt;F$9,-F$9*F17,0)</f>
        <v/>
      </c>
      <c r="F42" s="917">
        <f>IF(I$31&gt;G$9,-G$9*G17,0)</f>
        <v/>
      </c>
      <c r="G42" s="918" t="n"/>
      <c r="H42" s="917">
        <f>IF(E$45&lt;0,F17*H$31,0)</f>
        <v/>
      </c>
      <c r="I42" s="917">
        <f>IF(F$45&lt;0,G17*I$31,0)</f>
        <v/>
      </c>
      <c r="J42" s="919">
        <f>SUM(E42:I42)</f>
        <v/>
      </c>
    </row>
    <row r="43">
      <c r="C43" s="21" t="inlineStr">
        <is>
          <t>Unallocated</t>
        </is>
      </c>
      <c r="E43" s="917">
        <f>IF(H$31&gt;F$9,-F$9*F18,0)</f>
        <v/>
      </c>
      <c r="F43" s="917">
        <f>IF(I$31&gt;G$9,-G$9*G18,0)</f>
        <v/>
      </c>
      <c r="G43" s="918" t="n"/>
      <c r="H43" s="917">
        <f>IF(E$45&lt;0,F18*H$31,0)</f>
        <v/>
      </c>
      <c r="I43" s="917">
        <f>IF(F$45&lt;0,G18*I$31,0)</f>
        <v/>
      </c>
      <c r="J43" s="919">
        <f>SUM(E43:I43)</f>
        <v/>
      </c>
    </row>
    <row r="44" ht="5.1" customHeight="1">
      <c r="C44" s="21" t="n"/>
      <c r="E44" s="917" t="n"/>
      <c r="F44" s="917" t="n"/>
      <c r="G44" s="918" t="n"/>
      <c r="H44" s="917" t="n"/>
      <c r="I44" s="917" t="n"/>
      <c r="J44" s="919" t="n"/>
    </row>
    <row r="45">
      <c r="C45" s="195" t="inlineStr">
        <is>
          <t>TOTAL</t>
        </is>
      </c>
      <c r="D45" s="196" t="n"/>
      <c r="E45" s="920">
        <f>SUM(E35:E44)</f>
        <v/>
      </c>
      <c r="F45" s="920">
        <f>SUM(F35:F44)</f>
        <v/>
      </c>
      <c r="G45" s="921">
        <f>SUM(G35:G44)</f>
        <v/>
      </c>
      <c r="H45" s="920">
        <f>SUM(H35:H44)</f>
        <v/>
      </c>
      <c r="I45" s="920">
        <f>SUM(I35:I44)</f>
        <v/>
      </c>
      <c r="J45" s="922">
        <f>SUM(J35:J44)</f>
        <v/>
      </c>
    </row>
    <row r="47">
      <c r="J47" s="923" t="n"/>
    </row>
    <row r="48">
      <c r="F48" s="190" t="n"/>
      <c r="G48" s="924" t="n"/>
      <c r="H48" s="190" t="n"/>
      <c r="I48" s="190" t="n"/>
    </row>
    <row r="49">
      <c r="F49" s="190" t="n"/>
      <c r="G49" s="190" t="n"/>
      <c r="H49" s="190" t="n"/>
      <c r="I49" s="190" t="n"/>
    </row>
    <row r="50">
      <c r="F50" s="190" t="n"/>
      <c r="G50" s="190" t="n"/>
      <c r="H50" s="190" t="n"/>
      <c r="I50" s="190" t="n"/>
    </row>
    <row r="51">
      <c r="F51" s="190" t="n"/>
      <c r="G51" s="190" t="n"/>
      <c r="H51" s="190" t="n"/>
      <c r="I51" s="190" t="n"/>
    </row>
    <row r="52">
      <c r="F52" s="190" t="n"/>
      <c r="G52" s="190" t="n"/>
      <c r="H52" s="190" t="n"/>
      <c r="I52" s="190" t="n"/>
    </row>
  </sheetData>
  <pageMargins left="0.7" right="0.7" top="0.75" bottom="0.75" header="0.3" footer="0.3"/>
  <pageSetup orientation="landscape" scale="38"/>
  <legacyDrawing xmlns:r="http://schemas.openxmlformats.org/officeDocument/2006/relationships" r:id="anysvml"/>
</worksheet>
</file>

<file path=xl/worksheets/sheet17.xml><?xml version="1.0" encoding="utf-8"?>
<worksheet xmlns="http://schemas.openxmlformats.org/spreadsheetml/2006/main">
  <sheetPr>
    <tabColor theme="6"/>
    <outlinePr summaryBelow="1" summaryRight="1"/>
    <pageSetUpPr/>
  </sheetPr>
  <dimension ref="B2:M52"/>
  <sheetViews>
    <sheetView showGridLines="0" view="pageBreakPreview" topLeftCell="A3" zoomScaleNormal="70" zoomScaleSheetLayoutView="100" workbookViewId="0">
      <selection activeCell="J35" sqref="J35"/>
    </sheetView>
  </sheetViews>
  <sheetFormatPr baseColWidth="8" defaultColWidth="9.140625" defaultRowHeight="15"/>
  <cols>
    <col width="2.5703125" customWidth="1" style="4" min="1" max="1"/>
    <col width="1.85546875" customWidth="1" style="4" min="2" max="2"/>
    <col width="68.140625" bestFit="1" customWidth="1" style="4" min="3" max="3"/>
    <col width="17.42578125" bestFit="1" customWidth="1" style="4" min="4" max="4"/>
    <col width="21" bestFit="1" customWidth="1" style="4" min="5" max="11"/>
    <col width="9.140625" customWidth="1" style="4" min="12" max="12"/>
    <col width="11.5703125" bestFit="1" customWidth="1" style="4" min="13" max="13"/>
    <col width="9.140625" customWidth="1" style="4" min="14" max="16384"/>
  </cols>
  <sheetData>
    <row r="1"/>
    <row r="2" ht="19.5" customHeight="1" thickBot="1">
      <c r="B2" s="384" t="inlineStr">
        <is>
          <t>Opus Water - Cap Table</t>
        </is>
      </c>
      <c r="C2" s="385" t="n"/>
      <c r="D2" s="385" t="n"/>
      <c r="E2" s="385" t="n"/>
      <c r="F2" s="385" t="n"/>
      <c r="G2" s="385" t="n"/>
      <c r="H2" s="385" t="n"/>
      <c r="I2" s="385" t="n"/>
      <c r="J2" s="385" t="n"/>
      <c r="K2" s="386" t="inlineStr">
        <is>
          <t>Confidential</t>
        </is>
      </c>
    </row>
    <row r="3" ht="19.5" customHeight="1" thickBot="1">
      <c r="B3" s="354" t="n"/>
      <c r="K3" s="355" t="inlineStr">
        <is>
          <t>$'s in USD</t>
        </is>
      </c>
    </row>
    <row r="4" ht="15.75" customHeight="1" thickBot="1">
      <c r="B4" s="182" t="inlineStr">
        <is>
          <t>Illustrative Equity Value at Exit</t>
        </is>
      </c>
      <c r="C4" s="183" t="n"/>
      <c r="D4" s="887">
        <f>'III. Valuation Summary'!H15</f>
        <v/>
      </c>
      <c r="E4" s="321" t="n"/>
      <c r="I4" s="888" t="n"/>
    </row>
    <row r="5">
      <c r="B5" s="19" t="n"/>
      <c r="C5" s="21" t="n"/>
      <c r="E5" s="889" t="n"/>
      <c r="H5" s="889" t="n"/>
      <c r="I5" s="889" t="n"/>
      <c r="J5" s="889" t="n"/>
    </row>
    <row r="6" ht="17.25" customHeight="1">
      <c r="C6" s="322" t="inlineStr">
        <is>
          <t>Opus Water Cap Table</t>
        </is>
      </c>
      <c r="D6" s="322" t="n"/>
      <c r="E6" s="322" t="n"/>
      <c r="F6" s="322" t="n"/>
      <c r="G6" s="322" t="n"/>
      <c r="H6" s="322" t="n"/>
      <c r="I6" s="322" t="n"/>
      <c r="J6" s="322" t="n"/>
      <c r="K6" s="322" t="n"/>
    </row>
    <row r="7" ht="17.25" customHeight="1">
      <c r="C7" s="323" t="n"/>
      <c r="D7" s="323" t="n"/>
      <c r="E7" s="323" t="n"/>
      <c r="F7" s="323" t="n"/>
      <c r="G7" s="323" t="n"/>
      <c r="H7" s="323" t="n"/>
      <c r="I7" s="323" t="n"/>
      <c r="J7" s="323" t="n"/>
      <c r="K7" s="323" t="n"/>
    </row>
    <row r="8" ht="14.45" customHeight="1">
      <c r="C8" s="22" t="n"/>
      <c r="D8" s="22" t="n"/>
      <c r="E8" s="23" t="inlineStr">
        <is>
          <t>Common Units</t>
        </is>
      </c>
      <c r="F8" s="23" t="inlineStr">
        <is>
          <t>Incentive Units</t>
        </is>
      </c>
      <c r="G8" s="23" t="inlineStr">
        <is>
          <t>Incentive Units</t>
        </is>
      </c>
      <c r="H8" s="24" t="inlineStr">
        <is>
          <t>Total</t>
        </is>
      </c>
      <c r="I8" s="24" t="inlineStr">
        <is>
          <t>%</t>
        </is>
      </c>
      <c r="J8" s="24" t="inlineStr">
        <is>
          <t>Total</t>
        </is>
      </c>
      <c r="K8" s="24" t="inlineStr">
        <is>
          <t>%</t>
        </is>
      </c>
    </row>
    <row r="9">
      <c r="C9" s="22" t="n"/>
      <c r="D9" s="22" t="n"/>
      <c r="E9" s="25" t="inlineStr">
        <is>
          <t>Exercise prices&gt;&gt;&gt;</t>
        </is>
      </c>
      <c r="F9" s="890" t="n">
        <v>1</v>
      </c>
      <c r="G9" s="890" t="n">
        <v>1.6</v>
      </c>
      <c r="H9" s="24" t="inlineStr">
        <is>
          <t>(Basic)</t>
        </is>
      </c>
      <c r="I9" s="24" t="inlineStr">
        <is>
          <t>(Basic)</t>
        </is>
      </c>
      <c r="J9" s="24" t="inlineStr">
        <is>
          <t>(Fully Diluted)</t>
        </is>
      </c>
      <c r="K9" s="24" t="inlineStr">
        <is>
          <t>(Fully Diluted)</t>
        </is>
      </c>
    </row>
    <row r="10">
      <c r="C10" s="4" t="inlineStr">
        <is>
          <t>XPV Water Fund III Limited Partnership</t>
        </is>
      </c>
      <c r="E10" s="892" t="n">
        <v>12500000</v>
      </c>
      <c r="F10" s="893" t="n"/>
      <c r="G10" s="893" t="n"/>
      <c r="H10" s="894">
        <f>E10</f>
        <v/>
      </c>
      <c r="I10" s="895">
        <f>H10/H$19</f>
        <v/>
      </c>
      <c r="J10" s="894">
        <f>SUM(E10:G10)</f>
        <v/>
      </c>
      <c r="K10" s="325">
        <f>J10/J$19</f>
        <v/>
      </c>
    </row>
    <row r="11">
      <c r="C11" s="130" t="inlineStr">
        <is>
          <t>2007 Irrevocable Trust For Family of Chris M. Raftis dated March 30,2007</t>
        </is>
      </c>
      <c r="E11" s="892" t="n">
        <v>600000</v>
      </c>
      <c r="F11" s="896" t="n"/>
      <c r="G11" s="896" t="n"/>
      <c r="H11" s="894">
        <f>E11</f>
        <v/>
      </c>
      <c r="I11" s="895">
        <f>H11/H$19</f>
        <v/>
      </c>
      <c r="J11" s="894">
        <f>SUM(E11:G11)</f>
        <v/>
      </c>
      <c r="K11" s="325">
        <f>J11/J$19</f>
        <v/>
      </c>
      <c r="L11" s="356" t="n"/>
    </row>
    <row r="12">
      <c r="C12" s="4" t="inlineStr">
        <is>
          <t>Karl Trott</t>
        </is>
      </c>
      <c r="E12" s="892" t="n">
        <v>100000</v>
      </c>
      <c r="F12" s="893" t="n"/>
      <c r="G12" s="893" t="n"/>
      <c r="H12" s="894">
        <f>E12</f>
        <v/>
      </c>
      <c r="I12" s="895">
        <f>H12/H$19</f>
        <v/>
      </c>
      <c r="J12" s="894">
        <f>SUM(E12:G12)</f>
        <v/>
      </c>
      <c r="K12" s="325">
        <f>J12/J$19</f>
        <v/>
      </c>
    </row>
    <row r="13">
      <c r="C13" s="21" t="inlineStr">
        <is>
          <t>John DeYarman Incentive Units</t>
        </is>
      </c>
      <c r="E13" s="893" t="n"/>
      <c r="F13" s="892" t="n">
        <v>233333</v>
      </c>
      <c r="G13" s="892" t="n">
        <v>466667</v>
      </c>
      <c r="H13" s="894" t="n"/>
      <c r="I13" s="895">
        <f>H13/H$19</f>
        <v/>
      </c>
      <c r="J13" s="894">
        <f>SUM(E13:G13)</f>
        <v/>
      </c>
      <c r="K13" s="325">
        <f>J13/J$19</f>
        <v/>
      </c>
    </row>
    <row r="14">
      <c r="C14" s="21" t="inlineStr">
        <is>
          <t>Scott Day Incentive Units</t>
        </is>
      </c>
      <c r="E14" s="893" t="n"/>
      <c r="F14" s="892" t="n"/>
      <c r="G14" s="892" t="n">
        <v>300000</v>
      </c>
      <c r="H14" s="894" t="n"/>
      <c r="I14" s="895">
        <f>H14/H$19</f>
        <v/>
      </c>
      <c r="J14" s="894">
        <f>SUM(E14:G14)</f>
        <v/>
      </c>
      <c r="K14" s="325">
        <f>J14/J$19</f>
        <v/>
      </c>
    </row>
    <row r="15">
      <c r="C15" s="327" t="inlineStr">
        <is>
          <t>2007 Irrevocable Trust For Family of Chris M. Raftis dated March 30,2007 Incentive Units</t>
        </is>
      </c>
      <c r="E15" s="896" t="n"/>
      <c r="F15" s="896" t="n"/>
      <c r="G15" s="892" t="n">
        <v>110000</v>
      </c>
      <c r="H15" s="896" t="n"/>
      <c r="I15" s="895">
        <f>H15/H$19</f>
        <v/>
      </c>
      <c r="J15" s="894">
        <f>SUM(E15:G15)</f>
        <v/>
      </c>
      <c r="K15" s="325">
        <f>J15/J$19</f>
        <v/>
      </c>
      <c r="L15" s="356" t="n"/>
      <c r="M15" s="897" t="n"/>
    </row>
    <row r="16">
      <c r="C16" s="327" t="inlineStr">
        <is>
          <t>Kevin Klau</t>
        </is>
      </c>
      <c r="E16" s="896" t="n"/>
      <c r="F16" s="896" t="n"/>
      <c r="G16" s="892" t="n">
        <v>110000</v>
      </c>
      <c r="H16" s="896" t="n"/>
      <c r="I16" s="895">
        <f>H16/H$19</f>
        <v/>
      </c>
      <c r="J16" s="894">
        <f>SUM(E16:G16)</f>
        <v/>
      </c>
      <c r="K16" s="325">
        <f>J16/J$19</f>
        <v/>
      </c>
      <c r="L16" s="356" t="n"/>
      <c r="M16" s="897" t="n"/>
    </row>
    <row r="17">
      <c r="C17" s="327" t="inlineStr">
        <is>
          <t>Warren Berenis</t>
        </is>
      </c>
      <c r="E17" s="896" t="n"/>
      <c r="F17" s="896" t="n"/>
      <c r="G17" s="892" t="n">
        <v>150000</v>
      </c>
      <c r="H17" s="896" t="n"/>
      <c r="I17" s="895">
        <f>H17/H$19</f>
        <v/>
      </c>
      <c r="J17" s="894">
        <f>SUM(E17:G17)</f>
        <v/>
      </c>
      <c r="K17" s="325">
        <f>J17/J$19</f>
        <v/>
      </c>
      <c r="L17" s="356" t="n"/>
      <c r="M17" s="897" t="n"/>
    </row>
    <row r="18" ht="15" customHeight="1">
      <c r="C18" s="21" t="inlineStr">
        <is>
          <t>Unallocated</t>
        </is>
      </c>
      <c r="E18" s="893" t="n"/>
      <c r="F18" s="892" t="n"/>
      <c r="G18" s="894">
        <f>1400000-SUM(F13:G17)</f>
        <v/>
      </c>
      <c r="H18" s="894" t="n"/>
      <c r="I18" s="895">
        <f>H18/H$19</f>
        <v/>
      </c>
      <c r="J18" s="894">
        <f>SUM(E18:G18)</f>
        <v/>
      </c>
      <c r="K18" s="325">
        <f>J18/J$19</f>
        <v/>
      </c>
    </row>
    <row r="19">
      <c r="C19" s="19" t="inlineStr">
        <is>
          <t>Total</t>
        </is>
      </c>
      <c r="E19" s="898">
        <f>SUM(E10:E18)</f>
        <v/>
      </c>
      <c r="F19" s="898">
        <f>SUM(F10:F18)</f>
        <v/>
      </c>
      <c r="G19" s="898">
        <f>SUM(G10:G18)</f>
        <v/>
      </c>
      <c r="H19" s="898">
        <f>SUM(H10:H18)</f>
        <v/>
      </c>
      <c r="I19" s="899">
        <f>H19/H$19</f>
        <v/>
      </c>
      <c r="J19" s="898">
        <f>SUM(J10:J18)</f>
        <v/>
      </c>
      <c r="K19" s="330">
        <f>J19/J$19</f>
        <v/>
      </c>
    </row>
    <row r="21">
      <c r="B21" s="19" t="inlineStr">
        <is>
          <t>EQUITY PROCEEDS</t>
        </is>
      </c>
      <c r="F21" s="190" t="n"/>
      <c r="G21" s="190" t="n"/>
      <c r="H21" s="190" t="n"/>
      <c r="I21" s="190" t="n"/>
    </row>
    <row r="22">
      <c r="E22" s="331" t="inlineStr">
        <is>
          <t>Incentive Units</t>
        </is>
      </c>
      <c r="F22" s="331" t="inlineStr">
        <is>
          <t>Incentive Units</t>
        </is>
      </c>
      <c r="G22" s="900" t="inlineStr">
        <is>
          <t>Common Units</t>
        </is>
      </c>
      <c r="H22" s="331" t="inlineStr">
        <is>
          <t>Incentive Units</t>
        </is>
      </c>
      <c r="I22" s="331" t="inlineStr">
        <is>
          <t>Incentive Units</t>
        </is>
      </c>
      <c r="J22" s="333" t="n"/>
    </row>
    <row r="23" ht="17.25" customHeight="1">
      <c r="E23" s="334">
        <f>F9</f>
        <v/>
      </c>
      <c r="F23" s="334">
        <f>G9</f>
        <v/>
      </c>
      <c r="G23" s="901" t="n"/>
      <c r="H23" s="334">
        <f>F9</f>
        <v/>
      </c>
      <c r="I23" s="334">
        <f>G9</f>
        <v/>
      </c>
      <c r="J23" s="336" t="n"/>
    </row>
    <row r="24">
      <c r="C24" s="19" t="inlineStr">
        <is>
          <t>Equity Value</t>
        </is>
      </c>
      <c r="E24" s="902">
        <f>D4</f>
        <v/>
      </c>
      <c r="F24" s="902">
        <f>E24</f>
        <v/>
      </c>
      <c r="G24" s="903">
        <f>F24-E45-F45</f>
        <v/>
      </c>
      <c r="H24" s="902">
        <f>G24</f>
        <v/>
      </c>
      <c r="I24" s="902">
        <f>H24</f>
        <v/>
      </c>
      <c r="J24" s="904" t="n"/>
    </row>
    <row r="25" ht="5.1" customHeight="1">
      <c r="G25" s="339" t="n"/>
      <c r="J25" s="340" t="n"/>
    </row>
    <row r="26">
      <c r="C26" s="4" t="inlineStr">
        <is>
          <t>Common Units</t>
        </is>
      </c>
      <c r="E26" s="894">
        <f>E19</f>
        <v/>
      </c>
      <c r="F26" s="894">
        <f>E26</f>
        <v/>
      </c>
      <c r="G26" s="905">
        <f>E26</f>
        <v/>
      </c>
      <c r="H26" s="894">
        <f>G26</f>
        <v/>
      </c>
      <c r="I26" s="894">
        <f>H26</f>
        <v/>
      </c>
      <c r="J26" s="906" t="n"/>
    </row>
    <row r="27">
      <c r="C27" s="4" t="inlineStr">
        <is>
          <t>Incentive Units ($1.00)</t>
        </is>
      </c>
      <c r="E27" s="894">
        <f>F19</f>
        <v/>
      </c>
      <c r="F27" s="894">
        <f>E27</f>
        <v/>
      </c>
      <c r="G27" s="905">
        <f>IF(E45&lt;0,E27,0)</f>
        <v/>
      </c>
      <c r="H27" s="894">
        <f>G27</f>
        <v/>
      </c>
      <c r="I27" s="894">
        <f>H27</f>
        <v/>
      </c>
      <c r="J27" s="906" t="n"/>
    </row>
    <row r="28">
      <c r="C28" s="4" t="inlineStr">
        <is>
          <t>Incentive Units ($1.60)</t>
        </is>
      </c>
      <c r="E28" s="894">
        <f>G19</f>
        <v/>
      </c>
      <c r="F28" s="894">
        <f>E28</f>
        <v/>
      </c>
      <c r="G28" s="905">
        <f>IF(F45&lt;0,E28,0)</f>
        <v/>
      </c>
      <c r="H28" s="894">
        <f>G28</f>
        <v/>
      </c>
      <c r="I28" s="894">
        <f>H28</f>
        <v/>
      </c>
      <c r="J28" s="906" t="n"/>
    </row>
    <row r="29" ht="5.1" customHeight="1">
      <c r="E29" s="894" t="n"/>
      <c r="F29" s="894" t="n"/>
      <c r="G29" s="905" t="n"/>
      <c r="H29" s="894" t="n"/>
      <c r="I29" s="894" t="n"/>
      <c r="J29" s="906" t="n"/>
    </row>
    <row r="30">
      <c r="C30" s="19" t="inlineStr">
        <is>
          <t>Total Units</t>
        </is>
      </c>
      <c r="E30" s="898">
        <f>SUM(E26:E29)</f>
        <v/>
      </c>
      <c r="F30" s="898">
        <f>SUM(F26:F29)</f>
        <v/>
      </c>
      <c r="G30" s="907">
        <f>SUM(G26:G29)</f>
        <v/>
      </c>
      <c r="H30" s="898">
        <f>SUM(H26:H29)</f>
        <v/>
      </c>
      <c r="I30" s="898">
        <f>SUM(I26:I29)</f>
        <v/>
      </c>
      <c r="J30" s="908" t="n"/>
    </row>
    <row r="31">
      <c r="C31" s="19" t="inlineStr">
        <is>
          <t>Equity Value Per Unit</t>
        </is>
      </c>
      <c r="E31" s="909">
        <f>E24/E30</f>
        <v/>
      </c>
      <c r="F31" s="909">
        <f>F24/F30</f>
        <v/>
      </c>
      <c r="G31" s="910">
        <f>G24/G30</f>
        <v/>
      </c>
      <c r="H31" s="909">
        <f>H24/H30</f>
        <v/>
      </c>
      <c r="I31" s="909">
        <f>I24/I30</f>
        <v/>
      </c>
      <c r="J31" s="911" t="n"/>
    </row>
    <row r="32">
      <c r="G32" s="339" t="n"/>
    </row>
    <row r="33" ht="17.25" customHeight="1">
      <c r="E33" s="912" t="inlineStr">
        <is>
          <t>Options Exercise</t>
        </is>
      </c>
      <c r="F33" s="192" t="n"/>
      <c r="G33" s="913" t="inlineStr">
        <is>
          <t>Common Units</t>
        </is>
      </c>
      <c r="H33" s="192" t="n"/>
      <c r="I33" s="192" t="n"/>
      <c r="J33" s="914" t="n"/>
    </row>
    <row r="34" ht="17.25" customHeight="1">
      <c r="E34" s="915" t="inlineStr">
        <is>
          <t>Incentive Units ($1.00)</t>
        </is>
      </c>
      <c r="F34" s="915" t="inlineStr">
        <is>
          <t>Incentive Units ($1.60)</t>
        </is>
      </c>
      <c r="G34" s="901" t="inlineStr">
        <is>
          <t>Common Units</t>
        </is>
      </c>
      <c r="H34" s="915" t="inlineStr">
        <is>
          <t>Incentive Units ($1.00)</t>
        </is>
      </c>
      <c r="I34" s="915" t="inlineStr">
        <is>
          <t>Incentive Units ($1.60)</t>
        </is>
      </c>
      <c r="J34" s="916" t="inlineStr">
        <is>
          <t>Proceeds</t>
        </is>
      </c>
    </row>
    <row r="35">
      <c r="C35" s="4" t="inlineStr">
        <is>
          <t>XPV Water Fund III Limited Partnership</t>
        </is>
      </c>
      <c r="E35" s="917">
        <f>IF(H$31&gt;F$9,-F$9*F10,0)</f>
        <v/>
      </c>
      <c r="F35" s="917">
        <f>IF(I$31&gt;G$9,-G$9*G10,0)</f>
        <v/>
      </c>
      <c r="G35" s="918">
        <f>E10*G$31</f>
        <v/>
      </c>
      <c r="H35" s="917">
        <f>IF(E$45&lt;0,F10*H$31,0)</f>
        <v/>
      </c>
      <c r="I35" s="917">
        <f>IF(F$45&lt;0,G10*I$31,0)</f>
        <v/>
      </c>
      <c r="J35" s="919">
        <f>SUM(E35:I35)</f>
        <v/>
      </c>
    </row>
    <row r="36">
      <c r="C36" s="130" t="inlineStr">
        <is>
          <t>2007 Irrevocable Trust For Family of Chris M. Raftis dated March 30,2007</t>
        </is>
      </c>
      <c r="E36" s="917">
        <f>IF(H$31&gt;F$9,-F$9*F11,0)</f>
        <v/>
      </c>
      <c r="F36" s="917">
        <f>IF(I$31&gt;G$9,-G$9*G11,0)</f>
        <v/>
      </c>
      <c r="G36" s="918">
        <f>E11*G$31</f>
        <v/>
      </c>
      <c r="H36" s="917">
        <f>IF(E$45&lt;0,F11*H$31,0)</f>
        <v/>
      </c>
      <c r="I36" s="917">
        <f>IF(F$45&lt;0,G11*I$31,0)</f>
        <v/>
      </c>
      <c r="J36" s="919">
        <f>SUM(E36:I36)</f>
        <v/>
      </c>
    </row>
    <row r="37">
      <c r="C37" s="4" t="inlineStr">
        <is>
          <t>PTI Inc. Seller (Karl Trott)</t>
        </is>
      </c>
      <c r="E37" s="917">
        <f>IF(H$31&gt;F$9,-F$9*F12,0)</f>
        <v/>
      </c>
      <c r="F37" s="917">
        <f>IF(I$31&gt;G$9,-G$9*G12,0)</f>
        <v/>
      </c>
      <c r="G37" s="918">
        <f>E12*G$31</f>
        <v/>
      </c>
      <c r="H37" s="917">
        <f>IF(E$45&lt;0,F12*H$31,0)</f>
        <v/>
      </c>
      <c r="I37" s="917">
        <f>IF(F$45&lt;0,G12*I$31,0)</f>
        <v/>
      </c>
      <c r="J37" s="919">
        <f>SUM(E37:I37)</f>
        <v/>
      </c>
    </row>
    <row r="38">
      <c r="C38" s="21" t="inlineStr">
        <is>
          <t>John DeYarman Incentive Units</t>
        </is>
      </c>
      <c r="E38" s="917">
        <f>IF(H$31&gt;F$9,-F$9*F13,0)</f>
        <v/>
      </c>
      <c r="F38" s="917">
        <f>IF(I$31&gt;G$9,-G$9*G13,0)</f>
        <v/>
      </c>
      <c r="G38" s="918" t="n"/>
      <c r="H38" s="917">
        <f>IF(E$45&lt;0,F13*H$31,0)</f>
        <v/>
      </c>
      <c r="I38" s="917">
        <f>IF(F$45&lt;0,G13*I$31,0)</f>
        <v/>
      </c>
      <c r="J38" s="919">
        <f>SUM(E38:I38)</f>
        <v/>
      </c>
    </row>
    <row r="39">
      <c r="C39" s="21" t="inlineStr">
        <is>
          <t>Scott Day Incentive Units</t>
        </is>
      </c>
      <c r="E39" s="917">
        <f>IF(H$31&gt;F$9,-F$9*F14,0)</f>
        <v/>
      </c>
      <c r="F39" s="917">
        <f>IF(I$31&gt;G$9,-G$9*G14,0)</f>
        <v/>
      </c>
      <c r="G39" s="918" t="n"/>
      <c r="H39" s="917">
        <f>IF(E$45&lt;0,F14*H$31,0)</f>
        <v/>
      </c>
      <c r="I39" s="917">
        <f>IF(F$45&lt;0,G14*I$31,0)</f>
        <v/>
      </c>
      <c r="J39" s="919">
        <f>SUM(E39:I39)</f>
        <v/>
      </c>
    </row>
    <row r="40">
      <c r="C40" s="327" t="inlineStr">
        <is>
          <t>2007 Irrevocable Trust For Family of Chris M. Raftis dated March 30,2007 Incentive Units</t>
        </is>
      </c>
      <c r="E40" s="917">
        <f>IF(H$31&gt;F$9,-F$9*F15,0)</f>
        <v/>
      </c>
      <c r="F40" s="917">
        <f>IF(I$31&gt;G$9,-G$9*G15,0)</f>
        <v/>
      </c>
      <c r="G40" s="918" t="n"/>
      <c r="H40" s="917">
        <f>IF(E$45&lt;0,F15*H$31,0)</f>
        <v/>
      </c>
      <c r="I40" s="917">
        <f>IF(F$45&lt;0,G15*I$31,0)</f>
        <v/>
      </c>
      <c r="J40" s="919">
        <f>SUM(E40:I40)</f>
        <v/>
      </c>
    </row>
    <row r="41">
      <c r="C41" s="327" t="inlineStr">
        <is>
          <t>Kevin Klau</t>
        </is>
      </c>
      <c r="E41" s="917">
        <f>IF(H$31&gt;F$9,-F$9*F16,0)</f>
        <v/>
      </c>
      <c r="F41" s="917">
        <f>IF(I$31&gt;G$9,-G$9*G16,0)</f>
        <v/>
      </c>
      <c r="G41" s="918" t="n"/>
      <c r="H41" s="917">
        <f>IF(E$45&lt;0,F16*H$31,0)</f>
        <v/>
      </c>
      <c r="I41" s="917">
        <f>IF(F$45&lt;0,G16*I$31,0)</f>
        <v/>
      </c>
      <c r="J41" s="919">
        <f>SUM(E41:I41)</f>
        <v/>
      </c>
    </row>
    <row r="42">
      <c r="C42" s="327" t="inlineStr">
        <is>
          <t>Warren Berenis</t>
        </is>
      </c>
      <c r="E42" s="917">
        <f>IF(H$31&gt;F$9,-F$9*F17,0)</f>
        <v/>
      </c>
      <c r="F42" s="917">
        <f>IF(I$31&gt;G$9,-G$9*G17,0)</f>
        <v/>
      </c>
      <c r="G42" s="918" t="n"/>
      <c r="H42" s="917">
        <f>IF(E$45&lt;0,F17*H$31,0)</f>
        <v/>
      </c>
      <c r="I42" s="917">
        <f>IF(F$45&lt;0,G17*I$31,0)</f>
        <v/>
      </c>
      <c r="J42" s="919">
        <f>SUM(E42:I42)</f>
        <v/>
      </c>
    </row>
    <row r="43">
      <c r="C43" s="21" t="inlineStr">
        <is>
          <t>Unallocated</t>
        </is>
      </c>
      <c r="E43" s="917">
        <f>IF(H$31&gt;F$9,-F$9*F18,0)</f>
        <v/>
      </c>
      <c r="F43" s="917">
        <f>IF(I$31&gt;G$9,-G$9*G18,0)</f>
        <v/>
      </c>
      <c r="G43" s="918" t="n"/>
      <c r="H43" s="917">
        <f>IF(E$45&lt;0,F18*H$31,0)</f>
        <v/>
      </c>
      <c r="I43" s="917">
        <f>IF(F$45&lt;0,G18*I$31,0)</f>
        <v/>
      </c>
      <c r="J43" s="919">
        <f>SUM(E43:I43)</f>
        <v/>
      </c>
    </row>
    <row r="44" ht="5.1" customHeight="1">
      <c r="C44" s="21" t="n"/>
      <c r="E44" s="917" t="n"/>
      <c r="F44" s="917" t="n"/>
      <c r="G44" s="918" t="n"/>
      <c r="H44" s="917" t="n"/>
      <c r="I44" s="917" t="n"/>
      <c r="J44" s="919" t="n"/>
    </row>
    <row r="45">
      <c r="C45" s="195" t="inlineStr">
        <is>
          <t>TOTAL</t>
        </is>
      </c>
      <c r="D45" s="196" t="n"/>
      <c r="E45" s="920">
        <f>SUM(E35:E44)</f>
        <v/>
      </c>
      <c r="F45" s="920">
        <f>SUM(F35:F44)</f>
        <v/>
      </c>
      <c r="G45" s="921">
        <f>SUM(G35:G44)</f>
        <v/>
      </c>
      <c r="H45" s="920">
        <f>SUM(H35:H44)</f>
        <v/>
      </c>
      <c r="I45" s="920">
        <f>SUM(I35:I44)</f>
        <v/>
      </c>
      <c r="J45" s="922">
        <f>SUM(J35:J44)</f>
        <v/>
      </c>
    </row>
    <row r="47">
      <c r="J47" s="923" t="n"/>
    </row>
    <row r="48">
      <c r="F48" s="190" t="n"/>
      <c r="G48" s="924" t="n"/>
      <c r="H48" s="190" t="n"/>
      <c r="I48" s="190" t="n"/>
    </row>
    <row r="49">
      <c r="F49" s="190" t="n"/>
      <c r="G49" s="190" t="n"/>
      <c r="H49" s="190" t="n"/>
      <c r="I49" s="190" t="n"/>
    </row>
    <row r="50">
      <c r="F50" s="190" t="n"/>
      <c r="G50" s="190" t="n"/>
      <c r="H50" s="190" t="n"/>
      <c r="I50" s="190" t="n"/>
    </row>
    <row r="51">
      <c r="F51" s="190" t="n"/>
      <c r="G51" s="190" t="n"/>
      <c r="H51" s="190" t="n"/>
      <c r="I51" s="190" t="n"/>
    </row>
    <row r="52">
      <c r="F52" s="190" t="n"/>
      <c r="G52" s="190" t="n"/>
      <c r="H52" s="190" t="n"/>
      <c r="I52" s="190" t="n"/>
    </row>
  </sheetData>
  <pageMargins left="0.7" right="0.7" top="0.75" bottom="0.75" header="0.3" footer="0.3"/>
  <pageSetup orientation="landscape" scale="38"/>
</worksheet>
</file>

<file path=xl/worksheets/sheet18.xml><?xml version="1.0" encoding="utf-8"?>
<worksheet xmlns="http://schemas.openxmlformats.org/spreadsheetml/2006/main">
  <sheetPr>
    <tabColor theme="6"/>
    <outlinePr summaryBelow="1" summaryRight="1"/>
    <pageSetUpPr fitToPage="1"/>
  </sheetPr>
  <dimension ref="B1:O41"/>
  <sheetViews>
    <sheetView showGridLines="0" view="pageBreakPreview" topLeftCell="A2" zoomScaleNormal="100" zoomScaleSheetLayoutView="100" workbookViewId="0">
      <selection activeCell="I5" sqref="I5"/>
    </sheetView>
  </sheetViews>
  <sheetFormatPr baseColWidth="8" defaultColWidth="8" defaultRowHeight="15" outlineLevelRow="1"/>
  <cols>
    <col width="2.7109375" customWidth="1" style="81" min="1" max="1"/>
    <col width="36" bestFit="1" customWidth="1" style="81" min="2" max="2"/>
    <col width="1.5703125" customWidth="1" style="81" min="3" max="3"/>
    <col width="8" customWidth="1" style="81" min="4" max="4"/>
    <col width="1.5703125" customWidth="1" style="81" min="5" max="5"/>
    <col width="16.7109375" bestFit="1" customWidth="1" style="81" min="6" max="6"/>
    <col width="4.28515625" customWidth="1" style="81" min="7" max="7"/>
    <col width="0.85546875" customWidth="1" style="81" min="8" max="8"/>
    <col width="16.7109375" bestFit="1" customWidth="1" style="81" min="9" max="12"/>
    <col width="0.85546875" customWidth="1" style="81" min="13" max="13"/>
    <col width="8" customWidth="1" style="81" min="14" max="16384"/>
  </cols>
  <sheetData>
    <row r="1" ht="18.75" customFormat="1" customHeight="1" s="77">
      <c r="B1" s="247">
        <f>'I. Cover Page'!B5</f>
        <v/>
      </c>
    </row>
    <row r="2" ht="15.75" customFormat="1" customHeight="1" s="77" thickBot="1">
      <c r="B2" s="254" t="inlineStr">
        <is>
          <t>XPVWFII Returns</t>
        </is>
      </c>
      <c r="C2" s="78" t="n"/>
      <c r="D2" s="78" t="n"/>
      <c r="E2" s="78" t="n"/>
      <c r="F2" s="78" t="n"/>
      <c r="G2" s="78" t="n"/>
      <c r="H2" s="78" t="n"/>
      <c r="I2" s="78" t="n"/>
      <c r="J2" s="78" t="n"/>
      <c r="K2" s="78" t="n"/>
      <c r="L2" s="78" t="n"/>
    </row>
    <row r="3" ht="13.5" customFormat="1" customHeight="1" s="77" thickTop="1">
      <c r="B3" s="251">
        <f>'I. Cover Page'!B9</f>
        <v/>
      </c>
      <c r="L3" s="79" t="inlineStr">
        <is>
          <t>$USD</t>
        </is>
      </c>
    </row>
    <row r="4" ht="15.75" customFormat="1" customHeight="1" s="77">
      <c r="B4" s="80" t="n"/>
      <c r="C4" s="80" t="n"/>
      <c r="D4" s="80" t="n"/>
      <c r="E4" s="80" t="n"/>
      <c r="F4" s="80" t="n"/>
      <c r="G4" s="80" t="n"/>
      <c r="H4" s="80" t="n"/>
      <c r="I4" s="201" t="n"/>
      <c r="J4" s="80" t="n"/>
      <c r="K4" s="80" t="n"/>
      <c r="L4" s="80" t="n"/>
      <c r="M4" s="80" t="n"/>
    </row>
    <row r="5" ht="17.25" customHeight="1">
      <c r="C5" s="82" t="inlineStr">
        <is>
          <t>Security Type</t>
        </is>
      </c>
      <c r="D5" s="82" t="n"/>
      <c r="E5" s="83" t="n"/>
      <c r="H5" s="84" t="n"/>
      <c r="I5" s="925" t="n">
        <v>45281</v>
      </c>
      <c r="J5" s="925" t="n">
        <v>45982</v>
      </c>
      <c r="K5" s="925">
        <f>J5</f>
        <v/>
      </c>
      <c r="L5" s="925">
        <f>B3</f>
        <v/>
      </c>
      <c r="M5" s="84" t="n"/>
    </row>
    <row r="6">
      <c r="D6" s="85" t="n"/>
    </row>
    <row r="7">
      <c r="B7" s="86" t="inlineStr">
        <is>
          <t>Total Investment IRR</t>
        </is>
      </c>
      <c r="D7" s="85" t="n"/>
    </row>
    <row r="8">
      <c r="B8" s="81" t="inlineStr">
        <is>
          <t>Initial Common Equity Investment</t>
        </is>
      </c>
      <c r="D8" s="81" t="inlineStr">
        <is>
          <t>Common</t>
        </is>
      </c>
      <c r="I8" s="926" t="n">
        <v>-12500000</v>
      </c>
      <c r="J8" s="926" t="n"/>
      <c r="K8" s="926" t="n"/>
      <c r="L8" s="926" t="n"/>
    </row>
    <row r="9">
      <c r="B9" s="81" t="inlineStr">
        <is>
          <t>Common Equity Payout @ Exit</t>
        </is>
      </c>
      <c r="D9" s="81" t="inlineStr">
        <is>
          <t>Common</t>
        </is>
      </c>
      <c r="F9" s="81" t="inlineStr">
        <is>
          <t>Unrealized Value</t>
        </is>
      </c>
      <c r="I9" s="926" t="n"/>
      <c r="J9" s="228" t="n"/>
      <c r="K9" s="228" t="n"/>
      <c r="L9" s="926">
        <f>'III. Valuation Summary'!$F$25</f>
        <v/>
      </c>
    </row>
    <row r="10" outlineLevel="1">
      <c r="B10" s="81" t="inlineStr">
        <is>
          <t>Common Shares (Growth Investment)</t>
        </is>
      </c>
      <c r="D10" s="81" t="inlineStr">
        <is>
          <t>Common</t>
        </is>
      </c>
      <c r="G10" s="87" t="n"/>
      <c r="H10" s="87" t="n"/>
      <c r="I10" s="926" t="n"/>
      <c r="J10" s="926" t="n"/>
      <c r="K10" s="926" t="n"/>
      <c r="L10" s="926" t="n"/>
      <c r="M10" s="87" t="n"/>
      <c r="O10" s="88" t="n"/>
    </row>
    <row r="11" outlineLevel="1">
      <c r="B11" s="81" t="inlineStr">
        <is>
          <t>Founder share purchase</t>
        </is>
      </c>
      <c r="D11" s="81" t="inlineStr">
        <is>
          <t>Common</t>
        </is>
      </c>
      <c r="H11" s="927" t="n"/>
      <c r="I11" s="926" t="n"/>
      <c r="J11" s="926" t="n"/>
      <c r="K11" s="926" t="n"/>
      <c r="L11" s="926" t="n"/>
      <c r="M11" s="927" t="n"/>
    </row>
    <row r="12" outlineLevel="1">
      <c r="B12" s="81" t="inlineStr">
        <is>
          <t>Add-On Investments (Yeary Controls)</t>
        </is>
      </c>
      <c r="D12" s="81" t="inlineStr">
        <is>
          <t>Common</t>
        </is>
      </c>
      <c r="F12" s="81" t="inlineStr">
        <is>
          <t>Unrealized Value</t>
        </is>
      </c>
      <c r="H12" s="927" t="n"/>
      <c r="I12" s="926" t="n"/>
      <c r="J12" s="926" t="n">
        <v>-3787879.18</v>
      </c>
      <c r="K12" s="926" t="n"/>
      <c r="L12" s="926" t="n"/>
      <c r="M12" s="927" t="n"/>
    </row>
    <row r="13" outlineLevel="1">
      <c r="B13" s="81" t="inlineStr">
        <is>
          <t>Add-On Investments</t>
        </is>
      </c>
      <c r="H13" s="927" t="n"/>
      <c r="I13" s="926" t="n"/>
      <c r="J13" s="926" t="n"/>
      <c r="K13" s="926" t="n"/>
      <c r="L13" s="926" t="n"/>
      <c r="M13" s="927" t="n"/>
    </row>
    <row r="14" outlineLevel="1">
      <c r="B14" s="81" t="inlineStr">
        <is>
          <t>Add-On Investments</t>
        </is>
      </c>
      <c r="H14" s="927" t="n"/>
      <c r="I14" s="926" t="n"/>
      <c r="J14" s="926" t="n"/>
      <c r="K14" s="926" t="n"/>
      <c r="L14" s="926" t="n"/>
      <c r="M14" s="927" t="n"/>
    </row>
    <row r="15" outlineLevel="1">
      <c r="B15" s="81" t="inlineStr">
        <is>
          <t>[X]</t>
        </is>
      </c>
      <c r="F15" s="81" t="inlineStr">
        <is>
          <t>Realized Value</t>
        </is>
      </c>
      <c r="H15" s="927" t="n"/>
      <c r="I15" s="926" t="n"/>
      <c r="J15" s="926" t="n"/>
      <c r="K15" s="926" t="n"/>
      <c r="L15" s="926" t="n"/>
      <c r="M15" s="927" t="n"/>
    </row>
    <row r="16" customFormat="1" s="90">
      <c r="B16" s="90" t="inlineStr">
        <is>
          <t>Blended Cash Flow</t>
        </is>
      </c>
      <c r="I16" s="928">
        <f>SUM(I8:I15)</f>
        <v/>
      </c>
      <c r="J16" s="928">
        <f>SUM(J8:J15)</f>
        <v/>
      </c>
      <c r="K16" s="928">
        <f>SUM(K8:K15)</f>
        <v/>
      </c>
      <c r="L16" s="928">
        <f>SUM(L8:L15)</f>
        <v/>
      </c>
    </row>
    <row r="17">
      <c r="H17" s="927" t="n"/>
      <c r="I17" s="927" t="n"/>
      <c r="J17" s="927" t="n"/>
      <c r="K17" s="927" t="n"/>
      <c r="L17" s="927" t="n"/>
      <c r="M17" s="927" t="n"/>
    </row>
    <row r="18">
      <c r="B18" s="92" t="inlineStr">
        <is>
          <t>Total Investments</t>
        </is>
      </c>
      <c r="C18" s="93" t="n"/>
      <c r="D18" s="93" t="n"/>
      <c r="E18" s="93" t="n"/>
      <c r="F18" s="929">
        <f>SUM(I16:K16)</f>
        <v/>
      </c>
      <c r="G18" s="930" t="n"/>
      <c r="H18" s="927" t="n"/>
      <c r="I18" s="927" t="n"/>
      <c r="J18" s="927" t="n"/>
      <c r="K18" s="927" t="n"/>
      <c r="L18" s="927" t="n"/>
      <c r="M18" s="927" t="n"/>
    </row>
    <row r="19">
      <c r="F19" s="931" t="n"/>
      <c r="H19" s="927" t="n"/>
      <c r="I19" s="927" t="n"/>
      <c r="J19" s="927" t="n"/>
      <c r="K19" s="927" t="n"/>
      <c r="L19" s="927" t="n"/>
      <c r="M19" s="927" t="n"/>
    </row>
    <row r="20">
      <c r="B20" s="97" t="inlineStr">
        <is>
          <t>Realized Value</t>
        </is>
      </c>
      <c r="C20" s="98" t="n"/>
      <c r="D20" s="98" t="n"/>
      <c r="E20" s="98" t="n"/>
      <c r="F20" s="932">
        <f>SUMIF($F$8:$F$15,B20,$L$8:$L$15)</f>
        <v/>
      </c>
      <c r="G20" s="933" t="n"/>
      <c r="H20" s="927" t="n"/>
      <c r="I20" s="927" t="n"/>
      <c r="J20" s="927" t="n"/>
      <c r="K20" s="927" t="n"/>
      <c r="L20" s="927" t="n"/>
      <c r="M20" s="927" t="n"/>
    </row>
    <row r="21">
      <c r="B21" s="101" t="inlineStr">
        <is>
          <t>Unrealized Value</t>
        </is>
      </c>
      <c r="F21" s="934">
        <f>SUMIF($F$8:$F$15,B21,$L$8:$L$15)</f>
        <v/>
      </c>
      <c r="G21" s="933" t="n"/>
      <c r="H21" s="927" t="n"/>
      <c r="I21" s="927" t="n"/>
      <c r="J21" s="927" t="n"/>
      <c r="K21" s="927" t="n"/>
      <c r="L21" s="927" t="n"/>
      <c r="M21" s="927" t="n"/>
    </row>
    <row r="22">
      <c r="B22" s="103" t="inlineStr">
        <is>
          <t>Total Realized &amp; Unrealized Value</t>
        </is>
      </c>
      <c r="C22" s="104" t="n"/>
      <c r="D22" s="104" t="n"/>
      <c r="E22" s="104" t="n"/>
      <c r="F22" s="935">
        <f>F20+F21</f>
        <v/>
      </c>
      <c r="G22" s="933" t="n"/>
      <c r="H22" s="927" t="n"/>
      <c r="I22" s="927" t="n"/>
      <c r="J22" s="927" t="n"/>
      <c r="K22" s="927" t="n"/>
      <c r="L22" s="927" t="n"/>
      <c r="M22" s="927" t="n"/>
    </row>
    <row r="23">
      <c r="F23" s="933" t="n"/>
      <c r="G23" s="933" t="n"/>
      <c r="H23" s="927" t="n"/>
      <c r="I23" s="927" t="n"/>
      <c r="J23" s="927" t="n"/>
      <c r="K23" s="927" t="n"/>
      <c r="L23" s="927" t="n"/>
      <c r="M23" s="927" t="n"/>
    </row>
    <row r="24">
      <c r="B24" s="97" t="inlineStr">
        <is>
          <t>Realized ROI</t>
        </is>
      </c>
      <c r="C24" s="98" t="n"/>
      <c r="D24" s="98" t="n"/>
      <c r="E24" s="98" t="n"/>
      <c r="F24" s="936">
        <f>-F20/$F$18</f>
        <v/>
      </c>
      <c r="G24" s="937" t="n"/>
      <c r="H24" s="927" t="n"/>
      <c r="I24" s="927" t="n"/>
      <c r="J24" s="927" t="n"/>
      <c r="K24" s="927" t="n"/>
      <c r="L24" s="927" t="n"/>
      <c r="M24" s="927" t="n"/>
    </row>
    <row r="25">
      <c r="B25" s="101" t="inlineStr">
        <is>
          <t>Unrealized ROI</t>
        </is>
      </c>
      <c r="F25" s="938">
        <f>-F21/$F$18</f>
        <v/>
      </c>
      <c r="G25" s="937" t="n"/>
      <c r="H25" s="927" t="n"/>
      <c r="I25" s="927" t="n"/>
      <c r="J25" s="927" t="n"/>
      <c r="K25" s="927" t="n"/>
      <c r="L25" s="927" t="n"/>
      <c r="M25" s="927" t="n"/>
    </row>
    <row r="26" customFormat="1" s="90">
      <c r="B26" s="103" t="inlineStr">
        <is>
          <t>Realized &amp; Unrealized ROI</t>
        </is>
      </c>
      <c r="C26" s="104" t="n"/>
      <c r="D26" s="104" t="n"/>
      <c r="E26" s="104" t="n"/>
      <c r="F26" s="939">
        <f>-F22/$F$18</f>
        <v/>
      </c>
      <c r="G26" s="940" t="n"/>
      <c r="H26" s="941" t="n"/>
      <c r="I26" s="941" t="n"/>
      <c r="J26" s="941" t="n"/>
      <c r="K26" s="941" t="n"/>
      <c r="L26" s="941" t="n"/>
      <c r="M26" s="941" t="n"/>
    </row>
    <row r="27" customFormat="1" s="112">
      <c r="F27" s="113" t="n"/>
      <c r="G27" s="113" t="n"/>
      <c r="H27" s="942" t="n"/>
      <c r="I27" s="943" t="n"/>
      <c r="J27" s="943" t="n"/>
      <c r="K27" s="943" t="n"/>
      <c r="L27" s="943" t="n"/>
      <c r="M27" s="942" t="n"/>
    </row>
    <row r="28" customFormat="1" s="90">
      <c r="B28" s="116" t="inlineStr">
        <is>
          <t>IRR</t>
        </is>
      </c>
      <c r="C28" s="117" t="n"/>
      <c r="D28" s="117" t="n"/>
      <c r="E28" s="117" t="n"/>
      <c r="F28" s="944">
        <f>IFERROR(XIRR(I16:L16,I5:L5),"NM")</f>
        <v/>
      </c>
      <c r="G28" s="119" t="n"/>
      <c r="H28" s="941" t="n"/>
      <c r="I28" s="945" t="n"/>
      <c r="J28" s="945" t="n"/>
      <c r="K28" s="945" t="n"/>
      <c r="L28" s="945" t="n"/>
      <c r="M28" s="941" t="n"/>
    </row>
    <row r="29">
      <c r="F29" s="946" t="n"/>
      <c r="G29" s="933" t="n"/>
      <c r="H29" s="927" t="n"/>
      <c r="I29" s="927" t="n"/>
      <c r="J29" s="927" t="n"/>
      <c r="K29" s="927" t="n"/>
      <c r="L29" s="927" t="n"/>
      <c r="M29" s="927" t="n"/>
    </row>
    <row r="31">
      <c r="B31" s="98" t="n"/>
      <c r="C31" s="98" t="n"/>
      <c r="D31" s="98" t="n"/>
      <c r="E31" s="98" t="n"/>
      <c r="F31" s="98" t="n"/>
      <c r="G31" s="98" t="n"/>
      <c r="H31" s="98" t="n"/>
      <c r="I31" s="98" t="n"/>
      <c r="J31" s="98" t="n"/>
      <c r="K31" s="98" t="n"/>
      <c r="L31" s="98" t="n"/>
    </row>
    <row r="41">
      <c r="J41" s="164" t="n"/>
    </row>
  </sheetData>
  <pageMargins left="0.7086614173228347" right="0.7086614173228347" top="0.7480314960629921" bottom="0.7480314960629921" header="0.3149606299212598" footer="0.3149606299212598"/>
  <pageSetup orientation="portrait" scale="66" fitToHeight="0"/>
</worksheet>
</file>

<file path=xl/worksheets/sheet19.xml><?xml version="1.0" encoding="utf-8"?>
<worksheet xmlns="http://schemas.openxmlformats.org/spreadsheetml/2006/main">
  <sheetPr>
    <tabColor theme="6"/>
    <outlinePr summaryBelow="1" summaryRight="1"/>
    <pageSetUpPr fitToPage="1"/>
  </sheetPr>
  <dimension ref="B1:O41"/>
  <sheetViews>
    <sheetView showGridLines="0" view="pageBreakPreview" zoomScaleNormal="100" zoomScaleSheetLayoutView="100" workbookViewId="0">
      <selection activeCell="I5" sqref="I5"/>
    </sheetView>
  </sheetViews>
  <sheetFormatPr baseColWidth="8" defaultColWidth="8" defaultRowHeight="15" outlineLevelRow="1"/>
  <cols>
    <col width="2.7109375" customWidth="1" style="81" min="1" max="1"/>
    <col width="36" bestFit="1" customWidth="1" style="81" min="2" max="2"/>
    <col width="1.5703125" customWidth="1" style="81" min="3" max="3"/>
    <col width="8" customWidth="1" style="81" min="4" max="4"/>
    <col width="1.5703125" customWidth="1" style="81" min="5" max="5"/>
    <col width="16.7109375" bestFit="1" customWidth="1" style="81" min="6" max="6"/>
    <col width="4.28515625" customWidth="1" style="81" min="7" max="7"/>
    <col width="0.85546875" customWidth="1" style="81" min="8" max="8"/>
    <col width="16.7109375" bestFit="1" customWidth="1" style="81" min="9" max="12"/>
    <col width="0.85546875" customWidth="1" style="81" min="13" max="13"/>
    <col width="8" customWidth="1" style="81" min="14" max="16384"/>
  </cols>
  <sheetData>
    <row r="1" ht="18.75" customFormat="1" customHeight="1" s="77">
      <c r="B1" s="247">
        <f>'I. Cover Page'!B5</f>
        <v/>
      </c>
    </row>
    <row r="2" ht="15.75" customFormat="1" customHeight="1" s="77" thickBot="1">
      <c r="B2" s="254" t="inlineStr">
        <is>
          <t>XPVWFII Returns</t>
        </is>
      </c>
      <c r="C2" s="78" t="n"/>
      <c r="D2" s="78" t="n"/>
      <c r="E2" s="78" t="n"/>
      <c r="F2" s="78" t="n"/>
      <c r="G2" s="78" t="n"/>
      <c r="H2" s="78" t="n"/>
      <c r="I2" s="78" t="n"/>
      <c r="J2" s="78" t="n"/>
      <c r="K2" s="78" t="n"/>
      <c r="L2" s="78" t="n"/>
    </row>
    <row r="3" ht="13.5" customFormat="1" customHeight="1" s="77" thickTop="1">
      <c r="B3" s="251" t="n">
        <v>46022</v>
      </c>
      <c r="L3" s="79" t="inlineStr">
        <is>
          <t>$USD</t>
        </is>
      </c>
    </row>
    <row r="4" ht="15.75" customFormat="1" customHeight="1" s="77">
      <c r="B4" s="80" t="n"/>
      <c r="C4" s="80" t="n"/>
      <c r="D4" s="80" t="n"/>
      <c r="E4" s="80" t="n"/>
      <c r="F4" s="80" t="n"/>
      <c r="G4" s="80" t="n"/>
      <c r="H4" s="80" t="n"/>
      <c r="I4" s="201" t="n"/>
      <c r="J4" s="80" t="n"/>
      <c r="K4" s="80" t="n"/>
      <c r="L4" s="80" t="n"/>
      <c r="M4" s="80" t="n"/>
    </row>
    <row r="5" ht="17.25" customHeight="1">
      <c r="C5" s="82" t="inlineStr">
        <is>
          <t>Security Type</t>
        </is>
      </c>
      <c r="D5" s="82" t="n"/>
      <c r="E5" s="83" t="n"/>
      <c r="H5" s="84" t="n"/>
      <c r="I5" s="925" t="n">
        <v>45281</v>
      </c>
      <c r="J5" s="925" t="n">
        <v>45982</v>
      </c>
      <c r="K5" s="925">
        <f>J5</f>
        <v/>
      </c>
      <c r="L5" s="925">
        <f>B3</f>
        <v/>
      </c>
      <c r="M5" s="84" t="n"/>
    </row>
    <row r="6">
      <c r="D6" s="85" t="n"/>
    </row>
    <row r="7">
      <c r="B7" s="86" t="inlineStr">
        <is>
          <t>Total Investment IRR</t>
        </is>
      </c>
      <c r="D7" s="85" t="n"/>
    </row>
    <row r="8">
      <c r="B8" s="81" t="inlineStr">
        <is>
          <t>Initial Common Equity Investment</t>
        </is>
      </c>
      <c r="D8" s="81" t="inlineStr">
        <is>
          <t>Common</t>
        </is>
      </c>
      <c r="I8" s="926" t="n">
        <v>-12500000</v>
      </c>
      <c r="J8" s="926" t="n"/>
      <c r="K8" s="926" t="n"/>
      <c r="L8" s="926" t="n"/>
    </row>
    <row r="9">
      <c r="B9" s="81" t="inlineStr">
        <is>
          <t>Common Equity Payout @ Exit</t>
        </is>
      </c>
      <c r="D9" s="81" t="inlineStr">
        <is>
          <t>Common</t>
        </is>
      </c>
      <c r="F9" s="81" t="inlineStr">
        <is>
          <t>Unrealized Value</t>
        </is>
      </c>
      <c r="I9" s="926" t="n"/>
      <c r="J9" s="228" t="n"/>
      <c r="K9" s="228" t="n"/>
      <c r="L9" s="926">
        <f>'III. Valuation Summary'!H25</f>
        <v/>
      </c>
    </row>
    <row r="10" outlineLevel="1">
      <c r="B10" s="81" t="inlineStr">
        <is>
          <t>Common Shares (Growth Investment)</t>
        </is>
      </c>
      <c r="D10" s="81" t="inlineStr">
        <is>
          <t>Common</t>
        </is>
      </c>
      <c r="G10" s="87" t="n"/>
      <c r="H10" s="87" t="n"/>
      <c r="I10" s="926" t="n"/>
      <c r="J10" s="926" t="n"/>
      <c r="K10" s="926" t="n"/>
      <c r="L10" s="926" t="n"/>
      <c r="M10" s="87" t="n"/>
      <c r="O10" s="88" t="n"/>
    </row>
    <row r="11" outlineLevel="1">
      <c r="B11" s="81" t="inlineStr">
        <is>
          <t>Founder share purchase</t>
        </is>
      </c>
      <c r="D11" s="81" t="inlineStr">
        <is>
          <t>Common</t>
        </is>
      </c>
      <c r="H11" s="927" t="n"/>
      <c r="I11" s="926" t="n"/>
      <c r="J11" s="926" t="n"/>
      <c r="K11" s="926" t="n"/>
      <c r="L11" s="926" t="n"/>
      <c r="M11" s="927" t="n"/>
    </row>
    <row r="12" outlineLevel="1">
      <c r="B12" s="81" t="inlineStr">
        <is>
          <t>Add-On Investments (Yeary Controls)</t>
        </is>
      </c>
      <c r="D12" s="81" t="inlineStr">
        <is>
          <t>Common</t>
        </is>
      </c>
      <c r="F12" s="81" t="inlineStr">
        <is>
          <t>Unrealized Value</t>
        </is>
      </c>
      <c r="H12" s="927" t="n"/>
      <c r="I12" s="926" t="n"/>
      <c r="J12" s="926" t="n">
        <v>-3787879.18</v>
      </c>
      <c r="K12" s="926" t="n"/>
      <c r="L12" s="926" t="n"/>
      <c r="M12" s="927" t="n"/>
    </row>
    <row r="13" outlineLevel="1">
      <c r="B13" s="81" t="inlineStr">
        <is>
          <t>Add-On Investments</t>
        </is>
      </c>
      <c r="H13" s="927" t="n"/>
      <c r="I13" s="926" t="n"/>
      <c r="J13" s="926" t="n"/>
      <c r="K13" s="926" t="n"/>
      <c r="L13" s="926" t="n"/>
      <c r="M13" s="927" t="n"/>
    </row>
    <row r="14" outlineLevel="1">
      <c r="B14" s="81" t="inlineStr">
        <is>
          <t>Add-On Investments</t>
        </is>
      </c>
      <c r="H14" s="927" t="n"/>
      <c r="I14" s="926" t="n"/>
      <c r="J14" s="926" t="n"/>
      <c r="K14" s="926" t="n"/>
      <c r="L14" s="926" t="n"/>
      <c r="M14" s="927" t="n"/>
    </row>
    <row r="15" outlineLevel="1">
      <c r="B15" s="81" t="inlineStr">
        <is>
          <t>[X]</t>
        </is>
      </c>
      <c r="F15" s="81" t="inlineStr">
        <is>
          <t>Realized Value</t>
        </is>
      </c>
      <c r="H15" s="927" t="n"/>
      <c r="I15" s="926" t="n"/>
      <c r="J15" s="926" t="n"/>
      <c r="K15" s="926" t="n"/>
      <c r="L15" s="926" t="n"/>
      <c r="M15" s="927" t="n"/>
    </row>
    <row r="16" customFormat="1" s="90">
      <c r="B16" s="90" t="inlineStr">
        <is>
          <t>Blended Cash Flow</t>
        </is>
      </c>
      <c r="I16" s="928">
        <f>SUM(I8:I15)</f>
        <v/>
      </c>
      <c r="J16" s="928">
        <f>SUM(J8:J15)</f>
        <v/>
      </c>
      <c r="K16" s="928">
        <f>SUM(K8:K15)</f>
        <v/>
      </c>
      <c r="L16" s="928">
        <f>SUM(L8:L15)</f>
        <v/>
      </c>
    </row>
    <row r="17">
      <c r="H17" s="927" t="n"/>
      <c r="I17" s="927" t="n"/>
      <c r="J17" s="927" t="n"/>
      <c r="K17" s="927" t="n"/>
      <c r="L17" s="927" t="n"/>
      <c r="M17" s="927" t="n"/>
    </row>
    <row r="18">
      <c r="B18" s="92" t="inlineStr">
        <is>
          <t>Total Investments</t>
        </is>
      </c>
      <c r="C18" s="93" t="n"/>
      <c r="D18" s="93" t="n"/>
      <c r="E18" s="93" t="n"/>
      <c r="F18" s="929">
        <f>SUM(I16:K16)</f>
        <v/>
      </c>
      <c r="G18" s="930" t="n"/>
      <c r="H18" s="927" t="n"/>
      <c r="I18" s="927" t="n"/>
      <c r="J18" s="927" t="n"/>
      <c r="K18" s="927" t="n"/>
      <c r="L18" s="927" t="n"/>
      <c r="M18" s="927" t="n"/>
    </row>
    <row r="19">
      <c r="F19" s="931" t="n"/>
      <c r="H19" s="927" t="n"/>
      <c r="I19" s="927" t="n"/>
      <c r="J19" s="927" t="n"/>
      <c r="K19" s="927" t="n"/>
      <c r="L19" s="927" t="n"/>
      <c r="M19" s="927" t="n"/>
    </row>
    <row r="20">
      <c r="B20" s="97" t="inlineStr">
        <is>
          <t>Realized Value</t>
        </is>
      </c>
      <c r="C20" s="98" t="n"/>
      <c r="D20" s="98" t="n"/>
      <c r="E20" s="98" t="n"/>
      <c r="F20" s="932">
        <f>SUMIF($F$8:$F$15,B20,$L$8:$L$15)</f>
        <v/>
      </c>
      <c r="G20" s="933" t="n"/>
      <c r="H20" s="927" t="n"/>
      <c r="I20" s="927" t="n"/>
      <c r="J20" s="927" t="n"/>
      <c r="K20" s="927" t="n"/>
      <c r="L20" s="927" t="n"/>
      <c r="M20" s="927" t="n"/>
    </row>
    <row r="21">
      <c r="B21" s="101" t="inlineStr">
        <is>
          <t>Unrealized Value</t>
        </is>
      </c>
      <c r="F21" s="934">
        <f>SUMIF($F$8:$F$15,B21,$L$8:$L$15)</f>
        <v/>
      </c>
      <c r="G21" s="933" t="n"/>
      <c r="H21" s="927" t="n"/>
      <c r="I21" s="927" t="n"/>
      <c r="J21" s="927" t="n"/>
      <c r="K21" s="927" t="n"/>
      <c r="L21" s="927" t="n"/>
      <c r="M21" s="927" t="n"/>
    </row>
    <row r="22">
      <c r="B22" s="103" t="inlineStr">
        <is>
          <t>Total Realized &amp; Unrealized Value</t>
        </is>
      </c>
      <c r="C22" s="104" t="n"/>
      <c r="D22" s="104" t="n"/>
      <c r="E22" s="104" t="n"/>
      <c r="F22" s="935">
        <f>F20+F21</f>
        <v/>
      </c>
      <c r="G22" s="933" t="n"/>
      <c r="H22" s="927" t="n"/>
      <c r="I22" s="927" t="n"/>
      <c r="J22" s="927" t="n"/>
      <c r="K22" s="927" t="n"/>
      <c r="L22" s="927" t="n"/>
      <c r="M22" s="927" t="n"/>
    </row>
    <row r="23">
      <c r="F23" s="933" t="n"/>
      <c r="G23" s="933" t="n"/>
      <c r="H23" s="927" t="n"/>
      <c r="I23" s="927" t="n"/>
      <c r="J23" s="927" t="n"/>
      <c r="K23" s="927" t="n"/>
      <c r="L23" s="927" t="n"/>
      <c r="M23" s="927" t="n"/>
    </row>
    <row r="24">
      <c r="B24" s="97" t="inlineStr">
        <is>
          <t>Realized ROI</t>
        </is>
      </c>
      <c r="C24" s="98" t="n"/>
      <c r="D24" s="98" t="n"/>
      <c r="E24" s="98" t="n"/>
      <c r="F24" s="936">
        <f>-F20/$F$18</f>
        <v/>
      </c>
      <c r="G24" s="937" t="n"/>
      <c r="H24" s="927" t="n"/>
      <c r="I24" s="927" t="n"/>
      <c r="J24" s="927" t="n"/>
      <c r="K24" s="927" t="n"/>
      <c r="L24" s="927" t="n"/>
      <c r="M24" s="927" t="n"/>
    </row>
    <row r="25">
      <c r="B25" s="101" t="inlineStr">
        <is>
          <t>Unrealized ROI</t>
        </is>
      </c>
      <c r="F25" s="938">
        <f>-F21/$F$18</f>
        <v/>
      </c>
      <c r="G25" s="937" t="n"/>
      <c r="H25" s="927" t="n"/>
      <c r="I25" s="927" t="n"/>
      <c r="J25" s="927" t="n"/>
      <c r="K25" s="927" t="n"/>
      <c r="L25" s="927" t="n"/>
      <c r="M25" s="927" t="n"/>
    </row>
    <row r="26" customFormat="1" s="90">
      <c r="B26" s="103" t="inlineStr">
        <is>
          <t>Realized &amp; Unrealized ROI</t>
        </is>
      </c>
      <c r="C26" s="104" t="n"/>
      <c r="D26" s="104" t="n"/>
      <c r="E26" s="104" t="n"/>
      <c r="F26" s="939">
        <f>-F22/$F$18</f>
        <v/>
      </c>
      <c r="G26" s="940" t="n"/>
      <c r="H26" s="941" t="n"/>
      <c r="I26" s="941" t="n"/>
      <c r="J26" s="941" t="n"/>
      <c r="K26" s="941" t="n"/>
      <c r="L26" s="941" t="n"/>
      <c r="M26" s="941" t="n"/>
    </row>
    <row r="27" customFormat="1" s="112">
      <c r="F27" s="113" t="n"/>
      <c r="G27" s="113" t="n"/>
      <c r="H27" s="942" t="n"/>
      <c r="I27" s="943" t="n"/>
      <c r="J27" s="943" t="n"/>
      <c r="K27" s="943" t="n"/>
      <c r="L27" s="943" t="n"/>
      <c r="M27" s="942" t="n"/>
    </row>
    <row r="28" customFormat="1" s="90">
      <c r="B28" s="116" t="inlineStr">
        <is>
          <t>IRR</t>
        </is>
      </c>
      <c r="C28" s="117" t="n"/>
      <c r="D28" s="117" t="n"/>
      <c r="E28" s="117" t="n"/>
      <c r="F28" s="944">
        <f>IFERROR(XIRR(I16:L16,I5:L5),"NM")</f>
        <v/>
      </c>
      <c r="G28" s="119" t="n"/>
      <c r="H28" s="941" t="n"/>
      <c r="I28" s="945" t="n"/>
      <c r="J28" s="945" t="n"/>
      <c r="K28" s="945" t="n"/>
      <c r="L28" s="945" t="n"/>
      <c r="M28" s="941" t="n"/>
    </row>
    <row r="29">
      <c r="F29" s="946" t="n"/>
      <c r="G29" s="933" t="n"/>
      <c r="H29" s="927" t="n"/>
      <c r="I29" s="927" t="n"/>
      <c r="J29" s="927" t="n"/>
      <c r="K29" s="927" t="n"/>
      <c r="L29" s="927" t="n"/>
      <c r="M29" s="927" t="n"/>
    </row>
    <row r="31">
      <c r="B31" s="98" t="n"/>
      <c r="C31" s="98" t="n"/>
      <c r="D31" s="98" t="n"/>
      <c r="E31" s="98" t="n"/>
      <c r="F31" s="98" t="n"/>
      <c r="G31" s="98" t="n"/>
      <c r="H31" s="98" t="n"/>
      <c r="I31" s="98" t="n"/>
      <c r="J31" s="98" t="n"/>
      <c r="K31" s="98" t="n"/>
      <c r="L31" s="98" t="n"/>
    </row>
    <row r="41">
      <c r="J41" s="164" t="n"/>
    </row>
  </sheetData>
  <pageMargins left="0.7086614173228347" right="0.7086614173228347" top="0.7480314960629921" bottom="0.7480314960629921" header="0.3149606299212598" footer="0.3149606299212598"/>
  <pageSetup orientation="portrait" scale="66" fitToHeight="0"/>
</worksheet>
</file>

<file path=xl/worksheets/sheet20.xml><?xml version="1.0" encoding="utf-8"?>
<worksheet xmlns="http://schemas.openxmlformats.org/spreadsheetml/2006/main">
  <sheetPr>
    <tabColor theme="6"/>
    <outlinePr summaryBelow="1" summaryRight="1"/>
    <pageSetUpPr fitToPage="1"/>
  </sheetPr>
  <dimension ref="B1:O41"/>
  <sheetViews>
    <sheetView showGridLines="0" view="pageBreakPreview" zoomScaleNormal="100" zoomScaleSheetLayoutView="100" workbookViewId="0">
      <selection activeCell="F28" sqref="F28"/>
    </sheetView>
  </sheetViews>
  <sheetFormatPr baseColWidth="8" defaultColWidth="8" defaultRowHeight="15" outlineLevelRow="1"/>
  <cols>
    <col width="2.7109375" customWidth="1" style="81" min="1" max="1"/>
    <col width="36" bestFit="1" customWidth="1" style="81" min="2" max="2"/>
    <col width="1.5703125" customWidth="1" style="81" min="3" max="3"/>
    <col width="8" customWidth="1" style="81" min="4" max="4"/>
    <col width="1.5703125" customWidth="1" style="81" min="5" max="5"/>
    <col width="16.7109375" bestFit="1" customWidth="1" style="81" min="6" max="6"/>
    <col width="4.28515625" customWidth="1" style="81" min="7" max="7"/>
    <col width="0.85546875" customWidth="1" style="81" min="8" max="8"/>
    <col width="16.7109375" bestFit="1" customWidth="1" style="81" min="9" max="12"/>
    <col width="0.85546875" customWidth="1" style="81" min="13" max="13"/>
    <col width="8" customWidth="1" style="81" min="14" max="16384"/>
  </cols>
  <sheetData>
    <row r="1" ht="18.75" customFormat="1" customHeight="1" s="77">
      <c r="B1" s="247">
        <f>'I. Cover Page'!B5</f>
        <v/>
      </c>
    </row>
    <row r="2" ht="15.75" customFormat="1" customHeight="1" s="77" thickBot="1">
      <c r="B2" s="254" t="inlineStr">
        <is>
          <t>XPVWFII Returns</t>
        </is>
      </c>
      <c r="C2" s="78" t="n"/>
      <c r="D2" s="78" t="n"/>
      <c r="E2" s="78" t="n"/>
      <c r="F2" s="78" t="n"/>
      <c r="G2" s="78" t="n"/>
      <c r="H2" s="78" t="n"/>
      <c r="I2" s="78" t="n"/>
      <c r="J2" s="78" t="n"/>
      <c r="K2" s="78" t="n"/>
      <c r="L2" s="78" t="n"/>
    </row>
    <row r="3" ht="13.5" customFormat="1" customHeight="1" s="77" thickTop="1">
      <c r="B3" s="251">
        <f>'I. Cover Page'!B9</f>
        <v/>
      </c>
      <c r="L3" s="79" t="inlineStr">
        <is>
          <t>$USD</t>
        </is>
      </c>
    </row>
    <row r="4" ht="15.75" customFormat="1" customHeight="1" s="77">
      <c r="B4" s="80" t="n"/>
      <c r="C4" s="80" t="n"/>
      <c r="D4" s="80" t="n"/>
      <c r="E4" s="80" t="n"/>
      <c r="F4" s="80" t="n"/>
      <c r="G4" s="80" t="n"/>
      <c r="H4" s="80" t="n"/>
      <c r="I4" s="201" t="n"/>
      <c r="J4" s="80" t="n"/>
      <c r="K4" s="80" t="n"/>
      <c r="L4" s="80" t="n"/>
      <c r="M4" s="80" t="n"/>
    </row>
    <row r="5" ht="17.25" customHeight="1">
      <c r="C5" s="82" t="inlineStr">
        <is>
          <t>Security Type</t>
        </is>
      </c>
      <c r="D5" s="82" t="n"/>
      <c r="E5" s="83" t="n"/>
      <c r="H5" s="84" t="n"/>
      <c r="I5" s="925" t="n">
        <v>45283</v>
      </c>
      <c r="J5" s="925">
        <f>I5</f>
        <v/>
      </c>
      <c r="K5" s="925">
        <f>J5</f>
        <v/>
      </c>
      <c r="L5" s="925" t="n">
        <v>45657</v>
      </c>
      <c r="M5" s="84" t="n"/>
    </row>
    <row r="6">
      <c r="D6" s="85" t="n"/>
    </row>
    <row r="7">
      <c r="B7" s="86" t="inlineStr">
        <is>
          <t>Total Investment IRR</t>
        </is>
      </c>
      <c r="D7" s="85" t="n"/>
    </row>
    <row r="8">
      <c r="B8" s="81" t="inlineStr">
        <is>
          <t>Initial Common Equity Investment</t>
        </is>
      </c>
      <c r="D8" s="81" t="inlineStr">
        <is>
          <t>Common</t>
        </is>
      </c>
      <c r="I8" s="926" t="n">
        <v>-12500000</v>
      </c>
      <c r="J8" s="926" t="n"/>
      <c r="K8" s="926" t="n"/>
      <c r="L8" s="926" t="n"/>
    </row>
    <row r="9">
      <c r="B9" s="81" t="inlineStr">
        <is>
          <t>Common Equity Payout @ Exit</t>
        </is>
      </c>
      <c r="D9" s="81" t="inlineStr">
        <is>
          <t>Common</t>
        </is>
      </c>
      <c r="F9" s="81" t="inlineStr">
        <is>
          <t>Unrealized Value</t>
        </is>
      </c>
      <c r="I9" s="926" t="n"/>
      <c r="J9" s="228" t="n"/>
      <c r="K9" s="228" t="n"/>
      <c r="L9" s="926">
        <f>'III. Valuation Summary'!$H$25</f>
        <v/>
      </c>
    </row>
    <row r="10" outlineLevel="1">
      <c r="B10" s="81" t="inlineStr">
        <is>
          <t>Common Shares (Growth Investment)</t>
        </is>
      </c>
      <c r="D10" s="81" t="inlineStr">
        <is>
          <t>Common</t>
        </is>
      </c>
      <c r="G10" s="87" t="n"/>
      <c r="H10" s="87" t="n"/>
      <c r="I10" s="926" t="n"/>
      <c r="J10" s="926" t="n"/>
      <c r="K10" s="926" t="n"/>
      <c r="L10" s="926" t="n"/>
      <c r="M10" s="87" t="n"/>
      <c r="O10" s="88" t="n"/>
    </row>
    <row r="11" outlineLevel="1">
      <c r="B11" s="81" t="inlineStr">
        <is>
          <t>Founder share purchase</t>
        </is>
      </c>
      <c r="D11" s="81" t="inlineStr">
        <is>
          <t>Common</t>
        </is>
      </c>
      <c r="H11" s="927" t="n"/>
      <c r="I11" s="926" t="n"/>
      <c r="J11" s="926" t="n"/>
      <c r="K11" s="926" t="n"/>
      <c r="L11" s="926" t="n"/>
      <c r="M11" s="927" t="n"/>
    </row>
    <row r="12" outlineLevel="1">
      <c r="B12" s="81" t="inlineStr">
        <is>
          <t>Add-On Investments</t>
        </is>
      </c>
      <c r="H12" s="927" t="n"/>
      <c r="I12" s="926" t="n"/>
      <c r="J12" s="926" t="n"/>
      <c r="K12" s="926" t="n"/>
      <c r="L12" s="926" t="n"/>
      <c r="M12" s="927" t="n"/>
    </row>
    <row r="13" outlineLevel="1">
      <c r="B13" s="81" t="inlineStr">
        <is>
          <t>Add-On Investments</t>
        </is>
      </c>
      <c r="H13" s="927" t="n"/>
      <c r="I13" s="926" t="n"/>
      <c r="J13" s="926" t="n"/>
      <c r="K13" s="926" t="n"/>
      <c r="L13" s="926" t="n"/>
      <c r="M13" s="927" t="n"/>
    </row>
    <row r="14" outlineLevel="1">
      <c r="B14" s="81" t="inlineStr">
        <is>
          <t>Add-On Investments</t>
        </is>
      </c>
      <c r="H14" s="927" t="n"/>
      <c r="I14" s="926" t="n"/>
      <c r="J14" s="926" t="n"/>
      <c r="K14" s="926" t="n"/>
      <c r="L14" s="926" t="n"/>
      <c r="M14" s="927" t="n"/>
    </row>
    <row r="15" outlineLevel="1">
      <c r="B15" s="81" t="inlineStr">
        <is>
          <t>[X]</t>
        </is>
      </c>
      <c r="F15" s="81" t="inlineStr">
        <is>
          <t>Realized Value</t>
        </is>
      </c>
      <c r="H15" s="927" t="n"/>
      <c r="I15" s="926" t="n"/>
      <c r="J15" s="926" t="n"/>
      <c r="K15" s="926" t="n"/>
      <c r="L15" s="926" t="n"/>
      <c r="M15" s="927" t="n"/>
    </row>
    <row r="16" customFormat="1" s="90">
      <c r="B16" s="90" t="inlineStr">
        <is>
          <t>Blended Cash Flow</t>
        </is>
      </c>
      <c r="I16" s="928">
        <f>SUM(I8:I15)</f>
        <v/>
      </c>
      <c r="J16" s="928">
        <f>SUM(J8:J15)</f>
        <v/>
      </c>
      <c r="K16" s="928">
        <f>SUM(K8:K15)</f>
        <v/>
      </c>
      <c r="L16" s="928">
        <f>SUM(L8:L15)</f>
        <v/>
      </c>
    </row>
    <row r="17">
      <c r="H17" s="927" t="n"/>
      <c r="I17" s="927" t="n"/>
      <c r="J17" s="927" t="n"/>
      <c r="K17" s="927" t="n"/>
      <c r="L17" s="927" t="n"/>
      <c r="M17" s="927" t="n"/>
    </row>
    <row r="18">
      <c r="B18" s="92" t="inlineStr">
        <is>
          <t>Total Investments</t>
        </is>
      </c>
      <c r="C18" s="93" t="n"/>
      <c r="D18" s="93" t="n"/>
      <c r="E18" s="93" t="n"/>
      <c r="F18" s="929">
        <f>SUM(I16:K16)</f>
        <v/>
      </c>
      <c r="G18" s="930" t="n"/>
      <c r="H18" s="927" t="n"/>
      <c r="I18" s="927" t="n"/>
      <c r="J18" s="927" t="n"/>
      <c r="K18" s="927" t="n"/>
      <c r="L18" s="927" t="n"/>
      <c r="M18" s="927" t="n"/>
    </row>
    <row r="19">
      <c r="F19" s="931" t="n"/>
      <c r="H19" s="927" t="n"/>
      <c r="I19" s="927" t="n"/>
      <c r="J19" s="927" t="n"/>
      <c r="K19" s="927" t="n"/>
      <c r="L19" s="927" t="n"/>
      <c r="M19" s="927" t="n"/>
    </row>
    <row r="20">
      <c r="B20" s="97" t="inlineStr">
        <is>
          <t>Realized Value</t>
        </is>
      </c>
      <c r="C20" s="98" t="n"/>
      <c r="D20" s="98" t="n"/>
      <c r="E20" s="98" t="n"/>
      <c r="F20" s="932">
        <f>SUMIF($F$8:$F$15,B20,$L$8:$L$15)</f>
        <v/>
      </c>
      <c r="G20" s="933" t="n"/>
      <c r="H20" s="927" t="n"/>
      <c r="I20" s="927" t="n"/>
      <c r="J20" s="927" t="n"/>
      <c r="K20" s="927" t="n"/>
      <c r="L20" s="927" t="n"/>
      <c r="M20" s="927" t="n"/>
    </row>
    <row r="21">
      <c r="B21" s="101" t="inlineStr">
        <is>
          <t>Unrealized Value</t>
        </is>
      </c>
      <c r="F21" s="934">
        <f>SUMIF($F$8:$F$15,B21,$L$8:$L$15)</f>
        <v/>
      </c>
      <c r="G21" s="933" t="n"/>
      <c r="H21" s="927" t="n"/>
      <c r="I21" s="927" t="n"/>
      <c r="J21" s="927" t="n"/>
      <c r="K21" s="927" t="n"/>
      <c r="L21" s="927" t="n"/>
      <c r="M21" s="927" t="n"/>
    </row>
    <row r="22">
      <c r="B22" s="103" t="inlineStr">
        <is>
          <t>Total Realized &amp; Unrealized Value</t>
        </is>
      </c>
      <c r="C22" s="104" t="n"/>
      <c r="D22" s="104" t="n"/>
      <c r="E22" s="104" t="n"/>
      <c r="F22" s="935">
        <f>F20+F21</f>
        <v/>
      </c>
      <c r="G22" s="933" t="n"/>
      <c r="H22" s="927" t="n"/>
      <c r="I22" s="927" t="n"/>
      <c r="J22" s="927" t="n"/>
      <c r="K22" s="927" t="n"/>
      <c r="L22" s="927" t="n"/>
      <c r="M22" s="927" t="n"/>
    </row>
    <row r="23">
      <c r="F23" s="933" t="n"/>
      <c r="G23" s="933" t="n"/>
      <c r="H23" s="927" t="n"/>
      <c r="I23" s="927" t="n"/>
      <c r="J23" s="927" t="n"/>
      <c r="K23" s="927" t="n"/>
      <c r="L23" s="927" t="n"/>
      <c r="M23" s="927" t="n"/>
    </row>
    <row r="24">
      <c r="B24" s="97" t="inlineStr">
        <is>
          <t>Realized ROI</t>
        </is>
      </c>
      <c r="C24" s="98" t="n"/>
      <c r="D24" s="98" t="n"/>
      <c r="E24" s="98" t="n"/>
      <c r="F24" s="936">
        <f>-F20/$F$18</f>
        <v/>
      </c>
      <c r="G24" s="937" t="n"/>
      <c r="H24" s="927" t="n"/>
      <c r="I24" s="927" t="n"/>
      <c r="J24" s="927" t="n"/>
      <c r="K24" s="927" t="n"/>
      <c r="L24" s="927" t="n"/>
      <c r="M24" s="927" t="n"/>
    </row>
    <row r="25">
      <c r="B25" s="101" t="inlineStr">
        <is>
          <t>Unrealized ROI</t>
        </is>
      </c>
      <c r="F25" s="938">
        <f>-F21/$F$18</f>
        <v/>
      </c>
      <c r="G25" s="937" t="n"/>
      <c r="H25" s="927" t="n"/>
      <c r="I25" s="927" t="n"/>
      <c r="J25" s="927" t="n"/>
      <c r="K25" s="927" t="n"/>
      <c r="L25" s="927" t="n"/>
      <c r="M25" s="927" t="n"/>
    </row>
    <row r="26" customFormat="1" s="90">
      <c r="B26" s="103" t="inlineStr">
        <is>
          <t>Realized &amp; Unrealized ROI</t>
        </is>
      </c>
      <c r="C26" s="104" t="n"/>
      <c r="D26" s="104" t="n"/>
      <c r="E26" s="104" t="n"/>
      <c r="F26" s="939">
        <f>-F22/$F$18</f>
        <v/>
      </c>
      <c r="G26" s="940" t="n"/>
      <c r="H26" s="941" t="n"/>
      <c r="I26" s="941" t="n"/>
      <c r="J26" s="941" t="n"/>
      <c r="K26" s="941" t="n"/>
      <c r="L26" s="941" t="n"/>
      <c r="M26" s="941" t="n"/>
    </row>
    <row r="27" customFormat="1" s="112">
      <c r="F27" s="113" t="n"/>
      <c r="G27" s="113" t="n"/>
      <c r="H27" s="942" t="n"/>
      <c r="I27" s="943" t="n"/>
      <c r="J27" s="943" t="n"/>
      <c r="K27" s="943" t="n"/>
      <c r="L27" s="943" t="n"/>
      <c r="M27" s="942" t="n"/>
    </row>
    <row r="28" customFormat="1" s="90">
      <c r="B28" s="116" t="inlineStr">
        <is>
          <t>IRR</t>
        </is>
      </c>
      <c r="C28" s="117" t="n"/>
      <c r="D28" s="117" t="n"/>
      <c r="E28" s="117" t="n"/>
      <c r="F28" s="944">
        <f>IFERROR(XIRR(I16:L16,I5:L5),"NM")</f>
        <v/>
      </c>
      <c r="G28" s="119" t="n"/>
      <c r="H28" s="941" t="n"/>
      <c r="I28" s="945" t="n"/>
      <c r="J28" s="945" t="n"/>
      <c r="K28" s="945" t="n"/>
      <c r="L28" s="945" t="n"/>
      <c r="M28" s="941" t="n"/>
    </row>
    <row r="29">
      <c r="F29" s="946" t="n"/>
      <c r="G29" s="933" t="n"/>
      <c r="H29" s="927" t="n"/>
      <c r="I29" s="927" t="n"/>
      <c r="J29" s="927" t="n"/>
      <c r="K29" s="927" t="n"/>
      <c r="L29" s="927" t="n"/>
      <c r="M29" s="927" t="n"/>
    </row>
    <row r="31">
      <c r="B31" s="98" t="n"/>
      <c r="C31" s="98" t="n"/>
      <c r="D31" s="98" t="n"/>
      <c r="E31" s="98" t="n"/>
      <c r="F31" s="98" t="n"/>
      <c r="G31" s="98" t="n"/>
      <c r="H31" s="98" t="n"/>
      <c r="I31" s="98" t="n"/>
      <c r="J31" s="98" t="n"/>
      <c r="K31" s="98" t="n"/>
      <c r="L31" s="98" t="n"/>
    </row>
    <row r="41">
      <c r="J41" s="164" t="n"/>
    </row>
  </sheetData>
  <pageMargins left="0.7086614173228347" right="0.7086614173228347" top="0.7480314960629921" bottom="0.7480314960629921" header="0.3149606299212598" footer="0.3149606299212598"/>
  <pageSetup orientation="portrait" scale="66" fitToHeight="0"/>
</worksheet>
</file>

<file path=xl/worksheets/sheet21.xml><?xml version="1.0" encoding="utf-8"?>
<worksheet xmlns="http://schemas.openxmlformats.org/spreadsheetml/2006/main">
  <sheetPr>
    <outlinePr summaryBelow="1" summaryRight="1"/>
    <pageSetUpPr fitToPage="1"/>
  </sheetPr>
  <dimension ref="B1:AQ62"/>
  <sheetViews>
    <sheetView showGridLines="0" view="pageBreakPreview" zoomScale="85" zoomScaleNormal="85" zoomScaleSheetLayoutView="85" workbookViewId="0">
      <selection activeCell="A1" sqref="A1"/>
    </sheetView>
  </sheetViews>
  <sheetFormatPr baseColWidth="8" defaultColWidth="9.140625" defaultRowHeight="15"/>
  <cols>
    <col width="2.28515625" customWidth="1" min="1" max="1"/>
    <col width="42.42578125" bestFit="1" customWidth="1" min="2" max="2"/>
    <col width="20.7109375" customWidth="1" min="3" max="4"/>
    <col outlineLevel="2" width="20.7109375" customWidth="1" min="5" max="6"/>
    <col outlineLevel="1" width="20.7109375" customWidth="1" min="7" max="8"/>
    <col width="20.7109375" customWidth="1" min="9" max="14"/>
    <col width="22.85546875" bestFit="1" customWidth="1" min="15" max="15"/>
    <col width="9.7109375" customWidth="1" min="16" max="16"/>
    <col hidden="1" outlineLevel="1" width="12.7109375" customWidth="1" min="17" max="28"/>
    <col collapsed="1" width="12.5703125" customWidth="1" min="29" max="29"/>
    <col width="12.5703125" customWidth="1" min="30" max="43"/>
  </cols>
  <sheetData>
    <row r="1" ht="18.75" customFormat="1" customHeight="1" s="122">
      <c r="B1" s="247">
        <f>'I. Cover Page'!B5</f>
        <v/>
      </c>
      <c r="C1" s="247" t="n"/>
    </row>
    <row r="2" ht="16.5" customFormat="1" customHeight="1" s="122" thickBot="1">
      <c r="B2" s="249" t="inlineStr">
        <is>
          <t>Financial Summary</t>
        </is>
      </c>
      <c r="C2" s="249" t="n"/>
      <c r="D2" s="123" t="n"/>
      <c r="E2" s="123" t="n"/>
      <c r="F2" s="123" t="n"/>
      <c r="G2" s="123" t="n"/>
      <c r="H2" s="123" t="n"/>
      <c r="I2" s="123" t="n"/>
      <c r="J2" s="123" t="n"/>
      <c r="K2" s="123" t="n"/>
      <c r="L2" s="123" t="n"/>
      <c r="M2" s="123" t="n"/>
      <c r="N2" s="123" t="n"/>
      <c r="O2" s="123" t="n"/>
      <c r="P2" s="124" t="n"/>
    </row>
    <row r="3" ht="15.75" customFormat="1" customHeight="1" s="122" thickTop="1">
      <c r="B3" s="251">
        <f>'I. Cover Page'!B9</f>
        <v/>
      </c>
      <c r="C3" s="251" t="n"/>
      <c r="D3" s="125" t="n"/>
      <c r="E3" s="125" t="n"/>
      <c r="F3" s="125" t="n"/>
      <c r="G3" s="125" t="n"/>
      <c r="H3" s="125" t="n"/>
      <c r="I3" s="125" t="n"/>
      <c r="J3" s="125" t="n"/>
      <c r="K3" s="125" t="n"/>
      <c r="L3" s="125" t="n"/>
      <c r="M3" s="125" t="n"/>
      <c r="N3" s="125" t="n"/>
      <c r="O3" s="9" t="inlineStr">
        <is>
          <t>$USD</t>
        </is>
      </c>
      <c r="P3" s="9" t="n"/>
    </row>
    <row r="5" customFormat="1" s="133">
      <c r="B5" s="131" t="inlineStr">
        <is>
          <t>Financial Information Summary</t>
        </is>
      </c>
      <c r="C5" s="131" t="n"/>
      <c r="D5" s="132" t="n"/>
      <c r="E5" s="132" t="n"/>
      <c r="F5" s="132" t="n"/>
      <c r="G5" s="132" t="n"/>
      <c r="H5" s="132" t="n"/>
      <c r="I5" s="132" t="n"/>
      <c r="J5" s="132" t="n"/>
      <c r="K5" s="132" t="n"/>
      <c r="L5" s="132" t="n"/>
      <c r="M5" s="132" t="n"/>
      <c r="N5" s="132" t="n"/>
      <c r="O5" s="132" t="n"/>
    </row>
    <row r="6">
      <c r="B6" s="19" t="n"/>
      <c r="C6" s="19" t="n"/>
      <c r="I6" s="178" t="n"/>
      <c r="J6" s="537" t="inlineStr">
        <is>
          <t>PF for RP Adams</t>
        </is>
      </c>
      <c r="K6" s="537" t="inlineStr">
        <is>
          <t>PF for RP Adams</t>
        </is>
      </c>
      <c r="L6" s="537" t="inlineStr">
        <is>
          <t>PF for RP Adams</t>
        </is>
      </c>
      <c r="M6" s="537" t="inlineStr">
        <is>
          <t>PF for RP Adams + Yeary</t>
        </is>
      </c>
      <c r="N6" s="537" t="inlineStr">
        <is>
          <t>PF for Yeary</t>
        </is>
      </c>
      <c r="O6" s="179" t="n"/>
      <c r="P6" s="179" t="n"/>
    </row>
    <row r="7">
      <c r="B7" s="134" t="n"/>
      <c r="C7" s="134" t="n"/>
      <c r="D7" s="135" t="inlineStr">
        <is>
          <t>Acquisition</t>
        </is>
      </c>
      <c r="E7" s="135" t="inlineStr">
        <is>
          <t>Fiscal Year 2023</t>
        </is>
      </c>
      <c r="F7" s="135" t="inlineStr">
        <is>
          <t>LTM - March 2024</t>
        </is>
      </c>
      <c r="G7" s="135" t="inlineStr">
        <is>
          <t>LTM - June 2024</t>
        </is>
      </c>
      <c r="H7" s="135" t="inlineStr">
        <is>
          <t>LTM - September 2024</t>
        </is>
      </c>
      <c r="I7" s="135" t="inlineStr">
        <is>
          <t>FY 2024</t>
        </is>
      </c>
      <c r="J7" s="135" t="inlineStr">
        <is>
          <t>LTM - March 2025</t>
        </is>
      </c>
      <c r="K7" s="135" t="inlineStr">
        <is>
          <t>LTM - June 2025</t>
        </is>
      </c>
      <c r="L7" s="135" t="inlineStr">
        <is>
          <t>LTM - September 2025</t>
        </is>
      </c>
      <c r="M7" s="135" t="inlineStr">
        <is>
          <t>FY 2025</t>
        </is>
      </c>
      <c r="N7" s="135" t="inlineStr">
        <is>
          <t>LTM - March 2026</t>
        </is>
      </c>
      <c r="O7" s="135" t="inlineStr">
        <is>
          <t>Budget</t>
        </is>
      </c>
      <c r="P7" s="20" t="n"/>
      <c r="AA7" s="206" t="n"/>
      <c r="AB7" s="206" t="n"/>
    </row>
    <row r="8" ht="15.75" customHeight="1" thickBot="1">
      <c r="B8" s="134" t="n"/>
      <c r="C8" s="134" t="n"/>
      <c r="D8" s="360" t="n">
        <v>45261</v>
      </c>
      <c r="E8" s="136" t="inlineStr">
        <is>
          <t>Jan 2023 - Dec 2023</t>
        </is>
      </c>
      <c r="F8" s="168" t="inlineStr">
        <is>
          <t>April 2023-  Mar 2024</t>
        </is>
      </c>
      <c r="G8" s="136" t="inlineStr">
        <is>
          <t>Jul 2023- Jun 2024</t>
        </is>
      </c>
      <c r="H8" s="168" t="inlineStr">
        <is>
          <t>Oct 2023 -  Sept 2024</t>
        </is>
      </c>
      <c r="I8" s="136" t="inlineStr">
        <is>
          <t>Jan 2024 - Dec 2024</t>
        </is>
      </c>
      <c r="J8" s="168" t="inlineStr">
        <is>
          <t>April 2024-  Mar 2025</t>
        </is>
      </c>
      <c r="K8" s="168" t="inlineStr">
        <is>
          <t>July 2024 - June 2025</t>
        </is>
      </c>
      <c r="L8" s="168" t="inlineStr">
        <is>
          <t>Oct 2024 -  Sept 2025</t>
        </is>
      </c>
      <c r="M8" s="168" t="inlineStr">
        <is>
          <t>Jan 2025 -  Dec 2025</t>
        </is>
      </c>
      <c r="N8" s="168" t="inlineStr">
        <is>
          <t>April 2025-  Mar 2026</t>
        </is>
      </c>
      <c r="O8" s="136" t="inlineStr">
        <is>
          <t>Jan 2025 - Dec 2025</t>
        </is>
      </c>
      <c r="P8" s="206" t="n"/>
      <c r="Q8" s="947" t="n">
        <v>45322</v>
      </c>
      <c r="R8" s="947" t="n">
        <v>45351</v>
      </c>
      <c r="S8" s="947" t="n">
        <v>45382</v>
      </c>
      <c r="T8" s="947" t="n">
        <v>45412</v>
      </c>
      <c r="U8" s="947" t="n">
        <v>45443</v>
      </c>
      <c r="V8" s="947" t="n">
        <v>45473</v>
      </c>
      <c r="W8" s="947" t="n">
        <v>45504</v>
      </c>
      <c r="X8" s="947" t="n">
        <v>45535</v>
      </c>
      <c r="Y8" s="947" t="n">
        <v>45565</v>
      </c>
      <c r="Z8" s="947" t="n">
        <v>45596</v>
      </c>
      <c r="AA8" s="947" t="n">
        <v>45626</v>
      </c>
      <c r="AB8" s="947" t="n">
        <v>45657</v>
      </c>
      <c r="AC8" s="947" t="n">
        <v>45688</v>
      </c>
      <c r="AD8" s="947">
        <f>EOMONTH(AC8,1)</f>
        <v/>
      </c>
      <c r="AE8" s="947">
        <f>EOMONTH(AD8,1)</f>
        <v/>
      </c>
      <c r="AF8" s="947">
        <f>EOMONTH(AE8,1)</f>
        <v/>
      </c>
      <c r="AG8" s="947">
        <f>EOMONTH(AF8,1)</f>
        <v/>
      </c>
      <c r="AH8" s="947">
        <f>EOMONTH(AG8,1)</f>
        <v/>
      </c>
      <c r="AI8" s="947">
        <f>EOMONTH(AH8,1)</f>
        <v/>
      </c>
      <c r="AJ8" s="947">
        <f>EOMONTH(AI8,1)</f>
        <v/>
      </c>
      <c r="AK8" s="947">
        <f>EOMONTH(AJ8,1)</f>
        <v/>
      </c>
      <c r="AL8" s="947">
        <f>EOMONTH(AK8,1)</f>
        <v/>
      </c>
      <c r="AM8" s="947">
        <f>EOMONTH(AL8,1)</f>
        <v/>
      </c>
      <c r="AN8" s="947">
        <f>EOMONTH(AM8,1)</f>
        <v/>
      </c>
      <c r="AO8" s="947">
        <f>EOMONTH(AN8,1)</f>
        <v/>
      </c>
      <c r="AP8" s="947">
        <f>EOMONTH(AO8,1)</f>
        <v/>
      </c>
      <c r="AQ8" s="947">
        <f>EOMONTH(AP8,1)</f>
        <v/>
      </c>
    </row>
    <row r="9">
      <c r="B9" s="314" t="inlineStr">
        <is>
          <t>Opus Revenue</t>
        </is>
      </c>
      <c r="C9" s="314" t="n"/>
      <c r="D9" s="948" t="n"/>
      <c r="E9" s="206" t="n"/>
      <c r="F9" s="206" t="n"/>
      <c r="G9" s="206" t="n"/>
      <c r="H9" s="169" t="n"/>
      <c r="I9" s="169" t="n"/>
      <c r="J9" s="722">
        <f>SUM(T9:AE9)</f>
        <v/>
      </c>
      <c r="K9" s="722">
        <f>SUM(W9:AH9)</f>
        <v/>
      </c>
      <c r="L9" s="722">
        <f>SUM(Z9:AK9)</f>
        <v/>
      </c>
      <c r="M9" s="722">
        <f>SUM(AC9:AN9)</f>
        <v/>
      </c>
      <c r="N9" s="722">
        <f>SUM(AF9:AQ9)</f>
        <v/>
      </c>
      <c r="O9" s="206" t="n"/>
      <c r="P9" s="206" t="n"/>
      <c r="Q9" s="949" t="n">
        <v>440665.91</v>
      </c>
      <c r="R9" s="949" t="n">
        <v>383894.08</v>
      </c>
      <c r="S9" s="949" t="n">
        <v>583445.88</v>
      </c>
      <c r="T9" s="949" t="n">
        <v>522819.19</v>
      </c>
      <c r="U9" s="949" t="n">
        <v>623909.54</v>
      </c>
      <c r="V9" s="949" t="n">
        <v>554238.52</v>
      </c>
      <c r="W9" s="949" t="n">
        <v>554105.08</v>
      </c>
      <c r="X9" s="949" t="n">
        <v>744855.09</v>
      </c>
      <c r="Y9" s="949" t="n">
        <v>708488.99</v>
      </c>
      <c r="Z9" s="949" t="n">
        <v>605777.05</v>
      </c>
      <c r="AA9" s="949" t="n">
        <v>465681.31</v>
      </c>
      <c r="AB9" s="949" t="n">
        <v>400521.57</v>
      </c>
      <c r="AC9" s="949" t="n">
        <v>519951.33</v>
      </c>
      <c r="AD9" s="949" t="n">
        <v>1313013.16</v>
      </c>
      <c r="AE9" s="949" t="n">
        <v>2157588.06</v>
      </c>
      <c r="AF9" s="949" t="n">
        <v>2083207.86</v>
      </c>
      <c r="AG9" s="949" t="n">
        <v>1131620.94</v>
      </c>
      <c r="AH9" s="949" t="n">
        <v>1478180.06</v>
      </c>
      <c r="AI9" s="949" t="n">
        <v>1758316.49</v>
      </c>
      <c r="AJ9" s="949" t="n">
        <v>1413457.47</v>
      </c>
      <c r="AK9" s="949" t="n">
        <v>1824735.74</v>
      </c>
      <c r="AL9" s="949" t="n">
        <v>1621269.49</v>
      </c>
      <c r="AM9" s="949" t="n">
        <v>1288214.62</v>
      </c>
      <c r="AN9" s="949" t="n">
        <v>2349656.25</v>
      </c>
      <c r="AO9" s="949" t="n">
        <v>890161.2599999999</v>
      </c>
      <c r="AP9" s="949" t="n">
        <v>1938842.91</v>
      </c>
      <c r="AQ9" s="949" t="n">
        <v>1779097.45</v>
      </c>
    </row>
    <row r="10">
      <c r="B10" s="314" t="inlineStr">
        <is>
          <t>RP Adams Revenue</t>
        </is>
      </c>
      <c r="C10" s="314" t="n"/>
      <c r="D10" s="948" t="n"/>
      <c r="E10" s="206" t="n"/>
      <c r="F10" s="206" t="n"/>
      <c r="G10" s="206" t="n"/>
      <c r="H10" s="169" t="n"/>
      <c r="I10" s="169" t="n"/>
      <c r="J10" s="722">
        <f>SUM(T10:AE10)</f>
        <v/>
      </c>
      <c r="K10" s="722">
        <f>SUM(W10:AH10)</f>
        <v/>
      </c>
      <c r="L10" s="722">
        <f>SUM(Z10:AK10)</f>
        <v/>
      </c>
      <c r="M10" s="722">
        <f>SUM(AC10:AN10)</f>
        <v/>
      </c>
      <c r="N10" s="722">
        <f>SUM(AF10:AQ10)</f>
        <v/>
      </c>
      <c r="O10" s="206" t="n"/>
      <c r="P10" s="206" t="n"/>
      <c r="S10" s="949" t="n"/>
      <c r="T10" s="949" t="n">
        <v>970333.5999999997</v>
      </c>
      <c r="U10" s="949" t="n">
        <v>917838.4000000001</v>
      </c>
      <c r="V10" s="949" t="n">
        <v>646317.4300000007</v>
      </c>
      <c r="W10" s="949" t="n">
        <v>1043784.72</v>
      </c>
      <c r="X10" s="949" t="n">
        <v>1317438.57</v>
      </c>
      <c r="Y10" s="949" t="n">
        <v>913595.6400000001</v>
      </c>
      <c r="Z10" s="949" t="n">
        <v>875674.4500000003</v>
      </c>
      <c r="AA10" s="949" t="n">
        <v>829554.2299999991</v>
      </c>
      <c r="AB10" s="949" t="n">
        <v>739812.4700000014</v>
      </c>
      <c r="AC10" s="949" t="n">
        <v>936677.3799999993</v>
      </c>
      <c r="AD10" s="949" t="n">
        <v>641032.1499999999</v>
      </c>
      <c r="AE10" s="949" t="n"/>
    </row>
    <row r="11">
      <c r="B11" s="314" t="inlineStr">
        <is>
          <t>Yeary Controls Revenue</t>
        </is>
      </c>
      <c r="C11" s="314" t="n"/>
      <c r="D11" s="948" t="n"/>
      <c r="E11" s="206" t="n"/>
      <c r="F11" s="206" t="n"/>
      <c r="G11" s="206" t="n"/>
      <c r="H11" s="169" t="n"/>
      <c r="I11" s="169" t="n"/>
      <c r="J11" s="169" t="n"/>
      <c r="K11" s="169" t="n"/>
      <c r="L11" s="169" t="n"/>
      <c r="M11" s="722">
        <f>SUM(AC11:AN11)</f>
        <v/>
      </c>
      <c r="N11" s="722">
        <f>SUM(AF11:AQ11)</f>
        <v/>
      </c>
      <c r="O11" s="206" t="n"/>
      <c r="P11" s="206" t="n"/>
      <c r="Q11" s="949" t="n"/>
      <c r="R11" s="949" t="n"/>
      <c r="S11" s="949" t="n"/>
      <c r="AC11" s="949" t="n">
        <v>91371.25</v>
      </c>
      <c r="AD11" s="949" t="n">
        <v>140634.75</v>
      </c>
      <c r="AE11" s="949" t="n">
        <v>871204.1</v>
      </c>
      <c r="AF11" s="949" t="n">
        <v>122638.2</v>
      </c>
      <c r="AG11" s="949" t="n">
        <v>253544</v>
      </c>
      <c r="AH11" s="949" t="n">
        <v>522588.58</v>
      </c>
      <c r="AI11" s="949" t="n">
        <v>293851.7000000001</v>
      </c>
      <c r="AJ11" s="949" t="n">
        <v>77550.78000000003</v>
      </c>
      <c r="AK11" s="949" t="n">
        <v>210778.38</v>
      </c>
      <c r="AL11" s="949" t="n">
        <v>62134</v>
      </c>
    </row>
    <row r="12" ht="15" customHeight="1">
      <c r="B12" s="137" t="inlineStr">
        <is>
          <t>Revenue</t>
        </is>
      </c>
      <c r="C12" s="137" t="n"/>
      <c r="D12" s="138" t="n">
        <v>5569009.57</v>
      </c>
      <c r="E12" s="950" t="n">
        <v>5567536.189999999</v>
      </c>
      <c r="F12" s="950" t="n">
        <v>5622660.369999999</v>
      </c>
      <c r="G12" s="950" t="n">
        <v>5671675.22</v>
      </c>
      <c r="H12" s="951" t="n">
        <v>6077745.79</v>
      </c>
      <c r="I12" s="952">
        <f>SUM(Q9:AB9)</f>
        <v/>
      </c>
      <c r="J12" s="952">
        <f>SUM(J9:J11)</f>
        <v/>
      </c>
      <c r="K12" s="952">
        <f>SUM(W12:AH12)</f>
        <v/>
      </c>
      <c r="L12" s="952">
        <f>SUM(Z12:AK12)</f>
        <v/>
      </c>
      <c r="M12" s="952">
        <f>SUM(AC12:AN12)</f>
        <v/>
      </c>
      <c r="N12" s="952">
        <f>SUM(N9:N11)</f>
        <v/>
      </c>
      <c r="O12" s="951" t="n">
        <v>0</v>
      </c>
      <c r="P12" s="315" t="n"/>
      <c r="Q12" s="953">
        <f>SUM(Q9:Q11)</f>
        <v/>
      </c>
      <c r="R12" s="953">
        <f>SUM(R9:R11)</f>
        <v/>
      </c>
      <c r="S12" s="953">
        <f>SUM(S9:S11)</f>
        <v/>
      </c>
      <c r="T12" s="953">
        <f>SUM(T9:T11)</f>
        <v/>
      </c>
      <c r="U12" s="953">
        <f>SUM(U9:U11)</f>
        <v/>
      </c>
      <c r="V12" s="953">
        <f>SUM(V9:V11)</f>
        <v/>
      </c>
      <c r="W12" s="953">
        <f>SUM(W9:W11)</f>
        <v/>
      </c>
      <c r="X12" s="953">
        <f>SUM(X9:X11)</f>
        <v/>
      </c>
      <c r="Y12" s="953">
        <f>SUM(Y9:Y11)</f>
        <v/>
      </c>
      <c r="Z12" s="953">
        <f>SUM(Z9:Z11)</f>
        <v/>
      </c>
      <c r="AA12" s="953">
        <f>SUM(AA9:AA11)</f>
        <v/>
      </c>
      <c r="AB12" s="953">
        <f>SUM(AB9:AB11)</f>
        <v/>
      </c>
      <c r="AC12" s="953">
        <f>SUM(AC9:AC11)</f>
        <v/>
      </c>
      <c r="AD12" s="953">
        <f>SUM(AD9:AD11)</f>
        <v/>
      </c>
      <c r="AE12" s="953">
        <f>SUM(AE9:AE11)</f>
        <v/>
      </c>
      <c r="AF12" s="953">
        <f>SUM(AF9:AF11)</f>
        <v/>
      </c>
      <c r="AG12" s="953">
        <f>SUM(AG9:AG11)</f>
        <v/>
      </c>
      <c r="AH12" s="953">
        <f>SUM(AH9:AH11)</f>
        <v/>
      </c>
      <c r="AI12" s="953">
        <f>SUM(AI9:AI11)</f>
        <v/>
      </c>
      <c r="AJ12" s="953">
        <f>SUM(AJ9:AJ11)</f>
        <v/>
      </c>
      <c r="AK12" s="953">
        <f>SUM(AK9:AK11)</f>
        <v/>
      </c>
      <c r="AL12" s="953">
        <f>SUM(AL9:AL11)</f>
        <v/>
      </c>
      <c r="AM12" s="953">
        <f>SUM(AM9:AM11)</f>
        <v/>
      </c>
      <c r="AN12" s="953">
        <f>SUM(AN9:AN11)</f>
        <v/>
      </c>
      <c r="AO12" s="953">
        <f>SUM(AO9:AO11)</f>
        <v/>
      </c>
      <c r="AP12" s="953">
        <f>SUM(AP9:AP11)</f>
        <v/>
      </c>
      <c r="AQ12" s="953">
        <f>SUM(AQ9:AQ11)</f>
        <v/>
      </c>
    </row>
    <row r="13" ht="15" customHeight="1">
      <c r="B13" s="314" t="inlineStr">
        <is>
          <t>Opus EBITDA</t>
        </is>
      </c>
      <c r="C13" s="314" t="n"/>
      <c r="D13" s="315" t="n"/>
      <c r="E13" s="315" t="n"/>
      <c r="F13" s="315" t="n"/>
      <c r="G13" s="315" t="n"/>
      <c r="H13" s="315" t="n"/>
      <c r="I13" s="315" t="n"/>
      <c r="J13" s="315" t="n"/>
      <c r="K13" s="315" t="n"/>
      <c r="L13" s="315" t="n"/>
      <c r="M13" s="315" t="n"/>
      <c r="N13" s="315" t="n"/>
      <c r="O13" s="315" t="n"/>
      <c r="P13" s="954" t="n"/>
      <c r="Q13" s="435" t="n">
        <v>-233370.7699999999</v>
      </c>
      <c r="R13" s="435" t="n">
        <v>-215832.03</v>
      </c>
      <c r="S13" s="435" t="n">
        <v>-8836.119999999937</v>
      </c>
      <c r="T13" s="435" t="n">
        <v>-77043.17</v>
      </c>
      <c r="U13" s="435" t="n">
        <v>-87933.26999999984</v>
      </c>
      <c r="V13" s="435" t="n">
        <v>-4177.430000000095</v>
      </c>
      <c r="W13" s="435" t="n">
        <v>-57258.44000000018</v>
      </c>
      <c r="X13" s="435" t="n">
        <v>-11858.99000000017</v>
      </c>
      <c r="Y13" s="435" t="n">
        <v>196493.9100000001</v>
      </c>
      <c r="Z13" s="435" t="n">
        <v>121265.7900000001</v>
      </c>
      <c r="AA13" s="435" t="n">
        <v>-467729.9799999997</v>
      </c>
      <c r="AB13" s="435" t="n">
        <v>-455335.8499999997</v>
      </c>
      <c r="AC13" s="435" t="n">
        <v>-40970.90999999997</v>
      </c>
      <c r="AD13" s="435" t="n">
        <v>227050.1299999999</v>
      </c>
      <c r="AE13" s="435" t="n">
        <v>232486.66</v>
      </c>
      <c r="AF13" s="435" t="n">
        <v>166011.2199999996</v>
      </c>
      <c r="AG13" s="435" t="n">
        <v>-419184.96</v>
      </c>
      <c r="AH13" s="435" t="n">
        <v>-107942.57</v>
      </c>
      <c r="AI13" s="435" t="n">
        <v>-376427.0499999999</v>
      </c>
      <c r="AJ13" s="435" t="n">
        <v>-5735.579999999899</v>
      </c>
      <c r="AK13" s="435" t="n">
        <v>43437.91999999979</v>
      </c>
      <c r="AL13" s="435" t="n">
        <v>-167551.11</v>
      </c>
      <c r="AM13" s="435" t="n">
        <v>-208036.7400000004</v>
      </c>
      <c r="AN13" s="435" t="n">
        <v>334935.7900000002</v>
      </c>
      <c r="AO13" s="435" t="n">
        <v>-624505.5200000004</v>
      </c>
      <c r="AP13" s="435" t="n">
        <v>234015.5599999996</v>
      </c>
      <c r="AQ13" s="435" t="n">
        <v>1674.299999999987</v>
      </c>
    </row>
    <row r="14" ht="15" customHeight="1">
      <c r="B14" s="314" t="inlineStr">
        <is>
          <t>RP Adams EBITDA</t>
        </is>
      </c>
      <c r="C14" s="314" t="n"/>
      <c r="D14" s="315" t="n"/>
      <c r="E14" s="315" t="n"/>
      <c r="F14" s="315" t="n"/>
      <c r="G14" s="315" t="n"/>
      <c r="H14" s="315" t="n"/>
      <c r="I14" s="315" t="n"/>
      <c r="J14" s="315" t="n"/>
      <c r="K14" s="315" t="n"/>
      <c r="L14" s="315" t="n"/>
      <c r="M14" s="315" t="n"/>
      <c r="N14" s="315" t="n"/>
      <c r="O14" s="315" t="n"/>
      <c r="P14" s="954" t="n"/>
      <c r="Q14" s="435" t="n"/>
      <c r="R14" s="435" t="n"/>
      <c r="T14" s="435" t="n">
        <v>97526.31999999999</v>
      </c>
      <c r="U14" s="435" t="n">
        <v>48051.3000000001</v>
      </c>
      <c r="V14" s="435" t="n">
        <v>-106815.3999999991</v>
      </c>
      <c r="W14" s="435" t="n">
        <v>150958.7199999997</v>
      </c>
      <c r="X14" s="435" t="n">
        <v>335371.0399999996</v>
      </c>
      <c r="Y14" s="435" t="n">
        <v>47426.95999999967</v>
      </c>
      <c r="Z14" s="435" t="n">
        <v>153218.2600000007</v>
      </c>
      <c r="AA14" s="435" t="n">
        <v>-29024.80000000052</v>
      </c>
      <c r="AB14" s="435" t="n">
        <v>-22476.33999999882</v>
      </c>
      <c r="AC14" s="435" t="n">
        <v>273530.9199999996</v>
      </c>
      <c r="AD14" s="435" t="n">
        <v>50497.70999999996</v>
      </c>
      <c r="AE14" s="435" t="n"/>
      <c r="AK14" s="435" t="n"/>
      <c r="AL14" s="435" t="n"/>
      <c r="AM14" s="435" t="n"/>
      <c r="AN14" s="435" t="n"/>
      <c r="AO14" s="435" t="n"/>
      <c r="AP14" s="435" t="n"/>
      <c r="AQ14" s="435" t="n"/>
    </row>
    <row r="15" ht="15" customHeight="1">
      <c r="B15" s="314" t="inlineStr">
        <is>
          <t>Yeary Controls EBITDA</t>
        </is>
      </c>
      <c r="C15" s="314" t="n"/>
      <c r="D15" s="315" t="n"/>
      <c r="E15" s="315" t="n"/>
      <c r="F15" s="315" t="n"/>
      <c r="G15" s="315" t="n"/>
      <c r="H15" s="315" t="n"/>
      <c r="I15" s="315" t="n"/>
      <c r="J15" s="315" t="n"/>
      <c r="K15" s="315" t="n"/>
      <c r="L15" s="315" t="n"/>
      <c r="M15" s="315" t="n"/>
      <c r="N15" s="315" t="n"/>
      <c r="O15" s="315" t="n"/>
      <c r="P15" s="954" t="n"/>
      <c r="Q15" s="955" t="n"/>
      <c r="AC15" s="435" t="n">
        <v>8273.510000000009</v>
      </c>
      <c r="AD15" s="435" t="n">
        <v>13262.66999999998</v>
      </c>
      <c r="AE15" s="435" t="n">
        <v>193513.6299999999</v>
      </c>
      <c r="AF15" s="435" t="n">
        <v>16377.53</v>
      </c>
      <c r="AG15" s="435" t="n">
        <v>58656.07000000009</v>
      </c>
      <c r="AH15" s="435" t="n">
        <v>112282.62</v>
      </c>
      <c r="AI15" s="435" t="n">
        <v>92264.19000000015</v>
      </c>
      <c r="AJ15" s="435" t="n">
        <v>-79211.40000000002</v>
      </c>
      <c r="AK15" s="435" t="n">
        <v>66536.39000000004</v>
      </c>
      <c r="AL15" s="435" t="n">
        <v>-61523.54</v>
      </c>
      <c r="AM15" s="435" t="n"/>
      <c r="AN15" s="435" t="n"/>
      <c r="AO15" s="435" t="n"/>
      <c r="AP15" s="435" t="n"/>
      <c r="AQ15" s="435" t="n"/>
    </row>
    <row r="16" ht="15" customHeight="1">
      <c r="B16" s="139" t="inlineStr">
        <is>
          <t>EBITDA</t>
        </is>
      </c>
      <c r="C16" s="139" t="n"/>
      <c r="D16" s="140" t="n">
        <v>617506.0799999998</v>
      </c>
      <c r="E16" s="956" t="n">
        <v>738259.0799999997</v>
      </c>
      <c r="F16" s="956" t="n">
        <v>172391.9</v>
      </c>
      <c r="G16" s="956" t="n">
        <v>-409431.0699999998</v>
      </c>
      <c r="H16" s="956" t="n">
        <v>-633888.1300000002</v>
      </c>
      <c r="I16" s="957">
        <f>SUM(Q13:AB13)</f>
        <v/>
      </c>
      <c r="J16" s="957">
        <f>SUM(T16:AE16)</f>
        <v/>
      </c>
      <c r="K16" s="957">
        <f>SUM(W16:AH16)</f>
        <v/>
      </c>
      <c r="L16" s="957">
        <f>SUM(Z16:AK16)</f>
        <v/>
      </c>
      <c r="M16" s="957">
        <f>SUM(AC16:AN16)</f>
        <v/>
      </c>
      <c r="N16" s="957">
        <f>SUM(AF16:AQ16)</f>
        <v/>
      </c>
      <c r="O16" s="956">
        <f>SUM(O13:O15)</f>
        <v/>
      </c>
      <c r="P16" s="140" t="n"/>
      <c r="Q16" s="953">
        <f>SUM(Q13:Q15)</f>
        <v/>
      </c>
      <c r="R16" s="953">
        <f>SUM(R13:R15)</f>
        <v/>
      </c>
      <c r="S16" s="953">
        <f>SUM(S13:S15)</f>
        <v/>
      </c>
      <c r="T16" s="953">
        <f>SUM(T13:T15)</f>
        <v/>
      </c>
      <c r="U16" s="953">
        <f>SUM(U13:U15)</f>
        <v/>
      </c>
      <c r="V16" s="953">
        <f>SUM(V13:V15)</f>
        <v/>
      </c>
      <c r="W16" s="953">
        <f>SUM(W13:W15)</f>
        <v/>
      </c>
      <c r="X16" s="953">
        <f>SUM(X13:X15)</f>
        <v/>
      </c>
      <c r="Y16" s="953">
        <f>SUM(Y13:Y15)</f>
        <v/>
      </c>
      <c r="Z16" s="953">
        <f>SUM(Z13:Z15)</f>
        <v/>
      </c>
      <c r="AA16" s="953">
        <f>SUM(AA13:AA15)</f>
        <v/>
      </c>
      <c r="AB16" s="953">
        <f>SUM(AB13:AB15)</f>
        <v/>
      </c>
      <c r="AC16" s="953">
        <f>SUM(AC13:AC15)</f>
        <v/>
      </c>
      <c r="AD16" s="953">
        <f>SUM(AD13:AD15)</f>
        <v/>
      </c>
      <c r="AE16" s="953">
        <f>SUM(AE13:AE15)</f>
        <v/>
      </c>
      <c r="AF16" s="953">
        <f>SUM(AF13:AF15)</f>
        <v/>
      </c>
      <c r="AG16" s="953">
        <f>SUM(AG13:AG15)</f>
        <v/>
      </c>
      <c r="AH16" s="953">
        <f>SUM(AH13:AH15)</f>
        <v/>
      </c>
      <c r="AI16" s="953">
        <f>SUM(AI13:AI15)</f>
        <v/>
      </c>
      <c r="AJ16" s="953">
        <f>SUM(AJ13:AJ15)</f>
        <v/>
      </c>
      <c r="AK16" s="953">
        <f>SUM(AK13:AK15)</f>
        <v/>
      </c>
      <c r="AL16" s="953">
        <f>SUM(AL13:AL15)</f>
        <v/>
      </c>
      <c r="AM16" s="953">
        <f>SUM(AM13:AM15)</f>
        <v/>
      </c>
      <c r="AN16" s="953">
        <f>SUM(AN13:AN15)</f>
        <v/>
      </c>
      <c r="AO16" s="953">
        <f>SUM(AO13:AO15)</f>
        <v/>
      </c>
      <c r="AP16" s="953">
        <f>SUM(AP13:AP15)</f>
        <v/>
      </c>
      <c r="AQ16" s="953">
        <f>SUM(AQ13:AQ15)</f>
        <v/>
      </c>
    </row>
    <row r="17">
      <c r="B17" s="317" t="inlineStr">
        <is>
          <t>YTD Adjustments</t>
        </is>
      </c>
      <c r="C17" s="317" t="n"/>
      <c r="D17" s="141" t="n"/>
      <c r="E17" s="697" t="n"/>
      <c r="F17" s="141" t="n"/>
      <c r="G17" s="956" t="n">
        <v>1029088.77</v>
      </c>
      <c r="H17" s="956" t="n">
        <v>1294656.27</v>
      </c>
      <c r="I17" s="956">
        <f>SUM(Q17:AB17)</f>
        <v/>
      </c>
      <c r="J17" s="956" t="n"/>
      <c r="K17" s="956" t="n"/>
      <c r="L17" s="956" t="n"/>
      <c r="M17" s="956" t="n"/>
      <c r="N17" s="956" t="n"/>
      <c r="O17" s="956" t="n"/>
      <c r="P17" s="697" t="n"/>
      <c r="Q17" s="408" t="n"/>
      <c r="R17" s="408" t="n"/>
      <c r="S17" s="408" t="n"/>
      <c r="T17" s="408" t="n"/>
      <c r="U17" s="408" t="n"/>
      <c r="V17" s="408" t="n"/>
      <c r="W17" s="408" t="n"/>
      <c r="X17" s="408" t="n"/>
      <c r="Y17" s="408" t="n"/>
      <c r="Z17" s="408" t="n"/>
      <c r="AA17" s="408" t="n"/>
      <c r="AB17" s="408" t="n"/>
      <c r="AC17" s="408" t="n"/>
      <c r="AD17" s="408" t="n"/>
      <c r="AE17" s="408" t="n"/>
      <c r="AF17" s="408" t="n"/>
      <c r="AG17" s="408" t="n"/>
      <c r="AH17" s="408" t="n"/>
      <c r="AI17" s="408" t="n"/>
      <c r="AJ17" s="408" t="n"/>
      <c r="AK17" s="408" t="n"/>
      <c r="AL17" s="408" t="n"/>
      <c r="AM17" s="408" t="n"/>
      <c r="AN17" s="408" t="n"/>
      <c r="AO17" s="408" t="n"/>
      <c r="AP17" s="408" t="n"/>
      <c r="AQ17" s="408" t="n"/>
    </row>
    <row r="18">
      <c r="B18" s="317" t="inlineStr">
        <is>
          <t>2023 Adjustments</t>
        </is>
      </c>
      <c r="C18" s="317" t="n"/>
      <c r="D18" s="141" t="n"/>
      <c r="E18" s="697" t="n"/>
      <c r="F18" s="141" t="n"/>
      <c r="G18" s="956" t="n">
        <v>136381.55</v>
      </c>
      <c r="H18" s="956" t="n">
        <v>127048.25</v>
      </c>
      <c r="I18" s="956">
        <f>SUM(Q18:AB18)</f>
        <v/>
      </c>
      <c r="J18" s="956" t="n"/>
      <c r="K18" s="956" t="n"/>
      <c r="L18" s="956" t="n"/>
      <c r="M18" s="956" t="n"/>
      <c r="N18" s="956" t="n"/>
      <c r="O18" s="956" t="n"/>
      <c r="P18" s="697" t="n"/>
      <c r="Q18" s="408" t="n"/>
      <c r="R18" s="408" t="n"/>
      <c r="S18" s="408" t="n"/>
      <c r="T18" s="408" t="n"/>
      <c r="U18" s="408" t="n"/>
      <c r="V18" s="408" t="n"/>
      <c r="W18" s="408" t="n"/>
      <c r="X18" s="408" t="n"/>
      <c r="Y18" s="408" t="n"/>
      <c r="Z18" s="408" t="n"/>
      <c r="AA18" s="408" t="n"/>
      <c r="AB18" s="408" t="n"/>
      <c r="AC18" s="408" t="n"/>
      <c r="AD18" s="408" t="n"/>
      <c r="AE18" s="408" t="n"/>
      <c r="AF18" s="408" t="n"/>
      <c r="AG18" s="408" t="n"/>
      <c r="AH18" s="408" t="n"/>
      <c r="AI18" s="408" t="n"/>
      <c r="AJ18" s="408" t="n"/>
      <c r="AK18" s="408" t="n"/>
      <c r="AL18" s="408" t="n"/>
      <c r="AM18" s="408" t="n"/>
      <c r="AN18" s="408" t="n"/>
      <c r="AO18" s="408" t="n"/>
      <c r="AP18" s="408" t="n"/>
      <c r="AQ18" s="408" t="n"/>
    </row>
    <row r="19">
      <c r="B19" s="317" t="inlineStr">
        <is>
          <t>ADJUSTMENT: Day Bonus and Associated Taxes</t>
        </is>
      </c>
      <c r="C19" s="317" t="n"/>
      <c r="D19" s="141" t="n"/>
      <c r="E19" s="697" t="n"/>
      <c r="F19" s="141" t="n"/>
      <c r="G19" s="956" t="n"/>
      <c r="H19" s="958" t="n"/>
      <c r="I19" s="141">
        <f>SUM(Q19:AB19)</f>
        <v/>
      </c>
      <c r="J19" s="141">
        <f>SUM(T19:AE19)</f>
        <v/>
      </c>
      <c r="K19" s="141">
        <f>SUM(W19:AH19)</f>
        <v/>
      </c>
      <c r="L19" s="141">
        <f>SUM(Z19:AK19)</f>
        <v/>
      </c>
      <c r="M19" s="141">
        <f>SUM(AC19:AN19)</f>
        <v/>
      </c>
      <c r="N19" s="141">
        <f>SUM(AF19:AQ19)</f>
        <v/>
      </c>
      <c r="O19" s="697" t="n"/>
      <c r="P19" s="697" t="n"/>
      <c r="Q19" s="406" t="n">
        <v>64844.94</v>
      </c>
      <c r="R19" s="406" t="n"/>
      <c r="S19" s="406" t="n"/>
      <c r="T19" s="406" t="n"/>
      <c r="U19" s="406" t="n"/>
      <c r="V19" s="406" t="n"/>
      <c r="W19" s="406" t="n"/>
      <c r="AC19" s="406" t="n"/>
      <c r="AD19" s="406" t="n"/>
      <c r="AE19" s="406" t="n"/>
      <c r="AF19" s="406" t="n"/>
      <c r="AG19" s="406" t="n"/>
      <c r="AH19" s="406" t="n"/>
      <c r="AI19" s="406" t="n"/>
    </row>
    <row r="20">
      <c r="B20" s="317" t="inlineStr">
        <is>
          <t>ADJUSTMENT: M&amp;A related T&amp;E</t>
        </is>
      </c>
      <c r="C20" s="423" t="n"/>
      <c r="D20" s="141" t="n"/>
      <c r="E20" s="697" t="n"/>
      <c r="F20" s="141" t="n"/>
      <c r="G20" s="956" t="n"/>
      <c r="H20" s="958" t="n"/>
      <c r="I20" s="141">
        <f>SUM(Q20:AB20)</f>
        <v/>
      </c>
      <c r="J20" s="141">
        <f>SUM(T20:AE20)</f>
        <v/>
      </c>
      <c r="K20" s="141">
        <f>SUM(W20:AH20)</f>
        <v/>
      </c>
      <c r="L20" s="141">
        <f>SUM(Z20:AK20)</f>
        <v/>
      </c>
      <c r="M20" s="141">
        <f>SUM(AC20:AN20)</f>
        <v/>
      </c>
      <c r="N20" s="141">
        <f>SUM(AF20:AQ20)</f>
        <v/>
      </c>
      <c r="O20" s="697" t="n"/>
      <c r="P20" s="697" t="n"/>
      <c r="Q20" s="406" t="n">
        <v>5012.63</v>
      </c>
      <c r="R20" s="406" t="n">
        <v>3621.78</v>
      </c>
      <c r="S20" s="406" t="n">
        <v>1905.1</v>
      </c>
      <c r="T20" s="406" t="n">
        <v>1595.6</v>
      </c>
      <c r="U20" s="406" t="n">
        <v>12042.15</v>
      </c>
      <c r="V20" s="406" t="n">
        <v>0</v>
      </c>
      <c r="W20" s="406" t="n">
        <v>2115.46</v>
      </c>
      <c r="X20" s="406" t="n">
        <v>3836.42</v>
      </c>
      <c r="Y20" s="406" t="n">
        <v>4488.83</v>
      </c>
      <c r="Z20" s="406" t="n">
        <v>2327.85</v>
      </c>
      <c r="AA20" s="406" t="n">
        <v>8136.53</v>
      </c>
      <c r="AB20" s="406" t="n">
        <v>4181.95</v>
      </c>
      <c r="AC20" s="406" t="n">
        <v>-141284.86</v>
      </c>
      <c r="AD20" s="406" t="n">
        <v>-26791.66</v>
      </c>
      <c r="AE20" s="406" t="n">
        <v>149319.43</v>
      </c>
      <c r="AF20" s="406" t="n">
        <v>8363.940000000001</v>
      </c>
      <c r="AG20" s="406" t="n">
        <v>99666.86</v>
      </c>
      <c r="AH20" s="406" t="n">
        <v>18875.42</v>
      </c>
      <c r="AI20" s="406" t="n">
        <v>143182.95</v>
      </c>
      <c r="AJ20" s="406" t="n">
        <v>-24985.22</v>
      </c>
      <c r="AK20" s="406" t="n">
        <v>4926.06</v>
      </c>
      <c r="AL20" s="406" t="n">
        <v>2679.17</v>
      </c>
      <c r="AM20" s="406" t="n">
        <v>10715.99</v>
      </c>
      <c r="AN20" s="406" t="n">
        <v>168544.19</v>
      </c>
      <c r="AO20" s="406" t="n">
        <v>2957.82</v>
      </c>
      <c r="AP20" s="406" t="n">
        <v>7123.339999999997</v>
      </c>
      <c r="AQ20" s="406" t="n">
        <v>2747.17</v>
      </c>
    </row>
    <row r="21">
      <c r="B21" s="317" t="inlineStr">
        <is>
          <t>ADJUSTMENT: Choate legal fees for dilligence</t>
        </is>
      </c>
      <c r="C21" s="423" t="n"/>
      <c r="D21" s="141" t="n"/>
      <c r="E21" s="697" t="n"/>
      <c r="F21" s="141" t="n"/>
      <c r="G21" s="956" t="n"/>
      <c r="H21" s="958" t="n"/>
      <c r="I21" s="141">
        <f>SUM(Q21:AB21)</f>
        <v/>
      </c>
      <c r="J21" s="141">
        <f>SUM(T21:AE21)</f>
        <v/>
      </c>
      <c r="K21" s="141">
        <f>SUM(W21:AH21)</f>
        <v/>
      </c>
      <c r="L21" s="141">
        <f>SUM(Z21:AK21)</f>
        <v/>
      </c>
      <c r="M21" s="141">
        <f>SUM(AC21:AN21)</f>
        <v/>
      </c>
      <c r="N21" s="141">
        <f>SUM(AF21:AQ21)</f>
        <v/>
      </c>
      <c r="O21" s="697" t="n"/>
      <c r="P21" s="697" t="n"/>
      <c r="Q21" s="406" t="n">
        <v>177329.55</v>
      </c>
      <c r="R21" s="406" t="n"/>
      <c r="S21" s="406" t="n"/>
      <c r="T21" s="406" t="n"/>
      <c r="U21" s="406" t="n"/>
      <c r="V21" s="406" t="n"/>
      <c r="W21" s="406" t="n"/>
      <c r="X21" s="406" t="n"/>
      <c r="Y21" s="406" t="n"/>
      <c r="Z21" s="406" t="n"/>
      <c r="AA21" s="406" t="n"/>
      <c r="AB21" s="406" t="n"/>
      <c r="AC21" s="406" t="n"/>
      <c r="AD21" s="406" t="n"/>
      <c r="AE21" s="406" t="n"/>
      <c r="AF21" s="406" t="n"/>
      <c r="AG21" s="406" t="n"/>
      <c r="AH21" s="406" t="n"/>
      <c r="AI21" s="406" t="n"/>
      <c r="AJ21" s="406" t="n"/>
      <c r="AK21" s="406" t="n"/>
      <c r="AL21" s="406" t="n"/>
      <c r="AM21" s="406" t="n"/>
      <c r="AN21" s="406" t="n"/>
      <c r="AO21" s="406" t="n"/>
      <c r="AP21" s="406" t="n"/>
      <c r="AQ21" s="406" t="n"/>
    </row>
    <row r="22">
      <c r="B22" s="317" t="inlineStr">
        <is>
          <t>ADJUSTMENT: Glen Meyer Consulting</t>
        </is>
      </c>
      <c r="C22" s="423" t="n"/>
      <c r="D22" s="141" t="n"/>
      <c r="E22" s="697" t="n"/>
      <c r="F22" s="141" t="n"/>
      <c r="G22" s="956" t="n"/>
      <c r="H22" s="958" t="n"/>
      <c r="I22" s="141">
        <f>SUM(Q22:AB22)</f>
        <v/>
      </c>
      <c r="J22" s="141">
        <f>SUM(T22:AE22)</f>
        <v/>
      </c>
      <c r="K22" s="141">
        <f>SUM(W22:AH22)</f>
        <v/>
      </c>
      <c r="L22" s="141">
        <f>SUM(Z22:AK22)</f>
        <v/>
      </c>
      <c r="M22" s="141">
        <f>SUM(AC22:AN22)</f>
        <v/>
      </c>
      <c r="N22" s="141">
        <f>SUM(AF22:AQ22)</f>
        <v/>
      </c>
      <c r="O22" s="697" t="n"/>
      <c r="P22" s="697" t="n"/>
      <c r="Q22" s="406" t="n">
        <v>4100</v>
      </c>
      <c r="R22" s="406" t="n">
        <v>14500</v>
      </c>
      <c r="S22" s="406" t="n"/>
      <c r="T22" s="406" t="n">
        <v>27750</v>
      </c>
      <c r="U22" s="406" t="n">
        <v>26950</v>
      </c>
      <c r="V22" s="406" t="n">
        <v>0</v>
      </c>
      <c r="W22" s="406" t="n">
        <v>13650</v>
      </c>
      <c r="X22" s="406" t="n">
        <v>12000</v>
      </c>
      <c r="Y22" s="406" t="n">
        <v>3650</v>
      </c>
      <c r="Z22" s="406" t="n">
        <v>2100</v>
      </c>
      <c r="AA22" s="406" t="n"/>
      <c r="AB22" s="406" t="n"/>
      <c r="AC22" s="406" t="n"/>
      <c r="AD22" s="406" t="n"/>
      <c r="AE22" s="406" t="n"/>
      <c r="AF22" s="406" t="n"/>
      <c r="AG22" s="406" t="n"/>
      <c r="AH22" s="406" t="n"/>
      <c r="AI22" s="406" t="n"/>
      <c r="AJ22" s="406" t="n"/>
      <c r="AK22" s="406" t="n"/>
      <c r="AL22" s="406" t="n"/>
      <c r="AM22" s="406" t="n"/>
      <c r="AN22" s="406" t="n"/>
      <c r="AO22" s="406" t="n"/>
      <c r="AP22" s="406" t="n"/>
      <c r="AQ22" s="406" t="n"/>
    </row>
    <row r="23">
      <c r="B23" s="317" t="inlineStr">
        <is>
          <t>ADJUSTMENT: Recruiting Services</t>
        </is>
      </c>
      <c r="C23" s="423" t="n"/>
      <c r="D23" s="141" t="n"/>
      <c r="E23" s="697" t="n"/>
      <c r="F23" s="141" t="n"/>
      <c r="G23" s="141" t="n"/>
      <c r="H23" s="958" t="n"/>
      <c r="I23" s="141">
        <f>SUM(Q23:AB23)</f>
        <v/>
      </c>
      <c r="J23" s="141">
        <f>SUM(T23:AE23)</f>
        <v/>
      </c>
      <c r="K23" s="141">
        <f>SUM(W23:AH23)</f>
        <v/>
      </c>
      <c r="L23" s="141">
        <f>SUM(Z23:AK23)</f>
        <v/>
      </c>
      <c r="M23" s="141">
        <f>SUM(AC23:AN23)</f>
        <v/>
      </c>
      <c r="N23" s="141">
        <f>SUM(AF23:AQ23)</f>
        <v/>
      </c>
      <c r="O23" s="697" t="n"/>
      <c r="P23" s="697" t="n"/>
      <c r="Q23" s="406" t="n">
        <v>16500</v>
      </c>
      <c r="R23" s="406" t="n"/>
      <c r="S23" s="406" t="n"/>
      <c r="T23" s="406" t="n"/>
      <c r="U23" s="406" t="n"/>
      <c r="V23" s="406" t="n"/>
      <c r="W23" s="406" t="n"/>
      <c r="X23" s="406" t="n"/>
      <c r="Y23" s="406" t="n"/>
      <c r="Z23" s="406" t="n"/>
      <c r="AA23" s="406" t="n"/>
      <c r="AB23" s="406" t="n"/>
      <c r="AC23" s="406" t="n"/>
      <c r="AD23" s="406" t="n"/>
      <c r="AE23" s="406" t="n"/>
      <c r="AF23" s="406" t="n"/>
      <c r="AG23" s="406" t="n"/>
      <c r="AH23" s="406" t="n"/>
      <c r="AI23" s="406" t="n"/>
      <c r="AJ23" s="406" t="n"/>
      <c r="AK23" s="406" t="n"/>
      <c r="AL23" s="406" t="n"/>
      <c r="AM23" s="406" t="n"/>
      <c r="AN23" s="406" t="n"/>
      <c r="AO23" s="406" t="n"/>
      <c r="AP23" s="406" t="n"/>
      <c r="AQ23" s="406" t="n"/>
    </row>
    <row r="24">
      <c r="B24" s="317" t="inlineStr">
        <is>
          <t>ADJUSTMENT: Stantec Phase I ESA</t>
        </is>
      </c>
      <c r="C24" s="423" t="n"/>
      <c r="D24" s="141" t="n"/>
      <c r="E24" s="697" t="n"/>
      <c r="F24" s="141" t="n"/>
      <c r="G24" s="141" t="n"/>
      <c r="H24" s="958" t="n"/>
      <c r="I24" s="141">
        <f>SUM(Q24:AB24)</f>
        <v/>
      </c>
      <c r="J24" s="141">
        <f>SUM(T24:AE24)</f>
        <v/>
      </c>
      <c r="K24" s="141">
        <f>SUM(W24:AH24)</f>
        <v/>
      </c>
      <c r="L24" s="141">
        <f>SUM(Z24:AK24)</f>
        <v/>
      </c>
      <c r="M24" s="141">
        <f>SUM(AC24:AN24)</f>
        <v/>
      </c>
      <c r="N24" s="141">
        <f>SUM(AF24:AQ24)</f>
        <v/>
      </c>
      <c r="O24" s="697" t="n"/>
      <c r="P24" s="697" t="n"/>
      <c r="Q24" s="406" t="n">
        <v>5000</v>
      </c>
      <c r="R24" s="406" t="n"/>
      <c r="S24" s="406" t="n"/>
      <c r="T24" s="406" t="n"/>
      <c r="U24" s="406" t="n"/>
      <c r="V24" s="406" t="n"/>
      <c r="W24" s="406" t="n"/>
      <c r="X24" s="406" t="n"/>
      <c r="Y24" s="406" t="n"/>
      <c r="Z24" s="406" t="n"/>
      <c r="AA24" s="406" t="n"/>
      <c r="AB24" s="406" t="n"/>
      <c r="AC24" s="406" t="n"/>
      <c r="AD24" s="406" t="n"/>
      <c r="AE24" s="406" t="n"/>
      <c r="AF24" s="406" t="n"/>
      <c r="AG24" s="406" t="n"/>
      <c r="AH24" s="406" t="n"/>
      <c r="AI24" s="406" t="n"/>
      <c r="AJ24" s="406" t="n"/>
      <c r="AK24" s="406" t="n"/>
      <c r="AL24" s="406" t="n"/>
      <c r="AM24" s="406" t="n"/>
      <c r="AN24" s="406" t="n"/>
      <c r="AO24" s="406" t="n"/>
      <c r="AP24" s="406" t="n"/>
      <c r="AQ24" s="406" t="n"/>
    </row>
    <row r="25">
      <c r="B25" s="317" t="inlineStr">
        <is>
          <t>ADJUSTMENT: E&amp;Y due dilligence</t>
        </is>
      </c>
      <c r="C25" s="423" t="n"/>
      <c r="D25" s="141" t="n"/>
      <c r="E25" s="697" t="n"/>
      <c r="F25" s="141" t="n"/>
      <c r="G25" s="141" t="n"/>
      <c r="H25" s="958" t="n"/>
      <c r="I25" s="141">
        <f>SUM(Q25:AB25)</f>
        <v/>
      </c>
      <c r="J25" s="141">
        <f>SUM(T25:AE25)</f>
        <v/>
      </c>
      <c r="K25" s="141">
        <f>SUM(W25:AH25)</f>
        <v/>
      </c>
      <c r="L25" s="141">
        <f>SUM(Z25:AK25)</f>
        <v/>
      </c>
      <c r="M25" s="141">
        <f>SUM(AC25:AN25)</f>
        <v/>
      </c>
      <c r="N25" s="141">
        <f>SUM(AF25:AQ25)</f>
        <v/>
      </c>
      <c r="O25" s="697" t="n"/>
      <c r="P25" s="697" t="n"/>
      <c r="Q25" s="406" t="n">
        <v>67237.19</v>
      </c>
      <c r="R25" s="406" t="n"/>
      <c r="S25" s="406" t="n"/>
      <c r="T25" s="406" t="n"/>
      <c r="U25" s="406" t="n"/>
      <c r="V25" s="406" t="n"/>
      <c r="W25" s="406" t="n"/>
      <c r="X25" s="406" t="n"/>
      <c r="Y25" s="406" t="n"/>
      <c r="Z25" s="406" t="n"/>
      <c r="AA25" s="406" t="n">
        <v>21279.45</v>
      </c>
      <c r="AB25" s="406" t="n"/>
      <c r="AC25" s="406" t="n"/>
      <c r="AD25" s="406" t="n"/>
      <c r="AE25" s="406" t="n"/>
      <c r="AF25" s="406" t="n"/>
      <c r="AG25" s="406" t="n"/>
      <c r="AH25" s="406" t="n"/>
      <c r="AI25" s="406" t="n"/>
      <c r="AJ25" s="406" t="n"/>
      <c r="AK25" s="406" t="n"/>
      <c r="AL25" s="406" t="n"/>
      <c r="AM25" s="406" t="n"/>
      <c r="AN25" s="406" t="n"/>
      <c r="AO25" s="406" t="n"/>
      <c r="AP25" s="406" t="n"/>
      <c r="AQ25" s="406" t="n"/>
    </row>
    <row r="26">
      <c r="B26" s="317" t="inlineStr">
        <is>
          <t>ADJUSTMENT: Marc Norseman Consulting</t>
        </is>
      </c>
      <c r="C26" s="423" t="n"/>
      <c r="D26" s="141" t="n"/>
      <c r="E26" s="697" t="n"/>
      <c r="F26" s="141" t="n"/>
      <c r="G26" s="141" t="n"/>
      <c r="H26" s="958" t="n"/>
      <c r="I26" s="141">
        <f>SUM(Q26:AB26)</f>
        <v/>
      </c>
      <c r="J26" s="141">
        <f>SUM(T26:AE26)</f>
        <v/>
      </c>
      <c r="K26" s="141">
        <f>SUM(W26:AH26)</f>
        <v/>
      </c>
      <c r="L26" s="141">
        <f>SUM(Z26:AK26)</f>
        <v/>
      </c>
      <c r="M26" s="141">
        <f>SUM(AC26:AN26)</f>
        <v/>
      </c>
      <c r="N26" s="141">
        <f>SUM(AF26:AQ26)</f>
        <v/>
      </c>
      <c r="O26" s="697" t="n"/>
      <c r="P26" s="697" t="n"/>
      <c r="Q26" s="406" t="n"/>
      <c r="R26" s="406" t="n">
        <v>17300</v>
      </c>
      <c r="S26" s="406" t="n"/>
      <c r="T26" s="406" t="n">
        <v>32400</v>
      </c>
      <c r="U26" s="406" t="n">
        <v>26800</v>
      </c>
      <c r="V26" s="406" t="n">
        <v>16200</v>
      </c>
      <c r="W26" s="406" t="n">
        <v>10900</v>
      </c>
      <c r="X26" s="406" t="n">
        <v>9400</v>
      </c>
      <c r="Y26" s="406" t="n">
        <v>8400</v>
      </c>
      <c r="Z26" s="406" t="n">
        <v>6000</v>
      </c>
      <c r="AA26" s="406" t="n">
        <v>6000</v>
      </c>
      <c r="AB26" s="406" t="n">
        <v>4300</v>
      </c>
      <c r="AC26" s="406" t="n">
        <v>21299.51</v>
      </c>
      <c r="AD26" s="406" t="n">
        <v>6825</v>
      </c>
      <c r="AE26" s="406" t="n">
        <v>14078</v>
      </c>
      <c r="AF26" s="406" t="n">
        <v>26242.39</v>
      </c>
      <c r="AG26" s="406" t="n">
        <v>19080</v>
      </c>
      <c r="AH26" s="406" t="n">
        <v>8420</v>
      </c>
      <c r="AI26" s="406" t="n">
        <v>76584.3</v>
      </c>
      <c r="AJ26" s="406" t="n">
        <v>59321.73</v>
      </c>
      <c r="AK26" s="406" t="n">
        <v>80472</v>
      </c>
      <c r="AL26" s="406" t="n">
        <v>51815</v>
      </c>
      <c r="AM26" s="406" t="n">
        <v>113108.69</v>
      </c>
      <c r="AN26" s="406" t="n">
        <v>90413.53999999999</v>
      </c>
      <c r="AO26" s="406" t="n">
        <v>63406.25</v>
      </c>
      <c r="AP26" s="406" t="n">
        <v>80411.25</v>
      </c>
      <c r="AQ26" s="406" t="n">
        <v>77315.52</v>
      </c>
    </row>
    <row r="27">
      <c r="B27" s="317" t="inlineStr">
        <is>
          <t>ADJUSTMENT: Recruiting Costs</t>
        </is>
      </c>
      <c r="C27" s="423" t="n"/>
      <c r="D27" s="141" t="n"/>
      <c r="E27" s="697" t="n"/>
      <c r="F27" s="141" t="n"/>
      <c r="G27" s="141" t="n"/>
      <c r="H27" s="958" t="n"/>
      <c r="I27" s="141">
        <f>SUM(Q27:AB27)</f>
        <v/>
      </c>
      <c r="J27" s="141">
        <f>SUM(T27:AE27)</f>
        <v/>
      </c>
      <c r="K27" s="141">
        <f>SUM(W27:AH27)</f>
        <v/>
      </c>
      <c r="L27" s="141">
        <f>SUM(Z27:AK27)</f>
        <v/>
      </c>
      <c r="M27" s="141">
        <f>SUM(AC27:AN27)</f>
        <v/>
      </c>
      <c r="N27" s="141">
        <f>SUM(AF27:AQ27)</f>
        <v/>
      </c>
      <c r="O27" s="697" t="n"/>
      <c r="P27" s="697" t="n"/>
      <c r="Q27" s="406" t="n"/>
      <c r="R27" s="406" t="n">
        <v>19500</v>
      </c>
      <c r="S27" s="406" t="n">
        <v>51000</v>
      </c>
      <c r="T27" s="406" t="n">
        <v>28000</v>
      </c>
      <c r="U27" s="406" t="n">
        <v>0</v>
      </c>
      <c r="V27" s="406" t="n">
        <v>52640</v>
      </c>
      <c r="W27" s="406" t="n">
        <v>20000</v>
      </c>
      <c r="X27" s="406" t="n">
        <v>0</v>
      </c>
      <c r="Y27" s="406" t="n">
        <v>0</v>
      </c>
      <c r="Z27" s="406" t="n"/>
      <c r="AA27" s="406" t="n"/>
      <c r="AB27" s="406" t="n">
        <v>35000</v>
      </c>
      <c r="AC27" s="406" t="n">
        <v>0</v>
      </c>
      <c r="AD27" s="406" t="n">
        <v>0</v>
      </c>
      <c r="AE27" s="406" t="n">
        <v>0</v>
      </c>
      <c r="AF27" s="406" t="n">
        <v>0</v>
      </c>
      <c r="AG27" s="406" t="n">
        <v>0</v>
      </c>
      <c r="AH27" s="406" t="n">
        <v>0</v>
      </c>
      <c r="AI27" s="406" t="n">
        <v>0</v>
      </c>
      <c r="AJ27" s="406" t="n">
        <v>0</v>
      </c>
      <c r="AK27" s="406" t="n">
        <v>22481.25</v>
      </c>
      <c r="AL27" s="406" t="n">
        <v>22481.25</v>
      </c>
      <c r="AM27" s="406" t="n">
        <v>68106.25</v>
      </c>
      <c r="AN27" s="406" t="n">
        <v>16856.25</v>
      </c>
      <c r="AO27" s="406" t="n">
        <v>1856.25</v>
      </c>
      <c r="AP27" s="406" t="n">
        <v>1856.25</v>
      </c>
      <c r="AQ27" s="406" t="n">
        <v>19500</v>
      </c>
    </row>
    <row r="28">
      <c r="B28" s="317" t="inlineStr">
        <is>
          <t>ADJUSTMENT: Stantec</t>
        </is>
      </c>
      <c r="C28" s="423" t="n"/>
      <c r="D28" s="141" t="n"/>
      <c r="E28" s="697" t="n"/>
      <c r="F28" s="141" t="n"/>
      <c r="G28" s="141" t="n"/>
      <c r="H28" s="958" t="n"/>
      <c r="I28" s="141">
        <f>SUM(Q28:AB28)</f>
        <v/>
      </c>
      <c r="J28" s="141">
        <f>SUM(T28:AE28)</f>
        <v/>
      </c>
      <c r="K28" s="141">
        <f>SUM(W28:AH28)</f>
        <v/>
      </c>
      <c r="L28" s="141">
        <f>SUM(Z28:AK28)</f>
        <v/>
      </c>
      <c r="M28" s="141">
        <f>SUM(AC28:AN28)</f>
        <v/>
      </c>
      <c r="N28" s="141">
        <f>SUM(AF28:AQ28)</f>
        <v/>
      </c>
      <c r="O28" s="697" t="n"/>
      <c r="P28" s="697" t="n"/>
      <c r="Q28" s="406" t="n"/>
      <c r="R28" s="406" t="n">
        <v>500</v>
      </c>
      <c r="S28" s="406" t="n">
        <v>500</v>
      </c>
      <c r="T28" s="406" t="n"/>
      <c r="U28" s="406" t="n"/>
      <c r="V28" s="406" t="n"/>
      <c r="W28" s="406" t="n">
        <v>17450</v>
      </c>
      <c r="X28" s="406" t="n">
        <v>0</v>
      </c>
      <c r="Y28" s="406" t="n">
        <v>0</v>
      </c>
      <c r="Z28" s="406" t="n"/>
      <c r="AA28" s="406" t="n"/>
      <c r="AB28" s="406" t="n"/>
      <c r="AC28" s="406" t="n"/>
      <c r="AD28" s="406" t="n"/>
      <c r="AE28" s="406" t="n"/>
      <c r="AF28" s="406" t="n"/>
      <c r="AG28" s="406" t="n"/>
      <c r="AH28" s="406" t="n"/>
      <c r="AI28" s="406" t="n"/>
      <c r="AJ28" s="406" t="n"/>
      <c r="AK28" s="406" t="n"/>
      <c r="AL28" s="406" t="n"/>
      <c r="AM28" s="406" t="n"/>
      <c r="AN28" s="406" t="n"/>
      <c r="AO28" s="406" t="n"/>
      <c r="AP28" s="406" t="n"/>
      <c r="AQ28" s="406" t="n"/>
    </row>
    <row r="29">
      <c r="B29" s="317" t="inlineStr">
        <is>
          <t>ADJUSTMENT: 2469 Warranty Costs</t>
        </is>
      </c>
      <c r="C29" s="423" t="n"/>
      <c r="D29" s="141" t="n"/>
      <c r="E29" s="697" t="n"/>
      <c r="F29" s="141" t="n"/>
      <c r="G29" s="141" t="n"/>
      <c r="H29" s="958" t="n"/>
      <c r="I29" s="141">
        <f>SUM(Q29:AB29)</f>
        <v/>
      </c>
      <c r="J29" s="141">
        <f>SUM(T29:AE29)</f>
        <v/>
      </c>
      <c r="K29" s="141">
        <f>SUM(W29:AH29)</f>
        <v/>
      </c>
      <c r="L29" s="141">
        <f>SUM(Z29:AK29)</f>
        <v/>
      </c>
      <c r="M29" s="141">
        <f>SUM(AC29:AN29)</f>
        <v/>
      </c>
      <c r="N29" s="141">
        <f>SUM(AF29:AQ29)</f>
        <v/>
      </c>
      <c r="O29" s="697" t="n"/>
      <c r="P29" s="697" t="n"/>
      <c r="Q29" s="406" t="n"/>
      <c r="R29" s="406" t="n">
        <v>83613.2</v>
      </c>
      <c r="S29" s="406" t="n">
        <v>17237.6</v>
      </c>
      <c r="T29" s="406" t="n"/>
      <c r="U29" s="406" t="n"/>
      <c r="V29" s="406" t="n"/>
      <c r="W29" s="406" t="n"/>
      <c r="X29" s="406" t="n"/>
      <c r="Y29" s="406" t="n"/>
      <c r="Z29" s="406" t="n"/>
      <c r="AA29" s="406" t="n"/>
      <c r="AB29" s="406" t="n"/>
      <c r="AC29" s="406" t="n"/>
      <c r="AD29" s="406" t="n"/>
      <c r="AE29" s="406" t="n"/>
      <c r="AF29" s="406" t="n"/>
      <c r="AG29" s="406" t="n"/>
      <c r="AH29" s="406" t="n"/>
      <c r="AI29" s="406" t="n"/>
      <c r="AJ29" s="406" t="n"/>
      <c r="AK29" s="406" t="n"/>
      <c r="AL29" s="406" t="n"/>
      <c r="AM29" s="406" t="n"/>
      <c r="AN29" s="406" t="n"/>
      <c r="AO29" s="406" t="n"/>
      <c r="AP29" s="406" t="n"/>
      <c r="AQ29" s="406" t="n"/>
    </row>
    <row r="30">
      <c r="B30" s="317" t="inlineStr">
        <is>
          <t>ADJUSTMENT: Terracon</t>
        </is>
      </c>
      <c r="C30" s="423" t="n"/>
      <c r="D30" s="141" t="n"/>
      <c r="E30" s="697" t="n"/>
      <c r="F30" s="141" t="n"/>
      <c r="G30" s="141" t="n"/>
      <c r="H30" s="958" t="n"/>
      <c r="I30" s="141">
        <f>SUM(Q30:AB30)</f>
        <v/>
      </c>
      <c r="J30" s="141">
        <f>SUM(T30:AE30)</f>
        <v/>
      </c>
      <c r="K30" s="141">
        <f>SUM(W30:AH30)</f>
        <v/>
      </c>
      <c r="L30" s="141">
        <f>SUM(Z30:AK30)</f>
        <v/>
      </c>
      <c r="M30" s="141">
        <f>SUM(AC30:AN30)</f>
        <v/>
      </c>
      <c r="N30" s="141">
        <f>SUM(AF30:AQ30)</f>
        <v/>
      </c>
      <c r="O30" s="697" t="n"/>
      <c r="P30" s="697" t="n"/>
      <c r="Q30" s="406" t="n"/>
      <c r="R30" s="406" t="n"/>
      <c r="S30" s="406" t="n">
        <v>2900</v>
      </c>
      <c r="T30" s="406" t="n"/>
      <c r="U30" s="406" t="n"/>
      <c r="V30" s="406" t="n"/>
      <c r="W30" s="406" t="n"/>
      <c r="X30" s="406" t="n"/>
      <c r="Y30" s="406" t="n"/>
      <c r="Z30" s="406" t="n"/>
      <c r="AA30" s="406" t="n"/>
      <c r="AB30" s="406" t="n"/>
      <c r="AC30" s="406" t="n"/>
      <c r="AD30" s="406" t="n"/>
      <c r="AE30" s="406" t="n"/>
      <c r="AF30" s="406" t="n"/>
      <c r="AG30" s="406" t="n"/>
      <c r="AH30" s="406" t="n"/>
      <c r="AI30" s="406" t="n"/>
      <c r="AJ30" s="406" t="n"/>
      <c r="AK30" s="406" t="n"/>
      <c r="AL30" s="406" t="n"/>
      <c r="AM30" s="406" t="n"/>
      <c r="AN30" s="406" t="n"/>
      <c r="AO30" s="406" t="n"/>
      <c r="AP30" s="406" t="n"/>
      <c r="AQ30" s="406" t="n"/>
    </row>
    <row r="31">
      <c r="B31" s="317" t="inlineStr">
        <is>
          <t>ADJUSTMENT: Choate, Hall &amp; Stewart</t>
        </is>
      </c>
      <c r="C31" s="423" t="n"/>
      <c r="D31" s="141" t="n"/>
      <c r="E31" s="697" t="n"/>
      <c r="F31" s="141" t="n"/>
      <c r="G31" s="141" t="n"/>
      <c r="H31" s="958" t="n"/>
      <c r="I31" s="141">
        <f>SUM(Q31:AB31)</f>
        <v/>
      </c>
      <c r="J31" s="141">
        <f>SUM(T31:AE31)</f>
        <v/>
      </c>
      <c r="K31" s="141">
        <f>SUM(W31:AH31)</f>
        <v/>
      </c>
      <c r="L31" s="141">
        <f>SUM(Z31:AK31)</f>
        <v/>
      </c>
      <c r="M31" s="141">
        <f>SUM(AC31:AN31)</f>
        <v/>
      </c>
      <c r="N31" s="141">
        <f>SUM(AF31:AQ31)</f>
        <v/>
      </c>
      <c r="O31" s="697" t="n"/>
      <c r="P31" s="697" t="n"/>
      <c r="Q31" s="406" t="n"/>
      <c r="R31" s="406" t="n"/>
      <c r="S31" s="406" t="n">
        <v>24887.5</v>
      </c>
      <c r="T31" s="406" t="n">
        <v>24842.5</v>
      </c>
      <c r="U31" s="406" t="n">
        <v>3067.5</v>
      </c>
      <c r="V31" s="406" t="n">
        <v>0</v>
      </c>
      <c r="W31" s="406" t="n"/>
      <c r="X31" s="406" t="n"/>
      <c r="Y31" s="406" t="n"/>
      <c r="Z31" s="406" t="n"/>
      <c r="AA31" s="406" t="n">
        <v>64638.05</v>
      </c>
      <c r="AB31" s="406" t="n">
        <v>2634</v>
      </c>
      <c r="AC31" s="406" t="n"/>
      <c r="AD31" s="406" t="n"/>
      <c r="AE31" s="406" t="n"/>
      <c r="AF31" s="406" t="n"/>
      <c r="AG31" s="406" t="n"/>
      <c r="AH31" s="406" t="n"/>
      <c r="AI31" s="406" t="n"/>
      <c r="AJ31" s="406" t="n"/>
      <c r="AK31" s="406" t="n"/>
      <c r="AL31" s="406" t="n"/>
      <c r="AM31" s="406" t="n"/>
      <c r="AN31" s="406" t="n"/>
      <c r="AO31" s="406" t="n"/>
      <c r="AP31" s="406" t="n"/>
      <c r="AQ31" s="406" t="n"/>
    </row>
    <row r="32">
      <c r="B32" s="317" t="inlineStr">
        <is>
          <t>ADJUSTMENT: IT expense</t>
        </is>
      </c>
      <c r="C32" s="423" t="n"/>
      <c r="D32" s="141" t="n"/>
      <c r="E32" s="697" t="n"/>
      <c r="F32" s="141" t="n"/>
      <c r="G32" s="141" t="n"/>
      <c r="H32" s="958" t="n"/>
      <c r="I32" s="141">
        <f>SUM(Q32:AB32)</f>
        <v/>
      </c>
      <c r="J32" s="141">
        <f>SUM(T32:AE32)</f>
        <v/>
      </c>
      <c r="K32" s="141">
        <f>SUM(W32:AH32)</f>
        <v/>
      </c>
      <c r="L32" s="141">
        <f>SUM(Z32:AK32)</f>
        <v/>
      </c>
      <c r="M32" s="141">
        <f>SUM(AC32:AN32)</f>
        <v/>
      </c>
      <c r="N32" s="141">
        <f>SUM(AF32:AQ32)</f>
        <v/>
      </c>
      <c r="O32" s="697" t="n"/>
      <c r="P32" s="697" t="n"/>
      <c r="Q32" s="406" t="n"/>
      <c r="R32" s="406" t="n"/>
      <c r="S32" s="406" t="n">
        <v>4302.54</v>
      </c>
      <c r="T32" s="406" t="n"/>
      <c r="U32" s="406" t="n"/>
      <c r="V32" s="406" t="n"/>
      <c r="W32" s="406" t="n"/>
      <c r="X32" s="406" t="n"/>
      <c r="Y32" s="406" t="n"/>
      <c r="Z32" s="406" t="n"/>
      <c r="AA32" s="406" t="n"/>
      <c r="AB32" s="406" t="n"/>
      <c r="AC32" s="406" t="n"/>
      <c r="AD32" s="406" t="n"/>
      <c r="AE32" s="406" t="n"/>
      <c r="AF32" s="406" t="n"/>
      <c r="AG32" s="406" t="n"/>
      <c r="AH32" s="406" t="n"/>
      <c r="AI32" s="406" t="n"/>
      <c r="AJ32" s="406" t="n"/>
      <c r="AK32" s="406" t="n"/>
      <c r="AL32" s="406" t="n"/>
      <c r="AM32" s="406" t="n"/>
      <c r="AN32" s="406" t="n"/>
      <c r="AO32" s="406" t="n"/>
      <c r="AP32" s="406" t="n"/>
      <c r="AQ32" s="406" t="n"/>
    </row>
    <row r="33">
      <c r="B33" s="317" t="inlineStr">
        <is>
          <t>ADJUSTMENT: Petra Coach</t>
        </is>
      </c>
      <c r="C33" s="423" t="n"/>
      <c r="D33" s="141" t="n"/>
      <c r="E33" s="697" t="n"/>
      <c r="F33" s="141" t="n"/>
      <c r="G33" s="141" t="n"/>
      <c r="H33" s="958" t="n"/>
      <c r="I33" s="141">
        <f>SUM(Q33:AB33)</f>
        <v/>
      </c>
      <c r="J33" s="141">
        <f>SUM(T33:AE33)</f>
        <v/>
      </c>
      <c r="K33" s="141">
        <f>SUM(W33:AH33)</f>
        <v/>
      </c>
      <c r="L33" s="141">
        <f>SUM(Z33:AK33)</f>
        <v/>
      </c>
      <c r="M33" s="141">
        <f>SUM(AC33:AN33)</f>
        <v/>
      </c>
      <c r="N33" s="141">
        <f>SUM(AF33:AQ33)</f>
        <v/>
      </c>
      <c r="O33" s="697" t="n"/>
      <c r="P33" s="697" t="n"/>
      <c r="Q33" s="406" t="n"/>
      <c r="R33" s="406" t="n">
        <v>10000</v>
      </c>
      <c r="S33" s="406" t="n">
        <v>10136.9</v>
      </c>
      <c r="T33" s="406" t="n">
        <v>6500</v>
      </c>
      <c r="U33" s="406" t="n">
        <v>8350.620000000001</v>
      </c>
      <c r="V33" s="406" t="n">
        <v>6868.61</v>
      </c>
      <c r="W33" s="406" t="n">
        <v>7806.55</v>
      </c>
      <c r="X33" s="406" t="n">
        <v>6500</v>
      </c>
      <c r="Y33" s="406" t="n">
        <v>7694.6</v>
      </c>
      <c r="Z33" s="406" t="n">
        <v>7880.9</v>
      </c>
      <c r="AA33" s="406" t="n">
        <v>6500</v>
      </c>
      <c r="AB33" s="406" t="n">
        <v>6500</v>
      </c>
      <c r="AC33" s="406" t="n"/>
      <c r="AD33" s="406" t="n"/>
      <c r="AE33" s="406" t="n"/>
      <c r="AF33" s="406" t="n"/>
      <c r="AG33" s="406" t="n"/>
      <c r="AH33" s="406" t="n"/>
      <c r="AI33" s="406" t="n"/>
      <c r="AJ33" s="406" t="n"/>
      <c r="AK33" s="406" t="n"/>
      <c r="AL33" s="406" t="n"/>
      <c r="AM33" s="406" t="n"/>
      <c r="AN33" s="406" t="n"/>
      <c r="AO33" s="406" t="n"/>
      <c r="AP33" s="406" t="n"/>
      <c r="AQ33" s="406" t="n"/>
    </row>
    <row r="34">
      <c r="B34" s="317" t="inlineStr">
        <is>
          <t>ADJUSTMENT: Greg Majernik Consulting</t>
        </is>
      </c>
      <c r="C34" s="423" t="n"/>
      <c r="D34" s="141" t="n"/>
      <c r="E34" s="697" t="n"/>
      <c r="F34" s="141" t="n"/>
      <c r="G34" s="141" t="n"/>
      <c r="H34" s="958" t="n"/>
      <c r="I34" s="141">
        <f>SUM(Q34:AB34)</f>
        <v/>
      </c>
      <c r="J34" s="141">
        <f>SUM(T34:AE34)</f>
        <v/>
      </c>
      <c r="K34" s="141">
        <f>SUM(W34:AH34)</f>
        <v/>
      </c>
      <c r="L34" s="141">
        <f>SUM(Z34:AK34)</f>
        <v/>
      </c>
      <c r="M34" s="141">
        <f>SUM(AC34:AN34)</f>
        <v/>
      </c>
      <c r="N34" s="141">
        <f>SUM(AF34:AQ34)</f>
        <v/>
      </c>
      <c r="O34" s="697" t="n"/>
      <c r="P34" s="697" t="n"/>
      <c r="Q34" s="406" t="n"/>
      <c r="R34" s="406" t="n"/>
      <c r="S34" s="406" t="n"/>
      <c r="T34" s="406" t="n">
        <v>0</v>
      </c>
      <c r="U34" s="406" t="n">
        <v>0</v>
      </c>
      <c r="V34" s="406" t="n">
        <v>17600</v>
      </c>
      <c r="W34" s="406" t="n">
        <v>12000</v>
      </c>
      <c r="X34" s="406" t="n">
        <v>700</v>
      </c>
      <c r="Y34" s="406" t="n">
        <v>0</v>
      </c>
      <c r="Z34" s="406" t="n"/>
      <c r="AA34" s="406" t="n"/>
      <c r="AB34" s="406" t="n"/>
      <c r="AC34" s="406" t="n"/>
      <c r="AD34" s="406" t="n"/>
      <c r="AE34" s="406" t="n"/>
      <c r="AF34" s="406" t="n"/>
      <c r="AG34" s="406" t="n"/>
      <c r="AH34" s="406" t="n"/>
      <c r="AI34" s="406" t="n"/>
      <c r="AJ34" s="406" t="n"/>
      <c r="AK34" s="406" t="n"/>
      <c r="AL34" s="406" t="n"/>
      <c r="AM34" s="406" t="n"/>
      <c r="AN34" s="406" t="n"/>
      <c r="AO34" s="406" t="n"/>
      <c r="AP34" s="406" t="n"/>
      <c r="AQ34" s="406" t="n"/>
    </row>
    <row r="35">
      <c r="B35" s="317" t="inlineStr">
        <is>
          <t>ADJUSTMENT: Board Fees</t>
        </is>
      </c>
      <c r="C35" s="423" t="n"/>
      <c r="D35" s="141" t="n"/>
      <c r="E35" s="697" t="n"/>
      <c r="F35" s="141" t="n"/>
      <c r="G35" s="141" t="n"/>
      <c r="H35" s="958" t="n"/>
      <c r="I35" s="141">
        <f>SUM(Q35:AB35)</f>
        <v/>
      </c>
      <c r="J35" s="141">
        <f>SUM(T35:AE35)</f>
        <v/>
      </c>
      <c r="K35" s="141">
        <f>SUM(W35:AH35)</f>
        <v/>
      </c>
      <c r="L35" s="141">
        <f>SUM(Z35:AK35)</f>
        <v/>
      </c>
      <c r="M35" s="141">
        <f>SUM(AC35:AN35)</f>
        <v/>
      </c>
      <c r="N35" s="141">
        <f>SUM(AF35:AQ35)</f>
        <v/>
      </c>
      <c r="O35" s="697" t="n"/>
      <c r="P35" s="697" t="n"/>
      <c r="Q35" s="406" t="n"/>
      <c r="R35" s="406" t="n"/>
      <c r="S35" s="406" t="n"/>
      <c r="T35" s="406" t="n">
        <v>0</v>
      </c>
      <c r="U35" s="406" t="n">
        <v>25000</v>
      </c>
      <c r="V35" s="406" t="n">
        <v>0</v>
      </c>
      <c r="W35" s="406" t="n">
        <v>0</v>
      </c>
      <c r="X35" s="406" t="n">
        <v>25000</v>
      </c>
      <c r="Y35" s="406" t="n">
        <v>0</v>
      </c>
      <c r="Z35" s="406" t="n">
        <v>6875.870000000001</v>
      </c>
      <c r="AA35" s="406" t="n">
        <v>25000</v>
      </c>
      <c r="AB35" s="406" t="n">
        <v>0</v>
      </c>
      <c r="AC35" s="406" t="n">
        <v>0</v>
      </c>
      <c r="AD35" s="406" t="n">
        <v>25000</v>
      </c>
      <c r="AE35" s="406" t="n">
        <v>0</v>
      </c>
      <c r="AF35" s="406" t="n">
        <v>0</v>
      </c>
      <c r="AG35" s="406" t="n">
        <v>25184.25</v>
      </c>
      <c r="AH35" s="406" t="n">
        <v>2205.34</v>
      </c>
      <c r="AI35" s="406" t="n">
        <v>0</v>
      </c>
      <c r="AJ35" s="406" t="n">
        <v>13880.54</v>
      </c>
      <c r="AK35" s="406" t="n">
        <v>0</v>
      </c>
      <c r="AL35" s="406" t="n">
        <v>0</v>
      </c>
      <c r="AM35" s="406" t="n">
        <v>12500</v>
      </c>
      <c r="AN35" s="406" t="n"/>
      <c r="AO35" s="406" t="n"/>
      <c r="AP35" s="406" t="n">
        <v>25000</v>
      </c>
      <c r="AQ35" s="406" t="n"/>
    </row>
    <row r="36">
      <c r="B36" s="317" t="inlineStr">
        <is>
          <t>ADJUSTMENT: XPV Water Partners</t>
        </is>
      </c>
      <c r="C36" s="423" t="n"/>
      <c r="D36" s="141" t="n"/>
      <c r="E36" s="697" t="n"/>
      <c r="F36" s="141" t="n"/>
      <c r="G36" s="141" t="n"/>
      <c r="H36" s="958" t="n"/>
      <c r="I36" s="141">
        <f>SUM(Q36:AB36)</f>
        <v/>
      </c>
      <c r="J36" s="141">
        <f>SUM(T36:AE36)</f>
        <v/>
      </c>
      <c r="K36" s="141">
        <f>SUM(W36:AH36)</f>
        <v/>
      </c>
      <c r="L36" s="141">
        <f>SUM(Z36:AK36)</f>
        <v/>
      </c>
      <c r="M36" s="141">
        <f>SUM(AC36:AN36)</f>
        <v/>
      </c>
      <c r="N36" s="141">
        <f>SUM(AF36:AQ36)</f>
        <v/>
      </c>
      <c r="O36" s="697" t="n"/>
      <c r="P36" s="697" t="n"/>
      <c r="Q36" s="406" t="n"/>
      <c r="R36" s="406" t="n"/>
      <c r="S36" s="406" t="n"/>
      <c r="T36" s="406" t="n">
        <v>0</v>
      </c>
      <c r="U36" s="406" t="n">
        <v>0</v>
      </c>
      <c r="V36" s="406" t="n">
        <v>29278.01</v>
      </c>
      <c r="W36" s="406" t="n">
        <v>0</v>
      </c>
      <c r="X36" s="406" t="n">
        <v>33498.27</v>
      </c>
      <c r="Y36" s="406" t="n">
        <v>0</v>
      </c>
      <c r="Z36" s="406" t="n"/>
      <c r="AA36" s="406" t="n"/>
      <c r="AB36" s="406" t="n">
        <v>10819.13</v>
      </c>
      <c r="AC36" s="406" t="n"/>
      <c r="AD36" s="406" t="n"/>
      <c r="AE36" s="406" t="n"/>
      <c r="AF36" s="406" t="n"/>
      <c r="AG36" s="406" t="n"/>
      <c r="AH36" s="406" t="n"/>
      <c r="AI36" s="406" t="n"/>
      <c r="AJ36" s="406" t="n"/>
      <c r="AK36" s="406" t="n"/>
      <c r="AL36" s="406" t="n"/>
      <c r="AM36" s="406" t="n"/>
      <c r="AN36" s="406" t="n"/>
      <c r="AO36" s="406" t="n"/>
      <c r="AP36" s="406" t="n"/>
      <c r="AQ36" s="406" t="n"/>
    </row>
    <row r="37">
      <c r="B37" s="317" t="inlineStr">
        <is>
          <t>ADJUSTMENT: ERP Implementation</t>
        </is>
      </c>
      <c r="C37" s="423" t="n"/>
      <c r="D37" s="141" t="n"/>
      <c r="E37" s="697" t="n"/>
      <c r="F37" s="141" t="n"/>
      <c r="G37" s="141" t="n"/>
      <c r="H37" s="958" t="n"/>
      <c r="I37" s="141">
        <f>SUM(Q37:AB37)</f>
        <v/>
      </c>
      <c r="J37" s="141">
        <f>SUM(T37:AE37)</f>
        <v/>
      </c>
      <c r="K37" s="141">
        <f>SUM(W37:AH37)</f>
        <v/>
      </c>
      <c r="L37" s="141">
        <f>SUM(Z37:AK37)</f>
        <v/>
      </c>
      <c r="M37" s="141">
        <f>SUM(AC37:AN37)</f>
        <v/>
      </c>
      <c r="N37" s="141">
        <f>SUM(AF37:AQ37)</f>
        <v/>
      </c>
      <c r="O37" s="697" t="n"/>
      <c r="P37" s="697" t="n"/>
      <c r="Q37" s="406" t="n"/>
      <c r="R37" s="406" t="n"/>
      <c r="S37" s="406" t="n"/>
      <c r="T37" s="406" t="n">
        <v>0</v>
      </c>
      <c r="U37" s="406" t="n">
        <v>27038.13</v>
      </c>
      <c r="V37" s="406" t="n">
        <v>0</v>
      </c>
      <c r="W37" s="406" t="n">
        <v>0</v>
      </c>
      <c r="X37" s="406" t="n">
        <v>0</v>
      </c>
      <c r="Y37" s="406" t="n">
        <v>0</v>
      </c>
      <c r="Z37" s="406" t="n"/>
      <c r="AA37" s="406" t="n"/>
      <c r="AB37" s="406" t="n"/>
      <c r="AC37" s="406" t="n"/>
      <c r="AD37" s="406" t="n"/>
      <c r="AE37" s="406" t="n"/>
      <c r="AF37" s="406" t="n"/>
      <c r="AG37" s="406" t="n"/>
      <c r="AH37" s="406" t="n"/>
      <c r="AI37" s="406" t="n"/>
      <c r="AJ37" s="406" t="n"/>
      <c r="AK37" s="406" t="n"/>
      <c r="AL37" s="406" t="n"/>
      <c r="AM37" s="406" t="n"/>
      <c r="AN37" s="406" t="n"/>
      <c r="AO37" s="406" t="n"/>
      <c r="AP37" s="406" t="n"/>
      <c r="AQ37" s="406" t="n"/>
    </row>
    <row r="38">
      <c r="B38" s="317" t="inlineStr">
        <is>
          <t>ADJUSTMENT: IT Integration</t>
        </is>
      </c>
      <c r="C38" s="423" t="n"/>
      <c r="D38" s="141" t="n"/>
      <c r="E38" s="697" t="n"/>
      <c r="F38" s="141" t="n"/>
      <c r="G38" s="141" t="n"/>
      <c r="H38" s="958" t="n"/>
      <c r="I38" s="141">
        <f>SUM(Q38:AB38)</f>
        <v/>
      </c>
      <c r="J38" s="141">
        <f>SUM(T38:AE38)</f>
        <v/>
      </c>
      <c r="K38" s="141">
        <f>SUM(W38:AH38)</f>
        <v/>
      </c>
      <c r="L38" s="141">
        <f>SUM(Z38:AK38)</f>
        <v/>
      </c>
      <c r="M38" s="141">
        <f>SUM(AC38:AN38)</f>
        <v/>
      </c>
      <c r="N38" s="141">
        <f>SUM(AF38:AQ38)</f>
        <v/>
      </c>
      <c r="O38" s="697" t="n"/>
      <c r="P38" s="697" t="n"/>
      <c r="Q38" s="406" t="n"/>
      <c r="R38" s="406" t="n"/>
      <c r="S38" s="406" t="n"/>
      <c r="T38" s="406" t="n">
        <v>0</v>
      </c>
      <c r="U38" s="406" t="n">
        <v>20730.72</v>
      </c>
      <c r="V38" s="406" t="n">
        <v>1350</v>
      </c>
      <c r="W38" s="406" t="n">
        <v>525</v>
      </c>
      <c r="X38" s="406" t="n">
        <v>0</v>
      </c>
      <c r="Y38" s="406" t="n">
        <v>0</v>
      </c>
      <c r="Z38" s="406" t="n"/>
      <c r="AA38" s="406" t="n"/>
      <c r="AB38" s="406" t="n"/>
      <c r="AC38" s="406" t="n">
        <v>0</v>
      </c>
      <c r="AD38" s="406" t="n">
        <v>0</v>
      </c>
      <c r="AE38" s="406" t="n">
        <v>14344</v>
      </c>
      <c r="AF38" s="406" t="n">
        <v>14344</v>
      </c>
      <c r="AG38" s="406" t="n">
        <v>14344</v>
      </c>
      <c r="AH38" s="406" t="n">
        <v>0</v>
      </c>
      <c r="AI38" s="406" t="n">
        <v>126507.79</v>
      </c>
      <c r="AJ38" s="406" t="n">
        <v>0</v>
      </c>
      <c r="AK38" s="406" t="n">
        <v>0</v>
      </c>
      <c r="AL38" s="406" t="n">
        <v>5700</v>
      </c>
      <c r="AM38" s="406" t="n"/>
      <c r="AN38" s="406" t="n"/>
      <c r="AO38" s="406" t="n">
        <v>15543.5</v>
      </c>
      <c r="AP38" s="406" t="n">
        <v>7204.17</v>
      </c>
      <c r="AQ38" s="406" t="n">
        <v>8942.370000000001</v>
      </c>
    </row>
    <row r="39">
      <c r="B39" s="317" t="inlineStr">
        <is>
          <t>ADJUSTMENT: MNOsha Penalty</t>
        </is>
      </c>
      <c r="C39" s="423" t="n"/>
      <c r="D39" s="141" t="n"/>
      <c r="E39" s="697" t="n"/>
      <c r="F39" s="141" t="n"/>
      <c r="G39" s="141" t="n"/>
      <c r="H39" s="958" t="n"/>
      <c r="I39" s="141">
        <f>SUM(Q39:AB39)</f>
        <v/>
      </c>
      <c r="J39" s="141">
        <f>SUM(T39:AE39)</f>
        <v/>
      </c>
      <c r="K39" s="141">
        <f>SUM(W39:AH39)</f>
        <v/>
      </c>
      <c r="L39" s="141">
        <f>SUM(Z39:AK39)</f>
        <v/>
      </c>
      <c r="M39" s="141">
        <f>SUM(AC39:AN39)</f>
        <v/>
      </c>
      <c r="N39" s="141">
        <f>SUM(AF39:AQ39)</f>
        <v/>
      </c>
      <c r="O39" s="697" t="n"/>
      <c r="P39" s="697" t="n"/>
      <c r="Q39" s="406" t="n"/>
      <c r="R39" s="406" t="n"/>
      <c r="S39" s="406" t="n"/>
      <c r="T39" s="406" t="n">
        <v>4200</v>
      </c>
      <c r="U39" s="406" t="n">
        <v>0</v>
      </c>
      <c r="V39" s="406" t="n">
        <v>0</v>
      </c>
      <c r="W39" s="406" t="n">
        <v>0</v>
      </c>
      <c r="X39" s="406" t="n">
        <v>0</v>
      </c>
      <c r="Y39" s="406" t="n">
        <v>0</v>
      </c>
      <c r="Z39" s="406" t="n"/>
      <c r="AA39" s="406" t="n"/>
      <c r="AB39" s="406" t="n"/>
      <c r="AC39" s="406" t="n"/>
      <c r="AD39" s="406" t="n"/>
      <c r="AE39" s="406" t="n"/>
      <c r="AF39" s="406" t="n"/>
      <c r="AG39" s="406" t="n"/>
      <c r="AH39" s="406" t="n"/>
      <c r="AI39" s="406" t="n"/>
      <c r="AJ39" s="406" t="n"/>
      <c r="AK39" s="406" t="n"/>
      <c r="AL39" s="406" t="n"/>
      <c r="AM39" s="406" t="n"/>
      <c r="AN39" s="406" t="n"/>
      <c r="AO39" s="406" t="n"/>
      <c r="AP39" s="406" t="n"/>
      <c r="AQ39" s="406" t="n"/>
    </row>
    <row r="40">
      <c r="B40" s="317" t="inlineStr">
        <is>
          <t>ADJUSTMENT: 2460 warranty</t>
        </is>
      </c>
      <c r="C40" s="423" t="n"/>
      <c r="D40" s="141" t="n"/>
      <c r="E40" s="697" t="n"/>
      <c r="F40" s="141" t="n"/>
      <c r="G40" s="141" t="n"/>
      <c r="H40" s="958" t="n"/>
      <c r="I40" s="141">
        <f>SUM(Q40:AB40)</f>
        <v/>
      </c>
      <c r="J40" s="141">
        <f>SUM(T40:AE40)</f>
        <v/>
      </c>
      <c r="K40" s="141">
        <f>SUM(W40:AH40)</f>
        <v/>
      </c>
      <c r="L40" s="141">
        <f>SUM(Z40:AK40)</f>
        <v/>
      </c>
      <c r="M40" s="141">
        <f>SUM(AC40:AN40)</f>
        <v/>
      </c>
      <c r="N40" s="141">
        <f>SUM(AF40:AQ40)</f>
        <v/>
      </c>
      <c r="O40" s="697" t="n"/>
      <c r="P40" s="697" t="n"/>
      <c r="Q40" s="406" t="n"/>
      <c r="R40" s="406" t="n"/>
      <c r="S40" s="406" t="n"/>
      <c r="T40" s="406" t="n"/>
      <c r="U40" s="406" t="n">
        <v>6148</v>
      </c>
      <c r="V40" s="406" t="n">
        <v>12296</v>
      </c>
      <c r="W40" s="406" t="n">
        <v>12726.36</v>
      </c>
      <c r="X40" s="406" t="n">
        <v>6148</v>
      </c>
      <c r="Y40" s="406" t="n">
        <v>0</v>
      </c>
      <c r="Z40" s="406" t="n">
        <v>23843.4</v>
      </c>
      <c r="AA40" s="406" t="n"/>
      <c r="AB40" s="406" t="n"/>
      <c r="AC40" s="406" t="n"/>
      <c r="AD40" s="406" t="n"/>
      <c r="AE40" s="406" t="n"/>
      <c r="AF40" s="406" t="n"/>
      <c r="AG40" s="406" t="n"/>
      <c r="AH40" s="406" t="n"/>
      <c r="AI40" s="406" t="n"/>
      <c r="AJ40" s="406" t="n"/>
      <c r="AK40" s="406" t="n"/>
      <c r="AL40" s="406" t="n"/>
      <c r="AM40" s="406" t="n"/>
      <c r="AN40" s="406" t="n"/>
      <c r="AO40" s="406" t="n"/>
      <c r="AP40" s="406" t="n"/>
      <c r="AQ40" s="406" t="n"/>
    </row>
    <row r="41">
      <c r="B41" s="317" t="inlineStr">
        <is>
          <t>ADJUSTMENT: Yourika</t>
        </is>
      </c>
      <c r="C41" s="423" t="n"/>
      <c r="D41" s="141" t="n"/>
      <c r="E41" s="697" t="n"/>
      <c r="F41" s="141" t="n"/>
      <c r="G41" s="141" t="n"/>
      <c r="H41" s="958" t="n"/>
      <c r="I41" s="141">
        <f>SUM(Q41:AB41)</f>
        <v/>
      </c>
      <c r="J41" s="141">
        <f>SUM(T41:AE41)</f>
        <v/>
      </c>
      <c r="K41" s="141">
        <f>SUM(W41:AH41)</f>
        <v/>
      </c>
      <c r="L41" s="141">
        <f>SUM(Z41:AK41)</f>
        <v/>
      </c>
      <c r="M41" s="141">
        <f>SUM(AC41:AN41)</f>
        <v/>
      </c>
      <c r="N41" s="141">
        <f>SUM(AF41:AQ41)</f>
        <v/>
      </c>
      <c r="O41" s="697" t="n"/>
      <c r="P41" s="697" t="n"/>
      <c r="Q41" s="406" t="n"/>
      <c r="R41" s="406" t="n"/>
      <c r="S41" s="406" t="n"/>
      <c r="T41" s="406" t="n"/>
      <c r="U41" s="406" t="n"/>
      <c r="V41" s="406" t="n"/>
      <c r="W41" s="406" t="n"/>
      <c r="Z41" s="406" t="n">
        <v>45000</v>
      </c>
      <c r="AA41" s="406" t="n"/>
      <c r="AB41" s="406" t="n"/>
      <c r="AC41" s="406" t="n"/>
      <c r="AD41" s="406" t="n"/>
      <c r="AE41" s="406" t="n"/>
      <c r="AF41" s="406" t="n"/>
      <c r="AG41" s="406" t="n"/>
      <c r="AH41" s="406" t="n"/>
      <c r="AI41" s="406" t="n"/>
      <c r="AL41" s="406" t="n"/>
      <c r="AM41" s="406" t="n"/>
      <c r="AN41" s="406" t="n"/>
      <c r="AO41" s="406" t="n"/>
      <c r="AP41" s="406" t="n"/>
      <c r="AQ41" s="406" t="n"/>
    </row>
    <row r="42">
      <c r="B42" s="317" t="inlineStr">
        <is>
          <t>ADJUSTMENT: RP Adams Phase I</t>
        </is>
      </c>
      <c r="C42" s="423" t="n"/>
      <c r="D42" s="141" t="n"/>
      <c r="E42" s="697" t="n"/>
      <c r="F42" s="141" t="n"/>
      <c r="G42" s="141" t="n"/>
      <c r="H42" s="958" t="n"/>
      <c r="I42" s="141">
        <f>SUM(Q42:AB42)</f>
        <v/>
      </c>
      <c r="J42" s="141">
        <f>SUM(T42:AE42)</f>
        <v/>
      </c>
      <c r="K42" s="141">
        <f>SUM(W42:AH42)</f>
        <v/>
      </c>
      <c r="L42" s="141">
        <f>SUM(Z42:AK42)</f>
        <v/>
      </c>
      <c r="M42" s="141">
        <f>SUM(AC42:AN42)</f>
        <v/>
      </c>
      <c r="N42" s="141">
        <f>SUM(AF42:AQ42)</f>
        <v/>
      </c>
      <c r="O42" s="697" t="n"/>
      <c r="P42" s="697" t="n"/>
      <c r="Q42" s="406" t="n"/>
      <c r="R42" s="406" t="n"/>
      <c r="S42" s="406" t="n"/>
      <c r="T42" s="406" t="n"/>
      <c r="U42" s="406" t="n"/>
      <c r="V42" s="406" t="n"/>
      <c r="W42" s="406" t="n"/>
      <c r="Z42" s="406" t="n"/>
      <c r="AA42" s="406" t="n"/>
      <c r="AB42" s="406" t="n">
        <v>6000</v>
      </c>
      <c r="AC42" s="406" t="n"/>
      <c r="AD42" s="406" t="n"/>
      <c r="AE42" s="406" t="n"/>
      <c r="AF42" s="406" t="n"/>
      <c r="AG42" s="406" t="n"/>
      <c r="AH42" s="406" t="n"/>
      <c r="AI42" s="406" t="n"/>
      <c r="AL42" s="406" t="n"/>
      <c r="AM42" s="406" t="n"/>
      <c r="AN42" s="406" t="n"/>
      <c r="AO42" s="406" t="n"/>
      <c r="AP42" s="406" t="n"/>
      <c r="AQ42" s="406" t="n"/>
    </row>
    <row r="43">
      <c r="B43" s="317" t="inlineStr">
        <is>
          <t>ADJUSTMENT: Baker Tilly</t>
        </is>
      </c>
      <c r="C43" s="317" t="n"/>
      <c r="D43" s="141" t="n"/>
      <c r="E43" s="697" t="n"/>
      <c r="F43" s="141" t="n"/>
      <c r="G43" s="141" t="n"/>
      <c r="H43" s="958" t="n"/>
      <c r="I43" s="141">
        <f>SUM(Q43:AB43)</f>
        <v/>
      </c>
      <c r="J43" s="141">
        <f>SUM(T43:AE43)</f>
        <v/>
      </c>
      <c r="K43" s="141">
        <f>SUM(W43:AH43)</f>
        <v/>
      </c>
      <c r="L43" s="141">
        <f>SUM(Z43:AK43)</f>
        <v/>
      </c>
      <c r="M43" s="141">
        <f>SUM(AC43:AN43)</f>
        <v/>
      </c>
      <c r="N43" s="141">
        <f>SUM(AF43:AQ43)</f>
        <v/>
      </c>
      <c r="O43" s="697" t="n"/>
      <c r="P43" s="697" t="n"/>
      <c r="Q43" s="406" t="n"/>
      <c r="R43" s="406" t="n"/>
      <c r="S43" s="406" t="n"/>
      <c r="T43" s="406" t="n"/>
      <c r="U43" s="406" t="n"/>
      <c r="V43" s="406" t="n"/>
      <c r="W43" s="406" t="n"/>
      <c r="Z43" s="406" t="n">
        <v>23512.5</v>
      </c>
      <c r="AA43" s="406" t="n"/>
      <c r="AB43" s="406" t="n"/>
      <c r="AC43" s="406" t="n"/>
      <c r="AD43" s="406" t="n"/>
      <c r="AE43" s="406" t="n"/>
      <c r="AF43" s="406" t="n"/>
      <c r="AG43" s="406" t="n"/>
      <c r="AH43" s="406" t="n"/>
      <c r="AI43" s="406" t="n"/>
      <c r="AL43" s="406" t="n"/>
      <c r="AM43" s="406" t="n"/>
      <c r="AN43" s="406" t="n"/>
      <c r="AO43" s="406" t="n"/>
      <c r="AP43" s="406" t="n"/>
      <c r="AQ43" s="406" t="n"/>
    </row>
    <row r="44">
      <c r="B44" s="317" t="inlineStr">
        <is>
          <t>ADJUSTMENT: Excess Temporary Labor</t>
        </is>
      </c>
      <c r="C44" s="317" t="n"/>
      <c r="D44" s="141" t="n"/>
      <c r="E44" s="697" t="n"/>
      <c r="F44" s="141" t="n"/>
      <c r="G44" s="141" t="n"/>
      <c r="H44" s="958" t="n"/>
      <c r="I44" s="141">
        <f>SUM(Q44:AB44)</f>
        <v/>
      </c>
      <c r="J44" s="141">
        <f>SUM(T44:AE44)</f>
        <v/>
      </c>
      <c r="K44" s="141">
        <f>SUM(W44:AH44)</f>
        <v/>
      </c>
      <c r="L44" s="141">
        <f>SUM(Z44:AK44)</f>
        <v/>
      </c>
      <c r="M44" s="141">
        <f>SUM(AC44:AN44)</f>
        <v/>
      </c>
      <c r="N44" s="141">
        <f>SUM(AF44:AQ44)</f>
        <v/>
      </c>
      <c r="O44" s="697" t="n"/>
      <c r="P44" s="697" t="n"/>
      <c r="Q44" s="406" t="n">
        <v>0</v>
      </c>
      <c r="R44" s="406" t="n">
        <v>3024</v>
      </c>
      <c r="S44" s="406" t="n">
        <v>11013.11</v>
      </c>
      <c r="T44" s="406" t="n">
        <v>14136.79</v>
      </c>
      <c r="U44" s="406" t="n">
        <v>16217.05</v>
      </c>
      <c r="V44" s="406" t="n">
        <v>14246.8</v>
      </c>
      <c r="W44" s="406" t="n">
        <v>15134.82</v>
      </c>
      <c r="X44" s="406" t="n">
        <v>22798.32</v>
      </c>
      <c r="Y44" s="406" t="n">
        <v>0</v>
      </c>
      <c r="Z44" s="406" t="n">
        <v>41269.9</v>
      </c>
      <c r="AA44" s="406" t="n">
        <v>158060.24</v>
      </c>
      <c r="AB44" s="406" t="n">
        <v>93165.17</v>
      </c>
      <c r="AC44" s="406" t="n">
        <v>23331.43</v>
      </c>
      <c r="AD44" s="406" t="n">
        <v>43629.89</v>
      </c>
      <c r="AE44" s="406" t="n">
        <v>38041.49</v>
      </c>
      <c r="AF44" s="406" t="n">
        <v>50090.88</v>
      </c>
      <c r="AG44" s="406" t="n">
        <v>66297.7</v>
      </c>
      <c r="AH44" s="406" t="n">
        <v>45571.46</v>
      </c>
      <c r="AI44" s="406" t="n">
        <v>139565.49</v>
      </c>
      <c r="AJ44" s="406" t="n">
        <v>100000.52</v>
      </c>
      <c r="AK44" s="406" t="n">
        <v>75882.97</v>
      </c>
      <c r="AL44" s="406" t="n">
        <v>112881.65</v>
      </c>
      <c r="AM44" s="406" t="n">
        <v>76812.89000000001</v>
      </c>
      <c r="AN44" s="406" t="n">
        <v>73013.30999999998</v>
      </c>
      <c r="AO44" s="406" t="n"/>
      <c r="AP44" s="406" t="n"/>
      <c r="AQ44" s="406" t="n"/>
    </row>
    <row r="45">
      <c r="B45" s="317" t="inlineStr">
        <is>
          <t>ADJUSTMENT: Defective and Scrapped Inventory</t>
        </is>
      </c>
      <c r="C45" s="317" t="n"/>
      <c r="D45" s="141" t="n"/>
      <c r="E45" s="697" t="n"/>
      <c r="F45" s="141" t="n"/>
      <c r="G45" s="141" t="n"/>
      <c r="H45" s="958" t="n"/>
      <c r="I45" s="141">
        <f>SUM(Q45:AB45)</f>
        <v/>
      </c>
      <c r="J45" s="141">
        <f>SUM(T45:AE45)</f>
        <v/>
      </c>
      <c r="K45" s="141">
        <f>SUM(W45:AH45)</f>
        <v/>
      </c>
      <c r="L45" s="141">
        <f>SUM(Z45:AK45)</f>
        <v/>
      </c>
      <c r="M45" s="141">
        <f>SUM(AC45:AN45)</f>
        <v/>
      </c>
      <c r="N45" s="141">
        <f>SUM(AF45:AQ45)</f>
        <v/>
      </c>
      <c r="O45" s="697" t="n"/>
      <c r="P45" s="697" t="n"/>
      <c r="Q45" s="406" t="n"/>
      <c r="R45" s="406" t="n"/>
      <c r="S45" s="406" t="n"/>
      <c r="T45" s="406" t="n"/>
      <c r="U45" s="406" t="n"/>
      <c r="V45" s="406" t="n"/>
      <c r="W45" s="406" t="n"/>
      <c r="Z45" s="406" t="n"/>
      <c r="AA45" s="406" t="n">
        <v>76928.03</v>
      </c>
      <c r="AB45" s="406" t="n"/>
      <c r="AC45" s="406" t="n"/>
      <c r="AD45" s="406" t="n"/>
      <c r="AE45" s="406" t="n"/>
      <c r="AF45" s="406" t="n"/>
      <c r="AG45" s="406" t="n"/>
      <c r="AH45" s="406" t="n"/>
      <c r="AI45" s="406" t="n"/>
      <c r="AJ45" s="406" t="n"/>
      <c r="AK45" s="406" t="n"/>
      <c r="AL45" s="406" t="n"/>
      <c r="AM45" s="406" t="n"/>
      <c r="AN45" s="406" t="n"/>
      <c r="AO45" s="406" t="n"/>
      <c r="AP45" s="406" t="n"/>
      <c r="AQ45" s="406" t="n"/>
    </row>
    <row r="46">
      <c r="B46" s="317" t="inlineStr">
        <is>
          <t>ADJUSTMENT: Setup</t>
        </is>
      </c>
      <c r="C46" s="317" t="n"/>
      <c r="D46" s="141" t="n"/>
      <c r="E46" s="697" t="n"/>
      <c r="F46" s="141" t="n"/>
      <c r="G46" s="141" t="n"/>
      <c r="H46" s="958" t="n"/>
      <c r="I46" s="141" t="n"/>
      <c r="J46" s="141">
        <f>SUM(T46:AE46)</f>
        <v/>
      </c>
      <c r="K46" s="141">
        <f>SUM(W46:AH46)</f>
        <v/>
      </c>
      <c r="L46" s="141">
        <f>SUM(Z46:AK46)</f>
        <v/>
      </c>
      <c r="M46" s="141">
        <f>SUM(AC46:AN46)</f>
        <v/>
      </c>
      <c r="N46" s="141">
        <f>SUM(AF46:AQ46)</f>
        <v/>
      </c>
      <c r="O46" s="697" t="n"/>
      <c r="P46" s="697" t="n"/>
      <c r="Q46" s="406" t="n"/>
      <c r="R46" s="406" t="n"/>
      <c r="S46" s="406" t="n"/>
      <c r="T46" s="406" t="n"/>
      <c r="U46" s="406" t="n"/>
      <c r="V46" s="406" t="n"/>
      <c r="W46" s="406" t="n"/>
      <c r="Z46" s="406" t="n"/>
      <c r="AA46" s="406" t="n"/>
      <c r="AB46" s="406" t="n"/>
      <c r="AC46" s="406" t="n">
        <v>528</v>
      </c>
      <c r="AD46" s="406" t="n"/>
      <c r="AE46" s="406" t="n"/>
      <c r="AF46" s="406" t="n"/>
      <c r="AG46" s="406" t="n"/>
      <c r="AH46" s="406" t="n"/>
      <c r="AI46" s="406" t="n"/>
      <c r="AJ46" s="406" t="n">
        <v>-528</v>
      </c>
      <c r="AK46" s="406" t="n"/>
      <c r="AL46" s="406" t="n"/>
      <c r="AM46" s="406" t="n"/>
      <c r="AN46" s="406" t="n"/>
      <c r="AO46" s="406" t="n"/>
      <c r="AP46" s="406" t="n"/>
      <c r="AQ46" s="406" t="n"/>
    </row>
    <row r="47">
      <c r="B47" s="317" t="inlineStr">
        <is>
          <t>ADJUSTMENT: Other</t>
        </is>
      </c>
      <c r="C47" s="317" t="n"/>
      <c r="D47" s="141" t="n"/>
      <c r="E47" s="697" t="n"/>
      <c r="F47" s="141" t="n"/>
      <c r="G47" s="141" t="n"/>
      <c r="H47" s="958" t="n"/>
      <c r="I47" s="141" t="n"/>
      <c r="J47" s="141">
        <f>SUM(T47:AE47)</f>
        <v/>
      </c>
      <c r="K47" s="141">
        <f>SUM(W47:AH47)</f>
        <v/>
      </c>
      <c r="L47" s="141">
        <f>SUM(Z47:AK47)</f>
        <v/>
      </c>
      <c r="M47" s="141">
        <f>SUM(AC47:AN47)</f>
        <v/>
      </c>
      <c r="N47" s="141">
        <f>SUM(AF47:AQ47)</f>
        <v/>
      </c>
      <c r="O47" s="697" t="n"/>
      <c r="P47" s="697" t="n"/>
      <c r="Q47" s="406" t="n"/>
      <c r="R47" s="406" t="n"/>
      <c r="S47" s="406" t="n"/>
      <c r="T47" s="406" t="n"/>
      <c r="U47" s="406" t="n"/>
      <c r="V47" s="406" t="n"/>
      <c r="W47" s="406" t="n"/>
      <c r="Z47" s="406" t="n"/>
      <c r="AA47" s="406" t="n"/>
      <c r="AB47" s="406" t="n"/>
      <c r="AC47" s="406" t="n">
        <v>2819.47</v>
      </c>
      <c r="AD47" s="406" t="n">
        <v>0</v>
      </c>
      <c r="AE47" s="406" t="n">
        <v>4447.32</v>
      </c>
      <c r="AF47" s="406" t="n">
        <v>17072.6</v>
      </c>
      <c r="AG47" s="406" t="n">
        <v>5546.84</v>
      </c>
      <c r="AH47" s="406" t="n">
        <v>43398.18</v>
      </c>
      <c r="AI47" s="406" t="n">
        <v>127233.28</v>
      </c>
      <c r="AJ47" s="406" t="n">
        <v>1980</v>
      </c>
      <c r="AK47" s="406" t="n">
        <v>55734.21</v>
      </c>
      <c r="AL47" s="406" t="n">
        <v>7254.6</v>
      </c>
      <c r="AM47" s="406" t="n">
        <v>422.25</v>
      </c>
      <c r="AN47" s="406" t="n">
        <v>-168162.86</v>
      </c>
      <c r="AO47" s="406" t="n">
        <v>64170.15</v>
      </c>
      <c r="AP47" s="406" t="n">
        <v>69632.12</v>
      </c>
      <c r="AQ47" s="406" t="n">
        <v>47069.39000000001</v>
      </c>
    </row>
    <row r="48">
      <c r="B48" s="317" t="inlineStr">
        <is>
          <t>ADJUSTMENT: Cental Office Administration Expense Removal</t>
        </is>
      </c>
      <c r="C48" s="317" t="n"/>
      <c r="D48" s="141" t="n"/>
      <c r="E48" s="697" t="n"/>
      <c r="F48" s="141" t="n"/>
      <c r="G48" s="141" t="n"/>
      <c r="H48" s="958" t="n"/>
      <c r="I48" s="141" t="n"/>
      <c r="J48" s="141">
        <f>SUM(T48:AE48)</f>
        <v/>
      </c>
      <c r="K48" s="141">
        <f>SUM(W48:AH48)</f>
        <v/>
      </c>
      <c r="L48" s="141">
        <f>SUM(Z48:AK48)</f>
        <v/>
      </c>
      <c r="M48" s="141">
        <f>SUM(AC48:AN48)</f>
        <v/>
      </c>
      <c r="N48" s="141">
        <f>SUM(AF48:AQ48)</f>
        <v/>
      </c>
      <c r="O48" s="697" t="n"/>
      <c r="P48" s="697" t="n"/>
      <c r="Q48" s="406" t="n"/>
      <c r="R48" s="406" t="n"/>
      <c r="S48" s="406">
        <f>'[64]Detailed Backup'!AH158*1000</f>
        <v/>
      </c>
      <c r="T48" s="406">
        <f>'[64]Detailed Backup'!AI158*1000</f>
        <v/>
      </c>
      <c r="U48" s="406">
        <f>'[64]Detailed Backup'!AJ158*1000</f>
        <v/>
      </c>
      <c r="V48" s="406">
        <f>'[64]Detailed Backup'!AK158*1000</f>
        <v/>
      </c>
      <c r="W48" s="406">
        <f>'[64]Detailed Backup'!AL158*1000</f>
        <v/>
      </c>
      <c r="X48" s="406">
        <f>'[64]Detailed Backup'!AM158*1000</f>
        <v/>
      </c>
      <c r="Y48" s="406">
        <f>'[64]Detailed Backup'!AN158*1000</f>
        <v/>
      </c>
      <c r="Z48" s="406">
        <f>'[64]Detailed Backup'!AO158*1000</f>
        <v/>
      </c>
      <c r="AA48" s="406">
        <f>'[64]Detailed Backup'!AP158*1000</f>
        <v/>
      </c>
      <c r="AB48" s="406">
        <f>'[64]Detailed Backup'!AQ158*1000</f>
        <v/>
      </c>
      <c r="AC48" s="406">
        <f>'[64]Detailed Backup'!AR158*1000</f>
        <v/>
      </c>
      <c r="AD48" s="406" t="n"/>
      <c r="AE48" s="406" t="n"/>
      <c r="AF48" s="406" t="n"/>
      <c r="AG48" s="406" t="n"/>
      <c r="AH48" s="406" t="n"/>
      <c r="AI48" s="406" t="n"/>
      <c r="AL48" s="406" t="n"/>
      <c r="AM48" s="406" t="n"/>
      <c r="AN48" s="406" t="n"/>
      <c r="AO48" s="406" t="n"/>
      <c r="AP48" s="406" t="n"/>
      <c r="AQ48" s="406" t="n"/>
    </row>
    <row r="49">
      <c r="B49" s="317" t="inlineStr">
        <is>
          <t>ADJUSTMENT: Ic-Disc Commission Expense</t>
        </is>
      </c>
      <c r="C49" s="317" t="n"/>
      <c r="D49" s="141" t="n"/>
      <c r="E49" s="697" t="n"/>
      <c r="F49" s="141" t="n"/>
      <c r="G49" s="141" t="n"/>
      <c r="H49" s="141" t="n"/>
      <c r="I49" s="141" t="n"/>
      <c r="J49" s="141">
        <f>SUM(T49:AE49)</f>
        <v/>
      </c>
      <c r="K49" s="141">
        <f>SUM(W49:AH49)</f>
        <v/>
      </c>
      <c r="L49" s="141">
        <f>SUM(Z49:AK49)</f>
        <v/>
      </c>
      <c r="M49" s="141">
        <f>SUM(AC49:AN49)</f>
        <v/>
      </c>
      <c r="N49" s="141">
        <f>SUM(AF49:AQ49)</f>
        <v/>
      </c>
      <c r="O49" s="697" t="n"/>
      <c r="P49" s="697" t="n"/>
      <c r="Q49" s="406" t="n"/>
      <c r="R49" s="406" t="n"/>
      <c r="S49" s="406">
        <f>'[64]Detailed Backup'!AH159*1000</f>
        <v/>
      </c>
      <c r="T49" s="406">
        <f>'[64]Detailed Backup'!AI159*1000</f>
        <v/>
      </c>
      <c r="U49" s="406">
        <f>'[64]Detailed Backup'!AJ159*1000</f>
        <v/>
      </c>
      <c r="V49" s="406">
        <f>'[64]Detailed Backup'!AK159*1000</f>
        <v/>
      </c>
      <c r="W49" s="406">
        <f>'[64]Detailed Backup'!AL159*1000</f>
        <v/>
      </c>
      <c r="X49" s="406">
        <f>'[64]Detailed Backup'!AM159*1000</f>
        <v/>
      </c>
      <c r="Y49" s="406">
        <f>'[64]Detailed Backup'!AN159*1000</f>
        <v/>
      </c>
      <c r="Z49" s="406">
        <f>'[64]Detailed Backup'!AO159*1000</f>
        <v/>
      </c>
      <c r="AA49" s="406">
        <f>'[64]Detailed Backup'!AP159*1000</f>
        <v/>
      </c>
      <c r="AB49" s="406">
        <f>'[64]Detailed Backup'!AQ159*1000</f>
        <v/>
      </c>
      <c r="AC49" s="406">
        <f>'[64]Detailed Backup'!AR159*1000</f>
        <v/>
      </c>
      <c r="AD49" s="406" t="n"/>
      <c r="AE49" s="406" t="n"/>
      <c r="AF49" s="406" t="n"/>
      <c r="AG49" s="406" t="n"/>
      <c r="AH49" s="406" t="n"/>
      <c r="AI49" s="406" t="n"/>
      <c r="AL49" s="406" t="n"/>
      <c r="AM49" s="406" t="n"/>
      <c r="AN49" s="406" t="n"/>
      <c r="AO49" s="406" t="n"/>
      <c r="AP49" s="406" t="n"/>
      <c r="AQ49" s="406" t="n"/>
    </row>
    <row r="50">
      <c r="B50" s="317" t="inlineStr">
        <is>
          <t>ADJUSTMENT: Yeary Controls</t>
        </is>
      </c>
      <c r="C50" s="317" t="n"/>
      <c r="D50" s="141" t="n"/>
      <c r="E50" s="697" t="n"/>
      <c r="F50" s="141" t="n"/>
      <c r="G50" s="141" t="n"/>
      <c r="H50" s="141" t="n"/>
      <c r="I50" s="141" t="n"/>
      <c r="J50" s="141" t="n"/>
      <c r="K50" s="141" t="n"/>
      <c r="L50" s="141" t="n"/>
      <c r="M50" s="141">
        <f>SUM(AC50:AN50)</f>
        <v/>
      </c>
      <c r="N50" s="141">
        <f>SUM(AF50:AQ50)</f>
        <v/>
      </c>
      <c r="O50" s="697" t="n"/>
      <c r="P50" s="697" t="n"/>
      <c r="Q50" s="406" t="n"/>
      <c r="R50" s="406" t="n"/>
      <c r="S50" s="406" t="n"/>
      <c r="T50" s="406" t="n"/>
      <c r="U50" s="406" t="n"/>
      <c r="V50" s="406" t="n"/>
      <c r="W50" s="406" t="n"/>
      <c r="X50" s="406" t="n"/>
      <c r="Y50" s="406" t="n"/>
      <c r="Z50" s="406" t="n"/>
      <c r="AA50" s="406" t="n"/>
      <c r="AB50" s="406" t="n"/>
      <c r="AC50" s="406" t="n">
        <v>30261.14061604585</v>
      </c>
      <c r="AD50" s="406" t="n">
        <v>38124.41184377942</v>
      </c>
      <c r="AE50" s="406" t="n">
        <v>29800.02163941286</v>
      </c>
      <c r="AF50" s="406" t="n">
        <v>30086.04831870632</v>
      </c>
      <c r="AG50" s="406" t="n">
        <v>29576.94381219409</v>
      </c>
      <c r="AH50" s="406" t="n">
        <v>30251.79245709022</v>
      </c>
      <c r="AI50" s="406" t="n">
        <v>31036.84369370091</v>
      </c>
      <c r="AJ50" t="n">
        <v>35539.38570311358</v>
      </c>
      <c r="AK50" t="n">
        <v>32397.735</v>
      </c>
      <c r="AL50" s="406" t="n">
        <v>60253.94</v>
      </c>
      <c r="AM50" s="406" t="n"/>
      <c r="AN50" s="406" t="n"/>
      <c r="AO50" s="406" t="n"/>
      <c r="AP50" s="406" t="n"/>
      <c r="AQ50" s="406" t="n"/>
    </row>
    <row r="51">
      <c r="B51" s="317" t="n"/>
      <c r="C51" s="317" t="n"/>
      <c r="D51" s="141" t="n"/>
      <c r="E51" s="697" t="n"/>
      <c r="F51" s="141" t="n"/>
      <c r="G51" s="141" t="n"/>
      <c r="H51" s="141" t="n"/>
      <c r="I51" s="141" t="n"/>
      <c r="J51" s="141" t="n"/>
      <c r="K51" s="141" t="n"/>
      <c r="L51" s="141" t="n"/>
      <c r="M51" s="141" t="n"/>
      <c r="N51" s="141" t="n"/>
      <c r="O51" s="697" t="n"/>
      <c r="P51" s="697" t="n"/>
      <c r="Q51" s="406" t="n"/>
      <c r="R51" s="406" t="n"/>
      <c r="S51" s="406" t="n"/>
      <c r="T51" s="406" t="n"/>
      <c r="U51" s="406" t="n"/>
      <c r="V51" s="406" t="n"/>
      <c r="W51" s="406" t="n"/>
      <c r="Z51" s="406" t="n"/>
      <c r="AA51" s="406" t="n"/>
      <c r="AB51" s="406" t="n"/>
      <c r="AC51" s="406" t="n"/>
      <c r="AD51" s="406" t="n"/>
      <c r="AE51" s="406" t="n"/>
      <c r="AF51" s="406" t="n"/>
      <c r="AG51" s="406" t="n"/>
      <c r="AH51" s="406" t="n"/>
      <c r="AI51" s="406" t="n"/>
      <c r="AL51" s="406" t="n"/>
      <c r="AM51" s="406" t="n"/>
      <c r="AN51" s="406" t="n"/>
      <c r="AO51" s="406" t="n"/>
      <c r="AP51" s="406" t="n"/>
      <c r="AQ51" s="406" t="n"/>
    </row>
    <row r="52">
      <c r="B52" s="317" t="inlineStr">
        <is>
          <t>Total Adjustments</t>
        </is>
      </c>
      <c r="C52" s="317" t="n"/>
      <c r="D52" s="141" t="n"/>
      <c r="E52" s="697" t="n"/>
      <c r="F52" s="141" t="n"/>
      <c r="G52" s="141" t="n"/>
      <c r="H52" s="141" t="n"/>
      <c r="I52" s="141">
        <f>SUM(Q52:AB52)</f>
        <v/>
      </c>
      <c r="J52" s="141">
        <f>SUM(T52:AE52)</f>
        <v/>
      </c>
      <c r="K52" s="141">
        <f>SUM(W52:AH52)</f>
        <v/>
      </c>
      <c r="L52" s="141">
        <f>SUM(Z52:AK52)</f>
        <v/>
      </c>
      <c r="M52" s="141">
        <f>SUM(AC52:AN52)</f>
        <v/>
      </c>
      <c r="N52" s="141">
        <f>SUM(AF52:AQ52)</f>
        <v/>
      </c>
      <c r="O52" s="697" t="n"/>
      <c r="P52" s="697" t="n"/>
      <c r="Q52" s="428">
        <f>SUM(Q19:Q45)</f>
        <v/>
      </c>
      <c r="R52" s="428">
        <f>SUM(R19:R45)</f>
        <v/>
      </c>
      <c r="S52" s="428">
        <f>SUM(S19:S45)</f>
        <v/>
      </c>
      <c r="T52" s="428">
        <f>SUM(T19:T49)</f>
        <v/>
      </c>
      <c r="U52" s="428">
        <f>SUM(U19:U49)</f>
        <v/>
      </c>
      <c r="V52" s="428">
        <f>SUM(V19:V49)</f>
        <v/>
      </c>
      <c r="W52" s="428">
        <f>SUM(W19:W49)</f>
        <v/>
      </c>
      <c r="X52" s="428">
        <f>SUM(X19:X49)</f>
        <v/>
      </c>
      <c r="Y52" s="428">
        <f>SUM(Y19:Y49)</f>
        <v/>
      </c>
      <c r="Z52" s="428">
        <f>SUM(Z19:Z49)</f>
        <v/>
      </c>
      <c r="AA52" s="428">
        <f>SUM(AA19:AA49)</f>
        <v/>
      </c>
      <c r="AB52" s="428">
        <f>SUM(AB19:AB49)</f>
        <v/>
      </c>
      <c r="AC52" s="428">
        <f>SUM(AC19:AC50)</f>
        <v/>
      </c>
      <c r="AD52" s="428">
        <f>SUM(AD19:AD50)</f>
        <v/>
      </c>
      <c r="AE52" s="428">
        <f>SUM(AE19:AE50)</f>
        <v/>
      </c>
      <c r="AF52" s="428">
        <f>SUM(AF19:AF50)</f>
        <v/>
      </c>
      <c r="AG52" s="428">
        <f>SUM(AG19:AG50)</f>
        <v/>
      </c>
      <c r="AH52" s="428">
        <f>SUM(AH19:AH50)</f>
        <v/>
      </c>
      <c r="AI52" s="428">
        <f>SUM(AI19:AI50)</f>
        <v/>
      </c>
      <c r="AJ52" s="428">
        <f>SUM(AJ19:AJ50)</f>
        <v/>
      </c>
      <c r="AK52" s="428">
        <f>SUM(AK19:AK50)</f>
        <v/>
      </c>
      <c r="AL52" s="428">
        <f>SUM(AL19:AL50)</f>
        <v/>
      </c>
      <c r="AM52" s="428">
        <f>SUM(AM19:AM50)</f>
        <v/>
      </c>
      <c r="AN52" s="428">
        <f>SUM(AN19:AN50)</f>
        <v/>
      </c>
      <c r="AO52" s="428">
        <f>SUM(AO19:AO50)</f>
        <v/>
      </c>
      <c r="AP52" s="428">
        <f>SUM(AP19:AP50)</f>
        <v/>
      </c>
      <c r="AQ52" s="428">
        <f>SUM(AQ19:AQ50)</f>
        <v/>
      </c>
    </row>
    <row r="53" ht="5.1" customHeight="1">
      <c r="B53" s="137" t="n"/>
      <c r="C53" s="137" t="n"/>
      <c r="D53" s="138" t="n"/>
      <c r="E53" s="138" t="n"/>
      <c r="F53" s="138" t="n"/>
      <c r="G53" s="138" t="n"/>
      <c r="H53" s="138" t="n"/>
      <c r="I53" s="138" t="n"/>
      <c r="J53" s="138" t="n"/>
      <c r="K53" s="138" t="n"/>
      <c r="L53" s="138" t="n"/>
      <c r="M53" s="138" t="n"/>
      <c r="N53" s="138" t="n"/>
      <c r="O53" s="138" t="n"/>
      <c r="P53" s="315" t="n"/>
      <c r="Q53" s="959" t="n"/>
      <c r="R53" s="959" t="n"/>
      <c r="S53" s="959" t="n"/>
      <c r="T53" s="959" t="n"/>
      <c r="U53" s="959" t="n"/>
      <c r="V53" s="959" t="n"/>
      <c r="W53" s="959" t="n"/>
      <c r="X53" s="959" t="n"/>
      <c r="Y53" s="959" t="n"/>
      <c r="Z53" s="959" t="n"/>
      <c r="AA53" s="959" t="n"/>
      <c r="AB53" s="959" t="n"/>
      <c r="AC53" s="959" t="n"/>
      <c r="AD53" s="959" t="n"/>
      <c r="AE53" s="959" t="n"/>
      <c r="AF53" s="959" t="n"/>
      <c r="AG53" s="959" t="n"/>
      <c r="AH53" s="959" t="n"/>
      <c r="AI53" s="959" t="n"/>
      <c r="AJ53" s="959" t="n"/>
      <c r="AK53" s="959" t="n"/>
      <c r="AL53" s="959" t="n"/>
      <c r="AM53" s="959" t="n"/>
      <c r="AN53" s="959" t="n"/>
      <c r="AO53" s="959" t="n"/>
      <c r="AP53" s="959" t="n"/>
      <c r="AQ53" s="959" t="n"/>
    </row>
    <row r="54" ht="15" customHeight="1">
      <c r="B54" s="137" t="inlineStr">
        <is>
          <t>Adjusted EBITDA</t>
        </is>
      </c>
      <c r="C54" s="137" t="n"/>
      <c r="D54" s="143" t="n">
        <v>858190.4466666665</v>
      </c>
      <c r="E54" s="143" t="n"/>
      <c r="F54" s="143" t="n"/>
      <c r="G54" s="143" t="n"/>
      <c r="H54" s="143" t="n"/>
      <c r="I54" s="441">
        <f>SUM(Q54:AB54)</f>
        <v/>
      </c>
      <c r="J54" s="441">
        <f>SUM(T54:AE54)</f>
        <v/>
      </c>
      <c r="K54" s="441">
        <f>SUM(W54:AH54)</f>
        <v/>
      </c>
      <c r="L54" s="441">
        <f>SUM(Z54:AK54)</f>
        <v/>
      </c>
      <c r="M54" s="441">
        <f>SUM(AC54:AN54)</f>
        <v/>
      </c>
      <c r="N54" s="441">
        <f>SUM(AF54:AQ54)</f>
        <v/>
      </c>
      <c r="O54" s="143" t="n"/>
      <c r="P54" s="315" t="n"/>
      <c r="Q54" s="960">
        <f>Q13+Q52</f>
        <v/>
      </c>
      <c r="R54" s="960">
        <f>R13+R52</f>
        <v/>
      </c>
      <c r="S54" s="960">
        <f>S13+S52</f>
        <v/>
      </c>
      <c r="T54" s="960">
        <f>T16+T52</f>
        <v/>
      </c>
      <c r="U54" s="960">
        <f>U16+U52</f>
        <v/>
      </c>
      <c r="V54" s="960">
        <f>V16+V52</f>
        <v/>
      </c>
      <c r="W54" s="960">
        <f>W16+W52</f>
        <v/>
      </c>
      <c r="X54" s="960">
        <f>X16+X52</f>
        <v/>
      </c>
      <c r="Y54" s="960">
        <f>Y16+Y52</f>
        <v/>
      </c>
      <c r="Z54" s="960">
        <f>Z16+Z52</f>
        <v/>
      </c>
      <c r="AA54" s="960">
        <f>AA16+AA52</f>
        <v/>
      </c>
      <c r="AB54" s="960">
        <f>AB16+AB52</f>
        <v/>
      </c>
      <c r="AC54" s="960">
        <f>AC16+AC52</f>
        <v/>
      </c>
      <c r="AD54" s="960">
        <f>AD16+AD52</f>
        <v/>
      </c>
      <c r="AE54" s="960">
        <f>AE16+AE52</f>
        <v/>
      </c>
      <c r="AF54" s="960">
        <f>AF16+AF52</f>
        <v/>
      </c>
      <c r="AG54" s="960">
        <f>AG16+AG52</f>
        <v/>
      </c>
      <c r="AH54" s="960">
        <f>AH16+AH52</f>
        <v/>
      </c>
      <c r="AI54" s="960">
        <f>AI16+AI52</f>
        <v/>
      </c>
      <c r="AJ54" s="960">
        <f>AJ16+AJ52</f>
        <v/>
      </c>
      <c r="AK54" s="960">
        <f>AK16+AK52</f>
        <v/>
      </c>
      <c r="AL54" s="960">
        <f>AL16+AL52</f>
        <v/>
      </c>
      <c r="AM54" s="960">
        <f>AM16+AM52</f>
        <v/>
      </c>
      <c r="AN54" s="960">
        <f>AN16+AN52</f>
        <v/>
      </c>
      <c r="AO54" s="960">
        <f>AO16+AO52</f>
        <v/>
      </c>
      <c r="AP54" s="960">
        <f>AP16+AP52</f>
        <v/>
      </c>
      <c r="AQ54" s="960">
        <f>AQ16+AQ52</f>
        <v/>
      </c>
    </row>
    <row r="55" ht="15" customHeight="1">
      <c r="B55" s="407" t="inlineStr">
        <is>
          <t>Platform Adjustments</t>
        </is>
      </c>
      <c r="C55" s="407" t="n"/>
      <c r="D55" s="138" t="n"/>
      <c r="E55" s="138" t="n"/>
      <c r="F55" s="138" t="n"/>
      <c r="G55" s="138" t="n"/>
      <c r="H55" s="138" t="n"/>
      <c r="I55" s="138">
        <f>SUM(Q55:AB55)</f>
        <v/>
      </c>
      <c r="J55" s="138">
        <f>SUM(T55:AE55)</f>
        <v/>
      </c>
      <c r="K55" s="138">
        <f>SUM(W55:AH55)</f>
        <v/>
      </c>
      <c r="L55" s="138">
        <f>SUM(Z55:AK55)</f>
        <v/>
      </c>
      <c r="M55" s="138">
        <f>SUM(AC55:AN55)</f>
        <v/>
      </c>
      <c r="N55" s="138">
        <f>SUM(AF55:AQ55)</f>
        <v/>
      </c>
      <c r="O55" s="138" t="n"/>
      <c r="P55" s="315" t="n"/>
      <c r="Q55" s="961" t="n">
        <v>33425.82000000001</v>
      </c>
      <c r="R55" s="961" t="n">
        <v>42105.25</v>
      </c>
      <c r="S55" s="961" t="n">
        <v>42105.25</v>
      </c>
      <c r="T55" s="961" t="n">
        <v>42105.25</v>
      </c>
      <c r="U55" s="961" t="n">
        <v>42105.25</v>
      </c>
      <c r="V55" s="961" t="n">
        <v>36671.46999999999</v>
      </c>
      <c r="W55" s="961" t="n">
        <v>36671.46999999999</v>
      </c>
      <c r="X55" s="961" t="n">
        <v>36671.46999999999</v>
      </c>
      <c r="Y55" s="961" t="n">
        <v>36671.46999999999</v>
      </c>
      <c r="Z55" s="961" t="n">
        <v>96984</v>
      </c>
      <c r="AA55" s="961" t="n">
        <v>125556.29</v>
      </c>
      <c r="AB55" s="961" t="n">
        <v>-70915.92999999999</v>
      </c>
      <c r="AC55" s="961" t="n">
        <v>53036.48</v>
      </c>
      <c r="AD55" s="961" t="n">
        <v>50668.77</v>
      </c>
      <c r="AE55" s="961" t="n">
        <v>92200.04000000002</v>
      </c>
      <c r="AF55" s="961" t="n">
        <v>54296.38</v>
      </c>
      <c r="AG55" s="961" t="n">
        <v>88569.44</v>
      </c>
      <c r="AH55" s="961" t="n">
        <v>61413.46</v>
      </c>
      <c r="AI55" s="961" t="n">
        <v>54814.8</v>
      </c>
      <c r="AJ55" s="961" t="n">
        <v>52844.09</v>
      </c>
      <c r="AK55" s="961" t="n">
        <v>80900.92000000001</v>
      </c>
      <c r="AL55" s="961" t="n">
        <v>96291.52999999998</v>
      </c>
      <c r="AM55" s="961" t="n">
        <v>61544.94000000002</v>
      </c>
      <c r="AN55" s="961" t="n">
        <v>64620.73000000001</v>
      </c>
      <c r="AO55" s="961" t="n"/>
      <c r="AP55" s="961" t="n"/>
      <c r="AQ55" s="961" t="n"/>
    </row>
    <row r="56" ht="15" customHeight="1">
      <c r="B56" s="407" t="inlineStr">
        <is>
          <t>Inventory Adjustments</t>
        </is>
      </c>
      <c r="C56" s="407" t="n"/>
      <c r="D56" s="138" t="n"/>
      <c r="E56" s="138" t="n"/>
      <c r="F56" s="138" t="n"/>
      <c r="G56" s="138" t="n"/>
      <c r="H56" s="138" t="n"/>
      <c r="I56" s="138" t="n"/>
      <c r="J56" s="138" t="n"/>
      <c r="K56" s="138" t="n"/>
      <c r="L56" s="138" t="n"/>
      <c r="M56" s="138" t="n"/>
      <c r="N56" s="138" t="n"/>
      <c r="O56" s="138" t="n"/>
      <c r="P56" s="315" t="n"/>
      <c r="Q56" s="962" t="n"/>
      <c r="R56" s="962" t="n"/>
      <c r="S56" s="962" t="n"/>
      <c r="T56" s="962" t="n"/>
      <c r="U56" s="962" t="n"/>
      <c r="V56" s="962" t="n"/>
      <c r="W56" s="962" t="n"/>
      <c r="X56" s="962" t="n"/>
      <c r="Y56" s="962" t="n"/>
      <c r="Z56" s="962" t="n"/>
      <c r="AA56" s="962" t="n"/>
      <c r="AB56" s="406" t="n"/>
      <c r="AC56" s="962" t="n"/>
      <c r="AD56" s="962" t="n"/>
      <c r="AE56" s="962" t="n"/>
      <c r="AF56" s="962" t="n"/>
      <c r="AG56" s="962" t="n"/>
      <c r="AH56" s="962" t="n"/>
      <c r="AI56" s="962" t="n"/>
      <c r="AJ56" s="962" t="n"/>
      <c r="AK56" s="962" t="n"/>
      <c r="AL56" s="962" t="n"/>
      <c r="AM56" s="962" t="n"/>
      <c r="AN56" s="406" t="n"/>
      <c r="AO56" s="406" t="n"/>
      <c r="AP56" s="406" t="n"/>
      <c r="AQ56" s="406" t="n"/>
    </row>
    <row r="57" ht="5.1" customHeight="1">
      <c r="B57" s="137" t="n"/>
      <c r="C57" s="137" t="n"/>
      <c r="D57" s="138" t="n"/>
      <c r="E57" s="138" t="n"/>
      <c r="F57" s="138" t="n"/>
      <c r="G57" s="138" t="n"/>
      <c r="H57" s="138" t="n"/>
      <c r="I57" s="138" t="n"/>
      <c r="J57" s="138" t="n"/>
      <c r="K57" s="138" t="n"/>
      <c r="L57" s="138" t="n"/>
      <c r="M57" s="138" t="n"/>
      <c r="N57" s="138" t="n"/>
      <c r="O57" s="138" t="n"/>
      <c r="P57" s="315" t="n"/>
      <c r="Q57" s="959" t="n"/>
      <c r="R57" s="959" t="n"/>
      <c r="S57" s="959" t="n"/>
      <c r="T57" s="959" t="n"/>
      <c r="U57" s="959" t="n"/>
      <c r="V57" s="959" t="n"/>
      <c r="W57" s="959" t="n"/>
      <c r="X57" s="959" t="n"/>
      <c r="Y57" s="959" t="n"/>
      <c r="Z57" s="959" t="n"/>
      <c r="AA57" s="959" t="n"/>
      <c r="AB57" s="959" t="n"/>
      <c r="AC57" s="959" t="n"/>
      <c r="AD57" s="959" t="n"/>
      <c r="AE57" s="959" t="n"/>
      <c r="AF57" s="959" t="n"/>
      <c r="AG57" s="959" t="n"/>
      <c r="AH57" s="959" t="n"/>
      <c r="AI57" s="959" t="n"/>
      <c r="AJ57" s="959" t="n"/>
      <c r="AK57" s="959" t="n"/>
      <c r="AL57" s="959" t="n"/>
      <c r="AM57" s="959" t="n"/>
      <c r="AN57" s="959" t="n"/>
      <c r="AO57" s="959" t="n"/>
      <c r="AP57" s="959" t="n"/>
      <c r="AQ57" s="959" t="n"/>
    </row>
    <row r="58" ht="15" customHeight="1">
      <c r="B58" s="137" t="inlineStr">
        <is>
          <t>Operating Adjusted EBITDA 1 (w/ inventory adj.)</t>
        </is>
      </c>
      <c r="C58" s="137" t="n"/>
      <c r="D58" s="143">
        <f>SUM(D16:D25)</f>
        <v/>
      </c>
      <c r="E58" s="143" t="n">
        <v>1071044.086666667</v>
      </c>
      <c r="F58" s="143" t="n">
        <v>957126.8600000002</v>
      </c>
      <c r="G58" s="143">
        <f>SUM(G16:G25)</f>
        <v/>
      </c>
      <c r="H58" s="143">
        <f>SUM(H16:H25)</f>
        <v/>
      </c>
      <c r="I58" s="441">
        <f>SUM(Q58:AB58)</f>
        <v/>
      </c>
      <c r="J58" s="441">
        <f>SUM(T58:AE58)</f>
        <v/>
      </c>
      <c r="K58" s="441">
        <f>SUM(W58:AH58)</f>
        <v/>
      </c>
      <c r="L58" s="441">
        <f>SUM(Z58:AK58)</f>
        <v/>
      </c>
      <c r="M58" s="441">
        <f>SUM(AC58:AN58)</f>
        <v/>
      </c>
      <c r="N58" s="441">
        <f>SUM(AF58:AQ58)</f>
        <v/>
      </c>
      <c r="O58" s="143">
        <f>SUM(O16:O25)</f>
        <v/>
      </c>
      <c r="P58" s="315" t="n"/>
      <c r="Q58" s="960">
        <f>Q54+Q55+Q56</f>
        <v/>
      </c>
      <c r="R58" s="960">
        <f>R54+R55+R56</f>
        <v/>
      </c>
      <c r="S58" s="960">
        <f>S54+S55+S56</f>
        <v/>
      </c>
      <c r="T58" s="960">
        <f>T54+T55+T56</f>
        <v/>
      </c>
      <c r="U58" s="960">
        <f>U54+U55+U56</f>
        <v/>
      </c>
      <c r="V58" s="960">
        <f>V54+V55+V56</f>
        <v/>
      </c>
      <c r="W58" s="960">
        <f>W54+W55+W56</f>
        <v/>
      </c>
      <c r="X58" s="960">
        <f>X54+X55+X56</f>
        <v/>
      </c>
      <c r="Y58" s="960">
        <f>Y54+Y55+Y56</f>
        <v/>
      </c>
      <c r="Z58" s="960">
        <f>Z54+Z55+Z56</f>
        <v/>
      </c>
      <c r="AA58" s="960">
        <f>AA54+AA55+AA56</f>
        <v/>
      </c>
      <c r="AB58" s="960">
        <f>AB54+AB55+AB56</f>
        <v/>
      </c>
      <c r="AC58" s="960">
        <f>AC54+AC55+AC56</f>
        <v/>
      </c>
      <c r="AD58" s="960">
        <f>AD54+AD55+AD56</f>
        <v/>
      </c>
      <c r="AE58" s="960">
        <f>AE54+AE55+AE56</f>
        <v/>
      </c>
      <c r="AF58" s="960">
        <f>AF54+AF55+AF56</f>
        <v/>
      </c>
      <c r="AG58" s="960">
        <f>AG54+AG55+AG56</f>
        <v/>
      </c>
      <c r="AH58" s="960">
        <f>AH54+AH55+AH56</f>
        <v/>
      </c>
      <c r="AI58" s="960">
        <f>AI54+AI55+AI56</f>
        <v/>
      </c>
      <c r="AJ58" s="960">
        <f>AJ54+AJ55+AJ56</f>
        <v/>
      </c>
      <c r="AK58" s="960">
        <f>AK54+AK55+AK56</f>
        <v/>
      </c>
      <c r="AL58" s="960">
        <f>AL54+AL55+AL56</f>
        <v/>
      </c>
      <c r="AM58" s="960">
        <f>AM54+AM55+AM56</f>
        <v/>
      </c>
      <c r="AN58" s="960">
        <f>AN54+AN55+AN56</f>
        <v/>
      </c>
      <c r="AO58" s="960">
        <f>AO54+AO55+AO56</f>
        <v/>
      </c>
      <c r="AP58" s="960">
        <f>AP54+AP55+AP56</f>
        <v/>
      </c>
      <c r="AQ58" s="960">
        <f>AQ54+AQ55+AQ56</f>
        <v/>
      </c>
    </row>
    <row r="59" ht="15" customHeight="1">
      <c r="B59" s="137" t="inlineStr">
        <is>
          <t>Cash</t>
        </is>
      </c>
      <c r="C59" s="137" t="n"/>
      <c r="D59" s="963" t="n">
        <v>7623515</v>
      </c>
      <c r="E59" s="963" t="n">
        <v>7641423.33</v>
      </c>
      <c r="F59" s="963" t="n">
        <v>7726273.47</v>
      </c>
      <c r="G59" s="963" t="n">
        <v>7131391.220000001</v>
      </c>
      <c r="H59" s="963" t="n">
        <v>6776737.95</v>
      </c>
      <c r="I59" s="964">
        <f>$AB$59</f>
        <v/>
      </c>
      <c r="J59" s="964">
        <f>AE59</f>
        <v/>
      </c>
      <c r="K59" s="964">
        <f>AH59</f>
        <v/>
      </c>
      <c r="L59" s="964">
        <f>AK59</f>
        <v/>
      </c>
      <c r="M59" s="964">
        <f>AN59</f>
        <v/>
      </c>
      <c r="N59" s="964">
        <f>AQ59</f>
        <v/>
      </c>
      <c r="O59" s="963" t="n">
        <v>0</v>
      </c>
      <c r="P59" s="965" t="n"/>
      <c r="Q59" s="966" t="n">
        <v>8176337.32</v>
      </c>
      <c r="R59" s="966" t="n">
        <v>8036871.23</v>
      </c>
      <c r="S59" s="966" t="n">
        <v>7726273.47</v>
      </c>
      <c r="T59" s="966" t="n">
        <v>7645979.25</v>
      </c>
      <c r="U59" s="966" t="n">
        <v>7350977.109999999</v>
      </c>
      <c r="V59" s="966" t="n">
        <v>7383572.04</v>
      </c>
      <c r="W59" s="966" t="n">
        <v>7048220.779999999</v>
      </c>
      <c r="X59" s="966" t="n">
        <v>6804198.74</v>
      </c>
      <c r="Y59" s="966" t="n">
        <v>6776737.95</v>
      </c>
      <c r="Z59" s="966" t="n">
        <v>6699846.27</v>
      </c>
      <c r="AA59" s="966" t="n">
        <v>6306500.31</v>
      </c>
      <c r="AB59" s="966" t="n">
        <v>5666269.36</v>
      </c>
      <c r="AC59" s="966" t="n">
        <v>5229259.03</v>
      </c>
      <c r="AD59" s="966" t="n">
        <v>374733.03</v>
      </c>
      <c r="AE59" s="966" t="n">
        <v>136466.6</v>
      </c>
      <c r="AF59" s="966" t="n"/>
      <c r="AG59" s="966" t="n"/>
      <c r="AH59" s="966" t="n">
        <v>1154703.33</v>
      </c>
      <c r="AI59" s="966" t="n"/>
      <c r="AJ59" s="966" t="n"/>
      <c r="AK59" s="966" t="n">
        <v>715146.4700000001</v>
      </c>
      <c r="AL59" s="966" t="n"/>
      <c r="AM59" s="966" t="n"/>
      <c r="AN59" s="966" t="n">
        <v>1375758.66</v>
      </c>
      <c r="AO59" s="966" t="n"/>
      <c r="AP59" s="966" t="n"/>
      <c r="AQ59" s="966" t="n">
        <v>422159.65</v>
      </c>
    </row>
    <row r="60" ht="15" customHeight="1">
      <c r="B60" s="137" t="inlineStr">
        <is>
          <t>Debt</t>
        </is>
      </c>
      <c r="C60" s="137" t="n"/>
      <c r="D60" s="963" t="n">
        <v>0</v>
      </c>
      <c r="E60" s="963" t="n">
        <v>0</v>
      </c>
      <c r="F60" s="963" t="n">
        <v>0</v>
      </c>
      <c r="G60" s="963" t="n">
        <v>0</v>
      </c>
      <c r="H60" s="963" t="n">
        <v>0</v>
      </c>
      <c r="I60" s="963" t="n">
        <v>0</v>
      </c>
      <c r="J60" s="967">
        <f>AE60</f>
        <v/>
      </c>
      <c r="K60" s="964">
        <f>AH60</f>
        <v/>
      </c>
      <c r="L60" s="964">
        <f>AK60</f>
        <v/>
      </c>
      <c r="M60" s="964">
        <f>AL60</f>
        <v/>
      </c>
      <c r="N60" s="967">
        <f>AI60</f>
        <v/>
      </c>
      <c r="O60" s="963" t="n">
        <v>0</v>
      </c>
      <c r="P60" s="965" t="n"/>
    </row>
    <row r="61" ht="3.95" customHeight="1">
      <c r="B61" s="39" t="n"/>
      <c r="C61" s="39" t="n"/>
      <c r="D61" s="39" t="n"/>
      <c r="E61" s="39" t="n"/>
      <c r="F61" s="39" t="n"/>
      <c r="G61" s="39" t="n"/>
    </row>
    <row r="62" ht="16.5" customHeight="1">
      <c r="B62" s="44" t="inlineStr">
        <is>
          <t>1 Adj. EBITDA including platform expenses</t>
        </is>
      </c>
      <c r="C62" s="44" t="n"/>
      <c r="D62" s="39" t="n"/>
      <c r="E62" s="39" t="n"/>
      <c r="F62" s="39" t="n"/>
      <c r="G62" s="39" t="n"/>
      <c r="W62" s="966" t="n"/>
    </row>
  </sheetData>
  <conditionalFormatting sqref="B19:B52 B55:B56">
    <cfRule type="duplicateValues" priority="84" dxfId="0"/>
  </conditionalFormatting>
  <pageMargins left="0.7086614173228347" right="0.7086614173228347" top="0.7480314960629921" bottom="0.7480314960629921" header="0.3149606299212598" footer="0.3149606299212598"/>
  <pageSetup orientation="portrait" scale="28" fitToHeight="0"/>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{"Comparables (Live)":{"F|^NYS:IEXEV/EBITDATTM12/31/2023USD":{"r":[[17.616480721124464]],"c":null,"a":["'Comparables (Live)'!J14"]},"F|^LON:IMIEV/EBITDATTM12/31/2023USD":{"r":[[12.030099314319179]],"c":null,"a":["'Comparables (Live)'!J19"]},"F|^NYS:EMREV/EBITDATTM12/31/2023USD":{"r":[[16.457665412732094]],"c":null,"a":["'Comparables (Live)'!J12"]},"F|^NYS:FLSEV/EBITDATTM12/31/2023USD":{"r":[[18.05076741173383]],"c":null,"a":["'Comparables (Live)'!J21"]},"F|^NYS:ITTEV/EBITDATTM12/31/2023USD":{"r":[[14.517441721458457]],"c":null,"a":["'Comparables (Live)'!J17"]},"F|^NYS:WTSEV/EBITDATTM12/31/2023USD":{"r":[[17.62652384270256]],"c":null,"a":["'Comparables (Live)'!J20"]},"F|^NYS: MWAEV/EBITDATTM12/31/2023USD":{"r":[[13.821888034557235]],"c":null,"a":["'Comparables (Live)'!J23"]},"F|^NYS:CWEV/EBITDATTM12/31/2023USD":{"r":[[15.368727527288838]],"c":null,"a":["'Comparables (Live)'!J16"]},"F|^NYS:GGGEV/EBITDATTM12/31/2023USD":{"r":[[19.879331175970673]],"c":null,"a":["'Comparables (Live)'!J15"]},"F|^NYS:XYLEV/EBITDATTM12/31/2023USD":{"r":[[29.101149175124377]],"c":null,"a":["'Comparables (Live)'!J13"]},"F|^HEL:VALMTEV/EBITDATTM12/31/2023USD":{"r":[[7.696881497284132]],"c":null,"a":["'Comparables (Live)'!J18"]},"F|^LON:ROREV/EBITDATTM12/31/2023USD":{"r":[[17.95895080668443]],"c":null,"a":["'Comparables (Live)'!J22"]},"F|^NYS:IEXEV/RevenueTTM12/31/2024USD":{"r":[[5.420255143044948]],"c":null,"a":["'Comparables (Live)'!M14"]},"F|^NYS:IEXEV/EBITDATTM12/31/2024USD":{"r":[[20.808256586157174]],"c":null,"a":["'Comparables (Live)'!D14"]},"F|^NYS:IEXmarketCapDilutedTTM12/31/2024USD":{"r":[[15848131131]],"c":null,"a":["'Comparables (Live)'!P14"]},"F|^LON:IMIEV/RevenueTTM12/31/2024USD":{"r":[[2.3629213788952548]],"c":null,"a":["'Comparables (Live)'!M19"]},"F|^LON:IMIEV/EBITDATTM12/31/2024USD":{"r":[[11.146331371096078]],"c":null,"a":["'Comparables (Live)'!D19"]},"F|^LON:IMImarketCapDilutedTTM12/31/2024USD":{"r":[[5812027122.441711]],"c":null,"a":["'Comparables (Live)'!P19"]},"F|^NYS:EMREV/RevenueTTM12/31/2024USD":{"r":[[4.634405553453007]],"c":null,"a":["'Comparables (Live)'!M12"]},"F|^NYS:EMREV/EBITDATTM12/31/2024USD":{"r":[[21.34413426566614]],"c":null,"a":["'Comparables (Live)'!D12"]},"F|^NYS:EMRmarketCapDilutedTTM12/31/2024USD":{"r":[[70582021941]],"c":null,"a":["'Comparables (Live)'!P12"]},"F|^NYS:FLSEV/RevenueTTM12/31/2024USD":{"r":[[1.8553450181788724]],"c":null,"a":["'Comparables (Live)'!M21"]},"F|^NYS:FLSEV/EBITDATTM12/31/2024USD":{"r":[[16.981912367872788]],"c":null,"a":["'Comparables (Live)'!D21"]},"F|^NYS:FLSmarketCapDilutedTTM12/31/2024USD":{"r":[[7556775072]],"c":null,"a":["'Comparables (Live)'!P21"]},"F|^NYS:ITTEV/RevenueTTM12/31/2024USD":{"r":[[3.4324855556814318]],"c":null,"a":["'Comparables (Live)'!M17"]},"F|^NYS:ITTEV/EBITDATTM12/31/2024USD":{"r":[[15.829963427377221]],"c":null,"a":["'Comparables (Live)'!D17"]},"F|^NYS:ITTmarketCapDilutedTTM12/31/2024USD":{"r":[[11644720000]],"c":null,"a":["'Comparables (Live)'!P17"]},"F|^NYS:WTSEV/RevenueTTM12/31/2024USD":{"r":[[2.95869121940424]],"c":null,"a":["'Comparables (Live)'!M20"]},"F|^NYS:WTSEV/EBITDATTM12/31/2024USD":{"r":[[15.402237493087558]],"c":null,"a":["'Comparables (Live)'!D20"]},"F|^NYS:WTSmarketCapDilutedTTM12/31/2024USD":{"r":[[6776671072]],"c":null,"a":["'Comparables (Live)'!P20"]},"F|^NYS: MWAEV/RevenueTTM12/31/2024USD":{"r":[[2.806375675058949]],"c":null,"a":["'Comparables (Live)'!M23"]},"F|^NYS: MWAEV/EBITDATTM12/31/2024USD":{"r":[[15.29026978864484]],"c":null,"a":["'Comparables (Live)'!D23"]},"F|^NYS: MWAmarketCapDilutedTTM12/31/2024USD":{"r":[[3521942100]],"c":null,"a":["'Comparables (Live)'!P23"]},"F|^NYS:CWEV/RevenueTTM12/31/2024USD":{"r":[[4.608668306047977]],"c":null,"a":["'Comparables (Live)'!M16"]},"F|^NYS:CWEV/EBITDATTM12/31/2024USD":{"r":[[20.891249404083553]],"c":null,"a":["'Comparables (Live)'!D16"]},"F|^NYS:CWmarketCapDilutedTTM12/31/2024USD":{"r":[[13466671701]],"c":null,"a":["'Comparables (Live)'!P16"]},"F|^NYS:GGGEV/RevenueTTM12/31/2024USD":{"r":[[6.341066416645709]],"c":null,"a":["'Comparables (Live)'!M15"]},"F|^NYS:GGGEV/EBITDATTM12/31/2024USD":{"r":[[20.19403944031953]],"c":null,"a":["'Comparables (Live)'!D15"]},"F|^NYS:GGGmarketCapDilutedTTM12/31/2024USD":{"r":[[14232330761]],"c":null,"a":["'Comparables (Live)'!P15"]},"F|^NYS:XYLEV/RevenueTTM12/31/2024USD":{"r":[[3.479041363010446]],"c":null,"a":["'Comparables (Live)'!M13"]},"F|^NYS:XYLEV/EBITDATTM12/31/2024USD":{"r":[[19.538296294666665]],"c":null,"a":["'Comparables (Live)'!D13"]},"F|^NYS:XYLmarketCapDilutedTTM12/31/2024USD":{"r":[[28186444442]],"c":null,"a":["'Comparables (Live)'!P13"]},"F|^HEL:VALMTEV/RevenueTTM12/31/2024USD":{"r":[[0.9779373513501468]],"c":null,"a":["'Comparables (Live)'!M18"]},"F|^HEL:VALMTEV/EBITDATTM12/31/2024USD":{"r":[[7.9095691694936]],"c":null,"a":["'Comparables (Live)'!D18"]},"F|^HEL:VALMTmarketCapDilutedTTM12/31/2024USD":{"r":[[4470897851.945402]],"c":null,"a":["'Comparables (Live)'!P18"]},"F|^LON:ROREV/RevenueTTM12/31/2024USD":{"r":[[3.3858824143619968]],"c":null,"a":["'Comparables (Live)'!M22"]},"F|^LON:ROREV/EBITDATTM12/31/2024USD":{"r":[[14.314574087569008]],"c":null,"a":["'Comparables (Live)'!D22"]},"F|^LON:RORmarketCapDilutedTTM12/31/2024USD":{"r":[[3328327863.713336]],"c":null,"a":["'Comparables (Live)'!P22"]},"F|^NYS:CIREV/EBITDATTM12/31/2023USD":{"id":131,"description":null,"headerValues":[],"financialValues":[],"customValues":[],"error":null},"F|^NYS:CIREV/EBITDATTM12/31/2024USD":{"id":135,"description":null,"headerValues":[],"financialValues":[],"customValues":[],"error":null},"F|^NYS:CIREV/RevenueTTM12/31/2024USD":{"id":159,"description":null,"headerValues":[],"financialValues":[],"customValues":[],"error":null},"F|^NYS:IEXTotalRevenueTTM12/31/2024USD":{"r":[[3194800000]],"c":null,"a":["'Comparables (Live)'!P14"]},"F|^LON:IMITotalRevenueTTM12/31/2024USD":{"r":[[2782499213.78]],"c":null,"a":["'Comparables (Live)'!P19"]},"F|^NYS:EMRTotalRevenueTTM12/31/2024USD":{"r":[[17492000000]],"c":null,"a":["'Comparables (Live)'!P12"]},"F|^NYS:FLSTotalRevenueTTM12/31/2024USD":{"r":[[4542636000]],"c":null,"a":["'Comparables (Live)'!P21"]},"F|^NYS:ITTTotalRevenueTTM12/31/2024USD":{"r":[[3530800000]],"c":null,"a":["'Comparables (Live)'!P17"]},"F|^NYS:WTSTotalRevenueTTM12/31/2024USD":{"r":[[2259300000]],"c":null,"a":["'Comparables (Live)'!P20"]},"F|^NYS:CWTotalRevenueTTM12/31/2024USD":{"r":[[3082667000]],"c":null,"a":["'Comparables (Live)'!P16"]},"F|^NYS:GGGTotalRevenueTTM12/31/2024USD":{"r":[[2131288000]],"c":null,"a":["'Comparables (Live)'!P15"]},"F|^NYS:XYLTotalRevenueTTM12/31/2024USD":{"r":[[8424000000]],"c":null,"a":["'Comparables (Live)'!P13"]},"F|^NYS: MWATotalRevenueTTM12/31/2024USD":{"r":[[1314700000]],"c":null,"a":["'Comparables (Live)'!P23"]},"F|^HEL:VALMTTotalRevenueTTM12/31/2024USD":{"r":[[5780096082.02]],"c":null,"a":["'Comparables (Live)'!P18"]},"F|^LON:RORTotalRevenueTTM12/31/2024USD":{"r":[[939116147.540274]],"c":null,"a":["'Comparables (Live)'!P22"]},"F|^NYS: ZWSEV/EBITDATTM12/31/2023USD":{"r":[[20.549602329481925]],"c":null,"a":["'Comparables (Live)'!J25"]},"F|^NYS: ZWSEV/RevenueTTM12/31/2024USD":{"r":[[4.313234685044441]],"c":null,"a":["'Comparables (Live)'!M25"]},"F|^NYS: ZWSmarketCapDilutedTTM12/31/2024USD":{"r":[[6330328172]],"c":null,"a":["'Comparables (Live)'!P25"]},"F|^NYS: ZWSEV/EBITDATTM12/31/2024USD":{"r":[[21.770897828348506]],"c":null,"a":["'Comparables (Live)'!D25"]},"F|^NYS: ZWSTotalRevenueTTM12/31/2024USD":{"r":[[1552600000]],"c":null,"a":["'Comparables (Live)'!P25"]},"F|^NYS: FLOWEV/EBITDATTM12/31/2023USD":{"id":263,"description":null,"headerValues":[],"financialValues":[],"customValues":[],"error":null},"F|^NYS: FLOWEV/RevenueTTM12/31/2024USD":{"id":265,"description":null,"headerValues":[],"financialValues":[],"customValues":[],"error":null},"F|^NYS: FLOWEV/EBITDATTM12/31/2024USD":{"id":266,"description":null,"headerValues":[],"financialValues":[],"customValues":[],"error":null},"F|^NYS: FLOWmarketCapDilutedTTM12/31/2024USD":{"id":267,"description":null,"headerValues":[],"financialValues":[],"customValues":[],"error":null},"F|^NYS: FLOWTotalRevenueTTM12/31/2024USD":{"id":268,"description":null,"headerValues":[],"financialValues":[],"customValues":[],"error":null},"F|^NYS: ETNEV/EBITDATTM12/31/2023USD":{"r":[[22.15400255808996]],"c":null,"a":["'Comparables (Live)'!J25"]},"F|^NYS: ETNEV/RevenueTTM12/31/2024USD":{"r":[[5.6607203413940255]],"c":null,"a":["'Comparables (Live)'!M25"]},"F|^NYS: ETNmarketCapDilutedTTM12/31/2024USD":{"r":[[131155024000]],"c":null,"a":["'Comparables (Live)'!P25"]},"F|^NYS: ETNEV/EBITDATTM12/31/2024USD":{"r":[[25.23225072463768]],"c":null,"a":["'Comparables (Live)'!D25"]},"F|^NYS: ETNTotalRevenueTTM12/31/2024USD":{"r":[[24605000000]],"c":null,"a":["'Comparables (Live)'!P25"]}}}</t>
        </is>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4.xml><?xml version="1.0" encoding="utf-8"?>
<worksheet xmlns="http://schemas.openxmlformats.org/spreadsheetml/2006/main">
  <sheetPr>
    <tabColor theme="1"/>
    <outlinePr summaryBelow="1" summaryRight="1"/>
    <pageSetUpPr/>
  </sheetPr>
  <dimension ref="B2:X61"/>
  <sheetViews>
    <sheetView workbookViewId="0">
      <selection activeCell="A1" sqref="A1"/>
    </sheetView>
  </sheetViews>
  <sheetFormatPr baseColWidth="8" defaultRowHeight="15"/>
  <cols>
    <col width="2.7109375" customWidth="1" min="1" max="1"/>
    <col width="47.28515625" bestFit="1" customWidth="1" min="2" max="2"/>
    <col width="24.28515625" bestFit="1" customWidth="1" min="3" max="3"/>
    <col width="24.28515625" customWidth="1" min="4" max="4"/>
    <col width="2.7109375" customWidth="1" min="5" max="5"/>
    <col width="12.7109375" customWidth="1" min="6" max="20"/>
    <col width="88" bestFit="1" customWidth="1" min="21" max="21"/>
    <col width="12.5703125" bestFit="1" customWidth="1" min="22" max="22"/>
    <col width="13.42578125" bestFit="1" customWidth="1" min="23" max="23"/>
  </cols>
  <sheetData>
    <row r="2" ht="21" customHeight="1">
      <c r="B2" s="446" t="inlineStr">
        <is>
          <t xml:space="preserve">Opus Water Financials </t>
        </is>
      </c>
      <c r="C2" s="122" t="n"/>
      <c r="D2" s="122" t="n"/>
    </row>
    <row r="3" ht="16.5" customHeight="1" thickBot="1">
      <c r="B3" s="249" t="inlineStr">
        <is>
          <t>Financial Summary</t>
        </is>
      </c>
      <c r="C3" s="123" t="n"/>
      <c r="D3" s="123" t="n"/>
      <c r="E3" s="123" t="n"/>
      <c r="F3" s="123" t="n"/>
      <c r="G3" s="123" t="n"/>
      <c r="H3" s="123" t="n"/>
      <c r="I3" s="123" t="n"/>
      <c r="J3" s="123" t="n"/>
      <c r="K3" s="123" t="n"/>
      <c r="L3" s="123" t="n"/>
      <c r="M3" s="123" t="n"/>
      <c r="N3" s="123" t="n"/>
      <c r="O3" s="123" t="n"/>
      <c r="P3" s="123" t="n"/>
      <c r="Q3" s="123" t="n"/>
      <c r="R3" s="123" t="n"/>
      <c r="S3" s="123" t="n"/>
      <c r="T3" s="123" t="n"/>
    </row>
    <row r="4" ht="15.75" customHeight="1" thickTop="1">
      <c r="B4" s="55">
        <f>'I. Cover Page'!B9</f>
        <v/>
      </c>
      <c r="C4" s="447" t="n"/>
      <c r="D4" s="447" t="n"/>
      <c r="E4" s="447" t="n"/>
      <c r="F4" s="447" t="n"/>
      <c r="G4" s="447" t="n"/>
      <c r="H4" s="447" t="n"/>
      <c r="I4" s="447" t="n"/>
      <c r="J4" s="447" t="n"/>
      <c r="K4" s="447" t="n"/>
      <c r="L4" s="447" t="n"/>
      <c r="M4" s="447" t="n"/>
      <c r="N4" s="447" t="n"/>
      <c r="O4" s="447" t="n"/>
      <c r="P4" s="447" t="n"/>
      <c r="Q4" s="447" t="n"/>
      <c r="R4" s="447" t="n"/>
      <c r="S4" s="447" t="n"/>
      <c r="T4" s="447" t="n"/>
    </row>
    <row r="5" ht="15.75" customHeight="1" thickBot="1">
      <c r="C5" s="380" t="n"/>
      <c r="D5" s="380" t="n"/>
    </row>
    <row r="6">
      <c r="B6" s="448" t="inlineStr">
        <is>
          <t>Financial Information Summary</t>
        </is>
      </c>
      <c r="C6" s="449" t="n"/>
      <c r="D6" s="449" t="n"/>
      <c r="E6" s="450" t="n"/>
      <c r="U6" s="448" t="inlineStr">
        <is>
          <t>Notes</t>
        </is>
      </c>
    </row>
    <row r="7">
      <c r="B7" s="451" t="n"/>
      <c r="C7" s="452" t="n"/>
      <c r="D7" s="452" t="n"/>
      <c r="E7" s="450" t="n"/>
      <c r="G7" s="622" t="n"/>
    </row>
    <row r="8">
      <c r="B8" s="453" t="n"/>
      <c r="C8" s="454" t="inlineStr">
        <is>
          <t>LTM - March 2026</t>
        </is>
      </c>
      <c r="D8" s="454" t="inlineStr">
        <is>
          <t>LTM - June 2026</t>
        </is>
      </c>
      <c r="E8" s="450" t="n"/>
      <c r="F8" s="455" t="n">
        <v>45777</v>
      </c>
      <c r="G8" s="456" t="n">
        <v>45808</v>
      </c>
      <c r="H8" s="456" t="n">
        <v>45838</v>
      </c>
      <c r="I8" s="456" t="n">
        <v>45869</v>
      </c>
      <c r="J8" s="456" t="n">
        <v>45900</v>
      </c>
      <c r="K8" s="456" t="n">
        <v>45930</v>
      </c>
      <c r="L8" s="456" t="n">
        <v>45961</v>
      </c>
      <c r="M8" s="456" t="n">
        <v>45991</v>
      </c>
      <c r="N8" s="456" t="n">
        <v>46022</v>
      </c>
      <c r="O8" s="456" t="n">
        <v>46053</v>
      </c>
      <c r="P8" s="456" t="n">
        <v>46081</v>
      </c>
      <c r="Q8" s="456" t="n">
        <v>46112</v>
      </c>
      <c r="R8" s="456" t="n">
        <v>46142</v>
      </c>
      <c r="S8" s="456" t="n">
        <v>46173</v>
      </c>
      <c r="T8" s="456" t="n">
        <v>46203</v>
      </c>
    </row>
    <row r="9" ht="15.75" customHeight="1" thickBot="1">
      <c r="B9" s="453" t="n"/>
      <c r="C9" s="457" t="inlineStr">
        <is>
          <t>Apr 1 2025 - Mar 31 2026</t>
        </is>
      </c>
      <c r="D9" s="457" t="inlineStr">
        <is>
          <t>Jul 1 2025 - Jun 30 2026</t>
        </is>
      </c>
      <c r="E9" s="450" t="n"/>
      <c r="F9" s="458">
        <f>MONTH(F8)</f>
        <v/>
      </c>
      <c r="G9" s="458">
        <f>MONTH(G8)</f>
        <v/>
      </c>
      <c r="H9" s="458">
        <f>MONTH(H8)</f>
        <v/>
      </c>
      <c r="I9" s="458">
        <f>MONTH(I8)</f>
        <v/>
      </c>
      <c r="J9" s="458">
        <f>MONTH(J8)</f>
        <v/>
      </c>
      <c r="K9" s="458">
        <f>MONTH(K8)</f>
        <v/>
      </c>
      <c r="L9" s="458">
        <f>MONTH(L8)</f>
        <v/>
      </c>
      <c r="M9" s="458">
        <f>MONTH(M8)</f>
        <v/>
      </c>
      <c r="N9" s="458">
        <f>MONTH(N8)</f>
        <v/>
      </c>
      <c r="O9" s="458">
        <f>MONTH(O8)</f>
        <v/>
      </c>
      <c r="P9" s="458">
        <f>MONTH(P8)</f>
        <v/>
      </c>
      <c r="Q9" s="458">
        <f>MONTH(Q8)</f>
        <v/>
      </c>
      <c r="R9" s="458">
        <f>MONTH(R8)</f>
        <v/>
      </c>
      <c r="S9" s="458">
        <f>MONTH(S8)</f>
        <v/>
      </c>
      <c r="T9" s="458">
        <f>MONTH(T8)</f>
        <v/>
      </c>
    </row>
    <row r="10">
      <c r="B10" s="459" t="inlineStr">
        <is>
          <t>Opus Revenue</t>
        </is>
      </c>
      <c r="C10" s="832">
        <f>SUM(F10:Q10)</f>
        <v/>
      </c>
      <c r="D10" s="832">
        <f>SUM(I10:T10)</f>
        <v/>
      </c>
      <c r="E10" s="450" t="n"/>
      <c r="F10" s="833" t="n">
        <v>2083207.86</v>
      </c>
      <c r="G10" s="833" t="n">
        <v>1131620.94</v>
      </c>
      <c r="H10" s="833" t="n">
        <v>1478180.06</v>
      </c>
      <c r="I10" s="833" t="n">
        <v>1758316.49</v>
      </c>
      <c r="J10" s="833" t="n">
        <v>1413457.47</v>
      </c>
      <c r="K10" s="833" t="n">
        <v>1824735.74</v>
      </c>
      <c r="L10" s="833" t="n">
        <v>1621269.49</v>
      </c>
      <c r="M10" s="833" t="n">
        <v>1288214.62</v>
      </c>
      <c r="N10" s="833" t="n">
        <v>2349656.25</v>
      </c>
      <c r="O10" s="833" t="n">
        <v>890161.2599999999</v>
      </c>
      <c r="P10" s="833" t="n">
        <v>1938842.91</v>
      </c>
      <c r="Q10" s="833" t="n">
        <v>1779097.45</v>
      </c>
      <c r="R10" s="833" t="n">
        <v>890161.2599999999</v>
      </c>
      <c r="S10" s="833" t="n">
        <v>1938842.91</v>
      </c>
      <c r="T10" s="833" t="n">
        <v>1779097.45</v>
      </c>
      <c r="U10" s="833" t="n"/>
      <c r="V10" s="704" t="n"/>
      <c r="W10" s="704" t="n"/>
    </row>
    <row r="11">
      <c r="B11" s="459" t="inlineStr">
        <is>
          <t>RP Adams Revenue</t>
        </is>
      </c>
      <c r="C11" s="832">
        <f>SUM(F11:Q11)</f>
        <v/>
      </c>
      <c r="D11" s="832">
        <f>SUM(I11:T11)</f>
        <v/>
      </c>
      <c r="E11" s="450" t="n"/>
      <c r="F11" s="833" t="n"/>
      <c r="G11" s="833" t="n"/>
      <c r="H11" s="697" t="n"/>
      <c r="I11" s="697" t="n"/>
      <c r="J11" s="697" t="n"/>
      <c r="K11" s="697" t="n"/>
      <c r="L11" s="697" t="n"/>
      <c r="M11" s="697" t="n"/>
      <c r="N11" s="697" t="n"/>
      <c r="O11" s="697" t="n"/>
      <c r="P11" s="697" t="n"/>
      <c r="Q11" s="697" t="n"/>
      <c r="R11" s="697" t="n"/>
      <c r="S11" s="697" t="n"/>
      <c r="T11" s="697" t="n"/>
      <c r="U11" s="833" t="n"/>
      <c r="V11" s="704" t="n"/>
      <c r="W11" s="704" t="n"/>
    </row>
    <row r="12">
      <c r="B12" s="459" t="inlineStr">
        <is>
          <t>Yeary Controls Revenue</t>
        </is>
      </c>
      <c r="C12" s="832">
        <f>SUM(F12:Q12)</f>
        <v/>
      </c>
      <c r="D12" s="832">
        <f>SUM(I12:T12)</f>
        <v/>
      </c>
      <c r="E12" s="450" t="n"/>
      <c r="F12" s="833" t="n">
        <v>122638.2</v>
      </c>
      <c r="G12" s="833" t="n">
        <v>253544</v>
      </c>
      <c r="H12" s="833" t="n">
        <v>522588.58</v>
      </c>
      <c r="I12" s="833" t="n">
        <v>293851.7000000001</v>
      </c>
      <c r="J12" s="833" t="n">
        <v>77550.78000000003</v>
      </c>
      <c r="K12" s="833" t="n">
        <v>210778.38</v>
      </c>
      <c r="L12" s="833" t="n">
        <v>62134</v>
      </c>
      <c r="M12" s="833" t="n"/>
      <c r="N12" s="833" t="n"/>
      <c r="O12" s="833" t="n"/>
      <c r="P12" s="833" t="n"/>
      <c r="Q12" s="833" t="n"/>
      <c r="R12" s="833" t="n"/>
      <c r="S12" s="833" t="n"/>
      <c r="T12" s="833" t="n"/>
      <c r="U12" s="833" t="n"/>
      <c r="V12" s="704" t="n"/>
      <c r="W12" s="704" t="n"/>
    </row>
    <row r="13">
      <c r="B13" s="462" t="inlineStr">
        <is>
          <t>Total Revenue</t>
        </is>
      </c>
      <c r="C13" s="463">
        <f>SUM(F13:Q13)</f>
        <v/>
      </c>
      <c r="D13" s="463">
        <f>SUM(I13:T13)</f>
        <v/>
      </c>
      <c r="E13" s="450" t="n"/>
      <c r="F13" s="464">
        <f>SUM(F10:F12)</f>
        <v/>
      </c>
      <c r="G13" s="464">
        <f>SUM(G10:G12)</f>
        <v/>
      </c>
      <c r="H13" s="464">
        <f>SUM(H10:H12)</f>
        <v/>
      </c>
      <c r="I13" s="464">
        <f>SUM(I10:I12)</f>
        <v/>
      </c>
      <c r="J13" s="464">
        <f>SUM(J10:J12)</f>
        <v/>
      </c>
      <c r="K13" s="464">
        <f>SUM(K10:K12)</f>
        <v/>
      </c>
      <c r="L13" s="464">
        <f>SUM(L10:L12)</f>
        <v/>
      </c>
      <c r="M13" s="464">
        <f>SUM(M10:M12)</f>
        <v/>
      </c>
      <c r="N13" s="464">
        <f>SUM(N10:N12)</f>
        <v/>
      </c>
      <c r="O13" s="464">
        <f>SUM(O10:O12)</f>
        <v/>
      </c>
      <c r="P13" s="464">
        <f>SUM(P10:P12)</f>
        <v/>
      </c>
      <c r="Q13" s="464">
        <f>SUM(Q10:Q12)</f>
        <v/>
      </c>
      <c r="R13" s="464" t="n">
        <v>2432432.95</v>
      </c>
      <c r="S13" s="464" t="n">
        <v>1806793.87</v>
      </c>
      <c r="T13" s="464" t="n">
        <v>2073582.65</v>
      </c>
      <c r="V13" s="704" t="n"/>
      <c r="W13" s="704" t="n"/>
    </row>
    <row r="14" ht="6" customFormat="1" customHeight="1" s="469">
      <c r="B14" s="465" t="n"/>
      <c r="C14" s="466" t="n"/>
      <c r="D14" s="466" t="n"/>
      <c r="E14" s="467" t="n"/>
      <c r="F14" s="468" t="n"/>
      <c r="G14" s="468" t="n"/>
      <c r="H14" s="468" t="n"/>
      <c r="I14" s="468" t="n"/>
      <c r="J14" s="468" t="n"/>
      <c r="K14" s="468" t="n"/>
      <c r="L14" s="468" t="n"/>
      <c r="M14" s="468" t="n"/>
      <c r="N14" s="468" t="n"/>
      <c r="O14" s="468" t="n"/>
      <c r="P14" s="468" t="n"/>
      <c r="Q14" s="468" t="n"/>
      <c r="R14" s="468" t="n"/>
      <c r="S14" s="468" t="n"/>
      <c r="T14" s="468" t="n"/>
      <c r="V14" s="834" t="n"/>
      <c r="W14" s="834" t="n"/>
    </row>
    <row r="15">
      <c r="B15" s="459" t="inlineStr">
        <is>
          <t>Opus Gross Profit</t>
        </is>
      </c>
      <c r="C15" s="832">
        <f>SUM(F15:Q15)</f>
        <v/>
      </c>
      <c r="D15" s="832">
        <f>SUM(I15:T15)</f>
        <v/>
      </c>
      <c r="E15" s="450" t="n"/>
      <c r="F15" s="833" t="n">
        <v>1040699.04</v>
      </c>
      <c r="G15" s="833" t="n">
        <v>499492.4200000002</v>
      </c>
      <c r="H15" s="833" t="n">
        <v>688521.9</v>
      </c>
      <c r="I15" s="833" t="n">
        <v>940795.6900000002</v>
      </c>
      <c r="J15" s="833" t="n">
        <v>758447.05</v>
      </c>
      <c r="K15" s="833" t="n">
        <v>949347.8199999998</v>
      </c>
      <c r="L15" s="833" t="n">
        <v>827343.84</v>
      </c>
      <c r="M15" s="833" t="n">
        <v>640531.1299999998</v>
      </c>
      <c r="N15" s="833" t="n">
        <v>1510721.71</v>
      </c>
      <c r="O15" s="833" t="n">
        <v>347431.4499999998</v>
      </c>
      <c r="P15" s="833" t="n">
        <v>1182549</v>
      </c>
      <c r="Q15" s="833" t="n">
        <v>971176.03</v>
      </c>
      <c r="R15" s="833" t="n">
        <v>347431.4499999998</v>
      </c>
      <c r="S15" s="833" t="n">
        <v>1182549</v>
      </c>
      <c r="T15" s="833" t="n">
        <v>971176.03</v>
      </c>
      <c r="V15" s="704" t="n"/>
      <c r="W15" s="704" t="n"/>
    </row>
    <row r="16">
      <c r="B16" s="459" t="inlineStr">
        <is>
          <t>RP Adams Gross Profit</t>
        </is>
      </c>
      <c r="C16" s="832">
        <f>SUM(F16:Q16)</f>
        <v/>
      </c>
      <c r="D16" s="832">
        <f>SUM(I16:T16)</f>
        <v/>
      </c>
      <c r="E16" s="450" t="n"/>
      <c r="F16" s="835" t="n"/>
      <c r="G16" s="833" t="n"/>
      <c r="H16" s="833" t="n"/>
      <c r="I16" s="833" t="n"/>
      <c r="J16" s="833" t="n"/>
      <c r="K16" s="833" t="n"/>
      <c r="L16" s="833" t="n"/>
      <c r="M16" s="833" t="n"/>
      <c r="N16" s="833" t="n"/>
      <c r="O16" s="833" t="n"/>
      <c r="P16" s="833" t="n"/>
      <c r="Q16" s="833" t="n"/>
      <c r="R16" s="833" t="n"/>
      <c r="S16" s="833" t="n"/>
      <c r="T16" s="833" t="n"/>
      <c r="V16" s="704" t="n"/>
      <c r="W16" s="704" t="n"/>
    </row>
    <row r="17">
      <c r="B17" s="459" t="inlineStr">
        <is>
          <t>Yeary Controls Gross Profit</t>
        </is>
      </c>
      <c r="C17" s="832">
        <f>SUM(F17:Q17)</f>
        <v/>
      </c>
      <c r="D17" s="832">
        <f>SUM(I17:T17)</f>
        <v/>
      </c>
      <c r="E17" s="450" t="n"/>
      <c r="F17" s="835" t="n">
        <v>62665.00999999999</v>
      </c>
      <c r="G17" s="833" t="n">
        <v>105939.4000000001</v>
      </c>
      <c r="H17" s="833" t="n">
        <v>158529.34</v>
      </c>
      <c r="I17" s="833" t="n">
        <v>141505.1700000001</v>
      </c>
      <c r="J17" s="833" t="n">
        <v>4580.909999999974</v>
      </c>
      <c r="K17" s="833" t="n">
        <v>116530.33</v>
      </c>
      <c r="L17" s="833" t="n">
        <v>32911.5</v>
      </c>
      <c r="M17" s="833" t="n"/>
      <c r="N17" s="833" t="n"/>
      <c r="O17" s="833" t="n"/>
      <c r="P17" s="833" t="n"/>
      <c r="Q17" s="833" t="n"/>
      <c r="R17" s="833" t="n"/>
      <c r="S17" s="833" t="n"/>
      <c r="T17" s="833" t="n"/>
      <c r="V17" s="704" t="n"/>
      <c r="W17" s="704" t="n"/>
    </row>
    <row r="18">
      <c r="B18" s="462" t="inlineStr">
        <is>
          <t>Gross Profit</t>
        </is>
      </c>
      <c r="C18" s="463">
        <f>SUM(C15:C17)</f>
        <v/>
      </c>
      <c r="D18" s="463">
        <f>SUM(D15:D17)</f>
        <v/>
      </c>
      <c r="E18" s="450" t="n"/>
      <c r="F18" s="464">
        <f>SUM(F15:F17)</f>
        <v/>
      </c>
      <c r="G18" s="464">
        <f>SUM(G15:G17)</f>
        <v/>
      </c>
      <c r="H18" s="464">
        <f>SUM(H15:H17)</f>
        <v/>
      </c>
      <c r="I18" s="464">
        <f>SUM(I15:I17)</f>
        <v/>
      </c>
      <c r="J18" s="464">
        <f>SUM(J15:J17)</f>
        <v/>
      </c>
      <c r="K18" s="464">
        <f>SUM(K15:K17)</f>
        <v/>
      </c>
      <c r="L18" s="464">
        <f>SUM(L15:L17)</f>
        <v/>
      </c>
      <c r="M18" s="464">
        <f>SUM(M15:M17)</f>
        <v/>
      </c>
      <c r="N18" s="464">
        <f>SUM(N15:N17)</f>
        <v/>
      </c>
      <c r="O18" s="464">
        <f>SUM(O15:O17)</f>
        <v/>
      </c>
      <c r="P18" s="464">
        <f>SUM(P15:P17)</f>
        <v/>
      </c>
      <c r="Q18" s="464">
        <f>SUM(Q15:Q17)</f>
        <v/>
      </c>
      <c r="R18" s="464">
        <f>SUM(R15:R17)</f>
        <v/>
      </c>
      <c r="S18" s="464">
        <f>SUM(S15:S17)</f>
        <v/>
      </c>
      <c r="T18" s="464">
        <f>SUM(T15:T17)</f>
        <v/>
      </c>
      <c r="V18" s="704" t="n"/>
      <c r="W18" s="704" t="n"/>
    </row>
    <row r="19" customFormat="1" s="469">
      <c r="B19" s="471" t="inlineStr">
        <is>
          <t>% Gross Margin</t>
        </is>
      </c>
      <c r="C19" s="472">
        <f>C18/C13</f>
        <v/>
      </c>
      <c r="D19" s="472">
        <f>D18/D13</f>
        <v/>
      </c>
      <c r="E19" s="467" t="n"/>
      <c r="F19" s="468">
        <f>F18/F13</f>
        <v/>
      </c>
      <c r="G19" s="468">
        <f>G18/G13</f>
        <v/>
      </c>
      <c r="H19" s="468">
        <f>H18/H13</f>
        <v/>
      </c>
      <c r="I19" s="468">
        <f>I18/I13</f>
        <v/>
      </c>
      <c r="J19" s="468">
        <f>J18/J13</f>
        <v/>
      </c>
      <c r="K19" s="468">
        <f>K18/K13</f>
        <v/>
      </c>
      <c r="L19" s="468">
        <f>L18/L13</f>
        <v/>
      </c>
      <c r="M19" s="468">
        <f>M18/M13</f>
        <v/>
      </c>
      <c r="N19" s="468">
        <f>N18/N13</f>
        <v/>
      </c>
      <c r="O19" s="468">
        <f>O18/O13</f>
        <v/>
      </c>
      <c r="P19" s="468">
        <f>P18/P13</f>
        <v/>
      </c>
      <c r="Q19" s="468">
        <f>Q18/Q13</f>
        <v/>
      </c>
      <c r="R19" s="468">
        <f>R18/R13</f>
        <v/>
      </c>
      <c r="S19" s="468">
        <f>S18/S13</f>
        <v/>
      </c>
      <c r="T19" s="468">
        <f>T18/T13</f>
        <v/>
      </c>
      <c r="V19" s="834" t="n"/>
      <c r="W19" s="834" t="n"/>
    </row>
    <row r="20" ht="5.1" customFormat="1" customHeight="1" s="469">
      <c r="B20" s="465" t="n"/>
      <c r="C20" s="466" t="n"/>
      <c r="D20" s="466" t="n"/>
      <c r="E20" s="467" t="n"/>
      <c r="F20" s="468" t="n"/>
      <c r="G20" s="468" t="n"/>
      <c r="H20" s="468" t="n"/>
      <c r="I20" s="468" t="n"/>
      <c r="J20" s="468" t="n"/>
      <c r="K20" s="468" t="n"/>
      <c r="L20" s="468" t="n"/>
      <c r="M20" s="468" t="n"/>
      <c r="N20" s="468" t="n"/>
      <c r="O20" s="468" t="n"/>
      <c r="P20" s="468" t="n"/>
      <c r="Q20" s="468" t="n"/>
      <c r="R20" s="468" t="n"/>
      <c r="S20" s="468" t="n"/>
      <c r="T20" s="468" t="n"/>
      <c r="V20" s="834" t="n"/>
      <c r="W20" s="834" t="n"/>
    </row>
    <row r="21">
      <c r="B21" s="459" t="inlineStr">
        <is>
          <t>Opus Water EBITDA</t>
        </is>
      </c>
      <c r="C21" s="832">
        <f>SUM(F21:Q21)</f>
        <v/>
      </c>
      <c r="D21" s="832">
        <f>SUM(I21:T21)</f>
        <v/>
      </c>
      <c r="E21" s="450" t="n"/>
      <c r="F21" s="833" t="n">
        <v>166011.2199999996</v>
      </c>
      <c r="G21" s="833" t="n">
        <v>-419184.96</v>
      </c>
      <c r="H21" s="833" t="n">
        <v>-107942.57</v>
      </c>
      <c r="I21" s="833" t="n">
        <v>-376427.0499999999</v>
      </c>
      <c r="J21" s="833" t="n">
        <v>-5735.579999999899</v>
      </c>
      <c r="K21" s="833" t="n">
        <v>43437.91999999979</v>
      </c>
      <c r="L21" s="833" t="n">
        <v>-167551.11</v>
      </c>
      <c r="M21" s="833" t="n">
        <v>-208036.7400000004</v>
      </c>
      <c r="N21" s="833" t="n">
        <v>334935.7900000002</v>
      </c>
      <c r="O21" s="833" t="n">
        <v>-624505.5200000004</v>
      </c>
      <c r="P21" s="833" t="n">
        <v>234015.5599999996</v>
      </c>
      <c r="Q21" s="833" t="n">
        <v>1674.299999999987</v>
      </c>
      <c r="R21" s="833" t="n">
        <v>-624505.5200000004</v>
      </c>
      <c r="S21" s="833" t="n">
        <v>234015.5599999996</v>
      </c>
      <c r="T21" s="833" t="n">
        <v>1674.299999999987</v>
      </c>
      <c r="V21" s="704" t="n"/>
      <c r="W21" s="704" t="n"/>
    </row>
    <row r="22">
      <c r="B22" s="459" t="inlineStr">
        <is>
          <t>RP Adams EBITDA</t>
        </is>
      </c>
      <c r="C22" s="832">
        <f>SUM(F22:Q22)</f>
        <v/>
      </c>
      <c r="D22" s="832">
        <f>SUM(I22:T22)</f>
        <v/>
      </c>
      <c r="E22" s="450" t="n"/>
      <c r="F22" s="833" t="n"/>
      <c r="G22" s="833" t="n"/>
      <c r="H22" s="833" t="n"/>
      <c r="I22" s="833" t="n"/>
      <c r="J22" s="833" t="n"/>
      <c r="K22" s="833" t="n"/>
      <c r="L22" s="833" t="n"/>
      <c r="M22" s="833" t="n"/>
      <c r="N22" s="833" t="n"/>
      <c r="O22" s="833" t="n"/>
      <c r="P22" s="833" t="n"/>
      <c r="Q22" s="833" t="n"/>
      <c r="R22" s="833" t="n"/>
      <c r="S22" s="833" t="n"/>
      <c r="T22" s="833" t="n"/>
      <c r="V22" s="833" t="n"/>
      <c r="W22" s="704" t="n"/>
    </row>
    <row r="23">
      <c r="B23" s="459" t="inlineStr">
        <is>
          <t>Yeary Controls EBITDA</t>
        </is>
      </c>
      <c r="C23" s="832">
        <f>SUM(F23:Q23)</f>
        <v/>
      </c>
      <c r="D23" s="832">
        <f>SUM(I23:T23)</f>
        <v/>
      </c>
      <c r="E23" s="450" t="n"/>
      <c r="F23" s="833" t="n">
        <v>16377.53</v>
      </c>
      <c r="G23" s="833" t="n">
        <v>58656.07000000009</v>
      </c>
      <c r="H23" s="833" t="n">
        <v>112282.62</v>
      </c>
      <c r="I23" s="833" t="n">
        <v>92264.19000000015</v>
      </c>
      <c r="J23" s="833" t="n">
        <v>-79211.40000000002</v>
      </c>
      <c r="K23" s="833" t="n">
        <v>66536.39000000004</v>
      </c>
      <c r="L23" s="833" t="n">
        <v>-61523.54</v>
      </c>
      <c r="M23" s="833" t="n"/>
      <c r="N23" s="833" t="n"/>
      <c r="O23" s="833" t="n"/>
      <c r="P23" s="833" t="n"/>
      <c r="Q23" s="833" t="n"/>
      <c r="R23" s="833" t="n"/>
      <c r="S23" s="833" t="n"/>
      <c r="T23" s="833" t="n"/>
      <c r="V23" s="833" t="n"/>
      <c r="W23" s="704" t="n"/>
    </row>
    <row r="24">
      <c r="B24" s="462" t="inlineStr">
        <is>
          <t>EBITDA</t>
        </is>
      </c>
      <c r="C24" s="463">
        <f>SUM(C21:C23)</f>
        <v/>
      </c>
      <c r="D24" s="463">
        <f>SUM(D21:D23)</f>
        <v/>
      </c>
      <c r="E24" s="450" t="n"/>
      <c r="F24" s="464">
        <f>SUM(F21:F23)</f>
        <v/>
      </c>
      <c r="G24" s="464">
        <f>SUM(G21:G23)</f>
        <v/>
      </c>
      <c r="H24" s="464">
        <f>SUM(H21:H23)</f>
        <v/>
      </c>
      <c r="I24" s="464">
        <f>SUM(I21:I23)</f>
        <v/>
      </c>
      <c r="J24" s="464">
        <f>SUM(J21:J23)</f>
        <v/>
      </c>
      <c r="K24" s="464">
        <f>SUM(K21:K23)</f>
        <v/>
      </c>
      <c r="L24" s="464">
        <f>SUM(L21:L23)</f>
        <v/>
      </c>
      <c r="M24" s="464">
        <f>SUM(M21:M23)</f>
        <v/>
      </c>
      <c r="N24" s="464">
        <f>SUM(N21:N23)</f>
        <v/>
      </c>
      <c r="O24" s="464">
        <f>SUM(O21:O23)</f>
        <v/>
      </c>
      <c r="P24" s="464">
        <f>SUM(P21:P23)</f>
        <v/>
      </c>
      <c r="Q24" s="464">
        <f>SUM(Q21:Q23)</f>
        <v/>
      </c>
      <c r="R24" s="464">
        <f>SUM(R21:R23)</f>
        <v/>
      </c>
      <c r="S24" s="464">
        <f>SUM(S21:S23)</f>
        <v/>
      </c>
      <c r="T24" s="464">
        <f>SUM(T21:T23)</f>
        <v/>
      </c>
      <c r="V24" s="704" t="n"/>
      <c r="W24" s="704" t="n"/>
    </row>
    <row r="25" customFormat="1" s="469">
      <c r="B25" s="471" t="inlineStr">
        <is>
          <t>% EBITDA Margin</t>
        </is>
      </c>
      <c r="C25" s="472">
        <f>C24/C13</f>
        <v/>
      </c>
      <c r="D25" s="472">
        <f>D24/D13</f>
        <v/>
      </c>
      <c r="E25" s="467" t="n"/>
      <c r="F25" s="468">
        <f>F24/F13</f>
        <v/>
      </c>
      <c r="G25" s="468">
        <f>G24/G13</f>
        <v/>
      </c>
      <c r="H25" s="468">
        <f>H24/H13</f>
        <v/>
      </c>
      <c r="I25" s="468">
        <f>I24/I13</f>
        <v/>
      </c>
      <c r="J25" s="468">
        <f>J24/J13</f>
        <v/>
      </c>
      <c r="K25" s="468">
        <f>K24/K13</f>
        <v/>
      </c>
      <c r="L25" s="468">
        <f>L24/L13</f>
        <v/>
      </c>
      <c r="M25" s="468">
        <f>M24/M13</f>
        <v/>
      </c>
      <c r="N25" s="468">
        <f>N24/N13</f>
        <v/>
      </c>
      <c r="O25" s="468">
        <f>O24/O13</f>
        <v/>
      </c>
      <c r="P25" s="468">
        <f>P24/P13</f>
        <v/>
      </c>
      <c r="Q25" s="468">
        <f>Q24/Q13</f>
        <v/>
      </c>
      <c r="R25" s="468">
        <f>R24/R13</f>
        <v/>
      </c>
      <c r="S25" s="468">
        <f>S24/S13</f>
        <v/>
      </c>
      <c r="T25" s="468">
        <f>T24/T13</f>
        <v/>
      </c>
      <c r="V25" s="834" t="n"/>
      <c r="W25" s="834" t="n"/>
    </row>
    <row r="26" ht="6" customFormat="1" customHeight="1" s="469">
      <c r="B26" s="465" t="n"/>
      <c r="C26" s="466" t="n"/>
      <c r="D26" s="466" t="n"/>
      <c r="E26" s="467" t="n"/>
      <c r="F26" s="468" t="n"/>
      <c r="G26" s="468" t="n"/>
      <c r="H26" s="468" t="n"/>
      <c r="I26" s="468" t="n"/>
      <c r="J26" s="468" t="n"/>
      <c r="K26" s="468" t="n"/>
      <c r="L26" s="468" t="n"/>
      <c r="M26" s="468" t="n"/>
      <c r="N26" s="468" t="n"/>
      <c r="O26" s="468" t="n"/>
      <c r="P26" s="468" t="n"/>
      <c r="Q26" s="468" t="n"/>
      <c r="R26" s="468" t="n"/>
      <c r="S26" s="468" t="n"/>
      <c r="T26" s="468" t="n"/>
      <c r="V26" s="834" t="n"/>
      <c r="W26" s="834" t="n"/>
    </row>
    <row r="27">
      <c r="B27" s="473" t="inlineStr">
        <is>
          <t>ADJUSTMENT: Consulting</t>
        </is>
      </c>
      <c r="C27" s="832">
        <f>SUM(F27:Q27)</f>
        <v/>
      </c>
      <c r="D27" s="832">
        <f>SUM(I27:T27)</f>
        <v/>
      </c>
      <c r="E27" s="450" t="n"/>
      <c r="F27" s="833" t="n">
        <v>26242.39</v>
      </c>
      <c r="G27" s="833" t="n">
        <v>19080</v>
      </c>
      <c r="H27" s="833" t="n">
        <v>8420</v>
      </c>
      <c r="I27" s="833" t="n">
        <v>76584.3</v>
      </c>
      <c r="J27" s="833" t="n">
        <v>59321.73</v>
      </c>
      <c r="K27" s="833" t="n">
        <v>80472</v>
      </c>
      <c r="L27" s="833" t="n">
        <v>51815</v>
      </c>
      <c r="M27" s="833" t="n">
        <v>113108.69</v>
      </c>
      <c r="N27" s="833" t="n">
        <v>90413.53999999999</v>
      </c>
      <c r="O27" s="833" t="n">
        <v>63406.25</v>
      </c>
      <c r="P27" s="833" t="n">
        <v>80411.25</v>
      </c>
      <c r="Q27" s="833" t="n">
        <v>77315.52</v>
      </c>
      <c r="R27" s="833" t="n">
        <v>63406.25</v>
      </c>
      <c r="S27" s="833" t="n">
        <v>80411.25</v>
      </c>
      <c r="T27" s="833" t="n">
        <v>77315.52</v>
      </c>
      <c r="V27" s="704" t="n"/>
      <c r="W27" s="704" t="n"/>
    </row>
    <row r="28">
      <c r="B28" s="473" t="inlineStr">
        <is>
          <t>ADJUSTMENT: Recruiting Costs</t>
        </is>
      </c>
      <c r="C28" s="832">
        <f>SUM(F28:Q28)</f>
        <v/>
      </c>
      <c r="D28" s="832">
        <f>SUM(I28:T28)</f>
        <v/>
      </c>
      <c r="E28" s="450" t="n"/>
      <c r="F28" s="833" t="n">
        <v>0</v>
      </c>
      <c r="G28" s="833" t="n">
        <v>0</v>
      </c>
      <c r="H28" s="833" t="n">
        <v>0</v>
      </c>
      <c r="I28" s="833" t="n">
        <v>0</v>
      </c>
      <c r="J28" s="833" t="n">
        <v>0</v>
      </c>
      <c r="K28" s="833" t="n">
        <v>22481.25</v>
      </c>
      <c r="L28" s="833" t="n">
        <v>22481.25</v>
      </c>
      <c r="M28" s="833" t="n">
        <v>68106.25</v>
      </c>
      <c r="N28" s="833" t="n">
        <v>16856.25</v>
      </c>
      <c r="O28" s="833" t="n">
        <v>1856.25</v>
      </c>
      <c r="P28" s="833" t="n">
        <v>1856.25</v>
      </c>
      <c r="Q28" s="833" t="n">
        <v>19500</v>
      </c>
      <c r="R28" s="833" t="n">
        <v>1856.25</v>
      </c>
      <c r="S28" s="833" t="n">
        <v>1856.25</v>
      </c>
      <c r="T28" s="833" t="n">
        <v>19500</v>
      </c>
      <c r="V28" s="704" t="n"/>
      <c r="W28" s="704" t="n"/>
    </row>
    <row r="29">
      <c r="B29" s="473" t="inlineStr">
        <is>
          <t>ADJUSTMENT: Board Fees</t>
        </is>
      </c>
      <c r="C29" s="832">
        <f>SUM(F29:Q29)</f>
        <v/>
      </c>
      <c r="D29" s="832">
        <f>SUM(I29:T29)</f>
        <v/>
      </c>
      <c r="E29" s="450" t="n"/>
      <c r="F29" s="833" t="n">
        <v>0</v>
      </c>
      <c r="G29" s="833" t="n">
        <v>25184.25</v>
      </c>
      <c r="H29" s="833" t="n">
        <v>2205.34</v>
      </c>
      <c r="I29" s="833" t="n">
        <v>0</v>
      </c>
      <c r="J29" s="833" t="n">
        <v>13880.54</v>
      </c>
      <c r="K29" s="833" t="n">
        <v>0</v>
      </c>
      <c r="L29" s="833" t="n">
        <v>0</v>
      </c>
      <c r="M29" s="833" t="n">
        <v>12500</v>
      </c>
      <c r="N29" s="833" t="n">
        <v>0</v>
      </c>
      <c r="O29" s="833" t="n">
        <v>0</v>
      </c>
      <c r="P29" s="833" t="n">
        <v>25000</v>
      </c>
      <c r="Q29" s="833" t="n">
        <v>0</v>
      </c>
      <c r="R29" s="833" t="n">
        <v>0</v>
      </c>
      <c r="S29" s="833" t="n">
        <v>25000</v>
      </c>
      <c r="T29" s="833" t="n">
        <v>0</v>
      </c>
      <c r="V29" s="704" t="n"/>
      <c r="W29" s="704" t="n"/>
      <c r="X29" s="836" t="n"/>
    </row>
    <row r="30">
      <c r="B30" s="473" t="inlineStr">
        <is>
          <t>ADJUSTMENT: IT Integration</t>
        </is>
      </c>
      <c r="C30" s="832">
        <f>SUM(F30:Q30)</f>
        <v/>
      </c>
      <c r="D30" s="832">
        <f>SUM(I30:T30)</f>
        <v/>
      </c>
      <c r="E30" s="450" t="n"/>
      <c r="F30" s="833" t="n">
        <v>14344</v>
      </c>
      <c r="G30" s="833" t="n">
        <v>14344</v>
      </c>
      <c r="H30" s="833" t="n">
        <v>0</v>
      </c>
      <c r="I30" s="833" t="n">
        <v>126507.79</v>
      </c>
      <c r="J30" s="833" t="n">
        <v>0</v>
      </c>
      <c r="K30" s="833" t="n">
        <v>0</v>
      </c>
      <c r="L30" s="833" t="n">
        <v>5700</v>
      </c>
      <c r="M30" s="833" t="n">
        <v>0</v>
      </c>
      <c r="N30" s="833" t="n">
        <v>0</v>
      </c>
      <c r="O30" s="833" t="n">
        <v>15543.5</v>
      </c>
      <c r="P30" s="833" t="n">
        <v>7204.17</v>
      </c>
      <c r="Q30" s="833" t="n">
        <v>8942.370000000001</v>
      </c>
      <c r="R30" s="833" t="n">
        <v>15543.5</v>
      </c>
      <c r="S30" s="833" t="n">
        <v>7204.17</v>
      </c>
      <c r="T30" s="833" t="n">
        <v>8942.370000000001</v>
      </c>
      <c r="V30" s="704" t="n"/>
      <c r="W30" s="704" t="n"/>
    </row>
    <row r="31" ht="15" customFormat="1" customHeight="1" s="469">
      <c r="B31" s="473" t="inlineStr">
        <is>
          <t>ADJUSTMENT: M&amp;A</t>
        </is>
      </c>
      <c r="C31" s="832">
        <f>SUM(F31:Q31)</f>
        <v/>
      </c>
      <c r="D31" s="832">
        <f>SUM(I31:T31)</f>
        <v/>
      </c>
      <c r="E31" s="467" t="n"/>
      <c r="F31" s="833" t="n">
        <v>8363.940000000001</v>
      </c>
      <c r="G31" s="833" t="n">
        <v>99666.86</v>
      </c>
      <c r="H31" s="833" t="n">
        <v>18875.42</v>
      </c>
      <c r="I31" s="833" t="n">
        <v>143182.95</v>
      </c>
      <c r="J31" s="833" t="n">
        <v>-24985.22</v>
      </c>
      <c r="K31" s="833" t="n">
        <v>4926.06</v>
      </c>
      <c r="L31" s="833" t="n">
        <v>2679.17</v>
      </c>
      <c r="M31" s="833" t="n">
        <v>10715.99</v>
      </c>
      <c r="N31" s="833" t="n">
        <v>168544.19</v>
      </c>
      <c r="O31" s="833" t="n">
        <v>2957.82</v>
      </c>
      <c r="P31" s="833" t="n">
        <v>7123.339999999997</v>
      </c>
      <c r="Q31" s="833" t="n">
        <v>2747.17</v>
      </c>
      <c r="R31" s="833" t="n">
        <v>2957.82</v>
      </c>
      <c r="S31" s="833" t="n">
        <v>7123.339999999997</v>
      </c>
      <c r="T31" s="833" t="n">
        <v>2747.17</v>
      </c>
      <c r="U31" s="356" t="n">
        <v>1000</v>
      </c>
      <c r="V31" s="834" t="n"/>
      <c r="W31" s="834" t="n"/>
    </row>
    <row r="32" ht="15" customFormat="1" customHeight="1" s="469">
      <c r="B32" s="473" t="inlineStr">
        <is>
          <t>ADJUSTMENT: Excess Temporary Labor</t>
        </is>
      </c>
      <c r="C32" s="832">
        <f>SUM(F32:Q32)</f>
        <v/>
      </c>
      <c r="D32" s="832">
        <f>SUM(I32:T32)</f>
        <v/>
      </c>
      <c r="E32" s="467" t="n"/>
      <c r="F32" s="833" t="n">
        <v>50090.88</v>
      </c>
      <c r="G32" s="833" t="n">
        <v>66297.7</v>
      </c>
      <c r="H32" s="833" t="n">
        <v>45571.46</v>
      </c>
      <c r="I32" s="833" t="n">
        <v>139565.49</v>
      </c>
      <c r="J32" s="833" t="n">
        <v>100000.52</v>
      </c>
      <c r="K32" s="833" t="n">
        <v>75882.97</v>
      </c>
      <c r="L32" s="833" t="n">
        <v>112881.65</v>
      </c>
      <c r="M32" s="833" t="n">
        <v>76812.89000000001</v>
      </c>
      <c r="N32" s="833" t="n">
        <v>73013.30999999998</v>
      </c>
      <c r="O32" s="833" t="n">
        <v>58784.32</v>
      </c>
      <c r="P32" s="833" t="n">
        <v>45166.42</v>
      </c>
      <c r="Q32" s="833" t="n">
        <v>46457.60000000001</v>
      </c>
      <c r="R32" s="833" t="n">
        <v>58784.32</v>
      </c>
      <c r="S32" s="833" t="n">
        <v>45166.42</v>
      </c>
      <c r="T32" s="833" t="n">
        <v>46457.60000000001</v>
      </c>
      <c r="V32" s="834" t="n"/>
      <c r="W32" s="834" t="n"/>
    </row>
    <row r="33" ht="15" customFormat="1" customHeight="1" s="469">
      <c r="B33" s="473" t="inlineStr">
        <is>
          <t>ADJUSTMENT: Setup Expenses</t>
        </is>
      </c>
      <c r="C33" s="832">
        <f>SUM(F33:Q33)</f>
        <v/>
      </c>
      <c r="D33" s="832">
        <f>SUM(I33:T33)</f>
        <v/>
      </c>
      <c r="E33" s="467" t="n"/>
      <c r="F33" s="833" t="n">
        <v>0</v>
      </c>
      <c r="G33" s="833" t="n">
        <v>0</v>
      </c>
      <c r="H33" s="833" t="n">
        <v>0</v>
      </c>
      <c r="I33" s="833" t="n">
        <v>0</v>
      </c>
      <c r="J33" s="833" t="n">
        <v>-528</v>
      </c>
      <c r="K33" s="833" t="n">
        <v>0</v>
      </c>
      <c r="L33" s="833" t="n">
        <v>0</v>
      </c>
      <c r="M33" s="833" t="n">
        <v>0</v>
      </c>
      <c r="N33" s="833" t="n">
        <v>0</v>
      </c>
      <c r="O33" s="833" t="n">
        <v>0</v>
      </c>
      <c r="P33" s="833" t="n">
        <v>0</v>
      </c>
      <c r="Q33" s="833" t="n">
        <v>0</v>
      </c>
      <c r="R33" s="833" t="n">
        <v>0</v>
      </c>
      <c r="S33" s="833" t="n">
        <v>0</v>
      </c>
      <c r="T33" s="833" t="n">
        <v>0</v>
      </c>
      <c r="V33" s="834" t="n"/>
      <c r="W33" s="834" t="n"/>
    </row>
    <row r="34" ht="15" customFormat="1" customHeight="1" s="469">
      <c r="B34" s="473" t="inlineStr">
        <is>
          <t>ADJUSTMENT: Other</t>
        </is>
      </c>
      <c r="C34" s="832">
        <f>SUM(F34:Q34)</f>
        <v/>
      </c>
      <c r="D34" s="832">
        <f>SUM(I34:T34)</f>
        <v/>
      </c>
      <c r="E34" s="467" t="n"/>
      <c r="F34" s="833" t="n">
        <v>17072.6</v>
      </c>
      <c r="G34" s="833" t="n">
        <v>5546.84</v>
      </c>
      <c r="H34" s="833" t="n">
        <v>43398.18</v>
      </c>
      <c r="I34" s="833" t="n">
        <v>127233.28</v>
      </c>
      <c r="J34" s="833" t="n">
        <v>1980</v>
      </c>
      <c r="K34" s="833" t="n">
        <v>55734.21</v>
      </c>
      <c r="L34" s="833" t="n">
        <v>7254.6</v>
      </c>
      <c r="M34" s="833" t="n">
        <v>422.25</v>
      </c>
      <c r="N34" s="833" t="n">
        <v>-168162.86</v>
      </c>
      <c r="O34" s="833" t="n">
        <v>5385.830000000002</v>
      </c>
      <c r="P34" s="833" t="n">
        <v>24465.7</v>
      </c>
      <c r="Q34" s="833" t="n">
        <v>611.7900000000009</v>
      </c>
      <c r="R34" s="833" t="n">
        <v>5385.830000000002</v>
      </c>
      <c r="S34" s="833" t="n">
        <v>24465.7</v>
      </c>
      <c r="T34" s="833" t="n">
        <v>611.7900000000009</v>
      </c>
      <c r="V34" s="834" t="n"/>
      <c r="W34" s="834" t="n"/>
    </row>
    <row r="35" ht="15" customFormat="1" customHeight="1" s="469">
      <c r="B35" s="538" t="inlineStr">
        <is>
          <t>ADJUSTMENT: Cental Office Administration Expense Removal</t>
        </is>
      </c>
      <c r="C35" s="832">
        <f>SUM(F35:Q35)</f>
        <v/>
      </c>
      <c r="D35" s="832">
        <f>SUM(I35:T35)</f>
        <v/>
      </c>
      <c r="E35" s="467" t="n"/>
      <c r="F35" s="833" t="n"/>
      <c r="G35" s="833" t="n"/>
      <c r="H35" s="833" t="n"/>
      <c r="I35" s="833" t="n"/>
      <c r="J35" s="833" t="n"/>
      <c r="K35" s="833" t="n"/>
      <c r="L35" s="833" t="n"/>
      <c r="M35" s="833" t="n"/>
      <c r="N35" s="833" t="n"/>
      <c r="O35" s="833" t="n"/>
      <c r="P35" s="833" t="n"/>
      <c r="Q35" s="833" t="n"/>
      <c r="R35" s="833" t="n"/>
      <c r="S35" s="833" t="n"/>
      <c r="T35" s="833" t="n"/>
      <c r="V35" s="834" t="n"/>
      <c r="W35" s="834" t="n"/>
    </row>
    <row r="36" ht="15" customFormat="1" customHeight="1" s="469">
      <c r="B36" s="538" t="inlineStr">
        <is>
          <t>ADJUSTMENT: Yeary Controls Normalized Adjustments</t>
        </is>
      </c>
      <c r="C36" s="832">
        <f>SUM(F36:Q36)</f>
        <v/>
      </c>
      <c r="D36" s="832">
        <f>SUM(I36:T36)</f>
        <v/>
      </c>
      <c r="E36" s="467" t="n"/>
      <c r="F36" s="833" t="n">
        <v>30086.04831870632</v>
      </c>
      <c r="G36" s="833" t="n">
        <v>29576.94381219409</v>
      </c>
      <c r="H36" s="833" t="n">
        <v>30251.79245709022</v>
      </c>
      <c r="I36" s="833" t="n">
        <v>31036.84369370091</v>
      </c>
      <c r="J36" s="833" t="n">
        <v>35539.38570311358</v>
      </c>
      <c r="K36" s="833" t="n">
        <v>32397.735</v>
      </c>
      <c r="L36" s="833" t="n">
        <v>60253.94</v>
      </c>
      <c r="M36" s="833" t="n"/>
      <c r="N36" s="833" t="n"/>
      <c r="O36" s="833" t="n"/>
      <c r="P36" s="833" t="n"/>
      <c r="Q36" s="833" t="n"/>
      <c r="R36" s="833" t="n"/>
      <c r="S36" s="833" t="n"/>
      <c r="T36" s="833" t="n"/>
      <c r="V36" s="834" t="n"/>
      <c r="W36" s="834" t="n"/>
    </row>
    <row r="37" ht="15" customFormat="1" customHeight="1" s="469">
      <c r="B37" s="538" t="n"/>
      <c r="C37" s="832" t="n"/>
      <c r="D37" s="832" t="n"/>
      <c r="E37" s="467" t="n"/>
      <c r="F37" s="837" t="n"/>
      <c r="G37" s="837" t="n"/>
      <c r="H37" s="837" t="n"/>
      <c r="I37" s="837" t="n"/>
      <c r="J37" s="837" t="n"/>
      <c r="K37" s="837" t="n"/>
      <c r="L37" s="837" t="n"/>
      <c r="M37" s="837" t="n"/>
      <c r="N37" s="837" t="n"/>
      <c r="O37" s="837" t="n"/>
      <c r="P37" s="837" t="n"/>
      <c r="Q37" s="837" t="n"/>
      <c r="R37" s="837" t="n"/>
      <c r="S37" s="837" t="n"/>
      <c r="T37" s="837" t="n"/>
      <c r="V37" s="834" t="n"/>
      <c r="W37" s="834" t="n"/>
    </row>
    <row r="38">
      <c r="B38" s="462" t="inlineStr">
        <is>
          <t>Adjusted EBITDA</t>
        </is>
      </c>
      <c r="C38" s="838">
        <f>SUM(F38:Q38)</f>
        <v/>
      </c>
      <c r="D38" s="838">
        <f>SUM(I38:T38)</f>
        <v/>
      </c>
      <c r="E38" s="450" t="n"/>
      <c r="F38" s="839">
        <f>SUM(F27:F36)+F24</f>
        <v/>
      </c>
      <c r="G38" s="839">
        <f>SUM(G27:G36)+G24</f>
        <v/>
      </c>
      <c r="H38" s="839">
        <f>SUM(H27:H36)+H24</f>
        <v/>
      </c>
      <c r="I38" s="839">
        <f>SUM(I27:I36)+I24</f>
        <v/>
      </c>
      <c r="J38" s="839">
        <f>SUM(J27:J36)+J24</f>
        <v/>
      </c>
      <c r="K38" s="839">
        <f>SUM(K27:K36)+K24</f>
        <v/>
      </c>
      <c r="L38" s="839">
        <f>SUM(L27:L36)+L24</f>
        <v/>
      </c>
      <c r="M38" s="839">
        <f>SUM(M27:M36)+M24</f>
        <v/>
      </c>
      <c r="N38" s="839">
        <f>SUM(N27:N36)+N24</f>
        <v/>
      </c>
      <c r="O38" s="839">
        <f>SUM(O27:O36)+O24</f>
        <v/>
      </c>
      <c r="P38" s="839">
        <f>SUM(P27:P36)+P24</f>
        <v/>
      </c>
      <c r="Q38" s="839">
        <f>SUM(Q27:Q36)+Q24</f>
        <v/>
      </c>
      <c r="R38" s="839" t="n">
        <v>523196.0000000005</v>
      </c>
      <c r="S38" s="839" t="n">
        <v>133795.0699999998</v>
      </c>
      <c r="T38" s="839" t="n">
        <v>496803.0799999999</v>
      </c>
      <c r="V38" s="704" t="n"/>
      <c r="W38" s="704" t="n"/>
    </row>
    <row r="39" customFormat="1" s="469">
      <c r="B39" s="471" t="inlineStr">
        <is>
          <t>% Adjusted EBITDA Margin</t>
        </is>
      </c>
      <c r="C39" s="472">
        <f>C38/C$13</f>
        <v/>
      </c>
      <c r="D39" s="472">
        <f>D38/D$13</f>
        <v/>
      </c>
      <c r="E39" s="467" t="n"/>
      <c r="F39" s="468">
        <f>F38/F$13</f>
        <v/>
      </c>
      <c r="G39" s="468">
        <f>G38/G$13</f>
        <v/>
      </c>
      <c r="H39" s="468">
        <f>H38/H$13</f>
        <v/>
      </c>
      <c r="I39" s="468">
        <f>I38/I$13</f>
        <v/>
      </c>
      <c r="J39" s="468">
        <f>J38/J$13</f>
        <v/>
      </c>
      <c r="K39" s="468">
        <f>K38/K$13</f>
        <v/>
      </c>
      <c r="L39" s="468">
        <f>L38/L$13</f>
        <v/>
      </c>
      <c r="M39" s="468">
        <f>M38/M$13</f>
        <v/>
      </c>
      <c r="N39" s="468">
        <f>N38/N$13</f>
        <v/>
      </c>
      <c r="O39" s="468">
        <f>O38/O$13</f>
        <v/>
      </c>
      <c r="P39" s="468">
        <f>P38/P$13</f>
        <v/>
      </c>
      <c r="Q39" s="468">
        <f>Q38/Q$13</f>
        <v/>
      </c>
      <c r="R39" s="468">
        <f>R38/R$13</f>
        <v/>
      </c>
      <c r="S39" s="468">
        <f>S38/S$13</f>
        <v/>
      </c>
      <c r="T39" s="468">
        <f>T38/T$13</f>
        <v/>
      </c>
      <c r="V39" s="834" t="n"/>
      <c r="W39" s="834" t="n"/>
    </row>
    <row r="40" ht="6" customFormat="1" customHeight="1" s="469">
      <c r="B40" s="465" t="n"/>
      <c r="C40" s="466" t="n"/>
      <c r="D40" s="466" t="n"/>
      <c r="E40" s="467" t="n"/>
      <c r="F40" s="468" t="n"/>
      <c r="G40" s="468" t="n"/>
      <c r="H40" s="468" t="n"/>
      <c r="I40" s="468" t="n"/>
      <c r="J40" s="468" t="n"/>
      <c r="K40" s="468" t="n"/>
      <c r="L40" s="468" t="n"/>
      <c r="M40" s="468" t="n"/>
      <c r="N40" s="468" t="n"/>
      <c r="O40" s="468" t="n"/>
      <c r="P40" s="468" t="n"/>
      <c r="Q40" s="468" t="n"/>
      <c r="R40" s="468" t="n"/>
      <c r="S40" s="468" t="n"/>
      <c r="T40" s="468" t="n"/>
      <c r="V40" s="834" t="n"/>
      <c r="W40" s="834" t="n"/>
    </row>
    <row r="41" ht="15" customFormat="1" customHeight="1" s="469">
      <c r="B41" s="473" t="inlineStr">
        <is>
          <t>ADJUSTMENT: Platform Adjustments</t>
        </is>
      </c>
      <c r="C41" s="832">
        <f>SUM(F41:Q41)</f>
        <v/>
      </c>
      <c r="D41" s="832">
        <f>SUM(I41:T41)</f>
        <v/>
      </c>
      <c r="E41" s="467" t="n"/>
      <c r="F41" s="837" t="n">
        <v>54296.38</v>
      </c>
      <c r="G41" s="837" t="n">
        <v>88569.44</v>
      </c>
      <c r="H41" s="837" t="n">
        <v>61413.46</v>
      </c>
      <c r="I41" s="837" t="n">
        <v>54814.8</v>
      </c>
      <c r="J41" s="837" t="n">
        <v>52844.09</v>
      </c>
      <c r="K41" s="837" t="n">
        <v>80900.92000000001</v>
      </c>
      <c r="L41" s="837" t="n">
        <v>96291.52999999998</v>
      </c>
      <c r="M41" s="837" t="n">
        <v>61544.94000000002</v>
      </c>
      <c r="N41" s="837" t="n">
        <v>64620.73000000001</v>
      </c>
      <c r="O41" s="837" t="n">
        <v>0</v>
      </c>
      <c r="P41" s="837" t="n">
        <v>0</v>
      </c>
      <c r="Q41" s="837" t="n">
        <v>0</v>
      </c>
      <c r="R41" s="833" t="n">
        <v>0</v>
      </c>
      <c r="S41" s="833" t="n">
        <v>0</v>
      </c>
      <c r="T41" s="833" t="n">
        <v>0</v>
      </c>
      <c r="V41" s="834" t="n"/>
      <c r="W41" s="834" t="n"/>
    </row>
    <row r="42">
      <c r="B42" s="462" t="inlineStr">
        <is>
          <t>Operating Adjusted EBITDA</t>
        </is>
      </c>
      <c r="C42" s="838">
        <f>C38+SUM(C41:C41)</f>
        <v/>
      </c>
      <c r="D42" s="840">
        <f>D38+SUM(D41:D41)</f>
        <v/>
      </c>
      <c r="E42" s="450" t="n"/>
      <c r="F42" s="839">
        <f>F38+SUM(F41:F41)</f>
        <v/>
      </c>
      <c r="G42" s="839">
        <f>G38+SUM(G41:G41)</f>
        <v/>
      </c>
      <c r="H42" s="839">
        <f>H38+SUM(H41:H41)</f>
        <v/>
      </c>
      <c r="I42" s="839">
        <f>I38+SUM(I41:I41)</f>
        <v/>
      </c>
      <c r="J42" s="839">
        <f>J38+SUM(J41:J41)</f>
        <v/>
      </c>
      <c r="K42" s="839">
        <f>K38+SUM(K41:K41)</f>
        <v/>
      </c>
      <c r="L42" s="839">
        <f>L38+SUM(L41:L41)</f>
        <v/>
      </c>
      <c r="M42" s="839">
        <f>M38+SUM(M41:M41)</f>
        <v/>
      </c>
      <c r="N42" s="839">
        <f>N38+SUM(N41:N41)</f>
        <v/>
      </c>
      <c r="O42" s="839">
        <f>O38+SUM(O41:O41)</f>
        <v/>
      </c>
      <c r="P42" s="839">
        <f>P38+SUM(P41:P41)</f>
        <v/>
      </c>
      <c r="Q42" s="839">
        <f>Q38+SUM(Q41:Q41)</f>
        <v/>
      </c>
      <c r="R42" s="839">
        <f>R38+SUM(R41:R41)</f>
        <v/>
      </c>
      <c r="S42" s="839">
        <f>S38+SUM(S41:S41)</f>
        <v/>
      </c>
      <c r="T42" s="839">
        <f>T38+SUM(T41:T41)</f>
        <v/>
      </c>
      <c r="V42" s="704" t="n"/>
      <c r="W42" s="704" t="n"/>
    </row>
    <row r="43" customFormat="1" s="469">
      <c r="B43" s="471" t="inlineStr">
        <is>
          <t>% Operating Adjusted EBITDA Margin</t>
        </is>
      </c>
      <c r="C43" s="472">
        <f>C42/C$13</f>
        <v/>
      </c>
      <c r="D43" s="472">
        <f>D42/D$13</f>
        <v/>
      </c>
      <c r="E43" s="467" t="n"/>
      <c r="F43" s="468">
        <f>F42/F$13</f>
        <v/>
      </c>
      <c r="G43" s="468">
        <f>G42/G$13</f>
        <v/>
      </c>
      <c r="H43" s="468">
        <f>H42/H$13</f>
        <v/>
      </c>
      <c r="I43" s="468">
        <f>I42/I$13</f>
        <v/>
      </c>
      <c r="J43" s="468">
        <f>J42/J$13</f>
        <v/>
      </c>
      <c r="K43" s="468">
        <f>K42/K$13</f>
        <v/>
      </c>
      <c r="L43" s="468">
        <f>L42/L$13</f>
        <v/>
      </c>
      <c r="M43" s="468">
        <f>M42/M$13</f>
        <v/>
      </c>
      <c r="N43" s="468">
        <f>N42/N$13</f>
        <v/>
      </c>
      <c r="O43" s="468">
        <f>O42/O$13</f>
        <v/>
      </c>
      <c r="P43" s="468">
        <f>P42/P$13</f>
        <v/>
      </c>
      <c r="Q43" s="468">
        <f>Q42/Q$13</f>
        <v/>
      </c>
      <c r="R43" s="468">
        <f>R42/R$13</f>
        <v/>
      </c>
      <c r="S43" s="468">
        <f>S42/S$13</f>
        <v/>
      </c>
      <c r="T43" s="468">
        <f>T42/T$13</f>
        <v/>
      </c>
      <c r="V43" s="834" t="n"/>
      <c r="W43" s="834" t="n"/>
    </row>
    <row r="44" ht="5.1" customHeight="1">
      <c r="B44" s="477" t="n"/>
      <c r="C44" s="841" t="n"/>
      <c r="D44" s="841" t="n"/>
      <c r="E44" s="450" t="n"/>
      <c r="F44" s="842" t="n"/>
      <c r="G44" s="842" t="n"/>
      <c r="H44" s="842" t="n"/>
      <c r="I44" s="842" t="n"/>
      <c r="J44" s="842" t="n"/>
      <c r="K44" s="842" t="n"/>
      <c r="L44" s="842" t="n"/>
      <c r="M44" s="842" t="n"/>
      <c r="N44" s="842" t="n"/>
      <c r="O44" s="842" t="n"/>
      <c r="P44" s="842" t="n"/>
      <c r="Q44" s="842" t="n"/>
      <c r="R44" s="842" t="n"/>
      <c r="S44" s="842" t="n"/>
      <c r="T44" s="842" t="n"/>
      <c r="V44" s="704" t="n"/>
      <c r="W44" s="704" t="n"/>
    </row>
    <row r="45" ht="15" customHeight="1">
      <c r="B45" s="459" t="inlineStr">
        <is>
          <t>Opus Cash</t>
        </is>
      </c>
      <c r="C45" s="832">
        <f>Q46</f>
        <v/>
      </c>
      <c r="D45" s="832">
        <f>T45</f>
        <v/>
      </c>
      <c r="E45" s="450" t="n"/>
      <c r="F45" s="843" t="n"/>
      <c r="G45" s="843" t="n"/>
      <c r="H45" s="833" t="n">
        <v>1154703.33</v>
      </c>
      <c r="I45" s="833" t="n"/>
      <c r="J45" s="833" t="n"/>
      <c r="K45" s="833" t="n">
        <v>715146.4700000001</v>
      </c>
      <c r="L45" s="833" t="n"/>
      <c r="M45" s="833" t="n"/>
      <c r="N45" s="833" t="n">
        <v>1375758.66</v>
      </c>
      <c r="O45" s="833" t="n"/>
      <c r="P45" s="833" t="n"/>
      <c r="Q45" s="833" t="n">
        <v>422159.65</v>
      </c>
      <c r="R45" s="833" t="n"/>
      <c r="S45" s="833" t="n"/>
      <c r="T45" s="833" t="n">
        <v>571077.42</v>
      </c>
      <c r="V45" s="704" t="n"/>
      <c r="W45" s="704" t="n"/>
    </row>
    <row r="46" ht="15" customHeight="1">
      <c r="B46" s="462" t="inlineStr">
        <is>
          <t>Cash</t>
        </is>
      </c>
      <c r="C46" s="838">
        <f>SUM(C45:C45)</f>
        <v/>
      </c>
      <c r="D46" s="838">
        <f>SUM(D45:D45)</f>
        <v/>
      </c>
      <c r="E46" s="450" t="n"/>
      <c r="F46" s="844">
        <f>SUM(F45:F45)</f>
        <v/>
      </c>
      <c r="G46" s="844">
        <f>SUM(G45:G45)</f>
        <v/>
      </c>
      <c r="H46" s="844">
        <f>SUM(H45:H45)</f>
        <v/>
      </c>
      <c r="I46" s="844">
        <f>SUM(I45:I45)</f>
        <v/>
      </c>
      <c r="J46" s="844">
        <f>SUM(J45:J45)</f>
        <v/>
      </c>
      <c r="K46" s="844">
        <f>SUM(K45:K45)</f>
        <v/>
      </c>
      <c r="L46" s="844">
        <f>SUM(L45:L45)</f>
        <v/>
      </c>
      <c r="M46" s="844">
        <f>SUM(M45:M45)</f>
        <v/>
      </c>
      <c r="N46" s="844">
        <f>SUM(N45:N45)</f>
        <v/>
      </c>
      <c r="O46" s="844">
        <f>SUM(O45:O45)</f>
        <v/>
      </c>
      <c r="P46" s="844">
        <f>SUM(P45:P45)</f>
        <v/>
      </c>
      <c r="Q46" s="844">
        <f>SUM(Q45:Q45)</f>
        <v/>
      </c>
      <c r="R46" s="844">
        <f>SUM(R45:R45)</f>
        <v/>
      </c>
      <c r="S46" s="844">
        <f>SUM(S45:S45)</f>
        <v/>
      </c>
      <c r="T46" s="844">
        <f>SUM(T45:T45)</f>
        <v/>
      </c>
      <c r="V46" s="704" t="n"/>
      <c r="W46" s="704" t="n"/>
    </row>
    <row r="47" ht="5.1" customFormat="1" customHeight="1" s="469">
      <c r="B47" s="465" t="n"/>
      <c r="C47" s="466" t="n"/>
      <c r="D47" s="466" t="n"/>
      <c r="E47" s="467" t="n"/>
      <c r="F47" s="468" t="n"/>
      <c r="G47" s="468" t="n"/>
      <c r="H47" s="468" t="n"/>
      <c r="I47" s="468" t="n"/>
      <c r="J47" s="468" t="n"/>
      <c r="K47" s="468" t="n"/>
      <c r="L47" s="468" t="n"/>
      <c r="M47" s="468" t="n"/>
      <c r="N47" s="468" t="n"/>
      <c r="O47" s="468" t="n"/>
      <c r="P47" s="468" t="n"/>
      <c r="Q47" s="468" t="n"/>
      <c r="R47" s="468" t="n"/>
      <c r="S47" s="468" t="n"/>
      <c r="T47" s="468" t="n"/>
      <c r="V47" s="834" t="n"/>
      <c r="W47" s="834" t="n"/>
    </row>
    <row r="48" ht="15" customHeight="1">
      <c r="B48" s="459" t="inlineStr">
        <is>
          <t>Opus Debt</t>
        </is>
      </c>
      <c r="C48" s="832">
        <f>K48</f>
        <v/>
      </c>
      <c r="D48" s="832">
        <f>T48</f>
        <v/>
      </c>
      <c r="E48" s="450" t="n"/>
      <c r="F48" s="480" t="n"/>
      <c r="G48" s="480" t="n"/>
      <c r="H48" s="480" t="n"/>
      <c r="I48" s="480" t="n"/>
      <c r="J48" s="480" t="n"/>
      <c r="K48" s="480" t="n"/>
      <c r="L48" s="480" t="n"/>
      <c r="M48" s="480" t="n"/>
      <c r="N48" s="480" t="n"/>
      <c r="O48" s="480" t="n"/>
      <c r="P48" s="480" t="n"/>
      <c r="Q48" s="480" t="n"/>
      <c r="R48" s="480" t="n"/>
      <c r="S48" s="480" t="n"/>
      <c r="T48" s="480" t="n"/>
      <c r="V48" s="704" t="n"/>
      <c r="W48" s="704" t="n"/>
    </row>
    <row r="49" ht="15" customHeight="1" thickBot="1">
      <c r="B49" s="483" t="inlineStr">
        <is>
          <t>Debt</t>
        </is>
      </c>
      <c r="C49" s="845">
        <f>SUM(C48:C48)</f>
        <v/>
      </c>
      <c r="D49" s="845">
        <f>SUM(D48:D48)</f>
        <v/>
      </c>
      <c r="E49" s="450" t="n"/>
      <c r="F49" s="844">
        <f>SUM(F48:F48)</f>
        <v/>
      </c>
      <c r="G49" s="844">
        <f>SUM(G48:G48)</f>
        <v/>
      </c>
      <c r="H49" s="844">
        <f>SUM(H48:H48)</f>
        <v/>
      </c>
      <c r="I49" s="844">
        <f>SUM(I48:I48)</f>
        <v/>
      </c>
      <c r="J49" s="844">
        <f>SUM(J48:J48)</f>
        <v/>
      </c>
      <c r="K49" s="844">
        <f>SUM(K48:K48)</f>
        <v/>
      </c>
      <c r="L49" s="844">
        <f>SUM(L48:L48)</f>
        <v/>
      </c>
      <c r="M49" s="844">
        <f>SUM(M48:M48)</f>
        <v/>
      </c>
      <c r="N49" s="844">
        <f>SUM(N48:N48)</f>
        <v/>
      </c>
      <c r="O49" s="844">
        <f>SUM(O48:O48)</f>
        <v/>
      </c>
      <c r="P49" s="844">
        <f>SUM(P48:P48)</f>
        <v/>
      </c>
      <c r="Q49" s="844">
        <f>SUM(Q48:Q48)</f>
        <v/>
      </c>
      <c r="R49" s="844">
        <f>SUM(R48:R48)</f>
        <v/>
      </c>
      <c r="S49" s="844">
        <f>SUM(S48:S48)</f>
        <v/>
      </c>
      <c r="T49" s="844">
        <f>SUM(T48:T48)</f>
        <v/>
      </c>
      <c r="V49" s="704" t="n"/>
      <c r="W49" s="704" t="n"/>
    </row>
    <row r="50">
      <c r="B50" s="39" t="n"/>
    </row>
    <row r="51">
      <c r="B51" s="44" t="n"/>
      <c r="F51" s="704" t="n"/>
      <c r="G51" s="704" t="n"/>
      <c r="H51" s="659" t="n"/>
    </row>
    <row r="52">
      <c r="C52" s="315" t="n"/>
      <c r="D52" s="315" t="n"/>
      <c r="F52" s="704" t="n"/>
      <c r="G52" s="704" t="n"/>
      <c r="H52" s="659" t="n"/>
    </row>
    <row r="53">
      <c r="G53" s="704" t="n"/>
      <c r="H53" s="659" t="n"/>
    </row>
    <row r="54">
      <c r="F54" s="704" t="n"/>
      <c r="G54" s="704" t="n"/>
    </row>
    <row r="55">
      <c r="D55" s="664" t="inlineStr">
        <is>
          <t>Check</t>
        </is>
      </c>
    </row>
    <row r="56"/>
    <row r="57">
      <c r="G57" s="704" t="n"/>
    </row>
    <row r="58">
      <c r="G58" s="704" t="n"/>
    </row>
    <row r="59"/>
    <row r="60">
      <c r="B60" s="549" t="n"/>
    </row>
    <row r="61">
      <c r="B61" s="704" t="n"/>
    </row>
  </sheetData>
  <pageMargins left="0.7" right="0.7" top="0.75" bottom="0.75" header="0.3" footer="0.3"/>
  <pageSetup orientation="portrait" scale="39" horizontalDpi="4294967295" verticalDpi="4294967295"/>
  <legacyDrawing xmlns:r="http://schemas.openxmlformats.org/officeDocument/2006/relationships" r:id="anysvml"/>
</worksheet>
</file>

<file path=xl/worksheets/sheet25.xml><?xml version="1.0" encoding="utf-8"?>
<worksheet xmlns="http://schemas.openxmlformats.org/spreadsheetml/2006/main">
  <sheetPr>
    <tabColor theme="6"/>
    <outlinePr summaryBelow="1" summaryRight="1"/>
    <pageSetUpPr/>
  </sheetPr>
  <dimension ref="B2:M52"/>
  <sheetViews>
    <sheetView workbookViewId="0">
      <selection activeCell="A1" sqref="A1"/>
    </sheetView>
  </sheetViews>
  <sheetFormatPr baseColWidth="8" defaultColWidth="9.140625" defaultRowHeight="15"/>
  <cols>
    <col width="2.5703125" customWidth="1" style="4" min="1" max="1"/>
    <col width="1.85546875" customWidth="1" style="4" min="2" max="2"/>
    <col width="74.28515625" customWidth="1" style="4" min="3" max="3"/>
    <col width="17.42578125" bestFit="1" customWidth="1" style="4" min="4" max="4"/>
    <col width="21" bestFit="1" customWidth="1" style="4" min="5" max="11"/>
    <col width="9.140625" customWidth="1" style="4" min="12" max="12"/>
    <col width="11.5703125" bestFit="1" customWidth="1" style="4" min="13" max="13"/>
    <col width="9.140625" customWidth="1" style="4" min="14" max="16384"/>
  </cols>
  <sheetData>
    <row r="1"/>
    <row r="2" ht="19.5" customHeight="1" thickBot="1">
      <c r="B2" s="384" t="inlineStr">
        <is>
          <t>Opus Water - Cap Table</t>
        </is>
      </c>
      <c r="C2" s="385" t="n"/>
      <c r="D2" s="385" t="n"/>
      <c r="E2" s="385" t="n"/>
      <c r="F2" s="385" t="n"/>
      <c r="G2" s="385" t="n"/>
      <c r="H2" s="385" t="n"/>
      <c r="I2" s="385" t="n"/>
      <c r="J2" s="385" t="n"/>
      <c r="K2" s="386" t="inlineStr">
        <is>
          <t>Confidential</t>
        </is>
      </c>
    </row>
    <row r="3" ht="19.5" customHeight="1" thickBot="1">
      <c r="B3" s="354" t="n"/>
      <c r="K3" s="355" t="inlineStr">
        <is>
          <t>$'s in USD</t>
        </is>
      </c>
    </row>
    <row r="4" ht="15.75" customHeight="1" thickBot="1">
      <c r="B4" s="182" t="inlineStr">
        <is>
          <t>Illustrative Equity Value at Exit</t>
        </is>
      </c>
      <c r="C4" s="183" t="n"/>
      <c r="D4" s="887">
        <f>'III. Valuation Summary'!$F$15</f>
        <v/>
      </c>
      <c r="E4" s="321" t="n"/>
      <c r="I4" s="888" t="n"/>
    </row>
    <row r="5">
      <c r="B5" s="19" t="n"/>
      <c r="C5" s="21" t="n"/>
      <c r="E5" s="889" t="n"/>
      <c r="H5" s="889" t="n"/>
      <c r="I5" s="889" t="n"/>
      <c r="J5" s="889" t="n"/>
    </row>
    <row r="6" ht="17.25" customHeight="1">
      <c r="C6" s="322" t="inlineStr">
        <is>
          <t>Opus Water Cap Table</t>
        </is>
      </c>
      <c r="D6" s="322" t="n"/>
      <c r="E6" s="322" t="n"/>
      <c r="F6" s="322" t="n"/>
      <c r="G6" s="322" t="n"/>
      <c r="H6" s="322" t="n"/>
      <c r="I6" s="322" t="n"/>
      <c r="J6" s="322" t="n"/>
      <c r="K6" s="322" t="n"/>
    </row>
    <row r="7" ht="17.25" customHeight="1">
      <c r="C7" s="323" t="n"/>
      <c r="D7" s="323" t="n"/>
      <c r="E7" s="323" t="n"/>
      <c r="F7" s="323" t="n"/>
      <c r="G7" s="323" t="n"/>
      <c r="H7" s="323" t="n"/>
      <c r="I7" s="323" t="n"/>
      <c r="J7" s="323" t="n"/>
      <c r="K7" s="323" t="n"/>
    </row>
    <row r="8" ht="14.45" customHeight="1">
      <c r="C8" s="22" t="n"/>
      <c r="D8" s="23" t="inlineStr">
        <is>
          <t>Capital</t>
        </is>
      </c>
      <c r="E8" s="23" t="inlineStr">
        <is>
          <t>Common Units</t>
        </is>
      </c>
      <c r="F8" s="23" t="inlineStr">
        <is>
          <t>Incentive Units</t>
        </is>
      </c>
      <c r="G8" s="23" t="inlineStr">
        <is>
          <t>Incentive Units</t>
        </is>
      </c>
      <c r="H8" s="24" t="inlineStr">
        <is>
          <t>Total</t>
        </is>
      </c>
      <c r="I8" s="24" t="inlineStr">
        <is>
          <t>%</t>
        </is>
      </c>
      <c r="J8" s="24" t="inlineStr">
        <is>
          <t>Total</t>
        </is>
      </c>
      <c r="K8" s="24" t="inlineStr">
        <is>
          <t>%</t>
        </is>
      </c>
    </row>
    <row r="9">
      <c r="C9" s="22" t="n"/>
      <c r="D9" s="23" t="inlineStr">
        <is>
          <t>Contributed</t>
        </is>
      </c>
      <c r="E9" s="25" t="inlineStr">
        <is>
          <t>Exercise prices&gt;&gt;&gt;</t>
        </is>
      </c>
      <c r="F9" s="890" t="n">
        <v>1</v>
      </c>
      <c r="G9" s="890" t="n">
        <v>1.6</v>
      </c>
      <c r="H9" s="24" t="inlineStr">
        <is>
          <t>(Basic)</t>
        </is>
      </c>
      <c r="I9" s="24" t="inlineStr">
        <is>
          <t>(Basic)</t>
        </is>
      </c>
      <c r="J9" s="24" t="inlineStr">
        <is>
          <t>(Fully Diluted)</t>
        </is>
      </c>
      <c r="K9" s="24" t="inlineStr">
        <is>
          <t>(Fully Diluted)</t>
        </is>
      </c>
    </row>
    <row r="10">
      <c r="C10" s="4" t="inlineStr">
        <is>
          <t>XPV Water Fund III Limited Partnership</t>
        </is>
      </c>
      <c r="D10" s="891">
        <f>12500000+3787879.18</f>
        <v/>
      </c>
      <c r="E10" s="892" t="n">
        <v>14628022</v>
      </c>
      <c r="F10" s="893" t="n"/>
      <c r="G10" s="893" t="n"/>
      <c r="H10" s="894">
        <f>E10</f>
        <v/>
      </c>
      <c r="I10" s="895">
        <f>H10/H$19</f>
        <v/>
      </c>
      <c r="J10" s="894">
        <f>SUM(E10:G10)</f>
        <v/>
      </c>
      <c r="K10" s="895">
        <f>J10/J$19</f>
        <v/>
      </c>
    </row>
    <row r="11">
      <c r="C11" s="130" t="inlineStr">
        <is>
          <t>2007 Irrevocable Trust For Family of Chris M. Raftis dated March 30,2007</t>
        </is>
      </c>
      <c r="D11" s="891">
        <f>600000+181818.1</f>
        <v/>
      </c>
      <c r="E11" s="892" t="n">
        <v>702145</v>
      </c>
      <c r="F11" s="896" t="n"/>
      <c r="G11" s="896" t="n"/>
      <c r="H11" s="894">
        <f>E11</f>
        <v/>
      </c>
      <c r="I11" s="895">
        <f>H11/H$19</f>
        <v/>
      </c>
      <c r="J11" s="894">
        <f>SUM(E11:G11)</f>
        <v/>
      </c>
      <c r="K11" s="895">
        <f>J11/J$19</f>
        <v/>
      </c>
      <c r="L11" s="356" t="n"/>
    </row>
    <row r="12">
      <c r="C12" s="4" t="inlineStr">
        <is>
          <t>Karl Trott</t>
        </is>
      </c>
      <c r="D12" s="891">
        <f>100000+30302.72</f>
        <v/>
      </c>
      <c r="E12" s="892" t="n">
        <v>117024</v>
      </c>
      <c r="F12" s="893" t="n"/>
      <c r="G12" s="893" t="n"/>
      <c r="H12" s="894">
        <f>E12</f>
        <v/>
      </c>
      <c r="I12" s="895">
        <f>H12/H$19</f>
        <v/>
      </c>
      <c r="J12" s="894">
        <f>SUM(E12:G12)</f>
        <v/>
      </c>
      <c r="K12" s="895">
        <f>J12/J$19</f>
        <v/>
      </c>
    </row>
    <row r="13">
      <c r="C13" s="21" t="inlineStr">
        <is>
          <t>John DeYarman Incentive Units</t>
        </is>
      </c>
      <c r="E13" s="893" t="n"/>
      <c r="F13" s="892" t="n">
        <v>233333</v>
      </c>
      <c r="G13" s="892" t="n">
        <v>466667</v>
      </c>
      <c r="H13" s="894" t="n"/>
      <c r="I13" s="895">
        <f>H13/H$19</f>
        <v/>
      </c>
      <c r="J13" s="894">
        <f>SUM(E13:G13)</f>
        <v/>
      </c>
      <c r="K13" s="895">
        <f>J13/J$19</f>
        <v/>
      </c>
    </row>
    <row r="14">
      <c r="C14" s="21" t="inlineStr">
        <is>
          <t>Scott Day Incentive Units</t>
        </is>
      </c>
      <c r="E14" s="893" t="n"/>
      <c r="F14" s="892" t="n"/>
      <c r="G14" s="892" t="n">
        <v>300000</v>
      </c>
      <c r="H14" s="894" t="n"/>
      <c r="I14" s="895">
        <f>H14/H$19</f>
        <v/>
      </c>
      <c r="J14" s="894">
        <f>SUM(E14:G14)</f>
        <v/>
      </c>
      <c r="K14" s="895">
        <f>J14/J$19</f>
        <v/>
      </c>
    </row>
    <row r="15">
      <c r="C15" s="327" t="inlineStr">
        <is>
          <t>2007 Irrevocable Trust For Family of Chris M. Raftis dated March 30,2007 Incentive Units</t>
        </is>
      </c>
      <c r="E15" s="896" t="n"/>
      <c r="F15" s="896" t="n"/>
      <c r="G15" s="892" t="n">
        <v>110000</v>
      </c>
      <c r="H15" s="896" t="n"/>
      <c r="I15" s="895">
        <f>H15/H$19</f>
        <v/>
      </c>
      <c r="J15" s="894">
        <f>SUM(E15:G15)</f>
        <v/>
      </c>
      <c r="K15" s="895">
        <f>J15/J$19</f>
        <v/>
      </c>
      <c r="L15" s="356" t="n"/>
      <c r="M15" s="897" t="n"/>
    </row>
    <row r="16">
      <c r="C16" s="327" t="inlineStr">
        <is>
          <t>Kevin Klau</t>
        </is>
      </c>
      <c r="E16" s="896" t="n"/>
      <c r="F16" s="896" t="n"/>
      <c r="G16" s="892" t="n">
        <v>110000</v>
      </c>
      <c r="H16" s="896" t="n"/>
      <c r="I16" s="895">
        <f>H16/H$19</f>
        <v/>
      </c>
      <c r="J16" s="894">
        <f>SUM(E16:G16)</f>
        <v/>
      </c>
      <c r="K16" s="895">
        <f>J16/J$19</f>
        <v/>
      </c>
      <c r="L16" s="356" t="n"/>
      <c r="M16" s="897" t="n"/>
    </row>
    <row r="17">
      <c r="C17" s="327" t="inlineStr">
        <is>
          <t>Warren Berenis</t>
        </is>
      </c>
      <c r="E17" s="896" t="n"/>
      <c r="F17" s="896" t="n"/>
      <c r="G17" s="892">
        <f>150000+25000</f>
        <v/>
      </c>
      <c r="H17" s="896" t="n"/>
      <c r="I17" s="895">
        <f>H17/H$19</f>
        <v/>
      </c>
      <c r="J17" s="894">
        <f>SUM(E17:G17)</f>
        <v/>
      </c>
      <c r="K17" s="895">
        <f>J17/J$19</f>
        <v/>
      </c>
      <c r="L17" s="356" t="n"/>
      <c r="M17" s="897" t="n"/>
    </row>
    <row r="18" ht="15" customHeight="1">
      <c r="C18" s="21" t="inlineStr">
        <is>
          <t>Unallocated</t>
        </is>
      </c>
      <c r="E18" s="893" t="n"/>
      <c r="F18" s="892" t="n"/>
      <c r="G18" s="894">
        <f>1400000-SUM(F13:G17)</f>
        <v/>
      </c>
      <c r="H18" s="894" t="n"/>
      <c r="I18" s="895">
        <f>H18/H$19</f>
        <v/>
      </c>
      <c r="J18" s="894">
        <f>SUM(E18:G18)</f>
        <v/>
      </c>
      <c r="K18" s="895">
        <f>J18/J$19</f>
        <v/>
      </c>
    </row>
    <row r="19">
      <c r="C19" s="19" t="inlineStr">
        <is>
          <t>Total</t>
        </is>
      </c>
      <c r="E19" s="898">
        <f>SUM(E10:E18)</f>
        <v/>
      </c>
      <c r="F19" s="898">
        <f>SUM(F10:F18)</f>
        <v/>
      </c>
      <c r="G19" s="898">
        <f>SUM(G10:G18)</f>
        <v/>
      </c>
      <c r="H19" s="898">
        <f>SUM(H10:H18)</f>
        <v/>
      </c>
      <c r="I19" s="899">
        <f>H19/H$19</f>
        <v/>
      </c>
      <c r="J19" s="898">
        <f>SUM(J10:J18)</f>
        <v/>
      </c>
      <c r="K19" s="330">
        <f>J19/J$19</f>
        <v/>
      </c>
    </row>
    <row r="21">
      <c r="B21" s="19" t="inlineStr">
        <is>
          <t>EQUITY PROCEEDS</t>
        </is>
      </c>
      <c r="F21" s="190" t="n"/>
      <c r="G21" s="190" t="n"/>
      <c r="H21" s="190" t="n"/>
      <c r="I21" s="190" t="n"/>
    </row>
    <row r="22">
      <c r="E22" s="331" t="inlineStr">
        <is>
          <t>Incentive Units</t>
        </is>
      </c>
      <c r="F22" s="331" t="inlineStr">
        <is>
          <t>Incentive Units</t>
        </is>
      </c>
      <c r="G22" s="900" t="inlineStr">
        <is>
          <t>Common Units</t>
        </is>
      </c>
      <c r="H22" s="331" t="inlineStr">
        <is>
          <t>Incentive Units</t>
        </is>
      </c>
      <c r="I22" s="331" t="inlineStr">
        <is>
          <t>Incentive Units</t>
        </is>
      </c>
      <c r="J22" s="333" t="n"/>
    </row>
    <row r="23" ht="17.25" customHeight="1">
      <c r="E23" s="334">
        <f>F9</f>
        <v/>
      </c>
      <c r="F23" s="334">
        <f>G9</f>
        <v/>
      </c>
      <c r="G23" s="901" t="n"/>
      <c r="H23" s="334">
        <f>F9</f>
        <v/>
      </c>
      <c r="I23" s="334">
        <f>G9</f>
        <v/>
      </c>
      <c r="J23" s="336" t="n"/>
    </row>
    <row r="24">
      <c r="C24" s="19" t="inlineStr">
        <is>
          <t>Equity Value</t>
        </is>
      </c>
      <c r="E24" s="902">
        <f>D4</f>
        <v/>
      </c>
      <c r="F24" s="902">
        <f>E24</f>
        <v/>
      </c>
      <c r="G24" s="903">
        <f>F24-E45-F45</f>
        <v/>
      </c>
      <c r="H24" s="902">
        <f>G24</f>
        <v/>
      </c>
      <c r="I24" s="902">
        <f>H24</f>
        <v/>
      </c>
      <c r="J24" s="904" t="n"/>
    </row>
    <row r="25" ht="5.1" customHeight="1">
      <c r="G25" s="339" t="n"/>
      <c r="J25" s="340" t="n"/>
    </row>
    <row r="26">
      <c r="C26" s="4" t="inlineStr">
        <is>
          <t>Common Units</t>
        </is>
      </c>
      <c r="E26" s="894">
        <f>E19</f>
        <v/>
      </c>
      <c r="F26" s="894">
        <f>E26</f>
        <v/>
      </c>
      <c r="G26" s="905">
        <f>E26</f>
        <v/>
      </c>
      <c r="H26" s="894">
        <f>G26</f>
        <v/>
      </c>
      <c r="I26" s="894">
        <f>H26</f>
        <v/>
      </c>
      <c r="J26" s="906" t="n"/>
    </row>
    <row r="27">
      <c r="C27" s="4" t="inlineStr">
        <is>
          <t>Incentive Units ($1.00)</t>
        </is>
      </c>
      <c r="E27" s="894">
        <f>F19</f>
        <v/>
      </c>
      <c r="F27" s="894">
        <f>E27</f>
        <v/>
      </c>
      <c r="G27" s="905">
        <f>IF(E45&lt;0,E27,0)</f>
        <v/>
      </c>
      <c r="H27" s="894">
        <f>G27</f>
        <v/>
      </c>
      <c r="I27" s="894">
        <f>H27</f>
        <v/>
      </c>
      <c r="J27" s="906" t="n"/>
    </row>
    <row r="28">
      <c r="C28" s="4" t="inlineStr">
        <is>
          <t>Incentive Units ($1.60)</t>
        </is>
      </c>
      <c r="E28" s="894">
        <f>G19</f>
        <v/>
      </c>
      <c r="F28" s="894">
        <f>E28</f>
        <v/>
      </c>
      <c r="G28" s="905">
        <f>IF(F45&lt;0,E28,0)</f>
        <v/>
      </c>
      <c r="H28" s="894">
        <f>G28</f>
        <v/>
      </c>
      <c r="I28" s="894">
        <f>H28</f>
        <v/>
      </c>
      <c r="J28" s="906" t="n"/>
    </row>
    <row r="29" ht="5.1" customHeight="1">
      <c r="E29" s="894" t="n"/>
      <c r="F29" s="894" t="n"/>
      <c r="G29" s="905" t="n"/>
      <c r="H29" s="894" t="n"/>
      <c r="I29" s="894" t="n"/>
      <c r="J29" s="906" t="n"/>
    </row>
    <row r="30">
      <c r="C30" s="19" t="inlineStr">
        <is>
          <t>Total Units</t>
        </is>
      </c>
      <c r="E30" s="898">
        <f>SUM(E26:E29)</f>
        <v/>
      </c>
      <c r="F30" s="898">
        <f>SUM(F26:F29)</f>
        <v/>
      </c>
      <c r="G30" s="907">
        <f>SUM(G26:G29)</f>
        <v/>
      </c>
      <c r="H30" s="898">
        <f>SUM(H26:H29)</f>
        <v/>
      </c>
      <c r="I30" s="898">
        <f>SUM(I26:I29)</f>
        <v/>
      </c>
      <c r="J30" s="908" t="n"/>
    </row>
    <row r="31">
      <c r="C31" s="19" t="inlineStr">
        <is>
          <t>Equity Value Per Unit</t>
        </is>
      </c>
      <c r="E31" s="909">
        <f>E24/E30</f>
        <v/>
      </c>
      <c r="F31" s="909">
        <f>F24/F30</f>
        <v/>
      </c>
      <c r="G31" s="910">
        <f>G24/G30</f>
        <v/>
      </c>
      <c r="H31" s="909">
        <f>H24/H30</f>
        <v/>
      </c>
      <c r="I31" s="909">
        <f>I24/I30</f>
        <v/>
      </c>
      <c r="J31" s="911" t="n"/>
    </row>
    <row r="32">
      <c r="G32" s="339" t="n"/>
    </row>
    <row r="33" ht="17.25" customHeight="1">
      <c r="E33" s="912" t="inlineStr">
        <is>
          <t>Options Exercise</t>
        </is>
      </c>
      <c r="F33" s="192" t="n"/>
      <c r="G33" s="913" t="inlineStr">
        <is>
          <t>Common Units</t>
        </is>
      </c>
      <c r="H33" s="192" t="n"/>
      <c r="I33" s="192" t="n"/>
      <c r="J33" s="914" t="n"/>
    </row>
    <row r="34" ht="17.25" customHeight="1">
      <c r="E34" s="915" t="inlineStr">
        <is>
          <t>Incentive Units ($1.00)</t>
        </is>
      </c>
      <c r="F34" s="915" t="inlineStr">
        <is>
          <t>Incentive Units ($1.60)</t>
        </is>
      </c>
      <c r="G34" s="901" t="inlineStr">
        <is>
          <t>Common Units</t>
        </is>
      </c>
      <c r="H34" s="915" t="inlineStr">
        <is>
          <t>Incentive Units ($1.00)</t>
        </is>
      </c>
      <c r="I34" s="915" t="inlineStr">
        <is>
          <t>Incentive Units ($1.60)</t>
        </is>
      </c>
      <c r="J34" s="916" t="inlineStr">
        <is>
          <t>Proceeds</t>
        </is>
      </c>
    </row>
    <row r="35">
      <c r="C35" s="4" t="inlineStr">
        <is>
          <t>XPV Water Fund III Limited Partnership</t>
        </is>
      </c>
      <c r="E35" s="917">
        <f>IF(H$31&gt;F$9,-F$9*F10,0)</f>
        <v/>
      </c>
      <c r="F35" s="917">
        <f>IF(I$31&gt;G$9,-G$9*G10,0)</f>
        <v/>
      </c>
      <c r="G35" s="918">
        <f>E10*G$31</f>
        <v/>
      </c>
      <c r="H35" s="917">
        <f>IF(E$45&lt;0,F10*H$31,0)</f>
        <v/>
      </c>
      <c r="I35" s="917">
        <f>IF(F$45&lt;0,G10*I$31,0)</f>
        <v/>
      </c>
      <c r="J35" s="919">
        <f>SUM(E35:I35)</f>
        <v/>
      </c>
    </row>
    <row r="36">
      <c r="C36" s="130" t="inlineStr">
        <is>
          <t>2007 Irrevocable Trust For Family of Chris M. Raftis dated March 30,2007</t>
        </is>
      </c>
      <c r="E36" s="917">
        <f>IF(H$31&gt;F$9,-F$9*F11,0)</f>
        <v/>
      </c>
      <c r="F36" s="917">
        <f>IF(I$31&gt;G$9,-G$9*G11,0)</f>
        <v/>
      </c>
      <c r="G36" s="918">
        <f>E11*G$31</f>
        <v/>
      </c>
      <c r="H36" s="917">
        <f>IF(E$45&lt;0,F11*H$31,0)</f>
        <v/>
      </c>
      <c r="I36" s="917">
        <f>IF(F$45&lt;0,G11*I$31,0)</f>
        <v/>
      </c>
      <c r="J36" s="919">
        <f>SUM(E36:I36)</f>
        <v/>
      </c>
    </row>
    <row r="37">
      <c r="C37" s="4" t="inlineStr">
        <is>
          <t>PTI Inc. Seller (Karl Trott)</t>
        </is>
      </c>
      <c r="E37" s="917">
        <f>IF(H$31&gt;F$9,-F$9*F12,0)</f>
        <v/>
      </c>
      <c r="F37" s="917">
        <f>IF(I$31&gt;G$9,-G$9*G12,0)</f>
        <v/>
      </c>
      <c r="G37" s="918">
        <f>E12*G$31</f>
        <v/>
      </c>
      <c r="H37" s="917">
        <f>IF(E$45&lt;0,F12*H$31,0)</f>
        <v/>
      </c>
      <c r="I37" s="917">
        <f>IF(F$45&lt;0,G12*I$31,0)</f>
        <v/>
      </c>
      <c r="J37" s="919">
        <f>SUM(E37:I37)</f>
        <v/>
      </c>
    </row>
    <row r="38">
      <c r="C38" s="21" t="inlineStr">
        <is>
          <t>John DeYarman Incentive Units</t>
        </is>
      </c>
      <c r="E38" s="917">
        <f>IF(H$31&gt;F$9,-F$9*F13,0)</f>
        <v/>
      </c>
      <c r="F38" s="917">
        <f>IF(I$31&gt;G$9,-G$9*G13,0)</f>
        <v/>
      </c>
      <c r="G38" s="918" t="n"/>
      <c r="H38" s="917">
        <f>IF(E$45&lt;0,F13*H$31,0)</f>
        <v/>
      </c>
      <c r="I38" s="917">
        <f>IF(F$45&lt;0,G13*I$31,0)</f>
        <v/>
      </c>
      <c r="J38" s="919">
        <f>SUM(E38:I38)</f>
        <v/>
      </c>
    </row>
    <row r="39">
      <c r="C39" s="21" t="inlineStr">
        <is>
          <t>Scott Day Incentive Units</t>
        </is>
      </c>
      <c r="E39" s="917">
        <f>IF(H$31&gt;F$9,-F$9*F14,0)</f>
        <v/>
      </c>
      <c r="F39" s="917">
        <f>IF(I$31&gt;G$9,-G$9*G14,0)</f>
        <v/>
      </c>
      <c r="G39" s="918" t="n"/>
      <c r="H39" s="917">
        <f>IF(E$45&lt;0,F14*H$31,0)</f>
        <v/>
      </c>
      <c r="I39" s="917">
        <f>IF(F$45&lt;0,G14*I$31,0)</f>
        <v/>
      </c>
      <c r="J39" s="919">
        <f>SUM(E39:I39)</f>
        <v/>
      </c>
    </row>
    <row r="40">
      <c r="C40" s="327" t="inlineStr">
        <is>
          <t>2007 Irrevocable Trust For Family of Chris M. Raftis dated March 30,2007 Incentive Units</t>
        </is>
      </c>
      <c r="E40" s="917">
        <f>IF(H$31&gt;F$9,-F$9*F15,0)</f>
        <v/>
      </c>
      <c r="F40" s="917">
        <f>IF(I$31&gt;G$9,-G$9*G15,0)</f>
        <v/>
      </c>
      <c r="G40" s="918" t="n"/>
      <c r="H40" s="917">
        <f>IF(E$45&lt;0,F15*H$31,0)</f>
        <v/>
      </c>
      <c r="I40" s="917">
        <f>IF(F$45&lt;0,G15*I$31,0)</f>
        <v/>
      </c>
      <c r="J40" s="919">
        <f>SUM(E40:I40)</f>
        <v/>
      </c>
    </row>
    <row r="41">
      <c r="C41" s="327" t="inlineStr">
        <is>
          <t>Kevin Klau</t>
        </is>
      </c>
      <c r="E41" s="917">
        <f>IF(H$31&gt;F$9,-F$9*F16,0)</f>
        <v/>
      </c>
      <c r="F41" s="917">
        <f>IF(I$31&gt;G$9,-G$9*G16,0)</f>
        <v/>
      </c>
      <c r="G41" s="918" t="n"/>
      <c r="H41" s="917">
        <f>IF(E$45&lt;0,F16*H$31,0)</f>
        <v/>
      </c>
      <c r="I41" s="917">
        <f>IF(F$45&lt;0,G16*I$31,0)</f>
        <v/>
      </c>
      <c r="J41" s="919">
        <f>SUM(E41:I41)</f>
        <v/>
      </c>
    </row>
    <row r="42">
      <c r="C42" s="327" t="inlineStr">
        <is>
          <t>Warren Berenis</t>
        </is>
      </c>
      <c r="E42" s="917">
        <f>IF(H$31&gt;F$9,-F$9*F17,0)</f>
        <v/>
      </c>
      <c r="F42" s="917">
        <f>IF(I$31&gt;G$9,-G$9*G17,0)</f>
        <v/>
      </c>
      <c r="G42" s="918" t="n"/>
      <c r="H42" s="917">
        <f>IF(E$45&lt;0,F17*H$31,0)</f>
        <v/>
      </c>
      <c r="I42" s="917">
        <f>IF(F$45&lt;0,G17*I$31,0)</f>
        <v/>
      </c>
      <c r="J42" s="919">
        <f>SUM(E42:I42)</f>
        <v/>
      </c>
    </row>
    <row r="43">
      <c r="C43" s="21" t="inlineStr">
        <is>
          <t>Unallocated</t>
        </is>
      </c>
      <c r="E43" s="917">
        <f>IF(H$31&gt;F$9,-F$9*F18,0)</f>
        <v/>
      </c>
      <c r="F43" s="917">
        <f>IF(I$31&gt;G$9,-G$9*G18,0)</f>
        <v/>
      </c>
      <c r="G43" s="918" t="n"/>
      <c r="H43" s="917">
        <f>IF(E$45&lt;0,F18*H$31,0)</f>
        <v/>
      </c>
      <c r="I43" s="917">
        <f>IF(F$45&lt;0,G18*I$31,0)</f>
        <v/>
      </c>
      <c r="J43" s="919">
        <f>SUM(E43:I43)</f>
        <v/>
      </c>
    </row>
    <row r="44" ht="5.1" customHeight="1">
      <c r="C44" s="21" t="n"/>
      <c r="E44" s="917" t="n"/>
      <c r="F44" s="917" t="n"/>
      <c r="G44" s="918" t="n"/>
      <c r="H44" s="917" t="n"/>
      <c r="I44" s="917" t="n"/>
      <c r="J44" s="919" t="n"/>
    </row>
    <row r="45">
      <c r="C45" s="195" t="inlineStr">
        <is>
          <t>TOTAL</t>
        </is>
      </c>
      <c r="D45" s="196" t="n"/>
      <c r="E45" s="920">
        <f>SUM(E35:E44)</f>
        <v/>
      </c>
      <c r="F45" s="920">
        <f>SUM(F35:F44)</f>
        <v/>
      </c>
      <c r="G45" s="921">
        <f>SUM(G35:G44)</f>
        <v/>
      </c>
      <c r="H45" s="920">
        <f>SUM(H35:H44)</f>
        <v/>
      </c>
      <c r="I45" s="920">
        <f>SUM(I35:I44)</f>
        <v/>
      </c>
      <c r="J45" s="922">
        <f>SUM(J35:J44)</f>
        <v/>
      </c>
    </row>
    <row r="47">
      <c r="J47" s="923" t="n"/>
    </row>
    <row r="48">
      <c r="F48" s="190" t="n"/>
      <c r="G48" s="924" t="n"/>
      <c r="H48" s="190" t="n"/>
      <c r="I48" s="190" t="n"/>
    </row>
    <row r="49">
      <c r="F49" s="190" t="n"/>
      <c r="G49" s="190" t="n"/>
      <c r="H49" s="190" t="n"/>
      <c r="I49" s="190" t="n"/>
    </row>
    <row r="50">
      <c r="F50" s="190" t="n"/>
      <c r="G50" s="190" t="n"/>
      <c r="H50" s="190" t="n"/>
      <c r="I50" s="190" t="n"/>
    </row>
    <row r="51">
      <c r="F51" s="190" t="n"/>
      <c r="G51" s="190" t="n"/>
      <c r="H51" s="190" t="n"/>
      <c r="I51" s="190" t="n"/>
    </row>
    <row r="52">
      <c r="F52" s="190" t="n"/>
      <c r="G52" s="190" t="n"/>
      <c r="H52" s="190" t="n"/>
      <c r="I52" s="190" t="n"/>
    </row>
  </sheetData>
  <pageMargins left="0.7" right="0.7" top="0.75" bottom="0.75" header="0.3" footer="0.3"/>
  <pageSetup orientation="landscape" scale="38"/>
  <legacyDrawing xmlns:r="http://schemas.openxmlformats.org/officeDocument/2006/relationships" r:id="anysvml"/>
</worksheet>
</file>

<file path=xl/worksheets/sheet26.xml><?xml version="1.0" encoding="utf-8"?>
<worksheet xmlns="http://schemas.openxmlformats.org/spreadsheetml/2006/main">
  <sheetPr>
    <tabColor theme="6"/>
    <outlinePr summaryBelow="1" summaryRight="1"/>
    <pageSetUpPr fitToPage="1"/>
  </sheetPr>
  <dimension ref="B1:O41"/>
  <sheetViews>
    <sheetView workbookViewId="0">
      <selection activeCell="A1" sqref="A1"/>
    </sheetView>
  </sheetViews>
  <sheetFormatPr baseColWidth="8" defaultColWidth="8" defaultRowHeight="15" outlineLevelRow="1"/>
  <cols>
    <col width="2.7109375" customWidth="1" style="81" min="1" max="1"/>
    <col width="36" bestFit="1" customWidth="1" style="81" min="2" max="2"/>
    <col width="1.5703125" customWidth="1" style="81" min="3" max="3"/>
    <col width="8" customWidth="1" style="81" min="4" max="4"/>
    <col width="1.5703125" customWidth="1" style="81" min="5" max="5"/>
    <col width="16.7109375" bestFit="1" customWidth="1" style="81" min="6" max="6"/>
    <col width="4.28515625" customWidth="1" style="81" min="7" max="7"/>
    <col width="0.85546875" customWidth="1" style="81" min="8" max="8"/>
    <col width="16.7109375" bestFit="1" customWidth="1" style="81" min="9" max="12"/>
    <col width="0.85546875" customWidth="1" style="81" min="13" max="13"/>
    <col width="8" customWidth="1" style="81" min="14" max="16384"/>
  </cols>
  <sheetData>
    <row r="1" ht="18.75" customFormat="1" customHeight="1" s="77">
      <c r="B1" s="247">
        <f>'I. Cover Page'!B5</f>
        <v/>
      </c>
    </row>
    <row r="2" ht="15.75" customFormat="1" customHeight="1" s="77" thickBot="1">
      <c r="B2" s="254" t="inlineStr">
        <is>
          <t>XPVWFII Returns</t>
        </is>
      </c>
      <c r="C2" s="78" t="n"/>
      <c r="D2" s="78" t="n"/>
      <c r="E2" s="78" t="n"/>
      <c r="F2" s="78" t="n"/>
      <c r="G2" s="78" t="n"/>
      <c r="H2" s="78" t="n"/>
      <c r="I2" s="78" t="n"/>
      <c r="J2" s="78" t="n"/>
      <c r="K2" s="78" t="n"/>
      <c r="L2" s="78" t="n"/>
    </row>
    <row r="3" ht="13.5" customFormat="1" customHeight="1" s="77" thickTop="1">
      <c r="B3" s="251">
        <f>'I. Cover Page'!B9</f>
        <v/>
      </c>
      <c r="L3" s="79" t="inlineStr">
        <is>
          <t>$USD</t>
        </is>
      </c>
    </row>
    <row r="4" ht="15.75" customFormat="1" customHeight="1" s="77">
      <c r="B4" s="80" t="n"/>
      <c r="C4" s="80" t="n"/>
      <c r="D4" s="80" t="n"/>
      <c r="E4" s="80" t="n"/>
      <c r="F4" s="80" t="n"/>
      <c r="G4" s="80" t="n"/>
      <c r="H4" s="80" t="n"/>
      <c r="I4" s="201" t="n"/>
      <c r="J4" s="80" t="n"/>
      <c r="K4" s="80" t="n"/>
      <c r="L4" s="80" t="n"/>
      <c r="M4" s="80" t="n"/>
    </row>
    <row r="5" ht="17.25" customHeight="1">
      <c r="C5" s="82" t="inlineStr">
        <is>
          <t>Security Type</t>
        </is>
      </c>
      <c r="D5" s="82" t="n"/>
      <c r="E5" s="83" t="n"/>
      <c r="H5" s="84" t="n"/>
      <c r="I5" s="925" t="n">
        <v>45281</v>
      </c>
      <c r="J5" s="925" t="n">
        <v>45982</v>
      </c>
      <c r="K5" s="925">
        <f>J5</f>
        <v/>
      </c>
      <c r="L5" s="925">
        <f>B3</f>
        <v/>
      </c>
      <c r="M5" s="84" t="n"/>
    </row>
    <row r="6">
      <c r="D6" s="85" t="n"/>
    </row>
    <row r="7">
      <c r="B7" s="86" t="inlineStr">
        <is>
          <t>Total Investment IRR</t>
        </is>
      </c>
      <c r="D7" s="85" t="n"/>
    </row>
    <row r="8">
      <c r="B8" s="81" t="inlineStr">
        <is>
          <t>Initial Common Equity Investment</t>
        </is>
      </c>
      <c r="D8" s="81" t="inlineStr">
        <is>
          <t>Common</t>
        </is>
      </c>
      <c r="I8" s="926" t="n">
        <v>-12500000</v>
      </c>
      <c r="J8" s="926" t="n"/>
      <c r="K8" s="926" t="n"/>
      <c r="L8" s="926" t="n"/>
    </row>
    <row r="9">
      <c r="B9" s="81" t="inlineStr">
        <is>
          <t>Common Equity Payout @ Exit</t>
        </is>
      </c>
      <c r="D9" s="81" t="inlineStr">
        <is>
          <t>Common</t>
        </is>
      </c>
      <c r="F9" s="81" t="inlineStr">
        <is>
          <t>Unrealized Value</t>
        </is>
      </c>
      <c r="I9" s="926" t="n"/>
      <c r="J9" s="228" t="n"/>
      <c r="K9" s="228" t="n"/>
      <c r="L9" s="926">
        <f>'III. Valuation Summary'!$F$25</f>
        <v/>
      </c>
    </row>
    <row r="10" outlineLevel="1">
      <c r="B10" s="81" t="inlineStr">
        <is>
          <t>Common Shares (Growth Investment)</t>
        </is>
      </c>
      <c r="D10" s="81" t="inlineStr">
        <is>
          <t>Common</t>
        </is>
      </c>
      <c r="G10" s="87" t="n"/>
      <c r="H10" s="87" t="n"/>
      <c r="I10" s="926" t="n"/>
      <c r="J10" s="926" t="n"/>
      <c r="K10" s="926" t="n"/>
      <c r="L10" s="926" t="n"/>
      <c r="M10" s="87" t="n"/>
      <c r="O10" s="88" t="n"/>
    </row>
    <row r="11" outlineLevel="1">
      <c r="B11" s="81" t="inlineStr">
        <is>
          <t>Founder share purchase</t>
        </is>
      </c>
      <c r="D11" s="81" t="inlineStr">
        <is>
          <t>Common</t>
        </is>
      </c>
      <c r="H11" s="927" t="n"/>
      <c r="I11" s="926" t="n"/>
      <c r="J11" s="926" t="n"/>
      <c r="K11" s="926" t="n"/>
      <c r="L11" s="926" t="n"/>
      <c r="M11" s="927" t="n"/>
    </row>
    <row r="12" outlineLevel="1">
      <c r="B12" s="81" t="inlineStr">
        <is>
          <t>Add-On Investments (Yeary Controls)</t>
        </is>
      </c>
      <c r="D12" s="81" t="inlineStr">
        <is>
          <t>Common</t>
        </is>
      </c>
      <c r="F12" s="81" t="inlineStr">
        <is>
          <t>Unrealized Value</t>
        </is>
      </c>
      <c r="H12" s="927" t="n"/>
      <c r="I12" s="926" t="n"/>
      <c r="J12" s="926" t="n">
        <v>-3787879.18</v>
      </c>
      <c r="K12" s="926" t="n"/>
      <c r="L12" s="926" t="n"/>
      <c r="M12" s="927" t="n"/>
    </row>
    <row r="13" outlineLevel="1">
      <c r="B13" s="81" t="inlineStr">
        <is>
          <t>Add-On Investments</t>
        </is>
      </c>
      <c r="H13" s="927" t="n"/>
      <c r="I13" s="926" t="n"/>
      <c r="J13" s="926" t="n"/>
      <c r="K13" s="926" t="n"/>
      <c r="L13" s="926" t="n"/>
      <c r="M13" s="927" t="n"/>
    </row>
    <row r="14" outlineLevel="1">
      <c r="B14" s="81" t="inlineStr">
        <is>
          <t>Add-On Investments</t>
        </is>
      </c>
      <c r="H14" s="927" t="n"/>
      <c r="I14" s="926" t="n"/>
      <c r="J14" s="926" t="n"/>
      <c r="K14" s="926" t="n"/>
      <c r="L14" s="926" t="n"/>
      <c r="M14" s="927" t="n"/>
    </row>
    <row r="15" outlineLevel="1">
      <c r="B15" s="81" t="inlineStr">
        <is>
          <t>[X]</t>
        </is>
      </c>
      <c r="F15" s="81" t="inlineStr">
        <is>
          <t>Realized Value</t>
        </is>
      </c>
      <c r="H15" s="927" t="n"/>
      <c r="I15" s="926" t="n"/>
      <c r="J15" s="926" t="n"/>
      <c r="K15" s="926" t="n"/>
      <c r="L15" s="926" t="n"/>
      <c r="M15" s="927" t="n"/>
    </row>
    <row r="16" customFormat="1" s="90">
      <c r="B16" s="90" t="inlineStr">
        <is>
          <t>Blended Cash Flow</t>
        </is>
      </c>
      <c r="I16" s="928">
        <f>SUM(I8:I15)</f>
        <v/>
      </c>
      <c r="J16" s="928">
        <f>SUM(J8:J15)</f>
        <v/>
      </c>
      <c r="K16" s="928">
        <f>SUM(K8:K15)</f>
        <v/>
      </c>
      <c r="L16" s="928">
        <f>SUM(L8:L15)</f>
        <v/>
      </c>
    </row>
    <row r="17">
      <c r="H17" s="927" t="n"/>
      <c r="I17" s="927" t="n"/>
      <c r="J17" s="927" t="n"/>
      <c r="K17" s="927" t="n"/>
      <c r="L17" s="927" t="n"/>
      <c r="M17" s="927" t="n"/>
    </row>
    <row r="18">
      <c r="B18" s="92" t="inlineStr">
        <is>
          <t>Total Investments</t>
        </is>
      </c>
      <c r="C18" s="93" t="n"/>
      <c r="D18" s="93" t="n"/>
      <c r="E18" s="93" t="n"/>
      <c r="F18" s="929">
        <f>SUM(I16:K16)</f>
        <v/>
      </c>
      <c r="G18" s="930" t="n"/>
      <c r="H18" s="927" t="n"/>
      <c r="I18" s="927" t="n"/>
      <c r="J18" s="927" t="n"/>
      <c r="K18" s="927" t="n"/>
      <c r="L18" s="927" t="n"/>
      <c r="M18" s="927" t="n"/>
    </row>
    <row r="19">
      <c r="F19" s="931" t="n"/>
      <c r="H19" s="927" t="n"/>
      <c r="I19" s="927" t="n"/>
      <c r="J19" s="927" t="n"/>
      <c r="K19" s="927" t="n"/>
      <c r="L19" s="927" t="n"/>
      <c r="M19" s="927" t="n"/>
    </row>
    <row r="20">
      <c r="B20" s="97" t="inlineStr">
        <is>
          <t>Realized Value</t>
        </is>
      </c>
      <c r="C20" s="98" t="n"/>
      <c r="D20" s="98" t="n"/>
      <c r="E20" s="98" t="n"/>
      <c r="F20" s="932">
        <f>SUMIF($F$8:$F$15,B20,$L$8:$L$15)</f>
        <v/>
      </c>
      <c r="G20" s="933" t="n"/>
      <c r="H20" s="927" t="n"/>
      <c r="I20" s="927" t="n"/>
      <c r="J20" s="927" t="n"/>
      <c r="K20" s="927" t="n"/>
      <c r="L20" s="927" t="n"/>
      <c r="M20" s="927" t="n"/>
    </row>
    <row r="21">
      <c r="B21" s="101" t="inlineStr">
        <is>
          <t>Unrealized Value</t>
        </is>
      </c>
      <c r="F21" s="934">
        <f>SUMIF($F$8:$F$15,B21,$L$8:$L$15)</f>
        <v/>
      </c>
      <c r="G21" s="933" t="n"/>
      <c r="H21" s="927" t="n"/>
      <c r="I21" s="927" t="n"/>
      <c r="J21" s="927" t="n"/>
      <c r="K21" s="927" t="n"/>
      <c r="L21" s="927" t="n"/>
      <c r="M21" s="927" t="n"/>
    </row>
    <row r="22">
      <c r="B22" s="103" t="inlineStr">
        <is>
          <t>Total Realized &amp; Unrealized Value</t>
        </is>
      </c>
      <c r="C22" s="104" t="n"/>
      <c r="D22" s="104" t="n"/>
      <c r="E22" s="104" t="n"/>
      <c r="F22" s="935">
        <f>F20+F21</f>
        <v/>
      </c>
      <c r="G22" s="933" t="n"/>
      <c r="H22" s="927" t="n"/>
      <c r="I22" s="927" t="n"/>
      <c r="J22" s="927" t="n"/>
      <c r="K22" s="927" t="n"/>
      <c r="L22" s="927" t="n"/>
      <c r="M22" s="927" t="n"/>
    </row>
    <row r="23">
      <c r="F23" s="933" t="n"/>
      <c r="G23" s="933" t="n"/>
      <c r="H23" s="927" t="n"/>
      <c r="I23" s="927" t="n"/>
      <c r="J23" s="927" t="n"/>
      <c r="K23" s="927" t="n"/>
      <c r="L23" s="927" t="n"/>
      <c r="M23" s="927" t="n"/>
    </row>
    <row r="24">
      <c r="B24" s="97" t="inlineStr">
        <is>
          <t>Realized ROI</t>
        </is>
      </c>
      <c r="C24" s="98" t="n"/>
      <c r="D24" s="98" t="n"/>
      <c r="E24" s="98" t="n"/>
      <c r="F24" s="936">
        <f>-F20/$F$18</f>
        <v/>
      </c>
      <c r="G24" s="937" t="n"/>
      <c r="H24" s="927" t="n"/>
      <c r="I24" s="927" t="n"/>
      <c r="J24" s="927" t="n"/>
      <c r="K24" s="927" t="n"/>
      <c r="L24" s="927" t="n"/>
      <c r="M24" s="927" t="n"/>
    </row>
    <row r="25">
      <c r="B25" s="101" t="inlineStr">
        <is>
          <t>Unrealized ROI</t>
        </is>
      </c>
      <c r="F25" s="938">
        <f>-F21/$F$18</f>
        <v/>
      </c>
      <c r="G25" s="937" t="n"/>
      <c r="H25" s="927" t="n"/>
      <c r="I25" s="927" t="n"/>
      <c r="J25" s="927" t="n"/>
      <c r="K25" s="927" t="n"/>
      <c r="L25" s="927" t="n"/>
      <c r="M25" s="927" t="n"/>
    </row>
    <row r="26" customFormat="1" s="90">
      <c r="B26" s="103" t="inlineStr">
        <is>
          <t>Realized &amp; Unrealized ROI</t>
        </is>
      </c>
      <c r="C26" s="104" t="n"/>
      <c r="D26" s="104" t="n"/>
      <c r="E26" s="104" t="n"/>
      <c r="F26" s="939">
        <f>-F22/$F$18</f>
        <v/>
      </c>
      <c r="G26" s="940" t="n"/>
      <c r="H26" s="941" t="n"/>
      <c r="I26" s="941" t="n"/>
      <c r="J26" s="941" t="n"/>
      <c r="K26" s="941" t="n"/>
      <c r="L26" s="941" t="n"/>
      <c r="M26" s="941" t="n"/>
    </row>
    <row r="27" customFormat="1" s="112">
      <c r="F27" s="113" t="n"/>
      <c r="G27" s="113" t="n"/>
      <c r="H27" s="942" t="n"/>
      <c r="I27" s="943" t="n"/>
      <c r="J27" s="943" t="n"/>
      <c r="K27" s="943" t="n"/>
      <c r="L27" s="943" t="n"/>
      <c r="M27" s="942" t="n"/>
    </row>
    <row r="28" customFormat="1" s="90">
      <c r="B28" s="116" t="inlineStr">
        <is>
          <t>IRR</t>
        </is>
      </c>
      <c r="C28" s="117" t="n"/>
      <c r="D28" s="117" t="n"/>
      <c r="E28" s="117" t="n"/>
      <c r="F28" s="944">
        <f>IFERROR(XIRR(I16:L16,I5:L5),"NM")</f>
        <v/>
      </c>
      <c r="G28" s="119" t="n"/>
      <c r="H28" s="941" t="n"/>
      <c r="I28" s="945" t="n"/>
      <c r="J28" s="945" t="n"/>
      <c r="K28" s="945" t="n"/>
      <c r="L28" s="945" t="n"/>
      <c r="M28" s="941" t="n"/>
    </row>
    <row r="29">
      <c r="F29" s="946" t="n"/>
      <c r="G29" s="933" t="n"/>
      <c r="H29" s="927" t="n"/>
      <c r="I29" s="927" t="n"/>
      <c r="J29" s="927" t="n"/>
      <c r="K29" s="927" t="n"/>
      <c r="L29" s="927" t="n"/>
      <c r="M29" s="927" t="n"/>
    </row>
    <row r="31">
      <c r="B31" s="98" t="n"/>
      <c r="C31" s="98" t="n"/>
      <c r="D31" s="98" t="n"/>
      <c r="E31" s="98" t="n"/>
      <c r="F31" s="98" t="n"/>
      <c r="G31" s="98" t="n"/>
      <c r="H31" s="98" t="n"/>
      <c r="I31" s="98" t="n"/>
      <c r="J31" s="98" t="n"/>
      <c r="K31" s="98" t="n"/>
      <c r="L31" s="98" t="n"/>
    </row>
    <row r="41">
      <c r="J41" s="164" t="n"/>
    </row>
  </sheetData>
  <pageMargins left="0.7086614173228347" right="0.7086614173228347" top="0.7480314960629921" bottom="0.7480314960629921" header="0.3149606299212598" footer="0.3149606299212598"/>
  <pageSetup orientation="portrait" scale="66"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oreProperties xmlns:dc="http://purl.org/dc/elements/1.1/" xmlns:dcterms="http://purl.org/dc/terms/" xmlns:xsi="http://www.w3.org/2001/XMLSchema-instance" xmlns="http://schemas.openxmlformats.org/package/2006/metadata/core-properties">
  <dc:creator>Aria Druker</dc:creator>
  <dcterms:created xsi:type="dcterms:W3CDTF">2026-10-13T18:06:00.6007584Z</dcterms:created>
  <dcterms:modified xsi:type="dcterms:W3CDTF">2026-10-13T18:06:00.6007584Z</dcterms:modified>
  <lastModifiedBy>Aria Druker</lastModifiedBy>
  <lastPrinted>2026-03-25T13:34:55.0000000Z</lastPrinted>
</coreProperties>
</file>