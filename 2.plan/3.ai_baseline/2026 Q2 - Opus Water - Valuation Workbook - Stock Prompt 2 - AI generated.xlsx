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4.xml" ContentType="application/vnd.openxmlformats-officedocument.spreadsheetml.comments+xml"/>
  <Override PartName="/xl/worksheets/sheet14.xml" ContentType="application/vnd.openxmlformats-officedocument.spreadsheetml.worksheet+xml"/>
  <Override PartName="/xl/comments/comment5.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omments/comment6.xml" ContentType="application/vnd.openxmlformats-officedocument.spreadsheetml.comment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omments/comment7.xml" ContentType="application/vnd.openxmlformats-officedocument.spreadsheetml.comments+xml"/>
  <Override PartName="/xl/worksheets/sheet23.xml" ContentType="application/vnd.openxmlformats-officedocument.spreadsheetml.worksheet+xml"/>
  <Override PartName="/xl/comments/comment8.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7720" yWindow="-120" windowWidth="29040" windowHeight="15720" tabRatio="925" firstSheet="0" activeTab="2" autoFilterDateGrouping="1"/>
  </bookViews>
  <sheets>
    <sheet xmlns:r="http://schemas.openxmlformats.org/officeDocument/2006/relationships" name="I. Cover Page" sheetId="1" state="visible" r:id="rId1"/>
    <sheet xmlns:r="http://schemas.openxmlformats.org/officeDocument/2006/relationships" name="II. Attribution Summary" sheetId="2" state="visible" r:id="rId2"/>
    <sheet xmlns:r="http://schemas.openxmlformats.org/officeDocument/2006/relationships" name="III. Valuation Summary" sheetId="3" state="visible" r:id="rId3"/>
    <sheet xmlns:r="http://schemas.openxmlformats.org/officeDocument/2006/relationships" name="IV. EBITDA Adjustments" sheetId="4" state="visible" r:id="rId4"/>
    <sheet xmlns:r="http://schemas.openxmlformats.org/officeDocument/2006/relationships" name="V. Comparables" sheetId="5" state="visible" r:id="rId5"/>
    <sheet xmlns:r="http://schemas.openxmlformats.org/officeDocument/2006/relationships" name="VI. Comparables (Description)" sheetId="6" state="visible" r:id="rId6"/>
    <sheet xmlns:r="http://schemas.openxmlformats.org/officeDocument/2006/relationships" name="PB_CACHE" sheetId="7" state="veryHidden" r:id="rId7"/>
    <sheet xmlns:r="http://schemas.openxmlformats.org/officeDocument/2006/relationships" name="LP Report" sheetId="8" state="visible" r:id="rId8"/>
    <sheet xmlns:r="http://schemas.openxmlformats.org/officeDocument/2006/relationships" name="Back up &gt;&gt;" sheetId="9" state="visible" r:id="rId9"/>
    <sheet xmlns:r="http://schemas.openxmlformats.org/officeDocument/2006/relationships" name="Pro Forma Financials (Q1)" sheetId="10" state="visible" r:id="rId10"/>
    <sheet xmlns:r="http://schemas.openxmlformats.org/officeDocument/2006/relationships" name="EBITDA Adjustments 2026" sheetId="11" state="visible" r:id="rId11"/>
    <sheet xmlns:r="http://schemas.openxmlformats.org/officeDocument/2006/relationships" name="ToC" sheetId="12" state="visible" r:id="rId12"/>
    <sheet xmlns:r="http://schemas.openxmlformats.org/officeDocument/2006/relationships" name="Cap Table (Mar 2026)" sheetId="13" state="visible" r:id="rId13"/>
    <sheet xmlns:r="http://schemas.openxmlformats.org/officeDocument/2006/relationships" name="Cap Table (Dec 2025)" sheetId="14" state="visible" r:id="rId14"/>
    <sheet xmlns:r="http://schemas.openxmlformats.org/officeDocument/2006/relationships" name="Cap Table (Dec 2024)" sheetId="15" state="hidden" r:id="rId15"/>
    <sheet xmlns:r="http://schemas.openxmlformats.org/officeDocument/2006/relationships" name="IRR Calculation (Mar 2026)" sheetId="16" state="visible" r:id="rId16"/>
    <sheet xmlns:r="http://schemas.openxmlformats.org/officeDocument/2006/relationships" name="IRR Calculation (Dec 2025)" sheetId="17" state="visible" r:id="rId17"/>
    <sheet xmlns:r="http://schemas.openxmlformats.org/officeDocument/2006/relationships" name="IRR Calculation (Dec 2024)" sheetId="18" state="hidden" r:id="rId18"/>
    <sheet xmlns:r="http://schemas.openxmlformats.org/officeDocument/2006/relationships" name="Financial Summary" sheetId="19" state="visible" r:id="rId19"/>
    <sheet xmlns:r="http://schemas.openxmlformats.org/officeDocument/2006/relationships" name="PB_CACHE_JS" sheetId="20" state="veryHidden" r:id="rId20"/>
    <sheet xmlns:r="http://schemas.openxmlformats.org/officeDocument/2006/relationships" name="CACHE_CHARTS_JS" sheetId="21" state="veryHidden" r:id="rId21"/>
    <sheet xmlns:r="http://schemas.openxmlformats.org/officeDocument/2006/relationships" name="Pro Forma Financials (Q2)" sheetId="22" state="visible" r:id="rId22"/>
    <sheet xmlns:r="http://schemas.openxmlformats.org/officeDocument/2006/relationships" name="Cap Table (Jun 2026)" sheetId="23" state="visible" r:id="rId23"/>
    <sheet xmlns:r="http://schemas.openxmlformats.org/officeDocument/2006/relationships" name="IRR Calculation (Jun 2026)" sheetId="24" state="visible" r:id="rId24"/>
    <sheet xmlns:r="http://schemas.openxmlformats.org/officeDocument/2006/relationships" name="Q2 Build Report" sheetId="25" state="visible" r:id="rId25"/>
    <sheet xmlns:r="http://schemas.openxmlformats.org/officeDocument/2006/relationships" name="Q2 Source Lineage" sheetId="26" state="visible" r:id="rId26"/>
    <sheet xmlns:r="http://schemas.openxmlformats.org/officeDocument/2006/relationships" name="Q2 Validation" sheetId="27" state="visible" r:id="rId27"/>
    <sheet xmlns:r="http://schemas.openxmlformats.org/officeDocument/2006/relationships" name="Q2 Review List" sheetId="28" state="visible" r:id="rId28"/>
  </sheets>
  <definedNames>
    <definedName name="\" hidden="1">{"kricash",#N/A,FALSE,"INC";"kriinc",#N/A,FALSE,"INC";"krimiami",#N/A,FALSE,"INC";"kriother",#N/A,FALSE,"INC";"kripapers",#N/A,FALSE,"INC"}</definedName>
    <definedName name="____________________________ww2" hidden="1">{#N/A,#N/A,FALSE,"Admin";#N/A,#N/A,FALSE,"Other"}</definedName>
    <definedName name="______________ww2" hidden="1">{#N/A,#N/A,FALSE,"Admin";#N/A,#N/A,FALSE,"Other"}</definedName>
    <definedName name="_____________t2" hidden="1">{"'Sheet1'!$A$5:$G$42"}</definedName>
    <definedName name="_____________wrn2" hidden="1">{"arpm1995",#N/A,FALSE,"Summary 95-96";"bus_long_distance",#N/A,FALSE,"Summary 95-96";"mins_per_day",#N/A,FALSE,"Summary 95-96";"minutes1995",#N/A,FALSE,"Summary 95-96";"rev_per_day",#N/A,FALSE,"Summary 95-96";"view1995",#N/A,FALSE,"Summary 95-96"}</definedName>
    <definedName name="_____________ww2" hidden="1">{#N/A,#N/A,FALSE,"Admin";#N/A,#N/A,FALSE,"Other"}</definedName>
    <definedName name="____________t2" hidden="1">{"'Sheet1'!$A$5:$G$42"}</definedName>
    <definedName name="____________wrn2" hidden="1">{"arpm1995",#N/A,FALSE,"Summary 95-96";"bus_long_distance",#N/A,FALSE,"Summary 95-96";"mins_per_day",#N/A,FALSE,"Summary 95-96";"minutes1995",#N/A,FALSE,"Summary 95-96";"rev_per_day",#N/A,FALSE,"Summary 95-96";"view1995",#N/A,FALSE,"Summary 95-96"}</definedName>
    <definedName name="____________ww2" hidden="1">{#N/A,#N/A,FALSE,"Admin";#N/A,#N/A,FALSE,"Other"}</definedName>
    <definedName name="___________ww2" hidden="1">{#N/A,#N/A,FALSE,"Admin";#N/A,#N/A,FALSE,"Other"}</definedName>
    <definedName name="__________t2" hidden="1">{"'Sheet1'!$A$5:$G$42"}</definedName>
    <definedName name="__________wrn2" hidden="1">{"arpm1995",#N/A,FALSE,"Summary 95-96";"bus_long_distance",#N/A,FALSE,"Summary 95-96";"mins_per_day",#N/A,FALSE,"Summary 95-96";"minutes1995",#N/A,FALSE,"Summary 95-96";"rev_per_day",#N/A,FALSE,"Summary 95-96";"view1995",#N/A,FALSE,"Summary 95-96"}</definedName>
    <definedName name="__________ww2" hidden="1">{#N/A,#N/A,FALSE,"Admin";#N/A,#N/A,FALSE,"Other"}</definedName>
    <definedName name="_________I2" hidden="1">{"PVGraph2",#N/A,FALSE,"PV Data"}</definedName>
    <definedName name="_________I3" hidden="1">{"PVGraph2",#N/A,FALSE,"PV Data"}</definedName>
    <definedName name="_________t2" hidden="1">{"'Sheet1'!$A$5:$G$42"}</definedName>
    <definedName name="_________w1" hidden="1">{"PVGraph2",#N/A,FALSE,"PV Data"}</definedName>
    <definedName name="_________w2" hidden="1">{"PVGraph2",#N/A,FALSE,"PV Data"}</definedName>
    <definedName name="_________w3" hidden="1">{"PVGraph2",#N/A,FALSE,"PV Data"}</definedName>
    <definedName name="_________wrn2" hidden="1">{"arpm1995",#N/A,FALSE,"Summary 95-96";"bus_long_distance",#N/A,FALSE,"Summary 95-96";"mins_per_day",#N/A,FALSE,"Summary 95-96";"minutes1995",#N/A,FALSE,"Summary 95-96";"rev_per_day",#N/A,FALSE,"Summary 95-96";"view1995",#N/A,FALSE,"Summary 95-96"}</definedName>
    <definedName name="_________ww2" hidden="1">{#N/A,#N/A,FALSE,"Admin";#N/A,#N/A,FALSE,"Other"}</definedName>
    <definedName name="_________y2" hidden="1">{"PVGraph2",#N/A,FALSE,"PV Data"}</definedName>
    <definedName name="________I2" hidden="1">{"PVGraph2",#N/A,FALSE,"PV Data"}</definedName>
    <definedName name="________I3" hidden="1">{"PVGraph2",#N/A,FALSE,"PV Data"}</definedName>
    <definedName name="________t2" hidden="1">{"'Sheet1'!$A$5:$G$42"}</definedName>
    <definedName name="________w1" hidden="1">{"PVGraph2",#N/A,FALSE,"PV Data"}</definedName>
    <definedName name="________w2" hidden="1">{"PVGraph2",#N/A,FALSE,"PV Data"}</definedName>
    <definedName name="________w3" hidden="1">{"PVGraph2",#N/A,FALSE,"PV Data"}</definedName>
    <definedName name="________wrn2" hidden="1">{"arpm1995",#N/A,FALSE,"Summary 95-96";"bus_long_distance",#N/A,FALSE,"Summary 95-96";"mins_per_day",#N/A,FALSE,"Summary 95-96";"minutes1995",#N/A,FALSE,"Summary 95-96";"rev_per_day",#N/A,FALSE,"Summary 95-96";"view1995",#N/A,FALSE,"Summary 95-96"}</definedName>
    <definedName name="________ww2" hidden="1">{#N/A,#N/A,FALSE,"Admin";#N/A,#N/A,FALSE,"Other"}</definedName>
    <definedName name="________y2" hidden="1">{"PVGraph2",#N/A,FALSE,"PV Data"}</definedName>
    <definedName name="_______I2" hidden="1">{"PVGraph2",#N/A,FALSE,"PV Data"}</definedName>
    <definedName name="_______I3" hidden="1">{"PVGraph2",#N/A,FALSE,"PV Data"}</definedName>
    <definedName name="_______t2" hidden="1">{"'Sheet1'!$A$5:$G$42"}</definedName>
    <definedName name="_______w1" hidden="1">{"PVGraph2",#N/A,FALSE,"PV Data"}</definedName>
    <definedName name="_______w2" hidden="1">{"PVGraph2",#N/A,FALSE,"PV Data"}</definedName>
    <definedName name="_______w3" hidden="1">{"PVGraph2",#N/A,FALSE,"PV Data"}</definedName>
    <definedName name="_______wrn2" hidden="1">{"arpm1995",#N/A,FALSE,"Summary 95-96";"bus_long_distance",#N/A,FALSE,"Summary 95-96";"mins_per_day",#N/A,FALSE,"Summary 95-96";"minutes1995",#N/A,FALSE,"Summary 95-96";"rev_per_day",#N/A,FALSE,"Summary 95-96";"view1995",#N/A,FALSE,"Summary 95-96"}</definedName>
    <definedName name="_______ww2" hidden="1">{#N/A,#N/A,FALSE,"Admin";#N/A,#N/A,FALSE,"Other"}</definedName>
    <definedName name="_______y2" hidden="1">{"PVGraph2",#N/A,FALSE,"PV Data"}</definedName>
    <definedName name="______I2" hidden="1">{"PVGraph2",#N/A,FALSE,"PV Data"}</definedName>
    <definedName name="______I3" hidden="1">{"PVGraph2",#N/A,FALSE,"PV Data"}</definedName>
    <definedName name="______t2" hidden="1">{"'Sheet1'!$A$5:$G$42"}</definedName>
    <definedName name="______w1" hidden="1">{"PVGraph2",#N/A,FALSE,"PV Data"}</definedName>
    <definedName name="______w2" hidden="1">{"PVGraph2",#N/A,FALSE,"PV Data"}</definedName>
    <definedName name="______w3" hidden="1">{"PVGraph2",#N/A,FALSE,"PV Data"}</definedName>
    <definedName name="______WHO2" hidden="1">{#N/A,#N/A,FALSE,"SUMMARY";#N/A,#N/A,FALSE,"DETAIL";#N/A,#N/A,FALSE,"VARIANCE"}</definedName>
    <definedName name="______wrn2" hidden="1">{"arpm1995",#N/A,FALSE,"Summary 95-96";"bus_long_distance",#N/A,FALSE,"Summary 95-96";"mins_per_day",#N/A,FALSE,"Summary 95-96";"minutes1995",#N/A,FALSE,"Summary 95-96";"rev_per_day",#N/A,FALSE,"Summary 95-96";"view1995",#N/A,FALSE,"Summary 95-96"}</definedName>
    <definedName name="______ww2" hidden="1">{#N/A,#N/A,FALSE,"Admin";#N/A,#N/A,FALSE,"Other"}</definedName>
    <definedName name="______y2" hidden="1">{"PVGraph2",#N/A,FALSE,"PV Data"}</definedName>
    <definedName name="_____I2" hidden="1">{"PVGraph2",#N/A,FALSE,"PV Data"}</definedName>
    <definedName name="_____I3" hidden="1">{"PVGraph2",#N/A,FALSE,"PV Data"}</definedName>
    <definedName name="_____q3" hidden="1">#REF!</definedName>
    <definedName name="_____t2" hidden="1">{"'Sheet1'!$A$5:$G$42"}</definedName>
    <definedName name="_____w1" hidden="1">{"PVGraph2",#N/A,FALSE,"PV Data"}</definedName>
    <definedName name="_____w2" hidden="1">{"PVGraph2",#N/A,FALSE,"PV Data"}</definedName>
    <definedName name="_____w3" hidden="1">{"PVGraph2",#N/A,FALSE,"PV Data"}</definedName>
    <definedName name="_____wrn2" hidden="1">{#N/A,#N/A,FALSE,"ASSUMPTIONS";#N/A,#N/A,FALSE,"Valuation Summary";"page1",#N/A,FALSE,"PRESENTATION";"page2",#N/A,FALSE,"PRESENTATION";#N/A,#N/A,FALSE,"ORIGINAL_ROLLBACK"}</definedName>
    <definedName name="_____wrn3" hidden="1">{#N/A,#N/A,FALSE,"ASSUMPTIONS";#N/A,#N/A,FALSE,"Valuation Summary";"page1",#N/A,FALSE,"PRESENTATION";"page2",#N/A,FALSE,"PRESENTATION";#N/A,#N/A,FALSE,"ORIGINAL_ROLLBACK"}</definedName>
    <definedName name="_____ww2" hidden="1">{#N/A,#N/A,FALSE,"Admin";#N/A,#N/A,FALSE,"Other"}</definedName>
    <definedName name="_____y2" hidden="1">{"PVGraph2",#N/A,FALSE,"PV Data"}</definedName>
    <definedName name="__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I2" hidden="1">{"PVGraph2",#N/A,FALSE,"PV Data"}</definedName>
    <definedName name="____I3" hidden="1">{"PVGraph2",#N/A,FALSE,"PV Data"}</definedName>
    <definedName name="____o1" hidden="1">{#N/A,#N/A,FALSE,"SUMMARY";#N/A,#N/A,FALSE,"mcsh";#N/A,#N/A,FALSE,"vol&amp;rev";#N/A,#N/A,FALSE,"wkgcap";#N/A,#N/A,FALSE,"DEPR&amp;DT";#N/A,#N/A,FALSE,"ASSETS";#N/A,#N/A,FALSE,"NI&amp;OTH&amp;DIV";#N/A,#N/A,FALSE,"CASHFLOW";#N/A,#N/A,FALSE,"CAPEMPL";#N/A,#N/A,FALSE,"ROCE"}</definedName>
    <definedName name="____q3" hidden="1">#REF!</definedName>
    <definedName name="____t2" hidden="1">{"'Sheet1'!$A$5:$G$42"}</definedName>
    <definedName name="____w1" hidden="1">{"PVGraph2",#N/A,FALSE,"PV Data"}</definedName>
    <definedName name="____w2" hidden="1">{"PVGraph2",#N/A,FALSE,"PV Data"}</definedName>
    <definedName name="____w3" hidden="1">{"PVGraph2",#N/A,FALSE,"PV Data"}</definedName>
    <definedName name="____WHO2" hidden="1">{#N/A,#N/A,FALSE,"SUMMARY";#N/A,#N/A,FALSE,"DETAIL";#N/A,#N/A,FALSE,"VARIANCE"}</definedName>
    <definedName name="____wr3" hidden="1">{#N/A,#N/A,FALSE,"ASSUMPTIONS";#N/A,#N/A,FALSE,"Valuation Summary";"page1",#N/A,FALSE,"PRESENTATION";"page2",#N/A,FALSE,"PRESENTATION";#N/A,#N/A,FALSE,"ORIGINAL_ROLLBACK"}</definedName>
    <definedName name="____wrn2" hidden="1">{#N/A,#N/A,FALSE,"ASSUMPTIONS";#N/A,#N/A,FALSE,"Valuation Summary";"page1",#N/A,FALSE,"PRESENTATION";"page2",#N/A,FALSE,"PRESENTATION";#N/A,#N/A,FALSE,"ORIGINAL_ROLLBACK"}</definedName>
    <definedName name="____wrn3" hidden="1">{#N/A,#N/A,FALSE,"ASSUMPTIONS";#N/A,#N/A,FALSE,"Valuation Summary";"page1",#N/A,FALSE,"PRESENTATION";"page2",#N/A,FALSE,"PRESENTATION";#N/A,#N/A,FALSE,"ORIGINAL_ROLLBACK"}</definedName>
    <definedName name="____ww2" hidden="1">{#N/A,#N/A,FALSE,"Admin";#N/A,#N/A,FALSE,"Other"}</definedName>
    <definedName name="____y2" hidden="1">{"PVGraph2",#N/A,FALSE,"PV Data"}</definedName>
    <definedName name="___I2" hidden="1">{"PVGraph2",#N/A,FALSE,"PV Data"}</definedName>
    <definedName name="___I3" hidden="1">{"PVGraph2",#N/A,FALSE,"PV Data"}</definedName>
    <definedName name="___o1" hidden="1">{#N/A,#N/A,FALSE,"SUMMARY";#N/A,#N/A,FALSE,"mcsh";#N/A,#N/A,FALSE,"vol&amp;rev";#N/A,#N/A,FALSE,"wkgcap";#N/A,#N/A,FALSE,"DEPR&amp;DT";#N/A,#N/A,FALSE,"ASSETS";#N/A,#N/A,FALSE,"NI&amp;OTH&amp;DIV";#N/A,#N/A,FALSE,"CASHFLOW";#N/A,#N/A,FALSE,"CAPEMPL";#N/A,#N/A,FALSE,"ROCE"}</definedName>
    <definedName name="___q3" hidden="1">#REF!</definedName>
    <definedName name="___t2" hidden="1">{"'Sheet1'!$A$5:$G$42"}</definedName>
    <definedName name="___w1" hidden="1">{"PVGraph2",#N/A,FALSE,"PV Data"}</definedName>
    <definedName name="___w2" hidden="1">{"PVGraph2",#N/A,FALSE,"PV Data"}</definedName>
    <definedName name="___w3" hidden="1">{"PVGraph2",#N/A,FALSE,"PV Data"}</definedName>
    <definedName name="___wrn2" hidden="1">{#N/A,#N/A,FALSE,"ASSUMPTIONS";#N/A,#N/A,FALSE,"Valuation Summary";"page1",#N/A,FALSE,"PRESENTATION";"page2",#N/A,FALSE,"PRESENTATION";#N/A,#N/A,FALSE,"ORIGINAL_ROLLBACK"}</definedName>
    <definedName name="___wrn3" hidden="1">{#N/A,#N/A,FALSE,"ASSUMPTIONS";#N/A,#N/A,FALSE,"Valuation Summary";"page1",#N/A,FALSE,"PRESENTATION";"page2",#N/A,FALSE,"PRESENTATION";#N/A,#N/A,FALSE,"ORIGINAL_ROLLBACK"}</definedName>
    <definedName name="___ww2" hidden="1">{#N/A,#N/A,FALSE,"Admin";#N/A,#N/A,FALSE,"Other"}</definedName>
    <definedName name="___y2" hidden="1">{"PVGraph2",#N/A,FALSE,"PV Data"}</definedName>
    <definedName name="__123Graph_A" hidden="1">#REF!</definedName>
    <definedName name="__123Graph_AClsCarr" hidden="1">#REF!</definedName>
    <definedName name="__123Graph_AClsCorr" hidden="1">#REF!</definedName>
    <definedName name="__123Graph_AClsCum" hidden="1">#REF!</definedName>
    <definedName name="__123Graph_AClsCust" hidden="1">#REF!</definedName>
    <definedName name="__123Graph_AClsLoft" hidden="1">#REF!</definedName>
    <definedName name="__123Graph_AClsMar" hidden="1">#REF!</definedName>
    <definedName name="__123Graph_ACOMP" hidden="1">#REF!</definedName>
    <definedName name="__123Graph_AGraph1" hidden="1">#REF!</definedName>
    <definedName name="__123Graph_AGraph10" hidden="1">#REF!</definedName>
    <definedName name="__123Graph_AGraph11" hidden="1">#REF!</definedName>
    <definedName name="__123Graph_AGraph2" hidden="1">#REF!</definedName>
    <definedName name="__123Graph_AGraph3" hidden="1">#REF!</definedName>
    <definedName name="__123Graph_AGraph4" hidden="1">#REF!</definedName>
    <definedName name="__123Graph_AGraph5" hidden="1">#REF!</definedName>
    <definedName name="__123Graph_AGraph6" hidden="1">#REF!</definedName>
    <definedName name="__123Graph_AGraph7" hidden="1">#REF!</definedName>
    <definedName name="__123Graph_AGraph8" hidden="1">#REF!</definedName>
    <definedName name="__123Graph_AHISTORY" hidden="1">#REF!</definedName>
    <definedName name="__123Graph_AYTDVar" hidden="1">#REF!</definedName>
    <definedName name="__123Graph_BClsCarr" hidden="1">#REF!</definedName>
    <definedName name="__123Graph_BClsCorr" hidden="1">#REF!</definedName>
    <definedName name="__123Graph_BClsCum" hidden="1">#REF!</definedName>
    <definedName name="__123Graph_BClsCust" hidden="1">#REF!</definedName>
    <definedName name="__123Graph_BClsLoft" hidden="1">#REF!</definedName>
    <definedName name="__123Graph_BClsMar" hidden="1">#REF!</definedName>
    <definedName name="__123Graph_BCOMP" hidden="1">#REF!</definedName>
    <definedName name="__123Graph_BGraph8" hidden="1">#REF!</definedName>
    <definedName name="__123Graph_BYTDVar" hidden="1">#REF!</definedName>
    <definedName name="__123Graph_C" hidden="1">#REF!</definedName>
    <definedName name="__123Graph_CClsCarr" hidden="1">#REF!</definedName>
    <definedName name="__123Graph_CClsCorr" hidden="1">#REF!</definedName>
    <definedName name="__123Graph_CClsCum" hidden="1">#REF!</definedName>
    <definedName name="__123Graph_CClsCust" hidden="1">#REF!</definedName>
    <definedName name="__123Graph_CClsLoft" hidden="1">#REF!</definedName>
    <definedName name="__123Graph_CClsMar" hidden="1">#REF!</definedName>
    <definedName name="__123Graph_CCOMP" hidden="1">#REF!</definedName>
    <definedName name="__123Graph_CGraph8" hidden="1">#REF!</definedName>
    <definedName name="__123Graph_CYTDVar" hidden="1">#REF!</definedName>
    <definedName name="__123Graph_D" hidden="1">#REF!</definedName>
    <definedName name="__123Graph_DCOMP" hidden="1">#REF!</definedName>
    <definedName name="__123Graph_DGraph8" hidden="1">#REF!</definedName>
    <definedName name="__123Graph_DYTDVar" hidden="1">#REF!</definedName>
    <definedName name="__123Graph_E" hidden="1">#REF!</definedName>
    <definedName name="__123Graph_ECOMP" hidden="1">#REF!</definedName>
    <definedName name="__123Graph_EYTDVar" hidden="1">#REF!</definedName>
    <definedName name="__123Graph_F" hidden="1">#REF!</definedName>
    <definedName name="__123Graph_LBL_A" hidden="1">#REF!</definedName>
    <definedName name="__123Graph_LBL_ACOMP" hidden="1">#REF!</definedName>
    <definedName name="__123Graph_LBL_AHISTORY" hidden="1">#REF!</definedName>
    <definedName name="__123Graph_LBL_BCOMP" hidden="1">#REF!</definedName>
    <definedName name="__123Graph_LBL_CCOMP" hidden="1">#REF!</definedName>
    <definedName name="__123Graph_LBL_DCOMP" hidden="1">#REF!</definedName>
    <definedName name="__123Graph_LBL_ECOMP" hidden="1">#REF!</definedName>
    <definedName name="__123Graph_X" hidden="1">#REF!</definedName>
    <definedName name="__123Graph_XClsCarr" hidden="1">#REF!</definedName>
    <definedName name="__123Graph_XClsCorr" hidden="1">#REF!</definedName>
    <definedName name="__123Graph_XClsCum" hidden="1">#REF!</definedName>
    <definedName name="__123Graph_XClsCust" hidden="1">#REF!</definedName>
    <definedName name="__123Graph_XClsLoft" hidden="1">#REF!</definedName>
    <definedName name="__123Graph_XClsMar" hidden="1">#REF!</definedName>
    <definedName name="__123Graph_XCOMP" hidden="1">#REF!</definedName>
    <definedName name="__123Graph_XGraph1" hidden="1">#REF!</definedName>
    <definedName name="__123Graph_XGraph11" hidden="1">#REF!</definedName>
    <definedName name="__123Graph_XGraph2" hidden="1">#REF!</definedName>
    <definedName name="__123Graph_XGraph3" hidden="1">#REF!</definedName>
    <definedName name="__123Graph_XGraph4" hidden="1">#REF!</definedName>
    <definedName name="__123Graph_XGraph5" hidden="1">#REF!</definedName>
    <definedName name="__123Graph_XHISTORY" hidden="1">#REF!</definedName>
    <definedName name="__123Graph_XYTDVar" hidden="1">#REF!</definedName>
    <definedName name="__4__123Graph_ACHART_1" hidden="1">#REF!</definedName>
    <definedName name="__7__123Graph_ACHART_1" hidden="1">#REF!</definedName>
    <definedName name="__a1" hidden="1">{#N/A,#N/A,FALSE,"Pharm";#N/A,#N/A,FALSE,"WWCM"}</definedName>
    <definedName name="__A11" hidden="1">{#N/A,#N/A,FALSE,"Umsatz 99";#N/A,#N/A,FALSE,"ER 99 "}</definedName>
    <definedName name="__aaa1" hidden="1">{#N/A,#N/A,FALSE,"REPORT"}</definedName>
    <definedName name="__aas1" hidden="1">{#N/A,#N/A,FALSE,"REPORT"}</definedName>
    <definedName name="__ACS2000" hidden="1">{#N/A,#N/A,FALSE,"REPORT"}</definedName>
    <definedName name="__APW_RESTORE_DATA1__" hidden="1">#REF!,#REF!,#REF!,#REF!,#REF!</definedName>
    <definedName name="__APW_RESTORE_DATA1050__" hidden="1">#REF!,#REF!</definedName>
    <definedName name="__APW_RESTORE_DATA1111__" hidden="1">#REF!,#REF!</definedName>
    <definedName name="__APW_RESTORE_DATA1172__" hidden="1">#REF!,#REF!</definedName>
    <definedName name="__APW_RESTORE_DATA1233__" hidden="1">#REF!,#REF!</definedName>
    <definedName name="__APW_RESTORE_DATA1294__" hidden="1">#REF!,#REF!</definedName>
    <definedName name="__APW_RESTORE_DATA1355__" hidden="1">#REF!,#REF!</definedName>
    <definedName name="__APW_RESTORE_DATA1409__" hidden="1">#REF!,#REF!,#REF!,#REF!,#REF!,#REF!,#REF!,#REF!,#REF!,#REF!,#REF!,#REF!,#REF!,#REF!</definedName>
    <definedName name="__APW_RESTORE_DATA1410__" hidden="1">#REF!,#REF!,#REF!,#REF!,#REF!,#REF!,#REF!,#REF!,#REF!,#REF!,#REF!,#REF!</definedName>
    <definedName name="__APW_RESTORE_DATA1411__" hidden="1">#REF!,#REF!,#REF!,#REF!,#REF!,#REF!,#REF!,#REF!,#REF!,#REF!,#REF!,#REF!,#REF!</definedName>
    <definedName name="__APW_RESTORE_DATA1412__" hidden="1">#REF!,#REF!,#REF!,#REF!,#REF!,#REF!,#REF!,#REF!,#REF!,#REF!,#REF!,#REF!,#REF!,#REF!</definedName>
    <definedName name="__APW_RESTORE_DATA1413__" hidden="1">#REF!,#REF!,#REF!,#REF!,#REF!,#REF!,#REF!,#REF!,#REF!,#REF!,#REF!,#REF!,#REF!,#REF!</definedName>
    <definedName name="__APW_RESTORE_DATA190__" hidden="1">#REF!,#REF!,#REF!,#REF!,#REF!</definedName>
    <definedName name="__APW_RESTORE_DATA192__" hidden="1">#REF!,#REF!,#REF!,#REF!,#REF!</definedName>
    <definedName name="__APW_RESTORE_DATA194__" hidden="1">#REF!,#REF!,#REF!,#REF!,#REF!</definedName>
    <definedName name="__APW_RESTORE_DATA197__" hidden="1">#REF!,#REF!,#REF!,#REF!,#REF!</definedName>
    <definedName name="__APW_RESTORE_DATA200__" hidden="1">#REF!,#REF!,#REF!,#REF!,#REF!</definedName>
    <definedName name="__APW_RESTORE_DATA205__" hidden="1">#REF!,#REF!,#REF!,#REF!,#REF!</definedName>
    <definedName name="__APW_RESTORE_DATA208__" hidden="1">#REF!,#REF!,#REF!,#REF!,#REF!</definedName>
    <definedName name="__APW_RESTORE_DATA211__" hidden="1">#REF!,#REF!,#REF!,#REF!,#REF!</definedName>
    <definedName name="__APW_RESTORE_DATA213__" hidden="1">#REF!,#REF!</definedName>
    <definedName name="__APW_RESTORE_DATA215__" hidden="1">#REF!,#REF!</definedName>
    <definedName name="__APW_RESTORE_DATA217__" hidden="1">#REF!,#REF!</definedName>
    <definedName name="__APW_RESTORE_DATA219__" hidden="1">#REF!,#REF!</definedName>
    <definedName name="__APW_RESTORE_DATA221__" hidden="1">#REF!,#REF!</definedName>
    <definedName name="__APW_RESTORE_DATA223__" hidden="1">#REF!,#REF!</definedName>
    <definedName name="__APW_RESTORE_DATA225__" hidden="1">#REF!,#REF!</definedName>
    <definedName name="__APW_RESTORE_DATA227__" hidden="1">#REF!,#REF!</definedName>
    <definedName name="__APW_RESTORE_DATA229__" hidden="1">#REF!,#REF!</definedName>
    <definedName name="__APW_RESTORE_DATA231__" hidden="1">#REF!,#REF!</definedName>
    <definedName name="__APW_RESTORE_DATA233__" hidden="1">#REF!,#REF!</definedName>
    <definedName name="__APW_RESTORE_DATA235__" hidden="1">#REF!,#REF!</definedName>
    <definedName name="__APW_RESTORE_DATA237__" hidden="1">#REF!,#REF!</definedName>
    <definedName name="__APW_RESTORE_DATA239__" hidden="1">#REF!,#REF!</definedName>
    <definedName name="__APW_RESTORE_DATA251__" hidden="1">#REF!,#REF!,#REF!,#REF!,#REF!</definedName>
    <definedName name="__APW_RESTORE_DATA253__" hidden="1">#REF!,#REF!,#REF!,#REF!,#REF!</definedName>
    <definedName name="__APW_RESTORE_DATA255__" hidden="1">#REF!,#REF!,#REF!,#REF!,#REF!</definedName>
    <definedName name="__APW_RESTORE_DATA258__" hidden="1">#REF!,#REF!,#REF!,#REF!,#REF!</definedName>
    <definedName name="__APW_RESTORE_DATA261__" hidden="1">#REF!,#REF!,#REF!,#REF!,#REF!</definedName>
    <definedName name="__APW_RESTORE_DATA266__" hidden="1">#REF!,#REF!,#REF!,#REF!,#REF!</definedName>
    <definedName name="__APW_RESTORE_DATA269__" hidden="1">#REF!,#REF!,#REF!,#REF!,#REF!</definedName>
    <definedName name="__APW_RESTORE_DATA272__" hidden="1">#REF!,#REF!,#REF!,#REF!,#REF!</definedName>
    <definedName name="__APW_RESTORE_DATA274__" hidden="1">#REF!,#REF!</definedName>
    <definedName name="__APW_RESTORE_DATA276__" hidden="1">#REF!,#REF!</definedName>
    <definedName name="__APW_RESTORE_DATA278__" hidden="1">#REF!,#REF!</definedName>
    <definedName name="__APW_RESTORE_DATA280__" hidden="1">#REF!,#REF!</definedName>
    <definedName name="__APW_RESTORE_DATA282__" hidden="1">#REF!,#REF!</definedName>
    <definedName name="__APW_RESTORE_DATA284__" hidden="1">#REF!,#REF!</definedName>
    <definedName name="__APW_RESTORE_DATA286__" hidden="1">#REF!,#REF!</definedName>
    <definedName name="__APW_RESTORE_DATA288__" hidden="1">#REF!,#REF!</definedName>
    <definedName name="__APW_RESTORE_DATA290__" hidden="1">#REF!,#REF!</definedName>
    <definedName name="__APW_RESTORE_DATA292__" hidden="1">#REF!,#REF!</definedName>
    <definedName name="__APW_RESTORE_DATA294__" hidden="1">#REF!,#REF!</definedName>
    <definedName name="__APW_RESTORE_DATA296__" hidden="1">#REF!,#REF!</definedName>
    <definedName name="__APW_RESTORE_DATA298__" hidden="1">#REF!,#REF!</definedName>
    <definedName name="__APW_RESTORE_DATA3__" hidden="1">#REF!,#REF!,#REF!,#REF!,#REF!</definedName>
    <definedName name="__APW_RESTORE_DATA300__" hidden="1">#REF!,#REF!</definedName>
    <definedName name="__APW_RESTORE_DATA312__" hidden="1">#REF!,#REF!,#REF!,#REF!,#REF!</definedName>
    <definedName name="__APW_RESTORE_DATA314__" hidden="1">#REF!,#REF!,#REF!,#REF!,#REF!</definedName>
    <definedName name="__APW_RESTORE_DATA316__" hidden="1">#REF!,#REF!,#REF!,#REF!,#REF!</definedName>
    <definedName name="__APW_RESTORE_DATA319__" hidden="1">#REF!,#REF!,#REF!,#REF!,#REF!</definedName>
    <definedName name="__APW_RESTORE_DATA322__" hidden="1">#REF!,#REF!,#REF!,#REF!,#REF!</definedName>
    <definedName name="__APW_RESTORE_DATA327__" hidden="1">#REF!,#REF!,#REF!,#REF!,#REF!</definedName>
    <definedName name="__APW_RESTORE_DATA330__" hidden="1">#REF!,#REF!,#REF!,#REF!,#REF!</definedName>
    <definedName name="__APW_RESTORE_DATA333__" hidden="1">#REF!,#REF!,#REF!,#REF!,#REF!</definedName>
    <definedName name="__APW_RESTORE_DATA335__" hidden="1">#REF!,#REF!</definedName>
    <definedName name="__APW_RESTORE_DATA337__" hidden="1">#REF!,#REF!</definedName>
    <definedName name="__APW_RESTORE_DATA339__" hidden="1">#REF!,#REF!</definedName>
    <definedName name="__APW_RESTORE_DATA341__" hidden="1">#REF!,#REF!</definedName>
    <definedName name="__APW_RESTORE_DATA343__" hidden="1">#REF!,#REF!</definedName>
    <definedName name="__APW_RESTORE_DATA345__" hidden="1">#REF!,#REF!</definedName>
    <definedName name="__APW_RESTORE_DATA347__" hidden="1">#REF!,#REF!</definedName>
    <definedName name="__APW_RESTORE_DATA349__" hidden="1">#REF!,#REF!</definedName>
    <definedName name="__APW_RESTORE_DATA351__" hidden="1">#REF!,#REF!</definedName>
    <definedName name="__APW_RESTORE_DATA353__" hidden="1">#REF!,#REF!</definedName>
    <definedName name="__APW_RESTORE_DATA355__" hidden="1">#REF!,#REF!</definedName>
    <definedName name="__APW_RESTORE_DATA357__" hidden="1">#REF!,#REF!</definedName>
    <definedName name="__APW_RESTORE_DATA359__" hidden="1">#REF!,#REF!</definedName>
    <definedName name="__APW_RESTORE_DATA361__" hidden="1">#REF!,#REF!</definedName>
    <definedName name="__APW_RESTORE_DATA373__" hidden="1">#REF!,#REF!,#REF!,#REF!,#REF!</definedName>
    <definedName name="__APW_RESTORE_DATA375__" hidden="1">#REF!,#REF!,#REF!,#REF!,#REF!</definedName>
    <definedName name="__APW_RESTORE_DATA377__" hidden="1">#REF!,#REF!,#REF!,#REF!,#REF!</definedName>
    <definedName name="__APW_RESTORE_DATA380__" hidden="1">#REF!,#REF!,#REF!,#REF!,#REF!</definedName>
    <definedName name="__APW_RESTORE_DATA383__" hidden="1">#REF!,#REF!,#REF!,#REF!,#REF!</definedName>
    <definedName name="__APW_RESTORE_DATA388__" hidden="1">#REF!,#REF!,#REF!,#REF!,#REF!</definedName>
    <definedName name="__APW_RESTORE_DATA391__" hidden="1">#REF!,#REF!,#REF!,#REF!,#REF!</definedName>
    <definedName name="__APW_RESTORE_DATA394__" hidden="1">#REF!,#REF!,#REF!,#REF!,#REF!</definedName>
    <definedName name="__APW_RESTORE_DATA396__" hidden="1">#REF!,#REF!</definedName>
    <definedName name="__APW_RESTORE_DATA398__" hidden="1">#REF!,#REF!</definedName>
    <definedName name="__APW_RESTORE_DATA400__" hidden="1">#REF!,#REF!</definedName>
    <definedName name="__APW_RESTORE_DATA402__" hidden="1">#REF!,#REF!</definedName>
    <definedName name="__APW_RESTORE_DATA404__" hidden="1">#REF!,#REF!</definedName>
    <definedName name="__APW_RESTORE_DATA406__" hidden="1">#REF!,#REF!</definedName>
    <definedName name="__APW_RESTORE_DATA408__" hidden="1">#REF!,#REF!</definedName>
    <definedName name="__APW_RESTORE_DATA410__" hidden="1">#REF!,#REF!</definedName>
    <definedName name="__APW_RESTORE_DATA412__" hidden="1">#REF!,#REF!</definedName>
    <definedName name="__APW_RESTORE_DATA414__" hidden="1">#REF!,#REF!</definedName>
    <definedName name="__APW_RESTORE_DATA416__" hidden="1">#REF!,#REF!</definedName>
    <definedName name="__APW_RESTORE_DATA418__" hidden="1">#REF!,#REF!</definedName>
    <definedName name="__APW_RESTORE_DATA420__" hidden="1">#REF!,#REF!</definedName>
    <definedName name="__APW_RESTORE_DATA422__" hidden="1">#REF!,#REF!</definedName>
    <definedName name="__APW_RESTORE_DATA434__" hidden="1">#REF!,#REF!,#REF!,#REF!,#REF!</definedName>
    <definedName name="__APW_RESTORE_DATA436__" hidden="1">#REF!,#REF!,#REF!,#REF!,#REF!</definedName>
    <definedName name="__APW_RESTORE_DATA438__" hidden="1">#REF!,#REF!,#REF!,#REF!,#REF!</definedName>
    <definedName name="__APW_RESTORE_DATA441__" hidden="1">#REF!,#REF!,#REF!,#REF!,#REF!</definedName>
    <definedName name="__APW_RESTORE_DATA444__" hidden="1">#REF!,#REF!,#REF!,#REF!,#REF!</definedName>
    <definedName name="__APW_RESTORE_DATA449__" hidden="1">#REF!,#REF!,#REF!,#REF!,#REF!</definedName>
    <definedName name="__APW_RESTORE_DATA452__" hidden="1">#REF!,#REF!,#REF!,#REF!,#REF!</definedName>
    <definedName name="__APW_RESTORE_DATA455__" hidden="1">#REF!,#REF!,#REF!,#REF!,#REF!</definedName>
    <definedName name="__APW_RESTORE_DATA457__" hidden="1">#REF!,#REF!</definedName>
    <definedName name="__APW_RESTORE_DATA459__" hidden="1">#REF!,#REF!</definedName>
    <definedName name="__APW_RESTORE_DATA461__" hidden="1">#REF!,#REF!</definedName>
    <definedName name="__APW_RESTORE_DATA463__" hidden="1">#REF!,#REF!</definedName>
    <definedName name="__APW_RESTORE_DATA465__" hidden="1">#REF!,#REF!</definedName>
    <definedName name="__APW_RESTORE_DATA467__" hidden="1">#REF!,#REF!</definedName>
    <definedName name="__APW_RESTORE_DATA469__" hidden="1">#REF!,#REF!</definedName>
    <definedName name="__APW_RESTORE_DATA471__" hidden="1">#REF!,#REF!</definedName>
    <definedName name="__APW_RESTORE_DATA473__" hidden="1">#REF!,#REF!</definedName>
    <definedName name="__APW_RESTORE_DATA475__" hidden="1">#REF!,#REF!</definedName>
    <definedName name="__APW_RESTORE_DATA477__" hidden="1">#REF!,#REF!</definedName>
    <definedName name="__APW_RESTORE_DATA479__" hidden="1">#REF!,#REF!</definedName>
    <definedName name="__APW_RESTORE_DATA481__" hidden="1">#REF!,#REF!</definedName>
    <definedName name="__APW_RESTORE_DATA483__" hidden="1">#REF!,#REF!</definedName>
    <definedName name="__APW_RESTORE_DATA5__" hidden="1">#REF!,#REF!,#REF!,#REF!,#REF!</definedName>
    <definedName name="__APW_RESTORE_DATA501__" hidden="1">#REF!,#REF!</definedName>
    <definedName name="__APW_RESTORE_DATA562__" hidden="1">#REF!,#REF!</definedName>
    <definedName name="__APW_RESTORE_DATA623__" hidden="1">#REF!,#REF!</definedName>
    <definedName name="__APW_RESTORE_DATA684__" hidden="1">#REF!,#REF!</definedName>
    <definedName name="__APW_RESTORE_DATA7__" hidden="1">#REF!,#REF!,#REF!,#REF!,#REF!</definedName>
    <definedName name="__APW_RESTORE_DATA745__" hidden="1">#REF!,#REF!</definedName>
    <definedName name="__APW_RESTORE_DATA806__" hidden="1">#REF!,#REF!</definedName>
    <definedName name="__APW_RESTORE_DATA867__" hidden="1">#REF!,#REF!</definedName>
    <definedName name="__APW_RESTORE_DATA9__" hidden="1">#REF!,#REF!,#REF!,#REF!,#REF!</definedName>
    <definedName name="__APW_RESTORE_DATA928__" hidden="1">#REF!,#REF!</definedName>
    <definedName name="__APW_RESTORE_DATA989__" hidden="1">#REF!,#REF!</definedName>
    <definedName name="__b111" hidden="1">{#N/A,#N/A,FALSE,"Pharm";#N/A,#N/A,FALSE,"WWCM"}</definedName>
    <definedName name="__bookmark_1">#REF!</definedName>
    <definedName name="__c" hidden="1">{"Fiesta Facer Page",#N/A,FALSE,"Q_C_S";"Fiesta Main Page",#N/A,FALSE,"V_L";"Fiesta 95BP Struct",#N/A,FALSE,"StructBP";"Fiesta Post 95BP Struct",#N/A,FALSE,"AdjStructBP"}</definedName>
    <definedName name="__FDS_HYPERLINK_TOGGLE_STATE__" hidden="1">"ON"</definedName>
    <definedName name="__FDS_UNIQUE_RANGE_ID_GENERATOR_COUNTER" hidden="1">1</definedName>
    <definedName name="__FDS_USED_FOR_REUSING_RANGE_IDS_RECYCLE" hidden="1">{3,6,6,3,3,1,6,4,3}</definedName>
    <definedName name="__I2" hidden="1">{"PVGraph2",#N/A,FALSE,"PV Data"}</definedName>
    <definedName name="__I3" hidden="1">{"PVGraph2",#N/A,FALSE,"PV Data"}</definedName>
    <definedName name="__IntlFixup" hidden="1">TRUE</definedName>
    <definedName name="__IntlFixupTable" hidden="1">#REF!</definedName>
    <definedName name="__na2" hidden="1">"100"</definedName>
    <definedName name="__na3" hidden="1">"50"</definedName>
    <definedName name="__na4" hidden="1">"IQ_LTM_DATE"</definedName>
    <definedName name="__new1" hidden="1">{#N/A,#N/A,FALSE,"Pharm";#N/A,#N/A,FALSE,"WWCM"}</definedName>
    <definedName name="__o1" hidden="1">{#N/A,#N/A,FALSE,"SUMMARY";#N/A,#N/A,FALSE,"mcsh";#N/A,#N/A,FALSE,"vol&amp;rev";#N/A,#N/A,FALSE,"wkgcap";#N/A,#N/A,FALSE,"DEPR&amp;DT";#N/A,#N/A,FALSE,"ASSETS";#N/A,#N/A,FALSE,"NI&amp;OTH&amp;DIV";#N/A,#N/A,FALSE,"CASHFLOW";#N/A,#N/A,FALSE,"CAPEMPL";#N/A,#N/A,FALSE,"ROCE"}</definedName>
    <definedName name="__p1" hidden="1">{"SUM",#N/A,FALSE,"Details (2)"}</definedName>
    <definedName name="__pp2" hidden="1">{"Summary",#N/A,FALSE,"Details (2)"}</definedName>
    <definedName name="__ppp1" hidden="1">{"SUM",#N/A,FALSE,"Details (2)"}</definedName>
    <definedName name="__q2" hidden="1">{"Summary",#N/A,FALSE,"Details (2)"}</definedName>
    <definedName name="__q3" hidden="1">#REF!</definedName>
    <definedName name="__q4" hidden="1">{"Summary",#N/A,FALSE,"Details (2)"}</definedName>
    <definedName name="__q5" hidden="1">{"SUM",#N/A,FALSE,"Details (2)"}</definedName>
    <definedName name="__Qtr4">#REF!</definedName>
    <definedName name="__r" hidden="1">{#N/A,#N/A,FALSE,"Pharm";#N/A,#N/A,FALSE,"WWCM"}</definedName>
    <definedName name="__t2" hidden="1">{"'Sheet1'!$A$5:$G$42"}</definedName>
    <definedName name="__tm1" hidden="1">{#N/A,#N/A,FALSE,"Pharm";#N/A,#N/A,FALSE,"WWCM"}</definedName>
    <definedName name="__v2" hidden="1">{"arpm1995",#N/A,FALSE,"Summary 95-96";"bus_long_distance",#N/A,FALSE,"Summary 95-96";"mins_per_day",#N/A,FALSE,"Summary 95-96";"minutes1995",#N/A,FALSE,"Summary 95-96";"rev_per_day",#N/A,FALSE,"Summary 95-96";"view1995",#N/A,FALSE,"Summary 95-96"}</definedName>
    <definedName name="__w1" hidden="1">{"PVGraph2",#N/A,FALSE,"PV Data"}</definedName>
    <definedName name="__w2" hidden="1">{"PVGraph2",#N/A,FALSE,"PV Data"}</definedName>
    <definedName name="__w3" hidden="1">{"PVGraph2",#N/A,FALSE,"PV Data"}</definedName>
    <definedName name="__WHO2" hidden="1">{#N/A,#N/A,FALSE,"SUMMARY";#N/A,#N/A,FALSE,"DETAIL";#N/A,#N/A,FALSE,"VARIANCE"}</definedName>
    <definedName name="__wrn2" hidden="1">{#N/A,#N/A,FALSE,"ASSUMPTIONS";#N/A,#N/A,FALSE,"Valuation Summary";"page1",#N/A,FALSE,"PRESENTATION";"page2",#N/A,FALSE,"PRESENTATION";#N/A,#N/A,FALSE,"ORIGINAL_ROLLBACK"}</definedName>
    <definedName name="__wrn3" hidden="1">{#N/A,#N/A,FALSE,"ASSUMPTIONS";#N/A,#N/A,FALSE,"Valuation Summary";"page1",#N/A,FALSE,"PRESENTATION";"page2",#N/A,FALSE,"PRESENTATION";#N/A,#N/A,FALSE,"ORIGINAL_ROLLBACK"}</definedName>
    <definedName name="__ww2" hidden="1">{#N/A,#N/A,FALSE,"Admin";#N/A,#N/A,FALSE,"Other"}</definedName>
    <definedName name="__X1" hidden="1">{"Summary",#N/A,FALSE,"Details (2)"}</definedName>
    <definedName name="__X2" hidden="1">{#N/A,#N/A,FALSE,"Other";#N/A,#N/A,FALSE,"Ace";#N/A,#N/A,FALSE,"Derm"}</definedName>
    <definedName name="__xlfn.BAHTTEXT" hidden="1">#NAME?</definedName>
    <definedName name="__y2" hidden="1">{"PVGraph2",#N/A,FALSE,"PV Data"}</definedName>
    <definedName name="_1__123Graph_ACHART_1" hidden="1">#REF!</definedName>
    <definedName name="_1__123Graph_ACHART_4" hidden="1">#REF!</definedName>
    <definedName name="_1__123Graph_AGraphique_1B" hidden="1">#REF!</definedName>
    <definedName name="_1__FDSAUDITLINK__" hidden="1">{"fdsup://Directions/FactSet Auditing Viewer?action=AUDIT_VALUE&amp;DB=129&amp;ID1=610036&amp;VALUEID=05192&amp;SDATE=201101&amp;PERIODTYPE=QTR_STD&amp;SCFT=3&amp;window=popup_no_bar&amp;width=385&amp;height=120&amp;START_MAXIMIZED=FALSE&amp;creator=factset&amp;display_string=Audit"}</definedName>
    <definedName name="_10__123Graph_LBL_ACHART_1" hidden="1">#REF!</definedName>
    <definedName name="_10__123Graph_LBL_ACHART_2" hidden="1">#REF!</definedName>
    <definedName name="_10__123Graph_LBL_ACHART_3" hidden="1">#REF!</definedName>
    <definedName name="_10__123Graph_XGraphique_1B" hidden="1">#REF!</definedName>
    <definedName name="_10__FDSAUDITLINK__" hidden="1">{"fdsup://Directions/FactSet Auditing Viewer?action=AUDIT_VALUE&amp;DB=129&amp;ID1=613566&amp;VALUEID=05192&amp;SDATE=201101&amp;PERIODTYPE=QTR_STD&amp;SCFT=3&amp;window=popup_no_bar&amp;width=385&amp;height=120&amp;START_MAXIMIZED=FALSE&amp;creator=factset&amp;display_string=Audit"}</definedName>
    <definedName name="_10_0__123Graph_ACHAR" hidden="1">#REF!</definedName>
    <definedName name="_104__123Graph_LBL_BCHART_2" hidden="1">#REF!</definedName>
    <definedName name="_108__123Graph_LBL_BCHART_1" hidden="1">#REF!</definedName>
    <definedName name="_109__123Graph_ACHART_4" hidden="1">#REF!</definedName>
    <definedName name="_11__123Graph_LBL_ACHART_2" hidden="1">#REF!</definedName>
    <definedName name="_11__123Graph_LBL_ACHART_3" hidden="1">#REF!</definedName>
    <definedName name="_11__123Graph_LBL_ACHART_4" hidden="1">#REF!</definedName>
    <definedName name="_11__123Graph_XGraphique_2B" hidden="1">#REF!</definedName>
    <definedName name="_11__FDSAUDITLINK__" hidden="1">{"fdsup://Directions/FactSet Auditing Viewer?action=AUDIT_VALUE&amp;DB=129&amp;ID1=B2QKWK&amp;VALUEID=05194&amp;SDATE=201101&amp;PERIODTYPE=QTR_STD&amp;SCFT=3&amp;window=popup_no_bar&amp;width=385&amp;height=120&amp;START_MAXIMIZED=FALSE&amp;creator=factset&amp;display_string=Audit"}</definedName>
    <definedName name="_112__123Graph_LBL_BCHART_3" hidden="1">#REF!</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7__123Graph_LBL_BCHART_2" hidden="1">#REF!</definedName>
    <definedName name="_12__123Graph_ACHART_2" hidden="1">#REF!</definedName>
    <definedName name="_12__123Graph_ACHART_3" hidden="1">#REF!</definedName>
    <definedName name="_12__123Graph_ACHART_4" hidden="1">#REF!</definedName>
    <definedName name="_12__123Graph_LBL_ACHART_3" hidden="1">#REF!</definedName>
    <definedName name="_12__123Graph_LBL_ACHART_4" hidden="1">#REF!</definedName>
    <definedName name="_12__123Graph_LBL_BCHART_1" hidden="1">#REF!</definedName>
    <definedName name="_12__123Graph_XGraphique_3B" hidden="1">#REF!</definedName>
    <definedName name="_12__FDSAUDITLINK__" hidden="1">{"fdsup://Directions/FactSet Auditing Viewer?action=AUDIT_VALUE&amp;DB=129&amp;ID1=613566&amp;VALUEID=05194&amp;SDATE=201101&amp;PERIODTYPE=QTR_STD&amp;SCFT=3&amp;window=popup_no_bar&amp;width=385&amp;height=120&amp;START_MAXIMIZED=FALSE&amp;creator=factset&amp;display_string=Audit"}</definedName>
    <definedName name="_12_0__123Graph_BCHAR" hidden="1">#REF!</definedName>
    <definedName name="_120__123Graph_XCHART_1" hidden="1">#REF!</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6__123Graph_LBL_BCHART_3" hidden="1">#REF!</definedName>
    <definedName name="_128__123Graph_XCHART_2" hidden="1">#REF!</definedName>
    <definedName name="_13__123Graph_ACHART_1" hidden="1">#REF!</definedName>
    <definedName name="_13__123Graph_LBL_ACHART_4" hidden="1">#REF!</definedName>
    <definedName name="_13__123Graph_LBL_BCHART_1" hidden="1">#REF!</definedName>
    <definedName name="_13__123Graph_LBL_BCHART_2" hidden="1">#REF!</definedName>
    <definedName name="_13__FDSAUDITLINK__" hidden="1">{"fdsup://Directions/FactSet Auditing Viewer?action=AUDIT_VALUE&amp;DB=129&amp;ID1=B62G7K&amp;VALUEID=05194&amp;SDATE=201101&amp;PERIODTYPE=QTR_STD&amp;SCFT=3&amp;window=popup_no_bar&amp;width=385&amp;height=120&amp;START_MAXIMIZED=FALSE&amp;creator=factset&amp;display_string=Audit"}</definedName>
    <definedName name="_135__123Graph_XCHART_1" hidden="1">#REF!</definedName>
    <definedName name="_136__123Graph_BCHART_1" hidden="1">#REF!</definedName>
    <definedName name="_136__123Graph_XCHART_3" hidden="1">#REF!</definedName>
    <definedName name="_14__123Graph_ACHART_1" hidden="1">#REF!</definedName>
    <definedName name="_14__123Graph_BCHART_1" hidden="1">#REF!</definedName>
    <definedName name="_14__123Graph_LBL_BCHART_1" hidden="1">#REF!</definedName>
    <definedName name="_14__123Graph_LBL_BCHART_2" hidden="1">#REF!</definedName>
    <definedName name="_14__123Graph_LBL_BCHART_3" hidden="1">#REF!</definedName>
    <definedName name="_14__FDSAUDITLINK__" hidden="1">{"fdsup://Directions/FactSet Auditing Viewer?action=AUDIT_VALUE&amp;DB=129&amp;ID1=B01LXY&amp;VALUEID=05194&amp;SDATE=201101&amp;PERIODTYPE=QTR_STD&amp;SCFT=3&amp;window=popup_no_bar&amp;width=385&amp;height=120&amp;START_MAXIMIZED=FALSE&amp;creator=factset&amp;display_string=Audit"}</definedName>
    <definedName name="_14_0__123Graph_CCHAR" hidden="1">#REF!</definedName>
    <definedName name="_144__123Graph_XCHART_2" hidden="1">#REF!</definedName>
    <definedName name="_144__123Graph_XCHART_4" hidden="1">#REF!</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5__123Graph_ACHART_3" hidden="1">#REF!</definedName>
    <definedName name="_15__123Graph_BCHART_1" hidden="1">#REF!</definedName>
    <definedName name="_15__123Graph_CCHART_1" hidden="1">#REF!</definedName>
    <definedName name="_15__123Graph_LBL_BCHART_2" hidden="1">#REF!</definedName>
    <definedName name="_15__123Graph_LBL_BCHART_3" hidden="1">#REF!</definedName>
    <definedName name="_15__123Graph_XCHART_1" hidden="1">#REF!</definedName>
    <definedName name="_15__FDSAUDITLINK__" hidden="1">{"fdsup://Directions/FactSet Auditing Viewer?action=AUDIT_VALUE&amp;DB=129&amp;ID1=B12C0T&amp;VALUEID=05194&amp;SDATE=201101&amp;PERIODTYPE=QTR_STD&amp;SCFT=3&amp;window=popup_no_bar&amp;width=385&amp;height=120&amp;START_MAXIMIZED=FALSE&amp;creator=factset&amp;display_string=Audit"}</definedName>
    <definedName name="_153__123Graph_XCHART_3" hidden="1">#REF!</definedName>
    <definedName name="_16__123Graph_ACHART_2" hidden="1">#REF!</definedName>
    <definedName name="_16__123Graph_ACHART_4" hidden="1">#REF!</definedName>
    <definedName name="_16__123Graph_BCHART_1" hidden="1">#REF!</definedName>
    <definedName name="_16__123Graph_LBL_ACHART_1" hidden="1">#REF!</definedName>
    <definedName name="_16__123Graph_LBL_BCHART_3" hidden="1">#REF!</definedName>
    <definedName name="_16__123Graph_XCHART_1" hidden="1">#REF!</definedName>
    <definedName name="_16__123Graph_XCHART_2" hidden="1">#REF!</definedName>
    <definedName name="_16__FDSAUDITLINK__" hidden="1">{"fdsup://Directions/FactSet Auditing Viewer?action=AUDIT_VALUE&amp;DB=129&amp;ID1=615525&amp;VALUEID=05192&amp;SDATE=201101&amp;PERIODTYPE=QTR_STD&amp;SCFT=3&amp;window=popup_no_bar&amp;width=385&amp;height=120&amp;START_MAXIMIZED=FALSE&amp;creator=factset&amp;display_string=Audit"}</definedName>
    <definedName name="_16_0__123Graph_LBL_ACHAR" hidden="1">#REF!</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2__123Graph_XCHART_4" hidden="1">#REF!</definedName>
    <definedName name="_163__123Graph_BCHART_2" hidden="1">#REF!</definedName>
    <definedName name="_17__123Graph_XCHART_1" hidden="1">#REF!</definedName>
    <definedName name="_17__123Graph_XCHART_2" hidden="1">#REF!</definedName>
    <definedName name="_17__123Graph_XCHART_3" hidden="1">#REF!</definedName>
    <definedName name="_17__FDSAUDITLINK__" hidden="1">{"fdsup://Directions/FactSet Auditing Viewer?action=AUDIT_VALUE&amp;DB=129&amp;ID1=651312&amp;VALUEID=05194&amp;SDATE=201101&amp;PERIODTYPE=QTR_STD&amp;SCFT=3&amp;window=popup_no_bar&amp;width=385&amp;height=120&amp;START_MAXIMIZED=FALSE&amp;creator=factset&amp;display_string=Audit"}</definedName>
    <definedName name="_18__123Graph_ACHART_2" hidden="1">#REF!</definedName>
    <definedName name="_18__123Graph_ACHART_4" hidden="1">#REF!</definedName>
    <definedName name="_18__123Graph_BCHART_2" hidden="1">#REF!</definedName>
    <definedName name="_18__123Graph_CCHART_1" hidden="1">#REF!</definedName>
    <definedName name="_18__123Graph_XCHART_2" hidden="1">#REF!</definedName>
    <definedName name="_18__123Graph_XCHART_3" hidden="1">#REF!</definedName>
    <definedName name="_18__123Graph_XCHART_4" hidden="1">#REF!</definedName>
    <definedName name="_18__FDSAUDITLINK__" hidden="1">{"fdsup://Directions/FactSet Auditing Viewer?action=AUDIT_VALUE&amp;DB=129&amp;ID1=610036&amp;VALUEID=05194&amp;SDATE=201101&amp;PERIODTYPE=QTR_STD&amp;SCFT=3&amp;window=popup_no_bar&amp;width=385&amp;height=120&amp;START_MAXIMIZED=FALSE&amp;creator=factset&amp;display_string=Audit"}</definedName>
    <definedName name="_18_0__123Graph_ACHAR" hidden="1">#REF!</definedName>
    <definedName name="_19__123Graph_ACHART_1" hidden="1">#REF!</definedName>
    <definedName name="_19__123Graph_XCHART_3" hidden="1">#REF!</definedName>
    <definedName name="_19__123Graph_XCHART_4" hidden="1">#REF!</definedName>
    <definedName name="_19__FDSAUDITLINK__" hidden="1">{"fdsup://directions/FAT Viewer?action=UPDATE&amp;creator=factset&amp;DYN_ARGS=TRUE&amp;DOC_NAME=FAT:FQL_AUDITING_CLIENT_TEMPLATE.FAT&amp;display_string=Audit&amp;VAR:KEY=RIVODUVABY&amp;VAR:QUERY=RkZfREVCVChRVFIsMCk=&amp;WINDOW=FIRST_POPUP&amp;HEIGHT=450&amp;WIDTH=450&amp;START_MAXIMIZED=FALSE&amp;VA","R:CALENDAR=US&amp;VAR:SYMBOL=B1TJG9&amp;VAR:INDEX=0"}</definedName>
    <definedName name="_19_0__123Graph_ACHAR" hidden="1">#REF!</definedName>
    <definedName name="_19_0__123Graph_BCHAR" hidden="1">#REF!</definedName>
    <definedName name="_190__123Graph_BCHART_3" hidden="1">#REF!</definedName>
    <definedName name="_2__123Graph_ACHART_1" hidden="1">#REF!</definedName>
    <definedName name="_2__123Graph_ACHART_2" hidden="1">#REF!</definedName>
    <definedName name="_2__123Graph_AGraphique_2B" hidden="1">#REF!</definedName>
    <definedName name="_2__123Graph_BCHART_1" hidden="1">#REF!</definedName>
    <definedName name="_2__123Graph_BCHART_4" hidden="1">#REF!</definedName>
    <definedName name="_2__FDSAUDITLINK__" hidden="1">{"fdsup://Directions/FactSet Auditing Viewer?action=AUDIT_VALUE&amp;DB=129&amp;ID1=718981&amp;VALUEID=01004&amp;SDATE=2010&amp;PERIODTYPE=ANN_STD&amp;SCFT=3&amp;window=popup_no_bar&amp;width=385&amp;height=120&amp;START_MAXIMIZED=FALSE&amp;creator=factset&amp;display_string=Audit"}</definedName>
    <definedName name="_20__123Graph_BCHART_1" hidden="1">#REF!</definedName>
    <definedName name="_20__123Graph_LBL_ACHART_1" hidden="1">#REF!</definedName>
    <definedName name="_20__123Graph_XCHART_4" hidden="1">#REF!</definedName>
    <definedName name="_20__FDSAUDITLINK__" hidden="1">{"fdsup://directions/FAT Viewer?action=UPDATE&amp;creator=factset&amp;DYN_ARGS=TRUE&amp;DOC_NAME=FAT:FQL_AUDITING_CLIENT_TEMPLATE.FAT&amp;display_string=Audit&amp;VAR:KEY=NOROXQDYDA&amp;VAR:QUERY=RkZfREVCVChRVFIsMCk=&amp;WINDOW=FIRST_POPUP&amp;HEIGHT=450&amp;WIDTH=450&amp;START_MAXIMIZED=FALSE&amp;VA","R:CALENDAR=US&amp;VAR:SYMBOL=B2QKWK&amp;VAR:INDEX=0"}</definedName>
    <definedName name="_20_0__123Graph_BCHAR" hidden="1">#REF!</definedName>
    <definedName name="_20_0__123Graph_CCHAR" hidden="1">#REF!</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1__123Graph_BCHART_1" hidden="1">#REF!</definedName>
    <definedName name="_21__123Graph_BCHART_3" hidden="1">#REF!</definedName>
    <definedName name="_21__FDSAUDITLINK__" hidden="1">{"fdsup://directions/FAT Viewer?action=UPDATE&amp;creator=factset&amp;DYN_ARGS=TRUE&amp;DOC_NAME=FAT:FQL_AUDITING_CLIENT_TEMPLATE.FAT&amp;display_string=Audit&amp;VAR:KEY=BWBYDQBYRG&amp;VAR:QUERY=RkZfREVCVChRVFIsMCk=&amp;WINDOW=FIRST_POPUP&amp;HEIGHT=450&amp;WIDTH=450&amp;START_MAXIMIZED=FALSE&amp;VA","R:CALENDAR=US&amp;VAR:SYMBOL=626404&amp;VAR:INDEX=0"}</definedName>
    <definedName name="_21_0__123Graph_CCHAR" hidden="1">#REF!</definedName>
    <definedName name="_21_0__123Graph_LBL_ACHAR" hidden="1">#REF!</definedName>
    <definedName name="_217__123Graph_LBL_ACHART_1" hidden="1">#REF!</definedName>
    <definedName name="_22__FDSAUDITLINK__" hidden="1">{"fdsup://directions/FAT Viewer?action=UPDATE&amp;creator=factset&amp;DYN_ARGS=TRUE&amp;DOC_NAME=FAT:FQL_AUDITING_CLIENT_TEMPLATE.FAT&amp;display_string=Audit&amp;VAR:KEY=TQLCLGJUJU&amp;VAR:QUERY=RkZfREVCVChRVFIsMCk=&amp;WINDOW=FIRST_POPUP&amp;HEIGHT=450&amp;WIDTH=450&amp;START_MAXIMIZED=FALSE&amp;VA","R:CALENDAR=US&amp;VAR:SYMBOL=613566&amp;VAR:INDEX=0"}</definedName>
    <definedName name="_22_0__123Graph_LBL_ACHAR" hidden="1">#REF!</definedName>
    <definedName name="_23__FDSAUDITLINK__" hidden="1">{"fdsup://directions/FAT Viewer?action=UPDATE&amp;creator=factset&amp;DYN_ARGS=TRUE&amp;DOC_NAME=FAT:FQL_AUDITING_CLIENT_TEMPLATE.FAT&amp;display_string=Audit&amp;VAR:KEY=NYXYJIPEVY&amp;VAR:QUERY=RkZfREVCVChRVFIsMCk=&amp;WINDOW=FIRST_POPUP&amp;HEIGHT=450&amp;WIDTH=450&amp;START_MAXIMIZED=FALSE&amp;VA","R:CALENDAR=US&amp;VAR:SYMBOL=B62G7K&amp;VAR:INDEX=0"}</definedName>
    <definedName name="_24__123Graph_ACHART_3" hidden="1">#REF!</definedName>
    <definedName name="_24__123Graph_BCHART_2" hidden="1">#REF!</definedName>
    <definedName name="_24__123Graph_LBL_ACHART_1" hidden="1">#REF!</definedName>
    <definedName name="_24__FDSAUDITLINK__" hidden="1">{"fdsup://directions/FAT Viewer?action=UPDATE&amp;creator=factset&amp;DYN_ARGS=TRUE&amp;DOC_NAME=FAT:FQL_AUDITING_CLIENT_TEMPLATE.FAT&amp;display_string=Audit&amp;VAR:KEY=NSBMVWPMXC&amp;VAR:QUERY=RkZfREVCVChRVFIsMCk=&amp;WINDOW=FIRST_POPUP&amp;HEIGHT=450&amp;WIDTH=450&amp;START_MAXIMIZED=FALSE&amp;VA","R:CALENDAR=US&amp;VAR:SYMBOL=B601QS&amp;VAR:INDEX=0"}</definedName>
    <definedName name="_24_0__123Graph_ACHAR" hidden="1">#REF!</definedName>
    <definedName name="_244__123Graph_LBL_ACHART_2" hidden="1">#REF!</definedName>
    <definedName name="_25__FDSAUDITLINK__" hidden="1">{"fdsup://directions/FAT Viewer?action=UPDATE&amp;creator=factset&amp;DYN_ARGS=TRUE&amp;DOC_NAME=FAT:FQL_AUDITING_CLIENT_TEMPLATE.FAT&amp;display_string=Audit&amp;VAR:KEY=RGRCNQPWVG&amp;VAR:QUERY=RkZfREVCVChRVFIsMCk=&amp;WINDOW=FIRST_POPUP&amp;HEIGHT=450&amp;WIDTH=450&amp;START_MAXIMIZED=FALSE&amp;VA","R:CALENDAR=US&amp;VAR:SYMBOL=B2Q4CS&amp;VAR:INDEX=0"}</definedName>
    <definedName name="_26__123Graph_ACHART_1" hidden="1">#REF!</definedName>
    <definedName name="_26__FDSAUDITLINK__" hidden="1">{"fdsup://directions/FAT Viewer?action=UPDATE&amp;creator=factset&amp;DYN_ARGS=TRUE&amp;DOC_NAME=FAT:FQL_AUDITING_CLIENT_TEMPLATE.FAT&amp;display_string=Audit&amp;VAR:KEY=LINIDUNITC&amp;VAR:QUERY=RkZfREVCVChRVFIsMCk=&amp;WINDOW=FIRST_POPUP&amp;HEIGHT=450&amp;WIDTH=450&amp;START_MAXIMIZED=FALSE&amp;VA","R:CALENDAR=US&amp;VAR:SYMBOL=670625&amp;VAR:INDEX=0"}</definedName>
    <definedName name="_26_0__123Graph_BCHAR" hidden="1">#REF!</definedName>
    <definedName name="_27__123Graph_ACHART_3" hidden="1">#REF!</definedName>
    <definedName name="_27__123Graph_BCHART_3" hidden="1">#REF!</definedName>
    <definedName name="_27__123Graph_LBL_ACHART_2" hidden="1">#REF!</definedName>
    <definedName name="_27__FDSAUDITLINK__"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271__123Graph_LBL_ACHART_3" hidden="1">#REF!</definedName>
    <definedName name="_28__123Graph_ACHART_1" hidden="1">#REF!</definedName>
    <definedName name="_28__123Graph_BCHART_1" hidden="1">#REF!</definedName>
    <definedName name="_28__123Graph_BCHART_3" hidden="1">#REF!</definedName>
    <definedName name="_28__FDSAUDITLINK__" hidden="1">{"fdsup://directions/FAT Viewer?action=UPDATE&amp;creator=factset&amp;DYN_ARGS=TRUE&amp;DOC_NAME=FAT:FQL_AUDITING_CLIENT_TEMPLATE.FAT&amp;display_string=Audit&amp;VAR:KEY=ZCBIPGHWJS&amp;VAR:QUERY=RkZfREVCVChRVFIsMCk=&amp;WINDOW=FIRST_POPUP&amp;HEIGHT=450&amp;WIDTH=450&amp;START_MAXIMIZED=FALSE&amp;VA","R:CALENDAR=US&amp;VAR:SYMBOL=627137&amp;VAR:INDEX=0"}</definedName>
    <definedName name="_28_0__123Graph_CCHAR" hidden="1">#REF!</definedName>
    <definedName name="_29__FDSAUDITLINK__" hidden="1">{"fdsup://directions/FAT Viewer?action=UPDATE&amp;creator=factset&amp;DYN_ARGS=TRUE&amp;DOC_NAME=FAT:FQL_AUDITING_CLIENT_TEMPLATE.FAT&amp;display_string=Audit&amp;VAR:KEY=CLCRSDAPSX&amp;VAR:QUERY=RkZfREVCVChRVFIsMCk=&amp;WINDOW=FIRST_POPUP&amp;HEIGHT=450&amp;WIDTH=450&amp;START_MAXIMIZED=FALSE&amp;VA","R:CALENDAR=US&amp;VAR:SYMBOL=B4TX8S&amp;VAR:INDEX=0"}</definedName>
    <definedName name="_298__123Graph_LBL_ACHART_4" hidden="1">#REF!</definedName>
    <definedName name="_3__123Graph_ACHART_1" hidden="1">#REF!</definedName>
    <definedName name="_3__123Graph_ACHART_2" hidden="1">#REF!</definedName>
    <definedName name="_3__123Graph_ACHART_3" hidden="1">#REF!</definedName>
    <definedName name="_3__123Graph_AGraphique_3B" hidden="1">#REF!</definedName>
    <definedName name="_3__123Graph_LBL_ACHART_4" hidden="1">#REF!</definedName>
    <definedName name="_3__FDSAUDITLINK__" hidden="1">{"fdsup://directions/FAT Viewer?action=UPDATE&amp;creator=factset&amp;DYN_ARGS=TRUE&amp;DOC_NAME=FAT:FQL_AUDITING_CLIENT_TEMPLATE.FAT&amp;display_string=Audit&amp;VAR:KEY=NYZOXGHULC&amp;VAR:QUERY=RkZfREVCVChRVFIsMCk=&amp;WINDOW=FIRST_POPUP&amp;HEIGHT=450&amp;WIDTH=450&amp;START_MAXIMIZED=FALSE&amp;VA","R:CALENDAR=US&amp;VAR:SYMBOL=615525&amp;VAR:INDEX=0"}</definedName>
    <definedName name="_30__123Graph_CCHART_1" hidden="1">#REF!</definedName>
    <definedName name="_30__123Graph_LBL_ACHART_1" hidden="1">#REF!</definedName>
    <definedName name="_30__123Graph_LBL_ACHART_3" hidden="1">#REF!</definedName>
    <definedName name="_30__FDSAUDITLINK__" hidden="1">{"fdsup://directions/FAT Viewer?action=UPDATE&amp;creator=factset&amp;DYN_ARGS=TRUE&amp;DOC_NAME=FAT:FQL_AUDITING_CLIENT_TEMPLATE.FAT&amp;display_string=Audit&amp;VAR:KEY=FCXYFCHWXA&amp;VAR:QUERY=RkZfREVCVChRVFIsMCk=&amp;WINDOW=FIRST_POPUP&amp;HEIGHT=450&amp;WIDTH=450&amp;START_MAXIMIZED=FALSE&amp;VA","R:CALENDAR=US&amp;VAR:SYMBOL=641167&amp;VAR:INDEX=0"}</definedName>
    <definedName name="_30_0__123Graph_LBL_ACHAR" hidden="1">#REF!</definedName>
    <definedName name="_31__FDSAUDITLINK__" hidden="1">{"fdsup://directions/FAT Viewer?action=UPDATE&amp;creator=factset&amp;DYN_ARGS=TRUE&amp;DOC_NAME=FAT:FQL_AUDITING_CLIENT_TEMPLATE.FAT&amp;display_string=Audit&amp;VAR:KEY=ZWDYLGNOZS&amp;VAR:QUERY=RkZfREVCVChRVFIsMCk=&amp;WINDOW=FIRST_POPUP&amp;HEIGHT=450&amp;WIDTH=450&amp;START_MAXIMIZED=FALSE&amp;VA","R:CALENDAR=US&amp;VAR:SYMBOL=642566&amp;VAR:INDEX=0"}</definedName>
    <definedName name="_32__123Graph_ACHART_4" hidden="1">#REF!</definedName>
    <definedName name="_32__123Graph_LBL_ACHART_1" hidden="1">#REF!</definedName>
    <definedName name="_325__123Graph_LBL_BCHART_1" hidden="1">#REF!</definedName>
    <definedName name="_33__123Graph_LBL_ACHART_2" hidden="1">#REF!</definedName>
    <definedName name="_33__123Graph_LBL_ACHART_4" hidden="1">#REF!</definedName>
    <definedName name="_33__FDSAUDITLINK__" hidden="1">{"fdsup://directions/FAT Viewer?action=UPDATE&amp;creator=factset&amp;DYN_ARGS=TRUE&amp;DOC_NAME=FAT:FQL_AUDITING_CLIENT_TEMPLATE.FAT&amp;display_string=Audit&amp;VAR:KEY=BYZORMPCHQ&amp;VAR:QUERY=RkZfREVCVChRVFIsMCk=&amp;WINDOW=FIRST_POPUP&amp;HEIGHT=450&amp;WIDTH=450&amp;START_MAXIMIZED=FALSE&amp;VA","R:CALENDAR=US&amp;VAR:SYMBOL=649613&amp;VAR:INDEX=0"}</definedName>
    <definedName name="_34__FDSAUDITLINK__" hidden="1">{"fdsup://directions/FAT Viewer?action=UPDATE&amp;creator=factset&amp;DYN_ARGS=TRUE&amp;DOC_NAME=FAT:FQL_AUDITING_CLIENT_TEMPLATE.FAT&amp;display_string=Audit&amp;VAR:KEY=IRGRQDQTWB&amp;VAR:QUERY=RkZfREVCVChRVFIsMCk=&amp;WINDOW=FIRST_POPUP&amp;HEIGHT=450&amp;WIDTH=450&amp;START_MAXIMIZED=FALSE&amp;VA","R:CALENDAR=US&amp;VAR:SYMBOL=680580&amp;VAR:INDEX=0"}</definedName>
    <definedName name="_35__FDSAUDITLINK__"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352__123Graph_LBL_BCHART_2" hidden="1">#REF!</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6__123Graph_ACHART_4" hidden="1">#REF!</definedName>
    <definedName name="_36__123Graph_LBL_ACHART_2" hidden="1">#REF!</definedName>
    <definedName name="_36__123Graph_LBL_ACHART_3" hidden="1">#REF!</definedName>
    <definedName name="_36__123Graph_LBL_BCHART_1" hidden="1">#REF!</definedName>
    <definedName name="_36__FDSAUDITLINK__" hidden="1">{"fdsup://directions/FAT Viewer?action=UPDATE&amp;creator=factset&amp;DYN_ARGS=TRUE&amp;DOC_NAME=FAT:FQL_AUDITING_CLIENT_TEMPLATE.FAT&amp;display_string=Audit&amp;VAR:KEY=BOFAPUNSFW&amp;VAR:QUERY=RkZfREVCVChRVFIsMCk=&amp;WINDOW=FIRST_POPUP&amp;HEIGHT=450&amp;WIDTH=450&amp;START_MAXIMIZED=FALSE&amp;VA","R:CALENDAR=US&amp;VAR:SYMBOL=615593&amp;VAR:INDEX=0"}</definedName>
    <definedName name="_36_0__123Graph_ACHAR" hidden="1">#REF!</definedName>
    <definedName name="_37__FDSAUDITLINK__" hidden="1">{"fdsup://directions/FAT Viewer?action=UPDATE&amp;creator=factset&amp;DYN_ARGS=TRUE&amp;DOC_NAME=FAT:FQL_AUDITING_CLIENT_TEMPLATE.FAT&amp;display_string=Audit&amp;VAR:KEY=NCDWZYHQLY&amp;VAR:QUERY=RkZfREVCVChRVFIsMCk=&amp;WINDOW=FIRST_POPUP&amp;HEIGHT=450&amp;WIDTH=450&amp;START_MAXIMIZED=FALSE&amp;VA","R:CALENDAR=US&amp;VAR:SYMBOL=616216&amp;VAR:INDEX=0"}</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9__123Graph_LBL_BCHART_3" hidden="1">#REF!</definedName>
    <definedName name="_38__FDSAUDITLINK__" hidden="1">{"fdsup://directions/FAT Viewer?action=UPDATE&amp;creator=factset&amp;DYN_ARGS=TRUE&amp;DOC_NAME=FAT:FQL_AUDITING_CLIENT_TEMPLATE.FAT&amp;display_string=Audit&amp;VAR:KEY=LIHILQPEHS&amp;VAR:QUERY=RkZfREVCVChRVFIsMCk=&amp;WINDOW=FIRST_POPUP&amp;HEIGHT=450&amp;WIDTH=450&amp;START_MAXIMIZED=FALSE&amp;VA","R:CALENDAR=US&amp;VAR:SYMBOL=B01LXY&amp;VAR:INDEX=0"}</definedName>
    <definedName name="_38_0__123Graph_BCHAR" hidden="1">#REF!</definedName>
    <definedName name="_39__123Graph_LBL_ACHART_4" hidden="1">#REF!</definedName>
    <definedName name="_39__123Graph_LBL_BCHART_2" hidden="1">#REF!</definedName>
    <definedName name="_39__FDSAUDITLINK__" hidden="1">{"fdsup://directions/FAT Viewer?action=UPDATE&amp;creator=factset&amp;DYN_ARGS=TRUE&amp;DOC_NAME=FAT:FQL_AUDITING_CLIENT_TEMPLATE.FAT&amp;display_string=Audit&amp;VAR:KEY=BKHSXEZQRI&amp;VAR:QUERY=RkZfREVCVChRVFIsMCk=&amp;WINDOW=FIRST_POPUP&amp;HEIGHT=450&amp;WIDTH=450&amp;START_MAXIMIZED=FALSE&amp;VA","R:CALENDAR=US&amp;VAR:SYMBOL=B12C0T&amp;VAR:INDEX=0"}</definedName>
    <definedName name="_4__123Graph_ACHART_1" hidden="1">#REF!</definedName>
    <definedName name="_4__123Graph_ACHART_2" hidden="1">#REF!</definedName>
    <definedName name="_4__123Graph_ACHART_3" hidden="1">#REF!</definedName>
    <definedName name="_4__123Graph_ACHART_4" hidden="1">#REF!</definedName>
    <definedName name="_4__123Graph_BCHART_1" hidden="1">#REF!</definedName>
    <definedName name="_4__123Graph_BGraphique_1B" hidden="1">#REF!</definedName>
    <definedName name="_4__123Graph_LBL_BCHART_4" hidden="1">#REF!</definedName>
    <definedName name="_4__FDSAUDITLINK__" hidden="1">{"fdsup://Directions/FactSet Auditing Viewer?action=AUDIT_VALUE&amp;DB=129&amp;ID1=B01LXY&amp;VALUEID=05192&amp;SDATE=201101&amp;PERIODTYPE=QTR_STD&amp;SCFT=3&amp;window=popup_no_bar&amp;width=385&amp;height=120&amp;START_MAXIMIZED=FALSE&amp;creator=factset&amp;display_string=Audit"}</definedName>
    <definedName name="_40__123Graph_BCHART_1" hidden="1">#REF!</definedName>
    <definedName name="_40__123Graph_LBL_ACHART_3" hidden="1">#REF!</definedName>
    <definedName name="_40__FDSAUDITLINK__" hidden="1">{"fdsup://Directions/FactSet Auditing Viewer?action=AUDIT_VALUE&amp;DB=129&amp;ID1=615525&amp;VALUEID=05194&amp;SDATE=201101&amp;PERIODTYPE=QTR_STD&amp;SCFT=3&amp;window=popup_no_bar&amp;width=385&amp;height=120&amp;START_MAXIMIZED=FALSE&amp;creator=factset&amp;display_string=Audit"}</definedName>
    <definedName name="_40_0__123Graph_CCHAR" hidden="1">#REF!</definedName>
    <definedName name="_406__123Graph_XCHART_1" hidden="1">#REF!</definedName>
    <definedName name="_41__FDSAUDITLINK__" hidden="1">{"fdsup://directions/FAT Viewer?action=UPDATE&amp;creator=factset&amp;DYN_ARGS=TRUE&amp;DOC_NAME=FAT:FQL_AUDITING_CLIENT_TEMPLATE.FAT&amp;display_string=Audit&amp;VAR:KEY=NCPODUVUTY&amp;VAR:QUERY=RkZfREVCVChRVFIsMCk=&amp;WINDOW=FIRST_POPUP&amp;HEIGHT=450&amp;WIDTH=450&amp;START_MAXIMIZED=FALSE&amp;VA","R:CALENDAR=US&amp;VAR:SYMBOL=651312&amp;VAR:INDEX=0"}</definedName>
    <definedName name="_42__123Graph_LBL_BCHART_1" hidden="1">#REF!</definedName>
    <definedName name="_42__123Graph_LBL_BCHART_3" hidden="1">#REF!</definedName>
    <definedName name="_42__FDSAUDITLINK__" hidden="1">{"fdsup://directions/FAT Viewer?action=UPDATE&amp;creator=factset&amp;DYN_ARGS=TRUE&amp;DOC_NAME=FAT:FQL_AUDITING_CLIENT_TEMPLATE.FAT&amp;display_string=Audit&amp;VAR:KEY=TCLSBADEBM&amp;VAR:QUERY=RkZfREVCVChRVFIsMCk=&amp;WINDOW=FIRST_POPUP&amp;HEIGHT=450&amp;WIDTH=450&amp;START_MAXIMIZED=FALSE&amp;VA","R:CALENDAR=US&amp;VAR:SYMBOL=610036&amp;VAR:INDEX=0"}</definedName>
    <definedName name="_42_0__123Graph_LBL_ACHAR" hidden="1">#REF!</definedName>
    <definedName name="_42wrn.²Ä1­Ó¤ë1_Ü20¤H." hidden="1">{#N/A,#N/A,FALSE,"²Ä1­Ó¤ë"}</definedName>
    <definedName name="_43__FDSAUDITLINK__" hidden="1">{"fdsup://directions/FAT Viewer?action=UPDATE&amp;creator=factset&amp;DYN_ARGS=TRUE&amp;DOC_NAME=FAT:FQL_AUDITING_CLIENT_TEMPLATE.FAT&amp;display_string=Audit&amp;VAR:KEY=TCVWVCXSPG&amp;VAR:QUERY=RkZfREVCVChRVFIsMCk=&amp;WINDOW=FIRST_POPUP&amp;HEIGHT=450&amp;WIDTH=450&amp;START_MAXIMIZED=FALSE&amp;VA","R:CALENDAR=US&amp;VAR:SYMBOL=B5Q3JZ&amp;VAR:INDEX=0"}</definedName>
    <definedName name="_433__123Graph_XCHART_2" hidden="1">#REF!</definedName>
    <definedName name="_44__123Graph_LBL_ACHART_4" hidden="1">#REF!</definedName>
    <definedName name="_44__FDSAUDITLINK__" hidden="1">{"fdsup://directions/FAT Viewer?action=UPDATE&amp;creator=factset&amp;DYN_ARGS=TRUE&amp;DOC_NAME=FAT:FQL_AUDITING_CLIENT_TEMPLATE.FAT&amp;display_string=Audit&amp;VAR:KEY=FKRWBWPYJQ&amp;VAR:QUERY=RkZfREVCVChRVFIsMCk=&amp;WINDOW=FIRST_POPUP&amp;HEIGHT=450&amp;WIDTH=450&amp;START_MAXIMIZED=FALSE&amp;VA","R:CALENDAR=US&amp;VAR:SYMBOL=B2Q5H5&amp;VAR:INDEX=0"}</definedName>
    <definedName name="_45__123Graph_BCHART_1" hidden="1">#REF!</definedName>
    <definedName name="_45__123Graph_LBL_BCHART_2" hidden="1">#REF!</definedName>
    <definedName name="_45__123Graph_XCHART_1" hidden="1">#REF!</definedName>
    <definedName name="_45__FDSAUDITLINK__"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46__FDSAUDITLINK__" hidden="1">{"fdsup://directions/FAT Viewer?action=UPDATE&amp;creator=factset&amp;DYN_ARGS=TRUE&amp;DOC_NAME=FAT:FQL_AUDITING_CLIENT_TEMPLATE.FAT&amp;display_string=Audit&amp;VAR:KEY=DUDADIPCVA&amp;VAR:QUERY=RkZfREVCVChRVFIsMCk=&amp;WINDOW=FIRST_POPUP&amp;HEIGHT=450&amp;WIDTH=450&amp;START_MAXIMIZED=FALSE&amp;VA","R:CALENDAR=US&amp;VAR:SYMBOL=B01FLR&amp;VAR:INDEX=0"}</definedName>
    <definedName name="_460__123Graph_XCHART_3" hidden="1">#REF!</definedName>
    <definedName name="_47__FDSAUDITLINK__" hidden="1">{"fdsup://Directions/FactSet Auditing Viewer?action=AUDIT_VALUE&amp;DB=129&amp;ID1=627137&amp;VALUEID=05194&amp;SDATE=201102&amp;PERIODTYPE=QTR_STD&amp;SCFT=3&amp;window=popup_no_bar&amp;width=385&amp;height=120&amp;START_MAXIMIZED=FALSE&amp;creator=factset&amp;display_string=Audit"}</definedName>
    <definedName name="_48__123Graph_BCHART_2" hidden="1">#REF!</definedName>
    <definedName name="_48__123Graph_LBL_BCHART_1" hidden="1">#REF!</definedName>
    <definedName name="_48__123Graph_LBL_BCHART_3" hidden="1">#REF!</definedName>
    <definedName name="_48__123Graph_XCHART_2" hidden="1">#REF!</definedName>
    <definedName name="_48__FDSAUDITLINK__" hidden="1">{"fdsup://Directions/FactSet Auditing Viewer?action=AUDIT_VALUE&amp;DB=129&amp;ID1=627137&amp;VALUEID=05192&amp;SDATE=201102&amp;PERIODTYPE=QTR_STD&amp;SCFT=3&amp;window=popup_no_bar&amp;width=385&amp;height=120&amp;START_MAXIMIZED=FALSE&amp;creator=factset&amp;display_string=Audit"}</definedName>
    <definedName name="_481__FDSAUDITLINK__" hidden="1">{"fdsup://directions/FAT Viewer?action=UPDATE&amp;creator=factset&amp;DYN_ARGS=TRUE&amp;DOC_NAME=FAT:FQL_AUDITING_CLIENT_TEMPLATE.FAT&amp;display_string=Audit&amp;VAR:KEY=FKZMDKTUXA&amp;VAR:QUERY=KEZGX0JQU19UQU5HKFFUUiw0MDE0MylARkZfQlBTX1RBTkcoQU5OLDQwMTQzKSk=&amp;WINDOW=FIRST_POPUP&amp;H","EIGHT=450&amp;WIDTH=450&amp;START_MAXIMIZED=FALSE&amp;VAR:CALENDAR=US&amp;VAR:SYMBOL=002939&amp;VAR:INDEX=0"}</definedName>
    <definedName name="_487__123Graph_XCHART_4" hidden="1">#REF!</definedName>
    <definedName name="_49__FDSAUDITLINK__" hidden="1">{"fdsup://directions/FAT Viewer?action=UPDATE&amp;creator=factset&amp;DYN_ARGS=TRUE&amp;DOC_NAME=FAT:FQL_AUDITING_CLIENT_TEMPLATE.FAT&amp;display_string=Audit&amp;VAR:KEY=YLCVWFIZGL&amp;VAR:QUERY=RkZfREVCVChRVFIsMCk=&amp;WINDOW=FIRST_POPUP&amp;HEIGHT=450&amp;WIDTH=450&amp;START_MAXIMIZED=FALSE&amp;VA","R:CALENDAR=US&amp;VAR:SYMBOL=652766&amp;VAR:INDEX=0"}</definedName>
    <definedName name="_5__123Graph_ACHART_3" hidden="1">#REF!</definedName>
    <definedName name="_5__123Graph_ACHART_4" hidden="1">#REF!</definedName>
    <definedName name="_5__123Graph_BCHART_1" hidden="1">#REF!</definedName>
    <definedName name="_5__123Graph_BGraphique_2B" hidden="1">#REF!</definedName>
    <definedName name="_5__123Graph_XCHART_4" hidden="1">#REF!</definedName>
    <definedName name="_5__FDSAUDITLINK__" hidden="1">{"fdsup://Directions/FactSet Auditing Viewer?action=AUDIT_VALUE&amp;DB=129&amp;ID1=529412&amp;VALUEID=01004&amp;SDATE=2010&amp;PERIODTYPE=ANN_STD&amp;SCFT=3&amp;window=popup_no_bar&amp;width=385&amp;height=120&amp;START_MAXIMIZED=FALSE&amp;creator=factset&amp;display_string=Audit"}</definedName>
    <definedName name="_50__123Graph_ACHART_1" hidden="1">#REF!</definedName>
    <definedName name="_50__FDSAUDITLINK__" hidden="1">{"fdsup://Directions/FactSet Auditing Viewer?action=AUDIT_VALUE&amp;DB=129&amp;ID1=680580&amp;VALUEID=05194&amp;SDATE=201101&amp;PERIODTYPE=QTR_STD&amp;SCFT=3&amp;window=popup_no_bar&amp;width=385&amp;height=120&amp;START_MAXIMIZED=FALSE&amp;creator=factset&amp;display_string=Audit"}</definedName>
    <definedName name="_51__123Graph_XCHART_1" hidden="1">#REF!</definedName>
    <definedName name="_51__123Graph_XCHART_3" hidden="1">#REF!</definedName>
    <definedName name="_51__FDSAUDITLINK__" hidden="1">{"fdsup://Directions/FactSet Auditing Viewer?action=AUDIT_VALUE&amp;DB=129&amp;ID1=616216&amp;VALUEID=05194&amp;SDATE=201101&amp;PERIODTYPE=QTR_STD&amp;SCFT=3&amp;window=popup_no_bar&amp;width=385&amp;height=120&amp;START_MAXIMIZED=FALSE&amp;creator=factset&amp;display_string=Audit"}</definedName>
    <definedName name="_52__123Graph_BCHART_1" hidden="1">#REF!</definedName>
    <definedName name="_52__123Graph_LBL_BCHART_2" hidden="1">#REF!</definedName>
    <definedName name="_52__FDSAUDITLINK__" hidden="1">{"fdsup://Directions/FactSet Auditing Viewer?action=AUDIT_VALUE&amp;DB=129&amp;ID1=B01T14&amp;VALUEID=05194&amp;SDATE=201101&amp;PERIODTYPE=QTR_STD&amp;SCFT=3&amp;window=popup_no_bar&amp;width=385&amp;height=120&amp;START_MAXIMIZED=FALSE&amp;creator=factset&amp;display_string=Audit"}</definedName>
    <definedName name="_53__FDSAUDITLINK__" hidden="1">{"fdsup://Directions/FactSet Auditing Viewer?action=AUDIT_VALUE&amp;DB=129&amp;ID1=B01LXY&amp;VALUEID=05194&amp;SDATE=201101&amp;PERIODTYPE=QTR_STD&amp;SCFT=3&amp;window=popup_no_bar&amp;width=385&amp;height=120&amp;START_MAXIMIZED=FALSE&amp;creator=factset&amp;display_string=Audit"}</definedName>
    <definedName name="_54__123Graph_BCHART_2" hidden="1">#REF!</definedName>
    <definedName name="_54__123Graph_CCHART_1" hidden="1">#REF!</definedName>
    <definedName name="_54__123Graph_XCHART_2" hidden="1">#REF!</definedName>
    <definedName name="_54__123Graph_XCHART_4" hidden="1">#REF!</definedName>
    <definedName name="_54__FDSAUDITLINK__" hidden="1">{"fdsup://Directions/FactSet Auditing Viewer?action=AUDIT_VALUE&amp;DB=129&amp;ID1=616216&amp;VALUEID=05194&amp;SDATE=201101&amp;PERIODTYPE=QTR_STD&amp;SCFT=3&amp;window=popup_no_bar&amp;width=385&amp;height=120&amp;START_MAXIMIZED=FALSE&amp;creator=factset&amp;display_string=Audit"}</definedName>
    <definedName name="_55__123Graph_ACHART_2" hidden="1">#REF!</definedName>
    <definedName name="_55__FDSAUDITLINK__" hidden="1">{"fdsup://Directions/FactSet Auditing Viewer?action=AUDIT_VALUE&amp;DB=129&amp;ID1=649613&amp;VALUEID=05192&amp;SDATE=201101&amp;PERIODTYPE=QTR_STD&amp;SCFT=3&amp;window=popup_no_bar&amp;width=385&amp;height=120&amp;START_MAXIMIZED=FALSE&amp;creator=factset&amp;display_string=Audit"}</definedName>
    <definedName name="_56__123Graph_BCHART_3" hidden="1">#REF!</definedName>
    <definedName name="_56__123Graph_LBL_ACHART_1" hidden="1">#REF!</definedName>
    <definedName name="_56__123Graph_LBL_BCHART_3" hidden="1">#REF!</definedName>
    <definedName name="_56__FDSAUDITLINK__" hidden="1">{"fdsup://Directions/FactSet Auditing Viewer?action=AUDIT_VALUE&amp;DB=129&amp;ID1=680580&amp;VALUEID=05192&amp;SDATE=201101&amp;PERIODTYPE=QTR_STD&amp;SCFT=3&amp;window=popup_no_bar&amp;width=385&amp;height=120&amp;START_MAXIMIZED=FALSE&amp;creator=factset&amp;display_string=Audit"}</definedName>
    <definedName name="_57__123Graph_XCHART_3" hidden="1">#REF!</definedName>
    <definedName name="_57__FDSAUDITLINK__" hidden="1">{"fdsup://Directions/FactSet Auditing Viewer?action=AUDIT_VALUE&amp;DB=129&amp;ID1=616216&amp;VALUEID=05192&amp;SDATE=201101&amp;PERIODTYPE=QTR_STD&amp;SCFT=3&amp;window=popup_no_bar&amp;width=385&amp;height=120&amp;START_MAXIMIZED=FALSE&amp;creator=factset&amp;display_string=Audit"}</definedName>
    <definedName name="_58__FDSAUDITLINK__" hidden="1">{"fdsup://Directions/FactSet Auditing Viewer?action=AUDIT_VALUE&amp;DB=129&amp;ID1=B01T14&amp;VALUEID=05192&amp;SDATE=201101&amp;PERIODTYPE=QTR_STD&amp;SCFT=3&amp;window=popup_no_bar&amp;width=385&amp;height=120&amp;START_MAXIMIZED=FALSE&amp;creator=factset&amp;display_string=Audit"}</definedName>
    <definedName name="_59__FDSAUDITLINK__" hidden="1">{"fdsup://Directions/FactSet Auditing Viewer?action=AUDIT_VALUE&amp;DB=129&amp;ID1=B01LXY&amp;VALUEID=05192&amp;SDATE=201101&amp;PERIODTYPE=QTR_STD&amp;SCFT=3&amp;window=popup_no_bar&amp;width=385&amp;height=120&amp;START_MAXIMIZED=FALSE&amp;creator=factset&amp;display_string=Audit"}</definedName>
    <definedName name="_6__123Graph_ACHART_2" hidden="1">#REF!</definedName>
    <definedName name="_6__123Graph_ACHART_4" hidden="1">#REF!</definedName>
    <definedName name="_6__123Graph_BCHART_1" hidden="1">#REF!</definedName>
    <definedName name="_6__123Graph_BCHART_2" hidden="1">#REF!</definedName>
    <definedName name="_6__123Graph_BGraphique_3B" hidden="1">#REF!</definedName>
    <definedName name="_6__123Graph_CCHART_1" hidden="1">#REF!</definedName>
    <definedName name="_6__FDSAUDITLINK__" hidden="1">{"fdsup://Directions/FactSet Auditing Viewer?action=AUDIT_VALUE&amp;DB=129&amp;ID1=B2Q4CS&amp;VALUEID=05192&amp;SDATE=201101&amp;PERIODTYPE=QTR_STD&amp;SCFT=3&amp;window=popup_no_bar&amp;width=385&amp;height=120&amp;START_MAXIMIZED=FALSE&amp;creator=factset&amp;display_string=Audit"}</definedName>
    <definedName name="_60__123Graph_XCHART_1" hidden="1">#REF!</definedName>
    <definedName name="_60__123Graph_XCHART_4" hidden="1">#REF!</definedName>
    <definedName name="_60__FDSAUDITLINK__" hidden="1">{"fdsup://Directions/FactSet Auditing Viewer?action=AUDIT_VALUE&amp;DB=129&amp;ID1=616216&amp;VALUEID=05192&amp;SDATE=201101&amp;PERIODTYPE=QTR_STD&amp;SCFT=3&amp;window=popup_no_bar&amp;width=385&amp;height=120&amp;START_MAXIMIZED=FALSE&amp;creator=factset&amp;display_string=Audit"}</definedName>
    <definedName name="_60_0__123Graph_ACHAR" hidden="1">#REF!</definedName>
    <definedName name="_61__FDSAUDITLINK__"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2__FDSAUDITLINK__"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2_0__123Graph_BCHAR" hidden="1">#REF!</definedName>
    <definedName name="_63__123Graph_BCHART_3" hidden="1">#REF!</definedName>
    <definedName name="_63__FDSAUDITLINK__"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4__123Graph_LBL_ACHART_1" hidden="1">#REF!</definedName>
    <definedName name="_64__123Graph_XCHART_2" hidden="1">#REF!</definedName>
    <definedName name="_64__FDSAUDITLINK__" hidden="1">{"fdsup://Directions/FactSet Auditing Viewer?action=AUDIT_VALUE&amp;DB=129&amp;ID1=615593&amp;VALUEID=05192&amp;SDATE=201101&amp;PERIODTYPE=QTR_STD&amp;SCFT=3&amp;window=popup_no_bar&amp;width=385&amp;height=120&amp;START_MAXIMIZED=FALSE&amp;creator=factset&amp;display_string=Audit"}</definedName>
    <definedName name="_64_0__123Graph_CCHAR" hidden="1">#REF!</definedName>
    <definedName name="_65__FDSAUDITLINK__" hidden="1">{"fdsup://Directions/FactSet Auditing Viewer?action=AUDIT_VALUE&amp;DB=129&amp;ID1=615593&amp;VALUEID=05194&amp;SDATE=201101&amp;PERIODTYPE=QTR_STD&amp;SCFT=3&amp;window=popup_no_bar&amp;width=385&amp;height=120&amp;START_MAXIMIZED=FALSE&amp;creator=factset&amp;display_string=Audit"}</definedName>
    <definedName name="_66__FDSAUDITLINK__" hidden="1">{"fdsup://Directions/FactSet Auditing Viewer?action=AUDIT_VALUE&amp;DB=129&amp;ID1=B62B9W&amp;VALUEID=05192&amp;SDATE=201101&amp;PERIODTYPE=QTR_STD&amp;SCFT=3&amp;window=popup_no_bar&amp;width=385&amp;height=120&amp;START_MAXIMIZED=FALSE&amp;creator=factset&amp;display_string=Audit"}</definedName>
    <definedName name="_66_0__123Graph_LBL_ACHAR" hidden="1">#REF!</definedName>
    <definedName name="_67__FDSAUDITLINK__" hidden="1">{"fdsup://Directions/FactSet Auditing Viewer?action=AUDIT_VALUE&amp;DB=129&amp;ID1=B62B9W&amp;VALUEID=05194&amp;SDATE=201101&amp;PERIODTYPE=QTR_STD&amp;SCFT=3&amp;window=popup_no_bar&amp;width=385&amp;height=120&amp;START_MAXIMIZED=FALSE&amp;creator=factset&amp;display_string=Audit"}</definedName>
    <definedName name="_68__123Graph_XCHART_3" hidden="1">#REF!</definedName>
    <definedName name="_68__FDSAUDITLINK__" hidden="1">{"fdsup://Directions/FactSet Auditing Viewer?action=AUDIT_VALUE&amp;DB=129&amp;ID1=B12C0T&amp;VALUEID=05192&amp;SDATE=201101&amp;PERIODTYPE=QTR_STD&amp;SCFT=3&amp;window=popup_no_bar&amp;width=385&amp;height=120&amp;START_MAXIMIZED=FALSE&amp;creator=factset&amp;display_string=Audit"}</definedName>
    <definedName name="_69__FDSAUDITLINK__" hidden="1">{"fdsup://Directions/FactSet Auditing Viewer?action=AUDIT_VALUE&amp;DB=129&amp;ID1=B12C0T&amp;VALUEID=05194&amp;SDATE=201101&amp;PERIODTYPE=QTR_STD&amp;SCFT=3&amp;window=popup_no_bar&amp;width=385&amp;height=120&amp;START_MAXIMIZED=FALSE&amp;creator=factset&amp;display_string=Audit"}</definedName>
    <definedName name="_7__123Graph_ACHART_1" hidden="1">#REF!</definedName>
    <definedName name="_7__123Graph_BCHART_1" hidden="1">#REF!</definedName>
    <definedName name="_7__123Graph_BCHART_2" hidden="1">#REF!</definedName>
    <definedName name="_7__123Graph_BCHART_3" hidden="1">#REF!</definedName>
    <definedName name="_7__123Graph_CGraphique_1B" hidden="1">#REF!</definedName>
    <definedName name="_7__FDSAUDITLINK__" hidden="1">{"fdsup://Directions/FactSet Auditing Viewer?action=AUDIT_VALUE&amp;DB=129&amp;ID1=B601QS&amp;VALUEID=05192&amp;SDATE=201101&amp;PERIODTYPE=QTR_STD&amp;SCFT=3&amp;window=popup_no_bar&amp;width=385&amp;height=120&amp;START_MAXIMIZED=FALSE&amp;creator=factset&amp;display_string=Audit"}</definedName>
    <definedName name="_70__FDSAUDITLINK__" hidden="1">{"fdsup://Directions/FactSet Auditing Viewer?action=AUDIT_VALUE&amp;DB=129&amp;ID1=B12C0T&amp;VALUEID=05192&amp;SDATE=201101&amp;PERIODTYPE=QTR_STD&amp;SCFT=3&amp;window=popup_no_bar&amp;width=385&amp;height=120&amp;START_MAXIMIZED=FALSE&amp;creator=factset&amp;display_string=Audit"}</definedName>
    <definedName name="_71__FDSAUDITLINK__" hidden="1">{"fdsup://Directions/FactSet Auditing Viewer?action=AUDIT_VALUE&amp;DB=129&amp;ID1=B12C0T&amp;VALUEID=05194&amp;SDATE=201101&amp;PERIODTYPE=QTR_STD&amp;SCFT=3&amp;window=popup_no_bar&amp;width=385&amp;height=120&amp;START_MAXIMIZED=FALSE&amp;creator=factset&amp;display_string=Audit"}</definedName>
    <definedName name="_72__123Graph_LBL_ACHART_1" hidden="1">#REF!</definedName>
    <definedName name="_72__123Graph_LBL_ACHART_2" hidden="1">#REF!</definedName>
    <definedName name="_72__123Graph_XCHART_4" hidden="1">#REF!</definedName>
    <definedName name="_72__FDSAUDITLINK__" hidden="1">{"fdsup://directions/FAT Viewer?action=UPDATE&amp;creator=factset&amp;DYN_ARGS=TRUE&amp;DOC_NAME=FAT:FQL_AUDITING_CLIENT_TEMPLATE.FAT&amp;display_string=Audit&amp;VAR:KEY=EPKPEBABGZ&amp;VAR:QUERY=RkZfREVCVChRVFIsMCk=&amp;WINDOW=FIRST_POPUP&amp;HEIGHT=450&amp;WIDTH=450&amp;START_MAXIMIZED=FALSE&amp;VA","R:CALENDAR=US&amp;VAR:SYMBOL=B62B9W&amp;VAR:INDEX=0"}</definedName>
    <definedName name="_73__FDSAUDITLINK__" hidden="1">{"fdsup://Directions/FactSet Auditing Viewer?action=AUDIT_VALUE&amp;DB=129&amp;ID1=B0YCFG&amp;VALUEID=05192&amp;SDATE=201101&amp;PERIODTYPE=QTR_STD&amp;SCFT=3&amp;window=popup_no_bar&amp;width=385&amp;height=120&amp;START_MAXIMIZED=FALSE&amp;creator=factset&amp;display_string=Audit"}</definedName>
    <definedName name="_74__FDSAUDITLINK__" hidden="1">{"fdsup://Directions/FactSet Auditing Viewer?action=AUDIT_VALUE&amp;DB=129&amp;ID1=B0YCFG&amp;VALUEID=05194&amp;SDATE=201101&amp;PERIODTYPE=QTR_STD&amp;SCFT=3&amp;window=popup_no_bar&amp;width=385&amp;height=120&amp;START_MAXIMIZED=FALSE&amp;creator=factset&amp;display_string=Audit"}</definedName>
    <definedName name="_75__FDSAUDITLINK__" hidden="1">{"fdsup://Directions/FactSet Auditing Viewer?action=AUDIT_VALUE&amp;DB=129&amp;ID1=649613&amp;VALUEID=05192&amp;SDATE=201101&amp;PERIODTYPE=QTR_STD&amp;SCFT=3&amp;window=popup_no_bar&amp;width=385&amp;height=120&amp;START_MAXIMIZED=FALSE&amp;creator=factset&amp;display_string=Audit"}</definedName>
    <definedName name="_76__FDSAUDITLINK__" hidden="1">{"fdsup://Directions/FactSet Auditing Viewer?action=AUDIT_VALUE&amp;DB=129&amp;ID1=B12C0T&amp;VALUEID=05192&amp;SDATE=201101&amp;PERIODTYPE=QTR_STD&amp;SCFT=3&amp;window=popup_no_bar&amp;width=385&amp;height=120&amp;START_MAXIMIZED=FALSE&amp;creator=factset&amp;display_string=Audit"}</definedName>
    <definedName name="_77__FDSAUDITLINK__" hidden="1">{"fdsup://Directions/FactSet Auditing Viewer?action=AUDIT_VALUE&amp;DB=129&amp;ID1=B12C0T&amp;VALUEID=05192&amp;SDATE=201101&amp;PERIODTYPE=QTR_STD&amp;SCFT=3&amp;window=popup_no_bar&amp;width=385&amp;height=120&amp;START_MAXIMIZED=FALSE&amp;creator=factset&amp;display_string=Audit"}</definedName>
    <definedName name="_78__FDSAUDITLINK__" hidden="1">{"fdsup://Directions/FactSet Auditing Viewer?action=AUDIT_VALUE&amp;DB=129&amp;ID1=B12C0T&amp;VALUEID=05192&amp;SDATE=201101&amp;PERIODTYPE=QTR_STD&amp;SCFT=3&amp;window=popup_no_bar&amp;width=385&amp;height=120&amp;START_MAXIMIZED=FALSE&amp;creator=factset&amp;display_string=Audit"}</definedName>
    <definedName name="_79__FDSAUDITLINK__" hidden="1">{"fdsup://Directions/FactSet Auditing Viewer?action=AUDIT_VALUE&amp;DB=129&amp;ID1=680580&amp;VALUEID=05194&amp;SDATE=201101&amp;PERIODTYPE=QTR_STD&amp;SCFT=3&amp;window=popup_no_bar&amp;width=385&amp;height=120&amp;START_MAXIMIZED=FALSE&amp;creator=factset&amp;display_string=Audit"}</definedName>
    <definedName name="_8__123Graph_ACHART_1" hidden="1">#REF!</definedName>
    <definedName name="_8__123Graph_ACHART_2" hidden="1">#REF!</definedName>
    <definedName name="_8__123Graph_BCHART_2" hidden="1">#REF!</definedName>
    <definedName name="_8__123Graph_BCHART_3" hidden="1">#REF!</definedName>
    <definedName name="_8__123Graph_CGraphique_2B" hidden="1">#REF!</definedName>
    <definedName name="_8__123Graph_LBL_ACHART_1" hidden="1">#REF!</definedName>
    <definedName name="_8__FDSAUDITLINK__" hidden="1">{"fdsup://Directions/FactSet Auditing Viewer?action=AUDIT_VALUE&amp;DB=129&amp;ID1=002939&amp;VALUEID=01004&amp;SDATE=2010&amp;PERIODTYPE=ANN_STD&amp;SCFT=3&amp;window=popup_no_bar&amp;width=385&amp;height=120&amp;START_MAXIMIZED=FALSE&amp;creator=factset&amp;display_string=Audit"}</definedName>
    <definedName name="_80__123Graph_LBL_ACHART_3" hidden="1">#REF!</definedName>
    <definedName name="_80__FDSAUDITLINK__" hidden="1">{"fdsup://Directions/FactSet Auditing Viewer?action=AUDIT_VALUE&amp;DB=129&amp;ID1=680580&amp;VALUEID=05192&amp;SDATE=201101&amp;PERIODTYPE=QTR_STD&amp;SCFT=3&amp;window=popup_no_bar&amp;width=385&amp;height=120&amp;START_MAXIMIZED=FALSE&amp;creator=factset&amp;display_string=Audit"}</definedName>
    <definedName name="_81__123Graph_LBL_ACHART_2" hidden="1">#REF!</definedName>
    <definedName name="_81__FDSAUDITLINK__" hidden="1">{"fdsup://Directions/FactSet Auditing Viewer?action=AUDIT_VALUE&amp;DB=129&amp;ID1=B0YCFG&amp;VALUEID=05192&amp;SDATE=201101&amp;PERIODTYPE=QTR_STD&amp;SCFT=3&amp;window=popup_no_bar&amp;width=385&amp;height=120&amp;START_MAXIMIZED=FALSE&amp;creator=factset&amp;display_string=Audit"}</definedName>
    <definedName name="_82__123Graph_ACHART_3" hidden="1">#REF!</definedName>
    <definedName name="_82__FDSAUDITLINK__" hidden="1">{"fdsup://Directions/FactSet Auditing Viewer?action=AUDIT_VALUE&amp;DB=129&amp;ID1=B62B9W&amp;VALUEID=05192&amp;SDATE=201101&amp;PERIODTYPE=QTR_STD&amp;SCFT=3&amp;window=popup_no_bar&amp;width=385&amp;height=120&amp;START_MAXIMIZED=FALSE&amp;creator=factset&amp;display_string=Audit"}</definedName>
    <definedName name="_83__FDSAUDITLINK__"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84__FDSAUDITLINK__"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85__FDSAUDITLINK__"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88__123Graph_LBL_ACHART_4" hidden="1">#REF!</definedName>
    <definedName name="_9__123Graph_ACHART_1" hidden="1">#REF!</definedName>
    <definedName name="_9__123Graph_ACHART_3" hidden="1">#REF!</definedName>
    <definedName name="_9__123Graph_BCHART_3" hidden="1">#REF!</definedName>
    <definedName name="_9__123Graph_CGraphique_3B" hidden="1">#REF!</definedName>
    <definedName name="_9__123Graph_LBL_ACHART_1" hidden="1">#REF!</definedName>
    <definedName name="_9__123Graph_LBL_ACHART_2" hidden="1">#REF!</definedName>
    <definedName name="_9__FDSAUDITLINK__" hidden="1">{"fdsup://Directions/FactSet Auditing Viewer?action=AUDIT_VALUE&amp;DB=129&amp;ID1=B2QKWK&amp;VALUEID=05192&amp;SDATE=201101&amp;PERIODTYPE=QTR_STD&amp;SCFT=3&amp;window=popup_no_bar&amp;width=385&amp;height=120&amp;START_MAXIMIZED=FALSE&amp;creator=factset&amp;display_string=Audit"}</definedName>
    <definedName name="_90__123Graph_LBL_ACHART_3" hidden="1">#REF!</definedName>
    <definedName name="_96__123Graph_LBL_BCHART_1" hidden="1">#REF!</definedName>
    <definedName name="_99__123Graph_LBL_ACHART_4" hidden="1">#REF!</definedName>
    <definedName name="_a1" hidden="1">{#N/A,#N/A,FALSE,"Pharm";#N/A,#N/A,FALSE,"WWCM"}</definedName>
    <definedName name="_A11" hidden="1">{#N/A,#N/A,FALSE,"Umsatz 99";#N/A,#N/A,FALSE,"ER 99 "}</definedName>
    <definedName name="_aaa1" hidden="1">{#N/A,#N/A,FALSE,"REPORT"}</definedName>
    <definedName name="_aas1" hidden="1">{#N/A,#N/A,FALSE,"REPORT"}</definedName>
    <definedName name="_ACS2000" hidden="1">{#N/A,#N/A,FALSE,"REPORT"}</definedName>
    <definedName name="_Actual_for_2004_Measure" hidden="1">#REF!</definedName>
    <definedName name="_ADS1" hidden="1">{"FCB_ALL",#N/A,FALSE,"FCB"}</definedName>
    <definedName name="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pr03" hidden="1">{"Statement of Income",#N/A,TRUE,"Mar99";"Balance Sheet",#N/A,TRUE,"Mar99"}</definedName>
    <definedName name="_Apr04" hidden="1">{"Statement of Income",#N/A,TRUE,"Mar99";"Balance Sheet",#N/A,TRUE,"Mar99"}</definedName>
    <definedName name="_as1" hidden="1">{"FCB_ALL",#N/A,FALSE,"FCB"}</definedName>
    <definedName name="_AS2" hidden="1">{"FCB_ALL",#N/A,FALSE,"FCB"}</definedName>
    <definedName name="_as3" hidden="1">{"FCB_ALL",#N/A,FALSE,"FCB"}</definedName>
    <definedName name="_AS4" hidden="1">{"FCB_ALL",#N/A,FALSE,"FCB"}</definedName>
    <definedName name="_as6" hidden="1">{"FCB_ALL",#N/A,FALSE,"FCB"}</definedName>
    <definedName name="_AS7" hidden="1">{"FCB_ALL",#N/A,FALSE,"FCB"}</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d98">#REF!</definedName>
    <definedName name="_aug04" hidden="1">{"Statement of Income",#N/A,TRUE,"Mar99";"Balance Sheet",#N/A,TRUE,"Mar99"}</definedName>
    <definedName name="_b111" hidden="1">{#N/A,#N/A,FALSE,"Pharm";#N/A,#N/A,FALSE,"WWCM"}</definedName>
    <definedName name="_bdm.009bf12725d4456aa5aaf02394719683.edm" hidden="1">#REF!</definedName>
    <definedName name="_bdm.029F477A667F4689AFD5E05DB8014FE6.edm" hidden="1">#REF!</definedName>
    <definedName name="_bdm.02fd679d145d41ba97140b66ebb9860a.edm" hidden="1">#REF!</definedName>
    <definedName name="_bdm.030d8fea3f6442edbb9937e5d03c81c9.edm" hidden="1">#REF!</definedName>
    <definedName name="_bdm.03945fe231b841a188fbf996e953adad.edm" hidden="1">#REF!</definedName>
    <definedName name="_bdm.0413F0AEEDB94FFEAA78F0BB6420EE08.edm" hidden="1">#REF!</definedName>
    <definedName name="_bdm.0434ED7F2DA14080801A14818BF7D193.edm" hidden="1">#REF!</definedName>
    <definedName name="_bdm.04E336EBC3C344EB89DEFF28F82B1451.edm">#REF!</definedName>
    <definedName name="_bdm.05CFB32EAD7245AABAEE30E3D430E6A4.edm" hidden="1">#REF!</definedName>
    <definedName name="_bdm.05dcfce1f65440a69cd7666001e95dd4.edm" hidden="1">#REF!</definedName>
    <definedName name="_bdm.06aba940d10f4e9891315ec61059704a.edm" hidden="1">#REF!</definedName>
    <definedName name="_bdm.06D7FC0600FB4299A4F7A7EF67A57C61.edm" hidden="1">#REF!</definedName>
    <definedName name="_bdm.09e26870c38b4357a6aea2e373b7c6f1.edm" hidden="1">#REF!</definedName>
    <definedName name="_bdm.0B23A6F00F23427481E0852010C5BB69.edm" hidden="1">#REF!</definedName>
    <definedName name="_bdm.0c27711082264dd6b5cca30486d67157.edm" hidden="1">#REF!</definedName>
    <definedName name="_bdm.0ecff46e37b340048eaa524490633844.edm" hidden="1">#REF!</definedName>
    <definedName name="_bdm.0f344057a599479ea2b6147d4d0e3c5f.edm" hidden="1">#REF!</definedName>
    <definedName name="_bdm.107A9799626E4FC8B49DB037971FCDD2.edm" hidden="1">#REF!</definedName>
    <definedName name="_bdm.110fe0472f1e41cf8edfb7d9fbf72439.edm" hidden="1">#REF!</definedName>
    <definedName name="_bdm.12f0aa224e09430cad2ed60790ffe470.edm" hidden="1">#REF!</definedName>
    <definedName name="_bdm.1420e4c1048149d99f99db2566dfb5b6.edm" hidden="1">#REF!</definedName>
    <definedName name="_bdm.1497adb1f2b54105a4df4bc37a84c6c4.edm" hidden="1">#REF!</definedName>
    <definedName name="_bdm.159c29f033b4443f9b50eb6475401247.edm" hidden="1">#REF!</definedName>
    <definedName name="_bdm.15CB8F8B61894326BAF5755F1DB8D6E8.edm" hidden="1">#REF!</definedName>
    <definedName name="_bdm.17d36935db5d439cabce9c21cdd9bd39.edm">#REF!</definedName>
    <definedName name="_bdm.17e02fe5752445528e7f27708042f0e8.edm" hidden="1">#REF!</definedName>
    <definedName name="_bdm.1965d84e9dac42d2be9d9bf87fe61145.edm" hidden="1">#REF!</definedName>
    <definedName name="_bdm.1a29c1eb2dc64e088b7ad86656a9e874.edm" hidden="1">#REF!</definedName>
    <definedName name="_bdm.1a8de28cc6974690bbf0cff346208b17.edm" hidden="1">#REF!</definedName>
    <definedName name="_bdm.1B0AC81D6080410395D414073E96136E.edm" hidden="1">#REF!</definedName>
    <definedName name="_bdm.1b397b7c00064e61aa76d0144b785fe0.edm" hidden="1">#REF!</definedName>
    <definedName name="_bdm.1c518483f1b34bf589326925c6ad47f2.edm" hidden="1">#REF!</definedName>
    <definedName name="_bdm.1DC17F351AB34245B5F56971E1F47FA8.edm" hidden="1">#REF!</definedName>
    <definedName name="_bdm.214561e77c784af08279f1e267b69e4c.edm" hidden="1">#REF!</definedName>
    <definedName name="_bdm.2238af81b1df48a99cdf3fc2eac364e0.edm" hidden="1">#REF!</definedName>
    <definedName name="_bdm.234f7a16e72f40a0845104532184609f.edm" hidden="1">#REF!</definedName>
    <definedName name="_bdm.261B9C367EB14AC79709F36F4E962FC3.edm" hidden="1">#REF!</definedName>
    <definedName name="_bdm.262179D9127D41818373F18F0EE31BA8.edm" hidden="1">#REF!</definedName>
    <definedName name="_bdm.26445cecadca4d17a13d767e2fdc29fb.edm" hidden="1">#REF!</definedName>
    <definedName name="_bdm.26e841ef35ab4eb6affb63c417cc4c35.edm" hidden="1">#REF!</definedName>
    <definedName name="_bdm.278D71BD09244774BC5320F6181150FB.edm" hidden="1">#REF!</definedName>
    <definedName name="_bdm.28C8AF27783A44AF8E5A97B3E6D3EE04.edm" hidden="1">#REF!</definedName>
    <definedName name="_bdm.29702e413a104ff5a9371b3ec0f1e346.edm" hidden="1">#REF!</definedName>
    <definedName name="_bdm.29A5C21325E2413E8F6A08B169664641.edm" hidden="1">#REF!</definedName>
    <definedName name="_bdm.29E39BA05F6C45A79835CAD704748C13.edm" hidden="1">#REF!</definedName>
    <definedName name="_bdm.2a74673ecafc406ebd20d27a2d20d8db.edm" hidden="1">#REF!</definedName>
    <definedName name="_bdm.2aeb20c3e92449beb4f64a19da293aae.edm" hidden="1">#REF!</definedName>
    <definedName name="_bdm.2AFED83819D54863954B00C62C23DCC7.edm" hidden="1">#REF!</definedName>
    <definedName name="_bdm.3202C8268A64487D9AE4035F30D271B6.edm">#REF!</definedName>
    <definedName name="_bdm.3243e94bedbf4599a63778c5179a9b09.edm" hidden="1">#REF!</definedName>
    <definedName name="_bdm.332938db69b349d08ea559a761998da8.edm" hidden="1">#REF!</definedName>
    <definedName name="_bdm.335E9C9982A049DCBB8269EF5BECC49E.edm" hidden="1">#REF!</definedName>
    <definedName name="_bdm.337d4b73824f4d859b407e98c14cdc2c.edm" hidden="1">#REF!</definedName>
    <definedName name="_bdm.33A64BA268B543E0B71DFD1D88F4B095.edm" hidden="1">#REF!</definedName>
    <definedName name="_bdm.33f753569bdc4b8fae2126d83823e39f.edm" hidden="1">#REF!</definedName>
    <definedName name="_bdm.34148ce3126341a6aeb54118b1f26dec.edm" hidden="1">#REF!</definedName>
    <definedName name="_bdm.3749b8233bd94fbb97c5bf2340186fff.edm" hidden="1">#REF!</definedName>
    <definedName name="_bdm.3A1C9F35FB8B43DC87EB62F4EF5F7AA4.edm" hidden="1">#REF!</definedName>
    <definedName name="_bdm.3b8b6c75df1847e2b4c8054302cc61b8.edm" hidden="1">#REF!</definedName>
    <definedName name="_bdm.3bbbdad2c6ff46689a0c5056d2bca420.edm" hidden="1">#REF!</definedName>
    <definedName name="_bdm.3c099f4a438144519ee34e83d7795e1e.edm">#REF!</definedName>
    <definedName name="_bdm.3c295d39c4ca459f94ea51cb739309b9.edm" hidden="1">#REF!</definedName>
    <definedName name="_bdm.3d44ff302dec418caa121a69637939de.edm" hidden="1">#REF!</definedName>
    <definedName name="_bdm.3DE618B5D8F349AA829DCBB8A53E3C8C.edm" hidden="1">#REF!</definedName>
    <definedName name="_bdm.3F0DA634207D44F7AEC6BDEF9B6622FA.edm" hidden="1">#REF!</definedName>
    <definedName name="_bdm.3ff788f17261479cbec114b2a7e70115.edm" hidden="1">#REF!</definedName>
    <definedName name="_bdm.408188EF72DD49E384BAF06DE88FD162.edm" hidden="1">#REF!</definedName>
    <definedName name="_bdm.40c00a0e24f04b29a9e840764f8bba5c.edm" hidden="1">#REF!</definedName>
    <definedName name="_bdm.41291a97341f414c839ef174f521a6aa.edm" hidden="1">#REF!</definedName>
    <definedName name="_bdm.4181A0E6363949D2AD361C8C0021FE71.edm" hidden="1">#REF!</definedName>
    <definedName name="_bdm.42119588DE344068AC601FDF06C5BA27.edm" hidden="1">#REF!</definedName>
    <definedName name="_bdm.431049536a46430195f38e91376e18c5.edm" hidden="1">#REF!</definedName>
    <definedName name="_bdm.440ce4c88b06424d942f877ea996d545.edm" hidden="1">#REF!</definedName>
    <definedName name="_bdm.4658cca5cdd7473ca15d96df5d621730.edm" hidden="1">#REF!</definedName>
    <definedName name="_bdm.47285f811d0143979ceb9834d0043a8d.edm" hidden="1">#REF!</definedName>
    <definedName name="_bdm.472C3E3C3DE94C299275D4EC088C5875.edm" hidden="1">#REF!</definedName>
    <definedName name="_bdm.4793426885c9444abf823324ab3235cf.edm" hidden="1">#REF!</definedName>
    <definedName name="_bdm.48142732d894412aa759fbdaaf30da81.edm" hidden="1">#REF!</definedName>
    <definedName name="_bdm.4823498195f64b0fa90e1a741418009c.edm" hidden="1">#REF!</definedName>
    <definedName name="_bdm.49565361dbda41eab60069382827a057.edm" hidden="1">#REF!</definedName>
    <definedName name="_bdm.49BF9DB9E6E7487F9C8F73D438B341D2.edm" hidden="1">#REF!</definedName>
    <definedName name="_bdm.4b976145f4354280b5dfdcf53ed4a35d.edm" hidden="1">#REF!</definedName>
    <definedName name="_bdm.4ba32c98de44461182b68f817f541280.edm" hidden="1">#REF!</definedName>
    <definedName name="_bdm.4bc3f84aac74476fb6b30639df9457e6.edm" hidden="1">#REF!</definedName>
    <definedName name="_bdm.4CD1A85FEF874F09A7745E8137FCF12C.edm" hidden="1">#REF!</definedName>
    <definedName name="_bdm.4e117f14a5fb40aca6cc852c0bbbcd68.edm" hidden="1">#REF!</definedName>
    <definedName name="_bdm.4E1CDE3CBC8F4E4C91845310F30D6E74.edm" hidden="1">#REF!</definedName>
    <definedName name="_bdm.4E725E4D9A1C435296C966F923F58687.edm" hidden="1">#REF!</definedName>
    <definedName name="_bdm.4ef2c5541ab64e54a6ad014710ad6d70.edm" hidden="1">#REF!</definedName>
    <definedName name="_bdm.4fd121ca66564828a3b31134ce8761d6.edm" hidden="1">#REF!</definedName>
    <definedName name="_bdm.508D77A282824BCB9D13A8629CA4E968.edm" hidden="1">#REF!</definedName>
    <definedName name="_bdm.50b4ef2a499a462c8df81a25b5f7264e.edm" hidden="1">#REF!</definedName>
    <definedName name="_bdm.5106d6fac1884fc58adde7492ad261f1.edm" hidden="1">#REF!</definedName>
    <definedName name="_bdm.514bf1bf66e044e7aba861d99d7b9e9c.edm" hidden="1">#REF!</definedName>
    <definedName name="_bdm.51a0e3e475cb4a7eae26e5743a8751aa.edm" hidden="1">#REF!</definedName>
    <definedName name="_bdm.5310377F47F545E99A983956070BD75F.edm" hidden="1">#REF!</definedName>
    <definedName name="_bdm.53962b8914a949afb9e140a76fa9e3fd.edm" hidden="1">#REF!</definedName>
    <definedName name="_bdm.53B8588D8BD14BE6A08B7F843367F2E7.edm" hidden="1">#REF!</definedName>
    <definedName name="_bdm.55C6E2682DC14330B930B55C20E999F5.edm" hidden="1">#REF!</definedName>
    <definedName name="_bdm.56759a0aaab9447da1feaf28376f3f18.edm" hidden="1">#REF!</definedName>
    <definedName name="_bdm.573d212a20654bf5ab778dee601afd58.edm" hidden="1">#REF!</definedName>
    <definedName name="_bdm.57d903146e3d4850abdc49aa9f296d63.edm" hidden="1">#REF!</definedName>
    <definedName name="_bdm.5847cc8080794a41857de6938659f571.edm" hidden="1">#REF!</definedName>
    <definedName name="_bdm.585db46637e84fdbb9c96eb7fa844a10.edm" hidden="1">#REF!</definedName>
    <definedName name="_bdm.5a9550d1794142fca9aee1e5d136e99b.edm" hidden="1">#REF!</definedName>
    <definedName name="_bdm.5B55EC15D59D494AA5E3D74BF9AE6CDB.edm" hidden="1">#REF!</definedName>
    <definedName name="_bdm.5c152d30ac0747f79c24f036e6a05020.edm" hidden="1">#REF!</definedName>
    <definedName name="_bdm.5d3c0e326a334d279f76e57f90740956.edm" hidden="1">#REF!</definedName>
    <definedName name="_bdm.5d44ab69fbb040c7bc1f0362425a561d.edm" hidden="1">#REF!</definedName>
    <definedName name="_bdm.5E33D80936FF461DBB0DB84C43F2AEE1.edm" hidden="1">#REF!</definedName>
    <definedName name="_bdm.611D4DDA87EF42AA90F2FA28840BF690.edm" hidden="1">#REF!</definedName>
    <definedName name="_bdm.617c28e3bf3143568adc3a4d9b531865.edm" hidden="1">#REF!</definedName>
    <definedName name="_bdm.61BCC72FEF544305962BC1B8A79A047C.edm" hidden="1">#REF!</definedName>
    <definedName name="_bdm.6345A47B58A343509A5E5CE5AB4B4039.edm" hidden="1">#REF!</definedName>
    <definedName name="_bdm.6474F71561324010A7163BD0F39AC319.edm" hidden="1">#REF!</definedName>
    <definedName name="_bdm.6517d25ae5414d19b53ecc71e4866bb9.edm" hidden="1">#REF!</definedName>
    <definedName name="_bdm.66202a0bdac64c43a5a7f83fd8de7c9f.edm" hidden="1">#REF!</definedName>
    <definedName name="_bdm.6690f7a1b49046cd92e6613dfaef875d.edm" hidden="1">#REF!</definedName>
    <definedName name="_bdm.6744826fa0a84f48a7412377f4d55fba.edm" hidden="1">#REF!</definedName>
    <definedName name="_bdm.68bfd4388f7043ed9321ec5178f77d37.edm" hidden="1">#REF!</definedName>
    <definedName name="_bdm.690DCB2C58A444FB8E19E8172F7551D0.edm" hidden="1">#REF!</definedName>
    <definedName name="_bdm.695146503cea4412b0664012f646045f.edm" hidden="1">#REF!</definedName>
    <definedName name="_bdm.695DE6B52CCF4DAAB9613899D0578510.edm" hidden="1">#REF!</definedName>
    <definedName name="_bdm.69c201d82a644eca8a9fbed036d32601.edm" hidden="1">#REF!</definedName>
    <definedName name="_bdm.69EEF9853B574AF8B35319A5EBA11C1D.edm" hidden="1">#REF!</definedName>
    <definedName name="_bdm.6B4CD3DB9CD04B3280EA75813D4137E7.edm" hidden="1">#REF!</definedName>
    <definedName name="_bdm.6B6478D0EF5E46C895B047C1A6E87B12.edm" hidden="1">#REF!</definedName>
    <definedName name="_bdm.6ba6e74e6eb748d583cd9321429e307b.edm" hidden="1">#REF!</definedName>
    <definedName name="_bdm.6CBF80B59BBA40729DF3118FA294266F.edm" hidden="1">#REF!</definedName>
    <definedName name="_bdm.6d7dc00e546f4af4a97581b467c60e24.edm" hidden="1">#REF!</definedName>
    <definedName name="_bdm.6D80109B25D5424383004604AEA9BDF5.edm" hidden="1">#REF!</definedName>
    <definedName name="_bdm.6eb18a8db4e446b28c802ec87abb9678.edm" hidden="1">#REF!</definedName>
    <definedName name="_bdm.6ef4e8c9112541f6b7d3df8797f5dd48.edm" hidden="1">#REF!</definedName>
    <definedName name="_bdm.705bdc931efa45a38c8e79cc7b403c80.edm" hidden="1">#REF!</definedName>
    <definedName name="_bdm.72599d5820f046f79580d875534f093a.edm" hidden="1">#REF!</definedName>
    <definedName name="_bdm.72733edca7d54cd2b5c4d91c4dca0d87.edm" hidden="1">#REF!</definedName>
    <definedName name="_bdm.72ddd337e3fa4eacaaab8d3cd0a6781c.edm" hidden="1">#REF!</definedName>
    <definedName name="_bdm.740fc54ffb42446ca63ea59791c98f7f.edm" hidden="1">#REF!</definedName>
    <definedName name="_bdm.743876be619f4b52801a576ad0fe44b2.edm" hidden="1">#REF!</definedName>
    <definedName name="_bdm.752f7def96f14bc3accad76e5e3cdd88.edm" hidden="1">#REF!</definedName>
    <definedName name="_bdm.759585e16e7748679500ad71118a6d6e.edm" hidden="1">#REF!</definedName>
    <definedName name="_bdm.768E942FB4B64B6DB799489951C220A4.edm" hidden="1">#REF!</definedName>
    <definedName name="_bdm.76C1CA9AB7C64E4EA9A68027251EF1BC.edm" hidden="1">#REF!</definedName>
    <definedName name="_bdm.77DA9F4C8D624AB194C15C5E3B9031B8.edm" hidden="1">#REF!</definedName>
    <definedName name="_bdm.77e9decbb7fb448aa095208fe0d7e92e.edm" hidden="1">#REF!</definedName>
    <definedName name="_bdm.77eb6f822121492aa3868cae88abcecb.edm" hidden="1">#REF!</definedName>
    <definedName name="_bdm.79048CB2734E42A1813A19AF346D6F3B.edm" hidden="1">#REF!</definedName>
    <definedName name="_bdm.7b3daf2bbd48461a903ceba3efd1f98f.edm" hidden="1">#REF!</definedName>
    <definedName name="_bdm.7BB98D03E505425C86327E32DBC0D055.edm" hidden="1">#REF!</definedName>
    <definedName name="_bdm.7cab456764a843c5a0f973d6cb3d7e6f.edm" hidden="1">#REF!</definedName>
    <definedName name="_bdm.7e2ade1d496b41699589357f401fda88.edm" hidden="1">#REF!</definedName>
    <definedName name="_bdm.80dab799bf934ad89c97157bd37e5ea2.edm" hidden="1">#REF!</definedName>
    <definedName name="_bdm.80de3299fc444467872f9c1f5362b194.edm" hidden="1">#REF!</definedName>
    <definedName name="_bdm.8134ED1DAEB9423CB86DDCC37FBF4B60.edm" hidden="1">#REF!</definedName>
    <definedName name="_bdm.81cf058de8eb44c0968677f4f1b16ca0.edm" hidden="1">#REF!</definedName>
    <definedName name="_bdm.8270c8391a854536a57f9a2ef1f3e700.edm" hidden="1">#REF!</definedName>
    <definedName name="_bdm.84e52997677e4d24b08c10da4c726f80.edm" hidden="1">#REF!</definedName>
    <definedName name="_bdm.8579f21d031b403b887d0d942946dca6.edm" hidden="1">#REF!</definedName>
    <definedName name="_bdm.87829f9add7842d196825301219fd187.edm" hidden="1">#REF!</definedName>
    <definedName name="_bdm.88462335defc4036849a815ca4416c8c.edm" hidden="1">#REF!</definedName>
    <definedName name="_bdm.88DE675B217D4B5AB06EB27234E336DD.edm" hidden="1">#REF!</definedName>
    <definedName name="_bdm.89af515db2d24d9daeefaccc0480a5fd.edm" hidden="1">#REF!</definedName>
    <definedName name="_bdm.8A01BA718DF042DF87A05884A9762F99.edm" hidden="1">#REF!</definedName>
    <definedName name="_bdm.8a3c598aee154ff6931ce6dd468ddaea.edm" hidden="1">#REF!</definedName>
    <definedName name="_bdm.8a44d1c95ac34250b264a3a864fcb86b.edm" hidden="1">#REF!</definedName>
    <definedName name="_bdm.8a55a33b552e451fb03ec997b9731453.edm" hidden="1">#REF!</definedName>
    <definedName name="_bdm.8A74F226BC7E448880491081B5E559C9.edm" hidden="1">#REF!</definedName>
    <definedName name="_bdm.8acce3f26cf3435eadd77bf53e776142.edm" hidden="1">#REF!</definedName>
    <definedName name="_bdm.8b735da0ebee4c2aa21cfc2dd862b1f6.edm" hidden="1">#REF!</definedName>
    <definedName name="_bdm.8c6844f36d254a2e8c83479dd4b5ba66.edm" hidden="1">#REF!</definedName>
    <definedName name="_bdm.8c9a430faa154994a2270cae796eb559.edm" hidden="1">#REF!</definedName>
    <definedName name="_bdm.8cdb7ccd95d74af990906609ea35dfbc.edm" hidden="1">#REF!</definedName>
    <definedName name="_bdm.8dfc430906c342bd882d6a98b39b69f1.edm" hidden="1">#REF!</definedName>
    <definedName name="_bdm.8fee786ed9404fafa730e21479774b05.edm" hidden="1">#REF!</definedName>
    <definedName name="_bdm.9091c479dd1b47ec874324364a5b9ae3.edm" hidden="1">#REF!</definedName>
    <definedName name="_bdm.913e03f58e1f4452963c57a381265ee7.edm" hidden="1">#REF!</definedName>
    <definedName name="_bdm.91bb3967f5ab43638490196a74a3b859.edm" hidden="1">#REF!</definedName>
    <definedName name="_bdm.92951F8D73D34A79841097E747605D72.edm" hidden="1">#REF!</definedName>
    <definedName name="_bdm.9318214132654ABFB4F345AB00ADA197.edm" hidden="1">#REF!</definedName>
    <definedName name="_bdm.933c704ab6a74f50a4375dd8a03e5045.edm" hidden="1">#REF!</definedName>
    <definedName name="_bdm.9347813EDA2D4178B7EB33844EBC3B74.edm" hidden="1">#REF!</definedName>
    <definedName name="_bdm.93ca406dc6834ae69565065edc9c2485.edm" hidden="1">#REF!</definedName>
    <definedName name="_bdm.941d8a5b190745d6a951854dfcf9005b.edm" hidden="1">#REF!</definedName>
    <definedName name="_bdm.959e76887e7543758f2e98344fea62e5.edm" hidden="1">#REF!</definedName>
    <definedName name="_bdm.9686b5ad8e454bdc831589f3096d9a75.edm" hidden="1">#REF!</definedName>
    <definedName name="_bdm.96ee6eb46f9a4d5ca04dbb22b806a387.edm" hidden="1">#REF!</definedName>
    <definedName name="_bdm.9773963F8F664A5BAFFDD14408AE5D5C.edm" hidden="1">#REF!</definedName>
    <definedName name="_bdm.97f1ead495c84670898d6dfa5bee1f4f.edm" hidden="1">#REF!</definedName>
    <definedName name="_bdm.9840CBC8A13246BC9F2D0A3B1EDCC149.edm" hidden="1">#REF!</definedName>
    <definedName name="_bdm.98F9D23E9F254652B910CB0A817702FF.edm" hidden="1">#REF!</definedName>
    <definedName name="_bdm.991A663BE1BA4CE6916986AE15E5C2FE.edm">#REF!</definedName>
    <definedName name="_bdm.9980A307627F4AC2BDBE2115E0B06513.edm" hidden="1">#REF!</definedName>
    <definedName name="_bdm.9A5FF541A7C240C68AA2A760D88F0C96.edm" hidden="1">#REF!</definedName>
    <definedName name="_bdm.9B4F73DE7B9B423F85413D15799929B9.edm" hidden="1">#REF!</definedName>
    <definedName name="_bdm.9B95587AAA0D4529A80972651610B69D.edm" hidden="1">#REF!</definedName>
    <definedName name="_bdm.9B9BED19AB70458AACC0FF0262550307.edm" hidden="1">#REF!</definedName>
    <definedName name="_bdm.9bf3eba9f5f6408b818855474c2e88be.edm" hidden="1">#REF!</definedName>
    <definedName name="_bdm.9C0F22EB991647899C69D3606D8233EA.edm" hidden="1">#REF!</definedName>
    <definedName name="_bdm.9c5955bcfec749a298665d8a8f29553a.edm" hidden="1">#REF!</definedName>
    <definedName name="_bdm.9CDC35CDB7B143079762F320F757C403.edm" hidden="1">#REF!</definedName>
    <definedName name="_bdm.9E7067C4F74F439F9F4DDE68F1BB3D31.edm" hidden="1">#REF!</definedName>
    <definedName name="_bdm.9fb81551161744a787e2a30fecbf0e58.edm" hidden="1">#REF!</definedName>
    <definedName name="_bdm.9FB94BFF469448A39A157D2170F6FAD8.edm" hidden="1">#REF!</definedName>
    <definedName name="_bdm.a0309f58e97b4c6d8322611907706b6a.edm" hidden="1">#REF!</definedName>
    <definedName name="_bdm.A167614B5AB04450BDCC017984F98BD1.edm" hidden="1">#REF!</definedName>
    <definedName name="_bdm.a1e0c8fa41d44456bd3fd7eb5a5d9627.edm" hidden="1">#REF!</definedName>
    <definedName name="_bdm.a2767cf6f5294501949b9f3c21b3776d.edm" hidden="1">#REF!</definedName>
    <definedName name="_bdm.A4287E419D9A42F59525356CCC3AF459.edm" hidden="1">#REF!</definedName>
    <definedName name="_bdm.a4ade6bf31a84e6bacb74a8df69fca58.edm" hidden="1">#REF!</definedName>
    <definedName name="_bdm.a4e32d05834443d8bb3ab6ac58bacc29.edm" hidden="1">#REF!</definedName>
    <definedName name="_bdm.A5E0DCB628F14010BCBA93BC8610F0DD.edm" hidden="1">#REF!</definedName>
    <definedName name="_bdm.a65ba98f020746a282c74583788716a5.edm" hidden="1">#REF!</definedName>
    <definedName name="_bdm.A6926EE733B94CFA91C2CD8D3F46F7DC.edm" hidden="1">#REF!</definedName>
    <definedName name="_bdm.a69419b31f744796b987db38ad0d649e.edm" hidden="1">#REF!</definedName>
    <definedName name="_bdm.a7155ec8dbbd466e9e9760143496bc24.edm" hidden="1">#REF!</definedName>
    <definedName name="_bdm.A7C380F80D0E4138B4E821394D71DD24.edm" hidden="1">#REF!</definedName>
    <definedName name="_bdm.A7FC520B6D5F4AA58CED3112E44F5BC8.edm" hidden="1">#REF!</definedName>
    <definedName name="_bdm.a8e01da119ca4d9c97d0184b931b4420.edm" hidden="1">#REF!</definedName>
    <definedName name="_bdm.A8E4274E81CA43DD81E063DB8E8488B6.edm" hidden="1">#REF!</definedName>
    <definedName name="_bdm.a9bdb66125344bda87e3559b597fcebb.edm" hidden="1">#REF!</definedName>
    <definedName name="_bdm.A9E8F2214015449F99BBFDAC629C22DB.edm" hidden="1">#REF!</definedName>
    <definedName name="_bdm.AAFE9F59F94E4BC99E3DF4D61B8DAC54.edm" hidden="1">#REF!</definedName>
    <definedName name="_bdm.AB6E48CCB79045088666253DA2354094.edm" hidden="1">#REF!</definedName>
    <definedName name="_bdm.ab7b7b42d23245188962b044b04613e6.edm" hidden="1">#REF!</definedName>
    <definedName name="_bdm.acacaaab71bd41e0b29ad58a8364f331.edm" hidden="1">#REF!</definedName>
    <definedName name="_bdm.ace1aaa519c24574890ddd820cc2d91c.edm" hidden="1">#REF!</definedName>
    <definedName name="_bdm.acefef0cf05b4befa5daff43bfd4bb8b.edm" hidden="1">#REF!</definedName>
    <definedName name="_bdm.AE848B48235A4721AB3365027DD50BC3.edm" hidden="1">#REF!</definedName>
    <definedName name="_bdm.b1683122ac6b4606ba091a2d30a53c97.edm" hidden="1">#REF!</definedName>
    <definedName name="_bdm.b1eabde8290f4838b117aaead9446cfd.edm" hidden="1">#REF!</definedName>
    <definedName name="_bdm.B2032367E3D043179A68D93F1AF892F0.edm" hidden="1">#REF!</definedName>
    <definedName name="_bdm.b4d515774e7a423c8064201e48a64c9c.edm" hidden="1">#REF!</definedName>
    <definedName name="_bdm.b5041e810ee848ba875604fcd0842afa.edm" hidden="1">#REF!</definedName>
    <definedName name="_bdm.b5d441b04f98485b9fa2305f394ea693.edm" hidden="1">#REF!</definedName>
    <definedName name="_bdm.B5E1CE290D664EC9908CE120B7DDB7AD.edm" hidden="1">#REF!</definedName>
    <definedName name="_bdm.b6296d9d69be44d3b0ab376cc7a2077d.edm" hidden="1">#REF!</definedName>
    <definedName name="_bdm.b66241962f6f4cf6a41d86d230025c5f.edm" hidden="1">#REF!</definedName>
    <definedName name="_bdm.B78A2F570E0D4F80A27689B75CAACA19.edm" hidden="1">#REF!</definedName>
    <definedName name="_bdm.ba0e971b62974a1f9760da1d7cb28c92.edm" hidden="1">#REF!</definedName>
    <definedName name="_bdm.bae08ec90f6946df8081afc258d047e2.edm" hidden="1">#REF!</definedName>
    <definedName name="_bdm.bb2880eacbfa40f28db22aef1696cb1f.edm" hidden="1">#REF!</definedName>
    <definedName name="_bdm.bc8b6fd2b37a4ce0be52c1d86876776c.edm" hidden="1">#REF!</definedName>
    <definedName name="_bdm.bd64d8e91eb7459492d2479b62de5090.edm" hidden="1">#REF!</definedName>
    <definedName name="_bdm.bf1dc11590534f868048842401151fd0.edm" hidden="1">#REF!</definedName>
    <definedName name="_bdm.bfdbf5fa636b44d9a2044c3bf3f4fce1.edm" hidden="1">#REF!</definedName>
    <definedName name="_bdm.C1C9DB90A90F4EDEADC2020181064055.edm" hidden="1">#REF!</definedName>
    <definedName name="_bdm.C2CAD42D8B56424F8404DD77E85746AB.edm" hidden="1">#REF!</definedName>
    <definedName name="_bdm.C2DEFBCBCB3042BF8F2B1F60A42A8E52.edm" hidden="1">#REF!</definedName>
    <definedName name="_bdm.c337c662ace64983b75f1598939e1ca0.edm" hidden="1">#REF!</definedName>
    <definedName name="_bdm.c82f6d59ab0f4183ab7982284f6ca023.edm" hidden="1">#REF!</definedName>
    <definedName name="_bdm.c8bf4ff180e749a491185ffa426301d6.edm" hidden="1">#REF!</definedName>
    <definedName name="_bdm.C925324C49934A708D2B6700808F8764.edm" hidden="1">#REF!</definedName>
    <definedName name="_bdm.c95f0efb7afc4bddb5661b316a446c20.edm" hidden="1">#REF!</definedName>
    <definedName name="_bdm.c9a47520da6949a2b5aaba1c8d616fa7.edm" hidden="1">#REF!</definedName>
    <definedName name="_bdm.ca0246c24b4a411e9c1357fe5fe0d343.edm" hidden="1">#REF!</definedName>
    <definedName name="_bdm.CAAD75B892744DA7A396804116BF19C2.edm" hidden="1">#REF!</definedName>
    <definedName name="_bdm.CCC9810E33DE4D12B7AF2ADB20F5BEB6.edm" hidden="1">#REF!</definedName>
    <definedName name="_bdm.cd3bb972c60f4b6799bf04a025053b04.edm" hidden="1">#REF!</definedName>
    <definedName name="_bdm.cddae0b36de9441ab74dcccc5f4a8df5.edm" hidden="1">#REF!</definedName>
    <definedName name="_bdm.CE56C342CD3540C5B77D34088A5500BC.edm" hidden="1">#REF!</definedName>
    <definedName name="_bdm.ceef965ab9254e0fb3aeb937de166942.edm" hidden="1">#REF!</definedName>
    <definedName name="_bdm.d1968915ea1d488ba2e70cb188c7112f.edm" hidden="1">#REF!</definedName>
    <definedName name="_bdm.d1ca68b227d84bca98bb89dba783a220.edm" hidden="1">#REF!</definedName>
    <definedName name="_bdm.d267de5bccac46c4a3b6fd653ff128a9.edm" hidden="1">#REF!</definedName>
    <definedName name="_bdm.d46160ba463e4ec58df8f8883b774659.edm" hidden="1">#REF!</definedName>
    <definedName name="_bdm.d53f47b82daf45e4868929e6a4a61b28.edm" hidden="1">#REF!</definedName>
    <definedName name="_bdm.d5905c45accc467d8e0cbecfbdb6d351.edm" hidden="1">#REF!</definedName>
    <definedName name="_bdm.D6F5CF6F8045429480DDCE6E0FB4CF8A.edm">#REF!</definedName>
    <definedName name="_bdm.d7f5d97357e74fae932e40d0c0b10322.edm" hidden="1">#REF!</definedName>
    <definedName name="_bdm.D7FBAE435B60440FB7AFB73A18C067FE.edm" hidden="1">#REF!</definedName>
    <definedName name="_bdm.D8350DF0B3C24E788B6D515073D98D12.edm" hidden="1">#REF!</definedName>
    <definedName name="_bdm.d911c3c28de14a069d6cd867be25ac4f.edm" hidden="1">#REF!</definedName>
    <definedName name="_bdm.da19e4131cb1467a902e377b3a70585c.edm" hidden="1">#REF!</definedName>
    <definedName name="_bdm.DB532E19E1024187875B38658C500AFB.edm" hidden="1">#REF!</definedName>
    <definedName name="_bdm.DBD4088B2FE64EFFBD5763C303FE8098.edm" hidden="1">#REF!</definedName>
    <definedName name="_bdm.dcae2f7028fe4979b995dfb76193bf08.edm" hidden="1">#REF!</definedName>
    <definedName name="_bdm.DEA18FBF194C4A2485C74D2B88DE267C.edm" hidden="1">#REF!</definedName>
    <definedName name="_bdm.df41725d793e46f38e1f8990b163397d.edm" hidden="1">#REF!</definedName>
    <definedName name="_bdm.e0356664aff14693a7cb956860956da6.edm" hidden="1">#REF!</definedName>
    <definedName name="_bdm.E171FA66ABC54C9DADA09CD9F8AB6B0C.edm" hidden="1">#REF!</definedName>
    <definedName name="_bdm.E1B43066DE8649EABD640EA1FB4B4558.edm" hidden="1">#REF!</definedName>
    <definedName name="_bdm.e35c9784e4ad47a7a5c78064174100d9.edm" hidden="1">#REF!</definedName>
    <definedName name="_bdm.e570225ffa854d47a1516065465b8c39.edm" hidden="1">#REF!</definedName>
    <definedName name="_bdm.e6bcf26036b34f4db6695a8b5c33b57a.edm" hidden="1">#REF!</definedName>
    <definedName name="_bdm.e6dccd4ab8d3434685207de9b0e69c8f.edm" hidden="1">#REF!</definedName>
    <definedName name="_bdm.E75DD1A6B0C44EBD81C357A5EFEBEA42.edm" hidden="1">#REF!</definedName>
    <definedName name="_bdm.e804dc798379461fa121860e9b194de2.edm">#REF!</definedName>
    <definedName name="_bdm.E8EC5F4AE1984127A7E99479561C0BEE.edm" hidden="1">#REF!</definedName>
    <definedName name="_bdm.E8F42E99E7AC48AF8331D23001B31873.edm" hidden="1">#REF!</definedName>
    <definedName name="_bdm.ea29e06f9ded4e86b9cbf4762b02bddd.edm" hidden="1">#REF!</definedName>
    <definedName name="_bdm.ea9f24a0f4aa426da34a0155eec39fb9.edm" hidden="1">#REF!</definedName>
    <definedName name="_bdm.EB43500421CE40AEBA0772E36B3472F8.edm" hidden="1">#REF!</definedName>
    <definedName name="_bdm.ebbe593872c146e495157e215b93eeb9.edm" hidden="1">#REF!</definedName>
    <definedName name="_bdm.ec392cdd89b246f6b0eb47f49d8944e6.edm" hidden="1">#REF!</definedName>
    <definedName name="_bdm.ECFB05E813B84D1C8191467E1F071C92.edm" hidden="1">#REF!</definedName>
    <definedName name="_bdm.edcc4b88f07b4d1a888964801b0caace.edm" hidden="1">#REF!</definedName>
    <definedName name="_bdm.EEECE97F698B4FDAB2E1D4AB081730DE.edm" hidden="1">#REF!</definedName>
    <definedName name="_bdm.efcbd69260ea4ab6b13dddaadc5672f1.edm" hidden="1">#REF!</definedName>
    <definedName name="_bdm.EFE077125CF346DCA463019ED213D0F2.edm" hidden="1">#REF!</definedName>
    <definedName name="_bdm.EFE67FEE883045EF9CB98675397B7740.edm" hidden="1">#REF!</definedName>
    <definedName name="_bdm.f0cf77fbe11444718a99346b2348416b.edm" hidden="1">#REF!</definedName>
    <definedName name="_bdm.f482b124e8ea49738352fda7cfb1cf72.edm" hidden="1">#REF!</definedName>
    <definedName name="_bdm.f657bf8812554f2393edb0592314ae5c.edm" hidden="1">#REF!</definedName>
    <definedName name="_bdm.f65f2519a1cc483eb303d30ed9683ea7.edm" hidden="1">#REF!</definedName>
    <definedName name="_bdm.f7b60a177fac4ea7a512e4515a187e3d.edm" hidden="1">#REF!</definedName>
    <definedName name="_bdm.F8F792F9D009453993602DCCA3B5240D.edm" hidden="1">#N/A</definedName>
    <definedName name="_bdm.f98f720359e04de195dafd5feb1f2931.edm" hidden="1">#REF!</definedName>
    <definedName name="_bdm.FA206C7EF05344A1ADB2599D6DDD41D6.edm">#REF!</definedName>
    <definedName name="_bdm.fad79cfd8c724f4fb4fa4bd50bf3e80c.edm" hidden="1">#REF!</definedName>
    <definedName name="_bdm.fae8c1993a0348c6bd3f3f88bca1680b.edm" hidden="1">#REF!</definedName>
    <definedName name="_bdm.faefdaef13054963acdeec03973192fb.edm" hidden="1">#REF!</definedName>
    <definedName name="_bdm.FB8D8AB244B64BB9B4F5F5A4C5205085.edm" hidden="1">#REF!</definedName>
    <definedName name="_bdm.fbf2cf8320134cd6b6acb7e0469adae4.edm" hidden="1">#REF!</definedName>
    <definedName name="_bdm.fbf95f80a8a345a8a68e5f1c32ce5841.edm" hidden="1">#REF!</definedName>
    <definedName name="_bdm.fc1c10be5f384f7f9699c11635fbdb69.edm" hidden="1">#REF!</definedName>
    <definedName name="_bdm.fc61fabc452f40daa3bf7256b8675373.edm" hidden="1">#REF!</definedName>
    <definedName name="_bdm.fcc3c2e62e6a4d5688d33611eff53a3d.edm" hidden="1">#REF!</definedName>
    <definedName name="_bdm.fcf6e00ad80b48a6998240808bbc7a82.edm" hidden="1">#REF!</definedName>
    <definedName name="_bdm.FD487F27E0724F8DAF570580F1DFFFAE.edm" hidden="1">#REF!</definedName>
    <definedName name="_bdm.fe3608643574427ca90d2121c365c41f.edm">#REF!</definedName>
    <definedName name="_bdm.FFC5EF32465945DAA17669510023CD85.edm" hidden="1">#REF!</definedName>
    <definedName name="_Budget_for_Measure" hidden="1">#REF!</definedName>
    <definedName name="_c" hidden="1">{"Fiesta Facer Page",#N/A,FALSE,"Q_C_S";"Fiesta Main Page",#N/A,FALSE,"V_L";"Fiesta 95BP Struct",#N/A,FALSE,"StructBP";"Fiesta Post 95BP Struct",#N/A,FALSE,"AdjStructBP"}</definedName>
    <definedName name="_cd1" hidden="1">{#N/A,#N/A,FALSE,"Job Sched"}</definedName>
    <definedName name="_cd2" hidden="1">{#N/A,#N/A,FALSE,"Job Sched"}</definedName>
    <definedName name="_CD3" hidden="1">{#N/A,#N/A,FALSE,"Job Sched"}</definedName>
    <definedName name="_cd4" hidden="1">{#N/A,#N/A,FALSE,"Job Sched"}</definedName>
    <definedName name="_Cd5" hidden="1">{#N/A,#N/A,FALSE,"A"}</definedName>
    <definedName name="_cd8" hidden="1">{#N/A,#N/A,FALSE,"Job Sched"}</definedName>
    <definedName name="_Dec01" hidden="1">{"Statement of Income",#N/A,TRUE,"Mar99";"Balance Sheet",#N/A,TRUE,"Mar99"}</definedName>
    <definedName name="_df1" hidden="1">{#N/A,#N/A,FALSE,"Calc";#N/A,#N/A,FALSE,"Sensitivity";#N/A,#N/A,FALSE,"LT Earn.Dil.";#N/A,#N/A,FALSE,"Dil. AVP"}</definedName>
    <definedName name="_df2" hidden="1">{#N/A,#N/A,FALSE,"Calc";#N/A,#N/A,FALSE,"Sensitivity";#N/A,#N/A,FALSE,"LT Earn.Dil.";#N/A,#N/A,FALSE,"Dil. AVP"}</definedName>
    <definedName name="_dfd1" hidden="1">{"FCB_ALL",#N/A,FALSE,"FCB";"GREY_ALL",#N/A,FALSE,"GREY"}</definedName>
    <definedName name="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ist_Values" hidden="1">#REF!</definedName>
    <definedName name="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ex1">#REF!</definedName>
    <definedName name="_fas123" hidden="1">{"Balance Sheet",#N/A,FALSE,"Annual Summary";"Cashflows",#N/A,FALSE,"Annual Summary";"Summary Earnings",#N/A,FALSE,"Annual Summary"}</definedName>
    <definedName name="_feb01" hidden="1">{"Statement of Income",#N/A,TRUE,"Mar99";"Balance Sheet",#N/A,TRUE,"Mar99"}</definedName>
    <definedName name="_feb02" hidden="1">{"Statement of Income",#N/A,TRUE,"Mar99";"Balance Sheet",#N/A,TRUE,"Mar99"}</definedName>
    <definedName name="_Fill" hidden="1">#REF!</definedName>
    <definedName name="_for_YTD_Year" hidden="1">#REF!</definedName>
    <definedName name="_fy97" hidden="1">{#N/A,#N/A,FALSE,"FY97";#N/A,#N/A,FALSE,"FY98";#N/A,#N/A,FALSE,"FY99";#N/A,#N/A,FALSE,"FY00";#N/A,#N/A,FALSE,"FY01"}</definedName>
    <definedName name="_hd1" hidden="1">{#N/A,#N/A,FALSE,"Calc";#N/A,#N/A,FALSE,"Sensitivity";#N/A,#N/A,FALSE,"LT Earn.Dil.";#N/A,#N/A,FALSE,"Dil. AVP"}</definedName>
    <definedName name="_hd2" hidden="1">{#N/A,#N/A,FALSE,"Calc";#N/A,#N/A,FALSE,"Sensitivity";#N/A,#N/A,FALSE,"LT Earn.Dil.";#N/A,#N/A,FALSE,"Dil. AVP"}</definedName>
    <definedName name="_I2" hidden="1">{"PVGraph2",#N/A,FALSE,"PV Data"}</definedName>
    <definedName name="_I3" hidden="1">{"PVGraph2",#N/A,FALSE,"PV Data"}</definedName>
    <definedName name="_isg2" hidden="1">{#N/A,#N/A,FALSE,"REPORT"}</definedName>
    <definedName name="_Jun02" hidden="1">{"Statement of Income",#N/A,TRUE,"Mar99";"Balance Sheet",#N/A,TRUE,"Mar99"}</definedName>
    <definedName name="_Key1" hidden="1">#REF!</definedName>
    <definedName name="_Key2" hidden="1">#REF!</definedName>
    <definedName name="_Mar03" hidden="1">{"Statement of Income",#N/A,TRUE,"Mar99";"Balance Sheet",#N/A,TRUE,"Mar99"}</definedName>
    <definedName name="_Mar04" hidden="1">{"Statement of Income",#N/A,TRUE,"Mar99";"Balance Sheet",#N/A,TRUE,"Mar99"}</definedName>
    <definedName name="_mfg2" hidden="1">{"PAGE 1",#N/A,FALSE,"WEST_OT"}</definedName>
    <definedName name="_mfg3" hidden="1">{"PAGE 1",#N/A,FALSE,"WEST_OT"}</definedName>
    <definedName name="_mfg4" hidden="1">{"PAGE 1",#N/A,FALSE,"WEST_OT"}</definedName>
    <definedName name="_mfg5" hidden="1">{"PAGE 1",#N/A,FALSE,"WEST_OT"}</definedName>
    <definedName name="_na2" hidden="1">"100"</definedName>
    <definedName name="_na3" hidden="1">"50"</definedName>
    <definedName name="_na4" hidden="1">"IQ_LTM_DATE"</definedName>
    <definedName name="_new1" hidden="1">{#N/A,#N/A,FALSE,"Pharm";#N/A,#N/A,FALSE,"WWCM"}</definedName>
    <definedName name="_new22" hidden="1">{#N/A,#N/A,FALSE,"Income";#N/A,#N/A,FALSE,"Cost of Goods Sold";#N/A,#N/A,FALSE,"Other Costs";#N/A,#N/A,FALSE,"Other Income";#N/A,#N/A,FALSE,"Taxes";#N/A,#N/A,FALSE,"Other Deductions";#N/A,#N/A,FALSE,"Compensation of Officers"}</definedName>
    <definedName name="_nt97">#REF!</definedName>
    <definedName name="_nt98">#REF!</definedName>
    <definedName name="_o1" hidden="1">{#N/A,#N/A,FALSE,"SUMMARY";#N/A,#N/A,FALSE,"mcsh";#N/A,#N/A,FALSE,"vol&amp;rev";#N/A,#N/A,FALSE,"wkgcap";#N/A,#N/A,FALSE,"DEPR&amp;DT";#N/A,#N/A,FALSE,"ASSETS";#N/A,#N/A,FALSE,"NI&amp;OTH&amp;DIV";#N/A,#N/A,FALSE,"CASHFLOW";#N/A,#N/A,FALSE,"CAPEMPL";#N/A,#N/A,FALSE,"ROCE"}</definedName>
    <definedName name="_OCT01" hidden="1">{"Statement of Income",#N/A,TRUE,"Mar99";"Balance Sheet",#N/A,TRUE,"Mar99"}</definedName>
    <definedName name="_OCT03" hidden="1">{"Statement of Income",#N/A,TRUE,"Mar99";"Balance Sheet",#N/A,TRUE,"Mar99"}</definedName>
    <definedName name="_OK2" hidden="1">{#N/A,#N/A,FALSE,"Cover";#N/A,#N/A,FALSE,"LUMI";#N/A,#N/A,FALSE,"COMD";#N/A,#N/A,FALSE,"Valuation";#N/A,#N/A,FALSE,"Assumptions";#N/A,#N/A,FALSE,"Pooling";#N/A,#N/A,FALSE,"BalanceSheet"}</definedName>
    <definedName name="_old2" hidden="1">{#N/A,#N/A,FALSE,"Income";#N/A,#N/A,FALSE,"Cost of Goods Sold";#N/A,#N/A,FALSE,"Other Costs";#N/A,#N/A,FALSE,"Other Income";#N/A,#N/A,FALSE,"Taxes";#N/A,#N/A,FALSE,"Other Deductions";#N/A,#N/A,FALSE,"Compensation of Officers"}</definedName>
    <definedName name="_Order1" hidden="1">255</definedName>
    <definedName name="_Order2" hidden="1">255</definedName>
    <definedName name="_org_H_per_pot_others">#REF!</definedName>
    <definedName name="_p1" hidden="1">{"SUM",#N/A,FALSE,"Details (2)"}</definedName>
    <definedName name="_Parse_In" hidden="1">#REF!</definedName>
    <definedName name="_Parse_Out" hidden="1">#REF!</definedName>
    <definedName name="_php97">#REF!</definedName>
    <definedName name="_php98">#REF!</definedName>
    <definedName name="_PL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4" hidden="1">{#N/A,#N/A,FALSE,"Report Data";#N/A,#N/A,FALSE,"COMP POOL";#N/A,#N/A,FALSE,"COMP POOL NB95";#N/A,#N/A,FALSE,"COMP POOL NB94"}</definedName>
    <definedName name="_PL5"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p2" hidden="1">{"Summary",#N/A,FALSE,"Details (2)"}</definedName>
    <definedName name="_ppp1" hidden="1">{"SUM",#N/A,FALSE,"Details (2)"}</definedName>
    <definedName name="_q2" hidden="1">{"Summary",#N/A,FALSE,"Details (2)"}</definedName>
    <definedName name="_q3" hidden="1">#REF!</definedName>
    <definedName name="_q4" hidden="1">{"Summary",#N/A,FALSE,"Details (2)"}</definedName>
    <definedName name="_q5" hidden="1">{"SUM",#N/A,FALSE,"Details (2)"}</definedName>
    <definedName name="_r" hidden="1">{#N/A,#N/A,FALSE,"Pharm";#N/A,#N/A,FALSE,"WWCM"}</definedName>
    <definedName name="_Regression_Int" hidden="1">1</definedName>
    <definedName name="_Regression_Out" hidden="1">#REF!</definedName>
    <definedName name="_Regression_X" hidden="1">#REF!</definedName>
    <definedName name="_Regression_Y" hidden="1">#REF!</definedName>
    <definedName name="_Rf_Feb_Act_for_YTD" hidden="1">#REF!</definedName>
    <definedName name="_Rf_Oct_Act_for_2003_YTD" hidden="1">#REF!</definedName>
    <definedName name="_rm97">#REF!</definedName>
    <definedName name="_rm98">#REF!</definedName>
    <definedName name="_SEP01" hidden="1">{"Statement of Income",#N/A,TRUE,"Mar99";"Balance Sheet",#N/A,TRUE,"Mar99"}</definedName>
    <definedName name="_Sep03" hidden="1">{"Statement of Income",#N/A,TRUE,"Mar99";"Balance Sheet",#N/A,TRUE,"Mar99"}</definedName>
    <definedName name="_sg1">#REF!</definedName>
    <definedName name="_sgd97">#REF!</definedName>
    <definedName name="_sgd98">#REF!</definedName>
    <definedName name="_sop3" hidden="1">{"data",#N/A,FALSE,"client (3)";"margins",#N/A,FALSE,"client (3)";"multiple",#N/A,FALSE,"client (3)"}</definedName>
    <definedName name="_Sort" hidden="1">#REF!</definedName>
    <definedName name="_t2" hidden="1">{"'Sheet1'!$A$5:$G$42"}</definedName>
    <definedName name="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m1" hidden="1">{#N/A,#N/A,FALSE,"Pharm";#N/A,#N/A,FALSE,"WWCM"}</definedName>
    <definedName name="_TMAutoChart1Names" hidden="1">{"Timeline","Chart 6","Timeline Chart 6"}</definedName>
    <definedName name="_TMAutoChart1Refs" hidden="1">{"","","'Timeline'!$F$16","'Timeline'!$F$25","","","","","",""}</definedName>
    <definedName name="_TMAutoChart2Names" hidden="1">{"Timeline","Chart 6","Timeline Chart 6"}</definedName>
    <definedName name="_TMAutoChart2Refs" hidden="1">{"","","'Timeline'!$F$16","'Timeline'!$H$25","","","","","",""}</definedName>
    <definedName name="_TMAutoChartCount" hidden="1">2</definedName>
    <definedName name="_v2" hidden="1">{"arpm1995",#N/A,FALSE,"Summary 95-96";"bus_long_distance",#N/A,FALSE,"Summary 95-96";"mins_per_day",#N/A,FALSE,"Summary 95-96";"minutes1995",#N/A,FALSE,"Summary 95-96";"rev_per_day",#N/A,FALSE,"Summary 95-96";"view1995",#N/A,FALSE,"Summary 95-96"}</definedName>
    <definedName name="_ver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w1" hidden="1">{"PVGraph2",#N/A,FALSE,"PV Data"}</definedName>
    <definedName name="_w2" hidden="1">{"PVGraph2",#N/A,FALSE,"PV Data"}</definedName>
    <definedName name="_w3" hidden="1">{"PVGraph2",#N/A,FALSE,"PV Data"}</definedName>
    <definedName name="_wrn1" hidden="1">{#N/A,#N/A,FALSE,"DCF";#N/A,#N/A,FALSE,"WACC";#N/A,#N/A,FALSE,"Sales_EBIT";#N/A,#N/A,FALSE,"Capex_Depreciation";#N/A,#N/A,FALSE,"WC";#N/A,#N/A,FALSE,"Interest";#N/A,#N/A,FALSE,"Assumptions"}</definedName>
    <definedName name="_wrn2" hidden="1">{#N/A,#N/A,FALSE,"ASSUMPTIONS";#N/A,#N/A,FALSE,"Valuation Summary";"page1",#N/A,FALSE,"PRESENTATION";"page2",#N/A,FALSE,"PRESENTATION";#N/A,#N/A,FALSE,"ORIGINAL_ROLLBACK"}</definedName>
    <definedName name="_wrn3" hidden="1">{#N/A,#N/A,FALSE,"ASSUMPTIONS";#N/A,#N/A,FALSE,"Valuation Summary";"page1",#N/A,FALSE,"PRESENTATION";"page2",#N/A,FALSE,"PRESENTATION";#N/A,#N/A,FALSE,"ORIGINAL_ROLLBACK"}</definedName>
    <definedName name="_wrn9" hidden="1">{"FCB_ALL",#N/A,FALSE,"FCB"}</definedName>
    <definedName name="_ww2" hidden="1">{#N/A,#N/A,FALSE,"Admin";#N/A,#N/A,FALSE,"Other"}</definedName>
    <definedName name="_X1" hidden="1">{"Summary",#N/A,FALSE,"Details (2)"}</definedName>
    <definedName name="_X2" hidden="1">{#N/A,#N/A,FALSE,"Other";#N/A,#N/A,FALSE,"Ace";#N/A,#N/A,FALSE,"Derm"}</definedName>
    <definedName name="_xlcn.LinkedTable_Table11" hidden="1">#REF!</definedName>
    <definedName name="_xlcn.WorksheetConnection_CapexA19F431" hidden="1">#REF!</definedName>
    <definedName name="_xlcn.WorksheetConnection_FES_Direct_Margin_Detail_20160523.xlsxTable_dynamicsslsql01_SLFRANKLIN_xFES_Margin_21" hidden="1">#REF!</definedName>
    <definedName name="_xlcn.WorksheetConnection_FES_Direct_Margin_Detail_20160523.xlsxTable_dynamicsslsql01_SLFRANKLIN_xFES_Program_Listing__21" hidden="1">#REF!</definedName>
    <definedName name="_xlcn.WorksheetConnection_FES_Program_Margin_Analysis.xlsxFES_Margin1" hidden="1">#REF!</definedName>
    <definedName name="_xlcn.WorksheetConnection_FES_Program_Margin_Analysis.xlsxPrograms1" hidden="1">#REF!</definedName>
    <definedName name="_xlcn.WorksheetConnection_newHires1" hidden="1">#REF!</definedName>
    <definedName name="_y2" hidden="1">{"PVGraph2",#N/A,FALSE,"PV Data"}</definedName>
    <definedName name="_Zcomps1" hidden="1">{0,0,0,0,1,-4105,42.5196850393701,42.5196850393701,42.5196850393701,42.5196850393701,2,TRUE,TRUE,FALSE,FALSE,FALSE,#N/A,1,85,1,1,"","","","&amp;""Kennerly,Roman Bold""&amp;14L&amp;12EHMAN &amp;14 B&amp;12ROTHERS","","",FALSE}</definedName>
    <definedName name="_Zcomps2" hidden="1">{0,0,0,0,1,-4105,28.3464566929134,28.3464566929134,28.346456664,28.3464566929134,2,TRUE,TRUE,FALSE,FALSE,FALSE,#N/A,1,85,1,2,"","","","&amp;""Kennerly,Roman Bold""&amp;14L&amp;12EHMAN &amp;14 B&amp;12ROTHERS","","",FALSE}</definedName>
    <definedName name="a">#N/A</definedName>
    <definedName name="aa" hidden="1">{#N/A,#N/A,FALSE,"Pharm";#N/A,#N/A,FALSE,"WWCM"}</definedName>
    <definedName name="aa.2" hidden="1">{#N/A,#N/A,FALSE,"Cashflow Analysis";#N/A,#N/A,FALSE,"Sensitivity Analysis";#N/A,#N/A,FALSE,"PV";#N/A,#N/A,FALSE,"Pro Forma"}</definedName>
    <definedName name="aaa" hidden="1">{"BS",#N/A,FALSE,"USA"}</definedName>
    <definedName name="AAA_DOCTOPS" hidden="1">"AAA_SET"</definedName>
    <definedName name="AAA_duser" hidden="1">"OFF"</definedName>
    <definedName name="AAAA">#N/A</definedName>
    <definedName name="aaaaa" hidden="1">{#N/A,#N/A,TRUE,"BUD VS ACT AUST 96";#N/A,#N/A,TRUE,"96 COMP P&amp;L-AUST";#N/A,#N/A,TRUE,"COMP BS-AUSTRALIA";#N/A,#N/A,TRUE,"B/S - AUSTR."}</definedName>
    <definedName name="aaaaaa" hidden="1">{#N/A,#N/A,FALSE,"REPORT"}</definedName>
    <definedName name="aaaaaaa" hidden="1">{"barlup",#N/A,FALSE,"evabnk97";"gillespey",#N/A,FALSE,"evabnk97";"koon",#N/A,FALSE,"evabnk97";"schreur",#N/A,FALSE,"evabnk97";"stone",#N/A,FALSE,"evabnk97";"wichmann",#N/A,FALSE,"evabnk97";"wright",#N/A,FALSE,"evabnk97"}</definedName>
    <definedName name="aaaaaaaaaa" hidden="1">{"FCB_ALL",#N/A,FALSE,"FCB";"GREY_ALL",#N/A,FALSE,"GREY"}</definedName>
    <definedName name="aaaaaaaaaaa" hidden="1">{#N/A,#N/A,FALSE,"REPORT"}</definedName>
    <definedName name="aaaaaaaaaaaa" hidden="1">{#N/A,#N/A,TRUE,"BUD VS ACT AUST 96";#N/A,#N/A,TRUE,"96 COMP P&amp;L-AUST";#N/A,#N/A,TRUE,"COMP BS-AUSTRALIA";#N/A,#N/A,TRUE,"B/S - AUSTR."}</definedName>
    <definedName name="aaaaaaaaaaaaaaa" hidden="1">{#N/A,#N/A,FALSE,"Pharm";#N/A,#N/A,FALSE,"WWCM"}</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dd" hidden="1">{#N/A,#N/A,FALSE,"REPORT"}</definedName>
    <definedName name="aas" hidden="1">{#N/A,#N/A,FALSE,"1";#N/A,#N/A,FALSE,"2";#N/A,#N/A,FALSE,"16 - 17";#N/A,#N/A,FALSE,"18 - 19";#N/A,#N/A,FALSE,"26";#N/A,#N/A,FALSE,"27";#N/A,#N/A,FALSE,"28"}</definedName>
    <definedName name="aassas" hidden="1">{"PR1","pr1",TRUE,"Sch PR-1"}</definedName>
    <definedName name="ABC" hidden="1">{#N/A,#N/A,TRUE,"BUD VS ACT AUST 96";#N/A,#N/A,TRUE,"96 COMP P&amp;L-AUST";#N/A,#N/A,TRUE,"COMP BS-AUSTRALIA";#N/A,#N/A,TRUE,"B/S - AUSTR."}</definedName>
    <definedName name="abc.abc" hidden="1">{"cash flow - FY02",#N/A,FALSE,"P &amp; L";"cash flow - FY03",#N/A,FALSE,"P &amp; L"}</definedName>
    <definedName name="abc.abc2" hidden="1">{"cash flow - FY02",#N/A,FALSE,"P &amp; L";"cash flow - FY03",#N/A,FALSE,"P &amp; L"}</definedName>
    <definedName name="Abrisa" hidden="1">{"FY04_Assets",#N/A,FALSE,"Fin Stmt Budget";"FY04_Liabilities",#N/A,FALSE,"Fin Stmt Budget";"FY04_Inc_Stmt",#N/A,FALSE,"Fin Stmt Budget";"FY04_SOCF",#N/A,FALSE,"Fin Stmt Budget"}</definedName>
    <definedName name="absfghbtg" hidden="1">#REF!,#REF!,#REF!,#REF!,#REF!,#REF!,#REF!,#REF!,#REF!,#REF!,#REF!,#REF!,#REF!,#REF!,#REF!,#REF!,#REF!,#REF!,#REF!,#REF!,#REF!,#REF!,#REF!,#REF!,#REF!,#REF!,#REF!,#REF!,#REF!,#REF!,#REF!,#REF!,#REF!,#REF!,#REF!,#REF!,#REF!,#REF!,#REF!,#REF!,#REF!,#REF!,#REF!,#REF!,#REF!,#REF!,#REF!,#REF!,#REF!,#REF!,#REF!,#REF!,#REF!,#REF!</definedName>
    <definedName name="acc" hidden="1">{"Accretion",#N/A,FALSE,"Assum"}</definedName>
    <definedName name="Access_Button" hidden="1">"CONSOL_SIM_List"</definedName>
    <definedName name="AccessDatabase" hidden="1">"G:\account\96CONSOL\CONSOL.mdb"</definedName>
    <definedName name="Accessforecast" hidden="1">{"SUM",#N/A,FALSE,"Details (2)"}</definedName>
    <definedName name="actual" hidden="1">#REF!</definedName>
    <definedName name="adasa" hidden="1">{"'Sheet1'!$A$1:$J$121"}</definedName>
    <definedName name="adasdasdasdasd" hidden="1">{"PR1","pr1",TRUE,"Sch PR-1"}</definedName>
    <definedName name="ADBeg">#REF!</definedName>
    <definedName name="adcd" hidden="1">{#N/A,#N/A,FALSE,"Sheet8";#N/A,#N/A,FALSE,"Sheet7"}</definedName>
    <definedName name="ADCurr">#REF!</definedName>
    <definedName name="ADEnd">#REF!</definedName>
    <definedName name="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 hidden="1">{#N/A,#N/A,FALSE,"Aging Summary";#N/A,#N/A,FALSE,"Ratio Analysis";#N/A,#N/A,FALSE,"Test 120 Day Accts";#N/A,#N/A,FALSE,"Tickmarks"}</definedName>
    <definedName name="adfadf" hidden="1">{"'Sheet1'!$A$1:$J$121"}</definedName>
    <definedName name="adfadfasfd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gasdysty" hidden="1">{#N/A,#N/A,FALSE,"REPORT"}</definedName>
    <definedName name="adfsfjfjky" hidden="1">{#N/A,#N/A,FALSE,"REPORT"}</definedName>
    <definedName name="ADFWAE" hidden="1">{"summary1",#N/A,TRUE,"Comps";"summary2",#N/A,TRUE,"Comps";"summary3",#N/A,TRUE,"Comps"}</definedName>
    <definedName name="adga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had" hidden="1">{"'Sheet1'!$A$1:$J$121"}</definedName>
    <definedName name="ADPrior">#REF!</definedName>
    <definedName name="ads" hidden="1">{"inputs raw data",#N/A,TRUE,"INPUT"}</definedName>
    <definedName name="adsew" hidden="1">{"FCB_ALL",#N/A,FALSE,"FCB"}</definedName>
    <definedName name="ADSFA" hidden="1">{"inputs raw data",#N/A,TRUE,"INPUT"}</definedName>
    <definedName name="adsfaw" hidden="1">{"FCB_ALL",#N/A,FALSE,"FCB";"GREY_ALL",#N/A,FALSE,"GREY"}</definedName>
    <definedName name="adsfca" hidden="1">{"FCB_ALL",#N/A,FALSE,"FCB";"GREY_ALL",#N/A,FALSE,"GREY"}</definedName>
    <definedName name="adsfeklj" hidden="1">{"FCB_ALL",#N/A,FALSE,"FCB"}</definedName>
    <definedName name="adsfkl" hidden="1">{"FCB_ALL",#N/A,FALSE,"FCB";"GREY_ALL",#N/A,FALSE,"GREY"}</definedName>
    <definedName name="adsga" hidden="1">{"FCB_ALL",#N/A,FALSE,"FCB"}</definedName>
    <definedName name="adsgawe" hidden="1">{"FCB_ALL",#N/A,FALSE,"FCB"}</definedName>
    <definedName name="adwdlkj" hidden="1">{"FCB_ALL",#N/A,FALSE,"FCB"}</definedName>
    <definedName name="ae" hidden="1">{"'Edit'!$A$1:$V$2277"}</definedName>
    <definedName name="AEWEW" hidden="1">{"inputs raw data",#N/A,TRUE,"INPUT"}</definedName>
    <definedName name="aewfwe" hidden="1">{#N/A,#N/A,FALSE,"Brad_DCFM";#N/A,#N/A,FALSE,"Nick_DCFM";#N/A,#N/A,FALSE,"Mobile_DCFM"}</definedName>
    <definedName name="afd" hidden="1">{#N/A,#N/A,FALSE,"VALSUM";#N/A,#N/A,FALSE,"MKT.COMPS";#N/A,#N/A,FALSE,"ACQ.MULT.";#N/A,#N/A,FALSE,"DCF - LBO"}</definedName>
    <definedName name="AFDADSFDAS" hidden="1">{#N/A,#N/A,FALSE,"REPORT"}</definedName>
    <definedName name="afge" hidden="1">{"FCB_ALL",#N/A,FALSE,"FCB";"GREY_ALL",#N/A,FALSE,"GREY"}</definedName>
    <definedName name="africa" hidden="1">{#N/A,#N/A,FALSE,"CNS";#N/A,#N/A,FALSE,"Serz";#N/A,#N/A,FALSE,"Ace"}</definedName>
    <definedName name="agafdhsdh" hidden="1">{#N/A,#N/A,FALSE,"REPORT"}</definedName>
    <definedName name="ag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ne" hidden="1">{"FCB_ALL",#N/A,FALSE,"FCB";"GREY_ALL",#N/A,FALSE,"GREY"}</definedName>
    <definedName name="agng" hidden="1">{#N/A,#N/A,FALSE,"Aging Summary";#N/A,#N/A,FALSE,"Ratio Analysis";#N/A,#N/A,FALSE,"Test 120 Day Accts";#N/A,#N/A,FALSE,"Tickmarks"}</definedName>
    <definedName name="agsgaghgfj" hidden="1">{#N/A,#N/A,FALSE,"Pharm";#N/A,#N/A,FALSE,"WWCM"}</definedName>
    <definedName name="ahge" hidden="1">{"FCB_ALL",#N/A,FALSE,"FCB";"GREY_ALL",#N/A,FALSE,"GREY"}</definedName>
    <definedName name="AJHFkjDGHF" hidden="1">{"Annual_Income",#N/A,FALSE,"Report Page";"Balance_Cash_Flow",#N/A,FALSE,"Report Page";"Quarterly_Income",#N/A,FALSE,"Report Page"}</definedName>
    <definedName name="alb" hidden="1">{#N/A,#N/A,FALSE,"Summary";#N/A,#N/A,FALSE,"Edit";#N/A,#N/A,FALSE,"MedProf";#N/A,#N/A,FALSE,"Proj Mgt";#N/A,#N/A,FALSE,"Creat Svc";#N/A,#N/A,FALSE,"Meet Svc";#N/A,#N/A,FALSE,"Non-OCC";#N/A,#N/A,FALSE,"Client Svc";#N/A,#N/A,FALSE,"Bus Dev";#N/A,#N/A,FALSE,"Indirect"}</definedName>
    <definedName name="alex" hidden="1">{#N/A,#N/A,FALSE,"REPORT"}</definedName>
    <definedName name="alexan" hidden="1">{#N/A,#N/A,FALSE,"REPORT"}</definedName>
    <definedName name="alfredo" hidden="1">{#N/A,#N/A,FALSE,"CNS_ADJ";"Balance Consolidado",#N/A,FALSE,"BCEC_CNS";#N/A,#N/A,FALSE,"USGAAP_ADJ"}</definedName>
    <definedName name="Alignment" hidden="1">"a1"</definedName>
    <definedName name="allchanges1">#REF!</definedName>
    <definedName name="allchanges2">#REF!</definedName>
    <definedName name="alloc">#REF!</definedName>
    <definedName name="amt" hidden="1">{#N/A,#N/A,FALSE,"REPORT"}</definedName>
    <definedName name="ana" hidden="1">{#N/A,#N/A,FALSE,"Sheet1";#N/A,#N/A,FALSE,"Sheet2";#N/A,#N/A,FALSE,"Sheet3";#N/A,#N/A,FALSE,"Sheet4";#N/A,#N/A,FALSE,"Sheet5";#N/A,#N/A,FALSE,"Sheet6"}</definedName>
    <definedName name="andy" hidden="1">{#N/A,#N/A,FALSE,"REPORT"}</definedName>
    <definedName name="annualforc" hidden="1">{#N/A,#N/A,FALSE,"FAB VENDORS";"BUD SUM",#N/A,FALSE,"BUD SUM WO TEX"}</definedName>
    <definedName name="anscount" hidden="1">3</definedName>
    <definedName name="anything" hidden="1">{#N/A,#N/A,FALSE,"Output";#N/A,#N/A,FALSE,"Cover Sheet";#N/A,#N/A,FALSE,"Current Mkt. Projections"}</definedName>
    <definedName name="Apr00" hidden="1">{"Statement of Income",#N/A,TRUE,"Mar99";"Balance Sheet",#N/A,TRUE,"Mar99"}</definedName>
    <definedName name="Apr00TB" hidden="1">{"Statement of Income",#N/A,TRUE,"Mar99";"Balance Sheet",#N/A,TRUE,"Mar99"}</definedName>
    <definedName name="aq" hidden="1">{"'Edit'!$A$1:$V$2277"}</definedName>
    <definedName name="ardoutput"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arew" hidden="1">{"cap_structure",#N/A,FALSE,"Graph-Mkt Cap";"price",#N/A,FALSE,"Graph-Price";"ebit",#N/A,FALSE,"Graph-EBITDA";"ebitda",#N/A,FALSE,"Graph-EBITDA"}</definedName>
    <definedName name="arg" hidden="1">{"inputs raw data",#N/A,TRUE,"INPUT"}</definedName>
    <definedName name="AS"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AS2DocOpenMode" hidden="1">"AS2DocumentEdit"</definedName>
    <definedName name="AS2HasNoAutoHeaderFooter" hidden="1">" "</definedName>
    <definedName name="AS2NamedRange" hidden="1">6</definedName>
    <definedName name="AS2ReportLS" hidden="1">1</definedName>
    <definedName name="AS2SyncStepLS" hidden="1">0</definedName>
    <definedName name="AS2TickmarkLS" hidden="1">#REF!</definedName>
    <definedName name="AS2VersionLS" hidden="1">300</definedName>
    <definedName name="asa" hidden="1">{"FCB_ALL",#N/A,FALSE,"FCB"}</definedName>
    <definedName name="asas" hidden="1">{#N/A,#N/A,FALSE,"Pharm";#N/A,#N/A,FALSE,"WWCM"}</definedName>
    <definedName name="asasasasas" hidden="1">{"PR1","pr1",TRUE,"Sch PR-1"}</definedName>
    <definedName name="asd" hidden="1">{#N/A,#N/A,FALSE,"Pharm";#N/A,#N/A,FALSE,"WWCM"}</definedName>
    <definedName name="asdaw" hidden="1">{"FCB_ALL",#N/A,FALSE,"FCB"}</definedName>
    <definedName name="asdf" hidden="1">#REF!</definedName>
    <definedName name="asdfadg"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sf" hidden="1">{"'Sheet1'!$A$1:$J$121"}</definedName>
    <definedName name="asdfag" hidden="1">{"DTCONSOASSUMPTIONS1",#N/A,FALSE,"CONSO";"DTCONSOASSUMPTIONS2",#N/A,FALSE,"CONSO";"DTCONSOASSUMPTIONS3",#N/A,FALSE,"CONSO";"DTCONSOINCOME",#N/A,FALSE,"CONSO";"DTCOOSAEBITDA",#N/A,FALSE,"COOSA";"DTCONSOCASHFLOW",#N/A,FALSE,"CONSO";"DTCONSOBALANCESHEET",#N/A,FALSE,"CONSO";"DTCONSOCAPEX1",#N/A,FALSE,"CONSO";"DTCONSOCAPEX2",#N/A,FALSE,"CONSO";"DTCONSOCAPEX3",#N/A,FALSE,"CONSO";"DTDONNAASSUMPTIONS1",#N/A,FALSE,"PAPER DONNACONA";"DTDONNAASSUMPTIONS2",#N/A,FALSE,"PAPER DONNACONA";"DTDONNAASSUMPTIONS3",#N/A,FALSE,"PAPER DONNACONA";"DTDONNAINCOME",#N/A,FALSE,"PAPER DONNACONA";"DTDONNACASHFLOW",#N/A,FALSE,"PAPER DONNACONA";"DTDONNABALANCESHEET",#N/A,FALSE,"PAPER DONNACONA";"DTDONNACAPEX",#N/A,FALSE,"PAPER DONNACONA";"DTDOLBEAUASSUMPTIONS1",#N/A,FALSE,"PAPER DOLBEAU";"DTDOLBEAUASSUMPTIONS2",#N/A,FALSE,"PAPER DOLBEAU";"DTDOLBEAUASSUMPTIONS3",#N/A,FALSE,"PAPER DOLBEAU";"DTDOLBEAUINCOME",#N/A,FALSE,"PAPER DOLBEAU";"DTDOLBEAUCASHFLOW",#N/A,FALSE,"PAPER DOLBEAU";"DTDOLBEAUBALANCESHEET",#N/A,FALSE,"PAPER DOLBEAU";"DTDOLBEAUCAPEX",#N/A,FALSE,"PAPER DOLBEAU";"DTLUMBERASSUMPTIONS1",#N/A,FALSE,"LUMBER";"DTLUMBERASSUMPTIONS2",#N/A,FALSE,"LUMBER";"DTLUMBERASSUMPTIONS3",#N/A,FALSE,"LUMBER";"DTLUMBERINCOME",#N/A,FALSE,"LUMBER";"DTLUMBERCASHFLOW",#N/A,FALSE,"LUMBER";"DTLUMBERBALANCESHEET",#N/A,FALSE,"LUMBER";"DTLUMBERCAPEX",#N/A,FALSE,"LUMBER";"DTCOOSAASSUMPTIONS1",#N/A,FALSE,"COOSA";"DTCOOSAASSUMPTION2",#N/A,FALSE,"COOSA";"DTCOOSAASSUMPTIONS3",#N/A,FALSE,"COOSA";"DTCOOSAINCOME",#N/A,FALSE,"COOSA";"DTCOOSACASHFLOW",#N/A,FALSE,"COOSA";"DTCOOSABALANCESHEET",#N/A,FALSE,"COOSA";"DTCOOSACAPEX",#N/A,FALSE,"COOSA";"DTELIMINATIONINCOME",#N/A,FALSE,"ELIMINATION";"DTELIMINATIONCASHFLOW",#N/A,FALSE,"ELIMINATION";"DTELIMINATIONBALANCESHEET",#N/A,FALSE,"ELIMINATION";"DTHEADOFFICEASSUMPTIONS",#N/A,FALSE,"H.OFFICE";"DTHEADOFFICEINCOME",#N/A,FALSE,"H.OFFICE";"DTHEADOFFICECASHFLOW",#N/A,FALSE,"H.OFFICE";"DTHEADOFFICEBALANCESHEET",#N/A,FALSE,"H.OFFICE";"DTHEADOFFICECAPEX",#N/A,FALSE,"H.OFFICE";"DTSEGMENTED",#N/A,FALSE,"SEGMENTED INFO";"DTTAX1",#N/A,FALSE,"impôt";"DTTAX2",#N/A,FALSE,"impôt"}</definedName>
    <definedName name="asdfasdfas" hidden="1">{#N/A,#N/A,FALSE,"Sheet1";#N/A,#N/A,FALSE,"Sheet2";#N/A,#N/A,FALSE,"Sheet3";#N/A,#N/A,FALSE,"Sheet4";#N/A,#N/A,FALSE,"Sheet5";#N/A,#N/A,FALSE,"Sheet6"}</definedName>
    <definedName name="asdfasf" hidden="1">38939.6653819444</definedName>
    <definedName name="asdfdf">#REF!</definedName>
    <definedName name="asdfe" hidden="1">{"FCB_ALL",#N/A,FALSE,"FCB"}</definedName>
    <definedName name="asdfg" hidden="1">{#N/A,#N/A,FALSE,"Pharm";#N/A,#N/A,FALSE,"WWCM"}</definedName>
    <definedName name="asdfn" hidden="1">{"FCB_ALL",#N/A,FALSE,"FCB";"GREY_ALL",#N/A,FALSE,"GREY"}</definedName>
    <definedName name="asdfSDF" hidden="1">{#N/A,#N/A,FALSE,"Sheet1";#N/A,#N/A,FALSE,"Sheet2";#N/A,#N/A,FALSE,"Sheet3";#N/A,#N/A,FALSE,"Sheet4";#N/A,#N/A,FALSE,"Sheet5";#N/A,#N/A,FALSE,"Sheet6"}</definedName>
    <definedName name="asdgaew" hidden="1">{"FCB_ALL",#N/A,FALSE,"FCB"}</definedName>
    <definedName name="asdgahdfhth" hidden="1">{#N/A,#N/A,FALSE,"REPORT"}</definedName>
    <definedName name="asdgayery" hidden="1">{#N/A,#N/A,FALSE,"Pharm";#N/A,#N/A,FALSE,"WWCM"}</definedName>
    <definedName name="asdgfdytyet" hidden="1">{#N/A,#N/A,FALSE,"REPORT"}</definedName>
    <definedName name="asdgtryukuio" hidden="1">{#N/A,#N/A,FALSE,"REPORT"}</definedName>
    <definedName name="asdjgkl" hidden="1">{#N/A,#N/A,FALSE,"Pharm";#N/A,#N/A,FALSE,"WWCM"}</definedName>
    <definedName name="asdr5" hidden="1">{"FCB_ALL",#N/A,FALSE,"FCB";"GREY_ALL",#N/A,FALSE,"GREY"}</definedName>
    <definedName name="asfasdf" hidden="1">#REF!</definedName>
    <definedName name="asfd" hidden="1">{"FCB_ALL",#N/A,FALSE,"FCB"}</definedName>
    <definedName name="asffghujyki" hidden="1">{#N/A,#N/A,FALSE,"Pharm";#N/A,#N/A,FALSE,"WWCM"}</definedName>
    <definedName name="ASSA" hidden="1">{#N/A,#N/A,FALSE,"1";#N/A,#N/A,FALSE,"2";#N/A,#N/A,FALSE,"16 - 17";#N/A,#N/A,FALSE,"18 - 19";#N/A,#N/A,FALSE,"26";#N/A,#N/A,FALSE,"27";#N/A,#N/A,FALSE,"28"}</definedName>
    <definedName name="assasdafsda" hidden="1">{"PR1","pr1",TRUE,"Sch PR-1"}</definedName>
    <definedName name="ASSIGNED_STATES">#REF!</definedName>
    <definedName name="ASSS" hidden="1">{"FCB_ALL",#N/A,FALSE,"FCB"}</definedName>
    <definedName name="assssss" hidden="1">{"FCB_ALL",#N/A,FALSE,"FCB"}</definedName>
    <definedName name="assum" hidden="1">{"'Sheet1'!$A$5:$G$42"}</definedName>
    <definedName name="att" hidden="1">{#N/A,#N/A,FALSE,"COVER PAGE";#N/A,#N/A,FALSE,"Page 2";#N/A,#N/A,FALSE,"Page 2";#N/A,#N/A,FALSE,"Page 4";#N/A,#N/A,FALSE,"Page5";#N/A,#N/A,FALSE,"Page 6";#N/A,#N/A,FALSE,"Page 7";#N/A,#N/A,FALSE,"Page 8";#N/A,#N/A,FALSE,"Page 10";#N/A,#N/A,FALSE,"Long-Term OCF Mult.";#N/A,#N/A,FALSE,"PCS Comp";#N/A,#N/A,FALSE,"OCS-CAPEX";#N/A,#N/A,FALSE,"Blank"}</definedName>
    <definedName name="aust" hidden="1">{#N/A,#N/A,TRUE,"BUD VS ACT AUST 96";#N/A,#N/A,TRUE,"96 COMP P&amp;L-AUST";#N/A,#N/A,TRUE,"COMP BS-AUSTRALIA";#N/A,#N/A,TRUE,"B/S - AUSTR."}</definedName>
    <definedName name="av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we" hidden="1">{#N/A,#N/A,FALSE,"COVER";#N/A,#N/A,FALSE,"Index";#N/A,#N/A,FALSE,"Non-Earning";#N/A,#N/A,FALSE,"Commercial";#N/A,#N/A,FALSE,"Detailed"}</definedName>
    <definedName name="awea" hidden="1">{"FCB_ALL",#N/A,FALSE,"FCB";"GREY_ALL",#N/A,FALSE,"GREY"}</definedName>
    <definedName name="AX" hidden="1">{#N/A,#N/A,FALSE,"Pharm";#N/A,#N/A,FALSE,"WWCM"}</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 hidden="1">{#N/A,#N/A,FALSE,"Pharm";#N/A,#N/A,FALSE,"WWCM"}</definedName>
    <definedName name="azeazr" hidden="1">{#N/A,#N/A,FALSE,"Sales Graph";#N/A,#N/A,FALSE,"BUC Graph";#N/A,#N/A,FALSE,"P&amp;L - YTD"}</definedName>
    <definedName name="azerety" hidden="1">{#N/A,#N/A,FALSE,"Pharm";#N/A,#N/A,FALSE,"WWCM"}</definedName>
    <definedName name="b" hidden="1">{"barlup",#N/A,FALSE,"evabnk97";"gillespey",#N/A,FALSE,"evabnk97";"koon",#N/A,FALSE,"evabnk97";"schreur",#N/A,FALSE,"evabnk97";"stone",#N/A,FALSE,"evabnk97";"wichmann",#N/A,FALSE,"evabnk97";"wright",#N/A,FALSE,"evabnk97"}</definedName>
    <definedName name="ba" hidden="1">{"FCB_ALL",#N/A,FALSE,"FCB";"GREY_ALL",#N/A,FALSE,"GREY"}</definedName>
    <definedName name="Bank" hidden="1">{TRUE,TRUE,-1.25,-15.5,456.75,279.75,FALSE,FALSE,TRUE,TRUE,0,1,21,1,127,6,3,4,TRUE,TRUE,3,TRUE,1,TRUE,100,"Swvu.profits.","ACwvu.profits.",1,FALSE,FALSE,0.511811023622047,0.511811023622047,0.511811023622047,0.511811023622047,1,"","",FALSE,FALSE,FALSE,FALSE,1,#N/A,1,1,#DIV/0!,FALSE,"Rwvu.profits.",#N/A,FALSE,FALSE}</definedName>
    <definedName name="barrera" hidden="1">{#N/A,#N/A,FALSE,"RESUMEN ECON.";#N/A,#N/A,FALSE,"Costos de R.H.";#N/A,#N/A,FALSE,"COSTO HW";#N/A,#N/A,FALSE,"CUADROS";#N/A,#N/A,FALSE,"SCADA´s";#N/A,#N/A,FALSE,"PRECIOS EQUIPOS"}</definedName>
    <definedName name="bb" hidden="1">{#N/A,#N/A,FALSE,"Assessment";#N/A,#N/A,FALSE,"Staffing";#N/A,#N/A,FALSE,"Hires";#N/A,#N/A,FALSE,"Assumptions"}</definedName>
    <definedName name="bbb" hidden="1">{#N/A,#N/A,FALSE,"Pharm";#N/A,#N/A,FALSE,"WWCM"}</definedName>
    <definedName name="bbbb" hidden="1">{#N/A,#N/A,FALSE,"REPORT"}</definedName>
    <definedName name="bbbbb" hidden="1">{#N/A,#N/A,TRUE,"BUD VS ACT AUST 96";#N/A,#N/A,TRUE,"96 COMP P&amp;L-AUST";#N/A,#N/A,TRUE,"COMP BS-AUSTRALIA";#N/A,#N/A,TRUE,"B/S - AUSTR."}</definedName>
    <definedName name="BBBBBB" hidden="1">{#N/A,#N/A,FALSE,"REPORT"}</definedName>
    <definedName name="BBBBBBBBB" hidden="1">{#N/A,#N/A,FALSE,"REPORT"}</definedName>
    <definedName name="bbbbbbbbbbbbb" hidden="1">{#N/A,#N/A,FALSE,"Pharm";#N/A,#N/A,FALSE,"WWCM"}</definedName>
    <definedName name="BD" hidden="1">{"EBITDA",#N/A,TRUE,"P&amp;L Net of Disc Ops";"output net of disc ops",#N/A,TRUE,"Revenue";"input",#N/A,TRUE,"Revenue";"output",#N/A,TRUE,"DC";"Input",#N/A,TRUE,"DC";"MTN and MCN",#N/A,TRUE,"Margin";"output detail line items",#N/A,TRUE,"SGA";"personnel by year",#N/A,TRUE,"Payroll";#N/A,#N/A,TRUE,"CapEx"}</definedName>
    <definedName name="Bear" hidden="1">{#N/A,#N/A,FALSE,"TS";#N/A,#N/A,FALSE,"Combo";#N/A,#N/A,FALSE,"FAIR";#N/A,#N/A,FALSE,"RBC";#N/A,#N/A,FALSE,"xxxx";#N/A,#N/A,FALSE,"A_D";#N/A,#N/A,FALSE,"WACC";#N/A,#N/A,FALSE,"DCF";#N/A,#N/A,FALSE,"LBO";#N/A,#N/A,FALSE,"AcqMults";#N/A,#N/A,FALSE,"CompMults"}</definedName>
    <definedName name="Bebefits" hidden="1">{"summary",#N/A,FALSE,"3 yr average";"comps",#N/A,FALSE,"3 yr average"}</definedName>
    <definedName name="Beg_Bal">#REF!</definedName>
    <definedName name="Beginning_Balance">-FV(Interest_Rate/12,#REF!-1,-#REF!,Loan_Amount)</definedName>
    <definedName name="BG_Del" hidden="1">15</definedName>
    <definedName name="BG_Ins" hidden="1">4</definedName>
    <definedName name="BG_Mod" hidden="1">6</definedName>
    <definedName name="bill" hidden="1">{"PAGE 1",#N/A,FALSE,"WEST_OT"}</definedName>
    <definedName name="bill1" hidden="1">{"PAGE 1",#N/A,FALSE,"WEST_OT"}</definedName>
    <definedName name="bill2" hidden="1">{"PAGE 1",#N/A,FALSE,"WEST_OT"}</definedName>
    <definedName name="bill3" hidden="1">{"PAGE 1",#N/A,FALSE,"WEST_OT"}</definedName>
    <definedName name="billrev2" hidden="1">{"PAGE 1",#N/A,FALSE,"WEST_OT"}</definedName>
    <definedName name="bilol" hidden="1">{#N/A,#N/A,FALSE,"VALSUM";#N/A,#N/A,FALSE,"MKT.COMPS";#N/A,#N/A,FALSE,"ACQ.MULT.";#N/A,#N/A,FALSE,"DCF - LBO"}</definedName>
    <definedName name="BL" hidden="1">#REF!</definedName>
    <definedName name="blank">#N/A</definedName>
    <definedName name="BLANKS"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PH1" hidden="1">#REF!</definedName>
    <definedName name="BLPH15" hidden="1">#REF!</definedName>
    <definedName name="BLPH16" hidden="1">#REF!</definedName>
    <definedName name="BLPH176" hidden="1">#REF!</definedName>
    <definedName name="BLPH177" hidden="1">#REF!</definedName>
    <definedName name="BLPH178" hidden="1">#REF!</definedName>
    <definedName name="BLPH179" hidden="1">#REF!</definedName>
    <definedName name="BLPH180" hidden="1">#REF!</definedName>
    <definedName name="BLPH181" hidden="1">#REF!</definedName>
    <definedName name="BLPH182" hidden="1">#REF!</definedName>
    <definedName name="BLPH183" hidden="1">#REF!</definedName>
    <definedName name="BLPH18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0"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0" hidden="1">#REF!</definedName>
    <definedName name="BLPH241" hidden="1">#REF!</definedName>
    <definedName name="BLPH242" hidden="1">#REF!</definedName>
    <definedName name="BLPH243" hidden="1">#REF!</definedName>
    <definedName name="BLPH244" hidden="1">#REF!</definedName>
    <definedName name="BLPH245" hidden="1">#REF!</definedName>
    <definedName name="BLPH246" hidden="1">#REF!</definedName>
    <definedName name="BLPH247" hidden="1">#REF!</definedName>
    <definedName name="BLPH248" hidden="1">#REF!</definedName>
    <definedName name="BLPH249" hidden="1">#REF!</definedName>
    <definedName name="BLPH250" hidden="1">#REF!</definedName>
    <definedName name="BLPH251" hidden="1">#REF!</definedName>
    <definedName name="BLPH252"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78" hidden="1">#REF!</definedName>
    <definedName name="BLPH279" hidden="1">#REF!</definedName>
    <definedName name="BLPH280" hidden="1">#REF!</definedName>
    <definedName name="BLPH281" hidden="1">#REF!</definedName>
    <definedName name="BLPH282" hidden="1">#REF!</definedName>
    <definedName name="BLPH283" hidden="1">#REF!</definedName>
    <definedName name="BLPH284" hidden="1">#REF!</definedName>
    <definedName name="BLPH285" hidden="1">#REF!</definedName>
    <definedName name="BLPH286" hidden="1">#REF!</definedName>
    <definedName name="BLPH287" hidden="1">#REF!</definedName>
    <definedName name="BLPH288" hidden="1">#REF!</definedName>
    <definedName name="BLPH289" hidden="1">#REF!</definedName>
    <definedName name="BLPH290" hidden="1">#REF!</definedName>
    <definedName name="BLPH291" hidden="1">#REF!</definedName>
    <definedName name="BLPH292" hidden="1">#REF!</definedName>
    <definedName name="BLPH293" hidden="1">#REF!</definedName>
    <definedName name="BLPH294" hidden="1">#REF!</definedName>
    <definedName name="BLPH295" hidden="1">#REF!</definedName>
    <definedName name="BLPH296" hidden="1">#REF!</definedName>
    <definedName name="BLPH297" hidden="1">#REF!</definedName>
    <definedName name="BLPH298" hidden="1">#REF!</definedName>
    <definedName name="BLPH299" hidden="1">#REF!</definedName>
    <definedName name="BLPH3" hidden="1">#REF!</definedName>
    <definedName name="BLPH300" hidden="1">#REF!</definedName>
    <definedName name="BLPH301" hidden="1">#REF!</definedName>
    <definedName name="BLPH302" hidden="1">#REF!</definedName>
    <definedName name="BLPH303" hidden="1">#REF!</definedName>
    <definedName name="BLPH304" hidden="1">#REF!</definedName>
    <definedName name="BLPH305" hidden="1">#REF!</definedName>
    <definedName name="BLPH306" hidden="1">#REF!</definedName>
    <definedName name="BLPH307" hidden="1">#REF!</definedName>
    <definedName name="BLPH308" hidden="1">#REF!</definedName>
    <definedName name="BLPH309" hidden="1">#REF!</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19" hidden="1">#REF!</definedName>
    <definedName name="BLPH320" hidden="1">#REF!</definedName>
    <definedName name="BLPH321" hidden="1">#REF!</definedName>
    <definedName name="BLPH322" hidden="1">#REF!</definedName>
    <definedName name="BLPH323" hidden="1">#REF!</definedName>
    <definedName name="BLPH324" hidden="1">#REF!</definedName>
    <definedName name="BLPH325" hidden="1">#REF!</definedName>
    <definedName name="BLPH326" hidden="1">#REF!</definedName>
    <definedName name="BLPH327" hidden="1">#REF!</definedName>
    <definedName name="BLPH328" hidden="1">#REF!</definedName>
    <definedName name="BLPH329" hidden="1">#REF!</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59" hidden="1">#REF!</definedName>
    <definedName name="BLPH460" hidden="1">#REF!</definedName>
    <definedName name="BLPH461" hidden="1">#REF!</definedName>
    <definedName name="BLPH462" hidden="1">#REF!</definedName>
    <definedName name="BLPH463" hidden="1">#REF!</definedName>
    <definedName name="BLPH464" hidden="1">#REF!</definedName>
    <definedName name="BLPH465" hidden="1">#REF!</definedName>
    <definedName name="BLPH466" hidden="1">#REF!</definedName>
    <definedName name="BLPH467" hidden="1">#REF!</definedName>
    <definedName name="BLPH468" hidden="1">#REF!</definedName>
    <definedName name="BLPH469" hidden="1">#REF!</definedName>
    <definedName name="BLPH470" hidden="1">#REF!</definedName>
    <definedName name="BLPH471" hidden="1">#REF!</definedName>
    <definedName name="BLPH472" hidden="1">#REF!</definedName>
    <definedName name="BLPH473" hidden="1">#REF!</definedName>
    <definedName name="BLPH474" hidden="1">#REF!</definedName>
    <definedName name="BLPH475" hidden="1">#REF!</definedName>
    <definedName name="BLPH476" hidden="1">#REF!</definedName>
    <definedName name="BLPH477" hidden="1">#REF!</definedName>
    <definedName name="BLPH478" hidden="1">#REF!</definedName>
    <definedName name="BLPH479" hidden="1">#REF!</definedName>
    <definedName name="BLPH480" hidden="1">#REF!</definedName>
    <definedName name="BLPH481" hidden="1">#REF!</definedName>
    <definedName name="BLPH482" hidden="1">#REF!</definedName>
    <definedName name="BLPH483" hidden="1">#REF!</definedName>
    <definedName name="BLPH484" hidden="1">#REF!</definedName>
    <definedName name="BLPH485" hidden="1">#REF!</definedName>
    <definedName name="BLPH486" hidden="1">#REF!</definedName>
    <definedName name="BLPH487" hidden="1">#REF!</definedName>
    <definedName name="BLPH488" hidden="1">#REF!</definedName>
    <definedName name="BLPH48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0" hidden="1">#REF!</definedName>
    <definedName name="BLPH51" hidden="1">#REF!</definedName>
    <definedName name="BLPH6" hidden="1">#REF!</definedName>
    <definedName name="BLUE" hidden="1">{#N/A,#N/A,FALSE,"Barranca"}</definedName>
    <definedName name="BLUE1" hidden="1">{#N/A,#N/A,FALSE,"Total";#N/A,#N/A,FALSE,"Sew";#N/A,#N/A,FALSE,"Finish";#N/A,#N/A,FALSE,"CUT";#N/A,#N/A,FALSE,"Mill 5";#N/A,#N/A,FALSE,"Mill 6";#N/A,#N/A,FALSE,"Mill 8";#N/A,#N/A,FALSE,"Mill 9";#N/A,#N/A,FALSE,"Mill 10";#N/A,#N/A,FALSE,"Mill 12";#N/A,#N/A,FALSE,"Mill 15";#N/A,#N/A,FALSE,"Mill 17"}</definedName>
    <definedName name="BM" hidden="1">{"EBITDA",#N/A,TRUE,"P&amp;L Net of Disc Ops";"output net of disc ops",#N/A,TRUE,"Revenue";"input",#N/A,TRUE,"Revenue";"output",#N/A,TRUE,"DC";"Input",#N/A,TRUE,"DC";"MTN and MCN",#N/A,TRUE,"Margin";"output detail line items",#N/A,TRUE,"SGA";"personnel by year",#N/A,TRUE,"Payroll";#N/A,#N/A,TRUE,"CapEx"}</definedName>
    <definedName name="BNE_MESSAGES_HIDDEN" hidden="1">#REF!</definedName>
    <definedName name="bnm" hidden="1">{#N/A,#N/A,FALSE,"REPORT"}</definedName>
    <definedName name="bnnn" hidden="1">{"consolidated",#N/A,FALSE,"Sheet1";"cms",#N/A,FALSE,"Sheet1";"fse",#N/A,FALSE,"Sheet1"}</definedName>
    <definedName name="Bracket_0">#REF!</definedName>
    <definedName name="Bracket_1">#REF!</definedName>
    <definedName name="Bracket_2">#REF!</definedName>
    <definedName name="Bracket_3">#REF!</definedName>
    <definedName name="Bracket_4">#REF!</definedName>
    <definedName name="Bracket_5">#REF!</definedName>
    <definedName name="Bracket_6">#REF!</definedName>
    <definedName name="Bracket_7">#REF!</definedName>
    <definedName name="Bracket_8">#REF!</definedName>
    <definedName name="Brightline" hidden="1">{"Curr Month",#N/A,FALSE,"Curr Mo";"Total West",#N/A,FALSE,"Curr Mo";"YTD",#N/A,FALSE,"Curr Mo";"12 Months",#N/A,FALSE,"Curr Mo";"13 Months",#N/A,FALSE,"Curr Mo";"14 Months",#N/A,FALSE,"Curr Mo";"15 Months",#N/A,FALSE,"Curr Mo";"43 Months",#N/A,FALSE,"Curr Mo";"45 Months",#N/A,FALSE,"Curr Mo";"63 Months",#N/A,FALSE,"Curr Mo"}</definedName>
    <definedName name="Briteline" hidden="1">{"Curr Month",#N/A,FALSE,"Curr Mo";"Total West",#N/A,FALSE,"Curr Mo";"YTD",#N/A,FALSE,"Curr Mo";"12 Months",#N/A,FALSE,"Curr Mo";"13 Months",#N/A,FALSE,"Curr Mo";"14 Months",#N/A,FALSE,"Curr Mo";"15 Months",#N/A,FALSE,"Curr Mo";"43 Months",#N/A,FALSE,"Curr Mo";"45 Months",#N/A,FALSE,"Curr Mo";"63 Months",#N/A,FALSE,"Curr Mo"}</definedName>
    <definedName name="briteline___" hidden="1">{"Curr Month",#N/A,FALSE,"Curr Mo";"Total West",#N/A,FALSE,"Curr Mo";"YTD",#N/A,FALSE,"Curr Mo";"12 Months",#N/A,FALSE,"Curr Mo";"13 Months",#N/A,FALSE,"Curr Mo";"14 Months",#N/A,FALSE,"Curr Mo";"15 Months",#N/A,FALSE,"Curr Mo";"43 Months",#N/A,FALSE,"Curr Mo";"45 Months",#N/A,FALSE,"Curr Mo";"63 Months",#N/A,FALSE,"Curr Mo"}</definedName>
    <definedName name="BROKEN_LINK" hidden="1">42122.5559837963</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S">#REF!</definedName>
    <definedName name="BSDate">#REF!</definedName>
    <definedName name="BSSSS" hidden="1">#REF!</definedName>
    <definedName name="budget1" hidden="1">{"Overview",#N/A,TRUE,"Overview";"New Gen",#N/A,TRUE,"New Gen";"cap-ex",#N/A,TRUE,"Consol cap-ex";"cap-ex",#N/A,TRUE,"APC cap-ex";"cap-ex",#N/A,TRUE,"GPC cap-ex";"cap-ex",#N/A,TRUE,"GUL cap-ex";"cap-ex",#N/A,TRUE,"MPC cap-ex";"cap-ex",#N/A,TRUE,"SAV cap-ex";"cap-ex",#N/A,TRUE,"SEGCO cap-ex";"cap-ex",#N/A,TRUE,"SWE cap-ex"}</definedName>
    <definedName name="BudgetSumm" hidden="1">{#N/A,#N/A,FALSE,"Cashflow Analysis";#N/A,#N/A,FALSE,"Sensitivity Analysis";#N/A,#N/A,FALSE,"PV";#N/A,#N/A,FALSE,"Pro Forma"}</definedName>
    <definedName name="BudgetSumm.2" hidden="1">{#N/A,#N/A,FALSE,"Cashflow Analysis";#N/A,#N/A,FALSE,"Sensitivity Analysis";#N/A,#N/A,FALSE,"PV";#N/A,#N/A,FALSE,"Pro Forma"}</definedName>
    <definedName name="c.LTMYear" hidden="1">#REF!</definedName>
    <definedName name="cade" hidden="1">{"FCB_ALL",#N/A,FALSE,"FCB"}</definedName>
    <definedName name="cads" hidden="1">{"FCB_ALL",#N/A,FALSE,"FCB"}</definedName>
    <definedName name="cadsf" hidden="1">{"FCB_ALL",#N/A,FALSE,"FCB"}</definedName>
    <definedName name="caega" hidden="1">{"FCB_ALL",#N/A,FALSE,"FCB"}</definedName>
    <definedName name="caer" hidden="1">{"FCB_ALL",#N/A,FALSE,"FCB"}</definedName>
    <definedName name="cagare" hidden="1">{"FCB_ALL",#N/A,FALSE,"FCB"}</definedName>
    <definedName name="cancel" hidden="1">{"PARTNERS CAPITAL STMT",#N/A,FALSE,"Partners Capital"}</definedName>
    <definedName name="cancel2" hidden="1">{"PNLProjDL",#N/A,FALSE,"PROJCO";"PNLParDL",#N/A,FALSE,"Parent"}</definedName>
    <definedName name="cancel3" hidden="1">{"Summary",#N/A,FALSE,"MICMULT";"Income Statement",#N/A,FALSE,"MICMULT";"Cash Flows",#N/A,FALSE,"MICMULT"}</definedName>
    <definedName name="cap.pos"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acity" hidden="1">{#N/A,#N/A,FALSE,"IPO";#N/A,#N/A,FALSE,"DCF";#N/A,#N/A,FALSE,"LBO";#N/A,#N/A,FALSE,"MULT_VAL";#N/A,#N/A,FALSE,"Status Quo";#N/A,#N/A,FALSE,"Recap"}</definedName>
    <definedName name="CapCase">#REF!</definedName>
    <definedName name="CapContCurr">#REF!</definedName>
    <definedName name="CapContPrior">#REF!</definedName>
    <definedName name="CapIQ_Broken_Link2" hidden="1">42122.5559837963</definedName>
    <definedName name="Case">#REF!</definedName>
    <definedName name="cash">#REF!</definedName>
    <definedName name="CASH_PRICE">#REF!</definedName>
    <definedName name="cash2">#REF!</definedName>
    <definedName name="CashBeg">#REF!</definedName>
    <definedName name="CashEnd">#REF!</definedName>
    <definedName name="cavde" hidden="1">{"FCB_ALL",#N/A,FALSE,"FCB"}</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Chart595EC34_opts" hidden="1">"1, 9, 1, False, 2, False, False, , 0, False, True, 1, 1"</definedName>
    <definedName name="cb_bChart9876793_opts" hidden="1">"1, 2, 1, False, 2, False, False, , 0, False, False, 2, 2"</definedName>
    <definedName name="cb_Chart_1_opts" hidden="1">"1, 6, 1, False, 2, False, False, , 0, False, True, 1, 2"</definedName>
    <definedName name="cb_Chart_10_opts" hidden="1">"1, 8, 1, False, 2, False, False, , 0, False, False, 2, 2"</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1, 1, False, 2, False, False, , 0, False, False, 2, 2"</definedName>
    <definedName name="cb_Chart_12_opts" hidden="1">"1, 8, 1, False, 2, False, False, , 0, False, False, 2, 2"</definedName>
    <definedName name="cb_Chart_13_opts" hidden="1">"1, 8, 1, False, 2, False, False, , 0, False, False, 2, 2"</definedName>
    <definedName name="cb_Chart_14_opts" hidden="1">"1, 8, 1, False, 2, False, False, , 0, False, False, 2, 2"</definedName>
    <definedName name="cb_Chart_15_opts" hidden="1">"2, 1, 2, True, 2, False, False, , 0, False, True, 1, 2"</definedName>
    <definedName name="cb_Chart_1501_opts" hidden="1">"1, 10, 1, False, 2, True, False, , 0, False, False, 2, 2"</definedName>
    <definedName name="cb_Chart_16_opts" hidden="1">"1, 8, 1, False, 2, False, False, , 0, False, False, 2, 2"</definedName>
    <definedName name="cb_Chart_1670_opts" hidden="1">"1, 5, 1, False, 2, True, False, , 0, False, False, 2, 1"</definedName>
    <definedName name="cb_Chart_17_opts" hidden="1">"1, 6, 1, False, 2, False, False, , 0, False, True, 2, 2"</definedName>
    <definedName name="cb_Chart_18_opts" hidden="1">"1, 9, 1, False, 2, False, False, , 0, False, False, 1, 1"</definedName>
    <definedName name="cb_Chart_19_opts" hidden="1">"1, 2, 1, False, 2, True, False, , 0, True, False, 2, 1"</definedName>
    <definedName name="cb_Chart_1opts1" hidden="1">"1, 9, 1, False, 2, False, True, , 1, False, True, 1,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_opts" hidden="1">"1, 9, 1, False, 2, False, False, , 0, False, False, 1, 1"</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_opts" hidden="1">"1, 8, 1, False, 2, False, False, , 0, False, False, 2, 2"</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3, 1, False, 2, True, False, , 0, False, True, 2, 1"</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0_opts" hidden="1">"1, 1, 1, False, 2, False, False, , 0, False, False, 3, 2"</definedName>
    <definedName name="cb_Chart_41_opts" hidden="1">"1, 10, 1, False, 2, True, False, , 0, False, False, 2, 1"</definedName>
    <definedName name="cb_Chart_41499_opts" hidden="1">"1, 10, 1, False, 2, True, False, , 0, False, False, 2, 2"</definedName>
    <definedName name="cb_Chart_42_opts" hidden="1">"1, 3, 1, False, 2, True, False, , 0, False, True, 1, 2"</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48_opts" hidden="1">"2, 1, 2, True, 2, False, False, , 0, False, True, 1, 1"</definedName>
    <definedName name="cb_Chart_49_opts" hidden="1">"2, 1, 2, True, 2, False, False, , 0, False, True, 1, 1"</definedName>
    <definedName name="cb_Chart_5_opts" hidden="1">"1, 8, 1, False, 2, False, False, , 0, False, False, 1, 2"</definedName>
    <definedName name="cb_Chart_50_opts" hidden="1">"2, 1, 2, True, 2, False, False, , 0, False, True, 1, 1"</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_opts" hidden="1">"1, 9, 1, False, 2, False, True, , 3, False, False, 1, 1"</definedName>
    <definedName name="cb_Chart_53437_opts" hidden="1">"1, 10, 1, False, 2, True, False, , 0, False, False, 2, 2"</definedName>
    <definedName name="cb_Chart_53482_opts" hidden="1">"1, 10, 1, False, 2, True, False, , 0, False, False, 2, 2"</definedName>
    <definedName name="cb_Chart_54_opts" hidden="1">"1, 2, 1, False, 2, False, False, , 0, False, False, 2, 1"</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"1, 7, 1, False, 2, False, False, , 0, False, True, 2,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1, 1, False, 2, True, False, , 0, False, False, 1, 2"</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1, 1, False, 2, True, False, , 0, False, False, 1, 2"</definedName>
    <definedName name="cb_sChart_36498_opts" hidden="1">"1, 3, 1, False, 2, False, False, , 0, False, False, 1, 2"</definedName>
    <definedName name="cb_sChart_37450_opts" hidden="1">"1, 5, 1, False, 2, True, False, , 0, False, True, 2, 1"</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9, 1, False, 2, False, False, , 0, False, True, 2, 2"</definedName>
    <definedName name="cb_sChart_5449_opts" hidden="1">"1, 3, 1, False, 2, False, False, , 0, False, True, 2, 2"</definedName>
    <definedName name="cb_sChart_5723_opts" hidden="1">"1, 3, 1, False, 2, False, False, , 0, False, True, 2, 2"</definedName>
    <definedName name="cb_sChart_58046_opts" hidden="1">"1, 9, 1, False, 2, False, False, , 0, False, True, 2,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8, 1, False, 2, False, False, , 0, False, False, 2, 2"</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1, 1, False, 2, True, False, , 0, False, False, 1, 2"</definedName>
    <definedName name="cb_sChart_79140_opts" hidden="1">"1, 5, 1, False, 2, False, False, , 0, False, True, 2, 1"</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4, 1, False, 2, True, False, , 0, False, False, 1, 1"</definedName>
    <definedName name="cb_sChart_87236_opts" hidden="1">"1, 1, 1, False, 2, False, False, , 0, False, False, 1, 1"</definedName>
    <definedName name="cb_sChart_95047_opts" hidden="1">"1, 6, 1, False, 2, False, False, , 0, False, True, 2, 2"</definedName>
    <definedName name="cb_sChart_96286_opts" hidden="1">"1, 2, 1, False, 2, False, False, , 0, False, False, 2, 1"</definedName>
    <definedName name="cb_sChart105F0196_opts" hidden="1">"1, 2, 1, False, 2, False, False, , 1, False, False, 2, 1"</definedName>
    <definedName name="cb_sChart12595BBC_opts" hidden="1">"1, 1, 1, False, 2, True, False, , 0, False, False, 2, 2"</definedName>
    <definedName name="cb_sChart12595E44_opts" hidden="1">"1, 3, 1, False, 2, True, False, , 0, True, False, 2, 2"</definedName>
    <definedName name="cb_sChart12D83A2_opts" hidden="1">"1, 1, 1, False, 2, False, False, , 0, False, True, 2, 2"</definedName>
    <definedName name="cb_sChart12D852C_opts" hidden="1">"1, 1, 1, False, 2, False, False, , 0, False, True, 2, 2"</definedName>
    <definedName name="cb_sChart12D89EB_opts" hidden="1">"1, 1, 1, False, 2, False, False, , 0, False, True, 2, 2"</definedName>
    <definedName name="cb_sChart12DAD51_opts" hidden="1">"1, 1, 1, False, 2, False, False, , 0, False, True, 2, 2"</definedName>
    <definedName name="cb_sChart12E7B7B_opts" hidden="1">"1, 1, 1, False, 2, True, False, , 0, False, True, 2, 2"</definedName>
    <definedName name="cb_sChart12E83C1_opts" hidden="1">"1, 1, 1, False, 2, False, False, , 0, False, True, 2, 1"</definedName>
    <definedName name="cb_sChart12E85B3_opts" hidden="1">"1, 1, 1, False, 2, False, False, , 0, False, True, 2, 2"</definedName>
    <definedName name="cb_sChart12E8C9E_opts" hidden="1">"1, 2, 1, False, 2, False, False, , 0, False, False, 2, 1"</definedName>
    <definedName name="cb_sChart12EA8E0_opts" hidden="1">"1, 1, 1, False, 2, True, False, , 0, False, False, 2, 2"</definedName>
    <definedName name="cb_sChart12EB078_opts" hidden="1">"1, 1, 1, False, 2, False, False, , 0, False, False, 2, 2"</definedName>
    <definedName name="cb_sChart12EBD15_opts" hidden="1">"1, 1, 1, False, 2, False, False, , 0, False, False, 2, 2"</definedName>
    <definedName name="cb_sChart12FE48A_opts" hidden="1">"1, 2, 1, False, 2, False, False, , 0, False, False, 2, 1"</definedName>
    <definedName name="cb_sChart12FE9EB_opts" hidden="1">"1, 1, 1, False, 2, False, False, , 0, False, False, 1, 2"</definedName>
    <definedName name="cb_sChart12FEDFD_opts" hidden="1">"1, 1, 1, False, 2, False, False, , 0, False, False, 1, 2"</definedName>
    <definedName name="cb_sChart12FF231_opts" hidden="1">"1, 1, 1, False, 2, False, False, , 0, False, False, 1, 2"</definedName>
    <definedName name="cb_sChart12FF8BF_opts" hidden="1">"1, 1, 1, False, 2, False, False, , 0, False, False, 1, 2"</definedName>
    <definedName name="cb_sChart12FF933_opts" hidden="1">"1, 3, 1, False, 2, False, False, , 0, False, False, 1, 2"</definedName>
    <definedName name="cb_sChart12FFC46_opts" hidden="1">"1, 1, 1, False, 2, False, False, , 0, False, False, 1, 2"</definedName>
    <definedName name="cb_sChart14E6EA1E_opts" hidden="1">"1, 9, 1, False, 2, False, False, , 0, False, False, 1, 2"</definedName>
    <definedName name="cb_sChart14E6EB91_opts" hidden="1">"1, 9, 1, False, 2, False, False, , 0, False, False, 1, 1"</definedName>
    <definedName name="cb_sChart14E6ED99_opts" hidden="1">"1, 9, 1, False, 2, False, False, , 0, False, False, 1, 1"</definedName>
    <definedName name="cb_sChart14E6F3EE_opts" hidden="1">"1, 9, 1, False, 2, False, False, , 0, False, False, 1, 1"</definedName>
    <definedName name="cb_sChart14E81502_opts" hidden="1">"1, 9, 1, False, 2, False, False, , 0, False, False, 1, 2"</definedName>
    <definedName name="cb_sChart14E81DF6_opts" hidden="1">"1, 9, 1, False, 2, False, False, , 0, False, False, 1, 2"</definedName>
    <definedName name="cb_sChart14E82800_opts" hidden="1">"1, 9, 1, False, 2, False, False, , 0, False, False, 1, 2"</definedName>
    <definedName name="cb_sChart14E83288_opts" hidden="1">"1, 9, 1, False, 2, False, False, , 0, False, False, 1, 2"</definedName>
    <definedName name="cb_sChart14E8F629_opts" hidden="1">"1, 9, 1, False, 2, False, False, , 0, False, False, 1, 2"</definedName>
    <definedName name="cb_sChart14F787E8_opts" hidden="1">"1, 9, 1, False, 2, False, False, , 0, False, False, 1, 2"</definedName>
    <definedName name="cb_sChart14F7947A_opts" hidden="1">"1, 9, 1, False, 2, False, False, , 0, False, False, 1, 2"</definedName>
    <definedName name="cb_sChart14F79A09_opts" hidden="1">"1, 9, 1, False, 2, False, False, , 0, False, False, 1, 2"</definedName>
    <definedName name="cb_sChart14FA60AB_opts" hidden="1">"1, 9, 1, False, 2, False, False, , 0, False, False, 1, 2"</definedName>
    <definedName name="cb_sChart14FA650D_opts" hidden="1">"1, 9, 1, False, 2, False, False, , 0, False, False, 1, 2"</definedName>
    <definedName name="cb_sChart1501ACE3_opts" hidden="1">"1, 8, 1, False, 2, False, False, , 0, False, False, 1, 2"</definedName>
    <definedName name="cb_sChart1501AEF7_opts" hidden="1">"1, 9, 1, False, 2, False, False, , 0, False, False, 1, 2"</definedName>
    <definedName name="cb_sChart1501DCE6_opts" hidden="1">"1, 9, 1, False, 2, False, False, , 0, False, False, 1, 2"</definedName>
    <definedName name="cb_sChart1501EF92_opts" hidden="1">"1, 9, 1, False, 2, False, False, , 0, False, False, 1, 2"</definedName>
    <definedName name="cb_sChart1501F8CB_opts" hidden="1">"1, 9, 1, False, 2, False, False, , 0, False, False, 1, 2"</definedName>
    <definedName name="cb_sChart150208AA_opts" hidden="1">"1, 9, 1, False, 2, False, False, , 0, False, False, 1, 2"</definedName>
    <definedName name="cb_sChart15020EC4_opts" hidden="1">"1, 9, 1, False, 2, False, False, , 0, False, False, 1, 2"</definedName>
    <definedName name="cb_sChart150212BF_opts" hidden="1">"1, 9, 1, False, 2, False, False, , 0, False, False, 1, 2"</definedName>
    <definedName name="cb_sChart15021F68_opts" hidden="1">"1, 9, 1, False, 2, False, False, , 0, False, False, 1, 1"</definedName>
    <definedName name="cb_sChart15022484_opts" hidden="1">"1, 9, 1, False, 2, False, False, , 0, False, False, 1, 2"</definedName>
    <definedName name="cb_sChart150226F5_opts" hidden="1">"1, 9, 1, False, 2, False, False, , 0, False, False, 1, 2"</definedName>
    <definedName name="cb_sChart15144595_opts" hidden="1">"1, 9, 1, False, 2, False, False, , 0, False, False, 1, 2"</definedName>
    <definedName name="cb_sChart15145615_opts" hidden="1">"1, 9, 1, False, 2, False, False, , 0, False, False, 1, 2"</definedName>
    <definedName name="cb_sChart151464B0_opts" hidden="1">"1, 9, 1, False, 2, False, False, , 0, False, False, 1, 2"</definedName>
    <definedName name="cb_sChart15146FA1_opts" hidden="1">"1, 9, 1, False, 2, False, False, , 0, False, False, 1, 2"</definedName>
    <definedName name="cb_sChart15149A94_opts" hidden="1">"1, 9, 1, False, 2, False, False, , 0, False, False, 1, 2"</definedName>
    <definedName name="cb_sChart1514EEC3_opts" hidden="1">"1, 9, 1, False, 2, False, False, , 0, False, False, 1, 2"</definedName>
    <definedName name="cb_sChart1514F2E0_opts" hidden="1">"1, 9, 1, False, 2, False, False, , 0, False, False, 1, 2"</definedName>
    <definedName name="cb_sChart151510A0_opts" hidden="1">"1, 9, 1, False, 2, False, False, , 0, False, False, 1, 2"</definedName>
    <definedName name="cb_sChart15154C37_opts" hidden="1">"1, 9, 1, False, 2, False, False, , 0, False, False, 1, 2"</definedName>
    <definedName name="cb_sChart15157034_opts" hidden="1">"1, 9, 1, False, 2, False, False, , 0, False, False, 1, 2"</definedName>
    <definedName name="cb_sChart1515F81B_opts" hidden="1">"1, 9, 1, False, 2, False, False, , 0, False, False, 1, 2"</definedName>
    <definedName name="cb_sChart1515F9EA_opts" hidden="1">"1, 9, 1, False, 2, False, False, , 0, False, False, 1, 2"</definedName>
    <definedName name="cb_sChart15161029_opts" hidden="1">"1, 9, 1, False, 2, False, False, , 0, False, False, 1, 2"</definedName>
    <definedName name="cb_sChart15163773_opts" hidden="1">"1, 9, 1, False, 2, False, False, , 0, False, False, 1, 2"</definedName>
    <definedName name="cb_sChart15164F8C_opts" hidden="1">"1, 9, 1, False, 2, False, False, , 0, False, False, 1, 2"</definedName>
    <definedName name="cb_sChart15165265_opts" hidden="1">"1, 9, 1, False, 2, False, False, , 0, False, False, 1, 2"</definedName>
    <definedName name="cb_sChart15166173_opts" hidden="1">"1, 9, 1, False, 2, False, False, , 0, False, False, 1, 2"</definedName>
    <definedName name="cb_sChart1516A84C_opts" hidden="1">"1, 9, 1, False, 2, False, False, , 0, False, False, 1, 2"</definedName>
    <definedName name="cb_sChart181DCCD8_opts" hidden="1">"1, 9, 1, False, 2, False, False, , 0, False, True, 1, 2"</definedName>
    <definedName name="cb_sChart181DCFF7_opts" hidden="1">"1, 3, 1, False, 2, True, False, , 0, True, True, 2, 1"</definedName>
    <definedName name="cb_sChart181DDD93_opts" hidden="1">"1, 3, 1, False, 2, True, False, , 0, True, True, 2, 1"</definedName>
    <definedName name="cb_sChart181DDEEE_opts" hidden="1">"1, 3, 1, False, 2, True, False, , 0, True, True, 2, 1"</definedName>
    <definedName name="cb_sChart181DE1C7_opts" hidden="1">"1, 10, 1, False, 2, True, False, , 0, False, True, 2, 1"</definedName>
    <definedName name="cb_sChart181E8791_opts" hidden="1">"2, 1, 2, True, 2, True, False, , 0, False, True, 1, 2"</definedName>
    <definedName name="cb_sChart181E96D9_opts" hidden="1">"1, 9, 1, False, 2, False, False, , 0, False, True, 1,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9EB7A17_opts" hidden="1">"1, 3, 1, False, 2, False, False, , 0, False, True, 1, 1"</definedName>
    <definedName name="cb_sChart19EB7D70_opts" hidden="1">"1, 5, 1, False, 2, False, False, , 0, False, True, 1, 1"</definedName>
    <definedName name="cb_sChart19EB7F61_opts" hidden="1">"1, 3, 1, False, 2, False, False, , 0, False, True, 1, 1"</definedName>
    <definedName name="cb_sChart1B7AB11_opts" hidden="1">"1, 7, 1, False, 2, False, False, , 0, False, True, 1, 1"</definedName>
    <definedName name="cb_sChart1B7ECF0_opts" hidden="1">"1, 9, 1, False, 2, False, False, , 0, False, False, 1, 1"</definedName>
    <definedName name="cb_sChart1B8AF1F_opts" hidden="1">"1, 9, 1, False, 2, False, True, , 0, False, False, 1, 1"</definedName>
    <definedName name="cb_sChart1B99DE1_opts" hidden="1">"1, 7, 1, False, 2, False, False, , 0, False, True, 1, 2"</definedName>
    <definedName name="cb_sChart1B9A4AFE_opts" hidden="1">"1, 9, 1, False, 2, False, False, , 0, False, False, 1, 2"</definedName>
    <definedName name="cb_sChart1BA1DC3F_opts" hidden="1">"1, 9, 1, False, 2, False, False, , 0, False, False, 1, 2"</definedName>
    <definedName name="cb_sChart1BA8AA_opts" hidden="1">"1, 1, 1, False, 2, False, False, , 0, False, False, 1, 2"</definedName>
    <definedName name="cb_sChart1BADD1_opts" hidden="1">"1, 1, 1, False, 2, False, False, , 0, False, False, 2,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b_sChart1CAAAF_opts" hidden="1">"1, 1, 1, False, 2, False, False, , 0, False, False, 3, 2"</definedName>
    <definedName name="cb_sChart1D05BD_opts" hidden="1">"1, 4, 1, False, 2, True, False, , 0, False, False, 2, 1"</definedName>
    <definedName name="cb_sChart1D0E49_opts" hidden="1">"1, 1, 1, False, 2, True, False, , 0, False, True, 2, 1"</definedName>
    <definedName name="cb_sChart1D0EF7_opts" hidden="1">"1, 5, 1, False, 2, True, False, , 0, False, True, 2, 1"</definedName>
    <definedName name="cb_sChart1D3AE8_opts" hidden="1">"1, 6, 1, False, 2, False, False, , 0, False, True, 2, 2"</definedName>
    <definedName name="cb_sChart1D3EEF_opts" hidden="1">"1, 7, 1, False, 2, False, False, , 0, False, True, 2, 2"</definedName>
    <definedName name="cb_sChart1D41EA_opts" hidden="1">"1, 8, 1, False, 2, False, False, , 0, False, False, 2, 2"</definedName>
    <definedName name="cb_sChart1D5891_opts" hidden="1">"1, 9, 1, False, 2, False, False, , 0, False, True, 2, 2"</definedName>
    <definedName name="cb_sChart1D9CE2_opts" hidden="1">"1, 10, 1, False, 2, True, False, , 0, False, False, 2, 2"</definedName>
    <definedName name="cb_sChart1DA03A_opts" hidden="1">"2, 1, 1, True, 3, False, False, , 0, False, True, 1, 2"</definedName>
    <definedName name="cb_sChart1DA590_opts" hidden="1">"2, 1, 1, True, 3, False, False, , 0, False, True, 2, 2"</definedName>
    <definedName name="cb_sChart1DBAAD_opts" hidden="1">"2, 1, 2, True, 2, False, False, , 0, False, True, 1, 2"</definedName>
    <definedName name="cb_sChart1DBB89_opts" hidden="1">"2, 1, 2, True, 2, False, False, , 0, False, True, 1, 1"</definedName>
    <definedName name="cb_sChart1DCA97_opts" hidden="1">"2, 1, 1, True, 2, False, False, , 0, False, True, 2, 1"</definedName>
    <definedName name="cb_sChart1DCCF1_opts" hidden="1">"2, 1, 1, True, 2, False, False, , 0, False, True, 1, 2"</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23F891A_opts" hidden="1">"1, 9, 1, False, 2, False, False, , 0, False, True, 1, 1"</definedName>
    <definedName name="cb_sChart24ED245_opts" hidden="1">"1, 9, 1, False, 2, False, False, , 0, False, True, 1, 1"</definedName>
    <definedName name="cb_sChart24ED930_opts" hidden="1">"1, 9, 1, False, 2, False, False, , 0, False, False, 1, 1"</definedName>
    <definedName name="cb_sChart26CA498_opts" hidden="1">"1, 9, 1, False, 2, False, False, , 0, False, False, 1, 1"</definedName>
    <definedName name="cb_sChart27D31D5_opts" hidden="1">"1, 9, 1, False, 2, False, False, , 0, False, True, 1, 1"</definedName>
    <definedName name="cb_sChart27D3990_opts" hidden="1">"1, 9, 1, False, 2, False, False, , 0, False, True, 1, 1"</definedName>
    <definedName name="cb_sChart2A64D8F_opts" hidden="1">"1, 8, 1, False, 2, False, False, , 0, False, True, 1, 1"</definedName>
    <definedName name="cb_sChart2A65748_opts" hidden="1">"1, 8, 1, False, 2, False, False, , 0, False, True, 1, 1"</definedName>
    <definedName name="cb_sChart2A667D4_opts" hidden="1">"1, 8, 1, False, 2, False, False, , 0, False, True, 1, 1"</definedName>
    <definedName name="cb_sChart2A66D9D_opts" hidden="1">"1, 8, 1, False, 2, False, False, , 0, False, True, 1, 1"</definedName>
    <definedName name="cb_sChart2A67124_opts" hidden="1">"2, 1, 3, False, 2, False, False, , 0, False, True, 1, 1"</definedName>
    <definedName name="cb_sChart2A673A1_opts" hidden="1">"1, 8, 1, False, 2, False, False, , 0, False, True, 1, 1"</definedName>
    <definedName name="cb_sChart2A67A0C_opts" hidden="1">"1, 8, 1, False, 2, False, False, , 0, False, True, 1, 1"</definedName>
    <definedName name="cb_sChart2A68670_opts" hidden="1">"1, 8, 1, False, 2, False, False, , 0, False, True, 1, 1"</definedName>
    <definedName name="cb_sChart2A6C43D_opts" hidden="1">"1, 9, 1, False, 2, False, False, , 0, False, True, 1, 1"</definedName>
    <definedName name="cb_sChart2A74E8A_opts" hidden="1">"1, 9, 1, False, 2, False, False, , 0, False, True, 1, 1"</definedName>
    <definedName name="cb_sChart2A76BA8_opts" hidden="1">"1, 9, 1, False, 2, False, False, , 0, False, True, 1, 1"</definedName>
    <definedName name="cb_sChart2D6F93B_opts" hidden="1">"1, 9, 1, False, 2, False, False, , 0, False, True, 1, 1"</definedName>
    <definedName name="cb_sChart2D714FE_opts" hidden="1">"1, 9, 1, False, 2, False, False, , 0, False, True, 1, 2"</definedName>
    <definedName name="cb_sChart2D737E5_opts" hidden="1">"1, 9, 1, False, 2, False, False, , 0, False, False, 1, 2"</definedName>
    <definedName name="cb_sChart2D73A28_opts" hidden="1">"1, 9, 1, False, 2, False, False, , 0, False, True, 1, 1"</definedName>
    <definedName name="cb_sChart2D759D9_opts" hidden="1">"1, 10, 1, False, 2, False, False, , 0, False, False, 1, 2"</definedName>
    <definedName name="cb_sChart2D76823_opts" hidden="1">"1, 9, 1, False, 2, False, False, , 0, False, True, 1, 2"</definedName>
    <definedName name="cb_sChart2D76BFA_opts" hidden="1">"1, 9, 1, False, 2, False, False, , 0, False, True, 1, 2"</definedName>
    <definedName name="cb_sChart2D9FB96_opts" hidden="1">"1, 9, 1, False, 2, False, False, , 0, False, True, 1, 2"</definedName>
    <definedName name="cb_sChart2D9FE6F_opts" hidden="1">"1, 9, 1, False, 2, False, False, , 0, False, True, 1, 2"</definedName>
    <definedName name="cb_sChart2DA6F48_opts" hidden="1">"1, 9, 1, False, 2, False, False, , 0, False, True, 1, 2"</definedName>
    <definedName name="cb_sChart2DAB5B8_opts" hidden="1">"1, 7, 1, False, 2, False, False, , 0, False, True, 1, 1"</definedName>
    <definedName name="cb_sChart2DAC2D5_opts" hidden="1">"1, 7, 1, False, 2, False, False, , 0, False, True, 1, 1"</definedName>
    <definedName name="cb_sChart2DADDDE_opts" hidden="1">"1, 7, 1, False, 2, False, False, , 0, False, False, 1, 1"</definedName>
    <definedName name="cb_sChart2DADE5D_opts" hidden="1">"1, 7, 1, False, 2, False, False, , 0, False, True, 1, 1"</definedName>
    <definedName name="cb_sChart2DAF358_opts" hidden="1">"1, 7, 1, False, 2, False, False, , 0, False, True, 1, 1"</definedName>
    <definedName name="cb_sChart2DB05D6_opts" hidden="1">"1, 7, 1, False, 2, False, False, , 0, False, True, 1, 1"</definedName>
    <definedName name="cb_sChart2DBCB46_opts" hidden="1">"1, 7, 1, False, 2, False, False, , 0, False, True, 1, 1"</definedName>
    <definedName name="cb_sChart2E6278B_opts" hidden="1">"1, 9, 1, False, 2, False, False, , 0, False, True, 1, 1"</definedName>
    <definedName name="cb_sChart2EB0678_opts" hidden="1">"1, 1, 1, False, 2, True, False, , 0, False, True, 2, 2"</definedName>
    <definedName name="cb_sChart2F3EBCE_opts" hidden="1">"2, 1, 1, False, 2, False, False, , 0, False, True, 2, 2"</definedName>
    <definedName name="cb_sChart2F3F63F_opts" hidden="1">"1, 5, 1, False, 2, True, False, , 0, False, False, 1, 1"</definedName>
    <definedName name="cb_sChart2F3F90D_opts" hidden="1">"1, 5, 1, False, 2, True, False, , 0, False, False, 2, 2"</definedName>
    <definedName name="cb_sChart2F46DBE_opts" hidden="1">"2, 1, 1, True, 2, False, False, , 0, False, True, 1, 2"</definedName>
    <definedName name="cb_sChart2F470D1_opts" hidden="1">"2, 1, 1, False, 2, True, False, , 0, False, True, 1, 2"</definedName>
    <definedName name="cb_sChart2F4952A_opts" hidden="1">"1, 5, 1, False, 2, False, False, , 0, False, False, 1, 1"</definedName>
    <definedName name="cb_sChart2F49CDA_opts" hidden="1">"1, 5, 1, False, 2, False, False, , 0, False, False, 1, 1"</definedName>
    <definedName name="cb_sChart2F4A3D0_opts" hidden="1">"1, 5, 1, False, 2, False, False, , 0, False, False, 1, 1"</definedName>
    <definedName name="cb_sChart2F4A9B1_opts" hidden="1">"1, 5, 1, False, 2, False, False, , 0, False, False, 1, 1"</definedName>
    <definedName name="cb_sChart2F65E86_opts" hidden="1">"1, 1, 1, False, 2, True, False, , 0, False, False, 2, 2"</definedName>
    <definedName name="cb_sChart2F6A8C2_opts" hidden="1">"1, 1, 1, False, 2, True, False, , 0, False, False, 1, 2"</definedName>
    <definedName name="cb_sChart2F6AAB4_opts" hidden="1">"1, 1, 1, False, 2, True, False, , 0, False, True, 1, 2"</definedName>
    <definedName name="cb_sChart2F6B601_opts" hidden="1">"1, 1, 1, False, 2, False, False, , 0, False, False, 1, 1"</definedName>
    <definedName name="cb_sChart2F730C1_opts" hidden="1">"1, 4, 1, False, 2, False, False, , 0, False, False, 1, 1"</definedName>
    <definedName name="cb_sChart2FA9A3C_opts" hidden="1">"1, 3, 1, False, 2, False, False, , 0, False, True, 1, 2"</definedName>
    <definedName name="cb_sChart2FA9CC4_opts" hidden="1">"1, 3, 1, False, 2, False, False, , 0, False, True, 1, 2"</definedName>
    <definedName name="cb_sChart33FC2FF_opts" hidden="1">"1, 5, 1, False, 2, False, False, , 0, False, False, 1, 2"</definedName>
    <definedName name="cb_sChart33FC8D4_opts" hidden="1">"1, 5, 1, False, 2, False, False, , 0, False, False, 1, 2"</definedName>
    <definedName name="cb_sChart33FE8BF_opts" hidden="1">"1, 5, 1, False, 2, False, False, , 0, False, False, 1, 2"</definedName>
    <definedName name="cb_sChart34010F1_opts" hidden="1">"1, 5, 1, False, 2, False, False, , 0, False, False, 1, 2"</definedName>
    <definedName name="cb_sChart3401AFA_opts" hidden="1">"1, 5, 1, False, 2, False, False, , 0, False, False, 1, 2"</definedName>
    <definedName name="cb_sChart3409186_opts" hidden="1">"1, 5, 1, False, 2, False, False, , 0, False, False, 1, 2"</definedName>
    <definedName name="cb_sChart340A263_opts" hidden="1">"1, 5, 1, False, 2, False, False, , 0, False, False, 1, 1"</definedName>
    <definedName name="cb_sChart340F629_opts" hidden="1">"1, 8, 1, False, 2, False, False, , 0, False, False, 1, 2"</definedName>
    <definedName name="cb_sChart340FD14_opts" hidden="1">"1, 8, 1, False, 2, False, False, , 0, False, False, 1, 2"</definedName>
    <definedName name="cb_sChart34107E2_opts" hidden="1">"1, 8, 1, False, 2, False, False, , 0, False, False, 1, 1"</definedName>
    <definedName name="cb_sChart3434ED7_opts" hidden="1">"1, 5, 1, False, 2, False, False, , 0, False, False, 1, 2"</definedName>
    <definedName name="cb_sChart343DEED_opts" hidden="1">"2, 1, 2, True, 2, False, False, , 0, False, True, 1, 2"</definedName>
    <definedName name="cb_sChart344EE9A_opts" hidden="1">"1, 9, 1, False, 2, False, False, , 0, False, True, 1, 1"</definedName>
    <definedName name="cb_sChart344F24F_opts" hidden="1">"1, 9, 1, False, 2, False, False, , 0, False, True, 1, 2"</definedName>
    <definedName name="cb_sChart3450777_opts" hidden="1">"1, 9, 1, False, 2, False, True, 13, 2, False, False, 1, 1"</definedName>
    <definedName name="cb_sChart3450E85_opts" hidden="1">"1, 9, 1, False, 2, False, False, , 0, False, True, 1, 2"</definedName>
    <definedName name="cb_sChart3452C22_opts" hidden="1">"1, 3, 1, False, 2, False, False, , 0, False, True, 1, 2"</definedName>
    <definedName name="cb_sChart345311B_opts" hidden="1">"1, 3, 1, False, 2, False, False, , 0, False, True, 1, 2"</definedName>
    <definedName name="cb_sChart3453B0D_opts" hidden="1">"2, 1, 1, True, 2, False, False, , 0, False, True, 1, 2"</definedName>
    <definedName name="cb_sChart34647CA_opts" hidden="1">"1, 8, 1, False, 2, False, False, , 0, False, False, 2, 2"</definedName>
    <definedName name="cb_sChart346520D_opts" hidden="1">"1, 8, 1, False, 2, False, False, , 0, False, False, 1, 2"</definedName>
    <definedName name="cb_sChart34654DB_opts" hidden="1">"1, 8, 1, False, 2, False, False, , 0, False, False, 1, 2"</definedName>
    <definedName name="cb_sChart346953C_opts" hidden="1">"2, 1, 1, False, 2, False, False, , 0, False, False, 2, 2"</definedName>
    <definedName name="cb_sChart346A27B_opts" hidden="1">"1, 3, 1, False, 2, False, False, , 0, False, True, 2, 2"</definedName>
    <definedName name="cb_sChart347102A_opts" hidden="1">"2, 1, 1, False, 2, False, False, , 0, False, True, 2, 2"</definedName>
    <definedName name="cb_sChart34E448E_opts" hidden="1">"1, 1, 1, False, 2, False, False, , 0, False, False, 1, 1"</definedName>
    <definedName name="cb_sChart34F5376_opts" hidden="1">"2, 1, 2, True, 2, False, False, , 0, False, True, 1, 2"</definedName>
    <definedName name="cb_sChart34F577C_opts" hidden="1">"2, 1, 2, True, 2, False, False, , 0, False, True, 1, 2"</definedName>
    <definedName name="cb_sChart34F5A05_opts" hidden="1">"2, 1, 2, True, 2, False, False, , 0, False, True, 1, 2"</definedName>
    <definedName name="cb_sChart34F5F2C_opts" hidden="1">"2, 1, 2, True, 2, False, False, , 0, False, True, 1, 2"</definedName>
    <definedName name="cb_sChart34F92FC_opts" hidden="1">"1, 1, 1, False, 2, True, False, , 0, False, False, 1, 2"</definedName>
    <definedName name="cb_sChart34F9B08_opts" hidden="1">"1, 4, 1, False, 2, False, False, , 0, False, False, 1, 1"</definedName>
    <definedName name="cb_sChart34FAEB3_opts" hidden="1">"1, 3, 1, False, 2, False, False, , 0, False, True, 1, 1"</definedName>
    <definedName name="cb_sChart34FB053_opts" hidden="1">"1, 3, 1, False, 2, True, False, , 0, False, False, 1, 1"</definedName>
    <definedName name="cb_sChart352F02B_opts" hidden="1">"1, 5, 1, False, 2, True, False, , 0, False, False, 1, 2"</definedName>
    <definedName name="cb_sChart3532FF6_opts" hidden="1">"2, 1, 1, False, 2, False, False, , 0, False, True, 1, 2"</definedName>
    <definedName name="cb_sChart355BCAD_opts" hidden="1">"2, 1, 1, False, 2, False, False, , 0, False, True, 1, 2"</definedName>
    <definedName name="cb_sChart35FF6A2_opts" hidden="1">"1, 8, 1, False, 2, False, False, , 0, False, False, 1, 2"</definedName>
    <definedName name="cb_sChart3624091_opts" hidden="1">"1, 8, 1, False, 2, False, False, , 0, False, False, 1, 2"</definedName>
    <definedName name="cb_sChart36406CE_opts" hidden="1">"1, 3, 1, False, 2, True, False, , 0, False, True, 1, 1"</definedName>
    <definedName name="cb_sChart3AB73A1_opts" hidden="1">"2, 1, 1, False, 2, True, False, , 0, False, True, 2, 2"</definedName>
    <definedName name="cb_sChart3ABAD51_opts" hidden="1">"1, 5, 1, False, 2, True, False, , 0, False, False, 2, 2"</definedName>
    <definedName name="cb_sChart3AE4A4F_opts" hidden="1">"2, 1, 1, True, 2, False, False, , 0, False, True, 2, 2"</definedName>
    <definedName name="cb_sChart3AEA7B7_opts" hidden="1">"2, 1, 1, True, 2, False, False, , 0, False, True, 1, 1"</definedName>
    <definedName name="cb_sChart3AEAB83_opts" hidden="1">"2, 1, 1, True, 2, False, False, , 0, False, True, 2, 2"</definedName>
    <definedName name="cb_sChart3AF2834_opts" hidden="1">"1, 3, 1, False, 2, False, False, , 0, False, False, 2, 2"</definedName>
    <definedName name="cb_sChart3AF5310_opts" hidden="1">"1, 1, 1, False, 2, False, False, , 0, False, False, 1, 2"</definedName>
    <definedName name="cb_sChart3AF68AD_opts" hidden="1">"1, 1, 1, False, 2, False, False, , 0, False, False, 2, 2"</definedName>
    <definedName name="cb_sChart3AF71DA_opts" hidden="1">"1, 1, 1, False, 2, False, False, , 0, False, False, 1, 1"</definedName>
    <definedName name="cb_sChart3AF76D4_opts" hidden="1">"1, 1, 1, False, 2, False, False, , 0, False, False, 2, 2"</definedName>
    <definedName name="cb_sChart3AF8492_opts" hidden="1">"1, 1, 1, False, 2, False, False, , 0, False, False, 1, 1"</definedName>
    <definedName name="cb_sChart3AFF994_opts" hidden="1">"1, 1, 1, False, 2, False, False, , 0, False, False, 2, 2"</definedName>
    <definedName name="cb_sChart3B004D6_opts" hidden="1">"1, 1, 1, False, 2, False, False, , 0, False, False, 1, 1"</definedName>
    <definedName name="cb_sChart3B03C44_opts" hidden="1">"1, 1, 1, False, 2, False, False, , 0, False, False, 1, 1"</definedName>
    <definedName name="cb_sChart3B08D31_opts" hidden="1">"1, 8, 1, False, 2, False, False, , 0, False, False, 2, 2"</definedName>
    <definedName name="cb_sChart3B09A9F_opts" hidden="1">"1, 8, 1, False, 2, False, False, , 0, False, False, 2, 2"</definedName>
    <definedName name="cb_sChart3B09F8C_opts" hidden="1">"1, 8, 1, False, 2, False, False, , 0, False, False, 2, 2"</definedName>
    <definedName name="cb_sChart3B0ABD8_opts" hidden="1">"1, 8, 1, False, 2, False, False, , 0, False, False, 2, 2"</definedName>
    <definedName name="cb_sChart3B12357_opts" hidden="1">"1, 8, 1, False, 2, False, False, , 0, False, False, 2, 2"</definedName>
    <definedName name="cb_sChart3B12816_opts" hidden="1">"1, 8, 1, False, 2, False, False, , 0, False, False, 2, 2"</definedName>
    <definedName name="cb_sChart3B12D0F_opts" hidden="1">"1, 8, 1, False, 2, False, False, , 0, False, False, 2, 2"</definedName>
    <definedName name="cb_sChart3BA9EF5_opts" hidden="1">"1, 9, 1, False, 2, False, False, , 0, False, True, 1, 1"</definedName>
    <definedName name="cb_sChart3BAA0A1_opts" hidden="1">"1, 9, 1, False, 2, False, False, , 0, False, True, 1, 1"</definedName>
    <definedName name="cb_sChart3BAA29E_opts" hidden="1">"1, 9, 1, False, 2, False, False, , 0, False, True, 1, 1"</definedName>
    <definedName name="cb_sChart3BAACED_opts" hidden="1">"1, 9, 1, False, 2, False, False, , 0, False, True, 1, 1"</definedName>
    <definedName name="cb_sChart3BAD7A6_opts" hidden="1">"2, 1, 2, True, 2, False, False, , 0, False, True, 1, 2"</definedName>
    <definedName name="cb_sChart3BBD972_opts" hidden="1">"1, 1, 1, False, 2, False, False, , 0, False, False, 1, 1"</definedName>
    <definedName name="cb_sChart3BC0E91_opts" hidden="1">"2, 1, 1, False, 2, True, False, , 0, False, True, 1, 1"</definedName>
    <definedName name="cb_sChart3BFC30E_opts" hidden="1">"1, 4, 1, False, 2, False, False, , 0, False, False, 1, 1"</definedName>
    <definedName name="cb_sChart3BFD9FA_opts" hidden="1">"2, 1, 1, True, 2, False, False, , 0, False, True, 2, 2"</definedName>
    <definedName name="cb_sChart3BFEF23_opts" hidden="1">"1, 4, 1, False, 2, False, False, , 0, False, False, 1, 1"</definedName>
    <definedName name="cb_sChart3BFF2E3_opts" hidden="1">"1, 1, 1, False, 2, False, False, , 0, False, False, 1, 1"</definedName>
    <definedName name="cb_sChart41E9A35_opts" hidden="1">"1, 9, 1, False, 2, False, False, , 0, False, True, 1, 1"</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28C3_opts" hidden="1">"1, 1, 1, False, 2, False, False, , 0, False, False, 1, 2"</definedName>
    <definedName name="cb_sChart482D03_opts" hidden="1">"1, 1, 1, False, 2, False, False, , 0, False, False, 1, 2"</definedName>
    <definedName name="cb_sChart595EE0E_opts" hidden="1">"1, 9, 1, False, 2, False, True, , 3, False, True, 1, 1"</definedName>
    <definedName name="cb_sChart5D0C805_opts" hidden="1">"1, 4, 1, False, 2, False, False, , 0, False, False, 1, 1"</definedName>
    <definedName name="cb_sChart5D375C8_opts" hidden="1">"1, 9, 1, False, 2, False, False, , 0, False, True, 1, 1"</definedName>
    <definedName name="cb_sChart68E08A4_opts" hidden="1">"1, 1, 1, False, 2, True, False, , 0, False, False, 2, 2"</definedName>
    <definedName name="cb_sChart6A2ED7_opts" hidden="1">"1, 10, 1, False, 2, True, False, , 0, False, False, 1, 1"</definedName>
    <definedName name="cb_sChart6A6617_opts" hidden="1">"1, 10, 1, False, 2, True, False, , 0, False, False, 1, 1"</definedName>
    <definedName name="cb_sChart6A66F3_opts" hidden="1">"1, 10, 1, False, 2, True, False, , 0, False, False, 1, 1"</definedName>
    <definedName name="cb_sChart6A7DF6_opts" hidden="1">"1, 3, 1, False, 2, True, False, , 0, False, True, 2, 1"</definedName>
    <definedName name="cb_sChart6F544DD_opts" hidden="1">"1, 3, 1, False, 2, False, False, , 0, False, False, 2, 1"</definedName>
    <definedName name="cb_sChart74E984_opts" hidden="1">"1, 1, 1, False, 2, False, False, , 0, False, False, 2, 2"</definedName>
    <definedName name="cb_sChart74FE4B0_opts" hidden="1">"1, 4, 1, False, 2, True, False, , 0, False, False, 1, 1"</definedName>
    <definedName name="cb_sChart74FE8FC_opts" hidden="1">"1, 4, 1, False, 2, True, False, , 0, False, False, 1, 1"</definedName>
    <definedName name="cb_sChart8CD287E_opts" hidden="1">"1, 1, 1, False, 2, False, False, , 0, False, False, 1, 1"</definedName>
    <definedName name="cb_sChartD086F3E_opts" hidden="1">"1, 1, 1, False, 2, False, False, , 1, False, True, 2, 2"</definedName>
    <definedName name="cb_sChartD0876B3_opts" hidden="1">"2, 2, 2, True, 2, False, False, , 1, False, True, 2, 2"</definedName>
    <definedName name="cb_sChartEB337E1_opts" hidden="1">"1, 10, 1, False, 2, False, False, , 1, False, True, 2, 2"</definedName>
    <definedName name="cb_sChartEB33A80_opts" hidden="1">"1, 10, 1, False, 2, False, False, , 1, False, True, 2, 2"</definedName>
    <definedName name="cb_sChartEB33EA9_opts" hidden="1">"1, 10, 1, False, 2, False, False, , 1, False, True, 2, 2"</definedName>
    <definedName name="cb_sChartEB340BD_opts" hidden="1">"1, 10, 1, False, 2, False, False, , 1, False, True, 2, 2"</definedName>
    <definedName name="cb_sChartEB344DA_opts" hidden="1">"1, 10, 1, False, 2, False, False, , 1, False, False, 2, 2"</definedName>
    <definedName name="cb_sChartEB3479C_opts" hidden="1">"1, 1, 1, False, 2, False, False, , 1, False, True, 2, 1"</definedName>
    <definedName name="cb_sChartEB34833_opts" hidden="1">"1, 10, 1, False, 2, False, False, , 1, False, True, 2, 1"</definedName>
    <definedName name="cb_sChartEB34DCE_opts" hidden="1">"1, 10, 1, False, 2, False, False, , 1, False, True, 2, 1"</definedName>
    <definedName name="cb_sChartEB36CAF_opts" hidden="1">"1, 9, 1, False, 2, False, False, , 1, False, True, 1, 2"</definedName>
    <definedName name="cb_sChartEB38838_opts" hidden="1">"1, 9, 1, False, 2, False, False, , 1, False, True, 2, 2"</definedName>
    <definedName name="cb_sChartEB38E8C_opts" hidden="1">"1, 10, 1, False, 2, False, False, , 1, False, True, 2, 2"</definedName>
    <definedName name="cb_sChartEB3980B_opts" hidden="1">"1, 2, 1, False, 2, False, False, , 1, False, False, 2, 1"</definedName>
    <definedName name="cb_sChartEB39C1C_opts" hidden="1">"1, 2, 1, False, 2, False, False, , 1, False, False, 2, 1"</definedName>
    <definedName name="cb_sChartF046D89_opts" hidden="1">"1, 1, 1, False, 2, True, False, , 1, False, False, 1, 1"</definedName>
    <definedName name="cb_sChartF048B26_opts" hidden="1">"1, 5, 1, False, 2, False, False, , 1, False, False, 1, 2"</definedName>
    <definedName name="cb_sChartF0FF3D7_opts" hidden="1">"1, 8, 1, False, 2, False, False, , 1, False, True, 1, 2"</definedName>
    <definedName name="cb_sChartF1BF8C8_opts" hidden="1">"1, 8, 1, False, 2, False, False, , 1, False, True, 1, 2"</definedName>
    <definedName name="cb_sChartF1C057C_opts" hidden="1">"1, 2, 1, False, 2, False, False, , 1, False, False, 2, 1"</definedName>
    <definedName name="cb_sChartF1C0A0D_opts" hidden="1">"1, 8, 1, False, 2, False, False, , 1, False, True, 1, 1"</definedName>
    <definedName name="cb_sChartF1C9DF0_opts" hidden="1">"1, 8, 1, False, 2, False, False, , 1, False, True, 1, 2"</definedName>
    <definedName name="cb_sChartF1F24F5_opts" hidden="1">"1, 8, 1, False, 2, False, False, , 1, False, True, 1, 2"</definedName>
    <definedName name="cb_sChartF2B7B01_opts" hidden="1">"1, 1, 1, False, 2, True, False, , 1, False, False, 1, 1"</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WorkbookPriority" hidden="1">-703460413</definedName>
    <definedName name="CBWorkbookPriority1" hidden="1">-1222926411</definedName>
    <definedName name="cc" hidden="1">{"bs",#N/A,FALSE,"SCF"}</definedName>
    <definedName name="ccc" hidden="1">{#N/A,#N/A,TRUE,"Summary";#N/A,#N/A,TRUE,"Assumptions";#N/A,#N/A,TRUE,"Comparison";#N/A,#N/A,TRUE,"Financials";#N/A,#N/A,TRUE,"Plan v. Act"}</definedName>
    <definedName name="cccc" hidden="1">{#N/A,#N/A,FALSE,"Assessment";#N/A,#N/A,FALSE,"Staffing";#N/A,#N/A,FALSE,"Hires";#N/A,#N/A,FALSE,"Assumptions"}</definedName>
    <definedName name="CCOmps" hidden="1">{"page1",#N/A,TRUE,"PRICING";"page2",#N/A,TRUE,"PRICING"}</definedName>
    <definedName name="cd0" hidden="1">{#N/A,#N/A,FALSE,"Job Sched"}</definedName>
    <definedName name="cdsds" hidden="1">{#N/A,#N/A,TRUE,"BUD VS ACT AUST 96";#N/A,#N/A,TRUE,"96 COMP P&amp;L-AUST";#N/A,#N/A,TRUE,"COMP BS-AUSTRALIA";#N/A,#N/A,TRUE,"B/S - AUSTR."}</definedName>
    <definedName name="CDW" hidden="1">{#N/A,#N/A,FALSE,"Job Sched"}</definedName>
    <definedName name="CFFleet" hidden="1">{#N/A,#N/A,FALSE,"Cover";#N/A,#N/A,FALSE,"TOC";#N/A,#N/A,FALSE,"IS";#N/A,#N/A,FALSE,"Mo. IS";#N/A,#N/A,FALSE,"Cont By Div";#N/A,#N/A,FALSE,"BS";#N/A,#N/A,FALSE,"CF";#N/A,#N/A,FALSE,"Inventory"}</definedName>
    <definedName name="cgaf" hidden="1">{"FCB_ALL",#N/A,FALSE,"FCB"}</definedName>
    <definedName name="cgafde" hidden="1">{"FCB_ALL",#N/A,FALSE,"FCB"}</definedName>
    <definedName name="ChangeRange" hidden="1">#REF!</definedName>
    <definedName name="Chart" hidden="1">{#N/A,#N/A,FALSE,"Pharm";#N/A,#N/A,FALSE,"WWCM"}</definedName>
    <definedName name="chartNew" hidden="1">{#N/A,#N/A,FALSE,"SUMMARY";#N/A,#N/A,FALSE,"mcsh";#N/A,#N/A,FALSE,"vol&amp;rev";#N/A,#N/A,FALSE,"wkgcap";#N/A,#N/A,FALSE,"DEPR&amp;DT";#N/A,#N/A,FALSE,"ASSETS";#N/A,#N/A,FALSE,"NI&amp;OTH&amp;DIV";#N/A,#N/A,FALSE,"CASHFLOW";#N/A,#N/A,FALSE,"CAPEMPL";#N/A,#N/A,FALSE,"ROCE"}</definedName>
    <definedName name="check2" hidden="1">{#N/A,#N/A,FALSE,"Cashflow Analysis";#N/A,#N/A,FALSE,"Sensitivity Analysis";#N/A,#N/A,FALSE,"PV";#N/A,#N/A,FALSE,"Pro Forma"}</definedName>
    <definedName name="cheryl" hidden="1">{#N/A,#N/A,FALSE,"Barranca"}</definedName>
    <definedName name="chgeas" hidden="1">{"FCB_ALL",#N/A,FALSE,"FCB"}</definedName>
    <definedName name="chosie" hidden="1">{#N/A,#N/A,FALSE,"Pharm";#N/A,#N/A,FALSE,"WWCM"}</definedName>
    <definedName name="CIQANR_01a7cecbfd214495904699a5c11916a6" hidden="1">#REF!</definedName>
    <definedName name="CIQANR_13a80e60b0854509a2f63c71534b92b8" hidden="1">#REF!</definedName>
    <definedName name="CIQANR_147f2cd0dc8f4e11822d613cc9a62d00" hidden="1">#REF!</definedName>
    <definedName name="CIQANR_1c60ca33d12d4925a388bfa41be66b9c" hidden="1">#REF!</definedName>
    <definedName name="CIQANR_22d08fcfe5564f18986fa4d5614cac0a" hidden="1">#REF!</definedName>
    <definedName name="CIQANR_338ebf63df1c435ba12b8c7b8d18a1b5" hidden="1">#REF!</definedName>
    <definedName name="CIQANR_473135513d7742f9ab0f7fb69629567a" hidden="1">#REF!</definedName>
    <definedName name="CIQANR_4c527b687fe0405bb7fb238f3bfaa8af" hidden="1">#REF!</definedName>
    <definedName name="CIQANR_560d9caa769d455691f09c4af1ca4138" hidden="1">#REF!</definedName>
    <definedName name="CIQANR_618ba232ad644d87bd6555e2fb452f21" hidden="1">#REF!</definedName>
    <definedName name="CIQANR_65d0a3c0ca3043c593f2711ee14dbc3b" hidden="1">#REF!</definedName>
    <definedName name="CIQANR_6d1cc198b7524e688864ad50a703f452" hidden="1">#REF!</definedName>
    <definedName name="CIQANR_773b17cdd30e473ca6a9d0116dbcc711" hidden="1">#REF!</definedName>
    <definedName name="CIQANR_78ce45be2dae409a8b54262ae20189d7" hidden="1">#REF!</definedName>
    <definedName name="CIQANR_7c105d8105b241bebf7b6e6255d65ad0" hidden="1">#REF!</definedName>
    <definedName name="CIQANR_9f557b324ae645169d5f7c95a30e50c4" hidden="1">#REF!</definedName>
    <definedName name="CIQANR_a93c2231796345198453723e8bbb4994" hidden="1">#REF!</definedName>
    <definedName name="CIQANR_aaee5cfe66574987bc82da4973d5e5e8" hidden="1">#REF!</definedName>
    <definedName name="CIQANR_b1bfcf9354174a968e8ba31242bfffac" hidden="1">#REF!</definedName>
    <definedName name="CIQANR_b594479410e844dcb30cc0cb3e897b5a" hidden="1">#REF!</definedName>
    <definedName name="CIQANR_bd8f0346007e4c6c8649fae391e68670" hidden="1">#REF!</definedName>
    <definedName name="CIQANR_c6c257723fb444f7b8e9db41977b7b39" hidden="1">#REF!</definedName>
    <definedName name="CIQANR_d37d241771e84f2d93c62ec1dbddf0de" hidden="1">#REF!</definedName>
    <definedName name="CIQANR_d68f1752971d4c1db9b3fae98aa43092" hidden="1">#REF!</definedName>
    <definedName name="CIQANR_d6c0bcfaaf114f298c2ced7cb4fa9c3c" hidden="1">#REF!</definedName>
    <definedName name="CIQANR_e31a5f60f417438d92f80163c5178377" hidden="1">#REF!</definedName>
    <definedName name="CIQANR_eb8c190743c645a7b4cce9a76854d615" hidden="1">#REF!</definedName>
    <definedName name="CIQANR_ed7d4ad3bcb843ebab7a7f21da32b2fa" hidden="1">#REF!</definedName>
    <definedName name="CIQANR_fd3bcf4e9cbd4acdbf162e69e99f5d88" hidden="1">#REF!</definedName>
    <definedName name="CIQWBGuid" hidden="1">"1869515b-2ebb-45a5-a673-ca1112c5987b"</definedName>
    <definedName name="Circ">#REF!</definedName>
    <definedName name="CIRCABBA">#REF!</definedName>
    <definedName name="CircAcq4">#REF!</definedName>
    <definedName name="CircAcq5">#REF!</definedName>
    <definedName name="CircFBE">#REF!</definedName>
    <definedName name="CircHP">#REF!</definedName>
    <definedName name="CircMaster">#REF!</definedName>
    <definedName name="CircPrecision">#REF!</definedName>
    <definedName name="ClientMatter" hidden="1">"b1"</definedName>
    <definedName name="cmmt">#REF!</definedName>
    <definedName name="cmmts">#REF!</definedName>
    <definedName name="CO2out">#REF!</definedName>
    <definedName name="CoalHV">#REF!</definedName>
    <definedName name="Coalout">#REF!</definedName>
    <definedName name="code">#REF!</definedName>
    <definedName name="COGstandard" hidden="1">{#N/A,#N/A,FALSE,"Pharm";#N/A,#N/A,FALSE,"WWCM"}</definedName>
    <definedName name="comm" hidden="1">{"PAGE 1",#N/A,FALSE,"WEST_OT"}</definedName>
    <definedName name="comm2" hidden="1">{"PAGE 1",#N/A,FALSE,"WEST_OT"}</definedName>
    <definedName name="comm3" hidden="1">{"PAGE 1",#N/A,FALSE,"WEST_OT"}</definedName>
    <definedName name="common_size">#N/A</definedName>
    <definedName name="commrev2" hidden="1">{"PAGE 1",#N/A,FALSE,"WEST_OT"}</definedName>
    <definedName name="Company">#REF!</definedName>
    <definedName name="CompanyFilter">#REF!</definedName>
    <definedName name="Compco1" hidden="1">{"Page1",#N/A,FALSE,"CompCo";"Page2",#N/A,FALSE,"CompCo"}</definedName>
    <definedName name="Compco2" hidden="1">{"Page1",#N/A,FALSE,"CompCo";"Page2",#N/A,FALSE,"CompCo"}</definedName>
    <definedName name="compound_period">INDEX({2,12,4,1},MATCH(#REF!,compound_periods,0))</definedName>
    <definedName name="compound_periods">{"Semi-Annually";"Monthly";"Quarterly";"Annually"}</definedName>
    <definedName name="CompRange1" hidden="1">#N/A</definedName>
    <definedName name="CompRange2" hidden="1">#N/A</definedName>
    <definedName name="CompRange3" hidden="1">#N/A</definedName>
    <definedName name="conflict" hidden="1">{"arpm1995",#N/A,FALSE,"Summary 95-96";"bus_long_distance",#N/A,FALSE,"Summary 95-96";"mins_per_day",#N/A,FALSE,"Summary 95-96";"minutes1995",#N/A,FALSE,"Summary 95-96";"rev_per_day",#N/A,FALSE,"Summary 95-96";"view1995",#N/A,FALSE,"Summary 95-96"}</definedName>
    <definedName name="consumer" hidden="1">{"'Sheet1'!$A$5:$G$42"}</definedName>
    <definedName name="ContentsHelp" hidden="1">#REF!</definedName>
    <definedName name="copin" hidden="1">{#N/A,#N/A,TRUE,"RESUMEN ECON.";#N/A,#N/A,TRUE,"Costos de R.H.";#N/A,#N/A,TRUE,"COSTO HW";#N/A,#N/A,TRUE,"CUADROS";#N/A,#N/A,TRUE,"SCADA´s";#N/A,#N/A,TRUE,"PRECIOS EQUIPOS"}</definedName>
    <definedName name="copon" hidden="1">{#N/A,#N/A,FALSE,"RESUMEN ECON.";#N/A,#N/A,FALSE,"Costos de R.H.";#N/A,#N/A,FALSE,"COSTO HW";#N/A,#N/A,FALSE,"CUADROS";#N/A,#N/A,FALSE,"SCADA´s";#N/A,#N/A,FALSE,"PRECIOS EQUIPOS"}</definedName>
    <definedName name="COPY" hidden="1">{#N/A,#N/A,FALSE,"Pharm";#N/A,#N/A,FALSE,"WWCM"}</definedName>
    <definedName name="copy1" hidden="1">{#N/A,#N/A,FALSE,"Pharm";#N/A,#N/A,FALSE,"WWCM"}</definedName>
    <definedName name="COPY2" hidden="1">{#N/A,#N/A,FALSE,"Pharm";#N/A,#N/A,FALSE,"WWCM"}</definedName>
    <definedName name="copy233" hidden="1">{#N/A,#N/A,FALSE,"Pharm";#N/A,#N/A,FALSE,"WWCM"}</definedName>
    <definedName name="copy33" hidden="1">{#N/A,#N/A,FALSE,"Pharm";#N/A,#N/A,FALSE,"WWCM"}</definedName>
    <definedName name="copy38" hidden="1">{#N/A,#N/A,FALSE,"Pharm";#N/A,#N/A,FALSE,"WWCM"}</definedName>
    <definedName name="corp" hidden="1">{#N/A,#N/A,TRUE,"BUD VS ACT AUST 96";#N/A,#N/A,TRUE,"96 COMP P&amp;L-AUST";#N/A,#N/A,TRUE,"COMP BS-AUSTRALIA";#N/A,#N/A,TRUE,"B/S - AUSTR."}</definedName>
    <definedName name="Costes" hidden="1">{#N/A,#N/A,TRUE,"RESUMEN ECON.";#N/A,#N/A,TRUE,"Costos de R.H.";#N/A,#N/A,TRUE,"COSTO HW";#N/A,#N/A,TRUE,"CUADROS";#N/A,#N/A,TRUE,"SCADA´s";#N/A,#N/A,TRUE,"PRECIOS EQUIPOS"}</definedName>
    <definedName name="costofrev" hidden="1">{"qtrly summ-FY01",#N/A,FALSE,"P &amp; L";"monthly P&amp;L-FY01",#N/A,FALSE,"P &amp; L";"cash flow - FY01",#N/A,FALSE,"P &amp; L";"P&amp;L FY01",#N/A,FALSE,"P &amp; L";"BS FY01",#N/A,FALSE,"P &amp; L";"staffing - FY01",#N/A,FALSE,"P &amp; L"}</definedName>
    <definedName name="coun" hidden="1">{#N/A,#N/A,FALSE,"Assessment";#N/A,#N/A,FALSE,"Staffing";#N/A,#N/A,FALSE,"Hires";#N/A,#N/A,FALSE,"Assumptions"}</definedName>
    <definedName name="COUNTRY" hidden="1">{#N/A,#N/A,FALSE,"Assessment";#N/A,#N/A,FALSE,"Staffing";#N/A,#N/A,FALSE,"Hires";#N/A,#N/A,FALSE,"Assumptions"}</definedName>
    <definedName name="cpvs"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reateTable" hidden="1">#REF!</definedName>
    <definedName name="credit1" hidden="1">{#N/A,#N/A,TRUE,"Overview";#N/A,#N/A,TRUE,"New Gen"}</definedName>
    <definedName name="CSG" hidden="1">{"cap_structure",#N/A,FALSE,"Graph-Mkt Cap";"price",#N/A,FALSE,"Graph-Price";"ebit",#N/A,FALSE,"Graph-EBITDA";"ebitda",#N/A,FALSE,"Graph-EBITDA"}</definedName>
    <definedName name="Cur_Month_Actual">#REF!</definedName>
    <definedName name="CurrentLoan">(#REF!*#REF!*#REF!*#REF!)&gt;0</definedName>
    <definedName name="cv" hidden="1">#REF!</definedName>
    <definedName name="cvade" hidden="1">{"FCB_ALL",#N/A,FALSE,"FCB"}</definedName>
    <definedName name="cvb" hidden="1">{#N/A,#N/A,FALSE,"TABLE_1 YTD";#N/A,#N/A,FALSE,"TABLE_1A QTD";#N/A,#N/A,FALSE,"NORMAL_SPREAD_QTD";#N/A,#N/A,FALSE,"NORMAL_SPREAD_YTD";#N/A,#N/A,FALSE,"TAX_EQV";#N/A,#N/A,FALSE,"TAX EQUIV_INPUT";#N/A,#N/A,FALSE,"NET FROM FER";#N/A,#N/A,FALSE,"COVER"}</definedName>
    <definedName name="Cwvu.GREY_ALL." hidden="1">#REF!</definedName>
    <definedName name="cxgxgfgfs" hidden="1">{#N/A,#N/A,FALSE,"Cashflow Analysis";#N/A,#N/A,FALSE,"Sensitivity Analysis";#N/A,#N/A,FALSE,"PV";#N/A,#N/A,FALSE,"Pro Forma"}</definedName>
    <definedName name="cxgxgfgfs.2" hidden="1">{#N/A,#N/A,FALSE,"Cashflow Analysis";#N/A,#N/A,FALSE,"Sensitivity Analysis";#N/A,#N/A,FALSE,"PV";#N/A,#N/A,FALSE,"Pro Forma"}</definedName>
    <definedName name="d" hidden="1">{#N/A,#N/A,FALSE,"Job Sched"}</definedName>
    <definedName name="DAD" hidden="1">{#N/A,#N/A,FALSE,"REPORT"}</definedName>
    <definedName name="DADF" hidden="1">{#N/A,#N/A,FALSE,"REPORT"}</definedName>
    <definedName name="dad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eklj" hidden="1">{"FCB_ALL",#N/A,FALSE,"FCB"}</definedName>
    <definedName name="daewkl" hidden="1">{"FCB_ALL",#N/A,FALSE,"FCB";"GREY_ALL",#N/A,FALSE,"GREY"}</definedName>
    <definedName name="daf" hidden="1">{#N/A,#N/A,FALSE,"1";#N/A,#N/A,FALSE,"2";#N/A,#N/A,FALSE,"16 - 17";#N/A,#N/A,FALSE,"18 - 19";#N/A,#N/A,FALSE,"26";#N/A,#N/A,FALSE,"27";#N/A,#N/A,FALSE,"28"}</definedName>
    <definedName name="da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FAD" hidden="1">{"cap_structure",#N/A,FALSE,"Graph-Mkt Cap";"price",#N/A,FALSE,"Graph-Price";"ebit",#N/A,FALSE,"Graph-EBITDA";"ebitda",#N/A,FALSE,"Graph-EBITDA"}</definedName>
    <definedName name="dakfkjafgkeaj" hidden="1">{#N/A,#N/A,FALSE,"Pharm";#N/A,#N/A,FALSE,"WWCM"}</definedName>
    <definedName name="das" hidden="1">{"FCB_ALL",#N/A,FALSE,"FCB";"GREY_ALL",#N/A,FALSE,"GREY"}</definedName>
    <definedName name="dasfdsa" hidden="1">{"SUM",#N/A,FALSE,"Details (2)"}</definedName>
    <definedName name="dasgfdag" hidden="1">{"FCB_ALL",#N/A,FALSE,"FCB"}</definedName>
    <definedName name="dasklej" hidden="1">{"FCB_ALL",#N/A,FALSE,"FCB"}</definedName>
    <definedName name="Data">#REF!</definedName>
    <definedName name="_xlnm.Database">#REF!</definedName>
    <definedName name="DateRangeComp" hidden="1">#N/A</definedName>
    <definedName name="DateRangePrice" hidden="1">#N/A</definedName>
    <definedName name="david" hidden="1">{#N/A,#N/A,FALSE,"ACQ_GRAPHS";#N/A,#N/A,FALSE,"T_1 GRAPHS";#N/A,#N/A,FALSE,"T_2 GRAPHS";#N/A,#N/A,FALSE,"COMB_GRAPHS"}</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hidden="1">{#N/A,#N/A,FALSE,"Pharm";#N/A,#N/A,FALSE,"WWCM"}</definedName>
    <definedName name="ddd" hidden="1">{"'ATP'!$E$6"}</definedName>
    <definedName name="ddd_1" hidden="1">{"'ATP'!$E$6"}</definedName>
    <definedName name="ddd_11" hidden="1">{"'ATP'!$E$6"}</definedName>
    <definedName name="dddaz" hidden="1">{#N/A,#N/A,FALSE,"Pharm";#N/A,#N/A,FALSE,"WWCM"}</definedName>
    <definedName name="dddd" hidden="1">{"'ATP'!$E$6"}</definedName>
    <definedName name="dddddd" hidden="1">{#N/A,#N/A,FALSE,"Pharm";#N/A,#N/A,FALSE,"WWCM"}</definedName>
    <definedName name="ddddddd" hidden="1">{"Income Statement",#N/A,FALSE,"Income Statement";"Balance Sheet",#N/A,FALSE,"Balance Sheet";"Cash Flow",#N/A,FALSE,"Cash Flow";"Ratios",#N/A,FALSE,"Ratios"}</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bbie" hidden="1">{"FY03_Assets",#N/A,FALSE,"Fin Stmt Budget";"FY03_Liabilities",#N/A,FALSE,"Fin Stmt Budget";"FY03_Inc_Stmt",#N/A,FALSE,"Fin Stmt Budget";"FY03_SOCF",#N/A,FALSE,"Fin Stmt Budget"}</definedName>
    <definedName name="Dec95JobSched" hidden="1">{#N/A,#N/A,FALSE,"Job Sched"}</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ZD" hidden="1">{#N/A,#N/A,FALSE,"Pharm";#N/A,#N/A,FALSE,"WWCM"}</definedName>
    <definedName name="DEE" hidden="1">{#N/A,#N/A,FALSE,"Pharm";#N/A,#N/A,FALSE,"WWCM"}</definedName>
    <definedName name="def"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delete" hidden="1">{"STMT OF CASH FLOWS",#N/A,FALSE,"Cash Flows Indirect"}</definedName>
    <definedName name="delete2" hidden="1">{"BALANCE SHEET ACCTS",#N/A,TRUE,"Working Trial Balance";"INCOME STMT ACCTS",#N/A,TRUE,"Working Trial Balance"}</definedName>
    <definedName name="DeleteRange" hidden="1">#REF!</definedName>
    <definedName name="DeleteTable" hidden="1">#REF!</definedName>
    <definedName name="depn" hidden="1">{#N/A,#N/A,FALSE,"P&amp;L";#N/A,#N/A,FALSE,"fund";#N/A,#N/A,FALSE,"B.S.";#N/A,#N/A,FALSE,"tax-P&amp;L";#N/A,#N/A,FALSE,"tax-tarif1"}</definedName>
    <definedName name="depn2" hidden="1">{#N/A,#N/A,FALSE,"P&amp;L";#N/A,#N/A,FALSE,"fund";#N/A,#N/A,FALSE,"B.S.";#N/A,#N/A,FALSE,"tax-P&amp;L";#N/A,#N/A,FALSE,"tax-tarif1"}</definedName>
    <definedName name="Depr_Method">#REF!</definedName>
    <definedName name="DeptIS">#REF!</definedName>
    <definedName name="dev_tech" hidden="1">#REF!</definedName>
    <definedName name="DEZLFEZKLHF" hidden="1">{#N/A,#N/A,FALSE,"Pharm";#N/A,#N/A,FALSE,"WWCM"}</definedName>
    <definedName name="df" hidden="1">{#N/A,#N/A,TRUE,"A";#N/A,#N/A,TRUE,"B";#N/A,#N/A,TRUE,"C";#N/A,#N/A,TRUE,"D";#N/A,#N/A,TRUE,"E"}</definedName>
    <definedName name="dfa" hidden="1">{"Annual_Income",#N/A,FALSE,"Report Page";"Balance_Cash_Flow",#N/A,FALSE,"Report Page";"Quarterly_Income",#N/A,FALSE,"Report Page"}</definedName>
    <definedName name="dfasdf" hidden="1">#REF!</definedName>
    <definedName name="dfd" hidden="1">{"BS",#N/A,FALSE,"USA"}</definedName>
    <definedName name="dfdas" hidden="1">{"FCB_ALL",#N/A,FALSE,"FCB";"GREY_ALL",#N/A,FALSE,"GREY"}</definedName>
    <definedName name="dfdas1" hidden="1">{"FCB_ALL",#N/A,FALSE,"FCB";"GREY_ALL",#N/A,FALSE,"GREY"}</definedName>
    <definedName name="DFDD" hidden="1">{#N/A,#N/A,FALSE,"REPORT"}</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d" hidden="1">{"FCB_ALL",#N/A,FALSE,"FCB";"GREY_ALL",#N/A,FALSE,"GREY"}</definedName>
    <definedName name="dfdfdd" hidden="1">{"FCB_ALL",#N/A,FALSE,"FCB";"GREY_ALL",#N/A,FALSE,"GREY"}</definedName>
    <definedName name="dfdfdfd" hidden="1">{"FCB_ALL",#N/A,FALSE,"FCB"}</definedName>
    <definedName name="dfdfdfd1" hidden="1">{"FCB_ALL",#N/A,FALSE,"FCB"}</definedName>
    <definedName name="dfdsf" hidden="1">{"FCB_ALL",#N/A,FALSE,"FCB";"GREY_ALL",#N/A,FALSE,"GREY"}</definedName>
    <definedName name="dfg">#REF!</definedName>
    <definedName name="dfgd" hidden="1">{#N/A,#N/A,FALSE,"Cashflow Analysis";#N/A,#N/A,FALSE,"Sensitivity Analysis";#N/A,#N/A,FALSE,"PV";#N/A,#N/A,FALSE,"Pro Forma"}</definedName>
    <definedName name="dfgdgd" hidden="1">{"FCB_ALL",#N/A,FALSE,"FCB"}</definedName>
    <definedName name="dfgdxfv" hidden="1">{"FCB_ALL",#N/A,FALSE,"FCB"}</definedName>
    <definedName name="dfgsdf" hidden="1">{"FCB_ALL",#N/A,FALSE,"FCB"}</definedName>
    <definedName name="dfhzfd" hidden="1">{"'Sheet1'!$A$5:$G$42"}</definedName>
    <definedName name="df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r" hidden="1">{#N/A,#N/A,FALSE,"Pharm";#N/A,#N/A,FALSE,"WWCM"}</definedName>
    <definedName name="dfs" hidden="1">{#N/A,#N/A,FALSE,"Cover";#N/A,#N/A,FALSE,"TOC";#N/A,#N/A,FALSE,"IS";#N/A,#N/A,FALSE,"Mo. IS";#N/A,#N/A,FALSE,"Cont By Div";#N/A,#N/A,FALSE,"BS";#N/A,#N/A,FALSE,"CF";#N/A,#N/A,FALSE,"Inventory"}</definedName>
    <definedName name="dfsa" hidden="1">#REF!</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sa" hidden="1">#REF!</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gsdfg" hidden="1">{#N/A,#N/A,FALSE,"Cover";#N/A,#N/A,FALSE,"TOC";#N/A,#N/A,FALSE,"IS";#N/A,#N/A,FALSE,"Mo. IS";#N/A,#N/A,FALSE,"Cont By Div";#N/A,#N/A,FALSE,"BS";#N/A,#N/A,FALSE,"CF";#N/A,#N/A,FALSE,"Inventory"}</definedName>
    <definedName name="d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dg" hidden="1">{#N/A,#N/A,FALSE,"Calc";#N/A,#N/A,FALSE,"Sensitivity";#N/A,#N/A,FALSE,"LT Earn.Dil.";#N/A,#N/A,FALSE,"Dil. AVP"}</definedName>
    <definedName name="dgdgss" hidden="1">{"consolidated",#N/A,FALSE,"Sheet1";"cms",#N/A,FALSE,"Sheet1";"fse",#N/A,FALSE,"Sheet1"}</definedName>
    <definedName name="dgh" hidden="1">{"summary",#N/A,FALSE,"3 yr average";"comps",#N/A,FALSE,"3 yr average"}</definedName>
    <definedName name="dgtdf" hidden="1">{"FCB_ALL",#N/A,FALSE,"FCB"}</definedName>
    <definedName name="DHG" hidden="1">{"cap_structure",#N/A,FALSE,"Graph-Mkt Cap";"price",#N/A,FALSE,"Graph-Price";"ebit",#N/A,FALSE,"Graph-EBITDA";"ebitda",#N/A,FALSE,"Graph-EBITDA"}</definedName>
    <definedName name="dis" hidden="1">{#N/A,#N/A,FALSE,"Cashflow Analysis";#N/A,#N/A,FALSE,"Sensitivity Analysis";#N/A,#N/A,FALSE,"PV";#N/A,#N/A,FALSE,"Pro Forma"}</definedName>
    <definedName name="dis.2" hidden="1">{#N/A,#N/A,FALSE,"Cashflow Analysis";#N/A,#N/A,FALSE,"Sensitivity Analysis";#N/A,#N/A,FALSE,"PV";#N/A,#N/A,FALSE,"Pro Forma"}</definedName>
    <definedName name="Disclosure_FooterType" hidden="1">"INTERNAL"</definedName>
    <definedName name="Discout">#REF!</definedName>
    <definedName name="DistCurr">#REF!</definedName>
    <definedName name="DistPrior">#REF!</definedName>
    <definedName name="dj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jdjd" hidden="1">{#N/A,#N/A,TRUE,"BUD VS ACT AUST 96";#N/A,#N/A,TRUE,"96 COMP P&amp;L-AUST";#N/A,#N/A,TRUE,"COMP BS-AUSTRALIA";#N/A,#N/A,TRUE,"B/S - AUSTR."}</definedName>
    <definedName name="djd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ksljd" hidden="1">{#N/A,#N/A,FALSE,"Other";#N/A,#N/A,FALSE,"Ace";#N/A,#N/A,FALSE,"Derm"}</definedName>
    <definedName name="dkfjdf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gahirghigf" hidden="1">{#N/A,#N/A,FALSE,"Pharm";#N/A,#N/A,FALSE,"WWCM"}</definedName>
    <definedName name="dkj"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ocumentName" hidden="1">"b1"</definedName>
    <definedName name="DocumentNum" hidden="1">"a1"</definedName>
    <definedName name="dreyer" hidden="1">{"FCB_ALL",#N/A,FALSE,"FCB"}</definedName>
    <definedName name="drgd" hidden="1">{"FCB_ALL",#N/A,FALSE,"FCB"}</definedName>
    <definedName name="drtd" hidden="1">{"FCB_ALL",#N/A,FALSE,"FCB"}</definedName>
    <definedName name="drtg" hidden="1">{"FCB_ALL",#N/A,FALSE,"FCB"}</definedName>
    <definedName name="drtgdg" hidden="1">{"FCB_ALL",#N/A,FALSE,"FCB"}</definedName>
    <definedName name="ds" hidden="1">#REF!</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lkj" hidden="1">{"FCB_ALL",#N/A,FALSE,"FCB";"GREY_ALL",#N/A,FALSE,"GREY"}</definedName>
    <definedName name="dsaflkje" hidden="1">{"FCB_ALL",#N/A,FALSE,"FCB"}</definedName>
    <definedName name="dsafwlekj" hidden="1">{"FCB_ALL",#N/A,FALSE,"FCB";"GREY_ALL",#N/A,FALSE,"GREY"}</definedName>
    <definedName name="dsd" hidden="1">#REF!</definedName>
    <definedName name="dsea" hidden="1">{"FCB_ALL",#N/A,FALSE,"FCB"}</definedName>
    <definedName name="dsfgr" hidden="1">{"FCB_ALL",#N/A,FALSE,"FCB"}</definedName>
    <definedName name="dsfsd" hidden="1">{"Total",#N/A,FALSE,"Six Fields";"PDP",#N/A,FALSE,"Six Fields";"PNP",#N/A,FALSE,"Six Fields";"PUD",#N/A,FALSE,"Six Fields";"Prob",#N/A,FALSE,"Six Fields"}</definedName>
    <definedName name="dsfsffss" hidden="1">{#N/A,#N/A,FALSE,"Pharm";#N/A,#N/A,FALSE,"WWCM"}</definedName>
    <definedName name="dsg" hidden="1">{#N/A,#N/A,FALSE,"Calc";#N/A,#N/A,FALSE,"Sensitivity";#N/A,#N/A,FALSE,"LT Earn.Dil.";#N/A,#N/A,FALSE,"Dil. AVP"}</definedName>
    <definedName name="dtjhj" hidden="1">{#N/A,#N/A,FALSE,"Phase I";#N/A,#N/A,FALSE,"Phase II";#N/A,#N/A,FALSE,"Phase III"}</definedName>
    <definedName name="dtmm"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ue" hidden="1">{#N/A,#N/A,FALSE,"INPUTS";#N/A,#N/A,FALSE,"PROFORMA BSHEET";#N/A,#N/A,FALSE,"COMBINED";#N/A,#N/A,FALSE,"ACQUIROR";#N/A,#N/A,FALSE,"TARGET 1";#N/A,#N/A,FALSE,"TARGET 2";#N/A,#N/A,FALSE,"HIGH YIELD";#N/A,#N/A,FALSE,"OVERFUND"}</definedName>
    <definedName name="Dummy" hidden="1">{"Summary",#N/A,FALSE,"Summary"}</definedName>
    <definedName name="Dummy_1" hidden="1">{"Summary",#N/A,FALSE,"Summary"}</definedName>
    <definedName name="Dummy_1_1" hidden="1">{"Summary",#N/A,FALSE,"Summary"}</definedName>
    <definedName name="Dummy_1_2" hidden="1">{"Summary",#N/A,FALSE,"Summary"}</definedName>
    <definedName name="Dummy_1_3" hidden="1">{"Summary",#N/A,FALSE,"Summary"}</definedName>
    <definedName name="Dummy_1_4" hidden="1">{"Summary",#N/A,FALSE,"Summary"}</definedName>
    <definedName name="Dummy_2" hidden="1">{"Summary",#N/A,FALSE,"Summary"}</definedName>
    <definedName name="Dummy_3" hidden="1">{"Summary",#N/A,FALSE,"Summary"}</definedName>
    <definedName name="Dummy_4" hidden="1">{"Summary",#N/A,FALSE,"Summary"}</definedName>
    <definedName name="Dummy_5" hidden="1">{"Summary",#N/A,FALSE,"Summary"}</definedName>
    <definedName name="Dummy1" hidden="1">{"Summary",#N/A,FALSE,"Summary"}</definedName>
    <definedName name="Dummy1_1" hidden="1">{"Summary",#N/A,FALSE,"Summary"}</definedName>
    <definedName name="Dummy1_1_1" hidden="1">{"Summary",#N/A,FALSE,"Summary"}</definedName>
    <definedName name="Dummy1_1_2" hidden="1">{"Summary",#N/A,FALSE,"Summary"}</definedName>
    <definedName name="Dummy1_1_3" hidden="1">{"Summary",#N/A,FALSE,"Summary"}</definedName>
    <definedName name="Dummy1_1_4" hidden="1">{"Summary",#N/A,FALSE,"Summary"}</definedName>
    <definedName name="Dummy1_2" hidden="1">{"Summary",#N/A,FALSE,"Summary"}</definedName>
    <definedName name="Dummy1_3" hidden="1">{"Summary",#N/A,FALSE,"Summary"}</definedName>
    <definedName name="Dummy1_4" hidden="1">{"Summary",#N/A,FALSE,"Summary"}</definedName>
    <definedName name="Dummy1_5" hidden="1">{"Summary",#N/A,FALSE,"Summary"}</definedName>
    <definedName name="dvv" hidden="1">{#N/A,#N/A,TRUE,"NIE_C";#N/A,#N/A,TRUE,"NIE";#N/A,#N/A,TRUE,"NIE_D";#N/A,#N/A,TRUE,"NIE_D_CC";#N/A,#N/A,TRUE,"HEA -- EXP"}</definedName>
    <definedName name="e" hidden="1">{"Summary",#N/A,FALSE,"Details (2)"}</definedName>
    <definedName name="East"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coast" hidden="1">{"FY04_Assets",#N/A,FALSE,"Fin Stmt Budget";"FY04_Liabilities",#N/A,FALSE,"Fin Stmt Budget";"FY04_Inc_Stmt",#N/A,FALSE,"Fin Stmt Budget";"FY04_SOCF",#N/A,FALSE,"Fin Stmt Budget"}</definedName>
    <definedName name="Eastern" hidden="1">{"FY03_Assets",#N/A,FALSE,"Fin Stmt Budget";"FY03_Liabilities",#N/A,FALSE,"Fin Stmt Budget";"FY03_Inc_Stmt",#N/A,FALSE,"Fin Stmt Budget";"FY03_SOCF",#N/A,FALSE,"Fin Stmt Budget"}</definedName>
    <definedName name="EBIT_Analysis">#N/A</definedName>
    <definedName name="EBITDA" hidden="1">{#N/A,#N/A,FALSE,"Admin";#N/A,#N/A,FALSE,"Other"}</definedName>
    <definedName name="EBITDA_Analysis">#N/A</definedName>
    <definedName name="Econscen">#REF!</definedName>
    <definedName name="ed"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dr"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e">#REF!</definedName>
    <definedName name="EEE" hidden="1">{#N/A,#N/A,FALSE,"Pharm";#N/A,#N/A,FALSE,"WWCM"}</definedName>
    <definedName name="eeeee" hidden="1">{#N/A,#N/A,FALSE,"Pharm";#N/A,#N/A,FALSE,"WWCM"}</definedName>
    <definedName name="eeeeeeeeeeee" hidden="1">#REF!</definedName>
    <definedName name="eerr" hidden="1">{"Alle Perioden",#N/A,FALSE,"Erf";"Alle Perioden",#N/A,FALSE,"Ang";"Alle Perioden",#N/A,FALSE,"BV";"Alle Perioden",#N/A,FALSE,"BE";"Alle Perioden",#N/A,FALSE,"Re";"Alle Perioden",#N/A,FALSE,"Vol"}</definedName>
    <definedName name="e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ferferfge"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in" hidden="1">{#N/A,#N/A,FALSE,"Output";#N/A,#N/A,FALSE,"Cover Sheet";#N/A,#N/A,FALSE,"Current Mkt. Projections"}</definedName>
    <definedName name="efn" hidden="1">{#N/A,#N/A,TRUE,"DCF Summary";#N/A,#N/A,TRUE,"Casema";#N/A,#N/A,TRUE,"UK";#N/A,#N/A,TRUE,"RCF";#N/A,#N/A,TRUE,"Intercable CZ";#N/A,#N/A,TRUE,"Interkabel P";#N/A,#N/A,TRUE,"LBO-Total";#N/A,#N/A,TRUE,"LBO-Casema"}</definedName>
    <definedName name="ejejejej"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kfgkjze" hidden="1">{#N/A,#N/A,FALSE,"Pharm";#N/A,#N/A,FALSE,"WWCM"}</definedName>
    <definedName name="Elecout">#REF!</definedName>
    <definedName name="elo">#REF!</definedName>
    <definedName name="eloCS">#REF!</definedName>
    <definedName name="eloFMV">#REF!</definedName>
    <definedName name="eloNR">#REF!</definedName>
    <definedName name="eloPref">#REF!</definedName>
    <definedName name="eloWarr">#REF!</definedName>
    <definedName name="emily" hidden="1">{#N/A,#N/A,FALSE,"Calc";#N/A,#N/A,FALSE,"Sensitivity";#N/A,#N/A,FALSE,"LT Earn.Dil.";#N/A,#N/A,FALSE,"Dil. AVP"}</definedName>
    <definedName name="EndDate1">#REF!</definedName>
    <definedName name="EndDate2">#REF!</definedName>
    <definedName name="EndDate3">#REF!</definedName>
    <definedName name="Eng" hidden="1">{"PAGE 1",#N/A,FALSE,"WEST_OT"}</definedName>
    <definedName name="ENG_BI_EXE_NAME" hidden="1">"BICORE.EXE"</definedName>
    <definedName name="ENG_BI_EXEC_CMD_ARGS" hidden="1">"03304607807808310008509207808203605007003304907412708906908707207908410406808007306906512505112706312512707306708509308007306605313413009611212310611910211610507306609207808209007408306207908308607006708409809609510206906705304909609305109506312512710"</definedName>
    <definedName name="ENG_BI_EXEC_CMD_ARGS_10" hidden="1">"11203803704806303601006407211111811909811013007406903708610111311711007003407007807803503604706603701006905408410112411610611611006601506009310611511106701106108809711911207307703908709711711810206603405305304905705904905205304905103803205106703201906"</definedName>
    <definedName name="ENG_BI_EXEC_CMD_ARGS_11" hidden="1">"7048084106116108067010064052069119127105118116111110105110120067125132086083068078083070073080069087065086092061053130"</definedName>
    <definedName name="ENG_BI_EXEC_CMD_ARGS_2" hidden="1">"01131151091181011211010770730680650930660770840710651250511270631251271001131151091181011211010770730860830780830620850820830731251321041121181101190981201010720710800740900840870880830690660830710870650860670510520640510500520590590570590590600490590"</definedName>
    <definedName name="ENG_BI_EXEC_CMD_ARGS_3" hidden="1">"58053056064050060064049057065059053055060050057057063054051061066050056064060051058049063054051059068053060064050049057059053060054068056052052068050057055059053055051068060055063054055049063053059064049064062060049060050126128095116122098117114099080"</definedName>
    <definedName name="ENG_BI_EXEC_CMD_ARGS_4" hidden="1">"070079072071079072074061110117126123088083069074082073073080074091065081088062050129"</definedName>
    <definedName name="ENG_BI_EXEC_CMD_ARGS_5" hidden="1">"00570500541301230991171171071171051030750740790930690690870690870750690650930700620560490360731011081101091021061150330540480530581251321021131171071091061040700770830890780740820730830690620540480530581251321021131171071091061040700770830890780740820"</definedName>
    <definedName name="ENG_BI_EXEC_CMD_ARGS_6" hidden="1">"87089066083088061054053049062132124095121118099113105103072085091091077083083085073073078072073065093076062051058033066122103121120116041059048053058126124099112121103108114106068085091083078084078088077083093074082088073066085073061052054032074124104"</definedName>
    <definedName name="ENG_BI_EXEC_CMD_ARGS_7" hidden="1">"11712411703305504805305812513210411211811011909812010108107008307608607807707407906908906909208906106907811012211011511211410910511511607101706108311011611611011111406701006909411510511906301106408511910611408207503308610610911810606103810311411011910"</definedName>
    <definedName name="ENG_BI_EXEC_CMD_ARGS_8" hidden="1">"01011130350480660100640741101081211221121250810981201151231161141090410861011131181020650340881191171100410480620190610811021151191241111231090320901021091181050610380390470710170610841231181161211011040721111191191011031211061121140320901021081261080"</definedName>
    <definedName name="ENG_BI_EXEC_CMD_ARGS_9" hidden="1">"62034093115118106034036052062019069047089120102115066010064088081085090102114127102115083097113106032095106108121106062035081065087088069091093070082043033048067010064073066087106109105037087098112117105066034124104104101062049049100066077082095106121"</definedName>
    <definedName name="ENG_BI_GEN_LIC" hidden="1">"1"</definedName>
    <definedName name="ENG_BI_GEN_LIC_WS" hidden="1">"True"</definedName>
    <definedName name="ENG_BI_LANG_CODE" hidden="1">"en"</definedName>
    <definedName name="ENG_BI_LBI" hidden="1">"P3WQZ6VVMD"</definedName>
    <definedName name="ENG_BI_PROFILE_PATH" hidden="1">"C:\ProgramData\Alchemex\AlchemexSmartReporting\MetaData\MAS\Report Designer Add-In S500 Demo 1-0-2\BICORE_profiler_20130111_145418.csv"</definedName>
    <definedName name="ENG_BI_REPOS_FILE" hidden="1">"\\KSRACK-DB01\SAGEINTELLIGENCE\alchemex.svd"</definedName>
    <definedName name="ENG_BI_REPOS_PATH" hidden="1">"\\KSRACK-DB01\SAGEINTELLIGENCE"</definedName>
    <definedName name="ENG_BI_TLA" hidden="1">"247;133;253;172;254;120;208;260;253;197;102;76;86;138;87;163;151;261;25;262;171;244;46;240;245;136;214;222;40;106;199;194"</definedName>
    <definedName name="ENG_BI_TLA2" hidden="1">"224;3;240;199;110;174;183;213;61;95;164;252;190;79;176;194;106;242;24;161;222;165;102;127;51;222;83;93;238;205;126;15"</definedName>
    <definedName name="EPC" hidden="1">{#N/A,#N/A,FALSE,"RESUMEN ECON.";#N/A,#N/A,FALSE,"Costos de R.H.";#N/A,#N/A,FALSE,"COSTO HW";#N/A,#N/A,FALSE,"CUADROS";#N/A,#N/A,FALSE,"SCADA´s";#N/A,#N/A,FALSE,"PRECIOS EQUIPOS"}</definedName>
    <definedName name="equity" hidden="1">{"Balance Sheet",#N/A,FALSE,"Annual Summary";"Cashflows",#N/A,FALSE,"Annual Summary";"Summary Earnings",#N/A,FALSE,"Annual Summary"}</definedName>
    <definedName name="e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aseMe" hidden="1">{#N/A,#N/A,FALSE,"Job Sched"}</definedName>
    <definedName name="erd" hidden="1">{#N/A,#N/A,FALSE,"Pharm";#N/A,#N/A,FALSE,"WWCM"}</definedName>
    <definedName name="erer" hidden="1">{"FCB_ALL",#N/A,FALSE,"FCB";"GREY_ALL",#N/A,FALSE,"GREY"}</definedName>
    <definedName name="erere" hidden="1">{"arpm1995",#N/A,FALSE,"Summary 95-96";"bus_long_distance",#N/A,FALSE,"Summary 95-96";"mins_per_day",#N/A,FALSE,"Summary 95-96";"minutes1995",#N/A,FALSE,"Summary 95-96";"rev_per_day",#N/A,FALSE,"Summary 95-96";"view1995",#N/A,FALSE,"Summary 95-96"}</definedName>
    <definedName name="ererer" hidden="1">{"arpm1995",#N/A,FALSE,"Summary 95-96";"bus_long_distance",#N/A,FALSE,"Summary 95-96";"mins_per_day",#N/A,FALSE,"Summary 95-96";"minutes1995",#N/A,FALSE,"Summary 95-96";"rev_per_day",#N/A,FALSE,"Summary 95-96";"view1995",#N/A,FALSE,"Summary 95-96"}</definedName>
    <definedName name="erewre" hidden="1">{"arpm1995",#N/A,FALSE,"Summary 95-96";"bus_long_distance",#N/A,FALSE,"Summary 95-96";"mins_per_day",#N/A,FALSE,"Summary 95-96";"minutes1995",#N/A,FALSE,"Summary 95-96";"rev_per_day",#N/A,FALSE,"Summary 95-96";"view1995",#N/A,FALSE,"Summary 95-96"}</definedName>
    <definedName name="erg" hidden="1">{#N/A,#N/A,FALSE,"ACQ_GRAPHS";#N/A,#N/A,FALSE,"T_1 GRAPHS";#N/A,#N/A,FALSE,"T_2 GRAPHS";#N/A,#N/A,FALSE,"COMB_GRAPHS"}</definedName>
    <definedName name="erryeyetyuu" hidden="1">{#N/A,#N/A,FALSE,"Pharm";#N/A,#N/A,FALSE,"WWCM"}</definedName>
    <definedName name="ers" hidden="1">{"FCB_ALL",#N/A,FALSE,"FCB";"GREY_ALL",#N/A,FALSE,"GREY"}</definedName>
    <definedName name="ersdf" hidden="1">{"FCB_ALL",#N/A,FALSE,"FCB";"GREY_ALL",#N/A,FALSE,"GREY"}</definedName>
    <definedName name="erser" hidden="1">{"FCB_ALL",#N/A,FALSE,"FCB"}</definedName>
    <definedName name="ery" hidden="1">#REF!</definedName>
    <definedName name="es" hidden="1">{"FCB_ALL",#N/A,FALSE,"FCB"}</definedName>
    <definedName name="esr" hidden="1">{"FCB_ALL",#N/A,FALSE,"FCB"}</definedName>
    <definedName name="esrs" hidden="1">{"FCB_ALL",#N/A,FALSE,"FCB"}</definedName>
    <definedName name="ESSAI" hidden="1">{#N/A,#N/A,FALSE,"Pharm";#N/A,#N/A,FALSE,"WWCM"}</definedName>
    <definedName name="esw" hidden="1">{#N/A,#N/A,FALSE,"TABLE_1 YTD- VALUES LAST YR(2)"}</definedName>
    <definedName name="etet" hidden="1">{#N/A,#N/A,FALSE,"Calc";#N/A,#N/A,FALSE,"Sensitivity";#N/A,#N/A,FALSE,"LT Earn.Dil.";#N/A,#N/A,FALSE,"Dil. AVP"}</definedName>
    <definedName name="ev.Calculation" hidden="1">-4105</definedName>
    <definedName name="ev.Initialized" hidden="1">FALSE</definedName>
    <definedName name="EV__CVPARAMS__" hidden="1">"Trend!$B$17:$C$38;"</definedName>
    <definedName name="EV__DECIMALSYMBOL__" hidden="1">"."</definedName>
    <definedName name="EV__EVCOM_OPTIONS__" hidden="1">8</definedName>
    <definedName name="EV__EXPOPTIONS__" hidden="1">1</definedName>
    <definedName name="EV__LASTREFTIME__" hidden="1">40113.6717361111</definedName>
    <definedName name="EV__LOCKEDCVW__" hidden="1">#VALUE!</definedName>
    <definedName name="EV__LOCKEDCVW__FINANCE" hidden="1">"INCOME_STATEMENT,ACTUAL,TOTWITHALLOC,Madras_Chem_BU,All_Interco,USD,2012.MAR,ALL_VENDORS,PERIODIC,"</definedName>
    <definedName name="EV__LOCKSTATUS__" hidden="1">2</definedName>
    <definedName name="EV__MAXEXPCOLS__" hidden="1">100</definedName>
    <definedName name="EV__MAXEXPROWS__" hidden="1">1000</definedName>
    <definedName name="EV__MEMORYCVW__" hidden="1">0</definedName>
    <definedName name="EV__WBEVMODE__" hidden="1">0</definedName>
    <definedName name="EV__WBREFOPTIONS__" hidden="1">134217735</definedName>
    <definedName name="EV__WBVERSION__" hidden="1">0</definedName>
    <definedName name="EV__WSINFO__" hidden="1">"osoft"</definedName>
    <definedName name="EV_LASTREFTIME" hidden="1">38943.6463310185</definedName>
    <definedName name="ewr" hidden="1">#REF!</definedName>
    <definedName name="ewwe" hidden="1">{#N/A,#N/A,FALSE,"REPORT"}</definedName>
    <definedName name="ExactAddinConnection.050" hidden="1">"TMN_EXACT;002;6124;1"</definedName>
    <definedName name="ExactAddinReports" hidden="1">1</definedName>
    <definedName name="excel" hidden="1">{"cash flow - FY00",#N/A,FALSE,"P &amp; L";"cash flow - FY01",#N/A,FALSE,"P &amp; L"}</definedName>
    <definedName name="excel2" hidden="1">{"cash flow - FY00",#N/A,FALSE,"P &amp; L";"cash flow - FY01",#N/A,FALSE,"P &amp; L"}</definedName>
    <definedName name="EXEC_DATE">#REF!</definedName>
    <definedName name="ExitYr">#REF!</definedName>
    <definedName name="Expenses" hidden="1">{"SUM",#N/A,FALSE,"Details (2)"}</definedName>
    <definedName name="Extra_Pay">#REF!</definedName>
    <definedName name="extra_payment_interval">#REF!</definedName>
    <definedName name="_xlnm.Extract">#REF!</definedName>
    <definedName name="ExtraPayments">#REF!</definedName>
    <definedName name="ExtraPayments2014">#REF!</definedName>
    <definedName name="ExtraPayments2016">#REF!</definedName>
    <definedName name="ExtraPayments2017">#REF!</definedName>
    <definedName name="ExtraPayments2018">#REF!</definedName>
    <definedName name="ExtraPaymentsCurrent">#REF!</definedName>
    <definedName name="ExtraPaymentsRealEstate">#REF!</definedName>
    <definedName name="eyh" hidden="1">{#N/A,#N/A,FALSE,"BS";#N/A,#N/A,FALSE,"PL";#N/A,#N/A,FALSE,"SOE";#N/A,#N/A,FALSE,"SCF"}</definedName>
    <definedName name="f" hidden="1">#REF!</definedName>
    <definedName name="fads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sd" hidden="1">{#N/A,#N/A,FALSE,"MKT.COMPS";#N/A,#N/A,FALSE,"DCF - LBO"}</definedName>
    <definedName name="fafs" hidden="1">{#N/A,#N/A,FALSE,"Brad BANM_S";#N/A,#N/A,FALSE,"Brad SAM_BANM";#N/A,#N/A,FALSE,"Brad_LD";#N/A,#N/A,FALSE,"BANM-&gt;S";#N/A,#N/A,FALSE,"BANM_S";#N/A,#N/A,FALSE,"S-&gt;BANM";#N/A,#N/A,FALSE,"SAM_BANM";#N/A,#N/A,FALSE,"BANM";#N/A,#N/A,FALSE,"Sam"}</definedName>
    <definedName name="FarrellWitchita" hidden="1">{"FCB_ALL",#N/A,FALSE,"FCB"}</definedName>
    <definedName name="fasdfs" hidden="1">{#N/A,#N/A,FALSE,"Aging Summary";#N/A,#N/A,FALSE,"Ratio Analysis";#N/A,#N/A,FALSE,"Test 120 Day Accts";#N/A,#N/A,FALSE,"Tickmarks"}</definedName>
    <definedName name="f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DFD" hidden="1">{#N/A,#N/A,FALSE,"Pharm";#N/A,#N/A,FALSE,"WWCM"}</definedName>
    <definedName name="fdg">#REF!</definedName>
    <definedName name="fdgad" hidden="1">{"inputs raw data",#N/A,TRUE,"INPUT"}</definedName>
    <definedName name="fdgfdg" hidden="1">{"FCB_ALL",#N/A,FALSE,"FCB";"GREY_ALL",#N/A,FALSE,"GREY"}</definedName>
    <definedName name="fds" hidden="1">{#N/A,#N/A,FALSE,"Pharm";#N/A,#N/A,FALSE,"WWCM"}</definedName>
    <definedName name="fdsafdas" hidden="1">{"Summary",#N/A,FALSE,"Details (2)"}</definedName>
    <definedName name="fdsag" hidden="1">{"FCB_ALL",#N/A,FALSE,"FCB"}</definedName>
    <definedName name="fdsakfjds" hidden="1">{"FCB_ALL",#N/A,FALSE,"FCB";"GREY_ALL",#N/A,FALSE,"GREY"}</definedName>
    <definedName name="fdsg" hidden="1">{"FCB_ALL",#N/A,FALSE,"FCB"}</definedName>
    <definedName name="feb02tb" hidden="1">{"Statement of Income",#N/A,TRUE,"Mar99";"Balance Sheet",#N/A,TRUE,"Mar99"}</definedName>
    <definedName name="fees">#REF!</definedName>
    <definedName name="ff" hidden="1">{#N/A,#N/A,FALSE,"Pharm";#N/A,#N/A,FALSE,"WWCM"}</definedName>
    <definedName name="fff" hidden="1">{#N/A,#N/A,FALSE,"Pharm";#N/A,#N/A,FALSE,"WWCM"}</definedName>
    <definedName name="ffff" hidden="1">{#N/A,#N/A,TRUE,"BUD VS ACT AUST 96";#N/A,#N/A,TRUE,"96 COMP P&amp;L-AUST";#N/A,#N/A,TRUE,"COMP BS-AUSTRALIA";#N/A,#N/A,TRUE,"B/S - AUSTR."}</definedName>
    <definedName name="ffffff.2" hidden="1">{#N/A,#N/A,FALSE,"Cashflow Analysis";#N/A,#N/A,FALSE,"Sensitivity Analysis";#N/A,#N/A,FALSE,"PV";#N/A,#N/A,FALSE,"Pro Forma"}</definedName>
    <definedName name="fffffff" hidden="1">{#N/A,#N/A,FALSE,"Pharm";#N/A,#N/A,FALSE,"WWCM"}</definedName>
    <definedName name="fffffffff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g"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fgf" hidden="1">{#N/A,#N/A,FALSE,"COVER";#N/A,#N/A,FALSE,"RATIOS";#N/A,#N/A,FALSE,"LEVERAGE";#N/A,#N/A,FALSE,"TIER-1";#N/A,#N/A,FALSE,"RISK BASED ASSETS";#N/A,#N/A,FALSE,"TIER-2"}</definedName>
    <definedName name="fgfdg" hidden="1">{"FCB_ALL",#N/A,FALSE,"FCB";"GREY_ALL",#N/A,FALSE,"GREY"}</definedName>
    <definedName name="fgh" hidden="1">#REF!</definedName>
    <definedName name="fgj" hidden="1">{#N/A,#N/A,FALSE,"ACQ_GRAPHS";#N/A,#N/A,FALSE,"T_1 GRAPHS";#N/A,#N/A,FALSE,"T_2 GRAPHS";#N/A,#N/A,FALSE,"COMB_GRAPHS"}</definedName>
    <definedName name="fgkjkh" hidden="1">{#N/A,#N/A,FALSE,"REPORT"}</definedName>
    <definedName name="fgr"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sg" hidden="1">{"consolidated",#N/A,FALSE,"Sheet1";"cms",#N/A,FALSE,"Sheet1";"fse",#N/A,FALSE,"Sheet1"}</definedName>
    <definedName name="fhg"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hidden="1">{TRUE,TRUE,-1.25,-15.5,604.5,369,FALSE,FALSE,TRUE,TRUE,0,1,83,1,38,4,5,4,TRUE,TRUE,3,TRUE,1,TRUE,75,"Swvu.inputs._.raw._.data.","ACwvu.inputs._.raw._.data.",#N/A,FALSE,FALSE,0.5,0.5,0.5,0.5,2,"&amp;F","&amp;A&amp;RPage &amp;P",FALSE,FALSE,FALSE,FALSE,1,60,#N/A,#N/A,"=R1C61:R53C89","=C1:C5",#N/A,#N/A,FALSE,FALSE,FALSE,1,600,600,FALSE,FALSE,TRUE,TRUE,TRUE}</definedName>
    <definedName name="ficha" hidden="1">{#N/A,#N/A,FALSE,"RESUMEN ECON.";#N/A,#N/A,FALSE,"Costos de R.H.";#N/A,#N/A,FALSE,"COSTO HW";#N/A,#N/A,FALSE,"CUADROS";#N/A,#N/A,FALSE,"SCADA´s";#N/A,#N/A,FALSE,"PRECIOS EQUIPOS"}</definedName>
    <definedName name="Final_Summary"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ncial" hidden="1">{#N/A,#N/A,FALSE,"1996 Monthly Detail";#N/A,#N/A,FALSE,"1996 CashFlow";#N/A,#N/A,FALSE,"PNL By Dept";#N/A,#N/A,FALSE,"1997 Quarterly Detail";#N/A,#N/A,FALSE,"1998 Quarterly Detail";#N/A,#N/A,FALSE,"1997 Cash Flow";#N/A,#N/A,FALSE,"1998 Cash Flow"}</definedName>
    <definedName name="financials" hidden="1">{"PAGE1",#N/A,FALSE,"BID (3)";"PAGE2",#N/A,FALSE,"BID (3)"}</definedName>
    <definedName name="fine" hidden="1">{#N/A,#N/A,FALSE,"RESUMEN ECON.";#N/A,#N/A,FALSE,"Costos de R.H.";#N/A,#N/A,FALSE,"COSTO HW";#N/A,#N/A,FALSE,"CUADROS";#N/A,#N/A,FALSE,"SCADA´s";#N/A,#N/A,FALSE,"PRECIOS EQUIPOS"}</definedName>
    <definedName name="fish" hidden="1">{#N/A,#N/A,FALSE,"VALSUM";#N/A,#N/A,FALSE,"MKT.COMPS";#N/A,#N/A,FALSE,"ACQ.MULT.";#N/A,#N/A,FALSE,"DCF - LBO"}</definedName>
    <definedName name="FJEZK" hidden="1">{#N/A,#N/A,FALSE,"Pharm";#N/A,#N/A,FALSE,"WWCM"}</definedName>
    <definedName name="fm" hidden="1">{"summary1",#N/A,TRUE,"Comps";"summary2",#N/A,TRUE,"Comps";"summary3",#N/A,TRUE,"Comps"}</definedName>
    <definedName name="FMVRATE">#REF!</definedName>
    <definedName name="FOHV">#REF!</definedName>
    <definedName name="FootnoteDefaults" hidden="1">{1;TRUE;5;"Times New Roman";FALSE;FALSE;TRUE;18;8;-4.5;-4;1;2;2;1;TRUE;5}</definedName>
    <definedName name="fpdate">#REF!</definedName>
    <definedName name="france" hidden="1">{#N/A,#N/A,FALSE,"COMP BS-FRANCE";#N/A,#N/A,FALSE,"96 COMP P&amp;L-FRANCE";#N/A,#N/A,FALSE,"BUD VS ACT FRAN 96";#N/A,#N/A,FALSE,"B/S - FRANCE"}</definedName>
    <definedName name="FRANCE1" hidden="1">{#N/A,#N/A,FALSE,"COMP BS-FRANCE";#N/A,#N/A,FALSE,"96 COMP P&amp;L-FRANCE";#N/A,#N/A,FALSE,"BUD VS ACT FRAN 96";#N/A,#N/A,FALSE,"B/S - FRANCE"}</definedName>
    <definedName name="frequency">{"Annually";"Semi-Annually";"Quarterly";"Bi-Monthly";"Monthly";"Semi-Monthly";"Bi-Weekly";"Weekly"}</definedName>
    <definedName name="FRF" hidden="1">{#N/A,#N/A,FALSE,"1";#N/A,#N/A,FALSE,"2";#N/A,#N/A,FALSE,"16 - 17";#N/A,#N/A,FALSE,"18 - 19";#N/A,#N/A,FALSE,"26";#N/A,#N/A,FALSE,"27";#N/A,#N/A,FALSE,"28"}</definedName>
    <definedName name="FRFERFE" hidden="1">{#N/A,#N/A,FALSE,"Pharm";#N/A,#N/A,FALSE,"WWCM"}</definedName>
    <definedName name="Frght_Discnt">#REF!</definedName>
    <definedName name="fsdafdsa" hidden="1">{"SUM",#N/A,FALSE,"Details (2)"}</definedName>
    <definedName name="fsdg">#REF!</definedName>
    <definedName name="fsdsfafd" hidden="1">{"CSheet",#N/A,FALSE,"C";"SmCap",#N/A,FALSE,"VAL1";"GulfCoast",#N/A,FALSE,"VAL1";"nav",#N/A,FALSE,"NAV";"Summary",#N/A,FALSE,"NAV"}</definedName>
    <definedName name="fsfs" hidden="1">{#N/A,#N/A,FALSE,"Calc";#N/A,#N/A,FALSE,"Sensitivity";#N/A,#N/A,FALSE,"LT Earn.Dil.";#N/A,#N/A,FALSE,"Dil. AVP"}</definedName>
    <definedName name="fsfsd" hidden="1">{#N/A,#N/A,TRUE,"RESUMEN ECON.";#N/A,#N/A,TRUE,"Costos de R.H.";#N/A,#N/A,TRUE,"COSTO HW";#N/A,#N/A,TRUE,"CUADROS";#N/A,#N/A,TRUE,"SCADA´s";#N/A,#N/A,TRUE,"PRECIOS EQUIPOS"}</definedName>
    <definedName name="fsgdr" hidden="1">{"FCB_ALL",#N/A,FALSE,"FCB"}</definedName>
    <definedName name="FSLine">#REF!</definedName>
    <definedName name="FSoPacific" hidden="1">{"BS",#N/A,FALSE,"USA"}</definedName>
    <definedName name="fsr" hidden="1">{"FCB_ALL",#N/A,FALSE,"FCB"}</definedName>
    <definedName name="fsv" hidden="1">{"FCB_ALL",#N/A,FALSE,"FCB";"GREY_ALL",#N/A,FALSE,"GREY"}</definedName>
    <definedName name="ftyf" hidden="1">{"FCB_ALL",#N/A,FALSE,"FCB";"GREY_ALL",#N/A,FALSE,"GREY"}</definedName>
    <definedName name="Fuckoff" hidden="1">{"Input Sheet",#N/A,FALSE,"Input";"New Co",#N/A,FALSE,"NEWCO";"Acq Cash Flow",#N/A,FALSE,"Acq. CF";"Target Cash Flow",#N/A,FALSE,"Tgt. CF";"Operational Merger",#N/A,FALSE,"OP Merger";"Acq Balance Sheet",#N/A,FALSE,"Acq. BS";"Target Balance Sheet",#N/A,FALSE,"Tgt. BS";"BOE Comp",#N/A,FALSE,"BOEComp"}</definedName>
    <definedName name="fuelco_wrn.test1." hidden="1">{"Income Statement",#N/A,FALSE,"CFMODEL";"Balance Sheet",#N/A,FALSE,"CFMODEL"}</definedName>
    <definedName name="fuelco_wrn.test2." hidden="1">{"SourcesUses",#N/A,TRUE,"CFMODEL";"TransOverview",#N/A,TRUE,"CFMODEL"}</definedName>
    <definedName name="fuelco_wrn.test3." hidden="1">{"SourcesUses",#N/A,TRUE,#N/A;"TransOverview",#N/A,TRUE,"CFMODEL"}</definedName>
    <definedName name="fuelco_wrn.test4." hidden="1">{"SourcesUses",#N/A,TRUE,"FundsFlow";"TransOverview",#N/A,TRUE,"FundsFlow"}</definedName>
    <definedName name="fundIV"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VG" hidden="1">{#N/A,#N/A,FALSE,"Pharm";#N/A,#N/A,FALSE,"WWCM"}</definedName>
    <definedName name="fyCoverDate">#REF!</definedName>
    <definedName name="g" hidden="1">{#N/A,#N/A,FALSE,"Pharm";#N/A,#N/A,FALSE,"WWCM"}</definedName>
    <definedName name="GA" hidden="1">{#N/A,#N/A,FALSE,"Job Sched"}</definedName>
    <definedName name="GAAP">#REF!</definedName>
    <definedName name="gadew" hidden="1">{"FCB_ALL",#N/A,FALSE,"FCB"}</definedName>
    <definedName name="gadfsh" hidden="1">{"FCB_ALL",#N/A,FALSE,"FCB"}</definedName>
    <definedName name="gads" hidden="1">{"FCB_ALL",#N/A,FALSE,"FCB"}</definedName>
    <definedName name="gadse" hidden="1">{"FCB_ALL",#N/A,FALSE,"FCB"}</definedName>
    <definedName name="Gasout">#REF!</definedName>
    <definedName name="Gatewayforecast" hidden="1">{"SUM",#N/A,FALSE,"Details (2)"}</definedName>
    <definedName name="gawea" hidden="1">{"FCB_ALL",#N/A,FALSE,"FCB"}</definedName>
    <definedName name="gawen" hidden="1">{"FCB_ALL",#N/A,FALSE,"FCB"}</definedName>
    <definedName name="gdfgdf" hidden="1">{#N/A,#N/A,FALSE,"Pharm";#N/A,#N/A,FALSE,"WWCM"}</definedName>
    <definedName name="GeelCapexFcst" hidden="1">{#N/A,#N/A,FALSE,"SUMMARY";#N/A,#N/A,FALSE,"mcsh";#N/A,#N/A,FALSE,"vol&amp;rev";#N/A,#N/A,FALSE,"wkgcap";#N/A,#N/A,FALSE,"DEPR&amp;DT";#N/A,#N/A,FALSE,"ASSETS";#N/A,#N/A,FALSE,"NI&amp;OTH&amp;DIV";#N/A,#N/A,FALSE,"CASHFLOW";#N/A,#N/A,FALSE,"CAPEMPL";#N/A,#N/A,FALSE,"ROCE"}</definedName>
    <definedName name="gegeg" hidden="1">{#N/A,#N/A,FALSE,"Cashflow Analysis";#N/A,#N/A,FALSE,"Sensitivity Analysis";#N/A,#N/A,FALSE,"PV";#N/A,#N/A,FALSE,"Pro Forma"}</definedName>
    <definedName name="gegeg.2" hidden="1">{#N/A,#N/A,FALSE,"Cashflow Analysis";#N/A,#N/A,FALSE,"Sensitivity Analysis";#N/A,#N/A,FALSE,"PV";#N/A,#N/A,FALSE,"Pro Forma"}</definedName>
    <definedName name="gfasd" hidden="1">{"FCB_ALL",#N/A,FALSE,"FCB"}</definedName>
    <definedName name="gfdjhjh" hidden="1">{#N/A,#N/A,FALSE,"Pharm";#N/A,#N/A,FALSE,"WWCM"}</definedName>
    <definedName name="gfhs" hidden="1">{"summary1",#N/A,TRUE,"Comps";"summary2",#N/A,TRUE,"Comps";"summary3",#N/A,TRUE,"Comps"}</definedName>
    <definedName name="gfsdn" hidden="1">{"FCB_ALL",#N/A,FALSE,"FCB";"GREY_ALL",#N/A,FALSE,"GREY"}</definedName>
    <definedName name="GG" hidden="1">{#N/A,#N/A,FALSE,"PL-FS";#N/A,#N/A,FALSE,"PL"}</definedName>
    <definedName name="gg.2" hidden="1">{#N/A,#N/A,FALSE,"Cashflow Analysis";#N/A,#N/A,FALSE,"Sensitivity Analysis";#N/A,#N/A,FALSE,"PV";#N/A,#N/A,FALSE,"Pro Forma"}</definedName>
    <definedName name="ggg" hidden="1">"c1023"</definedName>
    <definedName name="ghjfg" hidden="1">{#N/A,#N/A,TRUE,"ALLL";#N/A,#N/A,TRUE,"DEL";#N/A,#N/A,TRUE,"Reserve Analysis";#N/A,#N/A,TRUE,"C_OFF HISTORY";#N/A,#N/A,TRUE,"ALLL_QTR";#N/A,#N/A,TRUE,"HEA_M";#N/A,#N/A,TRUE,"BL_DET";#N/A,#N/A,TRUE,"3YRS+";#N/A,#N/A,TRUE,"CONSTR_DET"}</definedName>
    <definedName name="ghjggjh" hidden="1">{#N/A,#N/A,FALSE,"Pharm";#N/A,#N/A,FALSE,"WWCM"}</definedName>
    <definedName name="ghmtymk" hidden="1">{#N/A,#N/A,FALSE,"INPUTS";#N/A,#N/A,FALSE,"PROFORMA BSHEET";#N/A,#N/A,FALSE,"COMBINED";#N/A,#N/A,FALSE,"ACQUIROR";#N/A,#N/A,FALSE,"TARGET 1";#N/A,#N/A,FALSE,"TARGET 2";#N/A,#N/A,FALSE,"HIGH YIELD";#N/A,#N/A,FALSE,"OVERFUND"}</definedName>
    <definedName name="ghtj" hidden="1">{#N/A,#N/A,FALSE,"ACQ_GRAPHS";#N/A,#N/A,FALSE,"T_1 GRAPHS";#N/A,#N/A,FALSE,"T_2 GRAPHS";#N/A,#N/A,FALSE,"COMB_GRAPHS"}</definedName>
    <definedName name="gilb.wrn.test2." hidden="1">{"SourcesUses",#N/A,TRUE,"CFMODEL";"TransOverview",#N/A,TRUE,"CFMODEL"}</definedName>
    <definedName name="gilb.wrn.test3." hidden="1">{"SourcesUses",#N/A,TRUE,#N/A;"TransOverview",#N/A,TRUE,"CFMODEL"}</definedName>
    <definedName name="gilb.wrn.test4." hidden="1">{"SourcesUses",#N/A,TRUE,"FundsFlow";"TransOverview",#N/A,TRUE,"FundsFlow"}</definedName>
    <definedName name="gilb_wrn.test1" hidden="1">{"Income Statement",#N/A,FALSE,"CFMODEL";"Balance Sheet",#N/A,FALSE,"CFMODEL"}</definedName>
    <definedName name="gkn" hidden="1">{#N/A,#N/A,FALSE,"COVER PAGE";#N/A,#N/A,FALSE,"Page 2";#N/A,#N/A,FALSE,"Page 2";#N/A,#N/A,FALSE,"Page 4";#N/A,#N/A,FALSE,"Page5";#N/A,#N/A,FALSE,"Page 6";#N/A,#N/A,FALSE,"Page 7";#N/A,#N/A,FALSE,"Page 8";#N/A,#N/A,FALSE,"Page 10";#N/A,#N/A,FALSE,"Long-Term OCF Mult.";#N/A,#N/A,FALSE,"PCS Comp";#N/A,#N/A,FALSE,"OCS-CAPEX";#N/A,#N/A,FALSE,"Blank"}</definedName>
    <definedName name="GKU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obal1" hidden="1">{#N/A,#N/A,FALSE,"Pharm";#N/A,#N/A,FALSE,"WWCM"}</definedName>
    <definedName name="gmghm"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 hidden="1">{"TOTAL",#N/A,FALSE,"A";"FISCAL94",#N/A,FALSE,"A";"FISCAL95",#N/A,FALSE,"A";"FISCAL96",#N/A,FALSE,"A";"misc page",#N/A,FALSE,"A"}</definedName>
    <definedName name="graph" hidden="1">{#N/A,#N/A,FALSE,"REPORT"}</definedName>
    <definedName name="gt" hidden="1">{#N/A,#N/A,FALSE,"COVER";#N/A,#N/A,FALSE,"Index";#N/A,#N/A,FALSE,"Non-Earning";#N/A,#N/A,FALSE,"Commercial";#N/A,#N/A,FALSE,"Detailed"}</definedName>
    <definedName name="gtrwegrwegw" hidden="1">{"Summary",#N/A,FALSE,"Details (2)"}</definedName>
    <definedName name="gty" hidden="1">{"arpm1995",#N/A,FALSE,"Summary 95-96";"bus_long_distance",#N/A,FALSE,"Summary 95-96";"mins_per_day",#N/A,FALSE,"Summary 95-96";"minutes1995",#N/A,FALSE,"Summary 95-96";"rev_per_day",#N/A,FALSE,"Summary 95-96";"view1995",#N/A,FALSE,"Summary 95-96"}</definedName>
    <definedName name="h" hidden="1">{#N/A,#N/A,FALSE,"REPORT"}</definedName>
    <definedName name="hbkg" hidden="1">{#N/A,#N/A,FALSE,"COVER";#N/A,#N/A,FALSE,"Index";#N/A,#N/A,FALSE,"Non-Earning";#N/A,#N/A,FALSE,"Non-Earning-Recovery";#N/A,#N/A,FALSE,"Leasing_Equipo";#N/A,#N/A,FALSE,"Leasing_Auto";#N/A,#N/A,FALSE,"Leasing_Legal"}</definedName>
    <definedName name="HD" hidden="1">{TRUE,TRUE,-1.25,-15.5,604.5,369,FALSE,FALSE,TRUE,TRUE,0,1,83,1,38,4,5,4,TRUE,TRUE,3,TRUE,1,TRUE,75,"Swvu.inputs._.raw._.data.","ACwvu.inputs._.raw._.data.",#N/A,FALSE,FALSE,0.5,0.5,0.5,0.5,2,"&amp;F","&amp;A&amp;RPage &amp;P",FALSE,FALSE,FALSE,FALSE,1,60,#N/A,#N/A,"=R1C61:R53C89","=C1:C5",#N/A,#N/A,FALSE,FALSE,FALSE,1,600,600,FALSE,FALSE,TRUE,TRUE,TRUE}</definedName>
    <definedName name="Header">#REF!</definedName>
    <definedName name="Header1" hidden="1">IF(COUNTA(#REF!)=0,0,INDEX(#REF!,MATCH(ROW(#REF!),#REF!,TRUE)))+1</definedName>
    <definedName name="Header2" hidden="1">#REF!-1 &amp; "." &amp; MAX(1,COUNTA(INDEX(#REF!,MATCH(#REF!-1,#REF!,FALSE)):#REF!))</definedName>
    <definedName name="HEI" hidden="1">{"AQUIRORDCF",#N/A,FALSE,"Merger consequences";"Acquirorassns",#N/A,FALSE,"Merger consequences"}</definedName>
    <definedName name="hello2" hidden="1">{#N/A,#N/A,FALSE,"Index";"Stmts_Qtrs",#N/A,FALSE,"Summary";"Stmts_24 mo",#N/A,FALSE,"Summary";"Summary_24",#N/A,FALSE,"Revenue";"Month_24",#N/A,FALSE,"Engineering";"Month_24",#N/A,FALSE,"Marketing";"Month_24",#N/A,FALSE,"G &amp; A";"Month_24",#N/A,FALSE,"Manufacturing"}</definedName>
    <definedName name="Help" hidden="1">{#N/A,#N/A,FALSE,"COVER PAGE";#N/A,#N/A,FALSE,"Page 2";#N/A,#N/A,FALSE,"Page 2";#N/A,#N/A,FALSE,"Page 4";#N/A,#N/A,FALSE,"Page5";#N/A,#N/A,FALSE,"Page 6";#N/A,#N/A,FALSE,"Page 7";#N/A,#N/A,FALSE,"Page 8";#N/A,#N/A,FALSE,"Page 10";#N/A,#N/A,FALSE,"Long-Term OCF Mult.";#N/A,#N/A,FALSE,"PCS Comp";#N/A,#N/A,FALSE,"OCS-CAPEX";#N/A,#N/A,FALSE,"Blank"}</definedName>
    <definedName name="help1" hidden="1">{#N/A,#N/A,FALSE,"Total";#N/A,#N/A,FALSE,"Sew";#N/A,#N/A,FALSE,"Finish";#N/A,#N/A,FALSE,"CUT";#N/A,#N/A,FALSE,"Mill 5";#N/A,#N/A,FALSE,"Mill 6";#N/A,#N/A,FALSE,"Mill 8";#N/A,#N/A,FALSE,"Mill 9";#N/A,#N/A,FALSE,"Mill 10";#N/A,#N/A,FALSE,"Mill 12";#N/A,#N/A,FALSE,"Mill 15";#N/A,#N/A,FALSE,"Mill 17"}</definedName>
    <definedName name="hfd" hidden="1">{"FCB_ALL",#N/A,FALSE,"FCB";"GREY_ALL",#N/A,FALSE,"GREY"}</definedName>
    <definedName name="HFinGraph" hidden="1">{#N/A,#N/A,FALSE,"Pharm";#N/A,#N/A,FALSE,"WWCM"}</definedName>
    <definedName name="hfydf" hidden="1">{"FCB_ALL",#N/A,FALSE,"FCB"}</definedName>
    <definedName name="hgsrt" hidden="1">{"FCB_ALL",#N/A,FALSE,"FCB";"GREY_ALL",#N/A,FALSE,"GREY"}</definedName>
    <definedName name="hh" hidden="1">{#N/A,#N/A,TRUE,"DCF Summary";#N/A,#N/A,TRUE,"Casema";#N/A,#N/A,TRUE,"UK";#N/A,#N/A,TRUE,"RCF";#N/A,#N/A,TRUE,"Intercable CZ";#N/A,#N/A,TRUE,"Interkabel P";#N/A,#N/A,TRUE,"LBO-Total";#N/A,#N/A,TRUE,"LBO-Casema"}</definedName>
    <definedName name="hhh" hidden="1">{#N/A,#N/A,FALSE,"Job Sched"}</definedName>
    <definedName name="hhhh" hidden="1">{"SUM",#N/A,FALSE,"Details (2)"}</definedName>
    <definedName name="Hi" hidden="1">{#N/A,#N/A,FALSE,"FAB VENDORS";"BUD SUM",#N/A,FALSE,"BUD SUM WO TEX"}</definedName>
    <definedName name="Hibh" hidden="1">{#N/A,#N/A,FALSE,"Pharm";#N/A,#N/A,FALSE,"WWCM"}</definedName>
    <definedName name="High" hidden="1">{#N/A,#N/A,FALSE,"Pharm";#N/A,#N/A,FALSE,"WWCM"}</definedName>
    <definedName name="hj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h" hidden="1">{#N/A,#N/A,FALSE,"Page 1";#N/A,#N/A,FALSE,"Page 2";#N/A,#N/A,FALSE,"Page 3";#N/A,#N/A,FALSE,"Page 4";#N/A,#N/A,FALSE,"Page 5"}</definedName>
    <definedName name="hjhjffukfuk" hidden="1">{#N/A,#N/A,FALSE,"Pharm";#N/A,#N/A,FALSE,"WWCM"}</definedName>
    <definedName name="hjhjfkfukywrte" hidden="1">{#N/A,#N/A,FALSE,"Pharm";#N/A,#N/A,FALSE,"WWCM"}</definedName>
    <definedName name="hjhjhj" hidden="1">{#N/A,#N/A,FALSE,"Index";"Stmts_Qtrs",#N/A,FALSE,"Summary";"Stmts_24 mo",#N/A,FALSE,"Summary";"Summary_24",#N/A,FALSE,"Revenue";"Month_24",#N/A,FALSE,"Engineering";"Month_24",#N/A,FALSE,"Marketing";"Month_24",#N/A,FALSE,"G &amp; A";"Month_24",#N/A,FALSE,"Manufacturing"}</definedName>
    <definedName name="hjhjhj2" hidden="1">{#N/A,#N/A,FALSE,"Index";"Stmts_Qtrs",#N/A,FALSE,"Summary";"Stmts_24 mo",#N/A,FALSE,"Summary";"Summary_24",#N/A,FALSE,"Revenue";"Month_24",#N/A,FALSE,"Engineering";"Month_24",#N/A,FALSE,"Marketing";"Month_24",#N/A,FALSE,"G &amp; A";"Month_24",#N/A,FALSE,"Manufacturing"}</definedName>
    <definedName name="hjhkjkl" hidden="1">{#N/A,#N/A,FALSE,"Pharm";#N/A,#N/A,FALSE,"WWCM"}</definedName>
    <definedName name="hjjjkk" hidden="1">{#N/A,#N/A,FALSE,"REPORT"}</definedName>
    <definedName name="hjjkk" hidden="1">{#N/A,#N/A,FALSE,"Pharm";#N/A,#N/A,FALSE,"WWCM"}</definedName>
    <definedName name="hjkk" hidden="1">{#N/A,#N/A,FALSE,"Pharm";#N/A,#N/A,FALSE,"WWCM"}</definedName>
    <definedName name="HKSH" hidden="1">{#N/A,#N/A,FALSE,"REPORT"}</definedName>
    <definedName name="HMG" hidden="1">{#N/A,#N/A,FALSE,"REPORT"}</definedName>
    <definedName name="hn._I006" hidden="1">#REF!</definedName>
    <definedName name="hn._I018" hidden="1">#REF!</definedName>
    <definedName name="hn._I024" hidden="1">#REF!</definedName>
    <definedName name="hn._I028" hidden="1">#REF!</definedName>
    <definedName name="hn._I029" hidden="1">#REF!</definedName>
    <definedName name="hn._I030" hidden="1">#REF!</definedName>
    <definedName name="hn._I031" hidden="1">#REF!</definedName>
    <definedName name="hn._I059" hidden="1">#REF!</definedName>
    <definedName name="hn._I071" hidden="1">#REF!</definedName>
    <definedName name="hn._I075" hidden="1">#REF!</definedName>
    <definedName name="hn._I083" hidden="1">#REF!</definedName>
    <definedName name="hn._I085" hidden="1">#REF!</definedName>
    <definedName name="hn._P001" hidden="1">#REF!</definedName>
    <definedName name="hn._P004" hidden="1">#REF!</definedName>
    <definedName name="hn._P014" hidden="1">#REF!</definedName>
    <definedName name="hn._P016" hidden="1">#REF!</definedName>
    <definedName name="hn._P021" hidden="1">#REF!</definedName>
    <definedName name="hn._P024" hidden="1">#REF!</definedName>
    <definedName name="hn.Add015" hidden="1">#REF!</definedName>
    <definedName name="hn.Delete015" hidden="1">#REF!,#REF!,#REF!,#REF!,#REF!</definedName>
    <definedName name="hn.ExtDb" hidden="1">FALSE</definedName>
    <definedName name="hn.ModelType" hidden="1">"DEAL"</definedName>
    <definedName name="hn.ModelVersion" hidden="1">1</definedName>
    <definedName name="hn.NoUpload" hidden="1">0</definedName>
    <definedName name="hn.PrivateLTMYear" hidden="1">#REF!</definedName>
    <definedName name="hod" hidden="1">{#N/A,#N/A,FALSE,"TS";#N/A,#N/A,FALSE,"Combo";#N/A,#N/A,FALSE,"FAIR";#N/A,#N/A,FALSE,"RBC";#N/A,#N/A,FALSE,"xxxx";#N/A,#N/A,FALSE,"A_D";#N/A,#N/A,FALSE,"WACC";#N/A,#N/A,FALSE,"DCF";#N/A,#N/A,FALSE,"LBO";#N/A,#N/A,FALSE,"AcqMults";#N/A,#N/A,FALSE,"CompMults"}</definedName>
    <definedName name="home" hidden="1">{"WACC_filecopy",#N/A,FALSE,"Inputs";"Beta_filecopy",#N/A,FALSE,"Inputs";"SCF_filecopy",#N/A,FALSE,"Inputs";"ProBS_filecopy",#N/A,FALSE,"Inputs";"BS_filecopy",#N/A,FALSE,"Inputs";"ProIS_filecopy",#N/A,FALSE,"Inputs";"IS_filecopy",#N/A,FALSE,"Inputs"}</definedName>
    <definedName name="HOMFE" hidden="1">{#N/A,#N/A,FALSE,"Assessment";#N/A,#N/A,FALSE,"Staffing";#N/A,#N/A,FALSE,"Hires";#N/A,#N/A,FALSE,"Assumptions"}</definedName>
    <definedName name="houy" hidden="1">{#N/A,#N/A,FALSE,"AD_Purchase";#N/A,#N/A,FALSE,"Credit";#N/A,#N/A,FALSE,"PF Acquisition";#N/A,#N/A,FALSE,"PF Offering"}</definedName>
    <definedName name="HQ" hidden="1">{#N/A,#N/A,FALSE,"6405";#N/A,#N/A,FALSE,"6406";#N/A,#N/A,FALSE,"6409";#N/A,#N/A,FALSE,"6425";#N/A,#N/A,FALSE,"6426";#N/A,#N/A,FALSE,"6427";#N/A,#N/A,FALSE,"6440";#N/A,#N/A,FALSE,"6441";#N/A,#N/A,FALSE,"6442";#N/A,#N/A,FALSE,"6443"}</definedName>
    <definedName name="HTML_CodePage" hidden="1">1252</definedName>
    <definedName name="HTML_Control" hidden="1">{"'ATP'!$E$6"}</definedName>
    <definedName name="HTML_Control_1" hidden="1">{"'ATP'!$E$6"}</definedName>
    <definedName name="HTML_Control_BS" hidden="1">{"'Sheet1'!$A$1:$L$21"}</definedName>
    <definedName name="HTML_Description" hidden="1">""</definedName>
    <definedName name="HTML_Email" hidden="1">""</definedName>
    <definedName name="HTML_Header" hidden="1">""</definedName>
    <definedName name="HTML_LastUpdate" hidden="1">"2/4/99"</definedName>
    <definedName name="HTML_LineAfter" hidden="1">FALSE</definedName>
    <definedName name="HTML_LineBefore" hidden="1">FALSE</definedName>
    <definedName name="HTML_Name" hidden="1">"Marianne Kim"</definedName>
    <definedName name="HTML_OBDlg2" hidden="1">TRUE</definedName>
    <definedName name="HTML_OBDlg3" hidden="1">TRUE</definedName>
    <definedName name="HTML_OBDlg4" hidden="1">TRUE</definedName>
    <definedName name="HTML_OS" hidden="1">0</definedName>
    <definedName name="HTML_PathFile" hidden="1">"h:\home\MJK\atp.htm"</definedName>
    <definedName name="HTML_PathFileMac" hidden="1">"Macintosh HD:HomePageStuff:pc:datasets:implprem.html"</definedName>
    <definedName name="HTML_PathTemplate" hidden="1">"H:\Intranet\exchrate.htm"</definedName>
    <definedName name="HTML_Title" hidden="1">"atp"</definedName>
    <definedName name="HTML1_10" hidden="1">""</definedName>
    <definedName name="HTML1_11" hidden="1">1</definedName>
    <definedName name="HTML1_12" hidden="1">"C:\My Documents\MyHTML.htm"</definedName>
    <definedName name="HTML1_2" hidden="1">1</definedName>
    <definedName name="HTML1_3" hidden="1">"SUMFIN"</definedName>
    <definedName name="HTML1_4" hidden="1">"IncStmt"</definedName>
    <definedName name="HTML1_5" hidden="1">""</definedName>
    <definedName name="HTML1_6" hidden="1">1</definedName>
    <definedName name="HTML1_7" hidden="1">1</definedName>
    <definedName name="HTML1_8" hidden="1">"3/4/97"</definedName>
    <definedName name="HTML1_9" hidden="1">"Brad Olsen"</definedName>
    <definedName name="HTML2_10" hidden="1">""</definedName>
    <definedName name="HTML2_11" hidden="1">1</definedName>
    <definedName name="HTML2_12" hidden="1">"F:\USERS\ECON\Census95\Int\T9ST.htm"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"2/17/98"</definedName>
    <definedName name="HTML2_9" hidden="1">"BPH"</definedName>
    <definedName name="HTML3_10" hidden="1">""</definedName>
    <definedName name="HTML3_11" hidden="1">1</definedName>
    <definedName name="HTML3_12" hidden="1">"F:\USERS\ECON\Census95\Int\T9st.htm"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"2/17/98"</definedName>
    <definedName name="HTML3_9" hidden="1">"BPH"</definedName>
    <definedName name="HTML4_10" hidden="1">"Emil.Asistores@crtc.x400.gc.ca"</definedName>
    <definedName name="HTML4_11" hidden="1">1</definedName>
    <definedName name="HTML4_12" hidden="1">"O:\ENG\PROC_REP\TELECOM\1997\PART7\QS_REP98\BCTEL\BCTEL.HTM"</definedName>
    <definedName name="HTML4_2" hidden="1">1</definedName>
    <definedName name="HTML4_3" hidden="1">"BC Tel 1998 Quality Of Service Report"</definedName>
    <definedName name="HTML4_4" hidden="1">"BC Tel 1998 Quality Of Service Report"</definedName>
    <definedName name="HTML4_5" hidden="1">""</definedName>
    <definedName name="HTML4_6" hidden="1">-4146</definedName>
    <definedName name="HTML4_7" hidden="1">-4146</definedName>
    <definedName name="HTML4_8" hidden="1">"1997/10/24"</definedName>
    <definedName name="HTML4_9" hidden="1">"Emil Asistores"</definedName>
    <definedName name="HTML5_10" hidden="1">"Emil.Asistores@crtc.x400.gc.ca"</definedName>
    <definedName name="HTML5_11" hidden="1">1</definedName>
    <definedName name="HTML5_12" hidden="1">"O:\ENG\PROC_REP\TELECOM\1997\PART7\QS_REP98\TCI\TCI.HTM"</definedName>
    <definedName name="HTML5_2" hidden="1">1</definedName>
    <definedName name="HTML5_3" hidden="1">"TCI 1998 Quality Of Service Report"</definedName>
    <definedName name="HTML5_4" hidden="1">"TCI 1998 Quality Of Service Report"</definedName>
    <definedName name="HTML5_5" hidden="1">""</definedName>
    <definedName name="HTML5_6" hidden="1">-4146</definedName>
    <definedName name="HTML5_7" hidden="1">-4146</definedName>
    <definedName name="HTML5_8" hidden="1">"1997/10/30"</definedName>
    <definedName name="HTML5_9" hidden="1">"Emil Asistores"</definedName>
    <definedName name="HTMLControl" hidden="1">{"'Edit'!$A$1:$V$2277"}</definedName>
    <definedName name="HTMLCount" hidden="1">1</definedName>
    <definedName name="htyuityuiotio" hidden="1">{#N/A,#N/A,FALSE,"REPORT"}</definedName>
    <definedName name="hu"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ypertention" hidden="1">{#N/A,#N/A,FALSE,"Pharm";#N/A,#N/A,FALSE,"WWCM"}</definedName>
    <definedName name="hypo" hidden="1">{#N/A,#N/A,FALSE,"Pharm";#N/A,#N/A,FALSE,"WWCM"}</definedName>
    <definedName name="i" hidden="1">{#N/A,#N/A,TRUE,"DCF Summary";#N/A,#N/A,TRUE,"Casema";#N/A,#N/A,TRUE,"UK";#N/A,#N/A,TRUE,"RCF";#N/A,#N/A,TRUE,"Intercable CZ";#N/A,#N/A,TRUE,"Interkabel P";#N/A,#N/A,TRUE,"LBO-Total";#N/A,#N/A,TRUE,"LBO-Casema"}</definedName>
    <definedName name="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FO_BI_EXE_NAME" hidden="1">"BICORE.EXE"</definedName>
    <definedName name="INFO_EXE_SERVER_PATH" hidden="1">"C:\SageIntelligence\BICORE.EXE"</definedName>
    <definedName name="INFO_INSTANCE_ID" hidden="1">"0"</definedName>
    <definedName name="INFO_INSTANCE_NAME" hidden="1">"Top 20 by Customer_20140407_16_03_29_033.xls"</definedName>
    <definedName name="INFO_REPORT_CODE" hidden="1">"X3v6-XL05-2-1-CUSTOM"</definedName>
    <definedName name="INFO_REPORT_ID" hidden="1">"45"</definedName>
    <definedName name="INFO_REPORT_NAME" hidden="1">"Top 20 by Customer"</definedName>
    <definedName name="INFO_RUN_USER" hidden="1">""</definedName>
    <definedName name="INFO_RUN_WORKSTATION" hidden="1">"KS1021326"</definedName>
    <definedName name="Inmovilizado2" hidden="1">{#N/A,#N/A,FALSE,"CNS_ADJ";"Balance Consolidado",#N/A,FALSE,"BCEC_CNS";#N/A,#N/A,FALSE,"USGAAP_ADJ"}</definedName>
    <definedName name="Int">#REF!</definedName>
    <definedName name="Interco2" hidden="1">{#N/A,#N/A,FALSE,"Job Sched"}</definedName>
    <definedName name="Interest_Methods">#REF!</definedName>
    <definedName name="InterestRate">#REF!</definedName>
    <definedName name="InterestRate2014">#REF!</definedName>
    <definedName name="InterestRate2016">#REF!</definedName>
    <definedName name="InterestRate2017">#REF!</definedName>
    <definedName name="InterestRate2018">#REF!</definedName>
    <definedName name="InterestRateCurrent">#REF!</definedName>
    <definedName name="InterestRateRealEstate">#REF!</definedName>
    <definedName name="IntroPrintArea" hidden="1">#REF!</definedName>
    <definedName name="investment">#REF!</definedName>
    <definedName name="InvFootnote">#REF!</definedName>
    <definedName name="Invout">#REF!</definedName>
    <definedName name="IP" hidden="1">{#N/A,#N/A,FALSE,"Pharm";#N/A,#N/A,FALSE,"WWCM"}</definedName>
    <definedName name="IPRD_mites" hidden="1">{"bs",#N/A,FALSE,"SCF"}</definedName>
    <definedName name="IPRD_Pollen" hidden="1">{"bs",#N/A,FALSE,"SCF"}</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CCEPTANCES_OTHER_FOREIGN_BANKS_LL_REC_FFIEC" hidden="1">"c15293"</definedName>
    <definedName name="IQ_ACCEPTANCES_OTHER_US_BANKS_LL_REC_FFIEC" hidden="1">"c15292"</definedName>
    <definedName name="IQ_ACCOUNT_CHANGE" hidden="1">"c1449"</definedName>
    <definedName name="IQ_ACCOUNTING_FFIEC" hidden="1">"c13054"</definedName>
    <definedName name="IQ_ACCOUNTING_STANDARD" hidden="1">"c4539"</definedName>
    <definedName name="IQ_ACCOUNTING_STANDARD_CIQ" hidden="1">"c5092"</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DIVIDEND" hidden="1">"c229"</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NO" hidden="1">"c4454"</definedName>
    <definedName name="IQ_AVG_INDUSTRY_REC_NO_CIQ" hidden="1">"c4983"</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EST_CIQ" hidden="1">"c4541"</definedName>
    <definedName name="IQ_BASIC_OUTSTANDING_CURRENT_HIGH_EST" hidden="1">"c4129"</definedName>
    <definedName name="IQ_BASIC_OUTSTANDING_CURRENT_HIGH_EST_CIQ" hidden="1">"c4542"</definedName>
    <definedName name="IQ_BASIC_OUTSTANDING_CURRENT_LOW_EST" hidden="1">"c4130"</definedName>
    <definedName name="IQ_BASIC_OUTSTANDING_CURRENT_LOW_EST_CIQ" hidden="1">"c4543"</definedName>
    <definedName name="IQ_BASIC_OUTSTANDING_CURRENT_MEDIAN_EST" hidden="1">"c4131"</definedName>
    <definedName name="IQ_BASIC_OUTSTANDING_CURRENT_MEDIAN_EST_CIQ" hidden="1">"c4544"</definedName>
    <definedName name="IQ_BASIC_OUTSTANDING_CURRENT_NUM_EST" hidden="1">"c4132"</definedName>
    <definedName name="IQ_BASIC_OUTSTANDING_CURRENT_NUM_EST_CIQ" hidden="1">"c4545"</definedName>
    <definedName name="IQ_BASIC_OUTSTANDING_CURRENT_STDDEV_EST" hidden="1">"c4133"</definedName>
    <definedName name="IQ_BASIC_OUTSTANDING_CURRENT_STDDEV_EST_CIQ" hidden="1">"c4546"</definedName>
    <definedName name="IQ_BASIC_OUTSTANDING_EST" hidden="1">"c4134"</definedName>
    <definedName name="IQ_BASIC_OUTSTANDING_EST_CIQ" hidden="1">"c4547"</definedName>
    <definedName name="IQ_BASIC_OUTSTANDING_HIGH_EST" hidden="1">"c4135"</definedName>
    <definedName name="IQ_BASIC_OUTSTANDING_HIGH_EST_CIQ" hidden="1">"c4548"</definedName>
    <definedName name="IQ_BASIC_OUTSTANDING_LOW_EST" hidden="1">"c4136"</definedName>
    <definedName name="IQ_BASIC_OUTSTANDING_LOW_EST_CIQ" hidden="1">"c4549"</definedName>
    <definedName name="IQ_BASIC_OUTSTANDING_MEDIAN_EST" hidden="1">"c4137"</definedName>
    <definedName name="IQ_BASIC_OUTSTANDING_MEDIAN_EST_CIQ" hidden="1">"c4550"</definedName>
    <definedName name="IQ_BASIC_OUTSTANDING_NUM_EST" hidden="1">"c4138"</definedName>
    <definedName name="IQ_BASIC_OUTSTANDING_NUM_EST_CIQ" hidden="1">"c4551"</definedName>
    <definedName name="IQ_BASIC_OUTSTANDING_STDDEV_EST" hidden="1">"c4139"</definedName>
    <definedName name="IQ_BASIC_OUTSTANDING_STDDEV_EST_CIQ" hidden="1">"c4552"</definedName>
    <definedName name="IQ_BASIC_WEIGHT" hidden="1">"c87"</definedName>
    <definedName name="IQ_BASIC_WEIGHT_EST" hidden="1">"c4140"</definedName>
    <definedName name="IQ_BASIC_WEIGHT_EST_CIQ" hidden="1">"c4553"</definedName>
    <definedName name="IQ_BASIC_WEIGHT_GUIDANCE" hidden="1">"c4141"</definedName>
    <definedName name="IQ_BASIC_WEIGHT_HIGH_EST" hidden="1">"c4142"</definedName>
    <definedName name="IQ_BASIC_WEIGHT_HIGH_EST_CIQ" hidden="1">"c4554"</definedName>
    <definedName name="IQ_BASIC_WEIGHT_LOW_EST" hidden="1">"c4143"</definedName>
    <definedName name="IQ_BASIC_WEIGHT_LOW_EST_CIQ" hidden="1">"c4555"</definedName>
    <definedName name="IQ_BASIC_WEIGHT_MEDIAN_EST" hidden="1">"c4144"</definedName>
    <definedName name="IQ_BASIC_WEIGHT_MEDIAN_EST_CIQ" hidden="1">"c4556"</definedName>
    <definedName name="IQ_BASIC_WEIGHT_NUM_EST" hidden="1">"c4145"</definedName>
    <definedName name="IQ_BASIC_WEIGHT_NUM_EST_CIQ" hidden="1">"c4557"</definedName>
    <definedName name="IQ_BASIC_WEIGHT_STDDEV_EST" hidden="1">"c4146"</definedName>
    <definedName name="IQ_BASIC_WEIGHT_STDDEV_EST_CIQ" hidden="1">"c4558"</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DIRECT_FAX" hidden="1">"c15176"</definedName>
    <definedName name="IQ_BOARD_MEMBER_DIRECT_PHONE" hidden="1">"c15175"</definedName>
    <definedName name="IQ_BOARD_MEMBER_EMAIL" hidden="1">"c15177"</definedName>
    <definedName name="IQ_BOARD_MEMBER_ID" hidden="1">"c13756"</definedName>
    <definedName name="IQ_BOARD_MEMBER_MAIN_FAX" hidden="1">"c15174"</definedName>
    <definedName name="IQ_BOARD_MEMBER_MAIN_PHONE" hidden="1">"c15173"</definedName>
    <definedName name="IQ_BOARD_MEMBER_OFFICE_ADDRESS" hidden="1">"c15172"</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NDRATING_FITCH" hidden="1">"IQ_BONDRATING_FITCH"</definedName>
    <definedName name="IQ_BONDRATING_FITCH_DATE" hidden="1">"c241"</definedName>
    <definedName name="IQ_BONDRATING_MOODYS" hidden="1">"IQ_BONDRATING_MOODYS"</definedName>
    <definedName name="IQ_BONDRATING_SP" hidden="1">"IQ_BONDRATING_SP"</definedName>
    <definedName name="IQ_BONDRATING_SP_DATE" hidden="1">"c242"</definedName>
    <definedName name="IQ_BOOK_VALUE" hidden="1">"IQ_BOOK_VALUE"</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COMBINATIONS_FFIEC" hidden="1">"c12967"</definedName>
    <definedName name="IQ_BUSINESS_DESCRIPTION" hidden="1">"c322"</definedName>
    <definedName name="IQ_BV_ACT_OR_EST_CIQ" hidden="1">"c5068"</definedName>
    <definedName name="IQ_BV_ACT_OR_EST_REUT" hidden="1">"c5471"</definedName>
    <definedName name="IQ_BV_ACT_OR_EST_THOM" hidden="1">"c5308"</definedName>
    <definedName name="IQ_BV_EST" hidden="1">"c5624"</definedName>
    <definedName name="IQ_BV_EST_CIQ" hidden="1">"c4737"</definedName>
    <definedName name="IQ_BV_EST_REUT" hidden="1">"c5403"</definedName>
    <definedName name="IQ_BV_EST_THOM" hidden="1">"c5147"</definedName>
    <definedName name="IQ_BV_HIGH_EST" hidden="1">"c5626"</definedName>
    <definedName name="IQ_BV_HIGH_EST_CIQ" hidden="1">"c4739"</definedName>
    <definedName name="IQ_BV_HIGH_EST_REUT" hidden="1">"c5405"</definedName>
    <definedName name="IQ_BV_HIGH_EST_THOM" hidden="1">"c5149"</definedName>
    <definedName name="IQ_BV_LOW_EST" hidden="1">"c5627"</definedName>
    <definedName name="IQ_BV_LOW_EST_CIQ" hidden="1">"c4740"</definedName>
    <definedName name="IQ_BV_LOW_EST_REUT" hidden="1">"c5406"</definedName>
    <definedName name="IQ_BV_LOW_EST_THOM" hidden="1">"c5150"</definedName>
    <definedName name="IQ_BV_MEDIAN_EST" hidden="1">"c5625"</definedName>
    <definedName name="IQ_BV_MEDIAN_EST_CIQ" hidden="1">"c4738"</definedName>
    <definedName name="IQ_BV_MEDIAN_EST_REUT" hidden="1">"c5404"</definedName>
    <definedName name="IQ_BV_MEDIAN_EST_THOM" hidden="1">"c5148"</definedName>
    <definedName name="IQ_BV_NUM_EST" hidden="1">"c5628"</definedName>
    <definedName name="IQ_BV_NUM_EST_CIQ" hidden="1">"c4741"</definedName>
    <definedName name="IQ_BV_NUM_EST_REUT" hidden="1">"c5407"</definedName>
    <definedName name="IQ_BV_NUM_EST_THOM" hidden="1">"c5151"</definedName>
    <definedName name="IQ_BV_OVER_SHARES" hidden="1">"c1349"</definedName>
    <definedName name="IQ_BV_SHARE" hidden="1">"c100"</definedName>
    <definedName name="IQ_BV_SHARE_ACT_OR_EST" hidden="1">"c3587"</definedName>
    <definedName name="IQ_BV_SHARE_ACT_OR_EST_CIQ" hidden="1">"c5072"</definedName>
    <definedName name="IQ_BV_SHARE_ACT_OR_EST_REUT" hidden="1">"c5477"</definedName>
    <definedName name="IQ_BV_SHARE_ACT_OR_EST_THOM" hidden="1">"c5312"</definedName>
    <definedName name="IQ_BV_SHARE_EST" hidden="1">"c3541"</definedName>
    <definedName name="IQ_BV_SHARE_EST_CIQ" hidden="1">"c3800"</definedName>
    <definedName name="IQ_BV_SHARE_EST_REUT" hidden="1">"c5439"</definedName>
    <definedName name="IQ_BV_SHARE_EST_THOM" hidden="1">"c4020"</definedName>
    <definedName name="IQ_BV_SHARE_HIGH_EST" hidden="1">"c3542"</definedName>
    <definedName name="IQ_BV_SHARE_HIGH_EST_CIQ" hidden="1">"c3802"</definedName>
    <definedName name="IQ_BV_SHARE_HIGH_EST_REUT" hidden="1">"c5441"</definedName>
    <definedName name="IQ_BV_SHARE_HIGH_EST_THOM" hidden="1">"c4022"</definedName>
    <definedName name="IQ_BV_SHARE_LOW_EST" hidden="1">"c3543"</definedName>
    <definedName name="IQ_BV_SHARE_LOW_EST_CIQ" hidden="1">"c3803"</definedName>
    <definedName name="IQ_BV_SHARE_LOW_EST_REUT" hidden="1">"c5442"</definedName>
    <definedName name="IQ_BV_SHARE_LOW_EST_THOM" hidden="1">"c4023"</definedName>
    <definedName name="IQ_BV_SHARE_MEDIAN_EST" hidden="1">"c3544"</definedName>
    <definedName name="IQ_BV_SHARE_MEDIAN_EST_CIQ" hidden="1">"c3801"</definedName>
    <definedName name="IQ_BV_SHARE_MEDIAN_EST_REUT" hidden="1">"c5440"</definedName>
    <definedName name="IQ_BV_SHARE_MEDIAN_EST_THOM" hidden="1">"c4021"</definedName>
    <definedName name="IQ_BV_SHARE_NUM_EST" hidden="1">"c3539"</definedName>
    <definedName name="IQ_BV_SHARE_NUM_EST_CIQ" hidden="1">"c3804"</definedName>
    <definedName name="IQ_BV_SHARE_NUM_EST_REUT" hidden="1">"c5443"</definedName>
    <definedName name="IQ_BV_SHARE_NUM_EST_THOM" hidden="1">"c4024"</definedName>
    <definedName name="IQ_BV_SHARE_STDDEV_EST" hidden="1">"c3540"</definedName>
    <definedName name="IQ_BV_SHARE_STDDEV_EST_CIQ" hidden="1">"c3805"</definedName>
    <definedName name="IQ_BV_SHARE_STDDEV_EST_REUT" hidden="1">"c5444"</definedName>
    <definedName name="IQ_BV_SHARE_STDDEV_EST_THOM" hidden="1">"c4025"</definedName>
    <definedName name="IQ_BV_STDDEV_EST" hidden="1">"c5629"</definedName>
    <definedName name="IQ_BV_STDDEV_EST_CIQ" hidden="1">"c4742"</definedName>
    <definedName name="IQ_BV_STDDEV_EST_REUT" hidden="1">"c5408"</definedName>
    <definedName name="IQ_BV_STDDEV_EST_THOM" hidden="1">"c5152"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Y" hidden="1">"c102"</definedName>
    <definedName name="IQ_CAL_Y_EST" hidden="1">"c6797"</definedName>
    <definedName name="IQ_CAL_Y_EST_CIQ" hidden="1">"c6809"</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 hidden="1">"c5071"</definedName>
    <definedName name="IQ_CAPEX_ACT_OR_EST_REUT" hidden="1">"c5474"</definedName>
    <definedName name="IQ_CAPEX_ACT_OR_EST_THOM" hidden="1">"c5546"</definedName>
    <definedName name="IQ_CAPEX_BNK" hidden="1">"c110"</definedName>
    <definedName name="IQ_CAPEX_BR" hidden="1">"c111"</definedName>
    <definedName name="IQ_CAPEX_EST" hidden="1">"c3523"</definedName>
    <definedName name="IQ_CAPEX_EST_CIQ" hidden="1">"c3807"</definedName>
    <definedName name="IQ_CAPEX_EST_REUT" hidden="1">"c3969"</definedName>
    <definedName name="IQ_CAPEX_EST_THOM" hidden="1">"c5535"</definedName>
    <definedName name="IQ_CAPEX_FIN" hidden="1">"c112"</definedName>
    <definedName name="IQ_CAPEX_GUIDANCE" hidden="1">"c4150"</definedName>
    <definedName name="IQ_CAPEX_GUIDANCE_CIQ" hidden="1">"c4562"</definedName>
    <definedName name="IQ_CAPEX_HIGH_EST" hidden="1">"c3524"</definedName>
    <definedName name="IQ_CAPEX_HIGH_EST_CIQ" hidden="1">"c3809"</definedName>
    <definedName name="IQ_CAPEX_HIGH_EST_REUT" hidden="1">"c3971"</definedName>
    <definedName name="IQ_CAPEX_HIGH_EST_THOM" hidden="1">"c5537"</definedName>
    <definedName name="IQ_CAPEX_HIGH_GUIDANCE" hidden="1">"c4180"</definedName>
    <definedName name="IQ_CAPEX_HIGH_GUIDANCE_CIQ" hidden="1">"c4592"</definedName>
    <definedName name="IQ_CAPEX_INS" hidden="1">"c113"</definedName>
    <definedName name="IQ_CAPEX_LOW_EST" hidden="1">"c3525"</definedName>
    <definedName name="IQ_CAPEX_LOW_EST_CIQ" hidden="1">"c3810"</definedName>
    <definedName name="IQ_CAPEX_LOW_EST_REUT" hidden="1">"c3972"</definedName>
    <definedName name="IQ_CAPEX_LOW_EST_THOM" hidden="1">"c5538"</definedName>
    <definedName name="IQ_CAPEX_LOW_GUIDANCE" hidden="1">"c4220"</definedName>
    <definedName name="IQ_CAPEX_LOW_GUIDANCE_CIQ" hidden="1">"c4632"</definedName>
    <definedName name="IQ_CAPEX_MEDIAN_EST" hidden="1">"c3526"</definedName>
    <definedName name="IQ_CAPEX_MEDIAN_EST_CIQ" hidden="1">"c3808"</definedName>
    <definedName name="IQ_CAPEX_MEDIAN_EST_REUT" hidden="1">"c3970"</definedName>
    <definedName name="IQ_CAPEX_MEDIAN_EST_THOM" hidden="1">"c5536"</definedName>
    <definedName name="IQ_CAPEX_NUM_EST" hidden="1">"c3521"</definedName>
    <definedName name="IQ_CAPEX_NUM_EST_CIQ" hidden="1">"c3811"</definedName>
    <definedName name="IQ_CAPEX_NUM_EST_REUT" hidden="1">"c3973"</definedName>
    <definedName name="IQ_CAPEX_NUM_EST_THOM" hidden="1">"c5539"</definedName>
    <definedName name="IQ_CAPEX_STDDEV_EST" hidden="1">"c3522"</definedName>
    <definedName name="IQ_CAPEX_STDDEV_EST_CIQ" hidden="1">"c3812"</definedName>
    <definedName name="IQ_CAPEX_STDDEV_EST_REUT" hidden="1">"c3974"</definedName>
    <definedName name="IQ_CAPEX_STDDEV_EST_THOM" hidden="1">"c5540"</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PS_ACT_OR_EST" hidden="1">"c5638"</definedName>
    <definedName name="IQ_CASH_EPS_ACT_OR_EST_THOM" hidden="1">"c5646"</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EST" hidden="1">"c4153"</definedName>
    <definedName name="IQ_CASH_FLOW_EST_CIQ" hidden="1">"c4565"</definedName>
    <definedName name="IQ_CASH_FLOW_GUIDANCE" hidden="1">"c4155"</definedName>
    <definedName name="IQ_CASH_FLOW_GUIDANCE_CIQ" hidden="1">"c4567"</definedName>
    <definedName name="IQ_CASH_FLOW_HIGH_EST" hidden="1">"c4156"</definedName>
    <definedName name="IQ_CASH_FLOW_HIGH_EST_CIQ" hidden="1">"c4568"</definedName>
    <definedName name="IQ_CASH_FLOW_HIGH_GUIDANCE" hidden="1">"c4201"</definedName>
    <definedName name="IQ_CASH_FLOW_HIGH_GUIDANCE_CIQ" hidden="1">"c4613"</definedName>
    <definedName name="IQ_CASH_FLOW_LOW_EST" hidden="1">"c4157"</definedName>
    <definedName name="IQ_CASH_FLOW_LOW_EST_CIQ" hidden="1">"c4569"</definedName>
    <definedName name="IQ_CASH_FLOW_LOW_GUIDANCE" hidden="1">"c4241"</definedName>
    <definedName name="IQ_CASH_FLOW_LOW_GUIDANCE_CIQ" hidden="1">"c4653"</definedName>
    <definedName name="IQ_CASH_FLOW_MEDIAN_EST" hidden="1">"c4158"</definedName>
    <definedName name="IQ_CASH_FLOW_MEDIAN_EST_CIQ" hidden="1">"c4570"</definedName>
    <definedName name="IQ_CASH_FLOW_NUM_EST" hidden="1">"c4159"</definedName>
    <definedName name="IQ_CASH_FLOW_NUM_EST_CIQ" hidden="1">"c4571"</definedName>
    <definedName name="IQ_CASH_FLOW_STDDEV_EST" hidden="1">"c4160"</definedName>
    <definedName name="IQ_CASH_FLOW_STDDEV_EST_CIQ" hidden="1">"c4572"</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EST_CIQ" hidden="1">"c4575"</definedName>
    <definedName name="IQ_CASH_OPER_GUIDANCE" hidden="1">"c4165"</definedName>
    <definedName name="IQ_CASH_OPER_GUIDANCE_CIQ" hidden="1">"c4577"</definedName>
    <definedName name="IQ_CASH_OPER_HIGH_EST" hidden="1">"c4166"</definedName>
    <definedName name="IQ_CASH_OPER_HIGH_EST_CIQ" hidden="1">"c4578"</definedName>
    <definedName name="IQ_CASH_OPER_HIGH_GUIDANCE" hidden="1">"c4185"</definedName>
    <definedName name="IQ_CASH_OPER_HIGH_GUIDANCE_CIQ" hidden="1">"c4597"</definedName>
    <definedName name="IQ_CASH_OPER_LOW_EST" hidden="1">"c4244"</definedName>
    <definedName name="IQ_CASH_OPER_LOW_EST_CIQ" hidden="1">"c4768"</definedName>
    <definedName name="IQ_CASH_OPER_LOW_GUIDANCE" hidden="1">"c4225"</definedName>
    <definedName name="IQ_CASH_OPER_LOW_GUIDANCE_CIQ" hidden="1">"c4637"</definedName>
    <definedName name="IQ_CASH_OPER_MEDIAN_EST" hidden="1">"c4245"</definedName>
    <definedName name="IQ_CASH_OPER_MEDIAN_EST_CIQ" hidden="1">"c4771"</definedName>
    <definedName name="IQ_CASH_OPER_NAME_AP" hidden="1">"c8926"</definedName>
    <definedName name="IQ_CASH_OPER_NAME_AP_ABS" hidden="1">"c8945"</definedName>
    <definedName name="IQ_CASH_OPER_NUM_EST" hidden="1">"c4246"</definedName>
    <definedName name="IQ_CASH_OPER_NUM_EST_CIQ" hidden="1">"c4772"</definedName>
    <definedName name="IQ_CASH_OPER_STDDEV_EST" hidden="1">"c4247"</definedName>
    <definedName name="IQ_CASH_OPER_STDDEV_EST_CIQ" hidden="1">"c4773"</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EST_CIQ" hidden="1">"c4775"</definedName>
    <definedName name="IQ_CASH_ST_INVEST_GUIDANCE" hidden="1">"c4250"</definedName>
    <definedName name="IQ_CASH_ST_INVEST_GUIDANCE_CIQ" hidden="1">"c4776"</definedName>
    <definedName name="IQ_CASH_ST_INVEST_HIGH_EST" hidden="1">"c4251"</definedName>
    <definedName name="IQ_CASH_ST_INVEST_HIGH_EST_CIQ" hidden="1">"c4777"</definedName>
    <definedName name="IQ_CASH_ST_INVEST_HIGH_GUIDANCE" hidden="1">"c4195"</definedName>
    <definedName name="IQ_CASH_ST_INVEST_HIGH_GUIDANCE_CIQ" hidden="1">"c4607"</definedName>
    <definedName name="IQ_CASH_ST_INVEST_LOW_EST" hidden="1">"c4252"</definedName>
    <definedName name="IQ_CASH_ST_INVEST_LOW_EST_CIQ" hidden="1">"c4778"</definedName>
    <definedName name="IQ_CASH_ST_INVEST_LOW_GUIDANCE" hidden="1">"c4235"</definedName>
    <definedName name="IQ_CASH_ST_INVEST_LOW_GUIDANCE_CIQ" hidden="1">"c4647"</definedName>
    <definedName name="IQ_CASH_ST_INVEST_MEDIAN_EST" hidden="1">"c4253"</definedName>
    <definedName name="IQ_CASH_ST_INVEST_MEDIAN_EST_CIQ" hidden="1">"c4779"</definedName>
    <definedName name="IQ_CASH_ST_INVEST_NUM_EST" hidden="1">"c4254"</definedName>
    <definedName name="IQ_CASH_ST_INVEST_NUM_EST_CIQ" hidden="1">"c4780"</definedName>
    <definedName name="IQ_CASH_ST_INVEST_STDDEV_EST" hidden="1">"c4255"</definedName>
    <definedName name="IQ_CASH_ST_INVEST_STDDEV_EST_CIQ" hidden="1">"c4781"</definedName>
    <definedName name="IQ_CASH_STRUCTURED_PRODUCTS_AVAIL_SALE_FFIEC" hidden="1">"c15263"</definedName>
    <definedName name="IQ_CASH_STRUCTURED_PRODUCTS_FFIEC" hidden="1">"c15260"</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CIQ" hidden="1">"c5061"</definedName>
    <definedName name="IQ_CFPS_ACT_OR_EST_REUT" hidden="1">"c5463"</definedName>
    <definedName name="IQ_CFPS_ACT_OR_EST_THOM" hidden="1">"c5301"</definedName>
    <definedName name="IQ_CFPS_EST" hidden="1">"c1667"</definedName>
    <definedName name="IQ_CFPS_EST_CIQ" hidden="1">"c3675"</definedName>
    <definedName name="IQ_CFPS_EST_REUT" hidden="1">"c3844"</definedName>
    <definedName name="IQ_CFPS_EST_THOM" hidden="1">"c4006"</definedName>
    <definedName name="IQ_CFPS_GUIDANCE" hidden="1">"c4256"</definedName>
    <definedName name="IQ_CFPS_GUIDANCE_CIQ" hidden="1">"c4782"</definedName>
    <definedName name="IQ_CFPS_HIGH_EST" hidden="1">"c1669"</definedName>
    <definedName name="IQ_CFPS_HIGH_EST_CIQ" hidden="1">"c3677"</definedName>
    <definedName name="IQ_CFPS_HIGH_EST_REUT" hidden="1">"c3846"</definedName>
    <definedName name="IQ_CFPS_HIGH_EST_THOM" hidden="1">"c4008"</definedName>
    <definedName name="IQ_CFPS_HIGH_GUIDANCE" hidden="1">"c4167"</definedName>
    <definedName name="IQ_CFPS_HIGH_GUIDANCE_CIQ" hidden="1">"c4579"</definedName>
    <definedName name="IQ_CFPS_LOW_EST" hidden="1">"c1670"</definedName>
    <definedName name="IQ_CFPS_LOW_EST_CIQ" hidden="1">"c3678"</definedName>
    <definedName name="IQ_CFPS_LOW_EST_REUT" hidden="1">"c3847"</definedName>
    <definedName name="IQ_CFPS_LOW_EST_THOM" hidden="1">"c4009"</definedName>
    <definedName name="IQ_CFPS_LOW_GUIDANCE" hidden="1">"c4207"</definedName>
    <definedName name="IQ_CFPS_LOW_GUIDANCE_CIQ" hidden="1">"c4619"</definedName>
    <definedName name="IQ_CFPS_MEDIAN_EST" hidden="1">"c1668"</definedName>
    <definedName name="IQ_CFPS_MEDIAN_EST_CIQ" hidden="1">"c3676"</definedName>
    <definedName name="IQ_CFPS_MEDIAN_EST_REUT" hidden="1">"c3845"</definedName>
    <definedName name="IQ_CFPS_MEDIAN_EST_THOM" hidden="1">"c4007"</definedName>
    <definedName name="IQ_CFPS_NUM_EST" hidden="1">"c1671"</definedName>
    <definedName name="IQ_CFPS_NUM_EST_CIQ" hidden="1">"c3679"</definedName>
    <definedName name="IQ_CFPS_NUM_EST_REUT" hidden="1">"c3848"</definedName>
    <definedName name="IQ_CFPS_NUM_EST_THOM" hidden="1">"c4010"</definedName>
    <definedName name="IQ_CFPS_STDDEV_EST" hidden="1">"c1672"</definedName>
    <definedName name="IQ_CFPS_STDDEV_EST_CIQ" hidden="1">"c3680"</definedName>
    <definedName name="IQ_CFPS_STDDEV_EST_REUT" hidden="1">"c3849"</definedName>
    <definedName name="IQ_CFPS_STDDEV_EST_THOM" hidden="1">"c4011"</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EST_CIQ" hidden="1">"c4783"</definedName>
    <definedName name="IQ_DEBT_EQUITY_HIGH_EST" hidden="1">"c4258"</definedName>
    <definedName name="IQ_DEBT_EQUITY_HIGH_EST_CIQ" hidden="1">"c4784"</definedName>
    <definedName name="IQ_DEBT_EQUITY_LOW_EST" hidden="1">"c4259"</definedName>
    <definedName name="IQ_DEBT_EQUITY_LOW_EST_CIQ" hidden="1">"c4785"</definedName>
    <definedName name="IQ_DEBT_EQUITY_MEDIAN_EST" hidden="1">"c4260"</definedName>
    <definedName name="IQ_DEBT_EQUITY_MEDIAN_EST_CIQ" hidden="1">"c4786"</definedName>
    <definedName name="IQ_DEBT_EQUITY_NUM_EST" hidden="1">"c4261"</definedName>
    <definedName name="IQ_DEBT_EQUITY_NUM_EST_CIQ" hidden="1">"c4787"</definedName>
    <definedName name="IQ_DEBT_EQUITY_STDDEV_EST" hidden="1">"c4262"</definedName>
    <definedName name="IQ_DEBT_EQUITY_STDDEV_EST_CIQ" hidden="1">"c4788"</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ES" hidden="1">"c1356"</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FF_LASTCLOSE_TARGET_PRICE_THOM" hidden="1">"c5278"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EST_CIQ" hidden="1">"c4789"</definedName>
    <definedName name="IQ_DILUT_OUTSTANDING_CURRENT_HIGH_EST" hidden="1">"c4264"</definedName>
    <definedName name="IQ_DILUT_OUTSTANDING_CURRENT_HIGH_EST_CIQ" hidden="1">"c4790"</definedName>
    <definedName name="IQ_DILUT_OUTSTANDING_CURRENT_LOW_EST" hidden="1">"c4265"</definedName>
    <definedName name="IQ_DILUT_OUTSTANDING_CURRENT_LOW_EST_CIQ" hidden="1">"c4791"</definedName>
    <definedName name="IQ_DILUT_OUTSTANDING_CURRENT_MEDIAN_EST" hidden="1">"c4266"</definedName>
    <definedName name="IQ_DILUT_OUTSTANDING_CURRENT_MEDIAN_EST_CIQ" hidden="1">"c4792"</definedName>
    <definedName name="IQ_DILUT_OUTSTANDING_CURRENT_NUM_EST" hidden="1">"c4267"</definedName>
    <definedName name="IQ_DILUT_OUTSTANDING_CURRENT_NUM_EST_CIQ" hidden="1">"c4793"</definedName>
    <definedName name="IQ_DILUT_OUTSTANDING_CURRENT_STDDEV_EST" hidden="1">"c4268"</definedName>
    <definedName name="IQ_DILUT_OUTSTANDING_CURRENT_STDDEV_EST_CIQ" hidden="1">"c4794"</definedName>
    <definedName name="IQ_DILUT_WEIGHT" hidden="1">"c326"</definedName>
    <definedName name="IQ_DILUT_WEIGHT_EST" hidden="1">"c4269"</definedName>
    <definedName name="IQ_DILUT_WEIGHT_EST_CIQ" hidden="1">"c4795"</definedName>
    <definedName name="IQ_DILUT_WEIGHT_GUIDANCE" hidden="1">"c4270"</definedName>
    <definedName name="IQ_DILUT_WEIGHT_HIGH_EST" hidden="1">"c4271"</definedName>
    <definedName name="IQ_DILUT_WEIGHT_HIGH_EST_CIQ" hidden="1">"c4796"</definedName>
    <definedName name="IQ_DILUT_WEIGHT_LOW_EST" hidden="1">"c4272"</definedName>
    <definedName name="IQ_DILUT_WEIGHT_LOW_EST_CIQ" hidden="1">"c4797"</definedName>
    <definedName name="IQ_DILUT_WEIGHT_MEDIAN_EST" hidden="1">"c4273"</definedName>
    <definedName name="IQ_DILUT_WEIGHT_MEDIAN_EST_CIQ" hidden="1">"c4798"</definedName>
    <definedName name="IQ_DILUT_WEIGHT_NUM_EST" hidden="1">"c4274"</definedName>
    <definedName name="IQ_DILUT_WEIGHT_NUM_EST_CIQ" hidden="1">"c4799"</definedName>
    <definedName name="IQ_DILUT_WEIGHT_STDDEV_EST" hidden="1">"c4275"</definedName>
    <definedName name="IQ_DILUT_WEIGHT_STDDEV_EST_CIQ" hidden="1">"c4800"</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 hidden="1">"c4277"</definedName>
    <definedName name="IQ_DISTRIBUTABLE_CASH_EST_CIQ" hidden="1">"c4802"</definedName>
    <definedName name="IQ_DISTRIBUTABLE_CASH_GUIDANCE" hidden="1">"c4279"</definedName>
    <definedName name="IQ_DISTRIBUTABLE_CASH_GUIDANCE_CIQ" hidden="1">"c4804"</definedName>
    <definedName name="IQ_DISTRIBUTABLE_CASH_HIGH_EST" hidden="1">"c4280"</definedName>
    <definedName name="IQ_DISTRIBUTABLE_CASH_HIGH_EST_CIQ" hidden="1">"c4805"</definedName>
    <definedName name="IQ_DISTRIBUTABLE_CASH_HIGH_GUIDANCE" hidden="1">"c4198"</definedName>
    <definedName name="IQ_DISTRIBUTABLE_CASH_HIGH_GUIDANCE_CIQ" hidden="1">"c4610"</definedName>
    <definedName name="IQ_DISTRIBUTABLE_CASH_LOW_EST" hidden="1">"c4281"</definedName>
    <definedName name="IQ_DISTRIBUTABLE_CASH_LOW_EST_CIQ" hidden="1">"c4806"</definedName>
    <definedName name="IQ_DISTRIBUTABLE_CASH_LOW_GUIDANCE" hidden="1">"c4238"</definedName>
    <definedName name="IQ_DISTRIBUTABLE_CASH_LOW_GUIDANCE_CIQ" hidden="1">"c4650"</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GUIDANCE_CIQ" hidden="1">"c4812"</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HIGH_GUIDANCE_CIQ" hidden="1">"c4611"</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LOW_GUIDANCE_CIQ" hidden="1">"c4651"</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TDDEV_EST" hidden="1">"c4294"</definedName>
    <definedName name="IQ_DISTRIBUTABLE_CASH_STDDEV_EST_CIQ" hidden="1">"c4819"</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EST_CIQ" hidden="1">"c4821"</definedName>
    <definedName name="IQ_DIVIDEND_HIGH_EST" hidden="1">"c4297"</definedName>
    <definedName name="IQ_DIVIDEND_HIGH_EST_CIQ" hidden="1">"c4822"</definedName>
    <definedName name="IQ_DIVIDEND_LOW_EST" hidden="1">"c4298"</definedName>
    <definedName name="IQ_DIVIDEND_LOW_EST_CIQ" hidden="1">"c4823"</definedName>
    <definedName name="IQ_DIVIDEND_MEDIAN_EST" hidden="1">"c4299"</definedName>
    <definedName name="IQ_DIVIDEND_MEDIAN_EST_CIQ" hidden="1">"c4824"</definedName>
    <definedName name="IQ_DIVIDEND_NUM_EST" hidden="1">"c4300"</definedName>
    <definedName name="IQ_DIVIDEND_NUM_EST_CIQ" hidden="1">"c4825"</definedName>
    <definedName name="IQ_DIVIDEND_STDDEV_EST" hidden="1">"c4301"</definedName>
    <definedName name="IQ_DIVIDEND_STDDEV_EST_CIQ" hidden="1">"c4826"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 hidden="1">"c5062"</definedName>
    <definedName name="IQ_DPS_ACT_OR_EST_REUT" hidden="1">"c5464"</definedName>
    <definedName name="IQ_DPS_ACT_OR_EST_THOM" hidden="1">"c5302"</definedName>
    <definedName name="IQ_DPS_EST" hidden="1">"c1674"</definedName>
    <definedName name="IQ_DPS_EST_BOTTOM_UP" hidden="1">"c5493"</definedName>
    <definedName name="IQ_DPS_EST_BOTTOM_UP_REUT" hidden="1">"c5501"</definedName>
    <definedName name="IQ_DPS_EST_CIQ" hidden="1">"c3682"</definedName>
    <definedName name="IQ_DPS_EST_REUT" hidden="1">"c3851"</definedName>
    <definedName name="IQ_DPS_EST_THOM" hidden="1">"c4013"</definedName>
    <definedName name="IQ_DPS_GUIDANCE" hidden="1">"c4302"</definedName>
    <definedName name="IQ_DPS_GUIDANCE_CIQ" hidden="1">"c4827"</definedName>
    <definedName name="IQ_DPS_HIGH_EST" hidden="1">"c1676"</definedName>
    <definedName name="IQ_DPS_HIGH_EST_CIQ" hidden="1">"c3684"</definedName>
    <definedName name="IQ_DPS_HIGH_EST_REUT" hidden="1">"c3853"</definedName>
    <definedName name="IQ_DPS_HIGH_EST_THOM" hidden="1">"c4015"</definedName>
    <definedName name="IQ_DPS_HIGH_GUIDANCE" hidden="1">"c4168"</definedName>
    <definedName name="IQ_DPS_HIGH_GUIDANCE_CIQ" hidden="1">"c4580"</definedName>
    <definedName name="IQ_DPS_LOW_EST" hidden="1">"c1677"</definedName>
    <definedName name="IQ_DPS_LOW_EST_CIQ" hidden="1">"c3685"</definedName>
    <definedName name="IQ_DPS_LOW_EST_REUT" hidden="1">"c3854"</definedName>
    <definedName name="IQ_DPS_LOW_EST_THOM" hidden="1">"c4016"</definedName>
    <definedName name="IQ_DPS_LOW_GUIDANCE" hidden="1">"c4208"</definedName>
    <definedName name="IQ_DPS_LOW_GUIDANCE_CIQ" hidden="1">"c4620"</definedName>
    <definedName name="IQ_DPS_MEDIAN_EST" hidden="1">"c1675"</definedName>
    <definedName name="IQ_DPS_MEDIAN_EST_CIQ" hidden="1">"c3683"</definedName>
    <definedName name="IQ_DPS_MEDIAN_EST_REUT" hidden="1">"c3852"</definedName>
    <definedName name="IQ_DPS_MEDIAN_EST_THOM" hidden="1">"c4014"</definedName>
    <definedName name="IQ_DPS_NUM_EST" hidden="1">"c1678"</definedName>
    <definedName name="IQ_DPS_NUM_EST_CIQ" hidden="1">"c3686"</definedName>
    <definedName name="IQ_DPS_NUM_EST_REUT" hidden="1">"c3855"</definedName>
    <definedName name="IQ_DPS_NUM_EST_THOM" hidden="1">"c4017"</definedName>
    <definedName name="IQ_DPS_STDDEV_EST" hidden="1">"c1679"</definedName>
    <definedName name="IQ_DPS_STDDEV_EST_CIQ" hidden="1">"c3687"</definedName>
    <definedName name="IQ_DPS_STDDEV_EST_REUT" hidden="1">"c3856"</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_FFIEC" hidden="1">"c13032"</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"EBIT_10K"</definedName>
    <definedName name="IQ_EBIT_10Q" hidden="1">"EBIT_10Q"</definedName>
    <definedName name="IQ_EBIT_10Q1" hidden="1">"EBIT_10Q1"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 hidden="1">"c5063"</definedName>
    <definedName name="IQ_EBIT_ACT_OR_EST_REUT" hidden="1">"c5465"</definedName>
    <definedName name="IQ_EBIT_ACT_OR_EST_THOM" hidden="1">"c5303"</definedName>
    <definedName name="IQ_EBIT_EQ_INC" hidden="1">"c3498"</definedName>
    <definedName name="IQ_EBIT_EQ_INC_EXCL_SBC" hidden="1">"c3502"</definedName>
    <definedName name="IQ_EBIT_EST" hidden="1">"c1681"</definedName>
    <definedName name="IQ_EBIT_EST_CIQ" hidden="1">"c4674"</definedName>
    <definedName name="IQ_EBIT_EST_REUT" hidden="1">"c5333"</definedName>
    <definedName name="IQ_EBIT_EST_THOM" hidden="1">"c5105"</definedName>
    <definedName name="IQ_EBIT_EXCL_SBC" hidden="1">"c3082"</definedName>
    <definedName name="IQ_EBIT_GROWTH_1" hidden="1">"IQ_EBIT_GROWTH_1"</definedName>
    <definedName name="IQ_EBIT_GROWTH_2" hidden="1">"IQ_EBIT_GROWTH_2"</definedName>
    <definedName name="IQ_EBIT_GUIDANCE" hidden="1">"c4303"</definedName>
    <definedName name="IQ_EBIT_GUIDANCE_CIQ" hidden="1">"c4828"</definedName>
    <definedName name="IQ_EBIT_GW_ACT_OR_EST" hidden="1">"c4306"</definedName>
    <definedName name="IQ_EBIT_GW_ACT_OR_EST_CIQ" hidden="1">"c4831"</definedName>
    <definedName name="IQ_EBIT_GW_EST" hidden="1">"c4305"</definedName>
    <definedName name="IQ_EBIT_GW_EST_CIQ" hidden="1">"c4830"</definedName>
    <definedName name="IQ_EBIT_GW_GUIDANCE" hidden="1">"c4307"</definedName>
    <definedName name="IQ_EBIT_GW_GUIDANCE_CIQ" hidden="1">"c4832"</definedName>
    <definedName name="IQ_EBIT_GW_HIGH_EST" hidden="1">"c4308"</definedName>
    <definedName name="IQ_EBIT_GW_HIGH_EST_CIQ" hidden="1">"c4833"</definedName>
    <definedName name="IQ_EBIT_GW_HIGH_GUIDANCE" hidden="1">"c4171"</definedName>
    <definedName name="IQ_EBIT_GW_HIGH_GUIDANCE_CIQ" hidden="1">"c4583"</definedName>
    <definedName name="IQ_EBIT_GW_LOW_EST" hidden="1">"c4309"</definedName>
    <definedName name="IQ_EBIT_GW_LOW_EST_CIQ" hidden="1">"c4834"</definedName>
    <definedName name="IQ_EBIT_GW_LOW_GUIDANCE" hidden="1">"c4211"</definedName>
    <definedName name="IQ_EBIT_GW_LOW_GUIDANCE_CIQ" hidden="1">"c4623"</definedName>
    <definedName name="IQ_EBIT_GW_MEDIAN_EST" hidden="1">"c4310"</definedName>
    <definedName name="IQ_EBIT_GW_MEDIAN_EST_CIQ" hidden="1">"c4835"</definedName>
    <definedName name="IQ_EBIT_GW_NUM_EST" hidden="1">"c4311"</definedName>
    <definedName name="IQ_EBIT_GW_NUM_EST_CIQ" hidden="1">"c4836"</definedName>
    <definedName name="IQ_EBIT_GW_STDDEV_EST" hidden="1">"c4312"</definedName>
    <definedName name="IQ_EBIT_GW_STDDEV_EST_CIQ" hidden="1">"c4837"</definedName>
    <definedName name="IQ_EBIT_HIGH_EST" hidden="1">"c1683"</definedName>
    <definedName name="IQ_EBIT_HIGH_EST_CIQ" hidden="1">"c4676"</definedName>
    <definedName name="IQ_EBIT_HIGH_EST_REUT" hidden="1">"c5335"</definedName>
    <definedName name="IQ_EBIT_HIGH_EST_THOM" hidden="1">"c5107"</definedName>
    <definedName name="IQ_EBIT_HIGH_GUIDANCE" hidden="1">"c4172"</definedName>
    <definedName name="IQ_EBIT_HIGH_GUIDANCE_CIQ" hidden="1">"c4584"</definedName>
    <definedName name="IQ_EBIT_INT" hidden="1">"c360"</definedName>
    <definedName name="IQ_EBIT_LOW_EST" hidden="1">"c1684"</definedName>
    <definedName name="IQ_EBIT_LOW_EST_CIQ" hidden="1">"c4677"</definedName>
    <definedName name="IQ_EBIT_LOW_EST_REUT" hidden="1">"c5336"</definedName>
    <definedName name="IQ_EBIT_LOW_EST_THOM" hidden="1">"c5108"</definedName>
    <definedName name="IQ_EBIT_LOW_GUIDANCE" hidden="1">"c4212"</definedName>
    <definedName name="IQ_EBIT_LOW_GUIDANCE_CIQ" hidden="1">"c4624"</definedName>
    <definedName name="IQ_EBIT_MARGIN" hidden="1">"c359"</definedName>
    <definedName name="IQ_EBIT_MEDIAN_EST" hidden="1">"c1682"</definedName>
    <definedName name="IQ_EBIT_MEDIAN_EST_CIQ" hidden="1">"c4675"</definedName>
    <definedName name="IQ_EBIT_MEDIAN_EST_REUT" hidden="1">"c5334"</definedName>
    <definedName name="IQ_EBIT_MEDIAN_EST_THOM" hidden="1">"c5106"</definedName>
    <definedName name="IQ_EBIT_NUM_EST" hidden="1">"c1685"</definedName>
    <definedName name="IQ_EBIT_NUM_EST_CIQ" hidden="1">"c4678"</definedName>
    <definedName name="IQ_EBIT_NUM_EST_REUT" hidden="1">"c5337"</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EST" hidden="1">"c4315"</definedName>
    <definedName name="IQ_EBIT_SBC_EST_CIQ" hidden="1">"c4840"</definedName>
    <definedName name="IQ_EBIT_SBC_GUIDANCE" hidden="1">"c4317"</definedName>
    <definedName name="IQ_EBIT_SBC_GUIDANCE_CIQ" hidden="1">"c4842"</definedName>
    <definedName name="IQ_EBIT_SBC_GW_ACT_OR_EST" hidden="1">"c4320"</definedName>
    <definedName name="IQ_EBIT_SBC_GW_ACT_OR_EST_CIQ" hidden="1">"c4845"</definedName>
    <definedName name="IQ_EBIT_SBC_GW_EST" hidden="1">"c4319"</definedName>
    <definedName name="IQ_EBIT_SBC_GW_EST_CIQ" hidden="1">"c4844"</definedName>
    <definedName name="IQ_EBIT_SBC_GW_GUIDANCE" hidden="1">"c4321"</definedName>
    <definedName name="IQ_EBIT_SBC_GW_GUIDANCE_CIQ" hidden="1">"c4846"</definedName>
    <definedName name="IQ_EBIT_SBC_GW_HIGH_EST" hidden="1">"c4322"</definedName>
    <definedName name="IQ_EBIT_SBC_GW_HIGH_EST_CIQ" hidden="1">"c4847"</definedName>
    <definedName name="IQ_EBIT_SBC_GW_HIGH_GUIDANCE" hidden="1">"c4193"</definedName>
    <definedName name="IQ_EBIT_SBC_GW_HIGH_GUIDANCE_CIQ" hidden="1">"c4605"</definedName>
    <definedName name="IQ_EBIT_SBC_GW_LOW_EST" hidden="1">"c4323"</definedName>
    <definedName name="IQ_EBIT_SBC_GW_LOW_EST_CIQ" hidden="1">"c4848"</definedName>
    <definedName name="IQ_EBIT_SBC_GW_LOW_GUIDANCE" hidden="1">"c4233"</definedName>
    <definedName name="IQ_EBIT_SBC_GW_LOW_GUIDANCE_CIQ" hidden="1">"c4645"</definedName>
    <definedName name="IQ_EBIT_SBC_GW_MEDIAN_EST" hidden="1">"c4324"</definedName>
    <definedName name="IQ_EBIT_SBC_GW_MEDIAN_EST_CIQ" hidden="1">"c4849"</definedName>
    <definedName name="IQ_EBIT_SBC_GW_NUM_EST" hidden="1">"c4325"</definedName>
    <definedName name="IQ_EBIT_SBC_GW_NUM_EST_CIQ" hidden="1">"c4850"</definedName>
    <definedName name="IQ_EBIT_SBC_GW_STDDEV_EST" hidden="1">"c4326"</definedName>
    <definedName name="IQ_EBIT_SBC_GW_STDDEV_EST_CIQ" hidden="1">"c4851"</definedName>
    <definedName name="IQ_EBIT_SBC_HIGH_EST" hidden="1">"c4328"</definedName>
    <definedName name="IQ_EBIT_SBC_HIGH_EST_CIQ" hidden="1">"c4853"</definedName>
    <definedName name="IQ_EBIT_SBC_HIGH_GUIDANCE" hidden="1">"c4192"</definedName>
    <definedName name="IQ_EBIT_SBC_HIGH_GUIDANCE_CIQ" hidden="1">"c4604"</definedName>
    <definedName name="IQ_EBIT_SBC_LOW_EST" hidden="1">"c4329"</definedName>
    <definedName name="IQ_EBIT_SBC_LOW_EST_CIQ" hidden="1">"c4854"</definedName>
    <definedName name="IQ_EBIT_SBC_LOW_GUIDANCE" hidden="1">"c4232"</definedName>
    <definedName name="IQ_EBIT_SBC_LOW_GUIDANCE_CIQ" hidden="1">"c4644"</definedName>
    <definedName name="IQ_EBIT_SBC_MEDIAN_EST" hidden="1">"c4330"</definedName>
    <definedName name="IQ_EBIT_SBC_MEDIAN_EST_CIQ" hidden="1">"c4855"</definedName>
    <definedName name="IQ_EBIT_SBC_NUM_EST" hidden="1">"c4331"</definedName>
    <definedName name="IQ_EBIT_SBC_NUM_EST_CIQ" hidden="1">"c4856"</definedName>
    <definedName name="IQ_EBIT_SBC_STDDEV_EST" hidden="1">"c4332"</definedName>
    <definedName name="IQ_EBIT_SBC_STDDEV_EST_CIQ" hidden="1">"c4857"</definedName>
    <definedName name="IQ_EBIT_STDDEV_EST" hidden="1">"c1686"</definedName>
    <definedName name="IQ_EBIT_STDDEV_EST_CIQ" hidden="1">"c4679"</definedName>
    <definedName name="IQ_EBIT_STDDEV_EST_REUT" hidden="1">"c5338"</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"EBITDA_10K"</definedName>
    <definedName name="IQ_EBITDA_10Q" hidden="1">"EBITDA_10Q"</definedName>
    <definedName name="IQ_EBITDA_10Q1" hidden="1">"EBITDA_10Q1"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REUT" hidden="1">"c5462"</definedName>
    <definedName name="IQ_EBITDA_ACT_OR_EST_THOM" hidden="1">"c5300"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ST_THOM" hidden="1">"c3658"</definedName>
    <definedName name="IQ_EBITDA_EXCL_SBC" hidden="1">"c3081"</definedName>
    <definedName name="IQ_EBITDA_GROWTH_1" hidden="1">"IQ_EBITDA_GROWTH_1"</definedName>
    <definedName name="IQ_EBITDA_GROWTH_2" hidden="1">"IQ_EBITDA_GROWTH_2"</definedName>
    <definedName name="IQ_EBITDA_GUIDANCE" hidden="1">"c4334"</definedName>
    <definedName name="IQ_EBITDA_GUIDANCE_CIQ" hidden="1">"c4859"</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IGH_GUIDANCE" hidden="1">"c4170"</definedName>
    <definedName name="IQ_EBITDA_HIGH_GUIDANCE_CIQ" hidden="1">"c4582"</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LOW_GUIDANCE" hidden="1">"c4210"</definedName>
    <definedName name="IQ_EBITDA_LOW_GUIDANCE_CIQ" hidden="1">"c4622"</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O_EST" hidden="1">"c267"</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BC_EST" hidden="1">"c4336"</definedName>
    <definedName name="IQ_EBITDA_SBC_EST_CIQ" hidden="1">"c4861"</definedName>
    <definedName name="IQ_EBITDA_SBC_GUIDANCE" hidden="1">"c4338"</definedName>
    <definedName name="IQ_EBITDA_SBC_GUIDANCE_CIQ" hidden="1">"c4863"</definedName>
    <definedName name="IQ_EBITDA_SBC_HIGH_EST" hidden="1">"c4339"</definedName>
    <definedName name="IQ_EBITDA_SBC_HIGH_EST_CIQ" hidden="1">"c4864"</definedName>
    <definedName name="IQ_EBITDA_SBC_HIGH_GUIDANCE" hidden="1">"c4194"</definedName>
    <definedName name="IQ_EBITDA_SBC_HIGH_GUIDANCE_CIQ" hidden="1">"c4606"</definedName>
    <definedName name="IQ_EBITDA_SBC_LOW_EST" hidden="1">"c4340"</definedName>
    <definedName name="IQ_EBITDA_SBC_LOW_EST_CIQ" hidden="1">"c4865"</definedName>
    <definedName name="IQ_EBITDA_SBC_LOW_GUIDANCE" hidden="1">"c4234"</definedName>
    <definedName name="IQ_EBITDA_SBC_LOW_GUIDANCE_CIQ" hidden="1">"c4646"</definedName>
    <definedName name="IQ_EBITDA_SBC_MEDIAN_EST" hidden="1">"c4341"</definedName>
    <definedName name="IQ_EBITDA_SBC_MEDIAN_EST_CIQ" hidden="1">"c4866"</definedName>
    <definedName name="IQ_EBITDA_SBC_NUM_EST" hidden="1">"c4342"</definedName>
    <definedName name="IQ_EBITDA_SBC_NUM_EST_CIQ" hidden="1">"c4867"</definedName>
    <definedName name="IQ_EBITDA_SBC_STDDEV_EST" hidden="1">"c4343"</definedName>
    <definedName name="IQ_EBITDA_SBC_STDDEV_EST_CIQ" hidden="1">"c4868"</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GUIDANCE_CIQ" hidden="1">"c4870"</definedName>
    <definedName name="IQ_EBT_GAAP_HIGH_GUIDANCE" hidden="1">"c4174"</definedName>
    <definedName name="IQ_EBT_GAAP_HIGH_GUIDANCE_CIQ" hidden="1">"c4586"</definedName>
    <definedName name="IQ_EBT_GAAP_LOW_GUIDANCE" hidden="1">"c4214"</definedName>
    <definedName name="IQ_EBT_GAAP_LOW_GUIDANCE_CIQ" hidden="1">"c4626"</definedName>
    <definedName name="IQ_EBT_GUIDANCE" hidden="1">"c4346"</definedName>
    <definedName name="IQ_EBT_GUIDANCE_CIQ" hidden="1">"c4871"</definedName>
    <definedName name="IQ_EBT_GW_GUIDANCE" hidden="1">"c4347"</definedName>
    <definedName name="IQ_EBT_GW_GUIDANCE_CIQ" hidden="1">"c4872"</definedName>
    <definedName name="IQ_EBT_GW_HIGH_GUIDANCE" hidden="1">"c4175"</definedName>
    <definedName name="IQ_EBT_GW_HIGH_GUIDANCE_CIQ" hidden="1">"c4587"</definedName>
    <definedName name="IQ_EBT_GW_LOW_GUIDANCE" hidden="1">"c4215"</definedName>
    <definedName name="IQ_EBT_GW_LOW_GUIDANCE_CIQ" hidden="1">"c4627"</definedName>
    <definedName name="IQ_EBT_HIGH_GUIDANCE" hidden="1">"c4173"</definedName>
    <definedName name="IQ_EBT_HIGH_GUIDANCE_CIQ" hidden="1">"c4585"</definedName>
    <definedName name="IQ_EBT_INCL_MARGIN" hidden="1">"c387"</definedName>
    <definedName name="IQ_EBT_INS" hidden="1">"c388"</definedName>
    <definedName name="IQ_EBT_LOW_GUIDANCE" hidden="1">"c4213"</definedName>
    <definedName name="IQ_EBT_LOW_GUIDANCE_CIQ" hidden="1">"c4625"</definedName>
    <definedName name="IQ_EBT_RE" hidden="1">"c6215"</definedName>
    <definedName name="IQ_EBT_REIT" hidden="1">"c389"</definedName>
    <definedName name="IQ_EBT_SBC_ACT_OR_EST" hidden="1">"c4350"</definedName>
    <definedName name="IQ_EBT_SBC_ACT_OR_EST_CIQ" hidden="1">"c4875"</definedName>
    <definedName name="IQ_EBT_SBC_EST" hidden="1">"c4349"</definedName>
    <definedName name="IQ_EBT_SBC_EST_CIQ" hidden="1">"c4874"</definedName>
    <definedName name="IQ_EBT_SBC_GUIDANCE" hidden="1">"c4351"</definedName>
    <definedName name="IQ_EBT_SBC_GUIDANCE_CIQ" hidden="1">"c4876"</definedName>
    <definedName name="IQ_EBT_SBC_GW_ACT_OR_EST" hidden="1">"c4354"</definedName>
    <definedName name="IQ_EBT_SBC_GW_ACT_OR_EST_CIQ" hidden="1">"c4879"</definedName>
    <definedName name="IQ_EBT_SBC_GW_EST" hidden="1">"c4353"</definedName>
    <definedName name="IQ_EBT_SBC_GW_EST_CIQ" hidden="1">"c4878"</definedName>
    <definedName name="IQ_EBT_SBC_GW_GUIDANCE" hidden="1">"c4355"</definedName>
    <definedName name="IQ_EBT_SBC_GW_GUIDANCE_CIQ" hidden="1">"c4880"</definedName>
    <definedName name="IQ_EBT_SBC_GW_HIGH_EST" hidden="1">"c4356"</definedName>
    <definedName name="IQ_EBT_SBC_GW_HIGH_EST_CIQ" hidden="1">"c4881"</definedName>
    <definedName name="IQ_EBT_SBC_GW_HIGH_GUIDANCE" hidden="1">"c4191"</definedName>
    <definedName name="IQ_EBT_SBC_GW_HIGH_GUIDANCE_CIQ" hidden="1">"c4603"</definedName>
    <definedName name="IQ_EBT_SBC_GW_LOW_EST" hidden="1">"c4357"</definedName>
    <definedName name="IQ_EBT_SBC_GW_LOW_EST_CIQ" hidden="1">"c4882"</definedName>
    <definedName name="IQ_EBT_SBC_GW_LOW_GUIDANCE" hidden="1">"c4231"</definedName>
    <definedName name="IQ_EBT_SBC_GW_LOW_GUIDANCE_CIQ" hidden="1">"c4643"</definedName>
    <definedName name="IQ_EBT_SBC_GW_MEDIAN_EST" hidden="1">"c4358"</definedName>
    <definedName name="IQ_EBT_SBC_GW_MEDIAN_EST_CIQ" hidden="1">"c4883"</definedName>
    <definedName name="IQ_EBT_SBC_GW_NUM_EST" hidden="1">"c4359"</definedName>
    <definedName name="IQ_EBT_SBC_GW_NUM_EST_CIQ" hidden="1">"c4884"</definedName>
    <definedName name="IQ_EBT_SBC_GW_STDDEV_EST" hidden="1">"c4360"</definedName>
    <definedName name="IQ_EBT_SBC_GW_STDDEV_EST_CIQ" hidden="1">"c4885"</definedName>
    <definedName name="IQ_EBT_SBC_HIGH_EST" hidden="1">"c4362"</definedName>
    <definedName name="IQ_EBT_SBC_HIGH_EST_CIQ" hidden="1">"c4887"</definedName>
    <definedName name="IQ_EBT_SBC_HIGH_GUIDANCE" hidden="1">"c4190"</definedName>
    <definedName name="IQ_EBT_SBC_HIGH_GUIDANCE_CIQ" hidden="1">"c4602"</definedName>
    <definedName name="IQ_EBT_SBC_LOW_EST" hidden="1">"c4363"</definedName>
    <definedName name="IQ_EBT_SBC_LOW_EST_CIQ" hidden="1">"c4888"</definedName>
    <definedName name="IQ_EBT_SBC_LOW_GUIDANCE" hidden="1">"c4230"</definedName>
    <definedName name="IQ_EBT_SBC_LOW_GUIDANCE_CIQ" hidden="1">"c4642"</definedName>
    <definedName name="IQ_EBT_SBC_MEDIAN_EST" hidden="1">"c4364"</definedName>
    <definedName name="IQ_EBT_SBC_MEDIAN_EST_CIQ" hidden="1">"c4889"</definedName>
    <definedName name="IQ_EBT_SBC_NUM_EST" hidden="1">"c4365"</definedName>
    <definedName name="IQ_EBT_SBC_NUM_EST_CIQ" hidden="1">"c4890"</definedName>
    <definedName name="IQ_EBT_SBC_STDDEV_EST" hidden="1">"c4366"</definedName>
    <definedName name="IQ_EBT_SBC_STDDEV_EST_CIQ" hidden="1">"c4891"</definedName>
    <definedName name="IQ_EBT_SUBTOTAL_AP" hidden="1">"c8982"</definedName>
    <definedName name="IQ_EBT_UTI" hidden="1">"c390"</definedName>
    <definedName name="IQ_ECO_METRIC_6810" hidden="1">"c6810"</definedName>
    <definedName name="IQ_ECO_METRIC_6811" hidden="1">"c6811"</definedName>
    <definedName name="IQ_ECO_METRIC_6812" hidden="1">"c6812"</definedName>
    <definedName name="IQ_ECO_METRIC_6813" hidden="1">"c6813"</definedName>
    <definedName name="IQ_ECO_METRIC_6814" hidden="1">"c6814"</definedName>
    <definedName name="IQ_ECO_METRIC_6815" hidden="1">"c6815"</definedName>
    <definedName name="IQ_ECO_METRIC_6816" hidden="1">"c6816"</definedName>
    <definedName name="IQ_ECO_METRIC_6817" hidden="1">"c6817"</definedName>
    <definedName name="IQ_ECO_METRIC_6818" hidden="1">"c6818"</definedName>
    <definedName name="IQ_ECO_METRIC_6819" hidden="1">"c6819"</definedName>
    <definedName name="IQ_ECO_METRIC_6820" hidden="1">"c6820"</definedName>
    <definedName name="IQ_ECO_METRIC_6821" hidden="1">"c6821"</definedName>
    <definedName name="IQ_ECO_METRIC_6822" hidden="1">"c6822"</definedName>
    <definedName name="IQ_ECO_METRIC_6823" hidden="1">"c6823"</definedName>
    <definedName name="IQ_ECO_METRIC_6824" hidden="1">"c6824"</definedName>
    <definedName name="IQ_ECO_METRIC_6825" hidden="1">"c6825"</definedName>
    <definedName name="IQ_ECO_METRIC_6825_UNUSED" hidden="1">"c6825"</definedName>
    <definedName name="IQ_ECO_METRIC_6825_UNUSED_UNUSED_UNUSED" hidden="1">"c6825"</definedName>
    <definedName name="IQ_ECO_METRIC_6826" hidden="1">"c6826"</definedName>
    <definedName name="IQ_ECO_METRIC_6827" hidden="1">"c6827"</definedName>
    <definedName name="IQ_ECO_METRIC_6828" hidden="1">"c6828"</definedName>
    <definedName name="IQ_ECO_METRIC_6829" hidden="1">"c6829"</definedName>
    <definedName name="IQ_ECO_METRIC_6830" hidden="1">"c6830"</definedName>
    <definedName name="IQ_ECO_METRIC_6831" hidden="1">"c6831"</definedName>
    <definedName name="IQ_ECO_METRIC_6832" hidden="1">"c6832"</definedName>
    <definedName name="IQ_ECO_METRIC_6833" hidden="1">"c6833"</definedName>
    <definedName name="IQ_ECO_METRIC_6834" hidden="1">"c6834"</definedName>
    <definedName name="IQ_ECO_METRIC_6835" hidden="1">"c6835"</definedName>
    <definedName name="IQ_ECO_METRIC_6836" hidden="1">"c6836"</definedName>
    <definedName name="IQ_ECO_METRIC_6837" hidden="1">"c6837"</definedName>
    <definedName name="IQ_ECO_METRIC_6838" hidden="1">"c6838"</definedName>
    <definedName name="IQ_ECO_METRIC_6839" hidden="1">"c6839"</definedName>
    <definedName name="IQ_ECO_METRIC_6839_UNUSED" hidden="1">"c6839"</definedName>
    <definedName name="IQ_ECO_METRIC_6839_UNUSED_UNUSED_UNUSED" hidden="1">"c6839"</definedName>
    <definedName name="IQ_ECO_METRIC_6840" hidden="1">"c6840"</definedName>
    <definedName name="IQ_ECO_METRIC_6841" hidden="1">"c6841"</definedName>
    <definedName name="IQ_ECO_METRIC_6842" hidden="1">"c6842"</definedName>
    <definedName name="IQ_ECO_METRIC_6843" hidden="1">"c6843"</definedName>
    <definedName name="IQ_ECO_METRIC_6844" hidden="1">"c6844"</definedName>
    <definedName name="IQ_ECO_METRIC_6845" hidden="1">"c6845"</definedName>
    <definedName name="IQ_ECO_METRIC_6846" hidden="1">"c6846"</definedName>
    <definedName name="IQ_ECO_METRIC_6847" hidden="1">"c6847"</definedName>
    <definedName name="IQ_ECO_METRIC_6848" hidden="1">"c6848"</definedName>
    <definedName name="IQ_ECO_METRIC_6849" hidden="1">"c6849"</definedName>
    <definedName name="IQ_ECO_METRIC_6850" hidden="1">"c6850"</definedName>
    <definedName name="IQ_ECO_METRIC_6851" hidden="1">"c6851"</definedName>
    <definedName name="IQ_ECO_METRIC_6852" hidden="1">"c6852"</definedName>
    <definedName name="IQ_ECO_METRIC_6853" hidden="1">"c6853"</definedName>
    <definedName name="IQ_ECO_METRIC_6854" hidden="1">"c6854"</definedName>
    <definedName name="IQ_ECO_METRIC_6855" hidden="1">"c6855"</definedName>
    <definedName name="IQ_ECO_METRIC_6856" hidden="1">"c6856"</definedName>
    <definedName name="IQ_ECO_METRIC_6857" hidden="1">"c6857"</definedName>
    <definedName name="IQ_ECO_METRIC_6858" hidden="1">"c6858"</definedName>
    <definedName name="IQ_ECO_METRIC_6859" hidden="1">"c6859"</definedName>
    <definedName name="IQ_ECO_METRIC_6860" hidden="1">"c6860"</definedName>
    <definedName name="IQ_ECO_METRIC_6861" hidden="1">"c6861"</definedName>
    <definedName name="IQ_ECO_METRIC_6862" hidden="1">"c6862"</definedName>
    <definedName name="IQ_ECO_METRIC_6863" hidden="1">"c6863"</definedName>
    <definedName name="IQ_ECO_METRIC_6864" hidden="1">"c6864"</definedName>
    <definedName name="IQ_ECO_METRIC_6865" hidden="1">"c6865"</definedName>
    <definedName name="IQ_ECO_METRIC_6866" hidden="1">"c6866"</definedName>
    <definedName name="IQ_ECO_METRIC_6867" hidden="1">"c6867"</definedName>
    <definedName name="IQ_ECO_METRIC_6868" hidden="1">"c6868"</definedName>
    <definedName name="IQ_ECO_METRIC_6869" hidden="1">"c6869"</definedName>
    <definedName name="IQ_ECO_METRIC_6870" hidden="1">"c6870"</definedName>
    <definedName name="IQ_ECO_METRIC_6871" hidden="1">"c6871"</definedName>
    <definedName name="IQ_ECO_METRIC_6872" hidden="1">"c6872"</definedName>
    <definedName name="IQ_ECO_METRIC_6873" hidden="1">"c6873"</definedName>
    <definedName name="IQ_ECO_METRIC_6874" hidden="1">"c6874"</definedName>
    <definedName name="IQ_ECO_METRIC_6875" hidden="1">"c6875"</definedName>
    <definedName name="IQ_ECO_METRIC_6876" hidden="1">"c6876"</definedName>
    <definedName name="IQ_ECO_METRIC_6877" hidden="1">"c6877"</definedName>
    <definedName name="IQ_ECO_METRIC_6878" hidden="1">"c6878"</definedName>
    <definedName name="IQ_ECO_METRIC_6879" hidden="1">"c6879"</definedName>
    <definedName name="IQ_ECO_METRIC_6880" hidden="1">"c6880"</definedName>
    <definedName name="IQ_ECO_METRIC_6881" hidden="1">"c6881"</definedName>
    <definedName name="IQ_ECO_METRIC_6882" hidden="1">"c6882"</definedName>
    <definedName name="IQ_ECO_METRIC_6883" hidden="1">"c6883"</definedName>
    <definedName name="IQ_ECO_METRIC_6884" hidden="1">"c6884"</definedName>
    <definedName name="IQ_ECO_METRIC_6885" hidden="1">"c6885"</definedName>
    <definedName name="IQ_ECO_METRIC_6886" hidden="1">"c6886"</definedName>
    <definedName name="IQ_ECO_METRIC_6887" hidden="1">"c6887"</definedName>
    <definedName name="IQ_ECO_METRIC_6888" hidden="1">"c6888"</definedName>
    <definedName name="IQ_ECO_METRIC_6889" hidden="1">"c6889"</definedName>
    <definedName name="IQ_ECO_METRIC_6890" hidden="1">"c6890"</definedName>
    <definedName name="IQ_ECO_METRIC_6891" hidden="1">"c6891"</definedName>
    <definedName name="IQ_ECO_METRIC_6892" hidden="1">"c6892"</definedName>
    <definedName name="IQ_ECO_METRIC_6893" hidden="1">"c6893"</definedName>
    <definedName name="IQ_ECO_METRIC_6894" hidden="1">"c6894"</definedName>
    <definedName name="IQ_ECO_METRIC_6895" hidden="1">"c6895"</definedName>
    <definedName name="IQ_ECO_METRIC_6896" hidden="1">"c6896"</definedName>
    <definedName name="IQ_ECO_METRIC_6896_UNUSED" hidden="1">"c6896"</definedName>
    <definedName name="IQ_ECO_METRIC_6896_UNUSED_UNUSED_UNUSED" hidden="1">"c6896"</definedName>
    <definedName name="IQ_ECO_METRIC_6897" hidden="1">"c6897"</definedName>
    <definedName name="IQ_ECO_METRIC_6897_UNUSED" hidden="1">"c6897"</definedName>
    <definedName name="IQ_ECO_METRIC_6897_UNUSED_UNUSED_UNUSED" hidden="1">"c6897"</definedName>
    <definedName name="IQ_ECO_METRIC_6899" hidden="1">"c6899"</definedName>
    <definedName name="IQ_ECO_METRIC_6900" hidden="1">"c6900"</definedName>
    <definedName name="IQ_ECO_METRIC_6901" hidden="1">"c6901"</definedName>
    <definedName name="IQ_ECO_METRIC_6902" hidden="1">"c6902"</definedName>
    <definedName name="IQ_ECO_METRIC_6903" hidden="1">"c6903"</definedName>
    <definedName name="IQ_ECO_METRIC_6904" hidden="1">"c6904"</definedName>
    <definedName name="IQ_ECO_METRIC_6905" hidden="1">"c6905"</definedName>
    <definedName name="IQ_ECO_METRIC_6906" hidden="1">"c6906"</definedName>
    <definedName name="IQ_ECO_METRIC_6907" hidden="1">"c6907"</definedName>
    <definedName name="IQ_ECO_METRIC_6908" hidden="1">"c6908"</definedName>
    <definedName name="IQ_ECO_METRIC_6909" hidden="1">"c6909"</definedName>
    <definedName name="IQ_ECO_METRIC_6910" hidden="1">"c6910"</definedName>
    <definedName name="IQ_ECO_METRIC_6911" hidden="1">"c6911"</definedName>
    <definedName name="IQ_ECO_METRIC_6912" hidden="1">"c6912"</definedName>
    <definedName name="IQ_ECO_METRIC_6913" hidden="1">"c6913"</definedName>
    <definedName name="IQ_ECO_METRIC_6914" hidden="1">"c6914"</definedName>
    <definedName name="IQ_ECO_METRIC_6915" hidden="1">"c6915"</definedName>
    <definedName name="IQ_ECO_METRIC_6916" hidden="1">"c6916"</definedName>
    <definedName name="IQ_ECO_METRIC_6917" hidden="1">"c6917"</definedName>
    <definedName name="IQ_ECO_METRIC_6918" hidden="1">"c6918"</definedName>
    <definedName name="IQ_ECO_METRIC_6919" hidden="1">"c6919"</definedName>
    <definedName name="IQ_ECO_METRIC_6920" hidden="1">"c6920"</definedName>
    <definedName name="IQ_ECO_METRIC_6921" hidden="1">"c6921"</definedName>
    <definedName name="IQ_ECO_METRIC_6922" hidden="1">"c6922"</definedName>
    <definedName name="IQ_ECO_METRIC_6923" hidden="1">"c6923"</definedName>
    <definedName name="IQ_ECO_METRIC_6924" hidden="1">"c6924"</definedName>
    <definedName name="IQ_ECO_METRIC_6925" hidden="1">"c6925"</definedName>
    <definedName name="IQ_ECO_METRIC_6926" hidden="1">"c6926"</definedName>
    <definedName name="IQ_ECO_METRIC_6927" hidden="1">"c6927"</definedName>
    <definedName name="IQ_ECO_METRIC_6928" hidden="1">"c6928"</definedName>
    <definedName name="IQ_ECO_METRIC_6929" hidden="1">"c6929"</definedName>
    <definedName name="IQ_ECO_METRIC_6930" hidden="1">"c6930"</definedName>
    <definedName name="IQ_ECO_METRIC_6931" hidden="1">"c6931"</definedName>
    <definedName name="IQ_ECO_METRIC_6932" hidden="1">"c6932"</definedName>
    <definedName name="IQ_ECO_METRIC_6933" hidden="1">"c6933"</definedName>
    <definedName name="IQ_ECO_METRIC_6934" hidden="1">"c6934"</definedName>
    <definedName name="IQ_ECO_METRIC_6935" hidden="1">"c6935"</definedName>
    <definedName name="IQ_ECO_METRIC_6936" hidden="1">"c6936"</definedName>
    <definedName name="IQ_ECO_METRIC_6937" hidden="1">"c6937"</definedName>
    <definedName name="IQ_ECO_METRIC_6938" hidden="1">"c6938"</definedName>
    <definedName name="IQ_ECO_METRIC_6939" hidden="1">"c6939"</definedName>
    <definedName name="IQ_ECO_METRIC_6940" hidden="1">"c6940"</definedName>
    <definedName name="IQ_ECO_METRIC_6941" hidden="1">"c6941"</definedName>
    <definedName name="IQ_ECO_METRIC_6942" hidden="1">"c6942"</definedName>
    <definedName name="IQ_ECO_METRIC_6943" hidden="1">"c6943"</definedName>
    <definedName name="IQ_ECO_METRIC_6944" hidden="1">"c6944"</definedName>
    <definedName name="IQ_ECO_METRIC_6945" hidden="1">"c6945"</definedName>
    <definedName name="IQ_ECO_METRIC_6946" hidden="1">"c6946"</definedName>
    <definedName name="IQ_ECO_METRIC_6947" hidden="1">"c6947"</definedName>
    <definedName name="IQ_ECO_METRIC_6948" hidden="1">"c6948"</definedName>
    <definedName name="IQ_ECO_METRIC_6949" hidden="1">"c6949"</definedName>
    <definedName name="IQ_ECO_METRIC_6950" hidden="1">"c6950"</definedName>
    <definedName name="IQ_ECO_METRIC_6951" hidden="1">"c6951"</definedName>
    <definedName name="IQ_ECO_METRIC_6952" hidden="1">"c6952"</definedName>
    <definedName name="IQ_ECO_METRIC_6953" hidden="1">"c6953"</definedName>
    <definedName name="IQ_ECO_METRIC_6954" hidden="1">"c6954"</definedName>
    <definedName name="IQ_ECO_METRIC_6955" hidden="1">"c6955"</definedName>
    <definedName name="IQ_ECO_METRIC_6956" hidden="1">"c6956"</definedName>
    <definedName name="IQ_ECO_METRIC_6957" hidden="1">"c6957"</definedName>
    <definedName name="IQ_ECO_METRIC_6958" hidden="1">"c6958"</definedName>
    <definedName name="IQ_ECO_METRIC_6959" hidden="1">"c6959"</definedName>
    <definedName name="IQ_ECO_METRIC_6960" hidden="1">"c6960"</definedName>
    <definedName name="IQ_ECO_METRIC_6962" hidden="1">"c6962"</definedName>
    <definedName name="IQ_ECO_METRIC_6963" hidden="1">"c6963"</definedName>
    <definedName name="IQ_ECO_METRIC_6964" hidden="1">"c6964"</definedName>
    <definedName name="IQ_ECO_METRIC_6965" hidden="1">"c6965"</definedName>
    <definedName name="IQ_ECO_METRIC_6966" hidden="1">"c6966"</definedName>
    <definedName name="IQ_ECO_METRIC_6967" hidden="1">"c6967"</definedName>
    <definedName name="IQ_ECO_METRIC_6968" hidden="1">"c6968"</definedName>
    <definedName name="IQ_ECO_METRIC_6969" hidden="1">"c6969"</definedName>
    <definedName name="IQ_ECO_METRIC_6970" hidden="1">"c6970"</definedName>
    <definedName name="IQ_ECO_METRIC_6971" hidden="1">"c6971"</definedName>
    <definedName name="IQ_ECO_METRIC_6972" hidden="1">"c6972"</definedName>
    <definedName name="IQ_ECO_METRIC_6973" hidden="1">"c6973"</definedName>
    <definedName name="IQ_ECO_METRIC_6974" hidden="1">"c6974"</definedName>
    <definedName name="IQ_ECO_METRIC_6975" hidden="1">"c6975"</definedName>
    <definedName name="IQ_ECO_METRIC_6976" hidden="1">"c6976"</definedName>
    <definedName name="IQ_ECO_METRIC_6977" hidden="1">"c6977"</definedName>
    <definedName name="IQ_ECO_METRIC_6978" hidden="1">"c6978"</definedName>
    <definedName name="IQ_ECO_METRIC_6979" hidden="1">"c6979"</definedName>
    <definedName name="IQ_ECO_METRIC_6980" hidden="1">"c6980"</definedName>
    <definedName name="IQ_ECO_METRIC_6981" hidden="1">"c6981"</definedName>
    <definedName name="IQ_ECO_METRIC_6982" hidden="1">"c6982"</definedName>
    <definedName name="IQ_ECO_METRIC_6983" hidden="1">"c6983"</definedName>
    <definedName name="IQ_ECO_METRIC_6984" hidden="1">"c6984"</definedName>
    <definedName name="IQ_ECO_METRIC_6985" hidden="1">"c6985"</definedName>
    <definedName name="IQ_ECO_METRIC_6986" hidden="1">"c6986"</definedName>
    <definedName name="IQ_ECO_METRIC_6987" hidden="1">"c6987"</definedName>
    <definedName name="IQ_ECO_METRIC_6988" hidden="1">"c6988"</definedName>
    <definedName name="IQ_ECO_METRIC_6988_UNUSED" hidden="1">"c6988"</definedName>
    <definedName name="IQ_ECO_METRIC_6988_UNUSED_UNUSED_UNUSED" hidden="1">"c6988"</definedName>
    <definedName name="IQ_ECO_METRIC_6989" hidden="1">"c6989"</definedName>
    <definedName name="IQ_ECO_METRIC_6990" hidden="1">"c6990"</definedName>
    <definedName name="IQ_ECO_METRIC_6991" hidden="1">"c6991"</definedName>
    <definedName name="IQ_ECO_METRIC_6992" hidden="1">"c6992"</definedName>
    <definedName name="IQ_ECO_METRIC_6993" hidden="1">"c6993"</definedName>
    <definedName name="IQ_ECO_METRIC_6994" hidden="1">"c6994"</definedName>
    <definedName name="IQ_ECO_METRIC_6995" hidden="1">"c6995"</definedName>
    <definedName name="IQ_ECO_METRIC_6996" hidden="1">"c6996"</definedName>
    <definedName name="IQ_ECO_METRIC_6997" hidden="1">"c6997"</definedName>
    <definedName name="IQ_ECO_METRIC_6998" hidden="1">"c6998"</definedName>
    <definedName name="IQ_ECO_METRIC_7000" hidden="1">"c7000"</definedName>
    <definedName name="IQ_ECO_METRIC_7001" hidden="1">"c7001"</definedName>
    <definedName name="IQ_ECO_METRIC_7002" hidden="1">"c7002"</definedName>
    <definedName name="IQ_ECO_METRIC_7003" hidden="1">"c7003"</definedName>
    <definedName name="IQ_ECO_METRIC_7004" hidden="1">"c7004"</definedName>
    <definedName name="IQ_ECO_METRIC_7005" hidden="1">"c7005"</definedName>
    <definedName name="IQ_ECO_METRIC_7006" hidden="1">"c7006"</definedName>
    <definedName name="IQ_ECO_METRIC_7007" hidden="1">"c7007"</definedName>
    <definedName name="IQ_ECO_METRIC_7008" hidden="1">"c7008"</definedName>
    <definedName name="IQ_ECO_METRIC_7009" hidden="1">"c7009"</definedName>
    <definedName name="IQ_ECO_METRIC_7010" hidden="1">"c7010"</definedName>
    <definedName name="IQ_ECO_METRIC_7011" hidden="1">"c7011"</definedName>
    <definedName name="IQ_ECO_METRIC_7012" hidden="1">"c7012"</definedName>
    <definedName name="IQ_ECO_METRIC_7013" hidden="1">"c7013"</definedName>
    <definedName name="IQ_ECO_METRIC_7015" hidden="1">"c7015"</definedName>
    <definedName name="IQ_ECO_METRIC_7016" hidden="1">"c7016"</definedName>
    <definedName name="IQ_ECO_METRIC_7017" hidden="1">"c7017"</definedName>
    <definedName name="IQ_ECO_METRIC_7018" hidden="1">"c7018"</definedName>
    <definedName name="IQ_ECO_METRIC_7019" hidden="1">"c7019"</definedName>
    <definedName name="IQ_ECO_METRIC_7020" hidden="1">"c7020"</definedName>
    <definedName name="IQ_ECO_METRIC_7021" hidden="1">"c7021"</definedName>
    <definedName name="IQ_ECO_METRIC_7023" hidden="1">"c7023"</definedName>
    <definedName name="IQ_ECO_METRIC_7024" hidden="1">"c7024"</definedName>
    <definedName name="IQ_ECO_METRIC_7025" hidden="1">"c7025"</definedName>
    <definedName name="IQ_ECO_METRIC_7026" hidden="1">"c7026"</definedName>
    <definedName name="IQ_ECO_METRIC_7027" hidden="1">"c7027"</definedName>
    <definedName name="IQ_ECO_METRIC_7028" hidden="1">"c7028"</definedName>
    <definedName name="IQ_ECO_METRIC_7029" hidden="1">"c7029"</definedName>
    <definedName name="IQ_ECO_METRIC_7030" hidden="1">"c7030"</definedName>
    <definedName name="IQ_ECO_METRIC_7031" hidden="1">"c7031"</definedName>
    <definedName name="IQ_ECO_METRIC_7032" hidden="1">"c7032"</definedName>
    <definedName name="IQ_ECO_METRIC_7033" hidden="1">"c7033"</definedName>
    <definedName name="IQ_ECO_METRIC_7034" hidden="1">"c7034"</definedName>
    <definedName name="IQ_ECO_METRIC_7035" hidden="1">"c7035"</definedName>
    <definedName name="IQ_ECO_METRIC_7036" hidden="1">"c7036"</definedName>
    <definedName name="IQ_ECO_METRIC_7037" hidden="1">"c7037"</definedName>
    <definedName name="IQ_ECO_METRIC_7038" hidden="1">"c7038"</definedName>
    <definedName name="IQ_ECO_METRIC_7039" hidden="1">"c7039"</definedName>
    <definedName name="IQ_ECO_METRIC_7040" hidden="1">"c7040"</definedName>
    <definedName name="IQ_ECO_METRIC_7041" hidden="1">"c7041"</definedName>
    <definedName name="IQ_ECO_METRIC_7042" hidden="1">"c7042"</definedName>
    <definedName name="IQ_ECO_METRIC_7043" hidden="1">"c7043"</definedName>
    <definedName name="IQ_ECO_METRIC_7044" hidden="1">"c7044"</definedName>
    <definedName name="IQ_ECO_METRIC_7045" hidden="1">"c7045"</definedName>
    <definedName name="IQ_ECO_METRIC_7045_UNUSED" hidden="1">"c7045"</definedName>
    <definedName name="IQ_ECO_METRIC_7045_UNUSED_UNUSED_UNUSED" hidden="1">"c7045"</definedName>
    <definedName name="IQ_ECO_METRIC_7046" hidden="1">"c7046"</definedName>
    <definedName name="IQ_ECO_METRIC_7047" hidden="1">"c7047"</definedName>
    <definedName name="IQ_ECO_METRIC_7048" hidden="1">"c7048"</definedName>
    <definedName name="IQ_ECO_METRIC_7049" hidden="1">"c7049"</definedName>
    <definedName name="IQ_ECO_METRIC_7050" hidden="1">"c7050"</definedName>
    <definedName name="IQ_ECO_METRIC_7051" hidden="1">"c7051"</definedName>
    <definedName name="IQ_ECO_METRIC_7052" hidden="1">"c7052"</definedName>
    <definedName name="IQ_ECO_METRIC_7053" hidden="1">"c7053"</definedName>
    <definedName name="IQ_ECO_METRIC_7054" hidden="1">"c7054"</definedName>
    <definedName name="IQ_ECO_METRIC_7055" hidden="1">"c7055"</definedName>
    <definedName name="IQ_ECO_METRIC_7056" hidden="1">"c7056"</definedName>
    <definedName name="IQ_ECO_METRIC_7057" hidden="1">"c7057"</definedName>
    <definedName name="IQ_ECO_METRIC_7058" hidden="1">"c7058"</definedName>
    <definedName name="IQ_ECO_METRIC_7059" hidden="1">"c7059"</definedName>
    <definedName name="IQ_ECO_METRIC_7059_UNUSED" hidden="1">"c7059"</definedName>
    <definedName name="IQ_ECO_METRIC_7059_UNUSED_UNUSED_UNUSED" hidden="1">"c7059"</definedName>
    <definedName name="IQ_ECO_METRIC_7060" hidden="1">"c7060"</definedName>
    <definedName name="IQ_ECO_METRIC_7061" hidden="1">"c7061"</definedName>
    <definedName name="IQ_ECO_METRIC_7062" hidden="1">"c7062"</definedName>
    <definedName name="IQ_ECO_METRIC_7063" hidden="1">"c7063"</definedName>
    <definedName name="IQ_ECO_METRIC_7064" hidden="1">"c7064"</definedName>
    <definedName name="IQ_ECO_METRIC_7065" hidden="1">"c7065"</definedName>
    <definedName name="IQ_ECO_METRIC_7066" hidden="1">"c7066"</definedName>
    <definedName name="IQ_ECO_METRIC_7067" hidden="1">"c7067"</definedName>
    <definedName name="IQ_ECO_METRIC_7068" hidden="1">"c7068"</definedName>
    <definedName name="IQ_ECO_METRIC_7069" hidden="1">"c7069"</definedName>
    <definedName name="IQ_ECO_METRIC_7070" hidden="1">"c7070"</definedName>
    <definedName name="IQ_ECO_METRIC_7071" hidden="1">"c7071"</definedName>
    <definedName name="IQ_ECO_METRIC_7072" hidden="1">"c7072"</definedName>
    <definedName name="IQ_ECO_METRIC_7073" hidden="1">"c7073"</definedName>
    <definedName name="IQ_ECO_METRIC_7074" hidden="1">"c7074"</definedName>
    <definedName name="IQ_ECO_METRIC_7075" hidden="1">"c7075"</definedName>
    <definedName name="IQ_ECO_METRIC_7076" hidden="1">"c7076"</definedName>
    <definedName name="IQ_ECO_METRIC_7077" hidden="1">"c7077"</definedName>
    <definedName name="IQ_ECO_METRIC_7078" hidden="1">"c7078"</definedName>
    <definedName name="IQ_ECO_METRIC_7079" hidden="1">"c7079"</definedName>
    <definedName name="IQ_ECO_METRIC_7080" hidden="1">"c7080"</definedName>
    <definedName name="IQ_ECO_METRIC_7081" hidden="1">"c7081"</definedName>
    <definedName name="IQ_ECO_METRIC_7082" hidden="1">"c7082"</definedName>
    <definedName name="IQ_ECO_METRIC_7083" hidden="1">"c7083"</definedName>
    <definedName name="IQ_ECO_METRIC_7084" hidden="1">"c7084"</definedName>
    <definedName name="IQ_ECO_METRIC_7085" hidden="1">"c7085"</definedName>
    <definedName name="IQ_ECO_METRIC_7086" hidden="1">"c7086"</definedName>
    <definedName name="IQ_ECO_METRIC_7087" hidden="1">"c7087"</definedName>
    <definedName name="IQ_ECO_METRIC_7088" hidden="1">"c7088"</definedName>
    <definedName name="IQ_ECO_METRIC_7089" hidden="1">"c7089"</definedName>
    <definedName name="IQ_ECO_METRIC_7090" hidden="1">"c7090"</definedName>
    <definedName name="IQ_ECO_METRIC_7091" hidden="1">"c7091"</definedName>
    <definedName name="IQ_ECO_METRIC_7092" hidden="1">"c7092"</definedName>
    <definedName name="IQ_ECO_METRIC_7093" hidden="1">"c7093"</definedName>
    <definedName name="IQ_ECO_METRIC_7094" hidden="1">"c7094"</definedName>
    <definedName name="IQ_ECO_METRIC_7095" hidden="1">"c7095"</definedName>
    <definedName name="IQ_ECO_METRIC_7096" hidden="1">"c7096"</definedName>
    <definedName name="IQ_ECO_METRIC_7097" hidden="1">"c7097"</definedName>
    <definedName name="IQ_ECO_METRIC_7098" hidden="1">"c7098"</definedName>
    <definedName name="IQ_ECO_METRIC_7099" hidden="1">"c7099"</definedName>
    <definedName name="IQ_ECO_METRIC_7100" hidden="1">"c7100"</definedName>
    <definedName name="IQ_ECO_METRIC_7101" hidden="1">"c7101"</definedName>
    <definedName name="IQ_ECO_METRIC_7102" hidden="1">"c7102"</definedName>
    <definedName name="IQ_ECO_METRIC_7103" hidden="1">"c7103"</definedName>
    <definedName name="IQ_ECO_METRIC_7104" hidden="1">"c7104"</definedName>
    <definedName name="IQ_ECO_METRIC_7105" hidden="1">"c7105"</definedName>
    <definedName name="IQ_ECO_METRIC_7106" hidden="1">"c7106"</definedName>
    <definedName name="IQ_ECO_METRIC_7107" hidden="1">"c7107"</definedName>
    <definedName name="IQ_ECO_METRIC_7108" hidden="1">"c7108"</definedName>
    <definedName name="IQ_ECO_METRIC_7109" hidden="1">"c7109"</definedName>
    <definedName name="IQ_ECO_METRIC_7110" hidden="1">"c7110"</definedName>
    <definedName name="IQ_ECO_METRIC_7111" hidden="1">"c7111"</definedName>
    <definedName name="IQ_ECO_METRIC_7112" hidden="1">"c7112"</definedName>
    <definedName name="IQ_ECO_METRIC_7113" hidden="1">"c7113"</definedName>
    <definedName name="IQ_ECO_METRIC_7114" hidden="1">"c7114"</definedName>
    <definedName name="IQ_ECO_METRIC_7115" hidden="1">"c7115"</definedName>
    <definedName name="IQ_ECO_METRIC_7116" hidden="1">"c7116"</definedName>
    <definedName name="IQ_ECO_METRIC_7116_UNUSED" hidden="1">"c7116"</definedName>
    <definedName name="IQ_ECO_METRIC_7116_UNUSED_UNUSED_UNUSED" hidden="1">"c7116"</definedName>
    <definedName name="IQ_ECO_METRIC_7117" hidden="1">"c7117"</definedName>
    <definedName name="IQ_ECO_METRIC_7117_UNUSED" hidden="1">"c7117"</definedName>
    <definedName name="IQ_ECO_METRIC_7117_UNUSED_UNUSED_UNUSED" hidden="1">"c7117"</definedName>
    <definedName name="IQ_ECO_METRIC_7119" hidden="1">"c7119"</definedName>
    <definedName name="IQ_ECO_METRIC_7120" hidden="1">"c7120"</definedName>
    <definedName name="IQ_ECO_METRIC_7121" hidden="1">"c7121"</definedName>
    <definedName name="IQ_ECO_METRIC_7122" hidden="1">"c7122"</definedName>
    <definedName name="IQ_ECO_METRIC_7123" hidden="1">"c7123"</definedName>
    <definedName name="IQ_ECO_METRIC_7124" hidden="1">"c7124"</definedName>
    <definedName name="IQ_ECO_METRIC_7125" hidden="1">"c7125"</definedName>
    <definedName name="IQ_ECO_METRIC_7126" hidden="1">"c7126"</definedName>
    <definedName name="IQ_ECO_METRIC_7127" hidden="1">"c7127"</definedName>
    <definedName name="IQ_ECO_METRIC_7128" hidden="1">"c7128"</definedName>
    <definedName name="IQ_ECO_METRIC_7129" hidden="1">"c7129"</definedName>
    <definedName name="IQ_ECO_METRIC_7130" hidden="1">"c7130"</definedName>
    <definedName name="IQ_ECO_METRIC_7131" hidden="1">"c7131"</definedName>
    <definedName name="IQ_ECO_METRIC_7132" hidden="1">"c7132"</definedName>
    <definedName name="IQ_ECO_METRIC_7133" hidden="1">"c7133"</definedName>
    <definedName name="IQ_ECO_METRIC_7134" hidden="1">"c7134"</definedName>
    <definedName name="IQ_ECO_METRIC_7135" hidden="1">"c7135"</definedName>
    <definedName name="IQ_ECO_METRIC_7136" hidden="1">"c7136"</definedName>
    <definedName name="IQ_ECO_METRIC_7137" hidden="1">"c7137"</definedName>
    <definedName name="IQ_ECO_METRIC_7138" hidden="1">"c7138"</definedName>
    <definedName name="IQ_ECO_METRIC_7139" hidden="1">"c7139"</definedName>
    <definedName name="IQ_ECO_METRIC_7140" hidden="1">"c7140"</definedName>
    <definedName name="IQ_ECO_METRIC_7141" hidden="1">"c7141"</definedName>
    <definedName name="IQ_ECO_METRIC_7142" hidden="1">"c7142"</definedName>
    <definedName name="IQ_ECO_METRIC_7143" hidden="1">"c7143"</definedName>
    <definedName name="IQ_ECO_METRIC_7144" hidden="1">"c7144"</definedName>
    <definedName name="IQ_ECO_METRIC_7145" hidden="1">"c7145"</definedName>
    <definedName name="IQ_ECO_METRIC_7146" hidden="1">"c7146"</definedName>
    <definedName name="IQ_ECO_METRIC_7147" hidden="1">"c7147"</definedName>
    <definedName name="IQ_ECO_METRIC_7148" hidden="1">"c7148"</definedName>
    <definedName name="IQ_ECO_METRIC_7149" hidden="1">"c7149"</definedName>
    <definedName name="IQ_ECO_METRIC_7150" hidden="1">"c7150"</definedName>
    <definedName name="IQ_ECO_METRIC_7151" hidden="1">"c7151"</definedName>
    <definedName name="IQ_ECO_METRIC_7152" hidden="1">"c7152"</definedName>
    <definedName name="IQ_ECO_METRIC_7153" hidden="1">"c7153"</definedName>
    <definedName name="IQ_ECO_METRIC_7154" hidden="1">"c7154"</definedName>
    <definedName name="IQ_ECO_METRIC_7155" hidden="1">"c7155"</definedName>
    <definedName name="IQ_ECO_METRIC_7156" hidden="1">"c7156"</definedName>
    <definedName name="IQ_ECO_METRIC_7157" hidden="1">"c7157"</definedName>
    <definedName name="IQ_ECO_METRIC_7158" hidden="1">"c7158"</definedName>
    <definedName name="IQ_ECO_METRIC_7159" hidden="1">"c7159"</definedName>
    <definedName name="IQ_ECO_METRIC_7160" hidden="1">"c7160"</definedName>
    <definedName name="IQ_ECO_METRIC_7161" hidden="1">"c7161"</definedName>
    <definedName name="IQ_ECO_METRIC_7162" hidden="1">"c7162"</definedName>
    <definedName name="IQ_ECO_METRIC_7163" hidden="1">"c7163"</definedName>
    <definedName name="IQ_ECO_METRIC_7164" hidden="1">"c7164"</definedName>
    <definedName name="IQ_ECO_METRIC_7165" hidden="1">"c7165"</definedName>
    <definedName name="IQ_ECO_METRIC_7166" hidden="1">"c7166"</definedName>
    <definedName name="IQ_ECO_METRIC_7167" hidden="1">"c7167"</definedName>
    <definedName name="IQ_ECO_METRIC_7168" hidden="1">"c7168"</definedName>
    <definedName name="IQ_ECO_METRIC_7169" hidden="1">"c7169"</definedName>
    <definedName name="IQ_ECO_METRIC_7170" hidden="1">"c7170"</definedName>
    <definedName name="IQ_ECO_METRIC_7171" hidden="1">"c7171"</definedName>
    <definedName name="IQ_ECO_METRIC_7172" hidden="1">"c7172"</definedName>
    <definedName name="IQ_ECO_METRIC_7173" hidden="1">"c7173"</definedName>
    <definedName name="IQ_ECO_METRIC_7174" hidden="1">"c7174"</definedName>
    <definedName name="IQ_ECO_METRIC_7175" hidden="1">"c7175"</definedName>
    <definedName name="IQ_ECO_METRIC_7176" hidden="1">"c7176"</definedName>
    <definedName name="IQ_ECO_METRIC_7177" hidden="1">"c7177"</definedName>
    <definedName name="IQ_ECO_METRIC_7178" hidden="1">"c7178"</definedName>
    <definedName name="IQ_ECO_METRIC_7179" hidden="1">"c7179"</definedName>
    <definedName name="IQ_ECO_METRIC_7180" hidden="1">"c7180"</definedName>
    <definedName name="IQ_ECO_METRIC_7182" hidden="1">"c7182"</definedName>
    <definedName name="IQ_ECO_METRIC_7183" hidden="1">"c7183"</definedName>
    <definedName name="IQ_ECO_METRIC_7184" hidden="1">"c7184"</definedName>
    <definedName name="IQ_ECO_METRIC_7185" hidden="1">"c7185"</definedName>
    <definedName name="IQ_ECO_METRIC_7186" hidden="1">"c7186"</definedName>
    <definedName name="IQ_ECO_METRIC_7187" hidden="1">"c7187"</definedName>
    <definedName name="IQ_ECO_METRIC_7188" hidden="1">"c7188"</definedName>
    <definedName name="IQ_ECO_METRIC_7189" hidden="1">"c7189"</definedName>
    <definedName name="IQ_ECO_METRIC_7190" hidden="1">"c7190"</definedName>
    <definedName name="IQ_ECO_METRIC_7191" hidden="1">"c7191"</definedName>
    <definedName name="IQ_ECO_METRIC_7192" hidden="1">"c7192"</definedName>
    <definedName name="IQ_ECO_METRIC_7193" hidden="1">"c7193"</definedName>
    <definedName name="IQ_ECO_METRIC_7194" hidden="1">"c7194"</definedName>
    <definedName name="IQ_ECO_METRIC_7195" hidden="1">"c7195"</definedName>
    <definedName name="IQ_ECO_METRIC_7196" hidden="1">"c7196"</definedName>
    <definedName name="IQ_ECO_METRIC_7197" hidden="1">"c7197"</definedName>
    <definedName name="IQ_ECO_METRIC_7198" hidden="1">"c7198"</definedName>
    <definedName name="IQ_ECO_METRIC_7199" hidden="1">"c7199"</definedName>
    <definedName name="IQ_ECO_METRIC_7200" hidden="1">"c7200"</definedName>
    <definedName name="IQ_ECO_METRIC_7201" hidden="1">"c7201"</definedName>
    <definedName name="IQ_ECO_METRIC_7202" hidden="1">"c7202"</definedName>
    <definedName name="IQ_ECO_METRIC_7203" hidden="1">"c7203"</definedName>
    <definedName name="IQ_ECO_METRIC_7204" hidden="1">"c7204"</definedName>
    <definedName name="IQ_ECO_METRIC_7205" hidden="1">"c7205"</definedName>
    <definedName name="IQ_ECO_METRIC_7206" hidden="1">"c7206"</definedName>
    <definedName name="IQ_ECO_METRIC_7207" hidden="1">"c7207"</definedName>
    <definedName name="IQ_ECO_METRIC_7208" hidden="1">"c7208"</definedName>
    <definedName name="IQ_ECO_METRIC_7208_UNUSED" hidden="1">"c7208"</definedName>
    <definedName name="IQ_ECO_METRIC_7208_UNUSED_UNUSED_UNUSED" hidden="1">"c7208"</definedName>
    <definedName name="IQ_ECO_METRIC_7209" hidden="1">"c7209"</definedName>
    <definedName name="IQ_ECO_METRIC_7210" hidden="1">"c7210"</definedName>
    <definedName name="IQ_ECO_METRIC_7211" hidden="1">"c7211"</definedName>
    <definedName name="IQ_ECO_METRIC_7212" hidden="1">"c7212"</definedName>
    <definedName name="IQ_ECO_METRIC_7213" hidden="1">"c7213"</definedName>
    <definedName name="IQ_ECO_METRIC_7214" hidden="1">"c7214"</definedName>
    <definedName name="IQ_ECO_METRIC_7215" hidden="1">"c7215"</definedName>
    <definedName name="IQ_ECO_METRIC_7216" hidden="1">"c7216"</definedName>
    <definedName name="IQ_ECO_METRIC_7217" hidden="1">"c7217"</definedName>
    <definedName name="IQ_ECO_METRIC_7218" hidden="1">"c7218"</definedName>
    <definedName name="IQ_ECO_METRIC_7220" hidden="1">"c7220"</definedName>
    <definedName name="IQ_ECO_METRIC_7221" hidden="1">"c7221"</definedName>
    <definedName name="IQ_ECO_METRIC_7222" hidden="1">"c7222"</definedName>
    <definedName name="IQ_ECO_METRIC_7223" hidden="1">"c7223"</definedName>
    <definedName name="IQ_ECO_METRIC_7224" hidden="1">"c7224"</definedName>
    <definedName name="IQ_ECO_METRIC_7225" hidden="1">"c7225"</definedName>
    <definedName name="IQ_ECO_METRIC_7226" hidden="1">"c7226"</definedName>
    <definedName name="IQ_ECO_METRIC_7227" hidden="1">"c7227"</definedName>
    <definedName name="IQ_ECO_METRIC_7228" hidden="1">"c7228"</definedName>
    <definedName name="IQ_ECO_METRIC_7229" hidden="1">"c7229"</definedName>
    <definedName name="IQ_ECO_METRIC_7230" hidden="1">"c7230"</definedName>
    <definedName name="IQ_ECO_METRIC_7231" hidden="1">"c7231"</definedName>
    <definedName name="IQ_ECO_METRIC_7232" hidden="1">"c7232"</definedName>
    <definedName name="IQ_ECO_METRIC_7233" hidden="1">"c7233"</definedName>
    <definedName name="IQ_ECO_METRIC_7235" hidden="1">"c7235"</definedName>
    <definedName name="IQ_ECO_METRIC_7236" hidden="1">"c7236"</definedName>
    <definedName name="IQ_ECO_METRIC_7237" hidden="1">"c7237"</definedName>
    <definedName name="IQ_ECO_METRIC_7238" hidden="1">"c7238"</definedName>
    <definedName name="IQ_ECO_METRIC_7239" hidden="1">"c7239"</definedName>
    <definedName name="IQ_ECO_METRIC_7240" hidden="1">"c7240"</definedName>
    <definedName name="IQ_ECO_METRIC_7241" hidden="1">"c7241"</definedName>
    <definedName name="IQ_ECO_METRIC_7243" hidden="1">"c7243"</definedName>
    <definedName name="IQ_ECO_METRIC_7244" hidden="1">"c7244"</definedName>
    <definedName name="IQ_ECO_METRIC_7245" hidden="1">"c7245"</definedName>
    <definedName name="IQ_ECO_METRIC_7246" hidden="1">"c7246"</definedName>
    <definedName name="IQ_ECO_METRIC_7247" hidden="1">"c7247"</definedName>
    <definedName name="IQ_ECO_METRIC_7248" hidden="1">"c7248"</definedName>
    <definedName name="IQ_ECO_METRIC_7249" hidden="1">"c7249"</definedName>
    <definedName name="IQ_ECO_METRIC_7250" hidden="1">"c7250"</definedName>
    <definedName name="IQ_ECO_METRIC_7251" hidden="1">"c7251"</definedName>
    <definedName name="IQ_ECO_METRIC_7252" hidden="1">"c7252"</definedName>
    <definedName name="IQ_ECO_METRIC_7253" hidden="1">"c7253"</definedName>
    <definedName name="IQ_ECO_METRIC_7254" hidden="1">"c7254"</definedName>
    <definedName name="IQ_ECO_METRIC_7255" hidden="1">"c7255"</definedName>
    <definedName name="IQ_ECO_METRIC_7256" hidden="1">"c7256"</definedName>
    <definedName name="IQ_ECO_METRIC_7257" hidden="1">"c7257"</definedName>
    <definedName name="IQ_ECO_METRIC_7258" hidden="1">"c7258"</definedName>
    <definedName name="IQ_ECO_METRIC_7259" hidden="1">"c7259"</definedName>
    <definedName name="IQ_ECO_METRIC_7260" hidden="1">"c7260"</definedName>
    <definedName name="IQ_ECO_METRIC_7261" hidden="1">"c7261"</definedName>
    <definedName name="IQ_ECO_METRIC_7262" hidden="1">"c7262"</definedName>
    <definedName name="IQ_ECO_METRIC_7263" hidden="1">"c7263"</definedName>
    <definedName name="IQ_ECO_METRIC_7264" hidden="1">"c7264"</definedName>
    <definedName name="IQ_ECO_METRIC_7265" hidden="1">"c7265"</definedName>
    <definedName name="IQ_ECO_METRIC_7265_UNUSED" hidden="1">"c7265"</definedName>
    <definedName name="IQ_ECO_METRIC_7265_UNUSED_UNUSED_UNUSED" hidden="1">"c7265"</definedName>
    <definedName name="IQ_ECO_METRIC_7266" hidden="1">"c7266"</definedName>
    <definedName name="IQ_ECO_METRIC_7267" hidden="1">"c7267"</definedName>
    <definedName name="IQ_ECO_METRIC_7268" hidden="1">"c7268"</definedName>
    <definedName name="IQ_ECO_METRIC_7269" hidden="1">"c7269"</definedName>
    <definedName name="IQ_ECO_METRIC_7270" hidden="1">"c7270"</definedName>
    <definedName name="IQ_ECO_METRIC_7272" hidden="1">"c7272"</definedName>
    <definedName name="IQ_ECO_METRIC_7273" hidden="1">"c7273"</definedName>
    <definedName name="IQ_ECO_METRIC_7274" hidden="1">"c7274"</definedName>
    <definedName name="IQ_ECO_METRIC_7275" hidden="1">"c7275"</definedName>
    <definedName name="IQ_ECO_METRIC_7276" hidden="1">"c7276"</definedName>
    <definedName name="IQ_ECO_METRIC_7277" hidden="1">"c7277"</definedName>
    <definedName name="IQ_ECO_METRIC_7278" hidden="1">"c7278"</definedName>
    <definedName name="IQ_ECO_METRIC_7279" hidden="1">"c7279"</definedName>
    <definedName name="IQ_ECO_METRIC_7279_UNUSED" hidden="1">"c7279"</definedName>
    <definedName name="IQ_ECO_METRIC_7279_UNUSED_UNUSED_UNUSED" hidden="1">"c7279"</definedName>
    <definedName name="IQ_ECO_METRIC_7280" hidden="1">"c7280"</definedName>
    <definedName name="IQ_ECO_METRIC_7281" hidden="1">"c7281"</definedName>
    <definedName name="IQ_ECO_METRIC_7282" hidden="1">"c7282"</definedName>
    <definedName name="IQ_ECO_METRIC_7283" hidden="1">"c7283"</definedName>
    <definedName name="IQ_ECO_METRIC_7284" hidden="1">"c7284"</definedName>
    <definedName name="IQ_ECO_METRIC_7285" hidden="1">"c7285"</definedName>
    <definedName name="IQ_ECO_METRIC_7286" hidden="1">"c7286"</definedName>
    <definedName name="IQ_ECO_METRIC_7287" hidden="1">"c7287"</definedName>
    <definedName name="IQ_ECO_METRIC_7288" hidden="1">"c7288"</definedName>
    <definedName name="IQ_ECO_METRIC_7289" hidden="1">"c7289"</definedName>
    <definedName name="IQ_ECO_METRIC_7290" hidden="1">"c7290"</definedName>
    <definedName name="IQ_ECO_METRIC_7291" hidden="1">"c7291"</definedName>
    <definedName name="IQ_ECO_METRIC_7292" hidden="1">"c7292"</definedName>
    <definedName name="IQ_ECO_METRIC_7293" hidden="1">"c7293"</definedName>
    <definedName name="IQ_ECO_METRIC_7294" hidden="1">"c7294"</definedName>
    <definedName name="IQ_ECO_METRIC_7295" hidden="1">"c7295"</definedName>
    <definedName name="IQ_ECO_METRIC_7296" hidden="1">"c7296"</definedName>
    <definedName name="IQ_ECO_METRIC_7297" hidden="1">"c7297"</definedName>
    <definedName name="IQ_ECO_METRIC_7298" hidden="1">"c7298"</definedName>
    <definedName name="IQ_ECO_METRIC_7299" hidden="1">"c7299"</definedName>
    <definedName name="IQ_ECO_METRIC_7300" hidden="1">"c7300"</definedName>
    <definedName name="IQ_ECO_METRIC_7301" hidden="1">"c7301"</definedName>
    <definedName name="IQ_ECO_METRIC_7302" hidden="1">"c7302"</definedName>
    <definedName name="IQ_ECO_METRIC_7303" hidden="1">"c7303"</definedName>
    <definedName name="IQ_ECO_METRIC_7304" hidden="1">"c7304"</definedName>
    <definedName name="IQ_ECO_METRIC_7305" hidden="1">"c7305"</definedName>
    <definedName name="IQ_ECO_METRIC_7306" hidden="1">"c7306"</definedName>
    <definedName name="IQ_ECO_METRIC_7307" hidden="1">"c7307"</definedName>
    <definedName name="IQ_ECO_METRIC_7308" hidden="1">"c7308"</definedName>
    <definedName name="IQ_ECO_METRIC_7309" hidden="1">"c7309"</definedName>
    <definedName name="IQ_ECO_METRIC_7310" hidden="1">"c7310"</definedName>
    <definedName name="IQ_ECO_METRIC_7311" hidden="1">"c7311"</definedName>
    <definedName name="IQ_ECO_METRIC_7312" hidden="1">"c7312"</definedName>
    <definedName name="IQ_ECO_METRIC_7313" hidden="1">"c7313"</definedName>
    <definedName name="IQ_ECO_METRIC_7314" hidden="1">"c7314"</definedName>
    <definedName name="IQ_ECO_METRIC_7315" hidden="1">"c7315"</definedName>
    <definedName name="IQ_ECO_METRIC_7316" hidden="1">"c7316"</definedName>
    <definedName name="IQ_ECO_METRIC_7317" hidden="1">"c7317"</definedName>
    <definedName name="IQ_ECO_METRIC_7318" hidden="1">"c7318"</definedName>
    <definedName name="IQ_ECO_METRIC_7319" hidden="1">"c7319"</definedName>
    <definedName name="IQ_ECO_METRIC_7320" hidden="1">"c7320"</definedName>
    <definedName name="IQ_ECO_METRIC_7321" hidden="1">"c7321"</definedName>
    <definedName name="IQ_ECO_METRIC_7322" hidden="1">"c7322"</definedName>
    <definedName name="IQ_ECO_METRIC_7323" hidden="1">"c7323"</definedName>
    <definedName name="IQ_ECO_METRIC_7324" hidden="1">"c7324"</definedName>
    <definedName name="IQ_ECO_METRIC_7325" hidden="1">"c7325"</definedName>
    <definedName name="IQ_ECO_METRIC_7326" hidden="1">"c7326"</definedName>
    <definedName name="IQ_ECO_METRIC_7327" hidden="1">"c7327"</definedName>
    <definedName name="IQ_ECO_METRIC_7328" hidden="1">"c7328"</definedName>
    <definedName name="IQ_ECO_METRIC_7329" hidden="1">"c7329"</definedName>
    <definedName name="IQ_ECO_METRIC_7330" hidden="1">"c7330"</definedName>
    <definedName name="IQ_ECO_METRIC_7331" hidden="1">"c7331"</definedName>
    <definedName name="IQ_ECO_METRIC_7332" hidden="1">"c7332"</definedName>
    <definedName name="IQ_ECO_METRIC_7333" hidden="1">"c7333"</definedName>
    <definedName name="IQ_ECO_METRIC_7334" hidden="1">"c7334"</definedName>
    <definedName name="IQ_ECO_METRIC_7335" hidden="1">"c7335"</definedName>
    <definedName name="IQ_ECO_METRIC_7336" hidden="1">"c7336"</definedName>
    <definedName name="IQ_ECO_METRIC_7336_UNUSED" hidden="1">"c7336"</definedName>
    <definedName name="IQ_ECO_METRIC_7336_UNUSED_UNUSED_UNUSED" hidden="1">"c7336"</definedName>
    <definedName name="IQ_ECO_METRIC_7337" hidden="1">"c7337"</definedName>
    <definedName name="IQ_ECO_METRIC_7337_UNUSED" hidden="1">"c7337"</definedName>
    <definedName name="IQ_ECO_METRIC_7337_UNUSED_UNUSED_UNUSED" hidden="1">"c7337"</definedName>
    <definedName name="IQ_ECO_METRIC_7339" hidden="1">"c7339"</definedName>
    <definedName name="IQ_ECO_METRIC_7341" hidden="1">"c7341"</definedName>
    <definedName name="IQ_ECO_METRIC_7342" hidden="1">"c7342"</definedName>
    <definedName name="IQ_ECO_METRIC_7343" hidden="1">"c7343"</definedName>
    <definedName name="IQ_ECO_METRIC_7344" hidden="1">"c7344"</definedName>
    <definedName name="IQ_ECO_METRIC_7345" hidden="1">"c7345"</definedName>
    <definedName name="IQ_ECO_METRIC_7346" hidden="1">"c7346"</definedName>
    <definedName name="IQ_ECO_METRIC_7347" hidden="1">"c7347"</definedName>
    <definedName name="IQ_ECO_METRIC_7348" hidden="1">"c7348"</definedName>
    <definedName name="IQ_ECO_METRIC_7349" hidden="1">"c7349"</definedName>
    <definedName name="IQ_ECO_METRIC_7350" hidden="1">"c7350"</definedName>
    <definedName name="IQ_ECO_METRIC_7351" hidden="1">"c7351"</definedName>
    <definedName name="IQ_ECO_METRIC_7352" hidden="1">"c7352"</definedName>
    <definedName name="IQ_ECO_METRIC_7353" hidden="1">"c7353"</definedName>
    <definedName name="IQ_ECO_METRIC_7354" hidden="1">"c7354"</definedName>
    <definedName name="IQ_ECO_METRIC_7355" hidden="1">"c7355"</definedName>
    <definedName name="IQ_ECO_METRIC_7356" hidden="1">"c7356"</definedName>
    <definedName name="IQ_ECO_METRIC_7357" hidden="1">"c7357"</definedName>
    <definedName name="IQ_ECO_METRIC_7358" hidden="1">"c7358"</definedName>
    <definedName name="IQ_ECO_METRIC_7359" hidden="1">"c7359"</definedName>
    <definedName name="IQ_ECO_METRIC_7360" hidden="1">"c7360"</definedName>
    <definedName name="IQ_ECO_METRIC_7361" hidden="1">"c7361"</definedName>
    <definedName name="IQ_ECO_METRIC_7362" hidden="1">"c7362"</definedName>
    <definedName name="IQ_ECO_METRIC_7363" hidden="1">"c7363"</definedName>
    <definedName name="IQ_ECO_METRIC_7364" hidden="1">"c7364"</definedName>
    <definedName name="IQ_ECO_METRIC_7365" hidden="1">"c7365"</definedName>
    <definedName name="IQ_ECO_METRIC_7366" hidden="1">"c7366"</definedName>
    <definedName name="IQ_ECO_METRIC_7367" hidden="1">"c7367"</definedName>
    <definedName name="IQ_ECO_METRIC_7368" hidden="1">"c7368"</definedName>
    <definedName name="IQ_ECO_METRIC_7369" hidden="1">"c7369"</definedName>
    <definedName name="IQ_ECO_METRIC_7370" hidden="1">"c7370"</definedName>
    <definedName name="IQ_ECO_METRIC_7371" hidden="1">"c7371"</definedName>
    <definedName name="IQ_ECO_METRIC_7372" hidden="1">"c7372"</definedName>
    <definedName name="IQ_ECO_METRIC_7373" hidden="1">"c7373"</definedName>
    <definedName name="IQ_ECO_METRIC_7374" hidden="1">"c7374"</definedName>
    <definedName name="IQ_ECO_METRIC_7375" hidden="1">"c7375"</definedName>
    <definedName name="IQ_ECO_METRIC_7376" hidden="1">"c7376"</definedName>
    <definedName name="IQ_ECO_METRIC_7377" hidden="1">"c7377"</definedName>
    <definedName name="IQ_ECO_METRIC_7378" hidden="1">"c7378"</definedName>
    <definedName name="IQ_ECO_METRIC_7379" hidden="1">"c7379"</definedName>
    <definedName name="IQ_ECO_METRIC_7380" hidden="1">"c7380"</definedName>
    <definedName name="IQ_ECO_METRIC_7381" hidden="1">"c7381"</definedName>
    <definedName name="IQ_ECO_METRIC_7382" hidden="1">"c7382"</definedName>
    <definedName name="IQ_ECO_METRIC_7383" hidden="1">"c7383"</definedName>
    <definedName name="IQ_ECO_METRIC_7384" hidden="1">"c7384"</definedName>
    <definedName name="IQ_ECO_METRIC_7385" hidden="1">"c7385"</definedName>
    <definedName name="IQ_ECO_METRIC_7386" hidden="1">"c7386"</definedName>
    <definedName name="IQ_ECO_METRIC_7387" hidden="1">"c7387"</definedName>
    <definedName name="IQ_ECO_METRIC_7388" hidden="1">"c7388"</definedName>
    <definedName name="IQ_ECO_METRIC_7389" hidden="1">"c7389"</definedName>
    <definedName name="IQ_ECO_METRIC_7390" hidden="1">"c7390"</definedName>
    <definedName name="IQ_ECO_METRIC_7391" hidden="1">"c7391"</definedName>
    <definedName name="IQ_ECO_METRIC_7392" hidden="1">"c7392"</definedName>
    <definedName name="IQ_ECO_METRIC_7393" hidden="1">"c7393"</definedName>
    <definedName name="IQ_ECO_METRIC_7394" hidden="1">"c7394"</definedName>
    <definedName name="IQ_ECO_METRIC_7395" hidden="1">"c7395"</definedName>
    <definedName name="IQ_ECO_METRIC_7396" hidden="1">"c7396"</definedName>
    <definedName name="IQ_ECO_METRIC_7397" hidden="1">"c7397"</definedName>
    <definedName name="IQ_ECO_METRIC_7398" hidden="1">"c7398"</definedName>
    <definedName name="IQ_ECO_METRIC_7399" hidden="1">"c7399"</definedName>
    <definedName name="IQ_ECO_METRIC_7400" hidden="1">"c7400"</definedName>
    <definedName name="IQ_ECO_METRIC_7402" hidden="1">"c7402"</definedName>
    <definedName name="IQ_ECO_METRIC_7403" hidden="1">"c7403"</definedName>
    <definedName name="IQ_ECO_METRIC_7404" hidden="1">"c7404"</definedName>
    <definedName name="IQ_ECO_METRIC_7405" hidden="1">"c7405"</definedName>
    <definedName name="IQ_ECO_METRIC_7406" hidden="1">"c7406"</definedName>
    <definedName name="IQ_ECO_METRIC_7407" hidden="1">"c7407"</definedName>
    <definedName name="IQ_ECO_METRIC_7408" hidden="1">"c7408"</definedName>
    <definedName name="IQ_ECO_METRIC_7409" hidden="1">"c7409"</definedName>
    <definedName name="IQ_ECO_METRIC_7410" hidden="1">"c7410"</definedName>
    <definedName name="IQ_ECO_METRIC_7411" hidden="1">"c7411"</definedName>
    <definedName name="IQ_ECO_METRIC_7412" hidden="1">"c7412"</definedName>
    <definedName name="IQ_ECO_METRIC_7413" hidden="1">"c7413"</definedName>
    <definedName name="IQ_ECO_METRIC_7414" hidden="1">"c7414"</definedName>
    <definedName name="IQ_ECO_METRIC_7415" hidden="1">"c7415"</definedName>
    <definedName name="IQ_ECO_METRIC_7416" hidden="1">"c7416"</definedName>
    <definedName name="IQ_ECO_METRIC_7417" hidden="1">"c7417"</definedName>
    <definedName name="IQ_ECO_METRIC_7418" hidden="1">"c7418"</definedName>
    <definedName name="IQ_ECO_METRIC_7419" hidden="1">"c7419"</definedName>
    <definedName name="IQ_ECO_METRIC_7420" hidden="1">"c7420"</definedName>
    <definedName name="IQ_ECO_METRIC_7421" hidden="1">"c7421"</definedName>
    <definedName name="IQ_ECO_METRIC_7422" hidden="1">"c7422"</definedName>
    <definedName name="IQ_ECO_METRIC_7423" hidden="1">"c7423"</definedName>
    <definedName name="IQ_ECO_METRIC_7424" hidden="1">"c7424"</definedName>
    <definedName name="IQ_ECO_METRIC_7425" hidden="1">"c7425"</definedName>
    <definedName name="IQ_ECO_METRIC_7426" hidden="1">"c7426"</definedName>
    <definedName name="IQ_ECO_METRIC_7427" hidden="1">"c7427"</definedName>
    <definedName name="IQ_ECO_METRIC_7428" hidden="1">"c7428"</definedName>
    <definedName name="IQ_ECO_METRIC_7428_UNUSED" hidden="1">"c7428"</definedName>
    <definedName name="IQ_ECO_METRIC_7428_UNUSED_UNUSED_UNUSED" hidden="1">"c7428"</definedName>
    <definedName name="IQ_ECO_METRIC_7429" hidden="1">"c7429"</definedName>
    <definedName name="IQ_ECO_METRIC_7430" hidden="1">"c7430"</definedName>
    <definedName name="IQ_ECO_METRIC_7431" hidden="1">"c7431"</definedName>
    <definedName name="IQ_ECO_METRIC_7432" hidden="1">"c7432"</definedName>
    <definedName name="IQ_ECO_METRIC_7433" hidden="1">"c7433"</definedName>
    <definedName name="IQ_ECO_METRIC_7434" hidden="1">"c7434"</definedName>
    <definedName name="IQ_ECO_METRIC_7435" hidden="1">"c7435"</definedName>
    <definedName name="IQ_ECO_METRIC_7436" hidden="1">"c7436"</definedName>
    <definedName name="IQ_ECO_METRIC_7437" hidden="1">"c7437"</definedName>
    <definedName name="IQ_ECO_METRIC_7438" hidden="1">"c7438"</definedName>
    <definedName name="IQ_ECO_METRIC_7440" hidden="1">"c7440"</definedName>
    <definedName name="IQ_ECO_METRIC_7441" hidden="1">"c7441"</definedName>
    <definedName name="IQ_ECO_METRIC_7442" hidden="1">"c7442"</definedName>
    <definedName name="IQ_ECO_METRIC_7443" hidden="1">"c7443"</definedName>
    <definedName name="IQ_ECO_METRIC_7444" hidden="1">"c7444"</definedName>
    <definedName name="IQ_ECO_METRIC_7445" hidden="1">"c7445"</definedName>
    <definedName name="IQ_ECO_METRIC_7446" hidden="1">"c7446"</definedName>
    <definedName name="IQ_ECO_METRIC_7447" hidden="1">"c7447"</definedName>
    <definedName name="IQ_ECO_METRIC_7448" hidden="1">"c7448"</definedName>
    <definedName name="IQ_ECO_METRIC_7449" hidden="1">"c7449"</definedName>
    <definedName name="IQ_ECO_METRIC_7450" hidden="1">"c7450"</definedName>
    <definedName name="IQ_ECO_METRIC_7451" hidden="1">"c7451"</definedName>
    <definedName name="IQ_ECO_METRIC_7452" hidden="1">"c7452"</definedName>
    <definedName name="IQ_ECO_METRIC_7453" hidden="1">"c7453"</definedName>
    <definedName name="IQ_ECO_METRIC_7455" hidden="1">"c7455"</definedName>
    <definedName name="IQ_ECO_METRIC_7456" hidden="1">"c7456"</definedName>
    <definedName name="IQ_ECO_METRIC_7457" hidden="1">"c7457"</definedName>
    <definedName name="IQ_ECO_METRIC_7458" hidden="1">"c7458"</definedName>
    <definedName name="IQ_ECO_METRIC_7459" hidden="1">"c7459"</definedName>
    <definedName name="IQ_ECO_METRIC_7460" hidden="1">"c7460"</definedName>
    <definedName name="IQ_ECO_METRIC_7461" hidden="1">"c7461"</definedName>
    <definedName name="IQ_ECO_METRIC_7463" hidden="1">"c7463"</definedName>
    <definedName name="IQ_ECO_METRIC_7464" hidden="1">"c7464"</definedName>
    <definedName name="IQ_ECO_METRIC_7465" hidden="1">"c7465"</definedName>
    <definedName name="IQ_ECO_METRIC_7466" hidden="1">"c7466"</definedName>
    <definedName name="IQ_ECO_METRIC_7467" hidden="1">"c7467"</definedName>
    <definedName name="IQ_ECO_METRIC_7468" hidden="1">"c7468"</definedName>
    <definedName name="IQ_ECO_METRIC_7469" hidden="1">"c7469"</definedName>
    <definedName name="IQ_ECO_METRIC_7470" hidden="1">"c7470"</definedName>
    <definedName name="IQ_ECO_METRIC_7472" hidden="1">"c7472"</definedName>
    <definedName name="IQ_ECO_METRIC_7473" hidden="1">"c7473"</definedName>
    <definedName name="IQ_ECO_METRIC_7474" hidden="1">"c7474"</definedName>
    <definedName name="IQ_ECO_METRIC_7475" hidden="1">"c7475"</definedName>
    <definedName name="IQ_ECO_METRIC_7476" hidden="1">"c7476"</definedName>
    <definedName name="IQ_ECO_METRIC_7477" hidden="1">"c7477"</definedName>
    <definedName name="IQ_ECO_METRIC_7478" hidden="1">"c7478"</definedName>
    <definedName name="IQ_ECO_METRIC_7479" hidden="1">"c7479"</definedName>
    <definedName name="IQ_ECO_METRIC_7480" hidden="1">"c7480"</definedName>
    <definedName name="IQ_ECO_METRIC_7481" hidden="1">"c7481"</definedName>
    <definedName name="IQ_ECO_METRIC_7482" hidden="1">"c7482"</definedName>
    <definedName name="IQ_ECO_METRIC_7483" hidden="1">"c7483"</definedName>
    <definedName name="IQ_ECO_METRIC_7486" hidden="1">"c7486"</definedName>
    <definedName name="IQ_ECO_METRIC_7487" hidden="1">"c7487"</definedName>
    <definedName name="IQ_ECO_METRIC_7488" hidden="1">"c7488"</definedName>
    <definedName name="IQ_ECO_METRIC_7489" hidden="1">"c7489"</definedName>
    <definedName name="IQ_ECO_METRIC_7490" hidden="1">"c7490"</definedName>
    <definedName name="IQ_ECO_METRIC_7491" hidden="1">"c7491"</definedName>
    <definedName name="IQ_ECO_METRIC_7492" hidden="1">"c7492"</definedName>
    <definedName name="IQ_ECO_METRIC_7493" hidden="1">"c7493"</definedName>
    <definedName name="IQ_ECO_METRIC_7494" hidden="1">"c7494"</definedName>
    <definedName name="IQ_ECO_METRIC_7495" hidden="1">"c7495"</definedName>
    <definedName name="IQ_ECO_METRIC_7496" hidden="1">"c7496"</definedName>
    <definedName name="IQ_ECO_METRIC_7497" hidden="1">"c7497"</definedName>
    <definedName name="IQ_ECO_METRIC_7498" hidden="1">"c7498"</definedName>
    <definedName name="IQ_ECO_METRIC_7500" hidden="1">"c7500"</definedName>
    <definedName name="IQ_ECO_METRIC_7501" hidden="1">"c7501"</definedName>
    <definedName name="IQ_ECO_METRIC_7502" hidden="1">"c7502"</definedName>
    <definedName name="IQ_ECO_METRIC_7503" hidden="1">"c7503"</definedName>
    <definedName name="IQ_ECO_METRIC_7504" hidden="1">"c7504"</definedName>
    <definedName name="IQ_ECO_METRIC_7505" hidden="1">"c7505"</definedName>
    <definedName name="IQ_ECO_METRIC_7507" hidden="1">"c7507"</definedName>
    <definedName name="IQ_ECO_METRIC_7508" hidden="1">"c7508"</definedName>
    <definedName name="IQ_ECO_METRIC_7509" hidden="1">"c7509"</definedName>
    <definedName name="IQ_ECO_METRIC_7510" hidden="1">"c7510"</definedName>
    <definedName name="IQ_ECO_METRIC_7511" hidden="1">"c7511"</definedName>
    <definedName name="IQ_ECO_METRIC_7512" hidden="1">"c7512"</definedName>
    <definedName name="IQ_ECO_METRIC_7513" hidden="1">"c7513"</definedName>
    <definedName name="IQ_ECO_METRIC_7514" hidden="1">"c7514"</definedName>
    <definedName name="IQ_ECO_METRIC_7515" hidden="1">"c7515"</definedName>
    <definedName name="IQ_ECO_METRIC_7516" hidden="1">"c7516"</definedName>
    <definedName name="IQ_ECO_METRIC_7517" hidden="1">"c7517"</definedName>
    <definedName name="IQ_ECO_METRIC_7518" hidden="1">"c7518"</definedName>
    <definedName name="IQ_ECO_METRIC_7519" hidden="1">"c7519"</definedName>
    <definedName name="IQ_ECO_METRIC_7520" hidden="1">"c7520"</definedName>
    <definedName name="IQ_ECO_METRIC_7521" hidden="1">"c7521"</definedName>
    <definedName name="IQ_ECO_METRIC_7522" hidden="1">"c7522"</definedName>
    <definedName name="IQ_ECO_METRIC_7523" hidden="1">"c7523"</definedName>
    <definedName name="IQ_ECO_METRIC_7524" hidden="1">"c7524"</definedName>
    <definedName name="IQ_ECO_METRIC_7525" hidden="1">"c7525"</definedName>
    <definedName name="IQ_ECO_METRIC_7526" hidden="1">"c7526"</definedName>
    <definedName name="IQ_ECO_METRIC_7527" hidden="1">"c7527"</definedName>
    <definedName name="IQ_ECO_METRIC_7528" hidden="1">"c7528"</definedName>
    <definedName name="IQ_ECO_METRIC_7529" hidden="1">"c7529"</definedName>
    <definedName name="IQ_ECO_METRIC_7530" hidden="1">"c7530"</definedName>
    <definedName name="IQ_ECO_METRIC_7531" hidden="1">"c7531"</definedName>
    <definedName name="IQ_ECO_METRIC_7532" hidden="1">"c7532"</definedName>
    <definedName name="IQ_ECO_METRIC_7533" hidden="1">"c7533"</definedName>
    <definedName name="IQ_ECO_METRIC_7534" hidden="1">"c7534"</definedName>
    <definedName name="IQ_ECO_METRIC_7535" hidden="1">"c7535"</definedName>
    <definedName name="IQ_ECO_METRIC_7536" hidden="1">"c7536"</definedName>
    <definedName name="IQ_ECO_METRIC_7537" hidden="1">"c7537"</definedName>
    <definedName name="IQ_ECO_METRIC_7538" hidden="1">"c7538"</definedName>
    <definedName name="IQ_ECO_METRIC_7539" hidden="1">"c7539"</definedName>
    <definedName name="IQ_ECO_METRIC_7540" hidden="1">"c7540"</definedName>
    <definedName name="IQ_ECO_METRIC_7541" hidden="1">"c7541"</definedName>
    <definedName name="IQ_ECO_METRIC_7542" hidden="1">"c7542"</definedName>
    <definedName name="IQ_ECO_METRIC_7543" hidden="1">"c7543"</definedName>
    <definedName name="IQ_ECO_METRIC_7544" hidden="1">"c7544"</definedName>
    <definedName name="IQ_ECO_METRIC_7545" hidden="1">"c7545"</definedName>
    <definedName name="IQ_ECO_METRIC_7546" hidden="1">"c7546"</definedName>
    <definedName name="IQ_ECO_METRIC_7547" hidden="1">"c7547"</definedName>
    <definedName name="IQ_ECO_METRIC_7548" hidden="1">"c7548"</definedName>
    <definedName name="IQ_ECO_METRIC_7549" hidden="1">"c7549"</definedName>
    <definedName name="IQ_ECO_METRIC_7550" hidden="1">"c7550"</definedName>
    <definedName name="IQ_ECO_METRIC_7551" hidden="1">"c7551"</definedName>
    <definedName name="IQ_ECO_METRIC_7552" hidden="1">"c7552"</definedName>
    <definedName name="IQ_ECO_METRIC_7553" hidden="1">"c7553"</definedName>
    <definedName name="IQ_ECO_METRIC_7554" hidden="1">"c7554"</definedName>
    <definedName name="IQ_ECO_METRIC_7555" hidden="1">"c7555"</definedName>
    <definedName name="IQ_ECO_METRIC_7556" hidden="1">"c7556"</definedName>
    <definedName name="IQ_ECO_METRIC_7556_UNUSED" hidden="1">"c7556"</definedName>
    <definedName name="IQ_ECO_METRIC_7556_UNUSED_UNUSED_UNUSED" hidden="1">"c7556"</definedName>
    <definedName name="IQ_ECO_METRIC_7557" hidden="1">"c7557"</definedName>
    <definedName name="IQ_ECO_METRIC_7557_UNUSED" hidden="1">"c7557"</definedName>
    <definedName name="IQ_ECO_METRIC_7557_UNUSED_UNUSED_UNUSED" hidden="1">"c7557"</definedName>
    <definedName name="IQ_ECO_METRIC_7560" hidden="1">"c7560"</definedName>
    <definedName name="IQ_ECO_METRIC_7561" hidden="1">"c7561"</definedName>
    <definedName name="IQ_ECO_METRIC_7562" hidden="1">"c7562"</definedName>
    <definedName name="IQ_ECO_METRIC_7563" hidden="1">"c7563"</definedName>
    <definedName name="IQ_ECO_METRIC_7564" hidden="1">"c7564"</definedName>
    <definedName name="IQ_ECO_METRIC_7565" hidden="1">"c7565"</definedName>
    <definedName name="IQ_ECO_METRIC_7566" hidden="1">"c7566"</definedName>
    <definedName name="IQ_ECO_METRIC_7567" hidden="1">"c7567"</definedName>
    <definedName name="IQ_ECO_METRIC_7568" hidden="1">"c7568"</definedName>
    <definedName name="IQ_ECO_METRIC_7570" hidden="1">"c7570"</definedName>
    <definedName name="IQ_ECO_METRIC_7571" hidden="1">"c7571"</definedName>
    <definedName name="IQ_ECO_METRIC_7572" hidden="1">"c7572"</definedName>
    <definedName name="IQ_ECO_METRIC_7573" hidden="1">"c7573"</definedName>
    <definedName name="IQ_ECO_METRIC_7574" hidden="1">"c7574"</definedName>
    <definedName name="IQ_ECO_METRIC_7575" hidden="1">"c7575"</definedName>
    <definedName name="IQ_ECO_METRIC_7576" hidden="1">"c7576"</definedName>
    <definedName name="IQ_ECO_METRIC_7577" hidden="1">"c7577"</definedName>
    <definedName name="IQ_ECO_METRIC_7578" hidden="1">"c7578"</definedName>
    <definedName name="IQ_ECO_METRIC_7579" hidden="1">"c7579"</definedName>
    <definedName name="IQ_ECO_METRIC_7580" hidden="1">"c7580"</definedName>
    <definedName name="IQ_ECO_METRIC_7581" hidden="1">"c7581"</definedName>
    <definedName name="IQ_ECO_METRIC_7582" hidden="1">"c7582"</definedName>
    <definedName name="IQ_ECO_METRIC_7583" hidden="1">"c7583"</definedName>
    <definedName name="IQ_ECO_METRIC_7584" hidden="1">"c7584"</definedName>
    <definedName name="IQ_ECO_METRIC_7585" hidden="1">"c7585"</definedName>
    <definedName name="IQ_ECO_METRIC_7586" hidden="1">"c7586"</definedName>
    <definedName name="IQ_ECO_METRIC_7587" hidden="1">"c7587"</definedName>
    <definedName name="IQ_ECO_METRIC_7588" hidden="1">"c7588"</definedName>
    <definedName name="IQ_ECO_METRIC_7589" hidden="1">"c7589"</definedName>
    <definedName name="IQ_ECO_METRIC_7590" hidden="1">"c7590"</definedName>
    <definedName name="IQ_ECO_METRIC_7591" hidden="1">"c7591"</definedName>
    <definedName name="IQ_ECO_METRIC_7592" hidden="1">"c7592"</definedName>
    <definedName name="IQ_ECO_METRIC_7593" hidden="1">"c7593"</definedName>
    <definedName name="IQ_ECO_METRIC_7594" hidden="1">"c7594"</definedName>
    <definedName name="IQ_ECO_METRIC_7596" hidden="1">"c7596"</definedName>
    <definedName name="IQ_ECO_METRIC_7597" hidden="1">"c7597"</definedName>
    <definedName name="IQ_ECO_METRIC_7598" hidden="1">"c7598"</definedName>
    <definedName name="IQ_ECO_METRIC_7599" hidden="1">"c7599"</definedName>
    <definedName name="IQ_ECO_METRIC_7600" hidden="1">"c7600"</definedName>
    <definedName name="IQ_ECO_METRIC_7601" hidden="1">"c7601"</definedName>
    <definedName name="IQ_ECO_METRIC_7602" hidden="1">"c7602"</definedName>
    <definedName name="IQ_ECO_METRIC_7603" hidden="1">"c7603"</definedName>
    <definedName name="IQ_ECO_METRIC_7604" hidden="1">"c7604"</definedName>
    <definedName name="IQ_ECO_METRIC_7605" hidden="1">"c7605"</definedName>
    <definedName name="IQ_ECO_METRIC_7606" hidden="1">"c7606"</definedName>
    <definedName name="IQ_ECO_METRIC_7607" hidden="1">"c7607"</definedName>
    <definedName name="IQ_ECO_METRIC_7608" hidden="1">"c7608"</definedName>
    <definedName name="IQ_ECO_METRIC_7609" hidden="1">"c7609"</definedName>
    <definedName name="IQ_ECO_METRIC_7610" hidden="1">"c7610"</definedName>
    <definedName name="IQ_ECO_METRIC_7611" hidden="1">"c7611"</definedName>
    <definedName name="IQ_ECO_METRIC_7612" hidden="1">"c7612"</definedName>
    <definedName name="IQ_ECO_METRIC_7613" hidden="1">"c7613"</definedName>
    <definedName name="IQ_ECO_METRIC_7614" hidden="1">"c7614"</definedName>
    <definedName name="IQ_ECO_METRIC_7615" hidden="1">"c7615"</definedName>
    <definedName name="IQ_ECO_METRIC_7616" hidden="1">"c7616"</definedName>
    <definedName name="IQ_ECO_METRIC_7617" hidden="1">"c7617"</definedName>
    <definedName name="IQ_ECO_METRIC_7618" hidden="1">"c7618"</definedName>
    <definedName name="IQ_ECO_METRIC_7619" hidden="1">"c7619"</definedName>
    <definedName name="IQ_ECO_METRIC_7620" hidden="1">"c7620"</definedName>
    <definedName name="IQ_ECO_METRIC_7622" hidden="1">"c7622"</definedName>
    <definedName name="IQ_ECO_METRIC_7623" hidden="1">"c7623"</definedName>
    <definedName name="IQ_ECO_METRIC_7624" hidden="1">"c7624"</definedName>
    <definedName name="IQ_ECO_METRIC_7625" hidden="1">"c7625"</definedName>
    <definedName name="IQ_ECO_METRIC_7626" hidden="1">"c7626"</definedName>
    <definedName name="IQ_ECO_METRIC_7627" hidden="1">"c7627"</definedName>
    <definedName name="IQ_ECO_METRIC_7628" hidden="1">"c7628"</definedName>
    <definedName name="IQ_ECO_METRIC_7629" hidden="1">"c7629"</definedName>
    <definedName name="IQ_ECO_METRIC_7630" hidden="1">"c7630"</definedName>
    <definedName name="IQ_ECO_METRIC_7631" hidden="1">"c7631"</definedName>
    <definedName name="IQ_ECO_METRIC_7632" hidden="1">"c7632"</definedName>
    <definedName name="IQ_ECO_METRIC_7633" hidden="1">"c7633"</definedName>
    <definedName name="IQ_ECO_METRIC_7634" hidden="1">"c7634"</definedName>
    <definedName name="IQ_ECO_METRIC_7635" hidden="1">"c7635"</definedName>
    <definedName name="IQ_ECO_METRIC_7636" hidden="1">"c7636"</definedName>
    <definedName name="IQ_ECO_METRIC_7637" hidden="1">"c7637"</definedName>
    <definedName name="IQ_ECO_METRIC_7638" hidden="1">"c7638"</definedName>
    <definedName name="IQ_ECO_METRIC_7639" hidden="1">"c7639"</definedName>
    <definedName name="IQ_ECO_METRIC_7640" hidden="1">"c7640"</definedName>
    <definedName name="IQ_ECO_METRIC_7641" hidden="1">"c7641"</definedName>
    <definedName name="IQ_ECO_METRIC_7642" hidden="1">"c7642"</definedName>
    <definedName name="IQ_ECO_METRIC_7643" hidden="1">"c7643"</definedName>
    <definedName name="IQ_ECO_METRIC_7644" hidden="1">"c7644"</definedName>
    <definedName name="IQ_ECO_METRIC_7645" hidden="1">"c7645"</definedName>
    <definedName name="IQ_ECO_METRIC_7646" hidden="1">"c7646"</definedName>
    <definedName name="IQ_ECO_METRIC_7647" hidden="1">"c7647"</definedName>
    <definedName name="IQ_ECO_METRIC_7648" hidden="1">"c7648"</definedName>
    <definedName name="IQ_ECO_METRIC_7648_UNUSED" hidden="1">"c7648"</definedName>
    <definedName name="IQ_ECO_METRIC_7648_UNUSED_UNUSED_UNUSED" hidden="1">"c7648"</definedName>
    <definedName name="IQ_ECO_METRIC_7649" hidden="1">"c7649"</definedName>
    <definedName name="IQ_ECO_METRIC_7650" hidden="1">"c7650"</definedName>
    <definedName name="IQ_ECO_METRIC_7651" hidden="1">"c7651"</definedName>
    <definedName name="IQ_ECO_METRIC_7652" hidden="1">"c7652"</definedName>
    <definedName name="IQ_ECO_METRIC_7653" hidden="1">"c7653"</definedName>
    <definedName name="IQ_ECO_METRIC_7654" hidden="1">"c7654"</definedName>
    <definedName name="IQ_ECO_METRIC_7655" hidden="1">"c7655"</definedName>
    <definedName name="IQ_ECO_METRIC_7656" hidden="1">"c7656"</definedName>
    <definedName name="IQ_ECO_METRIC_7657" hidden="1">"c7657"</definedName>
    <definedName name="IQ_ECO_METRIC_7658" hidden="1">"c7658"</definedName>
    <definedName name="IQ_ECO_METRIC_7660" hidden="1">"c7660"</definedName>
    <definedName name="IQ_ECO_METRIC_7661" hidden="1">"c7661"</definedName>
    <definedName name="IQ_ECO_METRIC_7663" hidden="1">"c7663"</definedName>
    <definedName name="IQ_ECO_METRIC_7664" hidden="1">"c7664"</definedName>
    <definedName name="IQ_ECO_METRIC_7665" hidden="1">"c7665"</definedName>
    <definedName name="IQ_ECO_METRIC_7666" hidden="1">"c7666"</definedName>
    <definedName name="IQ_ECO_METRIC_7667" hidden="1">"c7667"</definedName>
    <definedName name="IQ_ECO_METRIC_7668" hidden="1">"c7668"</definedName>
    <definedName name="IQ_ECO_METRIC_7669" hidden="1">"c7669"</definedName>
    <definedName name="IQ_ECO_METRIC_7670" hidden="1">"c7670"</definedName>
    <definedName name="IQ_ECO_METRIC_7675" hidden="1">"c7675"</definedName>
    <definedName name="IQ_ECO_METRIC_7676" hidden="1">"c7676"</definedName>
    <definedName name="IQ_ECO_METRIC_7677" hidden="1">"c7677"</definedName>
    <definedName name="IQ_ECO_METRIC_7678" hidden="1">"c7678"</definedName>
    <definedName name="IQ_ECO_METRIC_7679" hidden="1">"c7679"</definedName>
    <definedName name="IQ_ECO_METRIC_7680" hidden="1">"c7680"</definedName>
    <definedName name="IQ_ECO_METRIC_7681" hidden="1">"c7681"</definedName>
    <definedName name="IQ_ECO_METRIC_7685" hidden="1">"c7685"</definedName>
    <definedName name="IQ_ECO_METRIC_7687" hidden="1">"c7687"</definedName>
    <definedName name="IQ_ECO_METRIC_7688" hidden="1">"c7688"</definedName>
    <definedName name="IQ_ECO_METRIC_7689" hidden="1">"c7689"</definedName>
    <definedName name="IQ_ECO_METRIC_7690" hidden="1">"c7690"</definedName>
    <definedName name="IQ_ECO_METRIC_7691" hidden="1">"c7691"</definedName>
    <definedName name="IQ_ECO_METRIC_7692" hidden="1">"c7692"</definedName>
    <definedName name="IQ_ECO_METRIC_7693" hidden="1">"c7693"</definedName>
    <definedName name="IQ_ECO_METRIC_7694" hidden="1">"c7694"</definedName>
    <definedName name="IQ_ECO_METRIC_7695" hidden="1">"c7695"</definedName>
    <definedName name="IQ_ECO_METRIC_7696" hidden="1">"c7696"</definedName>
    <definedName name="IQ_ECO_METRIC_7697" hidden="1">"c7697"</definedName>
    <definedName name="IQ_ECO_METRIC_7698" hidden="1">"c7698"</definedName>
    <definedName name="IQ_ECO_METRIC_7699" hidden="1">"c7699"</definedName>
    <definedName name="IQ_ECO_METRIC_7700" hidden="1">"c7700"</definedName>
    <definedName name="IQ_ECO_METRIC_7701" hidden="1">"c7701"</definedName>
    <definedName name="IQ_ECO_METRIC_7702" hidden="1">"c7702"</definedName>
    <definedName name="IQ_ECO_METRIC_7703" hidden="1">"c7703"</definedName>
    <definedName name="IQ_ECO_METRIC_7704" hidden="1">"c7704"</definedName>
    <definedName name="IQ_ECO_METRIC_7705" hidden="1">"c7705"</definedName>
    <definedName name="IQ_ECO_METRIC_7705_UNUSED" hidden="1">"c7705"</definedName>
    <definedName name="IQ_ECO_METRIC_7705_UNUSED_UNUSED_UNUSED" hidden="1">"c7705"</definedName>
    <definedName name="IQ_ECO_METRIC_7706" hidden="1">"c7706"</definedName>
    <definedName name="IQ_ECO_METRIC_7707" hidden="1">"c7707"</definedName>
    <definedName name="IQ_ECO_METRIC_7708" hidden="1">"c7708"</definedName>
    <definedName name="IQ_ECO_METRIC_7709" hidden="1">"c7709"</definedName>
    <definedName name="IQ_ECO_METRIC_7710" hidden="1">"c7710"</definedName>
    <definedName name="IQ_ECO_METRIC_7711" hidden="1">"c7711"</definedName>
    <definedName name="IQ_ECO_METRIC_7712" hidden="1">"c7712"</definedName>
    <definedName name="IQ_ECO_METRIC_7713" hidden="1">"c7713"</definedName>
    <definedName name="IQ_ECO_METRIC_7714" hidden="1">"c7714"</definedName>
    <definedName name="IQ_ECO_METRIC_7715" hidden="1">"c7715"</definedName>
    <definedName name="IQ_ECO_METRIC_7716" hidden="1">"c7716"</definedName>
    <definedName name="IQ_ECO_METRIC_7717" hidden="1">"c7717"</definedName>
    <definedName name="IQ_ECO_METRIC_7718" hidden="1">"c7718"</definedName>
    <definedName name="IQ_ECO_METRIC_7719" hidden="1">"c7719"</definedName>
    <definedName name="IQ_ECO_METRIC_7719_UNUSED" hidden="1">"c7719"</definedName>
    <definedName name="IQ_ECO_METRIC_7719_UNUSED_UNUSED_UNUSED" hidden="1">"c7719"</definedName>
    <definedName name="IQ_ECO_METRIC_7720" hidden="1">"c7720"</definedName>
    <definedName name="IQ_ECO_METRIC_7721" hidden="1">"c7721"</definedName>
    <definedName name="IQ_ECO_METRIC_7722" hidden="1">"c7722"</definedName>
    <definedName name="IQ_ECO_METRIC_7723" hidden="1">"c7723"</definedName>
    <definedName name="IQ_ECO_METRIC_7724" hidden="1">"c7724"</definedName>
    <definedName name="IQ_ECO_METRIC_7725" hidden="1">"c7725"</definedName>
    <definedName name="IQ_ECO_METRIC_7726" hidden="1">"c7726"</definedName>
    <definedName name="IQ_ECO_METRIC_7727" hidden="1">"c7727"</definedName>
    <definedName name="IQ_ECO_METRIC_7728" hidden="1">"c7728"</definedName>
    <definedName name="IQ_ECO_METRIC_7729" hidden="1">"c7729"</definedName>
    <definedName name="IQ_ECO_METRIC_7730" hidden="1">"c7730"</definedName>
    <definedName name="IQ_ECO_METRIC_7731" hidden="1">"c7731"</definedName>
    <definedName name="IQ_ECO_METRIC_7732" hidden="1">"c7732"</definedName>
    <definedName name="IQ_ECO_METRIC_7733" hidden="1">"c7733"</definedName>
    <definedName name="IQ_ECO_METRIC_7734" hidden="1">"c7734"</definedName>
    <definedName name="IQ_ECO_METRIC_7735" hidden="1">"c7735"</definedName>
    <definedName name="IQ_ECO_METRIC_7736" hidden="1">"c7736"</definedName>
    <definedName name="IQ_ECO_METRIC_7737" hidden="1">"c7737"</definedName>
    <definedName name="IQ_ECO_METRIC_7738" hidden="1">"c7738"</definedName>
    <definedName name="IQ_ECO_METRIC_7739" hidden="1">"c7739"</definedName>
    <definedName name="IQ_ECO_METRIC_7740" hidden="1">"c7740"</definedName>
    <definedName name="IQ_ECO_METRIC_7741" hidden="1">"c7741"</definedName>
    <definedName name="IQ_ECO_METRIC_7742" hidden="1">"c7742"</definedName>
    <definedName name="IQ_ECO_METRIC_7743" hidden="1">"c7743"</definedName>
    <definedName name="IQ_ECO_METRIC_7744" hidden="1">"c7744"</definedName>
    <definedName name="IQ_ECO_METRIC_7745" hidden="1">"c7745"</definedName>
    <definedName name="IQ_ECO_METRIC_7746" hidden="1">"c7746"</definedName>
    <definedName name="IQ_ECO_METRIC_7747" hidden="1">"c7747"</definedName>
    <definedName name="IQ_ECO_METRIC_7748" hidden="1">"c7748"</definedName>
    <definedName name="IQ_ECO_METRIC_7749" hidden="1">"c7749"</definedName>
    <definedName name="IQ_ECO_METRIC_7750" hidden="1">"c7750"</definedName>
    <definedName name="IQ_ECO_METRIC_7751" hidden="1">"c7751"</definedName>
    <definedName name="IQ_ECO_METRIC_7752" hidden="1">"c7752"</definedName>
    <definedName name="IQ_ECO_METRIC_7753" hidden="1">"c7753"</definedName>
    <definedName name="IQ_ECO_METRIC_7754" hidden="1">"c7754"</definedName>
    <definedName name="IQ_ECO_METRIC_7755" hidden="1">"c7755"</definedName>
    <definedName name="IQ_ECO_METRIC_7756" hidden="1">"c7756"</definedName>
    <definedName name="IQ_ECO_METRIC_7757" hidden="1">"c7757"</definedName>
    <definedName name="IQ_ECO_METRIC_7758" hidden="1">"c7758"</definedName>
    <definedName name="IQ_ECO_METRIC_7759" hidden="1">"c7759"</definedName>
    <definedName name="IQ_ECO_METRIC_7760" hidden="1">"c7760"</definedName>
    <definedName name="IQ_ECO_METRIC_7761" hidden="1">"c7761"</definedName>
    <definedName name="IQ_ECO_METRIC_7762" hidden="1">"c7762"</definedName>
    <definedName name="IQ_ECO_METRIC_7763" hidden="1">"c7763"</definedName>
    <definedName name="IQ_ECO_METRIC_7764" hidden="1">"c7764"</definedName>
    <definedName name="IQ_ECO_METRIC_7765" hidden="1">"c7765"</definedName>
    <definedName name="IQ_ECO_METRIC_7766" hidden="1">"c7766"</definedName>
    <definedName name="IQ_ECO_METRIC_7767" hidden="1">"c7767"</definedName>
    <definedName name="IQ_ECO_METRIC_7768" hidden="1">"c7768"</definedName>
    <definedName name="IQ_ECO_METRIC_7769" hidden="1">"c7769"</definedName>
    <definedName name="IQ_ECO_METRIC_7770" hidden="1">"c7770"</definedName>
    <definedName name="IQ_ECO_METRIC_7771" hidden="1">"c7771"</definedName>
    <definedName name="IQ_ECO_METRIC_7772" hidden="1">"c7772"</definedName>
    <definedName name="IQ_ECO_METRIC_7773" hidden="1">"c7773"</definedName>
    <definedName name="IQ_ECO_METRIC_7774" hidden="1">"c7774"</definedName>
    <definedName name="IQ_ECO_METRIC_7775" hidden="1">"c7775"</definedName>
    <definedName name="IQ_ECO_METRIC_7776" hidden="1">"c7776"</definedName>
    <definedName name="IQ_ECO_METRIC_7776_UNUSED" hidden="1">"c7776"</definedName>
    <definedName name="IQ_ECO_METRIC_7776_UNUSED_UNUSED_UNUSED" hidden="1">"c7776"</definedName>
    <definedName name="IQ_ECO_METRIC_7777" hidden="1">"c7777"</definedName>
    <definedName name="IQ_ECO_METRIC_7777_UNUSED" hidden="1">"c7777"</definedName>
    <definedName name="IQ_ECO_METRIC_7777_UNUSED_UNUSED_UNUSED" hidden="1">"c7777"</definedName>
    <definedName name="IQ_ECO_METRIC_7779" hidden="1">"c7779"</definedName>
    <definedName name="IQ_ECO_METRIC_7780" hidden="1">"c7780"</definedName>
    <definedName name="IQ_ECO_METRIC_7781" hidden="1">"c7781"</definedName>
    <definedName name="IQ_ECO_METRIC_7782" hidden="1">"c7782"</definedName>
    <definedName name="IQ_ECO_METRIC_7783" hidden="1">"c7783"</definedName>
    <definedName name="IQ_ECO_METRIC_7784" hidden="1">"c7784"</definedName>
    <definedName name="IQ_ECO_METRIC_7785" hidden="1">"c7785"</definedName>
    <definedName name="IQ_ECO_METRIC_7786" hidden="1">"c7786"</definedName>
    <definedName name="IQ_ECO_METRIC_7787" hidden="1">"c7787"</definedName>
    <definedName name="IQ_ECO_METRIC_7788" hidden="1">"c7788"</definedName>
    <definedName name="IQ_ECO_METRIC_7789" hidden="1">"c7789"</definedName>
    <definedName name="IQ_ECO_METRIC_7790" hidden="1">"c7790"</definedName>
    <definedName name="IQ_ECO_METRIC_7791" hidden="1">"c7791"</definedName>
    <definedName name="IQ_ECO_METRIC_7792" hidden="1">"c7792"</definedName>
    <definedName name="IQ_ECO_METRIC_7793" hidden="1">"c7793"</definedName>
    <definedName name="IQ_ECO_METRIC_7794" hidden="1">"c7794"</definedName>
    <definedName name="IQ_ECO_METRIC_7795" hidden="1">"c7795"</definedName>
    <definedName name="IQ_ECO_METRIC_7796" hidden="1">"c7796"</definedName>
    <definedName name="IQ_ECO_METRIC_7797" hidden="1">"c7797"</definedName>
    <definedName name="IQ_ECO_METRIC_7798" hidden="1">"c7798"</definedName>
    <definedName name="IQ_ECO_METRIC_7799" hidden="1">"c7799"</definedName>
    <definedName name="IQ_ECO_METRIC_7800" hidden="1">"c7800"</definedName>
    <definedName name="IQ_ECO_METRIC_7801" hidden="1">"c7801"</definedName>
    <definedName name="IQ_ECO_METRIC_7802" hidden="1">"c7802"</definedName>
    <definedName name="IQ_ECO_METRIC_7803" hidden="1">"c7803"</definedName>
    <definedName name="IQ_ECO_METRIC_7804" hidden="1">"c7804"</definedName>
    <definedName name="IQ_ECO_METRIC_7805" hidden="1">"c7805"</definedName>
    <definedName name="IQ_ECO_METRIC_7806" hidden="1">"c7806"</definedName>
    <definedName name="IQ_ECO_METRIC_7807" hidden="1">"c7807"</definedName>
    <definedName name="IQ_ECO_METRIC_7808" hidden="1">"c7808"</definedName>
    <definedName name="IQ_ECO_METRIC_7809" hidden="1">"c7809"</definedName>
    <definedName name="IQ_ECO_METRIC_7810" hidden="1">"c7810"</definedName>
    <definedName name="IQ_ECO_METRIC_7811" hidden="1">"c7811"</definedName>
    <definedName name="IQ_ECO_METRIC_7812" hidden="1">"c7812"</definedName>
    <definedName name="IQ_ECO_METRIC_7813" hidden="1">"c7813"</definedName>
    <definedName name="IQ_ECO_METRIC_7814" hidden="1">"c7814"</definedName>
    <definedName name="IQ_ECO_METRIC_7815" hidden="1">"c7815"</definedName>
    <definedName name="IQ_ECO_METRIC_7816" hidden="1">"c7816"</definedName>
    <definedName name="IQ_ECO_METRIC_7817" hidden="1">"c7817"</definedName>
    <definedName name="IQ_ECO_METRIC_7818" hidden="1">"c7818"</definedName>
    <definedName name="IQ_ECO_METRIC_7819" hidden="1">"c7819"</definedName>
    <definedName name="IQ_ECO_METRIC_7820" hidden="1">"c7820"</definedName>
    <definedName name="IQ_ECO_METRIC_7821" hidden="1">"c7821"</definedName>
    <definedName name="IQ_ECO_METRIC_7822" hidden="1">"c7822"</definedName>
    <definedName name="IQ_ECO_METRIC_7823" hidden="1">"c7823"</definedName>
    <definedName name="IQ_ECO_METRIC_7824" hidden="1">"c7824"</definedName>
    <definedName name="IQ_ECO_METRIC_7825" hidden="1">"c7825"</definedName>
    <definedName name="IQ_ECO_METRIC_7826" hidden="1">"c7826"</definedName>
    <definedName name="IQ_ECO_METRIC_7827" hidden="1">"c7827"</definedName>
    <definedName name="IQ_ECO_METRIC_7828" hidden="1">"c7828"</definedName>
    <definedName name="IQ_ECO_METRIC_7829" hidden="1">"c7829"</definedName>
    <definedName name="IQ_ECO_METRIC_7830" hidden="1">"c7830"</definedName>
    <definedName name="IQ_ECO_METRIC_7831" hidden="1">"c7831"</definedName>
    <definedName name="IQ_ECO_METRIC_7832" hidden="1">"c7832"</definedName>
    <definedName name="IQ_ECO_METRIC_7833" hidden="1">"c7833"</definedName>
    <definedName name="IQ_ECO_METRIC_7834" hidden="1">"c7834"</definedName>
    <definedName name="IQ_ECO_METRIC_7835" hidden="1">"c7835"</definedName>
    <definedName name="IQ_ECO_METRIC_7836" hidden="1">"c7836"</definedName>
    <definedName name="IQ_ECO_METRIC_7837" hidden="1">"c7837"</definedName>
    <definedName name="IQ_ECO_METRIC_7838" hidden="1">"c7838"</definedName>
    <definedName name="IQ_ECO_METRIC_7839" hidden="1">"c7839"</definedName>
    <definedName name="IQ_ECO_METRIC_7840" hidden="1">"c7840"</definedName>
    <definedName name="IQ_ECO_METRIC_7842" hidden="1">"c7842"</definedName>
    <definedName name="IQ_ECO_METRIC_7843" hidden="1">"c7843"</definedName>
    <definedName name="IQ_ECO_METRIC_7844" hidden="1">"c7844"</definedName>
    <definedName name="IQ_ECO_METRIC_7845" hidden="1">"c7845"</definedName>
    <definedName name="IQ_ECO_METRIC_7846" hidden="1">"c7846"</definedName>
    <definedName name="IQ_ECO_METRIC_7847" hidden="1">"c7847"</definedName>
    <definedName name="IQ_ECO_METRIC_7848" hidden="1">"c7848"</definedName>
    <definedName name="IQ_ECO_METRIC_7849" hidden="1">"c7849"</definedName>
    <definedName name="IQ_ECO_METRIC_7850" hidden="1">"c7850"</definedName>
    <definedName name="IQ_ECO_METRIC_7851" hidden="1">"c7851"</definedName>
    <definedName name="IQ_ECO_METRIC_7852" hidden="1">"c7852"</definedName>
    <definedName name="IQ_ECO_METRIC_7853" hidden="1">"c7853"</definedName>
    <definedName name="IQ_ECO_METRIC_7854" hidden="1">"c7854"</definedName>
    <definedName name="IQ_ECO_METRIC_7855" hidden="1">"c7855"</definedName>
    <definedName name="IQ_ECO_METRIC_7856" hidden="1">"c7856"</definedName>
    <definedName name="IQ_ECO_METRIC_7857" hidden="1">"c7857"</definedName>
    <definedName name="IQ_ECO_METRIC_7858" hidden="1">"c7858"</definedName>
    <definedName name="IQ_ECO_METRIC_7859" hidden="1">"c7859"</definedName>
    <definedName name="IQ_ECO_METRIC_7860" hidden="1">"c7860"</definedName>
    <definedName name="IQ_ECO_METRIC_7861" hidden="1">"c7861"</definedName>
    <definedName name="IQ_ECO_METRIC_7862" hidden="1">"c7862"</definedName>
    <definedName name="IQ_ECO_METRIC_7863" hidden="1">"c7863"</definedName>
    <definedName name="IQ_ECO_METRIC_7864" hidden="1">"c7864"</definedName>
    <definedName name="IQ_ECO_METRIC_7865" hidden="1">"c7865"</definedName>
    <definedName name="IQ_ECO_METRIC_7866" hidden="1">"c7866"</definedName>
    <definedName name="IQ_ECO_METRIC_7867" hidden="1">"c7867"</definedName>
    <definedName name="IQ_ECO_METRIC_7868" hidden="1">"c7868"</definedName>
    <definedName name="IQ_ECO_METRIC_7868_UNUSED" hidden="1">"c7868"</definedName>
    <definedName name="IQ_ECO_METRIC_7868_UNUSED_UNUSED_UNUSED" hidden="1">"c7868"</definedName>
    <definedName name="IQ_ECO_METRIC_7869" hidden="1">"c7869"</definedName>
    <definedName name="IQ_ECO_METRIC_7870" hidden="1">"c7870"</definedName>
    <definedName name="IQ_ECO_METRIC_7871" hidden="1">"c7871"</definedName>
    <definedName name="IQ_ECO_METRIC_7872" hidden="1">"c7872"</definedName>
    <definedName name="IQ_ECO_METRIC_7873" hidden="1">"c7873"</definedName>
    <definedName name="IQ_ECO_METRIC_7874" hidden="1">"c7874"</definedName>
    <definedName name="IQ_ECO_METRIC_7875" hidden="1">"c7875"</definedName>
    <definedName name="IQ_ECO_METRIC_7876" hidden="1">"c7876"</definedName>
    <definedName name="IQ_ECO_METRIC_7877" hidden="1">"c7877"</definedName>
    <definedName name="IQ_ECO_METRIC_7878" hidden="1">"c7878"</definedName>
    <definedName name="IQ_ECO_METRIC_7880" hidden="1">"c7880"</definedName>
    <definedName name="IQ_ECO_METRIC_7881" hidden="1">"c7881"</definedName>
    <definedName name="IQ_ECO_METRIC_7882" hidden="1">"c7882"</definedName>
    <definedName name="IQ_ECO_METRIC_7883" hidden="1">"c7883"</definedName>
    <definedName name="IQ_ECO_METRIC_7884" hidden="1">"c7884"</definedName>
    <definedName name="IQ_ECO_METRIC_7885" hidden="1">"c7885"</definedName>
    <definedName name="IQ_ECO_METRIC_7886" hidden="1">"c7886"</definedName>
    <definedName name="IQ_ECO_METRIC_7887" hidden="1">"c7887"</definedName>
    <definedName name="IQ_ECO_METRIC_7888" hidden="1">"c7888"</definedName>
    <definedName name="IQ_ECO_METRIC_7889" hidden="1">"c7889"</definedName>
    <definedName name="IQ_ECO_METRIC_7890" hidden="1">"c7890"</definedName>
    <definedName name="IQ_ECO_METRIC_7891" hidden="1">"c7891"</definedName>
    <definedName name="IQ_ECO_METRIC_7892" hidden="1">"c7892"</definedName>
    <definedName name="IQ_ECO_METRIC_7893" hidden="1">"c7893"</definedName>
    <definedName name="IQ_ECO_METRIC_7895" hidden="1">"c7895"</definedName>
    <definedName name="IQ_ECO_METRIC_7896" hidden="1">"c7896"</definedName>
    <definedName name="IQ_ECO_METRIC_7897" hidden="1">"c7897"</definedName>
    <definedName name="IQ_ECO_METRIC_7898" hidden="1">"c7898"</definedName>
    <definedName name="IQ_ECO_METRIC_7899" hidden="1">"c7899"</definedName>
    <definedName name="IQ_ECO_METRIC_7900" hidden="1">"c7900"</definedName>
    <definedName name="IQ_ECO_METRIC_7901" hidden="1">"c7901"</definedName>
    <definedName name="IQ_ECO_METRIC_7903" hidden="1">"c7903"</definedName>
    <definedName name="IQ_ECO_METRIC_7904" hidden="1">"c7904"</definedName>
    <definedName name="IQ_ECO_METRIC_7905" hidden="1">"c7905"</definedName>
    <definedName name="IQ_ECO_METRIC_7906" hidden="1">"c7906"</definedName>
    <definedName name="IQ_ECO_METRIC_7907" hidden="1">"c7907"</definedName>
    <definedName name="IQ_ECO_METRIC_7908" hidden="1">"c7908"</definedName>
    <definedName name="IQ_ECO_METRIC_7909" hidden="1">"c7909"</definedName>
    <definedName name="IQ_ECO_METRIC_7910" hidden="1">"c7910"</definedName>
    <definedName name="IQ_ECO_METRIC_7911" hidden="1">"c7911"</definedName>
    <definedName name="IQ_ECO_METRIC_7912" hidden="1">"c7912"</definedName>
    <definedName name="IQ_ECO_METRIC_7913" hidden="1">"c7913"</definedName>
    <definedName name="IQ_ECO_METRIC_7914" hidden="1">"c7914"</definedName>
    <definedName name="IQ_ECO_METRIC_7915" hidden="1">"c7915"</definedName>
    <definedName name="IQ_ECO_METRIC_7916" hidden="1">"c7916"</definedName>
    <definedName name="IQ_ECO_METRIC_7917" hidden="1">"c7917"</definedName>
    <definedName name="IQ_ECO_METRIC_7918" hidden="1">"c7918"</definedName>
    <definedName name="IQ_ECO_METRIC_7919" hidden="1">"c7919"</definedName>
    <definedName name="IQ_ECO_METRIC_7920" hidden="1">"c7920"</definedName>
    <definedName name="IQ_ECO_METRIC_7921" hidden="1">"c7921"</definedName>
    <definedName name="IQ_ECO_METRIC_7922" hidden="1">"c7922"</definedName>
    <definedName name="IQ_ECO_METRIC_7923" hidden="1">"c7923"</definedName>
    <definedName name="IQ_ECO_METRIC_7924" hidden="1">"c7924"</definedName>
    <definedName name="IQ_ECO_METRIC_7925" hidden="1">"c7925"</definedName>
    <definedName name="IQ_ECO_METRIC_7925_UNUSED" hidden="1">"c7925"</definedName>
    <definedName name="IQ_ECO_METRIC_7925_UNUSED_UNUSED_UNUSED" hidden="1">"c7925"</definedName>
    <definedName name="IQ_ECO_METRIC_7926" hidden="1">"c7926"</definedName>
    <definedName name="IQ_ECO_METRIC_7927" hidden="1">"c7927"</definedName>
    <definedName name="IQ_ECO_METRIC_7928" hidden="1">"c7928"</definedName>
    <definedName name="IQ_ECO_METRIC_7929" hidden="1">"c7929"</definedName>
    <definedName name="IQ_ECO_METRIC_7930" hidden="1">"c7930"</definedName>
    <definedName name="IQ_ECO_METRIC_7931" hidden="1">"c7931"</definedName>
    <definedName name="IQ_ECO_METRIC_7932" hidden="1">"c7932"</definedName>
    <definedName name="IQ_ECO_METRIC_7933" hidden="1">"c7933"</definedName>
    <definedName name="IQ_ECO_METRIC_7934" hidden="1">"c7934"</definedName>
    <definedName name="IQ_ECO_METRIC_7935" hidden="1">"c7935"</definedName>
    <definedName name="IQ_ECO_METRIC_7936" hidden="1">"c7936"</definedName>
    <definedName name="IQ_ECO_METRIC_7937" hidden="1">"c7937"</definedName>
    <definedName name="IQ_ECO_METRIC_7938" hidden="1">"c7938"</definedName>
    <definedName name="IQ_ECO_METRIC_7939" hidden="1">"c7939"</definedName>
    <definedName name="IQ_ECO_METRIC_7939_UNUSED" hidden="1">"c7939"</definedName>
    <definedName name="IQ_ECO_METRIC_7939_UNUSED_UNUSED_UNUSED" hidden="1">"c7939"</definedName>
    <definedName name="IQ_ECO_METRIC_7940" hidden="1">"c7940"</definedName>
    <definedName name="IQ_ECO_METRIC_7941" hidden="1">"c7941"</definedName>
    <definedName name="IQ_ECO_METRIC_7942" hidden="1">"c7942"</definedName>
    <definedName name="IQ_ECO_METRIC_7943" hidden="1">"c7943"</definedName>
    <definedName name="IQ_ECO_METRIC_7944" hidden="1">"c7944"</definedName>
    <definedName name="IQ_ECO_METRIC_7945" hidden="1">"c7945"</definedName>
    <definedName name="IQ_ECO_METRIC_7946" hidden="1">"c7946"</definedName>
    <definedName name="IQ_ECO_METRIC_7947" hidden="1">"c7947"</definedName>
    <definedName name="IQ_ECO_METRIC_7948" hidden="1">"c7948"</definedName>
    <definedName name="IQ_ECO_METRIC_7949" hidden="1">"c7949"</definedName>
    <definedName name="IQ_ECO_METRIC_7950" hidden="1">"c7950"</definedName>
    <definedName name="IQ_ECO_METRIC_7951" hidden="1">"c7951"</definedName>
    <definedName name="IQ_ECO_METRIC_7952" hidden="1">"c7952"</definedName>
    <definedName name="IQ_ECO_METRIC_7953" hidden="1">"c7953"</definedName>
    <definedName name="IQ_ECO_METRIC_7954" hidden="1">"c7954"</definedName>
    <definedName name="IQ_ECO_METRIC_7955" hidden="1">"c7955"</definedName>
    <definedName name="IQ_ECO_METRIC_7956" hidden="1">"c7956"</definedName>
    <definedName name="IQ_ECO_METRIC_7957" hidden="1">"c7957"</definedName>
    <definedName name="IQ_ECO_METRIC_7958" hidden="1">"c7958"</definedName>
    <definedName name="IQ_ECO_METRIC_7959" hidden="1">"c7959"</definedName>
    <definedName name="IQ_ECO_METRIC_7960" hidden="1">"c7960"</definedName>
    <definedName name="IQ_ECO_METRIC_7961" hidden="1">"c7961"</definedName>
    <definedName name="IQ_ECO_METRIC_7962" hidden="1">"c7962"</definedName>
    <definedName name="IQ_ECO_METRIC_7963" hidden="1">"c7963"</definedName>
    <definedName name="IQ_ECO_METRIC_7964" hidden="1">"c7964"</definedName>
    <definedName name="IQ_ECO_METRIC_7965" hidden="1">"c7965"</definedName>
    <definedName name="IQ_ECO_METRIC_7966" hidden="1">"c7966"</definedName>
    <definedName name="IQ_ECO_METRIC_7967" hidden="1">"c7967"</definedName>
    <definedName name="IQ_ECO_METRIC_7968" hidden="1">"c7968"</definedName>
    <definedName name="IQ_ECO_METRIC_7969" hidden="1">"c7969"</definedName>
    <definedName name="IQ_ECO_METRIC_7970" hidden="1">"c7970"</definedName>
    <definedName name="IQ_ECO_METRIC_7971" hidden="1">"c7971"</definedName>
    <definedName name="IQ_ECO_METRIC_7972" hidden="1">"c7972"</definedName>
    <definedName name="IQ_ECO_METRIC_7973" hidden="1">"c7973"</definedName>
    <definedName name="IQ_ECO_METRIC_7974" hidden="1">"c7974"</definedName>
    <definedName name="IQ_ECO_METRIC_7975" hidden="1">"c7975"</definedName>
    <definedName name="IQ_ECO_METRIC_7976" hidden="1">"c7976"</definedName>
    <definedName name="IQ_ECO_METRIC_7977" hidden="1">"c7977"</definedName>
    <definedName name="IQ_ECO_METRIC_7978" hidden="1">"c7978"</definedName>
    <definedName name="IQ_ECO_METRIC_7979" hidden="1">"c7979"</definedName>
    <definedName name="IQ_ECO_METRIC_7980" hidden="1">"c7980"</definedName>
    <definedName name="IQ_ECO_METRIC_7981" hidden="1">"c7981"</definedName>
    <definedName name="IQ_ECO_METRIC_7982" hidden="1">"c7982"</definedName>
    <definedName name="IQ_ECO_METRIC_7983" hidden="1">"c7983"</definedName>
    <definedName name="IQ_ECO_METRIC_7984" hidden="1">"c7984"</definedName>
    <definedName name="IQ_ECO_METRIC_7985" hidden="1">"c7985"</definedName>
    <definedName name="IQ_ECO_METRIC_7986" hidden="1">"c7986"</definedName>
    <definedName name="IQ_ECO_METRIC_7987" hidden="1">"c7987"</definedName>
    <definedName name="IQ_ECO_METRIC_7988" hidden="1">"c7988"</definedName>
    <definedName name="IQ_ECO_METRIC_7989" hidden="1">"c7989"</definedName>
    <definedName name="IQ_ECO_METRIC_7990" hidden="1">"c7990"</definedName>
    <definedName name="IQ_ECO_METRIC_7991" hidden="1">"c7991"</definedName>
    <definedName name="IQ_ECO_METRIC_7992" hidden="1">"c7992"</definedName>
    <definedName name="IQ_ECO_METRIC_7993" hidden="1">"c7993"</definedName>
    <definedName name="IQ_ECO_METRIC_7994" hidden="1">"c7994"</definedName>
    <definedName name="IQ_ECO_METRIC_7995" hidden="1">"c7995"</definedName>
    <definedName name="IQ_ECO_METRIC_7996" hidden="1">"c7996"</definedName>
    <definedName name="IQ_ECO_METRIC_7996_UNUSED" hidden="1">"c7996"</definedName>
    <definedName name="IQ_ECO_METRIC_7996_UNUSED_UNUSED_UNUSED" hidden="1">"c7996"</definedName>
    <definedName name="IQ_ECO_METRIC_7997" hidden="1">"c7997"</definedName>
    <definedName name="IQ_ECO_METRIC_7997_UNUSED" hidden="1">"c7997"</definedName>
    <definedName name="IQ_ECO_METRIC_7997_UNUSED_UNUSED_UNUSED" hidden="1">"c7997"</definedName>
    <definedName name="IQ_ECO_METRIC_7999" hidden="1">"c7999"</definedName>
    <definedName name="IQ_ECO_METRIC_8000" hidden="1">"c8000"</definedName>
    <definedName name="IQ_ECO_METRIC_8001" hidden="1">"c8001"</definedName>
    <definedName name="IQ_ECO_METRIC_8002" hidden="1">"c8002"</definedName>
    <definedName name="IQ_ECO_METRIC_8003" hidden="1">"c8003"</definedName>
    <definedName name="IQ_ECO_METRIC_8004" hidden="1">"c8004"</definedName>
    <definedName name="IQ_ECO_METRIC_8005" hidden="1">"c8005"</definedName>
    <definedName name="IQ_ECO_METRIC_8006" hidden="1">"c8006"</definedName>
    <definedName name="IQ_ECO_METRIC_8007" hidden="1">"c8007"</definedName>
    <definedName name="IQ_ECO_METRIC_8008" hidden="1">"c8008"</definedName>
    <definedName name="IQ_ECO_METRIC_8009" hidden="1">"c8009"</definedName>
    <definedName name="IQ_ECO_METRIC_8010" hidden="1">"c8010"</definedName>
    <definedName name="IQ_ECO_METRIC_8011" hidden="1">"c8011"</definedName>
    <definedName name="IQ_ECO_METRIC_8012" hidden="1">"c8012"</definedName>
    <definedName name="IQ_ECO_METRIC_8013" hidden="1">"c8013"</definedName>
    <definedName name="IQ_ECO_METRIC_8014" hidden="1">"c8014"</definedName>
    <definedName name="IQ_ECO_METRIC_8015" hidden="1">"c8015"</definedName>
    <definedName name="IQ_ECO_METRIC_8016" hidden="1">"c8016"</definedName>
    <definedName name="IQ_ECO_METRIC_8017" hidden="1">"c8017"</definedName>
    <definedName name="IQ_ECO_METRIC_8018" hidden="1">"c8018"</definedName>
    <definedName name="IQ_ECO_METRIC_8019" hidden="1">"c8019"</definedName>
    <definedName name="IQ_ECO_METRIC_8020" hidden="1">"c8020"</definedName>
    <definedName name="IQ_ECO_METRIC_8021" hidden="1">"c8021"</definedName>
    <definedName name="IQ_ECO_METRIC_8022" hidden="1">"c8022"</definedName>
    <definedName name="IQ_ECO_METRIC_8023" hidden="1">"c8023"</definedName>
    <definedName name="IQ_ECO_METRIC_8024" hidden="1">"c8024"</definedName>
    <definedName name="IQ_ECO_METRIC_8025" hidden="1">"c8025"</definedName>
    <definedName name="IQ_ECO_METRIC_8026" hidden="1">"c8026"</definedName>
    <definedName name="IQ_ECO_METRIC_8027" hidden="1">"c8027"</definedName>
    <definedName name="IQ_ECO_METRIC_8028" hidden="1">"c8028"</definedName>
    <definedName name="IQ_ECO_METRIC_8029" hidden="1">"c8029"</definedName>
    <definedName name="IQ_ECO_METRIC_8030" hidden="1">"c8030"</definedName>
    <definedName name="IQ_ECO_METRIC_8031" hidden="1">"c8031"</definedName>
    <definedName name="IQ_ECO_METRIC_8032" hidden="1">"c8032"</definedName>
    <definedName name="IQ_ECO_METRIC_8033" hidden="1">"c8033"</definedName>
    <definedName name="IQ_ECO_METRIC_8034" hidden="1">"c8034"</definedName>
    <definedName name="IQ_ECO_METRIC_8035" hidden="1">"c8035"</definedName>
    <definedName name="IQ_ECO_METRIC_8036" hidden="1">"c8036"</definedName>
    <definedName name="IQ_ECO_METRIC_8037" hidden="1">"c8037"</definedName>
    <definedName name="IQ_ECO_METRIC_8038" hidden="1">"c8038"</definedName>
    <definedName name="IQ_ECO_METRIC_8039" hidden="1">"c8039"</definedName>
    <definedName name="IQ_ECO_METRIC_8040" hidden="1">"c8040"</definedName>
    <definedName name="IQ_ECO_METRIC_8041" hidden="1">"c8041"</definedName>
    <definedName name="IQ_ECO_METRIC_8042" hidden="1">"c8042"</definedName>
    <definedName name="IQ_ECO_METRIC_8043" hidden="1">"c8043"</definedName>
    <definedName name="IQ_ECO_METRIC_8044" hidden="1">"c8044"</definedName>
    <definedName name="IQ_ECO_METRIC_8045" hidden="1">"c8045"</definedName>
    <definedName name="IQ_ECO_METRIC_8046" hidden="1">"c8046"</definedName>
    <definedName name="IQ_ECO_METRIC_8047" hidden="1">"c8047"</definedName>
    <definedName name="IQ_ECO_METRIC_8048" hidden="1">"c8048"</definedName>
    <definedName name="IQ_ECO_METRIC_8049" hidden="1">"c8049"</definedName>
    <definedName name="IQ_ECO_METRIC_8050" hidden="1">"c8050"</definedName>
    <definedName name="IQ_ECO_METRIC_8051" hidden="1">"c8051"</definedName>
    <definedName name="IQ_ECO_METRIC_8052" hidden="1">"c8052"</definedName>
    <definedName name="IQ_ECO_METRIC_8053" hidden="1">"c8053"</definedName>
    <definedName name="IQ_ECO_METRIC_8054" hidden="1">"c8054"</definedName>
    <definedName name="IQ_ECO_METRIC_8055" hidden="1">"c8055"</definedName>
    <definedName name="IQ_ECO_METRIC_8056" hidden="1">"c8056"</definedName>
    <definedName name="IQ_ECO_METRIC_8057" hidden="1">"c8057"</definedName>
    <definedName name="IQ_ECO_METRIC_8058" hidden="1">"c8058"</definedName>
    <definedName name="IQ_ECO_METRIC_8059" hidden="1">"c8059"</definedName>
    <definedName name="IQ_ECO_METRIC_8060" hidden="1">"c8060"</definedName>
    <definedName name="IQ_ECO_METRIC_8062" hidden="1">"c8062"</definedName>
    <definedName name="IQ_ECO_METRIC_8063" hidden="1">"c8063"</definedName>
    <definedName name="IQ_ECO_METRIC_8064" hidden="1">"c8064"</definedName>
    <definedName name="IQ_ECO_METRIC_8065" hidden="1">"c8065"</definedName>
    <definedName name="IQ_ECO_METRIC_8066" hidden="1">"c8066"</definedName>
    <definedName name="IQ_ECO_METRIC_8067" hidden="1">"c8067"</definedName>
    <definedName name="IQ_ECO_METRIC_8068" hidden="1">"c8068"</definedName>
    <definedName name="IQ_ECO_METRIC_8069" hidden="1">"c8069"</definedName>
    <definedName name="IQ_ECO_METRIC_8070" hidden="1">"c8070"</definedName>
    <definedName name="IQ_ECO_METRIC_8071" hidden="1">"c8071"</definedName>
    <definedName name="IQ_ECO_METRIC_8072" hidden="1">"c8072"</definedName>
    <definedName name="IQ_ECO_METRIC_8073" hidden="1">"c8073"</definedName>
    <definedName name="IQ_ECO_METRIC_8074" hidden="1">"c8074"</definedName>
    <definedName name="IQ_ECO_METRIC_8075" hidden="1">"c8075"</definedName>
    <definedName name="IQ_ECO_METRIC_8076" hidden="1">"c8076"</definedName>
    <definedName name="IQ_ECO_METRIC_8077" hidden="1">"c8077"</definedName>
    <definedName name="IQ_ECO_METRIC_8078" hidden="1">"c8078"</definedName>
    <definedName name="IQ_ECO_METRIC_8079" hidden="1">"c8079"</definedName>
    <definedName name="IQ_ECO_METRIC_8080" hidden="1">"c8080"</definedName>
    <definedName name="IQ_ECO_METRIC_8081" hidden="1">"c8081"</definedName>
    <definedName name="IQ_ECO_METRIC_8082" hidden="1">"c8082"</definedName>
    <definedName name="IQ_ECO_METRIC_8083" hidden="1">"c8083"</definedName>
    <definedName name="IQ_ECO_METRIC_8084" hidden="1">"c8084"</definedName>
    <definedName name="IQ_ECO_METRIC_8085" hidden="1">"c8085"</definedName>
    <definedName name="IQ_ECO_METRIC_8086" hidden="1">"c8086"</definedName>
    <definedName name="IQ_ECO_METRIC_8087" hidden="1">"c8087"</definedName>
    <definedName name="IQ_ECO_METRIC_8088" hidden="1">"c8088"</definedName>
    <definedName name="IQ_ECO_METRIC_8088_UNUSED" hidden="1">"c8088"</definedName>
    <definedName name="IQ_ECO_METRIC_8088_UNUSED_UNUSED_UNUSED" hidden="1">"c8088"</definedName>
    <definedName name="IQ_ECO_METRIC_8089" hidden="1">"c8089"</definedName>
    <definedName name="IQ_ECO_METRIC_8090" hidden="1">"c8090"</definedName>
    <definedName name="IQ_ECO_METRIC_8091" hidden="1">"c8091"</definedName>
    <definedName name="IQ_ECO_METRIC_8092" hidden="1">"c8092"</definedName>
    <definedName name="IQ_ECO_METRIC_8093" hidden="1">"c8093"</definedName>
    <definedName name="IQ_ECO_METRIC_8094" hidden="1">"c8094"</definedName>
    <definedName name="IQ_ECO_METRIC_8095" hidden="1">"c8095"</definedName>
    <definedName name="IQ_ECO_METRIC_8096" hidden="1">"c8096"</definedName>
    <definedName name="IQ_ECO_METRIC_8097" hidden="1">"c8097"</definedName>
    <definedName name="IQ_ECO_METRIC_8098" hidden="1">"c8098"</definedName>
    <definedName name="IQ_ECO_METRIC_8100" hidden="1">"c8100"</definedName>
    <definedName name="IQ_ECO_METRIC_8101" hidden="1">"c8101"</definedName>
    <definedName name="IQ_ECO_METRIC_8102" hidden="1">"c8102"</definedName>
    <definedName name="IQ_ECO_METRIC_8103" hidden="1">"c8103"</definedName>
    <definedName name="IQ_ECO_METRIC_8104" hidden="1">"c8104"</definedName>
    <definedName name="IQ_ECO_METRIC_8105" hidden="1">"c8105"</definedName>
    <definedName name="IQ_ECO_METRIC_8106" hidden="1">"c8106"</definedName>
    <definedName name="IQ_ECO_METRIC_8107" hidden="1">"c8107"</definedName>
    <definedName name="IQ_ECO_METRIC_8108" hidden="1">"c8108"</definedName>
    <definedName name="IQ_ECO_METRIC_8109" hidden="1">"c8109"</definedName>
    <definedName name="IQ_ECO_METRIC_8110" hidden="1">"c8110"</definedName>
    <definedName name="IQ_ECO_METRIC_8111" hidden="1">"c8111"</definedName>
    <definedName name="IQ_ECO_METRIC_8112" hidden="1">"c8112"</definedName>
    <definedName name="IQ_ECO_METRIC_8113" hidden="1">"c8113"</definedName>
    <definedName name="IQ_ECO_METRIC_8115" hidden="1">"c8115"</definedName>
    <definedName name="IQ_ECO_METRIC_8116" hidden="1">"c8116"</definedName>
    <definedName name="IQ_ECO_METRIC_8117" hidden="1">"c8117"</definedName>
    <definedName name="IQ_ECO_METRIC_8118" hidden="1">"c8118"</definedName>
    <definedName name="IQ_ECO_METRIC_8119" hidden="1">"c8119"</definedName>
    <definedName name="IQ_ECO_METRIC_8120" hidden="1">"c8120"</definedName>
    <definedName name="IQ_ECO_METRIC_8121" hidden="1">"c8121"</definedName>
    <definedName name="IQ_ECO_METRIC_8123" hidden="1">"c8123"</definedName>
    <definedName name="IQ_ECO_METRIC_8124" hidden="1">"c8124"</definedName>
    <definedName name="IQ_ECO_METRIC_8125" hidden="1">"c8125"</definedName>
    <definedName name="IQ_ECO_METRIC_8126" hidden="1">"c8126"</definedName>
    <definedName name="IQ_ECO_METRIC_8127" hidden="1">"c8127"</definedName>
    <definedName name="IQ_ECO_METRIC_8128" hidden="1">"c8128"</definedName>
    <definedName name="IQ_ECO_METRIC_8129" hidden="1">"c8129"</definedName>
    <definedName name="IQ_ECO_METRIC_8130" hidden="1">"c8130"</definedName>
    <definedName name="IQ_ECO_METRIC_8131" hidden="1">"c8131"</definedName>
    <definedName name="IQ_ECO_METRIC_8132" hidden="1">"c8132"</definedName>
    <definedName name="IQ_ECO_METRIC_8133" hidden="1">"c8133"</definedName>
    <definedName name="IQ_ECO_METRIC_8134" hidden="1">"c8134"</definedName>
    <definedName name="IQ_ECO_METRIC_8135" hidden="1">"c8135"</definedName>
    <definedName name="IQ_ECO_METRIC_8136" hidden="1">"c8136"</definedName>
    <definedName name="IQ_ECO_METRIC_8137" hidden="1">"c8137"</definedName>
    <definedName name="IQ_ECO_METRIC_8138" hidden="1">"c8138"</definedName>
    <definedName name="IQ_ECO_METRIC_8139" hidden="1">"c8139"</definedName>
    <definedName name="IQ_ECO_METRIC_8140" hidden="1">"c8140"</definedName>
    <definedName name="IQ_ECO_METRIC_8141" hidden="1">"c8141"</definedName>
    <definedName name="IQ_ECO_METRIC_8142" hidden="1">"c8142"</definedName>
    <definedName name="IQ_ECO_METRIC_8143" hidden="1">"c8143"</definedName>
    <definedName name="IQ_ECO_METRIC_8144" hidden="1">"c8144"</definedName>
    <definedName name="IQ_ECO_METRIC_8145" hidden="1">"c8145"</definedName>
    <definedName name="IQ_ECO_METRIC_8145_UNUSED" hidden="1">"c8145"</definedName>
    <definedName name="IQ_ECO_METRIC_8145_UNUSED_UNUSED_UNUSED" hidden="1">"c8145"</definedName>
    <definedName name="IQ_ECO_METRIC_8146" hidden="1">"c8146"</definedName>
    <definedName name="IQ_ECO_METRIC_8147" hidden="1">"c8147"</definedName>
    <definedName name="IQ_ECO_METRIC_8148" hidden="1">"c8148"</definedName>
    <definedName name="IQ_ECO_METRIC_8149" hidden="1">"c8149"</definedName>
    <definedName name="IQ_ECO_METRIC_8150" hidden="1">"c8150"</definedName>
    <definedName name="IQ_ECO_METRIC_8152" hidden="1">"c8152"</definedName>
    <definedName name="IQ_ECO_METRIC_8153" hidden="1">"c8153"</definedName>
    <definedName name="IQ_ECO_METRIC_8154" hidden="1">"c8154"</definedName>
    <definedName name="IQ_ECO_METRIC_8155" hidden="1">"c8155"</definedName>
    <definedName name="IQ_ECO_METRIC_8156" hidden="1">"c8156"</definedName>
    <definedName name="IQ_ECO_METRIC_8157" hidden="1">"c8157"</definedName>
    <definedName name="IQ_ECO_METRIC_8158" hidden="1">"c8158"</definedName>
    <definedName name="IQ_ECO_METRIC_8159" hidden="1">"c8159"</definedName>
    <definedName name="IQ_ECO_METRIC_8159_UNUSED" hidden="1">"c8159"</definedName>
    <definedName name="IQ_ECO_METRIC_8159_UNUSED_UNUSED_UNUSED" hidden="1">"c8159"</definedName>
    <definedName name="IQ_ECO_METRIC_8160" hidden="1">"c8160"</definedName>
    <definedName name="IQ_ECO_METRIC_8161" hidden="1">"c8161"</definedName>
    <definedName name="IQ_ECO_METRIC_8162" hidden="1">"c8162"</definedName>
    <definedName name="IQ_ECO_METRIC_8163" hidden="1">"c8163"</definedName>
    <definedName name="IQ_ECO_METRIC_8164" hidden="1">"c8164"</definedName>
    <definedName name="IQ_ECO_METRIC_8165" hidden="1">"c8165"</definedName>
    <definedName name="IQ_ECO_METRIC_8166" hidden="1">"c8166"</definedName>
    <definedName name="IQ_ECO_METRIC_8167" hidden="1">"c8167"</definedName>
    <definedName name="IQ_ECO_METRIC_8168" hidden="1">"c8168"</definedName>
    <definedName name="IQ_ECO_METRIC_8169" hidden="1">"c8169"</definedName>
    <definedName name="IQ_ECO_METRIC_8170" hidden="1">"c8170"</definedName>
    <definedName name="IQ_ECO_METRIC_8171" hidden="1">"c8171"</definedName>
    <definedName name="IQ_ECO_METRIC_8172" hidden="1">"c8172"</definedName>
    <definedName name="IQ_ECO_METRIC_8173" hidden="1">"c8173"</definedName>
    <definedName name="IQ_ECO_METRIC_8174" hidden="1">"c8174"</definedName>
    <definedName name="IQ_ECO_METRIC_8175" hidden="1">"c8175"</definedName>
    <definedName name="IQ_ECO_METRIC_8176" hidden="1">"c8176"</definedName>
    <definedName name="IQ_ECO_METRIC_8177" hidden="1">"c8177"</definedName>
    <definedName name="IQ_ECO_METRIC_8178" hidden="1">"c8178"</definedName>
    <definedName name="IQ_ECO_METRIC_8179" hidden="1">"c8179"</definedName>
    <definedName name="IQ_ECO_METRIC_8180" hidden="1">"c8180"</definedName>
    <definedName name="IQ_ECO_METRIC_8181" hidden="1">"c8181"</definedName>
    <definedName name="IQ_ECO_METRIC_8182" hidden="1">"c8182"</definedName>
    <definedName name="IQ_ECO_METRIC_8183" hidden="1">"c8183"</definedName>
    <definedName name="IQ_ECO_METRIC_8184" hidden="1">"c8184"</definedName>
    <definedName name="IQ_ECO_METRIC_8185" hidden="1">"c8185"</definedName>
    <definedName name="IQ_ECO_METRIC_8186" hidden="1">"c8186"</definedName>
    <definedName name="IQ_ECO_METRIC_8187" hidden="1">"c8187"</definedName>
    <definedName name="IQ_ECO_METRIC_8188" hidden="1">"c8188"</definedName>
    <definedName name="IQ_ECO_METRIC_8189" hidden="1">"c8189"</definedName>
    <definedName name="IQ_ECO_METRIC_8190" hidden="1">"c8190"</definedName>
    <definedName name="IQ_ECO_METRIC_8191" hidden="1">"c8191"</definedName>
    <definedName name="IQ_ECO_METRIC_8192" hidden="1">"c8192"</definedName>
    <definedName name="IQ_ECO_METRIC_8193" hidden="1">"c8193"</definedName>
    <definedName name="IQ_ECO_METRIC_8194" hidden="1">"c8194"</definedName>
    <definedName name="IQ_ECO_METRIC_8195" hidden="1">"c8195"</definedName>
    <definedName name="IQ_ECO_METRIC_8196" hidden="1">"c8196"</definedName>
    <definedName name="IQ_ECO_METRIC_8197" hidden="1">"c8197"</definedName>
    <definedName name="IQ_ECO_METRIC_8198" hidden="1">"c8198"</definedName>
    <definedName name="IQ_ECO_METRIC_8199" hidden="1">"c8199"</definedName>
    <definedName name="IQ_ECO_METRIC_8200" hidden="1">"c8200"</definedName>
    <definedName name="IQ_ECO_METRIC_8201" hidden="1">"c8201"</definedName>
    <definedName name="IQ_ECO_METRIC_8202" hidden="1">"c8202"</definedName>
    <definedName name="IQ_ECO_METRIC_8203" hidden="1">"c8203"</definedName>
    <definedName name="IQ_ECO_METRIC_8204" hidden="1">"c8204"</definedName>
    <definedName name="IQ_ECO_METRIC_8205" hidden="1">"c8205"</definedName>
    <definedName name="IQ_ECO_METRIC_8206" hidden="1">"c8206"</definedName>
    <definedName name="IQ_ECO_METRIC_8207" hidden="1">"c8207"</definedName>
    <definedName name="IQ_ECO_METRIC_8208" hidden="1">"c8208"</definedName>
    <definedName name="IQ_ECO_METRIC_8209" hidden="1">"c8209"</definedName>
    <definedName name="IQ_ECO_METRIC_8210" hidden="1">"c8210"</definedName>
    <definedName name="IQ_ECO_METRIC_8211" hidden="1">"c8211"</definedName>
    <definedName name="IQ_ECO_METRIC_8212" hidden="1">"c8212"</definedName>
    <definedName name="IQ_ECO_METRIC_8213" hidden="1">"c8213"</definedName>
    <definedName name="IQ_ECO_METRIC_8214" hidden="1">"c8214"</definedName>
    <definedName name="IQ_ECO_METRIC_8215" hidden="1">"c8215"</definedName>
    <definedName name="IQ_ECO_METRIC_8216" hidden="1">"c8216"</definedName>
    <definedName name="IQ_ECO_METRIC_8216_UNUSED" hidden="1">"c8216"</definedName>
    <definedName name="IQ_ECO_METRIC_8216_UNUSED_UNUSED_UNUSED" hidden="1">"c8216"</definedName>
    <definedName name="IQ_ECO_METRIC_8217" hidden="1">"c8217"</definedName>
    <definedName name="IQ_ECO_METRIC_8217_UNUSED" hidden="1">"c8217"</definedName>
    <definedName name="IQ_ECO_METRIC_8217_UNUSED_UNUSED_UNUSED" hidden="1">"c8217"</definedName>
    <definedName name="IQ_ECO_METRIC_8219" hidden="1">"c8219"</definedName>
    <definedName name="IQ_ECO_METRIC_8221" hidden="1">"c8221"</definedName>
    <definedName name="IQ_ECO_METRIC_8222" hidden="1">"c8222"</definedName>
    <definedName name="IQ_ECO_METRIC_8223" hidden="1">"c8223"</definedName>
    <definedName name="IQ_ECO_METRIC_8224" hidden="1">"c8224"</definedName>
    <definedName name="IQ_ECO_METRIC_8225" hidden="1">"c8225"</definedName>
    <definedName name="IQ_ECO_METRIC_8226" hidden="1">"c8226"</definedName>
    <definedName name="IQ_ECO_METRIC_8227" hidden="1">"c8227"</definedName>
    <definedName name="IQ_ECO_METRIC_8228" hidden="1">"c8228"</definedName>
    <definedName name="IQ_ECO_METRIC_8229" hidden="1">"c8229"</definedName>
    <definedName name="IQ_ECO_METRIC_8230" hidden="1">"c8230"</definedName>
    <definedName name="IQ_ECO_METRIC_8231" hidden="1">"c8231"</definedName>
    <definedName name="IQ_ECO_METRIC_8232" hidden="1">"c8232"</definedName>
    <definedName name="IQ_ECO_METRIC_8233" hidden="1">"c8233"</definedName>
    <definedName name="IQ_ECO_METRIC_8234" hidden="1">"c8234"</definedName>
    <definedName name="IQ_ECO_METRIC_8235" hidden="1">"c8235"</definedName>
    <definedName name="IQ_ECO_METRIC_8236" hidden="1">"c8236"</definedName>
    <definedName name="IQ_ECO_METRIC_8237" hidden="1">"c8237"</definedName>
    <definedName name="IQ_ECO_METRIC_8238" hidden="1">"c8238"</definedName>
    <definedName name="IQ_ECO_METRIC_8239" hidden="1">"c8239"</definedName>
    <definedName name="IQ_ECO_METRIC_8240" hidden="1">"c8240"</definedName>
    <definedName name="IQ_ECO_METRIC_8241" hidden="1">"c8241"</definedName>
    <definedName name="IQ_ECO_METRIC_8242" hidden="1">"c8242"</definedName>
    <definedName name="IQ_ECO_METRIC_8243" hidden="1">"c8243"</definedName>
    <definedName name="IQ_ECO_METRIC_8244" hidden="1">"c8244"</definedName>
    <definedName name="IQ_ECO_METRIC_8245" hidden="1">"c8245"</definedName>
    <definedName name="IQ_ECO_METRIC_8246" hidden="1">"c8246"</definedName>
    <definedName name="IQ_ECO_METRIC_8247" hidden="1">"c8247"</definedName>
    <definedName name="IQ_ECO_METRIC_8248" hidden="1">"c8248"</definedName>
    <definedName name="IQ_ECO_METRIC_8249" hidden="1">"c8249"</definedName>
    <definedName name="IQ_ECO_METRIC_8250" hidden="1">"c8250"</definedName>
    <definedName name="IQ_ECO_METRIC_8251" hidden="1">"c8251"</definedName>
    <definedName name="IQ_ECO_METRIC_8252" hidden="1">"c8252"</definedName>
    <definedName name="IQ_ECO_METRIC_8253" hidden="1">"c8253"</definedName>
    <definedName name="IQ_ECO_METRIC_8254" hidden="1">"c8254"</definedName>
    <definedName name="IQ_ECO_METRIC_8255" hidden="1">"c8255"</definedName>
    <definedName name="IQ_ECO_METRIC_8256" hidden="1">"c8256"</definedName>
    <definedName name="IQ_ECO_METRIC_8257" hidden="1">"c8257"</definedName>
    <definedName name="IQ_ECO_METRIC_8258" hidden="1">"c8258"</definedName>
    <definedName name="IQ_ECO_METRIC_8259" hidden="1">"c8259"</definedName>
    <definedName name="IQ_ECO_METRIC_8260" hidden="1">"c8260"</definedName>
    <definedName name="IQ_ECO_METRIC_8261" hidden="1">"c8261"</definedName>
    <definedName name="IQ_ECO_METRIC_8262" hidden="1">"c8262"</definedName>
    <definedName name="IQ_ECO_METRIC_8263" hidden="1">"c8263"</definedName>
    <definedName name="IQ_ECO_METRIC_8264" hidden="1">"c8264"</definedName>
    <definedName name="IQ_ECO_METRIC_8265" hidden="1">"c8265"</definedName>
    <definedName name="IQ_ECO_METRIC_8266" hidden="1">"c8266"</definedName>
    <definedName name="IQ_ECO_METRIC_8267" hidden="1">"c8267"</definedName>
    <definedName name="IQ_ECO_METRIC_8268" hidden="1">"c8268"</definedName>
    <definedName name="IQ_ECO_METRIC_8269" hidden="1">"c8269"</definedName>
    <definedName name="IQ_ECO_METRIC_8270" hidden="1">"c8270"</definedName>
    <definedName name="IQ_ECO_METRIC_8271" hidden="1">"c8271"</definedName>
    <definedName name="IQ_ECO_METRIC_8272" hidden="1">"c8272"</definedName>
    <definedName name="IQ_ECO_METRIC_8273" hidden="1">"c8273"</definedName>
    <definedName name="IQ_ECO_METRIC_8274" hidden="1">"c8274"</definedName>
    <definedName name="IQ_ECO_METRIC_8275" hidden="1">"c8275"</definedName>
    <definedName name="IQ_ECO_METRIC_8276" hidden="1">"c8276"</definedName>
    <definedName name="IQ_ECO_METRIC_8277" hidden="1">"c8277"</definedName>
    <definedName name="IQ_ECO_METRIC_8278" hidden="1">"c8278"</definedName>
    <definedName name="IQ_ECO_METRIC_8279" hidden="1">"c8279"</definedName>
    <definedName name="IQ_ECO_METRIC_8280" hidden="1">"c8280"</definedName>
    <definedName name="IQ_ECO_METRIC_8282" hidden="1">"c8282"</definedName>
    <definedName name="IQ_ECO_METRIC_8283" hidden="1">"c8283"</definedName>
    <definedName name="IQ_ECO_METRIC_8284" hidden="1">"c8284"</definedName>
    <definedName name="IQ_ECO_METRIC_8285" hidden="1">"c8285"</definedName>
    <definedName name="IQ_ECO_METRIC_8286" hidden="1">"c8286"</definedName>
    <definedName name="IQ_ECO_METRIC_8287" hidden="1">"c8287"</definedName>
    <definedName name="IQ_ECO_METRIC_8288" hidden="1">"c8288"</definedName>
    <definedName name="IQ_ECO_METRIC_8289" hidden="1">"c8289"</definedName>
    <definedName name="IQ_ECO_METRIC_8290" hidden="1">"c8290"</definedName>
    <definedName name="IQ_ECO_METRIC_8291" hidden="1">"c8291"</definedName>
    <definedName name="IQ_ECO_METRIC_8292" hidden="1">"c8292"</definedName>
    <definedName name="IQ_ECO_METRIC_8293" hidden="1">"c8293"</definedName>
    <definedName name="IQ_ECO_METRIC_8294" hidden="1">"c8294"</definedName>
    <definedName name="IQ_ECO_METRIC_8295" hidden="1">"c8295"</definedName>
    <definedName name="IQ_ECO_METRIC_8296" hidden="1">"c8296"</definedName>
    <definedName name="IQ_ECO_METRIC_8297" hidden="1">"c8297"</definedName>
    <definedName name="IQ_ECO_METRIC_8298" hidden="1">"c8298"</definedName>
    <definedName name="IQ_ECO_METRIC_8299" hidden="1">"c8299"</definedName>
    <definedName name="IQ_ECO_METRIC_8300" hidden="1">"c8300"</definedName>
    <definedName name="IQ_ECO_METRIC_8301" hidden="1">"c8301"</definedName>
    <definedName name="IQ_ECO_METRIC_8302" hidden="1">"c8302"</definedName>
    <definedName name="IQ_ECO_METRIC_8303" hidden="1">"c8303"</definedName>
    <definedName name="IQ_ECO_METRIC_8304" hidden="1">"c8304"</definedName>
    <definedName name="IQ_ECO_METRIC_8305" hidden="1">"c8305"</definedName>
    <definedName name="IQ_ECO_METRIC_8306" hidden="1">"c8306"</definedName>
    <definedName name="IQ_ECO_METRIC_8307" hidden="1">"c8307"</definedName>
    <definedName name="IQ_ECO_METRIC_8308" hidden="1">"c8308"</definedName>
    <definedName name="IQ_ECO_METRIC_8308_UNUSED" hidden="1">"c8308"</definedName>
    <definedName name="IQ_ECO_METRIC_8308_UNUSED_UNUSED_UNUSED" hidden="1">"c8308"</definedName>
    <definedName name="IQ_ECO_METRIC_8309" hidden="1">"c8309"</definedName>
    <definedName name="IQ_ECO_METRIC_8310" hidden="1">"c8310"</definedName>
    <definedName name="IQ_ECO_METRIC_8311" hidden="1">"c8311"</definedName>
    <definedName name="IQ_ECO_METRIC_8312" hidden="1">"c8312"</definedName>
    <definedName name="IQ_ECO_METRIC_8313" hidden="1">"c8313"</definedName>
    <definedName name="IQ_ECO_METRIC_8314" hidden="1">"c8314"</definedName>
    <definedName name="IQ_ECO_METRIC_8315" hidden="1">"c8315"</definedName>
    <definedName name="IQ_ECO_METRIC_8316" hidden="1">"c8316"</definedName>
    <definedName name="IQ_ECO_METRIC_8317" hidden="1">"c8317"</definedName>
    <definedName name="IQ_ECO_METRIC_8318" hidden="1">"c8318"</definedName>
    <definedName name="IQ_ECO_METRIC_8320" hidden="1">"c8320"</definedName>
    <definedName name="IQ_ECO_METRIC_8321" hidden="1">"c8321"</definedName>
    <definedName name="IQ_ECO_METRIC_8322" hidden="1">"c8322"</definedName>
    <definedName name="IQ_ECO_METRIC_8323" hidden="1">"c8323"</definedName>
    <definedName name="IQ_ECO_METRIC_8324" hidden="1">"c8324"</definedName>
    <definedName name="IQ_ECO_METRIC_8325" hidden="1">"c8325"</definedName>
    <definedName name="IQ_ECO_METRIC_8326" hidden="1">"c8326"</definedName>
    <definedName name="IQ_ECO_METRIC_8327" hidden="1">"c8327"</definedName>
    <definedName name="IQ_ECO_METRIC_8328" hidden="1">"c8328"</definedName>
    <definedName name="IQ_ECO_METRIC_8329" hidden="1">"c8329"</definedName>
    <definedName name="IQ_ECO_METRIC_8330" hidden="1">"c8330"</definedName>
    <definedName name="IQ_ECO_METRIC_8331" hidden="1">"c8331"</definedName>
    <definedName name="IQ_ECO_METRIC_8332" hidden="1">"c8332"</definedName>
    <definedName name="IQ_ECO_METRIC_8333" hidden="1">"c8333"</definedName>
    <definedName name="IQ_ECO_METRIC_8335" hidden="1">"c8335"</definedName>
    <definedName name="IQ_ECO_METRIC_8336" hidden="1">"c8336"</definedName>
    <definedName name="IQ_ECO_METRIC_8337" hidden="1">"c8337"</definedName>
    <definedName name="IQ_ECO_METRIC_8338" hidden="1">"c8338"</definedName>
    <definedName name="IQ_ECO_METRIC_8339" hidden="1">"c8339"</definedName>
    <definedName name="IQ_ECO_METRIC_8340" hidden="1">"c8340"</definedName>
    <definedName name="IQ_ECO_METRIC_8341" hidden="1">"c8341"</definedName>
    <definedName name="IQ_ECO_METRIC_8343" hidden="1">"c8343"</definedName>
    <definedName name="IQ_ECO_METRIC_8344" hidden="1">"c8344"</definedName>
    <definedName name="IQ_ECO_METRIC_8345" hidden="1">"c8345"</definedName>
    <definedName name="IQ_ECO_METRIC_8346" hidden="1">"c8346"</definedName>
    <definedName name="IQ_ECO_METRIC_8347" hidden="1">"c8347"</definedName>
    <definedName name="IQ_ECO_METRIC_8348" hidden="1">"c8348"</definedName>
    <definedName name="IQ_ECO_METRIC_8349" hidden="1">"c8349"</definedName>
    <definedName name="IQ_ECO_METRIC_8350" hidden="1">"c8350"</definedName>
    <definedName name="IQ_ECO_METRIC_8352" hidden="1">"c8352"</definedName>
    <definedName name="IQ_ECO_METRIC_8353" hidden="1">"c8353"</definedName>
    <definedName name="IQ_ECO_METRIC_8354" hidden="1">"c8354"</definedName>
    <definedName name="IQ_ECO_METRIC_8355" hidden="1">"c8355"</definedName>
    <definedName name="IQ_ECO_METRIC_8356" hidden="1">"c8356"</definedName>
    <definedName name="IQ_ECO_METRIC_8357" hidden="1">"c8357"</definedName>
    <definedName name="IQ_ECO_METRIC_8358" hidden="1">"c8358"</definedName>
    <definedName name="IQ_ECO_METRIC_8359" hidden="1">"c8359"</definedName>
    <definedName name="IQ_ECO_METRIC_8360" hidden="1">"c8360"</definedName>
    <definedName name="IQ_ECO_METRIC_8361" hidden="1">"c8361"</definedName>
    <definedName name="IQ_ECO_METRIC_8362" hidden="1">"c8362"</definedName>
    <definedName name="IQ_ECO_METRIC_8363" hidden="1">"c8363"</definedName>
    <definedName name="IQ_ECO_METRIC_8366" hidden="1">"c8366"</definedName>
    <definedName name="IQ_ECO_METRIC_8367" hidden="1">"c8367"</definedName>
    <definedName name="IQ_ECO_METRIC_8368" hidden="1">"c8368"</definedName>
    <definedName name="IQ_ECO_METRIC_8369" hidden="1">"c8369"</definedName>
    <definedName name="IQ_ECO_METRIC_8370" hidden="1">"c8370"</definedName>
    <definedName name="IQ_ECO_METRIC_8371" hidden="1">"c8371"</definedName>
    <definedName name="IQ_ECO_METRIC_8372" hidden="1">"c8372"</definedName>
    <definedName name="IQ_ECO_METRIC_8373" hidden="1">"c8373"</definedName>
    <definedName name="IQ_ECO_METRIC_8374" hidden="1">"c8374"</definedName>
    <definedName name="IQ_ECO_METRIC_8375" hidden="1">"c8375"</definedName>
    <definedName name="IQ_ECO_METRIC_8376" hidden="1">"c8376"</definedName>
    <definedName name="IQ_ECO_METRIC_8377" hidden="1">"c8377"</definedName>
    <definedName name="IQ_ECO_METRIC_8378" hidden="1">"c8378"</definedName>
    <definedName name="IQ_ECO_METRIC_8380" hidden="1">"c8380"</definedName>
    <definedName name="IQ_ECO_METRIC_8381" hidden="1">"c8381"</definedName>
    <definedName name="IQ_ECO_METRIC_8382" hidden="1">"c8382"</definedName>
    <definedName name="IQ_ECO_METRIC_8383" hidden="1">"c8383"</definedName>
    <definedName name="IQ_ECO_METRIC_8384" hidden="1">"c8384"</definedName>
    <definedName name="IQ_ECO_METRIC_8385" hidden="1">"c8385"</definedName>
    <definedName name="IQ_ECO_METRIC_8387" hidden="1">"c8387"</definedName>
    <definedName name="IQ_ECO_METRIC_8388" hidden="1">"c8388"</definedName>
    <definedName name="IQ_ECO_METRIC_8389" hidden="1">"c8389"</definedName>
    <definedName name="IQ_ECO_METRIC_8390" hidden="1">"c8390"</definedName>
    <definedName name="IQ_ECO_METRIC_8391" hidden="1">"c8391"</definedName>
    <definedName name="IQ_ECO_METRIC_8392" hidden="1">"c8392"</definedName>
    <definedName name="IQ_ECO_METRIC_8393" hidden="1">"c8393"</definedName>
    <definedName name="IQ_ECO_METRIC_8394" hidden="1">"c8394"</definedName>
    <definedName name="IQ_ECO_METRIC_8395" hidden="1">"c8395"</definedName>
    <definedName name="IQ_ECO_METRIC_8396" hidden="1">"c8396"</definedName>
    <definedName name="IQ_ECO_METRIC_8397" hidden="1">"c8397"</definedName>
    <definedName name="IQ_ECO_METRIC_8398" hidden="1">"c8398"</definedName>
    <definedName name="IQ_ECO_METRIC_8399" hidden="1">"c8399"</definedName>
    <definedName name="IQ_ECO_METRIC_8400" hidden="1">"c8400"</definedName>
    <definedName name="IQ_ECO_METRIC_8401" hidden="1">"c8401"</definedName>
    <definedName name="IQ_ECO_METRIC_8402" hidden="1">"c8402"</definedName>
    <definedName name="IQ_ECO_METRIC_8403" hidden="1">"c8403"</definedName>
    <definedName name="IQ_ECO_METRIC_8404" hidden="1">"c8404"</definedName>
    <definedName name="IQ_ECO_METRIC_8405" hidden="1">"c8405"</definedName>
    <definedName name="IQ_ECO_METRIC_8406" hidden="1">"c8406"</definedName>
    <definedName name="IQ_ECO_METRIC_8407" hidden="1">"c8407"</definedName>
    <definedName name="IQ_ECO_METRIC_8408" hidden="1">"c8408"</definedName>
    <definedName name="IQ_ECO_METRIC_8409" hidden="1">"c8409"</definedName>
    <definedName name="IQ_ECO_METRIC_8410" hidden="1">"c8410"</definedName>
    <definedName name="IQ_ECO_METRIC_8411" hidden="1">"c8411"</definedName>
    <definedName name="IQ_ECO_METRIC_8412" hidden="1">"c8412"</definedName>
    <definedName name="IQ_ECO_METRIC_8413" hidden="1">"c8413"</definedName>
    <definedName name="IQ_ECO_METRIC_8414" hidden="1">"c8414"</definedName>
    <definedName name="IQ_ECO_METRIC_8415" hidden="1">"c8415"</definedName>
    <definedName name="IQ_ECO_METRIC_8416" hidden="1">"c8416"</definedName>
    <definedName name="IQ_ECO_METRIC_8417" hidden="1">"c8417"</definedName>
    <definedName name="IQ_ECO_METRIC_8418" hidden="1">"c8418"</definedName>
    <definedName name="IQ_ECO_METRIC_8419" hidden="1">"c8419"</definedName>
    <definedName name="IQ_ECO_METRIC_8420" hidden="1">"c8420"</definedName>
    <definedName name="IQ_ECO_METRIC_8421" hidden="1">"c8421"</definedName>
    <definedName name="IQ_ECO_METRIC_8422" hidden="1">"c8422"</definedName>
    <definedName name="IQ_ECO_METRIC_8423" hidden="1">"c8423"</definedName>
    <definedName name="IQ_ECO_METRIC_8424" hidden="1">"c8424"</definedName>
    <definedName name="IQ_ECO_METRIC_8425" hidden="1">"c8425"</definedName>
    <definedName name="IQ_ECO_METRIC_8426" hidden="1">"c8426"</definedName>
    <definedName name="IQ_ECO_METRIC_8427" hidden="1">"c8427"</definedName>
    <definedName name="IQ_ECO_METRIC_8428" hidden="1">"c8428"</definedName>
    <definedName name="IQ_ECO_METRIC_8429" hidden="1">"c8429"</definedName>
    <definedName name="IQ_ECO_METRIC_8430" hidden="1">"c8430"</definedName>
    <definedName name="IQ_ECO_METRIC_8431" hidden="1">"c8431"</definedName>
    <definedName name="IQ_ECO_METRIC_8432" hidden="1">"c8432"</definedName>
    <definedName name="IQ_ECO_METRIC_8433" hidden="1">"c8433"</definedName>
    <definedName name="IQ_ECO_METRIC_8434" hidden="1">"c8434"</definedName>
    <definedName name="IQ_ECO_METRIC_8435" hidden="1">"c8435"</definedName>
    <definedName name="IQ_ECO_METRIC_8436" hidden="1">"c8436"</definedName>
    <definedName name="IQ_ECO_METRIC_8436_UNUSED" hidden="1">"c8436"</definedName>
    <definedName name="IQ_ECO_METRIC_8436_UNUSED_UNUSED_UNUSED" hidden="1">"c8436"</definedName>
    <definedName name="IQ_ECO_METRIC_8437" hidden="1">"c8437"</definedName>
    <definedName name="IQ_ECO_METRIC_8437_UNUSED" hidden="1">"c8437"</definedName>
    <definedName name="IQ_ECO_METRIC_8437_UNUSED_UNUSED_UNUSED" hidden="1">"c8437"</definedName>
    <definedName name="IQ_ECO_METRIC_8440" hidden="1">"c8440"</definedName>
    <definedName name="IQ_ECO_METRIC_8441" hidden="1">"c8441"</definedName>
    <definedName name="IQ_ECO_METRIC_8442" hidden="1">"c8442"</definedName>
    <definedName name="IQ_ECO_METRIC_8443" hidden="1">"c8443"</definedName>
    <definedName name="IQ_ECO_METRIC_8444" hidden="1">"c8444"</definedName>
    <definedName name="IQ_ECO_METRIC_8445" hidden="1">"c8445"</definedName>
    <definedName name="IQ_ECO_METRIC_8446" hidden="1">"c8446"</definedName>
    <definedName name="IQ_ECO_METRIC_8447" hidden="1">"c8447"</definedName>
    <definedName name="IQ_ECO_METRIC_8448" hidden="1">"c8448"</definedName>
    <definedName name="IQ_ECO_METRIC_8450" hidden="1">"c8450"</definedName>
    <definedName name="IQ_ECO_METRIC_8451" hidden="1">"c8451"</definedName>
    <definedName name="IQ_ECO_METRIC_8452" hidden="1">"c8452"</definedName>
    <definedName name="IQ_ECO_METRIC_8453" hidden="1">"c8453"</definedName>
    <definedName name="IQ_ECO_METRIC_8454" hidden="1">"c8454"</definedName>
    <definedName name="IQ_ECO_METRIC_8455" hidden="1">"c8455"</definedName>
    <definedName name="IQ_ECO_METRIC_8456" hidden="1">"c8456"</definedName>
    <definedName name="IQ_ECO_METRIC_8457" hidden="1">"c8457"</definedName>
    <definedName name="IQ_ECO_METRIC_8458" hidden="1">"c8458"</definedName>
    <definedName name="IQ_ECO_METRIC_8459" hidden="1">"c8459"</definedName>
    <definedName name="IQ_ECO_METRIC_8460" hidden="1">"c8460"</definedName>
    <definedName name="IQ_ECO_METRIC_8461" hidden="1">"c8461"</definedName>
    <definedName name="IQ_ECO_METRIC_8462" hidden="1">"c8462"</definedName>
    <definedName name="IQ_ECO_METRIC_8463" hidden="1">"c8463"</definedName>
    <definedName name="IQ_ECO_METRIC_8464" hidden="1">"c8464"</definedName>
    <definedName name="IQ_ECO_METRIC_8465" hidden="1">"c8465"</definedName>
    <definedName name="IQ_ECO_METRIC_8466" hidden="1">"c8466"</definedName>
    <definedName name="IQ_ECO_METRIC_8467" hidden="1">"c8467"</definedName>
    <definedName name="IQ_ECO_METRIC_8468" hidden="1">"c8468"</definedName>
    <definedName name="IQ_ECO_METRIC_8469" hidden="1">"c8469"</definedName>
    <definedName name="IQ_ECO_METRIC_8470" hidden="1">"c8470"</definedName>
    <definedName name="IQ_ECO_METRIC_8471" hidden="1">"c8471"</definedName>
    <definedName name="IQ_ECO_METRIC_8472" hidden="1">"c8472"</definedName>
    <definedName name="IQ_ECO_METRIC_8473" hidden="1">"c8473"</definedName>
    <definedName name="IQ_ECO_METRIC_8474" hidden="1">"c8474"</definedName>
    <definedName name="IQ_ECO_METRIC_8476" hidden="1">"c8476"</definedName>
    <definedName name="IQ_ECO_METRIC_8477" hidden="1">"c8477"</definedName>
    <definedName name="IQ_ECO_METRIC_8478" hidden="1">"c8478"</definedName>
    <definedName name="IQ_ECO_METRIC_8479" hidden="1">"c8479"</definedName>
    <definedName name="IQ_ECO_METRIC_8480" hidden="1">"c8480"</definedName>
    <definedName name="IQ_ECO_METRIC_8481" hidden="1">"c8481"</definedName>
    <definedName name="IQ_ECO_METRIC_8482" hidden="1">"c8482"</definedName>
    <definedName name="IQ_ECO_METRIC_8483" hidden="1">"c8483"</definedName>
    <definedName name="IQ_ECO_METRIC_8484" hidden="1">"c8484"</definedName>
    <definedName name="IQ_ECO_METRIC_8485" hidden="1">"c8485"</definedName>
    <definedName name="IQ_ECO_METRIC_8486" hidden="1">"c8486"</definedName>
    <definedName name="IQ_ECO_METRIC_8487" hidden="1">"c8487"</definedName>
    <definedName name="IQ_ECO_METRIC_8488" hidden="1">"c8488"</definedName>
    <definedName name="IQ_ECO_METRIC_8489" hidden="1">"c8489"</definedName>
    <definedName name="IQ_ECO_METRIC_8490" hidden="1">"c8490"</definedName>
    <definedName name="IQ_ECO_METRIC_8491" hidden="1">"c8491"</definedName>
    <definedName name="IQ_ECO_METRIC_8492" hidden="1">"c8492"</definedName>
    <definedName name="IQ_ECO_METRIC_8493" hidden="1">"c8493"</definedName>
    <definedName name="IQ_ECO_METRIC_8494" hidden="1">"c8494"</definedName>
    <definedName name="IQ_ECO_METRIC_8495" hidden="1">"c8495"</definedName>
    <definedName name="IQ_ECO_METRIC_8496" hidden="1">"c8496"</definedName>
    <definedName name="IQ_ECO_METRIC_8497" hidden="1">"c8497"</definedName>
    <definedName name="IQ_ECO_METRIC_8498" hidden="1">"c8498"</definedName>
    <definedName name="IQ_ECO_METRIC_8499" hidden="1">"c8499"</definedName>
    <definedName name="IQ_ECO_METRIC_8500" hidden="1">"c8500"</definedName>
    <definedName name="IQ_ECO_METRIC_8502" hidden="1">"c8502"</definedName>
    <definedName name="IQ_ECO_METRIC_8503" hidden="1">"c8503"</definedName>
    <definedName name="IQ_ECO_METRIC_8504" hidden="1">"c8504"</definedName>
    <definedName name="IQ_ECO_METRIC_8505" hidden="1">"c8505"</definedName>
    <definedName name="IQ_ECO_METRIC_8506" hidden="1">"c8506"</definedName>
    <definedName name="IQ_ECO_METRIC_8507" hidden="1">"c8507"</definedName>
    <definedName name="IQ_ECO_METRIC_8508" hidden="1">"c8508"</definedName>
    <definedName name="IQ_ECO_METRIC_8509" hidden="1">"c8509"</definedName>
    <definedName name="IQ_ECO_METRIC_8510" hidden="1">"c8510"</definedName>
    <definedName name="IQ_ECO_METRIC_8511" hidden="1">"c8511"</definedName>
    <definedName name="IQ_ECO_METRIC_8512" hidden="1">"c8512"</definedName>
    <definedName name="IQ_ECO_METRIC_8513" hidden="1">"c8513"</definedName>
    <definedName name="IQ_ECO_METRIC_8514" hidden="1">"c8514"</definedName>
    <definedName name="IQ_ECO_METRIC_8515" hidden="1">"c8515"</definedName>
    <definedName name="IQ_ECO_METRIC_8516" hidden="1">"c8516"</definedName>
    <definedName name="IQ_ECO_METRIC_8517" hidden="1">"c8517"</definedName>
    <definedName name="IQ_ECO_METRIC_8518" hidden="1">"c8518"</definedName>
    <definedName name="IQ_ECO_METRIC_8519" hidden="1">"c8519"</definedName>
    <definedName name="IQ_ECO_METRIC_8520" hidden="1">"c8520"</definedName>
    <definedName name="IQ_ECO_METRIC_8521" hidden="1">"c8521"</definedName>
    <definedName name="IQ_ECO_METRIC_8522" hidden="1">"c8522"</definedName>
    <definedName name="IQ_ECO_METRIC_8523" hidden="1">"c8523"</definedName>
    <definedName name="IQ_ECO_METRIC_8524" hidden="1">"c8524"</definedName>
    <definedName name="IQ_ECO_METRIC_8525" hidden="1">"c8525"</definedName>
    <definedName name="IQ_ECO_METRIC_8526" hidden="1">"c8526"</definedName>
    <definedName name="IQ_ECO_METRIC_8527" hidden="1">"c8527"</definedName>
    <definedName name="IQ_ECO_METRIC_8528" hidden="1">"c8528"</definedName>
    <definedName name="IQ_ECO_METRIC_8528_UNUSED" hidden="1">"c8528"</definedName>
    <definedName name="IQ_ECO_METRIC_8528_UNUSED_UNUSED_UNUSED" hidden="1">"c8528"</definedName>
    <definedName name="IQ_ECO_METRIC_8529" hidden="1">"c8529"</definedName>
    <definedName name="IQ_ECO_METRIC_8530" hidden="1">"c8530"</definedName>
    <definedName name="IQ_ECO_METRIC_8531" hidden="1">"c8531"</definedName>
    <definedName name="IQ_ECO_METRIC_8532" hidden="1">"c8532"</definedName>
    <definedName name="IQ_ECO_METRIC_8533" hidden="1">"c8533"</definedName>
    <definedName name="IQ_ECO_METRIC_8534" hidden="1">"c8534"</definedName>
    <definedName name="IQ_ECO_METRIC_8535" hidden="1">"c8535"</definedName>
    <definedName name="IQ_ECO_METRIC_8536" hidden="1">"c8536"</definedName>
    <definedName name="IQ_ECO_METRIC_8537" hidden="1">"c8537"</definedName>
    <definedName name="IQ_ECO_METRIC_8538" hidden="1">"c8538"</definedName>
    <definedName name="IQ_ECO_METRIC_8540" hidden="1">"c8540"</definedName>
    <definedName name="IQ_ECO_METRIC_8541" hidden="1">"c8541"</definedName>
    <definedName name="IQ_ECO_METRIC_8543" hidden="1">"c8543"</definedName>
    <definedName name="IQ_ECO_METRIC_8544" hidden="1">"c8544"</definedName>
    <definedName name="IQ_ECO_METRIC_8545" hidden="1">"c8545"</definedName>
    <definedName name="IQ_ECO_METRIC_8546" hidden="1">"c8546"</definedName>
    <definedName name="IQ_ECO_METRIC_8547" hidden="1">"c8547"</definedName>
    <definedName name="IQ_ECO_METRIC_8548" hidden="1">"c8548"</definedName>
    <definedName name="IQ_ECO_METRIC_8549" hidden="1">"c8549"</definedName>
    <definedName name="IQ_ECO_METRIC_8550" hidden="1">"c8550"</definedName>
    <definedName name="IQ_ECO_METRIC_8555" hidden="1">"c8555"</definedName>
    <definedName name="IQ_ECO_METRIC_8556" hidden="1">"c8556"</definedName>
    <definedName name="IQ_ECO_METRIC_8557" hidden="1">"c8557"</definedName>
    <definedName name="IQ_ECO_METRIC_8558" hidden="1">"c8558"</definedName>
    <definedName name="IQ_ECO_METRIC_8559" hidden="1">"c8559"</definedName>
    <definedName name="IQ_ECO_METRIC_8560" hidden="1">"c8560"</definedName>
    <definedName name="IQ_ECO_METRIC_8561" hidden="1">"c8561"</definedName>
    <definedName name="IQ_ECO_METRIC_8565" hidden="1">"c8565"</definedName>
    <definedName name="IQ_ECO_METRIC_8567" hidden="1">"c8567"</definedName>
    <definedName name="IQ_ECO_METRIC_8568" hidden="1">"c8568"</definedName>
    <definedName name="IQ_ECO_METRIC_8569" hidden="1">"c8569"</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"EPS_10K"</definedName>
    <definedName name="IQ_EPS_10Q" hidden="1">"EPS_10Q"</definedName>
    <definedName name="IQ_EPS_10Q1" hidden="1">"EPS_10Q1"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REUT" hidden="1">"c5460"</definedName>
    <definedName name="IQ_EPS_ACT_OR_EST_THOM" hidden="1">"c5298"</definedName>
    <definedName name="IQ_EPS_AP" hidden="1">"c8880"</definedName>
    <definedName name="IQ_EPS_AP_ABS" hidden="1">"c8899"</definedName>
    <definedName name="IQ_EPS_EST" hidden="1">"c399"</definedName>
    <definedName name="IQ_EPS_EST_1" hidden="1">"IQ_EPS_EST_1"</definedName>
    <definedName name="IQ_EPS_EST_BOTTOM_UP" hidden="1">"c5489"</definedName>
    <definedName name="IQ_EPS_EST_BOTTOM_UP_CIQ" hidden="1">"c12026"</definedName>
    <definedName name="IQ_EPS_EST_BOTTOM_UP_REUT" hidden="1">"c5497"</definedName>
    <definedName name="IQ_EPS_EST_BOTTOM_UP_THOM" hidden="1">"c5647"</definedName>
    <definedName name="IQ_EPS_EST_CIQ" hidden="1">"c4994"</definedName>
    <definedName name="IQ_EPS_EST_REUT" hidden="1">"c5453"</definedName>
    <definedName name="IQ_EPS_EST_THOM" hidden="1">"c5290"</definedName>
    <definedName name="IQ_EPS_EXCL_GUIDANCE" hidden="1">"c4368"</definedName>
    <definedName name="IQ_EPS_EXCL_GUIDANCE_CIQ" hidden="1">"c4893"</definedName>
    <definedName name="IQ_EPS_EXCL_HIGH_GUIDANCE" hidden="1">"c4369"</definedName>
    <definedName name="IQ_EPS_EXCL_HIGH_GUIDANCE_CIQ" hidden="1">"c4894"</definedName>
    <definedName name="IQ_EPS_EXCL_LOW_GUIDANCE" hidden="1">"c4204"</definedName>
    <definedName name="IQ_EPS_EXCL_LOW_GUIDANCE_CIQ" hidden="1">"c4616"</definedName>
    <definedName name="IQ_EPS_GAAP_GUIDANCE" hidden="1">"c4370"</definedName>
    <definedName name="IQ_EPS_GAAP_GUIDANCE_CIQ" hidden="1">"c4895"</definedName>
    <definedName name="IQ_EPS_GAAP_HIGH_GUIDANCE" hidden="1">"c4371"</definedName>
    <definedName name="IQ_EPS_GAAP_HIGH_GUIDANCE_CIQ" hidden="1">"c4896"</definedName>
    <definedName name="IQ_EPS_GAAP_LOW_GUIDANCE" hidden="1">"c4205"</definedName>
    <definedName name="IQ_EPS_GAAP_LOW_GUIDANCE_CIQ" hidden="1">"c4617"</definedName>
    <definedName name="IQ_EPS_GW_ACT_OR_EST" hidden="1">"c2223"</definedName>
    <definedName name="IQ_EPS_GW_ACT_OR_EST_CIQ" hidden="1">"c5066"</definedName>
    <definedName name="IQ_EPS_GW_ACT_OR_EST_REUT" hidden="1">"c5469"</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REUT" hidden="1">"c5389"</definedName>
    <definedName name="IQ_EPS_GW_EST_THOM" hidden="1">"c5133"</definedName>
    <definedName name="IQ_EPS_GW_GUIDANCE" hidden="1">"c4372"</definedName>
    <definedName name="IQ_EPS_GW_GUIDANCE_CIQ" hidden="1">"c4897"</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HIGH_GUIDANCE" hidden="1">"c4373"</definedName>
    <definedName name="IQ_EPS_GW_HIGH_GUIDANCE_CIQ" hidden="1">"c4898"</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LOW_GUIDANCE" hidden="1">"c4206"</definedName>
    <definedName name="IQ_EPS_GW_LOW_GUIDANCE_CIQ" hidden="1">"c4618"</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_EST" hidden="1">"c271"</definedName>
    <definedName name="IQ_EPS_NORM" hidden="1">"c1902"</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 hidden="1">"c5470"</definedName>
    <definedName name="IQ_EPS_REPORT_ACT_OR_EST_THOM" hidden="1">"c5307"</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REUT" hidden="1">"c5396"</definedName>
    <definedName name="IQ_EPS_REPORTED_EST_THOM" hidden="1">"c5140"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EST" hidden="1">"c4375"</definedName>
    <definedName name="IQ_EPS_SBC_EST_CIQ" hidden="1">"c4900"</definedName>
    <definedName name="IQ_EPS_SBC_GUIDANCE" hidden="1">"c4377"</definedName>
    <definedName name="IQ_EPS_SBC_GUIDANCE_CIQ" hidden="1">"c4902"</definedName>
    <definedName name="IQ_EPS_SBC_GW_ACT_OR_EST" hidden="1">"c4380"</definedName>
    <definedName name="IQ_EPS_SBC_GW_ACT_OR_EST_CIQ" hidden="1">"c4905"</definedName>
    <definedName name="IQ_EPS_SBC_GW_EST" hidden="1">"c4379"</definedName>
    <definedName name="IQ_EPS_SBC_GW_EST_CIQ" hidden="1">"c4904"</definedName>
    <definedName name="IQ_EPS_SBC_GW_GUIDANCE" hidden="1">"c4381"</definedName>
    <definedName name="IQ_EPS_SBC_GW_GUIDANCE_CIQ" hidden="1">"c4906"</definedName>
    <definedName name="IQ_EPS_SBC_GW_HIGH_EST" hidden="1">"c4382"</definedName>
    <definedName name="IQ_EPS_SBC_GW_HIGH_EST_CIQ" hidden="1">"c4907"</definedName>
    <definedName name="IQ_EPS_SBC_GW_HIGH_GUIDANCE" hidden="1">"c4189"</definedName>
    <definedName name="IQ_EPS_SBC_GW_HIGH_GUIDANCE_CIQ" hidden="1">"c4601"</definedName>
    <definedName name="IQ_EPS_SBC_GW_LOW_EST" hidden="1">"c4383"</definedName>
    <definedName name="IQ_EPS_SBC_GW_LOW_EST_CIQ" hidden="1">"c4908"</definedName>
    <definedName name="IQ_EPS_SBC_GW_LOW_GUIDANCE" hidden="1">"c4229"</definedName>
    <definedName name="IQ_EPS_SBC_GW_LOW_GUIDANCE_CIQ" hidden="1">"c4641"</definedName>
    <definedName name="IQ_EPS_SBC_GW_MEDIAN_EST" hidden="1">"c4384"</definedName>
    <definedName name="IQ_EPS_SBC_GW_MEDIAN_EST_CIQ" hidden="1">"c4909"</definedName>
    <definedName name="IQ_EPS_SBC_GW_NUM_EST" hidden="1">"c4385"</definedName>
    <definedName name="IQ_EPS_SBC_GW_NUM_EST_CIQ" hidden="1">"c4910"</definedName>
    <definedName name="IQ_EPS_SBC_GW_STDDEV_EST" hidden="1">"c4386"</definedName>
    <definedName name="IQ_EPS_SBC_GW_STDDEV_EST_CIQ" hidden="1">"c4911"</definedName>
    <definedName name="IQ_EPS_SBC_HIGH_EST" hidden="1">"c4388"</definedName>
    <definedName name="IQ_EPS_SBC_HIGH_EST_CIQ" hidden="1">"c4913"</definedName>
    <definedName name="IQ_EPS_SBC_HIGH_GUIDANCE" hidden="1">"c4188"</definedName>
    <definedName name="IQ_EPS_SBC_HIGH_GUIDANCE_CIQ" hidden="1">"c4600"</definedName>
    <definedName name="IQ_EPS_SBC_LOW_EST" hidden="1">"c4389"</definedName>
    <definedName name="IQ_EPS_SBC_LOW_EST_CIQ" hidden="1">"c4914"</definedName>
    <definedName name="IQ_EPS_SBC_LOW_GUIDANCE" hidden="1">"c4228"</definedName>
    <definedName name="IQ_EPS_SBC_LOW_GUIDANCE_CIQ" hidden="1">"c4640"</definedName>
    <definedName name="IQ_EPS_SBC_MEDIAN_EST" hidden="1">"c4390"</definedName>
    <definedName name="IQ_EPS_SBC_MEDIAN_EST_CIQ" hidden="1">"c4915"</definedName>
    <definedName name="IQ_EPS_SBC_NUM_EST" hidden="1">"c4391"</definedName>
    <definedName name="IQ_EPS_SBC_NUM_EST_CIQ" hidden="1">"c4916"</definedName>
    <definedName name="IQ_EPS_SBC_STDDEV_EST" hidden="1">"c4392"</definedName>
    <definedName name="IQ_EPS_SBC_STDDEV_EST_CIQ" hidden="1">"c4917"</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CIQ" hidden="1">"c4743"</definedName>
    <definedName name="IQ_EST_ACT_BV_REUT" hidden="1">"c5409"</definedName>
    <definedName name="IQ_EST_ACT_BV_SHARE" hidden="1">"c3549"</definedName>
    <definedName name="IQ_EST_ACT_BV_SHARE_CIQ" hidden="1">"c3806"</definedName>
    <definedName name="IQ_EST_ACT_BV_SHARE_REUT" hidden="1">"c5445"</definedName>
    <definedName name="IQ_EST_ACT_BV_SHARE_THOM" hidden="1">"c4026"</definedName>
    <definedName name="IQ_EST_ACT_BV_THOM" hidden="1">"c5153"</definedName>
    <definedName name="IQ_EST_ACT_CAPEX" hidden="1">"c3546"</definedName>
    <definedName name="IQ_EST_ACT_CAPEX_CIQ" hidden="1">"c3813"</definedName>
    <definedName name="IQ_EST_ACT_CAPEX_REUT" hidden="1">"c3975"</definedName>
    <definedName name="IQ_EST_ACT_CAPEX_THOM" hidden="1">"c5541"</definedName>
    <definedName name="IQ_EST_ACT_CASH_EPS" hidden="1">"c5637"</definedName>
    <definedName name="IQ_EST_ACT_CASH_EPS_THOM" hidden="1">"c5645"</definedName>
    <definedName name="IQ_EST_ACT_CASH_FLOW" hidden="1">"c4394"</definedName>
    <definedName name="IQ_EST_ACT_CASH_FLOW_CIQ" hidden="1">"c4919"</definedName>
    <definedName name="IQ_EST_ACT_CASH_OPER" hidden="1">"c4395"</definedName>
    <definedName name="IQ_EST_ACT_CASH_OPER_CIQ" hidden="1">"c4920"</definedName>
    <definedName name="IQ_EST_ACT_CFPS" hidden="1">"c1673"</definedName>
    <definedName name="IQ_EST_ACT_CFPS_CIQ" hidden="1">"c3681"</definedName>
    <definedName name="IQ_EST_ACT_CFPS_REUT" hidden="1">"c3850"</definedName>
    <definedName name="IQ_EST_ACT_CFPS_THOM" hidden="1">"c4012"</definedName>
    <definedName name="IQ_EST_ACT_DISTRIBUTABLE_CASH" hidden="1">"c4396"</definedName>
    <definedName name="IQ_EST_ACT_DISTRIBUTABLE_CASH_CIQ" hidden="1">"c4921"</definedName>
    <definedName name="IQ_EST_ACT_DISTRIBUTABLE_CASH_SHARE" hidden="1">"c4397"</definedName>
    <definedName name="IQ_EST_ACT_DISTRIBUTABLE_CASH_SHARE_CIQ" hidden="1">"c4922"</definedName>
    <definedName name="IQ_EST_ACT_DPS" hidden="1">"c1680"</definedName>
    <definedName name="IQ_EST_ACT_DPS_CIQ" hidden="1">"c3688"</definedName>
    <definedName name="IQ_EST_ACT_DPS_REUT" hidden="1">"c3857"</definedName>
    <definedName name="IQ_EST_ACT_DPS_THOM" hidden="1">"c4019"</definedName>
    <definedName name="IQ_EST_ACT_EBIT" hidden="1">"c1687"</definedName>
    <definedName name="IQ_EST_ACT_EBIT_CIQ" hidden="1">"c4680"</definedName>
    <definedName name="IQ_EST_ACT_EBIT_GW" hidden="1">"c4398"</definedName>
    <definedName name="IQ_EST_ACT_EBIT_GW_CIQ" hidden="1">"c4923"</definedName>
    <definedName name="IQ_EST_ACT_EBIT_REUT" hidden="1">"c5339"</definedName>
    <definedName name="IQ_EST_ACT_EBIT_SBC" hidden="1">"c4399"</definedName>
    <definedName name="IQ_EST_ACT_EBIT_SBC_CIQ" hidden="1">"c4924"</definedName>
    <definedName name="IQ_EST_ACT_EBIT_SBC_GW" hidden="1">"c4400"</definedName>
    <definedName name="IQ_EST_ACT_EBIT_SBC_GW_CIQ" hidden="1">"c4925"</definedName>
    <definedName name="IQ_EST_ACT_EBIT_THOM" hidden="1">"c5111"</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ITDA_SBC_CIQ" hidden="1">"c4926"</definedName>
    <definedName name="IQ_EST_ACT_EBITDA_THOM" hidden="1">"c3998"</definedName>
    <definedName name="IQ_EST_ACT_EBT_SBC" hidden="1">"c4402"</definedName>
    <definedName name="IQ_EST_ACT_EBT_SBC_CIQ" hidden="1">"c4927"</definedName>
    <definedName name="IQ_EST_ACT_EBT_SBC_GW" hidden="1">"c4403"</definedName>
    <definedName name="IQ_EST_ACT_EBT_SBC_GW_CIQ" hidden="1">"c4928"</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PRIMARY" hidden="1">"c2232"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REUT" hidden="1">"c5457"</definedName>
    <definedName name="IQ_EST_ACT_EPS_SBC" hidden="1">"c4404"</definedName>
    <definedName name="IQ_EST_ACT_EPS_SBC_CIQ" hidden="1">"c4929"</definedName>
    <definedName name="IQ_EST_ACT_EPS_SBC_GW" hidden="1">"c4405"</definedName>
    <definedName name="IQ_EST_ACT_EPS_SBC_GW_CIQ" hidden="1">"c4930"</definedName>
    <definedName name="IQ_EST_ACT_EPS_THOM" hidden="1">"c5294"</definedName>
    <definedName name="IQ_EST_ACT_FFO" hidden="1">"c1666"</definedName>
    <definedName name="IQ_EST_ACT_FFO_ADJ" hidden="1">"c4406"</definedName>
    <definedName name="IQ_EST_ACT_FFO_ADJ_CIQ" hidden="1">"c4931"</definedName>
    <definedName name="IQ_EST_ACT_FFO_CIQ" hidden="1">"c3674"</definedName>
    <definedName name="IQ_EST_ACT_FFO_REUT" hidden="1">"c3843"</definedName>
    <definedName name="IQ_EST_ACT_FFO_SHARE" hidden="1">"c4407"</definedName>
    <definedName name="IQ_EST_ACT_FFO_SHARE_CIQ" hidden="1">"c4932"</definedName>
    <definedName name="IQ_EST_ACT_FFO_SHARE_REUT" hidden="1">"c3843"</definedName>
    <definedName name="IQ_EST_ACT_FFO_SHARE_SHARE_REUT" hidden="1">"c3843"</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MAINT_CAPEX_CIQ" hidden="1">"c4933"</definedName>
    <definedName name="IQ_EST_ACT_NAV" hidden="1">"c1757"</definedName>
    <definedName name="IQ_EST_ACT_NAV_SHARE" hidden="1">"c5608"</definedName>
    <definedName name="IQ_EST_ACT_NAV_SHARE_REUT" hidden="1">"c5616"</definedName>
    <definedName name="IQ_EST_ACT_NAV_THOM" hidden="1">"c5600"</definedName>
    <definedName name="IQ_EST_ACT_NET_DEBT" hidden="1">"c3545"</definedName>
    <definedName name="IQ_EST_ACT_NET_DEBT_CIQ" hidden="1">"c3820"</definedName>
    <definedName name="IQ_EST_ACT_NET_DEBT_REUT" hidden="1">"c5446"</definedName>
    <definedName name="IQ_EST_ACT_NET_DEBT_THOM" hidden="1">"c4033"</definedName>
    <definedName name="IQ_EST_ACT_NI" hidden="1">"c1722"</definedName>
    <definedName name="IQ_EST_ACT_NI_CIQ" hidden="1">"c4708"</definedName>
    <definedName name="IQ_EST_ACT_NI_GW" hidden="1">"c1729"</definedName>
    <definedName name="IQ_EST_ACT_NI_GW_CIQ" hidden="1">"c4715"</definedName>
    <definedName name="IQ_EST_ACT_NI_GW_REUT" hidden="1">"c5381"</definedName>
    <definedName name="IQ_EST_ACT_NI_REPORTED" hidden="1">"c1736"</definedName>
    <definedName name="IQ_EST_ACT_NI_REPORTED_CIQ" hidden="1">"c4722"</definedName>
    <definedName name="IQ_EST_ACT_NI_REPORTED_REUT" hidden="1">"c5388"</definedName>
    <definedName name="IQ_EST_ACT_NI_REUT" hidden="1">"c5374"</definedName>
    <definedName name="IQ_EST_ACT_NI_SBC" hidden="1">"c4409"</definedName>
    <definedName name="IQ_EST_ACT_NI_SBC_CIQ" hidden="1">"c4934"</definedName>
    <definedName name="IQ_EST_ACT_NI_SBC_GW" hidden="1">"c4410"</definedName>
    <definedName name="IQ_EST_ACT_NI_SBC_GW_CIQ" hidden="1">"c4935"</definedName>
    <definedName name="IQ_EST_ACT_NI_THOM" hidden="1">"c5132"</definedName>
    <definedName name="IQ_EST_ACT_OPER_INC" hidden="1">"c1694"</definedName>
    <definedName name="IQ_EST_ACT_OPER_INC_REUT" hidden="1">"c5346"</definedName>
    <definedName name="IQ_EST_ACT_OPER_INC_THOM" hidden="1">"c5118"</definedName>
    <definedName name="IQ_EST_ACT_PRETAX_GW_INC" hidden="1">"c1708"</definedName>
    <definedName name="IQ_EST_ACT_PRETAX_GW_INC_CIQ" hidden="1">"c4694"</definedName>
    <definedName name="IQ_EST_ACT_PRETAX_GW_INC_REUT" hidden="1">"c5360"</definedName>
    <definedName name="IQ_EST_ACT_PRETAX_INC" hidden="1">"c1701"</definedName>
    <definedName name="IQ_EST_ACT_PRETAX_INC_CIQ" hidden="1">"c4687"</definedName>
    <definedName name="IQ_EST_ACT_PRETAX_INC_REUT" hidden="1">"c5353"</definedName>
    <definedName name="IQ_EST_ACT_PRETAX_INC_THOM" hidden="1">"c5125"</definedName>
    <definedName name="IQ_EST_ACT_PRETAX_REPORT_INC" hidden="1">"c1715"</definedName>
    <definedName name="IQ_EST_ACT_PRETAX_REPORT_INC_CIQ" hidden="1">"c4701"</definedName>
    <definedName name="IQ_EST_ACT_PRETAX_REPORT_INC_REUT" hidden="1">"c5367"</definedName>
    <definedName name="IQ_EST_ACT_RECURRING_PROFIT" hidden="1">"c4411"</definedName>
    <definedName name="IQ_EST_ACT_RECURRING_PROFIT_CIQ" hidden="1">"c4936"</definedName>
    <definedName name="IQ_EST_ACT_RECURRING_PROFIT_SHARE" hidden="1">"c4412"</definedName>
    <definedName name="IQ_EST_ACT_RECURRING_PROFIT_SHARE_CIQ" hidden="1">"c4937"</definedName>
    <definedName name="IQ_EST_ACT_RETURN_ASSETS" hidden="1">"c3547"</definedName>
    <definedName name="IQ_EST_ACT_RETURN_ASSETS_REUT" hidden="1">"c3996"</definedName>
    <definedName name="IQ_EST_ACT_RETURN_ASSETS_THOM" hidden="1">"c4040"</definedName>
    <definedName name="IQ_EST_ACT_RETURN_EQUITY" hidden="1">"c3548"</definedName>
    <definedName name="IQ_EST_ACT_RETURN_EQUITY_REUT" hidden="1">"c3989"</definedName>
    <definedName name="IQ_EST_ACT_RETURN_EQUITY_THOM" hidden="1">"c5287"</definedName>
    <definedName name="IQ_EST_ACT_REV" hidden="1">"c2113"</definedName>
    <definedName name="IQ_EST_ACT_REV_CIQ" hidden="1">"c3666"</definedName>
    <definedName name="IQ_EST_ACT_REV_REUT" hidden="1">"c3835"</definedName>
    <definedName name="IQ_EST_ACT_REV_THOM" hidden="1">"c3997"</definedName>
    <definedName name="IQ_EST_BV_DIFF_CIQ" hidden="1">"c4765"</definedName>
    <definedName name="IQ_EST_BV_DIFF_REUT" hidden="1">"c5433"</definedName>
    <definedName name="IQ_EST_BV_DIFF_THOM" hidden="1">"c5204"</definedName>
    <definedName name="IQ_EST_BV_SHARE_DIFF" hidden="1">"c4147"</definedName>
    <definedName name="IQ_EST_BV_SHARE_DIFF_CIQ" hidden="1">"c4559"</definedName>
    <definedName name="IQ_EST_BV_SHARE_SURPRISE_PERCENT" hidden="1">"c4148"</definedName>
    <definedName name="IQ_EST_BV_SHARE_SURPRISE_PERCENT_CIQ" hidden="1">"c4560"</definedName>
    <definedName name="IQ_EST_BV_SURPRISE_PERCENT_CIQ" hidden="1">"c4766"</definedName>
    <definedName name="IQ_EST_BV_SURPRISE_PERCENT_REUT" hidden="1">"c5434"</definedName>
    <definedName name="IQ_EST_BV_SURPRISE_PERCENT_THOM" hidden="1">"c5205"</definedName>
    <definedName name="IQ_EST_CAPEX_DIFF" hidden="1">"c4149"</definedName>
    <definedName name="IQ_EST_CAPEX_DIFF_CIQ" hidden="1">"c4561"</definedName>
    <definedName name="IQ_EST_CAPEX_GROWTH_1YR" hidden="1">"c3588"</definedName>
    <definedName name="IQ_EST_CAPEX_GROWTH_1YR_CIQ" hidden="1">"c4972"</definedName>
    <definedName name="IQ_EST_CAPEX_GROWTH_1YR_REUT" hidden="1">"c5447"</definedName>
    <definedName name="IQ_EST_CAPEX_GROWTH_1YR_THOM" hidden="1">"c5542"</definedName>
    <definedName name="IQ_EST_CAPEX_GROWTH_2YR" hidden="1">"c3589"</definedName>
    <definedName name="IQ_EST_CAPEX_GROWTH_2YR_CIQ" hidden="1">"c4973"</definedName>
    <definedName name="IQ_EST_CAPEX_GROWTH_2YR_REUT" hidden="1">"c5448"</definedName>
    <definedName name="IQ_EST_CAPEX_GROWTH_2YR_THOM" hidden="1">"c5543"</definedName>
    <definedName name="IQ_EST_CAPEX_GROWTH_Q_1YR" hidden="1">"c3590"</definedName>
    <definedName name="IQ_EST_CAPEX_GROWTH_Q_1YR_CIQ" hidden="1">"c4974"</definedName>
    <definedName name="IQ_EST_CAPEX_GROWTH_Q_1YR_REUT" hidden="1">"c5449"</definedName>
    <definedName name="IQ_EST_CAPEX_GROWTH_Q_1YR_THOM" hidden="1">"c5544"</definedName>
    <definedName name="IQ_EST_CAPEX_SEQ_GROWTH_Q" hidden="1">"c3591"</definedName>
    <definedName name="IQ_EST_CAPEX_SEQ_GROWTH_Q_CIQ" hidden="1">"c4975"</definedName>
    <definedName name="IQ_EST_CAPEX_SEQ_GROWTH_Q_REUT" hidden="1">"c5450"</definedName>
    <definedName name="IQ_EST_CAPEX_SEQ_GROWTH_Q_THOM" hidden="1">"c5545"</definedName>
    <definedName name="IQ_EST_CAPEX_SURPRISE_PERCENT" hidden="1">"c4151"</definedName>
    <definedName name="IQ_EST_CAPEX_SURPRISE_PERCENT_CIQ" hidden="1">"c4563"</definedName>
    <definedName name="IQ_EST_CASH_FLOW_DIFF" hidden="1">"c4152"</definedName>
    <definedName name="IQ_EST_CASH_FLOW_DIFF_CIQ" hidden="1">"c4564"</definedName>
    <definedName name="IQ_EST_CASH_FLOW_SURPRISE_PERCENT" hidden="1">"c4161"</definedName>
    <definedName name="IQ_EST_CASH_FLOW_SURPRISE_PERCENT_CIQ" hidden="1">"c4573"</definedName>
    <definedName name="IQ_EST_CASH_OPER_DIFF" hidden="1">"c4162"</definedName>
    <definedName name="IQ_EST_CASH_OPER_DIFF_CIQ" hidden="1">"c4574"</definedName>
    <definedName name="IQ_EST_CASH_OPER_SURPRISE_PERCENT" hidden="1">"c4248"</definedName>
    <definedName name="IQ_EST_CASH_OPER_SURPRISE_PERCENT_CIQ" hidden="1">"c4774"</definedName>
    <definedName name="IQ_EST_CFPS_DIFF" hidden="1">"c1871"</definedName>
    <definedName name="IQ_EST_CFPS_DIFF_CIQ" hidden="1">"c3723"</definedName>
    <definedName name="IQ_EST_CFPS_DIFF_REUT" hidden="1">"c3892"</definedName>
    <definedName name="IQ_EST_CFPS_DIFF_THOM" hidden="1">"c5188"</definedName>
    <definedName name="IQ_EST_CFPS_GROWTH_1YR" hidden="1">"c1774"</definedName>
    <definedName name="IQ_EST_CFPS_GROWTH_1YR_CIQ" hidden="1">"c3709"</definedName>
    <definedName name="IQ_EST_CFPS_GROWTH_1YR_REUT" hidden="1">"c3878"</definedName>
    <definedName name="IQ_EST_CFPS_GROWTH_1YR_THOM" hidden="1">"c5174"</definedName>
    <definedName name="IQ_EST_CFPS_GROWTH_2YR" hidden="1">"c1775"</definedName>
    <definedName name="IQ_EST_CFPS_GROWTH_2YR_CIQ" hidden="1">"c3710"</definedName>
    <definedName name="IQ_EST_CFPS_GROWTH_2YR_REUT" hidden="1">"c3879"</definedName>
    <definedName name="IQ_EST_CFPS_GROWTH_2YR_THOM" hidden="1">"c5175"</definedName>
    <definedName name="IQ_EST_CFPS_GROWTH_Q_1YR" hidden="1">"c1776"</definedName>
    <definedName name="IQ_EST_CFPS_GROWTH_Q_1YR_CIQ" hidden="1">"c3711"</definedName>
    <definedName name="IQ_EST_CFPS_GROWTH_Q_1YR_REUT" hidden="1">"c3880"</definedName>
    <definedName name="IQ_EST_CFPS_GROWTH_Q_1YR_THOM" hidden="1">"c5176"</definedName>
    <definedName name="IQ_EST_CFPS_SEQ_GROWTH_Q" hidden="1">"c1777"</definedName>
    <definedName name="IQ_EST_CFPS_SEQ_GROWTH_Q_CIQ" hidden="1">"c3712"</definedName>
    <definedName name="IQ_EST_CFPS_SEQ_GROWTH_Q_REUT" hidden="1">"c3881"</definedName>
    <definedName name="IQ_EST_CFPS_SEQ_GROWTH_Q_THOM" hidden="1">"c5177"</definedName>
    <definedName name="IQ_EST_CFPS_SURPRISE_PERCENT" hidden="1">"c1872"</definedName>
    <definedName name="IQ_EST_CFPS_SURPRISE_PERCENT_CIQ" hidden="1">"c3724"</definedName>
    <definedName name="IQ_EST_CFPS_SURPRISE_PERCENT_REUT" hidden="1">"c3893"</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ISTRIBUTABLE_CASH_DIFF" hidden="1">"c4276"</definedName>
    <definedName name="IQ_EST_DISTRIBUTABLE_CASH_DIFF_CIQ" hidden="1">"c4801"</definedName>
    <definedName name="IQ_EST_DISTRIBUTABLE_CASH_GROWTH_1YR" hidden="1">"c4413"</definedName>
    <definedName name="IQ_EST_DISTRIBUTABLE_CASH_GROWTH_1YR_CIQ" hidden="1">"c4938"</definedName>
    <definedName name="IQ_EST_DISTRIBUTABLE_CASH_GROWTH_2YR" hidden="1">"c4414"</definedName>
    <definedName name="IQ_EST_DISTRIBUTABLE_CASH_GROWTH_2YR_CIQ" hidden="1">"c4939"</definedName>
    <definedName name="IQ_EST_DISTRIBUTABLE_CASH_GROWTH_Q_1YR" hidden="1">"c4415"</definedName>
    <definedName name="IQ_EST_DISTRIBUTABLE_CASH_GROWTH_Q_1YR_CIQ" hidden="1">"c4940"</definedName>
    <definedName name="IQ_EST_DISTRIBUTABLE_CASH_SEQ_GROWTH_Q" hidden="1">"c4416"</definedName>
    <definedName name="IQ_EST_DISTRIBUTABLE_CASH_SEQ_GROWTH_Q_CIQ" hidden="1">"c4941"</definedName>
    <definedName name="IQ_EST_DISTRIBUTABLE_CASH_SHARE_DIFF" hidden="1">"c4284"</definedName>
    <definedName name="IQ_EST_DISTRIBUTABLE_CASH_SHARE_DIFF_CIQ" hidden="1">"c4809"</definedName>
    <definedName name="IQ_EST_DISTRIBUTABLE_CASH_SHARE_GROWTH_1YR" hidden="1">"c4417"</definedName>
    <definedName name="IQ_EST_DISTRIBUTABLE_CASH_SHARE_GROWTH_1YR_CIQ" hidden="1">"c4942"</definedName>
    <definedName name="IQ_EST_DISTRIBUTABLE_CASH_SHARE_GROWTH_2YR" hidden="1">"c4418"</definedName>
    <definedName name="IQ_EST_DISTRIBUTABLE_CASH_SHARE_GROWTH_2YR_CIQ" hidden="1">"c4943"</definedName>
    <definedName name="IQ_EST_DISTRIBUTABLE_CASH_SHARE_GROWTH_Q_1YR" hidden="1">"c4419"</definedName>
    <definedName name="IQ_EST_DISTRIBUTABLE_CASH_SHARE_GROWTH_Q_1YR_CIQ" hidden="1">"c4944"</definedName>
    <definedName name="IQ_EST_DISTRIBUTABLE_CASH_SHARE_SEQ_GROWTH_Q" hidden="1">"c4420"</definedName>
    <definedName name="IQ_EST_DISTRIBUTABLE_CASH_SHARE_SEQ_GROWTH_Q_CIQ" hidden="1">"c4945"</definedName>
    <definedName name="IQ_EST_DISTRIBUTABLE_CASH_SHARE_SURPRISE_PERCENT" hidden="1">"c4293"</definedName>
    <definedName name="IQ_EST_DISTRIBUTABLE_CASH_SHARE_SURPRISE_PERCENT_CIQ" hidden="1">"c4818"</definedName>
    <definedName name="IQ_EST_DISTRIBUTABLE_CASH_SURPRISE_PERCENT" hidden="1">"c4295"</definedName>
    <definedName name="IQ_EST_DISTRIBUTABLE_CASH_SURPRISE_PERCENT_CIQ" hidden="1">"c4820"</definedName>
    <definedName name="IQ_EST_DPS_DIFF" hidden="1">"c1873"</definedName>
    <definedName name="IQ_EST_DPS_DIFF_CIQ" hidden="1">"c3725"</definedName>
    <definedName name="IQ_EST_DPS_DIFF_REUT" hidden="1">"c3894"</definedName>
    <definedName name="IQ_EST_DPS_DIFF_THOM" hidden="1">"c5190"</definedName>
    <definedName name="IQ_EST_DPS_GROWTH_1YR" hidden="1">"c1778"</definedName>
    <definedName name="IQ_EST_DPS_GROWTH_1YR_CIQ" hidden="1">"c3713"</definedName>
    <definedName name="IQ_EST_DPS_GROWTH_1YR_REUT" hidden="1">"c3882"</definedName>
    <definedName name="IQ_EST_DPS_GROWTH_1YR_THOM" hidden="1">"c5178"</definedName>
    <definedName name="IQ_EST_DPS_GROWTH_2YR" hidden="1">"c1779"</definedName>
    <definedName name="IQ_EST_DPS_GROWTH_2YR_CIQ" hidden="1">"c3714"</definedName>
    <definedName name="IQ_EST_DPS_GROWTH_2YR_REUT" hidden="1">"c3883"</definedName>
    <definedName name="IQ_EST_DPS_GROWTH_2YR_THOM" hidden="1">"c5179"</definedName>
    <definedName name="IQ_EST_DPS_GROWTH_Q_1YR" hidden="1">"c1780"</definedName>
    <definedName name="IQ_EST_DPS_GROWTH_Q_1YR_CIQ" hidden="1">"c3715"</definedName>
    <definedName name="IQ_EST_DPS_GROWTH_Q_1YR_REUT" hidden="1">"c3884"</definedName>
    <definedName name="IQ_EST_DPS_GROWTH_Q_1YR_THOM" hidden="1">"c5180"</definedName>
    <definedName name="IQ_EST_DPS_SEQ_GROWTH_Q" hidden="1">"c1781"</definedName>
    <definedName name="IQ_EST_DPS_SEQ_GROWTH_Q_CIQ" hidden="1">"c3716"</definedName>
    <definedName name="IQ_EST_DPS_SEQ_GROWTH_Q_REUT" hidden="1">"c3885"</definedName>
    <definedName name="IQ_EST_DPS_SEQ_GROWTH_Q_THOM" hidden="1">"c5181"</definedName>
    <definedName name="IQ_EST_DPS_SURPRISE_PERCENT" hidden="1">"c1874"</definedName>
    <definedName name="IQ_EST_DPS_SURPRISE_PERCENT_CIQ" hidden="1">"c3726"</definedName>
    <definedName name="IQ_EST_DPS_SURPRISE_PERCENT_REUT" hidden="1">"c3895"</definedName>
    <definedName name="IQ_EST_DPS_SURPRISE_PERCENT_THOM" hidden="1">"c5191"</definedName>
    <definedName name="IQ_EST_EBIT_DIFF" hidden="1">"c1875"</definedName>
    <definedName name="IQ_EST_EBIT_DIFF_CIQ" hidden="1">"c4747"</definedName>
    <definedName name="IQ_EST_EBIT_DIFF_REUT" hidden="1">"c5413"</definedName>
    <definedName name="IQ_EST_EBIT_DIFF_THOM" hidden="1">"c5192"</definedName>
    <definedName name="IQ_EST_EBIT_GW_DIFF" hidden="1">"c4304"</definedName>
    <definedName name="IQ_EST_EBIT_GW_DIFF_CIQ" hidden="1">"c4829"</definedName>
    <definedName name="IQ_EST_EBIT_GW_SURPRISE_PERCENT" hidden="1">"c4313"</definedName>
    <definedName name="IQ_EST_EBIT_GW_SURPRISE_PERCENT_CIQ" hidden="1">"c4838"</definedName>
    <definedName name="IQ_EST_EBIT_SBC_DIFF" hidden="1">"c4314"</definedName>
    <definedName name="IQ_EST_EBIT_SBC_DIFF_CIQ" hidden="1">"c4839"</definedName>
    <definedName name="IQ_EST_EBIT_SBC_GW_DIFF" hidden="1">"c4318"</definedName>
    <definedName name="IQ_EST_EBIT_SBC_GW_DIFF_CIQ" hidden="1">"c4843"</definedName>
    <definedName name="IQ_EST_EBIT_SBC_GW_SURPRISE_PERCENT" hidden="1">"c4327"</definedName>
    <definedName name="IQ_EST_EBIT_SBC_GW_SURPRISE_PERCENT_CIQ" hidden="1">"c4852"</definedName>
    <definedName name="IQ_EST_EBIT_SBC_SURPRISE_PERCENT" hidden="1">"c4333"</definedName>
    <definedName name="IQ_EST_EBIT_SBC_SURPRISE_PERCENT_CIQ" hidden="1">"c4858"</definedName>
    <definedName name="IQ_EST_EBIT_SURPRISE_PERCENT" hidden="1">"c1876"</definedName>
    <definedName name="IQ_EST_EBIT_SURPRISE_PERCENT_CIQ" hidden="1">"c4748"</definedName>
    <definedName name="IQ_EST_EBIT_SURPRISE_PERCENT_REUT" hidden="1">"c5414"</definedName>
    <definedName name="IQ_EST_EBIT_SURPRISE_PERCENT_THOM" hidden="1">"c5193"</definedName>
    <definedName name="IQ_EST_EBITDA_DIFF" hidden="1">"c1867"</definedName>
    <definedName name="IQ_EST_EBITDA_DIFF_CIQ" hidden="1">"c3719"</definedName>
    <definedName name="IQ_EST_EBITDA_DIFF_REUT" hidden="1">"c3888"</definedName>
    <definedName name="IQ_EST_EBITDA_DIFF_THOM" hidden="1">"c5184"</definedName>
    <definedName name="IQ_EST_EBITDA_GROWTH_1YR" hidden="1">"c1766"</definedName>
    <definedName name="IQ_EST_EBITDA_GROWTH_1YR_CIQ" hidden="1">"c3695"</definedName>
    <definedName name="IQ_EST_EBITDA_GROWTH_1YR_REUT" hidden="1">"c3864"</definedName>
    <definedName name="IQ_EST_EBITDA_GROWTH_1YR_THOM" hidden="1">"c5161"</definedName>
    <definedName name="IQ_EST_EBITDA_GROWTH_2YR" hidden="1">"c1767"</definedName>
    <definedName name="IQ_EST_EBITDA_GROWTH_2YR_CIQ" hidden="1">"c3696"</definedName>
    <definedName name="IQ_EST_EBITDA_GROWTH_2YR_REUT" hidden="1">"c3865"</definedName>
    <definedName name="IQ_EST_EBITDA_GROWTH_2YR_THOM" hidden="1">"c5162"</definedName>
    <definedName name="IQ_EST_EBITDA_GROWTH_Q_1YR" hidden="1">"c1768"</definedName>
    <definedName name="IQ_EST_EBITDA_GROWTH_Q_1YR_CIQ" hidden="1">"c3697"</definedName>
    <definedName name="IQ_EST_EBITDA_GROWTH_Q_1YR_REUT" hidden="1">"c3866"</definedName>
    <definedName name="IQ_EST_EBITDA_GROWTH_Q_1YR_THOM" hidden="1">"c5163"</definedName>
    <definedName name="IQ_EST_EBITDA_SBC_DIFF" hidden="1">"c4335"</definedName>
    <definedName name="IQ_EST_EBITDA_SBC_DIFF_CIQ" hidden="1">"c4860"</definedName>
    <definedName name="IQ_EST_EBITDA_SBC_SURPRISE_PERCENT" hidden="1">"c4344"</definedName>
    <definedName name="IQ_EST_EBITDA_SBC_SURPRISE_PERCENT_CIQ" hidden="1">"c4869"</definedName>
    <definedName name="IQ_EST_EBITDA_SEQ_GROWTH_Q" hidden="1">"c1769"</definedName>
    <definedName name="IQ_EST_EBITDA_SEQ_GROWTH_Q_CIQ" hidden="1">"c3698"</definedName>
    <definedName name="IQ_EST_EBITDA_SEQ_GROWTH_Q_REUT" hidden="1">"c3867"</definedName>
    <definedName name="IQ_EST_EBITDA_SEQ_GROWTH_Q_THOM" hidden="1">"c5164"</definedName>
    <definedName name="IQ_EST_EBITDA_SURPRISE_PERCENT" hidden="1">"c1868"</definedName>
    <definedName name="IQ_EST_EBITDA_SURPRISE_PERCENT_CIQ" hidden="1">"c3720"</definedName>
    <definedName name="IQ_EST_EBITDA_SURPRISE_PERCENT_REUT" hidden="1">"c3889"</definedName>
    <definedName name="IQ_EST_EBITDA_SURPRISE_PERCENT_THOM" hidden="1">"c5185"</definedName>
    <definedName name="IQ_EST_EBT_SBC_DIFF" hidden="1">"c4348"</definedName>
    <definedName name="IQ_EST_EBT_SBC_DIFF_CIQ" hidden="1">"c4873"</definedName>
    <definedName name="IQ_EST_EBT_SBC_GW_DIFF" hidden="1">"c4352"</definedName>
    <definedName name="IQ_EST_EBT_SBC_GW_DIFF_CIQ" hidden="1">"c4877"</definedName>
    <definedName name="IQ_EST_EBT_SBC_GW_SURPRISE_PERCENT" hidden="1">"c4361"</definedName>
    <definedName name="IQ_EST_EBT_SBC_GW_SURPRISE_PERCENT_CIQ" hidden="1">"c4886"</definedName>
    <definedName name="IQ_EST_EBT_SBC_SURPRISE_PERCENT" hidden="1">"c4367"</definedName>
    <definedName name="IQ_EST_EBT_SBC_SURPRISE_PERCENT_CIQ" hidden="1">"c4892"</definedName>
    <definedName name="IQ_EST_EPS_DIFF" hidden="1">"c1864"</definedName>
    <definedName name="IQ_EST_EPS_DIFF_CIQ" hidden="1">"c4999"</definedName>
    <definedName name="IQ_EST_EPS_DIFF_REUT" hidden="1">"c5458"</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CIQ" hidden="1">"c3689"</definedName>
    <definedName name="IQ_EST_EPS_GROWTH_2YR_REUT" hidden="1">"c3858"</definedName>
    <definedName name="IQ_EST_EPS_GROWTH_2YR_THOM" hidden="1">"c5154"</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HIGH_THOM" hidden="1">"c5101"</definedName>
    <definedName name="IQ_EST_EPS_GROWTH_5YR_LOW" hidden="1">"c1658"</definedName>
    <definedName name="IQ_EST_EPS_GROWTH_5YR_LOW_CIQ" hidden="1">"c4664"</definedName>
    <definedName name="IQ_EST_EPS_GROWTH_5YR_LOW_REUT" hidden="1">"c5323"</definedName>
    <definedName name="IQ_EST_EPS_GROWTH_5YR_LOW_THOM" hidden="1">"c5102"</definedName>
    <definedName name="IQ_EST_EPS_GROWTH_5YR_MEDIAN" hidden="1">"c1656"</definedName>
    <definedName name="IQ_EST_EPS_GROWTH_5YR_MEDIAN_CIQ" hidden="1">"c5480"</definedName>
    <definedName name="IQ_EST_EPS_GROWTH_5YR_MEDIAN_REUT" hidden="1">"c5321"</definedName>
    <definedName name="IQ_EST_EPS_GROWTH_5YR_MEDIAN_THOM" hidden="1">"c5100"</definedName>
    <definedName name="IQ_EST_EPS_GROWTH_5YR_NUM" hidden="1">"c1659"</definedName>
    <definedName name="IQ_EST_EPS_GROWTH_5YR_NUM_CIQ" hidden="1">"c4665"</definedName>
    <definedName name="IQ_EST_EPS_GROWTH_5YR_NUM_REUT" hidden="1">"c5324"</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BC_DIFF" hidden="1">"c4374"</definedName>
    <definedName name="IQ_EST_EPS_SBC_DIFF_CIQ" hidden="1">"c4899"</definedName>
    <definedName name="IQ_EST_EPS_SBC_GW_DIFF" hidden="1">"c4378"</definedName>
    <definedName name="IQ_EST_EPS_SBC_GW_DIFF_CIQ" hidden="1">"c4903"</definedName>
    <definedName name="IQ_EST_EPS_SBC_GW_SURPRISE_PERCENT" hidden="1">"c4387"</definedName>
    <definedName name="IQ_EST_EPS_SBC_GW_SURPRISE_PERCENT_CIQ" hidden="1">"c4912"</definedName>
    <definedName name="IQ_EST_EPS_SBC_SURPRISE_PERCENT" hidden="1">"c4393"</definedName>
    <definedName name="IQ_EST_EPS_SBC_SURPRISE_PERCENT_CIQ" hidden="1">"c4918"</definedName>
    <definedName name="IQ_EST_EPS_SEQ_GROWTH_Q" hidden="1">"c1764"</definedName>
    <definedName name="IQ_EST_EPS_SEQ_GROWTH_Q_CIQ" hidden="1">"c3690"</definedName>
    <definedName name="IQ_EST_EPS_SEQ_GROWTH_Q_REUT" hidden="1">"c3859"</definedName>
    <definedName name="IQ_EST_EPS_SEQ_GROWTH_Q_THOM" hidden="1">"c5156"</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EPS_SURPRISE_PERCENT_THOM" hidden="1">"c5296"</definedName>
    <definedName name="IQ_EST_FAIR_VALUE_MORT_SERVICING_ASSETS_FFIEC" hidden="1">"c12956"</definedName>
    <definedName name="IQ_EST_FFO_ADJ_DIFF" hidden="1">"c4433"</definedName>
    <definedName name="IQ_EST_FFO_ADJ_DIFF_CIQ" hidden="1">"c4958"</definedName>
    <definedName name="IQ_EST_FFO_ADJ_GROWTH_1YR" hidden="1">"c4421"</definedName>
    <definedName name="IQ_EST_FFO_ADJ_GROWTH_1YR_CIQ" hidden="1">"c4946"</definedName>
    <definedName name="IQ_EST_FFO_ADJ_GROWTH_2YR" hidden="1">"c4422"</definedName>
    <definedName name="IQ_EST_FFO_ADJ_GROWTH_2YR_CIQ" hidden="1">"c4947"</definedName>
    <definedName name="IQ_EST_FFO_ADJ_GROWTH_Q_1YR" hidden="1">"c4423"</definedName>
    <definedName name="IQ_EST_FFO_ADJ_GROWTH_Q_1YR_CIQ" hidden="1">"c4948"</definedName>
    <definedName name="IQ_EST_FFO_ADJ_SEQ_GROWTH_Q" hidden="1">"c4424"</definedName>
    <definedName name="IQ_EST_FFO_ADJ_SEQ_GROWTH_Q_CIQ" hidden="1">"c4949"</definedName>
    <definedName name="IQ_EST_FFO_ADJ_SURPRISE_PERCENT" hidden="1">"c4442"</definedName>
    <definedName name="IQ_EST_FFO_ADJ_SURPRISE_PERCENT_CIQ" hidden="1">"c4967"</definedName>
    <definedName name="IQ_EST_FFO_DIFF" hidden="1">"c1869"</definedName>
    <definedName name="IQ_EST_FFO_DIFF_CIQ" hidden="1">"c3721"</definedName>
    <definedName name="IQ_EST_FFO_DIFF_REUT" hidden="1">"c3890"</definedName>
    <definedName name="IQ_EST_FFO_DIFF_THOM" hidden="1">"c5186"</definedName>
    <definedName name="IQ_EST_FFO_GROWTH_1YR" hidden="1">"c1770"</definedName>
    <definedName name="IQ_EST_FFO_GROWTH_1YR_CIQ" hidden="1">"c3705"</definedName>
    <definedName name="IQ_EST_FFO_GROWTH_1YR_REUT" hidden="1">"c3874"</definedName>
    <definedName name="IQ_EST_FFO_GROWTH_1YR_THOM" hidden="1">"c5170"</definedName>
    <definedName name="IQ_EST_FFO_GROWTH_2YR" hidden="1">"c1771"</definedName>
    <definedName name="IQ_EST_FFO_GROWTH_2YR_CIQ" hidden="1">"c3706"</definedName>
    <definedName name="IQ_EST_FFO_GROWTH_2YR_REUT" hidden="1">"c3875"</definedName>
    <definedName name="IQ_EST_FFO_GROWTH_2YR_THOM" hidden="1">"c5171"</definedName>
    <definedName name="IQ_EST_FFO_GROWTH_Q_1YR" hidden="1">"c1772"</definedName>
    <definedName name="IQ_EST_FFO_GROWTH_Q_1YR_CIQ" hidden="1">"c3707"</definedName>
    <definedName name="IQ_EST_FFO_GROWTH_Q_1YR_REUT" hidden="1">"c3876"</definedName>
    <definedName name="IQ_EST_FFO_GROWTH_Q_1YR_THOM" hidden="1">"c5172"</definedName>
    <definedName name="IQ_EST_FFO_SEQ_GROWTH_Q" hidden="1">"c1773"</definedName>
    <definedName name="IQ_EST_FFO_SEQ_GROWTH_Q_CIQ" hidden="1">"c3708"</definedName>
    <definedName name="IQ_EST_FFO_SEQ_GROWTH_Q_REUT" hidden="1">"c3877"</definedName>
    <definedName name="IQ_EST_FFO_SEQ_GROWTH_Q_THOM" hidden="1">"c5173"</definedName>
    <definedName name="IQ_EST_FFO_SHARE_DIFF" hidden="1">"c4444"</definedName>
    <definedName name="IQ_EST_FFO_SHARE_DIFF_CIQ" hidden="1">"c4969"</definedName>
    <definedName name="IQ_EST_FFO_SHARE_DIFF_REUT" hidden="1">"c3890"</definedName>
    <definedName name="IQ_EST_FFO_SHARE_GROWTH_1YR" hidden="1">"c4425"</definedName>
    <definedName name="IQ_EST_FFO_SHARE_GROWTH_1YR_CIQ" hidden="1">"c4950"</definedName>
    <definedName name="IQ_EST_FFO_SHARE_GROWTH_2YR" hidden="1">"c4426"</definedName>
    <definedName name="IQ_EST_FFO_SHARE_GROWTH_2YR_CIQ" hidden="1">"c4951"</definedName>
    <definedName name="IQ_EST_FFO_SHARE_GROWTH_Q_1YR" hidden="1">"c4427"</definedName>
    <definedName name="IQ_EST_FFO_SHARE_GROWTH_Q_1YR_CIQ" hidden="1">"c4952"</definedName>
    <definedName name="IQ_EST_FFO_SHARE_SEQ_GROWTH_Q" hidden="1">"c4428"</definedName>
    <definedName name="IQ_EST_FFO_SHARE_SEQ_GROWTH_Q_CIQ" hidden="1">"c4953"</definedName>
    <definedName name="IQ_EST_FFO_SHARE_SHARE_DIFF_REUT" hidden="1">"c3890"</definedName>
    <definedName name="IQ_EST_FFO_SHARE_SHARE_SURPRISE_PERCENT_REUT" hidden="1">"c3891"</definedName>
    <definedName name="IQ_EST_FFO_SHARE_SURPRISE_PERCENT" hidden="1">"c4453"</definedName>
    <definedName name="IQ_EST_FFO_SHARE_SURPRISE_PERCENT_CIQ" hidden="1">"c4982"</definedName>
    <definedName name="IQ_EST_FFO_SHARE_SURPRISE_PERCENT_REUT" hidden="1">"c3891"</definedName>
    <definedName name="IQ_EST_FFO_SURPRISE_PERCENT" hidden="1">"c1870"</definedName>
    <definedName name="IQ_EST_FFO_SURPRISE_PERCENT_CIQ" hidden="1">"c3722"</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FOOTNOTE_THOM" hidden="1">"c5313"</definedName>
    <definedName name="IQ_EST_MAINT_CAPEX_DIFF" hidden="1">"c4456"</definedName>
    <definedName name="IQ_EST_MAINT_CAPEX_DIFF_CIQ" hidden="1">"c4985"</definedName>
    <definedName name="IQ_EST_MAINT_CAPEX_GROWTH_1YR" hidden="1">"c4429"</definedName>
    <definedName name="IQ_EST_MAINT_CAPEX_GROWTH_1YR_CIQ" hidden="1">"c4954"</definedName>
    <definedName name="IQ_EST_MAINT_CAPEX_GROWTH_2YR" hidden="1">"c4430"</definedName>
    <definedName name="IQ_EST_MAINT_CAPEX_GROWTH_2YR_CIQ" hidden="1">"c4955"</definedName>
    <definedName name="IQ_EST_MAINT_CAPEX_GROWTH_Q_1YR" hidden="1">"c4431"</definedName>
    <definedName name="IQ_EST_MAINT_CAPEX_GROWTH_Q_1YR_CIQ" hidden="1">"c4956"</definedName>
    <definedName name="IQ_EST_MAINT_CAPEX_SEQ_GROWTH_Q" hidden="1">"c4432"</definedName>
    <definedName name="IQ_EST_MAINT_CAPEX_SEQ_GROWTH_Q_CIQ" hidden="1">"c4957"</definedName>
    <definedName name="IQ_EST_MAINT_CAPEX_SURPRISE_PERCENT" hidden="1">"c4465"</definedName>
    <definedName name="IQ_EST_MAINT_CAPEX_SURPRISE_PERCENT_CIQ" hidden="1">"c5003"</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DIFF_CIQ" hidden="1">"c5004"</definedName>
    <definedName name="IQ_EST_NET_DEBT_SURPRISE_PERCENT" hidden="1">"c4468"</definedName>
    <definedName name="IQ_EST_NET_DEBT_SURPRISE_PERCENT_CIQ" hidden="1">"c5006"</definedName>
    <definedName name="IQ_EST_NEXT_EARNINGS_DATE" hidden="1">"c13591"</definedName>
    <definedName name="IQ_EST_NI_DIFF" hidden="1">"c1885"</definedName>
    <definedName name="IQ_EST_NI_DIFF_CIQ" hidden="1">"c4755"</definedName>
    <definedName name="IQ_EST_NI_DIFF_REUT" hidden="1">"c5423"</definedName>
    <definedName name="IQ_EST_NI_DIFF_THOM" hidden="1">"c5198"</definedName>
    <definedName name="IQ_EST_NI_GW_DIFF" hidden="1">"c1887"</definedName>
    <definedName name="IQ_EST_NI_GW_DIFF_CIQ" hidden="1">"c4757"</definedName>
    <definedName name="IQ_EST_NI_GW_DIFF_REUT" hidden="1">"c5425"</definedName>
    <definedName name="IQ_EST_NI_GW_SURPRISE_PERCENT" hidden="1">"c1888"</definedName>
    <definedName name="IQ_EST_NI_GW_SURPRISE_PERCENT_CIQ" hidden="1">"c4758"</definedName>
    <definedName name="IQ_EST_NI_GW_SURPRISE_PERCENT_REUT" hidden="1">"c5426"</definedName>
    <definedName name="IQ_EST_NI_REPORT_DIFF" hidden="1">"c1889"</definedName>
    <definedName name="IQ_EST_NI_REPORT_DIFF_CIQ" hidden="1">"c4759"</definedName>
    <definedName name="IQ_EST_NI_REPORT_DIFF_REUT" hidden="1">"c5427"</definedName>
    <definedName name="IQ_EST_NI_REPORT_SURPRISE_PERCENT" hidden="1">"c1890"</definedName>
    <definedName name="IQ_EST_NI_REPORT_SURPRISE_PERCENT_CIQ" hidden="1">"c4760"</definedName>
    <definedName name="IQ_EST_NI_REPORT_SURPRISE_PERCENT_REUT" hidden="1">"c5428"</definedName>
    <definedName name="IQ_EST_NI_SBC_DIFF" hidden="1">"c4472"</definedName>
    <definedName name="IQ_EST_NI_SBC_DIFF_CIQ" hidden="1">"c5010"</definedName>
    <definedName name="IQ_EST_NI_SBC_GW_DIFF" hidden="1">"c4476"</definedName>
    <definedName name="IQ_EST_NI_SBC_GW_DIFF_CIQ" hidden="1">"c5014"</definedName>
    <definedName name="IQ_EST_NI_SBC_GW_SURPRISE_PERCENT" hidden="1">"c4485"</definedName>
    <definedName name="IQ_EST_NI_SBC_GW_SURPRISE_PERCENT_CIQ" hidden="1">"c5023"</definedName>
    <definedName name="IQ_EST_NI_SBC_SURPRISE_PERCENT" hidden="1">"c4491"</definedName>
    <definedName name="IQ_EST_NI_SBC_SURPRISE_PERCENT_CIQ" hidden="1">"c5029"</definedName>
    <definedName name="IQ_EST_NI_SURPRISE_PERCENT" hidden="1">"c1886"</definedName>
    <definedName name="IQ_EST_NI_SURPRISE_PERCENT_CIQ" hidden="1">"c4756"</definedName>
    <definedName name="IQ_EST_NI_SURPRISE_PERCENT_REUT" hidden="1">"c5424"</definedName>
    <definedName name="IQ_EST_NI_SURPRISE_PERCENT_THOM" hidden="1">"c5199"</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CIQ" hidden="1">"c3701"</definedName>
    <definedName name="IQ_EST_NUM_HIGH_REC_REUT" hidden="1">"c3870"</definedName>
    <definedName name="IQ_EST_NUM_HIGH_REC_THOM" hidden="1">"c5166"</definedName>
    <definedName name="IQ_EST_NUM_HIGHEST_REC" hidden="1">"c5648"</definedName>
    <definedName name="IQ_EST_NUM_HIGHEST_REC_CIQ" hidden="1">"c3700"</definedName>
    <definedName name="IQ_EST_NUM_HIGHEST_REC_REUT" hidden="1">"c3869"</definedName>
    <definedName name="IQ_EST_NUM_HIGHEST_REC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CIQ" hidden="1">"c3703"</definedName>
    <definedName name="IQ_EST_NUM_LOW_REC_REUT" hidden="1">"c3872"</definedName>
    <definedName name="IQ_EST_NUM_LOW_REC_THOM" hidden="1">"c5168"</definedName>
    <definedName name="IQ_EST_NUM_LOWEST_REC" hidden="1">"c5652"</definedName>
    <definedName name="IQ_EST_NUM_LOWEST_REC_CIQ" hidden="1">"c3704"</definedName>
    <definedName name="IQ_EST_NUM_LOWEST_REC_REUT" hidden="1">"c3873"</definedName>
    <definedName name="IQ_EST_NUM_LOWEST_REC_THOM" hidden="1">"c5169"</definedName>
    <definedName name="IQ_EST_NUM_NEUTRAL_REC" hidden="1">"c5650"</definedName>
    <definedName name="IQ_EST_NUM_NEUTRAL_REC_CIQ" hidden="1">"c3702"</definedName>
    <definedName name="IQ_EST_NUM_NEUTRAL_REC_REUT" hidden="1">"c3871"</definedName>
    <definedName name="IQ_EST_NUM_NEUTRAL_REC_THOM" hidden="1">"c5167"</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REUT" hidden="1">"c5415"</definedName>
    <definedName name="IQ_EST_OPER_INC_DIFF_THOM" hidden="1">"c5194"</definedName>
    <definedName name="IQ_EST_OPER_INC_SURPRISE_PERCENT" hidden="1">"c1878"</definedName>
    <definedName name="IQ_EST_OPER_INC_SURPRISE_PERCENT_REUT" hidden="1">"c5416"</definedName>
    <definedName name="IQ_EST_OPER_INC_SURPRISE_PERCENT_THOM" hidden="1">"c5195"</definedName>
    <definedName name="IQ_EST_PRE_TAX_DIFF" hidden="1">"c1879"</definedName>
    <definedName name="IQ_EST_PRE_TAX_DIFF_CIQ" hidden="1">"c4749"</definedName>
    <definedName name="IQ_EST_PRE_TAX_DIFF_REUT" hidden="1">"c5417"</definedName>
    <definedName name="IQ_EST_PRE_TAX_DIFF_THOM" hidden="1">"c5196"</definedName>
    <definedName name="IQ_EST_PRE_TAX_GW_DIFF" hidden="1">"c1881"</definedName>
    <definedName name="IQ_EST_PRE_TAX_GW_DIFF_CIQ" hidden="1">"c4751"</definedName>
    <definedName name="IQ_EST_PRE_TAX_GW_DIFF_REUT" hidden="1">"c5419"</definedName>
    <definedName name="IQ_EST_PRE_TAX_GW_SURPRISE_PERCENT" hidden="1">"c1882"</definedName>
    <definedName name="IQ_EST_PRE_TAX_GW_SURPRISE_PERCENT_CIQ" hidden="1">"c4752"</definedName>
    <definedName name="IQ_EST_PRE_TAX_GW_SURPRISE_PERCENT_REUT" hidden="1">"c5420"</definedName>
    <definedName name="IQ_EST_PRE_TAX_REPORT_DIFF" hidden="1">"c1883"</definedName>
    <definedName name="IQ_EST_PRE_TAX_REPORT_DIFF_CIQ" hidden="1">"c4753"</definedName>
    <definedName name="IQ_EST_PRE_TAX_REPORT_DIFF_REUT" hidden="1">"c5421"</definedName>
    <definedName name="IQ_EST_PRE_TAX_REPORT_SURPRISE_PERCENT" hidden="1">"c1884"</definedName>
    <definedName name="IQ_EST_PRE_TAX_REPORT_SURPRISE_PERCENT_CIQ" hidden="1">"c4754"</definedName>
    <definedName name="IQ_EST_PRE_TAX_REPORT_SURPRISE_PERCENT_REUT" hidden="1">"c5422"</definedName>
    <definedName name="IQ_EST_PRE_TAX_SURPRISE_PERCENT" hidden="1">"c1880"</definedName>
    <definedName name="IQ_EST_PRE_TAX_SURPRISE_PERCENT_CIQ" hidden="1">"c4750"</definedName>
    <definedName name="IQ_EST_PRE_TAX_SURPRISE_PERCENT_REUT" hidden="1">"c5418"</definedName>
    <definedName name="IQ_EST_PRE_TAX_SURPRISE_PERCENT_THOM" hidden="1">"c5197"</definedName>
    <definedName name="IQ_EST_RECURRING_PROFIT_SHARE_DIFF" hidden="1">"c4505"</definedName>
    <definedName name="IQ_EST_RECURRING_PROFIT_SHARE_DIFF_CIQ" hidden="1">"c5043"</definedName>
    <definedName name="IQ_EST_RECURRING_PROFIT_SHARE_SURPRISE_PERCENT" hidden="1">"c4515"</definedName>
    <definedName name="IQ_EST_RECURRING_PROFIT_SHARE_SURPRISE_PERCENT_CIQ" hidden="1">"c5053"</definedName>
    <definedName name="IQ_EST_REV_DIFF" hidden="1">"c1865"</definedName>
    <definedName name="IQ_EST_REV_DIFF_CIQ" hidden="1">"c3717"</definedName>
    <definedName name="IQ_EST_REV_DIFF_REUT" hidden="1">"c3886"</definedName>
    <definedName name="IQ_EST_REV_DIFF_THOM" hidden="1">"c5182"</definedName>
    <definedName name="IQ_EST_REV_GROWTH_1YR" hidden="1">"c1638"</definedName>
    <definedName name="IQ_EST_REV_GROWTH_1YR_CIQ" hidden="1">"c3691"</definedName>
    <definedName name="IQ_EST_REV_GROWTH_1YR_REUT" hidden="1">"c3860"</definedName>
    <definedName name="IQ_EST_REV_GROWTH_1YR_THOM" hidden="1">"c5157"</definedName>
    <definedName name="IQ_EST_REV_GROWTH_2YR" hidden="1">"c1639"</definedName>
    <definedName name="IQ_EST_REV_GROWTH_2YR_CIQ" hidden="1">"c3692"</definedName>
    <definedName name="IQ_EST_REV_GROWTH_2YR_REUT" hidden="1">"c3861"</definedName>
    <definedName name="IQ_EST_REV_GROWTH_2YR_THOM" hidden="1">"c5158"</definedName>
    <definedName name="IQ_EST_REV_GROWTH_Q_1YR" hidden="1">"c1640"</definedName>
    <definedName name="IQ_EST_REV_GROWTH_Q_1YR_CIQ" hidden="1">"c3693"</definedName>
    <definedName name="IQ_EST_REV_GROWTH_Q_1YR_REUT" hidden="1">"c3862"</definedName>
    <definedName name="IQ_EST_REV_GROWTH_Q_1YR_THOM" hidden="1">"c5159"</definedName>
    <definedName name="IQ_EST_REV_SEQ_GROWTH_Q" hidden="1">"c1765"</definedName>
    <definedName name="IQ_EST_REV_SEQ_GROWTH_Q_CIQ" hidden="1">"c3694"</definedName>
    <definedName name="IQ_EST_REV_SEQ_GROWTH_Q_REUT" hidden="1">"c3863"</definedName>
    <definedName name="IQ_EST_REV_SEQ_GROWTH_Q_THOM" hidden="1">"c5160"</definedName>
    <definedName name="IQ_EST_REV_SURPRISE_PERCENT" hidden="1">"c1866"</definedName>
    <definedName name="IQ_EST_REV_SURPRISE_PERCENT_CIQ" hidden="1">"c3718"</definedName>
    <definedName name="IQ_EST_REV_SURPRISE_PERCENT_REUT" hidden="1">"c3887"</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VENT_DATE" hidden="1">"c13819"</definedName>
    <definedName name="IQ_EVENT_ID" hidden="1">"c13818"</definedName>
    <definedName name="IQ_EVENT_TIME" hidden="1">"c13820"</definedName>
    <definedName name="IQ_EVENT_TYPE" hidden="1">"c13821"</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"General Advisory"</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FDIC" hidden="1">"c6427"</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SOLD" hidden="1">"c2256"</definedName>
    <definedName name="IQ_FEES_COMMISSIONS_BROKERAGE_FFIEC" hidden="1">"c13005"</definedName>
    <definedName name="IQ_FEES_OTHER_INCOME" hidden="1">"c15257"</definedName>
    <definedName name="IQ_FFO" hidden="1">"c1574"</definedName>
    <definedName name="IQ_FFO_ACT_OR_EST" hidden="1">"c2216"</definedName>
    <definedName name="IQ_FFO_ADJ_ACT_OR_EST" hidden="1">"c4435"</definedName>
    <definedName name="IQ_FFO_ADJ_ACT_OR_EST_CIQ" hidden="1">"c4960"</definedName>
    <definedName name="IQ_FFO_ADJ_EST" hidden="1">"c4434"</definedName>
    <definedName name="IQ_FFO_ADJ_EST_CIQ" hidden="1">"c4959"</definedName>
    <definedName name="IQ_FFO_ADJ_GUIDANCE" hidden="1">"c4436"</definedName>
    <definedName name="IQ_FFO_ADJ_GUIDANCE_CIQ" hidden="1">"c4961"</definedName>
    <definedName name="IQ_FFO_ADJ_HIGH_EST" hidden="1">"c4437"</definedName>
    <definedName name="IQ_FFO_ADJ_HIGH_EST_CIQ" hidden="1">"c4962"</definedName>
    <definedName name="IQ_FFO_ADJ_HIGH_GUIDANCE" hidden="1">"c4202"</definedName>
    <definedName name="IQ_FFO_ADJ_HIGH_GUIDANCE_CIQ" hidden="1">"c4614"</definedName>
    <definedName name="IQ_FFO_ADJ_LOW_EST" hidden="1">"c4438"</definedName>
    <definedName name="IQ_FFO_ADJ_LOW_EST_CIQ" hidden="1">"c4963"</definedName>
    <definedName name="IQ_FFO_ADJ_LOW_GUIDANCE" hidden="1">"c4242"</definedName>
    <definedName name="IQ_FFO_ADJ_LOW_GUIDANCE_CIQ" hidden="1">"c4654"</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EST" hidden="1">"c418"</definedName>
    <definedName name="IQ_FFO_EST_CIQ" hidden="1">"c3668"</definedName>
    <definedName name="IQ_FFO_EST_REUT" hidden="1">"c3837"</definedName>
    <definedName name="IQ_FFO_EST_THOM" hidden="1">"c3999"</definedName>
    <definedName name="IQ_FFO_GUIDANCE" hidden="1">"c4443"</definedName>
    <definedName name="IQ_FFO_GUIDANCE_CIQ" hidden="1">"c4968"</definedName>
    <definedName name="IQ_FFO_HIGH_EST" hidden="1">"c419"</definedName>
    <definedName name="IQ_FFO_HIGH_EST_CIQ" hidden="1">"c3670"</definedName>
    <definedName name="IQ_FFO_HIGH_EST_REUT" hidden="1">"c3839"</definedName>
    <definedName name="IQ_FFO_HIGH_EST_THOM" hidden="1">"c4001"</definedName>
    <definedName name="IQ_FFO_HIGH_GUIDANCE" hidden="1">"c4184"</definedName>
    <definedName name="IQ_FFO_HIGH_GUIDANCE_CIQ" hidden="1">"c4596"</definedName>
    <definedName name="IQ_FFO_LOW_EST" hidden="1">"c420"</definedName>
    <definedName name="IQ_FFO_LOW_EST_CIQ" hidden="1">"c3671"</definedName>
    <definedName name="IQ_FFO_LOW_EST_REUT" hidden="1">"c3840"</definedName>
    <definedName name="IQ_FFO_LOW_EST_THOM" hidden="1">"c4002"</definedName>
    <definedName name="IQ_FFO_LOW_GUIDANCE" hidden="1">"c4224"</definedName>
    <definedName name="IQ_FFO_LOW_GUIDANCE_CIQ" hidden="1">"c4636"</definedName>
    <definedName name="IQ_FFO_MEDIAN_EST" hidden="1">"c1665"</definedName>
    <definedName name="IQ_FFO_MEDIAN_EST_CIQ" hidden="1">"c3669"</definedName>
    <definedName name="IQ_FFO_MEDIAN_EST_REUT" hidden="1">"c3838"</definedName>
    <definedName name="IQ_FFO_MEDIAN_EST_THOM" hidden="1">"c4000"</definedName>
    <definedName name="IQ_FFO_NO_EST" hidden="1">"c276"</definedName>
    <definedName name="IQ_FFO_NUM_EST" hidden="1">"c421"</definedName>
    <definedName name="IQ_FFO_NUM_EST_CIQ" hidden="1">"c3672"</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EST" hidden="1">"c4445"</definedName>
    <definedName name="IQ_FFO_SHARE_EST_CIQ" hidden="1">"c4970"</definedName>
    <definedName name="IQ_FFO_SHARE_EST_REUT" hidden="1">"c3837"</definedName>
    <definedName name="IQ_FFO_SHARE_GUIDANCE" hidden="1">"c4447"</definedName>
    <definedName name="IQ_FFO_SHARE_GUIDANCE_CIQ" hidden="1">"c4976"</definedName>
    <definedName name="IQ_FFO_SHARE_HIGH_EST" hidden="1">"c4448"</definedName>
    <definedName name="IQ_FFO_SHARE_HIGH_EST_CIQ" hidden="1">"c4977"</definedName>
    <definedName name="IQ_FFO_SHARE_HIGH_EST_REUT" hidden="1">"c3839"</definedName>
    <definedName name="IQ_FFO_SHARE_HIGH_GUIDANCE" hidden="1">"c4203"</definedName>
    <definedName name="IQ_FFO_SHARE_HIGH_GUIDANCE_CIQ" hidden="1">"c4615"</definedName>
    <definedName name="IQ_FFO_SHARE_LOW_EST" hidden="1">"c4449"</definedName>
    <definedName name="IQ_FFO_SHARE_LOW_EST_CIQ" hidden="1">"c4978"</definedName>
    <definedName name="IQ_FFO_SHARE_LOW_EST_REUT" hidden="1">"c3840"</definedName>
    <definedName name="IQ_FFO_SHARE_LOW_GUIDANCE" hidden="1">"c4243"</definedName>
    <definedName name="IQ_FFO_SHARE_LOW_GUIDANCE_CIQ" hidden="1">"c4655"</definedName>
    <definedName name="IQ_FFO_SHARE_MEDIAN_EST" hidden="1">"c4450"</definedName>
    <definedName name="IQ_FFO_SHARE_MEDIAN_EST_CIQ" hidden="1">"c4979"</definedName>
    <definedName name="IQ_FFO_SHARE_MEDIAN_EST_REUT" hidden="1">"c3838"</definedName>
    <definedName name="IQ_FFO_SHARE_NUM_EST" hidden="1">"c4451"</definedName>
    <definedName name="IQ_FFO_SHARE_NUM_EST_CIQ" hidden="1">"c4980"</definedName>
    <definedName name="IQ_FFO_SHARE_NUM_EST_REUT" hidden="1">"c3841"</definedName>
    <definedName name="IQ_FFO_SHARE_SHARE_EST_REUT" hidden="1">"c3837"</definedName>
    <definedName name="IQ_FFO_SHARE_SHARE_HIGH_EST_REUT" hidden="1">"c3839"</definedName>
    <definedName name="IQ_FFO_SHARE_SHARE_LOW_EST_REUT" hidden="1">"c3840"</definedName>
    <definedName name="IQ_FFO_SHARE_SHARE_MEDIAN_EST_REUT" hidden="1">"c3838"</definedName>
    <definedName name="IQ_FFO_SHARE_SHARE_NUM_EST_REUT" hidden="1">"c3841"</definedName>
    <definedName name="IQ_FFO_SHARE_SHARE_STDDEV_EST_REUT" hidden="1">"c3842"</definedName>
    <definedName name="IQ_FFO_SHARE_STDDEV_EST" hidden="1">"c4452"</definedName>
    <definedName name="IQ_FFO_SHARE_STDDEV_EST_CIQ" hidden="1">"c4981"</definedName>
    <definedName name="IQ_FFO_SHARE_STDDEV_EST_REUT" hidden="1">"c3842"</definedName>
    <definedName name="IQ_FFO_STDDEV_EST" hidden="1">"c422"</definedName>
    <definedName name="IQ_FFO_STDDEV_EST_CIQ" hidden="1">"c3673"</definedName>
    <definedName name="IQ_FFO_STDDEV_EST_REUT" hidden="1">"c3842"</definedName>
    <definedName name="IQ_FFO_STDDEV_EST_THOM" hidden="1">"c4004"</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Y" hidden="1">"c441"</definedName>
    <definedName name="IQ_FISCAL_Y_EST" hidden="1">"c6795"</definedName>
    <definedName name="IQ_FISCAL_Y_EST_CIQ" hidden="1">"c6807"</definedName>
    <definedName name="IQ_FISCAL_Y_EST_REUT" hidden="1">"c6799"</definedName>
    <definedName name="IQ_FIVE_PERCENT_AMOUNT" hidden="1">"c240"</definedName>
    <definedName name="IQ_FIVE_PERCENT_OWNER" hidden="1">"c442"</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UNDATION_OVER_TOTAL" hidden="1">"c13769"</definedName>
    <definedName name="IQ_FQ" hidden="1">500</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FEE_INC_NON_INT_INC_FFIEC" hidden="1">"c13493"</definedName>
    <definedName name="IQ_FUND_NAV" hidden="1">"c15225"</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FY_DATE" hidden="1">"FY_DATE"</definedName>
    <definedName name="IQ_GA_EXP" hidden="1">"c2241"</definedName>
    <definedName name="IQ_GAAP_BS" hidden="1">"c6789"</definedName>
    <definedName name="IQ_GAAP_CF" hidden="1">"c6790"</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MARGIN_ACT_OR_EST" hidden="1">"c5554"</definedName>
    <definedName name="IQ_GROSS_MARGIN_ACT_OR_EST_THOM" hidden="1">"c5562"</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HOTEL_MOTEL" hidden="1">"c8731"</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CASINO_GAMING" hidden="1">"c8723"</definedName>
    <definedName name="IQ_HG_REV_TOTAL_HOTEL_MOTEL" hidden="1">"c8732"</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TYPE" hidden="1">"c15223"</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"c1407"</definedName>
    <definedName name="IQ_INTEL_EPS_EST" hidden="1">"c24729"</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"INTEREST_INC_10K"</definedName>
    <definedName name="IQ_INTEREST_INC_10Q" hidden="1">"INTEREST_INC_10Q"</definedName>
    <definedName name="IQ_INTEREST_INC_10Q1" hidden="1">"INTEREST_INC_10Q1"</definedName>
    <definedName name="IQ_INTEREST_INC_NON" hidden="1">"c1384"</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K" hidden="1">1000</definedName>
    <definedName name="IQ_LATESTKFR" hidden="1">"50"</definedName>
    <definedName name="IQ_LATESTQ" hidden="1">500</definedName>
    <definedName name="IQ_LATESTQFR" hidden="1">"100"</definedName>
    <definedName name="IQ_LEAD_UNDERWRITER" hidden="1">"c8957"</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ISTING_CURRENCY" hidden="1">"c2127"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"LTM_DATE"</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EST_CIQ" hidden="1">"c4986"</definedName>
    <definedName name="IQ_MAINT_CAPEX_GUIDANCE" hidden="1">"c4459"</definedName>
    <definedName name="IQ_MAINT_CAPEX_GUIDANCE_CIQ" hidden="1">"c4988"</definedName>
    <definedName name="IQ_MAINT_CAPEX_HIGH_EST" hidden="1">"c4460"</definedName>
    <definedName name="IQ_MAINT_CAPEX_HIGH_EST_CIQ" hidden="1">"c4989"</definedName>
    <definedName name="IQ_MAINT_CAPEX_HIGH_GUIDANCE" hidden="1">"c4197"</definedName>
    <definedName name="IQ_MAINT_CAPEX_HIGH_GUIDANCE_CIQ" hidden="1">"c4609"</definedName>
    <definedName name="IQ_MAINT_CAPEX_LOW_EST" hidden="1">"c4461"</definedName>
    <definedName name="IQ_MAINT_CAPEX_LOW_EST_CIQ" hidden="1">"c4990"</definedName>
    <definedName name="IQ_MAINT_CAPEX_LOW_GUIDANCE" hidden="1">"c4237"</definedName>
    <definedName name="IQ_MAINT_CAPEX_LOW_GUIDANCE_CIQ" hidden="1">"c4649"</definedName>
    <definedName name="IQ_MAINT_CAPEX_MEDIAN_EST" hidden="1">"c4462"</definedName>
    <definedName name="IQ_MAINT_CAPEX_MEDIAN_EST_CIQ" hidden="1">"c4991"</definedName>
    <definedName name="IQ_MAINT_CAPEX_NUM_EST" hidden="1">"c4463"</definedName>
    <definedName name="IQ_MAINT_CAPEX_NUM_EST_CIQ" hidden="1">"c5001"</definedName>
    <definedName name="IQ_MAINT_CAPEX_STDDEV_EST" hidden="1">"c4464"</definedName>
    <definedName name="IQ_MAINT_CAPEX_STDDEV_EST_CIQ" hidden="1">"c5002"</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GA_MARGIN" hidden="1">"c9930"</definedName>
    <definedName name="IQ_MC_GA_OPERATING_REV" hidden="1">"c9929"</definedName>
    <definedName name="IQ_MC_MEDICAL_COSTS_PMPM" hidden="1">"c9925"</definedName>
    <definedName name="IQ_MC_MEDICAL_EXPENSE_RATIO" hidden="1">"c9927"</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MARGIN" hidden="1">"c9932"</definedName>
    <definedName name="IQ_MC_SGA_OPERATING_REV" hidden="1">"c9931"</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NAMES_REVISION_DATE_" hidden="1">40449.4288773148</definedName>
    <definedName name="IQ_NAMES_REVISION_DATE_1" hidden="1">40582.5256712963</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V_ACT_OR_EST" hidden="1">"c2225"</definedName>
    <definedName name="IQ_NAV_ACT_OR_EST_THOM" hidden="1">"c5607"</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SHARE_ACT_OR_EST" hidden="1">"c2225"</definedName>
    <definedName name="IQ_NAV_SHARE_ACT_OR_EST_REUT" hidden="1">"c5623"</definedName>
    <definedName name="IQ_NAV_SHARE_EST" hidden="1">"c5609"</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STDDEV_EST" hidden="1">"c5611"</definedName>
    <definedName name="IQ_NAV_SHARE_STDDEV_EST_REUT" hidden="1">"c5619"</definedName>
    <definedName name="IQ_NAV_STDDEV_EST" hidden="1">"c1756"</definedName>
    <definedName name="IQ_NAV_STDDEV_EST_THOM" hidden="1">"c5603"</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 hidden="1">"c5070"</definedName>
    <definedName name="IQ_NET_DEBT_ACT_OR_EST_REUT" hidden="1">"c5473"</definedName>
    <definedName name="IQ_NET_DEBT_ACT_OR_EST_THOM" hidden="1">"c5309"</definedName>
    <definedName name="IQ_NET_DEBT_EBITDA" hidden="1">"c750"</definedName>
    <definedName name="IQ_NET_DEBT_EBITDA_CAPEX" hidden="1">"c2949"</definedName>
    <definedName name="IQ_NET_DEBT_EST" hidden="1">"c3517"</definedName>
    <definedName name="IQ_NET_DEBT_EST_CIQ" hidden="1">"c3814"</definedName>
    <definedName name="IQ_NET_DEBT_EST_REUT" hidden="1">"c3976"</definedName>
    <definedName name="IQ_NET_DEBT_EST_THOM" hidden="1">"c4027"</definedName>
    <definedName name="IQ_NET_DEBT_GUIDANCE" hidden="1">"c4467"</definedName>
    <definedName name="IQ_NET_DEBT_GUIDANCE_CIQ" hidden="1">"c5005"</definedName>
    <definedName name="IQ_NET_DEBT_HIGH_EST" hidden="1">"c3518"</definedName>
    <definedName name="IQ_NET_DEBT_HIGH_EST_CIQ" hidden="1">"c3816"</definedName>
    <definedName name="IQ_NET_DEBT_HIGH_EST_REUT" hidden="1">"c3978"</definedName>
    <definedName name="IQ_NET_DEBT_HIGH_EST_THOM" hidden="1">"c4029"</definedName>
    <definedName name="IQ_NET_DEBT_HIGH_GUIDANCE" hidden="1">"c4181"</definedName>
    <definedName name="IQ_NET_DEBT_HIGH_GUIDANCE_CIQ" hidden="1">"c4593"</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CIQ" hidden="1">"c3817"</definedName>
    <definedName name="IQ_NET_DEBT_LOW_EST_REUT" hidden="1">"c3979"</definedName>
    <definedName name="IQ_NET_DEBT_LOW_EST_THOM" hidden="1">"c4030"</definedName>
    <definedName name="IQ_NET_DEBT_LOW_GUIDANCE" hidden="1">"c4221"</definedName>
    <definedName name="IQ_NET_DEBT_LOW_GUIDANCE_CIQ" hidden="1">"c4633"</definedName>
    <definedName name="IQ_NET_DEBT_MEDIAN_EST" hidden="1">"c3520"</definedName>
    <definedName name="IQ_NET_DEBT_MEDIAN_EST_CIQ" hidden="1">"c3815"</definedName>
    <definedName name="IQ_NET_DEBT_MEDIAN_EST_REUT" hidden="1">"c3977"</definedName>
    <definedName name="IQ_NET_DEBT_MEDIAN_EST_THOM" hidden="1">"c4028"</definedName>
    <definedName name="IQ_NET_DEBT_NUM_EST" hidden="1">"c3515"</definedName>
    <definedName name="IQ_NET_DEBT_NUM_EST_CIQ" hidden="1">"c3818"</definedName>
    <definedName name="IQ_NET_DEBT_NUM_EST_REUT" hidden="1">"c3980"</definedName>
    <definedName name="IQ_NET_DEBT_NUM_EST_THOM" hidden="1">"c4031"</definedName>
    <definedName name="IQ_NET_DEBT_STDDEV_EST" hidden="1">"c3516"</definedName>
    <definedName name="IQ_NET_DEBT_STDDEV_EST_CIQ" hidden="1">"c3819"</definedName>
    <definedName name="IQ_NET_DEBT_STDDEV_EST_REUT" hidden="1">"c3981"</definedName>
    <definedName name="IQ_NET_DEBT_STDDEV_EST_THOM" hidden="1">"c4032"</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10K" hidden="1">"NET_INC_10K"</definedName>
    <definedName name="IQ_NET_INC_10Q" hidden="1">"NET_INC_10Q"</definedName>
    <definedName name="IQ_NET_INC_10Q1" hidden="1">"NET_INC_10Q1"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NONINTEREST_INC_EXP_INTERNATIONAL_OPS_FFIEC" hidden="1">"c15387"</definedName>
    <definedName name="IQ_NET_OPERATING_INCOME_ASSETS_FDIC" hidden="1">"c6729"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 hidden="1">"c5065"</definedName>
    <definedName name="IQ_NI_ACT_OR_EST_REUT" hidden="1">"c5468"</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EST_CIQ" hidden="1">"c4702"</definedName>
    <definedName name="IQ_NI_EST_REUT" hidden="1">"c5368"</definedName>
    <definedName name="IQ_NI_EST_THOM" hidden="1">"c5126"</definedName>
    <definedName name="IQ_NI_FFIEC" hidden="1">"c13034"</definedName>
    <definedName name="IQ_NI_GAAP_GUIDANCE" hidden="1">"c4470"</definedName>
    <definedName name="IQ_NI_GAAP_GUIDANCE_CIQ" hidden="1">"c5008"</definedName>
    <definedName name="IQ_NI_GAAP_HIGH_GUIDANCE" hidden="1">"c4177"</definedName>
    <definedName name="IQ_NI_GAAP_HIGH_GUIDANCE_CIQ" hidden="1">"c4589"</definedName>
    <definedName name="IQ_NI_GAAP_LOW_GUIDANCE" hidden="1">"c4217"</definedName>
    <definedName name="IQ_NI_GAAP_LOW_GUIDANCE_CIQ" hidden="1">"c4629"</definedName>
    <definedName name="IQ_NI_GUIDANCE" hidden="1">"c4469"</definedName>
    <definedName name="IQ_NI_GUIDANCE_CIQ" hidden="1">"c5007"</definedName>
    <definedName name="IQ_NI_GW_EST" hidden="1">"c1723"</definedName>
    <definedName name="IQ_NI_GW_EST_CIQ" hidden="1">"c4709"</definedName>
    <definedName name="IQ_NI_GW_EST_REUT" hidden="1">"c5375"</definedName>
    <definedName name="IQ_NI_GW_GUIDANCE" hidden="1">"c4471"</definedName>
    <definedName name="IQ_NI_GW_GUIDANCE_CIQ" hidden="1">"c5009"</definedName>
    <definedName name="IQ_NI_GW_HIGH_EST" hidden="1">"c1725"</definedName>
    <definedName name="IQ_NI_GW_HIGH_EST_CIQ" hidden="1">"c4711"</definedName>
    <definedName name="IQ_NI_GW_HIGH_EST_REUT" hidden="1">"c5377"</definedName>
    <definedName name="IQ_NI_GW_HIGH_GUIDANCE" hidden="1">"c4178"</definedName>
    <definedName name="IQ_NI_GW_HIGH_GUIDANCE_CIQ" hidden="1">"c4590"</definedName>
    <definedName name="IQ_NI_GW_LOW_EST" hidden="1">"c1726"</definedName>
    <definedName name="IQ_NI_GW_LOW_EST_CIQ" hidden="1">"c4712"</definedName>
    <definedName name="IQ_NI_GW_LOW_EST_REUT" hidden="1">"c5378"</definedName>
    <definedName name="IQ_NI_GW_LOW_GUIDANCE" hidden="1">"c4218"</definedName>
    <definedName name="IQ_NI_GW_LOW_GUIDANCE_CIQ" hidden="1">"c4630"</definedName>
    <definedName name="IQ_NI_GW_MEDIAN_EST" hidden="1">"c1724"</definedName>
    <definedName name="IQ_NI_GW_MEDIAN_EST_CIQ" hidden="1">"c4710"</definedName>
    <definedName name="IQ_NI_GW_MEDIAN_EST_REUT" hidden="1">"c5376"</definedName>
    <definedName name="IQ_NI_GW_NUM_EST" hidden="1">"c1727"</definedName>
    <definedName name="IQ_NI_GW_NUM_EST_CIQ" hidden="1">"c4713"</definedName>
    <definedName name="IQ_NI_GW_NUM_EST_REUT" hidden="1">"c5379"</definedName>
    <definedName name="IQ_NI_GW_STDDEV_EST" hidden="1">"c1728"</definedName>
    <definedName name="IQ_NI_GW_STDDEV_EST_CIQ" hidden="1">"c4714"</definedName>
    <definedName name="IQ_NI_GW_STDDEV_EST_REUT" hidden="1">"c5380"</definedName>
    <definedName name="IQ_NI_HIGH_EST" hidden="1">"c1718"</definedName>
    <definedName name="IQ_NI_HIGH_EST_CIQ" hidden="1">"c4704"</definedName>
    <definedName name="IQ_NI_HIGH_EST_REUT" hidden="1">"c5370"</definedName>
    <definedName name="IQ_NI_HIGH_EST_THOM" hidden="1">"c5128"</definedName>
    <definedName name="IQ_NI_HIGH_GUIDANCE" hidden="1">"c4176"</definedName>
    <definedName name="IQ_NI_HIGH_GUIDANCE_CIQ" hidden="1">"c4588"</definedName>
    <definedName name="IQ_NI_LOW_EST" hidden="1">"c1719"</definedName>
    <definedName name="IQ_NI_LOW_EST_CIQ" hidden="1">"c4705"</definedName>
    <definedName name="IQ_NI_LOW_EST_REUT" hidden="1">"c5371"</definedName>
    <definedName name="IQ_NI_LOW_EST_THOM" hidden="1">"c5129"</definedName>
    <definedName name="IQ_NI_LOW_GUIDANCE" hidden="1">"c4216"</definedName>
    <definedName name="IQ_NI_LOW_GUIDANCE_CIQ" hidden="1">"c4628"</definedName>
    <definedName name="IQ_NI_MARGIN" hidden="1">"c794"</definedName>
    <definedName name="IQ_NI_MEDIAN_EST" hidden="1">"c1717"</definedName>
    <definedName name="IQ_NI_MEDIAN_EST_CIQ" hidden="1">"c4703"</definedName>
    <definedName name="IQ_NI_MEDIAN_EST_REUT" hidden="1">"c5369"</definedName>
    <definedName name="IQ_NI_MEDIAN_EST_THOM" hidden="1">"c5127"</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CIQ" hidden="1">"c4706"</definedName>
    <definedName name="IQ_NI_NUM_EST_REUT" hidden="1">"c5372"</definedName>
    <definedName name="IQ_NI_NUM_EST_THOM" hidden="1">"c5130"</definedName>
    <definedName name="IQ_NI_REPORTED_EST" hidden="1">"c1730"</definedName>
    <definedName name="IQ_NI_REPORTED_EST_CIQ" hidden="1">"c4716"</definedName>
    <definedName name="IQ_NI_REPORTED_EST_REUT" hidden="1">"c5382"</definedName>
    <definedName name="IQ_NI_REPORTED_HIGH_EST" hidden="1">"c1732"</definedName>
    <definedName name="IQ_NI_REPORTED_HIGH_EST_CIQ" hidden="1">"c4718"</definedName>
    <definedName name="IQ_NI_REPORTED_HIGH_EST_REUT" hidden="1">"c5384"</definedName>
    <definedName name="IQ_NI_REPORTED_LOW_EST" hidden="1">"c1733"</definedName>
    <definedName name="IQ_NI_REPORTED_LOW_EST_CIQ" hidden="1">"c4719"</definedName>
    <definedName name="IQ_NI_REPORTED_LOW_EST_REUT" hidden="1">"c5385"</definedName>
    <definedName name="IQ_NI_REPORTED_MEDIAN_EST" hidden="1">"c1731"</definedName>
    <definedName name="IQ_NI_REPORTED_MEDIAN_EST_CIQ" hidden="1">"c4717"</definedName>
    <definedName name="IQ_NI_REPORTED_MEDIAN_EST_REUT" hidden="1">"c5383"</definedName>
    <definedName name="IQ_NI_REPORTED_NUM_EST" hidden="1">"c1734"</definedName>
    <definedName name="IQ_NI_REPORTED_NUM_EST_CIQ" hidden="1">"c4720"</definedName>
    <definedName name="IQ_NI_REPORTED_NUM_EST_REUT" hidden="1">"c5386"</definedName>
    <definedName name="IQ_NI_REPORTED_STDDEV_EST" hidden="1">"c1735"</definedName>
    <definedName name="IQ_NI_REPORTED_STDDEV_EST_CIQ" hidden="1">"c4721"</definedName>
    <definedName name="IQ_NI_REPORTED_STDDEV_EST_REUT" hidden="1">"c5387"</definedName>
    <definedName name="IQ_NI_SBC_ACT_OR_EST" hidden="1">"c4474"</definedName>
    <definedName name="IQ_NI_SBC_ACT_OR_EST_CIQ" hidden="1">"c5012"</definedName>
    <definedName name="IQ_NI_SBC_EST" hidden="1">"c4473"</definedName>
    <definedName name="IQ_NI_SBC_EST_CIQ" hidden="1">"c5011"</definedName>
    <definedName name="IQ_NI_SBC_GUIDANCE" hidden="1">"c4475"</definedName>
    <definedName name="IQ_NI_SBC_GUIDANCE_CIQ" hidden="1">"c5013"</definedName>
    <definedName name="IQ_NI_SBC_GW_ACT_OR_EST" hidden="1">"c4478"</definedName>
    <definedName name="IQ_NI_SBC_GW_ACT_OR_EST_CIQ" hidden="1">"c5016"</definedName>
    <definedName name="IQ_NI_SBC_GW_EST" hidden="1">"c4477"</definedName>
    <definedName name="IQ_NI_SBC_GW_EST_CIQ" hidden="1">"c5015"</definedName>
    <definedName name="IQ_NI_SBC_GW_GUIDANCE" hidden="1">"c4479"</definedName>
    <definedName name="IQ_NI_SBC_GW_GUIDANCE_CIQ" hidden="1">"c5017"</definedName>
    <definedName name="IQ_NI_SBC_GW_HIGH_EST" hidden="1">"c4480"</definedName>
    <definedName name="IQ_NI_SBC_GW_HIGH_EST_CIQ" hidden="1">"c5018"</definedName>
    <definedName name="IQ_NI_SBC_GW_HIGH_GUIDANCE" hidden="1">"c4187"</definedName>
    <definedName name="IQ_NI_SBC_GW_HIGH_GUIDANCE_CIQ" hidden="1">"c4599"</definedName>
    <definedName name="IQ_NI_SBC_GW_LOW_EST" hidden="1">"c4481"</definedName>
    <definedName name="IQ_NI_SBC_GW_LOW_EST_CIQ" hidden="1">"c5019"</definedName>
    <definedName name="IQ_NI_SBC_GW_LOW_GUIDANCE" hidden="1">"c4227"</definedName>
    <definedName name="IQ_NI_SBC_GW_LOW_GUIDANCE_CIQ" hidden="1">"c4639"</definedName>
    <definedName name="IQ_NI_SBC_GW_MEDIAN_EST" hidden="1">"c4482"</definedName>
    <definedName name="IQ_NI_SBC_GW_MEDIAN_EST_CIQ" hidden="1">"c5020"</definedName>
    <definedName name="IQ_NI_SBC_GW_NUM_EST" hidden="1">"c4483"</definedName>
    <definedName name="IQ_NI_SBC_GW_NUM_EST_CIQ" hidden="1">"c5021"</definedName>
    <definedName name="IQ_NI_SBC_GW_STDDEV_EST" hidden="1">"c4484"</definedName>
    <definedName name="IQ_NI_SBC_GW_STDDEV_EST_CIQ" hidden="1">"c5022"</definedName>
    <definedName name="IQ_NI_SBC_HIGH_EST" hidden="1">"c4486"</definedName>
    <definedName name="IQ_NI_SBC_HIGH_EST_CIQ" hidden="1">"c5024"</definedName>
    <definedName name="IQ_NI_SBC_HIGH_GUIDANCE" hidden="1">"c4186"</definedName>
    <definedName name="IQ_NI_SBC_HIGH_GUIDANCE_CIQ" hidden="1">"c4598"</definedName>
    <definedName name="IQ_NI_SBC_LOW_EST" hidden="1">"c4487"</definedName>
    <definedName name="IQ_NI_SBC_LOW_EST_CIQ" hidden="1">"c5025"</definedName>
    <definedName name="IQ_NI_SBC_LOW_GUIDANCE" hidden="1">"c4226"</definedName>
    <definedName name="IQ_NI_SBC_LOW_GUIDANCE_CIQ" hidden="1">"c4638"</definedName>
    <definedName name="IQ_NI_SBC_MEDIAN_EST" hidden="1">"c4488"</definedName>
    <definedName name="IQ_NI_SBC_MEDIAN_EST_CIQ" hidden="1">"c5026"</definedName>
    <definedName name="IQ_NI_SBC_NUM_EST" hidden="1">"c4489"</definedName>
    <definedName name="IQ_NI_SBC_NUM_EST_CIQ" hidden="1">"c5027"</definedName>
    <definedName name="IQ_NI_SBC_STDDEV_EST" hidden="1">"c4490"</definedName>
    <definedName name="IQ_NI_SBC_STDDEV_EST_CIQ" hidden="1">"c5028"</definedName>
    <definedName name="IQ_NI_SFAS" hidden="1">"c795"</definedName>
    <definedName name="IQ_NI_STDDEV_EST" hidden="1">"c1721"</definedName>
    <definedName name="IQ_NI_STDDEV_EST_CIQ" hidden="1">"c4707"</definedName>
    <definedName name="IQ_NI_STDDEV_EST_REUT" hidden="1">"c5373"</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"c11750"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"c10073"</definedName>
    <definedName name="IQ_OG_DAILY_PRDUCTION_GROWTH_GAS_EQUIVALENT" hidden="1">"c10076"</definedName>
    <definedName name="IQ_OG_DAILY_PRDUCTION_GROWTH_NGL" hidden="1">"c10074"</definedName>
    <definedName name="IQ_OG_DAILY_PRDUCTION_GROWTH_OIL" hidden="1">"c10072"</definedName>
    <definedName name="IQ_OG_DAILY_PRDUCTION_GROWTH_OIL_EQUIVALENT" hidden="1">"c10075"</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"c10067"</definedName>
    <definedName name="IQ_OG_PRDUCTION_GROWTH_GAS_EQUIVALENT" hidden="1">"c10070"</definedName>
    <definedName name="IQ_OG_PRDUCTION_GROWTH_NGL" hidden="1">"c10068"</definedName>
    <definedName name="IQ_OG_PRDUCTION_GROWTH_OIL" hidden="1">"c10066"</definedName>
    <definedName name="IQ_OG_PRDUCTION_GROWTH_OIL_EQUIVALENT" hidden="1">"c10069"</definedName>
    <definedName name="IQ_OG_PRDUCTION_GROWTH_TOAL" hidden="1">"c10071"</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ACT_OR_EST_THOM" hidden="1">"c5304"</definedName>
    <definedName name="IQ_OPER_INC_BR" hidden="1">"c850"</definedName>
    <definedName name="IQ_OPER_INC_EST" hidden="1">"c1688"</definedName>
    <definedName name="IQ_OPER_INC_EST_REUT" hidden="1">"c5340"</definedName>
    <definedName name="IQ_OPER_INC_EST_THOM" hidden="1">"c5112"</definedName>
    <definedName name="IQ_OPER_INC_FIN" hidden="1">"c851"</definedName>
    <definedName name="IQ_OPER_INC_HIGH_EST" hidden="1">"c1690"</definedName>
    <definedName name="IQ_OPER_INC_HIGH_EST_REUT" hidden="1">"c5342"</definedName>
    <definedName name="IQ_OPER_INC_HIGH_EST_THOM" hidden="1">"c5114"</definedName>
    <definedName name="IQ_OPER_INC_INS" hidden="1">"c852"</definedName>
    <definedName name="IQ_OPER_INC_LOW_EST" hidden="1">"c1691"</definedName>
    <definedName name="IQ_OPER_INC_LOW_EST_REUT" hidden="1">"c5343"</definedName>
    <definedName name="IQ_OPER_INC_LOW_EST_THOM" hidden="1">"c5115"</definedName>
    <definedName name="IQ_OPER_INC_MARGIN" hidden="1">"c1448"</definedName>
    <definedName name="IQ_OPER_INC_MEDIAN_EST" hidden="1">"c1689"</definedName>
    <definedName name="IQ_OPER_INC_MEDIAN_EST_REUT" hidden="1">"c5341"</definedName>
    <definedName name="IQ_OPER_INC_MEDIAN_EST_THOM" hidden="1">"c5113"</definedName>
    <definedName name="IQ_OPER_INC_NUM_EST" hidden="1">"c1692"</definedName>
    <definedName name="IQ_OPER_INC_NUM_EST_REUT" hidden="1">"c5344"</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STDDEV_EST_THOM" hidden="1">"c5117"</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5YR_GROWTH_RATE_WEEK_THOM" hidden="1">"c5277"</definedName>
    <definedName name="IQ_PERCENT_CHANGE_EST_CFPS_12MONTHS" hidden="1">"c1812"</definedName>
    <definedName name="IQ_PERCENT_CHANGE_EST_CFPS_12MONTHS_CIQ" hidden="1">"c3755"</definedName>
    <definedName name="IQ_PERCENT_CHANGE_EST_CFPS_12MONTHS_REUT" hidden="1">"c3924"</definedName>
    <definedName name="IQ_PERCENT_CHANGE_EST_CFPS_12MONTHS_THOM" hidden="1">"c5234"</definedName>
    <definedName name="IQ_PERCENT_CHANGE_EST_CFPS_18MONTHS" hidden="1">"c1813"</definedName>
    <definedName name="IQ_PERCENT_CHANGE_EST_CFPS_18MONTHS_CIQ" hidden="1">"c3756"</definedName>
    <definedName name="IQ_PERCENT_CHANGE_EST_CFPS_18MONTHS_REUT" hidden="1">"c3925"</definedName>
    <definedName name="IQ_PERCENT_CHANGE_EST_CFPS_18MONTHS_THOM" hidden="1">"c5235"</definedName>
    <definedName name="IQ_PERCENT_CHANGE_EST_CFPS_3MONTHS" hidden="1">"c1809"</definedName>
    <definedName name="IQ_PERCENT_CHANGE_EST_CFPS_3MONTHS_CIQ" hidden="1">"c3752"</definedName>
    <definedName name="IQ_PERCENT_CHANGE_EST_CFPS_3MONTHS_REUT" hidden="1">"c3921"</definedName>
    <definedName name="IQ_PERCENT_CHANGE_EST_CFPS_3MONTHS_THOM" hidden="1">"c5231"</definedName>
    <definedName name="IQ_PERCENT_CHANGE_EST_CFPS_6MONTHS" hidden="1">"c1810"</definedName>
    <definedName name="IQ_PERCENT_CHANGE_EST_CFPS_6MONTHS_CIQ" hidden="1">"c3753"</definedName>
    <definedName name="IQ_PERCENT_CHANGE_EST_CFPS_6MONTHS_REUT" hidden="1">"c3922"</definedName>
    <definedName name="IQ_PERCENT_CHANGE_EST_CFPS_6MONTHS_THOM" hidden="1">"c5232"</definedName>
    <definedName name="IQ_PERCENT_CHANGE_EST_CFPS_9MONTHS" hidden="1">"c1811"</definedName>
    <definedName name="IQ_PERCENT_CHANGE_EST_CFPS_9MONTHS_CIQ" hidden="1">"c3754"</definedName>
    <definedName name="IQ_PERCENT_CHANGE_EST_CFPS_9MONTHS_REUT" hidden="1">"c3923"</definedName>
    <definedName name="IQ_PERCENT_CHANGE_EST_CFPS_9MONTHS_THOM" hidden="1">"c5233"</definedName>
    <definedName name="IQ_PERCENT_CHANGE_EST_CFPS_DAY" hidden="1">"c1806"</definedName>
    <definedName name="IQ_PERCENT_CHANGE_EST_CFPS_DAY_CIQ" hidden="1">"c3750"</definedName>
    <definedName name="IQ_PERCENT_CHANGE_EST_CFPS_DAY_REUT" hidden="1">"c3919"</definedName>
    <definedName name="IQ_PERCENT_CHANGE_EST_CFPS_DAY_THOM" hidden="1">"c5229"</definedName>
    <definedName name="IQ_PERCENT_CHANGE_EST_CFPS_MONTH" hidden="1">"c1808"</definedName>
    <definedName name="IQ_PERCENT_CHANGE_EST_CFPS_MONTH_CIQ" hidden="1">"c3751"</definedName>
    <definedName name="IQ_PERCENT_CHANGE_EST_CFPS_MONTH_REUT" hidden="1">"c3920"</definedName>
    <definedName name="IQ_PERCENT_CHANGE_EST_CFPS_MONTH_THOM" hidden="1">"c5230"</definedName>
    <definedName name="IQ_PERCENT_CHANGE_EST_CFPS_WEEK" hidden="1">"c1807"</definedName>
    <definedName name="IQ_PERCENT_CHANGE_EST_CFPS_WEEK_CIQ" hidden="1">"c3793"</definedName>
    <definedName name="IQ_PERCENT_CHANGE_EST_CFPS_WEEK_REUT" hidden="1">"c3962"</definedName>
    <definedName name="IQ_PERCENT_CHANGE_EST_CFPS_WEEK_THOM" hidden="1">"c5272"</definedName>
    <definedName name="IQ_PERCENT_CHANGE_EST_DPS_12MONTHS" hidden="1">"c1820"</definedName>
    <definedName name="IQ_PERCENT_CHANGE_EST_DPS_12MONTHS_CIQ" hidden="1">"c3762"</definedName>
    <definedName name="IQ_PERCENT_CHANGE_EST_DPS_12MONTHS_REUT" hidden="1">"c3931"</definedName>
    <definedName name="IQ_PERCENT_CHANGE_EST_DPS_12MONTHS_THOM" hidden="1">"c5241"</definedName>
    <definedName name="IQ_PERCENT_CHANGE_EST_DPS_18MONTHS" hidden="1">"c1821"</definedName>
    <definedName name="IQ_PERCENT_CHANGE_EST_DPS_18MONTHS_CIQ" hidden="1">"c3763"</definedName>
    <definedName name="IQ_PERCENT_CHANGE_EST_DPS_18MONTHS_REUT" hidden="1">"c3932"</definedName>
    <definedName name="IQ_PERCENT_CHANGE_EST_DPS_18MONTHS_THOM" hidden="1">"c5242"</definedName>
    <definedName name="IQ_PERCENT_CHANGE_EST_DPS_3MONTHS" hidden="1">"c1817"</definedName>
    <definedName name="IQ_PERCENT_CHANGE_EST_DPS_3MONTHS_CIQ" hidden="1">"c3759"</definedName>
    <definedName name="IQ_PERCENT_CHANGE_EST_DPS_3MONTHS_REUT" hidden="1">"c3928"</definedName>
    <definedName name="IQ_PERCENT_CHANGE_EST_DPS_3MONTHS_THOM" hidden="1">"c5238"</definedName>
    <definedName name="IQ_PERCENT_CHANGE_EST_DPS_6MONTHS" hidden="1">"c1818"</definedName>
    <definedName name="IQ_PERCENT_CHANGE_EST_DPS_6MONTHS_CIQ" hidden="1">"c3760"</definedName>
    <definedName name="IQ_PERCENT_CHANGE_EST_DPS_6MONTHS_REUT" hidden="1">"c3929"</definedName>
    <definedName name="IQ_PERCENT_CHANGE_EST_DPS_6MONTHS_THOM" hidden="1">"c5239"</definedName>
    <definedName name="IQ_PERCENT_CHANGE_EST_DPS_9MONTHS" hidden="1">"c1819"</definedName>
    <definedName name="IQ_PERCENT_CHANGE_EST_DPS_9MONTHS_CIQ" hidden="1">"c3761"</definedName>
    <definedName name="IQ_PERCENT_CHANGE_EST_DPS_9MONTHS_REUT" hidden="1">"c3930"</definedName>
    <definedName name="IQ_PERCENT_CHANGE_EST_DPS_9MONTHS_THOM" hidden="1">"c5240"</definedName>
    <definedName name="IQ_PERCENT_CHANGE_EST_DPS_DAY" hidden="1">"c1814"</definedName>
    <definedName name="IQ_PERCENT_CHANGE_EST_DPS_DAY_CIQ" hidden="1">"c3757"</definedName>
    <definedName name="IQ_PERCENT_CHANGE_EST_DPS_DAY_REUT" hidden="1">"c3926"</definedName>
    <definedName name="IQ_PERCENT_CHANGE_EST_DPS_DAY_THOM" hidden="1">"c5236"</definedName>
    <definedName name="IQ_PERCENT_CHANGE_EST_DPS_MONTH" hidden="1">"c1816"</definedName>
    <definedName name="IQ_PERCENT_CHANGE_EST_DPS_MONTH_CIQ" hidden="1">"c3758"</definedName>
    <definedName name="IQ_PERCENT_CHANGE_EST_DPS_MONTH_REUT" hidden="1">"c3927"</definedName>
    <definedName name="IQ_PERCENT_CHANGE_EST_DPS_MONTH_THOM" hidden="1">"c5237"</definedName>
    <definedName name="IQ_PERCENT_CHANGE_EST_DPS_WEEK" hidden="1">"c1815"</definedName>
    <definedName name="IQ_PERCENT_CHANGE_EST_DPS_WEEK_CIQ" hidden="1">"c3794"</definedName>
    <definedName name="IQ_PERCENT_CHANGE_EST_DPS_WEEK_REUT" hidden="1">"c3963"</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REUT" hidden="1">"c3896"</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REUT" hidden="1">"c3897"</definedName>
    <definedName name="IQ_PERCENT_CHANGE_EST_EPS_WEEK_THOM" hidden="1">"c5207"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12MONTHS_REUT" hidden="1">"c3938"</definedName>
    <definedName name="IQ_PERCENT_CHANGE_EST_FFO_SHARE_18MONTHS_REUT" hidden="1">"c3939"</definedName>
    <definedName name="IQ_PERCENT_CHANGE_EST_FFO_SHARE_3MONTHS_REUT" hidden="1">"c3935"</definedName>
    <definedName name="IQ_PERCENT_CHANGE_EST_FFO_SHARE_6MONTHS_REUT" hidden="1">"c3936"</definedName>
    <definedName name="IQ_PERCENT_CHANGE_EST_FFO_SHARE_9MONTHS_REUT" hidden="1">"c3937"</definedName>
    <definedName name="IQ_PERCENT_CHANGE_EST_FFO_SHARE_DAY_REUT" hidden="1">"c3933"</definedName>
    <definedName name="IQ_PERCENT_CHANGE_EST_FFO_SHARE_MONTH_REUT" hidden="1">"c3934"</definedName>
    <definedName name="IQ_PERCENT_CHANGE_EST_FFO_SHARE_SHARE_12MONTHS" hidden="1">"c1828"</definedName>
    <definedName name="IQ_PERCENT_CHANGE_EST_FFO_SHARE_SHARE_12MONTHS_REUT" hidden="1">"c3938"</definedName>
    <definedName name="IQ_PERCENT_CHANGE_EST_FFO_SHARE_SHARE_18MONTHS" hidden="1">"c1829"</definedName>
    <definedName name="IQ_PERCENT_CHANGE_EST_FFO_SHARE_SHARE_18MONTHS_REUT" hidden="1">"c3939"</definedName>
    <definedName name="IQ_PERCENT_CHANGE_EST_FFO_SHARE_SHARE_3MONTHS" hidden="1">"c1825"</definedName>
    <definedName name="IQ_PERCENT_CHANGE_EST_FFO_SHARE_SHARE_3MONTHS_REUT" hidden="1">"c3935"</definedName>
    <definedName name="IQ_PERCENT_CHANGE_EST_FFO_SHARE_SHARE_6MONTHS" hidden="1">"c1826"</definedName>
    <definedName name="IQ_PERCENT_CHANGE_EST_FFO_SHARE_SHARE_6MONTHS_REUT" hidden="1">"c3936"</definedName>
    <definedName name="IQ_PERCENT_CHANGE_EST_FFO_SHARE_SHARE_9MONTHS" hidden="1">"c1827"</definedName>
    <definedName name="IQ_PERCENT_CHANGE_EST_FFO_SHARE_SHARE_9MONTHS_REUT" hidden="1">"c3937"</definedName>
    <definedName name="IQ_PERCENT_CHANGE_EST_FFO_SHARE_SHARE_DAY" hidden="1">"c1822"</definedName>
    <definedName name="IQ_PERCENT_CHANGE_EST_FFO_SHARE_SHARE_DAY_REUT" hidden="1">"c3933"</definedName>
    <definedName name="IQ_PERCENT_CHANGE_EST_FFO_SHARE_SHARE_MONTH" hidden="1">"c1824"</definedName>
    <definedName name="IQ_PERCENT_CHANGE_EST_FFO_SHARE_SHARE_MONTH_REUT" hidden="1">"c3934"</definedName>
    <definedName name="IQ_PERCENT_CHANGE_EST_FFO_SHARE_SHARE_WEEK" hidden="1">"c1823"</definedName>
    <definedName name="IQ_PERCENT_CHANGE_EST_FFO_SHARE_SHARE_WEEK_REUT" hidden="1">"c3964"</definedName>
    <definedName name="IQ_PERCENT_CHANGE_EST_FFO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REUT" hidden="1">"c3940"</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REUT" hidden="1">"c3966"</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REUT" hidden="1">"c3904"</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REUT" hidden="1">"c3905"</definedName>
    <definedName name="IQ_PERCENT_CHANGE_EST_REV_WEEK_THOM" hidden="1">"c5215"</definedName>
    <definedName name="IQ_PERCENT_FLOAT" hidden="1">"c227"</definedName>
    <definedName name="IQ_PERCENT_INSURED_FDIC" hidden="1">"c6374"</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"c10027"</definedName>
    <definedName name="IQ_PHARMBIO_NUMBER_PROD__CLINICAL_DEV" hidden="1">"c10022"</definedName>
    <definedName name="IQ_PHARMBIO_NUMBER_PROD__LAUNCHED_DURING_PERIOD" hidden="1">"c10028"</definedName>
    <definedName name="IQ_PHARMBIO_NUMBER_PROD__PHASE_I" hidden="1">"c10023"</definedName>
    <definedName name="IQ_PHARMBIO_NUMBER_PROD__PHASE_II" hidden="1">"c10024"</definedName>
    <definedName name="IQ_PHARMBIO_NUMBER_PROD__PHASE_III" hidden="1">"c10025"</definedName>
    <definedName name="IQ_PHARMBIO_NUMBER_PROD__PRE_CLINICAL_TRIALS" hidden="1">"c10021"</definedName>
    <definedName name="IQ_PHARMBIO_NUMBER_PROD__PRE_REGISTRATION" hidden="1">"c10026"</definedName>
    <definedName name="IQ_PHARMBIO_NUMBER_PROD__RESEARCH_DEV" hidden="1">"c10020"</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CIQ" hidden="1">"c5064"</definedName>
    <definedName name="IQ_PRE_TAX_ACT_OR_EST_REUT" hidden="1">"c5467"</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EST_CIQ" hidden="1">"c4688"</definedName>
    <definedName name="IQ_PRETAX_GW_INC_EST_REUT" hidden="1">"c5354"</definedName>
    <definedName name="IQ_PRETAX_GW_INC_HIGH_EST" hidden="1">"c1704"</definedName>
    <definedName name="IQ_PRETAX_GW_INC_HIGH_EST_CIQ" hidden="1">"c4690"</definedName>
    <definedName name="IQ_PRETAX_GW_INC_HIGH_EST_REUT" hidden="1">"c5356"</definedName>
    <definedName name="IQ_PRETAX_GW_INC_LOW_EST" hidden="1">"c1705"</definedName>
    <definedName name="IQ_PRETAX_GW_INC_LOW_EST_CIQ" hidden="1">"c4691"</definedName>
    <definedName name="IQ_PRETAX_GW_INC_LOW_EST_REUT" hidden="1">"c5357"</definedName>
    <definedName name="IQ_PRETAX_GW_INC_MEDIAN_EST" hidden="1">"c1703"</definedName>
    <definedName name="IQ_PRETAX_GW_INC_MEDIAN_EST_CIQ" hidden="1">"c4689"</definedName>
    <definedName name="IQ_PRETAX_GW_INC_MEDIAN_EST_REUT" hidden="1">"c5355"</definedName>
    <definedName name="IQ_PRETAX_GW_INC_NUM_EST" hidden="1">"c1706"</definedName>
    <definedName name="IQ_PRETAX_GW_INC_NUM_EST_CIQ" hidden="1">"c4692"</definedName>
    <definedName name="IQ_PRETAX_GW_INC_NUM_EST_REUT" hidden="1">"c5358"</definedName>
    <definedName name="IQ_PRETAX_GW_INC_STDDEV_EST" hidden="1">"c1707"</definedName>
    <definedName name="IQ_PRETAX_GW_INC_STDDEV_EST_CIQ" hidden="1">"c4693"</definedName>
    <definedName name="IQ_PRETAX_GW_INC_STDDEV_EST_REUT" hidden="1">"c5359"</definedName>
    <definedName name="IQ_PRETAX_INC" hidden="1">"IQ_PRETAX_INC"</definedName>
    <definedName name="IQ_PRETAX_INC_10K" hidden="1">"PRETAX_INC_10K"</definedName>
    <definedName name="IQ_PRETAX_INC_10Q" hidden="1">"PRETAX_INC_10Q"</definedName>
    <definedName name="IQ_PRETAX_INC_10Q1" hidden="1">"PRETAX_INC_10Q1"</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EST_CIQ" hidden="1">"c4681"</definedName>
    <definedName name="IQ_PRETAX_INC_EST_REUT" hidden="1">"c5347"</definedName>
    <definedName name="IQ_PRETAX_INC_EST_THOM" hidden="1">"c5119"</definedName>
    <definedName name="IQ_PRETAX_INC_HIGH_EST" hidden="1">"c1697"</definedName>
    <definedName name="IQ_PRETAX_INC_HIGH_EST_CIQ" hidden="1">"c4683"</definedName>
    <definedName name="IQ_PRETAX_INC_HIGH_EST_REUT" hidden="1">"c5349"</definedName>
    <definedName name="IQ_PRETAX_INC_HIGH_EST_THOM" hidden="1">"c5121"</definedName>
    <definedName name="IQ_PRETAX_INC_LOW_EST" hidden="1">"c1698"</definedName>
    <definedName name="IQ_PRETAX_INC_LOW_EST_CIQ" hidden="1">"c4684"</definedName>
    <definedName name="IQ_PRETAX_INC_LOW_EST_REUT" hidden="1">"c5350"</definedName>
    <definedName name="IQ_PRETAX_INC_LOW_EST_THOM" hidden="1">"c5122"</definedName>
    <definedName name="IQ_PRETAX_INC_MEDIAN_EST" hidden="1">"c1696"</definedName>
    <definedName name="IQ_PRETAX_INC_MEDIAN_EST_CIQ" hidden="1">"c4682"</definedName>
    <definedName name="IQ_PRETAX_INC_MEDIAN_EST_REUT" hidden="1">"c5348"</definedName>
    <definedName name="IQ_PRETAX_INC_MEDIAN_EST_THOM" hidden="1">"c5120"</definedName>
    <definedName name="IQ_PRETAX_INC_NUM_EST" hidden="1">"c1699"</definedName>
    <definedName name="IQ_PRETAX_INC_NUM_EST_CIQ" hidden="1">"c4685"</definedName>
    <definedName name="IQ_PRETAX_INC_NUM_EST_REUT" hidden="1">"c5351"</definedName>
    <definedName name="IQ_PRETAX_INC_NUM_EST_THOM" hidden="1">"c5123"</definedName>
    <definedName name="IQ_PRETAX_INC_STDDEV_EST" hidden="1">"c1700"</definedName>
    <definedName name="IQ_PRETAX_INC_STDDEV_EST_CIQ" hidden="1">"c4686"</definedName>
    <definedName name="IQ_PRETAX_INC_STDDEV_EST_REUT" hidden="1">"c5352"</definedName>
    <definedName name="IQ_PRETAX_INC_STDDEV_EST_THOM" hidden="1">"c5124"</definedName>
    <definedName name="IQ_PRETAX_OPERATING_INC_AVG_ASSETS_FFIEC" hidden="1">"c13365"</definedName>
    <definedName name="IQ_PRETAX_REPORT_INC_EST" hidden="1">"c1709"</definedName>
    <definedName name="IQ_PRETAX_REPORT_INC_EST_CIQ" hidden="1">"c4695"</definedName>
    <definedName name="IQ_PRETAX_REPORT_INC_EST_REUT" hidden="1">"c5361"</definedName>
    <definedName name="IQ_PRETAX_REPORT_INC_HIGH_EST" hidden="1">"c1711"</definedName>
    <definedName name="IQ_PRETAX_REPORT_INC_HIGH_EST_CIQ" hidden="1">"c4697"</definedName>
    <definedName name="IQ_PRETAX_REPORT_INC_HIGH_EST_REUT" hidden="1">"c5363"</definedName>
    <definedName name="IQ_PRETAX_REPORT_INC_LOW_EST" hidden="1">"c1712"</definedName>
    <definedName name="IQ_PRETAX_REPORT_INC_LOW_EST_CIQ" hidden="1">"c4698"</definedName>
    <definedName name="IQ_PRETAX_REPORT_INC_LOW_EST_REUT" hidden="1">"c5364"</definedName>
    <definedName name="IQ_PRETAX_REPORT_INC_MEDIAN_EST" hidden="1">"c1710"</definedName>
    <definedName name="IQ_PRETAX_REPORT_INC_MEDIAN_EST_CIQ" hidden="1">"c4696"</definedName>
    <definedName name="IQ_PRETAX_REPORT_INC_MEDIAN_EST_REUT" hidden="1">"c5362"</definedName>
    <definedName name="IQ_PRETAX_REPORT_INC_NUM_EST" hidden="1">"c1713"</definedName>
    <definedName name="IQ_PRETAX_REPORT_INC_NUM_EST_CIQ" hidden="1">"c4699"</definedName>
    <definedName name="IQ_PRETAX_REPORT_INC_NUM_EST_REUT" hidden="1">"c5365"</definedName>
    <definedName name="IQ_PRETAX_REPORT_INC_STDDEV_EST" hidden="1">"c1714"</definedName>
    <definedName name="IQ_PRETAX_REPORT_INC_STDDEV_EST_CIQ" hidden="1">"c4700"</definedName>
    <definedName name="IQ_PRETAX_REPORT_INC_STDDEV_EST_REUT" hidden="1">"c5366"</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CFPS_FWD_CIQ" hidden="1">"c4046"</definedName>
    <definedName name="IQ_PRICE_CFPS_FWD_REUT" hidden="1">"c4053"</definedName>
    <definedName name="IQ_PRICE_CFPS_FWD_THOM" hidden="1">"c4060"</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_TARGET_THOM" hidden="1">"c3649"</definedName>
    <definedName name="IQ_PRICE_VOLATILITY_EST" hidden="1">"c4492"</definedName>
    <definedName name="IQ_PRICE_VOLATILITY_EST_CIQ" hidden="1">"c5030"</definedName>
    <definedName name="IQ_PRICE_VOLATILITY_HIGH" hidden="1">"c4493"</definedName>
    <definedName name="IQ_PRICE_VOLATILITY_HIGH_CIQ" hidden="1">"c5031"</definedName>
    <definedName name="IQ_PRICE_VOLATILITY_LOW" hidden="1">"c4494"</definedName>
    <definedName name="IQ_PRICE_VOLATILITY_LOW_CIQ" hidden="1">"c5032"</definedName>
    <definedName name="IQ_PRICE_VOLATILITY_MEDIAN" hidden="1">"c4495"</definedName>
    <definedName name="IQ_PRICE_VOLATILITY_MEDIAN_CIQ" hidden="1">"c5033"</definedName>
    <definedName name="IQ_PRICE_VOLATILITY_NUM" hidden="1">"c4496"</definedName>
    <definedName name="IQ_PRICE_VOLATILITY_NUM_CIQ" hidden="1">"c5034"</definedName>
    <definedName name="IQ_PRICE_VOLATILITY_STDDEV" hidden="1">"c4497"</definedName>
    <definedName name="IQ_PRICE_VOLATILITY_STDDEV_CIQ" hidden="1">"c5035"</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PS_TYPE_THOM" hidden="1">"c5297"</definedName>
    <definedName name="IQ_PRIMARY_INDUSTRY" hidden="1">"c1070"</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ID" hidden="1">"c13755"</definedName>
    <definedName name="IQ_PROFESSIONAL_MAIN_FAX" hidden="1">"c15164"</definedName>
    <definedName name="IQ_PROFESSIONAL_MAIN_PHONE" hidden="1">"c15163"</definedName>
    <definedName name="IQ_PROFESSIONAL_OFFICE_ADDRESS" hidden="1">"c15162"</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EST" hidden="1">"c4499"</definedName>
    <definedName name="IQ_RECURRING_PROFIT_EST_CIQ" hidden="1">"c5037"</definedName>
    <definedName name="IQ_RECURRING_PROFIT_GUIDANCE" hidden="1">"c4500"</definedName>
    <definedName name="IQ_RECURRING_PROFIT_GUIDANCE_CIQ" hidden="1">"c5038"</definedName>
    <definedName name="IQ_RECURRING_PROFIT_HIGH_EST" hidden="1">"c4501"</definedName>
    <definedName name="IQ_RECURRING_PROFIT_HIGH_EST_CIQ" hidden="1">"c5039"</definedName>
    <definedName name="IQ_RECURRING_PROFIT_HIGH_GUIDANCE" hidden="1">"c4179"</definedName>
    <definedName name="IQ_RECURRING_PROFIT_HIGH_GUIDANCE_CIQ" hidden="1">"c4591"</definedName>
    <definedName name="IQ_RECURRING_PROFIT_LOW_EST" hidden="1">"c4502"</definedName>
    <definedName name="IQ_RECURRING_PROFIT_LOW_EST_CIQ" hidden="1">"c5040"</definedName>
    <definedName name="IQ_RECURRING_PROFIT_LOW_GUIDANCE" hidden="1">"c4219"</definedName>
    <definedName name="IQ_RECURRING_PROFIT_LOW_GUIDANCE_CIQ" hidden="1">"c4631"</definedName>
    <definedName name="IQ_RECURRING_PROFIT_MEDIAN_EST" hidden="1">"c4503"</definedName>
    <definedName name="IQ_RECURRING_PROFIT_MEDIAN_EST_CIQ" hidden="1">"c5041"</definedName>
    <definedName name="IQ_RECURRING_PROFIT_NUM_EST" hidden="1">"c4504"</definedName>
    <definedName name="IQ_RECURRING_PROFIT_NUM_EST_CIQ" hidden="1">"c5042"</definedName>
    <definedName name="IQ_RECURRING_PROFIT_SHARE_ACT_OR_EST" hidden="1">"c4508"</definedName>
    <definedName name="IQ_RECURRING_PROFIT_SHARE_ACT_OR_EST_CIQ" hidden="1">"c5046"</definedName>
    <definedName name="IQ_RECURRING_PROFIT_SHARE_EST" hidden="1">"c4506"</definedName>
    <definedName name="IQ_RECURRING_PROFIT_SHARE_EST_CIQ" hidden="1">"c5044"</definedName>
    <definedName name="IQ_RECURRING_PROFIT_SHARE_GUIDANCE" hidden="1">"c4509"</definedName>
    <definedName name="IQ_RECURRING_PROFIT_SHARE_GUIDANCE_CIQ" hidden="1">"c5047"</definedName>
    <definedName name="IQ_RECURRING_PROFIT_SHARE_HIGH_EST" hidden="1">"c4510"</definedName>
    <definedName name="IQ_RECURRING_PROFIT_SHARE_HIGH_EST_CIQ" hidden="1">"c5048"</definedName>
    <definedName name="IQ_RECURRING_PROFIT_SHARE_HIGH_GUIDANCE" hidden="1">"c4200"</definedName>
    <definedName name="IQ_RECURRING_PROFIT_SHARE_HIGH_GUIDANCE_CIQ" hidden="1">"c4612"</definedName>
    <definedName name="IQ_RECURRING_PROFIT_SHARE_LOW_EST" hidden="1">"c4511"</definedName>
    <definedName name="IQ_RECURRING_PROFIT_SHARE_LOW_EST_CIQ" hidden="1">"c5049"</definedName>
    <definedName name="IQ_RECURRING_PROFIT_SHARE_LOW_GUIDANCE" hidden="1">"c4240"</definedName>
    <definedName name="IQ_RECURRING_PROFIT_SHARE_LOW_GUIDANCE_CIQ" hidden="1">"c4652"</definedName>
    <definedName name="IQ_RECURRING_PROFIT_SHARE_MEDIAN_EST" hidden="1">"c4512"</definedName>
    <definedName name="IQ_RECURRING_PROFIT_SHARE_MEDIAN_EST_CIQ" hidden="1">"c5050"</definedName>
    <definedName name="IQ_RECURRING_PROFIT_SHARE_NUM_EST" hidden="1">"c4513"</definedName>
    <definedName name="IQ_RECURRING_PROFIT_SHARE_NUM_EST_CIQ" hidden="1">"c5051"</definedName>
    <definedName name="IQ_RECURRING_PROFIT_SHARE_STDDEV_EST" hidden="1">"c4514"</definedName>
    <definedName name="IQ_RECURRING_PROFIT_SHARE_STDDEV_EST_CIQ" hidden="1">"c5052"</definedName>
    <definedName name="IQ_RECURRING_PROFIT_STDDEV_EST" hidden="1">"c4516"</definedName>
    <definedName name="IQ_RECURRING_PROFIT_STDDEV_EST_CIQ" hidden="1">"c5054"</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ACT_OR_EST_REUT" hidden="1">"c5475"</definedName>
    <definedName name="IQ_RETURN_ASSETS_ACT_OR_EST_THOM" hidden="1">"c5310"</definedName>
    <definedName name="IQ_RETURN_ASSETS_BANK" hidden="1">"c1114"</definedName>
    <definedName name="IQ_RETURN_ASSETS_BROK" hidden="1">"c1115"</definedName>
    <definedName name="IQ_RETURN_ASSETS_EST" hidden="1">"c3529"</definedName>
    <definedName name="IQ_RETURN_ASSETS_EST_CIQ" hidden="1">"c3828"</definedName>
    <definedName name="IQ_RETURN_ASSETS_EST_REUT" hidden="1">"c3990"</definedName>
    <definedName name="IQ_RETURN_ASSETS_EST_THOM" hidden="1">"c4034"</definedName>
    <definedName name="IQ_RETURN_ASSETS_FDIC" hidden="1">"c6730"</definedName>
    <definedName name="IQ_RETURN_ASSETS_FS" hidden="1">"c1116"</definedName>
    <definedName name="IQ_RETURN_ASSETS_GUIDANCE" hidden="1">"c4517"</definedName>
    <definedName name="IQ_RETURN_ASSETS_GUIDANCE_CIQ" hidden="1">"c5055"</definedName>
    <definedName name="IQ_RETURN_ASSETS_HIGH_EST" hidden="1">"c3530"</definedName>
    <definedName name="IQ_RETURN_ASSETS_HIGH_EST_CIQ" hidden="1">"c3830"</definedName>
    <definedName name="IQ_RETURN_ASSETS_HIGH_EST_REUT" hidden="1">"c3992"</definedName>
    <definedName name="IQ_RETURN_ASSETS_HIGH_EST_THOM" hidden="1">"c4036"</definedName>
    <definedName name="IQ_RETURN_ASSETS_HIGH_GUIDANCE" hidden="1">"c4183"</definedName>
    <definedName name="IQ_RETURN_ASSETS_HIGH_GUIDANCE_CIQ" hidden="1">"c4595"</definedName>
    <definedName name="IQ_RETURN_ASSETS_LOW_EST" hidden="1">"c3531"</definedName>
    <definedName name="IQ_RETURN_ASSETS_LOW_EST_CIQ" hidden="1">"c3831"</definedName>
    <definedName name="IQ_RETURN_ASSETS_LOW_EST_REUT" hidden="1">"c3993"</definedName>
    <definedName name="IQ_RETURN_ASSETS_LOW_EST_THOM" hidden="1">"c4037"</definedName>
    <definedName name="IQ_RETURN_ASSETS_LOW_GUIDANCE" hidden="1">"c4223"</definedName>
    <definedName name="IQ_RETURN_ASSETS_LOW_GUIDANCE_CIQ" hidden="1">"c4635"</definedName>
    <definedName name="IQ_RETURN_ASSETS_MEDIAN_EST" hidden="1">"c3532"</definedName>
    <definedName name="IQ_RETURN_ASSETS_MEDIAN_EST_CIQ" hidden="1">"c3829"</definedName>
    <definedName name="IQ_RETURN_ASSETS_MEDIAN_EST_REUT" hidden="1">"c3991"</definedName>
    <definedName name="IQ_RETURN_ASSETS_MEDIAN_EST_THOM" hidden="1">"c4035"</definedName>
    <definedName name="IQ_RETURN_ASSETS_NUM_EST" hidden="1">"c3527"</definedName>
    <definedName name="IQ_RETURN_ASSETS_NUM_EST_CIQ" hidden="1">"c3832"</definedName>
    <definedName name="IQ_RETURN_ASSETS_NUM_EST_REUT" hidden="1">"c3994"</definedName>
    <definedName name="IQ_RETURN_ASSETS_NUM_EST_THOM" hidden="1">"c4038"</definedName>
    <definedName name="IQ_RETURN_ASSETS_STDDEV_EST" hidden="1">"c3528"</definedName>
    <definedName name="IQ_RETURN_ASSETS_STDDEV_EST_CIQ" hidden="1">"c3833"</definedName>
    <definedName name="IQ_RETURN_ASSETS_STDDEV_EST_REUT" hidden="1">"c3995"</definedName>
    <definedName name="IQ_RETURN_ASSETS_STDDEV_EST_THOM" hidden="1">"c4039"</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REUT" hidden="1">"c5476"</definedName>
    <definedName name="IQ_RETURN_EQUITY_ACT_OR_EST_THOM" hidden="1">"c5311"</definedName>
    <definedName name="IQ_RETURN_EQUITY_BANK" hidden="1">"c1119"</definedName>
    <definedName name="IQ_RETURN_EQUITY_BROK" hidden="1">"c1120"</definedName>
    <definedName name="IQ_RETURN_EQUITY_EST" hidden="1">"c3535"</definedName>
    <definedName name="IQ_RETURN_EQUITY_EST_CIQ" hidden="1">"c3821"</definedName>
    <definedName name="IQ_RETURN_EQUITY_EST_REUT" hidden="1">"c3983"</definedName>
    <definedName name="IQ_RETURN_EQUITY_EST_THOM" hidden="1">"c5479"</definedName>
    <definedName name="IQ_RETURN_EQUITY_FDIC" hidden="1">"c6732"</definedName>
    <definedName name="IQ_RETURN_EQUITY_FS" hidden="1">"c1121"</definedName>
    <definedName name="IQ_RETURN_EQUITY_GUIDANCE" hidden="1">"c4518"</definedName>
    <definedName name="IQ_RETURN_EQUITY_GUIDANCE_CIQ" hidden="1">"c5056"</definedName>
    <definedName name="IQ_RETURN_EQUITY_HIGH_EST" hidden="1">"c3536"</definedName>
    <definedName name="IQ_RETURN_EQUITY_HIGH_EST_CIQ" hidden="1">"c3823"</definedName>
    <definedName name="IQ_RETURN_EQUITY_HIGH_EST_REUT" hidden="1">"c3985"</definedName>
    <definedName name="IQ_RETURN_EQUITY_HIGH_EST_THOM" hidden="1">"c5283"</definedName>
    <definedName name="IQ_RETURN_EQUITY_HIGH_GUIDANCE" hidden="1">"c4182"</definedName>
    <definedName name="IQ_RETURN_EQUITY_HIGH_GUIDANCE_CIQ" hidden="1">"c4594"</definedName>
    <definedName name="IQ_RETURN_EQUITY_LOW_EST" hidden="1">"c3537"</definedName>
    <definedName name="IQ_RETURN_EQUITY_LOW_EST_CIQ" hidden="1">"c3824"</definedName>
    <definedName name="IQ_RETURN_EQUITY_LOW_EST_REUT" hidden="1">"c3986"</definedName>
    <definedName name="IQ_RETURN_EQUITY_LOW_EST_THOM" hidden="1">"c5284"</definedName>
    <definedName name="IQ_RETURN_EQUITY_LOW_GUIDANCE" hidden="1">"c4222"</definedName>
    <definedName name="IQ_RETURN_EQUITY_LOW_GUIDANCE_CIQ" hidden="1">"c4634"</definedName>
    <definedName name="IQ_RETURN_EQUITY_MEDIAN_EST" hidden="1">"c3538"</definedName>
    <definedName name="IQ_RETURN_EQUITY_MEDIAN_EST_CIQ" hidden="1">"c3822"</definedName>
    <definedName name="IQ_RETURN_EQUITY_MEDIAN_EST_REUT" hidden="1">"c3984"</definedName>
    <definedName name="IQ_RETURN_EQUITY_MEDIAN_EST_THOM" hidden="1">"c5282"</definedName>
    <definedName name="IQ_RETURN_EQUITY_NUM_EST" hidden="1">"c3533"</definedName>
    <definedName name="IQ_RETURN_EQUITY_NUM_EST_CIQ" hidden="1">"c3825"</definedName>
    <definedName name="IQ_RETURN_EQUITY_NUM_EST_REUT" hidden="1">"c3987"</definedName>
    <definedName name="IQ_RETURN_EQUITY_NUM_EST_THOM" hidden="1">"c5285"</definedName>
    <definedName name="IQ_RETURN_EQUITY_STDDEV_EST" hidden="1">"c3534"</definedName>
    <definedName name="IQ_RETURN_EQUITY_STDDEV_EST_CIQ" hidden="1">"c3826"</definedName>
    <definedName name="IQ_RETURN_EQUITY_STDDEV_EST_REUT" hidden="1">"c3988"</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ENUE" hidden="1">"c1422"</definedName>
    <definedName name="IQ_REVENUE_10K" hidden="1">"REVENUE_10K"</definedName>
    <definedName name="IQ_REVENUE_10Q" hidden="1">"REVENUE_10Q"</definedName>
    <definedName name="IQ_REVENUE_10Q1" hidden="1">"REVENUE_10Q1"</definedName>
    <definedName name="IQ_REVENUE_ACT_OR_EST" hidden="1">"c2214"</definedName>
    <definedName name="IQ_REVENUE_ACT_OR_EST_CIQ" hidden="1">"c5059"</definedName>
    <definedName name="IQ_REVENUE_ACT_OR_EST_REUT" hidden="1">"c5461"</definedName>
    <definedName name="IQ_REVENUE_ACT_OR_EST_THOM" hidden="1">"c5299"</definedName>
    <definedName name="IQ_REVENUE_BEFORE_LL_FFIEC" hidden="1">"c13018"</definedName>
    <definedName name="IQ_REVENUE_EST" hidden="1">"c1126"</definedName>
    <definedName name="IQ_REVENUE_EST_1" hidden="1">"IQ_REVENUE_EST_1"</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REUT" hidden="1">"c3634"</definedName>
    <definedName name="IQ_REVENUE_EST_THOM" hidden="1">"c3652"</definedName>
    <definedName name="IQ_REVENUE_GROWTH_1" hidden="1">"IQ_REVENUE_GROWTH_1"</definedName>
    <definedName name="IQ_REVENUE_GROWTH_2" hidden="1">"IQ_REVENUE_GROWTH_2"</definedName>
    <definedName name="IQ_REVENUE_GUIDANCE" hidden="1">"c4519"</definedName>
    <definedName name="IQ_REVENUE_GUIDANCE_CIQ" hidden="1">"c5057"</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HIGH_GUIDANCE" hidden="1">"c4169"</definedName>
    <definedName name="IQ_REVENUE_HIGH_GUIDANCE_CIQ" hidden="1">"c4581"</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LOW_GUIDANCE" hidden="1">"c4209"</definedName>
    <definedName name="IQ_REVENUE_LOW_GUIDANCE_CIQ" hidden="1">"c4621"</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O_EST" hidden="1">"c263"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ISION_DATE_" hidden="1">39777.4465277778</definedName>
    <definedName name="IQ_Revision_date_2" hidden="1">38961.5214814815</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EVOLVING_SECURED_1_–4_NON_ACCRUAL_FFIEC" hidden="1">"c13314"</definedName>
    <definedName name="IQ_RISK_ADJ_BANK_ASSETS" hidden="1">"c2670"</definedName>
    <definedName name="IQ_RISK_WEIGHTED_ASSETS_FDIC" hidden="1">"c6370"</definedName>
    <definedName name="IQ_ROYALTY_REVENUE_COAL" hidden="1">"c15932"</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LECTED_FOREIGN_ASSETS_FFIEC" hidden="1">"c13485"</definedName>
    <definedName name="IQ_SEMI_BACKLOG" hidden="1">"c10005"</definedName>
    <definedName name="IQ_SEMI_BACKLOG_AVG_PRICE" hidden="1">"c10006"</definedName>
    <definedName name="IQ_SEMI_BACKLOG_UNITS" hidden="1">"c10005"</definedName>
    <definedName name="IQ_SEMI_BACKLOG_VALUE" hidden="1">"c10007"</definedName>
    <definedName name="IQ_SEMI_BOOK_TO_BILL_RATIO" hidden="1">"c10008"</definedName>
    <definedName name="IQ_SEMI_BOOKINGS_AVG_PRICE" hidden="1">"c10002"</definedName>
    <definedName name="IQ_SEMI_BOOKINGS_UNITS" hidden="1">"c10001"</definedName>
    <definedName name="IQ_SEMI_BOOKINGS_VALUE" hidden="1">"c10003"</definedName>
    <definedName name="IQ_SEMI_BOOKINGS_VALUE_CHANGE" hidden="1">"c10004"</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POSITIONS_FFIEC" hidden="1">"c12859"</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FIC_ALLOWANCE" hidden="1">"c15247"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 hidden="1">"c2998"</definedName>
    <definedName name="IQ_STOCK_BASED_COGS_UTIL" hidden="1">"c2997"</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ST_CIQ" hidden="1">"c5073"</definedName>
    <definedName name="IQ_STOCK_BASED_EXPLORE_DRILL" hidden="1">"c13851"</definedName>
    <definedName name="IQ_STOCK_BASED_GA" hidden="1">"c2993"</definedName>
    <definedName name="IQ_STOCK_BASED_HIGH_EST" hidden="1">"c4521"</definedName>
    <definedName name="IQ_STOCK_BASED_HIGH_EST_CIQ" hidden="1">"c5074"</definedName>
    <definedName name="IQ_STOCK_BASED_LOW_EST" hidden="1">"c4522"</definedName>
    <definedName name="IQ_STOCK_BASED_LOW_EST_CIQ" hidden="1">"c5075"</definedName>
    <definedName name="IQ_STOCK_BASED_MEDIAN_EST" hidden="1">"c4523"</definedName>
    <definedName name="IQ_STOCK_BASED_MEDIAN_EST_CIQ" hidden="1">"c5076"</definedName>
    <definedName name="IQ_STOCK_BASED_NUM_EST" hidden="1">"c4524"</definedName>
    <definedName name="IQ_STOCK_BASED_NUM_EST_CIQ" hidden="1">"c5077"</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STDDEV_EST_CIQ" hidden="1">"c5078"</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PPLIES_FFIEC" hidden="1">"c13050"</definedName>
    <definedName name="IQ_SURPLUS_FDIC" hidden="1">"c6351"</definedName>
    <definedName name="IQ_SURPLUS_FFIEC" hidden="1">"c12877"</definedName>
    <definedName name="IQ_SVA" hidden="1">"c1214"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CIQ" hidden="1">"c4047"</definedName>
    <definedName name="IQ_TEV_EBIT_FWD_REUT" hidden="1">"c4054"</definedName>
    <definedName name="IQ_TEV_EBIT_FWD_THOM" hidden="1">"c4061"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CIQ" hidden="1">"c5079"</definedName>
    <definedName name="IQ_TEV_EST_THOM" hidden="1">"c5529"</definedName>
    <definedName name="IQ_TEV_HIGH_EST" hidden="1">"c4527"</definedName>
    <definedName name="IQ_TEV_HIGH_EST_CIQ" hidden="1">"c5080"</definedName>
    <definedName name="IQ_TEV_HIGH_EST_THOM" hidden="1">"c5530"</definedName>
    <definedName name="IQ_TEV_LOW_EST" hidden="1">"c4528"</definedName>
    <definedName name="IQ_TEV_LOW_EST_CIQ" hidden="1">"c5081"</definedName>
    <definedName name="IQ_TEV_LOW_EST_THOM" hidden="1">"c5531"</definedName>
    <definedName name="IQ_TEV_MEDIAN_EST" hidden="1">"c4529"</definedName>
    <definedName name="IQ_TEV_MEDIAN_EST_CIQ" hidden="1">"c5082"</definedName>
    <definedName name="IQ_TEV_MEDIAN_EST_THOM" hidden="1">"c5532"</definedName>
    <definedName name="IQ_TEV_NUM_EST" hidden="1">"c4530"</definedName>
    <definedName name="IQ_TEV_NUM_EST_CIQ" hidden="1">"c5083"</definedName>
    <definedName name="IQ_TEV_NUM_EST_THOM" hidden="1">"c5533"</definedName>
    <definedName name="IQ_TEV_STDDEV_EST" hidden="1">"c4531"</definedName>
    <definedName name="IQ_TEV_STDDEV_EST_CIQ" hidden="1">"c5084"</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ST_CIQ" hidden="1">"c5085"</definedName>
    <definedName name="IQ_TOTAL_DEBT_EXCL_FIN" hidden="1">"c2937"</definedName>
    <definedName name="IQ_TOTAL_DEBT_GUIDANCE" hidden="1">"c4533"</definedName>
    <definedName name="IQ_TOTAL_DEBT_GUIDANCE_CIQ" hidden="1">"c5086"</definedName>
    <definedName name="IQ_TOTAL_DEBT_HIGH_EST" hidden="1">"c4534"</definedName>
    <definedName name="IQ_TOTAL_DEBT_HIGH_EST_CIQ" hidden="1">"c5087"</definedName>
    <definedName name="IQ_TOTAL_DEBT_HIGH_GUIDANCE" hidden="1">"c4196"</definedName>
    <definedName name="IQ_TOTAL_DEBT_HIGH_GUIDANCE_CIQ" hidden="1">"c4608"</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EST_CIQ" hidden="1">"c5088"</definedName>
    <definedName name="IQ_TOTAL_DEBT_LOW_GUIDANCE" hidden="1">"c4236"</definedName>
    <definedName name="IQ_TOTAL_DEBT_LOW_GUIDANCE_CIQ" hidden="1">"c4648"</definedName>
    <definedName name="IQ_TOTAL_DEBT_MEDIAN_EST" hidden="1">"c4536"</definedName>
    <definedName name="IQ_TOTAL_DEBT_MEDIAN_EST_CIQ" hidden="1">"c5089"</definedName>
    <definedName name="IQ_TOTAL_DEBT_NON_CURRENT" hidden="1">"c6191"</definedName>
    <definedName name="IQ_TOTAL_DEBT_NUM_EST" hidden="1">"c4537"</definedName>
    <definedName name="IQ_TOTAL_DEBT_NUM_EST_CIQ" hidden="1">"c5090"</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BT_STDDEV_EST_CIQ" hidden="1">"c5091"</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1</definedName>
    <definedName name="IQB_BOOKMARK_LOCATION_0" hidden="1">#REF!</definedName>
    <definedName name="IQR111711P10" hidden="1">#REF!</definedName>
    <definedName name="IQR111711P101" hidden="1">#REF!</definedName>
    <definedName name="IQR111711P102" hidden="1">#REF!</definedName>
    <definedName name="IQR111711P103" hidden="1">#REF!</definedName>
    <definedName name="IQR111711P104" hidden="1">#REF!</definedName>
    <definedName name="IQR111711P106" hidden="1">#REF!</definedName>
    <definedName name="IQR111711P107" hidden="1">#REF!</definedName>
    <definedName name="IQR111711P110" hidden="1">#REF!</definedName>
    <definedName name="IQR111711P111" hidden="1">#REF!</definedName>
    <definedName name="IQR111711P112" hidden="1">#REF!</definedName>
    <definedName name="IQR111711P113" hidden="1">#REF!</definedName>
    <definedName name="IQR111711P114" hidden="1">#REF!</definedName>
    <definedName name="IQR111711P117" hidden="1">#REF!</definedName>
    <definedName name="IQR111711P119" hidden="1">#REF!</definedName>
    <definedName name="IQR111711P120" hidden="1">#REF!</definedName>
    <definedName name="IQR111711P122" hidden="1">#REF!</definedName>
    <definedName name="IQR111711P123" hidden="1">#REF!</definedName>
    <definedName name="IQR111711P124" hidden="1">#REF!</definedName>
    <definedName name="IQR111711P127" hidden="1">#REF!</definedName>
    <definedName name="IQR111711P128" hidden="1">#REF!</definedName>
    <definedName name="IQR111711P13" hidden="1">#REF!</definedName>
    <definedName name="IQR111711P131" hidden="1">#REF!</definedName>
    <definedName name="IQR111711P132" hidden="1">#REF!</definedName>
    <definedName name="IQR111711P134" hidden="1">#REF!</definedName>
    <definedName name="IQR111711P135" hidden="1">#REF!</definedName>
    <definedName name="IQR111711P136" hidden="1">#REF!</definedName>
    <definedName name="IQR111711P138" hidden="1">#REF!</definedName>
    <definedName name="IQR111711P139" hidden="1">#REF!</definedName>
    <definedName name="IQR111711P14" hidden="1">#REF!</definedName>
    <definedName name="IQR111711P140" hidden="1">#REF!</definedName>
    <definedName name="IQR111711P141" hidden="1">#REF!</definedName>
    <definedName name="IQR111711P142" hidden="1">#REF!</definedName>
    <definedName name="IQR111711P143" hidden="1">#REF!</definedName>
    <definedName name="IQR111711P144" hidden="1">#REF!</definedName>
    <definedName name="IQR111711P145" hidden="1">#REF!</definedName>
    <definedName name="IQR111711P148" hidden="1">#REF!</definedName>
    <definedName name="IQR111711P149" hidden="1">#REF!</definedName>
    <definedName name="IQR111711P150" hidden="1">#REF!</definedName>
    <definedName name="IQR111711P153" hidden="1">#REF!</definedName>
    <definedName name="IQR111711P155" hidden="1">#REF!</definedName>
    <definedName name="IQR111711P156" hidden="1">#REF!</definedName>
    <definedName name="IQR111711P161" hidden="1">#REF!</definedName>
    <definedName name="IQR111711P163" hidden="1">#REF!</definedName>
    <definedName name="IQR111711P167" hidden="1">#REF!</definedName>
    <definedName name="IQR111711P168" hidden="1">#REF!</definedName>
    <definedName name="IQR111711P169" hidden="1">#REF!</definedName>
    <definedName name="IQR111711P17" hidden="1">#REF!</definedName>
    <definedName name="IQR111711P170" hidden="1">#REF!</definedName>
    <definedName name="IQR111711P172" hidden="1">#REF!</definedName>
    <definedName name="IQR111711P174" hidden="1">#REF!</definedName>
    <definedName name="IQR111711P175" hidden="1">#REF!</definedName>
    <definedName name="IQR111711P179" hidden="1">#REF!</definedName>
    <definedName name="IQR111711P18" hidden="1">#REF!</definedName>
    <definedName name="IQR111711P182" hidden="1">#REF!</definedName>
    <definedName name="IQR111711P183" hidden="1">#REF!</definedName>
    <definedName name="IQR111711P187" hidden="1">#REF!</definedName>
    <definedName name="IQR111711P188" hidden="1">#REF!</definedName>
    <definedName name="IQR111711P190" hidden="1">#REF!</definedName>
    <definedName name="IQR111711P192" hidden="1">#REF!</definedName>
    <definedName name="IQR111711P193" hidden="1">#REF!</definedName>
    <definedName name="IQR111711P195" hidden="1">#REF!</definedName>
    <definedName name="IQR111711P196" hidden="1">#REF!</definedName>
    <definedName name="IQR111711P198" hidden="1">#REF!</definedName>
    <definedName name="IQR111711P199" hidden="1">#REF!</definedName>
    <definedName name="IQR111711P200" hidden="1">#REF!</definedName>
    <definedName name="IQR111711P202" hidden="1">#REF!</definedName>
    <definedName name="IQR111711P205" hidden="1">#REF!</definedName>
    <definedName name="IQR111711P206" hidden="1">#REF!</definedName>
    <definedName name="IQR111711P207" hidden="1">#REF!</definedName>
    <definedName name="IQR111711P208" hidden="1">#REF!</definedName>
    <definedName name="IQR111711P21" hidden="1">#REF!</definedName>
    <definedName name="IQR111711P210" hidden="1">#REF!</definedName>
    <definedName name="IQR111711P211" hidden="1">#REF!</definedName>
    <definedName name="IQR111711P212" hidden="1">#REF!</definedName>
    <definedName name="IQR111711P213" hidden="1">#REF!</definedName>
    <definedName name="IQR111711P214" hidden="1">#REF!</definedName>
    <definedName name="IQR111711P215" hidden="1">#REF!</definedName>
    <definedName name="IQR111711P216" hidden="1">#REF!</definedName>
    <definedName name="IQR111711P218" hidden="1">#REF!</definedName>
    <definedName name="IQR111711P219" hidden="1">#REF!</definedName>
    <definedName name="IQR111711P222" hidden="1">#REF!</definedName>
    <definedName name="IQR111711P223" hidden="1">#REF!</definedName>
    <definedName name="IQR111711P224" hidden="1">#REF!</definedName>
    <definedName name="IQR111711P225" hidden="1">#REF!</definedName>
    <definedName name="IQR111711P227" hidden="1">#REF!</definedName>
    <definedName name="IQR111711P229" hidden="1">#REF!</definedName>
    <definedName name="IQR111711P23" hidden="1">#REF!</definedName>
    <definedName name="IQR111711P230" hidden="1">#REF!</definedName>
    <definedName name="IQR111711P232" hidden="1">#REF!</definedName>
    <definedName name="IQR111711P233" hidden="1">#REF!</definedName>
    <definedName name="IQR111711P234" hidden="1">#REF!</definedName>
    <definedName name="IQR111711P237" hidden="1">#REF!</definedName>
    <definedName name="IQR111711P238" hidden="1">#REF!</definedName>
    <definedName name="IQR111711P239" hidden="1">#REF!</definedName>
    <definedName name="IQR111711P24" hidden="1">#REF!</definedName>
    <definedName name="IQR111711P240" hidden="1">#REF!</definedName>
    <definedName name="IQR111711P242" hidden="1">#REF!</definedName>
    <definedName name="IQR111711P243" hidden="1">#REF!</definedName>
    <definedName name="IQR111711P245" hidden="1">#REF!</definedName>
    <definedName name="IQR111711P247" hidden="1">#REF!</definedName>
    <definedName name="IQR111711P248" hidden="1">#REF!</definedName>
    <definedName name="IQR111711P249" hidden="1">#REF!</definedName>
    <definedName name="IQR111711P25" hidden="1">#REF!</definedName>
    <definedName name="IQR111711P252" hidden="1">#REF!</definedName>
    <definedName name="IQR111711P253" hidden="1">#REF!</definedName>
    <definedName name="IQR111711P254" hidden="1">#REF!</definedName>
    <definedName name="IQR111711P255" hidden="1">#REF!</definedName>
    <definedName name="IQR111711P256" hidden="1">#REF!</definedName>
    <definedName name="IQR111711P257" hidden="1">#REF!</definedName>
    <definedName name="IQR111711P258" hidden="1">#REF!</definedName>
    <definedName name="IQR111711P259" hidden="1">#REF!</definedName>
    <definedName name="IQR111711P26" hidden="1">#REF!</definedName>
    <definedName name="IQR111711P260" hidden="1">#REF!</definedName>
    <definedName name="IQR111711P261" hidden="1">#REF!</definedName>
    <definedName name="IQR111711P263" hidden="1">#REF!</definedName>
    <definedName name="IQR111711P264" hidden="1">#REF!</definedName>
    <definedName name="IQR111711P265" hidden="1">#REF!</definedName>
    <definedName name="IQR111711P266" hidden="1">#REF!</definedName>
    <definedName name="IQR111711P267" hidden="1">#REF!</definedName>
    <definedName name="IQR111711P269" hidden="1">#REF!</definedName>
    <definedName name="IQR111711P27" hidden="1">#REF!</definedName>
    <definedName name="IQR111711P270" hidden="1">#REF!</definedName>
    <definedName name="IQR111711P271" hidden="1">#REF!</definedName>
    <definedName name="IQR111711P275" hidden="1">#REF!</definedName>
    <definedName name="IQR111711P276" hidden="1">#REF!</definedName>
    <definedName name="IQR111711P278" hidden="1">#REF!</definedName>
    <definedName name="IQR111711P279" hidden="1">#REF!</definedName>
    <definedName name="IQR111711P28" hidden="1">#REF!</definedName>
    <definedName name="IQR111711P280" hidden="1">#REF!</definedName>
    <definedName name="IQR111711P281" hidden="1">#REF!</definedName>
    <definedName name="IQR111711P282" hidden="1">#REF!</definedName>
    <definedName name="IQR111711P284" hidden="1">#REF!</definedName>
    <definedName name="IQR111711P285" hidden="1">#REF!</definedName>
    <definedName name="IQR111711P286" hidden="1">#REF!</definedName>
    <definedName name="IQR111711P289" hidden="1">#REF!</definedName>
    <definedName name="IQR111711P29" hidden="1">#REF!</definedName>
    <definedName name="IQR111711P290" hidden="1">#REF!</definedName>
    <definedName name="IQR111711P292" hidden="1">#REF!</definedName>
    <definedName name="IQR111711P294" hidden="1">#REF!</definedName>
    <definedName name="IQR111711P295" hidden="1">#REF!</definedName>
    <definedName name="IQR111711P297" hidden="1">#REF!</definedName>
    <definedName name="IQR111711P299" hidden="1">#REF!</definedName>
    <definedName name="IQR111711P30" hidden="1">#REF!</definedName>
    <definedName name="IQR111711P300" hidden="1">#REF!</definedName>
    <definedName name="IQR111711P301" hidden="1">#REF!</definedName>
    <definedName name="IQR111711P303" hidden="1">#REF!</definedName>
    <definedName name="IQR111711P304" hidden="1">#REF!</definedName>
    <definedName name="IQR111711P306" hidden="1">#REF!</definedName>
    <definedName name="IQR111711P307" hidden="1">#REF!</definedName>
    <definedName name="IQR111711P308" hidden="1">#REF!</definedName>
    <definedName name="IQR111711P309" hidden="1">#REF!</definedName>
    <definedName name="IQR111711P31" hidden="1">#REF!</definedName>
    <definedName name="IQR111711P311" hidden="1">#REF!</definedName>
    <definedName name="IQR111711P312" hidden="1">#REF!</definedName>
    <definedName name="IQR111711P313" hidden="1">#REF!</definedName>
    <definedName name="IQR111711P314" hidden="1">#REF!</definedName>
    <definedName name="IQR111711P315" hidden="1">#REF!</definedName>
    <definedName name="IQR111711P318" hidden="1">#REF!</definedName>
    <definedName name="IQR111711P319" hidden="1">#REF!</definedName>
    <definedName name="IQR111711P32" hidden="1">#REF!</definedName>
    <definedName name="IQR111711P320" hidden="1">#REF!</definedName>
    <definedName name="IQR111711P321" hidden="1">#REF!</definedName>
    <definedName name="IQR111711P322" hidden="1">#REF!</definedName>
    <definedName name="IQR111711P323" hidden="1">#REF!</definedName>
    <definedName name="IQR111711P324" hidden="1">#REF!</definedName>
    <definedName name="IQR111711P325" hidden="1">#REF!</definedName>
    <definedName name="IQR111711P327" hidden="1">#REF!</definedName>
    <definedName name="IQR111711P328" hidden="1">#REF!</definedName>
    <definedName name="IQR111711P329" hidden="1">#REF!</definedName>
    <definedName name="IQR111711P33" hidden="1">#REF!</definedName>
    <definedName name="IQR111711P330" hidden="1">#REF!</definedName>
    <definedName name="IQR111711P331" hidden="1">#REF!</definedName>
    <definedName name="IQR111711P333" hidden="1">#REF!</definedName>
    <definedName name="IQR111711P335" hidden="1">#REF!</definedName>
    <definedName name="IQR111711P336" hidden="1">#REF!</definedName>
    <definedName name="IQR111711P337" hidden="1">#REF!</definedName>
    <definedName name="IQR111711P338" hidden="1">#REF!</definedName>
    <definedName name="IQR111711P339" hidden="1">#REF!</definedName>
    <definedName name="IQR111711P34" hidden="1">#REF!</definedName>
    <definedName name="IQR111711P340" hidden="1">#REF!</definedName>
    <definedName name="IQR111711P341" hidden="1">#REF!</definedName>
    <definedName name="IQR111711P343" hidden="1">#REF!</definedName>
    <definedName name="IQR111711P345" hidden="1">#REF!</definedName>
    <definedName name="IQR111711P346" hidden="1">#REF!</definedName>
    <definedName name="IQR111711P347" hidden="1">#REF!</definedName>
    <definedName name="IQR111711P348" hidden="1">#REF!</definedName>
    <definedName name="IQR111711P349" hidden="1">#REF!</definedName>
    <definedName name="IQR111711P350" hidden="1">#REF!</definedName>
    <definedName name="IQR111711P352" hidden="1">#REF!</definedName>
    <definedName name="IQR111711P353" hidden="1">#REF!</definedName>
    <definedName name="IQR111711P354" hidden="1">#REF!</definedName>
    <definedName name="IQR111711P355" hidden="1">#REF!</definedName>
    <definedName name="IQR111711P356" hidden="1">#REF!</definedName>
    <definedName name="IQR111711P358" hidden="1">#REF!</definedName>
    <definedName name="IQR111711P36" hidden="1">#REF!</definedName>
    <definedName name="IQR111711P361" hidden="1">#REF!</definedName>
    <definedName name="IQR111711P362" hidden="1">#REF!</definedName>
    <definedName name="IQR111711P364" hidden="1">#REF!</definedName>
    <definedName name="IQR111711P367" hidden="1">#REF!</definedName>
    <definedName name="IQR111711P368" hidden="1">#REF!</definedName>
    <definedName name="IQR111711P369" hidden="1">#REF!</definedName>
    <definedName name="IQR111711P37" hidden="1">#REF!</definedName>
    <definedName name="IQR111711P370" hidden="1">#REF!</definedName>
    <definedName name="IQR111711P372" hidden="1">#REF!</definedName>
    <definedName name="IQR111711P374" hidden="1">#REF!</definedName>
    <definedName name="IQR111711P375" hidden="1">#REF!</definedName>
    <definedName name="IQR111711P378" hidden="1">#REF!</definedName>
    <definedName name="IQR111711P379" hidden="1">#REF!</definedName>
    <definedName name="IQR111711P38" hidden="1">#REF!</definedName>
    <definedName name="IQR111711P380" hidden="1">#REF!</definedName>
    <definedName name="IQR111711P381" hidden="1">#REF!</definedName>
    <definedName name="IQR111711P41" hidden="1">#REF!</definedName>
    <definedName name="IQR111711P42" hidden="1">#REF!</definedName>
    <definedName name="IQR111711P43" hidden="1">#REF!</definedName>
    <definedName name="IQR111711P44" hidden="1">#REF!</definedName>
    <definedName name="IQR111711P46" hidden="1">#REF!</definedName>
    <definedName name="IQR111711P48" hidden="1">#REF!</definedName>
    <definedName name="IQR111711P50" hidden="1">#REF!</definedName>
    <definedName name="IQR111711P51" hidden="1">#REF!</definedName>
    <definedName name="IQR111711P55" hidden="1">#REF!</definedName>
    <definedName name="IQR111711P56" hidden="1">#REF!</definedName>
    <definedName name="IQR111711P57" hidden="1">#REF!</definedName>
    <definedName name="IQR111711P58" hidden="1">#REF!</definedName>
    <definedName name="IQR111711P59" hidden="1">#REF!</definedName>
    <definedName name="IQR111711P62" hidden="1">#REF!</definedName>
    <definedName name="IQR111711P64" hidden="1">#REF!</definedName>
    <definedName name="IQR111711P65" hidden="1">#REF!</definedName>
    <definedName name="IQR111711P66" hidden="1">#REF!</definedName>
    <definedName name="IQR111711P67" hidden="1">#REF!</definedName>
    <definedName name="IQR111711P69" hidden="1">#REF!</definedName>
    <definedName name="IQR111711P70" hidden="1">#REF!</definedName>
    <definedName name="IQR111711P71" hidden="1">#REF!</definedName>
    <definedName name="IQR111711P74" hidden="1">#REF!</definedName>
    <definedName name="IQR111711P75" hidden="1">#REF!</definedName>
    <definedName name="IQR111711P76" hidden="1">#REF!</definedName>
    <definedName name="IQR111711P77" hidden="1">#REF!</definedName>
    <definedName name="IQR111711P79" hidden="1">#REF!</definedName>
    <definedName name="IQR111711P81" hidden="1">#REF!</definedName>
    <definedName name="IQR111711P83" hidden="1">#REF!</definedName>
    <definedName name="IQR111711P87" hidden="1">#REF!</definedName>
    <definedName name="IQR111711P88" hidden="1">#REF!</definedName>
    <definedName name="IQR111711P9" hidden="1">#REF!</definedName>
    <definedName name="IQR111711P91" hidden="1">#REF!</definedName>
    <definedName name="IQR111711P92" hidden="1">#REF!</definedName>
    <definedName name="IQR111711P93" hidden="1">#REF!</definedName>
    <definedName name="IQR111711P94" hidden="1">#REF!</definedName>
    <definedName name="IQR111711P95" hidden="1">#REF!</definedName>
    <definedName name="IQR111711P96" hidden="1">#REF!</definedName>
    <definedName name="IQR111711P98" hidden="1">#REF!</definedName>
    <definedName name="IQR111711Q112" hidden="1">#REF!</definedName>
    <definedName name="IQR111711Q113" hidden="1">#REF!</definedName>
    <definedName name="IQR111711Q14" hidden="1">#REF!</definedName>
    <definedName name="IQR111711Q148" hidden="1">#REF!</definedName>
    <definedName name="IQR111711Q149" hidden="1">#REF!</definedName>
    <definedName name="IQR111711Q17" hidden="1">#REF!</definedName>
    <definedName name="IQR111711Q174" hidden="1">#REF!</definedName>
    <definedName name="IQR111711Q175" hidden="1">#REF!</definedName>
    <definedName name="IQR111711Q187" hidden="1">#REF!</definedName>
    <definedName name="IQR111711Q188" hidden="1">#REF!</definedName>
    <definedName name="IQR111711Q224" hidden="1">#REF!</definedName>
    <definedName name="IQR111711Q225" hidden="1">#REF!</definedName>
    <definedName name="IQR111711Q242" hidden="1">#REF!</definedName>
    <definedName name="IQR111711Q243" hidden="1">#REF!</definedName>
    <definedName name="IQR111711Q270" hidden="1">#REF!</definedName>
    <definedName name="IQR111711Q271" hidden="1">#REF!</definedName>
    <definedName name="IQR111711Q289" hidden="1">#REF!</definedName>
    <definedName name="IQR111711Q290" hidden="1">#REF!</definedName>
    <definedName name="IQR111711Q313" hidden="1">#REF!</definedName>
    <definedName name="IQR111711Q314" hidden="1">#REF!</definedName>
    <definedName name="IQR111711Q330" hidden="1">#REF!</definedName>
    <definedName name="IQR111711Q331" hidden="1">#REF!</definedName>
    <definedName name="IQR111711Q43" hidden="1">#REF!</definedName>
    <definedName name="IQR111711Q44" hidden="1">#REF!</definedName>
    <definedName name="IQR111711Q69" hidden="1">#REF!</definedName>
    <definedName name="IQR111711Q70" hidden="1">#REF!</definedName>
    <definedName name="IQR111711Q74" hidden="1">#REF!</definedName>
    <definedName name="IQR111711Q75" hidden="1">#REF!</definedName>
    <definedName name="IQR111711Q76" hidden="1">#REF!</definedName>
    <definedName name="IQR111711Q77" hidden="1">#REF!</definedName>
    <definedName name="IQR111711Q9" hidden="1">#REF!</definedName>
    <definedName name="IQRA10" hidden="1">"$A$11:$A$262"</definedName>
    <definedName name="IQRA12" hidden="1">"$A$13:$A$76"</definedName>
    <definedName name="IQRA2" hidden="1">"$A$3:$A$1306"</definedName>
    <definedName name="IQRA3" hidden="1">"$A$4:$A$1307"</definedName>
    <definedName name="IQRA8" hidden="1">"$A$9"</definedName>
    <definedName name="IQRAB12" hidden="1">"$AB$13:$AB$76"</definedName>
    <definedName name="IQRAB7" hidden="1">"$AB$8:$AB$164"</definedName>
    <definedName name="IQRAD7" hidden="1">"$AD$8:$AD$179"</definedName>
    <definedName name="IQRAE12" hidden="1">"$AE$13:$AE$76"</definedName>
    <definedName name="IQRAF107" hidden="1">"$AF$108:$AF$168"</definedName>
    <definedName name="IQRAF17" hidden="1">"$AF$18:$AF$78"</definedName>
    <definedName name="IQRAF211" hidden="1">"$AF$212:$AF$369"</definedName>
    <definedName name="IQRAF27" hidden="1">"$AF$28:$AF$184"</definedName>
    <definedName name="IQRAF45" hidden="1">"$AF$46:$AF$549"</definedName>
    <definedName name="IQRAF577" hidden="1">"$AF$578:$AF$1079"</definedName>
    <definedName name="IQRAF578" hidden="1">"$AF$579:$AF$1080"</definedName>
    <definedName name="IQRAF7" hidden="1">"$AF$8:$AF$165"</definedName>
    <definedName name="IQRAH12" hidden="1">"$AH$13:$AH$76"</definedName>
    <definedName name="IQRAH7" hidden="1">"$AH$8:$AH$179"</definedName>
    <definedName name="IQRAJ7" hidden="1">"$AJ$8:$AJ$164"</definedName>
    <definedName name="IQRAK12" hidden="1">"$AK$13:$AK$76"</definedName>
    <definedName name="IQRAL107" hidden="1">"$AL$108:$AL$168"</definedName>
    <definedName name="IQRAL17" hidden="1">"$AL$18:$AL$51"</definedName>
    <definedName name="IQRAL211" hidden="1">"$AL$212:$AL$369"</definedName>
    <definedName name="IQRAL27" hidden="1">"$AL$28:$AL$171"</definedName>
    <definedName name="IQRAL45" hidden="1">"$AL$46:$AL$549"</definedName>
    <definedName name="IQRAL577" hidden="1">"$AL$578:$AL$1079"</definedName>
    <definedName name="IQRAL578" hidden="1">"$AL$579:$AL$1080"</definedName>
    <definedName name="IQRAL7" hidden="1">"$AL$8:$AL$165"</definedName>
    <definedName name="IQRAN12" hidden="1">"$AN$13:$AN$76"</definedName>
    <definedName name="IQRAN7" hidden="1">"$AN$8:$AN$164"</definedName>
    <definedName name="IQRAP7" hidden="1">"$AP$8:$AP$164"</definedName>
    <definedName name="IQRAP89" hidden="1">"$AP$90:$AP$91"</definedName>
    <definedName name="IQRAQ12" hidden="1">"$AQ$13:$AQ$76"</definedName>
    <definedName name="IQRAR107" hidden="1">"$AR$108:$AR$168"</definedName>
    <definedName name="IQRAR17" hidden="1">"$AR$18:$AR$78"</definedName>
    <definedName name="IQRAR211" hidden="1">"$AR$212:$AR$369"</definedName>
    <definedName name="IQRAR27" hidden="1">"$AR$28:$AR$184"</definedName>
    <definedName name="IQRAR45" hidden="1">"$AR$46:$AR$549"</definedName>
    <definedName name="IQRAR577" hidden="1">"$AR$578:$AR$1079"</definedName>
    <definedName name="IQRAR578" hidden="1">"$AR$579:$AR$1080"</definedName>
    <definedName name="IQRAR7" hidden="1">"$AR$8:$AR$165"</definedName>
    <definedName name="IQRAR89" hidden="1">"$AR$90:$AR$91"</definedName>
    <definedName name="IQRAT7" hidden="1">"$AT$8:$AT$164"</definedName>
    <definedName name="IQRAT89" hidden="1">"$AT$90:$AT$91"</definedName>
    <definedName name="IQRAV7" hidden="1">"$AV$8:$AV$164"</definedName>
    <definedName name="IQRAV89" hidden="1">"$AV$90:$AV$91"</definedName>
    <definedName name="IQRAX107" hidden="1">"$AX$108:$AX$168"</definedName>
    <definedName name="IQRAX17" hidden="1">"$AX$18:$AX$78"</definedName>
    <definedName name="IQRAX211" hidden="1">"$AX$212:$AX$369"</definedName>
    <definedName name="IQRAX27" hidden="1">"$AX$28:$AX$184"</definedName>
    <definedName name="IQRAX45" hidden="1">"$AX$46:$AX$549"</definedName>
    <definedName name="IQRAX577" hidden="1">"$AX$578:$AX$1079"</definedName>
    <definedName name="IQRAX578" hidden="1">"$AX$579:$AX$1080"</definedName>
    <definedName name="IQRAX7" hidden="1">"$AX$8:$AX$165"</definedName>
    <definedName name="IQRAX89" hidden="1">"$AX$90:$AX$91"</definedName>
    <definedName name="IQRB107" hidden="1">"$B$108:$B$168"</definedName>
    <definedName name="IQRB15" hidden="1">"$B$16:$B$17"</definedName>
    <definedName name="IQRB17" hidden="1">"$B$18:$B$77"</definedName>
    <definedName name="IQRB18" hidden="1">"$B$19:$B$23"</definedName>
    <definedName name="IQRB19" hidden="1">"$B$20:$B$24"</definedName>
    <definedName name="IQRB2" hidden="1">"$B$3:$B$1306"</definedName>
    <definedName name="IQRB20" hidden="1">"$B$21:$B$25"</definedName>
    <definedName name="IQRB21" hidden="1">"$B$22:$B$26"</definedName>
    <definedName name="IQRB211" hidden="1">"$B$212:$B$369"</definedName>
    <definedName name="IQRB22" hidden="1">"$B$23:$B$27"</definedName>
    <definedName name="IQRB23" hidden="1">"$B$24:$B$28"</definedName>
    <definedName name="IQRB24" hidden="1">"$B$25:$B$29"</definedName>
    <definedName name="IQRB27" hidden="1">"$B$28:$B$184"</definedName>
    <definedName name="IQRB32" hidden="1">"$B$33:$B$37"</definedName>
    <definedName name="IQRB33" hidden="1">"$B$34:$B$38"</definedName>
    <definedName name="IQRB34" hidden="1">"$B$35:$B$39"</definedName>
    <definedName name="IQRB45" hidden="1">"$B$46:$B$549"</definedName>
    <definedName name="IQRB577" hidden="1">"$B$578:$B$1079"</definedName>
    <definedName name="IQRB578" hidden="1">"$B$579:$B$1080"</definedName>
    <definedName name="IQRB6" hidden="1">"$B$7:$B$54"</definedName>
    <definedName name="IQRB7" hidden="1">"$B$8:$B$165"</definedName>
    <definedName name="IQRB8" hidden="1">"$B$9:$B$254"</definedName>
    <definedName name="IQRBB7" hidden="1">"$BB$8:$BB$164"</definedName>
    <definedName name="IQRBD107" hidden="1">"$BD$108:$BD$168"</definedName>
    <definedName name="IQRBD17" hidden="1">"$BD$18:$BD$73"</definedName>
    <definedName name="IQRBD211" hidden="1">"$BD$212:$BD$369"</definedName>
    <definedName name="IQRBD27" hidden="1">"$BD$28:$BD$184"</definedName>
    <definedName name="IQRBD45" hidden="1">"$BD$46:$BD$549"</definedName>
    <definedName name="IQRBD577" hidden="1">"$BD$578:$BD$1079"</definedName>
    <definedName name="IQRBD578" hidden="1">"$BD$579:$BD$1080"</definedName>
    <definedName name="IQRBD7" hidden="1">"$BD$8:$BD$165"</definedName>
    <definedName name="IQRC15" hidden="1">"$C$16:$C$20"</definedName>
    <definedName name="IQRC2" hidden="1">"$C$3:$C$1306"</definedName>
    <definedName name="IQRC24" hidden="1">"$C$25:$C$29"</definedName>
    <definedName name="IQRC8" hidden="1">"$C$9"</definedName>
    <definedName name="IQRCompaniesH12" hidden="1">#REF!</definedName>
    <definedName name="IQRCompaniesH13" hidden="1">#REF!</definedName>
    <definedName name="IQRCompaniesH14" hidden="1">#REF!</definedName>
    <definedName name="IQRCompaniesH15" hidden="1">#REF!</definedName>
    <definedName name="IQRCompaniesH16" hidden="1">#REF!</definedName>
    <definedName name="IQRCompaniesH17" hidden="1">#REF!</definedName>
    <definedName name="IQRCompaniesH18" hidden="1">#REF!</definedName>
    <definedName name="IQRCompaniesH19" hidden="1">#REF!</definedName>
    <definedName name="IQRCompaniesH22" hidden="1">#REF!</definedName>
    <definedName name="IQRCompaniesH23" hidden="1">#REF!</definedName>
    <definedName name="IQRCompaniesH24" hidden="1">#REF!</definedName>
    <definedName name="IQRCompaniesH25" hidden="1">#REF!</definedName>
    <definedName name="IQRCompaniesH26" hidden="1">#REF!</definedName>
    <definedName name="IQRCompaniesH27" hidden="1">#REF!</definedName>
    <definedName name="IQRCompaniesH28" hidden="1">#REF!</definedName>
    <definedName name="IQRCompaniesH29" hidden="1">#REF!</definedName>
    <definedName name="IQRCompaniesH30" hidden="1">#REF!</definedName>
    <definedName name="IQRCompaniesH31" hidden="1">#REF!</definedName>
    <definedName name="IQRCompaniesH32" hidden="1">#REF!</definedName>
    <definedName name="IQRCompaniesH33" hidden="1">#REF!</definedName>
    <definedName name="IQRCompaniesH34" hidden="1">#REF!</definedName>
    <definedName name="IQRCompaniesH35" hidden="1">#REF!</definedName>
    <definedName name="IQRCompaniesH36" hidden="1">#REF!</definedName>
    <definedName name="IQRCompaniesH38" hidden="1">#REF!</definedName>
    <definedName name="IQRCompaniesH39" hidden="1">#REF!</definedName>
    <definedName name="IQRCompaniesH40" hidden="1">#REF!</definedName>
    <definedName name="IQRCompaniesH41" hidden="1">#REF!</definedName>
    <definedName name="IQRCompaniesH42" hidden="1">#REF!</definedName>
    <definedName name="IQRCompaniesH43" hidden="1">#REF!</definedName>
    <definedName name="IQRCompaniesH44" hidden="1">#REF!</definedName>
    <definedName name="IQRCompaniesH46" hidden="1">#REF!</definedName>
    <definedName name="IQRCompaniesH47" hidden="1">#REF!</definedName>
    <definedName name="IQRCompaniesH48" hidden="1">#REF!</definedName>
    <definedName name="IQRCompaniesH49" hidden="1">#REF!</definedName>
    <definedName name="IQRCompaniesH50" hidden="1">#REF!</definedName>
    <definedName name="IQRCompaniesH51" hidden="1">#REF!</definedName>
    <definedName name="IQRCompaniesH52" hidden="1">#REF!</definedName>
    <definedName name="IQRCompaniesH54" hidden="1">#REF!</definedName>
    <definedName name="IQRCompaniesH55" hidden="1">#REF!</definedName>
    <definedName name="IQRCompaniesH56" hidden="1">#REF!</definedName>
    <definedName name="IQRCompaniesH57" hidden="1">#REF!</definedName>
    <definedName name="IQRCompaniesH58" hidden="1">#REF!</definedName>
    <definedName name="IQRCompaniesH59" hidden="1">#REF!</definedName>
    <definedName name="IQRCompaniesN12" hidden="1">#REF!</definedName>
    <definedName name="IQRCompaniesN13" hidden="1">#REF!</definedName>
    <definedName name="IQRCompaniesN14" hidden="1">#REF!</definedName>
    <definedName name="IQRCompaniesN15" hidden="1">#REF!</definedName>
    <definedName name="IQRCompaniesN16" hidden="1">#REF!</definedName>
    <definedName name="IQRCompaniesN17" hidden="1">#REF!</definedName>
    <definedName name="IQRCompaniesN18" hidden="1">#REF!</definedName>
    <definedName name="IQRCompaniesN19" hidden="1">#REF!</definedName>
    <definedName name="IQRCompaniesN22" hidden="1">#REF!</definedName>
    <definedName name="IQRCompaniesN23" hidden="1">#REF!</definedName>
    <definedName name="IQRCompaniesN24" hidden="1">#REF!</definedName>
    <definedName name="IQRCompaniesN25" hidden="1">#REF!</definedName>
    <definedName name="IQRCompaniesN26" hidden="1">#REF!</definedName>
    <definedName name="IQRCompaniesN27" hidden="1">#REF!</definedName>
    <definedName name="IQRCompaniesN28" hidden="1">#REF!</definedName>
    <definedName name="IQRCompaniesN29" hidden="1">#REF!</definedName>
    <definedName name="IQRCompaniesN30" hidden="1">#REF!</definedName>
    <definedName name="IQRCompaniesN31" hidden="1">#REF!</definedName>
    <definedName name="IQRCompaniesN32" hidden="1">#REF!</definedName>
    <definedName name="IQRCompaniesN33" hidden="1">#REF!</definedName>
    <definedName name="IQRCompaniesN34" hidden="1">#REF!</definedName>
    <definedName name="IQRCompaniesN35" hidden="1">#REF!</definedName>
    <definedName name="IQRCompaniesN36" hidden="1">#REF!</definedName>
    <definedName name="IQRCompaniesN38" hidden="1">#REF!</definedName>
    <definedName name="IQRCompaniesN39" hidden="1">#REF!</definedName>
    <definedName name="IQRCompaniesN40" hidden="1">#REF!</definedName>
    <definedName name="IQRCompaniesN41" hidden="1">#REF!</definedName>
    <definedName name="IQRCompaniesN42" hidden="1">#REF!</definedName>
    <definedName name="IQRCompaniesN43" hidden="1">#REF!</definedName>
    <definedName name="IQRCompaniesN44" hidden="1">#REF!</definedName>
    <definedName name="IQRCompaniesN46" hidden="1">#REF!</definedName>
    <definedName name="IQRCompaniesN47" hidden="1">#REF!</definedName>
    <definedName name="IQRCompaniesN48" hidden="1">#REF!</definedName>
    <definedName name="IQRCompaniesN49" hidden="1">#REF!</definedName>
    <definedName name="IQRCompaniesN50" hidden="1">#REF!</definedName>
    <definedName name="IQRCompaniesN51" hidden="1">#REF!</definedName>
    <definedName name="IQRCompaniesN52" hidden="1">#REF!</definedName>
    <definedName name="IQRCompaniesN54" hidden="1">#REF!</definedName>
    <definedName name="IQRCompaniesN55" hidden="1">#REF!</definedName>
    <definedName name="IQRCompaniesN56" hidden="1">#REF!</definedName>
    <definedName name="IQRCompaniesN57" hidden="1">#REF!</definedName>
    <definedName name="IQRCompaniesN58" hidden="1">#REF!</definedName>
    <definedName name="IQRCompaniesN59" hidden="1">#REF!</definedName>
    <definedName name="IQRCustomIndexX10" hidden="1">#REF!</definedName>
    <definedName name="IQRD12" hidden="1">"$D$13:$D$77"</definedName>
    <definedName name="IQRD15" hidden="1">"$D$16:$D$17"</definedName>
    <definedName name="IQRF7" hidden="1">"$F$8:$F$179"</definedName>
    <definedName name="IQRG12" hidden="1">"$G$13:$G$76"</definedName>
    <definedName name="IQRH107" hidden="1">"$H$108:$H$168"</definedName>
    <definedName name="IQRH17" hidden="1">"$H$18:$H$78"</definedName>
    <definedName name="IQRH211" hidden="1">"$H$212:$H$369"</definedName>
    <definedName name="IQRH27" hidden="1">"$H$28:$H$184"</definedName>
    <definedName name="IQRH45" hidden="1">"$H$46:$H$549"</definedName>
    <definedName name="IQRH577" hidden="1">"$H$578:$H$1079"</definedName>
    <definedName name="IQRH578" hidden="1">"$H$579:$H$1080"</definedName>
    <definedName name="IQRH7" hidden="1">"$H$8:$H$165"</definedName>
    <definedName name="IQRJ12" hidden="1">"$J$13:$J$76"</definedName>
    <definedName name="IQRJ7" hidden="1">"$J$8:$J$179"</definedName>
    <definedName name="IQRL7" hidden="1">"$L$8:$L$164"</definedName>
    <definedName name="IQRM12" hidden="1">"$M$13:$M$76"</definedName>
    <definedName name="IQRN107" hidden="1">"$N$108:$N$168"</definedName>
    <definedName name="IQRN17" hidden="1">"$N$18:$N$78"</definedName>
    <definedName name="IQRN211" hidden="1">"$N$212:$N$369"</definedName>
    <definedName name="IQRN27" hidden="1">"$N$28:$N$184"</definedName>
    <definedName name="IQRN45" hidden="1">"$N$46:$N$549"</definedName>
    <definedName name="IQRN577" hidden="1">"$N$578:$N$1079"</definedName>
    <definedName name="IQRN578" hidden="1">"$N$579:$N$1080"</definedName>
    <definedName name="IQRN7" hidden="1">"$N$8:$N$165"</definedName>
    <definedName name="IQRP12" hidden="1">"$P$13:$P$76"</definedName>
    <definedName name="IQRPeopleH12" hidden="1">#REF!</definedName>
    <definedName name="IQRPeopleH13" hidden="1">#REF!</definedName>
    <definedName name="IQRPeopleH14" hidden="1">#REF!</definedName>
    <definedName name="IQRPeopleH15" hidden="1">#REF!</definedName>
    <definedName name="IQRPeopleN12" hidden="1">#REF!</definedName>
    <definedName name="IQRPeopleN13" hidden="1">#REF!</definedName>
    <definedName name="IQRPeopleN14" hidden="1">#REF!</definedName>
    <definedName name="IQRPeopleN15" hidden="1">#REF!</definedName>
    <definedName name="IQRR43" hidden="1">"$R$44:$R$296"</definedName>
    <definedName name="IQRR44" hidden="1">"$R$45:$R$297"</definedName>
    <definedName name="IQRR45" hidden="1">"$R$46:$R$298"</definedName>
    <definedName name="IQRR46" hidden="1">"$R$47:$R$299"</definedName>
    <definedName name="IQRR47" hidden="1">"$R$48:$R$300"</definedName>
    <definedName name="IQRR48" hidden="1">"$R$49:$R$301"</definedName>
    <definedName name="IQRR55" hidden="1">"$R$56:$R$308"</definedName>
    <definedName name="IQRR56" hidden="1">"$R$57:$R$309"</definedName>
    <definedName name="IQRR7" hidden="1">"$R$8:$R$179"</definedName>
    <definedName name="IQRS12" hidden="1">"$S$13:$S$76"</definedName>
    <definedName name="IQRT107" hidden="1">"$T$108:$T$168"</definedName>
    <definedName name="IQRT17" hidden="1">"$T$18:$T$78"</definedName>
    <definedName name="IQRT211" hidden="1">"$T$212:$T$369"</definedName>
    <definedName name="IQRT27" hidden="1">"$T$28:$T$184"</definedName>
    <definedName name="IQRT45" hidden="1">"$T$46:$T$549"</definedName>
    <definedName name="IQRT577" hidden="1">"$T$578:$T$1079"</definedName>
    <definedName name="IQRT578" hidden="1">"$T$579:$T$1080"</definedName>
    <definedName name="IQRT7" hidden="1">"$T$8:$T$165"</definedName>
    <definedName name="IQRV12" hidden="1">"$V$13:$V$76"</definedName>
    <definedName name="IQRV7" hidden="1">"$V$8:$V$179"</definedName>
    <definedName name="IQRVolatilityC26" hidden="1">#REF!</definedName>
    <definedName name="IQRVolatilityD26" hidden="1">#REF!</definedName>
    <definedName name="IQRVolatilityH26" hidden="1">#REF!</definedName>
    <definedName name="IQRVolatilityI26" hidden="1">#REF!</definedName>
    <definedName name="IQRVolatilityM26" hidden="1">#REF!</definedName>
    <definedName name="IQRVolatilityN26" hidden="1">#REF!</definedName>
    <definedName name="IQRX10" hidden="1">"$X$11:$X$114"</definedName>
    <definedName name="IQRX7" hidden="1">"$X$8:$X$164"</definedName>
    <definedName name="IQRY12" hidden="1">"$Y$13:$Y$76"</definedName>
    <definedName name="IQRZ107" hidden="1">"$Z$108:$Z$168"</definedName>
    <definedName name="IQRZ17" hidden="1">"$Z$18:$Z$78"</definedName>
    <definedName name="IQRZ211" hidden="1">"$Z$212:$Z$369"</definedName>
    <definedName name="IQRZ27" hidden="1">"$Z$28:$Z$184"</definedName>
    <definedName name="IQRZ45" hidden="1">"$Z$46:$Z$483"</definedName>
    <definedName name="IQRZ577" hidden="1">"$Z$578:$Z$1079"</definedName>
    <definedName name="IQRZ578" hidden="1">"$Z$579:$Z$1080"</definedName>
    <definedName name="IQRZ7" hidden="1">"$Z$8:$Z$165"</definedName>
    <definedName name="iQShowHideColumns" hidden="1">"iQShowAll"</definedName>
    <definedName name="Irbe" hidden="1">{#N/A,#N/A,FALSE,"Pharm";#N/A,#N/A,FALSE,"WWCM"}</definedName>
    <definedName name="IRI_WorkspaceId" hidden="1">"2b9eb8a331bc4a55be5bcc8095c931a0"</definedName>
    <definedName name="ISCaseName">#REF!</definedName>
    <definedName name="IsColHidden" hidden="1">FALSE</definedName>
    <definedName name="ISG" hidden="1">{#N/A,#N/A,FALSE,"REPORT"}</definedName>
    <definedName name="IsLTMColHidden" hidden="1">FALSE</definedName>
    <definedName name="IT" hidden="1">#REF!</definedName>
    <definedName name="iv"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yrt" hidden="1">{#N/A,#N/A,TRUE,"A";#N/A,#N/A,TRUE,"B";#N/A,#N/A,TRUE,"C";#N/A,#N/A,TRUE,"D";#N/A,#N/A,TRUE,"E"}</definedName>
    <definedName name="j">#REF!</definedName>
    <definedName name="jb" hidden="1">{"summary1",#N/A,TRUE,"Comps";"summary2",#N/A,TRUE,"Comps";"summary3",#N/A,TRUE,"Comps"}</definedName>
    <definedName name="jde" hidden="1">{#N/A,#N/A,TRUE,"BUD VS ACT AUST 96";#N/A,#N/A,TRUE,"96 COMP P&amp;L-AUST";#N/A,#N/A,TRUE,"COMP BS-AUSTRALIA";#N/A,#N/A,TRUE,"B/S - AUSTR."}</definedName>
    <definedName name="jdfjesjds" hidden="1">{#N/A,#N/A,TRUE,"BUD VS ACT AUST 96";#N/A,#N/A,TRUE,"96 COMP P&amp;L-AUST";#N/A,#N/A,TRUE,"COMP BS-AUSTRALIA";#N/A,#N/A,TRUE,"B/S - AUSTR."}</definedName>
    <definedName name="jen" hidden="1">{TRUE,TRUE,-1.25,-15.5,456.75,279.75,FALSE,FALSE,TRUE,TRUE,0,1,8,1,4,6,3,4,TRUE,TRUE,3,TRUE,1,TRUE,100,"Swvu.turnover.","ACwvu.turnover.",1,FALSE,FALSE,0.511811023622047,0.511811023622047,0.511811023622047,0.511811023622047,1,"","",FALSE,FALSE,FALSE,FALSE,1,#N/A,1,1,#DIV/0!,FALSE,"Rwvu.turnover.",#N/A,FALSE,FALSE}</definedName>
    <definedName name="jgjgfjgfjf" hidden="1">{#N/A,#N/A,FALSE,"COMP BS-FRANCE";#N/A,#N/A,FALSE,"96 COMP P&amp;L-FRANCE";#N/A,#N/A,FALSE,"BUD VS ACT FRAN 96";#N/A,#N/A,FALSE,"B/S - FRANCE"}</definedName>
    <definedName name="jhy" hidden="1">{#N/A,#N/A,TRUE,"Sel Fn Data QTD";#N/A,#N/A,TRUE,"TABLE_1 SPREAD ANALYSIS";#N/A,#N/A,TRUE,"Tables 2 to 3 PL";#N/A,#N/A,TRUE,"Tables 4 and 5 ALLL";#N/A,#N/A,TRUE,"Tables 6 to 8 ALLL NPA";#N/A,#N/A,TRUE,"Table 9 to 10 - Balance Sheet";#N/A,#N/A,TRUE,"Table 11 to 12 - Equity"}</definedName>
    <definedName name="jj" hidden="1">#N/A</definedName>
    <definedName name="jjj" hidden="1">{#N/A,#N/A,FALSE,"REPORT"}</definedName>
    <definedName name="jjjjjjjj" hidden="1">#N/A</definedName>
    <definedName name="jk" hidden="1">#REF!</definedName>
    <definedName name="jkl" hidden="1">{#N/A,#N/A,FALSE,"REPORT"}</definedName>
    <definedName name="JMBM" hidden="1">{#N/A,#N/A,TRUE,"RESUMEN ECON.";#N/A,#N/A,TRUE,"Costos de R.H.";#N/A,#N/A,TRUE,"COSTO HW";#N/A,#N/A,TRUE,"CUADROS";#N/A,#N/A,TRUE,"SCADA´s";#N/A,#N/A,TRUE,"PRECIOS EQUIPOS"}</definedName>
    <definedName name="JMBMI" hidden="1">{#N/A,#N/A,TRUE,"RESUMEN ECON.";#N/A,#N/A,TRUE,"Costos de R.H.";#N/A,#N/A,TRUE,"COSTO HW";#N/A,#N/A,TRUE,"CUADROS";#N/A,#N/A,TRUE,"SCADA´s";#N/A,#N/A,TRUE,"PRECIOS EQUIPOS"}</definedName>
    <definedName name="jnhkjk" hidden="1">{#N/A,#N/A,TRUE,"BUD VS ACT AUST 96";#N/A,#N/A,TRUE,"96 COMP P&amp;L-AUST";#N/A,#N/A,TRUE,"COMP BS-AUSTRALIA";#N/A,#N/A,TRUE,"B/S - AUSTR."}</definedName>
    <definedName name="jnjnhjn" hidden="1">{#N/A,#N/A,TRUE,"BUD VS ACT AUST 96";#N/A,#N/A,TRUE,"96 COMP P&amp;L-AUST";#N/A,#N/A,TRUE,"COMP BS-AUSTRALIA";#N/A,#N/A,TRUE,"B/S - AUSTR."}</definedName>
    <definedName name="JNPRpublish" hidden="1">{#N/A,#N/A,FALSE,"Index";"Stmts_Qtrs",#N/A,FALSE,"Summary";"Stmts_24 mo",#N/A,FALSE,"Summary";"Summary_24",#N/A,FALSE,"Revenue";"Month_24",#N/A,FALSE,"Engineering";"Month_24",#N/A,FALSE,"Marketing";"Month_24",#N/A,FALSE,"G &amp; A";"Month_24",#N/A,FALSE,"Manufacturing"}</definedName>
    <definedName name="Joe" hidden="1">{"FY04_Assets",#N/A,FALSE,"Fin Stmt Budget";"FY04_Liabilities",#N/A,FALSE,"Fin Stmt Budget";"FY04_Inc_Stmt",#N/A,FALSE,"Fin Stmt Budget";"FY04_SOCF",#N/A,FALSE,"Fin Stmt Budget"}</definedName>
    <definedName name="Joost"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JUAN" hidden="1">{#N/A,#N/A,FALSE,"RESUMEN ECON.";#N/A,#N/A,FALSE,"Costos de R.H.";#N/A,#N/A,FALSE,"COSTO HW";#N/A,#N/A,FALSE,"CUADROS";#N/A,#N/A,FALSE,"SCADA´s";#N/A,#N/A,FALSE,"PRECIOS EQUIPOS"}</definedName>
    <definedName name="judy" hidden="1">{#N/A,#N/A,FALSE,"Pharm";#N/A,#N/A,FALSE,"WWCM"}</definedName>
    <definedName name="judy1" hidden="1">{#N/A,#N/A,FALSE,"Pharm";#N/A,#N/A,FALSE,"WWCM"}</definedName>
    <definedName name="JUMABA" hidden="1">{#N/A,#N/A,TRUE,"RESUMEN ECON.";#N/A,#N/A,TRUE,"Costos de R.H.";#N/A,#N/A,TRUE,"COSTO HW";#N/A,#N/A,TRUE,"CUADROS";#N/A,#N/A,TRUE,"SCADA´s";#N/A,#N/A,TRUE,"PRECIOS EQUIPOS"}</definedName>
    <definedName name="junk" hidden="1">#REF!</definedName>
    <definedName name="junk2" hidden="1">#REF!</definedName>
    <definedName name="junk3" hidden="1">{"BS",#N/A,FALSE,"USA"}</definedName>
    <definedName name="junkme" hidden="1">{#N/A,#N/A,TRUE,"Status Report";#N/A,#N/A,TRUE,"Current Forecast";#N/A,#N/A,TRUE,"Last Forecast";#N/A,#N/A,TRUE,"BP";#N/A,#N/A,TRUE,"LY"}</definedName>
    <definedName name="k" hidden="1">{#N/A,#N/A,FALSE,"BS";#N/A,#N/A,FALSE,"PL";#N/A,#N/A,FALSE,"SOE";#N/A,#N/A,FALSE,"SCF"}</definedName>
    <definedName name="K2__CVPARAMS__" hidden="1">"Any by Any!$B$17:$C$38;"</definedName>
    <definedName name="K2__LOCKEDCVW__" hidden="1">#VALUE!</definedName>
    <definedName name="K2__LOCKSTATUS__" hidden="1">1</definedName>
    <definedName name="K2__MAXEXPCOLS__" hidden="1">100</definedName>
    <definedName name="K2__MAXEXPROWS__" hidden="1">1000</definedName>
    <definedName name="K2__WBEVMODE__" hidden="1">0</definedName>
    <definedName name="K2__WBREFOPTIONS__" hidden="1">39</definedName>
    <definedName name="K2__WSINFO__" hidden="1">"osoft"</definedName>
    <definedName name="K2_WBEVMODE" hidden="1">0</definedName>
    <definedName name="ka" hidden="1">{"TOTAL",#N/A,FALSE,"A";"FISCAL94",#N/A,FALSE,"A";"FISCAL95",#N/A,FALSE,"A";"FISCAL96",#N/A,FALSE,"A";"misc page",#N/A,FALSE,"A"}</definedName>
    <definedName name="kas" hidden="1">{"TOTAL",#N/A,FALSE,"A";"FISCAL94",#N/A,FALSE,"A";"FISCAL95",#N/A,FALSE,"A";"FISCAL96",#N/A,FALSE,"A";"misc page",#N/A,FALSE,"A"}</definedName>
    <definedName name="KDJD"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fw"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kgkg" hidden="1">{#N/A,#N/A,FALSE,"COVER";#N/A,#N/A,FALSE,"Index";#N/A,#N/A,FALSE,"Non-Earning";#N/A,#N/A,FALSE,"Non-Earning_Recovery"}</definedName>
    <definedName name="KGKHJ"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j" hidden="1">{"CASHFLOW",#N/A,FALSE,"Northpointe"}</definedName>
    <definedName name="kjo" hidden="1">{#N/A,#N/A,FALSE,"SUMMARY";#N/A,#N/A,FALSE,"mcsh";#N/A,#N/A,FALSE,"vol&amp;rev";#N/A,#N/A,FALSE,"wkgcap";#N/A,#N/A,FALSE,"DEPR&amp;DT";#N/A,#N/A,FALSE,"ASSETS";#N/A,#N/A,FALSE,"NI&amp;OTH&amp;DIV";#N/A,#N/A,FALSE,"CASHFLOW";#N/A,#N/A,FALSE,"CAPEMPL";#N/A,#N/A,FALSE,"ROCE"}</definedName>
    <definedName name="kk" hidden="1">{#N/A,#N/A,TRUE,"Sel Fn Data QTD";#N/A,#N/A,TRUE,"Table 1 YTD";#N/A,#N/A,TRUE,"Tables 2 to 4 PL";#N/A,#N/A,TRUE,"Tables 5 to 9 ALLL";#N/A,#N/A,TRUE,"Table 10 to 13 - Balance Sheet"}</definedName>
    <definedName name="kkk" hidden="1">{#N/A,#N/A,TRUE,"BUD VS ACT AUST 96";#N/A,#N/A,TRUE,"96 COMP P&amp;L-AUST";#N/A,#N/A,TRUE,"COMP BS-AUSTRALIA";#N/A,#N/A,TRUE,"B/S - AUSTR."}</definedName>
    <definedName name="kkkk" hidden="1">{#N/A,#N/A,TRUE,"BUD VS ACT AUST 96";#N/A,#N/A,TRUE,"96 COMP P&amp;L-AUST";#N/A,#N/A,TRUE,"COMP BS-AUSTRALIA";#N/A,#N/A,TRUE,"B/S - AUSTR."}</definedName>
    <definedName name="kkkkkkk" hidden="1">{#N/A,#N/A,TRUE,"BUD VS ACT AUST 96";#N/A,#N/A,TRUE,"96 COMP P&amp;L-AUST";#N/A,#N/A,TRUE,"COMP BS-AUSTRALIA";#N/A,#N/A,TRUE,"B/S - AUSTR."}</definedName>
    <definedName name="klklkl" hidden="1">{#N/A,#N/A,TRUE,"BUD VS ACT AUST 96";#N/A,#N/A,TRUE,"96 COMP P&amp;L-AUST";#N/A,#N/A,TRUE,"COMP BS-AUSTRALIA";#N/A,#N/A,TRUE,"B/S - AUSTR."}</definedName>
    <definedName name="klklklkl" hidden="1">{#N/A,#N/A,FALSE,"Index";"Stmts_Qtrs",#N/A,FALSE,"Summary";"Stmts_24 mo",#N/A,FALSE,"Summary";"Summary_24",#N/A,FALSE,"Revenue";"Month_24",#N/A,FALSE,"Engineering";"Month_24",#N/A,FALSE,"Marketing";"Month_24",#N/A,FALSE,"G &amp; A";"Month_24",#N/A,FALSE,"Manufacturing"}</definedName>
    <definedName name="kslkjkjlkjd" hidden="1">{#N/A,#N/A,FALSE,"REPORT"}</definedName>
    <definedName name="ku" hidden="1">{#N/A,#N/A,TRUE,"BUD VS ACT AUST 96";#N/A,#N/A,TRUE,"96 COMP P&amp;L-AUST";#N/A,#N/A,TRUE,"COMP BS-AUSTRALIA";#N/A,#N/A,TRUE,"B/S - AUSTR."}</definedName>
    <definedName name="kyd.CounterLimitCell.01." hidden="1">"x"</definedName>
    <definedName name="kyd.CounterLimitCell.02." hidden="1">"x"</definedName>
    <definedName name="kyd.Dim.01." hidden="1">"chandept"</definedName>
    <definedName name="kyd.Dim.02." hidden="1">"chandep#"</definedName>
    <definedName name="kyd.ElementList.01." hidden="1">"x"</definedName>
    <definedName name="kyd.ElementType.01." hidden="1">1</definedName>
    <definedName name="kyd.ElementType.02." hidden="1">1</definedName>
    <definedName name="kyd.ItemType.01." hidden="1">1</definedName>
    <definedName name="kyd.ItemType.02." hidden="1">2</definedName>
    <definedName name="kyd.MacroAfterMemoRow." hidden="1">""</definedName>
    <definedName name="kyd.MacroAfterZap." hidden="1">""</definedName>
    <definedName name="kyd.MacroStartOfProc." hidden="1">""</definedName>
    <definedName name="kyd.NumLevels.01." hidden="1">999</definedName>
    <definedName name="kyd.NumLevels.02." hidden="1">999</definedName>
    <definedName name="kyd.ParentName.01." hidden="1">"TOTAL PRODUCTION"</definedName>
    <definedName name="kyd.ParentName.02." hidden="1">""</definedName>
    <definedName name="kyd.PrintParent.01." hidden="1">FALSE</definedName>
    <definedName name="kyd.PrintParent.02." hidden="1">TRUE</definedName>
    <definedName name="kyd.PrintToWbk." hidden="1">FALSE</definedName>
    <definedName name="kyd.SelectString.01." hidden="1">"*"</definedName>
    <definedName name="kyd.SelectString.02." hidden="1">"*"</definedName>
    <definedName name="kyd.Shortcut." hidden="1">FALSE</definedName>
    <definedName name="kyd.UsePrintCtrlRange." hidden="1">TRUE</definedName>
    <definedName name="l" hidden="1">{#N/A,#N/A,FALSE,"Comp Balance";#N/A,#N/A,FALSE,"Sum Balance ";#N/A,#N/A,FALSE,"Balance Trend";#N/A,#N/A,FALSE,"Comp PL";#N/A,#N/A,FALSE,"PL";#N/A,#N/A,FALSE,"Sum PL";#N/A,#N/A,FALSE,"PL Trend";#N/A,#N/A,FALSE,"Change"}</definedName>
    <definedName name="Labourcost__h">#REF!</definedName>
    <definedName name="LaonPeriodCurrent">#REF!</definedName>
    <definedName name="Last_Row">#N/A</definedName>
    <definedName name="LBOAnalysis2" hidden="1">{"WACC_clientcopy",#N/A,FALSE,"Inputs";"Beta_clientcopy",#N/A,FALSE,"Inputs";"SCF_clientcopy",#N/A,FALSE,"Inputs";"ProBS_clientcopy",#N/A,FALSE,"Inputs";"BS_clientcopy",#N/A,FALSE,"Inputs";"ProIS_clientcopy",#N/A,FALSE,"Inputs";"IS_clientcopy",#N/A,FALSE,"Inputs";"Ratios_clientcopy",#N/A,FALSE,"Ratios"}</definedName>
    <definedName name="LBOCreditConsol" hidden="1">{"FCB_ALL",#N/A,FALSE,"FCB"}</definedName>
    <definedName name="lee" hidden="1">{#N/A,#N/A,FALSE,"Pharm";#N/A,#N/A,FALSE,"WWCM"}</definedName>
    <definedName name="lfj" hidden="1">{#N/A,#N/A,FALSE,"TABLE_1 YTD";#N/A,#N/A,FALSE,"TABLE_1A QTD";#N/A,#N/A,FALSE,"NORMAL_SPREAD_QTD";#N/A,#N/A,FALSE,"NORMAL_SPREAD_YTD";#N/A,#N/A,FALSE,"TAX_EQV";#N/A,#N/A,FALSE,"TAX EQUIV_INPUT";#N/A,#N/A,FALSE,"NET FROM FER";#N/A,#N/A,FALSE,"COVER"}</definedName>
    <definedName name="Library" hidden="1">"a1"</definedName>
    <definedName name="Lifeguard">#REF!</definedName>
    <definedName name="limcount" hidden="1">1</definedName>
    <definedName name="ListOffset" hidden="1">1</definedName>
    <definedName name="lkj" hidden="1">#REF!</definedName>
    <definedName name="lklkl" hidden="1">{"consolidated",#N/A,FALSE,"Sheet1";"cms",#N/A,FALSE,"Sheet1";"fse",#N/A,FALSE,"Sheet1"}</definedName>
    <definedName name="ll" hidden="1">{#N/A,#N/A,FALSE,"PL-FS";#N/A,#N/A,FALSE,"PL"}</definedName>
    <definedName name="LLCP" hidden="1">{"PAGE1",#N/A,FALSE,"BID (3)";"PAGE2",#N/A,FALSE,"BID (3)"}</definedName>
    <definedName name="LLL" hidden="1">{#N/A,#N/A,FALSE,"ACQ_GRAPHS";#N/A,#N/A,FALSE,"T_1 GRAPHS";#N/A,#N/A,FALSE,"T_2 GRAPHS";#N/A,#N/A,FALSE,"COMB_GRAPHS"}</definedName>
    <definedName name="lllll" hidden="1">{"Summary",#N/A,FALSE,"Details (2)"}</definedName>
    <definedName name="lllllllll" hidden="1">{"SUM",#N/A,FALSE,"Details (2)"}</definedName>
    <definedName name="lllllllllllllllllll" hidden="1">{"Summary",#N/A,FALSE,"Details (2)"}</definedName>
    <definedName name="lnk_Print_Area" hidden="1">#REF!</definedName>
    <definedName name="Loan_Amount">#REF!</definedName>
    <definedName name="Loan_Not_Paid">IF(#REF!&lt;=Number_of_Payments,1,0)</definedName>
    <definedName name="Loan2016">(#REF!*#REF!*#REF!*#REF!)&gt;0</definedName>
    <definedName name="Loan2017">(#REF!*#REF!*#REF!*#REF!)&gt;0</definedName>
    <definedName name="Loan2018">(#REF!*#REF!*#REF!*#REF!)&gt;0</definedName>
    <definedName name="LoanAmount">#REF!</definedName>
    <definedName name="LoanAmount2014">#REF!</definedName>
    <definedName name="LoanAmount2016">#REF!</definedName>
    <definedName name="LoanAmount2017">#REF!</definedName>
    <definedName name="LoanAmount2018">#REF!</definedName>
    <definedName name="LoanAmountCurrent">#REF!</definedName>
    <definedName name="LoanAmountRealEstate">#REF!</definedName>
    <definedName name="LoanIsGood">(#REF!*#REF!*#REF!*#REF!)&gt;0</definedName>
    <definedName name="LoanPeriod">#REF!</definedName>
    <definedName name="LoanPeriod2014">#REF!</definedName>
    <definedName name="LoanPeriod2016">#REF!</definedName>
    <definedName name="LoanPeriod2017">#REF!</definedName>
    <definedName name="LoanPeriod2018">#REF!</definedName>
    <definedName name="LoanPeriodRealEstate">#REF!</definedName>
    <definedName name="LoanRealEstate">(#REF!*#REF!*#REF!*#REF!)&gt;0</definedName>
    <definedName name="LoanStartDate">#REF!</definedName>
    <definedName name="LoanStartDate2014">#REF!</definedName>
    <definedName name="LoanStartDate2016">#REF!</definedName>
    <definedName name="LoanStartDate2017">#REF!</definedName>
    <definedName name="LoanStartDate2018">#REF!</definedName>
    <definedName name="LoanStartDateCurrent">#REF!</definedName>
    <definedName name="LoanStartDateRealEstate">#REF!</definedName>
    <definedName name="Local" hidden="1">{"arpm1995",#N/A,FALSE,"Summary 95-96";"bus_long_distance",#N/A,FALSE,"Summary 95-96";"mins_per_day",#N/A,FALSE,"Summary 95-96";"minutes1995",#N/A,FALSE,"Summary 95-96";"rev_per_day",#N/A,FALSE,"Summary 95-96";"view1995",#N/A,FALSE,"Summary 95-96"}</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#REF!</definedName>
    <definedName name="LOI" hidden="1">{#N/A,#N/A,FALSE,"TABLE_1 YTD";#N/A,#N/A,FALSE,"TABLE_1A QTD";#N/A,#N/A,FALSE,"NORMAL_SPREAD_QTD";#N/A,#N/A,FALSE,"NORMAL_SPREAD_YTD";#N/A,#N/A,FALSE,"TAX_EQV";#N/A,#N/A,FALSE,"TAX EQUIV_INPUT";#N/A,#N/A,FALSE,"NET FROM FER";#N/A,#N/A,FALSE,"COVER"}</definedName>
    <definedName name="LookupIndex">#REF!</definedName>
    <definedName name="m" hidden="1">{#N/A,#N/A,FALSE,"COVER";#N/A,#N/A,FALSE,"Index";#N/A,#N/A,FALSE,"Non-Earning";#N/A,#N/A,FALSE,"Commercial";#N/A,#N/A,FALSE,"Detailed"}</definedName>
    <definedName name="M_A" hidden="1">{#N/A,#N/A,FALSE,"Rev Grwth";#N/A,#N/A,FALSE,"Op Inc Grwth";#N/A,#N/A,FALSE,"Net Grwth";#N/A,#N/A,FALSE,"EPS Growth"}</definedName>
    <definedName name="M_PlaceofPath" hidden="1">"G:\blabla"</definedName>
    <definedName name="MACTCostout">#REF!</definedName>
    <definedName name="MACTInvout">#REF!</definedName>
    <definedName name="Management" hidden="1">{#N/A,"Faber45",FALSE,"LBPROFOR";#N/A,"Faber50",FALSE,"LBPROFOR";#N/A,"Faber55",FALSE,"LBPROFOR";#N/A,"Faber60",FALSE,"LBPROFOR"}</definedName>
    <definedName name="Managemnt" hidden="1">{#N/A,"Faber45",FALSE,"LBPROFOR";#N/A,"Faber50",FALSE,"LBPROFOR";#N/A,"Faber55",FALSE,"LBPROFOR";#N/A,"Faber60",FALSE,"LBPROFOR"}</definedName>
    <definedName name="Mar00" hidden="1">{"Statement of Income",#N/A,TRUE,"Mar99";"Balance Sheet",#N/A,TRUE,"Mar99"}</definedName>
    <definedName name="Mar00TB" hidden="1">{"Statement of Income",#N/A,TRUE,"Mar99";"Balance Sheet",#N/A,TRUE,"Mar99"}</definedName>
    <definedName name="mar00tb1" hidden="1">{"Statement of Income",#N/A,TRUE,"Mar99";"Balance Sheet",#N/A,TRUE,"Mar99"}</definedName>
    <definedName name="Mark" hidden="1">{"WACC_clientcopy",#N/A,FALSE,"Inputs";"Beta_clientcopy",#N/A,FALSE,"Inputs";"SCF_clientcopy",#N/A,FALSE,"Inputs";"ProBS_clientcopy",#N/A,FALSE,"Inputs";"BS_clientcopy",#N/A,FALSE,"Inputs";"ProIS_clientcopy",#N/A,FALSE,"Inputs";"IS_clientcopy",#N/A,FALSE,"Inputs";"Ratios_clientcopy",#N/A,FALSE,"Ratios"}</definedName>
    <definedName name="mason?" hidden="1">{#N/A,#N/A,FALSE,"Data &amp; Key Results";#N/A,#N/A,FALSE,"Summary Template";#N/A,#N/A,FALSE,"Budget";#N/A,#N/A,FALSE,"Present Value Comparison";#N/A,#N/A,FALSE,"Cashflow";#N/A,#N/A,FALSE,"Income";#N/A,#N/A,FALSE,"Inputs"}</definedName>
    <definedName name="mason2" hidden="1">{#N/A,#N/A,FALSE,"Data &amp; Key Results";#N/A,#N/A,FALSE,"Summary Template";#N/A,#N/A,FALSE,"Budget";#N/A,#N/A,FALSE,"Present Value Comparison";#N/A,#N/A,FALSE,"Cashflow";#N/A,#N/A,FALSE,"Income";#N/A,#N/A,FALSE,"Inputs"}</definedName>
    <definedName name="mason3" hidden="1">{#N/A,#N/A,FALSE,"Data &amp; Key Results";#N/A,#N/A,FALSE,"Summary Template";#N/A,#N/A,FALSE,"Budget";#N/A,#N/A,FALSE,"Present Value Comparison";#N/A,#N/A,FALSE,"Cashflow";#N/A,#N/A,FALSE,"Income";#N/A,#N/A,FALSE,"Inputs"}</definedName>
    <definedName name="mason4" hidden="1">{#N/A,#N/A,FALSE,"Data &amp; Key Results";#N/A,#N/A,FALSE,"Summary Template";#N/A,#N/A,FALSE,"Budget";#N/A,#N/A,FALSE,"Present Value Comparison";#N/A,#N/A,FALSE,"Cashflow";#N/A,#N/A,FALSE,"Income";#N/A,#N/A,FALSE,"Inputs"}</definedName>
    <definedName name="mason5" hidden="1">{#N/A,#N/A,FALSE,"Data &amp; Key Results";#N/A,#N/A,FALSE,"Summary Template";#N/A,#N/A,FALSE,"Budget";#N/A,#N/A,FALSE,"Present Value Comparison";#N/A,#N/A,FALSE,"Cashflow";#N/A,#N/A,FALSE,"Income";#N/A,#N/A,FALSE,"Inputs"}</definedName>
    <definedName name="masonII" hidden="1">{#N/A,#N/A,FALSE,"Data &amp; Key Results";#N/A,#N/A,FALSE,"Summary Template";#N/A,#N/A,FALSE,"Budget";#N/A,#N/A,FALSE,"Present Value Comparison";#N/A,#N/A,FALSE,"Cashflow";#N/A,#N/A,FALSE,"Income";#N/A,#N/A,FALSE,"Inputs"}</definedName>
    <definedName name="matrix"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DI" hidden="1">{#N/A,#N/A,FALSE,"SUMMARY";#N/A,#N/A,FALSE,"mcsh";#N/A,#N/A,FALSE,"vol&amp;rev";#N/A,#N/A,FALSE,"wkgcap";#N/A,#N/A,FALSE,"DEPR&amp;DT";#N/A,#N/A,FALSE,"ASSETS";#N/A,#N/A,FALSE,"NI&amp;OTH&amp;DIV";#N/A,#N/A,FALSE,"CASHFLOW";#N/A,#N/A,FALSE,"CAPEMPL";#N/A,#N/A,FALSE,"ROCE"}</definedName>
    <definedName name="MerrillPrintIt" hidden="1">#REF!</definedName>
    <definedName name="Method_abbrev">#REF!</definedName>
    <definedName name="MEWarning" hidden="1">1</definedName>
    <definedName name="mfgr" hidden="1">{"PAGE 1",#N/A,FALSE,"WEST_OT"}</definedName>
    <definedName name="mfgtest" hidden="1">{"PAGE 1",#N/A,FALSE,"WEST_OT"}</definedName>
    <definedName name="MGHM"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mt" hidden="1">{#N/A,"Faber45",FALSE,"LBPROFOR";#N/A,"Faber50",FALSE,"LBPROFOR";#N/A,"Faber55",FALSE,"LBPROFOR";#N/A,"Faber60",FALSE,"LBPROFOR"}</definedName>
    <definedName name="Mgmt." hidden="1">{#N/A,"Faber45",FALSE,"LBPROFOR";#N/A,"Faber50",FALSE,"LBPROFOR";#N/A,"Faber55",FALSE,"LBPROFOR";#N/A,"Faber60",FALSE,"LBPROFOR"}</definedName>
    <definedName name="mgmtfee">#REF!</definedName>
    <definedName name="mgmtfees">#REF!</definedName>
    <definedName name="mhj"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idwest" hidden="1">{"FY02_Assets",#N/A,FALSE,"Fin Stmt Budget";"FY02_Liabilities",#N/A,FALSE,"Fin Stmt Budget";"FY02_Inc_Stmt",#N/A,FALSE,"Fin Stmt Budget";"FY02_SOCF",#N/A,FALSE,"Fin Stmt Budget"}</definedName>
    <definedName name="Mie" hidden="1">#REF!</definedName>
    <definedName name="min" hidden="1">{#N/A,#N/A,FALSE,"REPORT"}</definedName>
    <definedName name="mina" hidden="1">{#N/A,#N/A,FALSE,"REPORT"}</definedName>
    <definedName name="misc"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j" hidden="1">{#N/A,#N/A,FALSE,"FY97";#N/A,#N/A,FALSE,"FY98";#N/A,#N/A,FALSE,"FY99";#N/A,#N/A,FALSE,"FY00";#N/A,#N/A,FALSE,"FY01"}</definedName>
    <definedName name="mkj" hidden="1">{#N/A,#N/A,TRUE,"A";#N/A,#N/A,TRUE,"B";#N/A,#N/A,TRUE,"C";#N/A,#N/A,TRUE,"D";#N/A,#N/A,TRUE,"E"}</definedName>
    <definedName name="mkting_adv" hidden="1">{#N/A,#N/A,FALSE,"ASSUMPTIONS";#N/A,#N/A,FALSE,"Valuation Summary";"page1",#N/A,FALSE,"PRESENTATION";"page2",#N/A,FALSE,"PRESENTATION";#N/A,#N/A,FALSE,"ORIGINAL_ROLLBACK"}</definedName>
    <definedName name="mkting_adver" hidden="1">{#N/A,#N/A,FALSE,"ASSUMPTIONS";#N/A,#N/A,FALSE,"Valuation Summary";"page1",#N/A,FALSE,"PRESENTATION";"page2",#N/A,FALSE,"PRESENTATION";#N/A,#N/A,FALSE,"ORIGINAL_ROLLBACK"}</definedName>
    <definedName name="MLNK00d48aea1172490e8970884bfd0bc5ab" hidden="1">#REF!</definedName>
    <definedName name="MLNK00d8e64d840b46bea261783566ad72fd" hidden="1">#REF!</definedName>
    <definedName name="MLNK010e3d03325640fbbfa78190084e5e55" hidden="1">#REF!</definedName>
    <definedName name="MLNK018bfad56a014b6f84cfc7fb40567079" hidden="1">#REF!</definedName>
    <definedName name="MLNK01c3f180173548f9b3518767c367e255" hidden="1">#REF!</definedName>
    <definedName name="MLNK02152b7ac4cf43e68ef13bfa3f5e34b5" hidden="1">#REF!</definedName>
    <definedName name="MLNK02a642675097453c99726ed1eadfc982" hidden="1">#REF!</definedName>
    <definedName name="MLNK02aea829eba74d478a4d07f5e53d1edd" hidden="1">#REF!</definedName>
    <definedName name="MLNK02b436c54d1d4f1fb7ece854589ebc3b" hidden="1">#REF!</definedName>
    <definedName name="MLNK02ddb7e50a9a4088ad89faf3155f305e" hidden="1">#REF!</definedName>
    <definedName name="MLNK0365e2134fd54e1c8a59696978fd7f3d" hidden="1">#REF!</definedName>
    <definedName name="MLNK037a70f6dc4c4ccc86d3bc951b2599a8" hidden="1">#REF!</definedName>
    <definedName name="MLNK03d895c600f84237af0a9f6d50dde8ed" hidden="1">#REF!</definedName>
    <definedName name="MLNK04075ac9c75d447c8a0ebdbdc9a54c65" hidden="1">#REF!</definedName>
    <definedName name="MLNK041eecdb09db42f2b1830deb0adcca97" hidden="1">#REF!</definedName>
    <definedName name="MLNK043d7124ab0442d0a39b403197c01402" hidden="1">#REF!</definedName>
    <definedName name="MLNK044a71679f47458eaf36d10fdaae790f" hidden="1">#REF!</definedName>
    <definedName name="MLNK049def977a854a32b6d9fae794c51186" hidden="1">#REF!</definedName>
    <definedName name="MLNK04b34d7237ff4693803d53b078679e77" hidden="1">#REF!</definedName>
    <definedName name="MLNK04b6c35a0af34609870338b319dc73c6" hidden="1">#REF!</definedName>
    <definedName name="MLNK04baecedd8f843f7b8ab7f1e046494dc" hidden="1">#REF!</definedName>
    <definedName name="MLNK04c12b15290e4102b331188b33f480a5" hidden="1">#REF!</definedName>
    <definedName name="MLNK04e5a28d84a040ef8f83d3c026042dad" hidden="1">#REF!</definedName>
    <definedName name="MLNK04ed437773d6468f978a880d6fea840e" hidden="1">#REF!</definedName>
    <definedName name="MLNK052f3789d18e4da4b8a206db6d662f8c" hidden="1">#REF!</definedName>
    <definedName name="MLNK055891053a474c2da6a013d17eafcd56" hidden="1">#REF!</definedName>
    <definedName name="MLNK055957a194f74f8e9bafb258f3f928dc" hidden="1">#REF!</definedName>
    <definedName name="MLNK05e6e043f65a4369a35a8eca3ec1cd81" hidden="1">#REF!</definedName>
    <definedName name="MLNK060e2b647fc847038ccaa50e705b32b2" hidden="1">#REF!</definedName>
    <definedName name="MLNK064c2e8abed14178b8e9385f23e95e0f" hidden="1">#REF!</definedName>
    <definedName name="MLNK067b24e2d36045bcad70be643c35de32" hidden="1">#REF!</definedName>
    <definedName name="MLNK070510d453cb48d1938cdcf099afbdfc" hidden="1">#REF!</definedName>
    <definedName name="MLNK077f2649cfa54691bf98644e2b70ea32" hidden="1">#REF!</definedName>
    <definedName name="MLNK07a48200f15c4498a1034433e59fb9ee" hidden="1">#REF!</definedName>
    <definedName name="MLNK07be263f2fcd4d15883e60ea0124e0f8" hidden="1">#REF!</definedName>
    <definedName name="MLNK0810a7425db84fdbafb57121a4c1bdc7" hidden="1">#REF!</definedName>
    <definedName name="MLNK082f62a9898f4a6ebf0892b9a8dee313" hidden="1">#REF!</definedName>
    <definedName name="MLNK0837b19ae8b44ca0afd72e4ea716841d" hidden="1">#REF!</definedName>
    <definedName name="MLNK089379dd25fc469a8b451627548465a0" hidden="1">#REF!</definedName>
    <definedName name="MLNK08b0d9ab9b7f4a019f01558fa42f52cc" hidden="1">#REF!</definedName>
    <definedName name="MLNK0912ba9e3fb34f3481c5166500565f98" hidden="1">#REF!</definedName>
    <definedName name="MLNK0932a8a0f6734900b5db162af6d4008b" hidden="1">#REF!</definedName>
    <definedName name="MLNK09676ee764e448008376f2bfff9e384d" hidden="1">#REF!</definedName>
    <definedName name="MLNK09ca8a4d426f43c6957f64d21c1ea6f2" hidden="1">#REF!</definedName>
    <definedName name="MLNK0a25e559e0ca40d3b117c10dde841c8d" hidden="1">#REF!</definedName>
    <definedName name="MLNK0a4500987a0d44bea968f35f842414e7" hidden="1">#REF!</definedName>
    <definedName name="MLNK0b0460e4acf542378be2a3d79b7df220" hidden="1">#REF!</definedName>
    <definedName name="MLNK0b4b5f3a99ce4b28b1cca53ba01bc3c8" hidden="1">#REF!</definedName>
    <definedName name="MLNK0b60f77ace8b4dd786fd1017a509d59f" hidden="1">#REF!</definedName>
    <definedName name="MLNK0b6138e25adf4209b99f73f49521a659" hidden="1">#REF!</definedName>
    <definedName name="MLNK0b6d7acf1537445c8df3df619eeadc70" hidden="1">#REF!</definedName>
    <definedName name="MLNK0ba6122f99414cc7a645ceac1926563b" hidden="1">#REF!</definedName>
    <definedName name="MLNK0c19dec1a7144650b526abd40fd3e1c9" hidden="1">#REF!</definedName>
    <definedName name="MLNK0c29236af04547d8895347a76fdbff29" hidden="1">#REF!</definedName>
    <definedName name="MLNK0c5c90a12de446c89616d37cadb8f863" hidden="1">#REF!</definedName>
    <definedName name="MLNK0ca8413a6a4e48109c00e972f8591f15" hidden="1">#REF!</definedName>
    <definedName name="MLNK0d71dc310fad49ec85da7434597cd6be" hidden="1">'II. Attribution Summary'!$1:$1048576</definedName>
    <definedName name="MLNK0db0f33ed0324031b6b3ea38ff41c6b3" hidden="1">#REF!</definedName>
    <definedName name="MLNK0e30595ea35a4b91a9f0400f7da90810" hidden="1">#REF!</definedName>
    <definedName name="MLNK0ebc8ed7c46c46d58e01b3a65cc25bad" hidden="1">#REF!</definedName>
    <definedName name="MLNK0ec975729a544ee48ecaa4993f759464" hidden="1">#REF!</definedName>
    <definedName name="MLNK0f4d9d09d85b4de0b9b261242c3c6f1c" hidden="1">#REF!</definedName>
    <definedName name="MLNK0f79f0b17a0c4338ba2c447b8558f837" hidden="1">#REF!</definedName>
    <definedName name="MLNK0fa679e88a084677a1120db6a61735ad" hidden="1">#REF!</definedName>
    <definedName name="MLNK1024adbc06ef4afc80af92796cef5eb2" hidden="1">#REF!</definedName>
    <definedName name="MLNK102a6a0da87b49bd8c869ffdcb8f6a5c" hidden="1">#REF!</definedName>
    <definedName name="MLNK107e4e6ac1144bfaa2bc2084e05a38b1" hidden="1">#REF!</definedName>
    <definedName name="MLNK109a5f09a9564408889aa0ff076188fd" hidden="1">#REF!</definedName>
    <definedName name="MLNK11662eaef76e4b34a9367a4acb7fe680" hidden="1">#REF!</definedName>
    <definedName name="MLNK11ad7f67537f4d04b5b5e34d17a1dfe7" hidden="1">#REF!</definedName>
    <definedName name="MLNK11e2a30c9b564beeb398ac3e535a96de" hidden="1">#REF!</definedName>
    <definedName name="MLNK127813a1a6254a548e091fd36e1fbb47" hidden="1">#REF!</definedName>
    <definedName name="MLNK12defab03df94ea382b71e4a83c23c96" hidden="1">#REF!</definedName>
    <definedName name="MLNK12ed6ce69f62416b95961c29a9028b88" hidden="1">#REF!</definedName>
    <definedName name="MLNK12f7145ce43446359e563854d28497d8" hidden="1">#REF!</definedName>
    <definedName name="MLNK130ff3045ac04ccfa29018a9af525d40" hidden="1">#REF!</definedName>
    <definedName name="MLNK134f38e34bcd4dbc84982cc9d8fa79cc" hidden="1">#REF!</definedName>
    <definedName name="MLNK1352b7f45b1d412299a3ad4b5f3b89fc" hidden="1">#REF!</definedName>
    <definedName name="MLNK136a8efde5d14d7880780cb4288214c8" hidden="1">#REF!</definedName>
    <definedName name="MLNK13ddbac3ec9a4aa09442d2baa6c598cb" hidden="1">#REF!</definedName>
    <definedName name="MLNK1487ebd7dc5c4b63894d68c0c881662c" hidden="1">#REF!</definedName>
    <definedName name="MLNK14e06d7cc4024f199e311d3b65bbb63c" hidden="1">#REF!</definedName>
    <definedName name="MLNK14f348b8868749d6a8a95c58ed0ab190" hidden="1">#REF!</definedName>
    <definedName name="MLNK1502445670b740809babbf80893a2fc6" hidden="1">#REF!</definedName>
    <definedName name="MLNK152443f4dc284530ae9feab3cf399049" hidden="1">#REF!</definedName>
    <definedName name="MLNK15426febeea146dbb161891fa048bd4e" hidden="1">#REF!</definedName>
    <definedName name="MLNK155ed824d11e499683ac57119c33dda9" hidden="1">#REF!</definedName>
    <definedName name="MLNK15b7ef3db664462fa849976ff9d7981c" hidden="1">#REF!</definedName>
    <definedName name="MLNK15ce2520bab04a56a1b91f68d2bb2193" hidden="1">#REF!</definedName>
    <definedName name="MLNK162f966938f04101b98c78f158531e27" hidden="1">#REF!</definedName>
    <definedName name="MLNK1640758764ae42f58854a84587013ad5" hidden="1">#REF!</definedName>
    <definedName name="MLNK1667141e14db4dddafe801602f6dbbe4" hidden="1">#REF!</definedName>
    <definedName name="MLNK168568dec16c423ea55308759534aead" hidden="1">#REF!</definedName>
    <definedName name="MLNK16a713e7610a41beb1e604353d934383" hidden="1">#REF!</definedName>
    <definedName name="MLNK16bb90555bb549c4a8cb4cd97a93e068" hidden="1">#REF!</definedName>
    <definedName name="MLNK173613cafaad44b1b7af50510084e82e" hidden="1">#REF!</definedName>
    <definedName name="MLNK17543382e2bf4b3eaa92152d6f293baf" hidden="1">#REF!</definedName>
    <definedName name="MLNK17737a11b2a24bba8bb01c3ec1f7ae7a" hidden="1">#REF!</definedName>
    <definedName name="MLNK178577e9bca54e9fac9c3c155834084c" hidden="1">#REF!</definedName>
    <definedName name="MLNK17a250ca7ad54c63996c6439aaeaf61d" hidden="1">#REF!</definedName>
    <definedName name="MLNK182f57a86eca4d9b85a1b9529ba04b7b" hidden="1">#REF!</definedName>
    <definedName name="MLNK1858fd774bb344e7a103e6664db66667" hidden="1">#REF!</definedName>
    <definedName name="MLNK1878ac2ef4984cf88c7f6be575c72b35" hidden="1">#REF!</definedName>
    <definedName name="MLNK187aae0e1b444d2daa05f7fc058c71f3" hidden="1">#REF!</definedName>
    <definedName name="MLNK18c91ea14fe44af7b5151b4160cd85ee" hidden="1">#REF!</definedName>
    <definedName name="MLNK18d67e4ee034443ba5648d0dda6747bc" hidden="1">#REF!</definedName>
    <definedName name="MLNK18d7e2cdfe3c4b23bb4430da28ad21ed" hidden="1">#REF!</definedName>
    <definedName name="MLNK18ea120670984a17b7a93b6d9eb58e17" hidden="1">#REF!</definedName>
    <definedName name="MLNK18eb0f4412cb40a4ae711508efd03722" hidden="1">#REF!</definedName>
    <definedName name="MLNK1942f939dd30413084b5900bc3a48e91" hidden="1">#REF!</definedName>
    <definedName name="MLNK197a4e305f8e4a28923e9685bfe5755d" hidden="1">#REF!</definedName>
    <definedName name="MLNK19b612f645ba40d487eea870da703c63" hidden="1">#REF!</definedName>
    <definedName name="MLNK19da6caece2e4a0da0e0510020408a9f" hidden="1">#REF!</definedName>
    <definedName name="MLNK19e4b88b136243d6893d84d396dd2bd5" hidden="1">#REF!</definedName>
    <definedName name="MLNK1a0a6c0613af42ea92a854056e359225" hidden="1">#REF!</definedName>
    <definedName name="MLNK1a54210510d0478faa44db0489c964ab" hidden="1">#REF!</definedName>
    <definedName name="MLNK1ae0caeeb3404a96b18ca5f13d361dff" hidden="1">#REF!</definedName>
    <definedName name="MLNK1b25ef79157c4ecc86be17ec702147dd" hidden="1">#REF!</definedName>
    <definedName name="MLNK1b323a4c2490472c854bc05124ef80d4" hidden="1">#REF!</definedName>
    <definedName name="MLNK1b3e86fde2dd4141aabb68ae999a4618" hidden="1">#REF!</definedName>
    <definedName name="MLNK1b6576db0d4a4ecb9a3ceeef2c00a40c" hidden="1">#REF!</definedName>
    <definedName name="MLNK1bbde4f19d314fb39c326d95e637a7ce" hidden="1">#REF!</definedName>
    <definedName name="MLNK1bd17cb664b04a428b34b4b1a0645b8c" hidden="1">#REF!</definedName>
    <definedName name="MLNK1bde29be2bb04b7dba98a0a15c3656f7" hidden="1">#REF!</definedName>
    <definedName name="MLNK1c5a2340dcf14e12be7f6bb726377d0e" hidden="1">#REF!</definedName>
    <definedName name="MLNK1c83a07ed2a14eb297a3aafd495ea8f8" hidden="1">#REF!</definedName>
    <definedName name="MLNK1cbe96a220924eddb8390adadf496f4d" hidden="1">#REF!</definedName>
    <definedName name="MLNK1ccc525d461f4385af0cd2b35871489f" hidden="1">#REF!</definedName>
    <definedName name="MLNK1ce918b7705549a0afa18a494254a124" hidden="1">#REF!</definedName>
    <definedName name="MLNK1d1e5a3b1a924e08b4662e46be3f2d38" hidden="1">#REF!</definedName>
    <definedName name="MLNK1d5c895f4eea41f2b718762490aa5e5b" hidden="1">#REF!</definedName>
    <definedName name="MLNK1d87f7352fcc4050afa51b0b23b6df7b" hidden="1">#REF!</definedName>
    <definedName name="MLNK1db60897d9174faa80ff6d287eeac8b8" hidden="1">#REF!</definedName>
    <definedName name="MLNK1dd499f1d55b466eb23c641e6a6136f8" hidden="1">#REF!</definedName>
    <definedName name="MLNK1de8cf250711483ba35281509ce426a3" hidden="1">#REF!</definedName>
    <definedName name="MLNK1df26a80b42a42b6a78fc14adb776be2" hidden="1">#REF!</definedName>
    <definedName name="MLNK1e3416f91afd4c7e8ea5b27fda52ad61" hidden="1">#REF!</definedName>
    <definedName name="MLNK1eb887c9286a439a884bc331ae8bd4c8" hidden="1">#REF!</definedName>
    <definedName name="MLNK1ebde96b05674a958c11f4ff3ffec652" hidden="1">#REF!</definedName>
    <definedName name="MLNK1ec749ccabbf4bccb4158cf9db8fa5a8" hidden="1">#REF!</definedName>
    <definedName name="MLNK1ed9a9c015714d9884c43ad771630ae0" hidden="1">#REF!</definedName>
    <definedName name="MLNK1fd1a613b4e042338ae9b944d7c75226" hidden="1">#REF!</definedName>
    <definedName name="MLNK2001e30c2e79462fb212bee2d523546c" hidden="1">#REF!</definedName>
    <definedName name="MLNK2004611481114fd7836a787ce7cbc787" hidden="1">#REF!</definedName>
    <definedName name="MLNK200f8b4ac20f454f8d2e8d1e53220a6e" hidden="1">#REF!</definedName>
    <definedName name="MLNK205684d319924bf28951b6697b190691" hidden="1">#REF!</definedName>
    <definedName name="MLNK2070a8a62489433ea2ef832a7b27ce8e" hidden="1">#REF!</definedName>
    <definedName name="MLNK20c0223ce6734d50a8190d7880163c4a" hidden="1">#REF!</definedName>
    <definedName name="MLNK20db4d3c94964f3a8f93dbbc366d2cfd" hidden="1">#REF!</definedName>
    <definedName name="MLNK20dfbb85d3b7401c99660bb1244ed3a9" hidden="1">#REF!</definedName>
    <definedName name="MLNK20ec3ff50f064852adb8fd689f113130" hidden="1">#REF!</definedName>
    <definedName name="MLNK21060abefe22464881ffa9dc4087f34a" hidden="1">#REF!</definedName>
    <definedName name="MLNK21407499ba784667b4908f9c47c07ba0" hidden="1">#REF!</definedName>
    <definedName name="MLNK215d6ec32f3f4db6a3d798cc5297a671" hidden="1">#REF!</definedName>
    <definedName name="MLNK216741f5dafc4782a31735a1bbf0c00b" hidden="1">#REF!</definedName>
    <definedName name="MLNK21819cd4be3747afaafe7fd6af1a80dd" hidden="1">#REF!</definedName>
    <definedName name="MLNK229a2b2b0c4a440a8dbf3b003bd22daf" hidden="1">#REF!</definedName>
    <definedName name="MLNK22c1dd1486eb4d0bbe8b6967d445e8fa" hidden="1">#REF!</definedName>
    <definedName name="MLNK22ce0c9beddd4f4da71913428d79398c" hidden="1">#REF!</definedName>
    <definedName name="MLNK22e9426a49e8430ba371851947a600ab" hidden="1">#REF!</definedName>
    <definedName name="MLNK22f9babadad14fe69bfb139dcfe3e073" hidden="1">#REF!</definedName>
    <definedName name="MLNK233feeaa85db4459a7b9b00424fa2ff8" hidden="1">#REF!</definedName>
    <definedName name="MLNK234aa67dc8194cb7b84c69195c2a78e7" hidden="1">#REF!</definedName>
    <definedName name="MLNK23a22acb0ce643cfab0c7c09267827be" hidden="1">#REF!</definedName>
    <definedName name="MLNK23aa398038ca4900a96aa29fa7fbdd3c" hidden="1">#REF!</definedName>
    <definedName name="MLNK23e7d64cf91849bf971cdd0e2506b3b9" hidden="1">#REF!</definedName>
    <definedName name="MLNK242f346894804e1886d2cf64cec38165" hidden="1">#REF!</definedName>
    <definedName name="MLNK246384bbcf194625b2933d5f1c38b570" hidden="1">#REF!</definedName>
    <definedName name="MLNK2474a500bbc54ae7929db86934bc6273" hidden="1">#REF!</definedName>
    <definedName name="MLNK248d278871b84e2792eedd558fb1f21a" hidden="1">#REF!</definedName>
    <definedName name="MLNK24a3535198864783b147b6db4dfd1e1e" hidden="1">'V. Comparables'!$B$8:$U$37</definedName>
    <definedName name="MLNK24cd202804cc4c9ab3044945bd3e3713" hidden="1">#REF!</definedName>
    <definedName name="MLNK2573f5f2b0a147228dcc43cff2d4ac48" hidden="1">#REF!</definedName>
    <definedName name="MLNK25774000f4c845548c231c7e9e2d28e9" hidden="1">#REF!</definedName>
    <definedName name="MLNK259ca339584144f5926618d12b15da3e" hidden="1">#REF!</definedName>
    <definedName name="MLNK25a89f60adf6498fb802aaec26c25d00" hidden="1">#REF!</definedName>
    <definedName name="MLNK25f9e2e8d5514c5489f2b23bea37f935" hidden="1">#REF!</definedName>
    <definedName name="MLNK266463e15e3f4d399b527a36514bf327" hidden="1">#REF!</definedName>
    <definedName name="MLNK26c398595c9545efbd82dca4a520047a" hidden="1">#REF!</definedName>
    <definedName name="MLNK26cda75b65fd41048c6f187517f0d6ba" hidden="1">#REF!</definedName>
    <definedName name="MLNK27b413fbc3074fa8a7204f0e322ac122" hidden="1">#REF!</definedName>
    <definedName name="MLNK27be72fe1eb749d3b5e9b01be33dfce4" hidden="1">#REF!</definedName>
    <definedName name="MLNK27f4b8570bad4ba0ad262108ff4c0490" hidden="1">#REF!</definedName>
    <definedName name="MLNK283fb3755a3949cf8c116f069e7c1f26" hidden="1">#REF!</definedName>
    <definedName name="MLNK28a0b1aa20c6443e83b6ef12d5d06102" hidden="1">#REF!</definedName>
    <definedName name="MLNK28d3e9b39a374a92b8582fe6c1b20cff" hidden="1">#REF!</definedName>
    <definedName name="MLNK291cdfb6f516442784c0baf3b12fde25" hidden="1">#REF!</definedName>
    <definedName name="MLNK29814a5538324abfbbc2da617e73d6f7" hidden="1">#REF!</definedName>
    <definedName name="MLNK299ae3da7f4f4b678de7f52a7f43c2db" hidden="1">#REF!</definedName>
    <definedName name="MLNK29c57d71f4d746e7898935907da19e0c" hidden="1">#REF!</definedName>
    <definedName name="MLNK29ddfe4369a14c9fbcc6eadd5635ac97" hidden="1">#REF!</definedName>
    <definedName name="MLNK29e39640eaab48838edc89ddf6129fad" hidden="1">#REF!</definedName>
    <definedName name="MLNK29e84db5458b45658bb97db4ee5141fa" hidden="1">#REF!</definedName>
    <definedName name="MLNK2a3ee11a92fa4dcda90e91c5ac75f4b8" hidden="1">#REF!</definedName>
    <definedName name="MLNK2a66a9a6067d41c4b732299fbf08c3ff" hidden="1">#REF!</definedName>
    <definedName name="MLNK2abee68d748f43408f3c78ff1aab5cd8" hidden="1">#REF!</definedName>
    <definedName name="MLNK2af37a8c5716436c80480d24bfdfebf5" hidden="1">#REF!</definedName>
    <definedName name="MLNK2b2c36ff82434559965b4adeae9bae8e" hidden="1">#REF!</definedName>
    <definedName name="MLNK2b452caa83434d14a5a8bf95fbfefdb4" hidden="1">#REF!</definedName>
    <definedName name="MLNK2b85baa9501840b6827700471c774d80" hidden="1">#REF!</definedName>
    <definedName name="MLNK2b9b059d0a2a4ffeafce19ba06c9cdb7" hidden="1">#REF!</definedName>
    <definedName name="MLNK2c18432822ef4f83a820c2daed1e8bc0" hidden="1">#REF!</definedName>
    <definedName name="MLNK2c1d34afd9114e0cb98026253739a18c" hidden="1">#REF!</definedName>
    <definedName name="MLNK2c9088fbcd634d40b09e37e4e2d3a7c4" hidden="1">#REF!</definedName>
    <definedName name="MLNK2cdcb8c0da344338857917f8e6cf0ea9" hidden="1">#REF!</definedName>
    <definedName name="MLNK2db7e1032d8c4d67a7116fb19fe6fa4a" hidden="1">#REF!</definedName>
    <definedName name="MLNK2dde9e6c41854b1e9663e48deaceee5a" hidden="1">#REF!</definedName>
    <definedName name="MLNK2e0e82da538e46ce9ca37e55f7f8e7f6" hidden="1">#REF!</definedName>
    <definedName name="MLNK2e229c7e6c1a4a3eb10431ebf4b8170e" hidden="1">#REF!</definedName>
    <definedName name="MLNK2e460db3c1dc4d9696b0d3ab336335e7" hidden="1">#REF!</definedName>
    <definedName name="MLNK2e74d86902b44d1fb46c4e137bcb62a8" hidden="1">#REF!</definedName>
    <definedName name="MLNK2e82277e5cfc441690b7a45bea95cbd7" hidden="1">#REF!</definedName>
    <definedName name="MLNK2e90962703ad48c792ea668d84149920" hidden="1">#REF!</definedName>
    <definedName name="MLNK2f0b5324375b449b94bf8a49a9cb7754" hidden="1">#REF!</definedName>
    <definedName name="MLNK2f4a112b947843ec96ec0f617edea6b0" hidden="1">#REF!</definedName>
    <definedName name="MLNK2fcc315946d0479abaaccbea735dcd40" hidden="1">#REF!</definedName>
    <definedName name="MLNK2fdab45756db44ec9d00cc9a3ff181d6" hidden="1">#REF!</definedName>
    <definedName name="MLNK300a116a290b4ed4b3002b11ff01efdb" hidden="1">#REF!</definedName>
    <definedName name="MLNK3023dd2be278431c949d5f4b2ac68deb" hidden="1">#REF!</definedName>
    <definedName name="MLNK303b4d13bf9d4ab6b918ec321bc7d36d" hidden="1">#REF!</definedName>
    <definedName name="MLNK30b27c2cda9f470faea966f90bdec659" hidden="1">#REF!</definedName>
    <definedName name="MLNK3183f1eaa02944f8af9a4551bab49622" hidden="1">#REF!</definedName>
    <definedName name="MLNK3191c7771c5c4908bde70ad7e0523638" hidden="1">#REF!</definedName>
    <definedName name="MLNK31c437e513bd43708561c0a56b16836b" hidden="1">#REF!</definedName>
    <definedName name="MLNK32306623c2454cb5ab9187ccf45e85bd" hidden="1">#REF!</definedName>
    <definedName name="MLNK32fd0f86f0a34afdaee1f5a585a58c2c" hidden="1">#REF!</definedName>
    <definedName name="MLNK32fedbfa15dc4117823fbf9e82354c14" hidden="1">#REF!</definedName>
    <definedName name="MLNK330402a1548a4d9db672e63636a88dba" hidden="1">#REF!</definedName>
    <definedName name="MLNK33217662758946f9a7f766d1fe4702be" hidden="1">#REF!</definedName>
    <definedName name="MLNK3368011a33ba4a689529c8f0245ec003" hidden="1">#REF!</definedName>
    <definedName name="MLNK33aa50c1f4864f5f92625202d233ad79" hidden="1">#REF!</definedName>
    <definedName name="MLNK3407049f52d24608aa04c9e1dae82693" hidden="1">#REF!</definedName>
    <definedName name="MLNK3444215ad6674dc19fab8268343d3ee7" hidden="1">#REF!</definedName>
    <definedName name="MLNK34ea0417da44458e98269b90c5445c1b" hidden="1">#REF!</definedName>
    <definedName name="MLNK35525a34df824ef08bc71bc6c1025b5e" hidden="1">#REF!</definedName>
    <definedName name="MLNK355f5c4e8de5414fa6caf0579afc5a94" hidden="1">#REF!</definedName>
    <definedName name="MLNK357f0b181d6a4cbbac71d014a5a8f524" hidden="1">#REF!</definedName>
    <definedName name="MLNK35912bca35884e638463d146863134bb" hidden="1">#REF!</definedName>
    <definedName name="MLNK35b610b967514c518799192b3a025611" hidden="1">#REF!</definedName>
    <definedName name="MLNK35bcc842081945b9a4877e95b7f82936" hidden="1">#REF!</definedName>
    <definedName name="MLNK36d2e358aee44ad3a469ecc7f1efc28f" hidden="1">#REF!</definedName>
    <definedName name="MLNK374c68b7739746d4a370cfaacf277aa1" hidden="1">#REF!</definedName>
    <definedName name="MLNK374f82a5445c4b98becfe7b5d76f959a" hidden="1">#REF!</definedName>
    <definedName name="MLNK377cc58e48c24bb3914f519d36986e16" hidden="1">#REF!</definedName>
    <definedName name="MLNK379663da8d494ce2963dbe58a65c43a1" hidden="1">#REF!</definedName>
    <definedName name="MLNK3818a537fd50435c8443f12af0070f8a" hidden="1">#REF!</definedName>
    <definedName name="MLNK3841ed7b84fe495094681d8873f2c710" hidden="1">#REF!</definedName>
    <definedName name="MLNK3894a42fcffc46fa83b48f2f455a1892" hidden="1">#REF!</definedName>
    <definedName name="MLNK38a93eff606b42d3964eda691fb0138d" hidden="1">#REF!</definedName>
    <definedName name="MLNK38ca0951e89f4f1d8ade9594aad915ad" hidden="1">'V. Comparables'!$B$8:$R$56</definedName>
    <definedName name="MLNK3933a2df57e34583986032bdeb424b65" hidden="1">#REF!</definedName>
    <definedName name="MLNK3995b3421bea4957ab58a57e281927c9" hidden="1">#REF!</definedName>
    <definedName name="MLNK39c8079a2bfc484bbd9a6c6b4d07de1d" hidden="1">#REF!</definedName>
    <definedName name="MLNK39ed8c9a242a490181548740f180a9c9" hidden="1">#REF!</definedName>
    <definedName name="MLNK3a756cbdc0c6474a83ad9659a5ffb5d6" hidden="1">#REF!</definedName>
    <definedName name="MLNK3a7d26cf39d04e13a1e0f59b3cf1ac34" hidden="1">#REF!</definedName>
    <definedName name="MLNK3aee124db8a44e39804dcd74f89a6664" hidden="1">#REF!</definedName>
    <definedName name="MLNK3afd6ec422124a4280bd560d99a5eba9" hidden="1">#REF!</definedName>
    <definedName name="MLNK3b06213fb1014de39d7f7c54431d5b09" hidden="1">#REF!</definedName>
    <definedName name="MLNK3b42315a9d964ea4ba34b4278796ab20" hidden="1">#REF!</definedName>
    <definedName name="MLNK3b490f78d86c43a4ba5da5a64039855e" hidden="1">#REF!</definedName>
    <definedName name="MLNK3b524faec4ae4e4bb7710c9aa7bb1e5f" hidden="1">#REF!</definedName>
    <definedName name="MLNK3b541a2e3a954b89b9cd12b0eb03591c" hidden="1">#REF!</definedName>
    <definedName name="MLNK3b95ca2726664ee2b57b97a4c60f7da9" hidden="1">#REF!</definedName>
    <definedName name="MLNK3be619b7dc0d402782f00edc05ab351c" hidden="1">#REF!</definedName>
    <definedName name="MLNK3c627e7ee5f448969942c7a9faa6081b" hidden="1">#REF!</definedName>
    <definedName name="MLNK3cb3fb700bc44cc9837e39daf9249550" hidden="1">#REF!</definedName>
    <definedName name="MLNK3cd376d99e2b4eeda28f2f45624a5c45" hidden="1">#REF!</definedName>
    <definedName name="MLNK3ce12ae9f8b347e1b969b8686bfdfe72" hidden="1">#REF!</definedName>
    <definedName name="MLNK3d6b9da14f26447aaab74747ab31ec87" hidden="1">#REF!</definedName>
    <definedName name="MLNK3d93ff247b44478fad5e45e535c9514e" hidden="1">#REF!</definedName>
    <definedName name="MLNK3dc94b45582847b3ab6c30e6db918a4b" hidden="1">#REF!</definedName>
    <definedName name="MLNK3e136b76f6f0458d807d686e90e781c2" hidden="1">#REF!</definedName>
    <definedName name="MLNK3e48ddba77ba4516923752efec075f15" hidden="1">#REF!</definedName>
    <definedName name="MLNK3e53ca36e1e74f2b9c3887f1a57e2dd3" hidden="1">#REF!</definedName>
    <definedName name="MLNK3e6b5949989744febe30c0ce950b887b" hidden="1">#REF!</definedName>
    <definedName name="MLNK3e6e7c981264403f91bb706c64b4e1cc" hidden="1">#REF!</definedName>
    <definedName name="MLNK3e76f131abb041509d7aac5ad4e4f4da" hidden="1">#REF!</definedName>
    <definedName name="MLNK3f20583318934e1a985b3fb218f6cf2f" hidden="1">#REF!</definedName>
    <definedName name="MLNK3f343bad37a9439397dbd6fcde7d8de4" hidden="1">#REF!</definedName>
    <definedName name="MLNK3fa800fc53604c9fa4c169076c942124" hidden="1">#REF!</definedName>
    <definedName name="MLNK401f5f02698d4243848666f8a851e686" hidden="1">#REF!</definedName>
    <definedName name="MLNK4087003224b14ff29dc20d806f658a35" hidden="1">#REF!</definedName>
    <definedName name="MLNK40b9f550cd2d40e1a23c9d58b10442b6" hidden="1">#REF!</definedName>
    <definedName name="MLNK40d2191e823c4da2911e21ab3af4da2b" hidden="1">#REF!</definedName>
    <definedName name="MLNK40de5072625a45d0b118893f9b406066" hidden="1">#REF!</definedName>
    <definedName name="MLNK40ffd2860f5d4d15957a9c31ea485f92" hidden="1">#REF!</definedName>
    <definedName name="MLNK4119008fa8f04941acb729f1d48f780c" hidden="1">#REF!</definedName>
    <definedName name="MLNK41afdd2cee2c4e369431eaaaa672d917" hidden="1">#REF!</definedName>
    <definedName name="MLNK41b6a8a780fe4352b1c67caf098d9c81" hidden="1">#REF!</definedName>
    <definedName name="MLNK4202544caf9e4c90ab80923f1214781e" hidden="1">#REF!</definedName>
    <definedName name="MLNK421e897f741d4952aa632d335e71ed1c" hidden="1">#REF!</definedName>
    <definedName name="MLNK42b4cb02d65643168912e34a2a4d7f2e" hidden="1">#REF!</definedName>
    <definedName name="MLNK430cf43e8a734ab98b65790d0ec28b85" hidden="1">#REF!</definedName>
    <definedName name="MLNK43461bee059d480b89b6cd675b36ccb5" hidden="1">#REF!</definedName>
    <definedName name="MLNK43b4ade77b1b480587ab3b6070bdaf61" hidden="1">#REF!</definedName>
    <definedName name="MLNK43f1a5f6b89847a58b6fdae96b57e2dd" hidden="1">#REF!</definedName>
    <definedName name="MLNK43f4fd00cbce4f15849d903369f771dc" hidden="1">#REF!</definedName>
    <definedName name="MLNK442a5197cad145db945ab21b9c8b200c" hidden="1">#REF!</definedName>
    <definedName name="MLNK4469f5e72f9644ebb4fb728553ea8b7f" hidden="1">#REF!</definedName>
    <definedName name="MLNK448cf67a0a33444fb7741e08a9b2165f" hidden="1">#REF!</definedName>
    <definedName name="MLNK44fa9436e93345839dd30ae91074203f" hidden="1">#REF!</definedName>
    <definedName name="MLNK453cab05e6a44c15b72976e09a9831ae" hidden="1">#REF!</definedName>
    <definedName name="MLNK454cea6ef9f8417a9c84129b9df206cc" hidden="1">#REF!</definedName>
    <definedName name="MLNK45b880241b084b94acbe546cc47dafb4" hidden="1">#REF!</definedName>
    <definedName name="MLNK45bbf27d25e64bd09dba6cd078e73b55" hidden="1">#REF!</definedName>
    <definedName name="MLNK460dc94c4f3242dda7f460196f9e1836" hidden="1">#REF!</definedName>
    <definedName name="MLNK468781f1a56c4f7b9056af3f150c3d01" hidden="1">#REF!</definedName>
    <definedName name="MLNK4698963d1cd64c3cbb3c00339b2715ab" hidden="1">#REF!</definedName>
    <definedName name="MLNK46ac64f69e41430dbae711c8a31227b2" hidden="1">#REF!</definedName>
    <definedName name="MLNK46c2d3a36bf2488490292708b8f9feb5" hidden="1">#REF!</definedName>
    <definedName name="MLNK46cd212686fd4aff871cbe473595c1f4" hidden="1">#REF!</definedName>
    <definedName name="MLNK470a094db47f45bd86aa09e2eec85f94" hidden="1">#REF!</definedName>
    <definedName name="MLNK480ec09c0d4f4d57bacf8af14ff93e40" hidden="1">#REF!</definedName>
    <definedName name="MLNK482a72a757504185abeb196b4c2e8eac" hidden="1">#REF!</definedName>
    <definedName name="MLNK4879f7a0100442f19df60debe3894898" hidden="1">#REF!</definedName>
    <definedName name="MLNK48930a108bbc4d1e9bd50497dd86deb4" hidden="1">#REF!</definedName>
    <definedName name="MLNK48d1ea6d6ccd4a85b72f194cf7a6f271" hidden="1">#REF!</definedName>
    <definedName name="MLNK48e61342d81b4a01bdca4ce46a298839" hidden="1">#REF!</definedName>
    <definedName name="MLNK496a65f951294504bd0cc429c0620946" hidden="1">#REF!</definedName>
    <definedName name="MLNK497b1f6578814ea499f2045816063c56" hidden="1">#REF!</definedName>
    <definedName name="MLNK49db4a5128f84b5a944ba5c6aa4f2e5e" hidden="1">#REF!</definedName>
    <definedName name="MLNK4a0aaaa4ade34633a6f39809db59ce93" hidden="1">#REF!</definedName>
    <definedName name="MLNK4a4f1de30419440b9e6fce86c1c3ea6d" hidden="1">#REF!</definedName>
    <definedName name="MLNK4a5be1ff9d6d417494e78d1077939115" hidden="1">#REF!</definedName>
    <definedName name="MLNK4a82332111354264ba7c54403cfab047" hidden="1">#REF!</definedName>
    <definedName name="MLNK4ab70dc2735b42f2aa8726b707794056" hidden="1">#REF!</definedName>
    <definedName name="MLNK4ae1162da6924edbb77eb864286b52ec" hidden="1">'V. Comparables'!$B$8:$R$56</definedName>
    <definedName name="MLNK4afa9175c2a44f87b0416e8f4fa9153d" hidden="1">#REF!</definedName>
    <definedName name="MLNK4b3b9b2c509a49709ab64ea8279021ed" hidden="1">#REF!</definedName>
    <definedName name="MLNK4b3eacc50b834c62abf0ab00d4e07c7f" hidden="1">#REF!</definedName>
    <definedName name="MLNK4b40bbbaef344de0ab2a1c4c1549a012" hidden="1">#REF!</definedName>
    <definedName name="MLNK4b56ec77d2ba4c15942829c5ff584433" hidden="1">#REF!</definedName>
    <definedName name="MLNK4b869de81adf428db1532acf496b0194" hidden="1">#REF!</definedName>
    <definedName name="MLNK4b8c43bd0f2d489388c97469ffb92dc2" hidden="1">#REF!</definedName>
    <definedName name="MLNK4b94666561864b68b487863d6d2c00ee" hidden="1">#REF!</definedName>
    <definedName name="MLNK4ba48b82125544feb54b63a50d2993a1" hidden="1">#REF!</definedName>
    <definedName name="MLNK4bf9ca0a4035470ab9854379328e9681" hidden="1">#REF!</definedName>
    <definedName name="MLNK4c2708c39781424aa5add011985b25a2" hidden="1">#REF!</definedName>
    <definedName name="MLNK4c724cf6bfd64d28bbd8ce74243815c2" hidden="1">#REF!</definedName>
    <definedName name="MLNK4cea7123f087461caaba1948592ef750" hidden="1">#REF!</definedName>
    <definedName name="MLNK4cfbe0e23a354f0bacc5ad2f5da4c4ad" hidden="1">#REF!</definedName>
    <definedName name="MLNK4d2809775cd446e6a90014faac5dd8f5" hidden="1">#REF!</definedName>
    <definedName name="MLNK4d47096029b64b53b114e1f22b3b0f38" hidden="1">#REF!</definedName>
    <definedName name="MLNK4d7fda9b12f74ae49bf48ef6c5fd5340" hidden="1">#REF!</definedName>
    <definedName name="MLNK4d9e0f11ae5e428c937ce9be516b6a99" hidden="1">#REF!</definedName>
    <definedName name="MLNK4db1020c5d1346419402ca67cf26479c" hidden="1">#REF!</definedName>
    <definedName name="MLNK4dfd8bb2b1b14ccea2701f57b93d553e" hidden="1">#REF!</definedName>
    <definedName name="MLNK4e30f0d9bfd44f2dbf9e38ee71a57e77" hidden="1">#REF!</definedName>
    <definedName name="MLNK4e3e032ebe97403cb7ac1878b9b13549" hidden="1">#REF!</definedName>
    <definedName name="MLNK4e425536579c4453a655d9d556d31476" hidden="1">#REF!</definedName>
    <definedName name="MLNK4e9bdae243794a8daf62540f83c5aa10" hidden="1">#REF!</definedName>
    <definedName name="MLNK4f073a15c1c24d208e8dfdb08ee6d013" hidden="1">#REF!</definedName>
    <definedName name="MLNK4f20d2d4b620405a80207905474c0026" hidden="1">#REF!</definedName>
    <definedName name="MLNK4f9a486bc37347b29fe27af8480deb4e" hidden="1">#REF!</definedName>
    <definedName name="MLNK4f9b62606f434037bf8ee8f446547579" hidden="1">#REF!</definedName>
    <definedName name="MLNK4fb339189826401080c6579bbdb2860a" hidden="1">#REF!</definedName>
    <definedName name="MLNK501d597a47804366b59908f2aefe82f9" hidden="1">#REF!</definedName>
    <definedName name="MLNK5066a176457140b4ab8fef34359475b7" hidden="1">#REF!</definedName>
    <definedName name="MLNK509c50b0f30e41d2861594506e9a5b3d" hidden="1">#REF!</definedName>
    <definedName name="MLNK511a685c54b44dd0b4c40d4291f00c35" hidden="1">#REF!</definedName>
    <definedName name="MLNK51237db6785d4bbaacf9f6889f6cfabc" hidden="1">#REF!</definedName>
    <definedName name="MLNK5147170441994c8481cf8227dd3a195d" hidden="1">#REF!</definedName>
    <definedName name="MLNK51d3be7e8f4c44fa944705c24ac7c692" hidden="1">#REF!</definedName>
    <definedName name="MLNK5223518531274ba9b8944e931c5091f4" hidden="1">#REF!</definedName>
    <definedName name="MLNK5273f113756f4c699300085097bea1ac" hidden="1">#REF!</definedName>
    <definedName name="MLNK52a3c800b810441686324242468860af" hidden="1">#REF!</definedName>
    <definedName name="MLNK52b773a93c594b90828c2297469b7d75" hidden="1">#REF!</definedName>
    <definedName name="MLNK530a9e4d4663448eab3b6c97dcffbca7" hidden="1">#REF!</definedName>
    <definedName name="MLNK539da7e8b6df4b1ba62b9857d1c8b428" hidden="1">#REF!</definedName>
    <definedName name="MLNK53f4f99dd75b45668a7dbec1b7261904" hidden="1">#REF!</definedName>
    <definedName name="MLNK540e04f20112459aa5ef5755b541825e" hidden="1">#REF!</definedName>
    <definedName name="MLNK5419c38a82504718a60b37b75c6058c5" hidden="1">#REF!</definedName>
    <definedName name="MLNK546b60d4cec643f6b1f022d2fd84673e" hidden="1">#REF!</definedName>
    <definedName name="MLNK549b1164492642239189c8432acac595" hidden="1">#REF!</definedName>
    <definedName name="MLNK54aa1b85a6384b7e8738b9f361971039" hidden="1">#REF!</definedName>
    <definedName name="MLNK556a00d4e50b484d9794c0d6ad3d751a" hidden="1">#REF!</definedName>
    <definedName name="MLNK558089d3077d4fdc8ad112fbee95b79f" hidden="1">#REF!</definedName>
    <definedName name="MLNK558420cb2c3f4942b970d972a1f4004b" hidden="1">#REF!</definedName>
    <definedName name="MLNK55a655decbf6419eb2c91cf936552e1a" hidden="1">#REF!</definedName>
    <definedName name="MLNK55b544fbbb9f458cbe95286ff80bd221" hidden="1">#REF!</definedName>
    <definedName name="MLNK55b7396a5c5a4d428b86a86e0c9af448" hidden="1">#REF!</definedName>
    <definedName name="MLNK55e46825f9514c48852aa1b226b92cfc" hidden="1">#REF!</definedName>
    <definedName name="MLNK564779ce4b57458fae9e72aa61a4f78d" hidden="1">#REF!</definedName>
    <definedName name="MLNK5662e450df734a6bbd33a33ee472c231" hidden="1">#REF!</definedName>
    <definedName name="MLNK56784cfee8224356b96f48647bfb4487" hidden="1">#REF!</definedName>
    <definedName name="MLNK56818b66a82348ce99c0452d8f653c3f" hidden="1">#REF!</definedName>
    <definedName name="MLNK568a34b1bbca4bb8b7a63fe030bea332" hidden="1">#REF!</definedName>
    <definedName name="MLNK568ef48cd24247c9ba996982414db3d5" hidden="1">#REF!</definedName>
    <definedName name="MLNK56c96016bd5e4d99bb7a035622aac533" hidden="1">#REF!</definedName>
    <definedName name="MLNK56c97d0b00a9420f86ab98f9461c3369" hidden="1">#REF!</definedName>
    <definedName name="MLNK5712d7caec4d4e1284cfaab2fc1b2380" hidden="1">#REF!</definedName>
    <definedName name="MLNK572500526c264b7b95065377003ddae5" hidden="1">#REF!</definedName>
    <definedName name="MLNK5790592d66964954b49e1e6a2cdff298" hidden="1">#REF!</definedName>
    <definedName name="MLNK57ba1a57437c45af8dca541162dd478f" hidden="1">#REF!</definedName>
    <definedName name="MLNK58053737ae524582b77cbd888ce85d75" hidden="1">#REF!</definedName>
    <definedName name="MLNK58227a099e774037a2c4ee46ba51169b" hidden="1">#REF!</definedName>
    <definedName name="MLNK5868995cab8141f58d146ceb5ab8e064" hidden="1">#REF!</definedName>
    <definedName name="MLNK5897b17acdef449b9498edd1c872e49b" hidden="1">#REF!</definedName>
    <definedName name="MLNK589b4b4e9d114498b6438732af4079c6" hidden="1">#REF!</definedName>
    <definedName name="MLNK589cb7b6aecd4b118ee3f2109753f3f3" hidden="1">#REF!</definedName>
    <definedName name="MLNK58cc0fc20f5f40bfabbdb8766eb0af9c" hidden="1">#REF!</definedName>
    <definedName name="MLNK58d4fc78b4664492bb3fa144423113d2" hidden="1">#REF!</definedName>
    <definedName name="MLNK58f9115d080d4d92853e40c2f2eb0758" hidden="1">#REF!</definedName>
    <definedName name="MLNK59309990db734d9c8a821e2b8d52b8dd" hidden="1">#REF!</definedName>
    <definedName name="MLNK59edf6cf43784dc6aad3c55e4e5ad2b4" hidden="1">#REF!</definedName>
    <definedName name="MLNK5a29ce186d6741829000c9e915ae9c66" hidden="1">#REF!</definedName>
    <definedName name="MLNK5a30477d5f394fd987d059cef3f42405" hidden="1">#REF!</definedName>
    <definedName name="MLNK5a37a43bf2834901840d23cbb0abc044" hidden="1">#REF!</definedName>
    <definedName name="MLNK5a5cc9398b0e4a1490756fe52cdfdf29" hidden="1">#REF!</definedName>
    <definedName name="MLNK5a93b74cbd5647d885cfab58ef64c068" hidden="1">#REF!</definedName>
    <definedName name="MLNK5b82a77114d14c758b65f9d6c625f0e6" hidden="1">#REF!</definedName>
    <definedName name="MLNK5bb2c057790241afa9be0bea799d3060" hidden="1">#REF!</definedName>
    <definedName name="MLNK5bc72c653a64456ca35790155aeeb15c" hidden="1">#REF!</definedName>
    <definedName name="MLNK5bd8f2fa23a449f68bf9122fc9634158" hidden="1">#REF!</definedName>
    <definedName name="MLNK5c118afdb7424a12984646f92bdb0baf" hidden="1">#REF!</definedName>
    <definedName name="MLNK5c2fdb53616843338a76ee87fba723a1" hidden="1">#REF!</definedName>
    <definedName name="MLNK5c93849b1c694866a7fdca906433d872" hidden="1">#REF!</definedName>
    <definedName name="MLNK5cb6067cb22d4404a352867a368c4dd3" hidden="1">#REF!</definedName>
    <definedName name="MLNK5cc120250dba49fc954ce969f59c29e4" hidden="1">#REF!</definedName>
    <definedName name="MLNK5d504a170b0b424b845a2fbdf8ae212e" hidden="1">#REF!</definedName>
    <definedName name="MLNK5d9cc9b2b2fd4b2799819c19126f0e1b" hidden="1">#REF!</definedName>
    <definedName name="MLNK5da25abf8c7240d3abe03aca35d0450c" hidden="1">#REF!</definedName>
    <definedName name="MLNK5de520c386f4498e87cf292a9422b147" hidden="1">#REF!</definedName>
    <definedName name="MLNK5e56288a2d444a9ebdffbc6047357d41" hidden="1">#REF!</definedName>
    <definedName name="MLNK5e66d0e5e0504f83b21a28b2ed859d4a" hidden="1">#REF!</definedName>
    <definedName name="MLNK5e8dd6ee2dc24c0eb99cc80145bc853f" hidden="1">#REF!</definedName>
    <definedName name="MLNK5f035044afad4ac69ff0cf10ce95cacb" hidden="1">#REF!</definedName>
    <definedName name="MLNK5f489b36a3dd4ffca654ca893fdc01e1" hidden="1">#REF!</definedName>
    <definedName name="MLNK60d659c3c8bc4afb8091990511f37424" hidden="1">#REF!</definedName>
    <definedName name="MLNK6123d0abbf994e4fb5de81b47ecc7ff0" hidden="1">#REF!</definedName>
    <definedName name="MLNK612c822e116041a1be89ae4a415e8374" hidden="1">#REF!</definedName>
    <definedName name="MLNK6210b0a7eff74c16936439a65bb1d85a" hidden="1">#REF!</definedName>
    <definedName name="MLNK625fe00e4639425ba812d96c8e9ceea9" hidden="1">#REF!</definedName>
    <definedName name="MLNK62d6df4b67ea4430a943d6097b968d39" hidden="1">#REF!</definedName>
    <definedName name="MLNK6305bc950df74e6a89faf0e38f7282b2" hidden="1">#REF!</definedName>
    <definedName name="MLNK631f5f318f32460cb70ce1837416f6f6" hidden="1">#REF!</definedName>
    <definedName name="MLNK635bdcff8c174f7e86b3b1ac491aabe9" hidden="1">#REF!</definedName>
    <definedName name="MLNK6383911c3c664c0887824cfe4ea1f93b" hidden="1">#REF!</definedName>
    <definedName name="MLNK63ac4582cfe047bbb516377b722c0c61" hidden="1">#REF!</definedName>
    <definedName name="MLNK64f506610b0549d0bf994f29c91e01eb" hidden="1">#REF!</definedName>
    <definedName name="MLNK65147e5669204c5bb84032ff50f02a7e" hidden="1">#REF!</definedName>
    <definedName name="MLNK652441e2374d4a8fae70b563e0916718" hidden="1">#REF!</definedName>
    <definedName name="MLNK655665b4820d4dc3b01557425e02aa4b" hidden="1">#REF!</definedName>
    <definedName name="MLNK65839af1b13744b0a4faaeb49d4fe140" hidden="1">#REF!</definedName>
    <definedName name="MLNK6593c6ab73264e69b4374330ab13c8e1" hidden="1">#REF!</definedName>
    <definedName name="MLNK6595a9ddf18748bfaeb58c67223bfc33" hidden="1">#REF!</definedName>
    <definedName name="MLNK65a6ee50c38f4a1787e6ee66d8745808" hidden="1">#REF!</definedName>
    <definedName name="MLNK65e75eb4a985451a9cb2467efa5a31db" hidden="1">#REF!</definedName>
    <definedName name="MLNK66055e341c5c4761b946d1445a420c6b" hidden="1">#REF!</definedName>
    <definedName name="MLNK66416141c4ce46b0a586f7ee596245db" hidden="1">#REF!</definedName>
    <definedName name="MLNK66624990299547b2b64d531ab9be5b30" hidden="1">#REF!</definedName>
    <definedName name="MLNK66fe63e2714d498394dcacd64546234b" hidden="1">#REF!</definedName>
    <definedName name="MLNK678d9ffd405846fabeb219bf563b4a86" hidden="1">#REF!</definedName>
    <definedName name="MLNK679e121181984bc4926c0389f80b9c90" hidden="1">#REF!</definedName>
    <definedName name="MLNK68871f2145af4dca900f0d21af672263" hidden="1">#REF!</definedName>
    <definedName name="MLNK68aecd16316b4ec5a6fee43a0404a643" hidden="1">#REF!</definedName>
    <definedName name="MLNK6903e22c8a4146488153f7a43fa6c9fc" hidden="1">#REF!</definedName>
    <definedName name="MLNK692e486811bc41418e7571e3bb5c8bbb" hidden="1">#REF!</definedName>
    <definedName name="MLNK697f5a9c8f2342c6bb10c87ac65ebd4a" hidden="1">#REF!</definedName>
    <definedName name="MLNK6a265b582ea3449ba161933f47d6ad8a" hidden="1">#REF!</definedName>
    <definedName name="MLNK6a86925f37504091894ed814236c34fa" hidden="1">#REF!</definedName>
    <definedName name="MLNK6a8780fdd56f48d393f32ab99d587db6" hidden="1">#REF!</definedName>
    <definedName name="MLNK6aa03d44785e4ed68239ea75127de48e" hidden="1">#REF!</definedName>
    <definedName name="MLNK6b16945314434b04a97d34c9050e2320" hidden="1">#REF!</definedName>
    <definedName name="MLNK6b5ce047d68b41dcaede68d1e499e9d9" hidden="1">#REF!</definedName>
    <definedName name="MLNK6b5e31c5a8134a35aa3b61e6a3c34f1c" hidden="1">#REF!</definedName>
    <definedName name="MLNK6b80abdc8fe740cfac848fac6ef04b6f" hidden="1">'V. Comparables'!$1:$1048576</definedName>
    <definedName name="MLNK6b92bb4e16d6422caedcf892b957e8dc" hidden="1">#REF!</definedName>
    <definedName name="MLNK6c1636abd84647b28396267a19f2a16a" hidden="1">#REF!</definedName>
    <definedName name="MLNK6ca7e7164c8c49318c0a92737f4ed103" hidden="1">#REF!</definedName>
    <definedName name="MLNK6d68e9d61ca0416884aa1cfee1a494eb" hidden="1">#REF!</definedName>
    <definedName name="MLNK6d94a81eaf0143b5be6d1ba1c9c84842" hidden="1">#REF!</definedName>
    <definedName name="MLNK6dd4af24b7e94c07a8617def0a556fe0" hidden="1">#REF!</definedName>
    <definedName name="MLNK6e486e2d5a334a39b4877bea72d7eb92" hidden="1">#REF!</definedName>
    <definedName name="MLNK6e727159858a4f6fa12f1184ada87026" hidden="1">#REF!</definedName>
    <definedName name="MLNK6e72f843939c45e6ad1bb202d76f95fd" hidden="1">#REF!</definedName>
    <definedName name="MLNK6e783f0d518148e08e2aaef094f77e6b" hidden="1">#REF!</definedName>
    <definedName name="MLNK6fed978a0f5a4a4cbe4ee5d4155e5ec5" hidden="1">#REF!</definedName>
    <definedName name="MLNK6fee5b8d69cd417686506d354a9250d0" hidden="1">#REF!</definedName>
    <definedName name="MLNK7019e39e85c246f1ae9e0ef6fc958370" hidden="1">#REF!</definedName>
    <definedName name="MLNK7021f5ebbdd84a45ba6a7ba23cb30771" hidden="1">#REF!</definedName>
    <definedName name="MLNK7057dc7973694314b60de6b163b24838" hidden="1">#REF!</definedName>
    <definedName name="MLNK70646e4a8e034cd78f431f91898c66c0" hidden="1">#REF!</definedName>
    <definedName name="MLNK70a58cfbfa8f452e814ded09c65137f4" hidden="1">#REF!</definedName>
    <definedName name="MLNK70a874c7f368487cbe704d484fc1af16" hidden="1">#REF!</definedName>
    <definedName name="MLNK70c624b08d0d414b9b3e07cb7658af95" hidden="1">#REF!</definedName>
    <definedName name="MLNK70d038176d214bb3be6757c4606f55b5" hidden="1">#REF!</definedName>
    <definedName name="MLNK70e7b92d37f9456792e67a07f03cfc7d" hidden="1">#REF!</definedName>
    <definedName name="MLNK711e7c92b77c4bdba0a8fd967f51d09a" hidden="1">#REF!</definedName>
    <definedName name="MLNK713d8596e8df4275ab2d2f003c345043" hidden="1">#REF!</definedName>
    <definedName name="MLNK7165b3d004ff4cdb8cf06f37aad03417" hidden="1">#REF!</definedName>
    <definedName name="MLNK7190e0b0ca724135b422646f09ee97eb" hidden="1">#REF!</definedName>
    <definedName name="MLNK71b4daf60a6b45208f07199ac429da30" hidden="1">#REF!</definedName>
    <definedName name="MLNK71b5bf4bc0224e8981e090b52946baaf" hidden="1">#REF!</definedName>
    <definedName name="MLNK71c0b0997c344b909a6256f3f9e7b2f4" hidden="1">#REF!</definedName>
    <definedName name="MLNK729c511e6fb8406388008eaec1c014b6" hidden="1">#REF!</definedName>
    <definedName name="MLNK72c7159a0c3649da8f62d8214a86a035" hidden="1">#REF!</definedName>
    <definedName name="MLNK73535d6b26d34f28bcc1383ca23ae898" hidden="1">#REF!</definedName>
    <definedName name="MLNK7390ef6b69464b07902bf436ab3f0c81" hidden="1">#REF!</definedName>
    <definedName name="MLNK739e1434b02c46f6bdc88efd2f1ba994" hidden="1">#REF!</definedName>
    <definedName name="MLNK73bdb994b87f4972a5708ca53b7466f0" hidden="1">#REF!</definedName>
    <definedName name="MLNK73ca829c394b452098090ce23a806c68" hidden="1">#REF!</definedName>
    <definedName name="MLNK73d1a15bdc8b4cb7a1eba62c68ef7775" hidden="1">#REF!</definedName>
    <definedName name="MLNK742224d381f2494b857b969c2e07aa13" hidden="1">#REF!</definedName>
    <definedName name="MLNK7426aa94cca74acfad9415b05d5b7ff4" hidden="1">#REF!</definedName>
    <definedName name="MLNK74aaf3c2da574df69615013232ece008" hidden="1">#REF!</definedName>
    <definedName name="MLNK74ac2ebf8f2a4931b8cde3dabac0a546" hidden="1">#REF!</definedName>
    <definedName name="MLNK74ccbb3c852644f5a46f80e4df6ed55c" hidden="1">#REF!</definedName>
    <definedName name="MLNK74cd5027c16842ca83676db6bf8ade6b" hidden="1">#REF!</definedName>
    <definedName name="MLNK74e35ae32fbd45038a8ca8786ddc5481" hidden="1">#REF!</definedName>
    <definedName name="MLNK74e85bd6385d4993b531d38f2f3836c0" hidden="1">#REF!</definedName>
    <definedName name="MLNK74f8fb9fd04744b0826b8e01af33e003" hidden="1">#REF!</definedName>
    <definedName name="MLNK7575c400d762409d9d7d3f247f474ee7" hidden="1">#REF!</definedName>
    <definedName name="MLNK758fdcdb07a04274a7c7bedbf4c52f8d" hidden="1">#REF!</definedName>
    <definedName name="MLNK759a8f014d2945aba9553db2fee209c0" hidden="1">#REF!</definedName>
    <definedName name="MLNK75db4195e5d141d3a7eec873d4cc3a5e" hidden="1">#REF!</definedName>
    <definedName name="MLNK763a9f01ebb64e43939b2276d58ab053" hidden="1">#REF!</definedName>
    <definedName name="MLNK76a07ad73c6943b0b9490c28c2773a72" hidden="1">#REF!</definedName>
    <definedName name="MLNK78474ea8ccc645299e21f8fb8f2831bb" hidden="1">#REF!</definedName>
    <definedName name="MLNK784d795970424f398fc3fdd199378fee" hidden="1">#REF!</definedName>
    <definedName name="MLNK786446f9adf44b9c8e69153a249119f0" hidden="1">#REF!</definedName>
    <definedName name="MLNK7887505795504f1da6c968aa806eab0b" hidden="1">#REF!</definedName>
    <definedName name="MLNK78cdf337446c4c4fa061d0ca0ea856da" hidden="1">#REF!</definedName>
    <definedName name="MLNK79c13ef1d63e4c229d6c7ca926e964b0" hidden="1">#REF!</definedName>
    <definedName name="MLNK79f1f52cffc2440d893df1536bc81db2" hidden="1">#REF!</definedName>
    <definedName name="MLNK7a261d36437c4a978a819df4ce0f5c46" hidden="1">#REF!</definedName>
    <definedName name="MLNK7a38c2826a99439c9e40971bcc5ad261" hidden="1">#REF!</definedName>
    <definedName name="MLNK7b118c2e2a8f476fbe19f397f0a5dbd2" hidden="1">#REF!</definedName>
    <definedName name="MLNK7b537a5989264eddabc292d4476e8379" hidden="1">#REF!</definedName>
    <definedName name="MLNK7b7b0f44588f4b009d65026d66428372" hidden="1">#REF!</definedName>
    <definedName name="MLNK7bd30f6b03154f80b4ece3b807f67f53" hidden="1">#REF!</definedName>
    <definedName name="MLNK7bec44c0ba524dd5968ece36d71dd645" hidden="1">#REF!</definedName>
    <definedName name="MLNK7c2d7cae1ba24e14af55455df7615e04" hidden="1">#REF!</definedName>
    <definedName name="MLNK7c5f539d49fd45b29663fcc382404a18" hidden="1">#REF!</definedName>
    <definedName name="MLNK7c6376d3e24e49f68f4a6c8210e18b82" hidden="1">#REF!</definedName>
    <definedName name="MLNK7c808528906245c8bc83cd2434e1f4a3" hidden="1">#REF!</definedName>
    <definedName name="MLNK7c8b44994a5b434f8af642c9c7bd1904" hidden="1">#REF!</definedName>
    <definedName name="MLNK7ccb8304142d4079b335f546155f0e48" hidden="1">#REF!</definedName>
    <definedName name="MLNK7cdcd9ff45e94baa8c22f1bbb7a0756c" hidden="1">#REF!</definedName>
    <definedName name="MLNK7ce7df4de2444df2ae72af9f72d99cf3" hidden="1">#REF!</definedName>
    <definedName name="MLNK7d792593e60b4a4cbb48428d4a2a5258" hidden="1">#REF!</definedName>
    <definedName name="MLNK7d839fb3a2534df1af4fe0c1fb45f03b" hidden="1">#REF!</definedName>
    <definedName name="MLNK7dde91cd40a0482ca0661c225c13de3c" hidden="1">#REF!</definedName>
    <definedName name="MLNK7dfeefbfedf84d17b41a6bc802339b65" hidden="1">#REF!</definedName>
    <definedName name="MLNK7e047f1118dd4395a6c630f7eaa3ba64" hidden="1">#REF!</definedName>
    <definedName name="MLNK7e722a65711d41bbb1f89dac8f1d179f" hidden="1">#REF!</definedName>
    <definedName name="MLNK7f00420c94b84d218a5ffd741e2618a4" hidden="1">#REF!</definedName>
    <definedName name="MLNK7f2c3c66c11243eeb8b566267a70ab25" hidden="1">#REF!</definedName>
    <definedName name="MLNK7f381db745e745038123354ce5695f85" hidden="1">#REF!</definedName>
    <definedName name="MLNK7f3a5242886546ca971d4b3fd26e0d39" hidden="1">#REF!</definedName>
    <definedName name="MLNK7f5760153f9c46e7a6ae314adcdddfd8" hidden="1">#REF!</definedName>
    <definedName name="MLNK7f9b2a8b4c6e4ee79f750e916a643062" hidden="1">#REF!</definedName>
    <definedName name="MLNK7fc6fd2848a84b0d90d2448805483aef" hidden="1">#REF!</definedName>
    <definedName name="MLNK800cb0f5988f4232abce7d0d36762cc8" hidden="1">#REF!</definedName>
    <definedName name="MLNK80c806ee2fb84b6f95cb413fb747a5d7" hidden="1">#REF!</definedName>
    <definedName name="MLNK81acc8d3750443c9b6b2f7184ca1a239" hidden="1">#REF!</definedName>
    <definedName name="MLNK81d991a8444b423ba181c00b1581fd58" hidden="1">#REF!</definedName>
    <definedName name="MLNK81fccb728da14368923894d777f9d6c1" hidden="1">#REF!</definedName>
    <definedName name="MLNK822c71a676b44b90a0ae9ee8e8922351" hidden="1">#REF!</definedName>
    <definedName name="MLNK82a32cd08bcd424db6b53342a4ef2b53" hidden="1">#REF!</definedName>
    <definedName name="MLNK8389a0e593704536bf47bf8d77e09b85" hidden="1">#REF!</definedName>
    <definedName name="MLNK849be104a79e4e71843072e3fc579178" hidden="1">#REF!</definedName>
    <definedName name="MLNK8519166dded446979824141450c07732" hidden="1">#REF!</definedName>
    <definedName name="MLNK85403b3597204849bd36188b4216facb" hidden="1">#REF!</definedName>
    <definedName name="MLNK856b4359b1474ad6be49d46fd39e07d3" hidden="1">#REF!</definedName>
    <definedName name="MLNK85d104ed1abd4ee8b2b7b9e36d1a40a0" hidden="1">#REF!</definedName>
    <definedName name="MLNK86084a0d926c4d1c99f2a4ed620b0d92" hidden="1">#REF!</definedName>
    <definedName name="MLNK863d7154b90b4ff58eb8073dda6f1db2" hidden="1">#REF!</definedName>
    <definedName name="MLNK864586187871466fbdc98181e8196c2a" hidden="1">#REF!</definedName>
    <definedName name="MLNK86835e6557634107b3385a807945651d" hidden="1">#REF!</definedName>
    <definedName name="MLNK86a67f44935b46d39bd52fc31318d3e4" hidden="1">#REF!</definedName>
    <definedName name="MLNK86b0faed08ae4756b1f81b4c70bd37cf" hidden="1">#REF!</definedName>
    <definedName name="MLNK86d18c4991324b9fafd6c780bbc49371" hidden="1">#REF!</definedName>
    <definedName name="MLNK8733ce93fc7b45fb8d93f409f9f654dd" hidden="1">#REF!</definedName>
    <definedName name="MLNK877cb6f8fcc047d1b67176552108ecaa" hidden="1">#REF!</definedName>
    <definedName name="MLNK87b6ef3680c1458098edca561c2b518e" hidden="1">#REF!</definedName>
    <definedName name="MLNK87bdc6b5081740989afaa8649fe51684" hidden="1">#REF!</definedName>
    <definedName name="MLNK881676dd88434d38bc231dee73778ff4" hidden="1">#REF!</definedName>
    <definedName name="MLNK882742a4574d4c398317209f734ccdee" hidden="1">#REF!</definedName>
    <definedName name="MLNK88545d5be9e044c59846f9198223107a" hidden="1">#REF!</definedName>
    <definedName name="MLNK88bff6d610804cce9a482ca53b2475a0" hidden="1">#REF!</definedName>
    <definedName name="MLNK88e70c518ed8483ebc887df4719632e4" hidden="1">#REF!</definedName>
    <definedName name="MLNK88f32ac2f3294394b8e9f43317d7102f" hidden="1">#REF!</definedName>
    <definedName name="MLNK88f6c9c50f6a42c18f38f2c69d3c79c5" hidden="1">#REF!</definedName>
    <definedName name="MLNK8933050fa3184006bc16fa96753bd521" hidden="1">#REF!</definedName>
    <definedName name="MLNK893be7aee6af45089f821ffc6ae622f7" hidden="1">#REF!</definedName>
    <definedName name="MLNK8940cbfbd55a452991b13e1c94d646f7" hidden="1">#REF!</definedName>
    <definedName name="MLNK89953e64f7ca478889eab0480ca166d9" hidden="1">#REF!</definedName>
    <definedName name="MLNK89c0b552293b465cb0488b0a6351a521" hidden="1">#REF!</definedName>
    <definedName name="MLNK8a2ff150aff945afbc20a79562761a81" hidden="1">#REF!</definedName>
    <definedName name="MLNK8a4b37d8c34843689209c16083a16b7c" hidden="1">#REF!</definedName>
    <definedName name="MLNK8a981875db4a4df2b0ed552232b8345b" hidden="1">#REF!</definedName>
    <definedName name="MLNK8ac46e84006242f594877756c7f92d2a" hidden="1">#REF!</definedName>
    <definedName name="MLNK8acbb2a77cd04fcdb24d3585bb94e8e9" hidden="1">#REF!</definedName>
    <definedName name="MLNK8b131d72e5df48faa6c8c6406e26e418" hidden="1">#REF!</definedName>
    <definedName name="MLNK8b17f146ac5a48cd8e81eb109aeee3ae" hidden="1">#REF!</definedName>
    <definedName name="MLNK8b1c0c139e9b4073820ad2a10e7f1051" hidden="1">#REF!</definedName>
    <definedName name="MLNK8c682d93591c4c73845ba2c1082c48d3" hidden="1">#REF!</definedName>
    <definedName name="MLNK8ca39cedf68a4e92b18af441f524f826" hidden="1">#REF!</definedName>
    <definedName name="MLNK8cb9383616ab421389484efab64178dd" hidden="1">#REF!</definedName>
    <definedName name="MLNK8cc4d9c3c3bb4594bacc7495cfcfc50e" hidden="1">#REF!</definedName>
    <definedName name="MLNK8cd52f4b903543658de827aa52acf74e" hidden="1">#REF!</definedName>
    <definedName name="MLNK8cd7576df60d45e4ab0d7685e326e025" hidden="1">#REF!</definedName>
    <definedName name="MLNK8ce6ecbf737e488693deed1af93ced57" hidden="1">#REF!</definedName>
    <definedName name="MLNK8d141d7d47ad4fc987d59f39088ad916" hidden="1">#REF!</definedName>
    <definedName name="MLNK8d5b78eefde24124bc22e5eb2b874604" hidden="1">#REF!</definedName>
    <definedName name="MLNK8d9df6cfe2df4e9d9a85e67b518205c5" hidden="1">#REF!</definedName>
    <definedName name="MLNK8e8302d4806d4976b250563630d06974" hidden="1">#REF!</definedName>
    <definedName name="MLNK8e9b770ba4eb41da82ee651f9a564109" hidden="1">#REF!</definedName>
    <definedName name="MLNK8eb9e48b9b3943249f666798d00edc23" hidden="1">#REF!</definedName>
    <definedName name="MLNK8ee0b1d9a7224f788d9779b3dc0499e0" hidden="1">#REF!</definedName>
    <definedName name="MLNK8f43595c2bb847f381669b6e34f63668" hidden="1">#REF!</definedName>
    <definedName name="MLNK8f76434663af42e390fdbde44d3710ec" hidden="1">#REF!</definedName>
    <definedName name="MLNK8fbbfa99afb24b5b9f5f0a743e480b73" hidden="1">#REF!</definedName>
    <definedName name="MLNK8fef85be699b43f9993faf4c05a317f2" hidden="1">#REF!</definedName>
    <definedName name="MLNK9004dc033f374e6a928f9b0ebb5d8196" hidden="1">#REF!</definedName>
    <definedName name="MLNK9024ad5805bb4d6a82cd3805822ddab1" hidden="1">#REF!</definedName>
    <definedName name="MLNK907ffb3c3f914b5ea9e24fe283c6cb99" hidden="1">#REF!</definedName>
    <definedName name="MLNK908d72b886094b4498d660dcd99709e7" hidden="1">#REF!</definedName>
    <definedName name="MLNK90beff11f56747c88ac582cc252e174d" hidden="1">#REF!</definedName>
    <definedName name="MLNK90c4ba7186d54322a67fb04486a8cbf3" hidden="1">#REF!</definedName>
    <definedName name="MLNK90c8fccee84a4a48a0b07e6aaa673094" hidden="1">#REF!</definedName>
    <definedName name="MLNK90d278ce8aa74ed184c2e90850f321dc" hidden="1">#REF!</definedName>
    <definedName name="MLNK90e25c2ecaa64d57bb26958b4d223428" hidden="1">#REF!</definedName>
    <definedName name="MLNK9110823f14ea42ec8690146557817cd4" hidden="1">#REF!</definedName>
    <definedName name="MLNK913274e26d0b40a5a0c25c58b5a6b52f" hidden="1">#REF!</definedName>
    <definedName name="MLNK91662700859a4b5887ea4b2f311dfaa8" hidden="1">#REF!</definedName>
    <definedName name="MLNK91bae33c68f54070a9d0dc2c0bf12ef3" hidden="1">#REF!</definedName>
    <definedName name="MLNK920e55f9c749413d8ea87ac117500e67" hidden="1">#REF!</definedName>
    <definedName name="MLNK928b582d16334ef39533249c3737cef4" hidden="1">#REF!</definedName>
    <definedName name="MLNK92b34a62a6d14ef89b1524b2f96b0efd" hidden="1">#REF!</definedName>
    <definedName name="MLNK931ada81d5e14682a22519de3a1c3814" hidden="1">#REF!</definedName>
    <definedName name="MLNK9345a567a3bf4c0b9f86177bd2d75271" hidden="1">#REF!</definedName>
    <definedName name="MLNK935339d4ac524564b97af65f9a80c75b" hidden="1">#REF!</definedName>
    <definedName name="MLNK936d3bc27d9c4e9e91d566d1f8df6d3b" hidden="1">#REF!</definedName>
    <definedName name="MLNK9373c201fc874efd9a1cb6673dae1a5d" hidden="1">#REF!</definedName>
    <definedName name="MLNK93a6b4cbf6b64733bce6c55ea49a34a4" hidden="1">#REF!</definedName>
    <definedName name="MLNK93dc54b8a75d41609138168388503de4" hidden="1">#REF!</definedName>
    <definedName name="MLNK93e5daee684d41bcb8fcce607e193642" hidden="1">#REF!</definedName>
    <definedName name="MLNK93efc9b05acc4e65ba52a3a8e903e6ca" hidden="1">#REF!</definedName>
    <definedName name="MLNK94310670c6d2415c829c955b74e492b7" hidden="1">#REF!</definedName>
    <definedName name="MLNK94328738fd3c4600af18be2154210e21" hidden="1">#REF!</definedName>
    <definedName name="MLNK945d6f39e1f24984b04097fbaf17eeea" hidden="1">#REF!</definedName>
    <definedName name="MLNK94b55fba97ec4630a7caaf0fae7c13fc" hidden="1">#REF!</definedName>
    <definedName name="MLNK94c72ece7a1f4a7ebecf1f9109589a25" hidden="1">#REF!</definedName>
    <definedName name="MLNK94c8f34044884100bcf948b78a560f70" hidden="1">#REF!</definedName>
    <definedName name="MLNK95932116894047fbb7ba2ac12a3c06e3" hidden="1">#REF!</definedName>
    <definedName name="MLNK95cbac09c2c54a92a067bf01cebec7fa" hidden="1">#REF!</definedName>
    <definedName name="MLNK9637ccf249e443078a50f7c2eb385852" hidden="1">#REF!</definedName>
    <definedName name="MLNK966e51b421e543fa85b22020f4b131f7" hidden="1">#REF!</definedName>
    <definedName name="MLNK9682ca475ff54cbfb2f968b54a63e991" hidden="1">#REF!</definedName>
    <definedName name="MLNK970f77a437ad4eba93f82bc0a2c68793" hidden="1">#REF!</definedName>
    <definedName name="MLNK97272fb83d9a4d15ab6e0d44b4c2c8f5" hidden="1">#REF!</definedName>
    <definedName name="MLNK97df538a2fdf490296fd305add5f1023" hidden="1">#REF!</definedName>
    <definedName name="MLNK97e64800be9a4f7e916bf03b564bb072" hidden="1">#REF!</definedName>
    <definedName name="MLNK989f57e8510f47dbaa3cc373df919c03" hidden="1">#REF!</definedName>
    <definedName name="MLNK98a6c15f962b4187b171c0206fa504c1" hidden="1">#REF!</definedName>
    <definedName name="MLNK98db6856c4d2485bb082192eb338e7ec" hidden="1">#REF!</definedName>
    <definedName name="MLNK98f7f2b7a3444132ab2e3711160705fd" hidden="1">#REF!</definedName>
    <definedName name="MLNK99884a61cb7c464b8eb2f906689e119c" hidden="1">#REF!</definedName>
    <definedName name="MLNK99a873284b354cc99f3774743c4cbac9" hidden="1">#REF!</definedName>
    <definedName name="MLNK99b9d957895544fda8e9670506643b77" hidden="1">#REF!</definedName>
    <definedName name="MLNK99bfb5c3951b44f481d1626f7cba5805" hidden="1">#REF!</definedName>
    <definedName name="MLNK99de40bd629144c7ba32aae377c57f70" hidden="1">#REF!</definedName>
    <definedName name="MLNK9a4f673c06ec41419cc6dcbbb88e0dea" hidden="1">#REF!</definedName>
    <definedName name="MLNK9ab5b092e0124e1fb5be58e7bfd4270d" hidden="1">#REF!</definedName>
    <definedName name="MLNK9b2728c6c65a4ed1bdce5cd1b8f5f78f" hidden="1">#REF!</definedName>
    <definedName name="MLNK9b41319e0b864c8e96fa51ea09d8f5dc" hidden="1">#REF!</definedName>
    <definedName name="MLNK9b602bb3a148468d93703438712d1977" hidden="1">#REF!</definedName>
    <definedName name="MLNK9bf4240de0604471b0871b323169dcca" hidden="1">#REF!</definedName>
    <definedName name="MLNK9bf7c40dc1ea40a1b552234224cb0d1b" hidden="1">#REF!</definedName>
    <definedName name="MLNK9cc9ec6cfadc402784ccfed2781546e1" hidden="1">#REF!</definedName>
    <definedName name="MLNK9d5456df45ea4a2d97ff84c61b665b12" hidden="1">#REF!</definedName>
    <definedName name="MLNK9d772ca29969447bb894388d70fa9a5f" hidden="1">#REF!</definedName>
    <definedName name="MLNK9de036e8882b498dbe33869f5e40398b" hidden="1">#REF!</definedName>
    <definedName name="MLNK9de5e20a27e5484e8caf6c4a9f1e8125" hidden="1">#REF!</definedName>
    <definedName name="MLNK9de94afa6cb64d6d82d505cd22d199e8" hidden="1">#REF!</definedName>
    <definedName name="MLNK9df90ae49f6a429a93387ed77e0be2b2" hidden="1">#REF!</definedName>
    <definedName name="MLNK9e19c8d3111642829419adbd0d8a5b18" hidden="1">#REF!</definedName>
    <definedName name="MLNK9e49aa41542f4b3c85f3ee6589fc1063" hidden="1">#REF!</definedName>
    <definedName name="MLNK9e7f8dc99eff4dbd87d347cb01f0c5da" hidden="1">#REF!</definedName>
    <definedName name="MLNK9ebe236e0bfa4b38a43cb0df73b9ee8f" hidden="1">#REF!</definedName>
    <definedName name="MLNK9ec928e25a7346ee9e4798135a8b5762" hidden="1">#REF!</definedName>
    <definedName name="MLNK9f020ac1a5274c5d9ef891b85fdf676a" hidden="1">#REF!</definedName>
    <definedName name="MLNK9f2762af21cb4bddb176751640ceebfe" hidden="1">'II. Attribution Summary'!$B$5:$H$20</definedName>
    <definedName name="MLNK9f2cc9d5eedf40d9be4150e48c60c1dd" hidden="1">#REF!</definedName>
    <definedName name="MLNK9f5e9f25b1b94a1c81bdc28b15d167c0" hidden="1">#REF!</definedName>
    <definedName name="MLNK9f725d2247114d82b0a748016fb73ccf" hidden="1">#REF!</definedName>
    <definedName name="MLNK9f9c1ebd4e6a4e589df75a77d68c31d2" hidden="1">#REF!</definedName>
    <definedName name="MLNK9fa7fdd6b58347fc9b2a237257153f2f" hidden="1">#REF!</definedName>
    <definedName name="MLNK9fb16ef3f8724c15939d445b614c75a4" hidden="1">#REF!</definedName>
    <definedName name="MLNK9fb8406726c54571934f80236f646acb" hidden="1">#REF!</definedName>
    <definedName name="MLNKa0e1c73a782b4e988b284826c372ba12" hidden="1">#REF!</definedName>
    <definedName name="MLNKa117dc0d16c24ef4bc030284d2153e7a" hidden="1">#REF!</definedName>
    <definedName name="MLNKa16884e8fb5f45d2a0a160ca8a46e3b9" hidden="1">#REF!</definedName>
    <definedName name="MLNKa17b9728e1df4c528069f48e91263d0c" hidden="1">#REF!</definedName>
    <definedName name="MLNKa18110aa36d84ef6948a9cc0e38dc468" hidden="1">#REF!</definedName>
    <definedName name="MLNKa19683994634422fb5b8f4ea6112e3d3" hidden="1">#REF!</definedName>
    <definedName name="MLNKa1b5fc7caf74424b8bbf75e731066ab0" hidden="1">#REF!</definedName>
    <definedName name="MLNKa25cae9dc8c74628915f296fa982e1fb" hidden="1">#REF!</definedName>
    <definedName name="MLNKa25dac6dae19404dabf4485a3b9d91d0" hidden="1">#REF!</definedName>
    <definedName name="MLNKa2c1fb78a2914539b4823238e6e8f523" hidden="1">#REF!</definedName>
    <definedName name="MLNKa33f5b922c52401198b5e559799f8eef" hidden="1">#REF!</definedName>
    <definedName name="MLNKa3757b762c2e45c2b706f345388b4016" hidden="1">#REF!</definedName>
    <definedName name="MLNKa45576fee98240168d709e07360f099b" hidden="1">#REF!</definedName>
    <definedName name="MLNKa4a3bb217ffb407d831632a03d1537c6" hidden="1">#REF!</definedName>
    <definedName name="MLNKa4bfc61416724e8488baa1e1bf692f7c" hidden="1">#REF!</definedName>
    <definedName name="MLNKa4e5105d657d4972a79e03058f83813b" hidden="1">#REF!</definedName>
    <definedName name="MLNKa53b01afe9d84156971b84c816278a45" hidden="1">#REF!</definedName>
    <definedName name="MLNKa5ec9fd3c1204d3ab4000afcd26c7311" hidden="1">#REF!</definedName>
    <definedName name="MLNKa656af2eb98d41f8b623b0adad01435c" hidden="1">#REF!</definedName>
    <definedName name="MLNKa673c0a3d6bb45a7a16c3391a9561fb9" hidden="1">#REF!</definedName>
    <definedName name="MLNKa6ae049d8b9c49eaa8e69518f6bae458" hidden="1">#REF!</definedName>
    <definedName name="MLNKa6dd1b101c6a4ddb975ed96014483413" hidden="1">#REF!</definedName>
    <definedName name="MLNKa6fb886c6532415487930914f9a76842" hidden="1">#REF!</definedName>
    <definedName name="MLNKa7219183ccd0431194753052ff289c50" hidden="1">#REF!</definedName>
    <definedName name="MLNKa7379d2dd0484806ada1cae1032f59aa" hidden="1">#REF!</definedName>
    <definedName name="MLNKa76777c1fd664175a68de0c9bd407f60" hidden="1">#REF!</definedName>
    <definedName name="MLNKa77db0f4971f4e9fadc9a15aca25114d" hidden="1">#REF!</definedName>
    <definedName name="MLNKa7817aa319db4731a9e2c933aca0719c" hidden="1">#REF!</definedName>
    <definedName name="MLNKa79f5b516b0c4aeda36380d76754f2e0" hidden="1">#REF!</definedName>
    <definedName name="MLNKa7a3d6f9d11a4a809ee5ff79e0c8ad5c" hidden="1">#REF!</definedName>
    <definedName name="MLNKa7b98c7307644bba8c90bc9645775b57" hidden="1">#REF!</definedName>
    <definedName name="MLNKa7cbd9564e6a4d41a87053734022f2d1" hidden="1">#REF!</definedName>
    <definedName name="MLNKa809189b6c7e4fa2b3ae96d51831f9ea" hidden="1">#REF!</definedName>
    <definedName name="MLNKa82355c2dc8a40d18ae14c0e7773cd80" hidden="1">#REF!</definedName>
    <definedName name="MLNKa82dec760367413abef062bc8720b820" hidden="1">#REF!</definedName>
    <definedName name="MLNKa880b52119f24168b7a1e28ca812d64f" hidden="1">#REF!</definedName>
    <definedName name="MLNKa89b4ee9c2de4f7eaf93310b35832ee5" hidden="1">#REF!</definedName>
    <definedName name="MLNKa8b293b93f654bd187a9e3ddd2b53ab3" hidden="1">#REF!</definedName>
    <definedName name="MLNKa8c37bf10f834510876329f05782f34d" hidden="1">#REF!</definedName>
    <definedName name="MLNKa8f3d4c184744dae8769be0444935a46" hidden="1">#REF!</definedName>
    <definedName name="MLNKa95e6c6ba069403f8a62b2744d732b98" hidden="1">#REF!</definedName>
    <definedName name="MLNKa9794711f38949aa948bde62ec7bc634" hidden="1">#REF!</definedName>
    <definedName name="MLNKa97d26cd09d849ab9bdeca389fa24805" hidden="1">#REF!</definedName>
    <definedName name="MLNKa99d23553c9945fdac7282c4bcddb259" hidden="1">#REF!</definedName>
    <definedName name="MLNKa9c6a2eac37843b79a417978ef62ae8e" hidden="1">#REF!</definedName>
    <definedName name="MLNKa9dacf3b84954d858cb79e60187c0379" hidden="1">#REF!</definedName>
    <definedName name="MLNKaa5c2fdc8f1d49cf8ff90275219dd9bb" hidden="1">#REF!</definedName>
    <definedName name="MLNKaa67f20dd8a94b71ac72a5a448c66d86" hidden="1">#REF!</definedName>
    <definedName name="MLNKaa74c66e7c434db5af69edf87207fc75" hidden="1">#REF!</definedName>
    <definedName name="MLNKaac54f9086364e06b9f0e92e608e48e7" hidden="1">#REF!</definedName>
    <definedName name="MLNKab02c2991b6b431a8d270be0189e9571" hidden="1">#REF!</definedName>
    <definedName name="MLNKab08adf1a1274a4696b4712b8acce079" hidden="1">#REF!</definedName>
    <definedName name="MLNKabaeabebce454dbca8b71cbff7d1cff9" hidden="1">#REF!</definedName>
    <definedName name="MLNKabd116d5eb4e4f30891777cbe2c1269d" hidden="1">#REF!</definedName>
    <definedName name="MLNKac086cabe5fa4e69ba8eb0262dea9354" hidden="1">#REF!</definedName>
    <definedName name="MLNKac1a14571d9b4a148bd3859b6b0e020b" hidden="1">#REF!</definedName>
    <definedName name="MLNKac312bb407d440dbbb97222f7388dabc" hidden="1">#REF!</definedName>
    <definedName name="MLNKac42ad8b02784fb2b0c9f96bd99bb08a" hidden="1">#REF!</definedName>
    <definedName name="MLNKac5f4b1d989d4b56818962099fe7afb2" hidden="1">#REF!</definedName>
    <definedName name="MLNKac716c0503d44271adc268c475933c7b" hidden="1">#REF!</definedName>
    <definedName name="MLNKacc1cf085d6a4867ad74b38c132c6894" hidden="1">#REF!</definedName>
    <definedName name="MLNKad14749d5f984baa9b7886bdde649cf3" hidden="1">#REF!</definedName>
    <definedName name="MLNKadac72d252524717ae096004ff1f7a24" hidden="1">#REF!</definedName>
    <definedName name="MLNKae2bd731278143659ca73b7e3c820374" hidden="1">#REF!</definedName>
    <definedName name="MLNKae41783982f24be194658702fb8f0cac" hidden="1">#REF!</definedName>
    <definedName name="MLNKaea5c256d3804e37a62ac031b17c2a94" hidden="1">#REF!</definedName>
    <definedName name="MLNKaf0cbd3c6eb94c84b3215a78955725ce" hidden="1">#REF!</definedName>
    <definedName name="MLNKaf0dac759b4745cb803ecfc7dac9891a" hidden="1">#REF!</definedName>
    <definedName name="MLNKaf147c40d8394d2ab23b5751d90c86c5" hidden="1">#REF!</definedName>
    <definedName name="MLNKaf4053b80ea64fcf8f78ae61be88485c" hidden="1">#REF!</definedName>
    <definedName name="MLNKaf626229050142c985bfa4f75083b541" hidden="1">#REF!</definedName>
    <definedName name="MLNKaf64d7a53ca34796b30f55a715bb0be0" hidden="1">#REF!</definedName>
    <definedName name="MLNKafa1320afb9a46daa9a610fc04863ebd" hidden="1">#REF!</definedName>
    <definedName name="MLNKafddd8d8e0da494eb5e80f923f68e3d7" hidden="1">#REF!</definedName>
    <definedName name="MLNKafefbe6104aa47c6b2421ad86fe83664" hidden="1">#REF!</definedName>
    <definedName name="MLNKb016ba4ea42f4ab9a46441c8afd6fd0b" hidden="1">#REF!</definedName>
    <definedName name="MLNKb026e7e791854d31b7bb7758362b4c54" hidden="1">#REF!</definedName>
    <definedName name="MLNKb02de38dd13d495d8a2f90addc300534" hidden="1">#REF!</definedName>
    <definedName name="MLNKb0a22b8da9e349b0a219bcb103ca5e26" hidden="1">#REF!</definedName>
    <definedName name="MLNKb0b7baf2c9da4ebb925fcd533e96f887" hidden="1">#REF!</definedName>
    <definedName name="MLNKb14798519cfb416ba703507ddbf71d07" hidden="1">#REF!</definedName>
    <definedName name="MLNKb1f4aa7639a64f0bb4faf48bcfffa77e" hidden="1">#REF!</definedName>
    <definedName name="MLNKb1f744c776484ca18efc7c1044adf418" hidden="1">#REF!</definedName>
    <definedName name="MLNKb210f6399051471c85a0b1d471ae6b4a" hidden="1">#REF!</definedName>
    <definedName name="MLNKb261eaaffa0c4dce86de3c724754f93e" hidden="1">#REF!</definedName>
    <definedName name="MLNKb277a11827bb4cd4ba5526b2f9840a44" hidden="1">#REF!</definedName>
    <definedName name="MLNKb2901e1f50a84f918b6ead78ee99678a" hidden="1">#REF!</definedName>
    <definedName name="MLNKb29e0fcf93894e6f8bec10d6d37c13a0" hidden="1">#REF!</definedName>
    <definedName name="MLNKb2a351d967304760884468cb0fe785c1" hidden="1">#REF!</definedName>
    <definedName name="MLNKb2b99e6a58ac4865b2554ef3d1971577" hidden="1">#REF!</definedName>
    <definedName name="MLNKb2c15ca540cc43de87cb92d3c45b905e" hidden="1">#REF!</definedName>
    <definedName name="MLNKb2e67786ce8c46e8bb7037cef548e34c" hidden="1">#REF!</definedName>
    <definedName name="MLNKb30365b9692843388d1fd11a48afb7de" hidden="1">#REF!</definedName>
    <definedName name="MLNKb34eced05fc4474da889379a0eeab0c8" hidden="1">#REF!</definedName>
    <definedName name="MLNKb359d3fb47314fe2954621c0d9a0460e" hidden="1">#REF!</definedName>
    <definedName name="MLNKb394646e412b46e4bd36ca82f51a7ef4" hidden="1">#REF!</definedName>
    <definedName name="MLNKb3e9e939720a489d89545e7d7d680f08" hidden="1">#REF!</definedName>
    <definedName name="MLNKb443b133892445138634845abdcc3e84" hidden="1">#REF!</definedName>
    <definedName name="MLNKb4bc7e3573744fbd9426e78684dcc3ab" hidden="1">#REF!</definedName>
    <definedName name="MLNKb4dd3fcc101940d492434368874f4bb3" hidden="1">#REF!</definedName>
    <definedName name="MLNKb4fefb641131421ebfc67aca9dcd48b0" hidden="1">#REF!</definedName>
    <definedName name="MLNKb5282d98527f4904ba52287e9cb5399b" hidden="1">#REF!</definedName>
    <definedName name="MLNKb56d95f79c694ba18d515de86ff406ad" hidden="1">#REF!</definedName>
    <definedName name="MLNKb5c891d151b145b786e0f50677531611" hidden="1">#REF!</definedName>
    <definedName name="MLNKb60c585591ff435499adcbcedc787ee9" hidden="1">#REF!</definedName>
    <definedName name="MLNKb62f70a233c04d8ab7ba5cbf108488fc" hidden="1">#REF!</definedName>
    <definedName name="MLNKb6556ccd10c3418db2c4901ebf5ff5fe" hidden="1">#REF!</definedName>
    <definedName name="MLNKb6713b1b149a4c879d681efbc82fb638" hidden="1">#REF!</definedName>
    <definedName name="MLNKb6e9ea0573d54364b197d79fbac7c402" hidden="1">#REF!</definedName>
    <definedName name="MLNKb70e0287e1c84373ae29e8b329df47f8" hidden="1">#REF!</definedName>
    <definedName name="MLNKb721f99c3bd5494da0bbba9b39253294" hidden="1">#REF!</definedName>
    <definedName name="MLNKb7a2ed4b67ce44b4bab411afb5e42649" hidden="1">#REF!</definedName>
    <definedName name="MLNKb7d31e1e2081409396b6285609a8a1c5" hidden="1">#REF!</definedName>
    <definedName name="MLNKb80123ad714847a49302cb5808ce1193" hidden="1">#REF!</definedName>
    <definedName name="MLNKb858ba554cba45c2b1e6497959577cb6" hidden="1">#REF!</definedName>
    <definedName name="MLNKb8722e61aedf45c099f26b49822127bb" hidden="1">#REF!</definedName>
    <definedName name="MLNKb8793bbdc4cd4502a30b4e9de8fa112e" hidden="1">#REF!</definedName>
    <definedName name="MLNKb9256d417c6c4e1385e06c667fe8b931" hidden="1">#REF!</definedName>
    <definedName name="MLNKb962f77597134701a87ab3689de2ade2" hidden="1">#REF!</definedName>
    <definedName name="MLNKb96c898e66e64db6be18f3516577e540" hidden="1">#REF!</definedName>
    <definedName name="MLNKb9d8b3738506449f8b18eddc44e701a7" hidden="1">#REF!</definedName>
    <definedName name="MLNKb9dc16a2f02e4193b0c9daf0b4dc531d" hidden="1">#REF!</definedName>
    <definedName name="MLNKba58d7acb80a45f3840363bd2a9cf564" hidden="1">#REF!</definedName>
    <definedName name="MLNKbac738279cee41aea131d98d02bb4919" hidden="1">#REF!</definedName>
    <definedName name="MLNKbb02b748687641bc809fdb4b8b3361a4" hidden="1">#REF!</definedName>
    <definedName name="MLNKbb0818788be947d5849c08d5af71dccc" hidden="1">#REF!</definedName>
    <definedName name="MLNKbb5357eb56b4420ea6d73a7234b157c0" hidden="1">#REF!</definedName>
    <definedName name="MLNKbb6fbd47bf084dbc9553f91d139a05a9" hidden="1">#REF!</definedName>
    <definedName name="MLNKbb86d3d2a0f24dd2bbc238b0e1bc07d0" hidden="1">#REF!</definedName>
    <definedName name="MLNKbb88464955b04e74890527baf9dc3dca" hidden="1">#REF!</definedName>
    <definedName name="MLNKbc061df9fe0246f589d6e8f30e7ba972" hidden="1">#REF!</definedName>
    <definedName name="MLNKbc1fe6c37f4d4ab5bd8ff0e9ab1e3940" hidden="1">#REF!</definedName>
    <definedName name="MLNKbc46897c4edd49a3b339f17c312cec25" hidden="1">#REF!</definedName>
    <definedName name="MLNKbc9384b6216847feb02bc9296c7eedb4" hidden="1">#REF!</definedName>
    <definedName name="MLNKbc972375684f448ea4ab451e8958fea8" hidden="1">#REF!</definedName>
    <definedName name="MLNKbd76be2c1b68486a83af5de8bdbcfe39" hidden="1">#REF!</definedName>
    <definedName name="MLNKbddc92dbcd424513a26fec3a36608c07" hidden="1">#REF!</definedName>
    <definedName name="MLNKbdeb57301d144646ab6218b74785ea4e" hidden="1">#REF!</definedName>
    <definedName name="MLNKbdf0d6ac940b4635a9cad45d4ae0a2cd" hidden="1">#REF!</definedName>
    <definedName name="MLNKbe8a9067fdd943ef81522cfc5fa7313f" hidden="1">#REF!</definedName>
    <definedName name="MLNKbe8c0371e2f4475bbef96d2aed55eff3" hidden="1">#REF!</definedName>
    <definedName name="MLNKbeb2a85a7d5e4ac58ab6701f6b711fbb" hidden="1">#REF!</definedName>
    <definedName name="MLNKbefbd14f401445f6b6822f51bdc13266" hidden="1">#REF!</definedName>
    <definedName name="MLNKbf21327ddbcb442f916bf84b5556d861" hidden="1">#REF!</definedName>
    <definedName name="MLNKbf3a3943d82246bf95c2b9d4a31c3293" hidden="1">#REF!</definedName>
    <definedName name="MLNKbf583d266635420eb7c19219c08883e0" hidden="1">#REF!</definedName>
    <definedName name="MLNKbf7494994f6b4d10ab745a90ae65c079" hidden="1">#REF!</definedName>
    <definedName name="MLNKbf8530991c7842458de3c4951292490e" hidden="1">#REF!</definedName>
    <definedName name="MLNKbf9802cd3cc24b93b0e5cdc8298b13dd" hidden="1">#REF!</definedName>
    <definedName name="MLNKbfc259e67d194e33929daf85cda46659" hidden="1">#REF!</definedName>
    <definedName name="MLNKbfe3b2005f2742068b1031a3e3f8a2c6" hidden="1">#REF!</definedName>
    <definedName name="MLNKbff35fb8eb26465cb4693afd8d8fb756" hidden="1">#REF!</definedName>
    <definedName name="MLNKc02265f4aed844c3ae62791e09b09b4c" hidden="1">#REF!</definedName>
    <definedName name="MLNKc028b05ec1474697ae0f46d24ddade90" hidden="1">#REF!</definedName>
    <definedName name="MLNKc068bc95c85b4cad94c1afcc3efc523e" hidden="1">#REF!</definedName>
    <definedName name="MLNKc06d473cc53e493ba7441c705e9ad9c0" hidden="1">#REF!</definedName>
    <definedName name="MLNKc0c4d37d92a04564baea50424d14fdf5" hidden="1">#REF!</definedName>
    <definedName name="MLNKc0c74393ba7a4aa7aeea817b549967ff" hidden="1">#REF!</definedName>
    <definedName name="MLNKc1293af2908b44d9b422f15938ca8c44" hidden="1">#REF!</definedName>
    <definedName name="MLNKc15800ad3ce64a799cbdf8cb51764dd3" hidden="1">#REF!</definedName>
    <definedName name="MLNKc15a042a1cbc44198e3f9d1f75834286" hidden="1">#REF!</definedName>
    <definedName name="MLNKc162c015d35146d1b78e079093f33a77" hidden="1">#REF!</definedName>
    <definedName name="MLNKc1d5f6f75cbb4c8298db59ea1fc3b41a" hidden="1">#REF!</definedName>
    <definedName name="MLNKc1dc26d0f03a46858e757bd1d4377f75" hidden="1">#REF!</definedName>
    <definedName name="MLNKc2253feafb7f4fffbad2c16fe7a3916b" hidden="1">#REF!</definedName>
    <definedName name="MLNKc26338d459b741348648c7ac47c31ac0" hidden="1">#REF!</definedName>
    <definedName name="MLNKc2efd8ffcaa34e59b60518bbb305fc63" hidden="1">#REF!</definedName>
    <definedName name="MLNKc3c336515a70492995ab6aca70041fcd" hidden="1">#REF!</definedName>
    <definedName name="MLNKc41080187ee240b3a67ecf6f0308555a" hidden="1">#REF!</definedName>
    <definedName name="MLNKc46028cf5e4d492d9dea2018869aaaed" hidden="1">#REF!</definedName>
    <definedName name="MLNKc4793f350dca4664921b6dcbcbf53581" hidden="1">#REF!</definedName>
    <definedName name="MLNKc49aa80d5b814474aab88331745b7c97" hidden="1">#REF!</definedName>
    <definedName name="MLNKc50218c9156a467781e411dbd3d48136" hidden="1">#REF!</definedName>
    <definedName name="MLNKc5130a94ec1244b7a7361d362b309207" hidden="1">#REF!</definedName>
    <definedName name="MLNKc52f5a42071748faace2c1e249d2015f" hidden="1">#REF!</definedName>
    <definedName name="MLNKc5917d86d84245a19e71228e902d9570" hidden="1">#REF!</definedName>
    <definedName name="MLNKc59c2c879bb947b281e7464f5d9cc03a" hidden="1">#REF!</definedName>
    <definedName name="MLNKc5a2959bebff4f91b09362097725d98e" hidden="1">#REF!</definedName>
    <definedName name="MLNKc5a7812eb2af4fadb44bbda7b9929a72" hidden="1">#REF!</definedName>
    <definedName name="MLNKc5e456f02ef14641ab6d200a8799727b" hidden="1">#REF!</definedName>
    <definedName name="MLNKc63f950ad18249aa861fef09073db1d6" hidden="1">#REF!</definedName>
    <definedName name="MLNKc659f995effe4b579c38ff91fa57e987" hidden="1">#REF!</definedName>
    <definedName name="MLNKc6a3adf58cc34cca8ac50a6e121510b0" hidden="1">#REF!</definedName>
    <definedName name="MLNKc6aefbd14cfb45458e4c047f71737189" hidden="1">#REF!</definedName>
    <definedName name="MLNKc704294fb3b1488bb0ba0585a590b398" hidden="1">#REF!</definedName>
    <definedName name="MLNKc74e60fbf854453db17e8684ea5bce66" hidden="1">#REF!</definedName>
    <definedName name="MLNKc78948282baa424d84a9383779c84fd8" hidden="1">#REF!</definedName>
    <definedName name="MLNKc7bd4a1a060f4aaa8c20cc94cfe1d136" hidden="1">#REF!</definedName>
    <definedName name="MLNKc7cf56759fe7450b8fae1f2e22385088" hidden="1">#REF!</definedName>
    <definedName name="MLNKc7f38e5cfeaf42f9988e20e95383f2db" hidden="1">#REF!</definedName>
    <definedName name="MLNKc8303a74a6da4384a3461c33aa32d167" hidden="1">#REF!</definedName>
    <definedName name="MLNKc84748cc10dd4256933f02e2c927b5a9" hidden="1">#REF!</definedName>
    <definedName name="MLNKc8b6fbc053ad4a09b0fc6be79636d8a0" hidden="1">#REF!</definedName>
    <definedName name="MLNKc8b73752472f48b2bccfdaba1c6b6f7b" hidden="1">#REF!</definedName>
    <definedName name="MLNKc8c13711c8f146a2bed6a2a829026a3a" hidden="1">#REF!</definedName>
    <definedName name="MLNKc96440fe196b463188ebf018d89175e5" hidden="1">#REF!</definedName>
    <definedName name="MLNKc9c57b72996149a49a1298c36e44b823" hidden="1">#REF!</definedName>
    <definedName name="MLNKca1a1b8dbfbd452ba55a0e395ea793b3" hidden="1">#REF!</definedName>
    <definedName name="MLNKca6ff9cfcc2342938b8d0d06d521994a" hidden="1">#REF!</definedName>
    <definedName name="MLNKca9483f47aa24b93a01c0247a19983f1" hidden="1">#REF!</definedName>
    <definedName name="MLNKcb6504988142428b9321b1171667d1b6" hidden="1">#REF!</definedName>
    <definedName name="MLNKcbc35652dd604c5399c23d2cf3fc6c75" hidden="1">#REF!</definedName>
    <definedName name="MLNKcbd71f619082476689d69b3dbeedeac6" hidden="1">#REF!</definedName>
    <definedName name="MLNKcbef1b6aba174d3d8d2a156f2bc0bb7a" hidden="1">#REF!</definedName>
    <definedName name="MLNKcc72a4973dcc430e98fda17b11fce969" hidden="1">#REF!</definedName>
    <definedName name="MLNKcc96c218311c4662b164636e42f56ff7" hidden="1">#REF!</definedName>
    <definedName name="MLNKccfdce20570e4e79814e7f1193be9a80" hidden="1">#REF!</definedName>
    <definedName name="MLNKcd99621c65174ed2ada3f53847230fd8" hidden="1">#REF!</definedName>
    <definedName name="MLNKcdb7df57995c48968b72a48a62e8fda5" hidden="1">#REF!</definedName>
    <definedName name="MLNKce77c2f032d04ee79c255f6e39b36c47" hidden="1">#REF!</definedName>
    <definedName name="MLNKcec893d18ba74351a83a8b40b0d5efd9" hidden="1">#REF!</definedName>
    <definedName name="MLNKceee71bebd05435ba38663e3f636b7bb" hidden="1">#REF!</definedName>
    <definedName name="MLNKcfda49d4838e4081a1e44ac95a0dc186" hidden="1">#REF!</definedName>
    <definedName name="MLNKcffe7ff91f8047d7a7cdf3ca51ff1bbf" hidden="1">#REF!</definedName>
    <definedName name="MLNKd0545dd1a5434d3f9970307092995492" hidden="1">#REF!</definedName>
    <definedName name="MLNKd0acfc2eb6a54c42914a931ced4f1d48" hidden="1">#REF!</definedName>
    <definedName name="MLNKd0fe1099bbf4459088b43f18d16a11f1" hidden="1">#REF!</definedName>
    <definedName name="MLNKd1a73aa7a5624f9e8a8c5ab9b419c185" hidden="1">#REF!</definedName>
    <definedName name="MLNKd1b79e4e7aef43368318ed1e172c8dbd" hidden="1">#REF!</definedName>
    <definedName name="MLNKd1bfe69c1e284d6fba0c9353cc855643" hidden="1">#REF!</definedName>
    <definedName name="MLNKd1c69d0883884061b336aab57325eb3d" hidden="1">#REF!</definedName>
    <definedName name="MLNKd1e91ca61c1d4db08628df8a82893192" hidden="1">#REF!</definedName>
    <definedName name="MLNKd1eb0891b31448f6a2a42787308f57d0" hidden="1">#REF!</definedName>
    <definedName name="MLNKd25edf542942433c8b7b8a7ffaa24bec" hidden="1">#REF!</definedName>
    <definedName name="MLNKd30907edbba3423cb347492441fee011" hidden="1">#REF!</definedName>
    <definedName name="MLNKd36364ccf3554d17be4e90cf90af8fff" hidden="1">#REF!</definedName>
    <definedName name="MLNKd39ac37ab737442ca2d9b1b6321f0bc6" hidden="1">#REF!</definedName>
    <definedName name="MLNKd3dc24d4ddd940eea846c20a184293ad" hidden="1">#REF!</definedName>
    <definedName name="MLNKd4318cd5f5444700b610edf92c08ff61" hidden="1">#REF!</definedName>
    <definedName name="MLNKd4a131a086eb4e34a82a03221c7ee0cd" hidden="1">#REF!</definedName>
    <definedName name="MLNKd4caca0d68e14854ba184d3cb6571648" hidden="1">#REF!</definedName>
    <definedName name="MLNKd4da8cf3a71e4aa5ae3faf4df95402c0" hidden="1">#REF!</definedName>
    <definedName name="MLNKd4ece25b0836456690f432756db42070" hidden="1">#REF!</definedName>
    <definedName name="MLNKd4ee53c7dd364f0285ddf36588313749" hidden="1">#REF!</definedName>
    <definedName name="MLNKd5331428b6a8460799e1af1965ef25b1" hidden="1">#REF!</definedName>
    <definedName name="MLNKd5dcff4e626442cca81691cce7c3df31" hidden="1">#REF!</definedName>
    <definedName name="MLNKd6ad96b7f16647ecbf8b5eb4cb525e9a" hidden="1">#REF!</definedName>
    <definedName name="MLNKd6b82239b64548989b79a51dc8935db6" hidden="1">#REF!</definedName>
    <definedName name="MLNKd73ad899cda541a8982e3f2d5aa1956e" hidden="1">#REF!</definedName>
    <definedName name="MLNKd8d24d9706354d54a8737ff792d1c649" hidden="1">#REF!</definedName>
    <definedName name="MLNKd8e056c4de3e4a3b863d5b0fe931d713" hidden="1">#REF!</definedName>
    <definedName name="MLNKd8f4c3b0fd084f6ba73e89ad0a9afd0a" hidden="1">#REF!</definedName>
    <definedName name="MLNKd98a6631865c40838e2bd40a4ed891f0" hidden="1">#REF!</definedName>
    <definedName name="MLNKda1152c4cc0c422f84e177462720e4e9" hidden="1">#REF!</definedName>
    <definedName name="MLNKdad976f7fd5f4e2b8d5894157ebede88" hidden="1">#REF!</definedName>
    <definedName name="MLNKdaf6c5baad5440ac9bc69ff1570d9d9a" hidden="1">#REF!</definedName>
    <definedName name="MLNKdb299d51f2f34ecb8bd62f12bf0a4b9f" hidden="1">#REF!</definedName>
    <definedName name="MLNKdb3202f698c541ba9ac5aaafa0a40b7c" hidden="1">#REF!</definedName>
    <definedName name="MLNKdb682b6a3d82445cac4ef9141ab8b3eb" hidden="1">#REF!</definedName>
    <definedName name="MLNKdb820b3d009f40ce8e422db2741d580f" hidden="1">#REF!</definedName>
    <definedName name="MLNKdb864bfe86424f5e87f6b1bb724e6820" hidden="1">#REF!</definedName>
    <definedName name="MLNKdbcdd2701ff140beb988f8d81263cfb6" hidden="1">#REF!</definedName>
    <definedName name="MLNKdbf5ffa69fb145d38b68f2930b8783c8" hidden="1">#REF!</definedName>
    <definedName name="MLNKdc10587df1364384b7698f37a398df57" hidden="1">#REF!</definedName>
    <definedName name="MLNKdc4c588ea844422d85350eaf38e7d7f4" hidden="1">#REF!</definedName>
    <definedName name="MLNKdc921760362b49f09e4e76d8b6a7b69d" hidden="1">#REF!</definedName>
    <definedName name="MLNKdca86110a7d74aafb81444faffbea7dc" hidden="1">#REF!</definedName>
    <definedName name="MLNKdcc1ef51c49e470a9212dd480f00d5c5" hidden="1">#REF!</definedName>
    <definedName name="MLNKdce35bbf22604ffa92e90dfce593145a" hidden="1">#REF!</definedName>
    <definedName name="MLNKdcfa7180c18943a0898fa020b54f44e5" hidden="1">#REF!</definedName>
    <definedName name="MLNKdd16275dc64b4808b13920b3578e8113" hidden="1">#REF!</definedName>
    <definedName name="MLNKdd2f530a9a264852b24622a11e3f1b7d" hidden="1">#REF!</definedName>
    <definedName name="MLNKdd36a7854d414eb6b4c775afa248a0ac" hidden="1">#REF!</definedName>
    <definedName name="MLNKdd6d5e906e544999adafc1c995f9de12" hidden="1">#REF!</definedName>
    <definedName name="MLNKdd80ddbbaa7c428dbef178217ed5c495" hidden="1">#REF!</definedName>
    <definedName name="MLNKde8006bacfc346d6b4df8727d916822c" hidden="1">#REF!</definedName>
    <definedName name="MLNKded61ea6701f47b787ab31230f494da4" hidden="1">#REF!</definedName>
    <definedName name="MLNKdeefa2bfaa414bce9e904db535a538f9" hidden="1">'V. Comparables'!$B$8:$R$56</definedName>
    <definedName name="MLNKdf07d88462fd4bfd9dc7f95442e82542" hidden="1">#REF!</definedName>
    <definedName name="MLNKdf2238e63cba47398e2681a8c2bfaa54" hidden="1">#REF!</definedName>
    <definedName name="MLNKdf654a64333a494fa6e088e037163da8" hidden="1">#REF!</definedName>
    <definedName name="MLNKdfa802fe092a4977907fea92b409c1e1" hidden="1">#REF!</definedName>
    <definedName name="MLNKdfb4ba7c52e647f4a074b2c2f375cbcc" hidden="1">#REF!</definedName>
    <definedName name="MLNKe04bf971879347c7982b1173e2d29a2a" hidden="1">#REF!</definedName>
    <definedName name="MLNKe090e26510014cdeb8e67a5d5a96ba13" hidden="1">#REF!</definedName>
    <definedName name="MLNKe09293ca8bf645f5ac49304a5e99835a" hidden="1">#REF!</definedName>
    <definedName name="MLNKe097181bd7e94b59b0bf560b50f4a59a" hidden="1">#REF!</definedName>
    <definedName name="MLNKe0c53436419d42a685619d07b8f478b9" hidden="1">#REF!</definedName>
    <definedName name="MLNKe0e0cfd6df4745e9ad359e10947fe8c7" hidden="1">#REF!</definedName>
    <definedName name="MLNKe0eeb9a76c784235a587a54c6d6bf77f" hidden="1">#REF!</definedName>
    <definedName name="MLNKe11e2d59fb984a0ba22671c02a2fa156" hidden="1">#REF!</definedName>
    <definedName name="MLNKe1645ce7b3f14a81835ab110636a0d5e" hidden="1">#REF!</definedName>
    <definedName name="MLNKe1896678be7e490ca4a3a6a4e8b66469" hidden="1">#REF!</definedName>
    <definedName name="MLNKe1ac4738cbfe4e66ab2c077b0dc4db99" hidden="1">#REF!</definedName>
    <definedName name="MLNKe1cf75a7a5894c31ab0f4382a0d6f1b5" hidden="1">#REF!</definedName>
    <definedName name="MLNKe1dc33bbbf3240bdbcf7d611be0084b0" hidden="1">#REF!</definedName>
    <definedName name="MLNKe21a8c84c9ff4be8b8cf445853d6fcec" hidden="1">#REF!</definedName>
    <definedName name="MLNKe2a086a7b5c14ff5800311a557761726" hidden="1">#REF!</definedName>
    <definedName name="MLNKe2b28c59c20b4889b245155e6c10512a" hidden="1">#REF!</definedName>
    <definedName name="MLNKe2eb1cfb3a68470b9c8fea946d494a0a" hidden="1">#REF!</definedName>
    <definedName name="MLNKe301b7ee170d422480db09afd5555b9d" hidden="1">#REF!</definedName>
    <definedName name="MLNKe32a5ae092c14a708b0d4aacce87e161" hidden="1">#REF!</definedName>
    <definedName name="MLNKe35ef9b20e8c4b09a97c3424b90a59ab" hidden="1">#REF!</definedName>
    <definedName name="MLNKe3741771fafe452fbc166f1b31abb306" hidden="1">#REF!</definedName>
    <definedName name="MLNKe3aafe139b4c4da5b49582c83a2ca89e" hidden="1">#REF!</definedName>
    <definedName name="MLNKe3e4123999434a0dbf6ee6dd2e2e74c2" hidden="1">#REF!</definedName>
    <definedName name="MLNKe3f36a4ea9db4eb689b19d62c08f43eb" hidden="1">#REF!</definedName>
    <definedName name="MLNKe419df6c3bac4cd5a289cd1919df434c" hidden="1">#REF!</definedName>
    <definedName name="MLNKe46d45e2188d48f4864afc164943f2a4" hidden="1">#REF!</definedName>
    <definedName name="MLNKe4afc91282184093a934ea945b892c20" hidden="1">#REF!</definedName>
    <definedName name="MLNKe58b4f9954594a68919adf5d39ec4f38" hidden="1">#REF!</definedName>
    <definedName name="MLNKe5f7520d114649c68b8a2a9313d7a076" hidden="1">#REF!</definedName>
    <definedName name="MLNKe6017dab58bc41efb29a306689344160" hidden="1">#REF!</definedName>
    <definedName name="MLNKe66072ea21e24018887760cc3bc56187" hidden="1">#REF!</definedName>
    <definedName name="MLNKe67783f9386045fab4a95e47d8eed990" hidden="1">#REF!</definedName>
    <definedName name="MLNKe695c665be334e03b8dbb3226f06b070" hidden="1">#REF!</definedName>
    <definedName name="MLNKe69c7e47ace84fdabba07cd9364eb119" hidden="1">#REF!</definedName>
    <definedName name="MLNKe6acb0e24b0d4721896077e31c09a598" hidden="1">#REF!</definedName>
    <definedName name="MLNKe6d44b7eb7494a3ebb638bf1b41fb3c8" hidden="1">#REF!</definedName>
    <definedName name="MLNKe714491b1f6a4ca1815ea51cdc0d9809" hidden="1">#REF!</definedName>
    <definedName name="MLNKe718831ad10d4537b33e4eb72d3f42c8" hidden="1">#REF!</definedName>
    <definedName name="MLNKe754afffd77a4d84aa91d88468789915" hidden="1">#REF!</definedName>
    <definedName name="MLNKe75b05fb183c4a99b36e3ee9052825c3" hidden="1">#REF!</definedName>
    <definedName name="MLNKe75bfc86c5c340b58c80decac0c459df" hidden="1">#REF!</definedName>
    <definedName name="MLNKe769863fb62b471a91f08c34c6aa0fe8" hidden="1">#REF!</definedName>
    <definedName name="MLNKe7b2e230834f442ab919ab2ecb1d014e" hidden="1">#REF!</definedName>
    <definedName name="MLNKe7d255d2ea4045708a682a35478c4a53" hidden="1">#REF!</definedName>
    <definedName name="MLNKe7f13861e6d2486aaed4a2efd709d77f" hidden="1">#REF!</definedName>
    <definedName name="MLNKe81326c08cbd4af5aca80814f87f4e2d" hidden="1">#REF!</definedName>
    <definedName name="MLNKe81814586d854858aad8987dc9d39618" hidden="1">#REF!</definedName>
    <definedName name="MLNKe8606b21ad0646a883f1e4e117985e38" hidden="1">#REF!</definedName>
    <definedName name="MLNKe87eba5671a54589ba2b3005504069f5" hidden="1">#REF!</definedName>
    <definedName name="MLNKe882e6930c9d4facbc5ea027ed00bd00" hidden="1">#REF!</definedName>
    <definedName name="MLNKe8bbf428f7b741fda970875cb350ca06" hidden="1">#REF!</definedName>
    <definedName name="MLNKe93d21e8b1e9487ab407552124823362" hidden="1">#REF!</definedName>
    <definedName name="MLNKe9691c94eb924535b492835020e075c4" hidden="1">#REF!</definedName>
    <definedName name="MLNKe9c9c3aa2da84cef841b702098ff2c1b" hidden="1">#REF!</definedName>
    <definedName name="MLNKea15f6d358e7409d912b7bd4dea3a161" hidden="1">#REF!</definedName>
    <definedName name="MLNKea75e391dd194d1aa3ca8ad47d767efd" hidden="1">#REF!</definedName>
    <definedName name="MLNKeabbe4aeee6047609b732161a9b667c5" hidden="1">#REF!</definedName>
    <definedName name="MLNKeb416d5891b249bcb35e643344093a57" hidden="1">#REF!</definedName>
    <definedName name="MLNKeb80b5cd4cd44fbba7a7bfb840cd3cdd" hidden="1">#REF!</definedName>
    <definedName name="MLNKeb94e17874554a428430ccc272790bb9" hidden="1">#REF!</definedName>
    <definedName name="MLNKebe9a349e0f9446c99a03332b6951f2f" hidden="1">#REF!</definedName>
    <definedName name="MLNKec2315a17f1e44d4b305b28d5364f8ca" hidden="1">#REF!</definedName>
    <definedName name="MLNKec2e06f2daf8473e9eb2730d329d99f6" hidden="1">#REF!</definedName>
    <definedName name="MLNKec9eca812169465a8fa174402115bbe5" hidden="1">#REF!</definedName>
    <definedName name="MLNKece6d007c0f24cbb975070e5fd99dd6a" hidden="1">#REF!</definedName>
    <definedName name="MLNKed18dbb41b634a2ea88edfc27ac7f977" hidden="1">#REF!</definedName>
    <definedName name="MLNKed63a1a3f60d4cb9a6eea667a88f3bae" hidden="1">#REF!</definedName>
    <definedName name="MLNKed88ef6ad04f47a8afae5d53b67933e0" hidden="1">#REF!</definedName>
    <definedName name="MLNKedad7bc6cf7c48458c71bbdca16f9636" hidden="1">#REF!</definedName>
    <definedName name="MLNKedf41ed864b04234a4ba254b23ff76a3" hidden="1">#REF!</definedName>
    <definedName name="MLNKee3a74249ae848caabbc83e007ef01b0" hidden="1">#REF!</definedName>
    <definedName name="MLNKee560b513f474eb28eac354d60ec6a21" hidden="1">#REF!</definedName>
    <definedName name="MLNKeecdb8d7190e4f8c808622a7226be5e5" hidden="1">#REF!</definedName>
    <definedName name="MLNKef1358c8ef6144f58a770a230439ef3e" hidden="1">#REF!</definedName>
    <definedName name="MLNKef1b927cfe704d81a46a8bc2f477a2fa" hidden="1">#REF!</definedName>
    <definedName name="MLNKef3db0272bf647529f6e7f2390fffd88" hidden="1">#REF!</definedName>
    <definedName name="MLNKef65e7171ed04845a0e5c901f7dbaa01" hidden="1">#REF!</definedName>
    <definedName name="MLNKeffcf5b54c15412f81f36dd9c606a529" hidden="1">#REF!</definedName>
    <definedName name="MLNKf026ec19a29e4e81a40d0f3d93f4b72a" hidden="1">#REF!</definedName>
    <definedName name="MLNKf043457bc28e4f86ad787013e0eaf10f" hidden="1">#REF!</definedName>
    <definedName name="MLNKf05580bcd2874e4ea76da70598d259c5" hidden="1">#REF!</definedName>
    <definedName name="MLNKf092f36ff0f74b25a58d312b2ebc9377" hidden="1">#REF!</definedName>
    <definedName name="MLNKf0bcc9f4176d4a49ab0f9727901687cc" hidden="1">#REF!</definedName>
    <definedName name="MLNKf14b49f683294b4cbdb258986588af23" hidden="1">#REF!</definedName>
    <definedName name="MLNKf187bf23ebf6455abeeb8dcfe68f1a02" hidden="1">#REF!</definedName>
    <definedName name="MLNKf1ce7c1f71ca4b5dbd297a8314c35f0d" hidden="1">#REF!</definedName>
    <definedName name="MLNKf1d741c373f34620ba9db75e559d6492" hidden="1">#REF!</definedName>
    <definedName name="MLNKf1e1e702f443436db370aefe1af4b4af" hidden="1">#REF!</definedName>
    <definedName name="MLNKf1f9642b8d95448c83157665365c64cb" hidden="1">#REF!</definedName>
    <definedName name="MLNKf1fc313dfb8c49c9ad656524cf038dd4" hidden="1">#REF!</definedName>
    <definedName name="MLNKf22d86e83dc74649878809d6d5084ff5" hidden="1">#REF!</definedName>
    <definedName name="MLNKf253c29f66594a42a013a647cc4348d4" hidden="1">#REF!</definedName>
    <definedName name="MLNKf31aad2c3ffa4de3a9ecc2984218c1a2" hidden="1">#REF!</definedName>
    <definedName name="MLNKf34374e0248843038ab5daf7c14052b3" hidden="1">#REF!</definedName>
    <definedName name="MLNKf344c94dee6743acb54f67936df14787" hidden="1">#REF!</definedName>
    <definedName name="MLNKf3ea2223b5ec4d16a60dea61e33ff172" hidden="1">#REF!</definedName>
    <definedName name="MLNKf49077d8fce6408495d3e0d6d993dd80" hidden="1">#REF!</definedName>
    <definedName name="MLNKf4c706ec50fc4f89a88d8e3dd66e6443" hidden="1">#REF!</definedName>
    <definedName name="MLNKf589f5d4860d4c168e084a35ada47455" hidden="1">#REF!</definedName>
    <definedName name="MLNKf5d530e37ea3487f8215dece0e743f02" hidden="1">#REF!</definedName>
    <definedName name="MLNKf62372b10e7546899a27aba86588940f" hidden="1">#REF!</definedName>
    <definedName name="MLNKf655751cc8844c7f812a2493aeecffe0" hidden="1">#REF!</definedName>
    <definedName name="MLNKf65576a79529435e96ea56a9f989a6c1" hidden="1">#REF!</definedName>
    <definedName name="MLNKf66035223f4444779699efe602c3bb34" hidden="1">#REF!</definedName>
    <definedName name="MLNKf6be7ea148f343f7b5092a15eaa08df9" hidden="1">#REF!</definedName>
    <definedName name="MLNKf7ac723cff9943a5988d414dbabff1fa" hidden="1">#REF!</definedName>
    <definedName name="MLNKf7b5854165ea4f1ca3154d614dbd1ec5" hidden="1">#REF!</definedName>
    <definedName name="MLNKf7e8acfd8b604c459d0a277eec871150" hidden="1">#REF!</definedName>
    <definedName name="MLNKf8373b71f8f04deb98bc961f11b3339a" hidden="1">#REF!</definedName>
    <definedName name="MLNKf83b8907730540f7ad62729b856f69cd" hidden="1">#REF!</definedName>
    <definedName name="MLNKf864eed95e984ae99caedb517dee0d9a" hidden="1">#REF!</definedName>
    <definedName name="MLNKf8965499dbe140ae94eaca5543729810" hidden="1">#REF!</definedName>
    <definedName name="MLNKf8e3a1f924af457f9b8e9eb2627b2e2d" hidden="1">#REF!</definedName>
    <definedName name="MLNKf8f37e5ba04b4a2b9dacd71d668832f0" hidden="1">#REF!</definedName>
    <definedName name="MLNKf97dea5cae574753b91c7d04c01a1b4e" hidden="1">#REF!</definedName>
    <definedName name="MLNKfa135e4b2a87433b99cd7a85d3aa7ace" hidden="1">#REF!</definedName>
    <definedName name="MLNKfa3e27c8c53342ceaacbb15388eb3dd1" hidden="1">#REF!</definedName>
    <definedName name="MLNKfa69040b92f44ab7a12d42ec9357499d" hidden="1">#REF!</definedName>
    <definedName name="MLNKfa6c316471364176bcbbefc6830ef829" hidden="1">#REF!</definedName>
    <definedName name="MLNKfaa67a026dd9454f9e7abfa18fd2ea98" hidden="1">#REF!</definedName>
    <definedName name="MLNKfad519013a3047d98d58233a55d1b524" hidden="1">#REF!</definedName>
    <definedName name="MLNKfb30cc3b31544b5faf150bb880655370" hidden="1">#REF!</definedName>
    <definedName name="MLNKfb5a28e2d52642d8ae374a24aa2f515b" hidden="1">#REF!</definedName>
    <definedName name="MLNKfbd34e9c5e9a46d68b7d7c6b4ac63d0c" hidden="1">#REF!</definedName>
    <definedName name="MLNKfc3b92d24c004f3fb5fb80573593aba6" hidden="1">#REF!</definedName>
    <definedName name="MLNKfc5606f237434fc18abf8ce6d3503626" hidden="1">#REF!</definedName>
    <definedName name="MLNKfc65f694760547b99ecbf623bd883e7a" hidden="1">#REF!</definedName>
    <definedName name="MLNKfca07d14109c400d95b9eb8da58225aa" hidden="1">#REF!</definedName>
    <definedName name="MLNKfd0d9b768299437b92b717f7f627c62c" hidden="1">#REF!</definedName>
    <definedName name="MLNKfd23cff0e25d4fe99dc556f422f0ed97" hidden="1">#REF!</definedName>
    <definedName name="MLNKfd5d209ad5e74b14990c5e6a54b9f9db" hidden="1">#REF!</definedName>
    <definedName name="MLNKfd9082fc4c98457d8cbbef8a12aceedc" hidden="1">#REF!</definedName>
    <definedName name="MLNKfebe3ae174e74e728322fa727b235f1f" hidden="1">#REF!</definedName>
    <definedName name="MLNKff4adabb732d44049edfd0fbf054b234" hidden="1">#REF!</definedName>
    <definedName name="MLNKff5ecd00ef6847669fb191968d8809a5" hidden="1">#REF!</definedName>
    <definedName name="MLNKffa830e55d954992a7bc24b31840c35a" hidden="1">#REF!</definedName>
    <definedName name="MLNKffb594f36bc542278515f6018b380411" hidden="1">#REF!</definedName>
    <definedName name="mlw" hidden="1">{#N/A,#N/A,FALSE,"Pharm";#N/A,#N/A,FALSE,"WWCM"}</definedName>
    <definedName name="mmmmm" hidden="1">{#N/A,#N/A,FALSE,"Calc";#N/A,#N/A,FALSE,"Sensitivity";#N/A,#N/A,FALSE,"LT Earn.Dil.";#N/A,#N/A,FALSE,"Dil. AVP"}</definedName>
    <definedName name="mnkj" hidden="1">{#N/A,#N/A,TRUE,"BUD VS ACT AUST 96";#N/A,#N/A,TRUE,"96 COMP P&amp;L-AUST";#N/A,#N/A,TRUE,"COMP BS-AUSTRALIA";#N/A,#N/A,TRUE,"B/S - AUSTR."}</definedName>
    <definedName name="model" hidden="1">{#N/A,#N/A,FALSE,"Rev Grwth";#N/A,#N/A,FALSE,"Op Inc Grwth";#N/A,#N/A,FALSE,"Net Grwth";#N/A,#N/A,FALSE,"EPS Growth"}</definedName>
    <definedName name="model2" hidden="1">{#N/A,#N/A,FALSE,"Rev Grwth";#N/A,#N/A,FALSE,"Op Inc Grwth";#N/A,#N/A,FALSE,"Net Grwth";#N/A,#N/A,FALSE,"EPS Growth"}</definedName>
    <definedName name="Module23.Macro3">#N/A</definedName>
    <definedName name="Module27.homee">#N/A</definedName>
    <definedName name="Month">#REF!</definedName>
    <definedName name="Monthly_Payment">-PMT(Interest_Rate/12,Number_of_Payments,Loan_Amount)</definedName>
    <definedName name="months_per_period">INDEX({12,6,3,2,1,0.5,0.5,0.25},MATCH(#REF!,frequency,0))</definedName>
    <definedName name="MPO" hidden="1">{#N/A,#N/A,TRUE,"BS_A";#N/A,#N/A,TRUE,"BS_L";#N/A,#N/A,TRUE,"PL";#N/A,#N/A,TRUE,"NET";#N/A,#N/A,TRUE,"MAR_2";#N/A,#N/A,TRUE,"MAR";#N/A,#N/A,TRUE,"NII";#N/A,#N/A,TRUE,"NIE";#N/A,#N/A,TRUE,"FS_BS";#N/A,#N/A,TRUE,"FS_PL";#N/A,#N/A,TRUE,"HEA"}</definedName>
    <definedName name="mw" hidden="1">{#N/A,#N/A,FALSE,"Pharm";#N/A,#N/A,FALSE,"WWCM"}</definedName>
    <definedName name="na" hidden="1">"IQ_FY_DATE"</definedName>
    <definedName name="Name">#REF!</definedName>
    <definedName name="nameconf1" hidden="1">{#N/A,#N/A,TRUE,"Sch-1a";#N/A,#N/A,TRUE,"Sch-1b";#N/A,#N/A,TRUE,"Sch-1c";#N/A,#N/A,TRUE,"Sch-1d";#N/A,#N/A,TRUE,"Sch-2a";#N/A,#N/A,TRUE,"Sch-2b";#N/A,#N/A,TRUE,"Sch-2c";#N/A,#N/A,TRUE,"Sch-3a";#N/A,#N/A,TRUE,"Sch-3b";#N/A,#N/A,TRUE,"Sch-3c";#N/A,#N/A,TRUE,"Sch-3d";#N/A,#N/A,TRUE,"Sch-3e"}</definedName>
    <definedName name="naveeds" hidden="1">{"CSheet",#N/A,FALSE,"C";"SmCap",#N/A,FALSE,"VAL1";"GulfCoast",#N/A,FALSE,"VAL1";"nav",#N/A,FALSE,"NAV";"Summary",#N/A,FALSE,"NAV"}</definedName>
    <definedName name="ncas" hidden="1">{"FCB_ALL",#N/A,FALSE,"FCB";"GREY_ALL",#N/A,FALSE,"GREY"}</definedName>
    <definedName name="NCBN"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SUSD">#REF!</definedName>
    <definedName name="NetIncCurr">#REF!</definedName>
    <definedName name="NetIncPrior">#REF!</definedName>
    <definedName name="new" hidden="1">{"SourcesUses",#N/A,TRUE,"CFMODEL";"TransOverview",#N/A,TRUE,"CFMODEL"}</definedName>
    <definedName name="Newco_Tax">#REF!</definedName>
    <definedName name="newdata" hidden="1">{"PAGE 1",#N/A,FALSE,"WEST_OT"}</definedName>
    <definedName name="newdata2" hidden="1">{"PAGE 1",#N/A,FALSE,"WEST_OT"}</definedName>
    <definedName name="NewLoan2014">(#REF!*#REF!*#REF!*#REF!)&gt;0</definedName>
    <definedName name="NewMaster">#REF!</definedName>
    <definedName name="newnewnew" hidden="1">{#N/A,#N/A,FALSE,"Pharm";#N/A,#N/A,FALSE,"WWCM"}</definedName>
    <definedName name="NewRange" hidden="1">#REF!</definedName>
    <definedName name="Newsprint.summary" hidden="1">{#N/A,#N/A,FALSE,"Furnish";#N/A,#N/A,FALSE,"Labor Productivity";#N/A,#N/A,FALSE,"Producer";#N/A,#N/A,FALSE,"PM Productivity";#N/A,#N/A,FALSE,"Regions &amp; Delivered";#N/A,#N/A,FALSE,"Product &amp; Delivered";#N/A,#N/A,FALSE,"Delivered Cost";#N/A,#N/A,FALSE,"Cash Cost"}</definedName>
    <definedName name="NI_Analysis">#N/A</definedName>
    <definedName name="NICHOLE" hidden="1">{#N/A,#N/A,FALSE,"Total";#N/A,#N/A,FALSE,"Sew";#N/A,#N/A,FALSE,"Finish";#N/A,#N/A,FALSE,"CUT";#N/A,#N/A,FALSE,"Mill 5";#N/A,#N/A,FALSE,"Mill 6";#N/A,#N/A,FALSE,"Mill 8";#N/A,#N/A,FALSE,"Mill 9";#N/A,#N/A,FALSE,"Mill 10";#N/A,#N/A,FALSE,"Mill 12";#N/A,#N/A,FALSE,"Mill 15";#N/A,#N/A,FALSE,"Mill 17"}</definedName>
    <definedName name="NMCVM" hidden="1">{#N/A,#N/A,FALSE,"TABLE_1 YTD- VALUES LAST YR(2)"}</definedName>
    <definedName name="nmnmm" hidden="1">{#N/A,#N/A,FALSE,"Index";"Stmts_Qtrs",#N/A,FALSE,"Summary";"Stmts_24 mo",#N/A,FALSE,"Summary";"Summary_24",#N/A,FALSE,"Revenue";"Month_24",#N/A,FALSE,"Engineering";"Month_24",#N/A,FALSE,"Marketing";"Month_24",#N/A,FALSE,"G &amp; A";"Month_24",#N/A,FALSE,"Manufacturing"}</definedName>
    <definedName name="nn" hidden="1">{#N/A,#N/A,FALSE,"Sheet1";#N/A,#N/A,FALSE,"Sheet2";#N/A,#N/A,FALSE,"Sheet3";#N/A,#N/A,FALSE,"Sheet4";#N/A,#N/A,FALSE,"Sheet5";#N/A,#N/A,FALSE,"Sheet6"}</definedName>
    <definedName name="nnn" hidden="1">{#N/A,#N/A,FALSE,"Assessment";#N/A,#N/A,FALSE,"Staffing";#N/A,#N/A,FALSE,"Hires";#N/A,#N/A,FALSE,"Assumptions"}</definedName>
    <definedName name="nnnn" hidden="1">{#N/A,#N/A,FALSE,"Job Sched"}</definedName>
    <definedName name="no" hidden="1">{"'Sheet1'!$A$5:$G$42"}</definedName>
    <definedName name="no_1" hidden="1">{"'Sheet1'!$A$5:$G$42"}</definedName>
    <definedName name="NOBL" hidden="1">{"AQUIRORDCF",#N/A,FALSE,"Merger consequences";"Acquirorassns",#N/A,FALSE,"Merger consequences"}</definedName>
    <definedName name="noidea" hidden="1">{#N/A,#N/A,FALSE,"Calc";#N/A,#N/A,FALSE,"Sensitivity";#N/A,#N/A,FALSE,"LT Earn.Dil.";#N/A,#N/A,FALSE,"Dil. AVP"}</definedName>
    <definedName name="nono" hidden="1">{#N/A,#N/A,FALSE,"Objectives"}</definedName>
    <definedName name="normal" hidden="1">{"arpm1995",#N/A,FALSE,"Summary 95-96";"bus_long_distance",#N/A,FALSE,"Summary 95-96";"mins_per_day",#N/A,FALSE,"Summary 95-96";"minutes1995",#N/A,FALSE,"Summary 95-96";"rev_per_day",#N/A,FALSE,"Summary 95-96";"view1995",#N/A,FALSE,"Summary 95-96"}</definedName>
    <definedName name="Notes_FooterType" hidden="1">"INTERNAL"</definedName>
    <definedName name="NoteTextNames" hidden="1">{"Text 9";"Text 10";"Text 11";"Text 12"}</definedName>
    <definedName name="nothegsd" hidden="1">{"Summary",#N/A,FALSE,"Details (2)"}</definedName>
    <definedName name="nouv" hidden="1">{#N/A,#N/A,FALSE,"Pharm";#N/A,#N/A,FALSE,"WWCM"}</definedName>
    <definedName name="Nov00" hidden="1">{"Statement of Income",#N/A,TRUE,"Mar99";"Balance Sheet",#N/A,TRUE,"Mar99"}</definedName>
    <definedName name="Nov00TB" hidden="1">{"Statement of Income",#N/A,TRUE,"Mar99";"Balance Sheet",#N/A,TRUE,"Mar99"}</definedName>
    <definedName name="nper">term*periods_per_year</definedName>
    <definedName name="Num_Pmt_Per_Year">#REF!</definedName>
    <definedName name="Number_of_Payments">MATCH(0.01,End_Bal,-1)+1</definedName>
    <definedName name="NumberArea">#REF!</definedName>
    <definedName name="o" hidden="1">{#N/A,#N/A,FALSE,"New Depr Sch-150% DB";#N/A,#N/A,FALSE,"Cash Flows RLP";#N/A,#N/A,FALSE,"IRR";#N/A,#N/A,FALSE,"Proforma IS";#N/A,#N/A,FALSE,"Assumptions"}</definedName>
    <definedName name="Oct00" hidden="1">{"Statement of Income",#N/A,TRUE,"Mar99";"Balance Sheet",#N/A,TRUE,"Mar99"}</definedName>
    <definedName name="Oct00TB" hidden="1">{"Statement of Income",#N/A,TRUE,"Mar99";"Balance Sheet",#N/A,TRUE,"Mar99"}</definedName>
    <definedName name="Octob00" hidden="1">{"Statement of Income",#N/A,TRUE,"Mar99";"Balance Sheet",#N/A,TRUE,"Mar99"}</definedName>
    <definedName name="Octob00TB" hidden="1">{"Statement of Income",#N/A,TRUE,"Mar99";"Balance Sheet",#N/A,TRUE,"Mar99"}</definedName>
    <definedName name="OI" hidden="1">{#N/A,#N/A,FALSE,"COVER";#N/A,#N/A,FALSE,"Index";#N/A,#N/A,FALSE,"Non-Earning";#N/A,#N/A,FALSE,"Non-Earning_Recovery"}</definedName>
    <definedName name="oiu" hidden="1">{#N/A,#N/A,FALSE,"COVER";#N/A,#N/A,FALSE,"RATIOS";#N/A,#N/A,FALSE,"LEVERAGE";#N/A,#N/A,FALSE,"TIER-1";#N/A,#N/A,FALSE,"RISK BASED ASSETS";#N/A,#N/A,FALSE,"TIER-2"}</definedName>
    <definedName name="oiwea" hidden="1">{"FCB_ALL",#N/A,FALSE,"FCB";"GREY_ALL",#N/A,FALSE,"GREY"}</definedName>
    <definedName name="OK" hidden="1">{#N/A,#N/A,FALSE,"REPORT"}</definedName>
    <definedName name="okay" hidden="1">{#N/A,#N/A,FALSE,"Admin";#N/A,#N/A,FALSE,"Other"}</definedName>
    <definedName name="old">#REF!</definedName>
    <definedName name="olddata" hidden="1">{"PAGE 1",#N/A,FALSE,"WEST_OT"}</definedName>
    <definedName name="olddata1" hidden="1">{"PAGE 1",#N/A,FALSE,"WEST_OT"}</definedName>
    <definedName name="olddata2" hidden="1">{"PAGE 1",#N/A,FALSE,"WEST_OT"}</definedName>
    <definedName name="olddata3" hidden="1">{"PAGE 1",#N/A,FALSE,"WEST_OT"}</definedName>
    <definedName name="oldkey1" hidden="1">#REF!</definedName>
    <definedName name="oldsort" hidden="1">#REF!</definedName>
    <definedName name="on" hidden="1">{"TOTAL",#N/A,FALSE,"A";"FISCAL94",#N/A,FALSE,"A";"FISCAL95",#N/A,FALSE,"A";"FISCAL96",#N/A,FALSE,"A";"misc page",#N/A,FALSE,"A"}</definedName>
    <definedName name="ookok" hidden="1">{#N/A,#N/A,TRUE,"BUD VS ACT AUST 96";#N/A,#N/A,TRUE,"96 COMP P&amp;L-AUST";#N/A,#N/A,TRUE,"COMP BS-AUSTRALIA";#N/A,#N/A,TRUE,"B/S - AUSTR."}</definedName>
    <definedName name="ooo" hidden="1">{#N/A,#N/A,FALSE,"REPORT"}</definedName>
    <definedName name="ooooo" hidden="1">{#N/A,#N/A,FALSE,"Calc";#N/A,#N/A,FALSE,"Sensitivity";#N/A,#N/A,FALSE,"LT Earn.Dil.";#N/A,#N/A,FALSE,"Dil. AVP"}</definedName>
    <definedName name="OOU" hidden="1">{#N/A,#N/A,FALSE,"BS";#N/A,#N/A,FALSE,"PL_10Q";#N/A,#N/A,FALSE,"SOE";#N/A,#N/A,FALSE,"SCF"}</definedName>
    <definedName name="OPER" hidden="1">{"SUM",#N/A,FALSE,"Details (2)"}</definedName>
    <definedName name="OperatorServicesFi" hidden="1">{"SUM",#N/A,FALSE,"Details (2)"}</definedName>
    <definedName name="Opscen">#REF!</definedName>
    <definedName name="org_H_per_pot_cleaning">#REF!</definedName>
    <definedName name="org_H_per_pot_harvest">#REF!</definedName>
    <definedName name="org_H_per_pot_maintenance">#REF!</definedName>
    <definedName name="org_H_per_pot_nursery">#REF!</definedName>
    <definedName name="org_H_per_pot_others">#REF!</definedName>
    <definedName name="org_H_per_pot_packing">#REF!</definedName>
    <definedName name="org_H_per_pot_planting">#REF!</definedName>
    <definedName name="org_H_per_pot_sowing">#REF!</definedName>
    <definedName name="org_H_per_pot_wastehandl">#REF!</definedName>
    <definedName name="org_pots_per_h">#REF!</definedName>
    <definedName name="org_proc_time_cleaning">#REF!</definedName>
    <definedName name="org_proc_time_harvest">#REF!</definedName>
    <definedName name="org_proc_time_maint">#REF!</definedName>
    <definedName name="org_proc_time_nursery">#REF!</definedName>
    <definedName name="org_proc_time_others">#REF!</definedName>
    <definedName name="org_proc_time_packing">#REF!</definedName>
    <definedName name="org_proc_time_planting">#REF!</definedName>
    <definedName name="org_proc_time_sowing">#REF!</definedName>
    <definedName name="org_proc_time_wastehandl">#REF!</definedName>
    <definedName name="OrgCostCurr">#REF!</definedName>
    <definedName name="OrgCostPrior">#REF!</definedName>
    <definedName name="Other" hidden="1">{#N/A,#N/A,FALSE,"Page 1";#N/A,#N/A,FALSE,"Page 2";#N/A,#N/A,FALSE,"Page 3";#N/A,#N/A,FALSE,"Page 4";#N/A,#N/A,FALSE,"Page 5"}</definedName>
    <definedName name="other33" hidden="1">{#N/A,#N/A,FALSE,"Pharm";#N/A,#N/A,FALSE,"WWCM"}</definedName>
    <definedName name="othermar" hidden="1">{#N/A,#N/A,FALSE,"Pharm";#N/A,#N/A,FALSE,"WWCM"}</definedName>
    <definedName name="ouhio" hidden="1">{"Summary",#N/A,FALSE,"Details (2)"}</definedName>
    <definedName name="ouououiouopupo" hidden="1">{#N/A,#N/A,FALSE,"BS";#N/A,#N/A,FALSE,"PL";#N/A,#N/A,FALSE,"SOE";#N/A,#N/A,FALSE,"SCF"}</definedName>
    <definedName name="ououp0" hidden="1">{#N/A,#N/A,FALSE,"TABLE_1 YTD- VALUES LAST YR(2)"}</definedName>
    <definedName name="Outlook" hidden="1">{"arpm1995",#N/A,FALSE,"Summary 95-96";"bus_long_distance",#N/A,FALSE,"Summary 95-96";"mins_per_day",#N/A,FALSE,"Summary 95-96";"minutes1995",#N/A,FALSE,"Summary 95-96";"rev_per_day",#N/A,FALSE,"Summary 95-96";"view1995",#N/A,FALSE,"Summary 95-96"}</definedName>
    <definedName name="p"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Page1">#REF!</definedName>
    <definedName name="Page2">#REF!</definedName>
    <definedName name="Page3">#REF!</definedName>
    <definedName name="Page4">#REF!</definedName>
    <definedName name="Page5">#REF!</definedName>
    <definedName name="Page6">#REF!</definedName>
    <definedName name="panther_wrn.test1." hidden="1">{"Income Statement",#N/A,FALSE,"CFMODEL";"Balance Sheet",#N/A,FALSE,"CFMODEL"}</definedName>
    <definedName name="panther_wrn.test2." hidden="1">{"SourcesUses",#N/A,TRUE,"CFMODEL";"TransOverview",#N/A,TRUE,"CFMODEL"}</definedName>
    <definedName name="panther_wrn.test3." hidden="1">{"SourcesUses",#N/A,TRUE,#N/A;"TransOverview",#N/A,TRUE,"CFMODEL"}</definedName>
    <definedName name="panther_wrn.test4." hidden="1">{"SourcesUses",#N/A,TRUE,"FundsFlow";"TransOverview",#N/A,TRUE,"FundsFlow"}</definedName>
    <definedName name="PartnerList" comment="List of partners for drop down">#REF!</definedName>
    <definedName name="PassWord" hidden="1">"clean1"</definedName>
    <definedName name="PassWord2" hidden="1">"DELETE"</definedName>
    <definedName name="patty" hidden="1">{"PAGE 1",#N/A,FALSE,"WEST_OT"}</definedName>
    <definedName name="Pay_Date">#REF!</definedName>
    <definedName name="Pay_Num">#REF!</definedName>
    <definedName name="payment">#REF!</definedName>
    <definedName name="Payment_Date">DATE(YEAR(Loan_Start),MONTH(Loan_Start)+#REF!,DAY(Loan_Start))</definedName>
    <definedName name="Payment_Number">ROW()-Header_Row</definedName>
    <definedName name="PaymentPerYear2016">#REF!</definedName>
    <definedName name="PaymentsPerYear">#REF!</definedName>
    <definedName name="PaymentsPerYear2014">#REF!</definedName>
    <definedName name="PaymentsPerYear2017">#REF!</definedName>
    <definedName name="PaymentsPerYear2018">#REF!</definedName>
    <definedName name="PaymentsPerYearCurrent">#REF!</definedName>
    <definedName name="PaymentsPerYearRealEstate">#REF!</definedName>
    <definedName name="PBInvout">#REF!</definedName>
    <definedName name="PDI">#REF!</definedName>
    <definedName name="PDICS">#REF!</definedName>
    <definedName name="PDIFMV">#REF!</definedName>
    <definedName name="PDINR">#REF!</definedName>
    <definedName name="PDIPref">#REF!</definedName>
    <definedName name="PDIWarr">#REF!</definedName>
    <definedName name="PDM" hidden="1">{#N/A,#N/A,FALSE,"Summary";#N/A,#N/A,FALSE,"Signatures";#N/A,#N/A,FALSE,"FL Current";#N/A,#N/A,FALSE,"Assumptions";#N/A,#N/A,FALSE,"Assumptions";#N/A,#N/A,FALSE,"Assumptions";#N/A,#N/A,FALSE,"FL Last";#N/A,#N/A,FALSE,"FL Orig";#N/A,#N/A,FALSE,"C to G Explain"}</definedName>
    <definedName name="Pechous" hidden="1">{"FY01_Assets",#N/A,FALSE,"Fin Stmt Budget";"FY01_Liabilities",#N/A,FALSE,"Fin Stmt Budget";"FY01_Inc_Stmt",#N/A,FALSE,"Fin Stmt Budget";"FY01_SOCF",#N/A,FALSE,"Fin Stmt Budget"}</definedName>
    <definedName name="Pecos"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pe" hidden="1">{#N/A,#N/A,FALSE,"Pharm";#N/A,#N/A,FALSE,"WWCM"}</definedName>
    <definedName name="PEPE4" hidden="1">{#N/A,#N/A,FALSE,"Pharm";#N/A,#N/A,FALSE,"WWCM"}</definedName>
    <definedName name="PEPE5" hidden="1">{#N/A,#N/A,FALSE,"Pharm";#N/A,#N/A,FALSE,"WWCM"}</definedName>
    <definedName name="period_names">#REF!</definedName>
    <definedName name="PERIOD2">#REF!</definedName>
    <definedName name="periods_per_year">INDEX({1,2,4,6,12,24,26,52},MATCH(#REF!,frequency,0))</definedName>
    <definedName name="perm" hidden="1">{"PAGE 1",#N/A,FALSE,"WEST_OT"}</definedName>
    <definedName name="perm1" hidden="1">{"PAGE 1",#N/A,FALSE,"WEST_OT"}</definedName>
    <definedName name="perm3" hidden="1">{"PAGE 1",#N/A,FALSE,"WEST_OT"}</definedName>
    <definedName name="perm4" hidden="1">{"PAGE 1",#N/A,FALSE,"WEST_OT"}</definedName>
    <definedName name="perm5" hidden="1">{"PAGE 2",#N/A,FALSE,"WEST_OT"}</definedName>
    <definedName name="perm6" hidden="1">{"PAGE 2",#N/A,FALSE,"WEST_OT"}</definedName>
    <definedName name="perm7" hidden="1">{"PAGE 1",#N/A,FALSE,"WEST_OT"}</definedName>
    <definedName name="PeterTEST" hidden="1">{#N/A,#N/A,TRUE,"Acq-Ass";#N/A,#N/A,TRUE,"Acq-IS";#N/A,#N/A,TRUE,"Acq-BS";#N/A,#N/A,TRUE,"Acq-CF"}</definedName>
    <definedName name="pharma" hidden="1">{#N/A,#N/A,FALSE,"Sales Graph";#N/A,#N/A,FALSE,"PSBM";#N/A,#N/A,FALSE,"BUC Graph";#N/A,#N/A,FALSE,"P&amp;L - YTD"}</definedName>
    <definedName name="Pitchbook" hidden="1">{#N/A,#N/A,TRUE,"Sheet16"}</definedName>
    <definedName name="pkg.gom" hidden="1">{"2000PPE",#N/A,FALSE,"PPE 2000";"2000DD",#N/A,FALSE,"DrydocksOther"}</definedName>
    <definedName name="PL">#REF!</definedName>
    <definedName name="plan2" hidden="1">{"'Sheet1'!$A$5:$G$42"}</definedName>
    <definedName name="PlanVLE" hidden="1">{#N/A,#N/A,FALSE,"SUMMARY";#N/A,#N/A,FALSE,"mcsh";#N/A,#N/A,FALSE,"vol&amp;rev";#N/A,#N/A,FALSE,"wkgcap";#N/A,#N/A,FALSE,"DEPR&amp;DT";#N/A,#N/A,FALSE,"ASSETS";#N/A,#N/A,FALSE,"NI&amp;OTH&amp;DIV";#N/A,#N/A,FALSE,"CASHFLOW";#N/A,#N/A,FALSE,"CAPEMPL";#N/A,#N/A,FALSE,"ROCE"}</definedName>
    <definedName name="Plastics" hidden="1">{"Curr Month",#N/A,FALSE,"Months";"All Months",#N/A,FALSE,"Months";"YTD",#N/A,FALSE,"Months";"01 Months",#N/A,FALSE,"01";"03 Months",#N/A,FALSE,"Months";"05 Months",#N/A,FALSE,"Months";"06 Months",#N/A,FALSE,"Months";"08 Months",#N/A,FALSE,"Months";"09 Months",#N/A,FALSE,"Months";"10 Months",#N/A,FALSE,"Months";"11 Months",#N/A,FALSE,"Months";"12 Months",#N/A,FALSE,"Months";"13 Months",#N/A,FALSE,"Months";"14 Months",#N/A,FALSE,"Months";"15 Months",#N/A,FALSE,"Months";"23 Months",#N/A,FALSE,"Months";"24 Months",#N/A,FALSE,"Months";"25 Months",#N/A,FALSE,"Months";"43 Months",#N/A,FALSE,"Months";"45 Months",#N/A,FALSE,"Months";"50 Months",#N/A,FALSE,"Months"}</definedName>
    <definedName name="plbudget04" hidden="1">{#N/A,#N/A,FALSE,"INPUTS";#N/A,#N/A,FALSE,"PROFORMA BSHEET";#N/A,#N/A,FALSE,"COMBINED";#N/A,#N/A,FALSE,"ACQUIROR";#N/A,#N/A,FALSE,"TARGET 1";#N/A,#N/A,FALSE,"TARGET 2";#N/A,#N/A,FALSE,"HIGH YIELD";#N/A,#N/A,FALSE,"OVERFUND"}</definedName>
    <definedName name="PLCepi" hidden="1">{#N/A,#N/A,FALSE,"REPORT"}</definedName>
    <definedName name="PLDate">#REF!</definedName>
    <definedName name="PLProcef" hidden="1">{#N/A,#N/A,FALSE,"REPORT"}</definedName>
    <definedName name="PLTaxol" hidden="1">{#N/A,#N/A,FALSE,"REPORT"}</definedName>
    <definedName name="pmtType">IF(#REF!="End of Period",0,1)</definedName>
    <definedName name="Pnl" hidden="1">{#N/A,#N/A,FALSE,"Pharm";#N/A,#N/A,FALSE,"WWCM"}</definedName>
    <definedName name="po"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i" hidden="1">{#N/A,#N/A,FALSE,"PL-FS";#N/A,#N/A,FALSE,"PL"}</definedName>
    <definedName name="Poolmgr">#REF!</definedName>
    <definedName name="port29" hidden="1">{#N/A,#N/A,FALSE,"Pharm";#N/A,#N/A,FALSE,"WWCM"}</definedName>
    <definedName name="poso_wrn.test1." hidden="1">{"Income Statement",#N/A,FALSE,"CFMODEL";"Balance Sheet",#N/A,FALSE,"CFMODEL"}</definedName>
    <definedName name="poso_wrn.test2." hidden="1">{"SourcesUses",#N/A,TRUE,"CFMODEL";"TransOverview",#N/A,TRUE,"CFMODEL"}</definedName>
    <definedName name="poso_wrn.test3." hidden="1">{"SourcesUses",#N/A,TRUE,#N/A;"TransOverview",#N/A,TRUE,"CFMODEL"}</definedName>
    <definedName name="poso_wrn.test4." hidden="1">{"SourcesUses",#N/A,TRUE,"FundsFlow";"TransOverview",#N/A,TRUE,"FundsFlow"}</definedName>
    <definedName name="Powerop">#REF!</definedName>
    <definedName name="Powerop3">#REF!</definedName>
    <definedName name="pp">#REF!</definedName>
    <definedName name="ppp" hidden="1">{"SUM",#N/A,FALSE,"Details (2)"}</definedName>
    <definedName name="pppp" hidden="1">{"Summary",#N/A,FALSE,"Details (2)"}</definedName>
    <definedName name="pppp2" hidden="1">{"Summary",#N/A,FALSE,"Details (2)"}</definedName>
    <definedName name="ppppp" hidden="1">{"SUM",#N/A,FALSE,"Details (2)"}</definedName>
    <definedName name="pppppp" hidden="1">{"Summary",#N/A,FALSE,"Details (2)"}</definedName>
    <definedName name="ppppppp" hidden="1">{"SUM",#N/A,FALSE,"Details (2)"}</definedName>
    <definedName name="pppppppp" hidden="1">{"Summary",#N/A,FALSE,"Details (2)"}</definedName>
    <definedName name="ppppppppp" hidden="1">{"SUM",#N/A,FALSE,"Details (2)"}</definedName>
    <definedName name="pppppppppp" hidden="1">{"Summary",#N/A,FALSE,"Details (2)"}</definedName>
    <definedName name="ppppppppppp" hidden="1">{"SUM",#N/A,FALSE,"Details (2)"}</definedName>
    <definedName name="pppppppppppp" hidden="1">{"Summary",#N/A,FALSE,"Details (2)"}</definedName>
    <definedName name="ppppppppppppp" hidden="1">{"SUM",#N/A,FALSE,"Details (2)"}</definedName>
    <definedName name="ppppppppppppppp" hidden="1">{"Summary",#N/A,FALSE,"Details (2)"}</definedName>
    <definedName name="pppppppppppppppp" hidden="1">{"SUM",#N/A,FALSE,"Details (2)"}</definedName>
    <definedName name="ppppppppppppppppp" hidden="1">{"Summary",#N/A,FALSE,"Details (2)"}</definedName>
    <definedName name="ppppppppppppppppppppppppppp" hidden="1">{"FCB_ALL",#N/A,FALSE,"FCB"}</definedName>
    <definedName name="PPS"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rd" hidden="1">{"Netbacks",#N/A,FALSE,"Netbacks"}</definedName>
    <definedName name="prd." hidden="1">{"IS Years",#N/A,FALSE,"Income Statement";"IS Q96",#N/A,FALSE,"Income Statement";"IS Q97",#N/A,FALSE,"Income Statement";"Corporate",#N/A,FALSE,"Corporate Profile";"Netbacks",#N/A,FALSE,"Netbacks"}</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v_Mkv">#REF!</definedName>
    <definedName name="prgrp" hidden="1">{"cap_structure",#N/A,FALSE,"Graph-Mkt Cap";"price",#N/A,FALSE,"Graph-Price";"ebit",#N/A,FALSE,"Graph-EBITDA";"ebitda",#N/A,FALSE,"Graph-EBITDA"}</definedName>
    <definedName name="PriceRange" hidden="1">#N/A</definedName>
    <definedName name="Princ">#REF!</definedName>
    <definedName name="Print_Area_Reset">OFFSET(Full_Print,0,0,Last_Row)</definedName>
    <definedName name="print_assets">#N/A</definedName>
    <definedName name="Print_Assumptions">#N/A</definedName>
    <definedName name="print_figure_7_2">#N/A</definedName>
    <definedName name="Print_hist_inc_stmt">#N/A</definedName>
    <definedName name="print_op_exp">#N/A</definedName>
    <definedName name="print4"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End" hidden="1">#REF!</definedName>
    <definedName name="PrintStart" hidden="1">#REF!</definedName>
    <definedName name="Procef" hidden="1">{#N/A,#N/A,FALSE,"Pharm";#N/A,#N/A,FALSE,"WWCM"}</definedName>
    <definedName name="prod" hidden="1">{#N/A,#N/A,FALSE,"Pharm";#N/A,#N/A,FALSE,"WWCM"}</definedName>
    <definedName name="product">#REF!</definedName>
    <definedName name="profimp2" hidden="1">{"PAGE 1",#N/A,FALSE,"WEST_OT"}</definedName>
    <definedName name="profimp3" hidden="1">{"PAGE 2",#N/A,FALSE,"WEST_OT"}</definedName>
    <definedName name="profimp5" hidden="1">{"PAGE 1",#N/A,FALSE,"WEST_OT"}</definedName>
    <definedName name="profimptest" hidden="1">{"PAGE 2",#N/A,FALSE,"WEST_OT"}</definedName>
    <definedName name="Project">#REF!</definedName>
    <definedName name="project_name">#REF!</definedName>
    <definedName name="ptg" hidden="1">{#N/A,#N/A,TRUE,"RESUMEN ECON.";#N/A,#N/A,TRUE,"Costos de R.H.";#N/A,#N/A,TRUE,"COSTO HW";#N/A,#N/A,TRUE,"CUADROS";#N/A,#N/A,TRUE,"SCADA´s";#N/A,#N/A,TRUE,"PRECIOS EQUIPOS"}</definedName>
    <definedName name="PUB_FileID" hidden="1">"L10003649.xls"</definedName>
    <definedName name="PUB_UserID" hidden="1">"MAYERX"</definedName>
    <definedName name="pvdsk"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 hidden="1">{"CSheet",#N/A,FALSE,"C";"SmCap",#N/A,FALSE,"VAL1";"GulfCoast",#N/A,FALSE,"VAL1";"nav",#N/A,FALSE,"NAV";"Summary",#N/A,FALSE,"NAV"}</definedName>
    <definedName name="Q1Variances" hidden="1">{#N/A,#N/A,FALSE,"Revised Plan description";#N/A,#N/A,FALSE,"Mth Sum";#N/A,#N/A,FALSE,"YTD Sum";#N/A,#N/A,FALSE,"Mth Rev Sum";#N/A,#N/A,FALSE,"YTD Rev Sum";#N/A,#N/A,FALSE,"Direct Margin";#N/A,#N/A,FALSE,"Data MarginvsPlan";#N/A,#N/A,FALSE,"Local MarginvsPlan";#N/A,#N/A,FALSE,"Internet MarginvsPlan";#N/A,#N/A,FALSE,"LD Margin vs Plan ";#N/A,#N/A,FALSE,"Data Margin YTDvsPlan";#N/A,#N/A,FALSE,"Local Margin YTDvsPlan";#N/A,#N/A,FALSE,"Internet Margin YTDvsPlan";#N/A,#N/A,FALSE,"LD Margin YTD vs Plan";#N/A,#N/A,FALSE,"SC vs Pr Month ";#N/A,#N/A,FALSE,"SVC Detail Mth vs Pr Mth";#N/A,#N/A,FALSE,"Ind vs Pr Month ";#N/A,#N/A,FALSE,"SGA (Elem) vs Pr Month";#N/A,#N/A,FALSE,"SGA (BU) vs Pr Mth";#N/A,#N/A,FALSE,"SC vs Plan";#N/A,#N/A,FALSE,"SVC Detail Mth vsPlan ";#N/A,#N/A,FALSE,"Ind vs Plan";#N/A,#N/A,FALSE,"SGA (Elem) vs Plan";#N/A,#N/A,FALSE,"SGA (BU) vs Plan";#N/A,#N/A,FALSE,"SC vs YTD 00";#N/A,#N/A,FALSE,"SGA (Elem) vs YTD 00";#N/A,#N/A,FALSE,"SGA (BU) YTD vs YTD 00";#N/A,#N/A,FALSE,"SC vs YTD Plan ";#N/A,#N/A,FALSE,"SVC YTD Detail Mth vsPlan ";#N/A,#N/A,FALSE,"SGA (Elem) vs YTD Plan";#N/A,#N/A,FALSE,"SGA (BU) YTD vs Plan";#N/A,#N/A,FALSE,"CapExp";#N/A,#N/A,FALSE,"EBITDA";#N/A,#N/A,FALSE,"Mth trends";#N/A,#N/A,FALSE,"Inc. Statement";#N/A,#N/A,FALSE,"Balance Sheet";#N/A,#N/A,FALSE,"Cash Flow"}</definedName>
    <definedName name="qaz" hidden="1">{#N/A,#N/A,FALSE,"Pharm";#N/A,#N/A,FALSE,"WWCM"}</definedName>
    <definedName name="qertweyu" hidden="1">{#N/A,#N/A,FALSE,"REPORT"}</definedName>
    <definedName name="qetryywt" hidden="1">{#N/A,#N/A,FALSE,"REPORT"}</definedName>
    <definedName name="qg" hidden="1">{#N/A,#N/A,FALSE,"RESUMEN ECON.";#N/A,#N/A,FALSE,"Costos de R.H.";#N/A,#N/A,FALSE,"COSTO HW";#N/A,#N/A,FALSE,"CUADROS";#N/A,#N/A,FALSE,"SCADA´s";#N/A,#N/A,FALSE,"PRECIOS EQUIPOS"}</definedName>
    <definedName name="QofE2"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q" hidden="1">{#N/A,#N/A,FALSE,"March Details"}</definedName>
    <definedName name="qqq" hidden="1">{#N/A,#N/A,FALSE,"Pharm";#N/A,#N/A,FALSE,"WWCM"}</definedName>
    <definedName name="qqqqqqqq" hidden="1">{"Report",#N/A,FALSE,"March Details"}</definedName>
    <definedName name="qqwtweryey" hidden="1">{#N/A,#N/A,FALSE,"REPORT"}</definedName>
    <definedName name="qre" hidden="1">{TRUE,TRUE,-1.25,-15.5,604.5,369,FALSE,FALSE,TRUE,TRUE,0,1,83,1,38,4,5,4,TRUE,TRUE,3,TRUE,1,TRUE,75,"Swvu.inputs._.raw._.data.","ACwvu.inputs._.raw._.data.",#N/A,FALSE,FALSE,0.5,0.5,0.5,0.5,2,"&amp;F","&amp;A&amp;RPage &amp;P",FALSE,FALSE,FALSE,FALSE,1,60,#N/A,#N/A,"=R1C61:R53C89","=C1:C5",#N/A,#N/A,FALSE,FALSE,FALSE,1,600,600,FALSE,FALSE,TRUE,TRUE,TRUE}</definedName>
    <definedName name="Qtroperations" hidden="1">{"arpm1995",#N/A,FALSE,"Summary 95-96";"bus_long_distance",#N/A,FALSE,"Summary 95-96";"mins_per_day",#N/A,FALSE,"Summary 95-96";"minutes1995",#N/A,FALSE,"Summary 95-96";"rev_per_day",#N/A,FALSE,"Summary 95-96";"view1995",#N/A,FALSE,"Summary 95-96"}</definedName>
    <definedName name="Quarter1Percent">#REF!</definedName>
    <definedName name="Quarter2Percent">#REF!</definedName>
    <definedName name="Quarter3Percent">#REF!</definedName>
    <definedName name="Quarter4Percent">#REF!</definedName>
    <definedName name="qw" hidden="1">{#N/A,#N/A,FALSE,"REPORT"}</definedName>
    <definedName name="qw2fkgur" hidden="1">{#N/A,#N/A,FALSE,"Valuation Assumptions";#N/A,#N/A,FALSE,"Summary";#N/A,#N/A,FALSE,"DCF";#N/A,#N/A,FALSE,"Valuation";#N/A,#N/A,FALSE,"WACC";#N/A,#N/A,FALSE,"UBVH";#N/A,#N/A,FALSE,"Free Cash Flow"}</definedName>
    <definedName name="qwe" hidden="1">{#N/A,#N/A,TRUE,"BS_A";#N/A,#N/A,TRUE,"BS_L";#N/A,#N/A,TRUE,"PL";#N/A,#N/A,TRUE,"NET";#N/A,#N/A,TRUE,"MAR_2";#N/A,#N/A,TRUE,"MAR";#N/A,#N/A,TRUE,"NII";#N/A,#N/A,TRUE,"NIE";#N/A,#N/A,TRUE,"FS_BS";#N/A,#N/A,TRUE,"FS_PL";#N/A,#N/A,TRUE,"HEA"}</definedName>
    <definedName name="qwert"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qry" hidden="1">{#N/A,#N/A,FALSE,"REPORT"}</definedName>
    <definedName name="qwetqryetytu" hidden="1">{#N/A,#N/A,FALSE,"Pharm";#N/A,#N/A,FALSE,"WWCM"}</definedName>
    <definedName name="QWQ" hidden="1">{#N/A,#N/A,FALSE,"PL-FS";#N/A,#N/A,FALSE,"PL"}</definedName>
    <definedName name="qwqe" hidden="1">{#N/A,#N/A,FALSE,"Comp - War";#N/A,#N/A,FALSE,"Comp - War"}</definedName>
    <definedName name="radg" hidden="1">{"FCB_ALL",#N/A,FALSE,"FCB";"GREY_ALL",#N/A,FALSE,"GREY"}</definedName>
    <definedName name="rate">#REF!</definedName>
    <definedName name="RawsFIT" hidden="1">{#N/A,#N/A,TRUE,"Summary";#N/A,#N/A,TRUE,"Assumptions";#N/A,#N/A,TRUE,"Comparison";#N/A,#N/A,TRUE,"Financials";#N/A,#N/A,TRUE,"Plan v. Act"}</definedName>
    <definedName name="RECurr">#REF!</definedName>
    <definedName name="RedefinePrintTableRange" hidden="1">#REF!</definedName>
    <definedName name="redo" hidden="1">{#N/A,#N/A,FALSE,"ACQ_GRAPHS";#N/A,#N/A,FALSE,"T_1 GRAPHS";#N/A,#N/A,FALSE,"T_2 GRAPHS";#N/A,#N/A,FALSE,"COMB_GRAPHS"}</definedName>
    <definedName name="reewrew" hidden="1">{"arpm1995",#N/A,FALSE,"Summary 95-96";"bus_long_distance",#N/A,FALSE,"Summary 95-96";"mins_per_day",#N/A,FALSE,"Summary 95-96";"minutes1995",#N/A,FALSE,"Summary 95-96";"rev_per_day",#N/A,FALSE,"Summary 95-96";"view1995",#N/A,FALSE,"Summary 95-96"}</definedName>
    <definedName name="reggie" hidden="1">{#N/A,#N/A,FALSE,"Pharm";#N/A,#N/A,FALSE,"WWCM"}</definedName>
    <definedName name="Regnew" hidden="1">{"arpm1995",#N/A,FALSE,"Summary 95-96";"bus_long_distance",#N/A,FALSE,"Summary 95-96";"mins_per_day",#N/A,FALSE,"Summary 95-96";"minutes1995",#N/A,FALSE,"Summary 95-96";"rev_per_day",#N/A,FALSE,"Summary 95-96";"view1995",#N/A,FALSE,"Summary 95-96"}</definedName>
    <definedName name="Related" hidden="1">{#N/A,#N/A,FALSE,"Job Sched"}</definedName>
    <definedName name="Report">#REF!</definedName>
    <definedName name="ReportGroup" hidden="1">6</definedName>
    <definedName name="ReportPage1" hidden="1">{"Annual_Income",#N/A,FALSE,"Report Page";"Balance_Cash_Flow",#N/A,FALSE,"Report Page";"Quarterly_Income",#N/A,FALSE,"Report Page"}</definedName>
    <definedName name="REPrior">#REF!</definedName>
    <definedName name="reps" hidden="1">{"FY03_Assets",#N/A,FALSE,"Fin Stmt Budget";"FY03_Liabilities",#N/A,FALSE,"Fin Stmt Budget";"FY03_Inc_Stmt",#N/A,FALSE,"Fin Stmt Budget";"FY03_SOCF",#N/A,FALSE,"Fin Stmt Budget"}</definedName>
    <definedName name="rere" hidden="1">{"arpm1995",#N/A,FALSE,"Summary 95-96";"bus_long_distance",#N/A,FALSE,"Summary 95-96";"mins_per_day",#N/A,FALSE,"Summary 95-96";"minutes1995",#N/A,FALSE,"Summary 95-96";"rev_per_day",#N/A,FALSE,"Summary 95-96";"view1995",#N/A,FALSE,"Summary 95-96"}</definedName>
    <definedName name="rerer" hidden="1">{"arpm1995",#N/A,FALSE,"Summary 95-96";"bus_long_distance",#N/A,FALSE,"Summary 95-96";"mins_per_day",#N/A,FALSE,"Summary 95-96";"minutes1995",#N/A,FALSE,"Summary 95-96";"rev_per_day",#N/A,FALSE,"Summary 95-96";"view1995",#N/A,FALSE,"Summary 95-96"}</definedName>
    <definedName name="rerewr" hidden="1">{"arpm1995",#N/A,FALSE,"Summary 95-96";"bus_long_distance",#N/A,FALSE,"Summary 95-96";"mins_per_day",#N/A,FALSE,"Summary 95-96";"minutes1995",#N/A,FALSE,"Summary 95-96";"rev_per_day",#N/A,FALSE,"Summary 95-96";"view1995",#N/A,FALSE,"Summary 95-96"}</definedName>
    <definedName name="rerewty4etr" hidden="1">{"arpm1995",#N/A,FALSE,"Summary 95-96";"bus_long_distance",#N/A,FALSE,"Summary 95-96";"mins_per_day",#N/A,FALSE,"Summary 95-96";"minutes1995",#N/A,FALSE,"Summary 95-96";"rev_per_day",#N/A,FALSE,"Summary 95-96";"view1995",#N/A,FALSE,"Summary 95-96"}</definedName>
    <definedName name="reryt4y" hidden="1">{"arpm1995",#N/A,FALSE,"Summary 95-96";"bus_long_distance",#N/A,FALSE,"Summary 95-96";"mins_per_day",#N/A,FALSE,"Summary 95-96";"minutes1995",#N/A,FALSE,"Summary 95-96";"rev_per_day",#N/A,FALSE,"Summary 95-96";"view1995",#N/A,FALSE,"Summary 95-96"}</definedName>
    <definedName name="Reserve" hidden="1">{#N/A,#N/A,TRUE,"Sch-1a";#N/A,#N/A,TRUE,"Sch-1b";#N/A,#N/A,TRUE,"Sch-1c";#N/A,#N/A,TRUE,"Sch-1d";#N/A,#N/A,TRUE,"Sch-2a";#N/A,#N/A,TRUE,"Sch-2b";#N/A,#N/A,TRUE,"Sch-2c";#N/A,#N/A,TRUE,"Sch-3a";#N/A,#N/A,TRUE,"Sch-3b";#N/A,#N/A,TRUE,"Sch-3c";#N/A,#N/A,TRUE,"Sch-3d";#N/A,#N/A,TRUE,"Sch-3e"}</definedName>
    <definedName name="ReserveGuidance">#REF!</definedName>
    <definedName name="resources" hidden="1">{#N/A,#N/A,FALSE,"Assessment";#N/A,#N/A,FALSE,"Staffing";#N/A,#N/A,FALSE,"Hires";#N/A,#N/A,FALSE,"Assumptions"}</definedName>
    <definedName name="resp." hidden="1">{#N/A,#N/A,FALSE,"Pharm";#N/A,#N/A,FALSE,"WWCM"}</definedName>
    <definedName name="RestatedActuals" hidden="1">{#N/A,#N/A,FALSE,"Aging Summary";#N/A,#N/A,FALSE,"Ratio Analysis";#N/A,#N/A,FALSE,"Test 120 Day Accts";#N/A,#N/A,FALSE,"Tickmarks"}</definedName>
    <definedName name="Retail" hidden="1">{"'Sheet1'!$A$5:$G$42"}</definedName>
    <definedName name="Revenue_Analysis">#N/A</definedName>
    <definedName name="rf2e" hidden="1">{#N/A,#N/A,FALSE,"Pharm";#N/A,#N/A,FALSE,"WWCM"}</definedName>
    <definedName name="rfr"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rft" hidden="1">{#N/A,#N/A,TRUE,"RESUMEN ECON.";#N/A,#N/A,TRUE,"Costos de R.H.";#N/A,#N/A,TRUE,"COSTO HW";#N/A,#N/A,TRUE,"CUADROS";#N/A,#N/A,TRUE,"SCADA´s";#N/A,#N/A,TRUE,"PRECIOS EQUIPOS"}</definedName>
    <definedName name="rich" hidden="1">{"Capital Plan CA Schedule",#N/A,TRUE,"Capital Plan";"Capital Plan Summary",#N/A,TRUE,"Capital Plan"}</definedName>
    <definedName name="Rick"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M">#REF!</definedName>
    <definedName name="Rocket">#REF!</definedName>
    <definedName name="Rocket_Deal_Month">#REF!</definedName>
    <definedName name="roundOpt">#REF!</definedName>
    <definedName name="RPA" hidden="1">{#N/A,#N/A,FALSE,"Cashflow Analysis";#N/A,#N/A,FALSE,"Sensitivity Analysis";#N/A,#N/A,FALSE,"PV";#N/A,#N/A,FALSE,"Pro Forma"}</definedName>
    <definedName name="RPA.2" hidden="1">{#N/A,#N/A,FALSE,"Cashflow Analysis";#N/A,#N/A,FALSE,"Sensitivity Analysis";#N/A,#N/A,FALSE,"PV";#N/A,#N/A,FALSE,"Pro Forma"}</definedName>
    <definedName name="rrrrr" hidden="1">{#N/A,#N/A,FALSE,"Pharm";#N/A,#N/A,FALSE,"WWCM"}</definedName>
    <definedName name="rrrrrr" hidden="1">{"'Edit'!$A$1:$V$2277"}</definedName>
    <definedName name="rse" hidden="1">{"FCB_ALL",#N/A,FALSE,"FCB"}</definedName>
    <definedName name="rt" hidden="1">{"inputs raw data",#N/A,TRUE,"INPUT"}</definedName>
    <definedName name="rtu" hidden="1">{#N/A,#N/A,TRUE,"RESUMEN ECON.";#N/A,#N/A,TRUE,"Costos de R.H.";#N/A,#N/A,TRUE,"COSTO HW";#N/A,#N/A,TRUE,"CUADROS";#N/A,#N/A,TRUE,"SCADA´s";#N/A,#N/A,TRUE,"PRECIOS EQUIPOS"}</definedName>
    <definedName name="rustey"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rwert" hidden="1">{#N/A,#N/A,FALSE,"Pharm";#N/A,#N/A,FALSE,"WWCM"}</definedName>
    <definedName name="rwjf" hidden="1">{#N/A,#N/A,FALSE,"BS";#N/A,#N/A,FALSE,"PL";#N/A,#N/A,FALSE,"SOE";#N/A,#N/A,FALSE,"SCF"}</definedName>
    <definedName name="ryj" hidden="1">{#N/A,#N/A,FALSE,"ACQ_GRAPHS";#N/A,#N/A,FALSE,"T_1 GRAPHS";#N/A,#N/A,FALSE,"T_2 GRAPHS";#N/A,#N/A,FALSE,"COMB_GRAPHS"}</definedName>
    <definedName name="s">#REF!</definedName>
    <definedName name="sa"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ad" hidden="1">#REF!</definedName>
    <definedName name="sadfsdfsdfsaf" hidden="1">{"wpocash",#N/A,FALSE,"WPOALLT";"wpoinc",#N/A,FALSE,"WPOALLT";"wpobroad",#N/A,FALSE,"WPOALLT";"wpocable",#N/A,FALSE,"WPOALLT";"wpoexcl",#N/A,FALSE,"WPOALLT";"wponwsweek",#N/A,FALSE,"WPOALLT";"wpopost",#N/A,FALSE,"WPOALLT"}</definedName>
    <definedName name="sagf" hidden="1">{TRUE,TRUE,-1.25,-15.5,604.5,369,FALSE,FALSE,TRUE,TRUE,0,1,83,1,38,4,5,4,TRUE,TRUE,3,TRUE,1,TRUE,75,"Swvu.inputs._.raw._.data.","ACwvu.inputs._.raw._.data.",#N/A,FALSE,FALSE,0.5,0.5,0.5,0.5,2,"&amp;F","&amp;A&amp;RPage &amp;P",FALSE,FALSE,FALSE,FALSE,1,60,#N/A,#N/A,"=R1C61:R53C89","=C1:C5",#N/A,#N/A,FALSE,FALSE,FALSE,1,600,600,FALSE,FALSE,TRUE,TRUE,TRUE}</definedName>
    <definedName name="sally" hidden="1">{#N/A,#N/A,FALSE,"Pharm";#N/A,#N/A,FALSE,"WWCM"}</definedName>
    <definedName name="sandy">#REF!</definedName>
    <definedName name="SAPBEXhrIndnt" hidden="1">"Wide"</definedName>
    <definedName name="SAPBEXrevision" hidden="1">1</definedName>
    <definedName name="SAPBEXsysID" hidden="1">"BWP"</definedName>
    <definedName name="SAPBEXwbID" hidden="1">"3MIIGAE7VHTLTPJLQTSR9TQD9"</definedName>
    <definedName name="SAPsysID" hidden="1">"708C5W7SBKP804JT78WJ0JNKI"</definedName>
    <definedName name="SAPwbID" hidden="1">"ARS"</definedName>
    <definedName name="sasdfkj" hidden="1">{"FCB_ALL",#N/A,FALSE,"FCB"}</definedName>
    <definedName name="ScenarioList">OFFSET(#REF!,1,0,COUNTA(#REF!)-1,1)</definedName>
    <definedName name="Scenarios" comment="A-1">#REF!</definedName>
    <definedName name="Sched_Pay">#REF!</definedName>
    <definedName name="Scheduled_Extra_Payments">#REF!</definedName>
    <definedName name="Scheduled_Interest_Rate">#REF!</definedName>
    <definedName name="Scheduled_Monthly_Payment">#REF!</definedName>
    <definedName name="ScheduledNumberOfPayments">#REF!</definedName>
    <definedName name="ScheduledNumberofPayments2014">#REF!</definedName>
    <definedName name="ScheduledNumberofPayments2017">#REF!</definedName>
    <definedName name="ScheduledNumberofPayments2018">#REF!</definedName>
    <definedName name="ScheduledNumberofPaymentsCurrent">#REF!</definedName>
    <definedName name="ScheduledNumberOfPaymentsRealEstate">#REF!</definedName>
    <definedName name="ScheduledPayment">#REF!</definedName>
    <definedName name="ScheduledPayment2014">#REF!</definedName>
    <definedName name="ScheduledPayment2018">#REF!</definedName>
    <definedName name="ScheduledPaymentCurrent">#REF!</definedName>
    <definedName name="ScheduledPaymentRealEstate">#REF!</definedName>
    <definedName name="ScheduleNumberofPayment2016">#REF!</definedName>
    <definedName name="SchedulePayment2016">#REF!</definedName>
    <definedName name="SchedulePayment2017">#REF!</definedName>
    <definedName name="SCI">#REF!</definedName>
    <definedName name="SCIFMV">#REF!</definedName>
    <definedName name="SCIPref">#REF!</definedName>
    <definedName name="sd">#REF!</definedName>
    <definedName name="sdafe" hidden="1">{"FCB_ALL",#N/A,FALSE,"FCB";"GREY_ALL",#N/A,FALSE,"GREY"}</definedName>
    <definedName name="sdafgs" hidden="1">{#N/A,#N/A,FALSE,"Pharm";#N/A,#N/A,FALSE,"WWCM"}</definedName>
    <definedName name="sdaflkej" hidden="1">{"FCB_ALL",#N/A,FALSE,"FCB";"GREY_ALL",#N/A,FALSE,"GREY"}</definedName>
    <definedName name="sdafsdafsaf" hidden="1">{"wpocash",#N/A,FALSE,"WPOALLT";"wpoinc",#N/A,FALSE,"WPOALLT";"wpobroad",#N/A,FALSE,"WPOALLT";"wpocable",#N/A,FALSE,"WPOALLT";"wpoexcl",#N/A,FALSE,"WPOALLT";"wponwsweek",#N/A,FALSE,"WPOALLT";"wpopost",#N/A,FALSE,"WPOALLT"}</definedName>
    <definedName name="sdas" hidden="1">{"Total",#N/A,FALSE,"Six Fields";"PDP",#N/A,FALSE,"Six Fields";"PNP",#N/A,FALSE,"Six Fields";"PUD",#N/A,FALSE,"Six Fields";"Prob",#N/A,FALSE,"Six Fields"}</definedName>
    <definedName name="sdasd" hidden="1">{"FCB_ALL",#N/A,FALSE,"FCB";"GREY_ALL",#N/A,FALSE,"GREY"}</definedName>
    <definedName name="sdf" hidden="1">#REF!</definedName>
    <definedName name="sdfasr" hidden="1">{"FCB_ALL",#N/A,FALSE,"FCB"}</definedName>
    <definedName name="sdfdsf" hidden="1">{"SourcesUses",#N/A,TRUE,#N/A;"TransOverview",#N/A,TRUE,"CFMODEL"}</definedName>
    <definedName name="sdfg" hidden="1">{"summary",#N/A,FALSE,"3 yr average";"comps",#N/A,FALSE,"3 yr average"}</definedName>
    <definedName name="sdfga" hidden="1">{TRUE,TRUE,-1.25,-15.5,604.5,369,FALSE,FALSE,TRUE,TRUE,0,1,83,1,38,4,5,4,TRUE,TRUE,3,TRUE,1,TRUE,75,"Swvu.inputs._.raw._.data.","ACwvu.inputs._.raw._.data.",#N/A,FALSE,FALSE,0.5,0.5,0.5,0.5,2,"&amp;F","&amp;A&amp;RPage &amp;P",FALSE,FALSE,FALSE,FALSE,1,60,#N/A,#N/A,"=R1C61:R53C89","=C1:C5",#N/A,#N/A,FALSE,FALSE,FALSE,1,600,600,FALSE,FALSE,TRUE,TRUE,TRUE}</definedName>
    <definedName name="sdfh" hidden="1">{#N/A,#N/A,FALSE,"Pharm";#N/A,#N/A,FALSE,"WWCM"}</definedName>
    <definedName name="sdfsdfsdfsafsdf" hidden="1">{"FCB_ALL",#N/A,FALSE,"FCB"}</definedName>
    <definedName name="sdft" hidden="1">{#N/A,#N/A,FALSE,"SUMMARY";#N/A,#N/A,FALSE,"mcsh";#N/A,#N/A,FALSE,"vol&amp;rev";#N/A,#N/A,FALSE,"wkgcap";#N/A,#N/A,FALSE,"DEPR&amp;DT";#N/A,#N/A,FALSE,"ASSETS";#N/A,#N/A,FALSE,"NI&amp;OTH&amp;DIV";#N/A,#N/A,FALSE,"CASHFLOW";#N/A,#N/A,FALSE,"CAPEMPL";#N/A,#N/A,FALSE,"ROCE"}</definedName>
    <definedName name="sdgagf" hidden="1">{#N/A,#N/A,FALSE,"Pharm";#N/A,#N/A,FALSE,"WWCM"}</definedName>
    <definedName name="sdhr" hidden="1">{"FCB_ALL",#N/A,FALSE,"FCB";"GREY_ALL",#N/A,FALSE,"GREY"}</definedName>
    <definedName name="sds" hidden="1">{#N/A,#N/A,TRUE,"ProFormaProfit";#N/A,#N/A,TRUE,"ProFormaCash";#N/A,#N/A,TRUE,"Depreciation";#N/A,#N/A,TRUE,"Assets";#N/A,#N/A,TRUE,"Revenue";#N/A,#N/A,TRUE,"EstimatedPurchase"}</definedName>
    <definedName name="sdsadasd" hidden="1">{#N/A,#N/A,FALSE,"Pharm";#N/A,#N/A,FALSE,"WWCM"}</definedName>
    <definedName name="sdsd" hidden="1">{#N/A,#N/A,FALSE,"REPORT"}</definedName>
    <definedName name="sdsds" hidden="1">{"PR1","pr1",TRUE,"Sch PR-1"}</definedName>
    <definedName name="sdw" hidden="1">{#N/A,#N/A,FALSE,"Admin";#N/A,#N/A,FALSE,"Other"}</definedName>
    <definedName name="sdz" hidden="1">{"FCB_ALL",#N/A,FALSE,"FCB"}</definedName>
    <definedName name="secondaries" hidden="1">{#N/A,#N/A,FALSE,"Summary";#N/A,#N/A,FALSE,"Pending";#N/A,#N/A,FALSE,"Oct'97";#N/A,#N/A,FALSE,"Sept'97";#N/A,#N/A,FALSE,"Aug'97";#N/A,#N/A,FALSE,"Jul'97";#N/A,#N/A,FALSE,"Jun'97";#N/A,#N/A,FALSE,"May'97";#N/A,#N/A,FALSE,"Apr'97";#N/A,#N/A,FALSE,"Mar'97";#N/A,#N/A,FALSE,"Feb'97";#N/A,#N/A,FALSE,"Jan'97"}</definedName>
    <definedName name="Select_Month">#REF!</definedName>
    <definedName name="select_scenario">#REF!</definedName>
    <definedName name="sencount" hidden="1">2</definedName>
    <definedName name="sensitivity">#REF!</definedName>
    <definedName name="Sept" hidden="1">{"assets",#N/A,FALSE,"BSCON894"}</definedName>
    <definedName name="Service" hidden="1">#REF!</definedName>
    <definedName name="sf" hidden="1">{#N/A,#N/A,FALSE,"Sales Graph";#N/A,#N/A,FALSE,"BUC Graph";#N/A,#N/A,FALSE,"P&amp;L - YTD"}</definedName>
    <definedName name="SFD" hidden="1">{#N/A,#N/A,FALSE,"TABLE_1 YTD";#N/A,#N/A,FALSE,"TABLE_1A QTD";#N/A,#N/A,FALSE,"NORMAL_SPREAD_QTD";#N/A,#N/A,FALSE,"NORMAL_SPREAD_YTD";#N/A,#N/A,FALSE,"TAX_EQV";#N/A,#N/A,FALSE,"TAX EQUIV_INPUT";#N/A,#N/A,FALSE,"NET FROM FER";#N/A,#N/A,FALSE,"COVER"}</definedName>
    <definedName name="sfdgsar" hidden="1">{"FCB_ALL",#N/A,FALSE,"FCB";"GREY_ALL",#N/A,FALSE,"GREY"}</definedName>
    <definedName name="sfdirect" hidden="1">{#N/A,#N/A,FALSE,"REPORT"}</definedName>
    <definedName name="sfgv" hidden="1">{"consolidated",#N/A,FALSE,"Sheet1";"cms",#N/A,FALSE,"Sheet1";"fse",#N/A,FALSE,"Sheet1"}</definedName>
    <definedName name="sfj" hidden="1">{"PR1","pr1",TRUE,"Sch PR-1"}</definedName>
    <definedName name="sfq" hidden="1">{#N/A,#N/A,FALSE,"Calc";#N/A,#N/A,FALSE,"Sensitivity";#N/A,#N/A,FALSE,"LT Earn.Dil.";#N/A,#N/A,FALSE,"Dil. AVP"}</definedName>
    <definedName name="sg">#REF!</definedName>
    <definedName name="sga">#REF!</definedName>
    <definedName name="sgdg" hidden="1">{#N/A,#N/A,FALSE,"Calc";#N/A,#N/A,FALSE,"Sensitivity";#N/A,#N/A,FALSE,"LT Earn.Dil.";#N/A,#N/A,FALSE,"Dil. AVP"}</definedName>
    <definedName name="sgsx" hidden="1">{"consolidated",#N/A,FALSE,"Sheet1";"cms",#N/A,FALSE,"Sheet1";"fse",#N/A,FALSE,"Sheet1"}</definedName>
    <definedName name="shg" hidden="1">{#N/A,#N/A,FALSE,"Index";#N/A,#N/A,FALSE,"IncStmt";#N/A,#N/A,FALSE,"Ratios";#N/A,#N/A,FALSE,"CashFlows";#N/A,#N/A,FALSE,"Ins1";#N/A,#N/A,FALSE,"Ins2";#N/A,#N/A,FALSE,"SelfFund";#N/A,#N/A,FALSE,"SGA";#N/A,#N/A,FALSE,"Recon";#N/A,#N/A,FALSE,"Earnings";#N/A,#N/A,FALSE,"Earnings (2)";#N/A,#N/A,FALSE,"Stock";#N/A,#N/A,FALSE,"Stock (2)";#N/A,#N/A,FALSE,"PeerRatios";#N/A,#N/A,FALSE,"PeerRanks"}</definedName>
    <definedName name="shit" hidden="1">{#N/A,"Base",FALSE,"Dividend";#N/A,"Conservative",FALSE,"Dividend";#N/A,"Downside",FALSE,"Dividend"}</definedName>
    <definedName name="Simple" hidden="1">{#N/A,#N/A,FALSE,"RESUMEN ECON.";#N/A,#N/A,FALSE,"Costos de R.H.";#N/A,#N/A,FALSE,"COSTO HW";#N/A,#N/A,FALSE,"CUADROS";#N/A,#N/A,FALSE,"SCADA´s";#N/A,#N/A,FALSE,"PRECIOS EQUIPOS"}</definedName>
    <definedName name="size">#REF!</definedName>
    <definedName name="SizingColumn">#REF!</definedName>
    <definedName name="SizingColumn1">#REF!</definedName>
    <definedName name="sk" hidden="1">"1, 3, 1, False, 2, False, False, , 0, False, True, 3, 2"</definedName>
    <definedName name="SKFs">#REF!</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T" hidden="1">{"SUM",#N/A,FALSE,"Details (2)"}</definedName>
    <definedName name="sofie"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lver_adj" hidden="1">#REF!</definedName>
    <definedName name="solver_cvg" hidden="1">0.001</definedName>
    <definedName name="solver_drv" hidden="1">1</definedName>
    <definedName name="solver_est" hidden="1">1</definedName>
    <definedName name="solver_itr" hidden="1">100</definedName>
    <definedName name="solver_lhs1" hidden="1">#REF!</definedName>
    <definedName name="solver_lin" hidden="1">0</definedName>
    <definedName name="solver_neg" hidden="1">2</definedName>
    <definedName name="solver_num" hidden="1">1</definedName>
    <definedName name="solver_nwt" hidden="1">1</definedName>
    <definedName name="solver_opt" hidden="1">#REF!</definedName>
    <definedName name="solver_pre" hidden="1">0.000001</definedName>
    <definedName name="solver_rel1" hidden="1">1</definedName>
    <definedName name="solver_rhs1" hidden="1">0.15</definedName>
    <definedName name="solver_scl" hidden="1">2</definedName>
    <definedName name="solver_sho" hidden="1">2</definedName>
    <definedName name="solver_tim" hidden="1">100</definedName>
    <definedName name="solver_tmp" hidden="1">0.15</definedName>
    <definedName name="solver_tol" hidden="1">0.05</definedName>
    <definedName name="solver_typ" hidden="1">3</definedName>
    <definedName name="solver_val" hidden="1">0.25</definedName>
    <definedName name="SPM" hidden="1">{#N/A,#N/A,FALSE,"Cashflow Analysis";#N/A,#N/A,FALSE,"Sensitivity Analysis";#N/A,#N/A,FALSE,"PV";#N/A,#N/A,FALSE,"Pro Forma"}</definedName>
    <definedName name="SPM.2" hidden="1">{#N/A,#N/A,FALSE,"Cashflow Analysis";#N/A,#N/A,FALSE,"Sensitivity Analysis";#N/A,#N/A,FALSE,"PV";#N/A,#N/A,FALSE,"Pro Forma"}</definedName>
    <definedName name="ssd" hidden="1">#REF!</definedName>
    <definedName name="ssdfsd" hidden="1">{"Balance Sheets",#N/A,FALSE,"Subject";"Income Statements - As Reported",#N/A,FALSE,"Subject";"Income Statements - Adjusted",#N/A,FALSE,"Subject";"Ratios",#N/A,FALSE,"Subject";"Representative Earnings",#N/A,FALSE,"Subject"}</definedName>
    <definedName name="sss" hidden="1">{#N/A,#N/A,FALSE,"Form 41 Commuter Domestic";#N/A,#N/A,FALSE,"FORM41--COMMUTER % CHG";#N/A,#N/A,FALSE,"Total Domestic Traffic Stats";#N/A,#N/A,FALSE,"TOTAL DOM TRAFFIC--% CHG";#N/A,#N/A,FALSE,"TotDomTraf-Large Carriers Only";#N/A,#N/A,FALSE,"TOTDOMTRAF-LARGECAR% CHG"}</definedName>
    <definedName name="sssss" hidden="1">{#N/A,#N/A,FALSE,"Calc";#N/A,#N/A,FALSE,"Sensitivity";#N/A,#N/A,FALSE,"LT Earn.Dil.";#N/A,#N/A,FALSE,"Dil. AVP"}</definedName>
    <definedName name="sssssss" hidden="1">{"PR1","pr1",TRUE,"Sch PR-1"}</definedName>
    <definedName name="staffing2" hidden="1">{#N/A,#N/A,FALSE,"Assessment";#N/A,#N/A,FALSE,"Staffing";#N/A,#N/A,FALSE,"Hires";#N/A,#N/A,FALSE,"Assumptions"}</definedName>
    <definedName name="Staffing3" hidden="1">{#N/A,#N/A,FALSE,"Assessment";#N/A,#N/A,FALSE,"Staffing";#N/A,#N/A,FALSE,"Hires";#N/A,#N/A,FALSE,"Assumptions"}</definedName>
    <definedName name="stands" hidden="1">{"FCB_ALL",#N/A,FALSE,"FCB";"GREY_ALL",#N/A,FALSE,"GREY"}</definedName>
    <definedName name="stands1" hidden="1">{"FCB_ALL",#N/A,FALSE,"FCB";"GREY_ALL",#N/A,FALSE,"GREY"}</definedName>
    <definedName name="Staril" hidden="1">{#N/A,#N/A,FALSE,"REPORT"}</definedName>
    <definedName name="StartDate">#REF!</definedName>
    <definedName name="StartDate1">#REF!</definedName>
    <definedName name="StartDate2">#REF!</definedName>
    <definedName name="StartDate3">#REF!</definedName>
    <definedName name="StratPlanAP" hidden="1">{#N/A,#N/A,FALSE,"Pharm";#N/A,#N/A,FALSE,"WWCM"}</definedName>
    <definedName name="stud1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ff" hidden="1">#REF!</definedName>
    <definedName name="stuffs" hidden="1">{"TOTAL",#N/A,FALSE,"A";"FISCAL94",#N/A,FALSE,"A";"FISCAL95",#N/A,FALSE,"A";"FISCAL96",#N/A,FALSE,"A";"misc page",#N/A,FALSE,"A"}</definedName>
    <definedName name="suck" hidden="1">#REF!</definedName>
    <definedName name="sucker" hidden="1">#REF!</definedName>
    <definedName name="Sum_Perf_Fee">#REF!+#REF!</definedName>
    <definedName name="SUMMARY_BOOK" hidden="1">{"page1",#N/A,FALSE,"GIRLBO";"page2",#N/A,FALSE,"GIRLBO";"page3",#N/A,FALSE,"GIRLBO";"page4",#N/A,FALSE,"GIRLBO";"page5",#N/A,FALSE,"GIRLBO"}</definedName>
    <definedName name="SUP" hidden="1">#N/A</definedName>
    <definedName name="supp" hidden="1">{#N/A,#N/A,FALSE,"Comp Balance";#N/A,#N/A,FALSE,"Sum Balance ";#N/A,#N/A,FALSE,"Balance Trend";#N/A,#N/A,FALSE,"Comp PL";#N/A,#N/A,FALSE,"PL";#N/A,#N/A,FALSE,"Sum PL";#N/A,#N/A,FALSE,"PL Trend";#N/A,#N/A,FALSE,"Change"}</definedName>
    <definedName name="SV_AUTO_CONN_CATALOG" hidden="1">"x3v6"</definedName>
    <definedName name="SV_AUTO_CONN_SERVER" hidden="1">"KSRACK-DB01\X3V6"</definedName>
    <definedName name="SV_ENCPT_AUTO_CONN_PASSWORD" hidden="1">"083096084083070122106104103114"</definedName>
    <definedName name="SV_ENCPT_AUTO_CONN_USER" hidden="1">"095094088070084086083080070"</definedName>
    <definedName name="SV_ENCPT_LOGON_PWD" hidden="1">"078104085088070"</definedName>
    <definedName name="SV_ENCPT_LOGON_USER" hidden="1">"095094088070084084080096087083073084"</definedName>
    <definedName name="switch" hidden="1">{"arpm1995",#N/A,FALSE,"Summary 95-96";"bus_long_distance",#N/A,FALSE,"Summary 95-96";"mins_per_day",#N/A,FALSE,"Summary 95-96";"minutes1995",#N/A,FALSE,"Summary 95-96";"rev_per_day",#N/A,FALSE,"Summary 95-96";"view1995",#N/A,FALSE,"Summary 95-96"}</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yn_downsidepct">#REF!</definedName>
    <definedName name="t" hidden="1">#REF!</definedName>
    <definedName name="t2_1" hidden="1">{"'Sheet1'!$A$5:$G$42"}</definedName>
    <definedName name="Tax">#REF!</definedName>
    <definedName name="taxol" hidden="1">{#N/A,#N/A,FALSE,"Pharm";#N/A,#N/A,FALSE,"WWCM"}</definedName>
    <definedName name="TaxRate">#REF!</definedName>
    <definedName name="tdhjm" hidden="1">{#N/A,#N/A,FALSE,"INPUTS";#N/A,#N/A,FALSE,"PROFORMA BSHEET";#N/A,#N/A,FALSE,"COMBINED";#N/A,#N/A,FALSE,"HIGH YIELD";#N/A,#N/A,FALSE,"COMB_GRAPHS"}</definedName>
    <definedName name="tdjtmk" hidden="1">{#N/A,#N/A,FALSE,"ACQ_GRAPHS";#N/A,#N/A,FALSE,"T_1 GRAPHS";#N/A,#N/A,FALSE,"T_2 GRAPHS";#N/A,#N/A,FALSE,"COMB_GRAPHS"}</definedName>
    <definedName name="TECH">#REF!</definedName>
    <definedName name="Tem" hidden="1">{#N/A,#N/A,FALSE,"Pharm";#N/A,#N/A,FALSE,"WWCM"}</definedName>
    <definedName name="TEMP" hidden="1">{"PAGE 1",#N/A,FALSE,"WEST_OT"}</definedName>
    <definedName name="Temp_2" hidden="1">{#N/A,#N/A,FALSE,"Assessment";#N/A,#N/A,FALSE,"Staffing";#N/A,#N/A,FALSE,"Hires";#N/A,#N/A,FALSE,"Assumptions"}</definedName>
    <definedName name="Temp_3" hidden="1">{#N/A,#N/A,FALSE,"Assessment";#N/A,#N/A,FALSE,"Staffing";#N/A,#N/A,FALSE,"Hires";#N/A,#N/A,FALSE,"Assumptions"}</definedName>
    <definedName name="temp1" hidden="1">{"PAGE 1",#N/A,FALSE,"WEST_OT"}</definedName>
    <definedName name="temp2" hidden="1">{"PAGE 1",#N/A,FALSE,"WEST_OT"}</definedName>
    <definedName name="temp3" hidden="1">{"PAGE 1",#N/A,FALSE,"WEST_OT"}</definedName>
    <definedName name="tempq"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3"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4"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5"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6" hidden="1">{#N/A,#N/A,TRUE,"FD IV Portfolio Summary ";#N/A,#N/A,TRUE,"Western";#N/A,#N/A,TRUE,"Kranson";#N/A,#N/A,TRUE,"ARC";#N/A,#N/A,TRUE,"Precise";#N/A,#N/A,TRUE,"WNA"}</definedName>
    <definedName name="tempq7"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8"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q" hidden="1">{#N/A,#N/A,FALSE,"Pharm";#N/A,#N/A,FALSE,"WWCM"}</definedName>
    <definedName name="Tequin" hidden="1">{#N/A,#N/A,FALSE,"Pharm";#N/A,#N/A,FALSE,"WWCM"}</definedName>
    <definedName name="tequinol" hidden="1">{#N/A,#N/A,FALSE,"REPORT"}</definedName>
    <definedName name="Ter">#REF!</definedName>
    <definedName name="TerFMV">#REF!</definedName>
    <definedName name="term">#REF!</definedName>
    <definedName name="TerPref">#REF!</definedName>
    <definedName name="tes" hidden="1">#REF!</definedName>
    <definedName name="tesg4" hidden="1">{"PAGE 1",#N/A,FALSE,"WEST_OT"}</definedName>
    <definedName name="test">Scheduled_Payment+Extra_Payment</definedName>
    <definedName name="test1" hidden="1">{"PAGE 1",#N/A,FALSE,"WEST_OT"}</definedName>
    <definedName name="test10" hidden="1">{"PAGE 1",#N/A,FALSE,"WEST_OT"}</definedName>
    <definedName name="test11" hidden="1">{"PAGE 1",#N/A,FALSE,"WEST_OT"}</definedName>
    <definedName name="test12" hidden="1">{"PAGE 2",#N/A,FALSE,"WEST_OT"}</definedName>
    <definedName name="test13" hidden="1">{"PAGE 2",#N/A,FALSE,"WEST_OT"}</definedName>
    <definedName name="test14" hidden="1">{"PAGE 1",#N/A,FALSE,"WEST_OT"}</definedName>
    <definedName name="test15" hidden="1">{"PAGE 1",#N/A,FALSE,"WEST_OT"}</definedName>
    <definedName name="test2">Scheduled_Payment+Extra_Payment</definedName>
    <definedName name="test20" hidden="1">{"PAGE 1",#N/A,FALSE,"WEST_OT"}</definedName>
    <definedName name="test21" hidden="1">{"PAGE 1",#N/A,FALSE,"WEST_OT"}</definedName>
    <definedName name="test22" hidden="1">{"PAGE 1",#N/A,FALSE,"WEST_OT"}</definedName>
    <definedName name="test23" hidden="1">{"PAGE 1",#N/A,FALSE,"WEST_OT"}</definedName>
    <definedName name="test24" hidden="1">{"PAGE 1",#N/A,FALSE,"WEST_OT"}</definedName>
    <definedName name="test25" hidden="1">{"PAGE 1",#N/A,FALSE,"WEST_OT"}</definedName>
    <definedName name="test26" hidden="1">{"PAGE 1",#N/A,FALSE,"WEST_OT"}</definedName>
    <definedName name="test27" hidden="1">{"PAGE 1",#N/A,FALSE,"WEST_OT"}</definedName>
    <definedName name="test28" hidden="1">{"PAGE 1",#N/A,FALSE,"WEST_OT"}</definedName>
    <definedName name="test29" hidden="1">{"PAGE 1",#N/A,FALSE,"WEST_OT"}</definedName>
    <definedName name="test3" hidden="1">{"PAGE 1",#N/A,FALSE,"WEST_OT"}</definedName>
    <definedName name="test30" hidden="1">{"PAGE 2",#N/A,FALSE,"WEST_OT"}</definedName>
    <definedName name="test31" hidden="1">{"PAGE 1",#N/A,FALSE,"WEST_OT"}</definedName>
    <definedName name="test32" hidden="1">{"PAGE 1",#N/A,FALSE,"WEST_OT"}</definedName>
    <definedName name="test33" hidden="1">{"PAGE 1",#N/A,FALSE,"WEST_OT"}</definedName>
    <definedName name="test34" hidden="1">{"PAGE 1",#N/A,FALSE,"WEST_OT"}</definedName>
    <definedName name="test35" hidden="1">{"PAGE 1",#N/A,FALSE,"WEST_OT"}</definedName>
    <definedName name="test36" hidden="1">{"PAGE 1",#N/A,FALSE,"WEST_OT"}</definedName>
    <definedName name="test37" hidden="1">{"PAGE 2",#N/A,FALSE,"WEST_OT"}</definedName>
    <definedName name="test38" hidden="1">{"PAGE 1",#N/A,FALSE,"WEST_OT"}</definedName>
    <definedName name="test39" hidden="1">{"PAGE 1",#N/A,FALSE,"WEST_OT"}</definedName>
    <definedName name="test4" hidden="1">{"PAGE 1",#N/A,FALSE,"WEST_OT"}</definedName>
    <definedName name="test40" hidden="1">{"PAGE 2",#N/A,FALSE,"WEST_OT"}</definedName>
    <definedName name="test41" hidden="1">{"PAGE 1",#N/A,FALSE,"WEST_OT"}</definedName>
    <definedName name="test42" hidden="1">{"PAGE 1",#N/A,FALSE,"WEST_OT"}</definedName>
    <definedName name="test43" hidden="1">{"PAGE 2",#N/A,FALSE,"WEST_OT"}</definedName>
    <definedName name="test44" hidden="1">{"PAGE 2",#N/A,FALSE,"WEST_OT"}</definedName>
    <definedName name="test45" hidden="1">{"PAGE 1",#N/A,FALSE,"WEST_OT"}</definedName>
    <definedName name="test46" hidden="1">{"PAGE 1",#N/A,FALSE,"WEST_OT"}</definedName>
    <definedName name="test5" hidden="1">{"PAGE 1",#N/A,FALSE,"WEST_OT"}</definedName>
    <definedName name="test6" hidden="1">{"PAGE 2",#N/A,FALSE,"WEST_OT"}</definedName>
    <definedName name="test7" hidden="1">{"PAGE 2",#N/A,FALSE,"WEST_OT"}</definedName>
    <definedName name="test8" hidden="1">{"PAGE 1",#N/A,FALSE,"WEST_OT"}</definedName>
    <definedName name="test9" hidden="1">{"PAGE 1",#N/A,FALSE,"WEST_OT"}</definedName>
    <definedName name="teste" hidden="1">{#N/A,#N/A,FALSE,"Pharm";#N/A,#N/A,FALSE,"WWCM"}</definedName>
    <definedName name="TESYT" hidden="1">{#N/A,#N/A,TRUE,"BUD VS ACT AUST 96";#N/A,#N/A,TRUE,"96 COMP P&amp;L-AUST";#N/A,#N/A,TRUE,"COMP BS-AUSTRALIA";#N/A,#N/A,TRUE,"B/S - AUSTR."}</definedName>
    <definedName name="tetas" hidden="1">{#N/A,#N/A,FALSE,"RESUMEN ECON.";#N/A,#N/A,FALSE,"Costos de R.H.";#N/A,#N/A,FALSE,"COSTO HW";#N/A,#N/A,FALSE,"CUADROS";#N/A,#N/A,FALSE,"SCADA´s";#N/A,#N/A,FALSE,"PRECIOS EQUIPOS"}</definedName>
    <definedName name="TextRefCopyRangeCount" hidden="1">2</definedName>
    <definedName name="tgj" hidden="1">{#N/A,#N/A,FALSE,"INPUTS";#N/A,#N/A,FALSE,"PROFORMA BSHEET";#N/A,#N/A,FALSE,"COMBINED";#N/A,#N/A,FALSE,"ACQUIROR";#N/A,#N/A,FALSE,"TARGET 1";#N/A,#N/A,FALSE,"TARGET 2";#N/A,#N/A,FALSE,"HIGH YIELD";#N/A,#N/A,FALSE,"OVERFUND"}</definedName>
    <definedName name="th">#REF!</definedName>
    <definedName name="thth" hidden="1">{#N/A,#N/A,FALSE,"Calc";#N/A,#N/A,FALSE,"Sensitivity";#N/A,#N/A,FALSE,"LT Earn.Dil.";#N/A,#N/A,FALSE,"Dil. AVP"}</definedName>
    <definedName name="Time" hidden="1">"b1"</definedName>
    <definedName name="Titan" hidden="1">{"kricash",#N/A,FALSE,"INC";"kriinc",#N/A,FALSE,"INC";"krimiami",#N/A,FALSE,"INC";"kriother",#N/A,FALSE,"INC";"kripapers",#N/A,FALSE,"INC"}</definedName>
    <definedName name="Titles">#REF!</definedName>
    <definedName name="tl" hidden="1">{#N/A,#N/A,FALSE,"FAB VENDORS";"BUD SUM",#N/A,FALSE,"BUD SUM WO TEX"}</definedName>
    <definedName name="Total_Interest">#REF!</definedName>
    <definedName name="Total_Pay">#REF!</definedName>
    <definedName name="Total_Payment">Scheduled_Payment+Extra_Payment</definedName>
    <definedName name="TotalAssetsCurr">#REF!</definedName>
    <definedName name="tre" hidden="1">{#N/A,#N/A,TRUE,"Sch-5a";#N/A,#N/A,TRUE,"Sch-5b";#N/A,#N/A,TRUE,"Sch-5c";#N/A,#N/A,TRUE,"Sch-5d";#N/A,#N/A,TRUE,"Sch-6a";#N/A,#N/A,TRUE,"Sch-6b";#N/A,#N/A,TRUE,"Sch-6c";#N/A,#N/A,TRUE,"Sch-6d";#N/A,#N/A,TRUE,"Sch-6e"}</definedName>
    <definedName name="trevor" hidden="1">{#N/A,#N/A,FALSE,"FAB VENDORS";"BUD SUM",#N/A,FALSE,"BUD SUM WO TEX"}</definedName>
    <definedName name="tru" hidden="1">#REF!</definedName>
    <definedName name="Trust2" hidden="1">{#N/A,#N/A,FALSE,"Summary";#N/A,#N/A,FALSE,"Financials";#N/A,#N/A,FALSE,"Returns";#N/A,#N/A,FALSE,"Open";#N/A,#N/A,FALSE,"Assumptions"}</definedName>
    <definedName name="tryeuyit" hidden="1">{#N/A,#N/A,FALSE,"Pharm";#N/A,#N/A,FALSE,"WWCM"}</definedName>
    <definedName name="tss" hidden="1">{#N/A,#N/A,TRUE,"ProFormaProfit";#N/A,#N/A,TRUE,"ProFormaCash";#N/A,#N/A,TRUE,"Depreciation";#N/A,#N/A,TRUE,"Assets";#N/A,#N/A,TRUE,"Revenue";#N/A,#N/A,TRUE,"EstimatedPurchase"}</definedName>
    <definedName name="ttt" hidden="1">{#N/A,#N/A,FALSE,"COMP BS-FRANCE";#N/A,#N/A,FALSE,"96 COMP P&amp;L-FRANCE";#N/A,#N/A,FALSE,"BUD VS ACT FRAN 96";#N/A,#N/A,FALSE,"B/S - FRANCE"}</definedName>
    <definedName name="tttt"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tttttt"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U" hidden="1">{#N/A,#N/A,FALSE,"CNS_ADJ";"Balance Consolidado",#N/A,FALSE,"BCEC_CNS";#N/A,#N/A,FALSE,"USGAAP_ADJ"}</definedName>
    <definedName name="Tulsa" hidden="1">{#N/A,#N/A,FALSE,"Report Data";#N/A,#N/A,FALSE,"COMP POOL";#N/A,#N/A,FALSE,"COMP POOL NB95";#N/A,#N/A,FALSE,"COMP POOL NB94"}</definedName>
    <definedName name="tut" hidden="1">{#N/A,#N/A,TRUE,"ProFormaProfit";#N/A,#N/A,TRUE,"ProFormaCash";#N/A,#N/A,TRUE,"Depreciation";#N/A,#N/A,TRUE,"Assets";#N/A,#N/A,TRUE,"Revenue";#N/A,#N/A,TRUE,"EstimatedPurchase"}</definedName>
    <definedName name="tuv" hidden="1">{#N/A,#N/A,TRUE,"Sch-5a";#N/A,#N/A,TRUE,"Sch-5b";#N/A,#N/A,TRUE,"Sch-5c";#N/A,#N/A,TRUE,"Sch-5d";#N/A,#N/A,TRUE,"Sch-6a";#N/A,#N/A,TRUE,"Sch-6b";#N/A,#N/A,TRUE,"Sch-6c";#N/A,#N/A,TRUE,"Sch-6d";#N/A,#N/A,TRUE,"Sch-6e"}</definedName>
    <definedName name="two.print" hidden="1">{"month",#N/A,FALSE,"LOPL594";"ytd",#N/A,FALSE,"LOPL594"}</definedName>
    <definedName name="tx_roll_cy">#REF!,#REF!</definedName>
    <definedName name="tx_roll_py">#REF!,#REF!</definedName>
    <definedName name="tx_roll_py1">#REF!,#REF!</definedName>
    <definedName name="tx_roll_py10">#REF!,#REF!</definedName>
    <definedName name="tx_roll_py11">#REF!,#REF!</definedName>
    <definedName name="tx_roll_py12">#REF!,#REF!</definedName>
    <definedName name="tx_roll_py13">#REF!,#REF!</definedName>
    <definedName name="tx_roll_py14">#REF!,#REF!</definedName>
    <definedName name="tx_roll_py15">#REF!,#REF!</definedName>
    <definedName name="tx_roll_py2">#REF!,#REF!</definedName>
    <definedName name="tx_roll_py3">#REF!,#REF!</definedName>
    <definedName name="tx_roll_py4">#REF!,#REF!</definedName>
    <definedName name="tx_roll_py5">#REF!,#REF!</definedName>
    <definedName name="tx_roll_py6">#REF!,#REF!</definedName>
    <definedName name="tx_roll_py7">#REF!,#REF!</definedName>
    <definedName name="tx_roll_py8">#REF!,#REF!</definedName>
    <definedName name="tx_roll_py9">#REF!,#REF!</definedName>
    <definedName name="tyler"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pist" hidden="1">"b1"</definedName>
    <definedName name="tyu" hidden="1">{"MARCH",#N/A,FALSE,"CONSO OPEX 5899";"FullOpex",#N/A,FALSE,"CONSO OPEX 5899"}</definedName>
    <definedName name="tyuiktyu" hidden="1">{#N/A,#N/A,FALSE,"COVER";#N/A,#N/A,FALSE,"Index";#N/A,#N/A,FALSE,"Non-Earning";#N/A,#N/A,FALSE,"Mortgage_Legal";#N/A,#N/A,FALSE,"Mortgages"}</definedName>
    <definedName name="tyutytyi" hidden="1">{#N/A,#N/A,FALSE,"Pharm";#N/A,#N/A,FALSE,"WWCM"}</definedName>
    <definedName name="tyyufkjkhjd" hidden="1">{#N/A,#N/A,FALSE,"Pharm";#N/A,#N/A,FALSE,"WWCM"}</definedName>
    <definedName name="u" hidden="1">{"CSheet",#N/A,FALSE,"C";"SmCap",#N/A,FALSE,"VAL1";"GulfCoast",#N/A,FALSE,"VAL1";"nav",#N/A,FALSE,"NAV";"Summary",#N/A,FALSE,"NAV"}</definedName>
    <definedName name="UK" hidden="1">{#N/A,#N/A,TRUE,"BUD VS ACT AUST 96";#N/A,#N/A,TRUE,"96 COMP P&amp;L-AUST";#N/A,#N/A,TRUE,"COMP BS-AUSTRALIA";#N/A,#N/A,TRUE,"B/S - AUSTR."}</definedName>
    <definedName name="Unit" hidden="1">{#N/A,#N/A,FALSE,"Pharm";#N/A,#N/A,FALSE,"WWCM"}</definedName>
    <definedName name="unit_price">#REF!</definedName>
    <definedName name="United"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S">#REF!</definedName>
    <definedName name="usd">#REF!</definedName>
    <definedName name="Useful_Life">#REF!</definedName>
    <definedName name="uyfk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aluationDate">#REF!</definedName>
    <definedName name="Value.2" hidden="1">{#N/A,#N/A,FALSE,"Cashflow Analysis";#N/A,#N/A,FALSE,"Sensitivity Analysis";#N/A,#N/A,FALSE,"PV";#N/A,#N/A,FALSE,"Pro Forma"}</definedName>
    <definedName name="value1" hidden="1">{#N/A,#N/A,FALSE,"Cashflow Analysis";#N/A,#N/A,FALSE,"Sensitivity Analysis";#N/A,#N/A,FALSE,"PV";#N/A,#N/A,FALSE,"Pro Forma"}</definedName>
    <definedName name="value1.2" hidden="1">{#N/A,#N/A,FALSE,"Cashflow Analysis";#N/A,#N/A,FALSE,"Sensitivity Analysis";#N/A,#N/A,FALSE,"PV";#N/A,#N/A,FALSE,"Pro Forma"}</definedName>
    <definedName name="Values_Entered">IF(Loan_Amount*Interest_Rate*Loan_Years*Loan_Start&gt;0,1,0)</definedName>
    <definedName name="Var_type">#REF!</definedName>
    <definedName name="varianc" hidden="1">{#N/A,#N/A,TRUE,"Mth Sum";#N/A,#N/A,TRUE,"YTD Sum";#N/A,#N/A,TRUE,"Mth Rev Sum";#N/A,#N/A,TRUE,"YTD Rev Sum";#N/A,#N/A,TRUE,"SC vs Pr Month (Revised)";#N/A,#N/A,TRUE,"SVC Detail Mth vs Pr Mth (Rev)";#N/A,#N/A,TRUE,"SGA (Elem) vs Pr Month";#N/A,#N/A,TRUE,"SGA (BU) vs Pr Mth";#N/A,#N/A,TRUE,"SC vs Plan (Revised)";#N/A,#N/A,TRUE,"SVC Detail Mth vsPlan (Rev)";#N/A,#N/A,TRUE,"SGA (Elem) vs Plan";#N/A,#N/A,TRUE,"SGA (BU) vs Plan(Rev)";#N/A,#N/A,TRUE,"SC vs YTD 00 (Revised)";#N/A,#N/A,TRUE,"SGA (Elem) vs YTD 00";#N/A,#N/A,TRUE,"SGA (BU) YTD vs YTD 00";#N/A,#N/A,TRUE,"SC vs YTD Plan (Revised)";#N/A,#N/A,TRUE,"SVC YTD Detail Mth vsPlan (Rev)";#N/A,#N/A,TRUE,"SGA (Elem) vs YTD Plan";#N/A,#N/A,TRUE,"SGA (BU) YTD vs Plan(Rev)";#N/A,#N/A,TRUE,"CapExp";#N/A,#N/A,TRUE,"EBITDA(Flash)";#N/A,#N/A,TRUE,"NetInc(Flash)";#N/A,#N/A,TRUE,"Gross Margin(Flash)";#N/A,#N/A,TRUE,"Mth trends(Flash)";#N/A,#N/A,TRUE,"HeadcountP01";#N/A,#N/A,TRUE,"Headcount P00";#N/A,#N/A,TRUE,"Inc. Statement";#N/A,#N/A,TRUE,"Balance Sheet";#N/A,#N/A,TRUE,"Cash Flow"}</definedName>
    <definedName name="Veneco" hidden="1">{"one",#N/A,TRUE,"Alaska";"two",#N/A,TRUE,"Alaska";"three",#N/A,TRUE,"Alaska";"four",#N/A,TRUE,"Alaska"}</definedName>
    <definedName name="vertex42_copyright" hidden="1">"© 2009-2017 Vertex42 LLC"</definedName>
    <definedName name="vertex42_id" hidden="1">"depreciation-schedule.xlsx"</definedName>
    <definedName name="vertex42_title" hidden="1">"Depreciation Schedule Template"</definedName>
    <definedName name="viajes" hidden="1">{#N/A,#N/A,TRUE,"RESUMEN ECON.";#N/A,#N/A,TRUE,"Costos de R.H.";#N/A,#N/A,TRUE,"COSTO HW";#N/A,#N/A,TRUE,"CUADROS";#N/A,#N/A,TRUE,"SCADA´s";#N/A,#N/A,TRUE,"PRECIOS EQUIPOS"}</definedName>
    <definedName name="viajes2" hidden="1">{#N/A,#N/A,TRUE,"RESUMEN ECON.";#N/A,#N/A,TRUE,"Costos de R.H.";#N/A,#N/A,TRUE,"COSTO HW";#N/A,#N/A,TRUE,"CUADROS";#N/A,#N/A,TRUE,"SCADA´s";#N/A,#N/A,TRUE,"PRECIOS EQUIPOS"}</definedName>
    <definedName name="Viastar" hidden="1">{#N/A,#N/A,FALSE,"Assumptions";#N/A,#N/A,FALSE,"N-IS-Sum";#N/A,#N/A,FALSE,"N-St-Sum";#N/A,#N/A,FALSE,"Inc Stmt";#N/A,#N/A,FALSE,"Stats"}</definedName>
    <definedName name="victor" hidden="1">{"multiple",#N/A,FALSE,"client";"margins",#N/A,FALSE,"client";"data",#N/A,FALSE,"client"}</definedName>
    <definedName name="vnbs" hidden="1">{"FCB_ALL",#N/A,FALSE,"FCB"}</definedName>
    <definedName name="vo" hidden="1">{"consolidated",#N/A,FALSE,"Sheet1";"cms",#N/A,FALSE,"Sheet1";"fse",#N/A,FALSE,"Sheet1"}</definedName>
    <definedName name="vsr" hidden="1">{"FCB_ALL",#N/A,FALSE,"FCB"}</definedName>
    <definedName name="vv" hidden="1">{"cash_marc",#N/A,FALSE,"dec95cr.xls"}</definedName>
    <definedName name="vvvv" hidden="1">{#N/A,#N/A,FALSE,"Cashflow Analysis";#N/A,#N/A,FALSE,"Sensitivity Analysis";#N/A,#N/A,FALSE,"PV";#N/A,#N/A,FALSE,"Pro Forma"}</definedName>
    <definedName name="VVVV.2" hidden="1">{#N/A,#N/A,FALSE,"Cashflow Analysis";#N/A,#N/A,FALSE,"Sensitivity Analysis";#N/A,#N/A,FALSE,"PV";#N/A,#N/A,FALSE,"Pro Forma"}</definedName>
    <definedName name="VZDX"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 hidden="1">{"ReportTop",#N/A,FALSE,"report top"}</definedName>
    <definedName name="wafe" hidden="1">{"summary1",#N/A,TRUE,"Comps";"summary2",#N/A,TRUE,"Comps";"summary3",#N/A,TRUE,"Comps"}</definedName>
    <definedName name="was" hidden="1">{#N/A,#N/A,FALSE,"Sales Graph";#N/A,#N/A,FALSE,"BUC Graph";#N/A,#N/A,FALSE,"P&amp;L - YTD"}</definedName>
    <definedName name="wb" hidden="1">{#N/A,#N/A,FALSE,"Pharm";#N/A,#N/A,FALSE,"WWCM"}</definedName>
    <definedName name="wc" hidden="1">{#N/A,#N/A,FALSE,"Pharm";#N/A,#N/A,FALSE,"WWCM"}</definedName>
    <definedName name="wc.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E" hidden="1">{#N/A,#N/A,FALSE,"COVER";#N/A,#N/A,FALSE,"Index";#N/A,#N/A,FALSE,"Non-Earning";#N/A,#N/A,FALSE,"Commercial";#N/A,#N/A,FALSE,"Detailed"}</definedName>
    <definedName name="WEA"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d" hidden="1">{#N/A,#N/A,FALSE,"INPUTS";#N/A,#N/A,FALSE,"PROFORMA BSHEET";#N/A,#N/A,FALSE,"COMBINED";#N/A,#N/A,FALSE,"ACQUIROR";#N/A,#N/A,FALSE,"TARGET 1";#N/A,#N/A,FALSE,"TARGET 2";#N/A,#N/A,FALSE,"HIGH YIELD";#N/A,#N/A,FALSE,"OVERFUND"}</definedName>
    <definedName name="wef" hidden="1">{#N/A,#N/A,FALSE,"INPUTS";#N/A,#N/A,FALSE,"PROFORMA BSHEET";#N/A,#N/A,FALSE,"COMBINED";#N/A,#N/A,FALSE,"HIGH YIELD";#N/A,#N/A,FALSE,"COMB_GRAPHS"}</definedName>
    <definedName name="wefa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f" hidden="1">{#N/A,#N/A,FALSE,"Assum";#N/A,#N/A,FALSE,"IS";#N/A,#N/A,FALSE,"Op-BS";#N/A,#N/A,FALSE,"BSCF";#N/A,#N/A,FALSE,"Brad_IS";#N/A,#N/A,FALSE,"Brad_BSCF";#N/A,#N/A,FALSE,"Nick_IS";#N/A,#N/A,FALSE,"Nick_BSCF";#N/A,#N/A,FALSE,"Mobile_IS";#N/A,#N/A,FALSE,"Mobile_BSCF";#N/A,#N/A,FALSE,"Syn+Elim";#N/A,#N/A,FALSE,"Ratings"}</definedName>
    <definedName name="wefyjtf"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ekwn" hidden="1">{"'Edit'!$A$1:$V$2277"}</definedName>
    <definedName name="welw" hidden="1">{"'Edit'!$A$1:$V$2277"}</definedName>
    <definedName name="WEQQE" hidden="1">{"summary1",#N/A,TRUE,"Comps";"summary2",#N/A,TRUE,"Comps";"summary3",#N/A,TRUE,"Comps"}</definedName>
    <definedName name="wererer" hidden="1">{"arpm1995",#N/A,FALSE,"Summary 95-96";"bus_long_distance",#N/A,FALSE,"Summary 95-96";"mins_per_day",#N/A,FALSE,"Summary 95-96";"minutes1995",#N/A,FALSE,"Summary 95-96";"rev_per_day",#N/A,FALSE,"Summary 95-96";"view1995",#N/A,FALSE,"Summary 95-96"}</definedName>
    <definedName name="werrr" hidden="1">{#N/A,#N/A,FALSE,"Pharm";#N/A,#N/A,FALSE,"WWCM"}</definedName>
    <definedName name="wg" hidden="1">{"ReportTop",#N/A,FALSE,"report top"}</definedName>
    <definedName name="What?" hidden="1">{#N/A,#N/A,TRUE,"Summary";#N/A,#N/A,TRUE,"Financials"}</definedName>
    <definedName name="What2?" hidden="1">{#N/A,#N/A,TRUE,"Summary";#N/A,#N/A,TRUE,"Financials";#N/A,#N/A,TRUE,"Assumptions";#N/A,#N/A,TRUE,"Pro Forma";#N/A,#N/A,TRUE,"Debt";#N/A,#N/A,TRUE,"Amortization";#N/A,#N/A,TRUE,"GG Returns"}</definedName>
    <definedName name="What3?" hidden="1">{#N/A,#N/A,TRUE,"Summary";#N/A,#N/A,TRUE,"Assumptions";#N/A,#N/A,TRUE,"Comparison";#N/A,#N/A,TRUE,"Financials";#N/A,#N/A,TRUE,"Plan v. Act"}</definedName>
    <definedName name="WHO" hidden="1">{#N/A,#N/A,FALSE,"SUMMARY";#N/A,#N/A,FALSE,"DETAIL";#N/A,#N/A,FALSE,"VARIANCE"}</definedName>
    <definedName name="wholesaleforecast" hidden="1">{"SUM",#N/A,FALSE,"Details (2)"}</definedName>
    <definedName name="willem"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orking" hidden="1">{#N/A,#N/A,FALSE,"REPORT"}</definedName>
    <definedName name="Workpapers">#REF!</definedName>
    <definedName name="wpw" hidden="1">{#N/A,#N/A,FALSE,"TopTen Failures";#N/A,#N/A,FALSE,"Top Ten %";#N/A,#N/A,FALSE,"Fail Code 5 mo. Totals (%)"}</definedName>
    <definedName name="wqe" hidden="1">{#N/A,#N/A,TRUE,"Sch-1a";#N/A,#N/A,TRUE,"Sch-1b";#N/A,#N/A,TRUE,"Sch-1c";#N/A,#N/A,TRUE,"Sch-1d";#N/A,#N/A,TRUE,"Sch-2a";#N/A,#N/A,TRUE,"Sch-2b";#N/A,#N/A,TRUE,"Sch-2c";#N/A,#N/A,TRUE,"Sch-3a";#N/A,#N/A,TRUE,"Sch-3b";#N/A,#N/A,TRUE,"Sch-3c";#N/A,#N/A,TRUE,"Sch-3d";#N/A,#N/A,TRUE,"Sch-3e"}</definedName>
    <definedName name="wqefh" hidden="1">{#N/A,#N/A,FALSE,"ACQ_GRAPHS";#N/A,#N/A,FALSE,"T_1 GRAPHS";#N/A,#N/A,FALSE,"T_2 GRAPHS";#N/A,#N/A,FALSE,"COMB_GRAPHS"}</definedName>
    <definedName name="wr" hidden="1">{"Cashflow chart",#N/A,TRUE,"A";"Rev Assumptions",#N/A,TRUE,"B";"Rev Reconcilliation 1",#N/A,TRUE,"B";"Rev Reconcilliation 2",#N/A,TRUE,"B";"exp 1",#N/A,TRUE,"C";"exp 2",#N/A,TRUE,"C";"exp3",#N/A,TRUE,"C";"cap 1",#N/A,TRUE,"D";"exp4",#N/A,TRUE,"C";"cap 2",#N/A,TRUE,"D";"cap 3",#N/A,TRUE,"D";"inputs",#N/A,TRUE,"E"}</definedName>
    <definedName name="wr_1" hidden="1">{"Cashflow chart",#N/A,TRUE,"A";"Rev Assumptions",#N/A,TRUE,"B";"Rev Reconcilliation 1",#N/A,TRUE,"B";"Rev Reconcilliation 2",#N/A,TRUE,"B";"exp 1",#N/A,TRUE,"C";"exp 2",#N/A,TRUE,"C";"exp3",#N/A,TRUE,"C";"cap 1",#N/A,TRUE,"D";"exp4",#N/A,TRUE,"C";"cap 2",#N/A,TRUE,"D";"cap 3",#N/A,TRUE,"D";"inputs",#N/A,TRUE,"E"}</definedName>
    <definedName name="wrd.2._.pagers.3" hidden="1">{"Cover",#N/A,FALSE,"Cover";"Summary",#N/A,FALSE,"Summarpage"}</definedName>
    <definedName name="wrd.2_.pagers.3" hidden="1">{"Cover",#N/A,FALSE,"Cover";"Summary",#N/A,FALSE,"Summarpage"}</definedName>
    <definedName name="wrer" hidden="1">{"arpm1995",#N/A,FALSE,"Summary 95-96";"bus_long_distance",#N/A,FALSE,"Summary 95-96";"mins_per_day",#N/A,FALSE,"Summary 95-96";"minutes1995",#N/A,FALSE,"Summary 95-96";"rev_per_day",#N/A,FALSE,"Summary 95-96";"view1995",#N/A,FALSE,"Summary 95-96"}</definedName>
    <definedName name="wrn" hidden="1">{"FCB_ALL",#N/A,FALSE,"FCB"}</definedName>
    <definedName name="wrn.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hidden="1">{#N/A,#N/A,FALSE,"Calc";#N/A,#N/A,FALSE,"Sensitivity";#N/A,#N/A,FALSE,"LT Earn.Dil.";#N/A,#N/A,FALSE,"Dil. AVP"}</definedName>
    <definedName name="wrn.100._.Monthly._.Package."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K._.FS._.AND._.TABLES."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Q._.FS._.AND._.TABLES."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TABLES." hidden="1">{#N/A,#N/A,FALSE,"TABLE_1 YTD";#N/A,#N/A,FALSE,"TABLE_1A QTD"}</definedName>
    <definedName name="wrn.111111" hidden="1">{#N/A,#N/A,FALSE,"Pharm";#N/A,#N/A,FALSE,"WWCM"}</definedName>
    <definedName name="wrn.12_30._.Adv._.Book."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3100._.Port._.Review."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998._.FINANCIAL._.STATEMENTS." hidden="1">{"QTR2PGIBS",#N/A,FALSE,"Qtr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wrn.1998._.IPO._.Update." hidden="1">{#N/A,#N/A,FALSE,"Summary";#N/A,#N/A,FALSE,"Pending";#N/A,#N/A,FALSE,"Aug'98";#N/A,#N/A,FALSE,"July'98";#N/A,#N/A,FALSE,"June'98";#N/A,#N/A,FALSE,"May'98";#N/A,#N/A,FALSE,"Apr'98";#N/A,#N/A,FALSE,"Mar'98";#N/A,#N/A,FALSE,"Feb'98";#N/A,#N/A,FALSE,"Jan'98"}</definedName>
    <definedName name="wrn.2._.pagers." hidden="1">{"Cover",#N/A,FALSE,"Cover";"Summary",#N/A,FALSE,"Summarpage"}</definedName>
    <definedName name="wrn.2._.pagers.2" hidden="1">{"Cover",#N/A,FALSE,"Cover";"Summary",#N/A,FALSE,"Summarpage"}</definedName>
    <definedName name="wrn.2._.pagers.3" hidden="1">{"Cover",#N/A,FALSE,"Cover";"Summary",#N/A,FALSE,"Summarpage"}</definedName>
    <definedName name="wrn.2._.pagers.4" hidden="1">{"Cover",#N/A,FALSE,"Cover";"Summary",#N/A,FALSE,"Summarpage"}</definedName>
    <definedName name="wrn.2._.pagers.5" hidden="1">{"Cover",#N/A,FALSE,"Cover";"Summary",#N/A,FALSE,"Summarpage"}</definedName>
    <definedName name="wrn.2._.pagers.6" hidden="1">{"Cover",#N/A,FALSE,"Cover";"Summary",#N/A,FALSE,"Summarpage"}</definedName>
    <definedName name="wrn.2._.pagers.8" hidden="1">{"Cover",#N/A,FALSE,"Cover";"Summary",#N/A,FALSE,"Summarpage"}</definedName>
    <definedName name="wrn.2._pagers.4" hidden="1">{"Cover",#N/A,FALSE,"Cover";"Summary",#N/A,FALSE,"Summarpage"}</definedName>
    <definedName name="wrn.2_5_99._.Scenarios." hidden="1">{#N/A,"Scenario 4; Book Value",FALSE,"Stream INPUTS";#N/A,"Scenario 4; Market Value",FALSE,"Stream INPUTS";#N/A,"Scenario 5; Book Value",FALSE,"Stream INPUTS";#N/A,"Scenario 5; Market Value",FALSE,"Stream INPUTS"}</definedName>
    <definedName name="wrn.2000._.Package._.GOM." hidden="1">{"2000PPE",#N/A,FALSE,"PPE 2000";"2000DD",#N/A,FALSE,"DrydocksOther"}</definedName>
    <definedName name="wrn.2003._.Detail._.in._.Dollars." hidden="1">{#N/A,#N/A,FALSE,"2003 Est";#N/A,#N/A,FALSE,"2003 Pr";#N/A,#N/A,FALSE,"2003 Plan"}</definedName>
    <definedName name="wrn.2003._.Detail._.per._.pax." hidden="1">{#N/A,#N/A,FALSE,"2003 Est per pax";#N/A,#N/A,FALSE,"2003 Pr per pax";#N/A,#N/A,FALSE,"2003 Plan per pax"}</definedName>
    <definedName name="wrn.2003._.RM._.Reports." hidden="1">{#N/A,#N/A,FALSE,"Prd Summ 03Prvs03E";#N/A,#N/A,FALSE,"Prd Summ 03Pvs03E"}</definedName>
    <definedName name="wrn.2004._.Budget." hidden="1">{#N/A,#N/A,FALSE,"Wynd";#N/A,#N/A,FALSE,"Wynd Sales-100";#N/A,#N/A,FALSE,"Wynd Marketing-200";#N/A,#N/A,FALSE,"Wynd IT-300";#N/A,#N/A,FALSE,"Wynd NOC-321";#N/A,#N/A,FALSE,"Wynd Admin-400";#N/A,#N/A,FALSE,"Wynd Operations-500"}</definedName>
    <definedName name="wrn.2004._.Detail._.in._.Dollars." hidden="1">{#N/A,#N/A,FALSE,"2004 Est";#N/A,#N/A,FALSE,"2004 Pr Est";#N/A,#N/A,FALSE,"2004 Plan"}</definedName>
    <definedName name="wrn.2004._.Detail._.per._.pax." hidden="1">{#N/A,#N/A,FALSE,"2004 Est per pax";#N/A,#N/A,FALSE,"2004 Pr per pax";#N/A,#N/A,FALSE,"2004 Plan per pax"}</definedName>
    <definedName name="wrn.2004._.RM._.Reports." hidden="1">{#N/A,#N/A,FALSE,"Prd Summ 04Pvs04E";#N/A,#N/A,FALSE,"Prd Summ 04Prvs04E";#N/A,#N/A,FALSE,"Prd Summ 03Evs04E"}</definedName>
    <definedName name="wrn.3.00._.Adv.._.Board."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cases." hidden="1">{#N/A,"Base",FALSE,"Dividend";#N/A,"Conservative",FALSE,"Dividend";#N/A,"Downside",FALSE,"Dividend"}</definedName>
    <definedName name="wrn.5._.Year._.Plan." hidden="1">{"Consolidated assumptions 1",#N/A,FALSE,"CONSO";"Consolidated assumptions 2",#N/A,FALSE,"CONSO";"Consolidated assumptions 3",#N/A,FALSE,"CONSO";"Consolidated earnings",#N/A,FALSE,"CONSO";"Consolidated Cash Flow",#N/A,FALSE,"CONSO";"Consolidated Balance Sheet",#N/A,FALSE,"CONSO";"Consolidated Cap-Ex",#N/A,FALSE,"CONSO";"Paper Donnacona summary assumptions",#N/A,FALSE,"PAPER DONNACONA";"Paper Donnacona earnings",#N/A,FALSE,"PAPER DONNACONA";"Paper Donnacona Cash Flow",#N/A,FALSE,"PAPER DONNACONA";"Paper Donnacona Balance Sheet",#N/A,FALSE,"PAPER DONNACONA";"Paper Donnacona Cap-ex",#N/A,FALSE,"PAPER DONNACONA";"Paper Dolbeau summary assumptions",#N/A,FALSE,"PAPER DOLBEAU";"Paper Dolbeau earnings",#N/A,FALSE,"PAPER DOLBEAU";"Paper Dolbeau Cash Flow",#N/A,FALSE,"PAPER DOLBEAU";"Paper Dolbeau Balance Sheet",#N/A,FALSE,"PAPER DOLBEAU";"Paper Dolbeau Cap-ex",#N/A,FALSE,"PAPER DOLBEAU";"Lumber assumptions 1",#N/A,FALSE,"LUMBER";"Lumber assumptions 2",#N/A,FALSE,"LUMBER";"Lumber earnings",#N/A,FALSE,"LUMBER";"Lumber Cash Flow",#N/A,FALSE,"LUMBER";"Lumber Balance Sheet",#N/A,FALSE,"LUMBER";"Lumber Cap-ex",#N/A,FALSE,"LUMBER";"Coosa assumptions 1",#N/A,FALSE,"COOSA";"Coosa assumptions 2",#N/A,FALSE,"COOSA";"Coosa earnings",#N/A,FALSE,"COOSA";"Coosa Cash Flow",#N/A,FALSE,"COOSA";"Coosa Balance Sheet",#N/A,FALSE,"COOSA";"Coosa Cap-ex",#N/A,FALSE,"COOSA";"Head Office assumptions",#N/A,FALSE,"H.OFFICE";"Head Office earnings",#N/A,FALSE,"H.OFFICE";"Head Office Cash Flow",#N/A,FALSE,"H.OFFICE";"Head Office Balance Sheet",#N/A,FALSE,"H.OFFICE";"Head Office Cap-ex",#N/A,FALSE,"H.OFFICE";"Tax 1",#N/A,FALSE,"impôt";"Tax 2",#N/A,FALSE,"impôt"}</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8964sch." hidden="1">{"Membership",#N/A,FALSE,"8964SCH";"Membership2",#N/A,FALSE,"8964SCH"}</definedName>
    <definedName name="wrn.9_30._.Adv._.Board."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LP._.Meeting."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05" hidden="1">{#N/A,#N/A,FALSE,"REPORT"}</definedName>
    <definedName name="wrn.96._.Plan."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1."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9999" hidden="1">{#N/A,#N/A,FALSE,"REPORT"}</definedName>
    <definedName name="wrn.A_VALUATION." hidden="1">{#N/A,#N/A,FALSE,"A_D";#N/A,#N/A,FALSE,"WACC";#N/A,#N/A,FALSE,"DCF";#N/A,#N/A,FALSE,"A";#N/A,#N/A,FALSE,"LBO";#N/A,#N/A,FALSE,"C";#N/A,#N/A,FALSE,"impd";#N/A,#N/A,FALSE,"comps"}</definedName>
    <definedName name="wrn.aaa" hidden="1">{#N/A,#N/A,FALSE,"Pharm";#N/A,#N/A,FALSE,"WWCM"}</definedName>
    <definedName name="wrn.aaaaaaa" hidden="1">{#N/A,#N/A,FALSE,"Pharm";#N/A,#N/A,FALSE,"WWCM"}</definedName>
    <definedName name="wrn.abc" hidden="1">{#N/A,#N/A,FALSE,"Index";#N/A,#N/A,FALSE,"IncStmt";#N/A,#N/A,FALSE,"Ratios";#N/A,#N/A,FALSE,"CashFlows";#N/A,#N/A,FALSE,"Ins1";#N/A,#N/A,FALSE,"Ins2";#N/A,#N/A,FALSE,"SelfFund";#N/A,#N/A,FALSE,"SGA";#N/A,#N/A,FALSE,"Recon";#N/A,#N/A,FALSE,"Earnings";#N/A,#N/A,FALSE,"Earnings (2)";#N/A,#N/A,FALSE,"Stock";#N/A,#N/A,FALSE,"Stock (2)";#N/A,#N/A,FALSE,"PeerRatios";#N/A,#N/A,FALSE,"PeerRanks"}</definedName>
    <definedName name="wrn.Accounts." hidden="1">{"turnover",#N/A,FALSE;"profits",#N/A,FALSE;"cash",#N/A,FALSE}</definedName>
    <definedName name="wrn.Accr_Dil." hidden="1">{#N/A,#N/A,FALSE,"Debt Accr";#N/A,#N/A,FALSE,"Stock Accr";#N/A,#N/A,FALSE,"Debt Stock Accr"}</definedName>
    <definedName name="wrn.Accretion." hidden="1">{"Accretion",#N/A,FALSE,"Assum"}</definedName>
    <definedName name="wrn.ACCT._.PACKAGE._.REPORT." hidden="1">{#N/A,#N/A,TRUE,"Highlights";#N/A,#N/A,TRUE,"BS_Oriental International Bank";#N/A,#N/A,TRUE,"P&amp;L_Oriental International Bank";#N/A,#N/A,TRUE,"Revenues Report_OIB";#N/A,#N/A,TRUE,"Expenses OIB";#N/A,#N/A,TRUE,"Margin_ORIENTAL INTL BANK";#N/A,#N/A,TRUE,"PL Quarterly_OIB";#N/A,#N/A,TRUE,"COVER"}</definedName>
    <definedName name="wrn.ACI." hidden="1">{"ACI IS",#N/A,FALSE,"ACI - IS";"ACI BS",#N/A,FALSE,"ACI - BS";"ACI Detail IS",#N/A,FALSE,"ACI - Detail IS";"ACI Detail IS Supplemental Info",#N/A,FALSE,"ACI - Detail IS";"ACI Monthly 1999",#N/A,FALSE,"ACI Monthly";"ACI Monthly 1998",#N/A,FALSE,"ACI Monthly";"ACI Monthly 1997",#N/A,FALSE,"ACI Monthly"}</definedName>
    <definedName name="wrn.AcqState." hidden="1">{#N/A,#N/A,TRUE,"Acq-Ass";#N/A,#N/A,TRUE,"Acq-IS";#N/A,#N/A,TRUE,"Acq-BS";#N/A,#N/A,TRUE,"Acq-CF"}</definedName>
    <definedName name="wrn.AcqState1" hidden="1">{#N/A,#N/A,TRUE,"Acq-Ass";#N/A,#N/A,TRUE,"Acq-IS";#N/A,#N/A,TRUE,"Acq-BS";#N/A,#N/A,TRUE,"Acq-CF"}</definedName>
    <definedName name="wrn.Acquiror." hidden="1">{#N/A,#N/A,TRUE,"Acq-Ass";#N/A,#N/A,TRUE,"Acq-IS";#N/A,#N/A,TRUE,"Acq-BS";#N/A,#N/A,TRUE,"Acq-CF";#N/A,#N/A,TRUE,"Acq-Proj";#N/A,#N/A,TRUE,"Acq-CapEx";#N/A,#N/A,TRUE,"Acq-Debt";#N/A,#N/A,TRUE,"Acq-Int";#N/A,#N/A,TRUE,"Acq-BD";#N/A,#N/A,TRUE,"Acq-TD";#N/A,#N/A,TRUE,"Acq-Taxes";#N/A,#N/A,TRUE,"Acq-Credit";#N/A,#N/A,TRUE,"Acq-Val";#N/A,#N/A,TRUE,"Acq-Mult Val"}</definedName>
    <definedName name="wrn.Acquisition_matrix." hidden="1">{"Acq_matrix",#N/A,FALSE,"Acquisition Matrix"}</definedName>
    <definedName name="wrn.AcqVal." hidden="1">{#N/A,#N/A,FALSE,"Acq-Val";#N/A,#N/A,FALSE,"Acq-Mult Val"}</definedName>
    <definedName name="wrn.adj95." hidden="1">{"adj95mult",#N/A,FALSE,"COMPCO";"adj95est",#N/A,FALSE,"COMPCO"}</definedName>
    <definedName name="wrn.adj95a" hidden="1">{"adj95mult",#N/A,FALSE,"COMPCO";"adj95est",#N/A,FALSE,"COMPCO"}</definedName>
    <definedName name="wrn.AGING._.ALL." hidden="1">{#N/A,#N/A,FALSE,"CURR-AG";#N/A,#N/A,FALSE,"BDS-AG";#N/A,#N/A,FALSE,"GOLD-AG";#N/A,#N/A,FALSE,"EXOT-AG";#N/A,#N/A,FALSE,"EQTY-AG";#N/A,#N/A,FALSE,"EMG RP-AG";#N/A,#N/A,FALSE,"$REPO-AG";#N/A,#N/A,FALSE,"PFD EQTY-AG";#N/A,#N/A,FALSE,"EMG BDS-AG";#N/A,#N/A,FALSE,"LATIN$-AG";#N/A,#N/A,FALSE,"DERIV-AG";#N/A,#N/A,FALSE,"EAST$-AG";#N/A,#N/A,FALSE,"NON-MEX-AG";#N/A,#N/A,FALSE,"ELECT-AG"}</definedName>
    <definedName name="wrn.Aging._.and._.Trend._.Analysis."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_1_1" hidden="1">{#N/A,#N/A,FALSE,"Aging Summary";#N/A,#N/A,FALSE,"Ratio Analysis";#N/A,#N/A,FALSE,"Test 120 Day Accts";#N/A,#N/A,FALSE,"Tickmarks"}</definedName>
    <definedName name="wrn.Aging._.and._.Trend._.Analysis._1_2" hidden="1">{#N/A,#N/A,FALSE,"Aging Summary";#N/A,#N/A,FALSE,"Ratio Analysis";#N/A,#N/A,FALSE,"Test 120 Day Accts";#N/A,#N/A,FALSE,"Tickmarks"}</definedName>
    <definedName name="wrn.Aging._.and._.Trend._.Analysis._1_3" hidden="1">{#N/A,#N/A,FALSE,"Aging Summary";#N/A,#N/A,FALSE,"Ratio Analysis";#N/A,#N/A,FALSE,"Test 120 Day Accts";#N/A,#N/A,FALSE,"Tickmarks"}</definedName>
    <definedName name="wrn.Aging._.and._.Trend._.Analysis._1_4"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ging._.and._.Trend._.Analysis._3" hidden="1">{#N/A,#N/A,FALSE,"Aging Summary";#N/A,#N/A,FALSE,"Ratio Analysis";#N/A,#N/A,FALSE,"Test 120 Day Accts";#N/A,#N/A,FALSE,"Tickmarks"}</definedName>
    <definedName name="wrn.Aging._.and._.Trend._.Analysis._4" hidden="1">{#N/A,#N/A,FALSE,"Aging Summary";#N/A,#N/A,FALSE,"Ratio Analysis";#N/A,#N/A,FALSE,"Test 120 Day Accts";#N/A,#N/A,FALSE,"Tickmarks"}</definedName>
    <definedName name="wrn.Aging._.and._.Trend._.Analysis._5" hidden="1">{#N/A,#N/A,FALSE,"Aging Summary";#N/A,#N/A,FALSE,"Ratio Analysis";#N/A,#N/A,FALSE,"Test 120 Day Accts";#N/A,#N/A,FALSE,"Tickmarks"}</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ex." hidden="1">{#N/A,#N/A,FALSE,"TradeSumm";#N/A,#N/A,FALSE,"StatsSumm"}</definedName>
    <definedName name="wrn.all." hidden="1">{#N/A,#N/A,TRUE,"Title_Page";#N/A,#N/A,TRUE,"Tax_Income_Sum";#N/A,#N/A,TRUE,"GL_Mgmt_Rec";#N/A,#N/A,TRUE,"Long_Term_Accrual";#N/A,#N/A,TRUE,"Reserves";#N/A,#N/A,TRUE,"Contributions";#N/A,#N/A,TRUE,"R&amp;D Credit";#N/A,#N/A,TRUE,"Unicap";#N/A,#N/A,TRUE,"Other_Income";#N/A,#N/A,TRUE,"Other_Deduction";#N/A,#N/A,TRUE,"Increase_RE";#N/A,#N/A,TRUE,"Decrease_RE";#N/A,#N/A,TRUE,"Cafe_Subsidy";#N/A,#N/A,TRUE,"Std. Reclass Adjstmnts";#N/A,#N/A,TRUE,"LT Accruals BT-1A";#N/A,#N/A,TRUE,"Sch. M-1 Adjstmnts"}</definedName>
    <definedName name="wrn.All._.Financials." hidden="1">{#N/A,#N/A,TRUE,"Assumptions";#N/A,#N/A,TRUE,"Op Projection";#N/A,#N/A,TRUE,"Capital";#N/A,#N/A,TRUE,"Income";#N/A,#N/A,TRUE,"Balance";#N/A,#N/A,TRUE,"Sources&amp;Uses"}</definedName>
    <definedName name="wrn.All._.First._.Pass._.Schedules."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graphs." hidden="1">{#N/A,#N/A,FALSE,"total telco cost ";#N/A,#N/A,FALSE,"# min per month EEA";#N/A,#N/A,FALSE,"# min per month LSA";#N/A,#N/A,FALSE,"# min per month 800";#N/A,#N/A,FALSE,"# min per month WATS";#N/A,#N/A,FALSE,"# min per month X-BORDER";#N/A,#N/A,FALSE,"# min per month Intl";#N/A,#N/A,FALSE,"mthly revenue";#N/A,#N/A,FALSE,"total telco cost as % of rev";#N/A,#N/A,FALSE,"res per bus revenue min split";#N/A,#N/A,FALSE,"# DALS";#N/A,#N/A,FALSE,"% of total min by axs type";#N/A,#N/A,FALSE,"telco cost per rev minute";#N/A,#N/A,FALSE,"rev per rev minute";#N/A,#N/A,FALSE,"contribution per minute"}</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hidden="1">{#N/A,#N/A,FALSE,"puboff";#N/A,#N/A,FALSE,"financials";#N/A,#N/A,FALSE,"valuation";#N/A,#N/A,FALSE,"split"}</definedName>
    <definedName name="wrn.all._.print." hidden="1">{#N/A,#N/A,FALSE,"Summary";#N/A,#N/A,FALSE,"Edit";#N/A,#N/A,FALSE,"MedProf";#N/A,#N/A,FALSE,"Proj Mgt";#N/A,#N/A,FALSE,"Creat Svc";#N/A,#N/A,FALSE,"Meet Svc";#N/A,#N/A,FALSE,"Non-OCC";#N/A,#N/A,FALSE,"Client Svc";#N/A,#N/A,FALSE,"Bus Dev";#N/A,#N/A,FALSE,"Indirect"}</definedName>
    <definedName name="wrn.All._.Scenarios." hidden="1">{#N/A,"Mine Allocated; Keep AC",FALSE,"Transaction Summary";#N/A,"Mine Allocated; Sell AC",FALSE,"Transaction Summary";#N/A,"Commodity; Keep AC",FALSE,"Transaction Summary";#N/A,"Commodity; Sell AC",FALSE,"Transaction Summary";#N/A,"Step-Up; Keep AC",FALSE,"Transaction Summary";#N/A,"Step-Up; Sell AC",FALSE,"Transaction Summary"}</definedName>
    <definedName name="wrn.All._.Schedules." hidden="1">{#N/A,#N/A,FALSE,"Assumptions";#N/A,#N/A,FALSE,"Inc Stmt";#N/A,#N/A,FALSE,"Stats";#N/A,#N/A,FALSE,"Existing Business";#N/A,#N/A,FALSE,"New Business";#N/A,#N/A,FALSE,"Labor";#N/A,#N/A,FALSE,"Vehicles";#N/A,#N/A,FALSE,"Facilities";#N/A,#N/A,FALSE,"Indirect Costs";#N/A,#N/A,FALSE,"Capital";#N/A,#N/A,FALSE,"CABR Form";#N/A,#N/A,FALSE,"Corp Costs"}</definedName>
    <definedName name="wrn.ALL._.SHEETS." hidden="1">{#N/A,#N/A,FALSE,"Adj Proj";#N/A,#N/A,FALSE,"Sheet1";#N/A,#N/A,FALSE,"LBO";#N/A,#N/A,FALSE,"LBOMER";#N/A,#N/A,FALSE,"WACC";#N/A,#N/A,FALSE,"DCF";#N/A,#N/A,FALSE,"DCFMER";#N/A,#N/A,FALSE,"Pooling";#N/A,#N/A,FALSE,"income";#N/A,#N/A,FALSE,"Offer"}</definedName>
    <definedName name="wrn.ALL._.STATEMENTS." hidden="1">{"BALANCE SHEET",#N/A,FALSE,"Balance Sheet";"INCOME STATEMENT",#N/A,FALSE,"Income Statement";"STMT OF CASH FLOWS",#N/A,FALSE,"Cash Flows Indirect";"PARTNERS CAPITAL STMT",#N/A,FALSE,"Partners Capital"}</definedName>
    <definedName name="wrn.All._.Views." hidden="1">{#N/A,#N/A,FALSE,"Summary";#N/A,#N/A,FALSE,"Signatures";#N/A,#N/A,FALSE,"FL Current";#N/A,#N/A,FALSE,"Assumptions";#N/A,#N/A,FALSE,"Assumptions";#N/A,#N/A,FALSE,"Assumptions";#N/A,#N/A,FALSE,"FL Last";#N/A,#N/A,FALSE,"FL Orig";#N/A,#N/A,FALSE,"C to G Explain"}</definedName>
    <definedName name="wrn.All._.Worksheets."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3"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4"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3"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4"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5"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2" hidden="1">{#N/A,#N/A,FALSE,"DCF";#N/A,#N/A,FALSE,"WACC";#N/A,#N/A,FALSE,"Sales_EBIT";#N/A,#N/A,FALSE,"Capex_Depreciation";#N/A,#N/A,FALSE,"WC";#N/A,#N/A,FALSE,"Interest";#N/A,#N/A,FALSE,"Assumptions"}</definedName>
    <definedName name="wrn.all.views.1" hidden="1">{#N/A,#N/A,FALSE,"Summary";#N/A,#N/A,FALSE,"Signatures";#N/A,#N/A,FALSE,"FL Current";#N/A,#N/A,FALSE,"Assumptions";#N/A,#N/A,FALSE,"Assumptions";#N/A,#N/A,FALSE,"Assumptions";#N/A,#N/A,FALSE,"FL Last";#N/A,#N/A,FALSE,"FL Orig";#N/A,#N/A,FALSE,"C to G Explain"}</definedName>
    <definedName name="wrn.all.views.1a" hidden="1">{#N/A,#N/A,FALSE,"Summary";#N/A,#N/A,FALSE,"Signatures";#N/A,#N/A,FALSE,"FL Current";#N/A,#N/A,FALSE,"Assumptions";#N/A,#N/A,FALSE,"Assumptions";#N/A,#N/A,FALSE,"Assumptions";#N/A,#N/A,FALSE,"FL Last";#N/A,#N/A,FALSE,"FL Orig";#N/A,#N/A,FALSE,"C to G Explain"}</definedName>
    <definedName name="wrn.all_1" hidden="1">{#N/A,#N/A,FALSE,"total telco cost ";#N/A,#N/A,FALSE,"# min per month EEA";#N/A,#N/A,FALSE,"# min per month LSA";#N/A,#N/A,FALSE,"# min per month 800";#N/A,#N/A,FALSE,"# min per month WATS";#N/A,#N/A,FALSE,"# min per month X-BORDER";#N/A,#N/A,FALSE,"# min per month Intl";#N/A,#N/A,FALSE,"mthly revenue";#N/A,#N/A,FALSE,"total telco cost as % of rev";#N/A,#N/A,FALSE,"res per bus revenue min split";#N/A,#N/A,FALSE,"# DALS";#N/A,#N/A,FALSE,"% of total min by axs type";#N/A,#N/A,FALSE,"telco cost per rev minute";#N/A,#N/A,FALSE,"rev per rev minute";#N/A,#N/A,FALSE,"contribution per minute"}</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2." hidden="1">{#N/A,#N/A,FALSE,"DCF";#N/A,#N/A,FALSE,"WACC";#N/A,#N/A,FALSE,"Sales_EBIT";#N/A,#N/A,FALSE,"Capex_Depreciation";#N/A,#N/A,FALSE,"WC";#N/A,#N/A,FALSE,"Interest";#N/A,#N/A,FALSE,"Assumptions"}</definedName>
    <definedName name="wrn.all3" hidden="1">{#N/A,#N/A,FALSE,"assumptions";#N/A,#N/A,FALSE,"v_projcy";#N/A,#N/A,FALSE,"tar_proj";#N/A,#N/A,FALSE,"contrib_annual";#N/A,#N/A,FALSE,"Proforma";#N/A,#N/A,FALSE,"purc_97";#N/A,#N/A,FALSE,"syn_purc_97";#N/A,#N/A,FALSE,"pool_97";#N/A,#N/A,FALSE,"syn_pool_97";#N/A,#N/A,FALSE,"pool1_FY2"}</definedName>
    <definedName name="wrn.ALL4" hidden="1">{#N/A,#N/A,FALSE,"ASSUMPTIONS";#N/A,#N/A,FALSE,"Valuation Summary";"page1",#N/A,FALSE,"PRESENTATION";"page2",#N/A,FALSE,"PRESENTATION";#N/A,#N/A,FALSE,"ORIGINAL_ROLLBACK"}</definedName>
    <definedName name="wrn.ALL5" hidden="1">{#N/A,#N/A,FALSE,"ASSUMPTIONS";#N/A,#N/A,FALSE,"Valuation Summary";"page1",#N/A,FALSE,"PRESENTATION";"page2",#N/A,FALSE,"PRESENTATION";#N/A,#N/A,FALSE,"ORIGINAL_ROLLBACK"}</definedName>
    <definedName name="wrn.ALL6" hidden="1">{#N/A,#N/A,FALSE,"ASSUMPTIONS";#N/A,#N/A,FALSE,"Valuation Summary";"page1",#N/A,FALSE,"PRESENTATION";"page2",#N/A,FALSE,"PRESENTATION";#N/A,#N/A,FALSE,"ORIGINAL_ROLLBACK"}</definedName>
    <definedName name="wrn.ALL8" hidden="1">{#N/A,#N/A,FALSE,"ASSUMPTIONS";#N/A,#N/A,FALSE,"Valuation Summary";"page1",#N/A,FALSE,"PRESENTATION";"page2",#N/A,FALSE,"PRESENTATION";#N/A,#N/A,FALSE,"ORIGINAL_ROLLBACK"}</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Divisions." hidden="1">{#N/A,#N/A,TRUE,"buffalo";#N/A,#N/A,TRUE,"chatt";#N/A,#N/A,TRUE,"Griffith";#N/A,#N/A,TRUE,"Hammond";#N/A,#N/A,TRUE,"Harvey";#N/A,#N/A,TRUE,"texas";#N/A,#N/A,TRUE,"Combined"}</definedName>
    <definedName name="wrn.AllModels." hidden="1">{#N/A,#N/A,FALSE,"AD_Purchase";#N/A,#N/A,FALSE,"Credit";#N/A,#N/A,FALSE,"PF Acquisition";#N/A,#N/A,FALSE,"PF Offering"}</definedName>
    <definedName name="wrn.allpages." hidden="1">{#N/A,#N/A,TRUE,"Historicals";#N/A,#N/A,TRUE,"Charts";#N/A,#N/A,TRUE,"Forecasts"}</definedName>
    <definedName name="wrn.Annexes._.de._.coûts." hidden="1">{#N/A,#N/A,FALSE,"Coût des ventes";#N/A,#N/A,FALSE,"Hypothèse - coûts directs";#N/A,#N/A,FALSE,"FGF";#N/A,#N/A,FALSE,"Frais de vente";#N/A,#N/A,FALSE,"Frais d'administration";#N/A,#N/A,FALSE,"Frais financiers";#N/A,#N/A,FALSE,"Achats - Débours";#N/A,#N/A,FALSE,"Salaires";#N/A,#N/A,FALSE,"Taxes"}</definedName>
    <definedName name="wrn.Annual._.Report." hidden="1">{#N/A,#N/A,FALSE,"TABLE_1 YTD- VALUES LAST YR(2)"}</definedName>
    <definedName name="wrn.Anteilig._.alle._.Perioden." hidden="1">{"Alle Perioden",#N/A,FALSE,"Erf";"Alle Perioden",#N/A,FALSE,"Ang";"Alle Perioden",#N/A,FALSE,"BV";"Alle Perioden",#N/A,FALSE,"BE";"Alle Perioden",#N/A,FALSE,"Re";"Alle Perioden",#N/A,FALSE,"Vol"}</definedName>
    <definedName name="wrn.Anteilig._.erste._.elf._.Perioden." hidden="1">{"Erste elf Perioden",#N/A,FALSE,"Erf";"Erste elf Perioden",#N/A,FALSE,"Ang";"Erste elf Perioden",#N/A,FALSE,"BV";"Erste elf Perioden",#N/A,FALSE,"BE";"Erste elf Perioden",#N/A,FALSE,"Vol";"Erste elf Perioden",#N/A,FALSE,"Re"}</definedName>
    <definedName name="wrn.April._.Consolidated." hidden="1">{#N/A,#N/A,FALSE,"Consol BS";#N/A,#N/A,FALSE,"Consol IS";#N/A,#N/A,FALSE,"Cash Flow";#N/A,#N/A,FALSE,"Consol Equity";#N/A,#N/A,FALSE,"BS vs. Plan";#N/A,#N/A,FALSE,"Mo vs. Plan";#N/A,#N/A,FALSE,"Mo. vs. Prior Yr";#N/A,#N/A,FALSE,"YTD vs. Plan";#N/A,#N/A,FALSE,"YTD vs. Prior Yr";#N/A,#N/A,FALSE,"Cash Flow Mo vs. Plan";#N/A,#N/A,FALSE,"Cash Flow Mo vs. Prior Yr";#N/A,#N/A,FALSE,"Cash Flow YTD vs. Plan";#N/A,#N/A,FALSE,"Cash Flow YTD vs. Prior Yr";#N/A,#N/A,FALSE,"Seg BS";#N/A,#N/A,FALSE,"Seg IS";#N/A,#N/A,FALSE,"Seg Cash";#N/A,#N/A,FALSE,"Str IS";#N/A,#N/A,FALSE,"Art IS";#N/A,#N/A,FALSE,"History BS";#N/A,#N/A,FALSE,"History IS";#N/A,#N/A,FALSE,"History Cash";#N/A,#N/A,FALSE,"Imp IS";#N/A,#N/A,FALSE,"Gross to Net";#N/A,#N/A,FALSE,"Ratio Summary";#N/A,#N/A,FALSE,"Union";#N/A,#N/A,FALSE,"Midwest";#N/A,#N/A,FALSE,"Ratios - 5";#N/A,#N/A,FALSE,"Ratios - 6";#N/A,#N/A,FALSE,"Ratios - 7";#N/A,#N/A,FALSE,"Ratios - 8";#N/A,#N/A,FALSE,"Ratios - 9"}</definedName>
    <definedName name="wrn.April._.Financials." hidden="1">{"Statement of Income",#N/A,TRUE,"Mar99";"Balance Sheet",#N/A,TRUE,"Mar99"}</definedName>
    <definedName name="wrn.April._.other._.sched.." hidden="1">{#N/A,#N/A,FALSE,"Union";#N/A,#N/A,FALSE,"Reserves";#N/A,#N/A,FALSE,"Head Ct";#N/A,#N/A,FALSE,"Str AR";#N/A,#N/A,FALSE,"Str AP";#N/A,#N/A,FALSE,"Art AR";#N/A,#N/A,FALSE,"Art AP";#N/A,#N/A,FALSE,"Imp AR";#N/A,#N/A,FALSE,"Imp AP"}</definedName>
    <definedName name="wrn.AQUIROR._.DCF." hidden="1">{"AQUIRORDCF",#N/A,FALSE,"Merger consequences";"Acquirorassns",#N/A,FALSE,"Merger consequences"}</definedName>
    <definedName name="wrn.AR._.PACKAGE." hidden="1">{#N/A,#N/A,FALSE,"BR-Gross";#N/A,#N/A,FALSE,"AGING COMP";#N/A,#N/A,FALSE,"BR-Net";#N/A,#N/A,FALSE,"RECSUB";#N/A,#N/A,FALSE,"BILL94";#N/A,#N/A,FALSE,"L.D.S. Rep 1"}</definedName>
    <definedName name="wrn.asg." hidden="1">{#N/A,#N/A,FALSE,"Exh 1";#N/A,#N/A,FALSE,"Exh 2";#N/A,#N/A,FALSE,"Exh 2a";#N/A,#N/A,FALSE,"Exh 3";#N/A,#N/A,FALSE,"Exhib 4";#N/A,#N/A,FALSE,"eh 5";#N/A,#N/A,FALSE,"Exh 6"}</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Total._.Variance." hidden="1">{#N/A,#N/A,FALSE,"Asia"}</definedName>
    <definedName name="wrn.assets." hidden="1">{"assets",#N/A,FALSE,"BSCON894"}</definedName>
    <definedName name="wrn.Assumption._.Book." hidden="1">{#N/A,#N/A,FALSE,"Model Assumptions"}</definedName>
    <definedName name="wrn.Assumptions." hidden="1">{"Assumptions",#N/A,FALSE,"Assum"}</definedName>
    <definedName name="wrn.AUST._.FINANCIALS." hidden="1">{#N/A,#N/A,TRUE,"BUD VS ACT AUST 96";#N/A,#N/A,TRUE,"96 COMP P&amp;L-AUST";#N/A,#N/A,TRUE,"COMP BS-AUSTRALIA";#N/A,#N/A,TRUE,"B/S - AUSTR."}</definedName>
    <definedName name="wrn.Auto._.Comp." hidden="1">{#N/A,#N/A,FALSE,"Sheet1"}</definedName>
    <definedName name="wrn.Backup." hidden="1">{#N/A,#N/A,FALSE,"Balance";#N/A,#N/A,FALSE,"TDFX";#N/A,#N/A,FALSE,"TDDDF";#N/A,#N/A,FALSE,"ADI";#N/A,#N/A,FALSE,"CUBE";#N/A,#N/A,FALSE,"DIMD";#N/A,#N/A,FALSE,"ZRAN";#N/A,#N/A,FALSE,"GNMC"}</definedName>
    <definedName name="wrn.BALANCE._.SHEET." hidden="1">{"BALANCE SHEET",#N/A,FALSE,"Balance Sheet"}</definedName>
    <definedName name="wrn.balance._.sheet2." hidden="1">{"bs",#N/A,FALSE,"SCF"}</definedName>
    <definedName name="wrn.balance._.sheet3." hidden="1">{"bs",#N/A,FALSE,"SCF"}</definedName>
    <definedName name="wrn.balance._.sheet4." hidden="1">{"bs",#N/A,FALSE,"SCF"}</definedName>
    <definedName name="wrn.Balance._.Sheets." hidden="1">{#N/A,#N/A,FALSE,"Bal sht";"Qtrly Bal Sht",#N/A,FALSE,"Bal sht - QTR"}</definedName>
    <definedName name="wrn.Balance._.sheets._.FY01._.to._.FY03." hidden="1">{"BS FY01",#N/A,FALSE,"P &amp; L";"BS FY02",#N/A,FALSE,"P &amp; L";"BS FY03",#N/A,FALSE,"P &amp; L"}</definedName>
    <definedName name="wrn.balance._sheet2." hidden="1">{"bs",#N/A,FALSE,"SCF"}</definedName>
    <definedName name="wrn.bank._.model." hidden="1">{"banks",#N/A,FALSE,"BASIC"}</definedName>
    <definedName name="wrn.Bank._.of._.America." hidden="1">{#N/A,#N/A,TRUE,"Cover_Page";#N/A,#N/A,TRUE,"Balance Sheet FY12";#N/A,#N/A,TRUE,"Debt Covenants_BofA_Cons";#N/A,#N/A,TRUE,"Consolidated-Cash Flow";#N/A,#N/A,TRUE,"CY_Per Inc FY12";#N/A,#N/A,TRUE,"Income FY12";#N/A,#N/A,TRUE,"Consolidated"}</definedName>
    <definedName name="wrn.Bank._.Report."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ers."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rranca." hidden="1">{#N/A,#N/A,FALSE,"Barranca"}</definedName>
    <definedName name="wrn.Basic." hidden="1">{#N/A,#N/A,FALSE,"Cover";#N/A,#N/A,FALSE,"Assumptions";#N/A,#N/A,FALSE,"Acquirer";#N/A,#N/A,FALSE,"Target";#N/A,#N/A,FALSE,"Income Statement";#N/A,#N/A,FALSE,"Summary Tables"}</definedName>
    <definedName name="wrn.Basic._.Report." hidden="1">{#N/A,#N/A,FALSE,"New Depr Sch-150% DB";#N/A,#N/A,FALSE,"Cash Flows RLP";#N/A,#N/A,FALSE,"IRR";#N/A,#N/A,FALSE,"Proforma IS";#N/A,#N/A,FALSE,"Assumptions"}</definedName>
    <definedName name="wrn.basics." hidden="1">{#N/A,#N/A,FALSE,"TSUM";#N/A,#N/A,FALSE,"shares";#N/A,#N/A,FALSE,"earnout";#N/A,#N/A,FALSE,"Heaty";#N/A,#N/A,FALSE,"self-tend";#N/A,#N/A,FALSE,"self-sum"}</definedName>
    <definedName name="wrn.BD._.FINAL." hidden="1">{#N/A,#N/A,FALSE,"Cover";#N/A,#N/A,FALSE,"Index";#N/A,#N/A,FALSE,"HL";#N/A,#N/A,FALSE,"BS ACCTS";#N/A,#N/A,FALSE,"Table";#N/A,#N/A,FALSE,"Summ";#N/A,#N/A,FALSE,"ComAn-finished";#N/A,#N/A,FALSE,"SmbAn-FINISHED";#N/A,#N/A,FALSE,"RebAn";#N/A,#N/A,FALSE,"ComR";#N/A,#N/A,FALSE,"SmbR-FINISHED";#N/A,#N/A,FALSE,"RebR-FINISHED";#N/A,#N/A,FALSE,"RC";#N/A,#N/A,FALSE,"NetR";#N/A,#N/A,FALSE,"Non-Trade";#N/A,#N/A,FALSE,"Notes Receivables";#N/A,#N/A,FALSE,"ComP-diteck-FINISHED";#N/A,#N/A,FALSE,"SmbP-finished";#N/A,#N/A,FALSE,"RebP-DITECK-FINISHED";#N/A,#N/A,FALSE,"NetP";#N/A,#N/A,FALSE,"AllcompanyG";#N/A,#N/A,FALSE,"AR 91+&gt;100K"}</definedName>
    <definedName name="wrn.BD._.Preliminary." hidden="1">{#N/A,#N/A,FALSE,"Cover";#N/A,#N/A,FALSE,"Index";#N/A,#N/A,FALSE,"HL";#N/A,#N/A,FALSE,"Table";#N/A,#N/A,FALSE,"Summ";#N/A,#N/A,FALSE,"ComR";#N/A,#N/A,FALSE,"SmbR-FINISHED";#N/A,#N/A,FALSE,"RebR-FINISHED";#N/A,#N/A,FALSE,"Specific Provision";#N/A,#N/A,FALSE,"NetR";#N/A,#N/A,FALSE,"Non-Trade";#N/A,#N/A,FALSE,"ComP-diteck-FINISHED";#N/A,#N/A,FALSE,"SmbP-finished";#N/A,#N/A,FALSE,"RebP-DITECK-FINISHED";#N/A,#N/A,FALSE,"NetP";#N/A,#N/A,FALSE,"AllcompanyG";#N/A,#N/A,FALSE,"AR 91+&gt;100K"}</definedName>
    <definedName name="wrn.BGEN." hidden="1">{"Revenue",#N/A,FALSE,"Revenue";"QEarn1",#N/A,FALSE,"Qearn";"QEarn2",#N/A,FALSE,"Qearn";"QMargin",#N/A,FALSE,"Margin";"Cashflow",#N/A,FALSE,"Cashflow";"Product Pipeline",#N/A,FALSE,"Product Pipeline";"Comment Model",#N/A,FALSE,"Comment P&amp;L"}</definedName>
    <definedName name="wrn.BID." hidden="1">{"PAGE1",#N/A,FALSE,"BID (3)";"PAGE2",#N/A,FALSE,"BID (3)"}</definedName>
    <definedName name="wrn.BidCo." hidden="1">{#N/A,#N/A,FALSE,"BidCo Assumptions";#N/A,#N/A,FALSE,"Credit Stats";#N/A,#N/A,FALSE,"Bidco Summary";#N/A,#N/A,FALSE,"BIDCO Consolidated"}</definedName>
    <definedName name="wrn.BKD." hidden="1">{#N/A,#N/A,FALSE,"Cover_Page";#N/A,#N/A,FALSE,"Balance Sheet FY12";#N/A,#N/A,FALSE,"Debt Covenants_US Bank_Cons";#N/A,#N/A,FALSE,"Debt Covenants_BofA_Cons";#N/A,#N/A,FALSE,"Consolidated-Cash Flow";#N/A,#N/A,FALSE,"CY_Per Inc FY12";#N/A,#N/A,FALSE,"Income FY12";#N/A,#N/A,FALSE,"Consolidated"}</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ard._.Package." hidden="1">{#N/A,#N/A,FALSE,"Summary";#N/A,#N/A,FALSE,"GOAM";#N/A,#N/A,FALSE,"WYND";#N/A,#N/A,FALSE,"Presentation BS";#N/A,#N/A,FALSE,"P&amp;L CUMM";#N/A,#N/A,FALSE,"Cash Flow CUMM";#N/A,#N/A,FALSE,"Equity";#N/A,#N/A,FALSE,"P&amp;L QTD";#N/A,#N/A,FALSE,"Cash Flow Qtr";#N/A,#N/A,FALSE,"P&amp;L MONTH";#N/A,#N/A,FALSE,"Cash Flow Month"}</definedName>
    <definedName name="wrn.Breakout." hidden="1">{#N/A,#N/A,FALSE,"BreakoutFY95";#N/A,#N/A,FALSE,"BreakoutFY96";#N/A,#N/A,FALSE,"BreakoutFY97";#N/A,#N/A,FALSE,"BreakoutFY98"}</definedName>
    <definedName name="wrn.Budget." hidden="1">{"Instructions",#N/A,FALSE,"INPUT";"Sharing",#N/A,FALSE,"Sharing";"InputArea",#N/A,FALSE,"INPUT";"Budget",#N/A,FALSE,"INPUT"}</definedName>
    <definedName name="wrn.Budget._.Analysis." hidden="1">{#N/A,#N/A,FALSE,"Mill 5"}</definedName>
    <definedName name="wrn.BUDGET2004." hidden="1">{#N/A,#N/A,FALSE,"BUD04 HEA";#N/A,#N/A,FALSE,"BUD04 Earnings";#N/A,#N/A,FALSE,"BUD04 Expenses"}</definedName>
    <definedName name="wrn.budgetb."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ildups." hidden="1">{"ACQ",#N/A,FALSE,"ACQUISITIONS";"ACQF",#N/A,FALSE,"ACQUISITIONS";"PF",#N/A,FALSE,"PROYECTOVILA";"PV",#N/A,FALSE,"PROYECTOVILA";"Fee Dev",#N/A,FALSE,"DEVELOPMENT GROWTH";"gd",#N/A,FALSE,"DEVELOPMENT GROWTH"}</definedName>
    <definedName name="wrn.bullshit1." hidden="1">{#N/A,#N/A,FALSE,"Sheet1";#N/A,#N/A,FALSE,"Summary";#N/A,#N/A,FALSE,"proj1";#N/A,#N/A,FALSE,"proj2"}</definedName>
    <definedName name="wrn.Business._.Report."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Business._.Report._1"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CAG." hidden="1">{#N/A,#N/A,FALSE,"CAG"}</definedName>
    <definedName name="wrn.calc_all."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NWEST._.GLOBAL." hidden="1">{"BS",#N/A,FALSE;"RE",#N/A,FALSE;"IS",#N/A,FALSE;"CASH",#N/A,FALSE}</definedName>
    <definedName name="wrn.Cap._.Budget9_27." hidden="1">{"Overview",#N/A,TRUE,"Overview";"New Gen",#N/A,TRUE,"New Gen";"cap-ex",#N/A,TRUE,"Consol cap-ex";"cap-ex",#N/A,TRUE,"APC cap-ex";"cap-ex",#N/A,TRUE,"GPC cap-ex";"cap-ex",#N/A,TRUE,"GUL cap-ex";"cap-ex",#N/A,TRUE,"MPC cap-ex";"cap-ex",#N/A,TRUE,"SAV cap-ex";"cap-ex",#N/A,TRUE,"SEGCO cap-ex";"cap-ex",#N/A,TRUE,"SWE cap-ex"}</definedName>
    <definedName name="wrn.Capital._.Plan._.Report." hidden="1">{"Capital Plan CA Schedule",#N/A,TRUE,"Capital Plan";"Capital Plan Summary",#N/A,TRUE,"Capital Plan"}</definedName>
    <definedName name="wrn.Cardiovasculars." hidden="1">{#N/A,#N/A,FALSE,"Card";#N/A,#N/A,FALSE,"Prav";#N/A,#N/A,FALSE,"Irbe";#N/A,#N/A,FALSE,"Plavix";#N/A,#N/A,FALSE,"Capt";#N/A,#N/A,FALSE,"Fosi"}</definedName>
    <definedName name="wrn.Carterco." hidden="1">{#N/A,#N/A,FALSE,"Carterco"}</definedName>
    <definedName name="wrn.Cash._.Flow." hidden="1">{"Cash Flow",#N/A,FALSE,"Cash Flow"}</definedName>
    <definedName name="wrn.cash._.flow._.FY00._.and._.FY01." hidden="1">{"cash flow - FY00",#N/A,FALSE,"P &amp; L";"cash flow - FY01",#N/A,FALSE,"P &amp; L"}</definedName>
    <definedName name="wrn.cash._.flow._.FY02._.and._.FY03." hidden="1">{"cash flow - FY02",#N/A,FALSE,"P &amp; L";"cash flow - FY03",#N/A,FALSE,"P &amp; L"}</definedName>
    <definedName name="wrn.cash2." hidden="1">{#N/A,#N/A,FALSE,"KGFORE94"}</definedName>
    <definedName name="wrn.CEA._.Budget._.months._.sterling."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hidden="1">{"CEA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hidden="1">{"CEA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hidden="1">{"CEGH Budget years USD",#N/A,TRUE,"Profit and Loss";"CEGH Budget years USD",#N/A,TRUE,"Firm capex";"CEGH Budget years USD",#N/A,TRUE,"Gross profit analysis";"CEGH Budget years USD",#N/A,TRUE,"Cashflow";"CEGH Budget years USD",#N/A,TRUE,"Balance Sheet"}</definedName>
    <definedName name="wrn.CEGH._.sub._.group._.months._.sterling."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hidden="1">{"CEGH sub group months USD",#N/A,TRUE,"Profit and Loss";"CEGH sub group months USD",#N/A,TRUE,"Firm capex";"CEGH sub group months USD",#N/A,TRUE,"Cashflow";"CEGH sub group months USD",#N/A,TRUE,"Balance Sheet"}</definedName>
    <definedName name="wrn.CEGH._.sub._.group._.years._.sterling." hidden="1">{"CEGH sub-group budget years sterling",#N/A,TRUE,"Profit and Loss";"CEGH sub-group budget years sterling",#N/A,TRUE,"Firm capex";"CEGH sub-group budget years sterling",#N/A,TRUE,"Cashflow";"CEGH sub-group budget years sterling",#N/A,TRUE,"Balance Sheet"}</definedName>
    <definedName name="wrn.CEGH._.sub._.group._.years._.USD." hidden="1">{"CEGH sub-group years USD",#N/A,TRUE,"Profit and Loss";"CEGH sub-group years USD",#N/A,TRUE,"Firm capex";"CEGH sub-group years USD",#N/A,TRUE,"Cashflow";"CEGH sub-group years USD",#N/A,TRUE,"Balance Sheet"}</definedName>
    <definedName name="wrn.CEI._.Budget._.months._.sterling."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hidden="1">{"CEI budget months USD",#N/A,TRUE,"Profit and Loss";"CEI budget months USD",#N/A,TRUE,"Firm capex";"CEI budget months USD",#N/A,TRUE,"Gross profit analysis";"CEI budget months USD",#N/A,TRUE,"Cashflow";"CEI budget months USD",#N/A,TRUE,"Balance Sheet"}</definedName>
    <definedName name="wrn.CEI._.Budget._.years._.sterling." hidden="1">{"CEI Budget years sterling",#N/A,TRUE,"Profit and Loss";"CEI Budget years sterling",#N/A,TRUE,"Firm capex";"CEI Budget years sterling",#N/A,TRUE,"Gross profit analysis";"CEI Budget years sterling",#N/A,TRUE,"Cashflow";"CEI Budget years sterling",#N/A,TRUE,"Balance Sheet"}</definedName>
    <definedName name="wrn.CEI._.Budget._.years._.USD." hidden="1">{"CEI Budget years USD",#N/A,TRUE,"Profit and Loss";"CEI Budget years USD",#N/A,TRUE,"Firm capex";"CEI Budget years USD",#N/A,TRUE,"Gross profit analysis";"CEI Budget years USD",#N/A,TRUE,"Cashflow";"CEI Budget years USD",#N/A,TRUE,"Balance Sheet"}</definedName>
    <definedName name="wrn.Central._.Nervous._.System." hidden="1">{#N/A,#N/A,FALSE,"CNS";#N/A,#N/A,FALSE,"Serz";#N/A,#N/A,FALSE,"Ace"}</definedName>
    <definedName name="wrn.chart._.1998" hidden="1">{#N/A,#N/A,FALSE,"Summary";#N/A,#N/A,FALSE,"Pending";#N/A,#N/A,FALSE,"Jan'98";#N/A,#N/A,FALSE,"Feb'98";#N/A,#N/A,FALSE,"Mar'98";#N/A,#N/A,FALSE,"Apr'98";#N/A,#N/A,FALSE,"May'98";#N/A,#N/A,FALSE,"June'98";#N/A,#N/A,FALSE,"July'98"}</definedName>
    <definedName name="wrn.Chart._.Printouts."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lient." hidden="1">{"multiple",#N/A,FALSE,"client";"margins",#N/A,FALSE,"client";"data",#N/A,FALSE,"client"}</definedName>
    <definedName name="wrn.Client3." hidden="1">{"data",#N/A,FALSE,"client (3)";"margins",#N/A,FALSE,"client (3)";"multiple",#N/A,FALSE,"client (3)"}</definedName>
    <definedName name="wrn.client4." hidden="1">{"multiple",#N/A,FALSE,"client (4)";"margins",#N/A,FALSE,"client (4)";"data",#N/A,FALSE,"client (4)"}</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1." hidden="1">{"WACC_clientcopy",#N/A,FALSE,"Inputs";"Beta_clientcopy",#N/A,FALSE,"Inputs";"SCF_clientcopy",#N/A,FALSE,"Inputs";"ProBS_clientcopy",#N/A,FALSE,"Inputs";"BS_clientcopy",#N/A,FALSE,"Inputs";"ProIS_clientcopy",#N/A,FALSE,"Inputs";"IS_clientcopy",#N/A,FALSE,"Inputs";"Ratios_clientcopy",#N/A,FALSE,"Ratios"}</definedName>
    <definedName name="wrn.clientcopy2." hidden="1">{"WACC_clientcopy",#N/A,FALSE,"Inputs";"Beta_clientcopy",#N/A,FALSE,"Inputs";"SCF_clientcopy",#N/A,FALSE,"Inputs";"ProBS_clientcopy",#N/A,FALSE,"Inputs";"BS_clientcopy",#N/A,FALSE,"Inputs";"ProIS_clientcopy",#N/A,FALSE,"Inputs";"IS_clientcopy",#N/A,FALSE,"Inputs";"Ratios_clientcopy",#N/A,FALSE,"Ratios"}</definedName>
    <definedName name="wrn.clientcopy3." hidden="1">{"WACC_clientcopy",#N/A,FALSE,"Inputs";"Beta_clientcopy",#N/A,FALSE,"Inputs";"SCF_clientcopy",#N/A,FALSE,"Inputs";"ProBS_clientcopy",#N/A,FALSE,"Inputs";"BS_clientcopy",#N/A,FALSE,"Inputs";"ProIS_clientcopy",#N/A,FALSE,"Inputs";"IS_clientcopy",#N/A,FALSE,"Inputs";"Ratios_clientcopy",#N/A,FALSE,"Ratios"}</definedName>
    <definedName name="WRN.CM" hidden="1">{#N/A,#N/A,FALSE,"FAB VENDORS";"BUD SUM",#N/A,FALSE,"BUD SUM WO TEX"}</definedName>
    <definedName name="WRN.CM1" hidden="1">{#N/A,#N/A,FALSE,"FAB VENDORS";"BUD SUM",#N/A,FALSE,"BUD SUM WO TEX"}</definedName>
    <definedName name="wrn.COGS." hidden="1">{"Balt COGS",#N/A,FALSE,"COGS";"Balt Sum",#N/A,FALSE,"SUM";"Balt Defd Var",#N/A,FALSE,"DEFD VAR";"Balt Input Usage",#N/A,FALSE,"INPUT";"Balt Input PPV",#N/A,FALSE,"INPUT"}</definedName>
    <definedName name="wrn.Combination."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ED." hidden="1">{#N/A,#N/A,FALSE,"INPUTS";#N/A,#N/A,FALSE,"PROFORMA BSHEET";#N/A,#N/A,FALSE,"COMBINED";#N/A,#N/A,FALSE,"HIGH YIELD";#N/A,#N/A,FALSE,"COMB_GRAPHS"}</definedName>
    <definedName name="wrn.ComboResults." hidden="1">{#N/A,#N/A,FALSE,"Combo-Ass ";#N/A,#N/A,FALSE,"Combo-AD sum";#N/A,#N/A,FALSE,"Combo-Syn Sens";#N/A,#N/A,FALSE,"Combo-Contr";#N/A,#N/A,FALSE,"Combo-Credit Sum";#N/A,#N/A,FALSE,"Combo-Credit";#N/A,#N/A,FALSE,"Combo-AD";#N/A,#N/A,FALSE,"Combo-AD CF"}</definedName>
    <definedName name="wrn.ComboState." hidden="1">{#N/A,#N/A,FALSE,"Combo-Ass ";#N/A,#N/A,FALSE,"Combo-IS";#N/A,#N/A,FALSE,"Combo-BS";#N/A,#N/A,FALSE,"Combo-CF"}</definedName>
    <definedName name="wrn.COMMISSIONER." hidden="1">{#N/A,#N/A,FALSE,"BS_OCIF OIB";#N/A,#N/A,FALSE,"PL_OCIF OIB";#N/A,#N/A,FALSE,"SCH_A-B_OCIF OIB";#N/A,#N/A,FALSE,"AVG_CALC OIB"}</definedName>
    <definedName name="wrn.Comp._.and._.Prices." hidden="1">{#N/A,#N/A,FALSE,"comp";#N/A,#N/A,FALSE,"Alpha";#N/A,#N/A,FALSE,"Hi";#N/A,#N/A,FALSE,"Lo";#N/A,#N/A,FALSE,"Mkt. Cap";#N/A,#N/A,FALSE,"Categ."}</definedName>
    <definedName name="wrn.Comparisons." hidden="1">{#N/A,#N/A,FALSE," IS Comparison";#N/A,#N/A,FALSE,"BS Comparison";#N/A,#N/A,FALSE," SCF Comparison"}</definedName>
    <definedName name="wrn.COMPCO." hidden="1">{"Page1",#N/A,FALSE,"CompCo";"Page2",#N/A,FALSE,"CompCo"}</definedName>
    <definedName name="wrn.Compco._.Only." hidden="1">{"vi1",#N/A,FALSE,"6_30_96";"vi2",#N/A,FALSE,"6_30_96";"vi3",#N/A,FALSE,"6_30_96"}</definedName>
    <definedName name="wrn.compco2" hidden="1">{"mult96",#N/A,FALSE,"PETCOMP";"est96",#N/A,FALSE,"PETCOMP";"mult95",#N/A,FALSE,"PETCOMP";"est95",#N/A,FALSE,"PETCOMP";"multltm",#N/A,FALSE,"PETCOMP";"resultltm",#N/A,FALSE,"PETCOMP"}</definedName>
    <definedName name="wrn.compco3" hidden="1">{"mult96",#N/A,FALSE,"PETCOMP";"est96",#N/A,FALSE,"PETCOMP";"mult95",#N/A,FALSE,"PETCOMP";"est95",#N/A,FALSE,"PETCOMP";"multltm",#N/A,FALSE,"PETCOMP";"resultltm",#N/A,FALSE,"PETCOMP"}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Budget."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Report." hidden="1">{#N/A,#N/A,FALSE,"Assumptions";#N/A,#N/A,FALSE,"Proforma IS";#N/A,#N/A,FALSE,"Cash Flows RLP";#N/A,#N/A,FALSE,"IRR";#N/A,#N/A,FALSE,"New Depr Sch-150% DB";#N/A,#N/A,FALSE,"Comments"}</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6"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7"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6"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7"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8"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s." hidden="1">{#N/A,#N/A,FALSE,"Comps"}</definedName>
    <definedName name="wrn.comps._.and._.DCF_LBO." hidden="1">{#N/A,#N/A,FALSE,"MKT.COMPS";#N/A,#N/A,FALSE,"DCF - LBO"}</definedName>
    <definedName name="wrn.comps._1" hidden="1">{#N/A,#N/A,FALSE,"Comp"}</definedName>
    <definedName name="wrn.comps._1_1" hidden="1">{#N/A,#N/A,FALSE,"Comp"}</definedName>
    <definedName name="wrn.comps._1_2" hidden="1">{#N/A,#N/A,FALSE,"Comp"}</definedName>
    <definedName name="wrn.comps._1_3" hidden="1">{#N/A,#N/A,FALSE,"Comp"}</definedName>
    <definedName name="wrn.comps._1_4" hidden="1">{#N/A,#N/A,FALSE,"Comp"}</definedName>
    <definedName name="wrn.comps._2" hidden="1">{#N/A,#N/A,FALSE,"Comp"}</definedName>
    <definedName name="wrn.comps._3" hidden="1">{#N/A,#N/A,FALSE,"Comp"}</definedName>
    <definedName name="wrn.comps._4" hidden="1">{#N/A,#N/A,FALSE,"Comp"}</definedName>
    <definedName name="wrn.comps._5" hidden="1">{#N/A,#N/A,FALSE,"Comp"}</definedName>
    <definedName name="wrn.comps.whatisthis" hidden="1">{#N/A,#N/A,FALSE,"Comp"}</definedName>
    <definedName name="wrn.comps.whatisthis_1" hidden="1">{#N/A,#N/A,FALSE,"Comp"}</definedName>
    <definedName name="wrn.comps.whatisthis_1_1" hidden="1">{#N/A,#N/A,FALSE,"Comp"}</definedName>
    <definedName name="wrn.comps.whatisthis_1_2" hidden="1">{#N/A,#N/A,FALSE,"Comp"}</definedName>
    <definedName name="wrn.comps.whatisthis_1_3" hidden="1">{#N/A,#N/A,FALSE,"Comp"}</definedName>
    <definedName name="wrn.comps.whatisthis_1_4" hidden="1">{#N/A,#N/A,FALSE,"Comp"}</definedName>
    <definedName name="wrn.comps.whatisthis_2" hidden="1">{#N/A,#N/A,FALSE,"Comp"}</definedName>
    <definedName name="wrn.comps.whatisthis_3" hidden="1">{#N/A,#N/A,FALSE,"Comp"}</definedName>
    <definedName name="wrn.comps.whatisthis_4" hidden="1">{#N/A,#N/A,FALSE,"Comp"}</definedName>
    <definedName name="wrn.comps.whatisthis_5" hidden="1">{#N/A,#N/A,FALSE,"Comp"}</definedName>
    <definedName name="wrn.Consol."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IDACIÓN." hidden="1">{#N/A,#N/A,FALSE,"CNS_ADJ";"Balance Consolidado",#N/A,FALSE,"BCEC_CNS";#N/A,#N/A,FALSE,"USGAAP_ADJ"}</definedName>
    <definedName name="wrn.Consolidado." hidden="1">{#N/A,#N/A,FALSE,"COVER";#N/A,#N/A,FALSE,"Index";#N/A,#N/A,FALSE,"Non-Earning";#N/A,#N/A,FALSE,"Non-Earning_Recovery"}</definedName>
    <definedName name="wrn.Consolidated."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olidated._.Statements." hidden="1">{"view1",#N/A,FALSE,"EARN (US$)";"view1",#N/A,FALSE,"DASTBS (US$)";"view1",#N/A,FALSE,"DASTCF (US$)"}</definedName>
    <definedName name="wrn.Consolidating." hidden="1">{"Consolidated IS",#N/A,FALSE,"Consolidated IS";"Consolidated Detail IS",#N/A,FALSE,"Consolidated Detail IS";"Consolidated Detail Supplemental Info",#N/A,FALSE,"Consolidated Detail IS";"Consolidated CF",#N/A,FALSE,"Consolidated CF";"Consolidated BS",#N/A,FALSE,"Consolidated BS";"Consolidating 1999 Detail IS",#N/A,FALSE,"1999 Detail IS";"Consolidated 1999 Supplemental Info",#N/A,FALSE,"1999 Detail IS";"Consolidating 1998 Detail IS",#N/A,FALSE,"1998 Detail IS";"Consolidating 1998 Supplemental Info",#N/A,FALSE,"1998 Detail IS";"Consolidating 1997 Detail IS",#N/A,FALSE,"1997 Detail IS";"Consolidated 1997 Supplemental Info",#N/A,FALSE,"1997 Detail IS"}</definedName>
    <definedName name="wrn.CONSOLIDATION." hidden="1">{"PAGE1",#N/A,FALSE,"Consolidation";"PAGE2",#N/A,FALSE,"Consolidation";"PAGE3",#N/A,FALSE,"Consolidation";"PAGE4",#N/A,FALSE,"Consolidation";"PAGE5",#N/A,FALSE,"Consolidation";"PAGE6",#N/A,FALSE,"Consolidation";"PAGE7",#N/A,FALSE,"Consolidation"}</definedName>
    <definedName name="wrn.Consumer._.Medicines." hidden="1">{#N/A,#N/A,FALSE,"OTC";#N/A,#N/A,FALSE,"Ther";#N/A,#N/A,FALSE,"Temp";#N/A,#N/A,FALSE,"Exce";#N/A,#N/A,FALSE,"Buff";#N/A,#N/A,FALSE,"Picot";#N/A,#N/A,FALSE,"Luftal";#N/A,#N/A,FALSE,"Comt"}</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ACT._.WIP._.1997." hidden="1">{#N/A,#N/A,FALSE,"A"}</definedName>
    <definedName name="wrn.contributory._.asset._.charges." hidden="1">{"contributory1",#N/A,FALSE,"Contributory Assets Detail";"contributory2",#N/A,FALSE,"Contributory Assets Detail"}</definedName>
    <definedName name="wrn.CORPO." hidden="1">{#N/A,#N/A,FALSE,"DIV.CORPO"}</definedName>
    <definedName name="wrn.Corporate." hidden="1">{"Corporate",#N/A,FALSE,"Corporate Profile"}</definedName>
    <definedName name="wrn.CORR." hidden="1">{"INCSTMT1",#N/A,FALSE,"COR";"INCSTMT2",#N/A,FALSE,"COR"}</definedName>
    <definedName name="wrn.cotop." hidden="1">{"ReportTop",#N/A,FALSE,"report top"}</definedName>
    <definedName name="wrn.cotop2." hidden="1">{"ReportTop",#N/A,FALSE,"report top"}</definedName>
    <definedName name="wrn.Cover." hidden="1">{"coverall",#N/A,FALSE,"Definitions";"cover1",#N/A,FALSE,"Definitions";"cover2",#N/A,FALSE,"Definitions";"cover3",#N/A,FALSE,"Definitions";"cover4",#N/A,FALSE,"Definitions";"cover5",#N/A,FALSE,"Definitions";"blank",#N/A,FALSE,"Definitions"}</definedName>
    <definedName name="wrn.Covers." hidden="1">{"view1",#N/A,FALSE,"MOTEARN";"view1",#N/A,FALSE,"Bal Sht";"view1",#N/A,FALSE,"Cash Flows"}</definedName>
    <definedName name="wrn.CPB." hidden="1">{#N/A,#N/A,FALSE,"CPB"}</definedName>
    <definedName name="wrn.Credit._.Summary." hidden="1">{#N/A,#N/A,FALSE,"Credit Summary"}</definedName>
    <definedName name="wrn.CW." hidden="1">{#N/A,#N/A,FALSE,"FAB VENDORS";"BUD SUM",#N/A,FALSE,"BUD SUM WO TEX"}</definedName>
    <definedName name="wrn.Daily." hidden="1">{#N/A,#N/A,FALSE,"Input";#N/A,#N/A,FALSE,"BBC";#N/A,#N/A,FALSE,"Sch A";#N/A,#N/A,FALSE,"Sch B";#N/A,#N/A,FALSE,"Ineligible"}</definedName>
    <definedName name="wrn.DAILY._.SALES." hidden="1">{"New York",#N/A,FALSE,"NY";"London Et Al",#N/A,FALSE,"NY";"Cash Balance",#N/A,FALSE,"NY"}</definedName>
    <definedName name="wrn.DATA." hidden="1">{#N/A,#N/A,FALSE,"WTI";#N/A,#N/A,FALSE,"Cdn Oil";#N/A,#N/A,FALSE,"Cdn Gas";#N/A,#N/A,FALSE,"CDN Gas Exports";#N/A,#N/A,FALSE,"CDN Gas Prod";#N/A,#N/A,FALSE,"CDN Gas Wells";#N/A,#N/A,FALSE,"US Gas";#N/A,#N/A,FALSE,"US Gas Prod";#N/A,#N/A,FALSE,"US Gas Wells";#N/A,#N/A,FALSE,"US Work Gas";#N/A,#N/A,FALSE,"US Rig Count";#N/A,#N/A,FALSE,"US Gas End-Use";#N/A,#N/A,FALSE,"Chem"}</definedName>
    <definedName name="wrn.DataVPN." hidden="1">{"Cashflow chart",#N/A,TRUE,"A";"Rev Assumptions",#N/A,TRUE,"B";"Rev Reconcilliation 1",#N/A,TRUE,"B";"Rev Reconcilliation 2",#N/A,TRUE,"B";"exp 1",#N/A,TRUE,"C";"exp 2",#N/A,TRUE,"C";"exp3",#N/A,TRUE,"C";"cap 1",#N/A,TRUE,"D";"exp4",#N/A,TRUE,"C";"cap 2",#N/A,TRUE,"D";"cap 3",#N/A,TRUE,"D";"inputs",#N/A,TRUE,"E"}</definedName>
    <definedName name="wrn.DataVPN1" hidden="1">{"Cashflow chart",#N/A,TRUE,"A";"Rev Assumptions",#N/A,TRUE,"B";"Rev Reconcilliation 1",#N/A,TRUE,"B";"Rev Reconcilliation 2",#N/A,TRUE,"B";"exp 1",#N/A,TRUE,"C";"exp 2",#N/A,TRUE,"C";"exp3",#N/A,TRUE,"C";"cap 1",#N/A,TRUE,"D";"exp4",#N/A,TRUE,"C";"cap 2",#N/A,TRUE,"D";"cap 3",#N/A,TRUE,"D";"inputs",#N/A,TRUE,"E"}</definedName>
    <definedName name="wrn.dcf." hidden="1">{"mgmt forecast",#N/A,FALSE,"Mgmt Forecast";"dcf table",#N/A,FALSE,"Mgmt Forecast";"sensitivity",#N/A,FALSE,"Mgmt Forecast";"table inputs",#N/A,FALSE,"Mgmt Forecast";"calculations",#N/A,FALSE,"Mgmt Forecast"}</definedName>
    <definedName name="wrn.DCF._.Only." hidden="1">{#N/A,#N/A,FALSE,"DCF Summary";#N/A,#N/A,FALSE,"Casema";#N/A,#N/A,FALSE,"Casema NoTel";#N/A,#N/A,FALSE,"UK";#N/A,#N/A,FALSE,"RCF";#N/A,#N/A,FALSE,"Intercable CZ";#N/A,#N/A,FALSE,"Interkabel P"}</definedName>
    <definedName name="wrn.DCF._.Valuation." hidden="1">{"value box",#N/A,TRUE,"DPL Inc. Fin Statements";"unlevered free cash flows",#N/A,TRUE,"DPL Inc. Fin Statements"}</definedName>
    <definedName name="wrn.dcf._1" hidden="1">{"mgmt forecast",#N/A,FALSE,"Mgmt Forecast";"dcf table",#N/A,FALSE,"Mgmt Forecast";"sensitivity",#N/A,FALSE,"Mgmt Forecast";"table inputs",#N/A,FALSE,"Mgmt Forecast";"calculations",#N/A,FALSE,"Mgmt Forecast"}</definedName>
    <definedName name="wrn.dcf._1_1" hidden="1">{"mgmt forecast",#N/A,FALSE,"Mgmt Forecast";"dcf table",#N/A,FALSE,"Mgmt Forecast";"sensitivity",#N/A,FALSE,"Mgmt Forecast";"table inputs",#N/A,FALSE,"Mgmt Forecast";"calculations",#N/A,FALSE,"Mgmt Forecast"}</definedName>
    <definedName name="wrn.dcf._1_2" hidden="1">{"mgmt forecast",#N/A,FALSE,"Mgmt Forecast";"dcf table",#N/A,FALSE,"Mgmt Forecast";"sensitivity",#N/A,FALSE,"Mgmt Forecast";"table inputs",#N/A,FALSE,"Mgmt Forecast";"calculations",#N/A,FALSE,"Mgmt Forecast"}</definedName>
    <definedName name="wrn.dcf._1_3" hidden="1">{"mgmt forecast",#N/A,FALSE,"Mgmt Forecast";"dcf table",#N/A,FALSE,"Mgmt Forecast";"sensitivity",#N/A,FALSE,"Mgmt Forecast";"table inputs",#N/A,FALSE,"Mgmt Forecast";"calculations",#N/A,FALSE,"Mgmt Forecast"}</definedName>
    <definedName name="wrn.dcf._1_4" hidden="1">{"mgmt forecast",#N/A,FALSE,"Mgmt Forecast";"dcf table",#N/A,FALSE,"Mgmt Forecast";"sensitivity",#N/A,FALSE,"Mgmt Forecast";"table inputs",#N/A,FALSE,"Mgmt Forecast";"calculations",#N/A,FALSE,"Mgmt Forecast"}</definedName>
    <definedName name="wrn.dcf._2" hidden="1">{"mgmt forecast",#N/A,FALSE,"Mgmt Forecast";"dcf table",#N/A,FALSE,"Mgmt Forecast";"sensitivity",#N/A,FALSE,"Mgmt Forecast";"table inputs",#N/A,FALSE,"Mgmt Forecast";"calculations",#N/A,FALSE,"Mgmt Forecast"}</definedName>
    <definedName name="wrn.dcf._3" hidden="1">{"mgmt forecast",#N/A,FALSE,"Mgmt Forecast";"dcf table",#N/A,FALSE,"Mgmt Forecast";"sensitivity",#N/A,FALSE,"Mgmt Forecast";"table inputs",#N/A,FALSE,"Mgmt Forecast";"calculations",#N/A,FALSE,"Mgmt Forecast"}</definedName>
    <definedName name="wrn.dcf._4" hidden="1">{"mgmt forecast",#N/A,FALSE,"Mgmt Forecast";"dcf table",#N/A,FALSE,"Mgmt Forecast";"sensitivity",#N/A,FALSE,"Mgmt Forecast";"table inputs",#N/A,FALSE,"Mgmt Forecast";"calculations",#N/A,FALSE,"Mgmt Forecast"}</definedName>
    <definedName name="wrn.dcf._5" hidden="1">{"mgmt forecast",#N/A,FALSE,"Mgmt Forecast";"dcf table",#N/A,FALSE,"Mgmt Forecast";"sensitivity",#N/A,FALSE,"Mgmt Forecast";"table inputs",#N/A,FALSE,"Mgmt Forecast";"calculations",#N/A,FALSE,"Mgmt Forecast"}</definedName>
    <definedName name="wrn.DCF_Terminal_Value_qchm." hidden="1">{"qchm_dcf",#N/A,FALSE,"QCHMDCF2";"qchm_terminal",#N/A,FALSE,"QCHMDCF2"}</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bt." hidden="1">{"debt summary",#N/A,FALSE,"Debt";"loan details",#N/A,FALSE,"Debt"}</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linc_Comercial." hidden="1">{#N/A,#N/A,FALSE,"COVER";#N/A,#N/A,FALSE,"Index";#N/A,#N/A,FALSE,"Non-Earning";#N/A,#N/A,FALSE,"Commercial";#N/A,#N/A,FALSE,"Detailed"}</definedName>
    <definedName name="wrn.Deltek._.Upload." hidden="1">{#N/A,#N/A,FALSE,"Delt Data"}</definedName>
    <definedName name="wrn.depmatrix." hidden="1">{"depmatrix",#N/A,FALSE,"DECATUR-DIMMIT"}</definedName>
    <definedName name="wrn.Detail." hidden="1">{"SalaryPer",#N/A,FALSE,"INPUT";"WageRate",#N/A,FALSE,"INPUT";"Salary",#N/A,FALSE,"INPUT";"Overtime",#N/A,FALSE,"INPUT";"PagerPay",#N/A,FALSE,"INPUT";"FringeTable",#N/A,FALSE,"INPUT";"Fringes",#N/A,FALSE,"INPUT";"ProfitSharing",#N/A,FALSE,"INPUT"}</definedName>
    <definedName name="wrn.Detail._.Balance._.Sheet." hidden="1">{#N/A,#N/A,FALSE,"Detail"}</definedName>
    <definedName name="wrn.Detail._.Income._.Statement." hidden="1">{"Facility Detail",#N/A,FALSE,"P&amp;L Detail"}</definedName>
    <definedName name="wrn.Detail_Projection." hidden="1">{#N/A,#N/A,FALSE,"Detail YTD"}</definedName>
    <definedName name="wrn.Detailed._.Profit._.and._.Loss." hidden="1">{#N/A,#N/A,FALSE,"P&amp;L CONSOLIDATED";#N/A,#N/A,FALSE,"Cyperus";#N/A,#N/A,FALSE,"ANP";#N/A,#N/A,FALSE,"PRNE CORE"}</definedName>
    <definedName name="wrn.devdeal." hidden="1">{"top",#N/A,TRUE,"Detail";"next",#N/A,TRUE,"Detail";"then",#N/A,TRUE,"Detail";"and",#N/A,TRUE,"Detail";"inaddition",#N/A,TRUE,"Detail";"finally",#N/A,TRUE,"Detail"}</definedName>
    <definedName name="wrn.Dilution." hidden="1">{#N/A,#N/A,FALSE,"FY 1997 (NR)";#N/A,#N/A,FALSE,"FY 1998 (NR)";#N/A,#N/A,FALSE,"Balance";#N/A,#N/A,FALSE,"Matrix (NR)"}</definedName>
    <definedName name="wrn.djall." hidden="1">{"djcash",#N/A,FALSE,"DJann";"djinc",#N/A,FALSE,"DJann";"djtaxes",#N/A,FALSE,"DJann";"djbuspub",#N/A,FALSE,"DJann";"djwall",#N/A,FALSE,"DJann";"djcompprs",#N/A,FALSE,"DJann";"djteler",#N/A,FALSE,"DJann"}</definedName>
    <definedName name="wrn.document." hidden="1">{"consolidated",#N/A,FALSE,"Sheet1";"cms",#N/A,FALSE,"Sheet1";"fse",#N/A,FALSE,"Sheet1"}</definedName>
    <definedName name="wrn.documentation." hidden="1">{"documentation1",#N/A,FALSE,"Documentation";"documentation2",#N/A,FALSE,"Documentation"}</definedName>
    <definedName name="wrn.DOM._.TRAF._.STATS." hidden="1">{#N/A,#N/A,FALSE,"Form 41 Commuter Domestic";#N/A,#N/A,FALSE,"FORM41--COMMUTER % CHG";#N/A,#N/A,FALSE,"Total Domestic Traffic Stats";#N/A,#N/A,FALSE,"TOTAL DOM TRAFFIC--% CHG";#N/A,#N/A,FALSE,"TotDomTraf-Large Carriers Only";#N/A,#N/A,FALSE,"TOTDOMTRAF-LARGECAR% CHG"}</definedName>
    <definedName name="wrn.DPI._.Summary." hidden="1">{#N/A,#N/A,TRUE,"Summary";#N/A,#N/A,TRUE,"Financials"}</definedName>
    <definedName name="wrn.Druck." hidden="1">{#N/A,#N/A,FALSE,"Phase I";#N/A,#N/A,FALSE,"Phase II";#N/A,#N/A,FALSE,"Phase III"}</definedName>
    <definedName name="wrn.DTPLAN." hidden="1">{"DTCONSOASSUMPTIONS1",#N/A,FALSE,"CONSO";"DTCONSOASSUMPTIONS2",#N/A,FALSE,"CONSO";"DTCONSOASSUMPTIONS3",#N/A,FALSE,"CONSO";"DTCONSOINCOME",#N/A,FALSE,"CONSO";"DTCOOSAEBITDA",#N/A,FALSE,"COOSA";"DTCONSOCASHFLOW",#N/A,FALSE,"CONSO";"DTCONSOBALANCESHEET",#N/A,FALSE,"CONSO";"DTCONSOCAPEX1",#N/A,FALSE,"CONSO";"DTCONSOCAPEX2",#N/A,FALSE,"CONSO";"DTCONSOCAPEX3",#N/A,FALSE,"CONSO";"DTDONNAASSUMPTIONS1",#N/A,FALSE,"PAPER DONNACONA";"DTDONNAASSUMPTIONS2",#N/A,FALSE,"PAPER DONNACONA";"DTDONNAASSUMPTIONS3",#N/A,FALSE,"PAPER DONNACONA";"DTDONNAINCOME",#N/A,FALSE,"PAPER DONNACONA";"DTDONNACASHFLOW",#N/A,FALSE,"PAPER DONNACONA";"DTDONNABALANCESHEET",#N/A,FALSE,"PAPER DONNACONA";"DTDONNACAPEX",#N/A,FALSE,"PAPER DONNACONA";"DTDOLBEAUASSUMPTIONS1",#N/A,FALSE,"PAPER DOLBEAU";"DTDOLBEAUASSUMPTIONS2",#N/A,FALSE,"PAPER DOLBEAU";"DTDOLBEAUASSUMPTIONS3",#N/A,FALSE,"PAPER DOLBEAU";"DTDOLBEAUINCOME",#N/A,FALSE,"PAPER DOLBEAU";"DTDOLBEAUCASHFLOW",#N/A,FALSE,"PAPER DOLBEAU";"DTDOLBEAUBALANCESHEET",#N/A,FALSE,"PAPER DOLBEAU";"DTDOLBEAUCAPEX",#N/A,FALSE,"PAPER DOLBEAU";"DTLUMBERASSUMPTIONS1",#N/A,FALSE,"LUMBER";"DTLUMBERASSUMPTIONS2",#N/A,FALSE,"LUMBER";"DTLUMBERASSUMPTIONS3",#N/A,FALSE,"LUMBER";"DTLUMBERINCOME",#N/A,FALSE,"LUMBER";"DTLUMBERCASHFLOW",#N/A,FALSE,"LUMBER";"DTLUMBERBALANCESHEET",#N/A,FALSE,"LUMBER";"DTLUMBERCAPEX",#N/A,FALSE,"LUMBER";"DTCOOSAASSUMPTIONS1",#N/A,FALSE,"COOSA";"DTCOOSAASSUMPTION2",#N/A,FALSE,"COOSA";"DTCOOSAASSUMPTIONS3",#N/A,FALSE,"COOSA";"DTCOOSAINCOME",#N/A,FALSE,"COOSA";"DTCOOSACASHFLOW",#N/A,FALSE,"COOSA";"DTCOOSABALANCESHEET",#N/A,FALSE,"COOSA";"DTCOOSACAPEX",#N/A,FALSE,"COOSA";"DTELIMINATIONINCOME",#N/A,FALSE,"ELIMINATION";"DTELIMINATIONCASHFLOW",#N/A,FALSE,"ELIMINATION";"DTELIMINATIONBALANCESHEET",#N/A,FALSE,"ELIMINATION";"DTHEADOFFICEASSUMPTIONS",#N/A,FALSE,"H.OFFICE";"DTHEADOFFICEINCOME",#N/A,FALSE,"H.OFFICE";"DTHEADOFFICECASHFLOW",#N/A,FALSE,"H.OFFICE";"DTHEADOFFICEBALANCESHEET",#N/A,FALSE,"H.OFFICE";"DTHEADOFFICECAPEX",#N/A,FALSE,"H.OFFICE";"DTSEGMENTED",#N/A,FALSE,"SEGMENTED INFO";"DTTAX1",#N/A,FALSE,"impôt";"DTTAX2",#N/A,FALSE,"impôt"}</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itda." hidden="1">{#N/A,#N/A,FALSE,"2003_Input - P&amp;L"}</definedName>
    <definedName name="wrn.ebitda2" hidden="1">{#N/A,#N/A,FALSE,"2003_Input - P&amp;L"}</definedName>
    <definedName name="wrn.Economic._.Value._.Added._.Analysis." hidden="1">{"EVA",#N/A,FALSE,"EVA";"WACC",#N/A,FALSE,"WACC"}</definedName>
    <definedName name="wrn.econtab." hidden="1">{#N/A,#N/A,FALSE,"TABLE1";#N/A,#N/A,FALSE,"TABLE2";#N/A,#N/A,FALSE,"TABLE3";#N/A,#N/A,FALSE,"TABLE4";#N/A,#N/A,FALSE,"TABLE5"}</definedName>
    <definedName name="wrn.ecpall." hidden="1">{"ecpcash",#N/A,FALSE,"ECPann";"ecpinc",#N/A,FALSE,"ECPann";"ecpindia",#N/A,FALSE,"ECPann";"ecpmun",#N/A,FALSE,"ECPann";"ecpphoenix",#N/A,FALSE,"ECPann";"ecpothe",#N/A,FALSE,"ECPann";"ecpbalsht",#N/A,FALSE,"ECPann"}</definedName>
    <definedName name="wrn.EE4._.Budget._.months._.sterling." hidden="1">{"EE4 Budget months only sterling",#N/A,TRUE,"Profit and Loss";"EE4 Budget months only sterling",#N/A,TRUE,"Firm capex";"EE4 Budget months only sterling",#N/A,TRUE,"Cashflow";"EE4 Budget months only sterling",#N/A,TRUE,"Balance Sheet"}</definedName>
    <definedName name="wrn.EE4._.Budget._.months._.USD." hidden="1">{"EE4 Budget months only in USD",#N/A,TRUE,"Profit and Loss";"EE4 Budget months only in USD",#N/A,TRUE,"Firm capex";"EE4 Budget months only in USD",#N/A,TRUE,"Cashflow";"EE4 Budget months only in USD",#N/A,TRUE,"Balance Sheet"}</definedName>
    <definedName name="wrn.EE4._.budget._.years._.sterling." hidden="1">{"EE4 Budget years sterling",#N/A,TRUE,"Profit and Loss";"EE4 Budget years sterling",#N/A,TRUE,"Firm capex";"EE4 Budget years sterling",#N/A,TRUE,"Cashflow";"EE4 Budget years sterling",#N/A,TRUE,"Balance Sheet"}</definedName>
    <definedName name="wrn.EE4._.Budget._.years._.USD." hidden="1">{"EE4 Budget years USD",#N/A,TRUE,"Profit and Loss";"EE4 Budget years USD",#N/A,TRUE,"Firm capex";"EE4 Budget years USD",#N/A,TRUE,"Cashflow";"EE4 Budget years USD",#N/A,TRUE,"Balance Sheet"}</definedName>
    <definedName name="wrn.EF._.Complet." hidden="1">{#N/A,#N/A,TRUE,"1";#N/A,#N/A,TRUE,"1.2";#N/A,#N/A,TRUE,"2";#N/A,#N/A,TRUE,"4";#N/A,#N/A,TRUE,"11";#N/A,#N/A,TRUE,"11.9";#N/A,#N/A,TRUE,"A";#N/A,#N/A,TRUE,"B";#N/A,#N/A,TRUE,"C"}</definedName>
    <definedName name="wrn.Einhundert._.Prozent._.alle._.Perioden." hidden="1">{"Alle Perioden",#N/A,FALSE,"Erf";"Alle Perioden",#N/A,FALSE,"BV100";"Alle Perioden",#N/A,FALSE,"BE100";"Alle Perioden",#N/A,FALSE,"Re100";"Alle Perioden",#N/A,FALSE,"Vol100"}</definedName>
    <definedName name="wrn.Einhundert._.Prozent._.erste._.elf._.Perioden." hidden="1">{"Erste elf Perioden",#N/A,FALSE,"Erf";"Erste elf Perioden",#N/A,FALSE,"BV100";"Erste elf Perioden",#N/A,FALSE,"BE100";"Erste elf Perioden",#N/A,FALSE,"Re100";"Erste elf Perioden",#N/A,FALSE,"Vol100"}</definedName>
    <definedName name="wrn.Enitre._.Model." hidden="1">{"Input Sheet",#N/A,FALSE,"Input";"New Co",#N/A,FALSE,"NEWCO";"Acq Cash Flow",#N/A,FALSE,"Acq. CF";"Target Cash Flow",#N/A,FALSE,"Tgt. CF";"Operational Merger",#N/A,FALSE,"OP Merger";"Acq Balance Sheet",#N/A,FALSE,"Acq. BS";"Target Balance Sheet",#N/A,FALSE,"Tgt. BS";"BOE Comp",#N/A,FALSE,"BOEComp"}</definedName>
    <definedName name="wrn.ESPP." hidden="1">{#N/A,#N/A,FALSE,"REPORT"}</definedName>
    <definedName name="wrn.ETATS." hidden="1">{"TABLE",#N/A,TRUE,"Feuil1";"CONSO",#N/A,TRUE,"Feuil1";"STHUB1",#N/A,TRUE,"Feuil1";"STHUB2",#N/A,TRUE,"Feuil1";"PROSERV",#N/A,TRUE,"Feuil1";"GROUPE",#N/A,TRUE,"Feuil1";"BERTHELET",#N/A,TRUE,"Feuil1";"MEILLEURES",#N/A,TRUE,"Feuil1";"TRICORP",#N/A,TRUE,"Feuil1"}</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ecutive._.summary._.reports." hidden="1">{"4 year overview",#N/A,FALSE,"P &amp; L";"key indicators",#N/A,FALSE,"P &amp; L"}</definedName>
    <definedName name="wrn.EXHIBITS."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wrn.EXP2." hidden="1">{#N/A,#N/A,TRUE,"NIE_C";#N/A,#N/A,TRUE,"NIE";#N/A,#N/A,TRUE,"NIE_D";#N/A,#N/A,TRUE,"NIE_D_CC";#N/A,#N/A,TRUE,"HEA -- EXP"}</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acility._.Profit._.and._.Loss." hidden="1">{"Domestic Prisons - Prior to 1998 - 1",#N/A,FALSE,"Domestic Prisons";"Domestic Prisons - Prior to 1998 - 2",#N/A,FALSE,"Domestic Prisons";"Domestic Prisons - 1998",#N/A,FALSE,"Domestic Prisons";"Domestic Prisons - 1999",#N/A,FALSE,"Domestic Prisons";"Domestic Prisons - 2000",#N/A,FALSE,"Domestic Prisons";"Domestic Prisons - 2001",#N/A,FALSE,"Domestic Prisons"}</definedName>
    <definedName name="wrn.fc" hidden="1">{"FCB_ALL",#N/A,FALSE,"FCB"}</definedName>
    <definedName name="wrn.fc12" hidden="1">{"FCB_ALL",#N/A,FALSE,"FCB"}</definedName>
    <definedName name="wrn.fcb" hidden="1">{"FCB_ALL",#N/A,FALSE,"FCB"}</definedName>
    <definedName name="wrn.FCB." hidden="1">{"FCB_ALL",#N/A,FALSE,"FCB"}</definedName>
    <definedName name="wrn.fcb._dcf" hidden="1">{"FCB_ALL",#N/A,FALSE,"FCB"}</definedName>
    <definedName name="wrn.fcb.1" hidden="1">{"FCB_ALL",#N/A,FALSE,"FCB"}</definedName>
    <definedName name="wrn.fcb.9" hidden="1">{"FCB_ALL",#N/A,FALSE,"FCB"}</definedName>
    <definedName name="wrn.fcb1" hidden="1">{"FCB_ALL",#N/A,FALSE,"FCB"}</definedName>
    <definedName name="wrn.fcb10" hidden="1">{"FCB_ALL",#N/A,FALSE,"FCB"}</definedName>
    <definedName name="wrn.fcb11" hidden="1">{"FCB_ALL",#N/A,FALSE,"FCB"}</definedName>
    <definedName name="wrn.fcb2" hidden="1">{"FCB_ALL",#N/A,FALSE,"FCB"}</definedName>
    <definedName name="wrn.fcb2_dcf" hidden="1">{"FCB_ALL",#N/A,FALSE,"FCB"}</definedName>
    <definedName name="wrn.fcb3" hidden="1">{"FCB_ALL",#N/A,FALSE,"FCB"}</definedName>
    <definedName name="wrn.fcb4" hidden="1">{"FCB_ALL",#N/A,FALSE,"FCB"}</definedName>
    <definedName name="wrn.fcb5" hidden="1">{"FCB_ALL",#N/A,FALSE,"FCB"}</definedName>
    <definedName name="wrn.fcb6" hidden="1">{"FCB_ALL",#N/A,FALSE,"FCB"}</definedName>
    <definedName name="wrn.fcb7" hidden="1">{"FCB_ALL",#N/A,FALSE,"FCB"}</definedName>
    <definedName name="wrn.fcb8" hidden="1">{"FCB_ALL",#N/A,FALSE,"FCB"}</definedName>
    <definedName name="wrn.fcb9" hidden="1">{"FCB_ALL",#N/A,FALSE,"FCB"}</definedName>
    <definedName name="wrn.fcopy2" hidden="1">{"WACC_filecopy",#N/A,FALSE,"Inputs";"Beta_filecopy",#N/A,FALSE,"Inputs";"SCF_filecopy",#N/A,FALSE,"Inputs";"ProBS_filecopy",#N/A,FALSE,"Inputs";"BS_filecopy",#N/A,FALSE,"Inputs";"ProIS_filecopy",#N/A,FALSE,"Inputs";"IS_filecopy",#N/A,FALSE,"Inputs"}</definedName>
    <definedName name="wrn.FDII6_01PortReview." hidden="1">{#N/A,#N/A,TRUE,"Port Summary II";#N/A,#N/A,TRUE,"BV Valuation";#N/A,#N/A,TRUE,"FV Valuation";#N/A,#N/A,TRUE,"JRI";#N/A,#N/A,TRUE,"Weasler";#N/A,#N/A,TRUE,"Stronghaven";#N/A,#N/A,TRUE,"Connor";#N/A,#N/A,TRUE,"HWC";#N/A,#N/A,TRUE,"Temple"}</definedName>
    <definedName name="wrn.FdIII6_30_01PortRev.." hidden="1">{#N/A,#N/A,TRUE,"Beacon";#N/A,#N/A,TRUE,"CII";#N/A,#N/A,TRUE,"MCA";#N/A,#N/A,TRUE,"Elm";#N/A,#N/A,TRUE,"Tharco";#N/A,#N/A,TRUE,"Dee H";#N/A,#N/A,TRUE,"Hunt Valve";#N/A,#N/A,TRUE,"KBA";#N/A,#N/A,TRUE,"Glassmaster";#N/A,#N/A,TRUE,"MLS";#N/A,#N/A,TRUE,"CBSA";#N/A,#N/A,TRUE,"ACE";#N/A,#N/A,TRUE,"United Central";#N/A,#N/A,TRUE,"Jakel";#N/A,#N/A,TRUE,"Lake City "}</definedName>
    <definedName name="wrn.FER." hidden="1">{#N/A,#N/A,TRUE,"BS_A";#N/A,#N/A,TRUE,"BS_L";#N/A,#N/A,TRUE,"PL";#N/A,#N/A,TRUE,"NET";#N/A,#N/A,TRUE,"MAR_2";#N/A,#N/A,TRUE,"MAR";#N/A,#N/A,TRUE,"NII";#N/A,#N/A,TRUE,"NIE";#N/A,#N/A,TRUE,"FS_BS";#N/A,#N/A,TRUE,"FS_PL";#N/A,#N/A,TRUE,"HEA"}</definedName>
    <definedName name="wrn.FER_EXPENSES." hidden="1">{#N/A,#N/A,TRUE,"NIE_C";#N/A,#N/A,TRUE,"NIE";#N/A,#N/A,TRUE,"NIE_D";#N/A,#N/A,TRUE,"HEA -- EXP"}</definedName>
    <definedName name="wrn.FER_NIA." hidden="1">{#N/A,#N/A,FALSE,"HEA NIA";#N/A,#N/A,FALSE,"CHART";#N/A,#N/A,FALSE,"NIA";#N/A,#N/A,FALSE,"WF_DET"}</definedName>
    <definedName name="wrn.FER_REVENUES." hidden="1">{#N/A,#N/A,TRUE,"NII_C";#N/A,#N/A,TRUE,"NII";#N/A,#N/A,TRUE,"NII_D";#N/A,#N/A,TRUE,"HEA --REV"}</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1." hidden="1">{"WACC_filecopy",#N/A,FALSE,"Inputs";"Beta_filecopy",#N/A,FALSE,"Inputs";"SCF_filecopy",#N/A,FALSE,"Inputs";"ProBS_filecopy",#N/A,FALSE,"Inputs";"BS_filecopy",#N/A,FALSE,"Inputs";"ProIS_filecopy",#N/A,FALSE,"Inputs";"IS_filecopy",#N/A,FALSE,"Inputs"}</definedName>
    <definedName name="wrn.filecopy2." hidden="1">{"WACC_filecopy",#N/A,FALSE,"Inputs";"Beta_filecopy",#N/A,FALSE,"Inputs";"SCF_filecopy",#N/A,FALSE,"Inputs";"ProBS_filecopy",#N/A,FALSE,"Inputs";"BS_filecopy",#N/A,FALSE,"Inputs";"ProIS_filecopy",#N/A,FALSE,"Inputs";"IS_filecopy",#N/A,FALSE,"Inputs"}</definedName>
    <definedName name="wrn.Filter." hidden="1">{#N/A,#N/A,FALSE,"Assump2";#N/A,#N/A,FALSE,"Income2";#N/A,#N/A,FALSE,"Balance2";#N/A,#N/A,FALSE,"DCF Filter";#N/A,#N/A,FALSE,"Trans Assump2";#N/A,#N/A,FALSE,"Combined Income2";#N/A,#N/A,FALSE,"Combined Balance2"}</definedName>
    <definedName name="wrn.FIN97." hidden="1">{#N/A,#N/A,FALSE,"FIN97 DETAIL"}</definedName>
    <definedName name="wrn.financial._.package." hidden="1">{#N/A,#N/A,FALSE,"BALANCE SHEET";#N/A,#N/A,FALSE,"IS";#N/A,#N/A,FALSE,"ISCOMPAR";#N/A,#N/A,FALSE,"ADD RETMAR";#N/A,#N/A,FALSE,"VARIOUS COMP";#N/A,#N/A,FALSE,"RATIOS";#N/A,#N/A,FALSE,"GRAPHS"}</definedName>
    <definedName name="wrn.Financial._.Statements._.all._.detail." hidden="1">{#N/A,#N/A,TRUE,"P&amp;L CONSOLIDATED";#N/A,#N/A,TRUE,"Cyperus";#N/A,#N/A,TRUE,"ANP";#N/A,#N/A,TRUE,"South Africa";#N/A,#N/A,TRUE,"PRNE CORE";#N/A,#N/A,TRUE,"Targeting";#N/A,#N/A,TRUE,"Distribution";#N/A,#N/A,TRUE,"A - Disclose";#N/A,#N/A,TRUE,"B - Others";#N/A,#N/A,TRUE,"Measurement";#N/A,#N/A,TRUE,"OVERHEADS";#N/A,#N/A,TRUE,"Consolidated B Sheet";#N/A,#N/A,TRUE,"Consolidated Cashflow"}</definedName>
    <definedName name="wrn.Financial_Package." hidden="1">{#N/A,#N/A,FALSE,"Cover";#N/A,#N/A,FALSE,"TOC";#N/A,#N/A,FALSE,"IS";#N/A,#N/A,FALSE,"Mo. IS";#N/A,#N/A,FALSE,"Cont By Div";#N/A,#N/A,FALSE,"BS";#N/A,#N/A,FALSE,"CF";#N/A,#N/A,FALSE,"Inventory"}</definedName>
    <definedName name="wrn.Financials." hidden="1">{#N/A,#N/A,TRUE,"Income Statement";#N/A,#N/A,TRUE,"Balance Sheet";#N/A,#N/A,TRUE,"Cash Flow"}</definedName>
    <definedName name="wrn.FINANCIALS._.10K." hidden="1">{#N/A,#N/A,FALSE,"BS";#N/A,#N/A,FALSE,"PL_10K";#N/A,#N/A,FALSE,"SOE";#N/A,#N/A,FALSE,"SCF"}</definedName>
    <definedName name="wrn.FINANCIALS._.10Q." hidden="1">{#N/A,#N/A,FALSE,"BS";#N/A,#N/A,FALSE,"PL_10Q";#N/A,#N/A,FALSE,"SOE";#N/A,#N/A,FALSE,"SCF"}</definedName>
    <definedName name="wrn.Financials_long." hidden="1">{"IS",#N/A,FALSE,"Financials2 (Expanded)";"bsa",#N/A,FALSE,"Financials2 (Expanded)";"BS",#N/A,FALSE,"Financials2 (Expanded)";"CF",#N/A,FALSE,"Financials2 (Expanded)"}</definedName>
    <definedName name="wrn.finmodel." hidden="1">{#N/A,#N/A,FALSE,"Fin Model"}</definedName>
    <definedName name="wrn.finmodel._1" hidden="1">{#N/A,#N/A,FALSE,"Fin Model"}</definedName>
    <definedName name="wrn.finmodel._1_1" hidden="1">{#N/A,#N/A,FALSE,"Fin Model"}</definedName>
    <definedName name="wrn.finmodel._1_2" hidden="1">{#N/A,#N/A,FALSE,"Fin Model"}</definedName>
    <definedName name="wrn.finmodel._1_3" hidden="1">{#N/A,#N/A,FALSE,"Fin Model"}</definedName>
    <definedName name="wrn.finmodel._1_4" hidden="1">{#N/A,#N/A,FALSE,"Fin Model"}</definedName>
    <definedName name="wrn.finmodel._2" hidden="1">{#N/A,#N/A,FALSE,"Fin Model"}</definedName>
    <definedName name="wrn.finmodel._3" hidden="1">{#N/A,#N/A,FALSE,"Fin Model"}</definedName>
    <definedName name="wrn.finmodel._4" hidden="1">{#N/A,#N/A,FALSE,"Fin Model"}</definedName>
    <definedName name="wrn.finmodel._5" hidden="1">{#N/A,#N/A,FALSE,"Fin Model"}</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ISV._.5._.year._.model." hidden="1">{"Assns Fax",#N/A,FALSE,"Assumptions";"Financial View",#N/A,FALSE,"Earnings";"DCF View",#N/A,FALSE,"Earnings";"Sensitivity",#N/A,FALSE,"DCF"}</definedName>
    <definedName name="wrn.fleck." hidden="1">{"first",#N/A,FALSE,"FLEXPAC2";"second",#N/A,FALSE,"FLEXPAC2"}</definedName>
    <definedName name="wrn.fleckcompac." hidden="1">{"one",#N/A,FALSE,"FLEXPAC2";"two",#N/A,FALSE,"FLEXPAC2";"three",#N/A,FALSE,"FLEXPAC2"}</definedName>
    <definedName name="wrn.Followon._.1998" hidden="1">{#N/A,#N/A,FALSE,"Summary";#N/A,#N/A,FALSE,"Pending";#N/A,#N/A,FALSE,"Jan'98";#N/A,#N/A,FALSE,"Feb'98";#N/A,#N/A,FALSE,"Mar'98";#N/A,#N/A,FALSE,"Apr'98";#N/A,#N/A,FALSE,"May'98";#N/A,#N/A,FALSE,"June'98";#N/A,#N/A,FALSE,"July'98"}</definedName>
    <definedName name="wrn.FORECAST." hidden="1">{"TOT",#N/A,FALSE,"ASFCST99";"TOTINT",#N/A,FALSE,"ASFCST99";"DOM",#N/A,FALSE,"ASFCST99";"NORTHATL",#N/A,FALSE,"ASFCST99";"PACIFIC",#N/A,FALSE,"ASFCST99";"LATAM",#N/A,FALSE,"ASFCST99"}</definedName>
    <definedName name="wrn.forecast2qf." hidden="1">{#N/A,#N/A,FALSE,"REV 110 PRNE (Bureau-Frankfurt)";#N/A,#N/A,FALSE,"REV 120 PRNE (Bureau - Paris)"}</definedName>
    <definedName name="wrn.forms." hidden="1">{#N/A,#N/A,FALSE,"Set-Up";#N/A,#N/A,FALSE,"Comparison";#N/A,#N/A,FALSE,"AR";#N/A,#N/A,FALSE,"Inv";#N/A,#N/A,FALSE,"Concentrations";#N/A,#N/A,FALSE,"Past Dues";#N/A,#N/A,FALSE,"Trends";#N/A,#N/A,FALSE,"AR Trends";#N/A,#N/A,FALSE,"Inv Trends"}</definedName>
    <definedName name="wrn.FRANCE._.FINANCIALS." hidden="1">{#N/A,#N/A,FALSE,"COMP BS-FRANCE";#N/A,#N/A,FALSE,"96 COMP P&amp;L-FRANCE";#N/A,#N/A,FALSE,"BUD VS ACT FRAN 96";#N/A,#N/A,FALSE,"B/S - FRANCE"}</definedName>
    <definedName name="wrn.FS._.AND._.TBLS._.10K."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2005." hidden="1">{"BS-Yearly",#N/A,TRUE,"BS-Year";"BS-Monthly-2005",#N/A,TRUE,"BS"}</definedName>
    <definedName name="wrn.full." hidden="1">{"vi1",#N/A,FALSE,"Pagcc";"vi2",#N/A,FALSE,"Pagcc";"vi3",#N/A,FALSE,"Pagcc";"vi4",#N/A,FALSE,"Pagcc";"vi5",#N/A,FALSE,"Pagcc";#N/A,#N/A,FALSE,"Contribution"}</definedName>
    <definedName name="wrn.Full._.Budget." hidden="1">{#N/A,#N/A,FALSE,"IS-Month";#N/A,#N/A,FALSE,"IS-Qtr";#N/A,#N/A,FALSE,"Bal";#N/A,#N/A,FALSE,"Flow";#N/A,#N/A,FALSE,"Volumes";#N/A,#N/A,FALSE,"LOE";#N/A,#N/A,FALSE,"Revenues";#N/A,#N/A,FALSE,"OpMar";#N/A,#N/A,FALSE,"DD&amp;A";#N/A,#N/A,FALSE,"Oil $";#N/A,#N/A,FALSE,"Gas $";#N/A,#N/A,FALSE,"Swaps";#N/A,#N/A,FALSE,"CAPEX";#N/A,#N/A,FALSE,"G&amp;A";#N/A,#N/A,FALSE,"Debt";#N/A,#N/A,FALSE,"Interest"}</definedName>
    <definedName name="wrn.Full._.Financials." hidden="1">{#N/A,#N/A,TRUE,"Financials";#N/A,#N/A,TRUE,"Operating Statistics";#N/A,#N/A,TRUE,"Capex &amp; Depreciation";#N/A,#N/A,TRUE,"Debt"}</definedName>
    <definedName name="wrn.Full._.Model." hidden="1">{#N/A,#N/A,FALSE,"Cov";#N/A,#N/A,FALSE,"sum (2)";#N/A,#N/A,FALSE,"bs";#N/A,#N/A,FALSE,"is";#N/A,#N/A,FALSE,"pis";#N/A,#N/A,FALSE,"cf";#N/A,#N/A,FALSE,"wc";#N/A,#N/A,FALSE,"ltd";#N/A,#N/A,FALSE,"cover";#N/A,#N/A,FALSE,"irr (2)";#N/A,#N/A,FALSE,"in"}</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Package."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rint._.Out."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3"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4"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3"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4"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5"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Workbook._.Report." hidden="1">{"Balance Sheet Summary",#N/A,TRUE,"Balance Sheet";"Cash Flow Summary",#N/A,TRUE,"Cash Flow";"Capital Plan CA Schedule",#N/A,TRUE,"Capital Plan";"Capital Plan Summary",#N/A,TRUE,"Capital Plan"}</definedName>
    <definedName name="wrn.Full_Template."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nd._.II."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Adv.._.Brd._.June._.2000." hidden="1">{#N/A,#N/A,TRUE,"FD II Portfolio Summary";#N/A,#N/A,TRUE,"JRI";#N/A,#N/A,TRUE,"NDS";#N/A,#N/A,TRUE,"Weasler";#N/A,#N/A,TRUE,"Stronghaven";#N/A,#N/A,TRUE,"Connor";#N/A,#N/A,TRUE,"Docu";#N/A,#N/A,TRUE,"HWC";#N/A,#N/A,TRUE,"Temple"}</definedName>
    <definedName name="wrn.Fund._.II._.Adv._.Mtg.."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Mtg.."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I."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Adv.._.Brd.._.June._.200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Mtg.."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V._.Adv.._.Brd.._.June._.2000." hidden="1">{#N/A,#N/A,TRUE,"FD IV Portfolio Summary ";#N/A,#N/A,TRUE,"Western";#N/A,#N/A,TRUE,"Kranson";#N/A,#N/A,TRUE,"ARC";#N/A,#N/A,TRUE,"Precise";#N/A,#N/A,TRUE,"WNA"}</definedName>
    <definedName name="wrn.FUNDING._.ANALYSIS._.PRINT."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nel._.Report." hidden="1">{#N/A,#N/A,FALSE,"funnel";#N/A,#N/A,FALSE,"AE Summary";#N/A,#N/A,FALSE,"Product Summary"}</definedName>
    <definedName name="wrn.FY00._.all._.reports." hidden="1">{"cash flow - FY00",#N/A,FALSE,"P &amp; L";"qtrly summ-FY00",#N/A,FALSE,"P &amp; L";"monthly P&amp;L-FY00",#N/A,FALSE,"P &amp; L";"P&amp;L FY00",#N/A,FALSE,"P &amp; L";"BS FY00",#N/A,FALSE,"P &amp; L";"staffing - FY00",#N/A,FALSE,"P &amp; L"}</definedName>
    <definedName name="wrn.FY01._.all._.reports." hidden="1">{"qtrly summ-FY01",#N/A,FALSE,"P &amp; L";"monthly P&amp;L-FY01",#N/A,FALSE,"P &amp; L";"cash flow - FY01",#N/A,FALSE,"P &amp; L";"P&amp;L FY01",#N/A,FALSE,"P &amp; L";"BS FY01",#N/A,FALSE,"P &amp; L";"staffing - FY01",#N/A,FALSE,"P &amp; L"}</definedName>
    <definedName name="wrn.FY01_Fin_Stmts." hidden="1">{"FY01_Assets",#N/A,FALSE,"Fin Stmt Budget";"FY01_Liabilities",#N/A,FALSE,"Fin Stmt Budget";"FY01_Inc_Stmt",#N/A,FALSE,"Fin Stmt Budget";"FY01_SOCF",#N/A,FALSE,"Fin Stmt Budget"}</definedName>
    <definedName name="wrn.FY02._.all._.reports." hidden="1">{"cash flow - FY02",#N/A,FALSE,"P &amp; L";"qtrly summ-FY02",#N/A,FALSE,"P &amp; L";"monthly P&amp;L-FY02",#N/A,FALSE,"P &amp; L";"P&amp;L FY02",#N/A,FALSE,"P &amp; L";"BS FY02",#N/A,FALSE,"P &amp; L";"staffing - FY02",#N/A,FALSE,"P &amp; L"}</definedName>
    <definedName name="wrn.FY02_Fin_Stmts." hidden="1">{"FY02_Assets",#N/A,FALSE,"Fin Stmt Budget";"FY02_Liabilities",#N/A,FALSE,"Fin Stmt Budget";"FY02_Inc_Stmt",#N/A,FALSE,"Fin Stmt Budget";"FY02_SOCF",#N/A,FALSE,"Fin Stmt Budget"}</definedName>
    <definedName name="wrn.FY03._.all._.reports." hidden="1">{"cash flow - FY03",#N/A,FALSE,"P &amp; L";"qtrly summ-FY03",#N/A,FALSE,"P &amp; L";"monthly P&amp;L-FY03",#N/A,FALSE,"P &amp; L";"P&amp;L FY03",#N/A,FALSE,"P &amp; L";"BS FY03",#N/A,FALSE,"P &amp; L";"staffing - FY03",#N/A,FALSE,"P &amp; L"}</definedName>
    <definedName name="wrn.FY03_Fin_Stmts." hidden="1">{"FY03_Assets",#N/A,FALSE,"Fin Stmt Budget";"FY03_Liabilities",#N/A,FALSE,"Fin Stmt Budget";"FY03_Inc_Stmt",#N/A,FALSE,"Fin Stmt Budget";"FY03_SOCF",#N/A,FALSE,"Fin Stmt Budget"}</definedName>
    <definedName name="wrn.FY04_Fin._.Stmts." hidden="1">{"FY04_Assets",#N/A,FALSE,"Fin Stmt Budget";"FY04_Liabilities",#N/A,FALSE,"Fin Stmt Budget";"FY04_Inc_Stmt",#N/A,FALSE,"Fin Stmt Budget";"FY04_SOCF",#N/A,FALSE,"Fin Stmt Budget"}</definedName>
    <definedName name="wrn.FY06" hidden="1">{"FY04_Assets",#N/A,FALSE,"Fin Stmt Budget";"FY04_Liabilities",#N/A,FALSE,"Fin Stmt Budget";"FY04_Inc_Stmt",#N/A,FALSE,"Fin Stmt Budget";"FY04_SOCF",#N/A,FALSE,"Fin Stmt Budget"}</definedName>
    <definedName name="wrn.FY07" hidden="1">{"FY01_Assets",#N/A,FALSE,"Fin Stmt Budget";"FY01_Liabilities",#N/A,FALSE,"Fin Stmt Budget";"FY01_Inc_Stmt",#N/A,FALSE,"Fin Stmt Budget";"FY01_SOCF",#N/A,FALSE,"Fin Stmt Budget"}</definedName>
    <definedName name="wrn.FY07_fin" hidden="1">{"FY04_Assets",#N/A,FALSE,"Fin Stmt Budget";"FY04_Liabilities",#N/A,FALSE,"Fin Stmt Budget";"FY04_Inc_Stmt",#N/A,FALSE,"Fin Stmt Budget";"FY04_SOCF",#N/A,FALSE,"Fin Stmt Budget"}</definedName>
    <definedName name="wrn.FY96sbp99" hidden="1">{#N/A,#N/A,FALSE,"FY97";#N/A,#N/A,FALSE,"FY98";#N/A,#N/A,FALSE,"FY99";#N/A,#N/A,FALSE,"FY00";#N/A,#N/A,FALSE,"FY01"}</definedName>
    <definedName name="wrn.FY97SBP." hidden="1">{#N/A,#N/A,FALSE,"FY97";#N/A,#N/A,FALSE,"FY98";#N/A,#N/A,FALSE,"FY99";#N/A,#N/A,FALSE,"FY00";#N/A,#N/A,FALSE,"FY01"}</definedName>
    <definedName name="wrn.FY97SBP2" hidden="1">{#N/A,#N/A,FALSE,"FY97";#N/A,#N/A,FALSE,"FY98";#N/A,#N/A,FALSE,"FY99";#N/A,#N/A,FALSE,"FY00";#N/A,#N/A,FALSE,"FY01"}</definedName>
    <definedName name="wrn.GCIall." hidden="1">{"gcicash",#N/A,FALSE,"GCIINC";"gciinc",#N/A,FALSE,"GCIINC";"gciexclusa",#N/A,FALSE,"GCIINC";"usatdy",#N/A,FALSE,"GCIINC"}</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samtausdruck._.alle._.Perioden." hidden="1">{"Alle Perioden",#N/A,FALSE,"Erf";"Alle Perioden",#N/A,FALSE,"Ang";"Alle Perioden",#N/A,FALSE,"BV";"Alle Perioden",#N/A,FALSE,"BE";"Alle Perioden",#N/A,FALSE,"Re";"Alle Perioden",#N/A,FALSE,"Vol";"Alle Perioden",#N/A,FALSE,"BV100";"Alle Perioden",#N/A,FALSE,"BE100";"Alle Perioden",#N/A,FALSE,"Re100";"Alle Perioden",#N/A,FALSE,"Vol100"}</definedName>
    <definedName name="wrn.Gesamtausdruck._.erste._.elf._.Perioden." hidden="1">{"Erste elf Perioden",#N/A,FALSE,"Erf";"Erste elf Perioden",#N/A,FALSE,"Ang";"Erste elf Perioden",#N/A,FALSE,"BV";"Erste elf Perioden",#N/A,FALSE,"BE";"Erste elf Perioden",#N/A,FALSE,"Re";"Erste elf Perioden",#N/A,FALSE,"Vol";"Erste elf Perioden",#N/A,FALSE,"BV100";"Erste elf Perioden",#N/A,FALSE,"BE100";"Erste elf Perioden",#N/A,FALSE,"Re100";"Erste elf Perioden",#N/A,FALSE,"Vol100"}</definedName>
    <definedName name="wrn.GIS." hidden="1">{#N/A,#N/A,FALSE,"GIS"}</definedName>
    <definedName name="wrn.GJE_NBR_7_Print_Job." hidden="1">{"Accrual_Calculation",#N/A,FALSE,"Comp Calc";"SJE#7",#N/A,FALSE,"GJE"}</definedName>
    <definedName name="wrn.graph." hidden="1">{"graph",#N/A,FALSE,"RIGCOUNT";"graph",#N/A,FALSE,"ON_OFFSHORE";"graph",#N/A,FALSE,"crewcnt";"graph",#N/A,FALSE,"OILvGAS";"graph",#N/A,FALSE,"OFF_RIGCOUNT";"graph",#N/A,FALSE,"indep perf";"graph",#N/A,FALSE,"oil serv perf"}</definedName>
    <definedName name="wrn.GRAPHS." hidden="1">{#N/A,#N/A,FALSE,"ACQ_GRAPHS";#N/A,#N/A,FALSE,"T_1 GRAPHS";#N/A,#N/A,FALSE,"T_2 GRAPHS";#N/A,#N/A,FALSE,"COMB_GRAPHS"}</definedName>
    <definedName name="wrn.gross._.margin._.detail." hidden="1">{"gross_margin1",#N/A,FALSE,"Gross Margin Detail";"gross_margin2",#N/A,FALSE,"Gross Margin Detail"}</definedName>
    <definedName name="wrn.Gross._.Profit._.Report." hidden="1">{"Monthly",#N/A,FALSE,"Phosphate Gross Profit";"Quarterly",#N/A,FALSE,"Phosphate Gross Profit"}</definedName>
    <definedName name="wrn.Group._.budget._.months._.only." hidden="1">{"Group Budget months only",#N/A,TRUE,"Profit and Loss";"Group Budget months only",#N/A,TRUE,"Firm capex";"Group Budget months only",#N/A,TRUE,"Gross profit analysis";"Group Budget months only",#N/A,TRUE,"Cashflow";"Group Budget months only",#N/A,TRUE,"Balance Sheet"}</definedName>
    <definedName name="wrn.Group._.budget._.years._.only." hidden="1">{"Group Budget years only",#N/A,TRUE,"Profit and Loss";"Group Budget years only",#N/A,TRUE,"Firm capex";"Group Budget years only",#N/A,TRUE,"Gross profit analysis";"Group Budget years only",#N/A,TRUE,"Cashflow";"Group Budget years only",#N/A,TRUE,"Balance Sheet"}</definedName>
    <definedName name="wrn.Growth." hidden="1">{#N/A,#N/A,FALSE,"Rev Grwth";#N/A,#N/A,FALSE,"Op Inc Grwth";#N/A,#N/A,FALSE,"Net Grwth";#N/A,#N/A,FALSE,"EPS Growth"}</definedName>
    <definedName name="wrn.Guillaume." hidden="1">{"MARCH",#N/A,FALSE,"CONSO OPEX 5899";"FullOpex",#N/A,FALSE,"CONSO OPEX 5899"}</definedName>
    <definedName name="wrn.HAMMOND."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NDOUT." hidden="1">{#N/A,#N/A,FALSE,"COVER PAGE";#N/A,#N/A,FALSE,"Page 2";#N/A,#N/A,FALSE,"Page 2";#N/A,#N/A,FALSE,"Page 4";#N/A,#N/A,FALSE,"Page5";#N/A,#N/A,FALSE,"Page 6";#N/A,#N/A,FALSE,"Page 7";#N/A,#N/A,FALSE,"Page 8";#N/A,#N/A,FALSE,"Page 10";#N/A,#N/A,FALSE,"Long-Term OCF Mult.";#N/A,#N/A,FALSE,"PCS Comp";#N/A,#N/A,FALSE,"OCS-CAPEX";#N/A,#N/A,FALSE,"Blank"}</definedName>
    <definedName name="wrn.HEAT." hidden="1">{#N/A,#N/A,FALSE,"Heat";#N/A,#N/A,FALSE,"DCF";#N/A,#N/A,FALSE,"LBO";#N/A,#N/A,FALSE,"A";#N/A,#N/A,FALSE,"C";#N/A,#N/A,FALSE,"impd";#N/A,#N/A,FALSE,"Accr-Dilu"}</definedName>
    <definedName name="wrn.historical."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_.performance." hidden="1">{"historical acquirer",#N/A,FALSE,"Historical Performance";"historical target",#N/A,FALSE,"Historical Performance"}</definedName>
    <definedName name="wrn.historical._.rev._.backup." hidden="1">{"rev_history_revenueDetail",#N/A,FALSE,"historical rev us";"rev_history_minutesDetail",#N/A,FALSE,"historical rev us"}</definedName>
    <definedName name="wrn.HNZ." hidden="1">{#N/A,#N/A,FALSE,"HNZ"}</definedName>
    <definedName name="wrn.HSSH._.budget._.months._.NLG."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hidden="1">{"HSSH Budget years NLG",#N/A,TRUE,"Profit and Loss";"HSSH Budget years NLG",#N/A,TRUE,"Firm capex";"HSSH Budget years NLG",#N/A,TRUE,"Gross profit analysis";"HSSH Budget years NLG",#N/A,TRUE,"Cashflow";"HSSH Budget years NLG",#N/A,TRUE,"Balance Sheet"}</definedName>
    <definedName name="wrn.HSSH._.Budget._.years._.sterling." hidden="1">{"HSSH Budget years sterling",#N/A,TRUE,"Profit and Loss";"HSSH Budget years sterling",#N/A,TRUE,"Firm capex";"HSSH Budget years sterling",#N/A,TRUE,"Gross profit analysis";"HSSH Budget years sterling",#N/A,TRUE,"Cashflow";"HSSH Budget years sterling",#N/A,TRUE,"Balance Sheet"}</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DPH." hidden="1">{"Rituxan Revenues",#N/A,FALSE,"B cell Revenues";"QEarn1",#N/A,FALSE,"Qearn";"QEarn2",#N/A,FALSE,"Qearn";"QMargin",#N/A,FALSE,"qmargin";"Cashflow",#N/A,FALSE,"cashflow";"Product Pipeline",#N/A,FALSE,"Product Pipeline"}</definedName>
    <definedName name="wrn.II._.PortRev33102." hidden="1">{#N/A,#N/A,TRUE,"Port Summary II";#N/A,#N/A,TRUE,"BV Valuation";#N/A,#N/A,TRUE,"FV Valuation";#N/A,#N/A,TRUE,"JRI";#N/A,#N/A,TRUE,"Weasler";#N/A,#N/A,TRUE,"Stronghaven";#N/A,#N/A,TRUE,"Connor";#N/A,#N/A,TRUE,"HWC";#N/A,#N/A,TRUE,"Temple"}</definedName>
    <definedName name="wrn.III." hidden="1">{"CASHFLOW",#N/A,FALSE,"Northpointe"}</definedName>
    <definedName name="wrn.III1." hidden="1">{"CASHFLOW",#N/A,FALSE,"Northpointe"}</definedName>
    <definedName name="wrn.Ilijan._.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mp_sommaire." hidden="1">{"imp_Sommaire",#N/A,FALSE,"REV IMMOBILIER"}</definedName>
    <definedName name="wrn.imp_Tous." hidden="1">{"imp_0196",#N/A,FALSE,"0019";"imp_0000",#N/A,FALSE,"0000";"imp_0214",#N/A,FALSE,"0214";"imp_0143",#N/A,FALSE,"0143";"imp_0144",#N/A,FALSE,"0144";"imp_0154",#N/A,FALSE,"0154";"imp_0155",#N/A,FALSE,"0155";"imp_0161",#N/A,FALSE,"0161";"imp_0205",#N/A,FALSE,"0205";"imp_0196",#N/A,FALSE,"0196"}</definedName>
    <definedName name="wrn.Income." hidden="1">{#N/A,#N/A,TRUE,"Income";#N/A,#N/A,TRUE,"IncomeDetail";#N/A,#N/A,TRUE,"Balance";#N/A,#N/A,TRUE,"BalDetail"}</definedName>
    <definedName name="wrn.Income._.State." hidden="1">{#N/A,#N/A,FALSE,"Income statement";#N/A,#N/A,FALSE,"Income Statement by Plant"}</definedName>
    <definedName name="wrn.Income._.State._.and._.CapEx." hidden="1">{#N/A,#N/A,FALSE,"Income statement";#N/A,#N/A,FALSE,"Income Statement by Plant"}</definedName>
    <definedName name="wrn.INCOME._.STATEMENT." hidden="1">{"INCOME STATEMENT",#N/A,FALSE,"Income Statement"}</definedName>
    <definedName name="wrn.Income._.Statement._1" hidden="1">{"% Growth",#N/A,FALSE,"Income Statement";"% of GDAR",#N/A,FALSE,"Income Statement"}</definedName>
    <definedName name="wrn.Income._.Statement._1_1" hidden="1">{"% Growth",#N/A,FALSE,"Income Statement";"% of GDAR",#N/A,FALSE,"Income Statement"}</definedName>
    <definedName name="wrn.Income._.Statement._1_2" hidden="1">{"% Growth",#N/A,FALSE,"Income Statement";"% of GDAR",#N/A,FALSE,"Income Statement"}</definedName>
    <definedName name="wrn.Income._.Statement._1_3" hidden="1">{"% Growth",#N/A,FALSE,"Income Statement";"% of GDAR",#N/A,FALSE,"Income Statement"}</definedName>
    <definedName name="wrn.Income._.Statement._1_4" hidden="1">{"% Growth",#N/A,FALSE,"Income Statement";"% of GDAR",#N/A,FALSE,"Income Statement"}</definedName>
    <definedName name="wrn.Income._.Statement._2" hidden="1">{"% Growth",#N/A,FALSE,"Income Statement";"% of GDAR",#N/A,FALSE,"Income Statement"}</definedName>
    <definedName name="wrn.Income._.Statement._3" hidden="1">{"% Growth",#N/A,FALSE,"Income Statement";"% of GDAR",#N/A,FALSE,"Income Statement"}</definedName>
    <definedName name="wrn.Income._.Statement._4" hidden="1">{"% Growth",#N/A,FALSE,"Income Statement";"% of GDAR",#N/A,FALSE,"Income Statement"}</definedName>
    <definedName name="wrn.Income._.Statement._5" hidden="1">{"% Growth",#N/A,FALSE,"Income Statement";"% of GDAR",#N/A,FALSE,"Income Statement"}</definedName>
    <definedName name="wrn.Income._.Statements." hidden="1">{"Income Statement",#N/A,FALSE,"P&amp;L - $";"Quarterly Income Statement",#N/A,FALSE,"P&amp;L Detail"}</definedName>
    <definedName name="wrn.INDEPS." hidden="1">{"page1",#N/A,FALSE,"TIND_CC1";"page2",#N/A,FALSE,"TIND_CC1";"page3",#N/A,FALSE,"TIND_CC1";"page4",#N/A,FALSE,"TIND_CC1";"page5",#N/A,FALSE,"TIND_CC1"}</definedName>
    <definedName name="wrn.Individual._.Statements." hidden="1">{"barlup",#N/A,FALSE,"evabnk97";"gillespey",#N/A,FALSE,"evabnk97";"koon",#N/A,FALSE,"evabnk97";"schreur",#N/A,FALSE,"evabnk97";"stone",#N/A,FALSE,"evabnk97";"wichmann",#N/A,FALSE,"evabnk97";"wright",#N/A,FALSE,"evabnk97"}</definedName>
    <definedName name="wrn.Industry.xls." hidden="1">{#N/A,#N/A,FALSE,"Earnings";#N/A,#N/A,FALSE,"Overview";#N/A,#N/A,FALSE,"Summary";#N/A,#N/A,FALSE,"Summary II";#N/A,#N/A,FALSE,"R&amp;D";#N/A,#N/A,FALSE,"R&amp;D Forecast";#N/A,#N/A,FALSE,"Tax Adj";#N/A,#N/A,FALSE,"Goodwill";#N/A,#N/A,FALSE,"FX ";#N/A,#N/A,FALSE,"Consolidation";#N/A,#N/A,FALSE,"Provisions"}</definedName>
    <definedName name="wrn.Infectious._.Diseases." hidden="1">{#N/A,#N/A,FALSE,"Anti";#N/A,#N/A,FALSE,"Cefa";#N/A,#N/A,FALSE,"Ceph";#N/A,#N/A,FALSE,"Cefp";#N/A,#N/A,FALSE,"Cefe";#N/A,#N/A,FALSE,"Pens";#N/A,#N/A,FALSE,"Ampi";#N/A,#N/A,FALSE,"Amox";#N/A,#N/A,FALSE,"Isox";#N/A,#N/A,FALSE,"Aztr";#N/A,#N/A,FALSE,"Videx";#N/A,#N/A,FALSE,"Zerit"}</definedName>
    <definedName name="wrn.info." hidden="1">{#N/A,#N/A,FALSE,"INFORMATIQUE"}</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Print._.Area." hidden="1">{#N/A,#N/A,FALSE,"inputs";#N/A,#N/A,FALSE,"inputs"}</definedName>
    <definedName name="wrn.Inputs." hidden="1">{"ABF inputs",#N/A,FALSE,"ABF";"ICI inputs",#N/A,FALSE,"ICI"}</definedName>
    <definedName name="wrn.Instructor._.Tips."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ternal." hidden="1">{#N/A,#N/A,TRUE,"COVER INT";#N/A,#N/A,TRUE,"SUMMARY INT";#N/A,#N/A,TRUE,"INCOME STMT INT";#N/A,#N/A,TRUE,"IS TREND";#N/A,#N/A,TRUE,"BALANCE SHEET INT";#N/A,#N/A,TRUE,"BS TREND";#N/A,#N/A,TRUE,"CASH FLOW INT";#N/A,#N/A,TRUE,"CF TREND";#N/A,#N/A,TRUE,"SALES BY TERR INT";#N/A,#N/A,TRUE,"UNITS INT";#N/A,#N/A,TRUE,"PRODUCT SALES INT";#N/A,#N/A,TRUE,"ASP's INT";#N/A,#N/A,TRUE,"GROSS MARGINS INT";#N/A,#N/A,TRUE,"MARGINS PER UNIT INT";#N/A,#N/A,TRUE,"INVENTORY INT";#N/A,#N/A,TRUE,"HEADCOUNT INT";#N/A,#N/A,TRUE,"DEBT STRUCTURE Int";#N/A,#N/A,TRUE," AR"}</definedName>
    <definedName name="wrn.Internal._.Report._.for._.Martha."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vestment._.Summary." hidden="1">{#N/A,#N/A,TRUE,"Summary";#N/A,#N/A,TRUE,"Financials";#N/A,#N/A,TRUE,"Assumptions";#N/A,#N/A,TRUE,"Pro Forma";#N/A,#N/A,TRUE,"Debt";#N/A,#N/A,TRUE,"Amortization";#N/A,#N/A,TRUE,"GG Returns"}</definedName>
    <definedName name="wrn.IPIX." hidden="1">{#N/A,#N/A,FALSE,"Report Print"}</definedName>
    <definedName name="wrn.IPO." hidden="1">{#N/A,#N/A,FALSE,"Summary";#N/A,#N/A,FALSE,"Jan'97";#N/A,#N/A,FALSE,"Feb'97";#N/A,#N/A,FALSE,"Mar'97";#N/A,#N/A,FALSE,"Apr'97";#N/A,#N/A,FALSE,"May'97";#N/A,#N/A,FALSE,"Jun'97";#N/A,#N/A,FALSE,"Jul'97";#N/A,#N/A,FALSE,"Aug'97";#N/A,#N/A,FALSE,"Sept'97";#N/A,#N/A,FALSE,"Oct'97";#N/A,#N/A,FALSE,"Nov'97";#N/A,#N/A,FALSE,"Dec'97";#N/A,#N/A,FALSE,"Pending"}</definedName>
    <definedName name="wrn.IPO._.1998." hidden="1">{#N/A,#N/A,FALSE,"Summary";#N/A,#N/A,FALSE,"Pending";#N/A,#N/A,FALSE,"Jan'98";#N/A,#N/A,FALSE,"Feb'98";#N/A,#N/A,FALSE,"Mar'98";#N/A,#N/A,FALSE,"Apr'98";#N/A,#N/A,FALSE,"May'98";#N/A,#N/A,FALSE,"June'98";#N/A,#N/A,FALSE,"July'98"}</definedName>
    <definedName name="wrn.IPO._.Analysis." hidden="1">{#N/A,#N/A,FALSE,"Summary";#N/A,#N/A,FALSE,"Pending";#N/A,#N/A,FALSE,"Oct'97";#N/A,#N/A,FALSE,"Sept'97";#N/A,#N/A,FALSE,"Aug'97";#N/A,#N/A,FALSE,"Jul'97";#N/A,#N/A,FALSE,"Jun'97";#N/A,#N/A,FALSE,"May'97";#N/A,#N/A,FALSE,"Apr'97";#N/A,#N/A,FALSE,"Mar'97";#N/A,#N/A,FALSE,"Feb'97";#N/A,#N/A,FALSE,"Jan'97"}</definedName>
    <definedName name="wrn.IPO._.Valuation." hidden="1">{"assumptions",#N/A,FALSE,"Scenario 1";"valuation",#N/A,FALSE,"Scenario 1"}</definedName>
    <definedName name="wrn.ipovalue." hidden="1">{#N/A,#N/A,FALSE,"puboff";#N/A,#N/A,FALSE,"valuation";#N/A,#N/A,FALSE,"finanalsis";#N/A,#N/A,FALSE,"split";#N/A,#N/A,FALSE,"ownership"}</definedName>
    <definedName name="wrn.IS._.Q96." hidden="1">{"IS Q96",#N/A,FALSE,"Income Statement"}</definedName>
    <definedName name="wrn.IS._.Q97." hidden="1">{"IS Q97",#N/A,FALSE,"Income Statement"}</definedName>
    <definedName name="wrn.IS._.Years." hidden="1">{"IS Years",#N/A,FALSE,"Income Statement"}</definedName>
    <definedName name="wrn.IS_BS_SCF." hidden="1">{#N/A,#N/A,FALSE,"Income Statement";#N/A,#N/A,FALSE,"Balance Sheet";#N/A,#N/A,FALSE,"Cash Flow"}</definedName>
    <definedName name="wrn.ISCG._.model." hidden="1">{#N/A,#N/A,FALSE,"Second";#N/A,#N/A,FALSE,"ownership";#N/A,#N/A,FALSE,"Valuation";#N/A,#N/A,FALSE,"Eqiv";#N/A,#N/A,FALSE,"Mults";#N/A,#N/A,FALSE,"ISCG Graphics"}</definedName>
    <definedName name="wrn.IV." hidden="1">{"CASHFLOW",#N/A,FALSE,"Northpointe"}</definedName>
    <definedName name="wrn.JANI._.REBATES." hidden="1">{"TOTAL",#N/A,FALSE,"A";"FISCAL94",#N/A,FALSE,"A";"FISCAL95",#N/A,FALSE,"A";"FISCAL96",#N/A,FALSE,"A";"misc page",#N/A,FALSE,"A"}</definedName>
    <definedName name="wrn.jerrys_copy."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ODM._.Graphs." hidden="1">{"graph",#N/A,FALSE,"WWJU";"graph",#N/A,FALSE,"WWSEM";"graph",#N/A,FALSE,"GOMJU";"graph",#N/A,FALSE,"GOMSEM";"graph",#N/A,FALSE,"NSJU";"graph",#N/A,FALSE,"NSSEM";"graph",#N/A,FALSE,"WAJU";"graph",#N/A,FALSE,"STOCKPRI";"graph",#N/A,FALSE,"CFTEV";"graph",#N/A,FALSE,"NAV-RCV";"graph",#N/A,FALSE,"CRUDEWW"}</definedName>
    <definedName name="wrn.July._.Final." hidden="1">{#N/A,#N/A,TRUE,"Mth Sum";#N/A,#N/A,TRUE,"YTD Sum";#N/A,#N/A,TRUE,"Mth Rev Sum";#N/A,#N/A,TRUE,"YTD Rev Sum";#N/A,#N/A,TRUE,"SC vs Pr Month (Revised)";#N/A,#N/A,TRUE,"SVC Detail Mth vs Pr Mth (Rev)";#N/A,#N/A,TRUE,"SGA (Elem) vs Pr Month";#N/A,#N/A,TRUE,"SGA (BU) vs Pr Mth";#N/A,#N/A,TRUE,"SC vs Plan (Revised)";#N/A,#N/A,TRUE,"SVC Detail Mth vsPlan (Rev)";#N/A,#N/A,TRUE,"SGA (Elem) vs Plan";#N/A,#N/A,TRUE,"SGA (BU) vs Plan(Rev)";#N/A,#N/A,TRUE,"SC vs YTD 00 (Revised)";#N/A,#N/A,TRUE,"SGA (Elem) vs YTD 00";#N/A,#N/A,TRUE,"SGA (BU) YTD vs YTD 00";#N/A,#N/A,TRUE,"SC vs YTD Plan (Revised)";#N/A,#N/A,TRUE,"SVC YTD Detail Mth vsPlan (Rev)";#N/A,#N/A,TRUE,"SGA (Elem) vs YTD Plan";#N/A,#N/A,TRUE,"SGA (BU) YTD vs Plan(Rev)";#N/A,#N/A,TRUE,"CapExp";#N/A,#N/A,TRUE,"EBITDA(Flash)";#N/A,#N/A,TRUE,"NetInc(Flash)";#N/A,#N/A,TRUE,"Gross Margin(Flash)";#N/A,#N/A,TRUE,"Mth trends(Flash)";#N/A,#N/A,TRUE,"HeadcountP01";#N/A,#N/A,TRUE,"Headcount P00";#N/A,#N/A,TRUE,"Inc. Statement";#N/A,#N/A,TRUE,"Balance Sheet";#N/A,#N/A,TRUE,"Cash Flow"}</definedName>
    <definedName name="wrn.July._.Presentation." hidden="1">{#N/A,#N/A,FALSE,"Revised Plan description";#N/A,#N/A,FALSE,"Mth Sum";#N/A,#N/A,FALSE,"YTD Sum";#N/A,#N/A,FALSE,"Mth Rev Sum";#N/A,#N/A,FALSE,"YTD Rev Sum";#N/A,#N/A,FALSE,"Direct Margin";#N/A,#N/A,FALSE,"Data MarginvsPlan";#N/A,#N/A,FALSE,"Local MarginvsPlan";#N/A,#N/A,FALSE,"Internet MarginvsPlan";#N/A,#N/A,FALSE,"LD Margin vs Plan ";#N/A,#N/A,FALSE,"Data Margin YTDvsPlan";#N/A,#N/A,FALSE,"Local Margin YTDvsPlan";#N/A,#N/A,FALSE,"Internet Margin YTDvsPlan";#N/A,#N/A,FALSE,"LD Margin YTD vs Plan";#N/A,#N/A,FALSE,"SC vs Pr Month ";#N/A,#N/A,FALSE,"SVC Detail Mth vs Pr Mth";#N/A,#N/A,FALSE,"Ind vs Pr Month ";#N/A,#N/A,FALSE,"SGA (Elem) vs Pr Month";#N/A,#N/A,FALSE,"SGA (BU) vs Pr Mth";#N/A,#N/A,FALSE,"SC vs Plan";#N/A,#N/A,FALSE,"SVC Detail Mth vsPlan ";#N/A,#N/A,FALSE,"Ind vs Plan";#N/A,#N/A,FALSE,"SGA (Elem) vs Plan";#N/A,#N/A,FALSE,"SGA (BU) vs Plan";#N/A,#N/A,FALSE,"SC vs YTD 00";#N/A,#N/A,FALSE,"SGA (Elem) vs YTD 00";#N/A,#N/A,FALSE,"SGA (BU) YTD vs YTD 00";#N/A,#N/A,FALSE,"SC vs YTD Plan ";#N/A,#N/A,FALSE,"SVC YTD Detail Mth vsPlan ";#N/A,#N/A,FALSE,"SGA (Elem) vs YTD Plan";#N/A,#N/A,FALSE,"SGA (BU) YTD vs Plan";#N/A,#N/A,FALSE,"CapExp";#N/A,#N/A,FALSE,"EBITDA";#N/A,#N/A,FALSE,"Mth trends";#N/A,#N/A,FALSE,"Inc. Statement";#N/A,#N/A,FALSE,"Balance Sheet";#N/A,#N/A,FALSE,"Cash Flow"}</definedName>
    <definedName name="wrn.Just._.Sorts." hidden="1">{#N/A,#N/A,FALSE,"Hi";#N/A,#N/A,FALSE,"Lo";#N/A,#N/A,FALSE,"Mkt. Cap";#N/A,#N/A,FALSE,"Alpha"}</definedName>
    <definedName name="wrn.K." hidden="1">{#N/A,#N/A,FALSE,"K"}</definedName>
    <definedName name="wrn.K3._.Annual." hidden="1">{"K3Cash",#N/A,FALSE,"Ann";"K3Income",#N/A,FALSE,"Ann";"K3Educ",#N/A,FALSE,"Ann";"K3media",#N/A,FALSE,"Ann";"K3Info",#N/A,FALSE,"Ann";"K3Valuation",#N/A,FALSE,"Ann"}</definedName>
    <definedName name="wrn.K3._.Quarterly." hidden="1">{"K3 first",#N/A,FALSE,"Qtr.";"K3 second",#N/A,FALSE,"Qtr.";"K3 Third",#N/A,FALSE,"Qtr.";"K3 Fourth",#N/A,FALSE,"Qtr.";"K3 Full",#N/A,FALSE,"Qtr."}</definedName>
    <definedName name="wrn.kriall." hidden="1">{"kricash",#N/A,FALSE,"INC";"kriinc",#N/A,FALSE,"INC";"krimiami",#N/A,FALSE,"INC";"kriother",#N/A,FALSE,"INC";"kripapers",#N/A,FALSE,"INC"}</definedName>
    <definedName name="wrn.LBO._.Summary." hidden="1">{"LBO Summary",#N/A,FALSE,"Summary"}</definedName>
    <definedName name="wrn.Lease_Deli." hidden="1">{#N/A,#N/A,FALSE,"COVER";#N/A,#N/A,FALSE,"Index";#N/A,#N/A,FALSE,"Non-Earning";#N/A,#N/A,FALSE,"Non-Earning-Recovery";#N/A,#N/A,FALSE,"Leasing_Equipo";#N/A,#N/A,FALSE,"Leasing_Auto";#N/A,#N/A,FALSE,"Leasing_Legal"}</definedName>
    <definedName name="wrn.liab." hidden="1">{#N/A,#N/A,FALSE,"BSCON894"}</definedName>
    <definedName name="wrn.LM._.Gear." hidden="1">{"LM Gear IS",#N/A,FALSE,"LM Gear - IS";"LM Gear BS",#N/A,FALSE,"LM Gear BS";"LM Gear Detail IS",#N/A,FALSE,"LM Gear - Detail IS";"LM Gear Detail IS Supplemental Info",#N/A,FALSE,"LM Gear - Detail IS";"LM Gear Monthly 1999",#N/A,FALSE,"LM Gear Monthly";"LM Gear Monthly 1998",#N/A,FALSE,"LM Gear Monthly";"LM Gear Monthly 1997",#N/A,FALSE,"LM Gear Monthly"}</definedName>
    <definedName name="wrn.LP._.Committee._.Book."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June._.13.._.200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UXCOS." hidden="1">{"LUX_ASSET",#N/A,FALSE,"CII-Q494.XLS";"LUX_LIAB",#N/A,FALSE,"CII-Q494.XLS";"LUX_INC",#N/A,FALSE,"CII-Q494.XLS";"LUXje",#N/A,FALSE,"CII-Q494.XLS"}</definedName>
    <definedName name="wrn.m_cash." hidden="1">{"cash_marc",#N/A,FALSE,"dec95cr.xls"}</definedName>
    <definedName name="wrn.Mahmoud." hidden="1">{#N/A,#N/A,FALSE,"Objectives"}</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nagement._.Control._.Report." hidden="1">{#N/A,#N/A,TRUE,"Sheet1 (2)";#N/A,#N/A,TRUE,"Sheet1 (3)";#N/A,#N/A,TRUE,"Sheet1 (4)";#N/A,#N/A,TRUE,"Sheet1 (5)";#N/A,#N/A,TRUE,"Sheet1 (8)";#N/A,#N/A,TRUE,"Sheet1 (9)";#N/A,#N/A,TRUE,"Sheet1 (10)";#N/A,#N/A,TRUE,"Sheet1 (6)";#N/A,#N/A,TRUE,"Sheet1 (7)";#N/A,#N/A,TRUE,"Sheet1 (11)";#N/A,#N/A,TRUE,"Sheet2 (2)";#N/A,#N/A,TRUE,"Sheet3 (2)";#N/A,#N/A,TRUE,"Sheet4 (2)";#N/A,#N/A,TRUE,"Sheet9 (2)";#N/A,#N/A,TRUE,"Sheet8 (2)";#N/A,#N/A,TRUE,"Sheet7 (2)";#N/A,#N/A,TRUE,"Sheet5 (2)";#N/A,#N/A,TRUE,"Sheet2 (3)";#N/A,#N/A,TRUE,"Sheet6 (2)";#N/A,#N/A,TRUE,"Sheet 6A";#N/A,#N/A,TRUE,"Sheet2 (4)";#N/A,#N/A,TRUE,"Sheet2 (5)";#N/A,#N/A,TRUE,"Sheet3 (3)";#N/A,#N/A,TRUE,"Sheet3 (4)";#N/A,#N/A,TRUE,"Sheet4 (3)";#N/A,#N/A,TRUE,"Sheet4 (4)";#N/A,#N/A,TRUE,"Sheet8 (3)";#N/A,#N/A,TRUE,"Sheet8 (4)";#N/A,#N/A,TRUE,"Sheet5 (3)";#N/A,#N/A,TRUE,"Sheet5 (4)";#N/A,#N/A,TRUE,"Sheet10 (2)";#N/A,#N/A,TRUE,"Sheet7 (3)";#N/A,#N/A,TRUE,"Sheet6 (3)";#N/A,#N/A,TRUE,"Sheet5 (5)";#N/A,#N/A,TRUE,"Sheet9 (3)";#N/A,#N/A,TRUE,"Sheet4 (5)";#N/A,#N/A,TRUE,"Sheet12 (2)";#N/A,#N/A,TRUE,"Sheet11 (2)";#N/A,#N/A,TRUE,"Sheet13 (2)";#N/A,#N/A,TRUE,"Sheet14 (2)";#N/A,#N/A,TRUE,"Sheet15 (2)";#N/A,#N/A,TRUE,"Sheet16 (2)";#N/A,#N/A,TRUE,"Sheet1 (12)";#N/A,#N/A,TRUE,"Sheet3 (5)";#N/A,#N/A,TRUE,"Sheet7 (4)";#N/A,#N/A,TRUE,"Sheet2 (6)";#N/A,#N/A,TRUE,"sheet1 (13)";#N/A,#N/A,TRUE,"sheet2 (7)";#N/A,#N/A,TRUE,"sheet10 (3)";#N/A,#N/A,TRUE,"sheet11 (3)";#N/A,#N/A,TRUE,"sheet3 (6)";#N/A,#N/A,TRUE,"sheet4 (6)";#N/A,#N/A,TRUE,"sheet5 (6)";#N/A,#N/A,TRUE,"sheet6 (4)";#N/A,#N/A,TRUE,"sheet7 (5)";#N/A,#N/A,TRUE,"sheet8 (5)";#N/A,#N/A,TRUE,"sheet9 (4)";#N/A,#N/A,TRUE,"Sheet1 (14)";#N/A,#N/A,TRUE,"Sheet2 (8)";#N/A,#N/A,TRUE,"Sheet3 (8)";#N/A,#N/A,TRUE,"Sheet3 (7)";#N/A,#N/A,TRUE,"Sheet4 (7)";#N/A,#N/A,TRUE,"Sheet5 (7)";#N/A,#N/A,TRUE,"Sheet6 (5)";#N/A,#N/A,TRUE,"Sheet1";#N/A,#N/A,TRUE,"Sheet2"}</definedName>
    <definedName name="wrn.March._.Financials." hidden="1">{"Statement of Income",#N/A,TRUE,"Mar99";"Balance Sheet",#N/A,TRUE,"Mar99"}</definedName>
    <definedName name="wrn.MARGIN." hidden="1">{#N/A,#N/A,TRUE,"MAR";#N/A,#N/A,TRUE,"MAR_2"}</definedName>
    <definedName name="wrn.Margins." hidden="1">{#N/A,#N/A,FALSE,"Margins - GrossR&amp;D";#N/A,#N/A,FALSE,"Margins - sg&amp;a";#N/A,#N/A,FALSE,"Margins - Oper-net"}</definedName>
    <definedName name="wrn.Mason._.Deliverables." hidden="1">{#N/A,#N/A,FALSE,"Data &amp; Key Results";#N/A,#N/A,FALSE,"Summary Template";#N/A,#N/A,FALSE,"Budget";#N/A,#N/A,FALSE,"Present Value Comparison";#N/A,#N/A,FALSE,"Cashflow";#N/A,#N/A,FALSE,"Income";#N/A,#N/A,FALSE,"Inputs"}</definedName>
    <definedName name="wrn.master." hidden="1">{#N/A,#N/A,FALSE,"SUMMARY";#N/A,#N/A,FALSE,"mcsh";#N/A,#N/A,FALSE,"vol&amp;rev";#N/A,#N/A,FALSE,"wkgcap";#N/A,#N/A,FALSE,"DEPR&amp;DT";#N/A,#N/A,FALSE,"ASSETS";#N/A,#N/A,FALSE,"NI&amp;OTH&amp;DIV";#N/A,#N/A,FALSE,"CASHFLOW";#N/A,#N/A,FALSE,"CAPEMPL";#N/A,#N/A,FALSE,"ROCE"}</definedName>
    <definedName name="wrn.Master_Income." hidden="1">{"Annual_Income",#N/A,FALSE,"Master Model";"Quarterly_Income",#N/A,FALSE,"Master Model"}</definedName>
    <definedName name="wrn.MCCRK." hidden="1">{#N/A,#N/A,FALSE,"MCCRK"}</definedName>
    <definedName name="wrn.MDA._.Tables." hidden="1">{#N/A,#N/A,TRUE,"Sel Fn Data QTD";#N/A,#N/A,TRUE,"TABLE_1 SPREAD ANALYSIS";#N/A,#N/A,TRUE,"Tables 2 to 3 PL";#N/A,#N/A,TRUE,"Tables 4 and 5 ALLL";#N/A,#N/A,TRUE,"Tables 6 to 8 ALLL NPA";#N/A,#N/A,TRUE,"Table 9 to 10 - Balance Sheet";#N/A,#N/A,TRUE,"Table 11 to 12 - Equity"}</definedName>
    <definedName name="wrn.MDA._.TABLES._.10Q." hidden="1">{#N/A,#N/A,FALSE,"Table 1 QTD";#N/A,#N/A,FALSE,"Table 1 YTD";#N/A,#N/A,FALSE,"Tables 2 to 4 PL";#N/A,#N/A,FALSE,"Tables 5 to 9 ALLL";#N/A,#N/A,FALSE,"Table 10 to 13 - Balance Sheet"}</definedName>
    <definedName name="wrn.MDA_TABLES._.10K."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Q." hidden="1">{#N/A,#N/A,TRUE,"Sel Fn Data QTD";#N/A,#N/A,TRUE,"Table 1 YTD";#N/A,#N/A,TRUE,"Table 1 QTD";#N/A,#N/A,TRUE,"Tables 2 to 3 PL";#N/A,#N/A,TRUE,"Tables 4 and 5ALLL";#N/A,#N/A,TRUE,"Tables 6 to 8 ALLL ";#N/A,#N/A,TRUE,"Table 9 to 12 - Balance Sheet"}</definedName>
    <definedName name="wrn.MDA_TABLES._.10Q._.SEPT." hidden="1">{#N/A,#N/A,TRUE,"Sel Fn Data QTD";#N/A,#N/A,TRUE,"Table 1 YTD";#N/A,#N/A,TRUE,"Tables 2 to 4 PL";#N/A,#N/A,TRUE,"Tables 5 to 9 ALLL";#N/A,#N/A,TRUE,"Table 10 to 13 - Balance Sheet"}</definedName>
    <definedName name="wrn.MEDI." hidden="1">{"Revenues",#N/A,FALSE,"Revenues";"QEarn1",#N/A,FALSE,"Qearn";"QEarn2",#N/A,FALSE,"Qearn";"QMargin",#N/A,FALSE,"Qmargin";"Cashflow",#N/A,FALSE,"Cashflow";"Product Pipeline",#N/A,FALSE,"Product Pipeline";"First Call Tables",#N/A,FALSE,"First Call Tables";"Comment P&amp;L",#N/A,FALSE,"Comment P&amp;L"}</definedName>
    <definedName name="wrn.merge." hidden="1">{#N/A,#N/A,FALSE,"IPO";#N/A,#N/A,FALSE,"DCF";#N/A,#N/A,FALSE,"LBO";#N/A,#N/A,FALSE,"MULT_VAL";#N/A,#N/A,FALSE,"Status Quo";#N/A,#N/A,FALSE,"Recap"}</definedName>
    <definedName name="wrn.Merger." hidden="1">{#N/A,#N/A,FALSE,"Overview";#N/A,#N/A,FALSE,"Summary";#N/A,#N/A,FALSE,"Unph Hist";#N/A,#N/A,FALSE,"Combination";#N/A,#N/A,FALSE,"IOC Proj Base";#N/A,#N/A,FALSE,"Bal";#N/A,#N/A,FALSE,"IOC Bal";#N/A,#N/A,FALSE,"IOC CF";#N/A,#N/A,FALSE,"UNPH Proj"}</definedName>
    <definedName name="wrn.merger._.analysis."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I"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II"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V"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hpall." hidden="1">{"mhpcash",#N/A,FALSE,"MHPNEWX";"mhpinc",#N/A,FALSE,"MHPNEWX";"mhptax",#N/A,FALSE,"MHPNEWX";"mhpbroad",#N/A,FALSE,"MHPNEWX";"mhpeduc",#N/A,FALSE,"MHPNEWX";"mhpfin",#N/A,FALSE,"MHPNEWX";"mhpinfo",#N/A,FALSE,"MHPNEWX"}</definedName>
    <definedName name="wrn.mikes_copy."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LLARES." hidden="1">{#N/A,#N/A,TRUE,"RESUMEN ECON.";#N/A,#N/A,TRUE,"Costos de R.H.";#N/A,#N/A,TRUE,"COSTO HW";#N/A,#N/A,TRUE,"CUADROS";#N/A,#N/A,TRUE,"SCADA´s";#N/A,#N/A,TRUE,"PRECIOS EQUIPOS"}</definedName>
    <definedName name="wrn.model." hidden="1">{"page1",#N/A,FALSE,"GIRLBO";"page2",#N/A,FALSE,"GIRLBO";"page3",#N/A,FALSE,"GIRLBO";"page4",#N/A,FALSE,"GIRLBO";"page5",#N/A,FALSE,"GIRLBO"}</definedName>
    <definedName name="wrn.Month." hidden="1">{#N/A,#N/A,FALSE,"Comp Balance";#N/A,#N/A,FALSE,"Sum Balance ";#N/A,#N/A,FALSE,"Balance Trend";#N/A,#N/A,FALSE,"Comp PL";#N/A,#N/A,FALSE,"PL";#N/A,#N/A,FALSE,"Sum PL";#N/A,#N/A,FALSE,"PL Trend";#N/A,#N/A,FALSE,"Change"}</definedName>
    <definedName name="wrn.Month._.End._.Print._.Out."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 hidden="1">{#N/A,#N/A,FALSE,"SUMMARY";#N/A,#N/A,FALSE,"DETAIL";#N/A,#N/A,FALSE,"VARIANCE"}</definedName>
    <definedName name="wrn.MONTH_REPORT." hidden="1">{#N/A,#N/A,TRUE,"ALLL";#N/A,#N/A,TRUE,"DEL";#N/A,#N/A,TRUE,"Reserve Analysis";#N/A,#N/A,TRUE,"C_OFF HISTORY";#N/A,#N/A,TRUE,"ALLL_QTR";#N/A,#N/A,TRUE,"HEA_M";#N/A,#N/A,TRUE,"BL_DET";#N/A,#N/A,TRUE,"3YRS+";#N/A,#N/A,TRUE,"CONSTR_DET"}</definedName>
    <definedName name="wrn.MONTH_REPORT_BOD." hidden="1">{#N/A,#N/A,FALSE,"HEA_M";#N/A,#N/A,FALSE,"ALLL";#N/A,#N/A,FALSE,"DEL";#N/A,#N/A,FALSE,"Reserve Analysis";#N/A,#N/A,FALSE,"C_OFF HISTORY";#N/A,#N/A,FALSE,"ALLL_QTR"}</definedName>
    <definedName name="wrn.Month_Report_Mgmt."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ly._.Financials." hidden="1">{#N/A,#N/A,FALSE,"mfg - consol";#N/A,#N/A,FALSE,"mfg - flo";#N/A,#N/A,FALSE,"mfg - lindsay"}</definedName>
    <definedName name="wrn.MONTHLY._.INVENTORY._.SCHEDULE." hidden="1">{#N/A,#N/A,FALSE,"Sheet1";#N/A,#N/A,FALSE,"Sheet2";#N/A,#N/A,FALSE,"Sheet3";#N/A,#N/A,FALSE,"Sheet4";#N/A,#N/A,FALSE,"Sheet5";#N/A,#N/A,FALSE,"Sheet6"}</definedName>
    <definedName name="wrn.Monthly._.Report." hidden="1">{#N/A,#N/A,FALSE,"Summary Page";#N/A,#N/A,FALSE,"Collections Listing";#N/A,#N/A,FALSE,"Lessee 60 days past due";#N/A,#N/A,FALSE,"Revenues--Lend Base JP Morgan";#N/A,#N/A,FALSE,"JP Morgan Debt Amort Schedule";#N/A,#N/A,FALSE,"Covenant Analysis"}</definedName>
    <definedName name="wrn.Months." hidden="1">{"Curr Month",#N/A,FALSE,"Curr Mo";"All Months",#N/A,FALSE,"Curr Mo";"YTD",#N/A,FALSE,"Curr Mo";"1001",#N/A,FALSE,"Curr Mo";"1002",#N/A,FALSE,"Curr Mo";"4012",#N/A,FALSE,"Curr Mo";"4017",#N/A,FALSE,"Curr Mo";"1050",#N/A,FALSE,"Curr Mo";"1009",#N/A,FALSE,"Curr Mo";"4079",#N/A,FALSE,"Curr Mo";"4077",#N/A,FALSE,"Curr Mo";"1005",#N/A,FALSE,"Curr Mo";"1008",#N/A,FALSE,"Curr Mo";"1011",#N/A,FALSE,"Curr Mo";"1006",#N/A,FALSE,"Curr Mo";"1024",#N/A,FALSE,"Curr Mo";"1003",#N/A,FALSE,"Curr Mo";"1025",#N/A,FALSE,"Curr Mo";"4013",#N/A,FALSE,"Curr Mo";"1091",#N/A,FALSE,"Curr Mo";"1010",#N/A,FALSE,"Curr Mo";"1023",#N/A,FALSE,"Curr Mo";"4014",#N/A,FALSE,"Curr Mo";"1043",#N/A,FALSE,"Curr Mo";"1014",#N/A,FALSE,"Curr Mo";"1015",#N/A,FALSE,"Curr Mo";"1012",#N/A,FALSE,"Curr Mo";"1061",#N/A,FALSE,"Curr Mo";"1045",#N/A,FALSE,"Curr Mo";"4058",#N/A,FALSE,"Curr Mo";"1033",#N/A,FALSE,"Curr Mo";"1103",#N/A,FALSE,"Curr Mo";"4007",#N/A,FALSE,"Curr Mo";"4021",#N/A,FALSE,"Curr Mo";"4026",#N/A,FALSE,"Curr Mo";"4022",#N/A,FALSE,"Curr Mo";"4050",#N/A,FALSE,"Curr Mo";"4032",#N/A,FALSE,"Curr Mo";"4089",#N/A,FALSE,"Curr Mo";"1042",#N/A,FALSE,"Curr Mo";"1048",#N/A,FALSE,"Curr Mo";"4049",#N/A,FALSE,"Curr Mo"}</definedName>
    <definedName name="wrn.Mortgage." hidden="1">{#N/A,#N/A,FALSE,"COVER";#N/A,#N/A,FALSE,"Index";#N/A,#N/A,FALSE,"Non-Earning";#N/A,#N/A,FALSE,"Mortgage_Legal";#N/A,#N/A,FALSE,"Mortgages"}</definedName>
    <definedName name="wrn.Most._.Likely._.Scenarios." hidden="1">{#N/A,"Mine Allocated, Keep AC",FALSE,"Stream INPUTS";#N/A,"All Preferred, Sell AC",FALSE,"Stream INPUTS";#N/A,"Step Up, Sell AC",FALSE,"Stream INPUTS";#N/A,"All Preferred, BRONCO buys AC",FALSE,"Stream INPUTS"}</definedName>
    <definedName name="wrn.MRA." hidden="1">{"MRA IS",#N/A,FALSE,"MRA - IS";"MRA BS",#N/A,FALSE,"MRA - BS";"MRA Detail IS",#N/A,FALSE,"MRA - Detail IS";"MRA Detail IS Supplemental Info",#N/A,FALSE,"MRA - Detail IS";"MRA Monthly 1999",#N/A,FALSE,"MRA Monthly";"MRA Monthly IS 1998",#N/A,FALSE,"MRA Monthly";"MRA Monthly IS 1997",#N/A,FALSE,"MRA Monthly"}</definedName>
    <definedName name="wrn.Munsell." hidden="1">{#N/A,#N/A,FALSE,"Index";#N/A,#N/A,FALSE,"IncStmt";#N/A,#N/A,FALSE,"Ratios";#N/A,#N/A,FALSE,"CashFlows";#N/A,#N/A,FALSE,"Ins1";#N/A,#N/A,FALSE,"Ins2";#N/A,#N/A,FALSE,"SelfFund";#N/A,#N/A,FALSE,"SGA";#N/A,#N/A,FALSE,"Recon";#N/A,#N/A,FALSE,"Earnings";#N/A,#N/A,FALSE,"Earnings (2)";#N/A,#N/A,FALSE,"Stock";#N/A,#N/A,FALSE,"Stock (2)";#N/A,#N/A,FALSE,"PeerRatios";#N/A,#N/A,FALSE,"PeerRanks"}</definedName>
    <definedName name="wrn.NA." hidden="1">{#N/A,#N/A,FALSE,"NA"}</definedName>
    <definedName name="wrn.Neds." hidden="1">{"page1",#N/A,TRUE,"PRICING";"page2",#N/A,TRUE,"PRICING"}</definedName>
    <definedName name="wrn.Netbacks." hidden="1">{"Netbacks",#N/A,FALSE,"Netbacks"}</definedName>
    <definedName name="wrn.new." hidden="1">{"new1",#N/A,FALSE,"FLEXPAC2";"new2",#N/A,FALSE,"FLEXPAC2"}</definedName>
    <definedName name="wrn.newest." hidden="1">{#N/A,#N/A,TRUE,"TS";#N/A,#N/A,TRUE,"Combo";#N/A,#N/A,TRUE,"FAIR";#N/A,#N/A,TRUE,"RBC";#N/A,#N/A,TRUE,"xxxx"}</definedName>
    <definedName name="wrn.nuevahoja." hidden="1">{#N/A,#N/A,FALSE,"CNS_ADJ";"Balance Consolidado",#N/A,FALSE,"BCEC_CNS";#N/A,#N/A,FALSE,"USGAAP_ADJ"}</definedName>
    <definedName name="wrn.nytaann." hidden="1">{"nytacash",#N/A,FALSE,"GLOBEINC";"nytainc",#N/A,FALSE,"GLOBEINC";"nytanyt",#N/A,FALSE,"GLOBEINC";"nytareg",#N/A,FALSE,"GLOBEINC";"nytaglobe",#N/A,FALSE,"GLOBEINC";"nytapprttl",#N/A,FALSE,"GLOBEINC"}</definedName>
    <definedName name="wrn.Oncology." hidden="1">{#N/A,#N/A,FALSE,"Onco";#N/A,#N/A,FALSE,"Taxol";#N/A,#N/A,FALSE,"UFT";#N/A,#N/A,FALSE,"Carb"}</definedName>
    <definedName name="wrn.one." hidden="1">{"page1",#N/A,FALSE,"A";"page2",#N/A,FALSE,"A"}</definedName>
    <definedName name="wrn.One._.Pager._.plus._.Technicals." hidden="1">{#N/A,#N/A,FALSE,"One Pager";#N/A,#N/A,FALSE,"Technical"}</definedName>
    <definedName name="wrn.OPERATIONS." hidden="1">{#N/A,#N/A,FALSE,"PL-FS";#N/A,#N/A,FALSE,"PL"}</definedName>
    <definedName name="wrn.Opportunity._.Assessment." hidden="1">{#N/A,#N/A,TRUE,"Summary";#N/A,#N/A,TRUE,"Assumptions";#N/A,#N/A,TRUE,"Comparison";#N/A,#N/A,TRUE,"Financials";#N/A,#N/A,TRUE,"Plan v. Act"}</definedName>
    <definedName name="wrn.ops._.costs." hidden="1">{"page1",#N/A,FALSE,"APCI Operations Detail  ";"page2",#N/A,FALSE,"APCI Operations Detail  ";"page3",#N/A,FALSE,"APCI Operations Detail  ";"page4",#N/A,FALSE,"APCI Operations Detail  "}</definedName>
    <definedName name="wrn.OPSUMM." hidden="1">{#N/A,#N/A,FALSE,"BAGOSLEA"}</definedName>
    <definedName name="wrn.OTC._.Market._.Report." hidden="1">{#N/A,#N/A,FALSE,"Sales Graph";#N/A,#N/A,FALSE,"BUC Graph";#N/A,#N/A,FALSE,"P&amp;L - YTD"}</definedName>
    <definedName name="wrn.Other._.Pharm." hidden="1">{#N/A,#N/A,FALSE,"Other";#N/A,#N/A,FALSE,"Ace";#N/A,#N/A,FALSE,"Derm"}</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hd." hidden="1">{#N/A,#N/A,FALSE,"OVHDSUM"}</definedName>
    <definedName name="wrn.ovhd1." hidden="1">{#N/A,#N/A,FALSE,"OVHDSUM"}</definedName>
    <definedName name="wrn.p" hidden="1">{#N/A,#N/A,FALSE,"1";#N/A,#N/A,FALSE,"2";#N/A,#N/A,FALSE,"16 - 17";#N/A,#N/A,FALSE,"18 - 19";#N/A,#N/A,FALSE,"26";#N/A,#N/A,FALSE,"27";#N/A,#N/A,FALSE,"28"}</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_.1." hidden="1">{#N/A,#N/A,FALSE,"Job Sched"}</definedName>
    <definedName name="wrn.PAGE._.2." hidden="1">{"PAGE 2",#N/A,FALSE,"WEST_OT"}</definedName>
    <definedName name="wrn.PAGE._.3." hidden="1">{"PAGE 2",#N/A,FALSE,"WEST_OT"}</definedName>
    <definedName name="wrn.page57to67." hidden="1">{#N/A,#N/A,FALSE,"57";#N/A,#N/A,FALSE,"58";#N/A,#N/A,FALSE,"59";#N/A,#N/A,FALSE,"60";#N/A,#N/A,FALSE,"60A";#N/A,#N/A,FALSE,"61";#N/A,#N/A,FALSE,"62";#N/A,#N/A,FALSE,"63";#N/A,#N/A,FALSE,"63A";#N/A,#N/A,FALSE,"64";#N/A,#N/A,FALSE,"65";#N/A,#N/A,FALSE,"66";#N/A,#N/A,FALSE,"67"}</definedName>
    <definedName name="wrn.page57to67._1" hidden="1">{#N/A,#N/A,FALSE,"57";#N/A,#N/A,FALSE,"58";#N/A,#N/A,FALSE,"59";#N/A,#N/A,FALSE,"60";#N/A,#N/A,FALSE,"60A";#N/A,#N/A,FALSE,"61";#N/A,#N/A,FALSE,"62";#N/A,#N/A,FALSE,"63";#N/A,#N/A,FALSE,"63A";#N/A,#N/A,FALSE,"64";#N/A,#N/A,FALSE,"65";#N/A,#N/A,FALSE,"66";#N/A,#N/A,FALSE,"67"}</definedName>
    <definedName name="wrn.page57to67._1_1" hidden="1">{#N/A,#N/A,FALSE,"57";#N/A,#N/A,FALSE,"58";#N/A,#N/A,FALSE,"59";#N/A,#N/A,FALSE,"60";#N/A,#N/A,FALSE,"60A";#N/A,#N/A,FALSE,"61";#N/A,#N/A,FALSE,"62";#N/A,#N/A,FALSE,"63";#N/A,#N/A,FALSE,"63A";#N/A,#N/A,FALSE,"64";#N/A,#N/A,FALSE,"65";#N/A,#N/A,FALSE,"66";#N/A,#N/A,FALSE,"67"}</definedName>
    <definedName name="wrn.page57to67._1_2" hidden="1">{#N/A,#N/A,FALSE,"57";#N/A,#N/A,FALSE,"58";#N/A,#N/A,FALSE,"59";#N/A,#N/A,FALSE,"60";#N/A,#N/A,FALSE,"60A";#N/A,#N/A,FALSE,"61";#N/A,#N/A,FALSE,"62";#N/A,#N/A,FALSE,"63";#N/A,#N/A,FALSE,"63A";#N/A,#N/A,FALSE,"64";#N/A,#N/A,FALSE,"65";#N/A,#N/A,FALSE,"66";#N/A,#N/A,FALSE,"67"}</definedName>
    <definedName name="wrn.page57to67._1_3" hidden="1">{#N/A,#N/A,FALSE,"57";#N/A,#N/A,FALSE,"58";#N/A,#N/A,FALSE,"59";#N/A,#N/A,FALSE,"60";#N/A,#N/A,FALSE,"60A";#N/A,#N/A,FALSE,"61";#N/A,#N/A,FALSE,"62";#N/A,#N/A,FALSE,"63";#N/A,#N/A,FALSE,"63A";#N/A,#N/A,FALSE,"64";#N/A,#N/A,FALSE,"65";#N/A,#N/A,FALSE,"66";#N/A,#N/A,FALSE,"67"}</definedName>
    <definedName name="wrn.page57to67._1_4" hidden="1">{#N/A,#N/A,FALSE,"57";#N/A,#N/A,FALSE,"58";#N/A,#N/A,FALSE,"59";#N/A,#N/A,FALSE,"60";#N/A,#N/A,FALSE,"60A";#N/A,#N/A,FALSE,"61";#N/A,#N/A,FALSE,"62";#N/A,#N/A,FALSE,"63";#N/A,#N/A,FALSE,"63A";#N/A,#N/A,FALSE,"64";#N/A,#N/A,FALSE,"65";#N/A,#N/A,FALSE,"66";#N/A,#N/A,FALSE,"67"}</definedName>
    <definedName name="wrn.page57to67._2" hidden="1">{#N/A,#N/A,FALSE,"57";#N/A,#N/A,FALSE,"58";#N/A,#N/A,FALSE,"59";#N/A,#N/A,FALSE,"60";#N/A,#N/A,FALSE,"60A";#N/A,#N/A,FALSE,"61";#N/A,#N/A,FALSE,"62";#N/A,#N/A,FALSE,"63";#N/A,#N/A,FALSE,"63A";#N/A,#N/A,FALSE,"64";#N/A,#N/A,FALSE,"65";#N/A,#N/A,FALSE,"66";#N/A,#N/A,FALSE,"67"}</definedName>
    <definedName name="wrn.page57to67._3" hidden="1">{#N/A,#N/A,FALSE,"57";#N/A,#N/A,FALSE,"58";#N/A,#N/A,FALSE,"59";#N/A,#N/A,FALSE,"60";#N/A,#N/A,FALSE,"60A";#N/A,#N/A,FALSE,"61";#N/A,#N/A,FALSE,"62";#N/A,#N/A,FALSE,"63";#N/A,#N/A,FALSE,"63A";#N/A,#N/A,FALSE,"64";#N/A,#N/A,FALSE,"65";#N/A,#N/A,FALSE,"66";#N/A,#N/A,FALSE,"67"}</definedName>
    <definedName name="wrn.page57to67._4" hidden="1">{#N/A,#N/A,FALSE,"57";#N/A,#N/A,FALSE,"58";#N/A,#N/A,FALSE,"59";#N/A,#N/A,FALSE,"60";#N/A,#N/A,FALSE,"60A";#N/A,#N/A,FALSE,"61";#N/A,#N/A,FALSE,"62";#N/A,#N/A,FALSE,"63";#N/A,#N/A,FALSE,"63A";#N/A,#N/A,FALSE,"64";#N/A,#N/A,FALSE,"65";#N/A,#N/A,FALSE,"66";#N/A,#N/A,FALSE,"67"}</definedName>
    <definedName name="wrn.page57to67._5" hidden="1">{#N/A,#N/A,FALSE,"57";#N/A,#N/A,FALSE,"58";#N/A,#N/A,FALSE,"59";#N/A,#N/A,FALSE,"60";#N/A,#N/A,FALSE,"60A";#N/A,#N/A,FALSE,"61";#N/A,#N/A,FALSE,"62";#N/A,#N/A,FALSE,"63";#N/A,#N/A,FALSE,"63A";#N/A,#N/A,FALSE,"64";#N/A,#N/A,FALSE,"65";#N/A,#N/A,FALSE,"66";#N/A,#N/A,FALSE,"67"}</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3"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4"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3"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4"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5"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51._.to._.66._1"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1"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2"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3"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4" hidden="1">{#N/A,#N/A,FALSE,"51";#N/A,#N/A,FALSE,"52";#N/A,#N/A,FALSE,"53";#N/A,#N/A,FALSE,"54";#N/A,#N/A,FALSE,"55";#N/A,#N/A,FALSE,"55A";#N/A,#N/A,FALSE,"56";#N/A,#N/A,FALSE,"57";#N/A,#N/A,FALSE,"57A";#N/A,#N/A,FALSE,"58";#N/A,#N/A,FALSE,"59";#N/A,#N/A,FALSE,"60";#N/A,#N/A,FALSE,"60A";#N/A,#N/A,FALSE,"61";#N/A,#N/A,FALSE,"62";#N/A,#N/A,FALSE,"63";#N/A,#N/A,FALSE,"63A";#N/A,#N/A,FALSE,"64";#N/A,#N/A,FALSE,"65";#N/A,#N/A,FALSE,"66"}</definedName>
    <definedName name="wrn.Pages._.51._.to._.66._2" hidden="1">{#N/A,#N/A,FALSE,"51";#N/A,#N/A,FALSE,"52";#N/A,#N/A,FALSE,"53";#N/A,#N/A,FALSE,"54";#N/A,#N/A,FALSE,"55";#N/A,#N/A,FALSE,"55A";#N/A,#N/A,FALSE,"56";#N/A,#N/A,FALSE,"57";#N/A,#N/A,FALSE,"57A";#N/A,#N/A,FALSE,"58";#N/A,#N/A,FALSE,"59";#N/A,#N/A,FALSE,"60";#N/A,#N/A,FALSE,"60A";#N/A,#N/A,FALSE,"61";#N/A,#N/A,FALSE,"62";#N/A,#N/A,FALSE,"63";#N/A,#N/A,FALSE,"63A";#N/A,#N/A,FALSE,"64";#N/A,#N/A,FALSE,"65";#N/A,#N/A,FALSE,"66"}</definedName>
    <definedName name="wrn.Pages._.51._.to._.66._3" hidden="1">{#N/A,#N/A,FALSE,"51";#N/A,#N/A,FALSE,"52";#N/A,#N/A,FALSE,"53";#N/A,#N/A,FALSE,"54";#N/A,#N/A,FALSE,"55";#N/A,#N/A,FALSE,"55A";#N/A,#N/A,FALSE,"56";#N/A,#N/A,FALSE,"57";#N/A,#N/A,FALSE,"57A";#N/A,#N/A,FALSE,"58";#N/A,#N/A,FALSE,"59";#N/A,#N/A,FALSE,"60";#N/A,#N/A,FALSE,"60A";#N/A,#N/A,FALSE,"61";#N/A,#N/A,FALSE,"62";#N/A,#N/A,FALSE,"63";#N/A,#N/A,FALSE,"63A";#N/A,#N/A,FALSE,"64";#N/A,#N/A,FALSE,"65";#N/A,#N/A,FALSE,"66"}</definedName>
    <definedName name="wrn.Pages._.51._.to._.66._4" hidden="1">{#N/A,#N/A,FALSE,"51";#N/A,#N/A,FALSE,"52";#N/A,#N/A,FALSE,"53";#N/A,#N/A,FALSE,"54";#N/A,#N/A,FALSE,"55";#N/A,#N/A,FALSE,"55A";#N/A,#N/A,FALSE,"56";#N/A,#N/A,FALSE,"57";#N/A,#N/A,FALSE,"57A";#N/A,#N/A,FALSE,"58";#N/A,#N/A,FALSE,"59";#N/A,#N/A,FALSE,"60";#N/A,#N/A,FALSE,"60A";#N/A,#N/A,FALSE,"61";#N/A,#N/A,FALSE,"62";#N/A,#N/A,FALSE,"63";#N/A,#N/A,FALSE,"63A";#N/A,#N/A,FALSE,"64";#N/A,#N/A,FALSE,"65";#N/A,#N/A,FALSE,"66"}</definedName>
    <definedName name="wrn.Pages._.51._.to._.66._5" hidden="1">{#N/A,#N/A,FALSE,"51";#N/A,#N/A,FALSE,"52";#N/A,#N/A,FALSE,"53";#N/A,#N/A,FALSE,"54";#N/A,#N/A,FALSE,"55";#N/A,#N/A,FALSE,"55A";#N/A,#N/A,FALSE,"56";#N/A,#N/A,FALSE,"57";#N/A,#N/A,FALSE,"57A";#N/A,#N/A,FALSE,"58";#N/A,#N/A,FALSE,"59";#N/A,#N/A,FALSE,"60";#N/A,#N/A,FALSE,"60A";#N/A,#N/A,FALSE,"61";#N/A,#N/A,FALSE,"62";#N/A,#N/A,FALSE,"63";#N/A,#N/A,FALSE,"63A";#N/A,#N/A,FALSE,"64";#N/A,#N/A,FALSE,"65";#N/A,#N/A,FALSE,"66"}</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3"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4"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3"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4"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5"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ing._.Compco." hidden="1">{"financials",#N/A,TRUE,"6_30_96";"footnotes",#N/A,TRUE,"6_30_96";"valuation",#N/A,TRUE,"6_30_96"}</definedName>
    <definedName name="wrn.PARTNERS._.CAPITAL._.STMT." hidden="1">{"PARTNERS CAPITAL STMT",#N/A,FALSE,"Partners Capital"}</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3"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4"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3"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4"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5"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3"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4"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3"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4"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5"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se._.in." hidden="1">{"Phase in summary",#N/A,FALSE,"P&amp;L Phased"}</definedName>
    <definedName name="wrn.PL._.Detail." hidden="1">{#N/A,#N/A,FALSE,"P&amp;L Detail";#N/A,#N/A,FALSE,"P&amp;L Detail";#N/A,#N/A,FALSE,"P&amp;L Detail"}</definedName>
    <definedName name="wrn.PLC._.Co.._.budget._.months."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hidden="1">{"PLC Company Budget years",#N/A,TRUE,"Profit and Loss";"PLC Company Budget years",#N/A,TRUE,"Firm capex";"PLC Company Budget years",#N/A,TRUE,"Gross profit analysis";"PLC Company Budget years",#N/A,TRUE,"Cashflow";"PLC Company Budget years",#N/A,TRUE,"Balance Sheet"}</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pp" hidden="1">{#N/A,#N/A,FALSE,"1";#N/A,#N/A,FALSE,"2";#N/A,#N/A,FALSE,"16 - 17";#N/A,#N/A,FALSE,"18 - 19";#N/A,#N/A,FALSE,"26";#N/A,#N/A,FALSE,"27";#N/A,#N/A,FALSE,"28"}</definedName>
    <definedName name="wrn.PRES_OUT." hidden="1">{"page1",#N/A,FALSE,"PRESENTATION";"page2",#N/A,FALSE,"PRESENTATION";#N/A,#N/A,FALSE,"Valuation Summary"}</definedName>
    <definedName name="wrn.PRES_OUT2" hidden="1">{"page1",#N/A,FALSE,"PRESENTATION";"page2",#N/A,FALSE,"PRESENTATION";#N/A,#N/A,FALSE,"Valuation Summary"}</definedName>
    <definedName name="wrn.Pres_OUT3" hidden="1">{"page1",#N/A,FALSE,"PRESENTATION";"page2",#N/A,FALSE,"PRESENTATION";#N/A,#N/A,FALSE,"Valuation Summary"}</definedName>
    <definedName name="wrn.PRES_OUT4" hidden="1">{"page1",#N/A,FALSE,"PRESENTATION";"page2",#N/A,FALSE,"PRESENTATION";#N/A,#N/A,FALSE,"Valuation Summary"}</definedName>
    <definedName name="wrn.PRES_OUT5" hidden="1">{"page1",#N/A,FALSE,"PRESENTATION";"page2",#N/A,FALSE,"PRESENTATION";#N/A,#N/A,FALSE,"Valuation Summary"}</definedName>
    <definedName name="wrn.PRES_OUT6" hidden="1">{"page1",#N/A,FALSE,"PRESENTATION";"page2",#N/A,FALSE,"PRESENTATION";#N/A,#N/A,FALSE,"Valuation Summary"}</definedName>
    <definedName name="wrn.PRES_OUT8" hidden="1">{"page1",#N/A,FALSE,"PRESENTATION";"page2",#N/A,FALSE,"PRESENTATION";#N/A,#N/A,FALSE,"Valuation Summary"}</definedName>
    <definedName name="wrn.prin2._.all." hidden="1">{#N/A,#N/A,FALSE,"Pharm";#N/A,#N/A,FALSE,"WWCM"}</definedName>
    <definedName name="wrn.prin3" hidden="1">{#N/A,#N/A,FALSE,"Pharm";#N/A,#N/A,FALSE,"WWCM"}</definedName>
    <definedName name="wrn.print" hidden="1">{#N/A,#N/A,FALSE,"Pharm";#N/A,#N/A,FALSE,"WWCM"}</definedName>
    <definedName name="wrn.print." hidden="1">{#N/A,#N/A,FALSE,"Japan 2003";#N/A,#N/A,FALSE,"Sheet2"}</definedName>
    <definedName name="wrn.Print._.24." hidden="1">{#N/A,#N/A,FALSE,"Index";"Stmts_Qtrs",#N/A,FALSE,"Summary";"Stmts_24 mo",#N/A,FALSE,"Summary";"Summary_24",#N/A,FALSE,"Revenue";"Month_24",#N/A,FALSE,"Engineering";"Month_24",#N/A,FALSE,"Marketing";"Month_24",#N/A,FALSE,"G &amp; A";"Month_24",#N/A,FALSE,"Manufacturing"}</definedName>
    <definedName name="wrn.Print._.All." hidden="1">{"IS Years",#N/A,FALSE,"Income Statement";"IS Q96",#N/A,FALSE,"Income Statement";"IS Q97",#N/A,FALSE,"Income Statement";"Corporate",#N/A,FALSE,"Corporate Profile";"Netbacks",#N/A,FALSE,"Netbacks"}</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_.Worksheets." hidden="1">{#N/A,#N/A,FALSE,"Capitaliztion Matrix";#N/A,#N/A,FALSE,"4YR P&amp;L";#N/A,#N/A,FALSE,"Program Contributions";#N/A,#N/A,FALSE,"P&amp;L Trans YR 2";#N/A,#N/A,FALSE,"Rev &amp; EBITDA YR2";#N/A,#N/A,FALSE,"P&amp;L Trans YR 1";#N/A,#N/A,FALSE,"Rev &amp; EBITDA YR1"}</definedName>
    <definedName name="wrn.PRINT._.ALL.2" hidden="1">{#N/A,#N/A,FALSE,"Pharm";#N/A,#N/A,FALSE,"WWCM"}</definedName>
    <definedName name="wrn.print._.all2" hidden="1">{#N/A,#N/A,FALSE,"Pharm";#N/A,#N/A,FALSE,"WWCM"}</definedName>
    <definedName name="wrn.PRINT._.FULL." hidden="1">{#N/A,#N/A,FALSE,"face";#N/A,#N/A,FALSE,"RETURN SUMMARY ";#N/A,#N/A,FALSE,"return RS";#N/A,#N/A,FALSE,"return US$";#N/A,#N/A,FALSE,"Key Ratio";#N/A,#N/A,FALSE,"input";#N/A,#N/A,FALSE,"fnplan";#N/A,#N/A,FALSE,"RsKW";#N/A,#N/A,FALSE,"RsKW value";#N/A,#N/A,FALSE,"gen&amp;fuel";#N/A,#N/A,FALSE,"O&amp;M+admin";#N/A,#N/A,FALSE,"dep_rskw";#N/A,#N/A,FALSE,"wc_tariff";#N/A,#N/A,FALSE,"tax-tarif1";#N/A,#N/A,FALSE,"ROE";#N/A,#N/A,FALSE,"P&amp;L";#N/A,#N/A,FALSE,"fund";#N/A,#N/A,FALSE,"B.S.";#N/A,#N/A,FALSE,"wc-P&amp;L";#N/A,#N/A,FALSE,"tax-P&amp;L";#N/A,#N/A,FALSE,"dep-p&amp;l";#N/A,#N/A,FALSE,"Project Cost P&amp;L";#N/A,#N/A,FALSE,"IDCa";#N/A,#N/A,FALSE,"TN_PCOST";#N/A,#N/A,FALSE,"Local Debt in $ CEA";#N/A,#N/A,FALSE,"Debt Service"}</definedName>
    <definedName name="wrn.print._.graphs." hidden="1">{"cap_structure",#N/A,FALSE,"Graph-Mkt Cap";"price",#N/A,FALSE,"Graph-Price";"ebit",#N/A,FALSE,"Graph-EBITDA";"ebitda",#N/A,FALSE,"Graph-EBITDA"}</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nthly._.Book."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_.Out._.1." hidden="1">{"Five Year",#N/A,FALSE,"Summary (2)";"Month 1 and Years",#N/A,FALSE,"Cash Budget"}</definedName>
    <definedName name="wrn.Print._.Pages." hidden="1">{#N/A,#N/A,FALSE,"Page 1";#N/A,#N/A,FALSE,"Page 2";#N/A,#N/A,FALSE,"Page 3";#N/A,#N/A,FALSE,"Page 4";#N/A,#N/A,FALSE,"Page 5"}</definedName>
    <definedName name="wrn.Print._.PNL._.Download." hidden="1">{"PNLProjDL",#N/A,FALSE,"PROJCO";"PNLParDL",#N/A,FALSE,"Parent"}</definedName>
    <definedName name="wrn.print._.raw._.data._.entry." hidden="1">{"inputs raw data",#N/A,TRUE,"INPUT"}</definedName>
    <definedName name="wrn.print._.raw._data._.entry2." hidden="1">{"inputs raw data",#N/A,TRUE,"INPUT"}</definedName>
    <definedName name="wrn.print._.summary._.sheets." hidden="1">{"summary1",#N/A,TRUE,"Comps";"summary2",#N/A,TRUE,"Comps";"summary3",#N/A,TRUE,"Comps"}</definedName>
    <definedName name="wrn.print._.summary._.sheets.2" hidden="1">{"summary1",#N/A,TRUE,"Comps";"summary2",#N/A,TRUE,"Comps";"summary3",#N/A,TRUE,"Comps"}</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all1." hidden="1">{#N/A,#N/A,FALSE,"Pharm";#N/A,#N/A,FALSE,"WWCM"}</definedName>
    <definedName name="wrn.Print_Buyer." hidden="1">{#N/A,"DR",FALSE,"increm pf";#N/A,"MAMSI",FALSE,"increm pf";#N/A,"MAXI",FALSE,"increm pf";#N/A,"PCAM",FALSE,"increm pf";#N/A,"PHSV",FALSE,"increm pf";#N/A,"SIE",FALSE,"increm pf"}</definedName>
    <definedName name="wrn.Print_Earnings_template." hidden="1">{"by_month",#N/A,TRUE,"template";"destec_month",#N/A,TRUE,"template";"by_quarter",#N/A,TRUE,"template";"destec_quarter",#N/A,TRUE,"template";"by_year",#N/A,TRUE,"template";"destec_annual",#N/A,TRUE,"template"}</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hidden="1">{"var_page",#N/A,FALSE,"template"}</definedName>
    <definedName name="wrn.print_variance." hidden="1">{"var_report",#N/A,FALSE,"template"}</definedName>
    <definedName name="wrn.Print_Variance_Page." hidden="1">{"variance_page",#N/A,FALSE,"template"}</definedName>
    <definedName name="wrn.print2" hidden="1">{#N/A,#N/A,FALSE,"Pharm";#N/A,#N/A,FALSE,"WWCM"}</definedName>
    <definedName name="wrn.PRINT2." hidden="1">{"PAGE1",#N/A,FALSE,"ADJMODL";"PAGE2",#N/A,FALSE,"ADJMODL";"PAGE3",#N/A,FALSE,"ADJMODL";"PAGE4",#N/A,FALSE,"ADJMODL";"PAGE5",#N/A,FALSE,"ADJMODL";"PAGE6",#N/A,FALSE,"ADJMODL";"PAGE7",#N/A,FALSE,"ADJMODL";"PAGE8",#N/A,FALSE,"ADJMODL"}</definedName>
    <definedName name="wrn.print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ac." hidden="1">{#N/A,#N/A,FALSE,"Op-BS";#N/A,#N/A,FALSE,"Assum";#N/A,#N/A,FALSE,"IS";#N/A,#N/A,FALSE,"Syn+Elim";#N/A,#N/A,FALSE,"BSCF";#N/A,#N/A,FALSE,"Blue_IS";#N/A,#N/A,FALSE,"Blue_BSCF";#N/A,#N/A,FALSE,"Ratings"}</definedName>
    <definedName name="wrn.PrintAll." hidden="1">{"PA1",#N/A,TRUE,"BORDMW";"pa2",#N/A,TRUE,"BORDMW";"PA3",#N/A,TRUE,"BORDMW";"PA4",#N/A,TRUE,"BORDMW"}</definedName>
    <definedName name="wrn.printqtr." hidden="1">{"nytasecond",#N/A,FALSE,"NYTQTRS";"nytafirst",#N/A,FALSE,"NYTQTRS";"nytathird",#N/A,FALSE,"NYTQTRS";"nytafourth",#N/A,FALSE,"NYTQTRS";"nytafull",#N/A,FALSE,"NYTQTRS"}</definedName>
    <definedName name="wrn.PRINTREP." hidden="1">{"PRINTREP",#N/A,FALSE,"Sheet1"}</definedName>
    <definedName name="wrn.PRNE._.Profit._.and._.Loss._.detail." hidden="1">{#N/A,#N/A,TRUE,"PRNE CORE";#N/A,#N/A,TRUE,"Targeting";#N/A,#N/A,TRUE,"Distribution";#N/A,#N/A,TRUE,"Measurement"}</definedName>
    <definedName name="wrn.PROD._.PLAN._.OPTION._.4." hidden="1">{"TOP 4",#N/A,FALSE,"MVR_SUM OPTION 4 BY MO";"TOP 3A",#N/A,FALSE,"MVR_SUM OPTION 3A BY MO";"TOP OPT 4 VS 3A",#N/A,FALSE,"MVR_SUM OPTION 4 VS 3A BY MO";#N/A,#N/A,FALSE,"MVR_SUM OPTION 4 SUM";#N/A,#N/A,FALSE,"PROD PLAN 4";#N/A,#N/A,FALSE,"PROD PLAN 3A";#N/A,#N/A,FALSE,"PROD UNITS 4 VS 3A";#N/A,#N/A,FALSE,"DLV 4 VS 3A";#N/A,#N/A,FALSE,"SPD 4 VS 3A";#N/A,#N/A,FALSE,"ABS 4 VS 3A"}</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forma."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wrn.Project._.Summary." hidden="1">{"Summary",#N/A,FALSE,"MICMULT";"Income Statement",#N/A,FALSE,"MICMULT";"Cash Flows",#N/A,FALSE,"MICMULT"}</definedName>
    <definedName name="wrn.pror" hidden="1">{#N/A,#N/A,FALSE,"Pharm";#N/A,#N/A,FALSE,"WWCM"}</definedName>
    <definedName name="wrn.PROVSS." hidden="1">{"FOOTNOTE",#N/A,FALSE,"PROV";"SUMMARY",#N/A,FALSE,"PROV";"RATE",#N/A,FALSE,"PROV";"PROV CALC",#N/A,FALSE,"PROV";"PROV TO TR",#N/A,FALSE,"PROV";"TAX ACCOUNT ANAL",#N/A,FALSE,"PROV"}</definedName>
    <definedName name="wrn.Pulp." hidden="1">{"Pulp Production",#N/A,FALSE,"Pulp";"Pulp Earnings",#N/A,FALSE,"Pulp"}</definedName>
    <definedName name="wrn.Pulp.2" hidden="1">{"Pulp Production",#N/A,FALSE,"Pulp";"Pulp Earnings",#N/A,FALSE,"Pulp"}</definedName>
    <definedName name="wrn.Pulp.3" hidden="1">{"Pulp Production",#N/A,FALSE,"Pulp";"Pulp Earnings",#N/A,FALSE,"Pulp"}</definedName>
    <definedName name="wrn.Pulp.3.2" hidden="1">{"Pulp Production",#N/A,FALSE,"Pulp";"Pulp Earnings",#N/A,FALSE,"Pulp"}</definedName>
    <definedName name="wrn.Pulp.3.4" hidden="1">{"Pulp Production",#N/A,FALSE,"Pulp";"Pulp Earnings",#N/A,FALSE,"Pulp"}</definedName>
    <definedName name="wrn.Pulp.3.6" hidden="1">{"Pulp Production",#N/A,FALSE,"Pulp";"Pulp Earnings",#N/A,FALSE,"Pulp"}</definedName>
    <definedName name="wrn.Pulp.4" hidden="1">{"Pulp Production",#N/A,FALSE,"Pulp";"Pulp Earnings",#N/A,FALSE,"Pulp"}</definedName>
    <definedName name="wrn.Pulp.5" hidden="1">{"Pulp Production",#N/A,FALSE,"Pulp";"Pulp Earnings",#N/A,FALSE,"Pulp"}</definedName>
    <definedName name="wrn.Pulp.6" hidden="1">{"Pulp Production",#N/A,FALSE,"Pulp";"Pulp Earnings",#N/A,FALSE,"Pulp"}</definedName>
    <definedName name="wrn.Pulp.7" hidden="1">{"Pulp Production",#N/A,FALSE,"Pulp";"Pulp Earnings",#N/A,FALSE,"Pulp"}</definedName>
    <definedName name="wrn.Pulp.8" hidden="1">{"Pulp Production",#N/A,FALSE,"Pulp";"Pulp Earnings",#N/A,FALSE,"Pulp"}</definedName>
    <definedName name="wrn.Pulp.9" hidden="1">{"Pulp Production",#N/A,FALSE,"Pulp";"Pulp Earnings",#N/A,FALSE,"Pulp"}</definedName>
    <definedName name="wrn.Pump." hidden="1">{#N/A,#N/A,FALSE,"Assump";#N/A,#N/A,FALSE,"Income";#N/A,#N/A,FALSE,"Balance";#N/A,#N/A,FALSE,"DCF Pump";#N/A,#N/A,FALSE,"Trans Assump";#N/A,#N/A,FALSE,"Combined Income";#N/A,#N/A,FALSE,"Combined Balance"}</definedName>
    <definedName name="wrn.Qtr._.3." hidden="1">{"QTR3PL",#N/A,FALSE,"Qtr 3";"QTR3PLYTD",#N/A,FALSE,"Qtr 3";"QTR3BS",#N/A,FALSE,"Qtr 3";"QTR3CF",#N/A,FALSE,"Qtr 3";"QTR3CFYTD",#N/A,FALSE,"Qtr 3";"QTR3PGIPL",#N/A,FALSE,"Qtr 3";"QTR3PGIPLYTD",#N/A,FALSE,"Qtr 3";"QTR3PGIBS",#N/A,FALSE,"Qtr 3";"QTR3PGICF",#N/A,FALSE,"Qtr 3";"QTR3PGICFYTD",#N/A,FALSE,"Qtr 3"}</definedName>
    <definedName name="wrn.QTR1." hidden="1">{"QTR1PGIBS",#N/A,FALSE,"Qtr 1 PGI";"QTR1PGIPL",#N/A,FALSE,"Qtr 1 PGI";"QTR1PGICF",#N/A,FALSE,"Qtr 1 PGI";"QTR1BS",#N/A,FALSE,"Qtr 1 ";"QTR1PL",#N/A,FALSE,"Qtr 1 ";"QTR1CF",#N/A,FALSE,"Qtr 1 "}</definedName>
    <definedName name="wrn.Qtr2." hidden="1">{"QTR2PL",#N/A,FALSE,"Qtr 2";"QTR2PLYTD",#N/A,FALSE,"Qtr 2";"QTR2BS",#N/A,FALSE,"Qtr 2";"QTR2CF",#N/A,FALSE,"Qtr 2";"QTR2CFYTD",#N/A,FALSE,"Qtr 2";"QTR2PGIPL",#N/A,FALSE,"Qtr 2 PGI";"QTR2PGIPLYTD",#N/A,FALSE,"Qtr 2 PGI";"QTR2PGIBS",#N/A,FALSE,"Qtr 2 PGI";"QTR2PGICF",#N/A,FALSE,"Qtr 2 PGI";"QTR2PGICFYTD",#N/A,FALSE,"Qtr 2 PGI"}</definedName>
    <definedName name="wrn.qtrly._.PL._.summary._.FY01._.to._.FY03." hidden="1">{"qtrly summ-FY01",#N/A,FALSE,"P &amp; L";"qtrly summ-FY02",#N/A,FALSE,"P &amp; L";"qtrly summ-FY03",#N/A,FALSE,"P &amp; L"}</definedName>
    <definedName name="wrn.Quarterly._.Income._.Statement." hidden="1">{"Quarterly Income Statement",#N/A,FALSE,"P&amp;L Detail"}</definedName>
    <definedName name="wrn.Quarters." hidden="1">{"All Qtrs",#N/A,FALSE,"Curr Mo";"1001Q",#N/A,FALSE,"Curr Mo";"1002Q",#N/A,FALSE,"Curr Mo";"4012Q",#N/A,FALSE,"Curr Mo";"4017Q",#N/A,FALSE,"Curr Mo";"1050Q",#N/A,FALSE,"Curr Mo";"1009Q",#N/A,FALSE,"Curr Mo";"4079Q",#N/A,FALSE,"Curr Mo";"4077Q",#N/A,FALSE,"Curr Mo";"1005Q",#N/A,FALSE,"Curr Mo";"1008Q",#N/A,FALSE,"Curr Mo";"1011Q",#N/A,FALSE,"Curr Mo";"1006Q",#N/A,FALSE,"Curr Mo";"1024Q",#N/A,FALSE,"Curr Mo";"1003Q",#N/A,FALSE,"Curr Mo";"1025q",#N/A,FALSE,"Curr Mo";"4013Q",#N/A,FALSE,"Curr Mo";"1091Q",#N/A,FALSE,"Curr Mo";"1010Q",#N/A,FALSE,"Curr Mo";"1023Q",#N/A,FALSE,"Curr Mo";"4014Q",#N/A,FALSE,"Curr Mo";"1043Q",#N/A,FALSE,"Curr Mo";"1014Q",#N/A,FALSE,"Curr Mo";"1015Q",#N/A,FALSE,"Curr Mo";"1012Q",#N/A,FALSE,"Curr Mo";"1061Q",#N/A,FALSE,"Curr Mo";"1045Q",#N/A,FALSE,"Curr Mo";"4058Q",#N/A,FALSE,"Curr Mo";"1033Q",#N/A,FALSE,"Curr Mo";"1103Q",#N/A,FALSE,"Curr Mo";"4007Q",#N/A,FALSE,"Curr Mo";"4021Q",#N/A,FALSE,"Curr Mo";"4026Q",#N/A,FALSE,"Curr Mo";"4022Q",#N/A,FALSE,"Curr Mo";"4050Q",#N/A,FALSE,"Curr Mo";"4032Q",#N/A,FALSE,"Curr Mo";"4089Q",#N/A,FALSE,"Curr Mo";"1042Q",#N/A,FALSE,"Curr Mo";"1048Q",#N/A,FALSE,"Curr Mo";"4049Q",#N/A,FALSE,"Curr Mo"}</definedName>
    <definedName name="wrn.RANKED._.REC._.LLC." hidden="1">{#N/A,#N/A,FALSE,"BONDS";#N/A,#N/A,FALSE,"NON-LATIN";#N/A,#N/A,FALSE,"HY BONDS";#N/A,#N/A,FALSE,"LA-ASIAN";#N/A,#N/A,FALSE,"EMG REPO";#N/A,#N/A,FALSE,"TREASURY REPO";#N/A,#N/A,FALSE,"EMG BONDS";#N/A,#N/A,FALSE,"CREDIT DERIV";#N/A,#N/A,FALSE,"CORP DERIV"}</definedName>
    <definedName name="wrn.RANKED._.REV._.GRP._.LLC." hidden="1">{#N/A,#N/A,FALSE,"CURRENCY";#N/A,#N/A,FALSE,"BONDS";#N/A,#N/A,FALSE,"GOLD";#N/A,#N/A,FALSE,"EXOTICS";#N/A,#N/A,FALSE,"NON-LATIN";#N/A,#N/A,FALSE,"HY BONDS";#N/A,#N/A,FALSE,"LA-ASIAN";#N/A,#N/A,FALSE,"EMG REPO";#N/A,#N/A,FALSE,"TREASURY REPO";#N/A,#N/A,FALSE,"EMG BONDS";#N/A,#N/A,FALSE,"EM OPTIONS";#N/A,#N/A,FALSE,"CREDIT DERIV";#N/A,#N/A,FALSE,"CORP DERIV";#N/A,#N/A,FALSE,"NON-MEX SPOT";#N/A,#N/A,FALSE,"ELECTRICITY";#N/A,#N/A,FALSE,"FE ASIA SPOT";#N/A,#N/A,FALSE,"MEX  FWD NDF"}</definedName>
    <definedName name="wrn.Rapport." hidden="1">{#N/A,#N/A,FALSE,"SHEET1";#N/A,#N/A,FALSE,"SHEET2";#N/A,#N/A,FALSE,"SHEET3";#N/A,#N/A,FALSE,"SHEET4"}</definedName>
    <definedName name="wrn.Rapport._.complet." hidden="1">{#N/A,#N/A,FALSE,"Bilan d'ouverture";#N/A,#N/A,FALSE,"Résultats";#N/A,#N/A,FALSE,"Ventes";#N/A,#N/A,FALSE,"Hypothèse - fabrication";#N/A,#N/A,FALSE,"Hypothèse - coûts directs";#N/A,#N/A,FALSE,"Coût des ventes";#N/A,#N/A,FALSE,"Fabrication";#N/A,#N/A,FALSE,"FGF";#N/A,#N/A,FALSE,"Frais de vente";#N/A,#N/A,FALSE,"Frais d'administration";#N/A,#N/A,FALSE,"Frais financiers";#N/A,#N/A,FALSE,"Bilan";#N/A,#N/A,FALSE,"Trésorerie";#N/A,#N/A,FALSE,"Situation";#N/A,#N/A,FALSE,"Comptes clients";#N/A,#N/A,FALSE,"Perc";#N/A,#N/A,FALSE,"Stocks";#N/A,#N/A,FALSE,"FPA";#N/A,#N/A,FALSE,"Immobilisations";#N/A,#N/A,FALSE,"Autres actifs";#N/A,#N/A,FALSE,"Fournisseurs";#N/A,#N/A,FALSE,"Achats";#N/A,#N/A,FALSE,"Débours";#N/A,#N/A,FALSE,"Achats - Débours";#N/A,#N/A,FALSE,"Salaires";#N/A,#N/A,FALSE,"Taxes";#N/A,#N/A,FALSE,"DLT"}</definedName>
    <definedName name="wrn.Rapport._.détaillé." hidden="1">{#N/A,#N/A,TRUE,"Bilan";#N/A,#N/A,TRUE,"Résultats";#N/A,#N/A,TRUE,"Trésorerie";#N/A,#N/A,TRUE,"DLT";#N/A,#N/A,TRUE,"Situation";#N/A,#N/A,TRUE,"FGF";#N/A,#N/A,TRUE,"Frais de vente";#N/A,#N/A,TRUE,"Frais d'administration";#N/A,#N/A,TRUE,"Frais financiers"}</definedName>
    <definedName name="wrn.Rapport._.sommaire." hidden="1">{#N/A,#N/A,TRUE,"Bilan";#N/A,#N/A,TRUE,"Résultats";#N/A,#N/A,TRUE,"Trésorerie";#N/A,#N/A,TRUE,"DLT";#N/A,#N/A,TRUE,"Situation"}</definedName>
    <definedName name="wrn.Ratios." hidden="1">{"Ratios",#N/A,FALSE,"Ratios"}</definedName>
    <definedName name="wrn.Recovery." hidden="1">{#N/A,#N/A,FALSE,"COVER";#N/A,#N/A,FALSE,"Index";#N/A,#N/A,FALSE,"Summ_Products_Rec.97-98";#N/A,#N/A,FALSE,"QTR_Comp.";#N/A,#N/A,FALSE,"Summ_Detail_Rec.97-98";#N/A,#N/A,FALSE,"Summ_Agencies_Rec.97-98"}</definedName>
    <definedName name="wrn.red_take." hidden="1">{"red_take_pg1",#N/A,FALSE,"reduced_take";"red_take_pg2",#N/A,FALSE,"reduced_take";"red_take_pg3",#N/A,FALSE,"reduced_take";"red_take_pg4",#N/A,FALSE,"reduced_take";"red_take_pg5",#N/A,FALSE,"reduced_take";"red_take_pg6",#N/A,FALSE,"reduced_take"}</definedName>
    <definedName name="wrn.Reforcast._.Print." hidden="1">{#N/A,#N/A,FALSE,"RF Inc Stmt";#N/A,#N/A,FALSE,"RF-IS-1";#N/A,#N/A,FALSE,"RF-IS-2"}</definedName>
    <definedName name="wrn.Reforecast."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gions._.Bank." hidden="1">{#N/A,#N/A,FALSE,"Cover_Page";#N/A,#N/A,FALSE,"Balance Sheet FY12";#N/A,#N/A,FALSE,"Consolidated-Cash Flow";#N/A,#N/A,FALSE,"CY_Per Inc FY12"}</definedName>
    <definedName name="wrn.RELEVANTSHEETS." hidden="1">{#N/A,#N/A,FALSE,"AD_Purch";#N/A,#N/A,FALSE,"Projections";#N/A,#N/A,FALSE,"DCF";#N/A,#N/A,FALSE,"Mkt Val"}</definedName>
    <definedName name="wrn.Relvals." hidden="1">{"weekly",#N/A,FALSE,"HLTH_BND";"weekly",#N/A,FALSE,"PAP_BOND";#N/A,#N/A,FALSE,"RET_BND";"weekly",#N/A,FALSE,"CHM_BND";#N/A,#N/A,FALSE,"MOVIES";#N/A,#N/A,FALSE,"CABLE";#N/A,#N/A,FALSE,"BDCSTRV"}</definedName>
    <definedName name="wrn.rep_page." hidden="1">{"Annual_Income",#N/A,FALSE,"Report Page";"Balance_Cash_Flow",#N/A,FALSE,"Report Page";"Quarterly_Income",#N/A,FALSE,"Report Page"}</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{#N/A,#N/A,FALSE,"COVER";#N/A,#N/A,FALSE,"RATIOS";#N/A,#N/A,FALSE,"LEVERAGE";#N/A,#N/A,FALSE,"TIER-1";#N/A,#N/A,FALSE,"RISK BASED ASSETS";#N/A,#N/A,FALSE,"TIER-2"}</definedName>
    <definedName name="wrn.Report._.2." hidden="1">{#N/A,#N/A,TRUE,"Pivots-Employee";#N/A,"Scenerio2",TRUE,"Assumptions Summary"}</definedName>
    <definedName name="wrn.REPORT._.C." hidden="1">{#N/A,#N/A,TRUE,"Sch-5a";#N/A,#N/A,TRUE,"Sch-5b";#N/A,#N/A,TRUE,"Sch-5c";#N/A,#N/A,TRUE,"Sch-5d";#N/A,#N/A,TRUE,"Sch-6a";#N/A,#N/A,TRUE,"Sch-6b";#N/A,#N/A,TRUE,"Sch-6c";#N/A,#N/A,TRUE,"Sch-6d";#N/A,#N/A,TRUE,"Sch-6e"}</definedName>
    <definedName name="wrn.Report._.Summary." hidden="1">{#N/A,#N/A,FALSE,"March Details"}</definedName>
    <definedName name="wrn.Report_Page." hidden="1">{"Annual_Income",#N/A,FALSE,"Report Page";"Balance_Cash_Flow",#N/A,FALSE,"Report Page";"Quarterly_Income",#N/A,FALSE,"Report Page"}</definedName>
    <definedName name="wrn.Report_PR_1." hidden="1">{"PR1","pr1",TRUE,"Sch PR-1"}</definedName>
    <definedName name="wrn.Report1." hidden="1">{#N/A,#N/A,FALSE,"IS";#N/A,#N/A,FALSE,"BS";#N/A,#N/A,FALSE,"CF";#N/A,#N/A,FALSE,"CE";#N/A,#N/A,FALSE,"Depr";#N/A,#N/A,FALSE,"APAL"}</definedName>
    <definedName name="wrn.REPORTING._.PACKAGE." hidden="1">{#N/A,#N/A,TRUE,"Cover";#N/A,#N/A,TRUE,"BS";#N/A,#N/A,TRUE,"BS (2)";#N/A,#N/A,TRUE,"BS (3)";#N/A,#N/A,TRUE,"Supp Info-BS";#N/A,#N/A,TRUE,"IS";#N/A,#N/A,TRUE,"IS (2)";#N/A,#N/A,TRUE,"IS (3)";#N/A,#N/A,TRUE,"Supp Info-IS";#N/A,#N/A,TRUE,"CF";#N/A,#N/A,TRUE,"Supp Info-CF";#N/A,#N/A,TRUE,"SH";#N/A,#N/A,TRUE,"Supp Info-SH"}</definedName>
    <definedName name="wrn.reports." hidden="1">{"summary",#N/A,FALSE,"3 yr average";"comps",#N/A,FALSE,"3 yr average"}</definedName>
    <definedName name="wrn.RESERVE._.SCHEDULE." hidden="1">{#N/A,#N/A,FALSE,"Sheet8";#N/A,#N/A,FALSE,"Sheet7"}</definedName>
    <definedName name="wrn.Results." hidden="1">{#N/A,#N/A,FALSE,"PR report 1";#N/A,#N/A,FALSE,"PR report 2";#N/A,#N/A,FALSE,"PR report 3";#N/A,#N/A,FALSE,"HBE Rev";#N/A,#N/A,FALSE,"PR report 4";#N/A,#N/A,FALSE,"Wiggin Rev";#N/A,#N/A,FALSE,"NH Rev"}</definedName>
    <definedName name="wrn.revenue._.detail." hidden="1">{"revenue detail 1",#N/A,FALSE,"Revenue Detail";"revenue detail 2",#N/A,FALSE,"Revenue Detail";"revenue detail 3",#N/A,FALSE,"Revenue Detail";"revenue detail 4",#N/A,FALSE,"Revenue Detail"}</definedName>
    <definedName name="wrn.revenue._.graph." hidden="1">{"revenue graph",#N/A,FALSE,"Revenue Graph"}</definedName>
    <definedName name="wrn.revenue._.historical."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ised._.Cap._.Budget." hidden="1">{#N/A,#N/A,TRUE,"Overview";#N/A,#N/A,TRUE,"New Gen"}</definedName>
    <definedName name="wrn.Revised._.Capital._.Budget." hidden="1">{#N/A,#N/A,TRUE,"Overview";#N/A,#N/A,TRUE,"New Gen";#N/A,#N/A,TRUE,"Consol cap-ex";#N/A,#N/A,TRUE,"APC cap-ex";#N/A,#N/A,TRUE,"GPC cap-ex";#N/A,#N/A,TRUE,"GUL cap-ex";#N/A,#N/A,TRUE,"MPC cap-ex";#N/A,#N/A,TRUE,"SAV cap-ex";#N/A,#N/A,TRUE,"SEGCO cap-ex";#N/A,#N/A,TRUE,"SWE cap-ex"}</definedName>
    <definedName name="wrn.Ricobayo._.I." hidden="1">{#N/A,#N/A,FALSE,"RESUMEN ECON.";#N/A,#N/A,FALSE,"Costos de R.H.";#N/A,#N/A,FALSE,"COSTO HW";#N/A,#N/A,FALSE,"CUADROS";#N/A,#N/A,FALSE,"SCADA´s";#N/A,#N/A,FALSE,"PRECIOS EQUIPOS"}</definedName>
    <definedName name="wrn.Riverwood_comp_model." hidden="1">{#N/A,#N/A,FALSE,"Che-Ga";#N/A,#N/A,FALSE,"Iv-Sm";#N/A,#N/A,FALSE,"So-We";#N/A,#N/A,FALSE,"Me-Po";#N/A,#N/A,FALSE,"Be-Bo";#N/A,#N/A,FALSE,"Cha-Ki";#N/A,#N/A,FALSE,"In";#N/A,#N/A,FALSE,"Schedule 23";#N/A,#N/A,FALSE,"Schedule 22";#N/A,#N/A,FALSE,"WACC"}</definedName>
    <definedName name="wrn.Roll._.Up._.Fields." hidden="1">{"Total",#N/A,FALSE,"Six Fields";"PDP",#N/A,FALSE,"Six Fields";"PNP",#N/A,FALSE,"Six Fields";"PUD",#N/A,FALSE,"Six Fields";"Prob",#N/A,FALSE,"Six Fields"}</definedName>
    <definedName name="wrn.RustyPresentation." hidden="1">{#N/A,#N/A,TRUE,"TransCore Summary";#N/A,#N/A,TRUE,"TransCore IS";#N/A,#N/A,TRUE,"TransCore Balance";#N/A,#N/A,TRUE,"TransCore Backlog";#N/A,#N/A,TRUE,"Syntonic IS";#N/A,#N/A,TRUE,"Syntonic Bal";#N/A,#N/A,TRUE,"Systems IS";#N/A,#N/A,TRUE,"Systems Bal"}</definedName>
    <definedName name="wrn.sales." hidden="1">{"sales",#N/A,FALSE,"Sales";"sales existing",#N/A,FALSE,"Sales";"sales rd1",#N/A,FALSE,"Sales";"sales rd2",#N/A,FALSE,"Sales"}</definedName>
    <definedName name="wrn.San._.Pedro." hidden="1">{#N/A,#N/A,FALSE,"San Pedro"}</definedName>
    <definedName name="wrn.SB_PRES." hidden="1">{#N/A,#N/A,TRUE,"Sheet16"}</definedName>
    <definedName name="wrn.SBEI." hidden="1">{#N/A,#N/A,TRUE,"Table1";#N/A,#N/A,TRUE,"Table2";#N/A,#N/A,TRUE,"Table3";#N/A,#N/A,TRUE,"Table4";#N/A,#N/A,TRUE,"Table5";#N/A,#N/A,TRUE,"Table6";#N/A,#N/A,TRUE,"Table7";#N/A,#N/A,TRUE,"Table8";#N/A,#N/A,TRUE,"Table9";#N/A,#N/A,TRUE,"Table10";#N/A,#N/A,TRUE,"Table11";#N/A,#N/A,TRUE,"Table12";#N/A,#N/A,TRUE,"Table13";#N/A,#N/A,TRUE,"Table14"}</definedName>
    <definedName name="wrn.Schedules." hidden="1">{#N/A,#N/A,FALSE,"Sch. 1";#N/A,#N/A,FALSE,"Sch. 2";#N/A,#N/A,FALSE,"Sch. 3";#N/A,#N/A,FALSE,"Sch. 4";#N/A,#N/A,FALSE,"Sch. 5";#N/A,#N/A,FALSE,"Sch 6.";#N/A,#N/A,FALSE,"Sch. 7";#N/A,#N/A,FALSE,"Sch. 8";#N/A,#N/A,FALSE,"Sch. 9";#N/A,#N/A,FALSE,"Sch. 10";#N/A,#N/A,FALSE,"Sch. 13"}</definedName>
    <definedName name="wrn.Scripts." hidden="1">{"ENBREL",#N/A,FALSE,"Sheet1";"RenaGel",#N/A,FALSE,"Sheet1";"HIV PI",#N/A,FALSE,"Sheet1";"MS",#N/A,FALSE,"Sheet1"}</definedName>
    <definedName name="wrn.Segments." hidden="1">{"view1",#N/A,FALSE,"Consolidated";"view2",#N/A,FALSE,"Consolidated (sum)";"view1",#N/A,FALSE,"Gen Sys";"view1",#N/A,FALSE,"Semicon";"view1",#N/A,FALSE,"Mess|Med";"view1",#N/A,FALSE,"Land Mob";"view1",#N/A,FALSE,"Other Prod";"view1",#N/A,FALSE,"Adj|Elim"}</definedName>
    <definedName name="wrn.Sell._.AC._.Scenarios." hidden="1">{#N/A,"Mine Allocated, Sell AC",FALSE,"INPUTS";#N/A,"All Preferred, Sell AC",FALSE,"INPUTS";#N/A,"Step Up, Sell AC",FALSE,"INPUTS"}</definedName>
    <definedName name="wrn.SemiCap." hidden="1">{#N/A,#N/A,FALSE,"from high";#N/A,#N/A,FALSE,"from low";#N/A,#N/A,FALSE,"Market Cap";#N/A,#N/A,FALSE,"Alpha"}</definedName>
    <definedName name="wrn.Senior._.Mgr._.Review." hidden="1">{#N/A,#N/A,TRUE,"Y1-F00"}</definedName>
    <definedName name="wrn.Sensitivity." hidden="1">{"sen cf",#N/A,FALSE,"MODEL";"sen earn",#N/A,FALSE,"MODEL";"sen debt",#N/A,FALSE,"MODEL";"sen nav",#N/A,FALSE,"MODEL"}</definedName>
    <definedName name="wrn.Sensitivity._.Analysis." hidden="1">{"Sensitivity Tables",#N/A,FALSE,"DCF"}</definedName>
    <definedName name="wrn.Set." hidden="1">{#N/A,#N/A,FALSE,"High";#N/A,#N/A,FALSE,"Low";#N/A,#N/A,FALSE,"MarketCap";#N/A,#N/A,FALSE,"Alpha"}</definedName>
    <definedName name="wrn.SHORT." hidden="1">{"CREDIT STATISTICS",#N/A,FALSE,"STATS";"CF_AND_IS",#N/A,FALSE,"PLAN";"BALSHEET",#N/A,FALSE,"BALANCE SHEET"}</definedName>
    <definedName name="wrn.Short._.Form._.Print._.Out." hidden="1">{#N/A,#N/A,FALSE,"General Assumptions";#N/A,#N/A,FALSE,"Accounts";#N/A,#N/A,FALSE,"OperatingAssumptions";#N/A,#N/A,FALSE,"Cashflow";#N/A,#N/A,FALSE,"Debt";#N/A,#N/A,FALSE,"Ops Summary";#N/A,#N/A,FALSE,"Summary"}</definedName>
    <definedName name="wrn.Short._.Form._.Print._.Out._1" hidden="1">{#N/A,#N/A,FALSE,"General Assumptions";#N/A,#N/A,FALSE,"Accounts";#N/A,#N/A,FALSE,"OperatingAssumptions";#N/A,#N/A,FALSE,"Cashflow";#N/A,#N/A,FALSE,"Debt";#N/A,#N/A,FALSE,"Ops Summary";#N/A,#N/A,FALSE,"Summary"}</definedName>
    <definedName name="wrn.Short._.Form._.Print._.Out._1_1" hidden="1">{#N/A,#N/A,FALSE,"General Assumptions";#N/A,#N/A,FALSE,"Accounts";#N/A,#N/A,FALSE,"OperatingAssumptions";#N/A,#N/A,FALSE,"Cashflow";#N/A,#N/A,FALSE,"Debt";#N/A,#N/A,FALSE,"Ops Summary";#N/A,#N/A,FALSE,"Summary"}</definedName>
    <definedName name="wrn.Short._.Form._.Print._.Out._1_2" hidden="1">{#N/A,#N/A,FALSE,"General Assumptions";#N/A,#N/A,FALSE,"Accounts";#N/A,#N/A,FALSE,"OperatingAssumptions";#N/A,#N/A,FALSE,"Cashflow";#N/A,#N/A,FALSE,"Debt";#N/A,#N/A,FALSE,"Ops Summary";#N/A,#N/A,FALSE,"Summary"}</definedName>
    <definedName name="wrn.Short._.Form._.Print._.Out._1_3" hidden="1">{#N/A,#N/A,FALSE,"General Assumptions";#N/A,#N/A,FALSE,"Accounts";#N/A,#N/A,FALSE,"OperatingAssumptions";#N/A,#N/A,FALSE,"Cashflow";#N/A,#N/A,FALSE,"Debt";#N/A,#N/A,FALSE,"Ops Summary";#N/A,#N/A,FALSE,"Summary"}</definedName>
    <definedName name="wrn.Short._.Form._.Print._.Out._1_4" hidden="1">{#N/A,#N/A,FALSE,"General Assumptions";#N/A,#N/A,FALSE,"Accounts";#N/A,#N/A,FALSE,"OperatingAssumptions";#N/A,#N/A,FALSE,"Cashflow";#N/A,#N/A,FALSE,"Debt";#N/A,#N/A,FALSE,"Ops Summary";#N/A,#N/A,FALSE,"Summary"}</definedName>
    <definedName name="wrn.Short._.Form._.Print._.Out._2" hidden="1">{#N/A,#N/A,FALSE,"General Assumptions";#N/A,#N/A,FALSE,"Accounts";#N/A,#N/A,FALSE,"OperatingAssumptions";#N/A,#N/A,FALSE,"Cashflow";#N/A,#N/A,FALSE,"Debt";#N/A,#N/A,FALSE,"Ops Summary";#N/A,#N/A,FALSE,"Summary"}</definedName>
    <definedName name="wrn.Short._.Form._.Print._.Out._3" hidden="1">{#N/A,#N/A,FALSE,"General Assumptions";#N/A,#N/A,FALSE,"Accounts";#N/A,#N/A,FALSE,"OperatingAssumptions";#N/A,#N/A,FALSE,"Cashflow";#N/A,#N/A,FALSE,"Debt";#N/A,#N/A,FALSE,"Ops Summary";#N/A,#N/A,FALSE,"Summary"}</definedName>
    <definedName name="wrn.Short._.Form._.Print._.Out._4" hidden="1">{#N/A,#N/A,FALSE,"General Assumptions";#N/A,#N/A,FALSE,"Accounts";#N/A,#N/A,FALSE,"OperatingAssumptions";#N/A,#N/A,FALSE,"Cashflow";#N/A,#N/A,FALSE,"Debt";#N/A,#N/A,FALSE,"Ops Summary";#N/A,#N/A,FALSE,"Summary"}</definedName>
    <definedName name="wrn.Short._.Form._.Print._.Out._5" hidden="1">{#N/A,#N/A,FALSE,"General Assumptions";#N/A,#N/A,FALSE,"Accounts";#N/A,#N/A,FALSE,"OperatingAssumptions";#N/A,#N/A,FALSE,"Cashflow";#N/A,#N/A,FALSE,"Debt";#N/A,#N/A,FALSE,"Ops Summary";#N/A,#N/A,FALSE,"Summary"}</definedName>
    <definedName name="wrn.Side._.by._.Side." hidden="1">{"Side 99",#N/A,FALSE,"S&amp;U Side by Side"}</definedName>
    <definedName name="wrn.SJE_NBR_1_Job." hidden="1">{"SJE_#1A",#N/A,FALSE,"SJE1A";"Payroll_Summary_Report",#N/A,FALSE,"Summary";"SJE_#1B",#N/A,FALSE,"SJE1B";"WC_Grouping",#N/A,FALSE,"WC Payroll"}</definedName>
    <definedName name="wrn.SJE11_Print_Job." hidden="1">{"SJE #11",#N/A,FALSE,"Sheet1"}</definedName>
    <definedName name="wrn.SJE12_PRINT_JOB." hidden="1">{"SJE#12",#N/A,FALSE,"Sheet1"}</definedName>
    <definedName name="wrn.SJE2_PRINTJOB." hidden="1">{"TAX_CALCULATION",#N/A,FALSE,"Accrual Calc";"SJE#2A",#N/A,FALSE,"Accrual GJE";"SJE#2B",#N/A,FALSE,"Reversal GJE"}</definedName>
    <definedName name="wrn.sje22." hidden="1">{"sje #22",#N/A,FALSE,"SJE #22";"calc",#N/A,FALSE,"CALC"}</definedName>
    <definedName name="wrn.SJE3_Print_Job." hidden="1">{"Accrual_Calc",#N/A,FALSE,"JE DETAIL";"SJE#3A",#N/A,FALSE,"JE DETAIL";"SJE#3B",#N/A,FALSE,"JE DETAIL"}</definedName>
    <definedName name="wrn.SJE4_PRINT_JOB." hidden="1">{"sje#4",#N/A,FALSE,"Sheet1"}</definedName>
    <definedName name="wrn.SJE4A_PRINT_JOB." hidden="1">{"SJE#4A",#N/A,FALSE,"Sheet1"}</definedName>
    <definedName name="wrn.SJE5_PRINT_JOB." hidden="1">{"SJE#5",#N/A,FALSE,"Sheet1"}</definedName>
    <definedName name="wrn.Sommaire." hidden="1">{#N/A,#N/A,TRUE,"Summary";#N/A,#N/A,TRUE,"NARRATIF";#N/A,#N/A,TRUE,"SALES";#N/A,#N/A,TRUE,"NOPAT";#N/A,#N/A,TRUE,"CASH";#N/A,#N/A,TRUE,"UA";#N/A,#N/A,TRUE,"spares"}</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ffing."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1" hidden="1">{#N/A,#N/A,FALSE,"Assessment";#N/A,#N/A,FALSE,"Staffing";#N/A,#N/A,FALSE,"Hires";#N/A,#N/A,FALSE,"Assumptions"}</definedName>
    <definedName name="wrn.stand_alone_both" hidden="1">{"FCB_ALL",#N/A,FALSE,"FCB";"GREY_ALL",#N/A,FALSE,"GREY"}</definedName>
    <definedName name="wrn.STAND_ALONE_BOTH." hidden="1">{"FCB_ALL",#N/A,FALSE,"FCB";"GREY_ALL",#N/A,FALSE,"GREY"}</definedName>
    <definedName name="wrn.Stand_alone_both._dcf" hidden="1">{"FCB_ALL",#N/A,FALSE,"FCB";"GREY_ALL",#N/A,FALSE,"GREY"}</definedName>
    <definedName name="wrn.stand_alone_both.1" hidden="1">{"FCB_ALL",#N/A,FALSE,"FCB";"GREY_ALL",#N/A,FALSE,"GREY"}</definedName>
    <definedName name="wrn.stand_alone_both1" hidden="1">{"FCB_ALL",#N/A,FALSE,"FCB";"GREY_ALL",#N/A,FALSE,"GREY"}</definedName>
    <definedName name="wrn.stand_alone_both9" hidden="1">{"FCB_ALL",#N/A,FALSE,"FCB";"GREY_ALL",#N/A,FALSE,"GREY"}</definedName>
    <definedName name="wrn.standaloneboth1" hidden="1">{"FCB_ALL",#N/A,FALSE,"FCB";"GREY_ALL",#N/A,FALSE,"GREY"}</definedName>
    <definedName name="wrn.Standard._.Reports."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tements." hidden="1">{#N/A,#N/A,FALSE,"CostOfService";#N/A,#N/A,FALSE,"BalanceSheet";#N/A,#N/A,FALSE,"IncomeStmt";#N/A,#N/A,FALSE,"CashFlow";#N/A,#N/A,FALSE,"RateBase"}</definedName>
    <definedName name="wrn.statemetns1." hidden="1">{#N/A,#N/A,FALSE,"CostOfService";#N/A,#N/A,FALSE,"BalanceSheet";#N/A,#N/A,FALSE,"IncomeStmt";#N/A,#N/A,FALSE,"CashFlow";#N/A,#N/A,FALSE,"RateBase"}</definedName>
    <definedName name="wrn.Statistics." hidden="1">{"Std Poor",#N/A,FALSE,"S&amp;P";"Sum Stats",#N/A,FALSE,"Stats"}</definedName>
    <definedName name="wrn.STMT._.OF._.CASH._.FLOWS." hidden="1">{"STMT OF CASH FLOWS",#N/A,FALSE,"Cash Flows Indirect"}</definedName>
    <definedName name="wrn.Structure." hidden="1">{#N/A,#N/A,FALSE,"Structure";#N/A,#N/A,FALSE,"Proj-Cal";#N/A,#N/A,FALSE,"Market"}</definedName>
    <definedName name="wrn.Subject._.Worksheet." hidden="1">{"Balance Sheets",#N/A,FALSE,"Subject";"Income Statements - As Reported",#N/A,FALSE,"Subject";"Income Statements - Adjusted",#N/A,FALSE,"Subject";"Ratios",#N/A,FALSE,"Subject";"Representative Earnings",#N/A,FALSE,"Subject"}</definedName>
    <definedName name="wrn.subs." hidden="1">{#N/A,#N/A,FALSE,"Comp - War";#N/A,#N/A,FALSE,"Comp - War"}</definedName>
    <definedName name="wrn.SUM." hidden="1">{"SUM",#N/A,FALSE,"Details (2)"}</definedName>
    <definedName name="wrn.sumarry_96_980" hidden="1">{"arpm1995",#N/A,FALSE,"Summary 95-96";"bus_long_distance",#N/A,FALSE,"Summary 95-96";"mins_per_day",#N/A,FALSE,"Summary 95-96";"minutes1995",#N/A,FALSE,"Summary 95-96";"rev_per_day",#N/A,FALSE,"Summary 95-96";"view1995",#N/A,FALSE,"Summary 95-96"}</definedName>
    <definedName name="wrn.Summ." hidden="1">{#N/A,#N/A,TRUE,"Months 2003";#N/A,#N/A,TRUE,"Months 2004";#N/A,#N/A,TRUE,"Months 2005"}</definedName>
    <definedName name="wrn.summ4." hidden="1">{#N/A,#N/A,FALSE,"summ";#N/A,#N/A,FALSE,"q1";#N/A,#N/A,FALSE,"summ_alt";#N/A,#N/A,FALSE,"stock_nozero";#N/A,#N/A,FALSE,"1995"}</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hidden="1">{"Sum1",#N/A,FALSE,"Reserve Report";"Sum2",#N/A,FALSE,"Reserve Report";"Sum3",#N/A,FALSE,"Reserve Report";"Sum4",#N/A,FALSE,"Reserve Report"}</definedName>
    <definedName name="wrn.Summary._.Financials." hidden="1">{"Balance Sheet",#N/A,FALSE,"Annual Summary";"Cashflows",#N/A,FALSE,"Annual Summary";"Summary Earnings",#N/A,FALSE,"Annual Summary"}</definedName>
    <definedName name="wrn.Summary._.of._.Details2." hidden="1">{"Summary",#N/A,FALSE,"Details (2)"}</definedName>
    <definedName name="wrn.summary._.schedules." hidden="1">{"summary1",#N/A,FALSE,"Summary of Values";"summary2",#N/A,FALSE,"Summary of Values"}</definedName>
    <definedName name="wrn.Summary._1" hidden="1">{"Summary",#N/A,FALSE,"Summary"}</definedName>
    <definedName name="wrn.Summary._1_1" hidden="1">{"Summary",#N/A,FALSE,"Summary"}</definedName>
    <definedName name="wrn.Summary._1_2" hidden="1">{"Summary",#N/A,FALSE,"Summary"}</definedName>
    <definedName name="wrn.Summary._1_3" hidden="1">{"Summary",#N/A,FALSE,"Summary"}</definedName>
    <definedName name="wrn.Summary._1_4" hidden="1">{"Summary",#N/A,FALSE,"Summary"}</definedName>
    <definedName name="wrn.Summary._2" hidden="1">{"Summary",#N/A,FALSE,"Summary"}</definedName>
    <definedName name="wrn.Summary._3" hidden="1">{"Summary",#N/A,FALSE,"Summary"}</definedName>
    <definedName name="wrn.Summary._4" hidden="1">{"Summary",#N/A,FALSE,"Summary"}</definedName>
    <definedName name="wrn.Summary._5" hidden="1">{"Summary",#N/A,FALSE,"Summary"}</definedName>
    <definedName name="wrn.summary_95_890" hidden="1">{"arpm1995",#N/A,FALSE,"Summary 95-96";"bus_long_distance",#N/A,FALSE,"Summary 95-96";"mins_per_day",#N/A,FALSE,"Summary 95-96";"minutes1995",#N/A,FALSE,"Summary 95-96";"rev_per_day",#N/A,FALSE,"Summary 95-96";"view1995",#N/A,FALSE,"Summary 95-96"}</definedName>
    <definedName name="wrn.summary_95_950" hidden="1">{"arpm1995",#N/A,FALSE,"Summary 95-96";"bus_long_distance",#N/A,FALSE,"Summary 95-96";"mins_per_day",#N/A,FALSE,"Summary 95-96";"minutes1995",#N/A,FALSE,"Summary 95-96";"rev_per_day",#N/A,FALSE,"Summary 95-96";"view1995",#N/A,FALSE,"Summary 95-96"}</definedName>
    <definedName name="wrn.summary_95_96." hidden="1">{"arpm1995",#N/A,FALSE,"Summary 95-96";"bus_long_distance",#N/A,FALSE,"Summary 95-96";"mins_per_day",#N/A,FALSE,"Summary 95-96";"minutes1995",#N/A,FALSE,"Summary 95-96";"rev_per_day",#N/A,FALSE,"Summary 95-96";"view1995",#N/A,FALSE,"Summary 95-96"}</definedName>
    <definedName name="wrn.summary_95_960" hidden="1">{"arpm1995",#N/A,FALSE,"Summary 95-96";"bus_long_distance",#N/A,FALSE,"Summary 95-96";"mins_per_day",#N/A,FALSE,"Summary 95-96";"minutes1995",#N/A,FALSE,"Summary 95-96";"rev_per_day",#N/A,FALSE,"Summary 95-96";"view1995",#N/A,FALSE,"Summary 95-96"}</definedName>
    <definedName name="wrn.summary_95_961." hidden="1">{"arpm1995",#N/A,FALSE,"Summary 95-96";"bus_long_distance",#N/A,FALSE,"Summary 95-96";"mins_per_day",#N/A,FALSE,"Summary 95-96";"minutes1995",#N/A,FALSE,"Summary 95-96";"rev_per_day",#N/A,FALSE,"Summary 95-96";"view1995",#N/A,FALSE,"Summary 95-96"}</definedName>
    <definedName name="wrn.summary_95_963" hidden="1">{"arpm1995",#N/A,FALSE,"Summary 95-96";"bus_long_distance",#N/A,FALSE,"Summary 95-96";"mins_per_day",#N/A,FALSE,"Summary 95-96";"minutes1995",#N/A,FALSE,"Summary 95-96";"rev_per_day",#N/A,FALSE,"Summary 95-96";"view1995",#N/A,FALSE,"Summary 95-96"}</definedName>
    <definedName name="wrn.summary_95_966" hidden="1">{"arpm1995",#N/A,FALSE,"Summary 95-96";"bus_long_distance",#N/A,FALSE,"Summary 95-96";"mins_per_day",#N/A,FALSE,"Summary 95-96";"minutes1995",#N/A,FALSE,"Summary 95-96";"rev_per_day",#N/A,FALSE,"Summary 95-96";"view1995",#N/A,FALSE,"Summary 95-96"}</definedName>
    <definedName name="wrn.summary_95_967" hidden="1">{"arpm1995",#N/A,FALSE,"Summary 95-96";"bus_long_distance",#N/A,FALSE,"Summary 95-96";"mins_per_day",#N/A,FALSE,"Summary 95-96";"minutes1995",#N/A,FALSE,"Summary 95-96";"rev_per_day",#N/A,FALSE,"Summary 95-96";"view1995",#N/A,FALSE,"Summary 95-96"}</definedName>
    <definedName name="wrn.summary_95_968" hidden="1">{"arpm1995",#N/A,FALSE,"Summary 95-96";"bus_long_distance",#N/A,FALSE,"Summary 95-96";"mins_per_day",#N/A,FALSE,"Summary 95-96";"minutes1995",#N/A,FALSE,"Summary 95-96";"rev_per_day",#N/A,FALSE,"Summary 95-96";"view1995",#N/A,FALSE,"Summary 95-96"}</definedName>
    <definedName name="wrn.summary_95_968w" hidden="1">{"arpm1995",#N/A,FALSE,"Summary 95-96";"bus_long_distance",#N/A,FALSE,"Summary 95-96";"mins_per_day",#N/A,FALSE,"Summary 95-96";"minutes1995",#N/A,FALSE,"Summary 95-96";"rev_per_day",#N/A,FALSE,"Summary 95-96";"view1995",#N/A,FALSE,"Summary 95-96"}</definedName>
    <definedName name="wrn.summary_95_969" hidden="1">{"arpm1995",#N/A,FALSE,"Summary 95-96";"bus_long_distance",#N/A,FALSE,"Summary 95-96";"mins_per_day",#N/A,FALSE,"Summary 95-96";"minutes1995",#N/A,FALSE,"Summary 95-96";"rev_per_day",#N/A,FALSE,"Summary 95-96";"view1995",#N/A,FALSE,"Summary 95-96"}</definedName>
    <definedName name="wrn.summary_95_97" hidden="1">{"arpm1995",#N/A,FALSE,"Summary 95-96";"bus_long_distance",#N/A,FALSE,"Summary 95-96";"mins_per_day",#N/A,FALSE,"Summary 95-96";"minutes1995",#N/A,FALSE,"Summary 95-96";"rev_per_day",#N/A,FALSE,"Summary 95-96";"view1995",#N/A,FALSE,"Summary 95-96"}</definedName>
    <definedName name="wrn.summary_95_970" hidden="1">{"arpm1995",#N/A,FALSE,"Summary 95-96";"bus_long_distance",#N/A,FALSE,"Summary 95-96";"mins_per_day",#N/A,FALSE,"Summary 95-96";"minutes1995",#N/A,FALSE,"Summary 95-96";"rev_per_day",#N/A,FALSE,"Summary 95-96";"view1995",#N/A,FALSE,"Summary 95-96"}</definedName>
    <definedName name="wrn.summary_95_971" hidden="1">{"arpm1995",#N/A,FALSE,"Summary 95-96";"bus_long_distance",#N/A,FALSE,"Summary 95-96";"mins_per_day",#N/A,FALSE,"Summary 95-96";"minutes1995",#N/A,FALSE,"Summary 95-96";"rev_per_day",#N/A,FALSE,"Summary 95-96";"view1995",#N/A,FALSE,"Summary 95-96"}</definedName>
    <definedName name="wrn.summary_95_98" hidden="1">{"arpm1995",#N/A,FALSE,"Summary 95-96";"bus_long_distance",#N/A,FALSE,"Summary 95-96";"mins_per_day",#N/A,FALSE,"Summary 95-96";"minutes1995",#N/A,FALSE,"Summary 95-96";"rev_per_day",#N/A,FALSE,"Summary 95-96";"view1995",#N/A,FALSE,"Summary 95-96"}</definedName>
    <definedName name="wrn.summary_95_982" hidden="1">{"arpm1995",#N/A,FALSE,"Summary 95-96";"bus_long_distance",#N/A,FALSE,"Summary 95-96";"mins_per_day",#N/A,FALSE,"Summary 95-96";"minutes1995",#N/A,FALSE,"Summary 95-96";"rev_per_day",#N/A,FALSE,"Summary 95-96";"view1995",#N/A,FALSE,"Summary 95-96"}</definedName>
    <definedName name="wrn.summary_96_915" hidden="1">{"arpm1995",#N/A,FALSE,"Summary 95-96";"bus_long_distance",#N/A,FALSE,"Summary 95-96";"mins_per_day",#N/A,FALSE,"Summary 95-96";"minutes1995",#N/A,FALSE,"Summary 95-96";"rev_per_day",#N/A,FALSE,"Summary 95-96";"view1995",#N/A,FALSE,"Summary 95-96"}</definedName>
    <definedName name="wrn.summary_96_97" hidden="1">{"arpm1995",#N/A,FALSE,"Summary 95-96";"bus_long_distance",#N/A,FALSE,"Summary 95-96";"mins_per_day",#N/A,FALSE,"Summary 95-96";"minutes1995",#N/A,FALSE,"Summary 95-96";"rev_per_day",#N/A,FALSE,"Summary 95-96";"view1995",#N/A,FALSE,"Summary 95-96"}</definedName>
    <definedName name="wrn.summary_96_970" hidden="1">{"arpm1995",#N/A,FALSE,"Summary 95-96";"bus_long_distance",#N/A,FALSE,"Summary 95-96";"mins_per_day",#N/A,FALSE,"Summary 95-96";"minutes1995",#N/A,FALSE,"Summary 95-96";"rev_per_day",#N/A,FALSE,"Summary 95-96";"view1995",#N/A,FALSE,"Summary 95-96"}</definedName>
    <definedName name="wrn.summary_96_973" hidden="1">{"arpm1995",#N/A,FALSE,"Summary 95-96";"bus_long_distance",#N/A,FALSE,"Summary 95-96";"mins_per_day",#N/A,FALSE,"Summary 95-96";"minutes1995",#N/A,FALSE,"Summary 95-96";"rev_per_day",#N/A,FALSE,"Summary 95-96";"view1995",#N/A,FALSE,"Summary 95-96"}</definedName>
    <definedName name="wrn.summary_96_974" hidden="1">{"arpm1995",#N/A,FALSE,"Summary 95-96";"bus_long_distance",#N/A,FALSE,"Summary 95-96";"mins_per_day",#N/A,FALSE,"Summary 95-96";"minutes1995",#N/A,FALSE,"Summary 95-96";"rev_per_day",#N/A,FALSE,"Summary 95-96";"view1995",#N/A,FALSE,"Summary 95-96"}</definedName>
    <definedName name="wrn.summary_96_977" hidden="1">{"arpm1995",#N/A,FALSE,"Summary 95-96";"bus_long_distance",#N/A,FALSE,"Summary 95-96";"mins_per_day",#N/A,FALSE,"Summary 95-96";"minutes1995",#N/A,FALSE,"Summary 95-96";"rev_per_day",#N/A,FALSE,"Summary 95-96";"view1995",#N/A,FALSE,"Summary 95-96"}</definedName>
    <definedName name="wrn.summary_96_977_1" hidden="1">{"arpm1995",#N/A,FALSE,"Summary 95-96";"bus_long_distance",#N/A,FALSE,"Summary 95-96";"mins_per_day",#N/A,FALSE,"Summary 95-96";"minutes1995",#N/A,FALSE,"Summary 95-96";"rev_per_day",#N/A,FALSE,"Summary 95-96";"view1995",#N/A,FALSE,"Summary 95-96"}</definedName>
    <definedName name="wrn.summary_96_978" hidden="1">{"arpm1995",#N/A,FALSE,"Summary 95-96";"bus_long_distance",#N/A,FALSE,"Summary 95-96";"mins_per_day",#N/A,FALSE,"Summary 95-96";"minutes1995",#N/A,FALSE,"Summary 95-96";"rev_per_day",#N/A,FALSE,"Summary 95-96";"view1995",#N/A,FALSE,"Summary 95-96"}</definedName>
    <definedName name="wrn.summary_96_97x" hidden="1">{"arpm1995",#N/A,FALSE,"Summary 95-96";"bus_long_distance",#N/A,FALSE,"Summary 95-96";"mins_per_day",#N/A,FALSE,"Summary 95-96";"minutes1995",#N/A,FALSE,"Summary 95-96";"rev_per_day",#N/A,FALSE,"Summary 95-96";"view1995",#N/A,FALSE,"Summary 95-96"}</definedName>
    <definedName name="wrn.summary_96_987" hidden="1">{"arpm1995",#N/A,FALSE,"Summary 95-96";"bus_long_distance",#N/A,FALSE,"Summary 95-96";"mins_per_day",#N/A,FALSE,"Summary 95-96";"minutes1995",#N/A,FALSE,"Summary 95-96";"rev_per_day",#N/A,FALSE,"Summary 95-96";"view1995",#N/A,FALSE,"Summary 95-96"}</definedName>
    <definedName name="wrn.SUPP_SCHD." hidden="1">{#N/A,#N/A,TRUE,"A";#N/A,#N/A,TRUE,"B";#N/A,#N/A,TRUE,"C";#N/A,#N/A,TRUE,"D";#N/A,#N/A,TRUE,"E"}</definedName>
    <definedName name="wrn.Supplemental_Reports." hidden="1">{#N/A,#N/A,FALSE,"Report Data";#N/A,#N/A,FALSE,"COMP POOL";#N/A,#N/A,FALSE,"COMP POOL NB95";#N/A,#N/A,FALSE,"COMP POOL NB94"}</definedName>
    <definedName name="wrn.Support." hidden="1">{#N/A,#N/A,FALSE,"TRIAL INPUT";#N/A,#N/A,FALSE,"AVG INPUT COPY";#N/A,#N/A,FALSE,"INVESTMENTS_INPUT"}</definedName>
    <definedName name="wrn.t_cash." hidden="1">{"cash_tes",#N/A,FALSE,"dec95cr.xls"}</definedName>
    <definedName name="wrn.Tables." hidden="1">{"view1",#N/A,FALSE,"Tables";"view2",#N/A,FALSE,"Tables";"view3",#N/A,FALSE,"Tables"}</definedName>
    <definedName name="wrn.Tables._.and._.Support." hidden="1">{#N/A,#N/A,FALSE,"TABLE_1 YTD";#N/A,#N/A,FALSE,"TABLE_1A QTD";#N/A,#N/A,FALSE,"NORMAL_SPREAD_QTD";#N/A,#N/A,FALSE,"NORMAL_SPREAD_YTD";#N/A,#N/A,FALSE,"TAX_EQV";#N/A,#N/A,FALSE,"TAX EQUIV_INPUT";#N/A,#N/A,FALSE,"NET FROM FER";#N/A,#N/A,FALSE,"COVER"}</definedName>
    <definedName name="wrn.Target."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DCF." hidden="1">{"targetdcf",#N/A,FALSE,"Merger consequences";"TARGETASSU",#N/A,FALSE,"Merger consequences";"TERMINAL VALUE",#N/A,FALSE,"Merger consequences"}</definedName>
    <definedName name="wrn.TargetLBO." hidden="1">{#N/A,#N/A,TRUE,"Tar-Ass";#N/A,#N/A,TRUE,"Tar-Ass LBO";#N/A,#N/A,TRUE,"LBO Ret";#N/A,#N/A,TRUE,"Tar-BS LBO";#N/A,#N/A,TRUE,"Tar-IS LBO";#N/A,#N/A,TRUE,"Tar-CF LBO";#N/A,#N/A,TRUE,"Tar-Debt LBO";#N/A,#N/A,TRUE,"Tar-Int LBO";#N/A,#N/A,TRUE,"Tar-Taxes LBO";#N/A,#N/A,TRUE,"Tar-Val LBO"}</definedName>
    <definedName name="wrn.TargetState." hidden="1">{#N/A,#N/A,FALSE,"Tar-Ass";#N/A,#N/A,FALSE,"Tar-IS";#N/A,#N/A,FALSE,"Tar-BS";#N/A,#N/A,FALSE,"Tar-Adg BS";#N/A,#N/A,FALSE,"Tar-CF"}</definedName>
    <definedName name="wrn.TargetVal." hidden="1">{#N/A,#N/A,TRUE,"Val - sum";#N/A,#N/A,TRUE,"Val - Sum1";#N/A,#N/A,TRUE,"Val - sum2";#N/A,#N/A,TRUE,"Val - Sum3";#N/A,#N/A,TRUE,"Tar-DCF";#N/A,#N/A,TRUE,"Tar-Val LBO";#N/A,#N/A,TRUE,"Tar-Mult Val"}</definedName>
    <definedName name="wrn.Tariff._.working." hidden="1">{#N/A,#N/A,TRUE,"input";#N/A,#N/A,TRUE,"fnplan";#N/A,#N/A,TRUE,"Key Ratio";#N/A,#N/A,TRUE,"Gen_BrkDn";#N/A,#N/A,TRUE,"RsKW";#N/A,#N/A,TRUE,"gen&amp;fuel";#N/A,#N/A,TRUE,"fuel_price";#N/A,#N/A,TRUE,"O&amp;M+admin";#N/A,#N/A,TRUE,"int(GB-debt)";#N/A,#N/A,TRUE,"dep_rskw";#N/A,#N/A,TRUE,"wc_tariff";#N/A,#N/A,TRUE,"tax-tarif1";#N/A,#N/A,TRUE,"ROE";#N/A,#N/A,TRUE,"TN_PCOST";#N/A,#N/A,TRUE,"fincost-tec";#N/A,#N/A,TRUE,"IDCa";#N/A,#N/A,TRUE,"fcloan(G)";#N/A,#N/A,TRUE,"fcloan(NO-G) ";#N/A,#N/A,TRUE,"Local Debt in $";#N/A,#N/A,TRUE,"Rsloan -CEA";#N/A,#N/A,TRUE,"SHL1 in $";#N/A,#N/A,TRUE,"SHL-1-INRs"}</definedName>
    <definedName name="wrn.TB._.ALL._.ACCTS." hidden="1">{"BALANCE SHEET ACCTS",#N/A,TRUE,"Working Trial Balance";"INCOME STMT ACCTS",#N/A,TRUE,"Working Trial Balance"}</definedName>
    <definedName name="wrn.TB._.BALANCE._.SHEET." hidden="1">{"BALANCE SHEET ACCTS",#N/A,FALSE,"Working Trial Balance"}</definedName>
    <definedName name="wrn.TB._.EXPLANATIONS." hidden="1">{"EXPLANATIONS",#N/A,FALSE,"Working Trial Balance"}</definedName>
    <definedName name="wrn.TB._.INCOME._.STMT." hidden="1">{"INCOME STMT ACCTS",#N/A,FALSE,"Working Trial Balance"}</definedName>
    <definedName name="wrn.technology." hidden="1">{"developed valuation",#N/A,FALSE,"Valuation Analysis";"developed income statement",#N/A,FALSE,"Abbreviated Income Statement";"inprocess valuation",#N/A,FALSE,"Valuation Analysis";"inprocess income statement",#N/A,FALSE,"Abbreviated Income Statement"}</definedName>
    <definedName name="wrn.test." hidden="1">{"test2",#N/A,TRUE,"Prices"}</definedName>
    <definedName name="wrn.Test._1" hidden="1">{#N/A,#N/A,FALSE,"P&amp;L";#N/A,#N/A,FALSE,"BS"}</definedName>
    <definedName name="wrn.Test._1_1" hidden="1">{#N/A,#N/A,FALSE,"P&amp;L";#N/A,#N/A,FALSE,"BS"}</definedName>
    <definedName name="wrn.Test._1_2" hidden="1">{#N/A,#N/A,FALSE,"P&amp;L";#N/A,#N/A,FALSE,"BS"}</definedName>
    <definedName name="wrn.Test._1_3" hidden="1">{#N/A,#N/A,FALSE,"P&amp;L";#N/A,#N/A,FALSE,"BS"}</definedName>
    <definedName name="wrn.Test._1_4" hidden="1">{#N/A,#N/A,FALSE,"P&amp;L";#N/A,#N/A,FALSE,"BS"}</definedName>
    <definedName name="wrn.Test._2" hidden="1">{#N/A,#N/A,FALSE,"P&amp;L";#N/A,#N/A,FALSE,"BS"}</definedName>
    <definedName name="wrn.Test._3" hidden="1">{#N/A,#N/A,FALSE,"P&amp;L";#N/A,#N/A,FALSE,"BS"}</definedName>
    <definedName name="wrn.Test._4" hidden="1">{#N/A,#N/A,FALSE,"P&amp;L";#N/A,#N/A,FALSE,"BS"}</definedName>
    <definedName name="wrn.Test._5" hidden="1">{#N/A,#N/A,FALSE,"P&amp;L";#N/A,#N/A,FALSE,"BS"}</definedName>
    <definedName name="wrn.test1." hidden="1">{"Income Statement",#N/A,FALSE,"CFMODEL";"Balance Sheet",#N/A,FALSE,"CFMODEL"}</definedName>
    <definedName name="wrn.test2." hidden="1">{"SourcesUses",#N/A,TRUE,"CFMODEL";"TransOverview",#N/A,TRUE,"CFMODEL"}</definedName>
    <definedName name="wrn.test3." hidden="1">{"SourcesUses",#N/A,TRUE,#N/A;"TransOverview",#N/A,TRUE,"CFMODEL"}</definedName>
    <definedName name="wrn.test4." hidden="1">{"SourcesUses",#N/A,TRUE,"FundsFlow";"TransOverview",#N/A,TRUE,"FundsFlow"}</definedName>
    <definedName name="wrn.TheWholeEnchilada." hidden="1">{"CSheet",#N/A,FALSE,"C";"SmCap",#N/A,FALSE,"VAL1";"GulfCoast",#N/A,FALSE,"VAL1";"nav",#N/A,FALSE,"NAV";"Summary",#N/A,FALSE,"NAV"}</definedName>
    <definedName name="wrn.TMCALL." hidden="1">{"tmccash",#N/A,FALSE,"INCX";"tmcinc",#N/A,FALSE,"INCX";"tmcpretx",#N/A,FALSE,"INCX";"tmcadrev",#N/A,FALSE,"INCX";"tmcbooks",#N/A,FALSE,"INCX"}</definedName>
    <definedName name="wrn.tobacco." hidden="1">{"income",#N/A,FALSE,"TOBACCO";"value",#N/A,FALSE,"TOBACCO";"assum1",#N/A,FALSE,"TOBACCO";"assum2",#N/A,FALSE,"TOBACCO";"swisher",#N/A,FALSE,"TOBACCO";"martin",#N/A,FALSE,"TOBACCO";"helme1",#N/A,FALSE,"TOBACCO";"helme2",#N/A,FALSE,"TOBACCO";"HELME3",#N/A,FALSE,"TOBACCO";"depmatrix",#N/A,FALSE,"TOBACCO"}</definedName>
    <definedName name="wrn.tobsum." hidden="1">{"income",#N/A,FALSE,"TOBACCO";"value",#N/A,FALSE,"TOBACCO";"assum1",#N/A,FALSE,"TOBACCO"}</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ompany._.Reforecast._.Print."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urrent._.scenario." hidden="1">{"assumptions",#N/A,TRUE,"assumptions";"PandL",#N/A,TRUE,"Merged entity";"sens",#N/A,TRUE,"assumptions";"pres1",#N/A,TRUE,"for presentation"}</definedName>
    <definedName name="wrn.Total._.Market._.Report." hidden="1">{#N/A,#N/A,FALSE,"Sales Graph";#N/A,#N/A,FALSE,"BUC Graph";#N/A,#N/A,FALSE,"P&amp;L - YTD"}</definedName>
    <definedName name="wrn.Total._.Print."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otal._.year." hidden="1">{#N/A,#N/A,FALSE,"2003_Input - P&amp;L"}</definedName>
    <definedName name="wrn.total1."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rack." hidden="1">{#N/A,#N/A,FALSE,"Inc Stmt";#N/A,#N/A,FALSE,"Indirect Costs";#N/A,#N/A,FALSE,"Capital"}</definedName>
    <definedName name="wrn.trademark._.and._.trade._.name." hidden="1">{"trademark1",#N/A,FALSE,"Trademark(s) and Trade Name(s)"}</definedName>
    <definedName name="wrn.Trading._.Summary." hidden="1">{#N/A,#N/A,FALSE,"Trading Summary"}</definedName>
    <definedName name="wrn.TransPrcd_123." hidden="1">{#N/A,#N/A,TRUE,"TransPrcd 1";#N/A,#N/A,TRUE,"TransPrcd 2";#N/A,#N/A,TRUE,"TransPrcd 3"}</definedName>
    <definedName name="wrn.trball." hidden="1">{"trbcash",#N/A,FALSE,"INCPF";"trbinc",#N/A,FALSE,"INCPF";"trbchic",#N/A,FALSE,"INCPF";"trbadrev",#N/A,FALSE,"INCPF";"trbstns",#N/A,FALSE,"INCPF";"trbtvstns",#N/A,FALSE,"INCPF"}</definedName>
    <definedName name="wrn.tsp." hidden="1">{#N/A,#N/A,FALSE,"Summary";#N/A,#N/A,FALSE,"Financials";#N/A,#N/A,FALSE,"Returns";#N/A,#N/A,FALSE,"Open";#N/A,#N/A,FALSE,"Assumptions"}</definedName>
    <definedName name="wrn.twofin." hidden="1">{"bscompare",#N/A,FALSE,"Bal Sheet"}</definedName>
    <definedName name="wrn.Typhoon." hidden="1">{"Agg Output",#N/A,FALSE,"Operational Drivers Output";"NW Output",#N/A,FALSE,"Operational Drivers Output";"South Output",#N/A,FALSE,"Operational Drivers Output";"Central Output",#N/A,FALSE,"Operational Drivers Output"}</definedName>
    <definedName name="wrn.UK." hidden="1">{#N/A,#N/A,TRUE,"Combined";#N/A,#N/A,TRUE,"HotRoll";#N/A,#N/A,TRUE,"Gadd";#N/A,#N/A,TRUE,"Wesson";#N/A,#N/A,TRUE,"BrightBar";#N/A,#N/A,TRUE,"GB Longmore";#N/A,#N/A,TRUE,"MES";#N/A,#N/A,TRUE,"Wesson Bright";#N/A,#N/A,TRUE,"Macreadys";#N/A,#N/A,TRUE,"HeadOffice"}</definedName>
    <definedName name="wrn.US._.Bank." hidden="1">{#N/A,#N/A,TRUE,"Cover_Page";#N/A,#N/A,TRUE,"Balance Sheet FY12";#N/A,#N/A,TRUE,"Debt Covenants_US Bank_Cons";#N/A,#N/A,TRUE,"Consolidated-Cash Flow";#N/A,#N/A,TRUE,"CY_Per Inc FY12";#N/A,#N/A,TRUE,"Income FY12";#N/A,#N/A,TRUE,"Consolidated"}</definedName>
    <definedName name="wrn.USA._.Consolidated._.Report." hidden="1">{#N/A,#N/A,TRUE,"Consolidated B Sheet";#N/A,#N/A,TRUE,"Consolidated Cashflow";#N/A,#N/A,TRUE,"P&amp;L CONSOLIDATED"}</definedName>
    <definedName name="wrn.USR." hidden="1">{#N/A,#N/A,FALSE,"TopTen Failures";#N/A,#N/A,FALSE,"Top Ten %";#N/A,#N/A,FALSE,"Fail Code 5 mo. Totals (%)"}</definedName>
    <definedName name="wrn.Utility._.Accrual." hidden="1">{"Balt Util Water",#N/A,TRUE,"UTIL";"Balt Util Elect",#N/A,TRUE,"UTIL";"Balt Util JE",#N/A,TRUE,"UTIL"}</definedName>
    <definedName name="wrn.Valuation." hidden="1">{#N/A,#N/A,FALSE,"VALSUM";#N/A,#N/A,FALSE,"MKT.COMPS";#N/A,#N/A,FALSE,"ACQ.MULT.";#N/A,#N/A,FALSE,"DCF - LBO"}</definedName>
    <definedName name="wrn.Valuation._.Summaries." hidden="1">{#N/A,#N/A,FALSE,"Cover Sheet";#N/A,#N/A,FALSE,"Financial Assumptions";#N/A,#N/A,FALSE,"DCFOverviewPower";#N/A,#N/A,FALSE,"DCFOverviewGas";#N/A,#N/A,FALSE,"DCFOverviewWater";#N/A,#N/A,FALSE,"DCFOverviewVersorgung"}</definedName>
    <definedName name="wrn.Value." hidden="1">{#N/A,#N/A,FALSE,"Cashflow Analysis";#N/A,#N/A,FALSE,"Sensitivity Analysis";#N/A,#N/A,FALSE,"PV";#N/A,#N/A,FALSE,"Pro Forma"}</definedName>
    <definedName name="wrn.Value.2" hidden="1">{#N/A,#N/A,FALSE,"Cashflow Analysis";#N/A,#N/A,FALSE,"Sensitivity Analysis";#N/A,#N/A,FALSE,"PV";#N/A,#N/A,FALSE,"Pro Forma"}</definedName>
    <definedName name="wrn.Variance._.REports." hidden="1">{#N/A,#N/A,FALSE,"Summary";#N/A,#N/A,FALSE,"04E Summ";#N/A,#N/A,FALSE,"04Pvs03E Summ";#N/A,#N/A,FALSE,"03E Summ"}</definedName>
    <definedName name="wrn.Versorgungs._.GmbH._.Data." hidden="1">{#N/A,#N/A,FALSE,"DCFCoverVersorgung";#N/A,#N/A,FALSE,"DCFOverviewVersorgung";#N/A,#N/A,FALSE,"PlanVersorgung";#N/A,#N/A,FALSE,"DCFVersorgung";#N/A,#N/A,FALSE,"ValueVersorgung";#N/A,#N/A,FALSE,"WaccVersorgung";#N/A,#N/A,FALSE,"WaccVersorgung";#N/A,#N/A,FALSE,"WaccCompVersorgung";#N/A,#N/A,FALSE,"MatrixVersorgung"}</definedName>
    <definedName name="wrn.VRTX." hidden="1">{"Revenues",#N/A,FALSE,"Revenue";"qearn1",#N/A,FALSE,"Qearn";"qearn2",#N/A,FALSE,"Qearn";#N/A,#N/A,FALSE,"Qmargin";"cashflow",#N/A,FALSE,"Cashflow";"Product Pipeline",#N/A,FALSE,"Product Pipeline"}</definedName>
    <definedName name="wrn.Wacc." hidden="1">{"Area1",#N/A,FALSE,"OREWACC";"Area2",#N/A,FALSE,"OREWACC"}</definedName>
    <definedName name="wrn.Warrant._.analysis." hidden="1">{#N/A,#N/A,FALSE,"sum (2)";#N/A,#N/A,FALSE,"bs";#N/A,#N/A,FALSE,"is";#N/A,#N/A,FALSE,"cf";#N/A,#N/A,FALSE,"ltd";#N/A,#N/A,FALSE,"irr (2)"}</definedName>
    <definedName name="wrn.WATERTOWN._.BUDGET." hidden="1">{#N/A,#N/A,TRUE,"Inc. St.";#N/A,#N/A,TRUE,"SalesLabor";#N/A,#N/A,TRUE,"Labor";#N/A,#N/A,TRUE,"TEMP.";#N/A,#N/A,TRUE,"Manuf.";#N/A,#N/A,TRUE,"Repairs";#N/A,#N/A,TRUE,"G&amp;A";#N/A,#N/A,TRUE,"Inv.";#N/A,#N/A,TRUE,"Cap.X";#N/A,#N/A,TRUE,"Leases"}</definedName>
    <definedName name="wrn.Web._.Portfolio._.Companies._.June._.200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stern._.Metal." hidden="1">{#N/A,#N/A,FALSE,"Western";#N/A,#N/A,FALSE,"Inc. St.";#N/A,#N/A,FALSE,"Hist.";#N/A,#N/A,FALSE,"SalesLabor";#N/A,#N/A,FALSE,"Labor";#N/A,#N/A,FALSE,"Manuf.";#N/A,#N/A,FALSE,"Repairs";#N/A,#N/A,FALSE,"G&amp;A";#N/A,#N/A,FALSE,"Inv.";#N/A,#N/A,FALSE,"Cap. X"}</definedName>
    <definedName name="wrn.WHOLE." hidden="1">{#N/A,#N/A,FALSE,"assumptions";#N/A,#N/A,FALSE,"contrib_annual";#N/A,#N/A,FALSE,"historic";#N/A,#N/A,FALSE,"Proforma";#N/A,#N/A,FALSE,"CALENDARIZED";#N/A,#N/A,FALSE,"Has_gets";#N/A,#N/A,FALSE,"DILUTION"}</definedName>
    <definedName name="wrn.wicor." hidden="1">{#N/A,#N/A,FALSE,"FACTSHEETS";#N/A,#N/A,FALSE,"pump";#N/A,#N/A,FALSE,"filter"}</definedName>
    <definedName name="wrn.work._.paper._.shcedules." hidden="1">{"summary1",#N/A,FALSE,"Summary of Values";"summary2",#N/A,FALSE,"Summary of Values";"weighted average returns",#N/A,FALSE,"WACC and WARA";"fixed asset detail",#N/A,FALSE,"Fixed Asset Detail"}</definedName>
    <definedName name="wrn.wpoall." hidden="1">{"wpocash",#N/A,FALSE,"WPOALLT";"wpoinc",#N/A,FALSE,"WPOALLT";"wpoexcl",#N/A,FALSE,"WPOALLT";"wpocable",#N/A,FALSE,"WPOALLT";"wpobroad",#N/A,FALSE,"WPOALLT";"wpopost",#N/A,FALSE,"WPOALLT";"wponwsweek",#N/A,FALSE,"WPOALLT"}</definedName>
    <definedName name="wrn.WWY." hidden="1">{#N/A,#N/A,FALSE,"WWY"}</definedName>
    <definedName name="wrn_eva" hidden="1">{"EVA",#N/A,FALSE,"EVA";"WACC",#N/A,FALSE,"WACC"}</definedName>
    <definedName name="wrn_otpt" hidden="1">{"DCF","UPSIDE CASE",FALSE,"Sheet1";"DCF","BASE CASE",FALSE,"Sheet1";"DCF","DOWNSIDE CASE",FALSE,"Sheet1"}</definedName>
    <definedName name="wrn_summary_95_952" hidden="1">{"arpm1995",#N/A,FALSE,"Summary 95-96";"bus_long_distance",#N/A,FALSE,"Summary 95-96";"mins_per_day",#N/A,FALSE,"Summary 95-96";"minutes1995",#N/A,FALSE,"Summary 95-96";"rev_per_day",#N/A,FALSE,"Summary 95-96";"view1995",#N/A,FALSE,"Summary 95-96"}</definedName>
    <definedName name="wrn_summary_95_952_1" hidden="1">{"arpm1995",#N/A,FALSE,"Summary 95-96";"bus_long_distance",#N/A,FALSE,"Summary 95-96";"mins_per_day",#N/A,FALSE,"Summary 95-96";"minutes1995",#N/A,FALSE,"Summary 95-96";"rev_per_day",#N/A,FALSE,"Summary 95-96";"view1995",#N/A,FALSE,"Summary 95-96"}</definedName>
    <definedName name="wrn1.Statements." hidden="1">{#N/A,#N/A,FALSE,"CostOfService";#N/A,#N/A,FALSE,"BalanceSheet";#N/A,#N/A,FALSE,"IncomeStmt";#N/A,#N/A,FALSE,"CashFlow";#N/A,#N/A,FALSE,"RateBase"}</definedName>
    <definedName name="wrn2.All."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3.ALL." hidden="1">{#N/A,#N/A,FALSE,"DCF";#N/A,#N/A,FALSE,"WACC";#N/A,#N/A,FALSE,"Sales_EBIT";#N/A,#N/A,FALSE,"Capex_Depreciation";#N/A,#N/A,FALSE,"WC";#N/A,#N/A,FALSE,"Interest";#N/A,#N/A,FALSE,"Assumptions"}</definedName>
    <definedName name="wrna.prod" hidden="1">{#N/A,#N/A,FALSE,"1";#N/A,#N/A,FALSE,"2";#N/A,#N/A,FALSE,"16 - 17";#N/A,#N/A,FALSE,"18 - 19";#N/A,#N/A,FALSE,"26";#N/A,#N/A,FALSE,"27";#N/A,#N/A,FALSE,"28"}</definedName>
    <definedName name="wrnc"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fy97" hidden="1">{#N/A,#N/A,FALSE,"FY97";#N/A,#N/A,FALSE,"FY98";#N/A,#N/A,FALSE,"FY99";#N/A,#N/A,FALSE,"FY00";#N/A,#N/A,FALSE,"FY01"}</definedName>
    <definedName name="wrnrep" hidden="1">{"summary",#N/A,FALSE,"3 yr average";"comps",#N/A,FALSE,"3 yr average"}</definedName>
    <definedName name="WRR" hidden="1">{#N/A,#N/A,FALSE,"Pharm";#N/A,#N/A,FALSE,"WWCM"}</definedName>
    <definedName name="wrrr" hidden="1">{"arpm1995",#N/A,FALSE,"Summary 95-96";"bus_long_distance",#N/A,FALSE,"Summary 95-96";"mins_per_day",#N/A,FALSE,"Summary 95-96";"minutes1995",#N/A,FALSE,"Summary 95-96";"rev_per_day",#N/A,FALSE,"Summary 95-96";"view1995",#N/A,FALSE,"Summary 95-96"}</definedName>
    <definedName name="wrrrrr" hidden="1">{#N/A,#N/A,FALSE,"REPORT"}</definedName>
    <definedName name="wt" hidden="1">{#N/A,#N/A,FALSE,"FY97";#N/A,#N/A,FALSE,"FY98";#N/A,#N/A,FALSE,"FY99";#N/A,#N/A,FALSE,"FY00";#N/A,#N/A,FALSE,"FY01"}</definedName>
    <definedName name="wtere" hidden="1">{"arpm1995",#N/A,FALSE,"Summary 95-96";"bus_long_distance",#N/A,FALSE,"Summary 95-96";"mins_per_day",#N/A,FALSE,"Summary 95-96";"minutes1995",#N/A,FALSE,"Summary 95-96";"rev_per_day",#N/A,FALSE,"Summary 95-96";"view1995",#N/A,FALSE,"Summary 95-96"}</definedName>
    <definedName name="wv" hidden="1">{#N/A,#N/A,FALSE,"Pharm";#N/A,#N/A,FALSE,"WWCM"}</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w" hidden="1">{#N/A,#N/A,FALSE,"Pharm";#N/A,#N/A,FALSE,"WWCM"}</definedName>
    <definedName name="wwewrt" hidden="1">{#N/A,#N/A,FALSE,"RESUMEN ECON.";#N/A,#N/A,FALSE,"Costos de R.H.";#N/A,#N/A,FALSE,"COSTO HW";#N/A,#N/A,FALSE,"CUADROS";#N/A,#N/A,FALSE,"SCADA´s";#N/A,#N/A,FALSE,"PRECIOS EQUIPOS"}</definedName>
    <definedName name="www" hidden="1">{#N/A,#N/A,TRUE,"BUD VS ACT AUST 96";#N/A,#N/A,TRUE,"96 COMP P&amp;L-AUST";#N/A,#N/A,TRUE,"COMP BS-AUSTRALIA";#N/A,#N/A,TRUE,"B/S - AUSTR."}</definedName>
    <definedName name="www.nuevahoja." hidden="1">{#N/A,#N/A,FALSE,"CNS_ADJ";"Balance Consolidado",#N/A,FALSE,"BCEC_CNS";#N/A,#N/A,FALSE,"USGAAP_ADJ"}</definedName>
    <definedName name="wwww" hidden="1">{#N/A,#N/A,TRUE,"BUD VS ACT AUST 96";#N/A,#N/A,TRUE,"96 COMP P&amp;L-AUST";#N/A,#N/A,TRUE,"COMP BS-AUSTRALIA";#N/A,#N/A,TRUE,"B/S - AUSTR."}</definedName>
    <definedName name="wx" hidden="1">{#N/A,#N/A,FALSE,"Pharm";#N/A,#N/A,FALSE,"WWCM"}</definedName>
    <definedName name="x">#REF!</definedName>
    <definedName name="xc"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v" hidden="1">{#N/A,#N/A,FALSE,"Pharm";#N/A,#N/A,FALSE,"WWCM"}</definedName>
    <definedName name="xjey1" hidden="1">#REF!</definedName>
    <definedName name="XRefColumnsCount" hidden="1">4</definedName>
    <definedName name="XRefCopyRangeCount" hidden="1">8</definedName>
    <definedName name="XRefPasteRangeCount" hidden="1">2</definedName>
    <definedName name="XS" hidden="1">{#N/A,#N/A,FALSE,"REV 110 PRNE (Bureau-Frankfurt)";#N/A,#N/A,FALSE,"REV 120 PRNE (Bureau - Paris)"}</definedName>
    <definedName name="xsort2" hidden="1">#REF!</definedName>
    <definedName name="xvc" hidden="1">{"FCB_ALL",#N/A,FALSE,"FCB"}</definedName>
    <definedName name="xx" hidden="1">{#N/A,#N/A,FALSE,"REPORT"}</definedName>
    <definedName name="xxd" hidden="1">{#N/A,#N/A,FALSE,"Cashflow Analysis";#N/A,#N/A,FALSE,"Sensitivity Analysis";#N/A,#N/A,FALSE,"PV";#N/A,#N/A,FALSE,"Pro Forma"}</definedName>
    <definedName name="xxd.2" hidden="1">{#N/A,#N/A,FALSE,"Cashflow Analysis";#N/A,#N/A,FALSE,"Sensitivity Analysis";#N/A,#N/A,FALSE,"PV";#N/A,#N/A,FALSE,"Pro Forma"}</definedName>
    <definedName name="xxx" hidden="1">{#N/A,#N/A,TRUE,"BUD VS ACT AUST 96";#N/A,#N/A,TRUE,"96 COMP P&amp;L-AUST";#N/A,#N/A,TRUE,"COMP BS-AUSTRALIA";#N/A,#N/A,TRUE,"B/S - AUSTR."}</definedName>
    <definedName name="xxxx" hidden="1">{"PAGE 1",#N/A,FALSE,"WEST_OT"}</definedName>
    <definedName name="xxxxx" hidden="1">{#N/A,#N/A,FALSE,"Pharm";#N/A,#N/A,FALSE,"WWCM"}</definedName>
    <definedName name="xyz" hidden="1">{#N/A,#N/A,TRUE,"Total";#N/A,#N/A,TRUE,"U.S. Devl.";#N/A,#N/A,TRUE,"U.S. Headcount"}</definedName>
    <definedName name="y" hidden="1">{#N/A,#N/A,FALSE,"Pharm";#N/A,#N/A,FALSE,"WWCM"}</definedName>
    <definedName name="Year1_plan">#REF!</definedName>
    <definedName name="Year2_plan">#REF!</definedName>
    <definedName name="yes" hidden="1">{#N/A,#N/A,FALSE,"Admin";#N/A,#N/A,FALSE,"Other"}</definedName>
    <definedName name="YGJ" hidden="1">{TRUE,TRUE,-1.25,-15.5,604.5,369,FALSE,FALSE,TRUE,TRUE,0,1,83,1,38,4,5,4,TRUE,TRUE,3,TRUE,1,TRUE,75,"Swvu.inputs._.raw._.data.","ACwvu.inputs._.raw._.data.",#N/A,FALSE,FALSE,0.5,0.5,0.5,0.5,2,"&amp;F","&amp;A&amp;RPage &amp;P",FALSE,FALSE,FALSE,FALSE,1,60,#N/A,#N/A,"=R1C61:R53C89","=C1:C5",#N/A,#N/A,FALSE,FALSE,FALSE,1,600,600,FALSE,FALSE,TRUE,TRUE,TRUE}</definedName>
    <definedName name="yq" hidden="1">{#N/A,#N/A,FALSE,"CNS_ADJ";"Balance Consolidado",#N/A,FALSE,"BCEC_CNS";#N/A,#N/A,FALSE,"USGAAP_ADJ"}</definedName>
    <definedName name="yrd" hidden="1">{"PAGE 1",#N/A,FALSE,"WEST_OT"}</definedName>
    <definedName name="YTY" hidden="1">{#N/A,#N/A,FALSE,"TABLE_1 YTD";#N/A,#N/A,FALSE,"TABLE_1A QTD";#N/A,#N/A,FALSE,"NORMAL_SPREAD_QTD";#N/A,#N/A,FALSE,"NORMAL_SPREAD_YTD";#N/A,#N/A,FALSE,"TAX_EQV";#N/A,#N/A,FALSE,"TAX EQUIV_INPUT";#N/A,#N/A,FALSE,"NET FROM FER";#N/A,#N/A,FALSE,"COVER"}</definedName>
    <definedName name="yy" hidden="1">{#N/A,#N/A,FALSE,"COVER";#N/A,#N/A,FALSE,"Index";#N/A,#N/A,FALSE,"Summ_Products_Rec.97-98";#N/A,#N/A,FALSE,"QTR_Comp.";#N/A,#N/A,FALSE,"Summ_Detail_Rec.97-98";#N/A,#N/A,FALSE,"Summ_Agencies_Rec.97-98"}</definedName>
    <definedName name="yyy" hidden="1">{#N/A,#N/A,FALSE,"Other";#N/A,#N/A,FALSE,"Ace";#N/A,#N/A,FALSE,"Derm"}</definedName>
    <definedName name="z" hidden="1">{"CSheet",#N/A,FALSE,"C";"SmCap",#N/A,FALSE,"VAL1";"GulfCoast",#N/A,FALSE,"VAL1";"nav",#N/A,FALSE,"NAV";"Summary",#N/A,FALSE,"NAV"}</definedName>
    <definedName name="Z_24BF9755_66DA_11D4_A31E_00C0F0154575_.wvu.PrintArea" hidden="1">#REF!</definedName>
    <definedName name="Z_24BF9755_66DA_11D4_A31E_00C0F0154575_.wvu.PrintTitles" hidden="1">#REF!</definedName>
    <definedName name="Z_4FA7459B_7D59_11D3_B819_444553540000_.wvu.Cols" hidden="1">#REF!,#REF!</definedName>
    <definedName name="Z_4FA7459B_7D59_11D3_B819_444553540000_.wvu.Rows" hidden="1">#REF!</definedName>
    <definedName name="Z_603CDB61_4585_11D3_9E2C_00105AA4333D_.wvu.PrintArea" hidden="1">#REF!</definedName>
    <definedName name="Z_603CDB63_4585_11D3_9E2C_00105AA4333D_.wvu.PrintArea" hidden="1">#REF!</definedName>
    <definedName name="Z_603CDB64_4585_11D3_9E2C_00105AA4333D_.wvu.PrintArea" hidden="1">#REF!</definedName>
    <definedName name="Z_603CDB66_4585_11D3_9E2C_00105AA4333D_.wvu.PrintArea" hidden="1">#REF!</definedName>
    <definedName name="Z_6DFA7DCF_3C08_11D1_BDBE_0020AF42250B_.wvu.PrintArea" hidden="1">#REF!</definedName>
    <definedName name="Z_6DFA7DCF_3C08_11D1_BDBE_0020AF42250B_.wvu.PrintTitles" hidden="1">#REF!</definedName>
    <definedName name="Z_6DFA7DD9_3C08_11D1_BDBE_0020AF42250B_.wvu.PrintTitles" hidden="1">#REF!</definedName>
    <definedName name="Z_6DFA7DDA_3C08_11D1_BDBE_0020AF42250B_.wvu.PrintArea" hidden="1">#REF!</definedName>
    <definedName name="Z_6DFA7DDA_3C08_11D1_BDBE_0020AF42250B_.wvu.PrintTitles" hidden="1">#REF!</definedName>
    <definedName name="Z_6DFA7DDC_3C08_11D1_BDBE_0020AF42250B_.wvu.PrintArea" hidden="1">#REF!</definedName>
    <definedName name="Z_6DFA7DDC_3C08_11D1_BDBE_0020AF42250B_.wvu.PrintTitles" hidden="1">#REF!</definedName>
    <definedName name="Z_6DFA7DDD_3C08_11D1_BDBE_0020AF42250B_.wvu.PrintArea" hidden="1">#REF!</definedName>
    <definedName name="Z_6DFA7DDD_3C08_11D1_BDBE_0020AF42250B_.wvu.PrintTitles" hidden="1">#REF!</definedName>
    <definedName name="Z_6DFA7DDE_3C08_11D1_BDBE_0020AF42250B_.wvu.PrintArea" hidden="1">#REF!</definedName>
    <definedName name="Z_6DFA7DDE_3C08_11D1_BDBE_0020AF42250B_.wvu.PrintTitles" hidden="1">#REF!</definedName>
    <definedName name="Z_6DFA7DDF_3C08_11D1_BDBE_0020AF42250B_.wvu.PrintArea" hidden="1">#REF!</definedName>
    <definedName name="Z_6DFA7DDF_3C08_11D1_BDBE_0020AF42250B_.wvu.PrintTitles" hidden="1">#REF!</definedName>
    <definedName name="Z_6DFA7DE0_3C08_11D1_BDBE_0020AF42250B_.wvu.PrintArea" hidden="1">#REF!</definedName>
    <definedName name="Z_6DFA7DE0_3C08_11D1_BDBE_0020AF42250B_.wvu.PrintTitles" hidden="1">#REF!</definedName>
    <definedName name="Z_6DFA7DE5_3C08_11D1_BDBE_0020AF42250B_.wvu.PrintTitles" hidden="1">#REF!</definedName>
    <definedName name="Z_6DFA7DE6_3C08_11D1_BDBE_0020AF42250B_.wvu.PrintArea" hidden="1">#REF!</definedName>
    <definedName name="Z_6DFA7DE6_3C08_11D1_BDBE_0020AF42250B_.wvu.PrintTitles" hidden="1">#REF!</definedName>
    <definedName name="Z_702CE201_67EF_11D2_8E81_00104BCAECA1_.wvu.PrintTitles" hidden="1">#REF!,#REF!</definedName>
    <definedName name="Z_870DA93B_C7EC_11D1_935A_00A0C95F1362_.wvu.PrintArea" hidden="1">#REF!</definedName>
    <definedName name="Z_995DB91B_DC87_11D2_BCA9_00C04F8BBE86_.wvu.PrintArea" hidden="1">#REF!</definedName>
    <definedName name="Z_995DB91E_DC87_11D2_BCA9_00C04F8BBE86_.wvu.PrintArea" hidden="1">#REF!</definedName>
    <definedName name="Z_995DB91F_DC87_11D2_BCA9_00C04F8BBE86_.wvu.PrintArea" hidden="1">#REF!</definedName>
    <definedName name="Z_9AB6DE14_D22E_11D2_A1DB_00105AA4333D_.wvu.PrintArea" hidden="1">#REF!</definedName>
    <definedName name="Z_9AB6DE16_D22E_11D2_A1DB_00105AA4333D_.wvu.PrintArea" hidden="1">#REF!</definedName>
    <definedName name="Z_9AB6DE17_D22E_11D2_A1DB_00105AA4333D_.wvu.PrintArea" hidden="1">#REF!</definedName>
    <definedName name="Z_9AB6DE19_D22E_11D2_A1DB_00105AA4333D_.wvu.PrintArea" hidden="1">#REF!</definedName>
    <definedName name="Z_9AB6DE4D_D22E_11D2_A1DB_00105AA4333D_.wvu.PrintArea" hidden="1">#REF!</definedName>
    <definedName name="Z_9AB6DE4F_D22E_11D2_A1DB_00105AA4333D_.wvu.PrintArea" hidden="1">#REF!</definedName>
    <definedName name="Z_9AB6DE50_D22E_11D2_A1DB_00105AA4333D_.wvu.PrintArea" hidden="1">#REF!</definedName>
    <definedName name="Z_9AB6DE52_D22E_11D2_A1DB_00105AA4333D_.wvu.PrintArea" hidden="1">#REF!</definedName>
    <definedName name="Z_A63A1DDB_260F_11D2_8501_00A0246D366B_.wvu.PrintArea" hidden="1">#N/A</definedName>
    <definedName name="Z_B21BDB45_3C17_11D2_913A_00A024D72BFF_.wvu.PrintArea" hidden="1">#REF!</definedName>
    <definedName name="Z_B21BDB45_3C17_11D2_913A_00A024D72BFF_.wvu.PrintTitles" hidden="1">#REF!,#REF!</definedName>
    <definedName name="Z_B21BDB46_3C17_11D2_913A_00A024D72BFF_.wvu.PrintArea" hidden="1">#REF!</definedName>
    <definedName name="Z_B21BDB46_3C17_11D2_913A_00A024D72BFF_.wvu.PrintTitles" hidden="1">#REF!,#REF!</definedName>
    <definedName name="Z_B21BDBC3_3C17_11D2_913A_00A024D72BFF_.wvu.PrintArea" hidden="1">#REF!</definedName>
    <definedName name="Z_B21BDBC3_3C17_11D2_913A_00A024D72BFF_.wvu.PrintTitles" hidden="1">#REF!,#REF!</definedName>
    <definedName name="Z_B21BDBC4_3C17_11D2_913A_00A024D72BFF_.wvu.PrintArea" hidden="1">#REF!</definedName>
    <definedName name="Z_B21BDBC4_3C17_11D2_913A_00A024D72BFF_.wvu.PrintTitles" hidden="1">#REF!,#REF!</definedName>
    <definedName name="Z_B3B99CDB_2547_11D2_8500_00A0246D366B_.wvu.PrintArea" hidden="1">#N/A</definedName>
    <definedName name="Z_C229C740_74EF_11D3_8C05_00105AA43A7F_.wvu.Cols" hidden="1">#REF!</definedName>
    <definedName name="Z_C229C740_74EF_11D3_8C05_00105AA43A7F_.wvu.PrintArea" hidden="1">#REF!</definedName>
    <definedName name="Z_C229C740_74EF_11D3_8C05_00105AA43A7F_.wvu.PrintTitles" hidden="1">#REF!,#REF!</definedName>
    <definedName name="Z_C229C740_74EF_11D3_8C05_00105AA43A7F_.wvu.Rows" hidden="1">#REF!,#REF!,#REF!,#REF!,#REF!,#REF!,#REF!,#REF!,#REF!,#REF!,#REF!,#REF!,#REF!,#REF!,#REF!,#REF!,#REF!,#REF!,#REF!,#REF!,#REF!,#REF!,#REF!,#REF!,#REF!,#REF!,#REF!,#REF!,#REF!,#REF!,#REF!,#REF!,#REF!,#REF!,#REF!,#REF!,#REF!,#REF!,#REF!,#REF!,#REF!,#REF!,#REF!,#REF!,#REF!,#REF!,#REF!,#REF!,#REF!,#REF!,#REF!,#REF!,#REF!,#REF!</definedName>
    <definedName name="Z_D774FBF2_C14B_4E8C_A09D_6327FECC4D99_.wvu.Cols" hidden="1">#REF!</definedName>
    <definedName name="zaq" hidden="1">{#N/A,#N/A,FALSE,"Calc";#N/A,#N/A,FALSE,"Sensitivity";#N/A,#N/A,FALSE,"LT Earn.Dil.";#N/A,#N/A,FALSE,"Dil. AVP"}</definedName>
    <definedName name="zb" hidden="1">{#N/A,#N/A,FALSE,"Sheet1";#N/A,#N/A,FALSE,"Sheet2";#N/A,#N/A,FALSE,"Sheet3";#N/A,#N/A,FALSE,"Sheet4";#N/A,#N/A,FALSE,"Sheet5";#N/A,#N/A,FALSE,"Sheet6"}</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dfgxzdfg" hidden="1">{"ReportTop",#N/A,FALSE,"report top"}</definedName>
    <definedName name="zer" hidden="1">{#N/A,#N/A,FALSE,"Calc";#N/A,#N/A,FALSE,"Sensitivity";#N/A,#N/A,FALSE,"LT Earn.Dil.";#N/A,#N/A,FALSE,"Dil. AVP"}</definedName>
    <definedName name="zhu" hidden="1">{#N/A,#N/A,FALSE,"REPORT"}</definedName>
    <definedName name="zhutr" hidden="1">{#N/A,#N/A,FALSE,"REPORT"}</definedName>
    <definedName name="zs" hidden="1">{"FCB_ALL",#N/A,FALSE,"FCB"}</definedName>
    <definedName name="zsdas" hidden="1">{"FCB_ALL",#N/A,FALSE,"FCB"}</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xczz" hidden="1">{"FCB_ALL",#N/A,FALSE,"FCB"}</definedName>
    <definedName name="zxxx" hidden="1">{"arpm1995",#N/A,FALSE,"Summary 95-96";"bus_long_distance",#N/A,FALSE,"Summary 95-96";"mins_per_day",#N/A,FALSE,"Summary 95-96";"minutes1995",#N/A,FALSE,"Summary 95-96";"rev_per_day",#N/A,FALSE,"Summary 95-96";"view1995",#N/A,FALSE,"Summary 95-96"}</definedName>
    <definedName name="zxxx_1" hidden="1">{"arpm1995",#N/A,FALSE,"Summary 95-96";"bus_long_distance",#N/A,FALSE,"Summary 95-96";"mins_per_day",#N/A,FALSE,"Summary 95-96";"minutes1995",#N/A,FALSE,"Summary 95-96";"rev_per_day",#N/A,FALSE,"Summary 95-96";"view1995",#N/A,FALSE,"Summary 95-96"}</definedName>
    <definedName name="zy" hidden="1">{#N/A,#N/A,TRUE,"BUD VS ACT AUST 96";#N/A,#N/A,TRUE,"96 COMP P&amp;L-AUST";#N/A,#N/A,TRUE,"COMP BS-AUSTRALIA";#N/A,#N/A,TRUE,"B/S - AUSTR."}</definedName>
    <definedName name="zza4pg" hidden="1">{#N/A,#N/A,FALSE,"REPORT"}</definedName>
    <definedName name="zzee" hidden="1">{#N/A,#N/A,FALSE,"Pharm";#N/A,#N/A,FALSE,"WWCM"}</definedName>
    <definedName name="zzzz" hidden="1">{#N/A,#N/A,FALSE,"COMP BS-FRANCE";#N/A,#N/A,FALSE,"96 COMP P&amp;L-FRANCE";#N/A,#N/A,FALSE,"BUD VS ACT FRAN 96";#N/A,#N/A,FALSE,"B/S - FRANCE"}</definedName>
    <definedName name="zzzzz" hidden="1">{#N/A,#N/A,FALSE,"REPORT"}</definedName>
    <definedName name="고" hidden="1">{#N/A,#N/A,FALSE,"REPORT"}</definedName>
    <definedName name="ㄶㅇ노ㅗㄶ호" hidden="1">{#N/A,#N/A,FALSE,"REPORT"}</definedName>
    <definedName name="미애" hidden="1">{#N/A,#N/A,FALSE,"REPORT"}</definedName>
    <definedName name="_xlnm.Print_Area" localSheetId="0">'I. Cover Page'!$B$1:$J$30</definedName>
    <definedName name="_xlnm.Print_Area" localSheetId="1">'II. Attribution Summary'!$B$1:$H$23</definedName>
    <definedName name="_xlnm.Print_Area" localSheetId="2">'III. Valuation Summary'!$B$1:$L$26</definedName>
    <definedName name="____________________________ww2" localSheetId="3" hidden="1">{#N/A,#N/A,FALSE,"Admin";#N/A,#N/A,FALSE,"Other"}</definedName>
    <definedName name="______________ww2" localSheetId="3" hidden="1">{#N/A,#N/A,FALSE,"Admin";#N/A,#N/A,FALSE,"Other"}</definedName>
    <definedName name="_____________ww2" localSheetId="3" hidden="1">{#N/A,#N/A,FALSE,"Admin";#N/A,#N/A,FALSE,"Other"}</definedName>
    <definedName name="____________ww2" localSheetId="3" hidden="1">{#N/A,#N/A,FALSE,"Admin";#N/A,#N/A,FALSE,"Other"}</definedName>
    <definedName name="___________ww2" localSheetId="3" hidden="1">{#N/A,#N/A,FALSE,"Admin";#N/A,#N/A,FALSE,"Other"}</definedName>
    <definedName name="__________ww2" localSheetId="3" hidden="1">{#N/A,#N/A,FALSE,"Admin";#N/A,#N/A,FALSE,"Other"}</definedName>
    <definedName name="_________ww2" localSheetId="3" hidden="1">{#N/A,#N/A,FALSE,"Admin";#N/A,#N/A,FALSE,"Other"}</definedName>
    <definedName name="________ww2" localSheetId="3" hidden="1">{#N/A,#N/A,FALSE,"Admin";#N/A,#N/A,FALSE,"Other"}</definedName>
    <definedName name="_______ww2" localSheetId="3" hidden="1">{#N/A,#N/A,FALSE,"Admin";#N/A,#N/A,FALSE,"Other"}</definedName>
    <definedName name="______ww2" localSheetId="3" hidden="1">{#N/A,#N/A,FALSE,"Admin";#N/A,#N/A,FALSE,"Other"}</definedName>
    <definedName name="_____ww2" localSheetId="3" hidden="1">{#N/A,#N/A,FALSE,"Admin";#N/A,#N/A,FALSE,"Other"}</definedName>
    <definedName name="____ww2" localSheetId="3" hidden="1">{#N/A,#N/A,FALSE,"Admin";#N/A,#N/A,FALSE,"Other"}</definedName>
    <definedName name="___ww2" localSheetId="3" hidden="1">{#N/A,#N/A,FALSE,"Admin";#N/A,#N/A,FALSE,"Other"}</definedName>
    <definedName name="__123Graph_A" localSheetId="3" hidden="1">#REF!</definedName>
    <definedName name="__123Graph_ACOMP" localSheetId="3" hidden="1">#REF!</definedName>
    <definedName name="__123Graph_AGraph1" localSheetId="3" hidden="1">#REF!</definedName>
    <definedName name="__123Graph_AGraph10" localSheetId="3" hidden="1">#REF!</definedName>
    <definedName name="__123Graph_AGraph11" localSheetId="3" hidden="1">#REF!</definedName>
    <definedName name="__123Graph_AGraph3" localSheetId="3" hidden="1">#REF!</definedName>
    <definedName name="__123Graph_AGraph5" localSheetId="3" hidden="1">#REF!</definedName>
    <definedName name="__123Graph_AGraph6" localSheetId="3" hidden="1">#REF!</definedName>
    <definedName name="__123Graph_AGraph7" localSheetId="3" hidden="1">#REF!</definedName>
    <definedName name="__123Graph_AGraph8" localSheetId="3" hidden="1">#REF!</definedName>
    <definedName name="__123Graph_AHISTORY" localSheetId="3" hidden="1">#REF!</definedName>
    <definedName name="__123Graph_BCOMP" localSheetId="3" hidden="1">#REF!</definedName>
    <definedName name="__123Graph_BGraph8" localSheetId="3" hidden="1">#REF!</definedName>
    <definedName name="__123Graph_C" localSheetId="3" hidden="1">#REF!</definedName>
    <definedName name="__123Graph_CCOMP" localSheetId="3" hidden="1">#REF!</definedName>
    <definedName name="__123Graph_CGraph8" localSheetId="3" hidden="1">#REF!</definedName>
    <definedName name="__123Graph_D" localSheetId="3" hidden="1">#REF!</definedName>
    <definedName name="__123Graph_DCOMP" localSheetId="3" hidden="1">#REF!</definedName>
    <definedName name="__123Graph_DGraph8" localSheetId="3" hidden="1">#REF!</definedName>
    <definedName name="__123Graph_E" localSheetId="3" hidden="1">#REF!</definedName>
    <definedName name="__123Graph_ECOMP" localSheetId="3" hidden="1">#REF!</definedName>
    <definedName name="__123Graph_F" localSheetId="3" hidden="1">#REF!</definedName>
    <definedName name="__123Graph_LBL_A" localSheetId="3" hidden="1">#REF!</definedName>
    <definedName name="__123Graph_LBL_ACOMP" localSheetId="3" hidden="1">#REF!</definedName>
    <definedName name="__123Graph_LBL_AHISTORY" localSheetId="3" hidden="1">#REF!</definedName>
    <definedName name="__123Graph_LBL_BCOMP" localSheetId="3" hidden="1">#REF!</definedName>
    <definedName name="__123Graph_LBL_CCOMP" localSheetId="3" hidden="1">#REF!</definedName>
    <definedName name="__123Graph_LBL_DCOMP" localSheetId="3" hidden="1">#REF!</definedName>
    <definedName name="__123Graph_LBL_ECOMP" localSheetId="3" hidden="1">#REF!</definedName>
    <definedName name="__123Graph_X" localSheetId="3" hidden="1">#REF!</definedName>
    <definedName name="__123Graph_XCOMP" localSheetId="3" hidden="1">#REF!</definedName>
    <definedName name="__123Graph_XGraph11" localSheetId="3" hidden="1">#REF!</definedName>
    <definedName name="__123Graph_XGraph3" localSheetId="3" hidden="1">#REF!</definedName>
    <definedName name="__123Graph_XGraph5" localSheetId="3" hidden="1">#REF!</definedName>
    <definedName name="__123Graph_XHISTORY" localSheetId="3" hidden="1">#REF!</definedName>
    <definedName name="__4__123Graph_ACHART_1" localSheetId="3" hidden="1">#REF!</definedName>
    <definedName name="__7__123Graph_ACHART_1" localSheetId="3" hidden="1">#REF!</definedName>
    <definedName name="__a1" localSheetId="3" hidden="1">{#N/A,#N/A,FALSE,"Pharm";#N/A,#N/A,FALSE,"WWCM"}</definedName>
    <definedName name="__A11" localSheetId="3" hidden="1">{#N/A,#N/A,FALSE,"Umsatz 99";#N/A,#N/A,FALSE,"ER 99 "}</definedName>
    <definedName name="__aaa1" localSheetId="3" hidden="1">{#N/A,#N/A,FALSE,"REPORT"}</definedName>
    <definedName name="__aas1" localSheetId="3" hidden="1">{#N/A,#N/A,FALSE,"REPORT"}</definedName>
    <definedName name="__ACS2000" localSheetId="3" hidden="1">{#N/A,#N/A,FALSE,"REPORT"}</definedName>
    <definedName name="__b111" localSheetId="3" hidden="1">{#N/A,#N/A,FALSE,"Pharm";#N/A,#N/A,FALSE,"WWCM"}</definedName>
    <definedName name="__c" localSheetId="3" hidden="1">{"Fiesta Facer Page",#N/A,FALSE,"Q_C_S";"Fiesta Main Page",#N/A,FALSE,"V_L";"Fiesta 95BP Struct",#N/A,FALSE,"StructBP";"Fiesta Post 95BP Struct",#N/A,FALSE,"AdjStructBP"}</definedName>
    <definedName name="__FDS_USED_FOR_REUSING_RANGE_IDS_RECYCLE" localSheetId="3" hidden="1">{3,6,6,3,3,1,6,4,3}</definedName>
    <definedName name="__IntlFixupTable" localSheetId="3" hidden="1">#REF!</definedName>
    <definedName name="__new1" localSheetId="3" hidden="1">{#N/A,#N/A,FALSE,"Pharm";#N/A,#N/A,FALSE,"WWCM"}</definedName>
    <definedName name="__o1" localSheetId="3" hidden="1">{#N/A,#N/A,FALSE,"SUMMARY";#N/A,#N/A,FALSE,"mcsh";#N/A,#N/A,FALSE,"vol&amp;rev";#N/A,#N/A,FALSE,"wkgcap";#N/A,#N/A,FALSE,"DEPR&amp;DT";#N/A,#N/A,FALSE,"ASSETS";#N/A,#N/A,FALSE,"NI&amp;OTH&amp;DIV";#N/A,#N/A,FALSE,"CASHFLOW";#N/A,#N/A,FALSE,"CAPEMPL";#N/A,#N/A,FALSE,"ROCE"}</definedName>
    <definedName name="__Qtr4" localSheetId="3">#REF!</definedName>
    <definedName name="__r" localSheetId="3" hidden="1">{#N/A,#N/A,FALSE,"Pharm";#N/A,#N/A,FALSE,"WWCM"}</definedName>
    <definedName name="__tm1" localSheetId="3" hidden="1">{#N/A,#N/A,FALSE,"Pharm";#N/A,#N/A,FALSE,"WWCM"}</definedName>
    <definedName name="__ww2" localSheetId="3" hidden="1">{#N/A,#N/A,FALSE,"Admin";#N/A,#N/A,FALSE,"Other"}</definedName>
    <definedName name="__X2" localSheetId="3" hidden="1">{#N/A,#N/A,FALSE,"Other";#N/A,#N/A,FALSE,"Ace";#N/A,#N/A,FALSE,"Derm"}</definedName>
    <definedName name="_1__123Graph_ACHART_1" localSheetId="3" hidden="1">#REF!</definedName>
    <definedName name="_1__123Graph_ACHART_4" localSheetId="3" hidden="1">#REF!</definedName>
    <definedName name="_1__123Graph_AGraphique_1B" localSheetId="3" hidden="1">#REF!</definedName>
    <definedName name="_1__FDSAUDITLINK__" localSheetId="3" hidden="1">{"fdsup://Directions/FactSet Auditing Viewer?action=AUDIT_VALUE&amp;DB=129&amp;ID1=610036&amp;VALUEID=05192&amp;SDATE=201101&amp;PERIODTYPE=QTR_STD&amp;SCFT=3&amp;window=popup_no_bar&amp;width=385&amp;height=120&amp;START_MAXIMIZED=FALSE&amp;creator=factset&amp;display_string=Audit"}</definedName>
    <definedName name="_10__123Graph_LBL_ACHART_1" localSheetId="3" hidden="1">#REF!</definedName>
    <definedName name="_10__123Graph_LBL_ACHART_2" localSheetId="3" hidden="1">#REF!</definedName>
    <definedName name="_10__123Graph_LBL_ACHART_3" localSheetId="3" hidden="1">#REF!</definedName>
    <definedName name="_10__123Graph_XGraphique_1B" localSheetId="3" hidden="1">#REF!</definedName>
    <definedName name="_10__FDSAUDITLINK__" localSheetId="3" hidden="1">{"fdsup://Directions/FactSet Auditing Viewer?action=AUDIT_VALUE&amp;DB=129&amp;ID1=613566&amp;VALUEID=05192&amp;SDATE=201101&amp;PERIODTYPE=QTR_STD&amp;SCFT=3&amp;window=popup_no_bar&amp;width=385&amp;height=120&amp;START_MAXIMIZED=FALSE&amp;creator=factset&amp;display_string=Audit"}</definedName>
    <definedName name="_10_0__123Graph_ACHAR" localSheetId="3" hidden="1">#REF!</definedName>
    <definedName name="_104__123Graph_LBL_BCHART_2" localSheetId="3" hidden="1">#REF!</definedName>
    <definedName name="_108__123Graph_LBL_BCHART_1" localSheetId="3" hidden="1">#REF!</definedName>
    <definedName name="_109__123Graph_ACHART_4" localSheetId="3" hidden="1">#REF!</definedName>
    <definedName name="_11__123Graph_LBL_ACHART_2" localSheetId="3" hidden="1">#REF!</definedName>
    <definedName name="_11__123Graph_LBL_ACHART_3" localSheetId="3" hidden="1">#REF!</definedName>
    <definedName name="_11__123Graph_LBL_ACHART_4" localSheetId="3" hidden="1">#REF!</definedName>
    <definedName name="_11__123Graph_XGraphique_2B" localSheetId="3" hidden="1">#REF!</definedName>
    <definedName name="_11__FDSAUDITLINK__" localSheetId="3" hidden="1">{"fdsup://Directions/FactSet Auditing Viewer?action=AUDIT_VALUE&amp;DB=129&amp;ID1=B2QKWK&amp;VALUEID=05194&amp;SDATE=201101&amp;PERIODTYPE=QTR_STD&amp;SCFT=3&amp;window=popup_no_bar&amp;width=385&amp;height=120&amp;START_MAXIMIZED=FALSE&amp;creator=factset&amp;display_string=Audit"}</definedName>
    <definedName name="_112__123Graph_LBL_BCHART_3" localSheetId="3" hidden="1">#REF!</definedName>
    <definedName name="_112__FDSAUDITLINK__" localSheetId="3"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7__123Graph_LBL_BCHART_2" localSheetId="3" hidden="1">#REF!</definedName>
    <definedName name="_12__123Graph_ACHART_2" localSheetId="3" hidden="1">#REF!</definedName>
    <definedName name="_12__123Graph_ACHART_3" localSheetId="3" hidden="1">#REF!</definedName>
    <definedName name="_12__123Graph_ACHART_4" localSheetId="3" hidden="1">#REF!</definedName>
    <definedName name="_12__123Graph_LBL_ACHART_3" localSheetId="3" hidden="1">#REF!</definedName>
    <definedName name="_12__123Graph_LBL_ACHART_4" localSheetId="3" hidden="1">#REF!</definedName>
    <definedName name="_12__123Graph_LBL_BCHART_1" localSheetId="3" hidden="1">#REF!</definedName>
    <definedName name="_12__123Graph_XGraphique_3B" localSheetId="3" hidden="1">#REF!</definedName>
    <definedName name="_12__FDSAUDITLINK__" localSheetId="3" hidden="1">{"fdsup://Directions/FactSet Auditing Viewer?action=AUDIT_VALUE&amp;DB=129&amp;ID1=613566&amp;VALUEID=05194&amp;SDATE=201101&amp;PERIODTYPE=QTR_STD&amp;SCFT=3&amp;window=popup_no_bar&amp;width=385&amp;height=120&amp;START_MAXIMIZED=FALSE&amp;creator=factset&amp;display_string=Audit"}</definedName>
    <definedName name="_12_0__123Graph_BCHAR" localSheetId="3" hidden="1">#REF!</definedName>
    <definedName name="_120__123Graph_XCHART_1" localSheetId="3" hidden="1">#REF!</definedName>
    <definedName name="_120__FDSAUDITLINK__" localSheetId="3"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6__123Graph_LBL_BCHART_3" localSheetId="3" hidden="1">#REF!</definedName>
    <definedName name="_128__123Graph_XCHART_2" localSheetId="3" hidden="1">#REF!</definedName>
    <definedName name="_13__123Graph_ACHART_1" localSheetId="3" hidden="1">#REF!</definedName>
    <definedName name="_13__123Graph_LBL_ACHART_4" localSheetId="3" hidden="1">#REF!</definedName>
    <definedName name="_13__123Graph_LBL_BCHART_1" localSheetId="3" hidden="1">#REF!</definedName>
    <definedName name="_13__123Graph_LBL_BCHART_2" localSheetId="3" hidden="1">#REF!</definedName>
    <definedName name="_13__FDSAUDITLINK__" localSheetId="3" hidden="1">{"fdsup://Directions/FactSet Auditing Viewer?action=AUDIT_VALUE&amp;DB=129&amp;ID1=B62G7K&amp;VALUEID=05194&amp;SDATE=201101&amp;PERIODTYPE=QTR_STD&amp;SCFT=3&amp;window=popup_no_bar&amp;width=385&amp;height=120&amp;START_MAXIMIZED=FALSE&amp;creator=factset&amp;display_string=Audit"}</definedName>
    <definedName name="_135__123Graph_XCHART_1" localSheetId="3" hidden="1">#REF!</definedName>
    <definedName name="_136__123Graph_BCHART_1" localSheetId="3" hidden="1">#REF!</definedName>
    <definedName name="_136__123Graph_XCHART_3" localSheetId="3" hidden="1">#REF!</definedName>
    <definedName name="_14__123Graph_ACHART_1" localSheetId="3" hidden="1">#REF!</definedName>
    <definedName name="_14__123Graph_BCHART_1" localSheetId="3" hidden="1">#REF!</definedName>
    <definedName name="_14__123Graph_LBL_BCHART_1" localSheetId="3" hidden="1">#REF!</definedName>
    <definedName name="_14__123Graph_LBL_BCHART_2" localSheetId="3" hidden="1">#REF!</definedName>
    <definedName name="_14__123Graph_LBL_BCHART_3" localSheetId="3" hidden="1">#REF!</definedName>
    <definedName name="_14__FDSAUDITLINK__" localSheetId="3" hidden="1">{"fdsup://Directions/FactSet Auditing Viewer?action=AUDIT_VALUE&amp;DB=129&amp;ID1=B01LXY&amp;VALUEID=05194&amp;SDATE=201101&amp;PERIODTYPE=QTR_STD&amp;SCFT=3&amp;window=popup_no_bar&amp;width=385&amp;height=120&amp;START_MAXIMIZED=FALSE&amp;creator=factset&amp;display_string=Audit"}</definedName>
    <definedName name="_14_0__123Graph_CCHAR" localSheetId="3" hidden="1">#REF!</definedName>
    <definedName name="_144__123Graph_XCHART_2" localSheetId="3" hidden="1">#REF!</definedName>
    <definedName name="_144__123Graph_XCHART_4" localSheetId="3" hidden="1">#REF!</definedName>
    <definedName name="_144__FDSAUDITLINK__" localSheetId="3"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5__123Graph_ACHART_3" localSheetId="3" hidden="1">#REF!</definedName>
    <definedName name="_15__123Graph_BCHART_1" localSheetId="3" hidden="1">#REF!</definedName>
    <definedName name="_15__123Graph_CCHART_1" localSheetId="3" hidden="1">#REF!</definedName>
    <definedName name="_15__123Graph_LBL_BCHART_2" localSheetId="3" hidden="1">#REF!</definedName>
    <definedName name="_15__123Graph_LBL_BCHART_3" localSheetId="3" hidden="1">#REF!</definedName>
    <definedName name="_15__123Graph_XCHART_1" localSheetId="3" hidden="1">#REF!</definedName>
    <definedName name="_15__FDSAUDITLINK__" localSheetId="3" hidden="1">{"fdsup://Directions/FactSet Auditing Viewer?action=AUDIT_VALUE&amp;DB=129&amp;ID1=B12C0T&amp;VALUEID=05194&amp;SDATE=201101&amp;PERIODTYPE=QTR_STD&amp;SCFT=3&amp;window=popup_no_bar&amp;width=385&amp;height=120&amp;START_MAXIMIZED=FALSE&amp;creator=factset&amp;display_string=Audit"}</definedName>
    <definedName name="_153__123Graph_XCHART_3" localSheetId="3" hidden="1">#REF!</definedName>
    <definedName name="_16__123Graph_ACHART_2" localSheetId="3" hidden="1">#REF!</definedName>
    <definedName name="_16__123Graph_ACHART_4" localSheetId="3" hidden="1">#REF!</definedName>
    <definedName name="_16__123Graph_BCHART_1" localSheetId="3" hidden="1">#REF!</definedName>
    <definedName name="_16__123Graph_LBL_ACHART_1" localSheetId="3" hidden="1">#REF!</definedName>
    <definedName name="_16__123Graph_LBL_BCHART_3" localSheetId="3" hidden="1">#REF!</definedName>
    <definedName name="_16__123Graph_XCHART_1" localSheetId="3" hidden="1">#REF!</definedName>
    <definedName name="_16__123Graph_XCHART_2" localSheetId="3" hidden="1">#REF!</definedName>
    <definedName name="_16__FDSAUDITLINK__" localSheetId="3" hidden="1">{"fdsup://Directions/FactSet Auditing Viewer?action=AUDIT_VALUE&amp;DB=129&amp;ID1=615525&amp;VALUEID=05192&amp;SDATE=201101&amp;PERIODTYPE=QTR_STD&amp;SCFT=3&amp;window=popup_no_bar&amp;width=385&amp;height=120&amp;START_MAXIMIZED=FALSE&amp;creator=factset&amp;display_string=Audit"}</definedName>
    <definedName name="_16_0__123Graph_LBL_ACHAR" localSheetId="3" hidden="1">#REF!</definedName>
    <definedName name="_160__FDSAUDITLINK__" localSheetId="3"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2__123Graph_XCHART_4" localSheetId="3" hidden="1">#REF!</definedName>
    <definedName name="_163__123Graph_BCHART_2" localSheetId="3" hidden="1">#REF!</definedName>
    <definedName name="_17__123Graph_XCHART_1" localSheetId="3" hidden="1">#REF!</definedName>
    <definedName name="_17__123Graph_XCHART_2" localSheetId="3" hidden="1">#REF!</definedName>
    <definedName name="_17__123Graph_XCHART_3" localSheetId="3" hidden="1">#REF!</definedName>
    <definedName name="_17__FDSAUDITLINK__" localSheetId="3" hidden="1">{"fdsup://Directions/FactSet Auditing Viewer?action=AUDIT_VALUE&amp;DB=129&amp;ID1=651312&amp;VALUEID=05194&amp;SDATE=201101&amp;PERIODTYPE=QTR_STD&amp;SCFT=3&amp;window=popup_no_bar&amp;width=385&amp;height=120&amp;START_MAXIMIZED=FALSE&amp;creator=factset&amp;display_string=Audit"}</definedName>
    <definedName name="_18__123Graph_ACHART_2" localSheetId="3" hidden="1">#REF!</definedName>
    <definedName name="_18__123Graph_ACHART_4" localSheetId="3" hidden="1">#REF!</definedName>
    <definedName name="_18__123Graph_BCHART_2" localSheetId="3" hidden="1">#REF!</definedName>
    <definedName name="_18__123Graph_CCHART_1" localSheetId="3" hidden="1">#REF!</definedName>
    <definedName name="_18__123Graph_XCHART_2" localSheetId="3" hidden="1">#REF!</definedName>
    <definedName name="_18__123Graph_XCHART_3" localSheetId="3" hidden="1">#REF!</definedName>
    <definedName name="_18__123Graph_XCHART_4" localSheetId="3" hidden="1">#REF!</definedName>
    <definedName name="_18__FDSAUDITLINK__" localSheetId="3" hidden="1">{"fdsup://Directions/FactSet Auditing Viewer?action=AUDIT_VALUE&amp;DB=129&amp;ID1=610036&amp;VALUEID=05194&amp;SDATE=201101&amp;PERIODTYPE=QTR_STD&amp;SCFT=3&amp;window=popup_no_bar&amp;width=385&amp;height=120&amp;START_MAXIMIZED=FALSE&amp;creator=factset&amp;display_string=Audit"}</definedName>
    <definedName name="_18_0__123Graph_ACHAR" localSheetId="3" hidden="1">#REF!</definedName>
    <definedName name="_19__123Graph_ACHART_1" localSheetId="3" hidden="1">#REF!</definedName>
    <definedName name="_19__123Graph_XCHART_3" localSheetId="3" hidden="1">#REF!</definedName>
    <definedName name="_19__123Graph_XCHART_4" localSheetId="3" hidden="1">#REF!</definedName>
    <definedName name="_19__FDSAUDITLINK__" localSheetId="3" hidden="1">{"fdsup://directions/FAT Viewer?action=UPDATE&amp;creator=factset&amp;DYN_ARGS=TRUE&amp;DOC_NAME=FAT:FQL_AUDITING_CLIENT_TEMPLATE.FAT&amp;display_string=Audit&amp;VAR:KEY=RIVODUVABY&amp;VAR:QUERY=RkZfREVCVChRVFIsMCk=&amp;WINDOW=FIRST_POPUP&amp;HEIGHT=450&amp;WIDTH=450&amp;START_MAXIMIZED=FALSE&amp;VA","R:CALENDAR=US&amp;VAR:SYMBOL=B1TJG9&amp;VAR:INDEX=0"}</definedName>
    <definedName name="_19_0__123Graph_ACHAR" localSheetId="3" hidden="1">#REF!</definedName>
    <definedName name="_19_0__123Graph_BCHAR" localSheetId="3" hidden="1">#REF!</definedName>
    <definedName name="_190__123Graph_BCHART_3" localSheetId="3" hidden="1">#REF!</definedName>
    <definedName name="_2__123Graph_ACHART_1" localSheetId="3" hidden="1">#REF!</definedName>
    <definedName name="_2__123Graph_ACHART_2" localSheetId="3" hidden="1">#REF!</definedName>
    <definedName name="_2__123Graph_AGraphique_2B" localSheetId="3" hidden="1">#REF!</definedName>
    <definedName name="_2__123Graph_BCHART_1" localSheetId="3" hidden="1">#REF!</definedName>
    <definedName name="_2__123Graph_BCHART_4" localSheetId="3" hidden="1">#REF!</definedName>
    <definedName name="_2__FDSAUDITLINK__" localSheetId="3" hidden="1">{"fdsup://Directions/FactSet Auditing Viewer?action=AUDIT_VALUE&amp;DB=129&amp;ID1=718981&amp;VALUEID=01004&amp;SDATE=2010&amp;PERIODTYPE=ANN_STD&amp;SCFT=3&amp;window=popup_no_bar&amp;width=385&amp;height=120&amp;START_MAXIMIZED=FALSE&amp;creator=factset&amp;display_string=Audit"}</definedName>
    <definedName name="_20__123Graph_BCHART_1" localSheetId="3" hidden="1">#REF!</definedName>
    <definedName name="_20__123Graph_LBL_ACHART_1" localSheetId="3" hidden="1">#REF!</definedName>
    <definedName name="_20__123Graph_XCHART_4" localSheetId="3" hidden="1">#REF!</definedName>
    <definedName name="_20__FDSAUDITLINK__" localSheetId="3" hidden="1">{"fdsup://directions/FAT Viewer?action=UPDATE&amp;creator=factset&amp;DYN_ARGS=TRUE&amp;DOC_NAME=FAT:FQL_AUDITING_CLIENT_TEMPLATE.FAT&amp;display_string=Audit&amp;VAR:KEY=NOROXQDYDA&amp;VAR:QUERY=RkZfREVCVChRVFIsMCk=&amp;WINDOW=FIRST_POPUP&amp;HEIGHT=450&amp;WIDTH=450&amp;START_MAXIMIZED=FALSE&amp;VA","R:CALENDAR=US&amp;VAR:SYMBOL=B2QKWK&amp;VAR:INDEX=0"}</definedName>
    <definedName name="_20_0__123Graph_BCHAR" localSheetId="3" hidden="1">#REF!</definedName>
    <definedName name="_20_0__123Graph_CCHAR" localSheetId="3" hidden="1">#REF!</definedName>
    <definedName name="_206__FDSAUDITLINK__" localSheetId="3"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1__123Graph_BCHART_1" localSheetId="3" hidden="1">#REF!</definedName>
    <definedName name="_21__123Graph_BCHART_3" localSheetId="3" hidden="1">#REF!</definedName>
    <definedName name="_21__FDSAUDITLINK__" localSheetId="3" hidden="1">{"fdsup://directions/FAT Viewer?action=UPDATE&amp;creator=factset&amp;DYN_ARGS=TRUE&amp;DOC_NAME=FAT:FQL_AUDITING_CLIENT_TEMPLATE.FAT&amp;display_string=Audit&amp;VAR:KEY=BWBYDQBYRG&amp;VAR:QUERY=RkZfREVCVChRVFIsMCk=&amp;WINDOW=FIRST_POPUP&amp;HEIGHT=450&amp;WIDTH=450&amp;START_MAXIMIZED=FALSE&amp;VA","R:CALENDAR=US&amp;VAR:SYMBOL=626404&amp;VAR:INDEX=0"}</definedName>
    <definedName name="_21_0__123Graph_CCHAR" localSheetId="3" hidden="1">#REF!</definedName>
    <definedName name="_21_0__123Graph_LBL_ACHAR" localSheetId="3" hidden="1">#REF!</definedName>
    <definedName name="_217__123Graph_LBL_ACHART_1" localSheetId="3" hidden="1">#REF!</definedName>
    <definedName name="_22__FDSAUDITLINK__" localSheetId="3" hidden="1">{"fdsup://directions/FAT Viewer?action=UPDATE&amp;creator=factset&amp;DYN_ARGS=TRUE&amp;DOC_NAME=FAT:FQL_AUDITING_CLIENT_TEMPLATE.FAT&amp;display_string=Audit&amp;VAR:KEY=TQLCLGJUJU&amp;VAR:QUERY=RkZfREVCVChRVFIsMCk=&amp;WINDOW=FIRST_POPUP&amp;HEIGHT=450&amp;WIDTH=450&amp;START_MAXIMIZED=FALSE&amp;VA","R:CALENDAR=US&amp;VAR:SYMBOL=613566&amp;VAR:INDEX=0"}</definedName>
    <definedName name="_22_0__123Graph_LBL_ACHAR" localSheetId="3" hidden="1">#REF!</definedName>
    <definedName name="_23__FDSAUDITLINK__" localSheetId="3" hidden="1">{"fdsup://directions/FAT Viewer?action=UPDATE&amp;creator=factset&amp;DYN_ARGS=TRUE&amp;DOC_NAME=FAT:FQL_AUDITING_CLIENT_TEMPLATE.FAT&amp;display_string=Audit&amp;VAR:KEY=NYXYJIPEVY&amp;VAR:QUERY=RkZfREVCVChRVFIsMCk=&amp;WINDOW=FIRST_POPUP&amp;HEIGHT=450&amp;WIDTH=450&amp;START_MAXIMIZED=FALSE&amp;VA","R:CALENDAR=US&amp;VAR:SYMBOL=B62G7K&amp;VAR:INDEX=0"}</definedName>
    <definedName name="_24__123Graph_ACHART_3" localSheetId="3" hidden="1">#REF!</definedName>
    <definedName name="_24__123Graph_BCHART_2" localSheetId="3" hidden="1">#REF!</definedName>
    <definedName name="_24__123Graph_LBL_ACHART_1" localSheetId="3" hidden="1">#REF!</definedName>
    <definedName name="_24__FDSAUDITLINK__" localSheetId="3" hidden="1">{"fdsup://directions/FAT Viewer?action=UPDATE&amp;creator=factset&amp;DYN_ARGS=TRUE&amp;DOC_NAME=FAT:FQL_AUDITING_CLIENT_TEMPLATE.FAT&amp;display_string=Audit&amp;VAR:KEY=NSBMVWPMXC&amp;VAR:QUERY=RkZfREVCVChRVFIsMCk=&amp;WINDOW=FIRST_POPUP&amp;HEIGHT=450&amp;WIDTH=450&amp;START_MAXIMIZED=FALSE&amp;VA","R:CALENDAR=US&amp;VAR:SYMBOL=B601QS&amp;VAR:INDEX=0"}</definedName>
    <definedName name="_24_0__123Graph_ACHAR" localSheetId="3" hidden="1">#REF!</definedName>
    <definedName name="_244__123Graph_LBL_ACHART_2" localSheetId="3" hidden="1">#REF!</definedName>
    <definedName name="_25__FDSAUDITLINK__" localSheetId="3" hidden="1">{"fdsup://directions/FAT Viewer?action=UPDATE&amp;creator=factset&amp;DYN_ARGS=TRUE&amp;DOC_NAME=FAT:FQL_AUDITING_CLIENT_TEMPLATE.FAT&amp;display_string=Audit&amp;VAR:KEY=RGRCNQPWVG&amp;VAR:QUERY=RkZfREVCVChRVFIsMCk=&amp;WINDOW=FIRST_POPUP&amp;HEIGHT=450&amp;WIDTH=450&amp;START_MAXIMIZED=FALSE&amp;VA","R:CALENDAR=US&amp;VAR:SYMBOL=B2Q4CS&amp;VAR:INDEX=0"}</definedName>
    <definedName name="_26__123Graph_ACHART_1" localSheetId="3" hidden="1">#REF!</definedName>
    <definedName name="_26__FDSAUDITLINK__" localSheetId="3" hidden="1">{"fdsup://directions/FAT Viewer?action=UPDATE&amp;creator=factset&amp;DYN_ARGS=TRUE&amp;DOC_NAME=FAT:FQL_AUDITING_CLIENT_TEMPLATE.FAT&amp;display_string=Audit&amp;VAR:KEY=LINIDUNITC&amp;VAR:QUERY=RkZfREVCVChRVFIsMCk=&amp;WINDOW=FIRST_POPUP&amp;HEIGHT=450&amp;WIDTH=450&amp;START_MAXIMIZED=FALSE&amp;VA","R:CALENDAR=US&amp;VAR:SYMBOL=670625&amp;VAR:INDEX=0"}</definedName>
    <definedName name="_26_0__123Graph_BCHAR" localSheetId="3" hidden="1">#REF!</definedName>
    <definedName name="_27__123Graph_ACHART_3" localSheetId="3" hidden="1">#REF!</definedName>
    <definedName name="_27__123Graph_BCHART_3" localSheetId="3" hidden="1">#REF!</definedName>
    <definedName name="_27__123Graph_LBL_ACHART_2" localSheetId="3" hidden="1">#REF!</definedName>
    <definedName name="_27__FDSAUDITLINK__" localSheetId="3"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271__123Graph_LBL_ACHART_3" localSheetId="3" hidden="1">#REF!</definedName>
    <definedName name="_28__123Graph_ACHART_1" localSheetId="3" hidden="1">#REF!</definedName>
    <definedName name="_28__123Graph_BCHART_1" localSheetId="3" hidden="1">#REF!</definedName>
    <definedName name="_28__123Graph_BCHART_3" localSheetId="3" hidden="1">#REF!</definedName>
    <definedName name="_28__FDSAUDITLINK__" localSheetId="3" hidden="1">{"fdsup://directions/FAT Viewer?action=UPDATE&amp;creator=factset&amp;DYN_ARGS=TRUE&amp;DOC_NAME=FAT:FQL_AUDITING_CLIENT_TEMPLATE.FAT&amp;display_string=Audit&amp;VAR:KEY=ZCBIPGHWJS&amp;VAR:QUERY=RkZfREVCVChRVFIsMCk=&amp;WINDOW=FIRST_POPUP&amp;HEIGHT=450&amp;WIDTH=450&amp;START_MAXIMIZED=FALSE&amp;VA","R:CALENDAR=US&amp;VAR:SYMBOL=627137&amp;VAR:INDEX=0"}</definedName>
    <definedName name="_28_0__123Graph_CCHAR" localSheetId="3" hidden="1">#REF!</definedName>
    <definedName name="_29__FDSAUDITLINK__" localSheetId="3" hidden="1">{"fdsup://directions/FAT Viewer?action=UPDATE&amp;creator=factset&amp;DYN_ARGS=TRUE&amp;DOC_NAME=FAT:FQL_AUDITING_CLIENT_TEMPLATE.FAT&amp;display_string=Audit&amp;VAR:KEY=CLCRSDAPSX&amp;VAR:QUERY=RkZfREVCVChRVFIsMCk=&amp;WINDOW=FIRST_POPUP&amp;HEIGHT=450&amp;WIDTH=450&amp;START_MAXIMIZED=FALSE&amp;VA","R:CALENDAR=US&amp;VAR:SYMBOL=B4TX8S&amp;VAR:INDEX=0"}</definedName>
    <definedName name="_298__123Graph_LBL_ACHART_4" localSheetId="3" hidden="1">#REF!</definedName>
    <definedName name="_3__123Graph_ACHART_1" localSheetId="3" hidden="1">#REF!</definedName>
    <definedName name="_3__123Graph_ACHART_2" localSheetId="3" hidden="1">#REF!</definedName>
    <definedName name="_3__123Graph_ACHART_3" localSheetId="3" hidden="1">#REF!</definedName>
    <definedName name="_3__123Graph_AGraphique_3B" localSheetId="3" hidden="1">#REF!</definedName>
    <definedName name="_3__123Graph_LBL_ACHART_4" localSheetId="3" hidden="1">#REF!</definedName>
    <definedName name="_3__FDSAUDITLINK__" localSheetId="3" hidden="1">{"fdsup://directions/FAT Viewer?action=UPDATE&amp;creator=factset&amp;DYN_ARGS=TRUE&amp;DOC_NAME=FAT:FQL_AUDITING_CLIENT_TEMPLATE.FAT&amp;display_string=Audit&amp;VAR:KEY=NYZOXGHULC&amp;VAR:QUERY=RkZfREVCVChRVFIsMCk=&amp;WINDOW=FIRST_POPUP&amp;HEIGHT=450&amp;WIDTH=450&amp;START_MAXIMIZED=FALSE&amp;VA","R:CALENDAR=US&amp;VAR:SYMBOL=615525&amp;VAR:INDEX=0"}</definedName>
    <definedName name="_30__123Graph_CCHART_1" localSheetId="3" hidden="1">#REF!</definedName>
    <definedName name="_30__123Graph_LBL_ACHART_1" localSheetId="3" hidden="1">#REF!</definedName>
    <definedName name="_30__123Graph_LBL_ACHART_3" localSheetId="3" hidden="1">#REF!</definedName>
    <definedName name="_30__FDSAUDITLINK__" localSheetId="3" hidden="1">{"fdsup://directions/FAT Viewer?action=UPDATE&amp;creator=factset&amp;DYN_ARGS=TRUE&amp;DOC_NAME=FAT:FQL_AUDITING_CLIENT_TEMPLATE.FAT&amp;display_string=Audit&amp;VAR:KEY=FCXYFCHWXA&amp;VAR:QUERY=RkZfREVCVChRVFIsMCk=&amp;WINDOW=FIRST_POPUP&amp;HEIGHT=450&amp;WIDTH=450&amp;START_MAXIMIZED=FALSE&amp;VA","R:CALENDAR=US&amp;VAR:SYMBOL=641167&amp;VAR:INDEX=0"}</definedName>
    <definedName name="_30_0__123Graph_LBL_ACHAR" localSheetId="3" hidden="1">#REF!</definedName>
    <definedName name="_31__FDSAUDITLINK__" localSheetId="3" hidden="1">{"fdsup://directions/FAT Viewer?action=UPDATE&amp;creator=factset&amp;DYN_ARGS=TRUE&amp;DOC_NAME=FAT:FQL_AUDITING_CLIENT_TEMPLATE.FAT&amp;display_string=Audit&amp;VAR:KEY=ZWDYLGNOZS&amp;VAR:QUERY=RkZfREVCVChRVFIsMCk=&amp;WINDOW=FIRST_POPUP&amp;HEIGHT=450&amp;WIDTH=450&amp;START_MAXIMIZED=FALSE&amp;VA","R:CALENDAR=US&amp;VAR:SYMBOL=642566&amp;VAR:INDEX=0"}</definedName>
    <definedName name="_32__123Graph_ACHART_4" localSheetId="3" hidden="1">#REF!</definedName>
    <definedName name="_32__123Graph_LBL_ACHART_1" localSheetId="3" hidden="1">#REF!</definedName>
    <definedName name="_325__123Graph_LBL_BCHART_1" localSheetId="3" hidden="1">#REF!</definedName>
    <definedName name="_33__123Graph_LBL_ACHART_2" localSheetId="3" hidden="1">#REF!</definedName>
    <definedName name="_33__123Graph_LBL_ACHART_4" localSheetId="3" hidden="1">#REF!</definedName>
    <definedName name="_33__FDSAUDITLINK__" localSheetId="3" hidden="1">{"fdsup://directions/FAT Viewer?action=UPDATE&amp;creator=factset&amp;DYN_ARGS=TRUE&amp;DOC_NAME=FAT:FQL_AUDITING_CLIENT_TEMPLATE.FAT&amp;display_string=Audit&amp;VAR:KEY=BYZORMPCHQ&amp;VAR:QUERY=RkZfREVCVChRVFIsMCk=&amp;WINDOW=FIRST_POPUP&amp;HEIGHT=450&amp;WIDTH=450&amp;START_MAXIMIZED=FALSE&amp;VA","R:CALENDAR=US&amp;VAR:SYMBOL=649613&amp;VAR:INDEX=0"}</definedName>
    <definedName name="_34__FDSAUDITLINK__" localSheetId="3" hidden="1">{"fdsup://directions/FAT Viewer?action=UPDATE&amp;creator=factset&amp;DYN_ARGS=TRUE&amp;DOC_NAME=FAT:FQL_AUDITING_CLIENT_TEMPLATE.FAT&amp;display_string=Audit&amp;VAR:KEY=IRGRQDQTWB&amp;VAR:QUERY=RkZfREVCVChRVFIsMCk=&amp;WINDOW=FIRST_POPUP&amp;HEIGHT=450&amp;WIDTH=450&amp;START_MAXIMIZED=FALSE&amp;VA","R:CALENDAR=US&amp;VAR:SYMBOL=680580&amp;VAR:INDEX=0"}</definedName>
    <definedName name="_35__FDSAUDITLINK__" localSheetId="3"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352__123Graph_LBL_BCHART_2" localSheetId="3" hidden="1">#REF!</definedName>
    <definedName name="_353__FDSAUDITLINK__" localSheetId="3"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6__123Graph_ACHART_4" localSheetId="3" hidden="1">#REF!</definedName>
    <definedName name="_36__123Graph_LBL_ACHART_2" localSheetId="3" hidden="1">#REF!</definedName>
    <definedName name="_36__123Graph_LBL_ACHART_3" localSheetId="3" hidden="1">#REF!</definedName>
    <definedName name="_36__123Graph_LBL_BCHART_1" localSheetId="3" hidden="1">#REF!</definedName>
    <definedName name="_36__FDSAUDITLINK__" localSheetId="3" hidden="1">{"fdsup://directions/FAT Viewer?action=UPDATE&amp;creator=factset&amp;DYN_ARGS=TRUE&amp;DOC_NAME=FAT:FQL_AUDITING_CLIENT_TEMPLATE.FAT&amp;display_string=Audit&amp;VAR:KEY=BOFAPUNSFW&amp;VAR:QUERY=RkZfREVCVChRVFIsMCk=&amp;WINDOW=FIRST_POPUP&amp;HEIGHT=450&amp;WIDTH=450&amp;START_MAXIMIZED=FALSE&amp;VA","R:CALENDAR=US&amp;VAR:SYMBOL=615593&amp;VAR:INDEX=0"}</definedName>
    <definedName name="_36_0__123Graph_ACHAR" localSheetId="3" hidden="1">#REF!</definedName>
    <definedName name="_37__FDSAUDITLINK__" localSheetId="3" hidden="1">{"fdsup://directions/FAT Viewer?action=UPDATE&amp;creator=factset&amp;DYN_ARGS=TRUE&amp;DOC_NAME=FAT:FQL_AUDITING_CLIENT_TEMPLATE.FAT&amp;display_string=Audit&amp;VAR:KEY=NCDWZYHQLY&amp;VAR:QUERY=RkZfREVCVChRVFIsMCk=&amp;WINDOW=FIRST_POPUP&amp;HEIGHT=450&amp;WIDTH=450&amp;START_MAXIMIZED=FALSE&amp;VA","R:CALENDAR=US&amp;VAR:SYMBOL=616216&amp;VAR:INDEX=0"}</definedName>
    <definedName name="_371__FDSAUDITLINK__" localSheetId="3"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9__123Graph_LBL_BCHART_3" localSheetId="3" hidden="1">#REF!</definedName>
    <definedName name="_38__FDSAUDITLINK__" localSheetId="3" hidden="1">{"fdsup://directions/FAT Viewer?action=UPDATE&amp;creator=factset&amp;DYN_ARGS=TRUE&amp;DOC_NAME=FAT:FQL_AUDITING_CLIENT_TEMPLATE.FAT&amp;display_string=Audit&amp;VAR:KEY=LIHILQPEHS&amp;VAR:QUERY=RkZfREVCVChRVFIsMCk=&amp;WINDOW=FIRST_POPUP&amp;HEIGHT=450&amp;WIDTH=450&amp;START_MAXIMIZED=FALSE&amp;VA","R:CALENDAR=US&amp;VAR:SYMBOL=B01LXY&amp;VAR:INDEX=0"}</definedName>
    <definedName name="_38_0__123Graph_BCHAR" localSheetId="3" hidden="1">#REF!</definedName>
    <definedName name="_39__123Graph_LBL_ACHART_4" localSheetId="3" hidden="1">#REF!</definedName>
    <definedName name="_39__123Graph_LBL_BCHART_2" localSheetId="3" hidden="1">#REF!</definedName>
    <definedName name="_39__FDSAUDITLINK__" localSheetId="3" hidden="1">{"fdsup://directions/FAT Viewer?action=UPDATE&amp;creator=factset&amp;DYN_ARGS=TRUE&amp;DOC_NAME=FAT:FQL_AUDITING_CLIENT_TEMPLATE.FAT&amp;display_string=Audit&amp;VAR:KEY=BKHSXEZQRI&amp;VAR:QUERY=RkZfREVCVChRVFIsMCk=&amp;WINDOW=FIRST_POPUP&amp;HEIGHT=450&amp;WIDTH=450&amp;START_MAXIMIZED=FALSE&amp;VA","R:CALENDAR=US&amp;VAR:SYMBOL=B12C0T&amp;VAR:INDEX=0"}</definedName>
    <definedName name="_4__123Graph_ACHART_1" localSheetId="3" hidden="1">#REF!</definedName>
    <definedName name="_4__123Graph_ACHART_2" localSheetId="3" hidden="1">#REF!</definedName>
    <definedName name="_4__123Graph_ACHART_3" localSheetId="3" hidden="1">#REF!</definedName>
    <definedName name="_4__123Graph_ACHART_4" localSheetId="3" hidden="1">#REF!</definedName>
    <definedName name="_4__123Graph_BCHART_1" localSheetId="3" hidden="1">#REF!</definedName>
    <definedName name="_4__123Graph_BGraphique_1B" localSheetId="3" hidden="1">#REF!</definedName>
    <definedName name="_4__123Graph_LBL_BCHART_4" localSheetId="3" hidden="1">#REF!</definedName>
    <definedName name="_4__FDSAUDITLINK__" localSheetId="3" hidden="1">{"fdsup://Directions/FactSet Auditing Viewer?action=AUDIT_VALUE&amp;DB=129&amp;ID1=B01LXY&amp;VALUEID=05192&amp;SDATE=201101&amp;PERIODTYPE=QTR_STD&amp;SCFT=3&amp;window=popup_no_bar&amp;width=385&amp;height=120&amp;START_MAXIMIZED=FALSE&amp;creator=factset&amp;display_string=Audit"}</definedName>
    <definedName name="_40__123Graph_BCHART_1" localSheetId="3" hidden="1">#REF!</definedName>
    <definedName name="_40__123Graph_LBL_ACHART_3" localSheetId="3" hidden="1">#REF!</definedName>
    <definedName name="_40__FDSAUDITLINK__" localSheetId="3" hidden="1">{"fdsup://Directions/FactSet Auditing Viewer?action=AUDIT_VALUE&amp;DB=129&amp;ID1=615525&amp;VALUEID=05194&amp;SDATE=201101&amp;PERIODTYPE=QTR_STD&amp;SCFT=3&amp;window=popup_no_bar&amp;width=385&amp;height=120&amp;START_MAXIMIZED=FALSE&amp;creator=factset&amp;display_string=Audit"}</definedName>
    <definedName name="_40_0__123Graph_CCHAR" localSheetId="3" hidden="1">#REF!</definedName>
    <definedName name="_406__123Graph_XCHART_1" localSheetId="3" hidden="1">#REF!</definedName>
    <definedName name="_41__FDSAUDITLINK__" localSheetId="3" hidden="1">{"fdsup://directions/FAT Viewer?action=UPDATE&amp;creator=factset&amp;DYN_ARGS=TRUE&amp;DOC_NAME=FAT:FQL_AUDITING_CLIENT_TEMPLATE.FAT&amp;display_string=Audit&amp;VAR:KEY=NCPODUVUTY&amp;VAR:QUERY=RkZfREVCVChRVFIsMCk=&amp;WINDOW=FIRST_POPUP&amp;HEIGHT=450&amp;WIDTH=450&amp;START_MAXIMIZED=FALSE&amp;VA","R:CALENDAR=US&amp;VAR:SYMBOL=651312&amp;VAR:INDEX=0"}</definedName>
    <definedName name="_42__123Graph_LBL_BCHART_1" localSheetId="3" hidden="1">#REF!</definedName>
    <definedName name="_42__123Graph_LBL_BCHART_3" localSheetId="3" hidden="1">#REF!</definedName>
    <definedName name="_42__FDSAUDITLINK__" localSheetId="3" hidden="1">{"fdsup://directions/FAT Viewer?action=UPDATE&amp;creator=factset&amp;DYN_ARGS=TRUE&amp;DOC_NAME=FAT:FQL_AUDITING_CLIENT_TEMPLATE.FAT&amp;display_string=Audit&amp;VAR:KEY=TCLSBADEBM&amp;VAR:QUERY=RkZfREVCVChRVFIsMCk=&amp;WINDOW=FIRST_POPUP&amp;HEIGHT=450&amp;WIDTH=450&amp;START_MAXIMIZED=FALSE&amp;VA","R:CALENDAR=US&amp;VAR:SYMBOL=610036&amp;VAR:INDEX=0"}</definedName>
    <definedName name="_42_0__123Graph_LBL_ACHAR" localSheetId="3" hidden="1">#REF!</definedName>
    <definedName name="_42wrn.²Ä1­Ó¤ë1_Ü20¤H." localSheetId="3" hidden="1">{#N/A,#N/A,FALSE,"²Ä1­Ó¤ë"}</definedName>
    <definedName name="_43__FDSAUDITLINK__" localSheetId="3" hidden="1">{"fdsup://directions/FAT Viewer?action=UPDATE&amp;creator=factset&amp;DYN_ARGS=TRUE&amp;DOC_NAME=FAT:FQL_AUDITING_CLIENT_TEMPLATE.FAT&amp;display_string=Audit&amp;VAR:KEY=TCVWVCXSPG&amp;VAR:QUERY=RkZfREVCVChRVFIsMCk=&amp;WINDOW=FIRST_POPUP&amp;HEIGHT=450&amp;WIDTH=450&amp;START_MAXIMIZED=FALSE&amp;VA","R:CALENDAR=US&amp;VAR:SYMBOL=B5Q3JZ&amp;VAR:INDEX=0"}</definedName>
    <definedName name="_433__123Graph_XCHART_2" localSheetId="3" hidden="1">#REF!</definedName>
    <definedName name="_44__123Graph_LBL_ACHART_4" localSheetId="3" hidden="1">#REF!</definedName>
    <definedName name="_44__FDSAUDITLINK__" localSheetId="3" hidden="1">{"fdsup://directions/FAT Viewer?action=UPDATE&amp;creator=factset&amp;DYN_ARGS=TRUE&amp;DOC_NAME=FAT:FQL_AUDITING_CLIENT_TEMPLATE.FAT&amp;display_string=Audit&amp;VAR:KEY=FKRWBWPYJQ&amp;VAR:QUERY=RkZfREVCVChRVFIsMCk=&amp;WINDOW=FIRST_POPUP&amp;HEIGHT=450&amp;WIDTH=450&amp;START_MAXIMIZED=FALSE&amp;VA","R:CALENDAR=US&amp;VAR:SYMBOL=B2Q5H5&amp;VAR:INDEX=0"}</definedName>
    <definedName name="_45__123Graph_BCHART_1" localSheetId="3" hidden="1">#REF!</definedName>
    <definedName name="_45__123Graph_LBL_BCHART_2" localSheetId="3" hidden="1">#REF!</definedName>
    <definedName name="_45__123Graph_XCHART_1" localSheetId="3" hidden="1">#REF!</definedName>
    <definedName name="_45__FDSAUDITLINK__" localSheetId="3"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46__FDSAUDITLINK__" localSheetId="3" hidden="1">{"fdsup://directions/FAT Viewer?action=UPDATE&amp;creator=factset&amp;DYN_ARGS=TRUE&amp;DOC_NAME=FAT:FQL_AUDITING_CLIENT_TEMPLATE.FAT&amp;display_string=Audit&amp;VAR:KEY=DUDADIPCVA&amp;VAR:QUERY=RkZfREVCVChRVFIsMCk=&amp;WINDOW=FIRST_POPUP&amp;HEIGHT=450&amp;WIDTH=450&amp;START_MAXIMIZED=FALSE&amp;VA","R:CALENDAR=US&amp;VAR:SYMBOL=B01FLR&amp;VAR:INDEX=0"}</definedName>
    <definedName name="_460__123Graph_XCHART_3" localSheetId="3" hidden="1">#REF!</definedName>
    <definedName name="_47__FDSAUDITLINK__" localSheetId="3" hidden="1">{"fdsup://Directions/FactSet Auditing Viewer?action=AUDIT_VALUE&amp;DB=129&amp;ID1=627137&amp;VALUEID=05194&amp;SDATE=201102&amp;PERIODTYPE=QTR_STD&amp;SCFT=3&amp;window=popup_no_bar&amp;width=385&amp;height=120&amp;START_MAXIMIZED=FALSE&amp;creator=factset&amp;display_string=Audit"}</definedName>
    <definedName name="_48__123Graph_BCHART_2" localSheetId="3" hidden="1">#REF!</definedName>
    <definedName name="_48__123Graph_LBL_BCHART_1" localSheetId="3" hidden="1">#REF!</definedName>
    <definedName name="_48__123Graph_LBL_BCHART_3" localSheetId="3" hidden="1">#REF!</definedName>
    <definedName name="_48__123Graph_XCHART_2" localSheetId="3" hidden="1">#REF!</definedName>
    <definedName name="_48__FDSAUDITLINK__" localSheetId="3" hidden="1">{"fdsup://Directions/FactSet Auditing Viewer?action=AUDIT_VALUE&amp;DB=129&amp;ID1=627137&amp;VALUEID=05192&amp;SDATE=201102&amp;PERIODTYPE=QTR_STD&amp;SCFT=3&amp;window=popup_no_bar&amp;width=385&amp;height=120&amp;START_MAXIMIZED=FALSE&amp;creator=factset&amp;display_string=Audit"}</definedName>
    <definedName name="_481__FDSAUDITLINK__" localSheetId="3" hidden="1">{"fdsup://directions/FAT Viewer?action=UPDATE&amp;creator=factset&amp;DYN_ARGS=TRUE&amp;DOC_NAME=FAT:FQL_AUDITING_CLIENT_TEMPLATE.FAT&amp;display_string=Audit&amp;VAR:KEY=FKZMDKTUXA&amp;VAR:QUERY=KEZGX0JQU19UQU5HKFFUUiw0MDE0MylARkZfQlBTX1RBTkcoQU5OLDQwMTQzKSk=&amp;WINDOW=FIRST_POPUP&amp;H","EIGHT=450&amp;WIDTH=450&amp;START_MAXIMIZED=FALSE&amp;VAR:CALENDAR=US&amp;VAR:SYMBOL=002939&amp;VAR:INDEX=0"}</definedName>
    <definedName name="_487__123Graph_XCHART_4" localSheetId="3" hidden="1">#REF!</definedName>
    <definedName name="_49__FDSAUDITLINK__" localSheetId="3" hidden="1">{"fdsup://directions/FAT Viewer?action=UPDATE&amp;creator=factset&amp;DYN_ARGS=TRUE&amp;DOC_NAME=FAT:FQL_AUDITING_CLIENT_TEMPLATE.FAT&amp;display_string=Audit&amp;VAR:KEY=YLCVWFIZGL&amp;VAR:QUERY=RkZfREVCVChRVFIsMCk=&amp;WINDOW=FIRST_POPUP&amp;HEIGHT=450&amp;WIDTH=450&amp;START_MAXIMIZED=FALSE&amp;VA","R:CALENDAR=US&amp;VAR:SYMBOL=652766&amp;VAR:INDEX=0"}</definedName>
    <definedName name="_5__123Graph_ACHART_3" localSheetId="3" hidden="1">#REF!</definedName>
    <definedName name="_5__123Graph_ACHART_4" localSheetId="3" hidden="1">#REF!</definedName>
    <definedName name="_5__123Graph_BCHART_1" localSheetId="3" hidden="1">#REF!</definedName>
    <definedName name="_5__123Graph_BGraphique_2B" localSheetId="3" hidden="1">#REF!</definedName>
    <definedName name="_5__123Graph_XCHART_4" localSheetId="3" hidden="1">#REF!</definedName>
    <definedName name="_5__FDSAUDITLINK__" localSheetId="3" hidden="1">{"fdsup://Directions/FactSet Auditing Viewer?action=AUDIT_VALUE&amp;DB=129&amp;ID1=529412&amp;VALUEID=01004&amp;SDATE=2010&amp;PERIODTYPE=ANN_STD&amp;SCFT=3&amp;window=popup_no_bar&amp;width=385&amp;height=120&amp;START_MAXIMIZED=FALSE&amp;creator=factset&amp;display_string=Audit"}</definedName>
    <definedName name="_50__123Graph_ACHART_1" localSheetId="3" hidden="1">#REF!</definedName>
    <definedName name="_50__FDSAUDITLINK__" localSheetId="3" hidden="1">{"fdsup://Directions/FactSet Auditing Viewer?action=AUDIT_VALUE&amp;DB=129&amp;ID1=680580&amp;VALUEID=05194&amp;SDATE=201101&amp;PERIODTYPE=QTR_STD&amp;SCFT=3&amp;window=popup_no_bar&amp;width=385&amp;height=120&amp;START_MAXIMIZED=FALSE&amp;creator=factset&amp;display_string=Audit"}</definedName>
    <definedName name="_51__123Graph_XCHART_1" localSheetId="3" hidden="1">#REF!</definedName>
    <definedName name="_51__123Graph_XCHART_3" localSheetId="3" hidden="1">#REF!</definedName>
    <definedName name="_51__FDSAUDITLINK__" localSheetId="3" hidden="1">{"fdsup://Directions/FactSet Auditing Viewer?action=AUDIT_VALUE&amp;DB=129&amp;ID1=616216&amp;VALUEID=05194&amp;SDATE=201101&amp;PERIODTYPE=QTR_STD&amp;SCFT=3&amp;window=popup_no_bar&amp;width=385&amp;height=120&amp;START_MAXIMIZED=FALSE&amp;creator=factset&amp;display_string=Audit"}</definedName>
    <definedName name="_52__123Graph_BCHART_1" localSheetId="3" hidden="1">#REF!</definedName>
    <definedName name="_52__123Graph_LBL_BCHART_2" localSheetId="3" hidden="1">#REF!</definedName>
    <definedName name="_52__FDSAUDITLINK__" localSheetId="3" hidden="1">{"fdsup://Directions/FactSet Auditing Viewer?action=AUDIT_VALUE&amp;DB=129&amp;ID1=B01T14&amp;VALUEID=05194&amp;SDATE=201101&amp;PERIODTYPE=QTR_STD&amp;SCFT=3&amp;window=popup_no_bar&amp;width=385&amp;height=120&amp;START_MAXIMIZED=FALSE&amp;creator=factset&amp;display_string=Audit"}</definedName>
    <definedName name="_53__FDSAUDITLINK__" localSheetId="3" hidden="1">{"fdsup://Directions/FactSet Auditing Viewer?action=AUDIT_VALUE&amp;DB=129&amp;ID1=B01LXY&amp;VALUEID=05194&amp;SDATE=201101&amp;PERIODTYPE=QTR_STD&amp;SCFT=3&amp;window=popup_no_bar&amp;width=385&amp;height=120&amp;START_MAXIMIZED=FALSE&amp;creator=factset&amp;display_string=Audit"}</definedName>
    <definedName name="_54__123Graph_BCHART_2" localSheetId="3" hidden="1">#REF!</definedName>
    <definedName name="_54__123Graph_CCHART_1" localSheetId="3" hidden="1">#REF!</definedName>
    <definedName name="_54__123Graph_XCHART_2" localSheetId="3" hidden="1">#REF!</definedName>
    <definedName name="_54__123Graph_XCHART_4" localSheetId="3" hidden="1">#REF!</definedName>
    <definedName name="_54__FDSAUDITLINK__" localSheetId="3" hidden="1">{"fdsup://Directions/FactSet Auditing Viewer?action=AUDIT_VALUE&amp;DB=129&amp;ID1=616216&amp;VALUEID=05194&amp;SDATE=201101&amp;PERIODTYPE=QTR_STD&amp;SCFT=3&amp;window=popup_no_bar&amp;width=385&amp;height=120&amp;START_MAXIMIZED=FALSE&amp;creator=factset&amp;display_string=Audit"}</definedName>
    <definedName name="_55__123Graph_ACHART_2" localSheetId="3" hidden="1">#REF!</definedName>
    <definedName name="_55__FDSAUDITLINK__" localSheetId="3" hidden="1">{"fdsup://Directions/FactSet Auditing Viewer?action=AUDIT_VALUE&amp;DB=129&amp;ID1=649613&amp;VALUEID=05192&amp;SDATE=201101&amp;PERIODTYPE=QTR_STD&amp;SCFT=3&amp;window=popup_no_bar&amp;width=385&amp;height=120&amp;START_MAXIMIZED=FALSE&amp;creator=factset&amp;display_string=Audit"}</definedName>
    <definedName name="_56__123Graph_BCHART_3" localSheetId="3" hidden="1">#REF!</definedName>
    <definedName name="_56__123Graph_LBL_ACHART_1" localSheetId="3" hidden="1">#REF!</definedName>
    <definedName name="_56__123Graph_LBL_BCHART_3" localSheetId="3" hidden="1">#REF!</definedName>
    <definedName name="_56__FDSAUDITLINK__" localSheetId="3" hidden="1">{"fdsup://Directions/FactSet Auditing Viewer?action=AUDIT_VALUE&amp;DB=129&amp;ID1=680580&amp;VALUEID=05192&amp;SDATE=201101&amp;PERIODTYPE=QTR_STD&amp;SCFT=3&amp;window=popup_no_bar&amp;width=385&amp;height=120&amp;START_MAXIMIZED=FALSE&amp;creator=factset&amp;display_string=Audit"}</definedName>
    <definedName name="_57__123Graph_XCHART_3" localSheetId="3" hidden="1">#REF!</definedName>
    <definedName name="_57__FDSAUDITLINK__" localSheetId="3" hidden="1">{"fdsup://Directions/FactSet Auditing Viewer?action=AUDIT_VALUE&amp;DB=129&amp;ID1=616216&amp;VALUEID=05192&amp;SDATE=201101&amp;PERIODTYPE=QTR_STD&amp;SCFT=3&amp;window=popup_no_bar&amp;width=385&amp;height=120&amp;START_MAXIMIZED=FALSE&amp;creator=factset&amp;display_string=Audit"}</definedName>
    <definedName name="_58__FDSAUDITLINK__" localSheetId="3" hidden="1">{"fdsup://Directions/FactSet Auditing Viewer?action=AUDIT_VALUE&amp;DB=129&amp;ID1=B01T14&amp;VALUEID=05192&amp;SDATE=201101&amp;PERIODTYPE=QTR_STD&amp;SCFT=3&amp;window=popup_no_bar&amp;width=385&amp;height=120&amp;START_MAXIMIZED=FALSE&amp;creator=factset&amp;display_string=Audit"}</definedName>
    <definedName name="_59__FDSAUDITLINK__" localSheetId="3" hidden="1">{"fdsup://Directions/FactSet Auditing Viewer?action=AUDIT_VALUE&amp;DB=129&amp;ID1=B01LXY&amp;VALUEID=05192&amp;SDATE=201101&amp;PERIODTYPE=QTR_STD&amp;SCFT=3&amp;window=popup_no_bar&amp;width=385&amp;height=120&amp;START_MAXIMIZED=FALSE&amp;creator=factset&amp;display_string=Audit"}</definedName>
    <definedName name="_6__123Graph_ACHART_2" localSheetId="3" hidden="1">#REF!</definedName>
    <definedName name="_6__123Graph_ACHART_4" localSheetId="3" hidden="1">#REF!</definedName>
    <definedName name="_6__123Graph_BCHART_1" localSheetId="3" hidden="1">#REF!</definedName>
    <definedName name="_6__123Graph_BCHART_2" localSheetId="3" hidden="1">#REF!</definedName>
    <definedName name="_6__123Graph_BGraphique_3B" localSheetId="3" hidden="1">#REF!</definedName>
    <definedName name="_6__123Graph_CCHART_1" localSheetId="3" hidden="1">#REF!</definedName>
    <definedName name="_6__FDSAUDITLINK__" localSheetId="3" hidden="1">{"fdsup://Directions/FactSet Auditing Viewer?action=AUDIT_VALUE&amp;DB=129&amp;ID1=B2Q4CS&amp;VALUEID=05192&amp;SDATE=201101&amp;PERIODTYPE=QTR_STD&amp;SCFT=3&amp;window=popup_no_bar&amp;width=385&amp;height=120&amp;START_MAXIMIZED=FALSE&amp;creator=factset&amp;display_string=Audit"}</definedName>
    <definedName name="_60__123Graph_XCHART_1" localSheetId="3" hidden="1">#REF!</definedName>
    <definedName name="_60__123Graph_XCHART_4" localSheetId="3" hidden="1">#REF!</definedName>
    <definedName name="_60__FDSAUDITLINK__" localSheetId="3" hidden="1">{"fdsup://Directions/FactSet Auditing Viewer?action=AUDIT_VALUE&amp;DB=129&amp;ID1=616216&amp;VALUEID=05192&amp;SDATE=201101&amp;PERIODTYPE=QTR_STD&amp;SCFT=3&amp;window=popup_no_bar&amp;width=385&amp;height=120&amp;START_MAXIMIZED=FALSE&amp;creator=factset&amp;display_string=Audit"}</definedName>
    <definedName name="_60_0__123Graph_ACHAR" localSheetId="3" hidden="1">#REF!</definedName>
    <definedName name="_61__FDSAUDITLINK__" localSheetId="3"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2__FDSAUDITLINK__" localSheetId="3"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2_0__123Graph_BCHAR" localSheetId="3" hidden="1">#REF!</definedName>
    <definedName name="_63__123Graph_BCHART_3" localSheetId="3" hidden="1">#REF!</definedName>
    <definedName name="_63__FDSAUDITLINK__" localSheetId="3"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4__123Graph_LBL_ACHART_1" localSheetId="3" hidden="1">#REF!</definedName>
    <definedName name="_64__123Graph_XCHART_2" localSheetId="3" hidden="1">#REF!</definedName>
    <definedName name="_64__FDSAUDITLINK__" localSheetId="3" hidden="1">{"fdsup://Directions/FactSet Auditing Viewer?action=AUDIT_VALUE&amp;DB=129&amp;ID1=615593&amp;VALUEID=05192&amp;SDATE=201101&amp;PERIODTYPE=QTR_STD&amp;SCFT=3&amp;window=popup_no_bar&amp;width=385&amp;height=120&amp;START_MAXIMIZED=FALSE&amp;creator=factset&amp;display_string=Audit"}</definedName>
    <definedName name="_64_0__123Graph_CCHAR" localSheetId="3" hidden="1">#REF!</definedName>
    <definedName name="_65__FDSAUDITLINK__" localSheetId="3" hidden="1">{"fdsup://Directions/FactSet Auditing Viewer?action=AUDIT_VALUE&amp;DB=129&amp;ID1=615593&amp;VALUEID=05194&amp;SDATE=201101&amp;PERIODTYPE=QTR_STD&amp;SCFT=3&amp;window=popup_no_bar&amp;width=385&amp;height=120&amp;START_MAXIMIZED=FALSE&amp;creator=factset&amp;display_string=Audit"}</definedName>
    <definedName name="_66__FDSAUDITLINK__" localSheetId="3" hidden="1">{"fdsup://Directions/FactSet Auditing Viewer?action=AUDIT_VALUE&amp;DB=129&amp;ID1=B62B9W&amp;VALUEID=05192&amp;SDATE=201101&amp;PERIODTYPE=QTR_STD&amp;SCFT=3&amp;window=popup_no_bar&amp;width=385&amp;height=120&amp;START_MAXIMIZED=FALSE&amp;creator=factset&amp;display_string=Audit"}</definedName>
    <definedName name="_66_0__123Graph_LBL_ACHAR" localSheetId="3" hidden="1">#REF!</definedName>
    <definedName name="_67__FDSAUDITLINK__" localSheetId="3" hidden="1">{"fdsup://Directions/FactSet Auditing Viewer?action=AUDIT_VALUE&amp;DB=129&amp;ID1=B62B9W&amp;VALUEID=05194&amp;SDATE=201101&amp;PERIODTYPE=QTR_STD&amp;SCFT=3&amp;window=popup_no_bar&amp;width=385&amp;height=120&amp;START_MAXIMIZED=FALSE&amp;creator=factset&amp;display_string=Audit"}</definedName>
    <definedName name="_68__123Graph_XCHART_3" localSheetId="3" hidden="1">#REF!</definedName>
    <definedName name="_68__FDSAUDITLINK__" localSheetId="3" hidden="1">{"fdsup://Directions/FactSet Auditing Viewer?action=AUDIT_VALUE&amp;DB=129&amp;ID1=B12C0T&amp;VALUEID=05192&amp;SDATE=201101&amp;PERIODTYPE=QTR_STD&amp;SCFT=3&amp;window=popup_no_bar&amp;width=385&amp;height=120&amp;START_MAXIMIZED=FALSE&amp;creator=factset&amp;display_string=Audit"}</definedName>
    <definedName name="_69__FDSAUDITLINK__" localSheetId="3" hidden="1">{"fdsup://Directions/FactSet Auditing Viewer?action=AUDIT_VALUE&amp;DB=129&amp;ID1=B12C0T&amp;VALUEID=05194&amp;SDATE=201101&amp;PERIODTYPE=QTR_STD&amp;SCFT=3&amp;window=popup_no_bar&amp;width=385&amp;height=120&amp;START_MAXIMIZED=FALSE&amp;creator=factset&amp;display_string=Audit"}</definedName>
    <definedName name="_7__123Graph_ACHART_1" localSheetId="3" hidden="1">#REF!</definedName>
    <definedName name="_7__123Graph_BCHART_1" localSheetId="3" hidden="1">#REF!</definedName>
    <definedName name="_7__123Graph_BCHART_2" localSheetId="3" hidden="1">#REF!</definedName>
    <definedName name="_7__123Graph_BCHART_3" localSheetId="3" hidden="1">#REF!</definedName>
    <definedName name="_7__123Graph_CGraphique_1B" localSheetId="3" hidden="1">#REF!</definedName>
    <definedName name="_7__FDSAUDITLINK__" localSheetId="3" hidden="1">{"fdsup://Directions/FactSet Auditing Viewer?action=AUDIT_VALUE&amp;DB=129&amp;ID1=B601QS&amp;VALUEID=05192&amp;SDATE=201101&amp;PERIODTYPE=QTR_STD&amp;SCFT=3&amp;window=popup_no_bar&amp;width=385&amp;height=120&amp;START_MAXIMIZED=FALSE&amp;creator=factset&amp;display_string=Audit"}</definedName>
    <definedName name="_70__FDSAUDITLINK__" localSheetId="3" hidden="1">{"fdsup://Directions/FactSet Auditing Viewer?action=AUDIT_VALUE&amp;DB=129&amp;ID1=B12C0T&amp;VALUEID=05192&amp;SDATE=201101&amp;PERIODTYPE=QTR_STD&amp;SCFT=3&amp;window=popup_no_bar&amp;width=385&amp;height=120&amp;START_MAXIMIZED=FALSE&amp;creator=factset&amp;display_string=Audit"}</definedName>
    <definedName name="_71__FDSAUDITLINK__" localSheetId="3" hidden="1">{"fdsup://Directions/FactSet Auditing Viewer?action=AUDIT_VALUE&amp;DB=129&amp;ID1=B12C0T&amp;VALUEID=05194&amp;SDATE=201101&amp;PERIODTYPE=QTR_STD&amp;SCFT=3&amp;window=popup_no_bar&amp;width=385&amp;height=120&amp;START_MAXIMIZED=FALSE&amp;creator=factset&amp;display_string=Audit"}</definedName>
    <definedName name="_72__123Graph_LBL_ACHART_1" localSheetId="3" hidden="1">#REF!</definedName>
    <definedName name="_72__123Graph_LBL_ACHART_2" localSheetId="3" hidden="1">#REF!</definedName>
    <definedName name="_72__123Graph_XCHART_4" localSheetId="3" hidden="1">#REF!</definedName>
    <definedName name="_72__FDSAUDITLINK__" localSheetId="3" hidden="1">{"fdsup://directions/FAT Viewer?action=UPDATE&amp;creator=factset&amp;DYN_ARGS=TRUE&amp;DOC_NAME=FAT:FQL_AUDITING_CLIENT_TEMPLATE.FAT&amp;display_string=Audit&amp;VAR:KEY=EPKPEBABGZ&amp;VAR:QUERY=RkZfREVCVChRVFIsMCk=&amp;WINDOW=FIRST_POPUP&amp;HEIGHT=450&amp;WIDTH=450&amp;START_MAXIMIZED=FALSE&amp;VA","R:CALENDAR=US&amp;VAR:SYMBOL=B62B9W&amp;VAR:INDEX=0"}</definedName>
    <definedName name="_73__FDSAUDITLINK__" localSheetId="3" hidden="1">{"fdsup://Directions/FactSet Auditing Viewer?action=AUDIT_VALUE&amp;DB=129&amp;ID1=B0YCFG&amp;VALUEID=05192&amp;SDATE=201101&amp;PERIODTYPE=QTR_STD&amp;SCFT=3&amp;window=popup_no_bar&amp;width=385&amp;height=120&amp;START_MAXIMIZED=FALSE&amp;creator=factset&amp;display_string=Audit"}</definedName>
    <definedName name="_74__FDSAUDITLINK__" localSheetId="3" hidden="1">{"fdsup://Directions/FactSet Auditing Viewer?action=AUDIT_VALUE&amp;DB=129&amp;ID1=B0YCFG&amp;VALUEID=05194&amp;SDATE=201101&amp;PERIODTYPE=QTR_STD&amp;SCFT=3&amp;window=popup_no_bar&amp;width=385&amp;height=120&amp;START_MAXIMIZED=FALSE&amp;creator=factset&amp;display_string=Audit"}</definedName>
    <definedName name="_75__FDSAUDITLINK__" localSheetId="3" hidden="1">{"fdsup://Directions/FactSet Auditing Viewer?action=AUDIT_VALUE&amp;DB=129&amp;ID1=649613&amp;VALUEID=05192&amp;SDATE=201101&amp;PERIODTYPE=QTR_STD&amp;SCFT=3&amp;window=popup_no_bar&amp;width=385&amp;height=120&amp;START_MAXIMIZED=FALSE&amp;creator=factset&amp;display_string=Audit"}</definedName>
    <definedName name="_76__FDSAUDITLINK__" localSheetId="3" hidden="1">{"fdsup://Directions/FactSet Auditing Viewer?action=AUDIT_VALUE&amp;DB=129&amp;ID1=B12C0T&amp;VALUEID=05192&amp;SDATE=201101&amp;PERIODTYPE=QTR_STD&amp;SCFT=3&amp;window=popup_no_bar&amp;width=385&amp;height=120&amp;START_MAXIMIZED=FALSE&amp;creator=factset&amp;display_string=Audit"}</definedName>
    <definedName name="_77__FDSAUDITLINK__" localSheetId="3" hidden="1">{"fdsup://Directions/FactSet Auditing Viewer?action=AUDIT_VALUE&amp;DB=129&amp;ID1=B12C0T&amp;VALUEID=05192&amp;SDATE=201101&amp;PERIODTYPE=QTR_STD&amp;SCFT=3&amp;window=popup_no_bar&amp;width=385&amp;height=120&amp;START_MAXIMIZED=FALSE&amp;creator=factset&amp;display_string=Audit"}</definedName>
    <definedName name="_78__FDSAUDITLINK__" localSheetId="3" hidden="1">{"fdsup://Directions/FactSet Auditing Viewer?action=AUDIT_VALUE&amp;DB=129&amp;ID1=B12C0T&amp;VALUEID=05192&amp;SDATE=201101&amp;PERIODTYPE=QTR_STD&amp;SCFT=3&amp;window=popup_no_bar&amp;width=385&amp;height=120&amp;START_MAXIMIZED=FALSE&amp;creator=factset&amp;display_string=Audit"}</definedName>
    <definedName name="_79__FDSAUDITLINK__" localSheetId="3" hidden="1">{"fdsup://Directions/FactSet Auditing Viewer?action=AUDIT_VALUE&amp;DB=129&amp;ID1=680580&amp;VALUEID=05194&amp;SDATE=201101&amp;PERIODTYPE=QTR_STD&amp;SCFT=3&amp;window=popup_no_bar&amp;width=385&amp;height=120&amp;START_MAXIMIZED=FALSE&amp;creator=factset&amp;display_string=Audit"}</definedName>
    <definedName name="_8__123Graph_ACHART_1" localSheetId="3" hidden="1">#REF!</definedName>
    <definedName name="_8__123Graph_ACHART_2" localSheetId="3" hidden="1">#REF!</definedName>
    <definedName name="_8__123Graph_BCHART_2" localSheetId="3" hidden="1">#REF!</definedName>
    <definedName name="_8__123Graph_BCHART_3" localSheetId="3" hidden="1">#REF!</definedName>
    <definedName name="_8__123Graph_CGraphique_2B" localSheetId="3" hidden="1">#REF!</definedName>
    <definedName name="_8__123Graph_LBL_ACHART_1" localSheetId="3" hidden="1">#REF!</definedName>
    <definedName name="_8__FDSAUDITLINK__" localSheetId="3" hidden="1">{"fdsup://Directions/FactSet Auditing Viewer?action=AUDIT_VALUE&amp;DB=129&amp;ID1=002939&amp;VALUEID=01004&amp;SDATE=2010&amp;PERIODTYPE=ANN_STD&amp;SCFT=3&amp;window=popup_no_bar&amp;width=385&amp;height=120&amp;START_MAXIMIZED=FALSE&amp;creator=factset&amp;display_string=Audit"}</definedName>
    <definedName name="_80__123Graph_LBL_ACHART_3" localSheetId="3" hidden="1">#REF!</definedName>
    <definedName name="_80__FDSAUDITLINK__" localSheetId="3" hidden="1">{"fdsup://Directions/FactSet Auditing Viewer?action=AUDIT_VALUE&amp;DB=129&amp;ID1=680580&amp;VALUEID=05192&amp;SDATE=201101&amp;PERIODTYPE=QTR_STD&amp;SCFT=3&amp;window=popup_no_bar&amp;width=385&amp;height=120&amp;START_MAXIMIZED=FALSE&amp;creator=factset&amp;display_string=Audit"}</definedName>
    <definedName name="_81__123Graph_LBL_ACHART_2" localSheetId="3" hidden="1">#REF!</definedName>
    <definedName name="_81__FDSAUDITLINK__" localSheetId="3" hidden="1">{"fdsup://Directions/FactSet Auditing Viewer?action=AUDIT_VALUE&amp;DB=129&amp;ID1=B0YCFG&amp;VALUEID=05192&amp;SDATE=201101&amp;PERIODTYPE=QTR_STD&amp;SCFT=3&amp;window=popup_no_bar&amp;width=385&amp;height=120&amp;START_MAXIMIZED=FALSE&amp;creator=factset&amp;display_string=Audit"}</definedName>
    <definedName name="_82__123Graph_ACHART_3" localSheetId="3" hidden="1">#REF!</definedName>
    <definedName name="_82__FDSAUDITLINK__" localSheetId="3" hidden="1">{"fdsup://Directions/FactSet Auditing Viewer?action=AUDIT_VALUE&amp;DB=129&amp;ID1=B62B9W&amp;VALUEID=05192&amp;SDATE=201101&amp;PERIODTYPE=QTR_STD&amp;SCFT=3&amp;window=popup_no_bar&amp;width=385&amp;height=120&amp;START_MAXIMIZED=FALSE&amp;creator=factset&amp;display_string=Audit"}</definedName>
    <definedName name="_83__FDSAUDITLINK__" localSheetId="3"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84__FDSAUDITLINK__" localSheetId="3"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85__FDSAUDITLINK__" localSheetId="3"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88__123Graph_LBL_ACHART_4" localSheetId="3" hidden="1">#REF!</definedName>
    <definedName name="_9__123Graph_ACHART_1" localSheetId="3" hidden="1">#REF!</definedName>
    <definedName name="_9__123Graph_ACHART_3" localSheetId="3" hidden="1">#REF!</definedName>
    <definedName name="_9__123Graph_BCHART_3" localSheetId="3" hidden="1">#REF!</definedName>
    <definedName name="_9__123Graph_CGraphique_3B" localSheetId="3" hidden="1">#REF!</definedName>
    <definedName name="_9__123Graph_LBL_ACHART_1" localSheetId="3" hidden="1">#REF!</definedName>
    <definedName name="_9__123Graph_LBL_ACHART_2" localSheetId="3" hidden="1">#REF!</definedName>
    <definedName name="_9__FDSAUDITLINK__" localSheetId="3" hidden="1">{"fdsup://Directions/FactSet Auditing Viewer?action=AUDIT_VALUE&amp;DB=129&amp;ID1=B2QKWK&amp;VALUEID=05192&amp;SDATE=201101&amp;PERIODTYPE=QTR_STD&amp;SCFT=3&amp;window=popup_no_bar&amp;width=385&amp;height=120&amp;START_MAXIMIZED=FALSE&amp;creator=factset&amp;display_string=Audit"}</definedName>
    <definedName name="_90__123Graph_LBL_ACHART_3" localSheetId="3" hidden="1">#REF!</definedName>
    <definedName name="_96__123Graph_LBL_BCHART_1" localSheetId="3" hidden="1">#REF!</definedName>
    <definedName name="_99__123Graph_LBL_ACHART_4" localSheetId="3" hidden="1">#REF!</definedName>
    <definedName name="_a1" localSheetId="3" hidden="1">{#N/A,#N/A,FALSE,"Pharm";#N/A,#N/A,FALSE,"WWCM"}</definedName>
    <definedName name="_A11" localSheetId="3" hidden="1">{#N/A,#N/A,FALSE,"Umsatz 99";#N/A,#N/A,FALSE,"ER 99 "}</definedName>
    <definedName name="_aaa1" localSheetId="3" hidden="1">{#N/A,#N/A,FALSE,"REPORT"}</definedName>
    <definedName name="_aas1" localSheetId="3" hidden="1">{#N/A,#N/A,FALSE,"REPORT"}</definedName>
    <definedName name="_ACS2000" localSheetId="3" hidden="1">{#N/A,#N/A,FALSE,"REPORT"}</definedName>
    <definedName name="_Actual_for_2004_Measure" localSheetId="3" hidden="1">#REF!</definedName>
    <definedName name="_Apr03" localSheetId="3" hidden="1">{"Statement of Income",#N/A,TRUE,"Mar99";"Balance Sheet",#N/A,TRUE,"Mar99"}</definedName>
    <definedName name="_Apr04" localSheetId="3" hidden="1">{"Statement of Income",#N/A,TRUE,"Mar99";"Balance Sheet",#N/A,TRUE,"Mar99"}</definedName>
    <definedName name="_aud98" localSheetId="3">#REF!</definedName>
    <definedName name="_aug04" localSheetId="3" hidden="1">{"Statement of Income",#N/A,TRUE,"Mar99";"Balance Sheet",#N/A,TRUE,"Mar99"}</definedName>
    <definedName name="_b111" localSheetId="3" hidden="1">{#N/A,#N/A,FALSE,"Pharm";#N/A,#N/A,FALSE,"WWCM"}</definedName>
    <definedName name="_bdm.009bf12725d4456aa5aaf02394719683.edm" localSheetId="3" hidden="1">#REF!</definedName>
    <definedName name="_bdm.02fd679d145d41ba97140b66ebb9860a.edm" localSheetId="3" hidden="1">#REF!</definedName>
    <definedName name="_bdm.030d8fea3f6442edbb9937e5d03c81c9.edm" localSheetId="3" hidden="1">#REF!</definedName>
    <definedName name="_bdm.03945fe231b841a188fbf996e953adad.edm" localSheetId="3" hidden="1">#REF!</definedName>
    <definedName name="_bdm.04E336EBC3C344EB89DEFF28F82B1451.edm" localSheetId="3">#REF!</definedName>
    <definedName name="_bdm.05dcfce1f65440a69cd7666001e95dd4.edm" localSheetId="3" hidden="1">#REF!</definedName>
    <definedName name="_bdm.06aba940d10f4e9891315ec61059704a.edm" localSheetId="3" hidden="1">#REF!</definedName>
    <definedName name="_bdm.09e26870c38b4357a6aea2e373b7c6f1.edm" localSheetId="3" hidden="1">#REF!</definedName>
    <definedName name="_bdm.0c27711082264dd6b5cca30486d67157.edm" localSheetId="3" hidden="1">#REF!</definedName>
    <definedName name="_bdm.0ecff46e37b340048eaa524490633844.edm" localSheetId="3" hidden="1">#REF!</definedName>
    <definedName name="_bdm.0f344057a599479ea2b6147d4d0e3c5f.edm" localSheetId="3" hidden="1">#REF!</definedName>
    <definedName name="_bdm.107A9799626E4FC8B49DB037971FCDD2.edm" localSheetId="3" hidden="1">#REF!</definedName>
    <definedName name="_bdm.110fe0472f1e41cf8edfb7d9fbf72439.edm" localSheetId="3" hidden="1">#REF!</definedName>
    <definedName name="_bdm.12f0aa224e09430cad2ed60790ffe470.edm" localSheetId="3" hidden="1">#REF!</definedName>
    <definedName name="_bdm.1420e4c1048149d99f99db2566dfb5b6.edm" localSheetId="3" hidden="1">#REF!</definedName>
    <definedName name="_bdm.1497adb1f2b54105a4df4bc37a84c6c4.edm" localSheetId="3" hidden="1">#REF!</definedName>
    <definedName name="_bdm.159c29f033b4443f9b50eb6475401247.edm" localSheetId="3" hidden="1">#REF!</definedName>
    <definedName name="_bdm.17d36935db5d439cabce9c21cdd9bd39.edm" localSheetId="3">#REF!</definedName>
    <definedName name="_bdm.17e02fe5752445528e7f27708042f0e8.edm" localSheetId="3" hidden="1">#REF!</definedName>
    <definedName name="_bdm.1965d84e9dac42d2be9d9bf87fe61145.edm" localSheetId="3" hidden="1">#REF!</definedName>
    <definedName name="_bdm.1a29c1eb2dc64e088b7ad86656a9e874.edm" localSheetId="3" hidden="1">#REF!</definedName>
    <definedName name="_bdm.1a8de28cc6974690bbf0cff346208b17.edm" localSheetId="3" hidden="1">#REF!</definedName>
    <definedName name="_bdm.1b397b7c00064e61aa76d0144b785fe0.edm" localSheetId="3" hidden="1">#REF!</definedName>
    <definedName name="_bdm.1c518483f1b34bf589326925c6ad47f2.edm" localSheetId="3" hidden="1">#REF!</definedName>
    <definedName name="_bdm.214561e77c784af08279f1e267b69e4c.edm" localSheetId="3" hidden="1">#REF!</definedName>
    <definedName name="_bdm.2238af81b1df48a99cdf3fc2eac364e0.edm" localSheetId="3" hidden="1">#REF!</definedName>
    <definedName name="_bdm.234f7a16e72f40a0845104532184609f.edm" localSheetId="3" hidden="1">#REF!</definedName>
    <definedName name="_bdm.26445cecadca4d17a13d767e2fdc29fb.edm" localSheetId="3" hidden="1">#REF!</definedName>
    <definedName name="_bdm.26e841ef35ab4eb6affb63c417cc4c35.edm" localSheetId="3" hidden="1">#REF!</definedName>
    <definedName name="_bdm.29702e413a104ff5a9371b3ec0f1e346.edm" localSheetId="3" hidden="1">#REF!</definedName>
    <definedName name="_bdm.2a74673ecafc406ebd20d27a2d20d8db.edm" localSheetId="3" hidden="1">#REF!</definedName>
    <definedName name="_bdm.2aeb20c3e92449beb4f64a19da293aae.edm" localSheetId="3" hidden="1">#REF!</definedName>
    <definedName name="_bdm.3202C8268A64487D9AE4035F30D271B6.edm" localSheetId="3">#REF!</definedName>
    <definedName name="_bdm.3243e94bedbf4599a63778c5179a9b09.edm" localSheetId="3" hidden="1">#REF!</definedName>
    <definedName name="_bdm.332938db69b349d08ea559a761998da8.edm" localSheetId="3" hidden="1">#REF!</definedName>
    <definedName name="_bdm.337d4b73824f4d859b407e98c14cdc2c.edm" localSheetId="3" hidden="1">#REF!</definedName>
    <definedName name="_bdm.33f753569bdc4b8fae2126d83823e39f.edm" localSheetId="3" hidden="1">#REF!</definedName>
    <definedName name="_bdm.34148ce3126341a6aeb54118b1f26dec.edm" localSheetId="3" hidden="1">#REF!</definedName>
    <definedName name="_bdm.3749b8233bd94fbb97c5bf2340186fff.edm" localSheetId="3" hidden="1">#REF!</definedName>
    <definedName name="_bdm.3b8b6c75df1847e2b4c8054302cc61b8.edm" localSheetId="3" hidden="1">#REF!</definedName>
    <definedName name="_bdm.3bbbdad2c6ff46689a0c5056d2bca420.edm" localSheetId="3" hidden="1">#REF!</definedName>
    <definedName name="_bdm.3c099f4a438144519ee34e83d7795e1e.edm" localSheetId="3">#REF!</definedName>
    <definedName name="_bdm.3c295d39c4ca459f94ea51cb739309b9.edm" localSheetId="3" hidden="1">#REF!</definedName>
    <definedName name="_bdm.3d44ff302dec418caa121a69637939de.edm" localSheetId="3" hidden="1">#REF!</definedName>
    <definedName name="_bdm.3ff788f17261479cbec114b2a7e70115.edm" localSheetId="3" hidden="1">#REF!</definedName>
    <definedName name="_bdm.40c00a0e24f04b29a9e840764f8bba5c.edm" localSheetId="3" hidden="1">#REF!</definedName>
    <definedName name="_bdm.41291a97341f414c839ef174f521a6aa.edm" localSheetId="3" hidden="1">#REF!</definedName>
    <definedName name="_bdm.431049536a46430195f38e91376e18c5.edm" localSheetId="3" hidden="1">#REF!</definedName>
    <definedName name="_bdm.440ce4c88b06424d942f877ea996d545.edm" localSheetId="3" hidden="1">#REF!</definedName>
    <definedName name="_bdm.4658cca5cdd7473ca15d96df5d621730.edm" localSheetId="3" hidden="1">#REF!</definedName>
    <definedName name="_bdm.47285f811d0143979ceb9834d0043a8d.edm" localSheetId="3" hidden="1">#REF!</definedName>
    <definedName name="_bdm.4793426885c9444abf823324ab3235cf.edm" localSheetId="3" hidden="1">#REF!</definedName>
    <definedName name="_bdm.48142732d894412aa759fbdaaf30da81.edm" localSheetId="3" hidden="1">#REF!</definedName>
    <definedName name="_bdm.4823498195f64b0fa90e1a741418009c.edm" localSheetId="3" hidden="1">#REF!</definedName>
    <definedName name="_bdm.49565361dbda41eab60069382827a057.edm" localSheetId="3" hidden="1">#REF!</definedName>
    <definedName name="_bdm.4b976145f4354280b5dfdcf53ed4a35d.edm" localSheetId="3" hidden="1">#REF!</definedName>
    <definedName name="_bdm.4ba32c98de44461182b68f817f541280.edm" localSheetId="3" hidden="1">#REF!</definedName>
    <definedName name="_bdm.4bc3f84aac74476fb6b30639df9457e6.edm" localSheetId="3" hidden="1">#REF!</definedName>
    <definedName name="_bdm.4e117f14a5fb40aca6cc852c0bbbcd68.edm" localSheetId="3" hidden="1">#REF!</definedName>
    <definedName name="_bdm.4ef2c5541ab64e54a6ad014710ad6d70.edm" localSheetId="3" hidden="1">#REF!</definedName>
    <definedName name="_bdm.4fd121ca66564828a3b31134ce8761d6.edm" localSheetId="3" hidden="1">#REF!</definedName>
    <definedName name="_bdm.50b4ef2a499a462c8df81a25b5f7264e.edm" localSheetId="3" hidden="1">#REF!</definedName>
    <definedName name="_bdm.5106d6fac1884fc58adde7492ad261f1.edm" localSheetId="3" hidden="1">#REF!</definedName>
    <definedName name="_bdm.514bf1bf66e044e7aba861d99d7b9e9c.edm" localSheetId="3" hidden="1">#REF!</definedName>
    <definedName name="_bdm.51a0e3e475cb4a7eae26e5743a8751aa.edm" localSheetId="3" hidden="1">#REF!</definedName>
    <definedName name="_bdm.53962b8914a949afb9e140a76fa9e3fd.edm" localSheetId="3" hidden="1">#REF!</definedName>
    <definedName name="_bdm.56759a0aaab9447da1feaf28376f3f18.edm" localSheetId="3" hidden="1">#REF!</definedName>
    <definedName name="_bdm.573d212a20654bf5ab778dee601afd58.edm" localSheetId="3" hidden="1">#REF!</definedName>
    <definedName name="_bdm.57d903146e3d4850abdc49aa9f296d63.edm" localSheetId="3" hidden="1">#REF!</definedName>
    <definedName name="_bdm.5847cc8080794a41857de6938659f571.edm" localSheetId="3" hidden="1">#REF!</definedName>
    <definedName name="_bdm.585db46637e84fdbb9c96eb7fa844a10.edm" localSheetId="3" hidden="1">#REF!</definedName>
    <definedName name="_bdm.5a9550d1794142fca9aee1e5d136e99b.edm" localSheetId="3" hidden="1">#REF!</definedName>
    <definedName name="_bdm.5B55EC15D59D494AA5E3D74BF9AE6CDB.edm" localSheetId="3" hidden="1">#REF!</definedName>
    <definedName name="_bdm.5c152d30ac0747f79c24f036e6a05020.edm" localSheetId="3" hidden="1">#REF!</definedName>
    <definedName name="_bdm.5d3c0e326a334d279f76e57f90740956.edm" localSheetId="3" hidden="1">#REF!</definedName>
    <definedName name="_bdm.5d44ab69fbb040c7bc1f0362425a561d.edm" localSheetId="3" hidden="1">#REF!</definedName>
    <definedName name="_bdm.617c28e3bf3143568adc3a4d9b531865.edm" localSheetId="3" hidden="1">#REF!</definedName>
    <definedName name="_bdm.6474F71561324010A7163BD0F39AC319.edm" localSheetId="3" hidden="1">#REF!</definedName>
    <definedName name="_bdm.6517d25ae5414d19b53ecc71e4866bb9.edm" localSheetId="3" hidden="1">#REF!</definedName>
    <definedName name="_bdm.66202a0bdac64c43a5a7f83fd8de7c9f.edm" localSheetId="3" hidden="1">#REF!</definedName>
    <definedName name="_bdm.6690f7a1b49046cd92e6613dfaef875d.edm" localSheetId="3" hidden="1">#REF!</definedName>
    <definedName name="_bdm.6744826fa0a84f48a7412377f4d55fba.edm" localSheetId="3" hidden="1">#REF!</definedName>
    <definedName name="_bdm.68bfd4388f7043ed9321ec5178f77d37.edm" localSheetId="3" hidden="1">#REF!</definedName>
    <definedName name="_bdm.695146503cea4412b0664012f646045f.edm" localSheetId="3" hidden="1">#REF!</definedName>
    <definedName name="_bdm.69c201d82a644eca8a9fbed036d32601.edm" localSheetId="3" hidden="1">#REF!</definedName>
    <definedName name="_bdm.6ba6e74e6eb748d583cd9321429e307b.edm" localSheetId="3" hidden="1">#REF!</definedName>
    <definedName name="_bdm.6d7dc00e546f4af4a97581b467c60e24.edm" localSheetId="3" hidden="1">#REF!</definedName>
    <definedName name="_bdm.6eb18a8db4e446b28c802ec87abb9678.edm" localSheetId="3" hidden="1">#REF!</definedName>
    <definedName name="_bdm.6ef4e8c9112541f6b7d3df8797f5dd48.edm" localSheetId="3" hidden="1">#REF!</definedName>
    <definedName name="_bdm.705bdc931efa45a38c8e79cc7b403c80.edm" localSheetId="3" hidden="1">#REF!</definedName>
    <definedName name="_bdm.72599d5820f046f79580d875534f093a.edm" localSheetId="3" hidden="1">#REF!</definedName>
    <definedName name="_bdm.72733edca7d54cd2b5c4d91c4dca0d87.edm" localSheetId="3" hidden="1">#REF!</definedName>
    <definedName name="_bdm.72ddd337e3fa4eacaaab8d3cd0a6781c.edm" localSheetId="3" hidden="1">#REF!</definedName>
    <definedName name="_bdm.740fc54ffb42446ca63ea59791c98f7f.edm" localSheetId="3" hidden="1">#REF!</definedName>
    <definedName name="_bdm.743876be619f4b52801a576ad0fe44b2.edm" localSheetId="3" hidden="1">#REF!</definedName>
    <definedName name="_bdm.752f7def96f14bc3accad76e5e3cdd88.edm" localSheetId="3" hidden="1">#REF!</definedName>
    <definedName name="_bdm.759585e16e7748679500ad71118a6d6e.edm" localSheetId="3" hidden="1">#REF!</definedName>
    <definedName name="_bdm.77e9decbb7fb448aa095208fe0d7e92e.edm" localSheetId="3" hidden="1">#REF!</definedName>
    <definedName name="_bdm.77eb6f822121492aa3868cae88abcecb.edm" localSheetId="3" hidden="1">#REF!</definedName>
    <definedName name="_bdm.7b3daf2bbd48461a903ceba3efd1f98f.edm" localSheetId="3" hidden="1">#REF!</definedName>
    <definedName name="_bdm.7cab456764a843c5a0f973d6cb3d7e6f.edm" localSheetId="3" hidden="1">#REF!</definedName>
    <definedName name="_bdm.7e2ade1d496b41699589357f401fda88.edm" localSheetId="3" hidden="1">#REF!</definedName>
    <definedName name="_bdm.80dab799bf934ad89c97157bd37e5ea2.edm" localSheetId="3" hidden="1">#REF!</definedName>
    <definedName name="_bdm.80de3299fc444467872f9c1f5362b194.edm" localSheetId="3" hidden="1">#REF!</definedName>
    <definedName name="_bdm.81cf058de8eb44c0968677f4f1b16ca0.edm" localSheetId="3" hidden="1">#REF!</definedName>
    <definedName name="_bdm.8270c8391a854536a57f9a2ef1f3e700.edm" localSheetId="3" hidden="1">#REF!</definedName>
    <definedName name="_bdm.84e52997677e4d24b08c10da4c726f80.edm" localSheetId="3" hidden="1">#REF!</definedName>
    <definedName name="_bdm.8579f21d031b403b887d0d942946dca6.edm" localSheetId="3" hidden="1">#REF!</definedName>
    <definedName name="_bdm.87829f9add7842d196825301219fd187.edm" localSheetId="3" hidden="1">#REF!</definedName>
    <definedName name="_bdm.88462335defc4036849a815ca4416c8c.edm" localSheetId="3" hidden="1">#REF!</definedName>
    <definedName name="_bdm.89af515db2d24d9daeefaccc0480a5fd.edm" localSheetId="3" hidden="1">#REF!</definedName>
    <definedName name="_bdm.8a3c598aee154ff6931ce6dd468ddaea.edm" localSheetId="3" hidden="1">#REF!</definedName>
    <definedName name="_bdm.8a44d1c95ac34250b264a3a864fcb86b.edm" localSheetId="3" hidden="1">#REF!</definedName>
    <definedName name="_bdm.8a55a33b552e451fb03ec997b9731453.edm" localSheetId="3" hidden="1">#REF!</definedName>
    <definedName name="_bdm.8acce3f26cf3435eadd77bf53e776142.edm" localSheetId="3" hidden="1">#REF!</definedName>
    <definedName name="_bdm.8b735da0ebee4c2aa21cfc2dd862b1f6.edm" localSheetId="3" hidden="1">#REF!</definedName>
    <definedName name="_bdm.8c6844f36d254a2e8c83479dd4b5ba66.edm" localSheetId="3" hidden="1">#REF!</definedName>
    <definedName name="_bdm.8c9a430faa154994a2270cae796eb559.edm" localSheetId="3" hidden="1">#REF!</definedName>
    <definedName name="_bdm.8cdb7ccd95d74af990906609ea35dfbc.edm" localSheetId="3" hidden="1">#REF!</definedName>
    <definedName name="_bdm.8dfc430906c342bd882d6a98b39b69f1.edm" localSheetId="3" hidden="1">#REF!</definedName>
    <definedName name="_bdm.8fee786ed9404fafa730e21479774b05.edm" localSheetId="3" hidden="1">#REF!</definedName>
    <definedName name="_bdm.9091c479dd1b47ec874324364a5b9ae3.edm" localSheetId="3" hidden="1">#REF!</definedName>
    <definedName name="_bdm.913e03f58e1f4452963c57a381265ee7.edm" localSheetId="3" hidden="1">#REF!</definedName>
    <definedName name="_bdm.91bb3967f5ab43638490196a74a3b859.edm" localSheetId="3" hidden="1">#REF!</definedName>
    <definedName name="_bdm.933c704ab6a74f50a4375dd8a03e5045.edm" localSheetId="3" hidden="1">#REF!</definedName>
    <definedName name="_bdm.93ca406dc6834ae69565065edc9c2485.edm" localSheetId="3" hidden="1">#REF!</definedName>
    <definedName name="_bdm.941d8a5b190745d6a951854dfcf9005b.edm" localSheetId="3" hidden="1">#REF!</definedName>
    <definedName name="_bdm.959e76887e7543758f2e98344fea62e5.edm" localSheetId="3" hidden="1">#REF!</definedName>
    <definedName name="_bdm.9686b5ad8e454bdc831589f3096d9a75.edm" localSheetId="3" hidden="1">#REF!</definedName>
    <definedName name="_bdm.96ee6eb46f9a4d5ca04dbb22b806a387.edm" localSheetId="3" hidden="1">#REF!</definedName>
    <definedName name="_bdm.97f1ead495c84670898d6dfa5bee1f4f.edm" localSheetId="3" hidden="1">#REF!</definedName>
    <definedName name="_bdm.9840CBC8A13246BC9F2D0A3B1EDCC149.edm" localSheetId="3" hidden="1">#REF!</definedName>
    <definedName name="_bdm.991A663BE1BA4CE6916986AE15E5C2FE.edm" localSheetId="3">#REF!</definedName>
    <definedName name="_bdm.9980A307627F4AC2BDBE2115E0B06513.edm" localSheetId="3" hidden="1">#REF!</definedName>
    <definedName name="_bdm.9bf3eba9f5f6408b818855474c2e88be.edm" localSheetId="3" hidden="1">#REF!</definedName>
    <definedName name="_bdm.9c5955bcfec749a298665d8a8f29553a.edm" localSheetId="3" hidden="1">#REF!</definedName>
    <definedName name="_bdm.9CDC35CDB7B143079762F320F757C403.edm" localSheetId="3" hidden="1">#REF!</definedName>
    <definedName name="_bdm.9fb81551161744a787e2a30fecbf0e58.edm" localSheetId="3" hidden="1">#REF!</definedName>
    <definedName name="_bdm.a0309f58e97b4c6d8322611907706b6a.edm" localSheetId="3" hidden="1">#REF!</definedName>
    <definedName name="_bdm.a1e0c8fa41d44456bd3fd7eb5a5d9627.edm" localSheetId="3" hidden="1">#REF!</definedName>
    <definedName name="_bdm.a2767cf6f5294501949b9f3c21b3776d.edm" localSheetId="3" hidden="1">#REF!</definedName>
    <definedName name="_bdm.a4ade6bf31a84e6bacb74a8df69fca58.edm" localSheetId="3" hidden="1">#REF!</definedName>
    <definedName name="_bdm.a4e32d05834443d8bb3ab6ac58bacc29.edm" localSheetId="3" hidden="1">#REF!</definedName>
    <definedName name="_bdm.a65ba98f020746a282c74583788716a5.edm" localSheetId="3" hidden="1">#REF!</definedName>
    <definedName name="_bdm.a69419b31f744796b987db38ad0d649e.edm" localSheetId="3" hidden="1">#REF!</definedName>
    <definedName name="_bdm.a7155ec8dbbd466e9e9760143496bc24.edm" localSheetId="3" hidden="1">#REF!</definedName>
    <definedName name="_bdm.a8e01da119ca4d9c97d0184b931b4420.edm" localSheetId="3" hidden="1">#REF!</definedName>
    <definedName name="_bdm.A8E4274E81CA43DD81E063DB8E8488B6.edm" localSheetId="3" hidden="1">#REF!</definedName>
    <definedName name="_bdm.a9bdb66125344bda87e3559b597fcebb.edm" localSheetId="3" hidden="1">#REF!</definedName>
    <definedName name="_bdm.A9E8F2214015449F99BBFDAC629C22DB.edm" localSheetId="3" hidden="1">#REF!</definedName>
    <definedName name="_bdm.ab7b7b42d23245188962b044b04613e6.edm" localSheetId="3" hidden="1">#REF!</definedName>
    <definedName name="_bdm.acacaaab71bd41e0b29ad58a8364f331.edm" localSheetId="3" hidden="1">#REF!</definedName>
    <definedName name="_bdm.ace1aaa519c24574890ddd820cc2d91c.edm" localSheetId="3" hidden="1">#REF!</definedName>
    <definedName name="_bdm.acefef0cf05b4befa5daff43bfd4bb8b.edm" localSheetId="3" hidden="1">#REF!</definedName>
    <definedName name="_bdm.b1683122ac6b4606ba091a2d30a53c97.edm" localSheetId="3" hidden="1">#REF!</definedName>
    <definedName name="_bdm.b1eabde8290f4838b117aaead9446cfd.edm" localSheetId="3" hidden="1">#REF!</definedName>
    <definedName name="_bdm.b4d515774e7a423c8064201e48a64c9c.edm" localSheetId="3" hidden="1">#REF!</definedName>
    <definedName name="_bdm.b5041e810ee848ba875604fcd0842afa.edm" localSheetId="3" hidden="1">#REF!</definedName>
    <definedName name="_bdm.b5d441b04f98485b9fa2305f394ea693.edm" localSheetId="3" hidden="1">#REF!</definedName>
    <definedName name="_bdm.B5E1CE290D664EC9908CE120B7DDB7AD.edm" localSheetId="3" hidden="1">#REF!</definedName>
    <definedName name="_bdm.b6296d9d69be44d3b0ab376cc7a2077d.edm" localSheetId="3" hidden="1">#REF!</definedName>
    <definedName name="_bdm.b66241962f6f4cf6a41d86d230025c5f.edm" localSheetId="3" hidden="1">#REF!</definedName>
    <definedName name="_bdm.B78A2F570E0D4F80A27689B75CAACA19.edm" localSheetId="3" hidden="1">#REF!</definedName>
    <definedName name="_bdm.ba0e971b62974a1f9760da1d7cb28c92.edm" localSheetId="3" hidden="1">#REF!</definedName>
    <definedName name="_bdm.bae08ec90f6946df8081afc258d047e2.edm" localSheetId="3" hidden="1">#REF!</definedName>
    <definedName name="_bdm.bb2880eacbfa40f28db22aef1696cb1f.edm" localSheetId="3" hidden="1">#REF!</definedName>
    <definedName name="_bdm.bc8b6fd2b37a4ce0be52c1d86876776c.edm" localSheetId="3" hidden="1">#REF!</definedName>
    <definedName name="_bdm.bd64d8e91eb7459492d2479b62de5090.edm" localSheetId="3" hidden="1">#REF!</definedName>
    <definedName name="_bdm.bf1dc11590534f868048842401151fd0.edm" localSheetId="3" hidden="1">#REF!</definedName>
    <definedName name="_bdm.bfdbf5fa636b44d9a2044c3bf3f4fce1.edm" localSheetId="3" hidden="1">#REF!</definedName>
    <definedName name="_bdm.c337c662ace64983b75f1598939e1ca0.edm" localSheetId="3" hidden="1">#REF!</definedName>
    <definedName name="_bdm.c82f6d59ab0f4183ab7982284f6ca023.edm" localSheetId="3" hidden="1">#REF!</definedName>
    <definedName name="_bdm.c8bf4ff180e749a491185ffa426301d6.edm" localSheetId="3" hidden="1">#REF!</definedName>
    <definedName name="_bdm.c95f0efb7afc4bddb5661b316a446c20.edm" localSheetId="3" hidden="1">#REF!</definedName>
    <definedName name="_bdm.c9a47520da6949a2b5aaba1c8d616fa7.edm" localSheetId="3" hidden="1">#REF!</definedName>
    <definedName name="_bdm.ca0246c24b4a411e9c1357fe5fe0d343.edm" localSheetId="3" hidden="1">#REF!</definedName>
    <definedName name="_bdm.CAAD75B892744DA7A396804116BF19C2.edm" localSheetId="3" hidden="1">#REF!</definedName>
    <definedName name="_bdm.CCC9810E33DE4D12B7AF2ADB20F5BEB6.edm" localSheetId="3" hidden="1">#REF!</definedName>
    <definedName name="_bdm.cd3bb972c60f4b6799bf04a025053b04.edm" localSheetId="3" hidden="1">#REF!</definedName>
    <definedName name="_bdm.cddae0b36de9441ab74dcccc5f4a8df5.edm" localSheetId="3" hidden="1">#REF!</definedName>
    <definedName name="_bdm.ceef965ab9254e0fb3aeb937de166942.edm" localSheetId="3" hidden="1">#REF!</definedName>
    <definedName name="_bdm.d1968915ea1d488ba2e70cb188c7112f.edm" localSheetId="3" hidden="1">#REF!</definedName>
    <definedName name="_bdm.d1ca68b227d84bca98bb89dba783a220.edm" localSheetId="3" hidden="1">#REF!</definedName>
    <definedName name="_bdm.d267de5bccac46c4a3b6fd653ff128a9.edm" localSheetId="3" hidden="1">#REF!</definedName>
    <definedName name="_bdm.d46160ba463e4ec58df8f8883b774659.edm" localSheetId="3" hidden="1">#REF!</definedName>
    <definedName name="_bdm.d53f47b82daf45e4868929e6a4a61b28.edm" localSheetId="3" hidden="1">#REF!</definedName>
    <definedName name="_bdm.d5905c45accc467d8e0cbecfbdb6d351.edm" localSheetId="3" hidden="1">#REF!</definedName>
    <definedName name="_bdm.D6F5CF6F8045429480DDCE6E0FB4CF8A.edm" localSheetId="3">#REF!</definedName>
    <definedName name="_bdm.d7f5d97357e74fae932e40d0c0b10322.edm" localSheetId="3" hidden="1">#REF!</definedName>
    <definedName name="_bdm.D8350DF0B3C24E788B6D515073D98D12.edm" localSheetId="3" hidden="1">#REF!</definedName>
    <definedName name="_bdm.d911c3c28de14a069d6cd867be25ac4f.edm" localSheetId="3" hidden="1">#REF!</definedName>
    <definedName name="_bdm.da19e4131cb1467a902e377b3a70585c.edm" localSheetId="3" hidden="1">#REF!</definedName>
    <definedName name="_bdm.DB532E19E1024187875B38658C500AFB.edm" localSheetId="3" hidden="1">#REF!</definedName>
    <definedName name="_bdm.dcae2f7028fe4979b995dfb76193bf08.edm" localSheetId="3" hidden="1">#REF!</definedName>
    <definedName name="_bdm.df41725d793e46f38e1f8990b163397d.edm" localSheetId="3" hidden="1">#REF!</definedName>
    <definedName name="_bdm.e0356664aff14693a7cb956860956da6.edm" localSheetId="3" hidden="1">#REF!</definedName>
    <definedName name="_bdm.e35c9784e4ad47a7a5c78064174100d9.edm" localSheetId="3" hidden="1">#REF!</definedName>
    <definedName name="_bdm.e570225ffa854d47a1516065465b8c39.edm" localSheetId="3" hidden="1">#REF!</definedName>
    <definedName name="_bdm.e6bcf26036b34f4db6695a8b5c33b57a.edm" localSheetId="3" hidden="1">#REF!</definedName>
    <definedName name="_bdm.e6dccd4ab8d3434685207de9b0e69c8f.edm" localSheetId="3" hidden="1">#REF!</definedName>
    <definedName name="_bdm.e804dc798379461fa121860e9b194de2.edm" localSheetId="3">#REF!</definedName>
    <definedName name="_bdm.ea29e06f9ded4e86b9cbf4762b02bddd.edm" localSheetId="3" hidden="1">#REF!</definedName>
    <definedName name="_bdm.ea9f24a0f4aa426da34a0155eec39fb9.edm" localSheetId="3" hidden="1">#REF!</definedName>
    <definedName name="_bdm.ebbe593872c146e495157e215b93eeb9.edm" localSheetId="3" hidden="1">#REF!</definedName>
    <definedName name="_bdm.ec392cdd89b246f6b0eb47f49d8944e6.edm" localSheetId="3" hidden="1">#REF!</definedName>
    <definedName name="_bdm.edcc4b88f07b4d1a888964801b0caace.edm" localSheetId="3" hidden="1">#REF!</definedName>
    <definedName name="_bdm.efcbd69260ea4ab6b13dddaadc5672f1.edm" localSheetId="3" hidden="1">#REF!</definedName>
    <definedName name="_bdm.f0cf77fbe11444718a99346b2348416b.edm" localSheetId="3" hidden="1">#REF!</definedName>
    <definedName name="_bdm.f482b124e8ea49738352fda7cfb1cf72.edm" localSheetId="3" hidden="1">#REF!</definedName>
    <definedName name="_bdm.f657bf8812554f2393edb0592314ae5c.edm" localSheetId="3" hidden="1">#REF!</definedName>
    <definedName name="_bdm.f65f2519a1cc483eb303d30ed9683ea7.edm" localSheetId="3" hidden="1">#REF!</definedName>
    <definedName name="_bdm.f7b60a177fac4ea7a512e4515a187e3d.edm" localSheetId="3" hidden="1">#REF!</definedName>
    <definedName name="_bdm.f98f720359e04de195dafd5feb1f2931.edm" localSheetId="3" hidden="1">#REF!</definedName>
    <definedName name="_bdm.FA206C7EF05344A1ADB2599D6DDD41D6.edm" localSheetId="3">#REF!</definedName>
    <definedName name="_bdm.fad79cfd8c724f4fb4fa4bd50bf3e80c.edm" localSheetId="3" hidden="1">#REF!</definedName>
    <definedName name="_bdm.fae8c1993a0348c6bd3f3f88bca1680b.edm" localSheetId="3" hidden="1">#REF!</definedName>
    <definedName name="_bdm.faefdaef13054963acdeec03973192fb.edm" localSheetId="3" hidden="1">#REF!</definedName>
    <definedName name="_bdm.FB8D8AB244B64BB9B4F5F5A4C5205085.edm" localSheetId="3" hidden="1">#REF!</definedName>
    <definedName name="_bdm.fbf2cf8320134cd6b6acb7e0469adae4.edm" localSheetId="3" hidden="1">#REF!</definedName>
    <definedName name="_bdm.fbf95f80a8a345a8a68e5f1c32ce5841.edm" localSheetId="3" hidden="1">#REF!</definedName>
    <definedName name="_bdm.fc1c10be5f384f7f9699c11635fbdb69.edm" localSheetId="3" hidden="1">#REF!</definedName>
    <definedName name="_bdm.fc61fabc452f40daa3bf7256b8675373.edm" localSheetId="3" hidden="1">#REF!</definedName>
    <definedName name="_bdm.fcc3c2e62e6a4d5688d33611eff53a3d.edm" localSheetId="3" hidden="1">#REF!</definedName>
    <definedName name="_bdm.fcf6e00ad80b48a6998240808bbc7a82.edm" localSheetId="3" hidden="1">#REF!</definedName>
    <definedName name="_bdm.fe3608643574427ca90d2121c365c41f.edm" localSheetId="3">#REF!</definedName>
    <definedName name="_Budget_for_Measure" localSheetId="3" hidden="1">#REF!</definedName>
    <definedName name="_c" localSheetId="3" hidden="1">{"Fiesta Facer Page",#N/A,FALSE,"Q_C_S";"Fiesta Main Page",#N/A,FALSE,"V_L";"Fiesta 95BP Struct",#N/A,FALSE,"StructBP";"Fiesta Post 95BP Struct",#N/A,FALSE,"AdjStructBP"}</definedName>
    <definedName name="_Dec01" localSheetId="3" hidden="1">{"Statement of Income",#N/A,TRUE,"Mar99";"Balance Sheet",#N/A,TRUE,"Mar99"}</definedName>
    <definedName name="_Dist_Values" localSheetId="3" hidden="1">#REF!</definedName>
    <definedName name="_ex1" localSheetId="3">#REF!</definedName>
    <definedName name="_fas123" localSheetId="3" hidden="1">{"Balance Sheet",#N/A,FALSE,"Annual Summary";"Cashflows",#N/A,FALSE,"Annual Summary";"Summary Earnings",#N/A,FALSE,"Annual Summary"}</definedName>
    <definedName name="_feb01" localSheetId="3" hidden="1">{"Statement of Income",#N/A,TRUE,"Mar99";"Balance Sheet",#N/A,TRUE,"Mar99"}</definedName>
    <definedName name="_feb02" localSheetId="3" hidden="1">{"Statement of Income",#N/A,TRUE,"Mar99";"Balance Sheet",#N/A,TRUE,"Mar99"}</definedName>
    <definedName name="_Fill" localSheetId="3" hidden="1">#REF!</definedName>
    <definedName name="_for_YTD_Year" localSheetId="3" hidden="1">#REF!</definedName>
    <definedName name="_Jun02" localSheetId="3" hidden="1">{"Statement of Income",#N/A,TRUE,"Mar99";"Balance Sheet",#N/A,TRUE,"Mar99"}</definedName>
    <definedName name="_Key1" localSheetId="3" hidden="1">#REF!</definedName>
    <definedName name="_Key2" localSheetId="3" hidden="1">#REF!</definedName>
    <definedName name="_Mar03" localSheetId="3" hidden="1">{"Statement of Income",#N/A,TRUE,"Mar99";"Balance Sheet",#N/A,TRUE,"Mar99"}</definedName>
    <definedName name="_Mar04" localSheetId="3" hidden="1">{"Statement of Income",#N/A,TRUE,"Mar99";"Balance Sheet",#N/A,TRUE,"Mar99"}</definedName>
    <definedName name="_new1" localSheetId="3" hidden="1">{#N/A,#N/A,FALSE,"Pharm";#N/A,#N/A,FALSE,"WWCM"}</definedName>
    <definedName name="_nt97" localSheetId="3">#REF!</definedName>
    <definedName name="_nt98" localSheetId="3">#REF!</definedName>
    <definedName name="_o1" localSheetId="3" hidden="1">{#N/A,#N/A,FALSE,"SUMMARY";#N/A,#N/A,FALSE,"mcsh";#N/A,#N/A,FALSE,"vol&amp;rev";#N/A,#N/A,FALSE,"wkgcap";#N/A,#N/A,FALSE,"DEPR&amp;DT";#N/A,#N/A,FALSE,"ASSETS";#N/A,#N/A,FALSE,"NI&amp;OTH&amp;DIV";#N/A,#N/A,FALSE,"CASHFLOW";#N/A,#N/A,FALSE,"CAPEMPL";#N/A,#N/A,FALSE,"ROCE"}</definedName>
    <definedName name="_OCT01" localSheetId="3" hidden="1">{"Statement of Income",#N/A,TRUE,"Mar99";"Balance Sheet",#N/A,TRUE,"Mar99"}</definedName>
    <definedName name="_OCT03" localSheetId="3" hidden="1">{"Statement of Income",#N/A,TRUE,"Mar99";"Balance Sheet",#N/A,TRUE,"Mar99"}</definedName>
    <definedName name="_org_H_per_pot_others" localSheetId="3">#REF!</definedName>
    <definedName name="_Parse_In" localSheetId="3" hidden="1">#REF!</definedName>
    <definedName name="_Parse_Out" localSheetId="3" hidden="1">#REF!</definedName>
    <definedName name="_php97" localSheetId="3">#REF!</definedName>
    <definedName name="_php98" localSheetId="3">#REF!</definedName>
    <definedName name="_r" localSheetId="3" hidden="1">{#N/A,#N/A,FALSE,"Pharm";#N/A,#N/A,FALSE,"WWCM"}</definedName>
    <definedName name="_Regression_Out" localSheetId="3" hidden="1">#REF!</definedName>
    <definedName name="_Regression_X" localSheetId="3" hidden="1">#REF!</definedName>
    <definedName name="_Regression_Y" localSheetId="3" hidden="1">#REF!</definedName>
    <definedName name="_Rf_Feb_Act_for_YTD" localSheetId="3" hidden="1">#REF!</definedName>
    <definedName name="_Rf_Oct_Act_for_2003_YTD" localSheetId="3" hidden="1">#REF!</definedName>
    <definedName name="_rm97" localSheetId="3">#REF!</definedName>
    <definedName name="_rm98" localSheetId="3">#REF!</definedName>
    <definedName name="_SEP01" localSheetId="3" hidden="1">{"Statement of Income",#N/A,TRUE,"Mar99";"Balance Sheet",#N/A,TRUE,"Mar99"}</definedName>
    <definedName name="_Sep03" localSheetId="3" hidden="1">{"Statement of Income",#N/A,TRUE,"Mar99";"Balance Sheet",#N/A,TRUE,"Mar99"}</definedName>
    <definedName name="_sg1" localSheetId="3">#REF!</definedName>
    <definedName name="_sgd97" localSheetId="3">#REF!</definedName>
    <definedName name="_sgd98" localSheetId="3">#REF!</definedName>
    <definedName name="_Sort" localSheetId="3" hidden="1">#REF!</definedName>
    <definedName name="_Table1_In1" localSheetId="3" hidden="1">#REF!</definedName>
    <definedName name="_Table1_Out" localSheetId="3" hidden="1">#REF!</definedName>
    <definedName name="_Table2_In1" localSheetId="3" hidden="1">#REF!</definedName>
    <definedName name="_Table2_In2" localSheetId="3" hidden="1">#REF!</definedName>
    <definedName name="_Table2_Out" localSheetId="3" hidden="1">#REF!</definedName>
    <definedName name="_Table3_In2" localSheetId="3" hidden="1">#REF!</definedName>
    <definedName name="_tm1" localSheetId="3" hidden="1">{#N/A,#N/A,FALSE,"Pharm";#N/A,#N/A,FALSE,"WWCM"}</definedName>
    <definedName name="_TMAutoChart1Names" localSheetId="3" hidden="1">{"Timeline","Chart 6","Timeline Chart 6"}</definedName>
    <definedName name="_TMAutoChart1Refs" localSheetId="3" hidden="1">{"","","'Timeline'!$F$16","'Timeline'!$F$25","","","","","",""}</definedName>
    <definedName name="_TMAutoChart2Names" localSheetId="3" hidden="1">{"Timeline","Chart 6","Timeline Chart 6"}</definedName>
    <definedName name="_TMAutoChart2Refs" localSheetId="3" hidden="1">{"","","'Timeline'!$F$16","'Timeline'!$H$25","","","","","",""}</definedName>
    <definedName name="_ww2" localSheetId="3" hidden="1">{#N/A,#N/A,FALSE,"Admin";#N/A,#N/A,FALSE,"Other"}</definedName>
    <definedName name="_X2" localSheetId="3" hidden="1">{#N/A,#N/A,FALSE,"Other";#N/A,#N/A,FALSE,"Ace";#N/A,#N/A,FALSE,"Derm"}</definedName>
    <definedName name="_xlcn.LinkedTable_Table11" localSheetId="3" hidden="1">#REF!</definedName>
    <definedName name="_xlcn.WorksheetConnection_CapexA19F431" localSheetId="3" hidden="1">#REF!</definedName>
    <definedName name="_xlcn.WorksheetConnection_FES_Direct_Margin_Detail_20160523.xlsxTable_dynamicsslsql01_SLFRANKLIN_xFES_Margin_21" localSheetId="3" hidden="1">#REF!</definedName>
    <definedName name="_xlcn.WorksheetConnection_FES_Direct_Margin_Detail_20160523.xlsxTable_dynamicsslsql01_SLFRANKLIN_xFES_Program_Listing__21" localSheetId="3" hidden="1">#REF!</definedName>
    <definedName name="_xlcn.WorksheetConnection_FES_Program_Margin_Analysis.xlsxFES_Margin1" localSheetId="3" hidden="1">#REF!</definedName>
    <definedName name="_xlcn.WorksheetConnection_FES_Program_Margin_Analysis.xlsxPrograms1" localSheetId="3" hidden="1">#REF!</definedName>
    <definedName name="_xlcn.WorksheetConnection_newHires1" localSheetId="3" hidden="1">#REF!</definedName>
    <definedName name="a" localSheetId="3">#REF!</definedName>
    <definedName name="aa" localSheetId="3" hidden="1">{#N/A,#N/A,FALSE,"Pharm";#N/A,#N/A,FALSE,"WWCM"}</definedName>
    <definedName name="aaa" localSheetId="3" hidden="1">{"BS",#N/A,FALSE,"USA"}</definedName>
    <definedName name="aaaa" localSheetId="3" hidden="1">{#N/A,#N/A,FALSE,"REPORT"}</definedName>
    <definedName name="aaaaa" localSheetId="3" hidden="1">{#N/A,#N/A,TRUE,"BUD VS ACT AUST 96";#N/A,#N/A,TRUE,"96 COMP P&amp;L-AUST";#N/A,#N/A,TRUE,"COMP BS-AUSTRALIA";#N/A,#N/A,TRUE,"B/S - AUSTR."}</definedName>
    <definedName name="aaaaaa" localSheetId="3" hidden="1">{#N/A,#N/A,FALSE,"REPORT"}</definedName>
    <definedName name="aaaaaaa" localSheetId="3" hidden="1">{"barlup",#N/A,FALSE,"evabnk97";"gillespey",#N/A,FALSE,"evabnk97";"koon",#N/A,FALSE,"evabnk97";"schreur",#N/A,FALSE,"evabnk97";"stone",#N/A,FALSE,"evabnk97";"wichmann",#N/A,FALSE,"evabnk97";"wright",#N/A,FALSE,"evabnk97"}</definedName>
    <definedName name="aaaaaaaaaaa" localSheetId="3" hidden="1">{#N/A,#N/A,FALSE,"REPORT"}</definedName>
    <definedName name="aaaaaaaaaaaa" localSheetId="3" hidden="1">{#N/A,#N/A,TRUE,"BUD VS ACT AUST 96";#N/A,#N/A,TRUE,"96 COMP P&amp;L-AUST";#N/A,#N/A,TRUE,"COMP BS-AUSTRALIA";#N/A,#N/A,TRUE,"B/S - AUSTR."}</definedName>
    <definedName name="aaaaaaaaaaaaaaa" localSheetId="3" hidden="1">{#N/A,#N/A,FALSE,"Pharm";#N/A,#N/A,FALSE,"WWCM"}</definedName>
    <definedName name="aaasb" localSheetId="3" hidden="1">{#N/A,#N/A,FALSE,"Pharm";#N/A,#N/A,FALSE,"WWCM"}</definedName>
    <definedName name="aab" localSheetId="3" hidden="1">{#N/A,#N/A,FALSE,"Pharm";#N/A,#N/A,FALSE,"WWCM"}</definedName>
    <definedName name="aaddd" localSheetId="3" hidden="1">{#N/A,#N/A,FALSE,"REPORT"}</definedName>
    <definedName name="aas" localSheetId="3" hidden="1">{#N/A,#N/A,FALSE,"1";#N/A,#N/A,FALSE,"2";#N/A,#N/A,FALSE,"16 - 17";#N/A,#N/A,FALSE,"18 - 19";#N/A,#N/A,FALSE,"26";#N/A,#N/A,FALSE,"27";#N/A,#N/A,FALSE,"28"}</definedName>
    <definedName name="ABC" localSheetId="3" hidden="1">{#N/A,#N/A,TRUE,"BUD VS ACT AUST 96";#N/A,#N/A,TRUE,"96 COMP P&amp;L-AUST";#N/A,#N/A,TRUE,"COMP BS-AUSTRALIA";#N/A,#N/A,TRUE,"B/S - AUSTR."}</definedName>
    <definedName name="abc.abc" localSheetId="3" hidden="1">{"cash flow - FY02",#N/A,FALSE,"P &amp; L";"cash flow - FY03",#N/A,FALSE,"P &amp; L"}</definedName>
    <definedName name="abc.abc2" localSheetId="3" hidden="1">{"cash flow - FY02",#N/A,FALSE,"P &amp; L";"cash flow - FY03",#N/A,FALSE,"P &amp; L"}</definedName>
    <definedName name="absfghbtg" localSheetId="3" hidden="1">#REF!,#REF!,#REF!,#REF!,#REF!,#REF!,#REF!,#REF!,#REF!,#REF!,#REF!,#REF!,#REF!,#REF!,#REF!,#REF!,#REF!,#REF!,#REF!,#REF!,#REF!,#REF!,#REF!,#REF!,#REF!,#REF!,#REF!,#REF!,#REF!,#REF!,#REF!,#REF!,#REF!,#REF!,#REF!,#REF!,#REF!,#REF!,#REF!,#REF!,#REF!,#REF!,#REF!,#REF!,#REF!,#REF!,#REF!,#REF!,#REF!,#REF!,#REF!,#REF!,#REF!,#REF!</definedName>
    <definedName name="acc" localSheetId="3" hidden="1">{"Accretion",#N/A,FALSE,"Assum"}</definedName>
    <definedName name="actual" localSheetId="3" hidden="1">#REF!</definedName>
    <definedName name="adasa" localSheetId="3" hidden="1">{"'Sheet1'!$A$1:$J$121"}</definedName>
    <definedName name="ADBeg" localSheetId="3">#REF!</definedName>
    <definedName name="ADCurr" localSheetId="3">#REF!</definedName>
    <definedName name="ADEnd" localSheetId="3">#REF!</definedName>
    <definedName name="adfadf" localSheetId="3" hidden="1">{"'Sheet1'!$A$1:$J$121"}</definedName>
    <definedName name="adfgasdysty" localSheetId="3" hidden="1">{#N/A,#N/A,FALSE,"REPORT"}</definedName>
    <definedName name="adfsfjfjky" localSheetId="3" hidden="1">{#N/A,#N/A,FALSE,"REPORT"}</definedName>
    <definedName name="adhad" localSheetId="3" hidden="1">{"'Sheet1'!$A$1:$J$121"}</definedName>
    <definedName name="AFDADSFDAS" localSheetId="3" hidden="1">{#N/A,#N/A,FALSE,"REPORT"}</definedName>
    <definedName name="africa" localSheetId="3" hidden="1">{#N/A,#N/A,FALSE,"CNS";#N/A,#N/A,FALSE,"Serz";#N/A,#N/A,FALSE,"Ace"}</definedName>
    <definedName name="agafdhsdh" localSheetId="3" hidden="1">{#N/A,#N/A,FALSE,"REPORT"}</definedName>
    <definedName name="agsgaghgfj" localSheetId="3" hidden="1">{#N/A,#N/A,FALSE,"Pharm";#N/A,#N/A,FALSE,"WWCM"}</definedName>
    <definedName name="alb" localSheetId="3" hidden="1">{#N/A,#N/A,FALSE,"Summary";#N/A,#N/A,FALSE,"Edit";#N/A,#N/A,FALSE,"MedProf";#N/A,#N/A,FALSE,"Proj Mgt";#N/A,#N/A,FALSE,"Creat Svc";#N/A,#N/A,FALSE,"Meet Svc";#N/A,#N/A,FALSE,"Non-OCC";#N/A,#N/A,FALSE,"Client Svc";#N/A,#N/A,FALSE,"Bus Dev";#N/A,#N/A,FALSE,"Indirect"}</definedName>
    <definedName name="alex" localSheetId="3" hidden="1">{#N/A,#N/A,FALSE,"REPORT"}</definedName>
    <definedName name="alexan" localSheetId="3" hidden="1">{#N/A,#N/A,FALSE,"REPORT"}</definedName>
    <definedName name="allchanges1" localSheetId="3">#REF!</definedName>
    <definedName name="allchanges2" localSheetId="3">#REF!</definedName>
    <definedName name="alloc" localSheetId="3">#REF!</definedName>
    <definedName name="andy" localSheetId="3" hidden="1">{#N/A,#N/A,FALSE,"REPORT"}</definedName>
    <definedName name="Apr00" localSheetId="3" hidden="1">{"Statement of Income",#N/A,TRUE,"Mar99";"Balance Sheet",#N/A,TRUE,"Mar99"}</definedName>
    <definedName name="Apr00TB" localSheetId="3" hidden="1">{"Statement of Income",#N/A,TRUE,"Mar99";"Balance Sheet",#N/A,TRUE,"Mar99"}</definedName>
    <definedName name="AS" localSheetId="3"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AS2TickmarkLS" localSheetId="3" hidden="1">#REF!</definedName>
    <definedName name="asas" localSheetId="3" hidden="1">{#N/A,#N/A,FALSE,"Pharm";#N/A,#N/A,FALSE,"WWCM"}</definedName>
    <definedName name="asd" localSheetId="3" hidden="1">{#N/A,#N/A,FALSE,"Pharm";#N/A,#N/A,FALSE,"WWCM"}</definedName>
    <definedName name="asdfadsf" localSheetId="3" hidden="1">{"'Sheet1'!$A$1:$J$121"}</definedName>
    <definedName name="asdfg" localSheetId="3" hidden="1">{#N/A,#N/A,FALSE,"Pharm";#N/A,#N/A,FALSE,"WWCM"}</definedName>
    <definedName name="asdgahdfhth" localSheetId="3" hidden="1">{#N/A,#N/A,FALSE,"REPORT"}</definedName>
    <definedName name="asdgayery" localSheetId="3" hidden="1">{#N/A,#N/A,FALSE,"Pharm";#N/A,#N/A,FALSE,"WWCM"}</definedName>
    <definedName name="asdgfdytyet" localSheetId="3" hidden="1">{#N/A,#N/A,FALSE,"REPORT"}</definedName>
    <definedName name="asdgtryukuio" localSheetId="3" hidden="1">{#N/A,#N/A,FALSE,"REPORT"}</definedName>
    <definedName name="asdjgkl" localSheetId="3" hidden="1">{#N/A,#N/A,FALSE,"Pharm";#N/A,#N/A,FALSE,"WWCM"}</definedName>
    <definedName name="asfasdf" localSheetId="3" hidden="1">#REF!</definedName>
    <definedName name="asffghujyki" localSheetId="3" hidden="1">{#N/A,#N/A,FALSE,"Pharm";#N/A,#N/A,FALSE,"WWCM"}</definedName>
    <definedName name="ASSA" localSheetId="3" hidden="1">{#N/A,#N/A,FALSE,"1";#N/A,#N/A,FALSE,"2";#N/A,#N/A,FALSE,"16 - 17";#N/A,#N/A,FALSE,"18 - 19";#N/A,#N/A,FALSE,"26";#N/A,#N/A,FALSE,"27";#N/A,#N/A,FALSE,"28"}</definedName>
    <definedName name="ASSIGNED_STATES" localSheetId="3">#REF!</definedName>
    <definedName name="aust" localSheetId="3" hidden="1">{#N/A,#N/A,TRUE,"BUD VS ACT AUST 96";#N/A,#N/A,TRUE,"96 COMP P&amp;L-AUST";#N/A,#N/A,TRUE,"COMP BS-AUSTRALIA";#N/A,#N/A,TRUE,"B/S - AUSTR."}</definedName>
    <definedName name="awe" localSheetId="3" hidden="1">{#N/A,#N/A,FALSE,"COVER";#N/A,#N/A,FALSE,"Index";#N/A,#N/A,FALSE,"Non-Earning";#N/A,#N/A,FALSE,"Commercial";#N/A,#N/A,FALSE,"Detailed"}</definedName>
    <definedName name="AX" localSheetId="3" hidden="1">{#N/A,#N/A,FALSE,"Pharm";#N/A,#N/A,FALSE,"WWCM"}</definedName>
    <definedName name="ayman" localSheetId="3" hidden="1">{#N/A,#N/A,FALSE,"1";#N/A,#N/A,FALSE,"2";#N/A,#N/A,FALSE,"16 - 17";#N/A,#N/A,FALSE,"18 - 19";#N/A,#N/A,FALSE,"26";#N/A,#N/A,FALSE,"27";#N/A,#N/A,FALSE,"28"}</definedName>
    <definedName name="ayman1" localSheetId="3" hidden="1">{#N/A,#N/A,FALSE,"Pharm";#N/A,#N/A,FALSE,"WWCM"}</definedName>
    <definedName name="ayman2" localSheetId="3" hidden="1">{#N/A,#N/A,FALSE,"Pharm";#N/A,#N/A,FALSE,"WWCM"}</definedName>
    <definedName name="ayman7" localSheetId="3" hidden="1">{#N/A,#N/A,FALSE,"REPORT"}</definedName>
    <definedName name="ayman8" localSheetId="3" hidden="1">{#N/A,#N/A,FALSE,"REPORT"}</definedName>
    <definedName name="az" localSheetId="3" hidden="1">{#N/A,#N/A,FALSE,"Pharm";#N/A,#N/A,FALSE,"WWCM"}</definedName>
    <definedName name="azeazr" localSheetId="3" hidden="1">{#N/A,#N/A,FALSE,"Sales Graph";#N/A,#N/A,FALSE,"BUC Graph";#N/A,#N/A,FALSE,"P&amp;L - YTD"}</definedName>
    <definedName name="azerety" localSheetId="3" hidden="1">{#N/A,#N/A,FALSE,"Pharm";#N/A,#N/A,FALSE,"WWCM"}</definedName>
    <definedName name="b" localSheetId="3" hidden="1">{"barlup",#N/A,FALSE,"evabnk97";"gillespey",#N/A,FALSE,"evabnk97";"koon",#N/A,FALSE,"evabnk97";"schreur",#N/A,FALSE,"evabnk97";"stone",#N/A,FALSE,"evabnk97";"wichmann",#N/A,FALSE,"evabnk97";"wright",#N/A,FALSE,"evabnk97"}</definedName>
    <definedName name="bbb" localSheetId="3" hidden="1">{#N/A,#N/A,FALSE,"Pharm";#N/A,#N/A,FALSE,"WWCM"}</definedName>
    <definedName name="bbbb" localSheetId="3" hidden="1">{#N/A,#N/A,FALSE,"REPORT"}</definedName>
    <definedName name="bbbbb" localSheetId="3" hidden="1">{#N/A,#N/A,TRUE,"BUD VS ACT AUST 96";#N/A,#N/A,TRUE,"96 COMP P&amp;L-AUST";#N/A,#N/A,TRUE,"COMP BS-AUSTRALIA";#N/A,#N/A,TRUE,"B/S - AUSTR."}</definedName>
    <definedName name="BBBBBB" localSheetId="3" hidden="1">{#N/A,#N/A,FALSE,"REPORT"}</definedName>
    <definedName name="BBBBBBBBB" localSheetId="3" hidden="1">{#N/A,#N/A,FALSE,"REPORT"}</definedName>
    <definedName name="bbbbbbbbbbbbb" localSheetId="3" hidden="1">{#N/A,#N/A,FALSE,"Pharm";#N/A,#N/A,FALSE,"WWCM"}</definedName>
    <definedName name="BD" localSheetId="3" hidden="1">{"EBITDA",#N/A,TRUE,"P&amp;L Net of Disc Ops";"output net of disc ops",#N/A,TRUE,"Revenue";"input",#N/A,TRUE,"Revenue";"output",#N/A,TRUE,"DC";"Input",#N/A,TRUE,"DC";"MTN and MCN",#N/A,TRUE,"Margin";"output detail line items",#N/A,TRUE,"SGA";"personnel by year",#N/A,TRUE,"Payroll";#N/A,#N/A,TRUE,"CapEx"}</definedName>
    <definedName name="Beg_Bal" localSheetId="3">#REF!</definedName>
    <definedName name="Beginning_Balance" localSheetId="3">-FV(Interest_Rate/12,#REF!-1,-#REF!,'IV. EBITDA Adjustments'!Loan_Amount)</definedName>
    <definedName name="BL" localSheetId="3" hidden="1">#REF!</definedName>
    <definedName name="BLPH1" localSheetId="3" hidden="1">#REF!</definedName>
    <definedName name="BLPH15" localSheetId="3" hidden="1">#REF!</definedName>
    <definedName name="BLPH16" localSheetId="3" hidden="1">#REF!</definedName>
    <definedName name="BLPH176" localSheetId="3" hidden="1">#REF!</definedName>
    <definedName name="BLPH177" localSheetId="3" hidden="1">#REF!</definedName>
    <definedName name="BLPH178" localSheetId="3" hidden="1">#REF!</definedName>
    <definedName name="BLPH179" localSheetId="3" hidden="1">#REF!</definedName>
    <definedName name="BLPH180" localSheetId="3" hidden="1">#REF!</definedName>
    <definedName name="BLPH181" localSheetId="3" hidden="1">#REF!</definedName>
    <definedName name="BLPH182" localSheetId="3" hidden="1">#REF!</definedName>
    <definedName name="BLPH183" localSheetId="3" hidden="1">#REF!</definedName>
    <definedName name="BLPH184" localSheetId="3" hidden="1">#REF!</definedName>
    <definedName name="BLPH195" localSheetId="3" hidden="1">#REF!</definedName>
    <definedName name="BLPH196" localSheetId="3" hidden="1">#REF!</definedName>
    <definedName name="BLPH197" localSheetId="3" hidden="1">#REF!</definedName>
    <definedName name="BLPH198" localSheetId="3" hidden="1">#REF!</definedName>
    <definedName name="BLPH199" localSheetId="3" hidden="1">#REF!</definedName>
    <definedName name="BLPH2" localSheetId="3" hidden="1">#REF!</definedName>
    <definedName name="BLPH200" localSheetId="3" hidden="1">#REF!</definedName>
    <definedName name="BLPH201" localSheetId="3" hidden="1">#REF!</definedName>
    <definedName name="BLPH202" localSheetId="3" hidden="1">#REF!</definedName>
    <definedName name="BLPH203" localSheetId="3" hidden="1">#REF!</definedName>
    <definedName name="BLPH204" localSheetId="3" hidden="1">#REF!</definedName>
    <definedName name="BLPH205" localSheetId="3" hidden="1">#REF!</definedName>
    <definedName name="BLPH206" localSheetId="3" hidden="1">#REF!</definedName>
    <definedName name="BLPH207" localSheetId="3" hidden="1">#REF!</definedName>
    <definedName name="BLPH208" localSheetId="3" hidden="1">#REF!</definedName>
    <definedName name="BLPH209" localSheetId="3" hidden="1">#REF!</definedName>
    <definedName name="BLPH210" localSheetId="3" hidden="1">#REF!</definedName>
    <definedName name="BLPH211" localSheetId="3" hidden="1">#REF!</definedName>
    <definedName name="BLPH212" localSheetId="3" hidden="1">#REF!</definedName>
    <definedName name="BLPH213" localSheetId="3" hidden="1">#REF!</definedName>
    <definedName name="BLPH214" localSheetId="3" hidden="1">#REF!</definedName>
    <definedName name="BLPH215" localSheetId="3" hidden="1">#REF!</definedName>
    <definedName name="BLPH216" localSheetId="3" hidden="1">#REF!</definedName>
    <definedName name="BLPH217" localSheetId="3" hidden="1">#REF!</definedName>
    <definedName name="BLPH218" localSheetId="3" hidden="1">#REF!</definedName>
    <definedName name="BLPH219" localSheetId="3" hidden="1">#REF!</definedName>
    <definedName name="BLPH220" localSheetId="3" hidden="1">#REF!</definedName>
    <definedName name="BLPH221" localSheetId="3" hidden="1">#REF!</definedName>
    <definedName name="BLPH222" localSheetId="3" hidden="1">#REF!</definedName>
    <definedName name="BLPH223" localSheetId="3" hidden="1">#REF!</definedName>
    <definedName name="BLPH224" localSheetId="3" hidden="1">#REF!</definedName>
    <definedName name="BLPH225" localSheetId="3" hidden="1">#REF!</definedName>
    <definedName name="BLPH226" localSheetId="3" hidden="1">#REF!</definedName>
    <definedName name="BLPH227" localSheetId="3" hidden="1">#REF!</definedName>
    <definedName name="BLPH228" localSheetId="3" hidden="1">#REF!</definedName>
    <definedName name="BLPH229" localSheetId="3" hidden="1">#REF!</definedName>
    <definedName name="BLPH230" localSheetId="3" hidden="1">#REF!</definedName>
    <definedName name="BLPH231" localSheetId="3" hidden="1">#REF!</definedName>
    <definedName name="BLPH232" localSheetId="3" hidden="1">#REF!</definedName>
    <definedName name="BLPH233" localSheetId="3" hidden="1">#REF!</definedName>
    <definedName name="BLPH234" localSheetId="3" hidden="1">#REF!</definedName>
    <definedName name="BLPH235" localSheetId="3" hidden="1">#REF!</definedName>
    <definedName name="BLPH236" localSheetId="3" hidden="1">#REF!</definedName>
    <definedName name="BLPH237" localSheetId="3" hidden="1">#REF!</definedName>
    <definedName name="BLPH238" localSheetId="3" hidden="1">#REF!</definedName>
    <definedName name="BLPH239" localSheetId="3" hidden="1">#REF!</definedName>
    <definedName name="BLPH240" localSheetId="3" hidden="1">#REF!</definedName>
    <definedName name="BLPH241" localSheetId="3" hidden="1">#REF!</definedName>
    <definedName name="BLPH242" localSheetId="3" hidden="1">#REF!</definedName>
    <definedName name="BLPH243" localSheetId="3" hidden="1">#REF!</definedName>
    <definedName name="BLPH244" localSheetId="3" hidden="1">#REF!</definedName>
    <definedName name="BLPH245" localSheetId="3" hidden="1">#REF!</definedName>
    <definedName name="BLPH246" localSheetId="3" hidden="1">#REF!</definedName>
    <definedName name="BLPH247" localSheetId="3" hidden="1">#REF!</definedName>
    <definedName name="BLPH248" localSheetId="3" hidden="1">#REF!</definedName>
    <definedName name="BLPH249" localSheetId="3" hidden="1">#REF!</definedName>
    <definedName name="BLPH250" localSheetId="3" hidden="1">#REF!</definedName>
    <definedName name="BLPH251" localSheetId="3" hidden="1">#REF!</definedName>
    <definedName name="BLPH252" localSheetId="3" hidden="1">#REF!</definedName>
    <definedName name="BLPH253" localSheetId="3" hidden="1">#REF!</definedName>
    <definedName name="BLPH254" localSheetId="3" hidden="1">#REF!</definedName>
    <definedName name="BLPH255" localSheetId="3" hidden="1">#REF!</definedName>
    <definedName name="BLPH256" localSheetId="3" hidden="1">#REF!</definedName>
    <definedName name="BLPH257" localSheetId="3" hidden="1">#REF!</definedName>
    <definedName name="BLPH258" localSheetId="3" hidden="1">#REF!</definedName>
    <definedName name="BLPH259" localSheetId="3" hidden="1">#REF!</definedName>
    <definedName name="BLPH260" localSheetId="3" hidden="1">#REF!</definedName>
    <definedName name="BLPH261" localSheetId="3" hidden="1">#REF!</definedName>
    <definedName name="BLPH262" localSheetId="3" hidden="1">#REF!</definedName>
    <definedName name="BLPH263" localSheetId="3" hidden="1">#REF!</definedName>
    <definedName name="BLPH264" localSheetId="3" hidden="1">#REF!</definedName>
    <definedName name="BLPH265" localSheetId="3" hidden="1">#REF!</definedName>
    <definedName name="BLPH266" localSheetId="3" hidden="1">#REF!</definedName>
    <definedName name="BLPH267" localSheetId="3" hidden="1">#REF!</definedName>
    <definedName name="BLPH268" localSheetId="3" hidden="1">#REF!</definedName>
    <definedName name="BLPH269" localSheetId="3" hidden="1">#REF!</definedName>
    <definedName name="BLPH270" localSheetId="3" hidden="1">#REF!</definedName>
    <definedName name="BLPH271" localSheetId="3" hidden="1">#REF!</definedName>
    <definedName name="BLPH272" localSheetId="3" hidden="1">#REF!</definedName>
    <definedName name="BLPH273" localSheetId="3" hidden="1">#REF!</definedName>
    <definedName name="BLPH274" localSheetId="3" hidden="1">#REF!</definedName>
    <definedName name="BLPH275" localSheetId="3" hidden="1">#REF!</definedName>
    <definedName name="BLPH276" localSheetId="3" hidden="1">#REF!</definedName>
    <definedName name="BLPH277" localSheetId="3" hidden="1">#REF!</definedName>
    <definedName name="BLPH278" localSheetId="3" hidden="1">#REF!</definedName>
    <definedName name="BLPH279" localSheetId="3" hidden="1">#REF!</definedName>
    <definedName name="BLPH280" localSheetId="3" hidden="1">#REF!</definedName>
    <definedName name="BLPH281" localSheetId="3" hidden="1">#REF!</definedName>
    <definedName name="BLPH282" localSheetId="3" hidden="1">#REF!</definedName>
    <definedName name="BLPH283" localSheetId="3" hidden="1">#REF!</definedName>
    <definedName name="BLPH284" localSheetId="3" hidden="1">#REF!</definedName>
    <definedName name="BLPH285" localSheetId="3" hidden="1">#REF!</definedName>
    <definedName name="BLPH286" localSheetId="3" hidden="1">#REF!</definedName>
    <definedName name="BLPH287" localSheetId="3" hidden="1">#REF!</definedName>
    <definedName name="BLPH288" localSheetId="3" hidden="1">#REF!</definedName>
    <definedName name="BLPH289" localSheetId="3" hidden="1">#REF!</definedName>
    <definedName name="BLPH290" localSheetId="3" hidden="1">#REF!</definedName>
    <definedName name="BLPH291" localSheetId="3" hidden="1">#REF!</definedName>
    <definedName name="BLPH292" localSheetId="3" hidden="1">#REF!</definedName>
    <definedName name="BLPH293" localSheetId="3" hidden="1">#REF!</definedName>
    <definedName name="BLPH294" localSheetId="3" hidden="1">#REF!</definedName>
    <definedName name="BLPH295" localSheetId="3" hidden="1">#REF!</definedName>
    <definedName name="BLPH296" localSheetId="3" hidden="1">#REF!</definedName>
    <definedName name="BLPH297" localSheetId="3" hidden="1">#REF!</definedName>
    <definedName name="BLPH298" localSheetId="3" hidden="1">#REF!</definedName>
    <definedName name="BLPH299" localSheetId="3" hidden="1">#REF!</definedName>
    <definedName name="BLPH3" localSheetId="3" hidden="1">#REF!</definedName>
    <definedName name="BLPH300" localSheetId="3" hidden="1">#REF!</definedName>
    <definedName name="BLPH301" localSheetId="3" hidden="1">#REF!</definedName>
    <definedName name="BLPH302" localSheetId="3" hidden="1">#REF!</definedName>
    <definedName name="BLPH303" localSheetId="3" hidden="1">#REF!</definedName>
    <definedName name="BLPH304" localSheetId="3" hidden="1">#REF!</definedName>
    <definedName name="BLPH305" localSheetId="3" hidden="1">#REF!</definedName>
    <definedName name="BLPH306" localSheetId="3" hidden="1">#REF!</definedName>
    <definedName name="BLPH307" localSheetId="3" hidden="1">#REF!</definedName>
    <definedName name="BLPH308" localSheetId="3" hidden="1">#REF!</definedName>
    <definedName name="BLPH309" localSheetId="3" hidden="1">#REF!</definedName>
    <definedName name="BLPH310" localSheetId="3" hidden="1">#REF!</definedName>
    <definedName name="BLPH311" localSheetId="3" hidden="1">#REF!</definedName>
    <definedName name="BLPH312" localSheetId="3" hidden="1">#REF!</definedName>
    <definedName name="BLPH313" localSheetId="3" hidden="1">#REF!</definedName>
    <definedName name="BLPH314" localSheetId="3" hidden="1">#REF!</definedName>
    <definedName name="BLPH315" localSheetId="3" hidden="1">#REF!</definedName>
    <definedName name="BLPH316" localSheetId="3" hidden="1">#REF!</definedName>
    <definedName name="BLPH317" localSheetId="3" hidden="1">#REF!</definedName>
    <definedName name="BLPH318" localSheetId="3" hidden="1">#REF!</definedName>
    <definedName name="BLPH319" localSheetId="3" hidden="1">#REF!</definedName>
    <definedName name="BLPH320" localSheetId="3" hidden="1">#REF!</definedName>
    <definedName name="BLPH321" localSheetId="3" hidden="1">#REF!</definedName>
    <definedName name="BLPH322" localSheetId="3" hidden="1">#REF!</definedName>
    <definedName name="BLPH323" localSheetId="3" hidden="1">#REF!</definedName>
    <definedName name="BLPH324" localSheetId="3" hidden="1">#REF!</definedName>
    <definedName name="BLPH325" localSheetId="3" hidden="1">#REF!</definedName>
    <definedName name="BLPH326" localSheetId="3" hidden="1">#REF!</definedName>
    <definedName name="BLPH327" localSheetId="3" hidden="1">#REF!</definedName>
    <definedName name="BLPH328" localSheetId="3" hidden="1">#REF!</definedName>
    <definedName name="BLPH329" localSheetId="3" hidden="1">#REF!</definedName>
    <definedName name="BLPH330" localSheetId="3" hidden="1">#REF!</definedName>
    <definedName name="BLPH331" localSheetId="3" hidden="1">#REF!</definedName>
    <definedName name="BLPH332" localSheetId="3" hidden="1">#REF!</definedName>
    <definedName name="BLPH333" localSheetId="3" hidden="1">#REF!</definedName>
    <definedName name="BLPH334" localSheetId="3" hidden="1">#REF!</definedName>
    <definedName name="BLPH335" localSheetId="3" hidden="1">#REF!</definedName>
    <definedName name="BLPH336" localSheetId="3" hidden="1">#REF!</definedName>
    <definedName name="BLPH337" localSheetId="3" hidden="1">#REF!</definedName>
    <definedName name="BLPH338" localSheetId="3" hidden="1">#REF!</definedName>
    <definedName name="BLPH339" localSheetId="3" hidden="1">#REF!</definedName>
    <definedName name="BLPH340" localSheetId="3" hidden="1">#REF!</definedName>
    <definedName name="BLPH341" localSheetId="3" hidden="1">#REF!</definedName>
    <definedName name="BLPH342" localSheetId="3" hidden="1">#REF!</definedName>
    <definedName name="BLPH343" localSheetId="3" hidden="1">#REF!</definedName>
    <definedName name="BLPH344" localSheetId="3" hidden="1">#REF!</definedName>
    <definedName name="BLPH345" localSheetId="3" hidden="1">#REF!</definedName>
    <definedName name="BLPH346" localSheetId="3" hidden="1">#REF!</definedName>
    <definedName name="BLPH347" localSheetId="3" hidden="1">#REF!</definedName>
    <definedName name="BLPH348" localSheetId="3" hidden="1">#REF!</definedName>
    <definedName name="BLPH349" localSheetId="3" hidden="1">#REF!</definedName>
    <definedName name="BLPH35" localSheetId="3" hidden="1">#REF!</definedName>
    <definedName name="BLPH350" localSheetId="3" hidden="1">#REF!</definedName>
    <definedName name="BLPH351" localSheetId="3" hidden="1">#REF!</definedName>
    <definedName name="BLPH352" localSheetId="3" hidden="1">#REF!</definedName>
    <definedName name="BLPH353" localSheetId="3" hidden="1">#REF!</definedName>
    <definedName name="BLPH354" localSheetId="3" hidden="1">#REF!</definedName>
    <definedName name="BLPH355" localSheetId="3" hidden="1">#REF!</definedName>
    <definedName name="BLPH356" localSheetId="3" hidden="1">#REF!</definedName>
    <definedName name="BLPH357" localSheetId="3" hidden="1">#REF!</definedName>
    <definedName name="BLPH358" localSheetId="3" hidden="1">#REF!</definedName>
    <definedName name="BLPH359" localSheetId="3" hidden="1">#REF!</definedName>
    <definedName name="BLPH36" localSheetId="3" hidden="1">#REF!</definedName>
    <definedName name="BLPH360" localSheetId="3" hidden="1">#REF!</definedName>
    <definedName name="BLPH361" localSheetId="3" hidden="1">#REF!</definedName>
    <definedName name="BLPH362" localSheetId="3" hidden="1">#REF!</definedName>
    <definedName name="BLPH363" localSheetId="3" hidden="1">#REF!</definedName>
    <definedName name="BLPH364" localSheetId="3" hidden="1">#REF!</definedName>
    <definedName name="BLPH365" localSheetId="3" hidden="1">#REF!</definedName>
    <definedName name="BLPH366" localSheetId="3" hidden="1">#REF!</definedName>
    <definedName name="BLPH367" localSheetId="3" hidden="1">#REF!</definedName>
    <definedName name="BLPH368" localSheetId="3" hidden="1">#REF!</definedName>
    <definedName name="BLPH369" localSheetId="3" hidden="1">#REF!</definedName>
    <definedName name="BLPH370" localSheetId="3" hidden="1">#REF!</definedName>
    <definedName name="BLPH371" localSheetId="3" hidden="1">#REF!</definedName>
    <definedName name="BLPH372" localSheetId="3" hidden="1">#REF!</definedName>
    <definedName name="BLPH373" localSheetId="3" hidden="1">#REF!</definedName>
    <definedName name="BLPH374" localSheetId="3" hidden="1">#REF!</definedName>
    <definedName name="BLPH375" localSheetId="3" hidden="1">#REF!</definedName>
    <definedName name="BLPH376" localSheetId="3" hidden="1">#REF!</definedName>
    <definedName name="BLPH377" localSheetId="3" hidden="1">#REF!</definedName>
    <definedName name="BLPH378" localSheetId="3" hidden="1">#REF!</definedName>
    <definedName name="BLPH379" localSheetId="3" hidden="1">#REF!</definedName>
    <definedName name="BLPH380" localSheetId="3" hidden="1">#REF!</definedName>
    <definedName name="BLPH381" localSheetId="3" hidden="1">#REF!</definedName>
    <definedName name="BLPH382" localSheetId="3" hidden="1">#REF!</definedName>
    <definedName name="BLPH383" localSheetId="3" hidden="1">#REF!</definedName>
    <definedName name="BLPH384" localSheetId="3" hidden="1">#REF!</definedName>
    <definedName name="BLPH385" localSheetId="3" hidden="1">#REF!</definedName>
    <definedName name="BLPH386" localSheetId="3" hidden="1">#REF!</definedName>
    <definedName name="BLPH387" localSheetId="3" hidden="1">#REF!</definedName>
    <definedName name="BLPH388" localSheetId="3" hidden="1">#REF!</definedName>
    <definedName name="BLPH389" localSheetId="3" hidden="1">#REF!</definedName>
    <definedName name="BLPH390" localSheetId="3" hidden="1">#REF!</definedName>
    <definedName name="BLPH391" localSheetId="3" hidden="1">#REF!</definedName>
    <definedName name="BLPH392" localSheetId="3" hidden="1">#REF!</definedName>
    <definedName name="BLPH393" localSheetId="3" hidden="1">#REF!</definedName>
    <definedName name="BLPH394" localSheetId="3" hidden="1">#REF!</definedName>
    <definedName name="BLPH395" localSheetId="3" hidden="1">#REF!</definedName>
    <definedName name="BLPH396" localSheetId="3" hidden="1">#REF!</definedName>
    <definedName name="BLPH397" localSheetId="3" hidden="1">#REF!</definedName>
    <definedName name="BLPH398" localSheetId="3" hidden="1">#REF!</definedName>
    <definedName name="BLPH399" localSheetId="3" hidden="1">#REF!</definedName>
    <definedName name="BLPH4" localSheetId="3" hidden="1">#REF!</definedName>
    <definedName name="BLPH400" localSheetId="3" hidden="1">#REF!</definedName>
    <definedName name="BLPH401" localSheetId="3" hidden="1">#REF!</definedName>
    <definedName name="BLPH402" localSheetId="3" hidden="1">#REF!</definedName>
    <definedName name="BLPH403" localSheetId="3" hidden="1">#REF!</definedName>
    <definedName name="BLPH404" localSheetId="3" hidden="1">#REF!</definedName>
    <definedName name="BLPH405" localSheetId="3" hidden="1">#REF!</definedName>
    <definedName name="BLPH406" localSheetId="3" hidden="1">#REF!</definedName>
    <definedName name="BLPH407" localSheetId="3" hidden="1">#REF!</definedName>
    <definedName name="BLPH408" localSheetId="3" hidden="1">#REF!</definedName>
    <definedName name="BLPH409" localSheetId="3" hidden="1">#REF!</definedName>
    <definedName name="BLPH410" localSheetId="3" hidden="1">#REF!</definedName>
    <definedName name="BLPH411" localSheetId="3" hidden="1">#REF!</definedName>
    <definedName name="BLPH412" localSheetId="3" hidden="1">#REF!</definedName>
    <definedName name="BLPH413" localSheetId="3" hidden="1">#REF!</definedName>
    <definedName name="BLPH414" localSheetId="3" hidden="1">#REF!</definedName>
    <definedName name="BLPH415" localSheetId="3" hidden="1">#REF!</definedName>
    <definedName name="BLPH416" localSheetId="3" hidden="1">#REF!</definedName>
    <definedName name="BLPH417" localSheetId="3" hidden="1">#REF!</definedName>
    <definedName name="BLPH418" localSheetId="3" hidden="1">#REF!</definedName>
    <definedName name="BLPH419" localSheetId="3" hidden="1">#REF!</definedName>
    <definedName name="BLPH420" localSheetId="3" hidden="1">#REF!</definedName>
    <definedName name="BLPH421" localSheetId="3" hidden="1">#REF!</definedName>
    <definedName name="BLPH422" localSheetId="3" hidden="1">#REF!</definedName>
    <definedName name="BLPH423" localSheetId="3" hidden="1">#REF!</definedName>
    <definedName name="BLPH424" localSheetId="3" hidden="1">#REF!</definedName>
    <definedName name="BLPH425" localSheetId="3" hidden="1">#REF!</definedName>
    <definedName name="BLPH426" localSheetId="3" hidden="1">#REF!</definedName>
    <definedName name="BLPH427" localSheetId="3" hidden="1">#REF!</definedName>
    <definedName name="BLPH428" localSheetId="3" hidden="1">#REF!</definedName>
    <definedName name="BLPH429" localSheetId="3" hidden="1">#REF!</definedName>
    <definedName name="BLPH430" localSheetId="3" hidden="1">#REF!</definedName>
    <definedName name="BLPH431" localSheetId="3" hidden="1">#REF!</definedName>
    <definedName name="BLPH432" localSheetId="3" hidden="1">#REF!</definedName>
    <definedName name="BLPH433" localSheetId="3" hidden="1">#REF!</definedName>
    <definedName name="BLPH434" localSheetId="3" hidden="1">#REF!</definedName>
    <definedName name="BLPH435" localSheetId="3" hidden="1">#REF!</definedName>
    <definedName name="BLPH436" localSheetId="3" hidden="1">#REF!</definedName>
    <definedName name="BLPH437" localSheetId="3" hidden="1">#REF!</definedName>
    <definedName name="BLPH438" localSheetId="3" hidden="1">#REF!</definedName>
    <definedName name="BLPH439" localSheetId="3" hidden="1">#REF!</definedName>
    <definedName name="BLPH440" localSheetId="3" hidden="1">#REF!</definedName>
    <definedName name="BLPH441" localSheetId="3" hidden="1">#REF!</definedName>
    <definedName name="BLPH442" localSheetId="3" hidden="1">#REF!</definedName>
    <definedName name="BLPH443" localSheetId="3" hidden="1">#REF!</definedName>
    <definedName name="BLPH444" localSheetId="3" hidden="1">#REF!</definedName>
    <definedName name="BLPH445" localSheetId="3" hidden="1">#REF!</definedName>
    <definedName name="BLPH446" localSheetId="3" hidden="1">#REF!</definedName>
    <definedName name="BLPH447" localSheetId="3" hidden="1">#REF!</definedName>
    <definedName name="BLPH448" localSheetId="3" hidden="1">#REF!</definedName>
    <definedName name="BLPH459" localSheetId="3" hidden="1">#REF!</definedName>
    <definedName name="BLPH460" localSheetId="3" hidden="1">#REF!</definedName>
    <definedName name="BLPH461" localSheetId="3" hidden="1">#REF!</definedName>
    <definedName name="BLPH462" localSheetId="3" hidden="1">#REF!</definedName>
    <definedName name="BLPH463" localSheetId="3" hidden="1">#REF!</definedName>
    <definedName name="BLPH464" localSheetId="3" hidden="1">#REF!</definedName>
    <definedName name="BLPH465" localSheetId="3" hidden="1">#REF!</definedName>
    <definedName name="BLPH466" localSheetId="3" hidden="1">#REF!</definedName>
    <definedName name="BLPH467" localSheetId="3" hidden="1">#REF!</definedName>
    <definedName name="BLPH468" localSheetId="3" hidden="1">#REF!</definedName>
    <definedName name="BLPH469" localSheetId="3" hidden="1">#REF!</definedName>
    <definedName name="BLPH470" localSheetId="3" hidden="1">#REF!</definedName>
    <definedName name="BLPH471" localSheetId="3" hidden="1">#REF!</definedName>
    <definedName name="BLPH472" localSheetId="3" hidden="1">#REF!</definedName>
    <definedName name="BLPH473" localSheetId="3" hidden="1">#REF!</definedName>
    <definedName name="BLPH474" localSheetId="3" hidden="1">#REF!</definedName>
    <definedName name="BLPH475" localSheetId="3" hidden="1">#REF!</definedName>
    <definedName name="BLPH476" localSheetId="3" hidden="1">#REF!</definedName>
    <definedName name="BLPH477" localSheetId="3" hidden="1">#REF!</definedName>
    <definedName name="BLPH478" localSheetId="3" hidden="1">#REF!</definedName>
    <definedName name="BLPH479" localSheetId="3" hidden="1">#REF!</definedName>
    <definedName name="BLPH480" localSheetId="3" hidden="1">#REF!</definedName>
    <definedName name="BLPH481" localSheetId="3" hidden="1">#REF!</definedName>
    <definedName name="BLPH482" localSheetId="3" hidden="1">#REF!</definedName>
    <definedName name="BLPH483" localSheetId="3" hidden="1">#REF!</definedName>
    <definedName name="BLPH484" localSheetId="3" hidden="1">#REF!</definedName>
    <definedName name="BLPH485" localSheetId="3" hidden="1">#REF!</definedName>
    <definedName name="BLPH486" localSheetId="3" hidden="1">#REF!</definedName>
    <definedName name="BLPH487" localSheetId="3" hidden="1">#REF!</definedName>
    <definedName name="BLPH488" localSheetId="3" hidden="1">#REF!</definedName>
    <definedName name="BLPH489" localSheetId="3" hidden="1">#REF!</definedName>
    <definedName name="BLPH490" localSheetId="3" hidden="1">#REF!</definedName>
    <definedName name="BLPH491" localSheetId="3" hidden="1">#REF!</definedName>
    <definedName name="BLPH492" localSheetId="3" hidden="1">#REF!</definedName>
    <definedName name="BLPH493" localSheetId="3" hidden="1">#REF!</definedName>
    <definedName name="BLPH494" localSheetId="3" hidden="1">#REF!</definedName>
    <definedName name="BLPH495" localSheetId="3" hidden="1">#REF!</definedName>
    <definedName name="BLPH496" localSheetId="3" hidden="1">#REF!</definedName>
    <definedName name="BLPH497" localSheetId="3" hidden="1">#REF!</definedName>
    <definedName name="BLPH498" localSheetId="3" hidden="1">#REF!</definedName>
    <definedName name="BLPH499" localSheetId="3" hidden="1">#REF!</definedName>
    <definedName name="BLPH50" localSheetId="3" hidden="1">#REF!</definedName>
    <definedName name="BLPH51" localSheetId="3" hidden="1">#REF!</definedName>
    <definedName name="BLPH6" localSheetId="3" hidden="1">#REF!</definedName>
    <definedName name="BM" localSheetId="3" hidden="1">{"EBITDA",#N/A,TRUE,"P&amp;L Net of Disc Ops";"output net of disc ops",#N/A,TRUE,"Revenue";"input",#N/A,TRUE,"Revenue";"output",#N/A,TRUE,"DC";"Input",#N/A,TRUE,"DC";"MTN and MCN",#N/A,TRUE,"Margin";"output detail line items",#N/A,TRUE,"SGA";"personnel by year",#N/A,TRUE,"Payroll";#N/A,#N/A,TRUE,"CapEx"}</definedName>
    <definedName name="BNE_MESSAGES_HIDDEN" localSheetId="3" hidden="1">#REF!</definedName>
    <definedName name="bnm" localSheetId="3" hidden="1">{#N/A,#N/A,FALSE,"REPORT"}</definedName>
    <definedName name="Bracket_0" localSheetId="3">#REF!</definedName>
    <definedName name="Bracket_1" localSheetId="3">#REF!</definedName>
    <definedName name="Bracket_2" localSheetId="3">#REF!</definedName>
    <definedName name="Bracket_3" localSheetId="3">#REF!</definedName>
    <definedName name="Bracket_4" localSheetId="3">#REF!</definedName>
    <definedName name="Bracket_5" localSheetId="3">#REF!</definedName>
    <definedName name="Bracket_6" localSheetId="3">#REF!</definedName>
    <definedName name="Bracket_7" localSheetId="3">#REF!</definedName>
    <definedName name="Bracket_8" localSheetId="3">#REF!</definedName>
    <definedName name="BS" localSheetId="3">#REF!</definedName>
    <definedName name="BSDate" localSheetId="3">#REF!</definedName>
    <definedName name="BSSSS" localSheetId="3" hidden="1">#REF!</definedName>
    <definedName name="c.LTMYear" localSheetId="3" hidden="1">#REF!</definedName>
    <definedName name="cancel" localSheetId="3" hidden="1">{"PARTNERS CAPITAL STMT",#N/A,FALSE,"Partners Capital"}</definedName>
    <definedName name="cancel2" localSheetId="3" hidden="1">{"PNLProjDL",#N/A,FALSE,"PROJCO";"PNLParDL",#N/A,FALSE,"Parent"}</definedName>
    <definedName name="cancel3" localSheetId="3" hidden="1">{"Summary",#N/A,FALSE,"MICMULT";"Income Statement",#N/A,FALSE,"MICMULT";"Cash Flows",#N/A,FALSE,"MICMULT"}</definedName>
    <definedName name="CapCase" localSheetId="3">#REF!</definedName>
    <definedName name="CapContCurr" localSheetId="3">#REF!</definedName>
    <definedName name="CapContPrior" localSheetId="3">#REF!</definedName>
    <definedName name="cash" localSheetId="3">#REF!</definedName>
    <definedName name="CASH_PRICE" localSheetId="3">#REF!</definedName>
    <definedName name="cash2" localSheetId="3">#REF!</definedName>
    <definedName name="CashBeg" localSheetId="3">#REF!</definedName>
    <definedName name="CashEnd" localSheetId="3">#REF!</definedName>
    <definedName name="cc" localSheetId="3" hidden="1">{"bs",#N/A,FALSE,"SCF"}</definedName>
    <definedName name="cdsds" localSheetId="3" hidden="1">{#N/A,#N/A,TRUE,"BUD VS ACT AUST 96";#N/A,#N/A,TRUE,"96 COMP P&amp;L-AUST";#N/A,#N/A,TRUE,"COMP BS-AUSTRALIA";#N/A,#N/A,TRUE,"B/S - AUSTR."}</definedName>
    <definedName name="ChangeRange" localSheetId="3" hidden="1">#REF!</definedName>
    <definedName name="Chart" localSheetId="3" hidden="1">{#N/A,#N/A,FALSE,"Pharm";#N/A,#N/A,FALSE,"WWCM"}</definedName>
    <definedName name="chosie" localSheetId="3" hidden="1">{#N/A,#N/A,FALSE,"Pharm";#N/A,#N/A,FALSE,"WWCM"}</definedName>
    <definedName name="CIQANR_13a80e60b0854509a2f63c71534b92b8" localSheetId="3" hidden="1">#REF!</definedName>
    <definedName name="CIQANR_147f2cd0dc8f4e11822d613cc9a62d00" localSheetId="3" hidden="1">#REF!</definedName>
    <definedName name="CIQANR_1c60ca33d12d4925a388bfa41be66b9c" localSheetId="3" hidden="1">#REF!</definedName>
    <definedName name="CIQANR_22d08fcfe5564f18986fa4d5614cac0a" localSheetId="3" hidden="1">#REF!</definedName>
    <definedName name="CIQANR_338ebf63df1c435ba12b8c7b8d18a1b5" localSheetId="3" hidden="1">#REF!</definedName>
    <definedName name="CIQANR_473135513d7742f9ab0f7fb69629567a" localSheetId="3" hidden="1">#REF!</definedName>
    <definedName name="CIQANR_4c527b687fe0405bb7fb238f3bfaa8af" localSheetId="3" hidden="1">#REF!</definedName>
    <definedName name="CIQANR_560d9caa769d455691f09c4af1ca4138" localSheetId="3" hidden="1">#REF!</definedName>
    <definedName name="CIQANR_618ba232ad644d87bd6555e2fb452f21" localSheetId="3" hidden="1">#REF!</definedName>
    <definedName name="CIQANR_65d0a3c0ca3043c593f2711ee14dbc3b" localSheetId="3" hidden="1">#REF!</definedName>
    <definedName name="CIQANR_6d1cc198b7524e688864ad50a703f452" localSheetId="3" hidden="1">#REF!</definedName>
    <definedName name="CIQANR_773b17cdd30e473ca6a9d0116dbcc711" localSheetId="3" hidden="1">#REF!</definedName>
    <definedName name="CIQANR_78ce45be2dae409a8b54262ae20189d7" localSheetId="3" hidden="1">#REF!</definedName>
    <definedName name="CIQANR_7c105d8105b241bebf7b6e6255d65ad0" localSheetId="3" hidden="1">#REF!</definedName>
    <definedName name="CIQANR_9f557b324ae645169d5f7c95a30e50c4" localSheetId="3" hidden="1">#REF!</definedName>
    <definedName name="CIQANR_a93c2231796345198453723e8bbb4994" localSheetId="3" hidden="1">#REF!</definedName>
    <definedName name="CIQANR_aaee5cfe66574987bc82da4973d5e5e8" localSheetId="3" hidden="1">#REF!</definedName>
    <definedName name="CIQANR_b1bfcf9354174a968e8ba31242bfffac" localSheetId="3" hidden="1">#REF!</definedName>
    <definedName name="CIQANR_b594479410e844dcb30cc0cb3e897b5a" localSheetId="3" hidden="1">#REF!</definedName>
    <definedName name="CIQANR_bd8f0346007e4c6c8649fae391e68670" localSheetId="3" hidden="1">#REF!</definedName>
    <definedName name="CIQANR_c6c257723fb444f7b8e9db41977b7b39" localSheetId="3" hidden="1">#REF!</definedName>
    <definedName name="CIQANR_d37d241771e84f2d93c62ec1dbddf0de" localSheetId="3" hidden="1">#REF!</definedName>
    <definedName name="CIQANR_d68f1752971d4c1db9b3fae98aa43092" localSheetId="3" hidden="1">#REF!</definedName>
    <definedName name="CIQANR_d6c0bcfaaf114f298c2ced7cb4fa9c3c" localSheetId="3" hidden="1">#REF!</definedName>
    <definedName name="CIQANR_e31a5f60f417438d92f80163c5178377" localSheetId="3" hidden="1">#REF!</definedName>
    <definedName name="CIQANR_eb8c190743c645a7b4cce9a76854d615" localSheetId="3" hidden="1">#REF!</definedName>
    <definedName name="CIQANR_ed7d4ad3bcb843ebab7a7f21da32b2fa" localSheetId="3" hidden="1">#REF!</definedName>
    <definedName name="CIQANR_fd3bcf4e9cbd4acdbf162e69e99f5d88" localSheetId="3" hidden="1">#REF!</definedName>
    <definedName name="CIQWBGuid" localSheetId="3" hidden="1">"1869515b-2ebb-45a5-a673-ca1112c5987b"</definedName>
    <definedName name="Circ" localSheetId="3">#REF!</definedName>
    <definedName name="CIRCABBA" localSheetId="3">#REF!</definedName>
    <definedName name="CircAcq4" localSheetId="3">#REF!</definedName>
    <definedName name="CircAcq5" localSheetId="3">#REF!</definedName>
    <definedName name="CircFBE" localSheetId="3">#REF!</definedName>
    <definedName name="CircHP" localSheetId="3">#REF!</definedName>
    <definedName name="CircMaster" localSheetId="3">#REF!</definedName>
    <definedName name="CircPrecision" localSheetId="3">#REF!</definedName>
    <definedName name="cmmt" localSheetId="3">#REF!</definedName>
    <definedName name="cmmts" localSheetId="3">#REF!</definedName>
    <definedName name="CO2out" localSheetId="3">#REF!</definedName>
    <definedName name="CoalHV" localSheetId="3">#REF!</definedName>
    <definedName name="Coalout" localSheetId="3">#REF!</definedName>
    <definedName name="code" localSheetId="3">#REF!</definedName>
    <definedName name="COGstandard" localSheetId="3" hidden="1">{#N/A,#N/A,FALSE,"Pharm";#N/A,#N/A,FALSE,"WWCM"}</definedName>
    <definedName name="Company" localSheetId="3">#REF!</definedName>
    <definedName name="CompanyFilter" localSheetId="3">#REF!</definedName>
    <definedName name="compound_period" localSheetId="3">INDEX({2,12,4,1},MATCH(#REF!,'IV. EBITDA Adjustments'!compound_periods,0))</definedName>
    <definedName name="compound_periods" localSheetId="3">{"Semi-Annually";"Monthly";"Quarterly";"Annually"}</definedName>
    <definedName name="ContentsHelp" localSheetId="3" hidden="1">#REF!</definedName>
    <definedName name="COPY" localSheetId="3" hidden="1">{#N/A,#N/A,FALSE,"Pharm";#N/A,#N/A,FALSE,"WWCM"}</definedName>
    <definedName name="copy1" localSheetId="3" hidden="1">{#N/A,#N/A,FALSE,"Pharm";#N/A,#N/A,FALSE,"WWCM"}</definedName>
    <definedName name="COPY2" localSheetId="3" hidden="1">{#N/A,#N/A,FALSE,"Pharm";#N/A,#N/A,FALSE,"WWCM"}</definedName>
    <definedName name="copy233" localSheetId="3" hidden="1">{#N/A,#N/A,FALSE,"Pharm";#N/A,#N/A,FALSE,"WWCM"}</definedName>
    <definedName name="copy33" localSheetId="3" hidden="1">{#N/A,#N/A,FALSE,"Pharm";#N/A,#N/A,FALSE,"WWCM"}</definedName>
    <definedName name="copy38" localSheetId="3" hidden="1">{#N/A,#N/A,FALSE,"Pharm";#N/A,#N/A,FALSE,"WWCM"}</definedName>
    <definedName name="corp" localSheetId="3" hidden="1">{#N/A,#N/A,TRUE,"BUD VS ACT AUST 96";#N/A,#N/A,TRUE,"96 COMP P&amp;L-AUST";#N/A,#N/A,TRUE,"COMP BS-AUSTRALIA";#N/A,#N/A,TRUE,"B/S - AUSTR."}</definedName>
    <definedName name="costofrev" localSheetId="3" hidden="1">{"qtrly summ-FY01",#N/A,FALSE,"P &amp; L";"monthly P&amp;L-FY01",#N/A,FALSE,"P &amp; L";"cash flow - FY01",#N/A,FALSE,"P &amp; L";"P&amp;L FY01",#N/A,FALSE,"P &amp; L";"BS FY01",#N/A,FALSE,"P &amp; L";"staffing - FY01",#N/A,FALSE,"P &amp; L"}</definedName>
    <definedName name="CreateTable" localSheetId="3" hidden="1">#REF!</definedName>
    <definedName name="Cur_Month_Actual" localSheetId="3">#REF!</definedName>
    <definedName name="CurrentLoan" localSheetId="3">(#REF!*#REF!*#REF!*#REF!)&gt;0</definedName>
    <definedName name="cvb" localSheetId="3" hidden="1">{#N/A,#N/A,FALSE,"TABLE_1 YTD";#N/A,#N/A,FALSE,"TABLE_1A QTD";#N/A,#N/A,FALSE,"NORMAL_SPREAD_QTD";#N/A,#N/A,FALSE,"NORMAL_SPREAD_YTD";#N/A,#N/A,FALSE,"TAX_EQV";#N/A,#N/A,FALSE,"TAX EQUIV_INPUT";#N/A,#N/A,FALSE,"NET FROM FER";#N/A,#N/A,FALSE,"COVER"}</definedName>
    <definedName name="Cwvu.GREY_ALL." localSheetId="3" hidden="1">#REF!</definedName>
    <definedName name="D" localSheetId="3" hidden="1">#REF!</definedName>
    <definedName name="DAD" localSheetId="3" hidden="1">{#N/A,#N/A,FALSE,"REPORT"}</definedName>
    <definedName name="DADF" localSheetId="3" hidden="1">{#N/A,#N/A,FALSE,"REPORT"}</definedName>
    <definedName name="dadfa"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f" localSheetId="3" hidden="1">{#N/A,#N/A,FALSE,"1";#N/A,#N/A,FALSE,"2";#N/A,#N/A,FALSE,"16 - 17";#N/A,#N/A,FALSE,"18 - 19";#N/A,#N/A,FALSE,"26";#N/A,#N/A,FALSE,"27";#N/A,#N/A,FALSE,"28"}</definedName>
    <definedName name="dafa"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kfkjafgkeaj" localSheetId="3" hidden="1">{#N/A,#N/A,FALSE,"Pharm";#N/A,#N/A,FALSE,"WWCM"}</definedName>
    <definedName name="Data" localSheetId="3">#REF!</definedName>
    <definedName name="_xlnm.Database" localSheetId="3">#REF!</definedName>
    <definedName name="david" localSheetId="3" hidden="1">{#N/A,#N/A,FALSE,"ACQ_GRAPHS";#N/A,#N/A,FALSE,"T_1 GRAPHS";#N/A,#N/A,FALSE,"T_2 GRAPHS";#N/A,#N/A,FALSE,"COMB_GRAPHS"}</definedName>
    <definedName name="dd" localSheetId="3" hidden="1">{#N/A,#N/A,FALSE,"Pharm";#N/A,#N/A,FALSE,"WWCM"}</definedName>
    <definedName name="ddd" localSheetId="3" hidden="1">{"'ATP'!$E$6"}</definedName>
    <definedName name="ddd_1" localSheetId="3" hidden="1">{"'ATP'!$E$6"}</definedName>
    <definedName name="ddd_11" localSheetId="3" hidden="1">{"'ATP'!$E$6"}</definedName>
    <definedName name="dddaz" localSheetId="3" hidden="1">{#N/A,#N/A,FALSE,"Pharm";#N/A,#N/A,FALSE,"WWCM"}</definedName>
    <definedName name="dddd" localSheetId="3" hidden="1">{"'ATP'!$E$6"}</definedName>
    <definedName name="dddddd" localSheetId="3" hidden="1">{#N/A,#N/A,FALSE,"Pharm";#N/A,#N/A,FALSE,"WWCM"}</definedName>
    <definedName name="ddddddd" localSheetId="3" hidden="1">{"Income Statement",#N/A,FALSE,"Income Statement";"Balance Sheet",#N/A,FALSE,"Balance Sheet";"Cash Flow",#N/A,FALSE,"Cash Flow";"Ratios",#N/A,FALSE,"Ratios"}</definedName>
    <definedName name="DE" localSheetId="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de" localSheetId="3" hidden="1">{#N/A,#N/A,FALSE,"Pharm";#N/A,#N/A,FALSE,"WWCM"}</definedName>
    <definedName name="DEDED" localSheetId="3" hidden="1">{#N/A,#N/A,FALSE,"Card";#N/A,#N/A,FALSE,"Prav";#N/A,#N/A,FALSE,"Irbe";#N/A,#N/A,FALSE,"Plavix";#N/A,#N/A,FALSE,"Capt";#N/A,#N/A,FALSE,"Fosi"}</definedName>
    <definedName name="DEDEDZE" localSheetId="3" hidden="1">{#N/A,#N/A,FALSE,"Pharm";#N/A,#N/A,FALSE,"WWCM"}</definedName>
    <definedName name="DEDZD" localSheetId="3" hidden="1">{#N/A,#N/A,FALSE,"Pharm";#N/A,#N/A,FALSE,"WWCM"}</definedName>
    <definedName name="DEE" localSheetId="3" hidden="1">{#N/A,#N/A,FALSE,"Pharm";#N/A,#N/A,FALSE,"WWCM"}</definedName>
    <definedName name="delete" localSheetId="3" hidden="1">{"STMT OF CASH FLOWS",#N/A,FALSE,"Cash Flows Indirect"}</definedName>
    <definedName name="delete2" localSheetId="3" hidden="1">{"BALANCE SHEET ACCTS",#N/A,TRUE,"Working Trial Balance";"INCOME STMT ACCTS",#N/A,TRUE,"Working Trial Balance"}</definedName>
    <definedName name="DeleteRange" localSheetId="3" hidden="1">#REF!</definedName>
    <definedName name="DeleteTable" localSheetId="3" hidden="1">#REF!</definedName>
    <definedName name="Depr_Method" localSheetId="3">#REF!</definedName>
    <definedName name="DeptIS" localSheetId="3">#REF!</definedName>
    <definedName name="dev_tech" localSheetId="3" hidden="1">#REF!</definedName>
    <definedName name="DEZLFEZKLHF" localSheetId="3" hidden="1">{#N/A,#N/A,FALSE,"Pharm";#N/A,#N/A,FALSE,"WWCM"}</definedName>
    <definedName name="df" localSheetId="3" hidden="1">{#N/A,#N/A,TRUE,"A";#N/A,#N/A,TRUE,"B";#N/A,#N/A,TRUE,"C";#N/A,#N/A,TRUE,"D";#N/A,#N/A,TRUE,"E"}</definedName>
    <definedName name="dfasdf" localSheetId="3" hidden="1">#REF!</definedName>
    <definedName name="dfd" localSheetId="3" hidden="1">{"BS",#N/A,FALSE,"USA"}</definedName>
    <definedName name="dfdas" localSheetId="3" hidden="1">{"FCB_ALL",#N/A,FALSE,"FCB";"GREY_ALL",#N/A,FALSE,"GREY"}</definedName>
    <definedName name="DFDD" localSheetId="3" hidden="1">{#N/A,#N/A,FALSE,"REPORT"}</definedName>
    <definedName name="dfdfd" localSheetId="3" hidden="1">{"FCB_ALL",#N/A,FALSE,"FCB";"GREY_ALL",#N/A,FALSE,"GREY"}</definedName>
    <definedName name="dfdfdfd" localSheetId="3" hidden="1">{"FCB_ALL",#N/A,FALSE,"FCB"}</definedName>
    <definedName name="dfg" localSheetId="3">#REF!</definedName>
    <definedName name="dfr" localSheetId="3" hidden="1">{#N/A,#N/A,FALSE,"Pharm";#N/A,#N/A,FALSE,"WWCM"}</definedName>
    <definedName name="dfsa" localSheetId="3" hidden="1">#REF!</definedName>
    <definedName name="dfsafd"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sa" localSheetId="3" hidden="1">#REF!</definedName>
    <definedName name="dfsfa"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iscout" localSheetId="3">#REF!</definedName>
    <definedName name="DistCurr" localSheetId="3">#REF!</definedName>
    <definedName name="DistPrior" localSheetId="3">#REF!</definedName>
    <definedName name="djdjdjd" localSheetId="3" hidden="1">{#N/A,#N/A,TRUE,"BUD VS ACT AUST 96";#N/A,#N/A,TRUE,"96 COMP P&amp;L-AUST";#N/A,#N/A,TRUE,"COMP BS-AUSTRALIA";#N/A,#N/A,TRUE,"B/S - AUSTR."}</definedName>
    <definedName name="djksljd" localSheetId="3" hidden="1">{#N/A,#N/A,FALSE,"Other";#N/A,#N/A,FALSE,"Ace";#N/A,#N/A,FALSE,"Derm"}</definedName>
    <definedName name="dkgahirghigf" localSheetId="3" hidden="1">{#N/A,#N/A,FALSE,"Pharm";#N/A,#N/A,FALSE,"WWCM"}</definedName>
    <definedName name="ds" localSheetId="3" hidden="1">#REF!</definedName>
    <definedName name="dsafd"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d" localSheetId="3" hidden="1">#REF!</definedName>
    <definedName name="dsfsffss" localSheetId="3" hidden="1">{#N/A,#N/A,FALSE,"Pharm";#N/A,#N/A,FALSE,"WWCM"}</definedName>
    <definedName name="dtjhj" localSheetId="3" hidden="1">{#N/A,#N/A,FALSE,"Phase I";#N/A,#N/A,FALSE,"Phase II";#N/A,#N/A,FALSE,"Phase III"}</definedName>
    <definedName name="dtmm" localSheetId="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ue" localSheetId="3" hidden="1">{#N/A,#N/A,FALSE,"INPUTS";#N/A,#N/A,FALSE,"PROFORMA BSHEET";#N/A,#N/A,FALSE,"COMBINED";#N/A,#N/A,FALSE,"ACQUIROR";#N/A,#N/A,FALSE,"TARGET 1";#N/A,#N/A,FALSE,"TARGET 2";#N/A,#N/A,FALSE,"HIGH YIELD";#N/A,#N/A,FALSE,"OVERFUND"}</definedName>
    <definedName name="dvv" localSheetId="3" hidden="1">{#N/A,#N/A,TRUE,"NIE_C";#N/A,#N/A,TRUE,"NIE";#N/A,#N/A,TRUE,"NIE_D";#N/A,#N/A,TRUE,"NIE_D_CC";#N/A,#N/A,TRUE,"HEA -- EXP"}</definedName>
    <definedName name="E" localSheetId="3" hidden="1">#REF!</definedName>
    <definedName name="Econscen" localSheetId="3">#REF!</definedName>
    <definedName name="ed" localSheetId="3"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dr" localSheetId="3"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e" localSheetId="3"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EEE" localSheetId="3" hidden="1">{#N/A,#N/A,FALSE,"Pharm";#N/A,#N/A,FALSE,"WWCM"}</definedName>
    <definedName name="eeeee" localSheetId="3" hidden="1">{#N/A,#N/A,FALSE,"Pharm";#N/A,#N/A,FALSE,"WWCM"}</definedName>
    <definedName name="ejkfgkjze" localSheetId="3" hidden="1">{#N/A,#N/A,FALSE,"Pharm";#N/A,#N/A,FALSE,"WWCM"}</definedName>
    <definedName name="Elecout" localSheetId="3">#REF!</definedName>
    <definedName name="elo" localSheetId="3">#REF!</definedName>
    <definedName name="eloCS" localSheetId="3">#REF!</definedName>
    <definedName name="eloFMV" localSheetId="3">#REF!</definedName>
    <definedName name="eloNR" localSheetId="3">#REF!</definedName>
    <definedName name="eloPref" localSheetId="3">#REF!</definedName>
    <definedName name="eloWarr" localSheetId="3">#REF!</definedName>
    <definedName name="EndDate1" localSheetId="3">#REF!</definedName>
    <definedName name="EndDate2" localSheetId="3">#REF!</definedName>
    <definedName name="EndDate3" localSheetId="3">#REF!</definedName>
    <definedName name="equity" localSheetId="3" hidden="1">{"Balance Sheet",#N/A,FALSE,"Annual Summary";"Cashflows",#N/A,FALSE,"Annual Summary";"Summary Earnings",#N/A,FALSE,"Annual Summary"}</definedName>
    <definedName name="erd" localSheetId="3" hidden="1">{#N/A,#N/A,FALSE,"Pharm";#N/A,#N/A,FALSE,"WWCM"}</definedName>
    <definedName name="erg" localSheetId="3" hidden="1">{#N/A,#N/A,FALSE,"ACQ_GRAPHS";#N/A,#N/A,FALSE,"T_1 GRAPHS";#N/A,#N/A,FALSE,"T_2 GRAPHS";#N/A,#N/A,FALSE,"COMB_GRAPHS"}</definedName>
    <definedName name="erryeyetyuu" localSheetId="3" hidden="1">{#N/A,#N/A,FALSE,"Pharm";#N/A,#N/A,FALSE,"WWCM"}</definedName>
    <definedName name="ESSAI" localSheetId="3" hidden="1">{#N/A,#N/A,FALSE,"Pharm";#N/A,#N/A,FALSE,"WWCM"}</definedName>
    <definedName name="esw" localSheetId="3" hidden="1">{#N/A,#N/A,FALSE,"TABLE_1 YTD- VALUES LAST YR(2)"}</definedName>
    <definedName name="ev.Calculation" localSheetId="3" hidden="1">2</definedName>
    <definedName name="ewwe" localSheetId="3" hidden="1">{#N/A,#N/A,FALSE,"REPORT"}</definedName>
    <definedName name="excel" localSheetId="3" hidden="1">{"cash flow - FY00",#N/A,FALSE,"P &amp; L";"cash flow - FY01",#N/A,FALSE,"P &amp; L"}</definedName>
    <definedName name="excel2" localSheetId="3" hidden="1">{"cash flow - FY00",#N/A,FALSE,"P &amp; L";"cash flow - FY01",#N/A,FALSE,"P &amp; L"}</definedName>
    <definedName name="ExitYr" localSheetId="3">#REF!</definedName>
    <definedName name="Extra_Pay" localSheetId="3">#REF!</definedName>
    <definedName name="extra_payment_interval" localSheetId="3">#REF!</definedName>
    <definedName name="ExtraPayments" localSheetId="3">#REF!</definedName>
    <definedName name="ExtraPayments2014" localSheetId="3">#REF!</definedName>
    <definedName name="ExtraPayments2016" localSheetId="3">#REF!</definedName>
    <definedName name="ExtraPayments2017" localSheetId="3">#REF!</definedName>
    <definedName name="ExtraPayments2018" localSheetId="3">#REF!</definedName>
    <definedName name="ExtraPaymentsCurrent" localSheetId="3">#REF!</definedName>
    <definedName name="ExtraPaymentsRealEstate" localSheetId="3">#REF!</definedName>
    <definedName name="eyh" localSheetId="3" hidden="1">{#N/A,#N/A,FALSE,"BS";#N/A,#N/A,FALSE,"PL";#N/A,#N/A,FALSE,"SOE";#N/A,#N/A,FALSE,"SCF"}</definedName>
    <definedName name="f" localSheetId="3" hidden="1">#REF!</definedName>
    <definedName name="FarrellWitchita" localSheetId="3" hidden="1">{"FCB_ALL",#N/A,FALSE,"FCB"}</definedName>
    <definedName name="FDFD" localSheetId="3" hidden="1">{#N/A,#N/A,FALSE,"Pharm";#N/A,#N/A,FALSE,"WWCM"}</definedName>
    <definedName name="fds" localSheetId="3" hidden="1">{#N/A,#N/A,FALSE,"Pharm";#N/A,#N/A,FALSE,"WWCM"}</definedName>
    <definedName name="feb02tb" localSheetId="3" hidden="1">{"Statement of Income",#N/A,TRUE,"Mar99";"Balance Sheet",#N/A,TRUE,"Mar99"}</definedName>
    <definedName name="fees" localSheetId="3">#REF!</definedName>
    <definedName name="ff" localSheetId="3" hidden="1">{#N/A,#N/A,FALSE,"Pharm";#N/A,#N/A,FALSE,"WWCM"}</definedName>
    <definedName name="fff" localSheetId="3" hidden="1">{#N/A,#N/A,FALSE,"Pharm";#N/A,#N/A,FALSE,"WWCM"}</definedName>
    <definedName name="ffff" localSheetId="3" hidden="1">{#N/A,#N/A,TRUE,"BUD VS ACT AUST 96";#N/A,#N/A,TRUE,"96 COMP P&amp;L-AUST";#N/A,#N/A,TRUE,"COMP BS-AUSTRALIA";#N/A,#N/A,TRUE,"B/S - AUSTR."}</definedName>
    <definedName name="fffffff" localSheetId="3" hidden="1">{#N/A,#N/A,FALSE,"Pharm";#N/A,#N/A,FALSE,"WWCM"}</definedName>
    <definedName name="fg" localSheetId="3"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fgf" localSheetId="3" hidden="1">{#N/A,#N/A,FALSE,"COVER";#N/A,#N/A,FALSE,"RATIOS";#N/A,#N/A,FALSE,"LEVERAGE";#N/A,#N/A,FALSE,"TIER-1";#N/A,#N/A,FALSE,"RISK BASED ASSETS";#N/A,#N/A,FALSE,"TIER-2"}</definedName>
    <definedName name="fgj" localSheetId="3" hidden="1">{#N/A,#N/A,FALSE,"ACQ_GRAPHS";#N/A,#N/A,FALSE,"T_1 GRAPHS";#N/A,#N/A,FALSE,"T_2 GRAPHS";#N/A,#N/A,FALSE,"COMB_GRAPHS"}</definedName>
    <definedName name="fgkjkh" localSheetId="3" hidden="1">{#N/A,#N/A,FALSE,"REPORT"}</definedName>
    <definedName name="fgr" localSheetId="3"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inancial" localSheetId="3" hidden="1">{#N/A,#N/A,FALSE,"1996 Monthly Detail";#N/A,#N/A,FALSE,"1996 CashFlow";#N/A,#N/A,FALSE,"PNL By Dept";#N/A,#N/A,FALSE,"1997 Quarterly Detail";#N/A,#N/A,FALSE,"1998 Quarterly Detail";#N/A,#N/A,FALSE,"1997 Cash Flow";#N/A,#N/A,FALSE,"1998 Cash Flow"}</definedName>
    <definedName name="FJEZK" localSheetId="3" hidden="1">{#N/A,#N/A,FALSE,"Pharm";#N/A,#N/A,FALSE,"WWCM"}</definedName>
    <definedName name="FMVRATE" localSheetId="3">#REF!</definedName>
    <definedName name="FOHV" localSheetId="3">#REF!</definedName>
    <definedName name="fpdate" localSheetId="3">#REF!</definedName>
    <definedName name="france" localSheetId="3" hidden="1">{#N/A,#N/A,FALSE,"COMP BS-FRANCE";#N/A,#N/A,FALSE,"96 COMP P&amp;L-FRANCE";#N/A,#N/A,FALSE,"BUD VS ACT FRAN 96";#N/A,#N/A,FALSE,"B/S - FRANCE"}</definedName>
    <definedName name="FRANCE1" localSheetId="3" hidden="1">{#N/A,#N/A,FALSE,"COMP BS-FRANCE";#N/A,#N/A,FALSE,"96 COMP P&amp;L-FRANCE";#N/A,#N/A,FALSE,"BUD VS ACT FRAN 96";#N/A,#N/A,FALSE,"B/S - FRANCE"}</definedName>
    <definedName name="frequency" localSheetId="3">{"Annually";"Semi-Annually";"Quarterly";"Bi-Monthly";"Monthly";"Semi-Monthly";"Bi-Weekly";"Weekly"}</definedName>
    <definedName name="FRF" localSheetId="3" hidden="1">{#N/A,#N/A,FALSE,"1";#N/A,#N/A,FALSE,"2";#N/A,#N/A,FALSE,"16 - 17";#N/A,#N/A,FALSE,"18 - 19";#N/A,#N/A,FALSE,"26";#N/A,#N/A,FALSE,"27";#N/A,#N/A,FALSE,"28"}</definedName>
    <definedName name="FRFERFE" localSheetId="3" hidden="1">{#N/A,#N/A,FALSE,"Pharm";#N/A,#N/A,FALSE,"WWCM"}</definedName>
    <definedName name="Frght_Discnt" localSheetId="3">#REF!</definedName>
    <definedName name="fsdg" localSheetId="3">#REF!</definedName>
    <definedName name="fsdsfafd" localSheetId="3" hidden="1">{"CSheet",#N/A,FALSE,"C";"SmCap",#N/A,FALSE,"VAL1";"GulfCoast",#N/A,FALSE,"VAL1";"nav",#N/A,FALSE,"NAV";"Summary",#N/A,FALSE,"NAV"}</definedName>
    <definedName name="FSLine" localSheetId="3">#REF!</definedName>
    <definedName name="fuelco_wrn.test1." localSheetId="3" hidden="1">{"Income Statement",#N/A,FALSE,"CFMODEL";"Balance Sheet",#N/A,FALSE,"CFMODEL"}</definedName>
    <definedName name="fuelco_wrn.test2." localSheetId="3" hidden="1">{"SourcesUses",#N/A,TRUE,"CFMODEL";"TransOverview",#N/A,TRUE,"CFMODEL"}</definedName>
    <definedName name="fuelco_wrn.test3." localSheetId="3" hidden="1">{"SourcesUses",#N/A,TRUE,#N/A;"TransOverview",#N/A,TRUE,"CFMODEL"}</definedName>
    <definedName name="fuelco_wrn.test4." localSheetId="3" hidden="1">{"SourcesUses",#N/A,TRUE,"FundsFlow";"TransOverview",#N/A,TRUE,"FundsFlow"}</definedName>
    <definedName name="FVG" localSheetId="3" hidden="1">{#N/A,#N/A,FALSE,"Pharm";#N/A,#N/A,FALSE,"WWCM"}</definedName>
    <definedName name="g" localSheetId="3" hidden="1">{#N/A,#N/A,FALSE,"Pharm";#N/A,#N/A,FALSE,"WWCM"}</definedName>
    <definedName name="GAAP" localSheetId="3">#REF!</definedName>
    <definedName name="Gasout" localSheetId="3">#REF!</definedName>
    <definedName name="gdfgdf" localSheetId="3" hidden="1">{#N/A,#N/A,FALSE,"Pharm";#N/A,#N/A,FALSE,"WWCM"}</definedName>
    <definedName name="gfdjhjh" localSheetId="3" hidden="1">{#N/A,#N/A,FALSE,"Pharm";#N/A,#N/A,FALSE,"WWCM"}</definedName>
    <definedName name="GG" localSheetId="3" hidden="1">{#N/A,#N/A,FALSE,"PL-FS";#N/A,#N/A,FALSE,"PL"}</definedName>
    <definedName name="ghjfg" localSheetId="3" hidden="1">{#N/A,#N/A,TRUE,"ALLL";#N/A,#N/A,TRUE,"DEL";#N/A,#N/A,TRUE,"Reserve Analysis";#N/A,#N/A,TRUE,"C_OFF HISTORY";#N/A,#N/A,TRUE,"ALLL_QTR";#N/A,#N/A,TRUE,"HEA_M";#N/A,#N/A,TRUE,"BL_DET";#N/A,#N/A,TRUE,"3YRS+";#N/A,#N/A,TRUE,"CONSTR_DET"}</definedName>
    <definedName name="ghjggjh" localSheetId="3" hidden="1">{#N/A,#N/A,FALSE,"Pharm";#N/A,#N/A,FALSE,"WWCM"}</definedName>
    <definedName name="ghmtymk" localSheetId="3" hidden="1">{#N/A,#N/A,FALSE,"INPUTS";#N/A,#N/A,FALSE,"PROFORMA BSHEET";#N/A,#N/A,FALSE,"COMBINED";#N/A,#N/A,FALSE,"ACQUIROR";#N/A,#N/A,FALSE,"TARGET 1";#N/A,#N/A,FALSE,"TARGET 2";#N/A,#N/A,FALSE,"HIGH YIELD";#N/A,#N/A,FALSE,"OVERFUND"}</definedName>
    <definedName name="ghtj" localSheetId="3" hidden="1">{#N/A,#N/A,FALSE,"ACQ_GRAPHS";#N/A,#N/A,FALSE,"T_1 GRAPHS";#N/A,#N/A,FALSE,"T_2 GRAPHS";#N/A,#N/A,FALSE,"COMB_GRAPHS"}</definedName>
    <definedName name="gilb.wrn.test2." localSheetId="3" hidden="1">{"SourcesUses",#N/A,TRUE,"CFMODEL";"TransOverview",#N/A,TRUE,"CFMODEL"}</definedName>
    <definedName name="gilb.wrn.test3." localSheetId="3" hidden="1">{"SourcesUses",#N/A,TRUE,#N/A;"TransOverview",#N/A,TRUE,"CFMODEL"}</definedName>
    <definedName name="gilb.wrn.test4." localSheetId="3" hidden="1">{"SourcesUses",#N/A,TRUE,"FundsFlow";"TransOverview",#N/A,TRUE,"FundsFlow"}</definedName>
    <definedName name="gilb_wrn.test1" localSheetId="3" hidden="1">{"Income Statement",#N/A,FALSE,"CFMODEL";"Balance Sheet",#N/A,FALSE,"CFMODEL"}</definedName>
    <definedName name="Global1" localSheetId="3" hidden="1">{#N/A,#N/A,FALSE,"Pharm";#N/A,#N/A,FALSE,"WWCM"}</definedName>
    <definedName name="gmghm" localSheetId="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go" localSheetId="3" hidden="1">{"TOTAL",#N/A,FALSE,"A";"FISCAL94",#N/A,FALSE,"A";"FISCAL95",#N/A,FALSE,"A";"FISCAL96",#N/A,FALSE,"A";"misc page",#N/A,FALSE,"A"}</definedName>
    <definedName name="graph" localSheetId="3" hidden="1">{#N/A,#N/A,FALSE,"REPORT"}</definedName>
    <definedName name="gt" localSheetId="3" hidden="1">{#N/A,#N/A,FALSE,"COVER";#N/A,#N/A,FALSE,"Index";#N/A,#N/A,FALSE,"Non-Earning";#N/A,#N/A,FALSE,"Commercial";#N/A,#N/A,FALSE,"Detailed"}</definedName>
    <definedName name="h" localSheetId="3" hidden="1">{#N/A,#N/A,FALSE,"REPORT"}</definedName>
    <definedName name="hbkg" localSheetId="3" hidden="1">{#N/A,#N/A,FALSE,"COVER";#N/A,#N/A,FALSE,"Index";#N/A,#N/A,FALSE,"Non-Earning";#N/A,#N/A,FALSE,"Non-Earning-Recovery";#N/A,#N/A,FALSE,"Leasing_Equipo";#N/A,#N/A,FALSE,"Leasing_Auto";#N/A,#N/A,FALSE,"Leasing_Legal"}</definedName>
    <definedName name="Header" localSheetId="3">#REF!</definedName>
    <definedName name="Header1" localSheetId="3" hidden="1">IF(COUNTA(#REF!)=0,0,INDEX(#REF!,MATCH(ROW(#REF!),#REF!,TRUE)))+1</definedName>
    <definedName name="Header2" localSheetId="3" hidden="1">#REF!-1 &amp; "." &amp; MAX(1,COUNTA(INDEX(#REF!,MATCH(#REF!-1,#REF!,FALSE)):#REF!))</definedName>
    <definedName name="HFinGraph" localSheetId="3" hidden="1">{#N/A,#N/A,FALSE,"Pharm";#N/A,#N/A,FALSE,"WWCM"}</definedName>
    <definedName name="Hibh" localSheetId="3" hidden="1">{#N/A,#N/A,FALSE,"Pharm";#N/A,#N/A,FALSE,"WWCM"}</definedName>
    <definedName name="High" localSheetId="3" hidden="1">{#N/A,#N/A,FALSE,"Pharm";#N/A,#N/A,FALSE,"WWCM"}</definedName>
    <definedName name="hjhjffukfuk" localSheetId="3" hidden="1">{#N/A,#N/A,FALSE,"Pharm";#N/A,#N/A,FALSE,"WWCM"}</definedName>
    <definedName name="hjhjfkfukywrte" localSheetId="3" hidden="1">{#N/A,#N/A,FALSE,"Pharm";#N/A,#N/A,FALSE,"WWCM"}</definedName>
    <definedName name="hjhkjkl" localSheetId="3" hidden="1">{#N/A,#N/A,FALSE,"Pharm";#N/A,#N/A,FALSE,"WWCM"}</definedName>
    <definedName name="hjjjkk" localSheetId="3" hidden="1">{#N/A,#N/A,FALSE,"REPORT"}</definedName>
    <definedName name="hjjkk" localSheetId="3" hidden="1">{#N/A,#N/A,FALSE,"Pharm";#N/A,#N/A,FALSE,"WWCM"}</definedName>
    <definedName name="hjkk" localSheetId="3" hidden="1">{#N/A,#N/A,FALSE,"Pharm";#N/A,#N/A,FALSE,"WWCM"}</definedName>
    <definedName name="HKSH" localSheetId="3" hidden="1">{#N/A,#N/A,FALSE,"REPORT"}</definedName>
    <definedName name="HMG" localSheetId="3" hidden="1">{#N/A,#N/A,FALSE,"REPORT"}</definedName>
    <definedName name="hn._I018" localSheetId="3" hidden="1">#REF!</definedName>
    <definedName name="hn._I024" localSheetId="3" hidden="1">#REF!</definedName>
    <definedName name="hn._I028" localSheetId="3" hidden="1">#REF!</definedName>
    <definedName name="hn._I029" localSheetId="3" hidden="1">#REF!</definedName>
    <definedName name="hn._I030" localSheetId="3" hidden="1">#REF!</definedName>
    <definedName name="hn._I031" localSheetId="3" hidden="1">#REF!</definedName>
    <definedName name="hn._I059" localSheetId="3" hidden="1">#REF!</definedName>
    <definedName name="hn._I071" localSheetId="3" hidden="1">#REF!</definedName>
    <definedName name="hn._I075" localSheetId="3" hidden="1">#REF!</definedName>
    <definedName name="hn._I083" localSheetId="3" hidden="1">#REF!</definedName>
    <definedName name="hn._I085" localSheetId="3" hidden="1">#REF!</definedName>
    <definedName name="hn._P001" localSheetId="3" hidden="1">#REF!</definedName>
    <definedName name="hn._P004" localSheetId="3" hidden="1">#REF!</definedName>
    <definedName name="hn._P014" localSheetId="3" hidden="1">#REF!</definedName>
    <definedName name="hn._P016" localSheetId="3" hidden="1">#REF!</definedName>
    <definedName name="hn._P021" localSheetId="3" hidden="1">#REF!</definedName>
    <definedName name="hn._P024" localSheetId="3" hidden="1">#REF!</definedName>
    <definedName name="hn.Add015" localSheetId="3" hidden="1">#REF!</definedName>
    <definedName name="hn.Delete015" localSheetId="3" hidden="1">#REF!,#REF!,#REF!,#REF!,#REF!</definedName>
    <definedName name="hn.PrivateLTMYear" localSheetId="3" hidden="1">#REF!</definedName>
    <definedName name="HTML_Control" localSheetId="3" hidden="1">{"'ATP'!$E$6"}</definedName>
    <definedName name="HTML_Control_1" localSheetId="3" hidden="1">{"'ATP'!$E$6"}</definedName>
    <definedName name="HTML_Header" localSheetId="3" hidden="1">""</definedName>
    <definedName name="HTML_LastUpdate" localSheetId="3" hidden="1">"2/4/99"</definedName>
    <definedName name="HTML_Name" localSheetId="3" hidden="1">"Marianne Kim"</definedName>
    <definedName name="HTML_PathFile" localSheetId="3" hidden="1">"h:\home\MJK\atp.htm"</definedName>
    <definedName name="HTML_Title" localSheetId="3" hidden="1">"atp"</definedName>
    <definedName name="htyuityuiotio" localSheetId="3" hidden="1">{#N/A,#N/A,FALSE,"REPORT"}</definedName>
    <definedName name="Hypertention" localSheetId="3" hidden="1">{#N/A,#N/A,FALSE,"Pharm";#N/A,#N/A,FALSE,"WWCM"}</definedName>
    <definedName name="hypo" localSheetId="3" hidden="1">{#N/A,#N/A,FALSE,"Pharm";#N/A,#N/A,FALSE,"WWCM"}</definedName>
    <definedName name="I" localSheetId="3" hidden="1">#REF!</definedName>
    <definedName name="Int" localSheetId="3">#REF!</definedName>
    <definedName name="InterestRate" localSheetId="3">#REF!</definedName>
    <definedName name="InterestRate2014" localSheetId="3">#REF!</definedName>
    <definedName name="InterestRate2016" localSheetId="3">#REF!</definedName>
    <definedName name="InterestRate2017" localSheetId="3">#REF!</definedName>
    <definedName name="InterestRate2018" localSheetId="3">#REF!</definedName>
    <definedName name="InterestRateCurrent" localSheetId="3">#REF!</definedName>
    <definedName name="InterestRateRealEstate" localSheetId="3">#REF!</definedName>
    <definedName name="IntroPrintArea" localSheetId="3" hidden="1">#REF!</definedName>
    <definedName name="investment" localSheetId="3">#REF!</definedName>
    <definedName name="InvFootnote" localSheetId="3">#REF!</definedName>
    <definedName name="Invout" localSheetId="3">#REF!</definedName>
    <definedName name="IP" localSheetId="3" hidden="1">{#N/A,#N/A,FALSE,"Pharm";#N/A,#N/A,FALSE,"WWCM"}</definedName>
    <definedName name="IPRD_mites" localSheetId="3" hidden="1">{"bs",#N/A,FALSE,"SCF"}</definedName>
    <definedName name="IPRD_Pollen" localSheetId="3" hidden="1">{"bs",#N/A,FALSE,"SCF"}</definedName>
    <definedName name="IQ_EXPENSE_CODE_" localSheetId="3" hidden="1">"General Advisory"</definedName>
    <definedName name="IQ_NAMES_REVISION_DATE_" localSheetId="3" hidden="1">40449.4288773148</definedName>
    <definedName name="IQB_BOOKMARK_LOCATION_0" localSheetId="3" hidden="1">#REF!</definedName>
    <definedName name="IQR111711P10" localSheetId="3" hidden="1">#REF!</definedName>
    <definedName name="IQR111711P101" localSheetId="3" hidden="1">#REF!</definedName>
    <definedName name="IQR111711P102" localSheetId="3" hidden="1">#REF!</definedName>
    <definedName name="IQR111711P103" localSheetId="3" hidden="1">#REF!</definedName>
    <definedName name="IQR111711P104" localSheetId="3" hidden="1">#REF!</definedName>
    <definedName name="IQR111711P106" localSheetId="3" hidden="1">#REF!</definedName>
    <definedName name="IQR111711P107" localSheetId="3" hidden="1">#REF!</definedName>
    <definedName name="IQR111711P110" localSheetId="3" hidden="1">#REF!</definedName>
    <definedName name="IQR111711P111" localSheetId="3" hidden="1">#REF!</definedName>
    <definedName name="IQR111711P112" localSheetId="3" hidden="1">#REF!</definedName>
    <definedName name="IQR111711P113" localSheetId="3" hidden="1">#REF!</definedName>
    <definedName name="IQR111711P114" localSheetId="3" hidden="1">#REF!</definedName>
    <definedName name="IQR111711P117" localSheetId="3" hidden="1">#REF!</definedName>
    <definedName name="IQR111711P119" localSheetId="3" hidden="1">#REF!</definedName>
    <definedName name="IQR111711P120" localSheetId="3" hidden="1">#REF!</definedName>
    <definedName name="IQR111711P122" localSheetId="3" hidden="1">#REF!</definedName>
    <definedName name="IQR111711P123" localSheetId="3" hidden="1">#REF!</definedName>
    <definedName name="IQR111711P124" localSheetId="3" hidden="1">#REF!</definedName>
    <definedName name="IQR111711P127" localSheetId="3" hidden="1">#REF!</definedName>
    <definedName name="IQR111711P128" localSheetId="3" hidden="1">#REF!</definedName>
    <definedName name="IQR111711P13" localSheetId="3" hidden="1">#REF!</definedName>
    <definedName name="IQR111711P131" localSheetId="3" hidden="1">#REF!</definedName>
    <definedName name="IQR111711P132" localSheetId="3" hidden="1">#REF!</definedName>
    <definedName name="IQR111711P134" localSheetId="3" hidden="1">#REF!</definedName>
    <definedName name="IQR111711P135" localSheetId="3" hidden="1">#REF!</definedName>
    <definedName name="IQR111711P136" localSheetId="3" hidden="1">#REF!</definedName>
    <definedName name="IQR111711P138" localSheetId="3" hidden="1">#REF!</definedName>
    <definedName name="IQR111711P139" localSheetId="3" hidden="1">#REF!</definedName>
    <definedName name="IQR111711P14" localSheetId="3" hidden="1">#REF!</definedName>
    <definedName name="IQR111711P140" localSheetId="3" hidden="1">#REF!</definedName>
    <definedName name="IQR111711P141" localSheetId="3" hidden="1">#REF!</definedName>
    <definedName name="IQR111711P142" localSheetId="3" hidden="1">#REF!</definedName>
    <definedName name="IQR111711P143" localSheetId="3" hidden="1">#REF!</definedName>
    <definedName name="IQR111711P144" localSheetId="3" hidden="1">#REF!</definedName>
    <definedName name="IQR111711P145" localSheetId="3" hidden="1">#REF!</definedName>
    <definedName name="IQR111711P148" localSheetId="3" hidden="1">#REF!</definedName>
    <definedName name="IQR111711P149" localSheetId="3" hidden="1">#REF!</definedName>
    <definedName name="IQR111711P150" localSheetId="3" hidden="1">#REF!</definedName>
    <definedName name="IQR111711P153" localSheetId="3" hidden="1">#REF!</definedName>
    <definedName name="IQR111711P155" localSheetId="3" hidden="1">#REF!</definedName>
    <definedName name="IQR111711P156" localSheetId="3" hidden="1">#REF!</definedName>
    <definedName name="IQR111711P161" localSheetId="3" hidden="1">#REF!</definedName>
    <definedName name="IQR111711P163" localSheetId="3" hidden="1">#REF!</definedName>
    <definedName name="IQR111711P167" localSheetId="3" hidden="1">#REF!</definedName>
    <definedName name="IQR111711P168" localSheetId="3" hidden="1">#REF!</definedName>
    <definedName name="IQR111711P169" localSheetId="3" hidden="1">#REF!</definedName>
    <definedName name="IQR111711P17" localSheetId="3" hidden="1">#REF!</definedName>
    <definedName name="IQR111711P170" localSheetId="3" hidden="1">#REF!</definedName>
    <definedName name="IQR111711P172" localSheetId="3" hidden="1">#REF!</definedName>
    <definedName name="IQR111711P174" localSheetId="3" hidden="1">#REF!</definedName>
    <definedName name="IQR111711P175" localSheetId="3" hidden="1">#REF!</definedName>
    <definedName name="IQR111711P179" localSheetId="3" hidden="1">#REF!</definedName>
    <definedName name="IQR111711P18" localSheetId="3" hidden="1">#REF!</definedName>
    <definedName name="IQR111711P182" localSheetId="3" hidden="1">#REF!</definedName>
    <definedName name="IQR111711P183" localSheetId="3" hidden="1">#REF!</definedName>
    <definedName name="IQR111711P187" localSheetId="3" hidden="1">#REF!</definedName>
    <definedName name="IQR111711P188" localSheetId="3" hidden="1">#REF!</definedName>
    <definedName name="IQR111711P190" localSheetId="3" hidden="1">#REF!</definedName>
    <definedName name="IQR111711P192" localSheetId="3" hidden="1">#REF!</definedName>
    <definedName name="IQR111711P193" localSheetId="3" hidden="1">#REF!</definedName>
    <definedName name="IQR111711P195" localSheetId="3" hidden="1">#REF!</definedName>
    <definedName name="IQR111711P196" localSheetId="3" hidden="1">#REF!</definedName>
    <definedName name="IQR111711P198" localSheetId="3" hidden="1">#REF!</definedName>
    <definedName name="IQR111711P199" localSheetId="3" hidden="1">#REF!</definedName>
    <definedName name="IQR111711P200" localSheetId="3" hidden="1">#REF!</definedName>
    <definedName name="IQR111711P202" localSheetId="3" hidden="1">#REF!</definedName>
    <definedName name="IQR111711P205" localSheetId="3" hidden="1">#REF!</definedName>
    <definedName name="IQR111711P206" localSheetId="3" hidden="1">#REF!</definedName>
    <definedName name="IQR111711P207" localSheetId="3" hidden="1">#REF!</definedName>
    <definedName name="IQR111711P208" localSheetId="3" hidden="1">#REF!</definedName>
    <definedName name="IQR111711P21" localSheetId="3" hidden="1">#REF!</definedName>
    <definedName name="IQR111711P210" localSheetId="3" hidden="1">#REF!</definedName>
    <definedName name="IQR111711P211" localSheetId="3" hidden="1">#REF!</definedName>
    <definedName name="IQR111711P212" localSheetId="3" hidden="1">#REF!</definedName>
    <definedName name="IQR111711P213" localSheetId="3" hidden="1">#REF!</definedName>
    <definedName name="IQR111711P214" localSheetId="3" hidden="1">#REF!</definedName>
    <definedName name="IQR111711P215" localSheetId="3" hidden="1">#REF!</definedName>
    <definedName name="IQR111711P216" localSheetId="3" hidden="1">#REF!</definedName>
    <definedName name="IQR111711P218" localSheetId="3" hidden="1">#REF!</definedName>
    <definedName name="IQR111711P219" localSheetId="3" hidden="1">#REF!</definedName>
    <definedName name="IQR111711P222" localSheetId="3" hidden="1">#REF!</definedName>
    <definedName name="IQR111711P223" localSheetId="3" hidden="1">#REF!</definedName>
    <definedName name="IQR111711P224" localSheetId="3" hidden="1">#REF!</definedName>
    <definedName name="IQR111711P225" localSheetId="3" hidden="1">#REF!</definedName>
    <definedName name="IQR111711P227" localSheetId="3" hidden="1">#REF!</definedName>
    <definedName name="IQR111711P229" localSheetId="3" hidden="1">#REF!</definedName>
    <definedName name="IQR111711P23" localSheetId="3" hidden="1">#REF!</definedName>
    <definedName name="IQR111711P230" localSheetId="3" hidden="1">#REF!</definedName>
    <definedName name="IQR111711P232" localSheetId="3" hidden="1">#REF!</definedName>
    <definedName name="IQR111711P233" localSheetId="3" hidden="1">#REF!</definedName>
    <definedName name="IQR111711P234" localSheetId="3" hidden="1">#REF!</definedName>
    <definedName name="IQR111711P237" localSheetId="3" hidden="1">#REF!</definedName>
    <definedName name="IQR111711P238" localSheetId="3" hidden="1">#REF!</definedName>
    <definedName name="IQR111711P239" localSheetId="3" hidden="1">#REF!</definedName>
    <definedName name="IQR111711P24" localSheetId="3" hidden="1">#REF!</definedName>
    <definedName name="IQR111711P240" localSheetId="3" hidden="1">#REF!</definedName>
    <definedName name="IQR111711P242" localSheetId="3" hidden="1">#REF!</definedName>
    <definedName name="IQR111711P243" localSheetId="3" hidden="1">#REF!</definedName>
    <definedName name="IQR111711P245" localSheetId="3" hidden="1">#REF!</definedName>
    <definedName name="IQR111711P247" localSheetId="3" hidden="1">#REF!</definedName>
    <definedName name="IQR111711P248" localSheetId="3" hidden="1">#REF!</definedName>
    <definedName name="IQR111711P249" localSheetId="3" hidden="1">#REF!</definedName>
    <definedName name="IQR111711P25" localSheetId="3" hidden="1">#REF!</definedName>
    <definedName name="IQR111711P252" localSheetId="3" hidden="1">#REF!</definedName>
    <definedName name="IQR111711P253" localSheetId="3" hidden="1">#REF!</definedName>
    <definedName name="IQR111711P254" localSheetId="3" hidden="1">#REF!</definedName>
    <definedName name="IQR111711P255" localSheetId="3" hidden="1">#REF!</definedName>
    <definedName name="IQR111711P256" localSheetId="3" hidden="1">#REF!</definedName>
    <definedName name="IQR111711P257" localSheetId="3" hidden="1">#REF!</definedName>
    <definedName name="IQR111711P258" localSheetId="3" hidden="1">#REF!</definedName>
    <definedName name="IQR111711P259" localSheetId="3" hidden="1">#REF!</definedName>
    <definedName name="IQR111711P26" localSheetId="3" hidden="1">#REF!</definedName>
    <definedName name="IQR111711P260" localSheetId="3" hidden="1">#REF!</definedName>
    <definedName name="IQR111711P261" localSheetId="3" hidden="1">#REF!</definedName>
    <definedName name="IQR111711P263" localSheetId="3" hidden="1">#REF!</definedName>
    <definedName name="IQR111711P264" localSheetId="3" hidden="1">#REF!</definedName>
    <definedName name="IQR111711P265" localSheetId="3" hidden="1">#REF!</definedName>
    <definedName name="IQR111711P266" localSheetId="3" hidden="1">#REF!</definedName>
    <definedName name="IQR111711P267" localSheetId="3" hidden="1">#REF!</definedName>
    <definedName name="IQR111711P269" localSheetId="3" hidden="1">#REF!</definedName>
    <definedName name="IQR111711P27" localSheetId="3" hidden="1">#REF!</definedName>
    <definedName name="IQR111711P270" localSheetId="3" hidden="1">#REF!</definedName>
    <definedName name="IQR111711P271" localSheetId="3" hidden="1">#REF!</definedName>
    <definedName name="IQR111711P275" localSheetId="3" hidden="1">#REF!</definedName>
    <definedName name="IQR111711P276" localSheetId="3" hidden="1">#REF!</definedName>
    <definedName name="IQR111711P278" localSheetId="3" hidden="1">#REF!</definedName>
    <definedName name="IQR111711P279" localSheetId="3" hidden="1">#REF!</definedName>
    <definedName name="IQR111711P28" localSheetId="3" hidden="1">#REF!</definedName>
    <definedName name="IQR111711P280" localSheetId="3" hidden="1">#REF!</definedName>
    <definedName name="IQR111711P281" localSheetId="3" hidden="1">#REF!</definedName>
    <definedName name="IQR111711P282" localSheetId="3" hidden="1">#REF!</definedName>
    <definedName name="IQR111711P284" localSheetId="3" hidden="1">#REF!</definedName>
    <definedName name="IQR111711P285" localSheetId="3" hidden="1">#REF!</definedName>
    <definedName name="IQR111711P286" localSheetId="3" hidden="1">#REF!</definedName>
    <definedName name="IQR111711P289" localSheetId="3" hidden="1">#REF!</definedName>
    <definedName name="IQR111711P29" localSheetId="3" hidden="1">#REF!</definedName>
    <definedName name="IQR111711P290" localSheetId="3" hidden="1">#REF!</definedName>
    <definedName name="IQR111711P292" localSheetId="3" hidden="1">#REF!</definedName>
    <definedName name="IQR111711P294" localSheetId="3" hidden="1">#REF!</definedName>
    <definedName name="IQR111711P295" localSheetId="3" hidden="1">#REF!</definedName>
    <definedName name="IQR111711P297" localSheetId="3" hidden="1">#REF!</definedName>
    <definedName name="IQR111711P299" localSheetId="3" hidden="1">#REF!</definedName>
    <definedName name="IQR111711P30" localSheetId="3" hidden="1">#REF!</definedName>
    <definedName name="IQR111711P300" localSheetId="3" hidden="1">#REF!</definedName>
    <definedName name="IQR111711P301" localSheetId="3" hidden="1">#REF!</definedName>
    <definedName name="IQR111711P303" localSheetId="3" hidden="1">#REF!</definedName>
    <definedName name="IQR111711P304" localSheetId="3" hidden="1">#REF!</definedName>
    <definedName name="IQR111711P306" localSheetId="3" hidden="1">#REF!</definedName>
    <definedName name="IQR111711P307" localSheetId="3" hidden="1">#REF!</definedName>
    <definedName name="IQR111711P308" localSheetId="3" hidden="1">#REF!</definedName>
    <definedName name="IQR111711P309" localSheetId="3" hidden="1">#REF!</definedName>
    <definedName name="IQR111711P31" localSheetId="3" hidden="1">#REF!</definedName>
    <definedName name="IQR111711P311" localSheetId="3" hidden="1">#REF!</definedName>
    <definedName name="IQR111711P312" localSheetId="3" hidden="1">#REF!</definedName>
    <definedName name="IQR111711P313" localSheetId="3" hidden="1">#REF!</definedName>
    <definedName name="IQR111711P314" localSheetId="3" hidden="1">#REF!</definedName>
    <definedName name="IQR111711P315" localSheetId="3" hidden="1">#REF!</definedName>
    <definedName name="IQR111711P318" localSheetId="3" hidden="1">#REF!</definedName>
    <definedName name="IQR111711P319" localSheetId="3" hidden="1">#REF!</definedName>
    <definedName name="IQR111711P32" localSheetId="3" hidden="1">#REF!</definedName>
    <definedName name="IQR111711P320" localSheetId="3" hidden="1">#REF!</definedName>
    <definedName name="IQR111711P321" localSheetId="3" hidden="1">#REF!</definedName>
    <definedName name="IQR111711P322" localSheetId="3" hidden="1">#REF!</definedName>
    <definedName name="IQR111711P323" localSheetId="3" hidden="1">#REF!</definedName>
    <definedName name="IQR111711P324" localSheetId="3" hidden="1">#REF!</definedName>
    <definedName name="IQR111711P325" localSheetId="3" hidden="1">#REF!</definedName>
    <definedName name="IQR111711P327" localSheetId="3" hidden="1">#REF!</definedName>
    <definedName name="IQR111711P328" localSheetId="3" hidden="1">#REF!</definedName>
    <definedName name="IQR111711P329" localSheetId="3" hidden="1">#REF!</definedName>
    <definedName name="IQR111711P33" localSheetId="3" hidden="1">#REF!</definedName>
    <definedName name="IQR111711P330" localSheetId="3" hidden="1">#REF!</definedName>
    <definedName name="IQR111711P331" localSheetId="3" hidden="1">#REF!</definedName>
    <definedName name="IQR111711P333" localSheetId="3" hidden="1">#REF!</definedName>
    <definedName name="IQR111711P335" localSheetId="3" hidden="1">#REF!</definedName>
    <definedName name="IQR111711P336" localSheetId="3" hidden="1">#REF!</definedName>
    <definedName name="IQR111711P337" localSheetId="3" hidden="1">#REF!</definedName>
    <definedName name="IQR111711P338" localSheetId="3" hidden="1">#REF!</definedName>
    <definedName name="IQR111711P339" localSheetId="3" hidden="1">#REF!</definedName>
    <definedName name="IQR111711P34" localSheetId="3" hidden="1">#REF!</definedName>
    <definedName name="IQR111711P340" localSheetId="3" hidden="1">#REF!</definedName>
    <definedName name="IQR111711P341" localSheetId="3" hidden="1">#REF!</definedName>
    <definedName name="IQR111711P343" localSheetId="3" hidden="1">#REF!</definedName>
    <definedName name="IQR111711P345" localSheetId="3" hidden="1">#REF!</definedName>
    <definedName name="IQR111711P346" localSheetId="3" hidden="1">#REF!</definedName>
    <definedName name="IQR111711P347" localSheetId="3" hidden="1">#REF!</definedName>
    <definedName name="IQR111711P348" localSheetId="3" hidden="1">#REF!</definedName>
    <definedName name="IQR111711P349" localSheetId="3" hidden="1">#REF!</definedName>
    <definedName name="IQR111711P350" localSheetId="3" hidden="1">#REF!</definedName>
    <definedName name="IQR111711P352" localSheetId="3" hidden="1">#REF!</definedName>
    <definedName name="IQR111711P353" localSheetId="3" hidden="1">#REF!</definedName>
    <definedName name="IQR111711P354" localSheetId="3" hidden="1">#REF!</definedName>
    <definedName name="IQR111711P355" localSheetId="3" hidden="1">#REF!</definedName>
    <definedName name="IQR111711P356" localSheetId="3" hidden="1">#REF!</definedName>
    <definedName name="IQR111711P358" localSheetId="3" hidden="1">#REF!</definedName>
    <definedName name="IQR111711P36" localSheetId="3" hidden="1">#REF!</definedName>
    <definedName name="IQR111711P361" localSheetId="3" hidden="1">#REF!</definedName>
    <definedName name="IQR111711P362" localSheetId="3" hidden="1">#REF!</definedName>
    <definedName name="IQR111711P364" localSheetId="3" hidden="1">#REF!</definedName>
    <definedName name="IQR111711P367" localSheetId="3" hidden="1">#REF!</definedName>
    <definedName name="IQR111711P368" localSheetId="3" hidden="1">#REF!</definedName>
    <definedName name="IQR111711P369" localSheetId="3" hidden="1">#REF!</definedName>
    <definedName name="IQR111711P37" localSheetId="3" hidden="1">#REF!</definedName>
    <definedName name="IQR111711P370" localSheetId="3" hidden="1">#REF!</definedName>
    <definedName name="IQR111711P372" localSheetId="3" hidden="1">#REF!</definedName>
    <definedName name="IQR111711P374" localSheetId="3" hidden="1">#REF!</definedName>
    <definedName name="IQR111711P375" localSheetId="3" hidden="1">#REF!</definedName>
    <definedName name="IQR111711P378" localSheetId="3" hidden="1">#REF!</definedName>
    <definedName name="IQR111711P379" localSheetId="3" hidden="1">#REF!</definedName>
    <definedName name="IQR111711P38" localSheetId="3" hidden="1">#REF!</definedName>
    <definedName name="IQR111711P380" localSheetId="3" hidden="1">#REF!</definedName>
    <definedName name="IQR111711P381" localSheetId="3" hidden="1">#REF!</definedName>
    <definedName name="IQR111711P41" localSheetId="3" hidden="1">#REF!</definedName>
    <definedName name="IQR111711P42" localSheetId="3" hidden="1">#REF!</definedName>
    <definedName name="IQR111711P43" localSheetId="3" hidden="1">#REF!</definedName>
    <definedName name="IQR111711P44" localSheetId="3" hidden="1">#REF!</definedName>
    <definedName name="IQR111711P46" localSheetId="3" hidden="1">#REF!</definedName>
    <definedName name="IQR111711P48" localSheetId="3" hidden="1">#REF!</definedName>
    <definedName name="IQR111711P50" localSheetId="3" hidden="1">#REF!</definedName>
    <definedName name="IQR111711P51" localSheetId="3" hidden="1">#REF!</definedName>
    <definedName name="IQR111711P55" localSheetId="3" hidden="1">#REF!</definedName>
    <definedName name="IQR111711P56" localSheetId="3" hidden="1">#REF!</definedName>
    <definedName name="IQR111711P57" localSheetId="3" hidden="1">#REF!</definedName>
    <definedName name="IQR111711P58" localSheetId="3" hidden="1">#REF!</definedName>
    <definedName name="IQR111711P59" localSheetId="3" hidden="1">#REF!</definedName>
    <definedName name="IQR111711P62" localSheetId="3" hidden="1">#REF!</definedName>
    <definedName name="IQR111711P64" localSheetId="3" hidden="1">#REF!</definedName>
    <definedName name="IQR111711P65" localSheetId="3" hidden="1">#REF!</definedName>
    <definedName name="IQR111711P66" localSheetId="3" hidden="1">#REF!</definedName>
    <definedName name="IQR111711P67" localSheetId="3" hidden="1">#REF!</definedName>
    <definedName name="IQR111711P69" localSheetId="3" hidden="1">#REF!</definedName>
    <definedName name="IQR111711P70" localSheetId="3" hidden="1">#REF!</definedName>
    <definedName name="IQR111711P71" localSheetId="3" hidden="1">#REF!</definedName>
    <definedName name="IQR111711P74" localSheetId="3" hidden="1">#REF!</definedName>
    <definedName name="IQR111711P75" localSheetId="3" hidden="1">#REF!</definedName>
    <definedName name="IQR111711P76" localSheetId="3" hidden="1">#REF!</definedName>
    <definedName name="IQR111711P77" localSheetId="3" hidden="1">#REF!</definedName>
    <definedName name="IQR111711P79" localSheetId="3" hidden="1">#REF!</definedName>
    <definedName name="IQR111711P81" localSheetId="3" hidden="1">#REF!</definedName>
    <definedName name="IQR111711P83" localSheetId="3" hidden="1">#REF!</definedName>
    <definedName name="IQR111711P87" localSheetId="3" hidden="1">#REF!</definedName>
    <definedName name="IQR111711P88" localSheetId="3" hidden="1">#REF!</definedName>
    <definedName name="IQR111711P9" localSheetId="3" hidden="1">#REF!</definedName>
    <definedName name="IQR111711P91" localSheetId="3" hidden="1">#REF!</definedName>
    <definedName name="IQR111711P92" localSheetId="3" hidden="1">#REF!</definedName>
    <definedName name="IQR111711P93" localSheetId="3" hidden="1">#REF!</definedName>
    <definedName name="IQR111711P94" localSheetId="3" hidden="1">#REF!</definedName>
    <definedName name="IQR111711P95" localSheetId="3" hidden="1">#REF!</definedName>
    <definedName name="IQR111711P96" localSheetId="3" hidden="1">#REF!</definedName>
    <definedName name="IQR111711P98" localSheetId="3" hidden="1">#REF!</definedName>
    <definedName name="IQR111711Q112" localSheetId="3" hidden="1">#REF!</definedName>
    <definedName name="IQR111711Q113" localSheetId="3" hidden="1">#REF!</definedName>
    <definedName name="IQR111711Q14" localSheetId="3" hidden="1">#REF!</definedName>
    <definedName name="IQR111711Q148" localSheetId="3" hidden="1">#REF!</definedName>
    <definedName name="IQR111711Q149" localSheetId="3" hidden="1">#REF!</definedName>
    <definedName name="IQR111711Q17" localSheetId="3" hidden="1">#REF!</definedName>
    <definedName name="IQR111711Q174" localSheetId="3" hidden="1">#REF!</definedName>
    <definedName name="IQR111711Q175" localSheetId="3" hidden="1">#REF!</definedName>
    <definedName name="IQR111711Q187" localSheetId="3" hidden="1">#REF!</definedName>
    <definedName name="IQR111711Q188" localSheetId="3" hidden="1">#REF!</definedName>
    <definedName name="IQR111711Q224" localSheetId="3" hidden="1">#REF!</definedName>
    <definedName name="IQR111711Q225" localSheetId="3" hidden="1">#REF!</definedName>
    <definedName name="IQR111711Q242" localSheetId="3" hidden="1">#REF!</definedName>
    <definedName name="IQR111711Q243" localSheetId="3" hidden="1">#REF!</definedName>
    <definedName name="IQR111711Q270" localSheetId="3" hidden="1">#REF!</definedName>
    <definedName name="IQR111711Q271" localSheetId="3" hidden="1">#REF!</definedName>
    <definedName name="IQR111711Q289" localSheetId="3" hidden="1">#REF!</definedName>
    <definedName name="IQR111711Q290" localSheetId="3" hidden="1">#REF!</definedName>
    <definedName name="IQR111711Q313" localSheetId="3" hidden="1">#REF!</definedName>
    <definedName name="IQR111711Q314" localSheetId="3" hidden="1">#REF!</definedName>
    <definedName name="IQR111711Q330" localSheetId="3" hidden="1">#REF!</definedName>
    <definedName name="IQR111711Q331" localSheetId="3" hidden="1">#REF!</definedName>
    <definedName name="IQR111711Q43" localSheetId="3" hidden="1">#REF!</definedName>
    <definedName name="IQR111711Q44" localSheetId="3" hidden="1">#REF!</definedName>
    <definedName name="IQR111711Q69" localSheetId="3" hidden="1">#REF!</definedName>
    <definedName name="IQR111711Q70" localSheetId="3" hidden="1">#REF!</definedName>
    <definedName name="IQR111711Q74" localSheetId="3" hidden="1">#REF!</definedName>
    <definedName name="IQR111711Q75" localSheetId="3" hidden="1">#REF!</definedName>
    <definedName name="IQR111711Q76" localSheetId="3" hidden="1">#REF!</definedName>
    <definedName name="IQR111711Q77" localSheetId="3" hidden="1">#REF!</definedName>
    <definedName name="IQR111711Q9" localSheetId="3" hidden="1">#REF!</definedName>
    <definedName name="IQRB17" localSheetId="3" hidden="1">"$B$18:$B$77"</definedName>
    <definedName name="IQRCompaniesH12" localSheetId="3" hidden="1">#REF!</definedName>
    <definedName name="IQRCompaniesH13" localSheetId="3" hidden="1">#REF!</definedName>
    <definedName name="IQRCompaniesH14" localSheetId="3" hidden="1">#REF!</definedName>
    <definedName name="IQRCompaniesH15" localSheetId="3" hidden="1">#REF!</definedName>
    <definedName name="IQRCompaniesH16" localSheetId="3" hidden="1">#REF!</definedName>
    <definedName name="IQRCompaniesH17" localSheetId="3" hidden="1">#REF!</definedName>
    <definedName name="IQRCompaniesH18" localSheetId="3" hidden="1">#REF!</definedName>
    <definedName name="IQRCompaniesH19" localSheetId="3" hidden="1">#REF!</definedName>
    <definedName name="IQRCompaniesH22" localSheetId="3" hidden="1">#REF!</definedName>
    <definedName name="IQRCompaniesH23" localSheetId="3" hidden="1">#REF!</definedName>
    <definedName name="IQRCompaniesH24" localSheetId="3" hidden="1">#REF!</definedName>
    <definedName name="IQRCompaniesH25" localSheetId="3" hidden="1">#REF!</definedName>
    <definedName name="IQRCompaniesH26" localSheetId="3" hidden="1">#REF!</definedName>
    <definedName name="IQRCompaniesH27" localSheetId="3" hidden="1">#REF!</definedName>
    <definedName name="IQRCompaniesH28" localSheetId="3" hidden="1">#REF!</definedName>
    <definedName name="IQRCompaniesH29" localSheetId="3" hidden="1">#REF!</definedName>
    <definedName name="IQRCompaniesH30" localSheetId="3" hidden="1">#REF!</definedName>
    <definedName name="IQRCompaniesH31" localSheetId="3" hidden="1">#REF!</definedName>
    <definedName name="IQRCompaniesH32" localSheetId="3" hidden="1">#REF!</definedName>
    <definedName name="IQRCompaniesH33" localSheetId="3" hidden="1">#REF!</definedName>
    <definedName name="IQRCompaniesH34" localSheetId="3" hidden="1">#REF!</definedName>
    <definedName name="IQRCompaniesH35" localSheetId="3" hidden="1">#REF!</definedName>
    <definedName name="IQRCompaniesH36" localSheetId="3" hidden="1">#REF!</definedName>
    <definedName name="IQRCompaniesH38" localSheetId="3" hidden="1">#REF!</definedName>
    <definedName name="IQRCompaniesH39" localSheetId="3" hidden="1">#REF!</definedName>
    <definedName name="IQRCompaniesH40" localSheetId="3" hidden="1">#REF!</definedName>
    <definedName name="IQRCompaniesH41" localSheetId="3" hidden="1">#REF!</definedName>
    <definedName name="IQRCompaniesH42" localSheetId="3" hidden="1">#REF!</definedName>
    <definedName name="IQRCompaniesH43" localSheetId="3" hidden="1">#REF!</definedName>
    <definedName name="IQRCompaniesH44" localSheetId="3" hidden="1">#REF!</definedName>
    <definedName name="IQRCompaniesH46" localSheetId="3" hidden="1">#REF!</definedName>
    <definedName name="IQRCompaniesH47" localSheetId="3" hidden="1">#REF!</definedName>
    <definedName name="IQRCompaniesH48" localSheetId="3" hidden="1">#REF!</definedName>
    <definedName name="IQRCompaniesH49" localSheetId="3" hidden="1">#REF!</definedName>
    <definedName name="IQRCompaniesH50" localSheetId="3" hidden="1">#REF!</definedName>
    <definedName name="IQRCompaniesH51" localSheetId="3" hidden="1">#REF!</definedName>
    <definedName name="IQRCompaniesH52" localSheetId="3" hidden="1">#REF!</definedName>
    <definedName name="IQRCompaniesH54" localSheetId="3" hidden="1">#REF!</definedName>
    <definedName name="IQRCompaniesH55" localSheetId="3" hidden="1">#REF!</definedName>
    <definedName name="IQRCompaniesH56" localSheetId="3" hidden="1">#REF!</definedName>
    <definedName name="IQRCompaniesH57" localSheetId="3" hidden="1">#REF!</definedName>
    <definedName name="IQRCompaniesH58" localSheetId="3" hidden="1">#REF!</definedName>
    <definedName name="IQRCompaniesH59" localSheetId="3" hidden="1">#REF!</definedName>
    <definedName name="IQRCompaniesN12" localSheetId="3" hidden="1">#REF!</definedName>
    <definedName name="IQRCompaniesN13" localSheetId="3" hidden="1">#REF!</definedName>
    <definedName name="IQRCompaniesN14" localSheetId="3" hidden="1">#REF!</definedName>
    <definedName name="IQRCompaniesN15" localSheetId="3" hidden="1">#REF!</definedName>
    <definedName name="IQRCompaniesN16" localSheetId="3" hidden="1">#REF!</definedName>
    <definedName name="IQRCompaniesN17" localSheetId="3" hidden="1">#REF!</definedName>
    <definedName name="IQRCompaniesN18" localSheetId="3" hidden="1">#REF!</definedName>
    <definedName name="IQRCompaniesN19" localSheetId="3" hidden="1">#REF!</definedName>
    <definedName name="IQRCompaniesN22" localSheetId="3" hidden="1">#REF!</definedName>
    <definedName name="IQRCompaniesN23" localSheetId="3" hidden="1">#REF!</definedName>
    <definedName name="IQRCompaniesN24" localSheetId="3" hidden="1">#REF!</definedName>
    <definedName name="IQRCompaniesN25" localSheetId="3" hidden="1">#REF!</definedName>
    <definedName name="IQRCompaniesN26" localSheetId="3" hidden="1">#REF!</definedName>
    <definedName name="IQRCompaniesN27" localSheetId="3" hidden="1">#REF!</definedName>
    <definedName name="IQRCompaniesN28" localSheetId="3" hidden="1">#REF!</definedName>
    <definedName name="IQRCompaniesN29" localSheetId="3" hidden="1">#REF!</definedName>
    <definedName name="IQRCompaniesN30" localSheetId="3" hidden="1">#REF!</definedName>
    <definedName name="IQRCompaniesN31" localSheetId="3" hidden="1">#REF!</definedName>
    <definedName name="IQRCompaniesN32" localSheetId="3" hidden="1">#REF!</definedName>
    <definedName name="IQRCompaniesN33" localSheetId="3" hidden="1">#REF!</definedName>
    <definedName name="IQRCompaniesN34" localSheetId="3" hidden="1">#REF!</definedName>
    <definedName name="IQRCompaniesN35" localSheetId="3" hidden="1">#REF!</definedName>
    <definedName name="IQRCompaniesN36" localSheetId="3" hidden="1">#REF!</definedName>
    <definedName name="IQRCompaniesN38" localSheetId="3" hidden="1">#REF!</definedName>
    <definedName name="IQRCompaniesN39" localSheetId="3" hidden="1">#REF!</definedName>
    <definedName name="IQRCompaniesN40" localSheetId="3" hidden="1">#REF!</definedName>
    <definedName name="IQRCompaniesN41" localSheetId="3" hidden="1">#REF!</definedName>
    <definedName name="IQRCompaniesN42" localSheetId="3" hidden="1">#REF!</definedName>
    <definedName name="IQRCompaniesN43" localSheetId="3" hidden="1">#REF!</definedName>
    <definedName name="IQRCompaniesN44" localSheetId="3" hidden="1">#REF!</definedName>
    <definedName name="IQRCompaniesN46" localSheetId="3" hidden="1">#REF!</definedName>
    <definedName name="IQRCompaniesN47" localSheetId="3" hidden="1">#REF!</definedName>
    <definedName name="IQRCompaniesN48" localSheetId="3" hidden="1">#REF!</definedName>
    <definedName name="IQRCompaniesN49" localSheetId="3" hidden="1">#REF!</definedName>
    <definedName name="IQRCompaniesN50" localSheetId="3" hidden="1">#REF!</definedName>
    <definedName name="IQRCompaniesN51" localSheetId="3" hidden="1">#REF!</definedName>
    <definedName name="IQRCompaniesN52" localSheetId="3" hidden="1">#REF!</definedName>
    <definedName name="IQRCompaniesN54" localSheetId="3" hidden="1">#REF!</definedName>
    <definedName name="IQRCompaniesN55" localSheetId="3" hidden="1">#REF!</definedName>
    <definedName name="IQRCompaniesN56" localSheetId="3" hidden="1">#REF!</definedName>
    <definedName name="IQRCompaniesN57" localSheetId="3" hidden="1">#REF!</definedName>
    <definedName name="IQRCompaniesN58" localSheetId="3" hidden="1">#REF!</definedName>
    <definedName name="IQRCompaniesN59" localSheetId="3" hidden="1">#REF!</definedName>
    <definedName name="IQRCustomIndexX10" localSheetId="3" hidden="1">#REF!</definedName>
    <definedName name="IQRPeopleH12" localSheetId="3" hidden="1">#REF!</definedName>
    <definedName name="IQRPeopleH13" localSheetId="3" hidden="1">#REF!</definedName>
    <definedName name="IQRPeopleH14" localSheetId="3" hidden="1">#REF!</definedName>
    <definedName name="IQRPeopleH15" localSheetId="3" hidden="1">#REF!</definedName>
    <definedName name="IQRPeopleN12" localSheetId="3" hidden="1">#REF!</definedName>
    <definedName name="IQRPeopleN13" localSheetId="3" hidden="1">#REF!</definedName>
    <definedName name="IQRPeopleN14" localSheetId="3" hidden="1">#REF!</definedName>
    <definedName name="IQRPeopleN15" localSheetId="3" hidden="1">#REF!</definedName>
    <definedName name="Irbe" localSheetId="3" hidden="1">{#N/A,#N/A,FALSE,"Pharm";#N/A,#N/A,FALSE,"WWCM"}</definedName>
    <definedName name="ISCaseName" localSheetId="3">#REF!</definedName>
    <definedName name="iyrt" localSheetId="3" hidden="1">{#N/A,#N/A,TRUE,"A";#N/A,#N/A,TRUE,"B";#N/A,#N/A,TRUE,"C";#N/A,#N/A,TRUE,"D";#N/A,#N/A,TRUE,"E"}</definedName>
    <definedName name="j" localSheetId="3" hidden="1">#REF!</definedName>
    <definedName name="jde" localSheetId="3" hidden="1">{#N/A,#N/A,TRUE,"BUD VS ACT AUST 96";#N/A,#N/A,TRUE,"96 COMP P&amp;L-AUST";#N/A,#N/A,TRUE,"COMP BS-AUSTRALIA";#N/A,#N/A,TRUE,"B/S - AUSTR."}</definedName>
    <definedName name="jdfjesjds" localSheetId="3" hidden="1">{#N/A,#N/A,TRUE,"BUD VS ACT AUST 96";#N/A,#N/A,TRUE,"96 COMP P&amp;L-AUST";#N/A,#N/A,TRUE,"COMP BS-AUSTRALIA";#N/A,#N/A,TRUE,"B/S - AUSTR."}</definedName>
    <definedName name="jgjgfjgfjf" localSheetId="3" hidden="1">{#N/A,#N/A,FALSE,"COMP BS-FRANCE";#N/A,#N/A,FALSE,"96 COMP P&amp;L-FRANCE";#N/A,#N/A,FALSE,"BUD VS ACT FRAN 96";#N/A,#N/A,FALSE,"B/S - FRANCE"}</definedName>
    <definedName name="jhy" localSheetId="3" hidden="1">{#N/A,#N/A,TRUE,"Sel Fn Data QTD";#N/A,#N/A,TRUE,"TABLE_1 SPREAD ANALYSIS";#N/A,#N/A,TRUE,"Tables 2 to 3 PL";#N/A,#N/A,TRUE,"Tables 4 and 5 ALLL";#N/A,#N/A,TRUE,"Tables 6 to 8 ALLL NPA";#N/A,#N/A,TRUE,"Table 9 to 10 - Balance Sheet";#N/A,#N/A,TRUE,"Table 11 to 12 - Equity"}</definedName>
    <definedName name="jjj" localSheetId="3" hidden="1">{#N/A,#N/A,FALSE,"REPORT"}</definedName>
    <definedName name="jk" localSheetId="3" hidden="1">#REF!</definedName>
    <definedName name="jkl" localSheetId="3" hidden="1">{#N/A,#N/A,FALSE,"REPORT"}</definedName>
    <definedName name="jnhkjk" localSheetId="3" hidden="1">{#N/A,#N/A,TRUE,"BUD VS ACT AUST 96";#N/A,#N/A,TRUE,"96 COMP P&amp;L-AUST";#N/A,#N/A,TRUE,"COMP BS-AUSTRALIA";#N/A,#N/A,TRUE,"B/S - AUSTR."}</definedName>
    <definedName name="jnjnhjn" localSheetId="3" hidden="1">{#N/A,#N/A,TRUE,"BUD VS ACT AUST 96";#N/A,#N/A,TRUE,"96 COMP P&amp;L-AUST";#N/A,#N/A,TRUE,"COMP BS-AUSTRALIA";#N/A,#N/A,TRUE,"B/S - AUSTR."}</definedName>
    <definedName name="Joost" localSheetId="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judy" localSheetId="3" hidden="1">{#N/A,#N/A,FALSE,"Pharm";#N/A,#N/A,FALSE,"WWCM"}</definedName>
    <definedName name="judy1" localSheetId="3" hidden="1">{#N/A,#N/A,FALSE,"Pharm";#N/A,#N/A,FALSE,"WWCM"}</definedName>
    <definedName name="junk" localSheetId="3" hidden="1">#REF!</definedName>
    <definedName name="junk2" localSheetId="3" hidden="1">#REF!</definedName>
    <definedName name="junk3" localSheetId="3" hidden="1">{"BS",#N/A,FALSE,"USA"}</definedName>
    <definedName name="junkme" localSheetId="3" hidden="1">{#N/A,#N/A,TRUE,"Status Report";#N/A,#N/A,TRUE,"Current Forecast";#N/A,#N/A,TRUE,"Last Forecast";#N/A,#N/A,TRUE,"BP";#N/A,#N/A,TRUE,"LY"}</definedName>
    <definedName name="k" localSheetId="3" hidden="1">{#N/A,#N/A,FALSE,"BS";#N/A,#N/A,FALSE,"PL";#N/A,#N/A,FALSE,"SOE";#N/A,#N/A,FALSE,"SCF"}</definedName>
    <definedName name="K2__CVPARAMS__" localSheetId="3" hidden="1">"Any by Any!$C$14:$D$35;"</definedName>
    <definedName name="K2__WBEVMODE__" localSheetId="3" hidden="1">1</definedName>
    <definedName name="K2__WBREFOPTIONS__" localSheetId="3" hidden="1">134217772</definedName>
    <definedName name="ka" localSheetId="3" hidden="1">{"TOTAL",#N/A,FALSE,"A";"FISCAL94",#N/A,FALSE,"A";"FISCAL95",#N/A,FALSE,"A";"FISCAL96",#N/A,FALSE,"A";"misc page",#N/A,FALSE,"A"}</definedName>
    <definedName name="kas" localSheetId="3" hidden="1">{"TOTAL",#N/A,FALSE,"A";"FISCAL94",#N/A,FALSE,"A";"FISCAL95",#N/A,FALSE,"A";"FISCAL96",#N/A,FALSE,"A";"misc page",#N/A,FALSE,"A"}</definedName>
    <definedName name="KDJD" localSheetId="3"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gkg" localSheetId="3" hidden="1">{#N/A,#N/A,FALSE,"COVER";#N/A,#N/A,FALSE,"Index";#N/A,#N/A,FALSE,"Non-Earning";#N/A,#N/A,FALSE,"Non-Earning_Recovery"}</definedName>
    <definedName name="kk" localSheetId="3" hidden="1">{#N/A,#N/A,TRUE,"Sel Fn Data QTD";#N/A,#N/A,TRUE,"Table 1 YTD";#N/A,#N/A,TRUE,"Tables 2 to 4 PL";#N/A,#N/A,TRUE,"Tables 5 to 9 ALLL";#N/A,#N/A,TRUE,"Table 10 to 13 - Balance Sheet"}</definedName>
    <definedName name="kkk" localSheetId="3" hidden="1">{#N/A,#N/A,TRUE,"BUD VS ACT AUST 96";#N/A,#N/A,TRUE,"96 COMP P&amp;L-AUST";#N/A,#N/A,TRUE,"COMP BS-AUSTRALIA";#N/A,#N/A,TRUE,"B/S - AUSTR."}</definedName>
    <definedName name="kkkk" localSheetId="3" hidden="1">{#N/A,#N/A,TRUE,"BUD VS ACT AUST 96";#N/A,#N/A,TRUE,"96 COMP P&amp;L-AUST";#N/A,#N/A,TRUE,"COMP BS-AUSTRALIA";#N/A,#N/A,TRUE,"B/S - AUSTR."}</definedName>
    <definedName name="kkkkkkk" localSheetId="3" hidden="1">{#N/A,#N/A,TRUE,"BUD VS ACT AUST 96";#N/A,#N/A,TRUE,"96 COMP P&amp;L-AUST";#N/A,#N/A,TRUE,"COMP BS-AUSTRALIA";#N/A,#N/A,TRUE,"B/S - AUSTR."}</definedName>
    <definedName name="klklkl" localSheetId="3" hidden="1">{#N/A,#N/A,TRUE,"BUD VS ACT AUST 96";#N/A,#N/A,TRUE,"96 COMP P&amp;L-AUST";#N/A,#N/A,TRUE,"COMP BS-AUSTRALIA";#N/A,#N/A,TRUE,"B/S - AUSTR."}</definedName>
    <definedName name="kslkjkjlkjd" localSheetId="3" hidden="1">{#N/A,#N/A,FALSE,"REPORT"}</definedName>
    <definedName name="ku" localSheetId="3" hidden="1">{#N/A,#N/A,TRUE,"BUD VS ACT AUST 96";#N/A,#N/A,TRUE,"96 COMP P&amp;L-AUST";#N/A,#N/A,TRUE,"COMP BS-AUSTRALIA";#N/A,#N/A,TRUE,"B/S - AUSTR."}</definedName>
    <definedName name="L" localSheetId="3" hidden="1">#REF!</definedName>
    <definedName name="Labourcost__h" localSheetId="3">#REF!</definedName>
    <definedName name="LaonPeriodCurrent" localSheetId="3">#REF!</definedName>
    <definedName name="lee" localSheetId="3" hidden="1">{#N/A,#N/A,FALSE,"Pharm";#N/A,#N/A,FALSE,"WWCM"}</definedName>
    <definedName name="lfj" localSheetId="3" hidden="1">{#N/A,#N/A,FALSE,"TABLE_1 YTD";#N/A,#N/A,FALSE,"TABLE_1A QTD";#N/A,#N/A,FALSE,"NORMAL_SPREAD_QTD";#N/A,#N/A,FALSE,"NORMAL_SPREAD_YTD";#N/A,#N/A,FALSE,"TAX_EQV";#N/A,#N/A,FALSE,"TAX EQUIV_INPUT";#N/A,#N/A,FALSE,"NET FROM FER";#N/A,#N/A,FALSE,"COVER"}</definedName>
    <definedName name="Lifeguard" localSheetId="3">#REF!</definedName>
    <definedName name="lkj" localSheetId="3" hidden="1">#REF!</definedName>
    <definedName name="ll" localSheetId="3" hidden="1">{#N/A,#N/A,FALSE,"PL-FS";#N/A,#N/A,FALSE,"PL"}</definedName>
    <definedName name="lll" localSheetId="3">#REF!</definedName>
    <definedName name="lnk_Print_Area" localSheetId="3" hidden="1">#REF!</definedName>
    <definedName name="Loan_Amount" localSheetId="3">#REF!</definedName>
    <definedName name="Loan_Not_Paid" localSheetId="3">IF(#REF!&lt;='IV. EBITDA Adjustments'!Number_of_Payments,1,0)</definedName>
    <definedName name="Loan2016" localSheetId="3">(#REF!*#REF!*#REF!*#REF!)&gt;0</definedName>
    <definedName name="Loan2017" localSheetId="3">(#REF!*#REF!*#REF!*#REF!)&gt;0</definedName>
    <definedName name="Loan2018" localSheetId="3">(#REF!*#REF!*#REF!*#REF!)&gt;0</definedName>
    <definedName name="LoanAmount" localSheetId="3">#REF!</definedName>
    <definedName name="LoanAmount2014" localSheetId="3">#REF!</definedName>
    <definedName name="LoanAmount2016" localSheetId="3">#REF!</definedName>
    <definedName name="LoanAmount2017" localSheetId="3">#REF!</definedName>
    <definedName name="LoanAmount2018" localSheetId="3">#REF!</definedName>
    <definedName name="LoanAmountCurrent" localSheetId="3">#REF!</definedName>
    <definedName name="LoanAmountRealEstate" localSheetId="3">#REF!</definedName>
    <definedName name="LoanIsGood" localSheetId="3">(#REF!*#REF!*#REF!*#REF!)&gt;0</definedName>
    <definedName name="LoanPeriod" localSheetId="3">#REF!</definedName>
    <definedName name="LoanPeriod2014" localSheetId="3">#REF!</definedName>
    <definedName name="LoanPeriod2016" localSheetId="3">#REF!</definedName>
    <definedName name="LoanPeriod2017" localSheetId="3">#REF!</definedName>
    <definedName name="LoanPeriod2018" localSheetId="3">#REF!</definedName>
    <definedName name="LoanPeriodRealEstate" localSheetId="3">#REF!</definedName>
    <definedName name="LoanRealEstate" localSheetId="3">(#REF!*#REF!*#REF!*#REF!)&gt;0</definedName>
    <definedName name="LoanStartDate" localSheetId="3">#REF!</definedName>
    <definedName name="LoanStartDate2014" localSheetId="3">#REF!</definedName>
    <definedName name="LoanStartDate2016" localSheetId="3">#REF!</definedName>
    <definedName name="LoanStartDate2017" localSheetId="3">#REF!</definedName>
    <definedName name="LoanStartDate2018" localSheetId="3">#REF!</definedName>
    <definedName name="LoanStartDateCurrent" localSheetId="3">#REF!</definedName>
    <definedName name="LoanStartDateRealEstate" localSheetId="3">#REF!</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 localSheetId="3">#REF!</definedName>
    <definedName name="LOI" localSheetId="3" hidden="1">{#N/A,#N/A,FALSE,"TABLE_1 YTD";#N/A,#N/A,FALSE,"TABLE_1A QTD";#N/A,#N/A,FALSE,"NORMAL_SPREAD_QTD";#N/A,#N/A,FALSE,"NORMAL_SPREAD_YTD";#N/A,#N/A,FALSE,"TAX_EQV";#N/A,#N/A,FALSE,"TAX EQUIV_INPUT";#N/A,#N/A,FALSE,"NET FROM FER";#N/A,#N/A,FALSE,"COVER"}</definedName>
    <definedName name="LookupIndex" localSheetId="3">#REF!</definedName>
    <definedName name="m" localSheetId="3" hidden="1">{#N/A,#N/A,FALSE,"COVER";#N/A,#N/A,FALSE,"Index";#N/A,#N/A,FALSE,"Non-Earning";#N/A,#N/A,FALSE,"Commercial";#N/A,#N/A,FALSE,"Detailed"}</definedName>
    <definedName name="M_A" localSheetId="3" hidden="1">{#N/A,#N/A,FALSE,"Rev Grwth";#N/A,#N/A,FALSE,"Op Inc Grwth";#N/A,#N/A,FALSE,"Net Grwth";#N/A,#N/A,FALSE,"EPS Growth"}</definedName>
    <definedName name="M_PlaceofPath" localSheetId="3" hidden="1">"G:\blabla"</definedName>
    <definedName name="MACTCostout" localSheetId="3">#REF!</definedName>
    <definedName name="MACTInvout" localSheetId="3">#REF!</definedName>
    <definedName name="Mar00" localSheetId="3" hidden="1">{"Statement of Income",#N/A,TRUE,"Mar99";"Balance Sheet",#N/A,TRUE,"Mar99"}</definedName>
    <definedName name="Mar00TB" localSheetId="3" hidden="1">{"Statement of Income",#N/A,TRUE,"Mar99";"Balance Sheet",#N/A,TRUE,"Mar99"}</definedName>
    <definedName name="mar00tb1" localSheetId="3" hidden="1">{"Statement of Income",#N/A,TRUE,"Mar99";"Balance Sheet",#N/A,TRUE,"Mar99"}</definedName>
    <definedName name="mason?" localSheetId="3" hidden="1">{#N/A,#N/A,FALSE,"Data &amp; Key Results";#N/A,#N/A,FALSE,"Summary Template";#N/A,#N/A,FALSE,"Budget";#N/A,#N/A,FALSE,"Present Value Comparison";#N/A,#N/A,FALSE,"Cashflow";#N/A,#N/A,FALSE,"Income";#N/A,#N/A,FALSE,"Inputs"}</definedName>
    <definedName name="mason2" localSheetId="3" hidden="1">{#N/A,#N/A,FALSE,"Data &amp; Key Results";#N/A,#N/A,FALSE,"Summary Template";#N/A,#N/A,FALSE,"Budget";#N/A,#N/A,FALSE,"Present Value Comparison";#N/A,#N/A,FALSE,"Cashflow";#N/A,#N/A,FALSE,"Income";#N/A,#N/A,FALSE,"Inputs"}</definedName>
    <definedName name="mason3" localSheetId="3" hidden="1">{#N/A,#N/A,FALSE,"Data &amp; Key Results";#N/A,#N/A,FALSE,"Summary Template";#N/A,#N/A,FALSE,"Budget";#N/A,#N/A,FALSE,"Present Value Comparison";#N/A,#N/A,FALSE,"Cashflow";#N/A,#N/A,FALSE,"Income";#N/A,#N/A,FALSE,"Inputs"}</definedName>
    <definedName name="mason4" localSheetId="3" hidden="1">{#N/A,#N/A,FALSE,"Data &amp; Key Results";#N/A,#N/A,FALSE,"Summary Template";#N/A,#N/A,FALSE,"Budget";#N/A,#N/A,FALSE,"Present Value Comparison";#N/A,#N/A,FALSE,"Cashflow";#N/A,#N/A,FALSE,"Income";#N/A,#N/A,FALSE,"Inputs"}</definedName>
    <definedName name="mason5" localSheetId="3" hidden="1">{#N/A,#N/A,FALSE,"Data &amp; Key Results";#N/A,#N/A,FALSE,"Summary Template";#N/A,#N/A,FALSE,"Budget";#N/A,#N/A,FALSE,"Present Value Comparison";#N/A,#N/A,FALSE,"Cashflow";#N/A,#N/A,FALSE,"Income";#N/A,#N/A,FALSE,"Inputs"}</definedName>
    <definedName name="masonII" localSheetId="3" hidden="1">{#N/A,#N/A,FALSE,"Data &amp; Key Results";#N/A,#N/A,FALSE,"Summary Template";#N/A,#N/A,FALSE,"Budget";#N/A,#N/A,FALSE,"Present Value Comparison";#N/A,#N/A,FALSE,"Cashflow";#N/A,#N/A,FALSE,"Income";#N/A,#N/A,FALSE,"Inputs"}</definedName>
    <definedName name="MerrillPrintIt" localSheetId="3" hidden="1">#REF!</definedName>
    <definedName name="Method_abbrev" localSheetId="3">#REF!</definedName>
    <definedName name="mgmtfee" localSheetId="3">#REF!</definedName>
    <definedName name="mgmtfees" localSheetId="3">#REF!</definedName>
    <definedName name="Mie" localSheetId="3" hidden="1">#REF!</definedName>
    <definedName name="min" localSheetId="3" hidden="1">{#N/A,#N/A,FALSE,"REPORT"}</definedName>
    <definedName name="mina" localSheetId="3" hidden="1">{#N/A,#N/A,FALSE,"REPORT"}</definedName>
    <definedName name="mkj" localSheetId="3" hidden="1">{#N/A,#N/A,TRUE,"A";#N/A,#N/A,TRUE,"B";#N/A,#N/A,TRUE,"C";#N/A,#N/A,TRUE,"D";#N/A,#N/A,TRUE,"E"}</definedName>
    <definedName name="MLNK00d48aea1172490e8970884bfd0bc5ab" localSheetId="3" hidden="1">#REF!</definedName>
    <definedName name="MLNK00d8e64d840b46bea261783566ad72fd" localSheetId="3" hidden="1">#REF!</definedName>
    <definedName name="MLNK010e3d03325640fbbfa78190084e5e55" localSheetId="3" hidden="1">#REF!</definedName>
    <definedName name="MLNK018bfad56a014b6f84cfc7fb40567079" localSheetId="3" hidden="1">#REF!</definedName>
    <definedName name="MLNK01c3f180173548f9b3518767c367e255" localSheetId="3" hidden="1">#REF!</definedName>
    <definedName name="MLNK02152b7ac4cf43e68ef13bfa3f5e34b5" localSheetId="3" hidden="1">#REF!</definedName>
    <definedName name="MLNK02a642675097453c99726ed1eadfc982" localSheetId="3" hidden="1">#REF!</definedName>
    <definedName name="MLNK02aea829eba74d478a4d07f5e53d1edd" localSheetId="3" hidden="1">#REF!</definedName>
    <definedName name="MLNK02b436c54d1d4f1fb7ece854589ebc3b" localSheetId="3" hidden="1">#REF!</definedName>
    <definedName name="MLNK02ddb7e50a9a4088ad89faf3155f305e" localSheetId="3" hidden="1">#REF!</definedName>
    <definedName name="MLNK0365e2134fd54e1c8a59696978fd7f3d" localSheetId="3" hidden="1">#REF!</definedName>
    <definedName name="MLNK037a70f6dc4c4ccc86d3bc951b2599a8" localSheetId="3" hidden="1">#REF!</definedName>
    <definedName name="MLNK03d895c600f84237af0a9f6d50dde8ed" localSheetId="3" hidden="1">#REF!</definedName>
    <definedName name="MLNK04075ac9c75d447c8a0ebdbdc9a54c65" localSheetId="3" hidden="1">#REF!</definedName>
    <definedName name="MLNK041eecdb09db42f2b1830deb0adcca97" localSheetId="3" hidden="1">#REF!</definedName>
    <definedName name="MLNK043d7124ab0442d0a39b403197c01402" localSheetId="3" hidden="1">#REF!</definedName>
    <definedName name="MLNK044a71679f47458eaf36d10fdaae790f" localSheetId="3" hidden="1">#REF!</definedName>
    <definedName name="MLNK049def977a854a32b6d9fae794c51186" localSheetId="3" hidden="1">#REF!</definedName>
    <definedName name="MLNK04b34d7237ff4693803d53b078679e77" localSheetId="3" hidden="1">#REF!</definedName>
    <definedName name="MLNK04b6c35a0af34609870338b319dc73c6" localSheetId="3" hidden="1">#REF!</definedName>
    <definedName name="MLNK04baecedd8f843f7b8ab7f1e046494dc" localSheetId="3" hidden="1">#REF!</definedName>
    <definedName name="MLNK04c12b15290e4102b331188b33f480a5" localSheetId="3" hidden="1">#REF!</definedName>
    <definedName name="MLNK04e5a28d84a040ef8f83d3c026042dad" localSheetId="3" hidden="1">#REF!</definedName>
    <definedName name="MLNK04ed437773d6468f978a880d6fea840e" localSheetId="3" hidden="1">#REF!</definedName>
    <definedName name="MLNK052f3789d18e4da4b8a206db6d662f8c" localSheetId="3" hidden="1">#REF!</definedName>
    <definedName name="MLNK055891053a474c2da6a013d17eafcd56" localSheetId="3" hidden="1">#REF!</definedName>
    <definedName name="MLNK055957a194f74f8e9bafb258f3f928dc" localSheetId="3" hidden="1">#REF!</definedName>
    <definedName name="MLNK05e6e043f65a4369a35a8eca3ec1cd81" localSheetId="3" hidden="1">#REF!</definedName>
    <definedName name="MLNK060e2b647fc847038ccaa50e705b32b2" localSheetId="3" hidden="1">#REF!</definedName>
    <definedName name="MLNK064c2e8abed14178b8e9385f23e95e0f" localSheetId="3" hidden="1">#REF!</definedName>
    <definedName name="MLNK067b24e2d36045bcad70be643c35de32" localSheetId="3" hidden="1">#REF!</definedName>
    <definedName name="MLNK070510d453cb48d1938cdcf099afbdfc" localSheetId="3" hidden="1">#REF!</definedName>
    <definedName name="MLNK077f2649cfa54691bf98644e2b70ea32" localSheetId="3" hidden="1">#REF!</definedName>
    <definedName name="MLNK07a48200f15c4498a1034433e59fb9ee" localSheetId="3" hidden="1">#REF!</definedName>
    <definedName name="MLNK07be263f2fcd4d15883e60ea0124e0f8" localSheetId="3" hidden="1">#REF!</definedName>
    <definedName name="MLNK0810a7425db84fdbafb57121a4c1bdc7" localSheetId="3" hidden="1">#REF!</definedName>
    <definedName name="MLNK082f62a9898f4a6ebf0892b9a8dee313" localSheetId="3" hidden="1">#REF!</definedName>
    <definedName name="MLNK0837b19ae8b44ca0afd72e4ea716841d" localSheetId="3" hidden="1">#REF!</definedName>
    <definedName name="MLNK089379dd25fc469a8b451627548465a0" localSheetId="3" hidden="1">#REF!</definedName>
    <definedName name="MLNK08b0d9ab9b7f4a019f01558fa42f52cc" localSheetId="3" hidden="1">#REF!</definedName>
    <definedName name="MLNK0912ba9e3fb34f3481c5166500565f98" localSheetId="3" hidden="1">#REF!</definedName>
    <definedName name="MLNK0932a8a0f6734900b5db162af6d4008b" localSheetId="3" hidden="1">#REF!</definedName>
    <definedName name="MLNK09676ee764e448008376f2bfff9e384d" localSheetId="3" hidden="1">#REF!</definedName>
    <definedName name="MLNK09ca8a4d426f43c6957f64d21c1ea6f2" localSheetId="3" hidden="1">#REF!</definedName>
    <definedName name="MLNK0a25e559e0ca40d3b117c10dde841c8d" localSheetId="3" hidden="1">#REF!</definedName>
    <definedName name="MLNK0a4500987a0d44bea968f35f842414e7" localSheetId="3" hidden="1">#REF!</definedName>
    <definedName name="MLNK0b0460e4acf542378be2a3d79b7df220" localSheetId="3" hidden="1">#REF!</definedName>
    <definedName name="MLNK0b4b5f3a99ce4b28b1cca53ba01bc3c8" localSheetId="3" hidden="1">#REF!</definedName>
    <definedName name="MLNK0b60f77ace8b4dd786fd1017a509d59f" localSheetId="3" hidden="1">#REF!</definedName>
    <definedName name="MLNK0b6138e25adf4209b99f73f49521a659" localSheetId="3" hidden="1">#REF!</definedName>
    <definedName name="MLNK0b6d7acf1537445c8df3df619eeadc70" localSheetId="3" hidden="1">#REF!</definedName>
    <definedName name="MLNK0ba6122f99414cc7a645ceac1926563b" localSheetId="3" hidden="1">#REF!</definedName>
    <definedName name="MLNK0c19dec1a7144650b526abd40fd3e1c9" localSheetId="3" hidden="1">#REF!</definedName>
    <definedName name="MLNK0c29236af04547d8895347a76fdbff29" localSheetId="3" hidden="1">#REF!</definedName>
    <definedName name="MLNK0c5c90a12de446c89616d37cadb8f863" localSheetId="3" hidden="1">#REF!</definedName>
    <definedName name="MLNK0ca8413a6a4e48109c00e972f8591f15" localSheetId="3" hidden="1">#REF!</definedName>
    <definedName name="MLNK0d71dc310fad49ec85da7434597cd6be" localSheetId="3" hidden="1">#REF!</definedName>
    <definedName name="MLNK0db0f33ed0324031b6b3ea38ff41c6b3" localSheetId="3" hidden="1">#REF!</definedName>
    <definedName name="MLNK0e30595ea35a4b91a9f0400f7da90810" localSheetId="3" hidden="1">#REF!</definedName>
    <definedName name="MLNK0ebc8ed7c46c46d58e01b3a65cc25bad" localSheetId="3" hidden="1">#REF!</definedName>
    <definedName name="MLNK0ec975729a544ee48ecaa4993f759464" localSheetId="3" hidden="1">#REF!</definedName>
    <definedName name="MLNK0f4d9d09d85b4de0b9b261242c3c6f1c" localSheetId="3" hidden="1">#REF!</definedName>
    <definedName name="MLNK0f79f0b17a0c4338ba2c447b8558f837" localSheetId="3" hidden="1">#REF!</definedName>
    <definedName name="MLNK0fa679e88a084677a1120db6a61735ad" localSheetId="3" hidden="1">#REF!</definedName>
    <definedName name="MLNK1024adbc06ef4afc80af92796cef5eb2" localSheetId="3" hidden="1">#REF!</definedName>
    <definedName name="MLNK102a6a0da87b49bd8c869ffdcb8f6a5c" localSheetId="3" hidden="1">#REF!</definedName>
    <definedName name="MLNK107e4e6ac1144bfaa2bc2084e05a38b1" localSheetId="3" hidden="1">#REF!</definedName>
    <definedName name="MLNK109a5f09a9564408889aa0ff076188fd" localSheetId="3" hidden="1">#REF!</definedName>
    <definedName name="MLNK11662eaef76e4b34a9367a4acb7fe680" localSheetId="3" hidden="1">#REF!</definedName>
    <definedName name="MLNK11ad7f67537f4d04b5b5e34d17a1dfe7" localSheetId="3" hidden="1">#REF!</definedName>
    <definedName name="MLNK11e2a30c9b564beeb398ac3e535a96de" localSheetId="3" hidden="1">#REF!</definedName>
    <definedName name="MLNK127813a1a6254a548e091fd36e1fbb47" localSheetId="3" hidden="1">#REF!</definedName>
    <definedName name="MLNK12defab03df94ea382b71e4a83c23c96" localSheetId="3" hidden="1">#REF!</definedName>
    <definedName name="MLNK12ed6ce69f62416b95961c29a9028b88" localSheetId="3" hidden="1">#REF!</definedName>
    <definedName name="MLNK12f7145ce43446359e563854d28497d8" localSheetId="3" hidden="1">#REF!</definedName>
    <definedName name="MLNK130ff3045ac04ccfa29018a9af525d40" localSheetId="3" hidden="1">#REF!</definedName>
    <definedName name="MLNK134f38e34bcd4dbc84982cc9d8fa79cc" localSheetId="3" hidden="1">#REF!</definedName>
    <definedName name="MLNK1352b7f45b1d412299a3ad4b5f3b89fc" localSheetId="3" hidden="1">#REF!</definedName>
    <definedName name="MLNK136a8efde5d14d7880780cb4288214c8" localSheetId="3" hidden="1">#REF!</definedName>
    <definedName name="MLNK13ddbac3ec9a4aa09442d2baa6c598cb" localSheetId="3" hidden="1">#REF!</definedName>
    <definedName name="MLNK1487ebd7dc5c4b63894d68c0c881662c" localSheetId="3" hidden="1">#REF!</definedName>
    <definedName name="MLNK14e06d7cc4024f199e311d3b65bbb63c" localSheetId="3" hidden="1">#REF!</definedName>
    <definedName name="MLNK14f348b8868749d6a8a95c58ed0ab190" localSheetId="3" hidden="1">#REF!</definedName>
    <definedName name="MLNK1502445670b740809babbf80893a2fc6" localSheetId="3" hidden="1">#REF!</definedName>
    <definedName name="MLNK152443f4dc284530ae9feab3cf399049" localSheetId="3" hidden="1">#REF!</definedName>
    <definedName name="MLNK15426febeea146dbb161891fa048bd4e" localSheetId="3" hidden="1">#REF!</definedName>
    <definedName name="MLNK155ed824d11e499683ac57119c33dda9" localSheetId="3" hidden="1">#REF!</definedName>
    <definedName name="MLNK15b7ef3db664462fa849976ff9d7981c" localSheetId="3" hidden="1">#REF!</definedName>
    <definedName name="MLNK15ce2520bab04a56a1b91f68d2bb2193" localSheetId="3" hidden="1">#REF!</definedName>
    <definedName name="MLNK162f966938f04101b98c78f158531e27" localSheetId="3" hidden="1">#REF!</definedName>
    <definedName name="MLNK1640758764ae42f58854a84587013ad5" localSheetId="3" hidden="1">#REF!</definedName>
    <definedName name="MLNK1667141e14db4dddafe801602f6dbbe4" localSheetId="3" hidden="1">#REF!</definedName>
    <definedName name="MLNK168568dec16c423ea55308759534aead" localSheetId="3" hidden="1">#REF!</definedName>
    <definedName name="MLNK16a713e7610a41beb1e604353d934383" localSheetId="3" hidden="1">#REF!</definedName>
    <definedName name="MLNK16bb90555bb549c4a8cb4cd97a93e068" localSheetId="3" hidden="1">#REF!</definedName>
    <definedName name="MLNK173613cafaad44b1b7af50510084e82e" localSheetId="3" hidden="1">#REF!</definedName>
    <definedName name="MLNK17543382e2bf4b3eaa92152d6f293baf" localSheetId="3" hidden="1">#REF!</definedName>
    <definedName name="MLNK17737a11b2a24bba8bb01c3ec1f7ae7a" localSheetId="3" hidden="1">#REF!</definedName>
    <definedName name="MLNK178577e9bca54e9fac9c3c155834084c" localSheetId="3" hidden="1">#REF!</definedName>
    <definedName name="MLNK17a250ca7ad54c63996c6439aaeaf61d" localSheetId="3" hidden="1">#REF!</definedName>
    <definedName name="MLNK182f57a86eca4d9b85a1b9529ba04b7b" localSheetId="3" hidden="1">#REF!</definedName>
    <definedName name="MLNK1858fd774bb344e7a103e6664db66667" localSheetId="3" hidden="1">#REF!</definedName>
    <definedName name="MLNK1878ac2ef4984cf88c7f6be575c72b35" localSheetId="3" hidden="1">#REF!</definedName>
    <definedName name="MLNK187aae0e1b444d2daa05f7fc058c71f3" localSheetId="3" hidden="1">#REF!</definedName>
    <definedName name="MLNK18c91ea14fe44af7b5151b4160cd85ee" localSheetId="3" hidden="1">#REF!</definedName>
    <definedName name="MLNK18d67e4ee034443ba5648d0dda6747bc" localSheetId="3" hidden="1">#REF!</definedName>
    <definedName name="MLNK18d7e2cdfe3c4b23bb4430da28ad21ed" localSheetId="3" hidden="1">#REF!</definedName>
    <definedName name="MLNK18ea120670984a17b7a93b6d9eb58e17" localSheetId="3" hidden="1">#REF!</definedName>
    <definedName name="MLNK18eb0f4412cb40a4ae711508efd03722" localSheetId="3" hidden="1">#REF!</definedName>
    <definedName name="MLNK1942f939dd30413084b5900bc3a48e91" localSheetId="3" hidden="1">#REF!</definedName>
    <definedName name="MLNK197a4e305f8e4a28923e9685bfe5755d" localSheetId="3" hidden="1">#REF!</definedName>
    <definedName name="MLNK19b612f645ba40d487eea870da703c63" localSheetId="3" hidden="1">#REF!</definedName>
    <definedName name="MLNK19da6caece2e4a0da0e0510020408a9f" localSheetId="3" hidden="1">#REF!</definedName>
    <definedName name="MLNK19e4b88b136243d6893d84d396dd2bd5" localSheetId="3" hidden="1">#REF!</definedName>
    <definedName name="MLNK1a0a6c0613af42ea92a854056e359225" localSheetId="3" hidden="1">#REF!</definedName>
    <definedName name="MLNK1a54210510d0478faa44db0489c964ab" localSheetId="3" hidden="1">#REF!</definedName>
    <definedName name="MLNK1ae0caeeb3404a96b18ca5f13d361dff" localSheetId="3" hidden="1">#REF!</definedName>
    <definedName name="MLNK1b25ef79157c4ecc86be17ec702147dd" localSheetId="3" hidden="1">#REF!</definedName>
    <definedName name="MLNK1b323a4c2490472c854bc05124ef80d4" localSheetId="3" hidden="1">#REF!</definedName>
    <definedName name="MLNK1b3e86fde2dd4141aabb68ae999a4618" localSheetId="3" hidden="1">#REF!</definedName>
    <definedName name="MLNK1b6576db0d4a4ecb9a3ceeef2c00a40c" localSheetId="3" hidden="1">#REF!</definedName>
    <definedName name="MLNK1bbde4f19d314fb39c326d95e637a7ce" localSheetId="3" hidden="1">#REF!</definedName>
    <definedName name="MLNK1bd17cb664b04a428b34b4b1a0645b8c" localSheetId="3" hidden="1">#REF!</definedName>
    <definedName name="MLNK1bde29be2bb04b7dba98a0a15c3656f7" localSheetId="3" hidden="1">#REF!</definedName>
    <definedName name="MLNK1c5a2340dcf14e12be7f6bb726377d0e" localSheetId="3" hidden="1">#REF!</definedName>
    <definedName name="MLNK1c83a07ed2a14eb297a3aafd495ea8f8" localSheetId="3" hidden="1">#REF!</definedName>
    <definedName name="MLNK1cbe96a220924eddb8390adadf496f4d" localSheetId="3" hidden="1">#REF!</definedName>
    <definedName name="MLNK1ccc525d461f4385af0cd2b35871489f" localSheetId="3" hidden="1">#REF!</definedName>
    <definedName name="MLNK1ce918b7705549a0afa18a494254a124" localSheetId="3" hidden="1">#REF!</definedName>
    <definedName name="MLNK1d1e5a3b1a924e08b4662e46be3f2d38" localSheetId="3" hidden="1">#REF!</definedName>
    <definedName name="MLNK1d5c895f4eea41f2b718762490aa5e5b" localSheetId="3" hidden="1">#REF!</definedName>
    <definedName name="MLNK1d87f7352fcc4050afa51b0b23b6df7b" localSheetId="3" hidden="1">#REF!</definedName>
    <definedName name="MLNK1db60897d9174faa80ff6d287eeac8b8" localSheetId="3" hidden="1">#REF!</definedName>
    <definedName name="MLNK1dd499f1d55b466eb23c641e6a6136f8" localSheetId="3" hidden="1">#REF!</definedName>
    <definedName name="MLNK1de8cf250711483ba35281509ce426a3" localSheetId="3" hidden="1">#REF!</definedName>
    <definedName name="MLNK1df26a80b42a42b6a78fc14adb776be2" localSheetId="3" hidden="1">#REF!</definedName>
    <definedName name="MLNK1e3416f91afd4c7e8ea5b27fda52ad61" localSheetId="3" hidden="1">#REF!</definedName>
    <definedName name="MLNK1eb887c9286a439a884bc331ae8bd4c8" localSheetId="3" hidden="1">#REF!</definedName>
    <definedName name="MLNK1ebde96b05674a958c11f4ff3ffec652" localSheetId="3" hidden="1">#REF!</definedName>
    <definedName name="MLNK1ec749ccabbf4bccb4158cf9db8fa5a8" localSheetId="3" hidden="1">#REF!</definedName>
    <definedName name="MLNK1ed9a9c015714d9884c43ad771630ae0" localSheetId="3" hidden="1">#REF!</definedName>
    <definedName name="MLNK1fd1a613b4e042338ae9b944d7c75226" localSheetId="3" hidden="1">#REF!</definedName>
    <definedName name="MLNK2001e30c2e79462fb212bee2d523546c" localSheetId="3" hidden="1">#REF!</definedName>
    <definedName name="MLNK2004611481114fd7836a787ce7cbc787" localSheetId="3" hidden="1">#REF!</definedName>
    <definedName name="MLNK200f8b4ac20f454f8d2e8d1e53220a6e" localSheetId="3" hidden="1">#REF!</definedName>
    <definedName name="MLNK205684d319924bf28951b6697b190691" localSheetId="3" hidden="1">#REF!</definedName>
    <definedName name="MLNK2070a8a62489433ea2ef832a7b27ce8e" localSheetId="3" hidden="1">#REF!</definedName>
    <definedName name="MLNK20c0223ce6734d50a8190d7880163c4a" localSheetId="3" hidden="1">#REF!</definedName>
    <definedName name="MLNK20db4d3c94964f3a8f93dbbc366d2cfd" localSheetId="3" hidden="1">#REF!</definedName>
    <definedName name="MLNK20dfbb85d3b7401c99660bb1244ed3a9" localSheetId="3" hidden="1">#REF!</definedName>
    <definedName name="MLNK20ec3ff50f064852adb8fd689f113130" localSheetId="3" hidden="1">#REF!</definedName>
    <definedName name="MLNK21060abefe22464881ffa9dc4087f34a" localSheetId="3" hidden="1">#REF!</definedName>
    <definedName name="MLNK21407499ba784667b4908f9c47c07ba0" localSheetId="3" hidden="1">#REF!</definedName>
    <definedName name="MLNK215d6ec32f3f4db6a3d798cc5297a671" localSheetId="3" hidden="1">#REF!</definedName>
    <definedName name="MLNK216741f5dafc4782a31735a1bbf0c00b" localSheetId="3" hidden="1">#REF!</definedName>
    <definedName name="MLNK21819cd4be3747afaafe7fd6af1a80dd" localSheetId="3" hidden="1">#REF!</definedName>
    <definedName name="MLNK229a2b2b0c4a440a8dbf3b003bd22daf" localSheetId="3" hidden="1">#REF!</definedName>
    <definedName name="MLNK22c1dd1486eb4d0bbe8b6967d445e8fa" localSheetId="3" hidden="1">#REF!</definedName>
    <definedName name="MLNK22ce0c9beddd4f4da71913428d79398c" localSheetId="3" hidden="1">#REF!</definedName>
    <definedName name="MLNK22e9426a49e8430ba371851947a600ab" localSheetId="3" hidden="1">#REF!</definedName>
    <definedName name="MLNK22f9babadad14fe69bfb139dcfe3e073" localSheetId="3" hidden="1">#REF!</definedName>
    <definedName name="MLNK233feeaa85db4459a7b9b00424fa2ff8" localSheetId="3" hidden="1">#REF!</definedName>
    <definedName name="MLNK234aa67dc8194cb7b84c69195c2a78e7" localSheetId="3" hidden="1">#REF!</definedName>
    <definedName name="MLNK23a22acb0ce643cfab0c7c09267827be" localSheetId="3" hidden="1">#REF!</definedName>
    <definedName name="MLNK23aa398038ca4900a96aa29fa7fbdd3c" localSheetId="3" hidden="1">#REF!</definedName>
    <definedName name="MLNK23e7d64cf91849bf971cdd0e2506b3b9" localSheetId="3" hidden="1">#REF!</definedName>
    <definedName name="MLNK242f346894804e1886d2cf64cec38165" localSheetId="3" hidden="1">#REF!</definedName>
    <definedName name="MLNK246384bbcf194625b2933d5f1c38b570" localSheetId="3" hidden="1">#REF!</definedName>
    <definedName name="MLNK2474a500bbc54ae7929db86934bc6273" localSheetId="3" hidden="1">#REF!</definedName>
    <definedName name="MLNK248d278871b84e2792eedd558fb1f21a" localSheetId="3" hidden="1">#REF!</definedName>
    <definedName name="MLNK24a3535198864783b147b6db4dfd1e1e" localSheetId="3" hidden="1">#REF!</definedName>
    <definedName name="MLNK24cd202804cc4c9ab3044945bd3e3713" localSheetId="3" hidden="1">#REF!</definedName>
    <definedName name="MLNK2573f5f2b0a147228dcc43cff2d4ac48" localSheetId="3" hidden="1">#REF!</definedName>
    <definedName name="MLNK25774000f4c845548c231c7e9e2d28e9" localSheetId="3" hidden="1">#REF!</definedName>
    <definedName name="MLNK259ca339584144f5926618d12b15da3e" localSheetId="3" hidden="1">#REF!</definedName>
    <definedName name="MLNK25a89f60adf6498fb802aaec26c25d00" localSheetId="3" hidden="1">#REF!</definedName>
    <definedName name="MLNK25f9e2e8d5514c5489f2b23bea37f935" localSheetId="3" hidden="1">#REF!</definedName>
    <definedName name="MLNK266463e15e3f4d399b527a36514bf327" localSheetId="3" hidden="1">#REF!</definedName>
    <definedName name="MLNK26c398595c9545efbd82dca4a520047a" localSheetId="3" hidden="1">#REF!</definedName>
    <definedName name="MLNK26cda75b65fd41048c6f187517f0d6ba" localSheetId="3" hidden="1">#REF!</definedName>
    <definedName name="MLNK27b413fbc3074fa8a7204f0e322ac122" localSheetId="3" hidden="1">#REF!</definedName>
    <definedName name="MLNK27be72fe1eb749d3b5e9b01be33dfce4" localSheetId="3" hidden="1">#REF!</definedName>
    <definedName name="MLNK27f4b8570bad4ba0ad262108ff4c0490" localSheetId="3" hidden="1">#REF!</definedName>
    <definedName name="MLNK283fb3755a3949cf8c116f069e7c1f26" localSheetId="3" hidden="1">#REF!</definedName>
    <definedName name="MLNK28a0b1aa20c6443e83b6ef12d5d06102" localSheetId="3" hidden="1">#REF!</definedName>
    <definedName name="MLNK28d3e9b39a374a92b8582fe6c1b20cff" localSheetId="3" hidden="1">#REF!</definedName>
    <definedName name="MLNK291cdfb6f516442784c0baf3b12fde25" localSheetId="3" hidden="1">#REF!</definedName>
    <definedName name="MLNK29814a5538324abfbbc2da617e73d6f7" localSheetId="3" hidden="1">#REF!</definedName>
    <definedName name="MLNK299ae3da7f4f4b678de7f52a7f43c2db" localSheetId="3" hidden="1">#REF!</definedName>
    <definedName name="MLNK29c57d71f4d746e7898935907da19e0c" localSheetId="3" hidden="1">#REF!</definedName>
    <definedName name="MLNK29ddfe4369a14c9fbcc6eadd5635ac97" localSheetId="3" hidden="1">#REF!</definedName>
    <definedName name="MLNK29e39640eaab48838edc89ddf6129fad" localSheetId="3" hidden="1">#REF!</definedName>
    <definedName name="MLNK29e84db5458b45658bb97db4ee5141fa" localSheetId="3" hidden="1">#REF!</definedName>
    <definedName name="MLNK2a3ee11a92fa4dcda90e91c5ac75f4b8" localSheetId="3" hidden="1">#REF!</definedName>
    <definedName name="MLNK2a66a9a6067d41c4b732299fbf08c3ff" localSheetId="3" hidden="1">#REF!</definedName>
    <definedName name="MLNK2abee68d748f43408f3c78ff1aab5cd8" localSheetId="3" hidden="1">#REF!</definedName>
    <definedName name="MLNK2af37a8c5716436c80480d24bfdfebf5" localSheetId="3" hidden="1">#REF!</definedName>
    <definedName name="MLNK2b2c36ff82434559965b4adeae9bae8e" localSheetId="3" hidden="1">#REF!</definedName>
    <definedName name="MLNK2b452caa83434d14a5a8bf95fbfefdb4" localSheetId="3" hidden="1">#REF!</definedName>
    <definedName name="MLNK2b85baa9501840b6827700471c774d80" localSheetId="3" hidden="1">#REF!</definedName>
    <definedName name="MLNK2b9b059d0a2a4ffeafce19ba06c9cdb7" localSheetId="3" hidden="1">#REF!</definedName>
    <definedName name="MLNK2c18432822ef4f83a820c2daed1e8bc0" localSheetId="3" hidden="1">#REF!</definedName>
    <definedName name="MLNK2c1d34afd9114e0cb98026253739a18c" localSheetId="3" hidden="1">#REF!</definedName>
    <definedName name="MLNK2c9088fbcd634d40b09e37e4e2d3a7c4" localSheetId="3" hidden="1">#REF!</definedName>
    <definedName name="MLNK2cdcb8c0da344338857917f8e6cf0ea9" localSheetId="3" hidden="1">#REF!</definedName>
    <definedName name="MLNK2db7e1032d8c4d67a7116fb19fe6fa4a" localSheetId="3" hidden="1">#REF!</definedName>
    <definedName name="MLNK2dde9e6c41854b1e9663e48deaceee5a" localSheetId="3" hidden="1">#REF!</definedName>
    <definedName name="MLNK2e0e82da538e46ce9ca37e55f7f8e7f6" localSheetId="3" hidden="1">#REF!</definedName>
    <definedName name="MLNK2e229c7e6c1a4a3eb10431ebf4b8170e" localSheetId="3" hidden="1">#REF!</definedName>
    <definedName name="MLNK2e460db3c1dc4d9696b0d3ab336335e7" localSheetId="3" hidden="1">#REF!</definedName>
    <definedName name="MLNK2e74d86902b44d1fb46c4e137bcb62a8" localSheetId="3" hidden="1">#REF!</definedName>
    <definedName name="MLNK2e82277e5cfc441690b7a45bea95cbd7" localSheetId="3" hidden="1">#REF!</definedName>
    <definedName name="MLNK2e90962703ad48c792ea668d84149920" localSheetId="3" hidden="1">#REF!</definedName>
    <definedName name="MLNK2f0b5324375b449b94bf8a49a9cb7754" localSheetId="3" hidden="1">#REF!</definedName>
    <definedName name="MLNK2f4a112b947843ec96ec0f617edea6b0" localSheetId="3" hidden="1">#REF!</definedName>
    <definedName name="MLNK2fcc315946d0479abaaccbea735dcd40" localSheetId="3" hidden="1">#REF!</definedName>
    <definedName name="MLNK2fdab45756db44ec9d00cc9a3ff181d6" localSheetId="3" hidden="1">#REF!</definedName>
    <definedName name="MLNK300a116a290b4ed4b3002b11ff01efdb" localSheetId="3" hidden="1">#REF!</definedName>
    <definedName name="MLNK3023dd2be278431c949d5f4b2ac68deb" localSheetId="3" hidden="1">#REF!</definedName>
    <definedName name="MLNK303b4d13bf9d4ab6b918ec321bc7d36d" localSheetId="3" hidden="1">#REF!</definedName>
    <definedName name="MLNK30b27c2cda9f470faea966f90bdec659" localSheetId="3" hidden="1">#REF!</definedName>
    <definedName name="MLNK3183f1eaa02944f8af9a4551bab49622" localSheetId="3" hidden="1">#REF!</definedName>
    <definedName name="MLNK3191c7771c5c4908bde70ad7e0523638" localSheetId="3" hidden="1">#REF!</definedName>
    <definedName name="MLNK31c437e513bd43708561c0a56b16836b" localSheetId="3" hidden="1">#REF!</definedName>
    <definedName name="MLNK32306623c2454cb5ab9187ccf45e85bd" localSheetId="3" hidden="1">#REF!</definedName>
    <definedName name="MLNK32fd0f86f0a34afdaee1f5a585a58c2c" localSheetId="3" hidden="1">#REF!</definedName>
    <definedName name="MLNK32fedbfa15dc4117823fbf9e82354c14" localSheetId="3" hidden="1">#REF!</definedName>
    <definedName name="MLNK330402a1548a4d9db672e63636a88dba" localSheetId="3" hidden="1">#REF!</definedName>
    <definedName name="MLNK33217662758946f9a7f766d1fe4702be" localSheetId="3" hidden="1">#REF!</definedName>
    <definedName name="MLNK3368011a33ba4a689529c8f0245ec003" localSheetId="3" hidden="1">#REF!</definedName>
    <definedName name="MLNK33aa50c1f4864f5f92625202d233ad79" localSheetId="3" hidden="1">#REF!</definedName>
    <definedName name="MLNK3407049f52d24608aa04c9e1dae82693" localSheetId="3" hidden="1">#REF!</definedName>
    <definedName name="MLNK3444215ad6674dc19fab8268343d3ee7" localSheetId="3" hidden="1">#REF!</definedName>
    <definedName name="MLNK34ea0417da44458e98269b90c5445c1b" localSheetId="3" hidden="1">#REF!</definedName>
    <definedName name="MLNK35525a34df824ef08bc71bc6c1025b5e" localSheetId="3" hidden="1">#REF!</definedName>
    <definedName name="MLNK355f5c4e8de5414fa6caf0579afc5a94" localSheetId="3" hidden="1">#REF!</definedName>
    <definedName name="MLNK357f0b181d6a4cbbac71d014a5a8f524" localSheetId="3" hidden="1">#REF!</definedName>
    <definedName name="MLNK35912bca35884e638463d146863134bb" localSheetId="3" hidden="1">#REF!</definedName>
    <definedName name="MLNK35b610b967514c518799192b3a025611" localSheetId="3" hidden="1">#REF!</definedName>
    <definedName name="MLNK35bcc842081945b9a4877e95b7f82936" localSheetId="3" hidden="1">#REF!</definedName>
    <definedName name="MLNK36d2e358aee44ad3a469ecc7f1efc28f" localSheetId="3" hidden="1">#REF!</definedName>
    <definedName name="MLNK374c68b7739746d4a370cfaacf277aa1" localSheetId="3" hidden="1">#REF!</definedName>
    <definedName name="MLNK374f82a5445c4b98becfe7b5d76f959a" localSheetId="3" hidden="1">#REF!</definedName>
    <definedName name="MLNK377cc58e48c24bb3914f519d36986e16" localSheetId="3" hidden="1">#REF!</definedName>
    <definedName name="MLNK379663da8d494ce2963dbe58a65c43a1" localSheetId="3" hidden="1">#REF!</definedName>
    <definedName name="MLNK3818a537fd50435c8443f12af0070f8a" localSheetId="3" hidden="1">#REF!</definedName>
    <definedName name="MLNK3841ed7b84fe495094681d8873f2c710" localSheetId="3" hidden="1">#REF!</definedName>
    <definedName name="MLNK3894a42fcffc46fa83b48f2f455a1892" localSheetId="3" hidden="1">#REF!</definedName>
    <definedName name="MLNK38a93eff606b42d3964eda691fb0138d" localSheetId="3" hidden="1">#REF!</definedName>
    <definedName name="MLNK38ca0951e89f4f1d8ade9594aad915ad" localSheetId="3" hidden="1">#REF!</definedName>
    <definedName name="MLNK3933a2df57e34583986032bdeb424b65" localSheetId="3" hidden="1">#REF!</definedName>
    <definedName name="MLNK3995b3421bea4957ab58a57e281927c9" localSheetId="3" hidden="1">#REF!</definedName>
    <definedName name="MLNK39c8079a2bfc484bbd9a6c6b4d07de1d" localSheetId="3" hidden="1">#REF!</definedName>
    <definedName name="MLNK39ed8c9a242a490181548740f180a9c9" localSheetId="3" hidden="1">#REF!</definedName>
    <definedName name="MLNK3a756cbdc0c6474a83ad9659a5ffb5d6" localSheetId="3" hidden="1">#REF!</definedName>
    <definedName name="MLNK3a7d26cf39d04e13a1e0f59b3cf1ac34" localSheetId="3" hidden="1">#REF!</definedName>
    <definedName name="MLNK3aee124db8a44e39804dcd74f89a6664" localSheetId="3" hidden="1">#REF!</definedName>
    <definedName name="MLNK3afd6ec422124a4280bd560d99a5eba9" localSheetId="3" hidden="1">#REF!</definedName>
    <definedName name="MLNK3b06213fb1014de39d7f7c54431d5b09" localSheetId="3" hidden="1">#REF!</definedName>
    <definedName name="MLNK3b42315a9d964ea4ba34b4278796ab20" localSheetId="3" hidden="1">#REF!</definedName>
    <definedName name="MLNK3b490f78d86c43a4ba5da5a64039855e" localSheetId="3" hidden="1">#REF!</definedName>
    <definedName name="MLNK3b524faec4ae4e4bb7710c9aa7bb1e5f" localSheetId="3" hidden="1">#REF!</definedName>
    <definedName name="MLNK3b541a2e3a954b89b9cd12b0eb03591c" localSheetId="3" hidden="1">#REF!</definedName>
    <definedName name="MLNK3b95ca2726664ee2b57b97a4c60f7da9" localSheetId="3" hidden="1">#REF!</definedName>
    <definedName name="MLNK3be619b7dc0d402782f00edc05ab351c" localSheetId="3" hidden="1">#REF!</definedName>
    <definedName name="MLNK3c627e7ee5f448969942c7a9faa6081b" localSheetId="3" hidden="1">#REF!</definedName>
    <definedName name="MLNK3cb3fb700bc44cc9837e39daf9249550" localSheetId="3" hidden="1">#REF!</definedName>
    <definedName name="MLNK3cd376d99e2b4eeda28f2f45624a5c45" localSheetId="3" hidden="1">#REF!</definedName>
    <definedName name="MLNK3ce12ae9f8b347e1b969b8686bfdfe72" localSheetId="3" hidden="1">#REF!</definedName>
    <definedName name="MLNK3d6b9da14f26447aaab74747ab31ec87" localSheetId="3" hidden="1">#REF!</definedName>
    <definedName name="MLNK3d93ff247b44478fad5e45e535c9514e" localSheetId="3" hidden="1">#REF!</definedName>
    <definedName name="MLNK3dc94b45582847b3ab6c30e6db918a4b" localSheetId="3" hidden="1">#REF!</definedName>
    <definedName name="MLNK3e136b76f6f0458d807d686e90e781c2" localSheetId="3" hidden="1">#REF!</definedName>
    <definedName name="MLNK3e48ddba77ba4516923752efec075f15" localSheetId="3" hidden="1">#REF!</definedName>
    <definedName name="MLNK3e53ca36e1e74f2b9c3887f1a57e2dd3" localSheetId="3" hidden="1">#REF!</definedName>
    <definedName name="MLNK3e6b5949989744febe30c0ce950b887b" localSheetId="3" hidden="1">#REF!</definedName>
    <definedName name="MLNK3e6e7c981264403f91bb706c64b4e1cc" localSheetId="3" hidden="1">#REF!</definedName>
    <definedName name="MLNK3e76f131abb041509d7aac5ad4e4f4da" localSheetId="3" hidden="1">#REF!</definedName>
    <definedName name="MLNK3f20583318934e1a985b3fb218f6cf2f" localSheetId="3" hidden="1">#REF!</definedName>
    <definedName name="MLNK3f343bad37a9439397dbd6fcde7d8de4" localSheetId="3" hidden="1">#REF!</definedName>
    <definedName name="MLNK3fa800fc53604c9fa4c169076c942124" localSheetId="3" hidden="1">#REF!</definedName>
    <definedName name="MLNK401f5f02698d4243848666f8a851e686" localSheetId="3" hidden="1">#REF!</definedName>
    <definedName name="MLNK4087003224b14ff29dc20d806f658a35" localSheetId="3" hidden="1">#REF!</definedName>
    <definedName name="MLNK40b9f550cd2d40e1a23c9d58b10442b6" localSheetId="3" hidden="1">#REF!</definedName>
    <definedName name="MLNK40d2191e823c4da2911e21ab3af4da2b" localSheetId="3" hidden="1">#REF!</definedName>
    <definedName name="MLNK40de5072625a45d0b118893f9b406066" localSheetId="3" hidden="1">#REF!</definedName>
    <definedName name="MLNK40ffd2860f5d4d15957a9c31ea485f92" localSheetId="3" hidden="1">#REF!</definedName>
    <definedName name="MLNK4119008fa8f04941acb729f1d48f780c" localSheetId="3" hidden="1">#REF!</definedName>
    <definedName name="MLNK41afdd2cee2c4e369431eaaaa672d917" localSheetId="3" hidden="1">#REF!</definedName>
    <definedName name="MLNK41b6a8a780fe4352b1c67caf098d9c81" localSheetId="3" hidden="1">#REF!</definedName>
    <definedName name="MLNK4202544caf9e4c90ab80923f1214781e" localSheetId="3" hidden="1">#REF!</definedName>
    <definedName name="MLNK421e897f741d4952aa632d335e71ed1c" localSheetId="3" hidden="1">#REF!</definedName>
    <definedName name="MLNK42b4cb02d65643168912e34a2a4d7f2e" localSheetId="3" hidden="1">#REF!</definedName>
    <definedName name="MLNK430cf43e8a734ab98b65790d0ec28b85" localSheetId="3" hidden="1">#REF!</definedName>
    <definedName name="MLNK43461bee059d480b89b6cd675b36ccb5" localSheetId="3" hidden="1">#REF!</definedName>
    <definedName name="MLNK43b4ade77b1b480587ab3b6070bdaf61" localSheetId="3" hidden="1">#REF!</definedName>
    <definedName name="MLNK43f1a5f6b89847a58b6fdae96b57e2dd" localSheetId="3" hidden="1">#REF!</definedName>
    <definedName name="MLNK43f4fd00cbce4f15849d903369f771dc" localSheetId="3" hidden="1">#REF!</definedName>
    <definedName name="MLNK442a5197cad145db945ab21b9c8b200c" localSheetId="3" hidden="1">#REF!</definedName>
    <definedName name="MLNK4469f5e72f9644ebb4fb728553ea8b7f" localSheetId="3" hidden="1">#REF!</definedName>
    <definedName name="MLNK448cf67a0a33444fb7741e08a9b2165f" localSheetId="3" hidden="1">#REF!</definedName>
    <definedName name="MLNK44fa9436e93345839dd30ae91074203f" localSheetId="3" hidden="1">#REF!</definedName>
    <definedName name="MLNK453cab05e6a44c15b72976e09a9831ae" localSheetId="3" hidden="1">#REF!</definedName>
    <definedName name="MLNK454cea6ef9f8417a9c84129b9df206cc" localSheetId="3" hidden="1">#REF!</definedName>
    <definedName name="MLNK45b880241b084b94acbe546cc47dafb4" localSheetId="3" hidden="1">#REF!</definedName>
    <definedName name="MLNK45bbf27d25e64bd09dba6cd078e73b55" localSheetId="3" hidden="1">#REF!</definedName>
    <definedName name="MLNK460dc94c4f3242dda7f460196f9e1836" localSheetId="3" hidden="1">#REF!</definedName>
    <definedName name="MLNK468781f1a56c4f7b9056af3f150c3d01" localSheetId="3" hidden="1">#REF!</definedName>
    <definedName name="MLNK4698963d1cd64c3cbb3c00339b2715ab" localSheetId="3" hidden="1">#REF!</definedName>
    <definedName name="MLNK46ac64f69e41430dbae711c8a31227b2" localSheetId="3" hidden="1">#REF!</definedName>
    <definedName name="MLNK46c2d3a36bf2488490292708b8f9feb5" localSheetId="3" hidden="1">#REF!</definedName>
    <definedName name="MLNK46cd212686fd4aff871cbe473595c1f4" localSheetId="3" hidden="1">#REF!</definedName>
    <definedName name="MLNK470a094db47f45bd86aa09e2eec85f94" localSheetId="3" hidden="1">#REF!</definedName>
    <definedName name="MLNK480ec09c0d4f4d57bacf8af14ff93e40" localSheetId="3" hidden="1">#REF!</definedName>
    <definedName name="MLNK482a72a757504185abeb196b4c2e8eac" localSheetId="3" hidden="1">#REF!</definedName>
    <definedName name="MLNK4879f7a0100442f19df60debe3894898" localSheetId="3" hidden="1">#REF!</definedName>
    <definedName name="MLNK48930a108bbc4d1e9bd50497dd86deb4" localSheetId="3" hidden="1">#REF!</definedName>
    <definedName name="MLNK48d1ea6d6ccd4a85b72f194cf7a6f271" localSheetId="3" hidden="1">#REF!</definedName>
    <definedName name="MLNK48e61342d81b4a01bdca4ce46a298839" localSheetId="3" hidden="1">#REF!</definedName>
    <definedName name="MLNK496a65f951294504bd0cc429c0620946" localSheetId="3" hidden="1">#REF!</definedName>
    <definedName name="MLNK497b1f6578814ea499f2045816063c56" localSheetId="3" hidden="1">#REF!</definedName>
    <definedName name="MLNK49db4a5128f84b5a944ba5c6aa4f2e5e" localSheetId="3" hidden="1">#REF!</definedName>
    <definedName name="MLNK4a0aaaa4ade34633a6f39809db59ce93" localSheetId="3" hidden="1">#REF!</definedName>
    <definedName name="MLNK4a4f1de30419440b9e6fce86c1c3ea6d" localSheetId="3" hidden="1">#REF!</definedName>
    <definedName name="MLNK4a5be1ff9d6d417494e78d1077939115" localSheetId="3" hidden="1">#REF!</definedName>
    <definedName name="MLNK4a82332111354264ba7c54403cfab047" localSheetId="3" hidden="1">#REF!</definedName>
    <definedName name="MLNK4ab70dc2735b42f2aa8726b707794056" localSheetId="3" hidden="1">#REF!</definedName>
    <definedName name="MLNK4ae1162da6924edbb77eb864286b52ec" localSheetId="3" hidden="1">#REF!</definedName>
    <definedName name="MLNK4afa9175c2a44f87b0416e8f4fa9153d" localSheetId="3" hidden="1">#REF!</definedName>
    <definedName name="MLNK4b3b9b2c509a49709ab64ea8279021ed" localSheetId="3" hidden="1">#REF!</definedName>
    <definedName name="MLNK4b3eacc50b834c62abf0ab00d4e07c7f" localSheetId="3" hidden="1">#REF!</definedName>
    <definedName name="MLNK4b40bbbaef344de0ab2a1c4c1549a012" localSheetId="3" hidden="1">#REF!</definedName>
    <definedName name="MLNK4b56ec77d2ba4c15942829c5ff584433" localSheetId="3" hidden="1">#REF!</definedName>
    <definedName name="MLNK4b869de81adf428db1532acf496b0194" localSheetId="3" hidden="1">#REF!</definedName>
    <definedName name="MLNK4b8c43bd0f2d489388c97469ffb92dc2" localSheetId="3" hidden="1">#REF!</definedName>
    <definedName name="MLNK4b94666561864b68b487863d6d2c00ee" localSheetId="3" hidden="1">#REF!</definedName>
    <definedName name="MLNK4ba48b82125544feb54b63a50d2993a1" localSheetId="3" hidden="1">#REF!</definedName>
    <definedName name="MLNK4bf9ca0a4035470ab9854379328e9681" localSheetId="3" hidden="1">#REF!</definedName>
    <definedName name="MLNK4c2708c39781424aa5add011985b25a2" localSheetId="3" hidden="1">#REF!</definedName>
    <definedName name="MLNK4c724cf6bfd64d28bbd8ce74243815c2" localSheetId="3" hidden="1">#REF!</definedName>
    <definedName name="MLNK4cea7123f087461caaba1948592ef750" localSheetId="3" hidden="1">#REF!</definedName>
    <definedName name="MLNK4cfbe0e23a354f0bacc5ad2f5da4c4ad" localSheetId="3" hidden="1">#REF!</definedName>
    <definedName name="MLNK4d2809775cd446e6a90014faac5dd8f5" localSheetId="3" hidden="1">#REF!</definedName>
    <definedName name="MLNK4d47096029b64b53b114e1f22b3b0f38" localSheetId="3" hidden="1">#REF!</definedName>
    <definedName name="MLNK4d7fda9b12f74ae49bf48ef6c5fd5340" localSheetId="3" hidden="1">#REF!</definedName>
    <definedName name="MLNK4d9e0f11ae5e428c937ce9be516b6a99" localSheetId="3" hidden="1">#REF!</definedName>
    <definedName name="MLNK4db1020c5d1346419402ca67cf26479c" localSheetId="3" hidden="1">#REF!</definedName>
    <definedName name="MLNK4dfd8bb2b1b14ccea2701f57b93d553e" localSheetId="3" hidden="1">#REF!</definedName>
    <definedName name="MLNK4e30f0d9bfd44f2dbf9e38ee71a57e77" localSheetId="3" hidden="1">#REF!</definedName>
    <definedName name="MLNK4e3e032ebe97403cb7ac1878b9b13549" localSheetId="3" hidden="1">#REF!</definedName>
    <definedName name="MLNK4e425536579c4453a655d9d556d31476" localSheetId="3" hidden="1">#REF!</definedName>
    <definedName name="MLNK4e9bdae243794a8daf62540f83c5aa10" localSheetId="3" hidden="1">#REF!</definedName>
    <definedName name="MLNK4f073a15c1c24d208e8dfdb08ee6d013" localSheetId="3" hidden="1">#REF!</definedName>
    <definedName name="MLNK4f20d2d4b620405a80207905474c0026" localSheetId="3" hidden="1">#REF!</definedName>
    <definedName name="MLNK4f9a486bc37347b29fe27af8480deb4e" localSheetId="3" hidden="1">#REF!</definedName>
    <definedName name="MLNK4f9b62606f434037bf8ee8f446547579" localSheetId="3" hidden="1">#REF!</definedName>
    <definedName name="MLNK4fb339189826401080c6579bbdb2860a" localSheetId="3" hidden="1">#REF!</definedName>
    <definedName name="MLNK501d597a47804366b59908f2aefe82f9" localSheetId="3" hidden="1">#REF!</definedName>
    <definedName name="MLNK5066a176457140b4ab8fef34359475b7" localSheetId="3" hidden="1">#REF!</definedName>
    <definedName name="MLNK509c50b0f30e41d2861594506e9a5b3d" localSheetId="3" hidden="1">#REF!</definedName>
    <definedName name="MLNK511a685c54b44dd0b4c40d4291f00c35" localSheetId="3" hidden="1">#REF!</definedName>
    <definedName name="MLNK51237db6785d4bbaacf9f6889f6cfabc" localSheetId="3" hidden="1">#REF!</definedName>
    <definedName name="MLNK5147170441994c8481cf8227dd3a195d" localSheetId="3" hidden="1">#REF!</definedName>
    <definedName name="MLNK51d3be7e8f4c44fa944705c24ac7c692" localSheetId="3" hidden="1">#REF!</definedName>
    <definedName name="MLNK5223518531274ba9b8944e931c5091f4" localSheetId="3" hidden="1">#REF!</definedName>
    <definedName name="MLNK5273f113756f4c699300085097bea1ac" localSheetId="3" hidden="1">#REF!</definedName>
    <definedName name="MLNK52a3c800b810441686324242468860af" localSheetId="3" hidden="1">#REF!</definedName>
    <definedName name="MLNK52b773a93c594b90828c2297469b7d75" localSheetId="3" hidden="1">#REF!</definedName>
    <definedName name="MLNK530a9e4d4663448eab3b6c97dcffbca7" localSheetId="3" hidden="1">#REF!</definedName>
    <definedName name="MLNK539da7e8b6df4b1ba62b9857d1c8b428" localSheetId="3" hidden="1">#REF!</definedName>
    <definedName name="MLNK53f4f99dd75b45668a7dbec1b7261904" localSheetId="3" hidden="1">#REF!</definedName>
    <definedName name="MLNK540e04f20112459aa5ef5755b541825e" localSheetId="3" hidden="1">#REF!</definedName>
    <definedName name="MLNK5419c38a82504718a60b37b75c6058c5" localSheetId="3" hidden="1">#REF!</definedName>
    <definedName name="MLNK546b60d4cec643f6b1f022d2fd84673e" localSheetId="3" hidden="1">#REF!</definedName>
    <definedName name="MLNK549b1164492642239189c8432acac595" localSheetId="3" hidden="1">#REF!</definedName>
    <definedName name="MLNK54aa1b85a6384b7e8738b9f361971039" localSheetId="3" hidden="1">#REF!</definedName>
    <definedName name="MLNK556a00d4e50b484d9794c0d6ad3d751a" localSheetId="3" hidden="1">#REF!</definedName>
    <definedName name="MLNK558089d3077d4fdc8ad112fbee95b79f" localSheetId="3" hidden="1">#REF!</definedName>
    <definedName name="MLNK558420cb2c3f4942b970d972a1f4004b" localSheetId="3" hidden="1">#REF!</definedName>
    <definedName name="MLNK55a655decbf6419eb2c91cf936552e1a" localSheetId="3" hidden="1">#REF!</definedName>
    <definedName name="MLNK55b544fbbb9f458cbe95286ff80bd221" localSheetId="3" hidden="1">#REF!</definedName>
    <definedName name="MLNK55b7396a5c5a4d428b86a86e0c9af448" localSheetId="3" hidden="1">#REF!</definedName>
    <definedName name="MLNK55e46825f9514c48852aa1b226b92cfc" localSheetId="3" hidden="1">#REF!</definedName>
    <definedName name="MLNK564779ce4b57458fae9e72aa61a4f78d" localSheetId="3" hidden="1">#REF!</definedName>
    <definedName name="MLNK5662e450df734a6bbd33a33ee472c231" localSheetId="3" hidden="1">#REF!</definedName>
    <definedName name="MLNK56784cfee8224356b96f48647bfb4487" localSheetId="3" hidden="1">#REF!</definedName>
    <definedName name="MLNK56818b66a82348ce99c0452d8f653c3f" localSheetId="3" hidden="1">#REF!</definedName>
    <definedName name="MLNK568a34b1bbca4bb8b7a63fe030bea332" localSheetId="3" hidden="1">#REF!</definedName>
    <definedName name="MLNK568ef48cd24247c9ba996982414db3d5" localSheetId="3" hidden="1">#REF!</definedName>
    <definedName name="MLNK56c96016bd5e4d99bb7a035622aac533" localSheetId="3" hidden="1">#REF!</definedName>
    <definedName name="MLNK56c97d0b00a9420f86ab98f9461c3369" localSheetId="3" hidden="1">#REF!</definedName>
    <definedName name="MLNK5712d7caec4d4e1284cfaab2fc1b2380" localSheetId="3" hidden="1">#REF!</definedName>
    <definedName name="MLNK572500526c264b7b95065377003ddae5" localSheetId="3" hidden="1">#REF!</definedName>
    <definedName name="MLNK5790592d66964954b49e1e6a2cdff298" localSheetId="3" hidden="1">#REF!</definedName>
    <definedName name="MLNK57ba1a57437c45af8dca541162dd478f" localSheetId="3" hidden="1">#REF!</definedName>
    <definedName name="MLNK58053737ae524582b77cbd888ce85d75" localSheetId="3" hidden="1">#REF!</definedName>
    <definedName name="MLNK58227a099e774037a2c4ee46ba51169b" localSheetId="3" hidden="1">#REF!</definedName>
    <definedName name="MLNK5868995cab8141f58d146ceb5ab8e064" localSheetId="3" hidden="1">#REF!</definedName>
    <definedName name="MLNK5897b17acdef449b9498edd1c872e49b" localSheetId="3" hidden="1">#REF!</definedName>
    <definedName name="MLNK589b4b4e9d114498b6438732af4079c6" localSheetId="3" hidden="1">#REF!</definedName>
    <definedName name="MLNK589cb7b6aecd4b118ee3f2109753f3f3" localSheetId="3" hidden="1">#REF!</definedName>
    <definedName name="MLNK58cc0fc20f5f40bfabbdb8766eb0af9c" localSheetId="3" hidden="1">#REF!</definedName>
    <definedName name="MLNK58d4fc78b4664492bb3fa144423113d2" localSheetId="3" hidden="1">#REF!</definedName>
    <definedName name="MLNK58f9115d080d4d92853e40c2f2eb0758" localSheetId="3" hidden="1">#REF!</definedName>
    <definedName name="MLNK59309990db734d9c8a821e2b8d52b8dd" localSheetId="3" hidden="1">#REF!</definedName>
    <definedName name="MLNK59edf6cf43784dc6aad3c55e4e5ad2b4" localSheetId="3" hidden="1">#REF!</definedName>
    <definedName name="MLNK5a29ce186d6741829000c9e915ae9c66" localSheetId="3" hidden="1">#REF!</definedName>
    <definedName name="MLNK5a30477d5f394fd987d059cef3f42405" localSheetId="3" hidden="1">#REF!</definedName>
    <definedName name="MLNK5a37a43bf2834901840d23cbb0abc044" localSheetId="3" hidden="1">#REF!</definedName>
    <definedName name="MLNK5a5cc9398b0e4a1490756fe52cdfdf29" localSheetId="3" hidden="1">#REF!</definedName>
    <definedName name="MLNK5a93b74cbd5647d885cfab58ef64c068" localSheetId="3" hidden="1">#REF!</definedName>
    <definedName name="MLNK5b82a77114d14c758b65f9d6c625f0e6" localSheetId="3" hidden="1">#REF!</definedName>
    <definedName name="MLNK5bb2c057790241afa9be0bea799d3060" localSheetId="3" hidden="1">#REF!</definedName>
    <definedName name="MLNK5bc72c653a64456ca35790155aeeb15c" localSheetId="3" hidden="1">#REF!</definedName>
    <definedName name="MLNK5bd8f2fa23a449f68bf9122fc9634158" localSheetId="3" hidden="1">#REF!</definedName>
    <definedName name="MLNK5c118afdb7424a12984646f92bdb0baf" localSheetId="3" hidden="1">#REF!</definedName>
    <definedName name="MLNK5c2fdb53616843338a76ee87fba723a1" localSheetId="3" hidden="1">#REF!</definedName>
    <definedName name="MLNK5c93849b1c694866a7fdca906433d872" localSheetId="3" hidden="1">#REF!</definedName>
    <definedName name="MLNK5cb6067cb22d4404a352867a368c4dd3" localSheetId="3" hidden="1">#REF!</definedName>
    <definedName name="MLNK5cc120250dba49fc954ce969f59c29e4" localSheetId="3" hidden="1">#REF!</definedName>
    <definedName name="MLNK5d504a170b0b424b845a2fbdf8ae212e" localSheetId="3" hidden="1">#REF!</definedName>
    <definedName name="MLNK5d9cc9b2b2fd4b2799819c19126f0e1b" localSheetId="3" hidden="1">#REF!</definedName>
    <definedName name="MLNK5da25abf8c7240d3abe03aca35d0450c" localSheetId="3" hidden="1">#REF!</definedName>
    <definedName name="MLNK5de520c386f4498e87cf292a9422b147" localSheetId="3" hidden="1">#REF!</definedName>
    <definedName name="MLNK5e56288a2d444a9ebdffbc6047357d41" localSheetId="3" hidden="1">#REF!</definedName>
    <definedName name="MLNK5e66d0e5e0504f83b21a28b2ed859d4a" localSheetId="3" hidden="1">#REF!</definedName>
    <definedName name="MLNK5e8dd6ee2dc24c0eb99cc80145bc853f" localSheetId="3" hidden="1">#REF!</definedName>
    <definedName name="MLNK5f035044afad4ac69ff0cf10ce95cacb" localSheetId="3" hidden="1">#REF!</definedName>
    <definedName name="MLNK5f489b36a3dd4ffca654ca893fdc01e1" localSheetId="3" hidden="1">#REF!</definedName>
    <definedName name="MLNK60d659c3c8bc4afb8091990511f37424" localSheetId="3" hidden="1">#REF!</definedName>
    <definedName name="MLNK6123d0abbf994e4fb5de81b47ecc7ff0" localSheetId="3" hidden="1">#REF!</definedName>
    <definedName name="MLNK612c822e116041a1be89ae4a415e8374" localSheetId="3" hidden="1">#REF!</definedName>
    <definedName name="MLNK6210b0a7eff74c16936439a65bb1d85a" localSheetId="3" hidden="1">#REF!</definedName>
    <definedName name="MLNK625fe00e4639425ba812d96c8e9ceea9" localSheetId="3" hidden="1">#REF!</definedName>
    <definedName name="MLNK62d6df4b67ea4430a943d6097b968d39" localSheetId="3" hidden="1">#REF!</definedName>
    <definedName name="MLNK6305bc950df74e6a89faf0e38f7282b2" localSheetId="3" hidden="1">#REF!</definedName>
    <definedName name="MLNK631f5f318f32460cb70ce1837416f6f6" localSheetId="3" hidden="1">#REF!</definedName>
    <definedName name="MLNK635bdcff8c174f7e86b3b1ac491aabe9" localSheetId="3" hidden="1">#REF!</definedName>
    <definedName name="MLNK6383911c3c664c0887824cfe4ea1f93b" localSheetId="3" hidden="1">#REF!</definedName>
    <definedName name="MLNK63ac4582cfe047bbb516377b722c0c61" localSheetId="3" hidden="1">#REF!</definedName>
    <definedName name="MLNK64f506610b0549d0bf994f29c91e01eb" localSheetId="3" hidden="1">#REF!</definedName>
    <definedName name="MLNK65147e5669204c5bb84032ff50f02a7e" localSheetId="3" hidden="1">#REF!</definedName>
    <definedName name="MLNK652441e2374d4a8fae70b563e0916718" localSheetId="3" hidden="1">#REF!</definedName>
    <definedName name="MLNK655665b4820d4dc3b01557425e02aa4b" localSheetId="3" hidden="1">#REF!</definedName>
    <definedName name="MLNK65839af1b13744b0a4faaeb49d4fe140" localSheetId="3" hidden="1">#REF!</definedName>
    <definedName name="MLNK6593c6ab73264e69b4374330ab13c8e1" localSheetId="3" hidden="1">#REF!</definedName>
    <definedName name="MLNK6595a9ddf18748bfaeb58c67223bfc33" localSheetId="3" hidden="1">#REF!</definedName>
    <definedName name="MLNK65a6ee50c38f4a1787e6ee66d8745808" localSheetId="3" hidden="1">#REF!</definedName>
    <definedName name="MLNK65e75eb4a985451a9cb2467efa5a31db" localSheetId="3" hidden="1">#REF!</definedName>
    <definedName name="MLNK66055e341c5c4761b946d1445a420c6b" localSheetId="3" hidden="1">#REF!</definedName>
    <definedName name="MLNK66416141c4ce46b0a586f7ee596245db" localSheetId="3" hidden="1">#REF!</definedName>
    <definedName name="MLNK66624990299547b2b64d531ab9be5b30" localSheetId="3" hidden="1">#REF!</definedName>
    <definedName name="MLNK66fe63e2714d498394dcacd64546234b" localSheetId="3" hidden="1">#REF!</definedName>
    <definedName name="MLNK678d9ffd405846fabeb219bf563b4a86" localSheetId="3" hidden="1">#REF!</definedName>
    <definedName name="MLNK679e121181984bc4926c0389f80b9c90" localSheetId="3" hidden="1">#REF!</definedName>
    <definedName name="MLNK68871f2145af4dca900f0d21af672263" localSheetId="3" hidden="1">#REF!</definedName>
    <definedName name="MLNK68aecd16316b4ec5a6fee43a0404a643" localSheetId="3" hidden="1">#REF!</definedName>
    <definedName name="MLNK6903e22c8a4146488153f7a43fa6c9fc" localSheetId="3" hidden="1">#REF!</definedName>
    <definedName name="MLNK692e486811bc41418e7571e3bb5c8bbb" localSheetId="3" hidden="1">#REF!</definedName>
    <definedName name="MLNK697f5a9c8f2342c6bb10c87ac65ebd4a" localSheetId="3" hidden="1">#REF!</definedName>
    <definedName name="MLNK6a265b582ea3449ba161933f47d6ad8a" localSheetId="3" hidden="1">#REF!</definedName>
    <definedName name="MLNK6a86925f37504091894ed814236c34fa" localSheetId="3" hidden="1">#REF!</definedName>
    <definedName name="MLNK6a8780fdd56f48d393f32ab99d587db6" localSheetId="3" hidden="1">#REF!</definedName>
    <definedName name="MLNK6aa03d44785e4ed68239ea75127de48e" localSheetId="3" hidden="1">#REF!</definedName>
    <definedName name="MLNK6b16945314434b04a97d34c9050e2320" localSheetId="3" hidden="1">#REF!</definedName>
    <definedName name="MLNK6b5ce047d68b41dcaede68d1e499e9d9" localSheetId="3" hidden="1">#REF!</definedName>
    <definedName name="MLNK6b5e31c5a8134a35aa3b61e6a3c34f1c" localSheetId="3" hidden="1">#REF!</definedName>
    <definedName name="MLNK6b80abdc8fe740cfac848fac6ef04b6f" localSheetId="3" hidden="1">#REF!</definedName>
    <definedName name="MLNK6b92bb4e16d6422caedcf892b957e8dc" localSheetId="3" hidden="1">#REF!</definedName>
    <definedName name="MLNK6c1636abd84647b28396267a19f2a16a" localSheetId="3" hidden="1">#REF!</definedName>
    <definedName name="MLNK6ca7e7164c8c49318c0a92737f4ed103" localSheetId="3" hidden="1">#REF!</definedName>
    <definedName name="MLNK6d68e9d61ca0416884aa1cfee1a494eb" localSheetId="3" hidden="1">#REF!</definedName>
    <definedName name="MLNK6d94a81eaf0143b5be6d1ba1c9c84842" localSheetId="3" hidden="1">#REF!</definedName>
    <definedName name="MLNK6dd4af24b7e94c07a8617def0a556fe0" localSheetId="3" hidden="1">#REF!</definedName>
    <definedName name="MLNK6e486e2d5a334a39b4877bea72d7eb92" localSheetId="3" hidden="1">#REF!</definedName>
    <definedName name="MLNK6e727159858a4f6fa12f1184ada87026" localSheetId="3" hidden="1">#REF!</definedName>
    <definedName name="MLNK6e72f843939c45e6ad1bb202d76f95fd" localSheetId="3" hidden="1">#REF!</definedName>
    <definedName name="MLNK6e783f0d518148e08e2aaef094f77e6b" localSheetId="3" hidden="1">#REF!</definedName>
    <definedName name="MLNK6fed978a0f5a4a4cbe4ee5d4155e5ec5" localSheetId="3" hidden="1">#REF!</definedName>
    <definedName name="MLNK6fee5b8d69cd417686506d354a9250d0" localSheetId="3" hidden="1">#REF!</definedName>
    <definedName name="MLNK7019e39e85c246f1ae9e0ef6fc958370" localSheetId="3" hidden="1">#REF!</definedName>
    <definedName name="MLNK7021f5ebbdd84a45ba6a7ba23cb30771" localSheetId="3" hidden="1">#REF!</definedName>
    <definedName name="MLNK7057dc7973694314b60de6b163b24838" localSheetId="3" hidden="1">#REF!</definedName>
    <definedName name="MLNK70646e4a8e034cd78f431f91898c66c0" localSheetId="3" hidden="1">#REF!</definedName>
    <definedName name="MLNK70a58cfbfa8f452e814ded09c65137f4" localSheetId="3" hidden="1">#REF!</definedName>
    <definedName name="MLNK70a874c7f368487cbe704d484fc1af16" localSheetId="3" hidden="1">#REF!</definedName>
    <definedName name="MLNK70c624b08d0d414b9b3e07cb7658af95" localSheetId="3" hidden="1">#REF!</definedName>
    <definedName name="MLNK70d038176d214bb3be6757c4606f55b5" localSheetId="3" hidden="1">#REF!</definedName>
    <definedName name="MLNK70e7b92d37f9456792e67a07f03cfc7d" localSheetId="3" hidden="1">#REF!</definedName>
    <definedName name="MLNK711e7c92b77c4bdba0a8fd967f51d09a" localSheetId="3" hidden="1">#REF!</definedName>
    <definedName name="MLNK713d8596e8df4275ab2d2f003c345043" localSheetId="3" hidden="1">#REF!</definedName>
    <definedName name="MLNK7165b3d004ff4cdb8cf06f37aad03417" localSheetId="3" hidden="1">#REF!</definedName>
    <definedName name="MLNK7190e0b0ca724135b422646f09ee97eb" localSheetId="3" hidden="1">#REF!</definedName>
    <definedName name="MLNK71b4daf60a6b45208f07199ac429da30" localSheetId="3" hidden="1">#REF!</definedName>
    <definedName name="MLNK71b5bf4bc0224e8981e090b52946baaf" localSheetId="3" hidden="1">#REF!</definedName>
    <definedName name="MLNK71c0b0997c344b909a6256f3f9e7b2f4" localSheetId="3" hidden="1">#REF!</definedName>
    <definedName name="MLNK729c511e6fb8406388008eaec1c014b6" localSheetId="3" hidden="1">#REF!</definedName>
    <definedName name="MLNK72c7159a0c3649da8f62d8214a86a035" localSheetId="3" hidden="1">#REF!</definedName>
    <definedName name="MLNK73535d6b26d34f28bcc1383ca23ae898" localSheetId="3" hidden="1">#REF!</definedName>
    <definedName name="MLNK7390ef6b69464b07902bf436ab3f0c81" localSheetId="3" hidden="1">#REF!</definedName>
    <definedName name="MLNK739e1434b02c46f6bdc88efd2f1ba994" localSheetId="3" hidden="1">#REF!</definedName>
    <definedName name="MLNK73bdb994b87f4972a5708ca53b7466f0" localSheetId="3" hidden="1">#REF!</definedName>
    <definedName name="MLNK73ca829c394b452098090ce23a806c68" localSheetId="3" hidden="1">#REF!</definedName>
    <definedName name="MLNK73d1a15bdc8b4cb7a1eba62c68ef7775" localSheetId="3" hidden="1">#REF!</definedName>
    <definedName name="MLNK742224d381f2494b857b969c2e07aa13" localSheetId="3" hidden="1">#REF!</definedName>
    <definedName name="MLNK7426aa94cca74acfad9415b05d5b7ff4" localSheetId="3" hidden="1">#REF!</definedName>
    <definedName name="MLNK74aaf3c2da574df69615013232ece008" localSheetId="3" hidden="1">#REF!</definedName>
    <definedName name="MLNK74ac2ebf8f2a4931b8cde3dabac0a546" localSheetId="3" hidden="1">#REF!</definedName>
    <definedName name="MLNK74ccbb3c852644f5a46f80e4df6ed55c" localSheetId="3" hidden="1">#REF!</definedName>
    <definedName name="MLNK74cd5027c16842ca83676db6bf8ade6b" localSheetId="3" hidden="1">#REF!</definedName>
    <definedName name="MLNK74e35ae32fbd45038a8ca8786ddc5481" localSheetId="3" hidden="1">#REF!</definedName>
    <definedName name="MLNK74e85bd6385d4993b531d38f2f3836c0" localSheetId="3" hidden="1">#REF!</definedName>
    <definedName name="MLNK74f8fb9fd04744b0826b8e01af33e003" localSheetId="3" hidden="1">#REF!</definedName>
    <definedName name="MLNK7575c400d762409d9d7d3f247f474ee7" localSheetId="3" hidden="1">#REF!</definedName>
    <definedName name="MLNK758fdcdb07a04274a7c7bedbf4c52f8d" localSheetId="3" hidden="1">#REF!</definedName>
    <definedName name="MLNK759a8f014d2945aba9553db2fee209c0" localSheetId="3" hidden="1">#REF!</definedName>
    <definedName name="MLNK75db4195e5d141d3a7eec873d4cc3a5e" localSheetId="3" hidden="1">#REF!</definedName>
    <definedName name="MLNK763a9f01ebb64e43939b2276d58ab053" localSheetId="3" hidden="1">#REF!</definedName>
    <definedName name="MLNK76a07ad73c6943b0b9490c28c2773a72" localSheetId="3" hidden="1">#REF!</definedName>
    <definedName name="MLNK78474ea8ccc645299e21f8fb8f2831bb" localSheetId="3" hidden="1">#REF!</definedName>
    <definedName name="MLNK784d795970424f398fc3fdd199378fee" localSheetId="3" hidden="1">#REF!</definedName>
    <definedName name="MLNK786446f9adf44b9c8e69153a249119f0" localSheetId="3" hidden="1">#REF!</definedName>
    <definedName name="MLNK7887505795504f1da6c968aa806eab0b" localSheetId="3" hidden="1">#REF!</definedName>
    <definedName name="MLNK78cdf337446c4c4fa061d0ca0ea856da" localSheetId="3" hidden="1">#REF!</definedName>
    <definedName name="MLNK79c13ef1d63e4c229d6c7ca926e964b0" localSheetId="3" hidden="1">#REF!</definedName>
    <definedName name="MLNK79f1f52cffc2440d893df1536bc81db2" localSheetId="3" hidden="1">#REF!</definedName>
    <definedName name="MLNK7a261d36437c4a978a819df4ce0f5c46" localSheetId="3" hidden="1">#REF!</definedName>
    <definedName name="MLNK7a38c2826a99439c9e40971bcc5ad261" localSheetId="3" hidden="1">#REF!</definedName>
    <definedName name="MLNK7b118c2e2a8f476fbe19f397f0a5dbd2" localSheetId="3" hidden="1">#REF!</definedName>
    <definedName name="MLNK7b537a5989264eddabc292d4476e8379" localSheetId="3" hidden="1">#REF!</definedName>
    <definedName name="MLNK7b7b0f44588f4b009d65026d66428372" localSheetId="3" hidden="1">#REF!</definedName>
    <definedName name="MLNK7bd30f6b03154f80b4ece3b807f67f53" localSheetId="3" hidden="1">#REF!</definedName>
    <definedName name="MLNK7bec44c0ba524dd5968ece36d71dd645" localSheetId="3" hidden="1">#REF!</definedName>
    <definedName name="MLNK7c2d7cae1ba24e14af55455df7615e04" localSheetId="3" hidden="1">#REF!</definedName>
    <definedName name="MLNK7c5f539d49fd45b29663fcc382404a18" localSheetId="3" hidden="1">#REF!</definedName>
    <definedName name="MLNK7c6376d3e24e49f68f4a6c8210e18b82" localSheetId="3" hidden="1">#REF!</definedName>
    <definedName name="MLNK7c808528906245c8bc83cd2434e1f4a3" localSheetId="3" hidden="1">#REF!</definedName>
    <definedName name="MLNK7c8b44994a5b434f8af642c9c7bd1904" localSheetId="3" hidden="1">#REF!</definedName>
    <definedName name="MLNK7ccb8304142d4079b335f546155f0e48" localSheetId="3" hidden="1">#REF!</definedName>
    <definedName name="MLNK7cdcd9ff45e94baa8c22f1bbb7a0756c" localSheetId="3" hidden="1">#REF!</definedName>
    <definedName name="MLNK7ce7df4de2444df2ae72af9f72d99cf3" localSheetId="3" hidden="1">#REF!</definedName>
    <definedName name="MLNK7d792593e60b4a4cbb48428d4a2a5258" localSheetId="3" hidden="1">#REF!</definedName>
    <definedName name="MLNK7d839fb3a2534df1af4fe0c1fb45f03b" localSheetId="3" hidden="1">#REF!</definedName>
    <definedName name="MLNK7dde91cd40a0482ca0661c225c13de3c" localSheetId="3" hidden="1">#REF!</definedName>
    <definedName name="MLNK7dfeefbfedf84d17b41a6bc802339b65" localSheetId="3" hidden="1">#REF!</definedName>
    <definedName name="MLNK7e047f1118dd4395a6c630f7eaa3ba64" localSheetId="3" hidden="1">#REF!</definedName>
    <definedName name="MLNK7e722a65711d41bbb1f89dac8f1d179f" localSheetId="3" hidden="1">#REF!</definedName>
    <definedName name="MLNK7f00420c94b84d218a5ffd741e2618a4" localSheetId="3" hidden="1">#REF!</definedName>
    <definedName name="MLNK7f2c3c66c11243eeb8b566267a70ab25" localSheetId="3" hidden="1">#REF!</definedName>
    <definedName name="MLNK7f381db745e745038123354ce5695f85" localSheetId="3" hidden="1">#REF!</definedName>
    <definedName name="MLNK7f3a5242886546ca971d4b3fd26e0d39" localSheetId="3" hidden="1">#REF!</definedName>
    <definedName name="MLNK7f5760153f9c46e7a6ae314adcdddfd8" localSheetId="3" hidden="1">#REF!</definedName>
    <definedName name="MLNK7f9b2a8b4c6e4ee79f750e916a643062" localSheetId="3" hidden="1">#REF!</definedName>
    <definedName name="MLNK7fc6fd2848a84b0d90d2448805483aef" localSheetId="3" hidden="1">#REF!</definedName>
    <definedName name="MLNK800cb0f5988f4232abce7d0d36762cc8" localSheetId="3" hidden="1">#REF!</definedName>
    <definedName name="MLNK80c806ee2fb84b6f95cb413fb747a5d7" localSheetId="3" hidden="1">#REF!</definedName>
    <definedName name="MLNK81acc8d3750443c9b6b2f7184ca1a239" localSheetId="3" hidden="1">#REF!</definedName>
    <definedName name="MLNK81d991a8444b423ba181c00b1581fd58" localSheetId="3" hidden="1">#REF!</definedName>
    <definedName name="MLNK81fccb728da14368923894d777f9d6c1" localSheetId="3" hidden="1">#REF!</definedName>
    <definedName name="MLNK822c71a676b44b90a0ae9ee8e8922351" localSheetId="3" hidden="1">#REF!</definedName>
    <definedName name="MLNK82a32cd08bcd424db6b53342a4ef2b53" localSheetId="3" hidden="1">#REF!</definedName>
    <definedName name="MLNK8389a0e593704536bf47bf8d77e09b85" localSheetId="3" hidden="1">#REF!</definedName>
    <definedName name="MLNK849be104a79e4e71843072e3fc579178" localSheetId="3" hidden="1">#REF!</definedName>
    <definedName name="MLNK8519166dded446979824141450c07732" localSheetId="3" hidden="1">#REF!</definedName>
    <definedName name="MLNK85403b3597204849bd36188b4216facb" localSheetId="3" hidden="1">#REF!</definedName>
    <definedName name="MLNK856b4359b1474ad6be49d46fd39e07d3" localSheetId="3" hidden="1">#REF!</definedName>
    <definedName name="MLNK85d104ed1abd4ee8b2b7b9e36d1a40a0" localSheetId="3" hidden="1">#REF!</definedName>
    <definedName name="MLNK86084a0d926c4d1c99f2a4ed620b0d92" localSheetId="3" hidden="1">#REF!</definedName>
    <definedName name="MLNK863d7154b90b4ff58eb8073dda6f1db2" localSheetId="3" hidden="1">#REF!</definedName>
    <definedName name="MLNK864586187871466fbdc98181e8196c2a" localSheetId="3" hidden="1">#REF!</definedName>
    <definedName name="MLNK86835e6557634107b3385a807945651d" localSheetId="3" hidden="1">#REF!</definedName>
    <definedName name="MLNK86a67f44935b46d39bd52fc31318d3e4" localSheetId="3" hidden="1">#REF!</definedName>
    <definedName name="MLNK86b0faed08ae4756b1f81b4c70bd37cf" localSheetId="3" hidden="1">#REF!</definedName>
    <definedName name="MLNK86d18c4991324b9fafd6c780bbc49371" localSheetId="3" hidden="1">#REF!</definedName>
    <definedName name="MLNK8733ce93fc7b45fb8d93f409f9f654dd" localSheetId="3" hidden="1">#REF!</definedName>
    <definedName name="MLNK877cb6f8fcc047d1b67176552108ecaa" localSheetId="3" hidden="1">#REF!</definedName>
    <definedName name="MLNK87b6ef3680c1458098edca561c2b518e" localSheetId="3" hidden="1">#REF!</definedName>
    <definedName name="MLNK87bdc6b5081740989afaa8649fe51684" localSheetId="3" hidden="1">#REF!</definedName>
    <definedName name="MLNK881676dd88434d38bc231dee73778ff4" localSheetId="3" hidden="1">#REF!</definedName>
    <definedName name="MLNK882742a4574d4c398317209f734ccdee" localSheetId="3" hidden="1">#REF!</definedName>
    <definedName name="MLNK88545d5be9e044c59846f9198223107a" localSheetId="3" hidden="1">#REF!</definedName>
    <definedName name="MLNK88bff6d610804cce9a482ca53b2475a0" localSheetId="3" hidden="1">#REF!</definedName>
    <definedName name="MLNK88e70c518ed8483ebc887df4719632e4" localSheetId="3" hidden="1">#REF!</definedName>
    <definedName name="MLNK88f32ac2f3294394b8e9f43317d7102f" localSheetId="3" hidden="1">#REF!</definedName>
    <definedName name="MLNK88f6c9c50f6a42c18f38f2c69d3c79c5" localSheetId="3" hidden="1">#REF!</definedName>
    <definedName name="MLNK8933050fa3184006bc16fa96753bd521" localSheetId="3" hidden="1">#REF!</definedName>
    <definedName name="MLNK893be7aee6af45089f821ffc6ae622f7" localSheetId="3" hidden="1">#REF!</definedName>
    <definedName name="MLNK8940cbfbd55a452991b13e1c94d646f7" localSheetId="3" hidden="1">#REF!</definedName>
    <definedName name="MLNK89953e64f7ca478889eab0480ca166d9" localSheetId="3" hidden="1">#REF!</definedName>
    <definedName name="MLNK89c0b552293b465cb0488b0a6351a521" localSheetId="3" hidden="1">#REF!</definedName>
    <definedName name="MLNK8a2ff150aff945afbc20a79562761a81" localSheetId="3" hidden="1">#REF!</definedName>
    <definedName name="MLNK8a4b37d8c34843689209c16083a16b7c" localSheetId="3" hidden="1">#REF!</definedName>
    <definedName name="MLNK8a981875db4a4df2b0ed552232b8345b" localSheetId="3" hidden="1">#REF!</definedName>
    <definedName name="MLNK8ac46e84006242f594877756c7f92d2a" localSheetId="3" hidden="1">#REF!</definedName>
    <definedName name="MLNK8acbb2a77cd04fcdb24d3585bb94e8e9" localSheetId="3" hidden="1">#REF!</definedName>
    <definedName name="MLNK8b131d72e5df48faa6c8c6406e26e418" localSheetId="3" hidden="1">#REF!</definedName>
    <definedName name="MLNK8b17f146ac5a48cd8e81eb109aeee3ae" localSheetId="3" hidden="1">#REF!</definedName>
    <definedName name="MLNK8b1c0c139e9b4073820ad2a10e7f1051" localSheetId="3" hidden="1">#REF!</definedName>
    <definedName name="MLNK8c682d93591c4c73845ba2c1082c48d3" localSheetId="3" hidden="1">#REF!</definedName>
    <definedName name="MLNK8ca39cedf68a4e92b18af441f524f826" localSheetId="3" hidden="1">#REF!</definedName>
    <definedName name="MLNK8cb9383616ab421389484efab64178dd" localSheetId="3" hidden="1">#REF!</definedName>
    <definedName name="MLNK8cc4d9c3c3bb4594bacc7495cfcfc50e" localSheetId="3" hidden="1">#REF!</definedName>
    <definedName name="MLNK8cd52f4b903543658de827aa52acf74e" localSheetId="3" hidden="1">#REF!</definedName>
    <definedName name="MLNK8cd7576df60d45e4ab0d7685e326e025" localSheetId="3" hidden="1">#REF!</definedName>
    <definedName name="MLNK8ce6ecbf737e488693deed1af93ced57" localSheetId="3" hidden="1">#REF!</definedName>
    <definedName name="MLNK8d141d7d47ad4fc987d59f39088ad916" localSheetId="3" hidden="1">#REF!</definedName>
    <definedName name="MLNK8d5b78eefde24124bc22e5eb2b874604" localSheetId="3" hidden="1">#REF!</definedName>
    <definedName name="MLNK8d9df6cfe2df4e9d9a85e67b518205c5" localSheetId="3" hidden="1">#REF!</definedName>
    <definedName name="MLNK8e8302d4806d4976b250563630d06974" localSheetId="3" hidden="1">#REF!</definedName>
    <definedName name="MLNK8e9b770ba4eb41da82ee651f9a564109" localSheetId="3" hidden="1">#REF!</definedName>
    <definedName name="MLNK8eb9e48b9b3943249f666798d00edc23" localSheetId="3" hidden="1">#REF!</definedName>
    <definedName name="MLNK8ee0b1d9a7224f788d9779b3dc0499e0" localSheetId="3" hidden="1">#REF!</definedName>
    <definedName name="MLNK8f43595c2bb847f381669b6e34f63668" localSheetId="3" hidden="1">#REF!</definedName>
    <definedName name="MLNK8f76434663af42e390fdbde44d3710ec" localSheetId="3" hidden="1">#REF!</definedName>
    <definedName name="MLNK8fbbfa99afb24b5b9f5f0a743e480b73" localSheetId="3" hidden="1">#REF!</definedName>
    <definedName name="MLNK8fef85be699b43f9993faf4c05a317f2" localSheetId="3" hidden="1">#REF!</definedName>
    <definedName name="MLNK9004dc033f374e6a928f9b0ebb5d8196" localSheetId="3" hidden="1">#REF!</definedName>
    <definedName name="MLNK9024ad5805bb4d6a82cd3805822ddab1" localSheetId="3" hidden="1">#REF!</definedName>
    <definedName name="MLNK907ffb3c3f914b5ea9e24fe283c6cb99" localSheetId="3" hidden="1">#REF!</definedName>
    <definedName name="MLNK908d72b886094b4498d660dcd99709e7" localSheetId="3" hidden="1">#REF!</definedName>
    <definedName name="MLNK90beff11f56747c88ac582cc252e174d" localSheetId="3" hidden="1">#REF!</definedName>
    <definedName name="MLNK90c4ba7186d54322a67fb04486a8cbf3" localSheetId="3" hidden="1">#REF!</definedName>
    <definedName name="MLNK90c8fccee84a4a48a0b07e6aaa673094" localSheetId="3" hidden="1">#REF!</definedName>
    <definedName name="MLNK90d278ce8aa74ed184c2e90850f321dc" localSheetId="3" hidden="1">#REF!</definedName>
    <definedName name="MLNK90e25c2ecaa64d57bb26958b4d223428" localSheetId="3" hidden="1">#REF!</definedName>
    <definedName name="MLNK9110823f14ea42ec8690146557817cd4" localSheetId="3" hidden="1">#REF!</definedName>
    <definedName name="MLNK913274e26d0b40a5a0c25c58b5a6b52f" localSheetId="3" hidden="1">#REF!</definedName>
    <definedName name="MLNK91662700859a4b5887ea4b2f311dfaa8" localSheetId="3" hidden="1">#REF!</definedName>
    <definedName name="MLNK91bae33c68f54070a9d0dc2c0bf12ef3" localSheetId="3" hidden="1">#REF!</definedName>
    <definedName name="MLNK920e55f9c749413d8ea87ac117500e67" localSheetId="3" hidden="1">#REF!</definedName>
    <definedName name="MLNK928b582d16334ef39533249c3737cef4" localSheetId="3" hidden="1">#REF!</definedName>
    <definedName name="MLNK92b34a62a6d14ef89b1524b2f96b0efd" localSheetId="3" hidden="1">#REF!</definedName>
    <definedName name="MLNK931ada81d5e14682a22519de3a1c3814" localSheetId="3" hidden="1">#REF!</definedName>
    <definedName name="MLNK9345a567a3bf4c0b9f86177bd2d75271" localSheetId="3" hidden="1">#REF!</definedName>
    <definedName name="MLNK935339d4ac524564b97af65f9a80c75b" localSheetId="3" hidden="1">#REF!</definedName>
    <definedName name="MLNK936d3bc27d9c4e9e91d566d1f8df6d3b" localSheetId="3" hidden="1">#REF!</definedName>
    <definedName name="MLNK9373c201fc874efd9a1cb6673dae1a5d" localSheetId="3" hidden="1">#REF!</definedName>
    <definedName name="MLNK93a6b4cbf6b64733bce6c55ea49a34a4" localSheetId="3" hidden="1">#REF!</definedName>
    <definedName name="MLNK93dc54b8a75d41609138168388503de4" localSheetId="3" hidden="1">#REF!</definedName>
    <definedName name="MLNK93e5daee684d41bcb8fcce607e193642" localSheetId="3" hidden="1">#REF!</definedName>
    <definedName name="MLNK93efc9b05acc4e65ba52a3a8e903e6ca" localSheetId="3" hidden="1">#REF!</definedName>
    <definedName name="MLNK94310670c6d2415c829c955b74e492b7" localSheetId="3" hidden="1">#REF!</definedName>
    <definedName name="MLNK94328738fd3c4600af18be2154210e21" localSheetId="3" hidden="1">#REF!</definedName>
    <definedName name="MLNK945d6f39e1f24984b04097fbaf17eeea" localSheetId="3" hidden="1">#REF!</definedName>
    <definedName name="MLNK94b55fba97ec4630a7caaf0fae7c13fc" localSheetId="3" hidden="1">#REF!</definedName>
    <definedName name="MLNK94c72ece7a1f4a7ebecf1f9109589a25" localSheetId="3" hidden="1">#REF!</definedName>
    <definedName name="MLNK94c8f34044884100bcf948b78a560f70" localSheetId="3" hidden="1">#REF!</definedName>
    <definedName name="MLNK95932116894047fbb7ba2ac12a3c06e3" localSheetId="3" hidden="1">#REF!</definedName>
    <definedName name="MLNK95cbac09c2c54a92a067bf01cebec7fa" localSheetId="3" hidden="1">#REF!</definedName>
    <definedName name="MLNK9637ccf249e443078a50f7c2eb385852" localSheetId="3" hidden="1">#REF!</definedName>
    <definedName name="MLNK966e51b421e543fa85b22020f4b131f7" localSheetId="3" hidden="1">#REF!</definedName>
    <definedName name="MLNK9682ca475ff54cbfb2f968b54a63e991" localSheetId="3" hidden="1">#REF!</definedName>
    <definedName name="MLNK970f77a437ad4eba93f82bc0a2c68793" localSheetId="3" hidden="1">#REF!</definedName>
    <definedName name="MLNK97272fb83d9a4d15ab6e0d44b4c2c8f5" localSheetId="3" hidden="1">#REF!</definedName>
    <definedName name="MLNK97df538a2fdf490296fd305add5f1023" localSheetId="3" hidden="1">#REF!</definedName>
    <definedName name="MLNK97e64800be9a4f7e916bf03b564bb072" localSheetId="3" hidden="1">#REF!</definedName>
    <definedName name="MLNK989f57e8510f47dbaa3cc373df919c03" localSheetId="3" hidden="1">#REF!</definedName>
    <definedName name="MLNK98a6c15f962b4187b171c0206fa504c1" localSheetId="3" hidden="1">#REF!</definedName>
    <definedName name="MLNK98db6856c4d2485bb082192eb338e7ec" localSheetId="3" hidden="1">#REF!</definedName>
    <definedName name="MLNK98f7f2b7a3444132ab2e3711160705fd" localSheetId="3" hidden="1">#REF!</definedName>
    <definedName name="MLNK99884a61cb7c464b8eb2f906689e119c" localSheetId="3" hidden="1">#REF!</definedName>
    <definedName name="MLNK99a873284b354cc99f3774743c4cbac9" localSheetId="3" hidden="1">#REF!</definedName>
    <definedName name="MLNK99b9d957895544fda8e9670506643b77" localSheetId="3" hidden="1">#REF!</definedName>
    <definedName name="MLNK99bfb5c3951b44f481d1626f7cba5805" localSheetId="3" hidden="1">#REF!</definedName>
    <definedName name="MLNK99de40bd629144c7ba32aae377c57f70" localSheetId="3" hidden="1">#REF!</definedName>
    <definedName name="MLNK9a4f673c06ec41419cc6dcbbb88e0dea" localSheetId="3" hidden="1">#REF!</definedName>
    <definedName name="MLNK9ab5b092e0124e1fb5be58e7bfd4270d" localSheetId="3" hidden="1">#REF!</definedName>
    <definedName name="MLNK9b2728c6c65a4ed1bdce5cd1b8f5f78f" localSheetId="3" hidden="1">#REF!</definedName>
    <definedName name="MLNK9b41319e0b864c8e96fa51ea09d8f5dc" localSheetId="3" hidden="1">#REF!</definedName>
    <definedName name="MLNK9b602bb3a148468d93703438712d1977" localSheetId="3" hidden="1">#REF!</definedName>
    <definedName name="MLNK9bf4240de0604471b0871b323169dcca" localSheetId="3" hidden="1">#REF!</definedName>
    <definedName name="MLNK9bf7c40dc1ea40a1b552234224cb0d1b" localSheetId="3" hidden="1">#REF!</definedName>
    <definedName name="MLNK9cc9ec6cfadc402784ccfed2781546e1" localSheetId="3" hidden="1">#REF!</definedName>
    <definedName name="MLNK9d5456df45ea4a2d97ff84c61b665b12" localSheetId="3" hidden="1">#REF!</definedName>
    <definedName name="MLNK9d772ca29969447bb894388d70fa9a5f" localSheetId="3" hidden="1">#REF!</definedName>
    <definedName name="MLNK9de036e8882b498dbe33869f5e40398b" localSheetId="3" hidden="1">#REF!</definedName>
    <definedName name="MLNK9de5e20a27e5484e8caf6c4a9f1e8125" localSheetId="3" hidden="1">#REF!</definedName>
    <definedName name="MLNK9de94afa6cb64d6d82d505cd22d199e8" localSheetId="3" hidden="1">#REF!</definedName>
    <definedName name="MLNK9df90ae49f6a429a93387ed77e0be2b2" localSheetId="3" hidden="1">#REF!</definedName>
    <definedName name="MLNK9e19c8d3111642829419adbd0d8a5b18" localSheetId="3" hidden="1">#REF!</definedName>
    <definedName name="MLNK9e49aa41542f4b3c85f3ee6589fc1063" localSheetId="3" hidden="1">#REF!</definedName>
    <definedName name="MLNK9e7f8dc99eff4dbd87d347cb01f0c5da" localSheetId="3" hidden="1">#REF!</definedName>
    <definedName name="MLNK9ebe236e0bfa4b38a43cb0df73b9ee8f" localSheetId="3" hidden="1">#REF!</definedName>
    <definedName name="MLNK9ec928e25a7346ee9e4798135a8b5762" localSheetId="3" hidden="1">#REF!</definedName>
    <definedName name="MLNK9f020ac1a5274c5d9ef891b85fdf676a" localSheetId="3" hidden="1">#REF!</definedName>
    <definedName name="MLNK9f2762af21cb4bddb176751640ceebfe" localSheetId="3" hidden="1">#REF!</definedName>
    <definedName name="MLNK9f2cc9d5eedf40d9be4150e48c60c1dd" localSheetId="3" hidden="1">#REF!</definedName>
    <definedName name="MLNK9f5e9f25b1b94a1c81bdc28b15d167c0" localSheetId="3" hidden="1">#REF!</definedName>
    <definedName name="MLNK9f725d2247114d82b0a748016fb73ccf" localSheetId="3" hidden="1">#REF!</definedName>
    <definedName name="MLNK9f9c1ebd4e6a4e589df75a77d68c31d2" localSheetId="3" hidden="1">#REF!</definedName>
    <definedName name="MLNK9fa7fdd6b58347fc9b2a237257153f2f" localSheetId="3" hidden="1">#REF!</definedName>
    <definedName name="MLNK9fb16ef3f8724c15939d445b614c75a4" localSheetId="3" hidden="1">#REF!</definedName>
    <definedName name="MLNK9fb8406726c54571934f80236f646acb" localSheetId="3" hidden="1">#REF!</definedName>
    <definedName name="MLNKa0e1c73a782b4e988b284826c372ba12" localSheetId="3" hidden="1">#REF!</definedName>
    <definedName name="MLNKa117dc0d16c24ef4bc030284d2153e7a" localSheetId="3" hidden="1">#REF!</definedName>
    <definedName name="MLNKa16884e8fb5f45d2a0a160ca8a46e3b9" localSheetId="3" hidden="1">#REF!</definedName>
    <definedName name="MLNKa17b9728e1df4c528069f48e91263d0c" localSheetId="3" hidden="1">#REF!</definedName>
    <definedName name="MLNKa18110aa36d84ef6948a9cc0e38dc468" localSheetId="3" hidden="1">#REF!</definedName>
    <definedName name="MLNKa19683994634422fb5b8f4ea6112e3d3" localSheetId="3" hidden="1">#REF!</definedName>
    <definedName name="MLNKa1b5fc7caf74424b8bbf75e731066ab0" localSheetId="3" hidden="1">#REF!</definedName>
    <definedName name="MLNKa25cae9dc8c74628915f296fa982e1fb" localSheetId="3" hidden="1">#REF!</definedName>
    <definedName name="MLNKa25dac6dae19404dabf4485a3b9d91d0" localSheetId="3" hidden="1">#REF!</definedName>
    <definedName name="MLNKa2c1fb78a2914539b4823238e6e8f523" localSheetId="3" hidden="1">#REF!</definedName>
    <definedName name="MLNKa33f5b922c52401198b5e559799f8eef" localSheetId="3" hidden="1">#REF!</definedName>
    <definedName name="MLNKa3757b762c2e45c2b706f345388b4016" localSheetId="3" hidden="1">#REF!</definedName>
    <definedName name="MLNKa45576fee98240168d709e07360f099b" localSheetId="3" hidden="1">#REF!</definedName>
    <definedName name="MLNKa4a3bb217ffb407d831632a03d1537c6" localSheetId="3" hidden="1">#REF!</definedName>
    <definedName name="MLNKa4bfc61416724e8488baa1e1bf692f7c" localSheetId="3" hidden="1">#REF!</definedName>
    <definedName name="MLNKa4e5105d657d4972a79e03058f83813b" localSheetId="3" hidden="1">#REF!</definedName>
    <definedName name="MLNKa53b01afe9d84156971b84c816278a45" localSheetId="3" hidden="1">#REF!</definedName>
    <definedName name="MLNKa5ec9fd3c1204d3ab4000afcd26c7311" localSheetId="3" hidden="1">#REF!</definedName>
    <definedName name="MLNKa656af2eb98d41f8b623b0adad01435c" localSheetId="3" hidden="1">#REF!</definedName>
    <definedName name="MLNKa673c0a3d6bb45a7a16c3391a9561fb9" localSheetId="3" hidden="1">#REF!</definedName>
    <definedName name="MLNKa6ae049d8b9c49eaa8e69518f6bae458" localSheetId="3" hidden="1">#REF!</definedName>
    <definedName name="MLNKa6dd1b101c6a4ddb975ed96014483413" localSheetId="3" hidden="1">#REF!</definedName>
    <definedName name="MLNKa6fb886c6532415487930914f9a76842" localSheetId="3" hidden="1">#REF!</definedName>
    <definedName name="MLNKa7219183ccd0431194753052ff289c50" localSheetId="3" hidden="1">#REF!</definedName>
    <definedName name="MLNKa7379d2dd0484806ada1cae1032f59aa" localSheetId="3" hidden="1">#REF!</definedName>
    <definedName name="MLNKa76777c1fd664175a68de0c9bd407f60" localSheetId="3" hidden="1">#REF!</definedName>
    <definedName name="MLNKa77db0f4971f4e9fadc9a15aca25114d" localSheetId="3" hidden="1">#REF!</definedName>
    <definedName name="MLNKa7817aa319db4731a9e2c933aca0719c" localSheetId="3" hidden="1">#REF!</definedName>
    <definedName name="MLNKa79f5b516b0c4aeda36380d76754f2e0" localSheetId="3" hidden="1">#REF!</definedName>
    <definedName name="MLNKa7a3d6f9d11a4a809ee5ff79e0c8ad5c" localSheetId="3" hidden="1">#REF!</definedName>
    <definedName name="MLNKa7b98c7307644bba8c90bc9645775b57" localSheetId="3" hidden="1">#REF!</definedName>
    <definedName name="MLNKa7cbd9564e6a4d41a87053734022f2d1" localSheetId="3" hidden="1">#REF!</definedName>
    <definedName name="MLNKa809189b6c7e4fa2b3ae96d51831f9ea" localSheetId="3" hidden="1">#REF!</definedName>
    <definedName name="MLNKa82355c2dc8a40d18ae14c0e7773cd80" localSheetId="3" hidden="1">#REF!</definedName>
    <definedName name="MLNKa82dec760367413abef062bc8720b820" localSheetId="3" hidden="1">#REF!</definedName>
    <definedName name="MLNKa880b52119f24168b7a1e28ca812d64f" localSheetId="3" hidden="1">#REF!</definedName>
    <definedName name="MLNKa89b4ee9c2de4f7eaf93310b35832ee5" localSheetId="3" hidden="1">#REF!</definedName>
    <definedName name="MLNKa8b293b93f654bd187a9e3ddd2b53ab3" localSheetId="3" hidden="1">#REF!</definedName>
    <definedName name="MLNKa8c37bf10f834510876329f05782f34d" localSheetId="3" hidden="1">#REF!</definedName>
    <definedName name="MLNKa8f3d4c184744dae8769be0444935a46" localSheetId="3" hidden="1">#REF!</definedName>
    <definedName name="MLNKa95e6c6ba069403f8a62b2744d732b98" localSheetId="3" hidden="1">#REF!</definedName>
    <definedName name="MLNKa9794711f38949aa948bde62ec7bc634" localSheetId="3" hidden="1">#REF!</definedName>
    <definedName name="MLNKa97d26cd09d849ab9bdeca389fa24805" localSheetId="3" hidden="1">#REF!</definedName>
    <definedName name="MLNKa99d23553c9945fdac7282c4bcddb259" localSheetId="3" hidden="1">#REF!</definedName>
    <definedName name="MLNKa9c6a2eac37843b79a417978ef62ae8e" localSheetId="3" hidden="1">#REF!</definedName>
    <definedName name="MLNKa9dacf3b84954d858cb79e60187c0379" localSheetId="3" hidden="1">#REF!</definedName>
    <definedName name="MLNKaa5c2fdc8f1d49cf8ff90275219dd9bb" localSheetId="3" hidden="1">#REF!</definedName>
    <definedName name="MLNKaa67f20dd8a94b71ac72a5a448c66d86" localSheetId="3" hidden="1">#REF!</definedName>
    <definedName name="MLNKaa74c66e7c434db5af69edf87207fc75" localSheetId="3" hidden="1">#REF!</definedName>
    <definedName name="MLNKaac54f9086364e06b9f0e92e608e48e7" localSheetId="3" hidden="1">#REF!</definedName>
    <definedName name="MLNKab02c2991b6b431a8d270be0189e9571" localSheetId="3" hidden="1">#REF!</definedName>
    <definedName name="MLNKab08adf1a1274a4696b4712b8acce079" localSheetId="3" hidden="1">#REF!</definedName>
    <definedName name="MLNKabaeabebce454dbca8b71cbff7d1cff9" localSheetId="3" hidden="1">#REF!</definedName>
    <definedName name="MLNKabd116d5eb4e4f30891777cbe2c1269d" localSheetId="3" hidden="1">#REF!</definedName>
    <definedName name="MLNKac086cabe5fa4e69ba8eb0262dea9354" localSheetId="3" hidden="1">#REF!</definedName>
    <definedName name="MLNKac1a14571d9b4a148bd3859b6b0e020b" localSheetId="3" hidden="1">#REF!</definedName>
    <definedName name="MLNKac312bb407d440dbbb97222f7388dabc" localSheetId="3" hidden="1">#REF!</definedName>
    <definedName name="MLNKac42ad8b02784fb2b0c9f96bd99bb08a" localSheetId="3" hidden="1">#REF!</definedName>
    <definedName name="MLNKac5f4b1d989d4b56818962099fe7afb2" localSheetId="3" hidden="1">#REF!</definedName>
    <definedName name="MLNKac716c0503d44271adc268c475933c7b" localSheetId="3" hidden="1">#REF!</definedName>
    <definedName name="MLNKacc1cf085d6a4867ad74b38c132c6894" localSheetId="3" hidden="1">#REF!</definedName>
    <definedName name="MLNKad14749d5f984baa9b7886bdde649cf3" localSheetId="3" hidden="1">#REF!</definedName>
    <definedName name="MLNKadac72d252524717ae096004ff1f7a24" localSheetId="3" hidden="1">#REF!</definedName>
    <definedName name="MLNKae2bd731278143659ca73b7e3c820374" localSheetId="3" hidden="1">#REF!</definedName>
    <definedName name="MLNKae41783982f24be194658702fb8f0cac" localSheetId="3" hidden="1">#REF!</definedName>
    <definedName name="MLNKaea5c256d3804e37a62ac031b17c2a94" localSheetId="3" hidden="1">#REF!</definedName>
    <definedName name="MLNKaf0cbd3c6eb94c84b3215a78955725ce" localSheetId="3" hidden="1">#REF!</definedName>
    <definedName name="MLNKaf0dac759b4745cb803ecfc7dac9891a" localSheetId="3" hidden="1">#REF!</definedName>
    <definedName name="MLNKaf147c40d8394d2ab23b5751d90c86c5" localSheetId="3" hidden="1">#REF!</definedName>
    <definedName name="MLNKaf4053b80ea64fcf8f78ae61be88485c" localSheetId="3" hidden="1">#REF!</definedName>
    <definedName name="MLNKaf626229050142c985bfa4f75083b541" localSheetId="3" hidden="1">#REF!</definedName>
    <definedName name="MLNKaf64d7a53ca34796b30f55a715bb0be0" localSheetId="3" hidden="1">#REF!</definedName>
    <definedName name="MLNKafa1320afb9a46daa9a610fc04863ebd" localSheetId="3" hidden="1">#REF!</definedName>
    <definedName name="MLNKafddd8d8e0da494eb5e80f923f68e3d7" localSheetId="3" hidden="1">#REF!</definedName>
    <definedName name="MLNKafefbe6104aa47c6b2421ad86fe83664" localSheetId="3" hidden="1">#REF!</definedName>
    <definedName name="MLNKb016ba4ea42f4ab9a46441c8afd6fd0b" localSheetId="3" hidden="1">#REF!</definedName>
    <definedName name="MLNKb026e7e791854d31b7bb7758362b4c54" localSheetId="3" hidden="1">#REF!</definedName>
    <definedName name="MLNKb02de38dd13d495d8a2f90addc300534" localSheetId="3" hidden="1">#REF!</definedName>
    <definedName name="MLNKb0a22b8da9e349b0a219bcb103ca5e26" localSheetId="3" hidden="1">#REF!</definedName>
    <definedName name="MLNKb0b7baf2c9da4ebb925fcd533e96f887" localSheetId="3" hidden="1">#REF!</definedName>
    <definedName name="MLNKb14798519cfb416ba703507ddbf71d07" localSheetId="3" hidden="1">#REF!</definedName>
    <definedName name="MLNKb1f4aa7639a64f0bb4faf48bcfffa77e" localSheetId="3" hidden="1">#REF!</definedName>
    <definedName name="MLNKb1f744c776484ca18efc7c1044adf418" localSheetId="3" hidden="1">#REF!</definedName>
    <definedName name="MLNKb210f6399051471c85a0b1d471ae6b4a" localSheetId="3" hidden="1">#REF!</definedName>
    <definedName name="MLNKb261eaaffa0c4dce86de3c724754f93e" localSheetId="3" hidden="1">#REF!</definedName>
    <definedName name="MLNKb277a11827bb4cd4ba5526b2f9840a44" localSheetId="3" hidden="1">#REF!</definedName>
    <definedName name="MLNKb2901e1f50a84f918b6ead78ee99678a" localSheetId="3" hidden="1">#REF!</definedName>
    <definedName name="MLNKb29e0fcf93894e6f8bec10d6d37c13a0" localSheetId="3" hidden="1">#REF!</definedName>
    <definedName name="MLNKb2a351d967304760884468cb0fe785c1" localSheetId="3" hidden="1">#REF!</definedName>
    <definedName name="MLNKb2b99e6a58ac4865b2554ef3d1971577" localSheetId="3" hidden="1">#REF!</definedName>
    <definedName name="MLNKb2c15ca540cc43de87cb92d3c45b905e" localSheetId="3" hidden="1">#REF!</definedName>
    <definedName name="MLNKb2e67786ce8c46e8bb7037cef548e34c" localSheetId="3" hidden="1">#REF!</definedName>
    <definedName name="MLNKb30365b9692843388d1fd11a48afb7de" localSheetId="3" hidden="1">#REF!</definedName>
    <definedName name="MLNKb34eced05fc4474da889379a0eeab0c8" localSheetId="3" hidden="1">#REF!</definedName>
    <definedName name="MLNKb359d3fb47314fe2954621c0d9a0460e" localSheetId="3" hidden="1">#REF!</definedName>
    <definedName name="MLNKb394646e412b46e4bd36ca82f51a7ef4" localSheetId="3" hidden="1">#REF!</definedName>
    <definedName name="MLNKb3e9e939720a489d89545e7d7d680f08" localSheetId="3" hidden="1">#REF!</definedName>
    <definedName name="MLNKb443b133892445138634845abdcc3e84" localSheetId="3" hidden="1">#REF!</definedName>
    <definedName name="MLNKb4bc7e3573744fbd9426e78684dcc3ab" localSheetId="3" hidden="1">#REF!</definedName>
    <definedName name="MLNKb4dd3fcc101940d492434368874f4bb3" localSheetId="3" hidden="1">#REF!</definedName>
    <definedName name="MLNKb4fefb641131421ebfc67aca9dcd48b0" localSheetId="3" hidden="1">#REF!</definedName>
    <definedName name="MLNKb5282d98527f4904ba52287e9cb5399b" localSheetId="3" hidden="1">#REF!</definedName>
    <definedName name="MLNKb56d95f79c694ba18d515de86ff406ad" localSheetId="3" hidden="1">#REF!</definedName>
    <definedName name="MLNKb5c891d151b145b786e0f50677531611" localSheetId="3" hidden="1">#REF!</definedName>
    <definedName name="MLNKb60c585591ff435499adcbcedc787ee9" localSheetId="3" hidden="1">#REF!</definedName>
    <definedName name="MLNKb62f70a233c04d8ab7ba5cbf108488fc" localSheetId="3" hidden="1">#REF!</definedName>
    <definedName name="MLNKb6556ccd10c3418db2c4901ebf5ff5fe" localSheetId="3" hidden="1">#REF!</definedName>
    <definedName name="MLNKb6713b1b149a4c879d681efbc82fb638" localSheetId="3" hidden="1">#REF!</definedName>
    <definedName name="MLNKb6e9ea0573d54364b197d79fbac7c402" localSheetId="3" hidden="1">#REF!</definedName>
    <definedName name="MLNKb70e0287e1c84373ae29e8b329df47f8" localSheetId="3" hidden="1">#REF!</definedName>
    <definedName name="MLNKb721f99c3bd5494da0bbba9b39253294" localSheetId="3" hidden="1">#REF!</definedName>
    <definedName name="MLNKb7a2ed4b67ce44b4bab411afb5e42649" localSheetId="3" hidden="1">#REF!</definedName>
    <definedName name="MLNKb7d31e1e2081409396b6285609a8a1c5" localSheetId="3" hidden="1">#REF!</definedName>
    <definedName name="MLNKb80123ad714847a49302cb5808ce1193" localSheetId="3" hidden="1">#REF!</definedName>
    <definedName name="MLNKb858ba554cba45c2b1e6497959577cb6" localSheetId="3" hidden="1">#REF!</definedName>
    <definedName name="MLNKb8722e61aedf45c099f26b49822127bb" localSheetId="3" hidden="1">#REF!</definedName>
    <definedName name="MLNKb8793bbdc4cd4502a30b4e9de8fa112e" localSheetId="3" hidden="1">#REF!</definedName>
    <definedName name="MLNKb9256d417c6c4e1385e06c667fe8b931" localSheetId="3" hidden="1">#REF!</definedName>
    <definedName name="MLNKb962f77597134701a87ab3689de2ade2" localSheetId="3" hidden="1">#REF!</definedName>
    <definedName name="MLNKb96c898e66e64db6be18f3516577e540" localSheetId="3" hidden="1">#REF!</definedName>
    <definedName name="MLNKb9d8b3738506449f8b18eddc44e701a7" localSheetId="3" hidden="1">#REF!</definedName>
    <definedName name="MLNKb9dc16a2f02e4193b0c9daf0b4dc531d" localSheetId="3" hidden="1">#REF!</definedName>
    <definedName name="MLNKba58d7acb80a45f3840363bd2a9cf564" localSheetId="3" hidden="1">#REF!</definedName>
    <definedName name="MLNKbac738279cee41aea131d98d02bb4919" localSheetId="3" hidden="1">#REF!</definedName>
    <definedName name="MLNKbb02b748687641bc809fdb4b8b3361a4" localSheetId="3" hidden="1">#REF!</definedName>
    <definedName name="MLNKbb0818788be947d5849c08d5af71dccc" localSheetId="3" hidden="1">#REF!</definedName>
    <definedName name="MLNKbb5357eb56b4420ea6d73a7234b157c0" localSheetId="3" hidden="1">#REF!</definedName>
    <definedName name="MLNKbb6fbd47bf084dbc9553f91d139a05a9" localSheetId="3" hidden="1">#REF!</definedName>
    <definedName name="MLNKbb86d3d2a0f24dd2bbc238b0e1bc07d0" localSheetId="3" hidden="1">#REF!</definedName>
    <definedName name="MLNKbb88464955b04e74890527baf9dc3dca" localSheetId="3" hidden="1">#REF!</definedName>
    <definedName name="MLNKbc061df9fe0246f589d6e8f30e7ba972" localSheetId="3" hidden="1">#REF!</definedName>
    <definedName name="MLNKbc1fe6c37f4d4ab5bd8ff0e9ab1e3940" localSheetId="3" hidden="1">#REF!</definedName>
    <definedName name="MLNKbc46897c4edd49a3b339f17c312cec25" localSheetId="3" hidden="1">#REF!</definedName>
    <definedName name="MLNKbc9384b6216847feb02bc9296c7eedb4" localSheetId="3" hidden="1">#REF!</definedName>
    <definedName name="MLNKbc972375684f448ea4ab451e8958fea8" localSheetId="3" hidden="1">#REF!</definedName>
    <definedName name="MLNKbd76be2c1b68486a83af5de8bdbcfe39" localSheetId="3" hidden="1">#REF!</definedName>
    <definedName name="MLNKbddc92dbcd424513a26fec3a36608c07" localSheetId="3" hidden="1">#REF!</definedName>
    <definedName name="MLNKbdeb57301d144646ab6218b74785ea4e" localSheetId="3" hidden="1">#REF!</definedName>
    <definedName name="MLNKbdf0d6ac940b4635a9cad45d4ae0a2cd" localSheetId="3" hidden="1">#REF!</definedName>
    <definedName name="MLNKbe8a9067fdd943ef81522cfc5fa7313f" localSheetId="3" hidden="1">#REF!</definedName>
    <definedName name="MLNKbe8c0371e2f4475bbef96d2aed55eff3" localSheetId="3" hidden="1">#REF!</definedName>
    <definedName name="MLNKbeb2a85a7d5e4ac58ab6701f6b711fbb" localSheetId="3" hidden="1">#REF!</definedName>
    <definedName name="MLNKbefbd14f401445f6b6822f51bdc13266" localSheetId="3" hidden="1">#REF!</definedName>
    <definedName name="MLNKbf21327ddbcb442f916bf84b5556d861" localSheetId="3" hidden="1">#REF!</definedName>
    <definedName name="MLNKbf3a3943d82246bf95c2b9d4a31c3293" localSheetId="3" hidden="1">#REF!</definedName>
    <definedName name="MLNKbf583d266635420eb7c19219c08883e0" localSheetId="3" hidden="1">#REF!</definedName>
    <definedName name="MLNKbf7494994f6b4d10ab745a90ae65c079" localSheetId="3" hidden="1">#REF!</definedName>
    <definedName name="MLNKbf8530991c7842458de3c4951292490e" localSheetId="3" hidden="1">#REF!</definedName>
    <definedName name="MLNKbf9802cd3cc24b93b0e5cdc8298b13dd" localSheetId="3" hidden="1">#REF!</definedName>
    <definedName name="MLNKbfc259e67d194e33929daf85cda46659" localSheetId="3" hidden="1">#REF!</definedName>
    <definedName name="MLNKbfe3b2005f2742068b1031a3e3f8a2c6" localSheetId="3" hidden="1">#REF!</definedName>
    <definedName name="MLNKbff35fb8eb26465cb4693afd8d8fb756" localSheetId="3" hidden="1">#REF!</definedName>
    <definedName name="MLNKc02265f4aed844c3ae62791e09b09b4c" localSheetId="3" hidden="1">#REF!</definedName>
    <definedName name="MLNKc028b05ec1474697ae0f46d24ddade90" localSheetId="3" hidden="1">#REF!</definedName>
    <definedName name="MLNKc068bc95c85b4cad94c1afcc3efc523e" localSheetId="3" hidden="1">#REF!</definedName>
    <definedName name="MLNKc06d473cc53e493ba7441c705e9ad9c0" localSheetId="3" hidden="1">#REF!</definedName>
    <definedName name="MLNKc0c4d37d92a04564baea50424d14fdf5" localSheetId="3" hidden="1">#REF!</definedName>
    <definedName name="MLNKc0c74393ba7a4aa7aeea817b549967ff" localSheetId="3" hidden="1">#REF!</definedName>
    <definedName name="MLNKc1293af2908b44d9b422f15938ca8c44" localSheetId="3" hidden="1">#REF!</definedName>
    <definedName name="MLNKc15800ad3ce64a799cbdf8cb51764dd3" localSheetId="3" hidden="1">#REF!</definedName>
    <definedName name="MLNKc15a042a1cbc44198e3f9d1f75834286" localSheetId="3" hidden="1">#REF!</definedName>
    <definedName name="MLNKc162c015d35146d1b78e079093f33a77" localSheetId="3" hidden="1">#REF!</definedName>
    <definedName name="MLNKc1d5f6f75cbb4c8298db59ea1fc3b41a" localSheetId="3" hidden="1">#REF!</definedName>
    <definedName name="MLNKc1dc26d0f03a46858e757bd1d4377f75" localSheetId="3" hidden="1">#REF!</definedName>
    <definedName name="MLNKc2253feafb7f4fffbad2c16fe7a3916b" localSheetId="3" hidden="1">#REF!</definedName>
    <definedName name="MLNKc26338d459b741348648c7ac47c31ac0" localSheetId="3" hidden="1">#REF!</definedName>
    <definedName name="MLNKc2efd8ffcaa34e59b60518bbb305fc63" localSheetId="3" hidden="1">#REF!</definedName>
    <definedName name="MLNKc3c336515a70492995ab6aca70041fcd" localSheetId="3" hidden="1">#REF!</definedName>
    <definedName name="MLNKc41080187ee240b3a67ecf6f0308555a" localSheetId="3" hidden="1">#REF!</definedName>
    <definedName name="MLNKc46028cf5e4d492d9dea2018869aaaed" localSheetId="3" hidden="1">#REF!</definedName>
    <definedName name="MLNKc4793f350dca4664921b6dcbcbf53581" localSheetId="3" hidden="1">#REF!</definedName>
    <definedName name="MLNKc49aa80d5b814474aab88331745b7c97" localSheetId="3" hidden="1">#REF!</definedName>
    <definedName name="MLNKc50218c9156a467781e411dbd3d48136" localSheetId="3" hidden="1">#REF!</definedName>
    <definedName name="MLNKc5130a94ec1244b7a7361d362b309207" localSheetId="3" hidden="1">#REF!</definedName>
    <definedName name="MLNKc52f5a42071748faace2c1e249d2015f" localSheetId="3" hidden="1">#REF!</definedName>
    <definedName name="MLNKc5917d86d84245a19e71228e902d9570" localSheetId="3" hidden="1">#REF!</definedName>
    <definedName name="MLNKc59c2c879bb947b281e7464f5d9cc03a" localSheetId="3" hidden="1">#REF!</definedName>
    <definedName name="MLNKc5a2959bebff4f91b09362097725d98e" localSheetId="3" hidden="1">#REF!</definedName>
    <definedName name="MLNKc5a7812eb2af4fadb44bbda7b9929a72" localSheetId="3" hidden="1">#REF!</definedName>
    <definedName name="MLNKc5e456f02ef14641ab6d200a8799727b" localSheetId="3" hidden="1">#REF!</definedName>
    <definedName name="MLNKc63f950ad18249aa861fef09073db1d6" localSheetId="3" hidden="1">#REF!</definedName>
    <definedName name="MLNKc659f995effe4b579c38ff91fa57e987" localSheetId="3" hidden="1">#REF!</definedName>
    <definedName name="MLNKc6a3adf58cc34cca8ac50a6e121510b0" localSheetId="3" hidden="1">#REF!</definedName>
    <definedName name="MLNKc6aefbd14cfb45458e4c047f71737189" localSheetId="3" hidden="1">#REF!</definedName>
    <definedName name="MLNKc704294fb3b1488bb0ba0585a590b398" localSheetId="3" hidden="1">#REF!</definedName>
    <definedName name="MLNKc74e60fbf854453db17e8684ea5bce66" localSheetId="3" hidden="1">#REF!</definedName>
    <definedName name="MLNKc78948282baa424d84a9383779c84fd8" localSheetId="3" hidden="1">#REF!</definedName>
    <definedName name="MLNKc7bd4a1a060f4aaa8c20cc94cfe1d136" localSheetId="3" hidden="1">#REF!</definedName>
    <definedName name="MLNKc7cf56759fe7450b8fae1f2e22385088" localSheetId="3" hidden="1">#REF!</definedName>
    <definedName name="MLNKc7f38e5cfeaf42f9988e20e95383f2db" localSheetId="3" hidden="1">#REF!</definedName>
    <definedName name="MLNKc8303a74a6da4384a3461c33aa32d167" localSheetId="3" hidden="1">#REF!</definedName>
    <definedName name="MLNKc84748cc10dd4256933f02e2c927b5a9" localSheetId="3" hidden="1">#REF!</definedName>
    <definedName name="MLNKc8b6fbc053ad4a09b0fc6be79636d8a0" localSheetId="3" hidden="1">#REF!</definedName>
    <definedName name="MLNKc8b73752472f48b2bccfdaba1c6b6f7b" localSheetId="3" hidden="1">#REF!</definedName>
    <definedName name="MLNKc8c13711c8f146a2bed6a2a829026a3a" localSheetId="3" hidden="1">#REF!</definedName>
    <definedName name="MLNKc96440fe196b463188ebf018d89175e5" localSheetId="3" hidden="1">#REF!</definedName>
    <definedName name="MLNKc9c57b72996149a49a1298c36e44b823" localSheetId="3" hidden="1">#REF!</definedName>
    <definedName name="MLNKca1a1b8dbfbd452ba55a0e395ea793b3" localSheetId="3" hidden="1">#REF!</definedName>
    <definedName name="MLNKca6ff9cfcc2342938b8d0d06d521994a" localSheetId="3" hidden="1">#REF!</definedName>
    <definedName name="MLNKca9483f47aa24b93a01c0247a19983f1" localSheetId="3" hidden="1">#REF!</definedName>
    <definedName name="MLNKcb6504988142428b9321b1171667d1b6" localSheetId="3" hidden="1">#REF!</definedName>
    <definedName name="MLNKcbc35652dd604c5399c23d2cf3fc6c75" localSheetId="3" hidden="1">#REF!</definedName>
    <definedName name="MLNKcbd71f619082476689d69b3dbeedeac6" localSheetId="3" hidden="1">#REF!</definedName>
    <definedName name="MLNKcbef1b6aba174d3d8d2a156f2bc0bb7a" localSheetId="3" hidden="1">#REF!</definedName>
    <definedName name="MLNKcc72a4973dcc430e98fda17b11fce969" localSheetId="3" hidden="1">#REF!</definedName>
    <definedName name="MLNKcc96c218311c4662b164636e42f56ff7" localSheetId="3" hidden="1">#REF!</definedName>
    <definedName name="MLNKccfdce20570e4e79814e7f1193be9a80" localSheetId="3" hidden="1">#REF!</definedName>
    <definedName name="MLNKcd99621c65174ed2ada3f53847230fd8" localSheetId="3" hidden="1">#REF!</definedName>
    <definedName name="MLNKcdb7df57995c48968b72a48a62e8fda5" localSheetId="3" hidden="1">#REF!</definedName>
    <definedName name="MLNKce77c2f032d04ee79c255f6e39b36c47" localSheetId="3" hidden="1">#REF!</definedName>
    <definedName name="MLNKcec893d18ba74351a83a8b40b0d5efd9" localSheetId="3" hidden="1">#REF!</definedName>
    <definedName name="MLNKceee71bebd05435ba38663e3f636b7bb" localSheetId="3" hidden="1">#REF!</definedName>
    <definedName name="MLNKcfda49d4838e4081a1e44ac95a0dc186" localSheetId="3" hidden="1">#REF!</definedName>
    <definedName name="MLNKcffe7ff91f8047d7a7cdf3ca51ff1bbf" localSheetId="3" hidden="1">#REF!</definedName>
    <definedName name="MLNKd0545dd1a5434d3f9970307092995492" localSheetId="3" hidden="1">#REF!</definedName>
    <definedName name="MLNKd0acfc2eb6a54c42914a931ced4f1d48" localSheetId="3" hidden="1">#REF!</definedName>
    <definedName name="MLNKd0fe1099bbf4459088b43f18d16a11f1" localSheetId="3" hidden="1">#REF!</definedName>
    <definedName name="MLNKd1a73aa7a5624f9e8a8c5ab9b419c185" localSheetId="3" hidden="1">#REF!</definedName>
    <definedName name="MLNKd1b79e4e7aef43368318ed1e172c8dbd" localSheetId="3" hidden="1">#REF!</definedName>
    <definedName name="MLNKd1bfe69c1e284d6fba0c9353cc855643" localSheetId="3" hidden="1">#REF!</definedName>
    <definedName name="MLNKd1c69d0883884061b336aab57325eb3d" localSheetId="3" hidden="1">#REF!</definedName>
    <definedName name="MLNKd1e91ca61c1d4db08628df8a82893192" localSheetId="3" hidden="1">#REF!</definedName>
    <definedName name="MLNKd1eb0891b31448f6a2a42787308f57d0" localSheetId="3" hidden="1">#REF!</definedName>
    <definedName name="MLNKd25edf542942433c8b7b8a7ffaa24bec" localSheetId="3" hidden="1">#REF!</definedName>
    <definedName name="MLNKd30907edbba3423cb347492441fee011" localSheetId="3" hidden="1">#REF!</definedName>
    <definedName name="MLNKd36364ccf3554d17be4e90cf90af8fff" localSheetId="3" hidden="1">#REF!</definedName>
    <definedName name="MLNKd39ac37ab737442ca2d9b1b6321f0bc6" localSheetId="3" hidden="1">#REF!</definedName>
    <definedName name="MLNKd3dc24d4ddd940eea846c20a184293ad" localSheetId="3" hidden="1">#REF!</definedName>
    <definedName name="MLNKd4318cd5f5444700b610edf92c08ff61" localSheetId="3" hidden="1">#REF!</definedName>
    <definedName name="MLNKd4a131a086eb4e34a82a03221c7ee0cd" localSheetId="3" hidden="1">#REF!</definedName>
    <definedName name="MLNKd4caca0d68e14854ba184d3cb6571648" localSheetId="3" hidden="1">#REF!</definedName>
    <definedName name="MLNKd4da8cf3a71e4aa5ae3faf4df95402c0" localSheetId="3" hidden="1">#REF!</definedName>
    <definedName name="MLNKd4ece25b0836456690f432756db42070" localSheetId="3" hidden="1">#REF!</definedName>
    <definedName name="MLNKd4ee53c7dd364f0285ddf36588313749" localSheetId="3" hidden="1">#REF!</definedName>
    <definedName name="MLNKd5331428b6a8460799e1af1965ef25b1" localSheetId="3" hidden="1">#REF!</definedName>
    <definedName name="MLNKd5dcff4e626442cca81691cce7c3df31" localSheetId="3" hidden="1">#REF!</definedName>
    <definedName name="MLNKd6ad96b7f16647ecbf8b5eb4cb525e9a" localSheetId="3" hidden="1">#REF!</definedName>
    <definedName name="MLNKd6b82239b64548989b79a51dc8935db6" localSheetId="3" hidden="1">#REF!</definedName>
    <definedName name="MLNKd73ad899cda541a8982e3f2d5aa1956e" localSheetId="3" hidden="1">#REF!</definedName>
    <definedName name="MLNKd8d24d9706354d54a8737ff792d1c649" localSheetId="3" hidden="1">#REF!</definedName>
    <definedName name="MLNKd8e056c4de3e4a3b863d5b0fe931d713" localSheetId="3" hidden="1">#REF!</definedName>
    <definedName name="MLNKd8f4c3b0fd084f6ba73e89ad0a9afd0a" localSheetId="3" hidden="1">#REF!</definedName>
    <definedName name="MLNKd98a6631865c40838e2bd40a4ed891f0" localSheetId="3" hidden="1">#REF!</definedName>
    <definedName name="MLNKda1152c4cc0c422f84e177462720e4e9" localSheetId="3" hidden="1">#REF!</definedName>
    <definedName name="MLNKdad976f7fd5f4e2b8d5894157ebede88" localSheetId="3" hidden="1">#REF!</definedName>
    <definedName name="MLNKdaf6c5baad5440ac9bc69ff1570d9d9a" localSheetId="3" hidden="1">#REF!</definedName>
    <definedName name="MLNKdb299d51f2f34ecb8bd62f12bf0a4b9f" localSheetId="3" hidden="1">#REF!</definedName>
    <definedName name="MLNKdb3202f698c541ba9ac5aaafa0a40b7c" localSheetId="3" hidden="1">#REF!</definedName>
    <definedName name="MLNKdb682b6a3d82445cac4ef9141ab8b3eb" localSheetId="3" hidden="1">#REF!</definedName>
    <definedName name="MLNKdb820b3d009f40ce8e422db2741d580f" localSheetId="3" hidden="1">#REF!</definedName>
    <definedName name="MLNKdb864bfe86424f5e87f6b1bb724e6820" localSheetId="3" hidden="1">#REF!</definedName>
    <definedName name="MLNKdbcdd2701ff140beb988f8d81263cfb6" localSheetId="3" hidden="1">#REF!</definedName>
    <definedName name="MLNKdbf5ffa69fb145d38b68f2930b8783c8" localSheetId="3" hidden="1">#REF!</definedName>
    <definedName name="MLNKdc10587df1364384b7698f37a398df57" localSheetId="3" hidden="1">#REF!</definedName>
    <definedName name="MLNKdc4c588ea844422d85350eaf38e7d7f4" localSheetId="3" hidden="1">#REF!</definedName>
    <definedName name="MLNKdc921760362b49f09e4e76d8b6a7b69d" localSheetId="3" hidden="1">#REF!</definedName>
    <definedName name="MLNKdca86110a7d74aafb81444faffbea7dc" localSheetId="3" hidden="1">#REF!</definedName>
    <definedName name="MLNKdcc1ef51c49e470a9212dd480f00d5c5" localSheetId="3" hidden="1">#REF!</definedName>
    <definedName name="MLNKdce35bbf22604ffa92e90dfce593145a" localSheetId="3" hidden="1">#REF!</definedName>
    <definedName name="MLNKdcfa7180c18943a0898fa020b54f44e5" localSheetId="3" hidden="1">#REF!</definedName>
    <definedName name="MLNKdd16275dc64b4808b13920b3578e8113" localSheetId="3" hidden="1">#REF!</definedName>
    <definedName name="MLNKdd2f530a9a264852b24622a11e3f1b7d" localSheetId="3" hidden="1">#REF!</definedName>
    <definedName name="MLNKdd36a7854d414eb6b4c775afa248a0ac" localSheetId="3" hidden="1">#REF!</definedName>
    <definedName name="MLNKdd6d5e906e544999adafc1c995f9de12" localSheetId="3" hidden="1">#REF!</definedName>
    <definedName name="MLNKdd80ddbbaa7c428dbef178217ed5c495" localSheetId="3" hidden="1">#REF!</definedName>
    <definedName name="MLNKde8006bacfc346d6b4df8727d916822c" localSheetId="3" hidden="1">#REF!</definedName>
    <definedName name="MLNKded61ea6701f47b787ab31230f494da4" localSheetId="3" hidden="1">#REF!</definedName>
    <definedName name="MLNKdeefa2bfaa414bce9e904db535a538f9" localSheetId="3" hidden="1">#REF!</definedName>
    <definedName name="MLNKdf07d88462fd4bfd9dc7f95442e82542" localSheetId="3" hidden="1">#REF!</definedName>
    <definedName name="MLNKdf2238e63cba47398e2681a8c2bfaa54" localSheetId="3" hidden="1">#REF!</definedName>
    <definedName name="MLNKdf654a64333a494fa6e088e037163da8" localSheetId="3" hidden="1">#REF!</definedName>
    <definedName name="MLNKdfa802fe092a4977907fea92b409c1e1" localSheetId="3" hidden="1">#REF!</definedName>
    <definedName name="MLNKdfb4ba7c52e647f4a074b2c2f375cbcc" localSheetId="3" hidden="1">#REF!</definedName>
    <definedName name="MLNKe04bf971879347c7982b1173e2d29a2a" localSheetId="3" hidden="1">#REF!</definedName>
    <definedName name="MLNKe090e26510014cdeb8e67a5d5a96ba13" localSheetId="3" hidden="1">#REF!</definedName>
    <definedName name="MLNKe09293ca8bf645f5ac49304a5e99835a" localSheetId="3" hidden="1">#REF!</definedName>
    <definedName name="MLNKe097181bd7e94b59b0bf560b50f4a59a" localSheetId="3" hidden="1">#REF!</definedName>
    <definedName name="MLNKe0c53436419d42a685619d07b8f478b9" localSheetId="3" hidden="1">#REF!</definedName>
    <definedName name="MLNKe0e0cfd6df4745e9ad359e10947fe8c7" localSheetId="3" hidden="1">#REF!</definedName>
    <definedName name="MLNKe0eeb9a76c784235a587a54c6d6bf77f" localSheetId="3" hidden="1">#REF!</definedName>
    <definedName name="MLNKe11e2d59fb984a0ba22671c02a2fa156" localSheetId="3" hidden="1">#REF!</definedName>
    <definedName name="MLNKe1645ce7b3f14a81835ab110636a0d5e" localSheetId="3" hidden="1">#REF!</definedName>
    <definedName name="MLNKe1896678be7e490ca4a3a6a4e8b66469" localSheetId="3" hidden="1">#REF!</definedName>
    <definedName name="MLNKe1ac4738cbfe4e66ab2c077b0dc4db99" localSheetId="3" hidden="1">#REF!</definedName>
    <definedName name="MLNKe1cf75a7a5894c31ab0f4382a0d6f1b5" localSheetId="3" hidden="1">#REF!</definedName>
    <definedName name="MLNKe1dc33bbbf3240bdbcf7d611be0084b0" localSheetId="3" hidden="1">#REF!</definedName>
    <definedName name="MLNKe21a8c84c9ff4be8b8cf445853d6fcec" localSheetId="3" hidden="1">#REF!</definedName>
    <definedName name="MLNKe2a086a7b5c14ff5800311a557761726" localSheetId="3" hidden="1">#REF!</definedName>
    <definedName name="MLNKe2b28c59c20b4889b245155e6c10512a" localSheetId="3" hidden="1">#REF!</definedName>
    <definedName name="MLNKe2eb1cfb3a68470b9c8fea946d494a0a" localSheetId="3" hidden="1">#REF!</definedName>
    <definedName name="MLNKe301b7ee170d422480db09afd5555b9d" localSheetId="3" hidden="1">#REF!</definedName>
    <definedName name="MLNKe32a5ae092c14a708b0d4aacce87e161" localSheetId="3" hidden="1">#REF!</definedName>
    <definedName name="MLNKe35ef9b20e8c4b09a97c3424b90a59ab" localSheetId="3" hidden="1">#REF!</definedName>
    <definedName name="MLNKe3741771fafe452fbc166f1b31abb306" localSheetId="3" hidden="1">#REF!</definedName>
    <definedName name="MLNKe3aafe139b4c4da5b49582c83a2ca89e" localSheetId="3" hidden="1">#REF!</definedName>
    <definedName name="MLNKe3e4123999434a0dbf6ee6dd2e2e74c2" localSheetId="3" hidden="1">#REF!</definedName>
    <definedName name="MLNKe3f36a4ea9db4eb689b19d62c08f43eb" localSheetId="3" hidden="1">#REF!</definedName>
    <definedName name="MLNKe419df6c3bac4cd5a289cd1919df434c" localSheetId="3" hidden="1">#REF!</definedName>
    <definedName name="MLNKe46d45e2188d48f4864afc164943f2a4" localSheetId="3" hidden="1">#REF!</definedName>
    <definedName name="MLNKe4afc91282184093a934ea945b892c20" localSheetId="3" hidden="1">#REF!</definedName>
    <definedName name="MLNKe58b4f9954594a68919adf5d39ec4f38" localSheetId="3" hidden="1">#REF!</definedName>
    <definedName name="MLNKe5f7520d114649c68b8a2a9313d7a076" localSheetId="3" hidden="1">#REF!</definedName>
    <definedName name="MLNKe6017dab58bc41efb29a306689344160" localSheetId="3" hidden="1">#REF!</definedName>
    <definedName name="MLNKe66072ea21e24018887760cc3bc56187" localSheetId="3" hidden="1">#REF!</definedName>
    <definedName name="MLNKe67783f9386045fab4a95e47d8eed990" localSheetId="3" hidden="1">#REF!</definedName>
    <definedName name="MLNKe695c665be334e03b8dbb3226f06b070" localSheetId="3" hidden="1">#REF!</definedName>
    <definedName name="MLNKe69c7e47ace84fdabba07cd9364eb119" localSheetId="3" hidden="1">#REF!</definedName>
    <definedName name="MLNKe6acb0e24b0d4721896077e31c09a598" localSheetId="3" hidden="1">#REF!</definedName>
    <definedName name="MLNKe6d44b7eb7494a3ebb638bf1b41fb3c8" localSheetId="3" hidden="1">#REF!</definedName>
    <definedName name="MLNKe714491b1f6a4ca1815ea51cdc0d9809" localSheetId="3" hidden="1">#REF!</definedName>
    <definedName name="MLNKe718831ad10d4537b33e4eb72d3f42c8" localSheetId="3" hidden="1">#REF!</definedName>
    <definedName name="MLNKe754afffd77a4d84aa91d88468789915" localSheetId="3" hidden="1">#REF!</definedName>
    <definedName name="MLNKe75b05fb183c4a99b36e3ee9052825c3" localSheetId="3" hidden="1">#REF!</definedName>
    <definedName name="MLNKe75bfc86c5c340b58c80decac0c459df" localSheetId="3" hidden="1">#REF!</definedName>
    <definedName name="MLNKe769863fb62b471a91f08c34c6aa0fe8" localSheetId="3" hidden="1">#REF!</definedName>
    <definedName name="MLNKe7b2e230834f442ab919ab2ecb1d014e" localSheetId="3" hidden="1">#REF!</definedName>
    <definedName name="MLNKe7d255d2ea4045708a682a35478c4a53" localSheetId="3" hidden="1">#REF!</definedName>
    <definedName name="MLNKe7f13861e6d2486aaed4a2efd709d77f" localSheetId="3" hidden="1">#REF!</definedName>
    <definedName name="MLNKe81326c08cbd4af5aca80814f87f4e2d" localSheetId="3" hidden="1">#REF!</definedName>
    <definedName name="MLNKe81814586d854858aad8987dc9d39618" localSheetId="3" hidden="1">#REF!</definedName>
    <definedName name="MLNKe8606b21ad0646a883f1e4e117985e38" localSheetId="3" hidden="1">#REF!</definedName>
    <definedName name="MLNKe87eba5671a54589ba2b3005504069f5" localSheetId="3" hidden="1">#REF!</definedName>
    <definedName name="MLNKe882e6930c9d4facbc5ea027ed00bd00" localSheetId="3" hidden="1">#REF!</definedName>
    <definedName name="MLNKe8bbf428f7b741fda970875cb350ca06" localSheetId="3" hidden="1">#REF!</definedName>
    <definedName name="MLNKe93d21e8b1e9487ab407552124823362" localSheetId="3" hidden="1">#REF!</definedName>
    <definedName name="MLNKe9691c94eb924535b492835020e075c4" localSheetId="3" hidden="1">#REF!</definedName>
    <definedName name="MLNKe9c9c3aa2da84cef841b702098ff2c1b" localSheetId="3" hidden="1">#REF!</definedName>
    <definedName name="MLNKea15f6d358e7409d912b7bd4dea3a161" localSheetId="3" hidden="1">#REF!</definedName>
    <definedName name="MLNKea75e391dd194d1aa3ca8ad47d767efd" localSheetId="3" hidden="1">#REF!</definedName>
    <definedName name="MLNKeabbe4aeee6047609b732161a9b667c5" localSheetId="3" hidden="1">#REF!</definedName>
    <definedName name="MLNKeb416d5891b249bcb35e643344093a57" localSheetId="3" hidden="1">#REF!</definedName>
    <definedName name="MLNKeb80b5cd4cd44fbba7a7bfb840cd3cdd" localSheetId="3" hidden="1">#REF!</definedName>
    <definedName name="MLNKeb94e17874554a428430ccc272790bb9" localSheetId="3" hidden="1">#REF!</definedName>
    <definedName name="MLNKebe9a349e0f9446c99a03332b6951f2f" localSheetId="3" hidden="1">#REF!</definedName>
    <definedName name="MLNKec2315a17f1e44d4b305b28d5364f8ca" localSheetId="3" hidden="1">#REF!</definedName>
    <definedName name="MLNKec2e06f2daf8473e9eb2730d329d99f6" localSheetId="3" hidden="1">#REF!</definedName>
    <definedName name="MLNKec9eca812169465a8fa174402115bbe5" localSheetId="3" hidden="1">#REF!</definedName>
    <definedName name="MLNKece6d007c0f24cbb975070e5fd99dd6a" localSheetId="3" hidden="1">#REF!</definedName>
    <definedName name="MLNKed18dbb41b634a2ea88edfc27ac7f977" localSheetId="3" hidden="1">#REF!</definedName>
    <definedName name="MLNKed63a1a3f60d4cb9a6eea667a88f3bae" localSheetId="3" hidden="1">#REF!</definedName>
    <definedName name="MLNKed88ef6ad04f47a8afae5d53b67933e0" localSheetId="3" hidden="1">#REF!</definedName>
    <definedName name="MLNKedad7bc6cf7c48458c71bbdca16f9636" localSheetId="3" hidden="1">#REF!</definedName>
    <definedName name="MLNKedf41ed864b04234a4ba254b23ff76a3" localSheetId="3" hidden="1">#REF!</definedName>
    <definedName name="MLNKee3a74249ae848caabbc83e007ef01b0" localSheetId="3" hidden="1">#REF!</definedName>
    <definedName name="MLNKee560b513f474eb28eac354d60ec6a21" localSheetId="3" hidden="1">#REF!</definedName>
    <definedName name="MLNKeecdb8d7190e4f8c808622a7226be5e5" localSheetId="3" hidden="1">#REF!</definedName>
    <definedName name="MLNKef1358c8ef6144f58a770a230439ef3e" localSheetId="3" hidden="1">#REF!</definedName>
    <definedName name="MLNKef1b927cfe704d81a46a8bc2f477a2fa" localSheetId="3" hidden="1">#REF!</definedName>
    <definedName name="MLNKef3db0272bf647529f6e7f2390fffd88" localSheetId="3" hidden="1">#REF!</definedName>
    <definedName name="MLNKef65e7171ed04845a0e5c901f7dbaa01" localSheetId="3" hidden="1">#REF!</definedName>
    <definedName name="MLNKeffcf5b54c15412f81f36dd9c606a529" localSheetId="3" hidden="1">#REF!</definedName>
    <definedName name="MLNKf026ec19a29e4e81a40d0f3d93f4b72a" localSheetId="3" hidden="1">#REF!</definedName>
    <definedName name="MLNKf043457bc28e4f86ad787013e0eaf10f" localSheetId="3" hidden="1">#REF!</definedName>
    <definedName name="MLNKf05580bcd2874e4ea76da70598d259c5" localSheetId="3" hidden="1">#REF!</definedName>
    <definedName name="MLNKf092f36ff0f74b25a58d312b2ebc9377" localSheetId="3" hidden="1">#REF!</definedName>
    <definedName name="MLNKf0bcc9f4176d4a49ab0f9727901687cc" localSheetId="3" hidden="1">#REF!</definedName>
    <definedName name="MLNKf14b49f683294b4cbdb258986588af23" localSheetId="3" hidden="1">#REF!</definedName>
    <definedName name="MLNKf187bf23ebf6455abeeb8dcfe68f1a02" localSheetId="3" hidden="1">#REF!</definedName>
    <definedName name="MLNKf1ce7c1f71ca4b5dbd297a8314c35f0d" localSheetId="3" hidden="1">#REF!</definedName>
    <definedName name="MLNKf1d741c373f34620ba9db75e559d6492" localSheetId="3" hidden="1">#REF!</definedName>
    <definedName name="MLNKf1e1e702f443436db370aefe1af4b4af" localSheetId="3" hidden="1">#REF!</definedName>
    <definedName name="MLNKf1f9642b8d95448c83157665365c64cb" localSheetId="3" hidden="1">#REF!</definedName>
    <definedName name="MLNKf1fc313dfb8c49c9ad656524cf038dd4" localSheetId="3" hidden="1">#REF!</definedName>
    <definedName name="MLNKf22d86e83dc74649878809d6d5084ff5" localSheetId="3" hidden="1">#REF!</definedName>
    <definedName name="MLNKf253c29f66594a42a013a647cc4348d4" localSheetId="3" hidden="1">#REF!</definedName>
    <definedName name="MLNKf31aad2c3ffa4de3a9ecc2984218c1a2" localSheetId="3" hidden="1">#REF!</definedName>
    <definedName name="MLNKf34374e0248843038ab5daf7c14052b3" localSheetId="3" hidden="1">#REF!</definedName>
    <definedName name="MLNKf344c94dee6743acb54f67936df14787" localSheetId="3" hidden="1">#REF!</definedName>
    <definedName name="MLNKf3ea2223b5ec4d16a60dea61e33ff172" localSheetId="3" hidden="1">#REF!</definedName>
    <definedName name="MLNKf49077d8fce6408495d3e0d6d993dd80" localSheetId="3" hidden="1">#REF!</definedName>
    <definedName name="MLNKf4c706ec50fc4f89a88d8e3dd66e6443" localSheetId="3" hidden="1">#REF!</definedName>
    <definedName name="MLNKf589f5d4860d4c168e084a35ada47455" localSheetId="3" hidden="1">#REF!</definedName>
    <definedName name="MLNKf5d530e37ea3487f8215dece0e743f02" localSheetId="3" hidden="1">#REF!</definedName>
    <definedName name="MLNKf62372b10e7546899a27aba86588940f" localSheetId="3" hidden="1">#REF!</definedName>
    <definedName name="MLNKf655751cc8844c7f812a2493aeecffe0" localSheetId="3" hidden="1">#REF!</definedName>
    <definedName name="MLNKf65576a79529435e96ea56a9f989a6c1" localSheetId="3" hidden="1">#REF!</definedName>
    <definedName name="MLNKf66035223f4444779699efe602c3bb34" localSheetId="3" hidden="1">#REF!</definedName>
    <definedName name="MLNKf6be7ea148f343f7b5092a15eaa08df9" localSheetId="3" hidden="1">#REF!</definedName>
    <definedName name="MLNKf7ac723cff9943a5988d414dbabff1fa" localSheetId="3" hidden="1">#REF!</definedName>
    <definedName name="MLNKf7b5854165ea4f1ca3154d614dbd1ec5" localSheetId="3" hidden="1">#REF!</definedName>
    <definedName name="MLNKf7e8acfd8b604c459d0a277eec871150" localSheetId="3" hidden="1">#REF!</definedName>
    <definedName name="MLNKf8373b71f8f04deb98bc961f11b3339a" localSheetId="3" hidden="1">#REF!</definedName>
    <definedName name="MLNKf83b8907730540f7ad62729b856f69cd" localSheetId="3" hidden="1">#REF!</definedName>
    <definedName name="MLNKf864eed95e984ae99caedb517dee0d9a" localSheetId="3" hidden="1">#REF!</definedName>
    <definedName name="MLNKf8965499dbe140ae94eaca5543729810" localSheetId="3" hidden="1">#REF!</definedName>
    <definedName name="MLNKf8e3a1f924af457f9b8e9eb2627b2e2d" localSheetId="3" hidden="1">#REF!</definedName>
    <definedName name="MLNKf8f37e5ba04b4a2b9dacd71d668832f0" localSheetId="3" hidden="1">#REF!</definedName>
    <definedName name="MLNKf97dea5cae574753b91c7d04c01a1b4e" localSheetId="3" hidden="1">#REF!</definedName>
    <definedName name="MLNKfa135e4b2a87433b99cd7a85d3aa7ace" localSheetId="3" hidden="1">#REF!</definedName>
    <definedName name="MLNKfa3e27c8c53342ceaacbb15388eb3dd1" localSheetId="3" hidden="1">#REF!</definedName>
    <definedName name="MLNKfa69040b92f44ab7a12d42ec9357499d" localSheetId="3" hidden="1">#REF!</definedName>
    <definedName name="MLNKfa6c316471364176bcbbefc6830ef829" localSheetId="3" hidden="1">#REF!</definedName>
    <definedName name="MLNKfaa67a026dd9454f9e7abfa18fd2ea98" localSheetId="3" hidden="1">#REF!</definedName>
    <definedName name="MLNKfad519013a3047d98d58233a55d1b524" localSheetId="3" hidden="1">#REF!</definedName>
    <definedName name="MLNKfb30cc3b31544b5faf150bb880655370" localSheetId="3" hidden="1">#REF!</definedName>
    <definedName name="MLNKfb5a28e2d52642d8ae374a24aa2f515b" localSheetId="3" hidden="1">#REF!</definedName>
    <definedName name="MLNKfbd34e9c5e9a46d68b7d7c6b4ac63d0c" localSheetId="3" hidden="1">#REF!</definedName>
    <definedName name="MLNKfc3b92d24c004f3fb5fb80573593aba6" localSheetId="3" hidden="1">#REF!</definedName>
    <definedName name="MLNKfc5606f237434fc18abf8ce6d3503626" localSheetId="3" hidden="1">#REF!</definedName>
    <definedName name="MLNKfc65f694760547b99ecbf623bd883e7a" localSheetId="3" hidden="1">#REF!</definedName>
    <definedName name="MLNKfca07d14109c400d95b9eb8da58225aa" localSheetId="3" hidden="1">#REF!</definedName>
    <definedName name="MLNKfd0d9b768299437b92b717f7f627c62c" localSheetId="3" hidden="1">#REF!</definedName>
    <definedName name="MLNKfd23cff0e25d4fe99dc556f422f0ed97" localSheetId="3" hidden="1">#REF!</definedName>
    <definedName name="MLNKfd5d209ad5e74b14990c5e6a54b9f9db" localSheetId="3" hidden="1">#REF!</definedName>
    <definedName name="MLNKfd9082fc4c98457d8cbbef8a12aceedc" localSheetId="3" hidden="1">#REF!</definedName>
    <definedName name="MLNKfebe3ae174e74e728322fa727b235f1f" localSheetId="3" hidden="1">#REF!</definedName>
    <definedName name="MLNKff4adabb732d44049edfd0fbf054b234" localSheetId="3" hidden="1">#REF!</definedName>
    <definedName name="MLNKff5ecd00ef6847669fb191968d8809a5" localSheetId="3" hidden="1">#REF!</definedName>
    <definedName name="MLNKffa830e55d954992a7bc24b31840c35a" localSheetId="3" hidden="1">#REF!</definedName>
    <definedName name="MLNKffb594f36bc542278515f6018b380411" localSheetId="3" hidden="1">#REF!</definedName>
    <definedName name="mlw" localSheetId="3" hidden="1">{#N/A,#N/A,FALSE,"Pharm";#N/A,#N/A,FALSE,"WWCM"}</definedName>
    <definedName name="mnkj" localSheetId="3" hidden="1">{#N/A,#N/A,TRUE,"BUD VS ACT AUST 96";#N/A,#N/A,TRUE,"96 COMP P&amp;L-AUST";#N/A,#N/A,TRUE,"COMP BS-AUSTRALIA";#N/A,#N/A,TRUE,"B/S - AUSTR."}</definedName>
    <definedName name="model" localSheetId="3" hidden="1">{#N/A,#N/A,FALSE,"Rev Grwth";#N/A,#N/A,FALSE,"Op Inc Grwth";#N/A,#N/A,FALSE,"Net Grwth";#N/A,#N/A,FALSE,"EPS Growth"}</definedName>
    <definedName name="model2" localSheetId="3" hidden="1">{#N/A,#N/A,FALSE,"Rev Grwth";#N/A,#N/A,FALSE,"Op Inc Grwth";#N/A,#N/A,FALSE,"Net Grwth";#N/A,#N/A,FALSE,"EPS Growth"}</definedName>
    <definedName name="Month" localSheetId="3">#REF!</definedName>
    <definedName name="Monthly_Payment" localSheetId="3">-PMT(Interest_Rate/12,'IV. EBITDA Adjustments'!Number_of_Payments,'IV. EBITDA Adjustments'!Loan_Amount)</definedName>
    <definedName name="months_per_period" localSheetId="3">INDEX({12,6,3,2,1,0.5,0.5,0.25},MATCH(#REF!,'IV. EBITDA Adjustments'!frequency,0))</definedName>
    <definedName name="MPO" localSheetId="3" hidden="1">{#N/A,#N/A,TRUE,"BS_A";#N/A,#N/A,TRUE,"BS_L";#N/A,#N/A,TRUE,"PL";#N/A,#N/A,TRUE,"NET";#N/A,#N/A,TRUE,"MAR_2";#N/A,#N/A,TRUE,"MAR";#N/A,#N/A,TRUE,"NII";#N/A,#N/A,TRUE,"NIE";#N/A,#N/A,TRUE,"FS_BS";#N/A,#N/A,TRUE,"FS_PL";#N/A,#N/A,TRUE,"HEA"}</definedName>
    <definedName name="mw" localSheetId="3" hidden="1">{#N/A,#N/A,FALSE,"Pharm";#N/A,#N/A,FALSE,"WWCM"}</definedName>
    <definedName name="Name" localSheetId="3">#REF!</definedName>
    <definedName name="NCBN" localSheetId="3"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etIncCurr" localSheetId="3">#REF!</definedName>
    <definedName name="NetIncPrior" localSheetId="3">#REF!</definedName>
    <definedName name="new" localSheetId="3" hidden="1">{"SourcesUses",#N/A,TRUE,"CFMODEL";"TransOverview",#N/A,TRUE,"CFMODEL"}</definedName>
    <definedName name="Newco_Tax" localSheetId="3">#REF!</definedName>
    <definedName name="NewLoan2014" localSheetId="3">(#REF!*#REF!*#REF!*#REF!)&gt;0</definedName>
    <definedName name="NewMaster" localSheetId="3">#REF!</definedName>
    <definedName name="newnewnew" localSheetId="3" hidden="1">{#N/A,#N/A,FALSE,"Pharm";#N/A,#N/A,FALSE,"WWCM"}</definedName>
    <definedName name="NewRange" localSheetId="3" hidden="1">#REF!</definedName>
    <definedName name="NMCVM" localSheetId="3" hidden="1">{#N/A,#N/A,FALSE,"TABLE_1 YTD- VALUES LAST YR(2)"}</definedName>
    <definedName name="nouv" localSheetId="3" hidden="1">{#N/A,#N/A,FALSE,"Pharm";#N/A,#N/A,FALSE,"WWCM"}</definedName>
    <definedName name="Nov00" localSheetId="3" hidden="1">{"Statement of Income",#N/A,TRUE,"Mar99";"Balance Sheet",#N/A,TRUE,"Mar99"}</definedName>
    <definedName name="Nov00TB" localSheetId="3" hidden="1">{"Statement of Income",#N/A,TRUE,"Mar99";"Balance Sheet",#N/A,TRUE,"Mar99"}</definedName>
    <definedName name="nper" localSheetId="3">'IV. EBITDA Adjustments'!term*'IV. EBITDA Adjustments'!periods_per_year</definedName>
    <definedName name="Num_Pmt_Per_Year" localSheetId="3">#REF!</definedName>
    <definedName name="Number_of_Payments" localSheetId="3">MATCH(0.01,End_Bal,-1)+1</definedName>
    <definedName name="o" localSheetId="3" hidden="1">{#N/A,#N/A,FALSE,"New Depr Sch-150% DB";#N/A,#N/A,FALSE,"Cash Flows RLP";#N/A,#N/A,FALSE,"IRR";#N/A,#N/A,FALSE,"Proforma IS";#N/A,#N/A,FALSE,"Assumptions"}</definedName>
    <definedName name="Oct00" localSheetId="3" hidden="1">{"Statement of Income",#N/A,TRUE,"Mar99";"Balance Sheet",#N/A,TRUE,"Mar99"}</definedName>
    <definedName name="Oct00TB" localSheetId="3" hidden="1">{"Statement of Income",#N/A,TRUE,"Mar99";"Balance Sheet",#N/A,TRUE,"Mar99"}</definedName>
    <definedName name="Octob00" localSheetId="3" hidden="1">{"Statement of Income",#N/A,TRUE,"Mar99";"Balance Sheet",#N/A,TRUE,"Mar99"}</definedName>
    <definedName name="Octob00TB" localSheetId="3" hidden="1">{"Statement of Income",#N/A,TRUE,"Mar99";"Balance Sheet",#N/A,TRUE,"Mar99"}</definedName>
    <definedName name="OI" localSheetId="3" hidden="1">{#N/A,#N/A,FALSE,"COVER";#N/A,#N/A,FALSE,"Index";#N/A,#N/A,FALSE,"Non-Earning";#N/A,#N/A,FALSE,"Non-Earning_Recovery"}</definedName>
    <definedName name="oiu" localSheetId="3" hidden="1">{#N/A,#N/A,FALSE,"COVER";#N/A,#N/A,FALSE,"RATIOS";#N/A,#N/A,FALSE,"LEVERAGE";#N/A,#N/A,FALSE,"TIER-1";#N/A,#N/A,FALSE,"RISK BASED ASSETS";#N/A,#N/A,FALSE,"TIER-2"}</definedName>
    <definedName name="OK" localSheetId="3" hidden="1">{#N/A,#N/A,FALSE,"REPORT"}</definedName>
    <definedName name="okay" localSheetId="3" hidden="1">{#N/A,#N/A,FALSE,"Admin";#N/A,#N/A,FALSE,"Other"}</definedName>
    <definedName name="oldkey1" localSheetId="3" hidden="1">#REF!</definedName>
    <definedName name="oldsort" localSheetId="3" hidden="1">#REF!</definedName>
    <definedName name="on" localSheetId="3" hidden="1">{"TOTAL",#N/A,FALSE,"A";"FISCAL94",#N/A,FALSE,"A";"FISCAL95",#N/A,FALSE,"A";"FISCAL96",#N/A,FALSE,"A";"misc page",#N/A,FALSE,"A"}</definedName>
    <definedName name="ookok" localSheetId="3" hidden="1">{#N/A,#N/A,TRUE,"BUD VS ACT AUST 96";#N/A,#N/A,TRUE,"96 COMP P&amp;L-AUST";#N/A,#N/A,TRUE,"COMP BS-AUSTRALIA";#N/A,#N/A,TRUE,"B/S - AUSTR."}</definedName>
    <definedName name="ooo" localSheetId="3" hidden="1">{#N/A,#N/A,FALSE,"REPORT"}</definedName>
    <definedName name="OOU" localSheetId="3" hidden="1">{#N/A,#N/A,FALSE,"BS";#N/A,#N/A,FALSE,"PL_10Q";#N/A,#N/A,FALSE,"SOE";#N/A,#N/A,FALSE,"SCF"}</definedName>
    <definedName name="Opscen" localSheetId="3">#REF!</definedName>
    <definedName name="org_H_per_pot_cleaning" localSheetId="3">#REF!</definedName>
    <definedName name="org_H_per_pot_harvest" localSheetId="3">#REF!</definedName>
    <definedName name="org_H_per_pot_maintenance" localSheetId="3">#REF!</definedName>
    <definedName name="org_H_per_pot_nursery" localSheetId="3">#REF!</definedName>
    <definedName name="org_H_per_pot_others" localSheetId="3">#REF!</definedName>
    <definedName name="org_H_per_pot_packing" localSheetId="3">#REF!</definedName>
    <definedName name="org_H_per_pot_planting" localSheetId="3">#REF!</definedName>
    <definedName name="org_H_per_pot_sowing" localSheetId="3">#REF!</definedName>
    <definedName name="org_H_per_pot_wastehandl" localSheetId="3">#REF!</definedName>
    <definedName name="org_pots_per_h" localSheetId="3">#REF!</definedName>
    <definedName name="org_proc_time_cleaning" localSheetId="3">#REF!</definedName>
    <definedName name="org_proc_time_harvest" localSheetId="3">#REF!</definedName>
    <definedName name="org_proc_time_maint" localSheetId="3">#REF!</definedName>
    <definedName name="org_proc_time_nursery" localSheetId="3">#REF!</definedName>
    <definedName name="org_proc_time_others" localSheetId="3">#REF!</definedName>
    <definedName name="org_proc_time_packing" localSheetId="3">#REF!</definedName>
    <definedName name="org_proc_time_planting" localSheetId="3">#REF!</definedName>
    <definedName name="org_proc_time_sowing" localSheetId="3">#REF!</definedName>
    <definedName name="org_proc_time_wastehandl" localSheetId="3">#REF!</definedName>
    <definedName name="OrgCostCurr" localSheetId="3">#REF!</definedName>
    <definedName name="OrgCostPrior" localSheetId="3">#REF!</definedName>
    <definedName name="other33" localSheetId="3" hidden="1">{#N/A,#N/A,FALSE,"Pharm";#N/A,#N/A,FALSE,"WWCM"}</definedName>
    <definedName name="othermar" localSheetId="3" hidden="1">{#N/A,#N/A,FALSE,"Pharm";#N/A,#N/A,FALSE,"WWCM"}</definedName>
    <definedName name="ouououiouopupo" localSheetId="3" hidden="1">{#N/A,#N/A,FALSE,"BS";#N/A,#N/A,FALSE,"PL";#N/A,#N/A,FALSE,"SOE";#N/A,#N/A,FALSE,"SCF"}</definedName>
    <definedName name="ououp0" localSheetId="3" hidden="1">{#N/A,#N/A,FALSE,"TABLE_1 YTD- VALUES LAST YR(2)"}</definedName>
    <definedName name="Page1" localSheetId="3">#REF!</definedName>
    <definedName name="Page2" localSheetId="3">#REF!</definedName>
    <definedName name="Page3" localSheetId="3">#REF!</definedName>
    <definedName name="Page4" localSheetId="3">#REF!</definedName>
    <definedName name="Page5" localSheetId="3">#REF!</definedName>
    <definedName name="Page6" localSheetId="3">#REF!</definedName>
    <definedName name="panther_wrn.test1." localSheetId="3" hidden="1">{"Income Statement",#N/A,FALSE,"CFMODEL";"Balance Sheet",#N/A,FALSE,"CFMODEL"}</definedName>
    <definedName name="panther_wrn.test2." localSheetId="3" hidden="1">{"SourcesUses",#N/A,TRUE,"CFMODEL";"TransOverview",#N/A,TRUE,"CFMODEL"}</definedName>
    <definedName name="panther_wrn.test3." localSheetId="3" hidden="1">{"SourcesUses",#N/A,TRUE,#N/A;"TransOverview",#N/A,TRUE,"CFMODEL"}</definedName>
    <definedName name="panther_wrn.test4." localSheetId="3" hidden="1">{"SourcesUses",#N/A,TRUE,"FundsFlow";"TransOverview",#N/A,TRUE,"FundsFlow"}</definedName>
    <definedName name="Pay_Date" localSheetId="3">#REF!</definedName>
    <definedName name="Pay_Num" localSheetId="3">#REF!</definedName>
    <definedName name="payment" localSheetId="3">#REF!</definedName>
    <definedName name="Payment_Date" localSheetId="3">DATE(YEAR(Loan_Start),MONTH(Loan_Start)+#REF!,DAY(Loan_Start))</definedName>
    <definedName name="Payment_Number" localSheetId="3">ROW()-Header_Row</definedName>
    <definedName name="PaymentPerYear2016" localSheetId="3">#REF!</definedName>
    <definedName name="PaymentsPerYear" localSheetId="3">#REF!</definedName>
    <definedName name="PaymentsPerYear2014" localSheetId="3">#REF!</definedName>
    <definedName name="PaymentsPerYear2017" localSheetId="3">#REF!</definedName>
    <definedName name="PaymentsPerYear2018" localSheetId="3">#REF!</definedName>
    <definedName name="PaymentsPerYearCurrent" localSheetId="3">#REF!</definedName>
    <definedName name="PaymentsPerYearRealEstate" localSheetId="3">#REF!</definedName>
    <definedName name="PBInvout" localSheetId="3">#REF!</definedName>
    <definedName name="PDI" localSheetId="3">#REF!</definedName>
    <definedName name="PDICS" localSheetId="3">#REF!</definedName>
    <definedName name="PDIFMV" localSheetId="3">#REF!</definedName>
    <definedName name="PDINR" localSheetId="3">#REF!</definedName>
    <definedName name="PDIPref" localSheetId="3">#REF!</definedName>
    <definedName name="PDIWarr" localSheetId="3">#REF!</definedName>
    <definedName name="Pecos" localSheetId="3"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localSheetId="3"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pe" localSheetId="3" hidden="1">{#N/A,#N/A,FALSE,"Pharm";#N/A,#N/A,FALSE,"WWCM"}</definedName>
    <definedName name="PEPE4" localSheetId="3" hidden="1">{#N/A,#N/A,FALSE,"Pharm";#N/A,#N/A,FALSE,"WWCM"}</definedName>
    <definedName name="PEPE5" localSheetId="3" hidden="1">{#N/A,#N/A,FALSE,"Pharm";#N/A,#N/A,FALSE,"WWCM"}</definedName>
    <definedName name="PERIOD2" localSheetId="3">#REF!</definedName>
    <definedName name="periods_per_year" localSheetId="3">INDEX({1,2,4,6,12,24,26,52},MATCH(#REF!,'IV. EBITDA Adjustments'!frequency,0))</definedName>
    <definedName name="pharma" localSheetId="3" hidden="1">{#N/A,#N/A,FALSE,"Sales Graph";#N/A,#N/A,FALSE,"PSBM";#N/A,#N/A,FALSE,"BUC Graph";#N/A,#N/A,FALSE,"P&amp;L - YTD"}</definedName>
    <definedName name="pkg.gom" localSheetId="3" hidden="1">{"2000PPE",#N/A,FALSE,"PPE 2000";"2000DD",#N/A,FALSE,"DrydocksOther"}</definedName>
    <definedName name="pl" localSheetId="3" hidden="1">{#N/A,#N/A,FALSE,"REPORT"}</definedName>
    <definedName name="plbudget04" localSheetId="3" hidden="1">{#N/A,#N/A,FALSE,"INPUTS";#N/A,#N/A,FALSE,"PROFORMA BSHEET";#N/A,#N/A,FALSE,"COMBINED";#N/A,#N/A,FALSE,"ACQUIROR";#N/A,#N/A,FALSE,"TARGET 1";#N/A,#N/A,FALSE,"TARGET 2";#N/A,#N/A,FALSE,"HIGH YIELD";#N/A,#N/A,FALSE,"OVERFUND"}</definedName>
    <definedName name="PLCepi" localSheetId="3" hidden="1">{#N/A,#N/A,FALSE,"REPORT"}</definedName>
    <definedName name="PLDate" localSheetId="3">#REF!</definedName>
    <definedName name="PLProcef" localSheetId="3" hidden="1">{#N/A,#N/A,FALSE,"REPORT"}</definedName>
    <definedName name="PLTaxol" localSheetId="3" hidden="1">{#N/A,#N/A,FALSE,"REPORT"}</definedName>
    <definedName name="Pnl" localSheetId="3" hidden="1">{#N/A,#N/A,FALSE,"Pharm";#N/A,#N/A,FALSE,"WWCM"}</definedName>
    <definedName name="po" localSheetId="3"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i" localSheetId="3" hidden="1">{#N/A,#N/A,FALSE,"PL-FS";#N/A,#N/A,FALSE,"PL"}</definedName>
    <definedName name="Poolmgr" localSheetId="3">#REF!</definedName>
    <definedName name="port29" localSheetId="3" hidden="1">{#N/A,#N/A,FALSE,"Pharm";#N/A,#N/A,FALSE,"WWCM"}</definedName>
    <definedName name="poso_wrn.test1." localSheetId="3" hidden="1">{"Income Statement",#N/A,FALSE,"CFMODEL";"Balance Sheet",#N/A,FALSE,"CFMODEL"}</definedName>
    <definedName name="poso_wrn.test2." localSheetId="3" hidden="1">{"SourcesUses",#N/A,TRUE,"CFMODEL";"TransOverview",#N/A,TRUE,"CFMODEL"}</definedName>
    <definedName name="poso_wrn.test3." localSheetId="3" hidden="1">{"SourcesUses",#N/A,TRUE,#N/A;"TransOverview",#N/A,TRUE,"CFMODEL"}</definedName>
    <definedName name="poso_wrn.test4." localSheetId="3" hidden="1">{"SourcesUses",#N/A,TRUE,"FundsFlow";"TransOverview",#N/A,TRUE,"FundsFlow"}</definedName>
    <definedName name="Powerop3" localSheetId="3">#REF!</definedName>
    <definedName name="pp" localSheetId="3">#REF!</definedName>
    <definedName name="ppp" localSheetId="3" hidden="1">{#N/A,#N/A,FALSE,"summ";#N/A,#N/A,FALSE,"q1";#N/A,#N/A,FALSE,"summ_alt";#N/A,#N/A,FALSE,"stock_nozero";#N/A,#N/A,FALSE,"1995"}</definedName>
    <definedName name="PPS" localSheetId="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rev_Mkv" localSheetId="3">#REF!</definedName>
    <definedName name="Princ" localSheetId="3">#REF!</definedName>
    <definedName name="PrintEnd" localSheetId="3" hidden="1">#REF!</definedName>
    <definedName name="PrintStart" localSheetId="3" hidden="1">#REF!</definedName>
    <definedName name="Procef" localSheetId="3" hidden="1">{#N/A,#N/A,FALSE,"Pharm";#N/A,#N/A,FALSE,"WWCM"}</definedName>
    <definedName name="prod" localSheetId="3" hidden="1">{#N/A,#N/A,FALSE,"Pharm";#N/A,#N/A,FALSE,"WWCM"}</definedName>
    <definedName name="Project" localSheetId="3">#REF!</definedName>
    <definedName name="project_name" localSheetId="3">#REF!</definedName>
    <definedName name="q" localSheetId="3" hidden="1">{"CSheet",#N/A,FALSE,"C";"SmCap",#N/A,FALSE,"VAL1";"GulfCoast",#N/A,FALSE,"VAL1";"nav",#N/A,FALSE,"NAV";"Summary",#N/A,FALSE,"NAV"}</definedName>
    <definedName name="qaz" localSheetId="3" hidden="1">{#N/A,#N/A,FALSE,"Pharm";#N/A,#N/A,FALSE,"WWCM"}</definedName>
    <definedName name="qertweyu" localSheetId="3" hidden="1">{#N/A,#N/A,FALSE,"REPORT"}</definedName>
    <definedName name="qetryywt" localSheetId="3" hidden="1">{#N/A,#N/A,FALSE,"REPORT"}</definedName>
    <definedName name="qqq" localSheetId="3" hidden="1">{#N/A,#N/A,FALSE,"Pharm";#N/A,#N/A,FALSE,"WWCM"}</definedName>
    <definedName name="qqwtweryey" localSheetId="3" hidden="1">{#N/A,#N/A,FALSE,"REPORT"}</definedName>
    <definedName name="Quarter1Percent" localSheetId="3">#REF!</definedName>
    <definedName name="Quarter2Percent" localSheetId="3">#REF!</definedName>
    <definedName name="Quarter3Percent" localSheetId="3">#REF!</definedName>
    <definedName name="Quarter4Percent" localSheetId="3">#REF!</definedName>
    <definedName name="qw" localSheetId="3" hidden="1">{#N/A,#N/A,FALSE,"REPORT"}</definedName>
    <definedName name="qw2fkgur" localSheetId="3" hidden="1">{#N/A,#N/A,FALSE,"Valuation Assumptions";#N/A,#N/A,FALSE,"Summary";#N/A,#N/A,FALSE,"DCF";#N/A,#N/A,FALSE,"Valuation";#N/A,#N/A,FALSE,"WACC";#N/A,#N/A,FALSE,"UBVH";#N/A,#N/A,FALSE,"Free Cash Flow"}</definedName>
    <definedName name="qwe" localSheetId="3" hidden="1">{#N/A,#N/A,TRUE,"BS_A";#N/A,#N/A,TRUE,"BS_L";#N/A,#N/A,TRUE,"PL";#N/A,#N/A,TRUE,"NET";#N/A,#N/A,TRUE,"MAR_2";#N/A,#N/A,TRUE,"MAR";#N/A,#N/A,TRUE,"NII";#N/A,#N/A,TRUE,"NIE";#N/A,#N/A,TRUE,"FS_BS";#N/A,#N/A,TRUE,"FS_PL";#N/A,#N/A,TRUE,"HEA"}</definedName>
    <definedName name="qwertqry" localSheetId="3" hidden="1">{#N/A,#N/A,FALSE,"REPORT"}</definedName>
    <definedName name="qwetqryetytu" localSheetId="3" hidden="1">{#N/A,#N/A,FALSE,"Pharm";#N/A,#N/A,FALSE,"WWCM"}</definedName>
    <definedName name="QWQ" localSheetId="3" hidden="1">{#N/A,#N/A,FALSE,"PL-FS";#N/A,#N/A,FALSE,"PL"}</definedName>
    <definedName name="rate" localSheetId="3">#REF!</definedName>
    <definedName name="RECurr" localSheetId="3">#REF!</definedName>
    <definedName name="RedefinePrintTableRange" localSheetId="3" hidden="1">#REF!</definedName>
    <definedName name="redo" localSheetId="3" hidden="1">{#N/A,#N/A,FALSE,"ACQ_GRAPHS";#N/A,#N/A,FALSE,"T_1 GRAPHS";#N/A,#N/A,FALSE,"T_2 GRAPHS";#N/A,#N/A,FALSE,"COMB_GRAPHS"}</definedName>
    <definedName name="reggie" localSheetId="3" hidden="1">{#N/A,#N/A,FALSE,"Pharm";#N/A,#N/A,FALSE,"WWCM"}</definedName>
    <definedName name="Report" localSheetId="3">#REF!</definedName>
    <definedName name="REPrior" localSheetId="3">#REF!</definedName>
    <definedName name="ReserveGuidance" localSheetId="3">#REF!</definedName>
    <definedName name="resp." localSheetId="3" hidden="1">{#N/A,#N/A,FALSE,"Pharm";#N/A,#N/A,FALSE,"WWCM"}</definedName>
    <definedName name="RestatedActuals" localSheetId="3" hidden="1">{#N/A,#N/A,FALSE,"Aging Summary";#N/A,#N/A,FALSE,"Ratio Analysis";#N/A,#N/A,FALSE,"Test 120 Day Accts";#N/A,#N/A,FALSE,"Tickmarks"}</definedName>
    <definedName name="rf2e" localSheetId="3" hidden="1">{#N/A,#N/A,FALSE,"Pharm";#N/A,#N/A,FALSE,"WWCM"}</definedName>
    <definedName name="rfr" localSheetId="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RM" localSheetId="3">#REF!</definedName>
    <definedName name="Rocket" localSheetId="3">#REF!</definedName>
    <definedName name="Rocket_Deal_Month" localSheetId="3">#REF!</definedName>
    <definedName name="roundOpt" localSheetId="3">#REF!</definedName>
    <definedName name="rrrrr" localSheetId="3" hidden="1">{#N/A,#N/A,FALSE,"Pharm";#N/A,#N/A,FALSE,"WWCM"}</definedName>
    <definedName name="rwert" localSheetId="3" hidden="1">{#N/A,#N/A,FALSE,"Pharm";#N/A,#N/A,FALSE,"WWCM"}</definedName>
    <definedName name="rwjf" localSheetId="3" hidden="1">{#N/A,#N/A,FALSE,"BS";#N/A,#N/A,FALSE,"PL";#N/A,#N/A,FALSE,"SOE";#N/A,#N/A,FALSE,"SCF"}</definedName>
    <definedName name="ryj" localSheetId="3" hidden="1">{#N/A,#N/A,FALSE,"ACQ_GRAPHS";#N/A,#N/A,FALSE,"T_1 GRAPHS";#N/A,#N/A,FALSE,"T_2 GRAPHS";#N/A,#N/A,FALSE,"COMB_GRAPHS"}</definedName>
    <definedName name="s" localSheetId="3">#REF!</definedName>
    <definedName name="sad" localSheetId="3" hidden="1">#REF!</definedName>
    <definedName name="sally" localSheetId="3" hidden="1">{#N/A,#N/A,FALSE,"Pharm";#N/A,#N/A,FALSE,"WWCM"}</definedName>
    <definedName name="sandy" localSheetId="3">#REF!</definedName>
    <definedName name="ScenarioList" localSheetId="3">OFFSET(#REF!,1,0,COUNTA(#REF!)-1,1)</definedName>
    <definedName name="Scenarios" comment="A-1" localSheetId="3">#REF!</definedName>
    <definedName name="Sched_Pay" localSheetId="3">#REF!</definedName>
    <definedName name="Scheduled_Extra_Payments" localSheetId="3">#REF!</definedName>
    <definedName name="Scheduled_Interest_Rate" localSheetId="3">#REF!</definedName>
    <definedName name="Scheduled_Monthly_Payment" localSheetId="3">#REF!</definedName>
    <definedName name="ScheduledNumberOfPayments" localSheetId="3">#REF!</definedName>
    <definedName name="ScheduledNumberofPayments2014" localSheetId="3">#REF!</definedName>
    <definedName name="ScheduledNumberofPayments2017" localSheetId="3">#REF!</definedName>
    <definedName name="ScheduledNumberofPayments2018" localSheetId="3">#REF!</definedName>
    <definedName name="ScheduledNumberofPaymentsCurrent" localSheetId="3">#REF!</definedName>
    <definedName name="ScheduledNumberOfPaymentsRealEstate" localSheetId="3">#REF!</definedName>
    <definedName name="ScheduledPayment" localSheetId="3">#REF!</definedName>
    <definedName name="ScheduledPayment2014" localSheetId="3">#REF!</definedName>
    <definedName name="ScheduledPayment2018" localSheetId="3">#REF!</definedName>
    <definedName name="ScheduledPaymentCurrent" localSheetId="3">#REF!</definedName>
    <definedName name="ScheduledPaymentRealEstate" localSheetId="3">#REF!</definedName>
    <definedName name="ScheduleNumberofPayment2016" localSheetId="3">#REF!</definedName>
    <definedName name="SchedulePayment2016" localSheetId="3">#REF!</definedName>
    <definedName name="SchedulePayment2017" localSheetId="3">#REF!</definedName>
    <definedName name="SCI" localSheetId="3">#REF!</definedName>
    <definedName name="SCIFMV" localSheetId="3">#REF!</definedName>
    <definedName name="SCIPref" localSheetId="3">#REF!</definedName>
    <definedName name="SD" localSheetId="3" hidden="1">{#N/A,#N/A,FALSE,"Pharm";#N/A,#N/A,FALSE,"WWCM"}</definedName>
    <definedName name="sdafgs" localSheetId="3" hidden="1">{#N/A,#N/A,FALSE,"Pharm";#N/A,#N/A,FALSE,"WWCM"}</definedName>
    <definedName name="sdas" localSheetId="3" hidden="1">{"Total",#N/A,FALSE,"Six Fields";"PDP",#N/A,FALSE,"Six Fields";"PNP",#N/A,FALSE,"Six Fields";"PUD",#N/A,FALSE,"Six Fields";"Prob",#N/A,FALSE,"Six Fields"}</definedName>
    <definedName name="sdf" localSheetId="3" hidden="1">#REF!</definedName>
    <definedName name="sdfdsf" localSheetId="3" hidden="1">{"SourcesUses",#N/A,TRUE,#N/A;"TransOverview",#N/A,TRUE,"CFMODEL"}</definedName>
    <definedName name="sdfh" localSheetId="3" hidden="1">{#N/A,#N/A,FALSE,"Pharm";#N/A,#N/A,FALSE,"WWCM"}</definedName>
    <definedName name="sdgagf" localSheetId="3" hidden="1">{#N/A,#N/A,FALSE,"Pharm";#N/A,#N/A,FALSE,"WWCM"}</definedName>
    <definedName name="sds" localSheetId="3" hidden="1">{#N/A,#N/A,TRUE,"ProFormaProfit";#N/A,#N/A,TRUE,"ProFormaCash";#N/A,#N/A,TRUE,"Depreciation";#N/A,#N/A,TRUE,"Assets";#N/A,#N/A,TRUE,"Revenue";#N/A,#N/A,TRUE,"EstimatedPurchase"}</definedName>
    <definedName name="sdsadasd" localSheetId="3" hidden="1">{#N/A,#N/A,FALSE,"Pharm";#N/A,#N/A,FALSE,"WWCM"}</definedName>
    <definedName name="sdsd" localSheetId="3" hidden="1">{#N/A,#N/A,FALSE,"REPORT"}</definedName>
    <definedName name="sdw" localSheetId="3" hidden="1">{#N/A,#N/A,FALSE,"Admin";#N/A,#N/A,FALSE,"Other"}</definedName>
    <definedName name="secondaries" localSheetId="3" hidden="1">{#N/A,#N/A,FALSE,"Summary";#N/A,#N/A,FALSE,"Pending";#N/A,#N/A,FALSE,"Oct'97";#N/A,#N/A,FALSE,"Sept'97";#N/A,#N/A,FALSE,"Aug'97";#N/A,#N/A,FALSE,"Jul'97";#N/A,#N/A,FALSE,"Jun'97";#N/A,#N/A,FALSE,"May'97";#N/A,#N/A,FALSE,"Apr'97";#N/A,#N/A,FALSE,"Mar'97";#N/A,#N/A,FALSE,"Feb'97";#N/A,#N/A,FALSE,"Jan'97"}</definedName>
    <definedName name="Select_Month" localSheetId="3">#REF!</definedName>
    <definedName name="select_scenario" localSheetId="3">#REF!</definedName>
    <definedName name="sensitivity" localSheetId="3">#REF!</definedName>
    <definedName name="sf" localSheetId="3" hidden="1">{#N/A,#N/A,FALSE,"Sales Graph";#N/A,#N/A,FALSE,"BUC Graph";#N/A,#N/A,FALSE,"P&amp;L - YTD"}</definedName>
    <definedName name="SFD" localSheetId="3" hidden="1">{#N/A,#N/A,FALSE,"TABLE_1 YTD";#N/A,#N/A,FALSE,"TABLE_1A QTD";#N/A,#N/A,FALSE,"NORMAL_SPREAD_QTD";#N/A,#N/A,FALSE,"NORMAL_SPREAD_YTD";#N/A,#N/A,FALSE,"TAX_EQV";#N/A,#N/A,FALSE,"TAX EQUIV_INPUT";#N/A,#N/A,FALSE,"NET FROM FER";#N/A,#N/A,FALSE,"COVER"}</definedName>
    <definedName name="sfdirect" localSheetId="3" hidden="1">{#N/A,#N/A,FALSE,"REPORT"}</definedName>
    <definedName name="sg" localSheetId="3">#REF!</definedName>
    <definedName name="sga" localSheetId="3">#REF!</definedName>
    <definedName name="shg"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size" localSheetId="3">#REF!</definedName>
    <definedName name="SizingColumn" localSheetId="3">#REF!</definedName>
    <definedName name="SizingColumn1" localSheetId="3">#REF!</definedName>
    <definedName name="SKFs" localSheetId="3">#REF!</definedName>
    <definedName name="sofie" localSheetId="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lver_adj" localSheetId="3" hidden="1">#REF!</definedName>
    <definedName name="solver_lhs1" localSheetId="3" hidden="1">#REF!</definedName>
    <definedName name="solver_opt" localSheetId="3" hidden="1">#REF!</definedName>
    <definedName name="ssd" localSheetId="3" hidden="1">#REF!</definedName>
    <definedName name="ssdfsd" localSheetId="3" hidden="1">{"Balance Sheets",#N/A,FALSE,"Subject";"Income Statements - As Reported",#N/A,FALSE,"Subject";"Income Statements - Adjusted",#N/A,FALSE,"Subject";"Ratios",#N/A,FALSE,"Subject";"Representative Earnings",#N/A,FALSE,"Subject"}</definedName>
    <definedName name="sss" localSheetId="3" hidden="1">{#N/A,#N/A,FALSE,"Form 41 Commuter Domestic";#N/A,#N/A,FALSE,"FORM41--COMMUTER % CHG";#N/A,#N/A,FALSE,"Total Domestic Traffic Stats";#N/A,#N/A,FALSE,"TOTAL DOM TRAFFIC--% CHG";#N/A,#N/A,FALSE,"TotDomTraf-Large Carriers Only";#N/A,#N/A,FALSE,"TOTDOMTRAF-LARGECAR% CHG"}</definedName>
    <definedName name="Staril" localSheetId="3" hidden="1">{#N/A,#N/A,FALSE,"REPORT"}</definedName>
    <definedName name="StartDate1" localSheetId="3">#REF!</definedName>
    <definedName name="StartDate2" localSheetId="3">#REF!</definedName>
    <definedName name="StartDate3" localSheetId="3">#REF!</definedName>
    <definedName name="StratPlanAP" localSheetId="3" hidden="1">{#N/A,#N/A,FALSE,"Pharm";#N/A,#N/A,FALSE,"WWCM"}</definedName>
    <definedName name="stuff" localSheetId="3" hidden="1">#REF!</definedName>
    <definedName name="stuffs" localSheetId="3" hidden="1">{"TOTAL",#N/A,FALSE,"A";"FISCAL94",#N/A,FALSE,"A";"FISCAL95",#N/A,FALSE,"A";"FISCAL96",#N/A,FALSE,"A";"misc page",#N/A,FALSE,"A"}</definedName>
    <definedName name="suck" localSheetId="3" hidden="1">#REF!</definedName>
    <definedName name="sucker" localSheetId="3" hidden="1">#REF!</definedName>
    <definedName name="Sum_Perf_Fee" localSheetId="3">#REF!+#REF!</definedName>
    <definedName name="SX" localSheetId="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t" localSheetId="3" hidden="1">#REF!</definedName>
    <definedName name="Tax" localSheetId="3">#REF!</definedName>
    <definedName name="taxol" localSheetId="3" hidden="1">{#N/A,#N/A,FALSE,"Pharm";#N/A,#N/A,FALSE,"WWCM"}</definedName>
    <definedName name="TaxRate" localSheetId="3">#REF!</definedName>
    <definedName name="tdhjm" localSheetId="3" hidden="1">{#N/A,#N/A,FALSE,"INPUTS";#N/A,#N/A,FALSE,"PROFORMA BSHEET";#N/A,#N/A,FALSE,"COMBINED";#N/A,#N/A,FALSE,"HIGH YIELD";#N/A,#N/A,FALSE,"COMB_GRAPHS"}</definedName>
    <definedName name="tdjtmk" localSheetId="3" hidden="1">{#N/A,#N/A,FALSE,"ACQ_GRAPHS";#N/A,#N/A,FALSE,"T_1 GRAPHS";#N/A,#N/A,FALSE,"T_2 GRAPHS";#N/A,#N/A,FALSE,"COMB_GRAPHS"}</definedName>
    <definedName name="TECH" localSheetId="3">#REF!</definedName>
    <definedName name="Tem" localSheetId="3" hidden="1">{#N/A,#N/A,FALSE,"Pharm";#N/A,#N/A,FALSE,"WWCM"}</definedName>
    <definedName name="teq" localSheetId="3" hidden="1">{#N/A,#N/A,FALSE,"Pharm";#N/A,#N/A,FALSE,"WWCM"}</definedName>
    <definedName name="Tequin" localSheetId="3" hidden="1">{#N/A,#N/A,FALSE,"Pharm";#N/A,#N/A,FALSE,"WWCM"}</definedName>
    <definedName name="tequinol" localSheetId="3" hidden="1">{#N/A,#N/A,FALSE,"REPORT"}</definedName>
    <definedName name="Ter" localSheetId="3">#REF!</definedName>
    <definedName name="TerFMV" localSheetId="3">#REF!</definedName>
    <definedName name="term" localSheetId="3">#REF!</definedName>
    <definedName name="TerPref" localSheetId="3">#REF!</definedName>
    <definedName name="tes" localSheetId="3" hidden="1">#REF!</definedName>
    <definedName name="test" localSheetId="3" hidden="1">{#N/A,#N/A,FALSE,"Pharm";#N/A,#N/A,FALSE,"WWCM"}</definedName>
    <definedName name="test2" localSheetId="3">Scheduled_Payment+Extra_Payment</definedName>
    <definedName name="teste" localSheetId="3" hidden="1">{#N/A,#N/A,FALSE,"Pharm";#N/A,#N/A,FALSE,"WWCM"}</definedName>
    <definedName name="TESYT" localSheetId="3" hidden="1">{#N/A,#N/A,TRUE,"BUD VS ACT AUST 96";#N/A,#N/A,TRUE,"96 COMP P&amp;L-AUST";#N/A,#N/A,TRUE,"COMP BS-AUSTRALIA";#N/A,#N/A,TRUE,"B/S - AUSTR."}</definedName>
    <definedName name="tgj" localSheetId="3" hidden="1">{#N/A,#N/A,FALSE,"INPUTS";#N/A,#N/A,FALSE,"PROFORMA BSHEET";#N/A,#N/A,FALSE,"COMBINED";#N/A,#N/A,FALSE,"ACQUIROR";#N/A,#N/A,FALSE,"TARGET 1";#N/A,#N/A,FALSE,"TARGET 2";#N/A,#N/A,FALSE,"HIGH YIELD";#N/A,#N/A,FALSE,"OVERFUND"}</definedName>
    <definedName name="Titles" localSheetId="3">#REF!</definedName>
    <definedName name="Total_Interest" localSheetId="3">#REF!</definedName>
    <definedName name="Total_Pay" localSheetId="3">#REF!</definedName>
    <definedName name="Total_Payment" localSheetId="3">Scheduled_Payment+Extra_Payment</definedName>
    <definedName name="TotalAssetsCurr" localSheetId="3">#REF!</definedName>
    <definedName name="tryeuyit" localSheetId="3" hidden="1">{#N/A,#N/A,FALSE,"Pharm";#N/A,#N/A,FALSE,"WWCM"}</definedName>
    <definedName name="tss" localSheetId="3" hidden="1">{#N/A,#N/A,TRUE,"ProFormaProfit";#N/A,#N/A,TRUE,"ProFormaCash";#N/A,#N/A,TRUE,"Depreciation";#N/A,#N/A,TRUE,"Assets";#N/A,#N/A,TRUE,"Revenue";#N/A,#N/A,TRUE,"EstimatedPurchase"}</definedName>
    <definedName name="ttt" localSheetId="3" hidden="1">{#N/A,#N/A,FALSE,"COMP BS-FRANCE";#N/A,#N/A,FALSE,"96 COMP P&amp;L-FRANCE";#N/A,#N/A,FALSE,"BUD VS ACT FRAN 96";#N/A,#N/A,FALSE,"B/S - FRANCE"}</definedName>
    <definedName name="tttt" localSheetId="3"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ut" localSheetId="3" hidden="1">{#N/A,#N/A,TRUE,"ProFormaProfit";#N/A,#N/A,TRUE,"ProFormaCash";#N/A,#N/A,TRUE,"Depreciation";#N/A,#N/A,TRUE,"Assets";#N/A,#N/A,TRUE,"Revenue";#N/A,#N/A,TRUE,"EstimatedPurchase"}</definedName>
    <definedName name="tx_roll_cy" localSheetId="3">#REF!,#REF!</definedName>
    <definedName name="tx_roll_py" localSheetId="3">#REF!,#REF!</definedName>
    <definedName name="tx_roll_py1" localSheetId="3">#REF!,#REF!</definedName>
    <definedName name="tx_roll_py10" localSheetId="3">#REF!,#REF!</definedName>
    <definedName name="tx_roll_py11" localSheetId="3">#REF!,#REF!</definedName>
    <definedName name="tx_roll_py12" localSheetId="3">#REF!,#REF!</definedName>
    <definedName name="tx_roll_py13" localSheetId="3">#REF!,#REF!</definedName>
    <definedName name="tx_roll_py14" localSheetId="3">#REF!,#REF!</definedName>
    <definedName name="tx_roll_py15" localSheetId="3">#REF!,#REF!</definedName>
    <definedName name="tx_roll_py2" localSheetId="3">#REF!,#REF!</definedName>
    <definedName name="tx_roll_py3" localSheetId="3">#REF!,#REF!</definedName>
    <definedName name="tx_roll_py4" localSheetId="3">#REF!,#REF!</definedName>
    <definedName name="tx_roll_py5" localSheetId="3">#REF!,#REF!</definedName>
    <definedName name="tx_roll_py6" localSheetId="3">#REF!,#REF!</definedName>
    <definedName name="tx_roll_py7" localSheetId="3">#REF!,#REF!</definedName>
    <definedName name="tx_roll_py8" localSheetId="3">#REF!,#REF!</definedName>
    <definedName name="tx_roll_py9" localSheetId="3">#REF!,#REF!</definedName>
    <definedName name="tyuiktyu" localSheetId="3" hidden="1">{#N/A,#N/A,FALSE,"COVER";#N/A,#N/A,FALSE,"Index";#N/A,#N/A,FALSE,"Non-Earning";#N/A,#N/A,FALSE,"Mortgage_Legal";#N/A,#N/A,FALSE,"Mortgages"}</definedName>
    <definedName name="tyutytyi" localSheetId="3" hidden="1">{#N/A,#N/A,FALSE,"Pharm";#N/A,#N/A,FALSE,"WWCM"}</definedName>
    <definedName name="tyyufkjkhjd" localSheetId="3" hidden="1">{#N/A,#N/A,FALSE,"Pharm";#N/A,#N/A,FALSE,"WWCM"}</definedName>
    <definedName name="u" localSheetId="3" hidden="1">{"CSheet",#N/A,FALSE,"C";"SmCap",#N/A,FALSE,"VAL1";"GulfCoast",#N/A,FALSE,"VAL1";"nav",#N/A,FALSE,"NAV";"Summary",#N/A,FALSE,"NAV"}</definedName>
    <definedName name="UK" localSheetId="3" hidden="1">{#N/A,#N/A,TRUE,"BUD VS ACT AUST 96";#N/A,#N/A,TRUE,"96 COMP P&amp;L-AUST";#N/A,#N/A,TRUE,"COMP BS-AUSTRALIA";#N/A,#N/A,TRUE,"B/S - AUSTR."}</definedName>
    <definedName name="Unit" localSheetId="3" hidden="1">{#N/A,#N/A,FALSE,"Pharm";#N/A,#N/A,FALSE,"WWCM"}</definedName>
    <definedName name="US" localSheetId="3">#REF!</definedName>
    <definedName name="usd" localSheetId="3">#REF!</definedName>
    <definedName name="Useful_Life" localSheetId="3">#REF!</definedName>
    <definedName name="ValuationDate" localSheetId="3">#REF!</definedName>
    <definedName name="Values_Entered" localSheetId="3">IF('IV. EBITDA Adjustments'!Loan_Amount*Interest_Rate*Loan_Years*Loan_Start&gt;0,1,0)</definedName>
    <definedName name="Var_type" localSheetId="3">#REF!</definedName>
    <definedName name="vertex42_copyright" localSheetId="3" hidden="1">"© 2009-2017 Vertex42 LLC"</definedName>
    <definedName name="vertex42_id" localSheetId="3" hidden="1">"depreciation-schedule.xlsx"</definedName>
    <definedName name="vertex42_title" localSheetId="3" hidden="1">"Depreciation Schedule Template"</definedName>
    <definedName name="VZDX" localSheetId="3"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 localSheetId="3" hidden="1">{"ReportTop",#N/A,FALSE,"report top"}</definedName>
    <definedName name="was" localSheetId="3" hidden="1">{#N/A,#N/A,FALSE,"Sales Graph";#N/A,#N/A,FALSE,"BUC Graph";#N/A,#N/A,FALSE,"P&amp;L - YTD"}</definedName>
    <definedName name="wb" localSheetId="3" hidden="1">{#N/A,#N/A,FALSE,"Pharm";#N/A,#N/A,FALSE,"WWCM"}</definedName>
    <definedName name="wc" localSheetId="3" hidden="1">{#N/A,#N/A,FALSE,"Pharm";#N/A,#N/A,FALSE,"WWCM"}</definedName>
    <definedName name="WE" localSheetId="3" hidden="1">{#N/A,#N/A,FALSE,"COVER";#N/A,#N/A,FALSE,"Index";#N/A,#N/A,FALSE,"Non-Earning";#N/A,#N/A,FALSE,"Commercial";#N/A,#N/A,FALSE,"Detailed"}</definedName>
    <definedName name="wed" localSheetId="3" hidden="1">{#N/A,#N/A,FALSE,"INPUTS";#N/A,#N/A,FALSE,"PROFORMA BSHEET";#N/A,#N/A,FALSE,"COMBINED";#N/A,#N/A,FALSE,"ACQUIROR";#N/A,#N/A,FALSE,"TARGET 1";#N/A,#N/A,FALSE,"TARGET 2";#N/A,#N/A,FALSE,"HIGH YIELD";#N/A,#N/A,FALSE,"OVERFUND"}</definedName>
    <definedName name="wef" localSheetId="3" hidden="1">{#N/A,#N/A,FALSE,"INPUTS";#N/A,#N/A,FALSE,"PROFORMA BSHEET";#N/A,#N/A,FALSE,"COMBINED";#N/A,#N/A,FALSE,"HIGH YIELD";#N/A,#N/A,FALSE,"COMB_GRAPHS"}</definedName>
    <definedName name="wefyjtf" localSheetId="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errr" localSheetId="3" hidden="1">{#N/A,#N/A,FALSE,"Pharm";#N/A,#N/A,FALSE,"WWCM"}</definedName>
    <definedName name="willem" localSheetId="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orking" localSheetId="3" hidden="1">{#N/A,#N/A,FALSE,"REPORT"}</definedName>
    <definedName name="wqefh" localSheetId="3" hidden="1">{#N/A,#N/A,FALSE,"ACQ_GRAPHS";#N/A,#N/A,FALSE,"T_1 GRAPHS";#N/A,#N/A,FALSE,"T_2 GRAPHS";#N/A,#N/A,FALSE,"COMB_GRAPHS"}</definedName>
    <definedName name="wrn" localSheetId="3" hidden="1">{"FCB_ALL",#N/A,FALSE,"FCB"}</definedName>
    <definedName name="wrn.10K._.FS._.AND._.TABLES." localSheetId="3"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Q._.FS._.AND._.TABLES." localSheetId="3"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TABLES." localSheetId="3" hidden="1">{#N/A,#N/A,FALSE,"TABLE_1 YTD";#N/A,#N/A,FALSE,"TABLE_1A QTD"}</definedName>
    <definedName name="wrn.111111" localSheetId="3" hidden="1">{#N/A,#N/A,FALSE,"Pharm";#N/A,#N/A,FALSE,"WWCM"}</definedName>
    <definedName name="wrn.1998._.IPO._.Update." localSheetId="3" hidden="1">{#N/A,#N/A,FALSE,"Summary";#N/A,#N/A,FALSE,"Pending";#N/A,#N/A,FALSE,"Aug'98";#N/A,#N/A,FALSE,"July'98";#N/A,#N/A,FALSE,"June'98";#N/A,#N/A,FALSE,"May'98";#N/A,#N/A,FALSE,"Apr'98";#N/A,#N/A,FALSE,"Mar'98";#N/A,#N/A,FALSE,"Feb'98";#N/A,#N/A,FALSE,"Jan'98"}</definedName>
    <definedName name="wrn.2._.pagers." localSheetId="3" hidden="1">{"Cover",#N/A,FALSE,"Cover";"Summary",#N/A,FALSE,"Summarpage"}</definedName>
    <definedName name="wrn.2_5_99._.Scenarios." localSheetId="3" hidden="1">{#N/A,"Scenario 4; Book Value",FALSE,"Stream INPUTS";#N/A,"Scenario 4; Market Value",FALSE,"Stream INPUTS";#N/A,"Scenario 5; Book Value",FALSE,"Stream INPUTS";#N/A,"Scenario 5; Market Value",FALSE,"Stream INPUTS"}</definedName>
    <definedName name="wrn.2000._.Package._.GOM." localSheetId="3" hidden="1">{"2000PPE",#N/A,FALSE,"PPE 2000";"2000DD",#N/A,FALSE,"DrydocksOther"}</definedName>
    <definedName name="wrn.730." localSheetId="3" hidden="1">{#N/A,#N/A,FALSE,"REPORT"}</definedName>
    <definedName name="wrn.731" localSheetId="3" hidden="1">{#N/A,#N/A,FALSE,"REPORT"}</definedName>
    <definedName name="wrn.750." localSheetId="3" hidden="1">{#N/A,#N/A,FALSE,"REPORT"}</definedName>
    <definedName name="wrn.7501" localSheetId="3" hidden="1">{#N/A,#N/A,FALSE,"REPORT"}</definedName>
    <definedName name="wrn.760.16." localSheetId="3" hidden="1">{#N/A,#N/A,FALSE,"REPORT"}</definedName>
    <definedName name="wrn.7900" localSheetId="3" hidden="1">{#N/A,#N/A,FALSE,"REPORT"}</definedName>
    <definedName name="wrn.8964sch." localSheetId="3" hidden="1">{"Membership",#N/A,FALSE,"8964SCH";"Membership2",#N/A,FALSE,"8964SCH"}</definedName>
    <definedName name="wrn.905" localSheetId="3" hidden="1">{#N/A,#N/A,FALSE,"REPORT"}</definedName>
    <definedName name="wrn.99999" localSheetId="3" hidden="1">{#N/A,#N/A,FALSE,"REPORT"}</definedName>
    <definedName name="wrn.aaa" localSheetId="3" hidden="1">{#N/A,#N/A,FALSE,"Pharm";#N/A,#N/A,FALSE,"WWCM"}</definedName>
    <definedName name="wrn.aaaaaaa" localSheetId="3" hidden="1">{#N/A,#N/A,FALSE,"Pharm";#N/A,#N/A,FALSE,"WWCM"}</definedName>
    <definedName name="wrn.abc"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wrn.Accretion." localSheetId="3" hidden="1">{"Accretion",#N/A,FALSE,"Assum"}</definedName>
    <definedName name="wrn.ACCT._.PACKAGE._.REPORT." localSheetId="3" hidden="1">{#N/A,#N/A,TRUE,"Highlights";#N/A,#N/A,TRUE,"BS_Oriental International Bank";#N/A,#N/A,TRUE,"P&amp;L_Oriental International Bank";#N/A,#N/A,TRUE,"Revenues Report_OIB";#N/A,#N/A,TRUE,"Expenses OIB";#N/A,#N/A,TRUE,"Margin_ORIENTAL INTL BANK";#N/A,#N/A,TRUE,"PL Quarterly_OIB";#N/A,#N/A,TRUE,"COVER"}</definedName>
    <definedName name="wrn.Aging._.and._.Trend._.Analysis." localSheetId="3" hidden="1">{#N/A,#N/A,FALSE,"Aging Summary";#N/A,#N/A,FALSE,"Ratio Analysis";#N/A,#N/A,FALSE,"Test 120 Day Accts";#N/A,#N/A,FALSE,"Tickmarks"}</definedName>
    <definedName name="wrn.all." localSheetId="3" hidden="1">{#N/A,#N/A,TRUE,"Title_Page";#N/A,#N/A,TRUE,"Tax_Income_Sum";#N/A,#N/A,TRUE,"GL_Mgmt_Rec";#N/A,#N/A,TRUE,"Long_Term_Accrual";#N/A,#N/A,TRUE,"Reserves";#N/A,#N/A,TRUE,"Contributions";#N/A,#N/A,TRUE,"R&amp;D Credit";#N/A,#N/A,TRUE,"Unicap";#N/A,#N/A,TRUE,"Other_Income";#N/A,#N/A,TRUE,"Other_Deduction";#N/A,#N/A,TRUE,"Increase_RE";#N/A,#N/A,TRUE,"Decrease_RE";#N/A,#N/A,TRUE,"Cafe_Subsidy";#N/A,#N/A,TRUE,"Std. Reclass Adjstmnts";#N/A,#N/A,TRUE,"LT Accruals BT-1A";#N/A,#N/A,TRUE,"Sch. M-1 Adjstmnts"}</definedName>
    <definedName name="wrn.all._.input." localSheetId="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rint." localSheetId="3" hidden="1">{#N/A,#N/A,FALSE,"Summary";#N/A,#N/A,FALSE,"Edit";#N/A,#N/A,FALSE,"MedProf";#N/A,#N/A,FALSE,"Proj Mgt";#N/A,#N/A,FALSE,"Creat Svc";#N/A,#N/A,FALSE,"Meet Svc";#N/A,#N/A,FALSE,"Non-OCC";#N/A,#N/A,FALSE,"Client Svc";#N/A,#N/A,FALSE,"Bus Dev";#N/A,#N/A,FALSE,"Indirect"}</definedName>
    <definedName name="wrn.All._.Scenarios." localSheetId="3" hidden="1">{#N/A,"Mine Allocated; Keep AC",FALSE,"Transaction Summary";#N/A,"Mine Allocated; Sell AC",FALSE,"Transaction Summary";#N/A,"Commodity; Keep AC",FALSE,"Transaction Summary";#N/A,"Commodity; Sell AC",FALSE,"Transaction Summary";#N/A,"Step-Up; Keep AC",FALSE,"Transaction Summary";#N/A,"Step-Up; Sell AC",FALSE,"Transaction Summary"}</definedName>
    <definedName name="wrn.ALL._.STATEMENTS." localSheetId="3" hidden="1">{"BALANCE SHEET",#N/A,FALSE,"Balance Sheet";"INCOME STATEMENT",#N/A,FALSE,"Income Statement";"STMT OF CASH FLOWS",#N/A,FALSE,"Cash Flows Indirect";"PARTNERS CAPITAL STMT",#N/A,FALSE,"Partners Capital"}</definedName>
    <definedName name="wrn.All._.Worksheets." localSheetId="3"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nnual._.Report." localSheetId="3" hidden="1">{#N/A,#N/A,FALSE,"TABLE_1 YTD- VALUES LAST YR(2)"}</definedName>
    <definedName name="wrn.April._.Financials." localSheetId="3" hidden="1">{"Statement of Income",#N/A,TRUE,"Mar99";"Balance Sheet",#N/A,TRUE,"Mar99"}</definedName>
    <definedName name="wrn.Assumptions." localSheetId="3" hidden="1">{"Assumptions",#N/A,FALSE,"Assum"}</definedName>
    <definedName name="wrn.AUST._.FINANCIALS." localSheetId="3" hidden="1">{#N/A,#N/A,TRUE,"BUD VS ACT AUST 96";#N/A,#N/A,TRUE,"96 COMP P&amp;L-AUST";#N/A,#N/A,TRUE,"COMP BS-AUSTRALIA";#N/A,#N/A,TRUE,"B/S - AUSTR."}</definedName>
    <definedName name="wrn.Backup." localSheetId="3" hidden="1">{#N/A,#N/A,FALSE,"Balance";#N/A,#N/A,FALSE,"TDFX";#N/A,#N/A,FALSE,"TDDDF";#N/A,#N/A,FALSE,"ADI";#N/A,#N/A,FALSE,"CUBE";#N/A,#N/A,FALSE,"DIMD";#N/A,#N/A,FALSE,"ZRAN";#N/A,#N/A,FALSE,"GNMC"}</definedName>
    <definedName name="wrn.BALANCE._.SHEET." localSheetId="3" hidden="1">{"BALANCE SHEET",#N/A,FALSE,"Balance Sheet"}</definedName>
    <definedName name="wrn.balance._.sheet2." localSheetId="3" hidden="1">{"bs",#N/A,FALSE,"SCF"}</definedName>
    <definedName name="wrn.balance._.sheet3." localSheetId="3" hidden="1">{"bs",#N/A,FALSE,"SCF"}</definedName>
    <definedName name="wrn.balance._.sheet4." localSheetId="3" hidden="1">{"bs",#N/A,FALSE,"SCF"}</definedName>
    <definedName name="wrn.Balance._.sheets._.FY01._.to._.FY03." localSheetId="3" hidden="1">{"BS FY01",#N/A,FALSE,"P &amp; L";"BS FY02",#N/A,FALSE,"P &amp; L";"BS FY03",#N/A,FALSE,"P &amp; L"}</definedName>
    <definedName name="wrn.balance._sheet2." localSheetId="3" hidden="1">{"bs",#N/A,FALSE,"SCF"}</definedName>
    <definedName name="wrn.Bank._.Report." localSheetId="3"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sic._.Report." localSheetId="3" hidden="1">{#N/A,#N/A,FALSE,"New Depr Sch-150% DB";#N/A,#N/A,FALSE,"Cash Flows RLP";#N/A,#N/A,FALSE,"IRR";#N/A,#N/A,FALSE,"Proforma IS";#N/A,#N/A,FALSE,"Assumptions"}</definedName>
    <definedName name="wrn.BidCo." localSheetId="3" hidden="1">{#N/A,#N/A,FALSE,"BidCo Assumptions";#N/A,#N/A,FALSE,"Credit Stats";#N/A,#N/A,FALSE,"Bidco Summary";#N/A,#N/A,FALSE,"BIDCO Consolidated"}</definedName>
    <definedName name="wrn.bm" localSheetId="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udget." localSheetId="3" hidden="1">{"Instructions",#N/A,FALSE,"INPUT";"Sharing",#N/A,FALSE,"Sharing";"InputArea",#N/A,FALSE,"INPUT";"Budget",#N/A,FALSE,"INPUT"}</definedName>
    <definedName name="wrn.BUDGET2004." localSheetId="3" hidden="1">{#N/A,#N/A,FALSE,"BUD04 HEA";#N/A,#N/A,FALSE,"BUD04 Earnings";#N/A,#N/A,FALSE,"BUD04 Expenses"}</definedName>
    <definedName name="wrn.Business._.Report." localSheetId="3"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Business._.Report._1" localSheetId="3"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calc_all." localSheetId="3"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rdiovasculars." localSheetId="3" hidden="1">{#N/A,#N/A,FALSE,"Card";#N/A,#N/A,FALSE,"Prav";#N/A,#N/A,FALSE,"Irbe";#N/A,#N/A,FALSE,"Plavix";#N/A,#N/A,FALSE,"Capt";#N/A,#N/A,FALSE,"Fosi"}</definedName>
    <definedName name="wrn.Cash._.Flow." localSheetId="3" hidden="1">{"Cash Flow",#N/A,FALSE,"Cash Flow"}</definedName>
    <definedName name="wrn.cash._.flow._.FY00._.and._.FY01." localSheetId="3" hidden="1">{"cash flow - FY00",#N/A,FALSE,"P &amp; L";"cash flow - FY01",#N/A,FALSE,"P &amp; L"}</definedName>
    <definedName name="wrn.cash._.flow._.FY02._.and._.FY03." localSheetId="3" hidden="1">{"cash flow - FY02",#N/A,FALSE,"P &amp; L";"cash flow - FY03",#N/A,FALSE,"P &amp; L"}</definedName>
    <definedName name="wrn.Central._.Nervous._.System." localSheetId="3" hidden="1">{#N/A,#N/A,FALSE,"CNS";#N/A,#N/A,FALSE,"Serz";#N/A,#N/A,FALSE,"Ace"}</definedName>
    <definedName name="wrn.chart._.1998" localSheetId="3" hidden="1">{#N/A,#N/A,FALSE,"Summary";#N/A,#N/A,FALSE,"Pending";#N/A,#N/A,FALSE,"Jan'98";#N/A,#N/A,FALSE,"Feb'98";#N/A,#N/A,FALSE,"Mar'98";#N/A,#N/A,FALSE,"Apr'98";#N/A,#N/A,FALSE,"May'98";#N/A,#N/A,FALSE,"June'98";#N/A,#N/A,FALSE,"July'98"}</definedName>
    <definedName name="wrn.clientcopy." localSheetId="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OMBINED." localSheetId="3" hidden="1">{#N/A,#N/A,FALSE,"INPUTS";#N/A,#N/A,FALSE,"PROFORMA BSHEET";#N/A,#N/A,FALSE,"COMBINED";#N/A,#N/A,FALSE,"HIGH YIELD";#N/A,#N/A,FALSE,"COMB_GRAPHS"}</definedName>
    <definedName name="wrn.COMMISSIONER." localSheetId="3" hidden="1">{#N/A,#N/A,FALSE,"BS_OCIF OIB";#N/A,#N/A,FALSE,"PL_OCIF OIB";#N/A,#N/A,FALSE,"SCH_A-B_OCIF OIB";#N/A,#N/A,FALSE,"AVG_CALC OIB"}</definedName>
    <definedName name="wrn.Comp._.and._.Prices." localSheetId="3" hidden="1">{#N/A,#N/A,FALSE,"comp";#N/A,#N/A,FALSE,"Alpha";#N/A,#N/A,FALSE,"Hi";#N/A,#N/A,FALSE,"Lo";#N/A,#N/A,FALSE,"Mkt. Cap";#N/A,#N/A,FALSE,"Categ."}</definedName>
    <definedName name="wrn.Complete."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Report." localSheetId="3" hidden="1">{#N/A,#N/A,FALSE,"Assumptions";#N/A,#N/A,FALSE,"Proforma IS";#N/A,#N/A,FALSE,"Cash Flows RLP";#N/A,#N/A,FALSE,"IRR";#N/A,#N/A,FALSE,"New Depr Sch-150% DB";#N/A,#N/A,FALSE,"Comments"}</definedName>
    <definedName name="wrn.Consol." localSheetId="3"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idado." localSheetId="3" hidden="1">{#N/A,#N/A,FALSE,"COVER";#N/A,#N/A,FALSE,"Index";#N/A,#N/A,FALSE,"Non-Earning";#N/A,#N/A,FALSE,"Non-Earning_Recovery"}</definedName>
    <definedName name="wrn.Consolidated." localSheetId="3"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umer._.Medicines." localSheetId="3" hidden="1">{#N/A,#N/A,FALSE,"OTC";#N/A,#N/A,FALSE,"Ther";#N/A,#N/A,FALSE,"Temp";#N/A,#N/A,FALSE,"Exce";#N/A,#N/A,FALSE,"Buff";#N/A,#N/A,FALSE,"Picot";#N/A,#N/A,FALSE,"Luftal";#N/A,#N/A,FALSE,"Comt"}</definedName>
    <definedName name="wrn.Corporate." localSheetId="3" hidden="1">{"Corporate",#N/A,FALSE,"Corporate Profile"}</definedName>
    <definedName name="wrn.cotop." localSheetId="3" hidden="1">{"ReportTop",#N/A,FALSE,"report top"}</definedName>
    <definedName name="wrn.Daily." localSheetId="3" hidden="1">{#N/A,#N/A,FALSE,"Input";#N/A,#N/A,FALSE,"BBC";#N/A,#N/A,FALSE,"Sch A";#N/A,#N/A,FALSE,"Sch B";#N/A,#N/A,FALSE,"Ineligible"}</definedName>
    <definedName name="wrn.DCF._.Valuation." localSheetId="3" hidden="1">{"value box",#N/A,TRUE,"DPL Inc. Fin Statements";"unlevered free cash flows",#N/A,TRUE,"DPL Inc. Fin Statements"}</definedName>
    <definedName name="wrn.Debt." localSheetId="3" hidden="1">{"debt summary",#N/A,FALSE,"Debt";"loan details",#N/A,FALSE,"Debt"}</definedName>
    <definedName name="wrn.Delinc_Comercial." localSheetId="3" hidden="1">{#N/A,#N/A,FALSE,"COVER";#N/A,#N/A,FALSE,"Index";#N/A,#N/A,FALSE,"Non-Earning";#N/A,#N/A,FALSE,"Commercial";#N/A,#N/A,FALSE,"Detailed"}</definedName>
    <definedName name="wrn.Detail." localSheetId="3" hidden="1">{"SalaryPer",#N/A,FALSE,"INPUT";"WageRate",#N/A,FALSE,"INPUT";"Salary",#N/A,FALSE,"INPUT";"Overtime",#N/A,FALSE,"INPUT";"PagerPay",#N/A,FALSE,"INPUT";"FringeTable",#N/A,FALSE,"INPUT";"Fringes",#N/A,FALSE,"INPUT";"ProfitSharing",#N/A,FALSE,"INPUT"}</definedName>
    <definedName name="wrn.Detail._.Balance._.Sheet." localSheetId="3" hidden="1">{#N/A,#N/A,FALSE,"Detail"}</definedName>
    <definedName name="wrn.Detail_Projection." localSheetId="3" hidden="1">{#N/A,#N/A,FALSE,"Detail YTD"}</definedName>
    <definedName name="wrn.Dilution." localSheetId="3" hidden="1">{#N/A,#N/A,FALSE,"FY 1997 (NR)";#N/A,#N/A,FALSE,"FY 1998 (NR)";#N/A,#N/A,FALSE,"Balance";#N/A,#N/A,FALSE,"Matrix (NR)"}</definedName>
    <definedName name="wrn.DOM._.TRAF._.STATS." localSheetId="3" hidden="1">{#N/A,#N/A,FALSE,"Form 41 Commuter Domestic";#N/A,#N/A,FALSE,"FORM41--COMMUTER % CHG";#N/A,#N/A,FALSE,"Total Domestic Traffic Stats";#N/A,#N/A,FALSE,"TOTAL DOM TRAFFIC--% CHG";#N/A,#N/A,FALSE,"TotDomTraf-Large Carriers Only";#N/A,#N/A,FALSE,"TOTDOMTRAF-LARGECAR% CHG"}</definedName>
    <definedName name="wrn.Druck." localSheetId="3" hidden="1">{#N/A,#N/A,FALSE,"Phase I";#N/A,#N/A,FALSE,"Phase II";#N/A,#N/A,FALSE,"Phase III"}</definedName>
    <definedName name="wrn.econtab." localSheetId="3" hidden="1">{#N/A,#N/A,FALSE,"TABLE1";#N/A,#N/A,FALSE,"TABLE2";#N/A,#N/A,FALSE,"TABLE3";#N/A,#N/A,FALSE,"TABLE4";#N/A,#N/A,FALSE,"TABLE5"}</definedName>
    <definedName name="wrn.executive._.summary._.reports." localSheetId="3" hidden="1">{"4 year overview",#N/A,FALSE,"P &amp; L";"key indicators",#N/A,FALSE,"P &amp; L"}</definedName>
    <definedName name="wrn.EXP2." localSheetId="3" hidden="1">{#N/A,#N/A,TRUE,"NIE_C";#N/A,#N/A,TRUE,"NIE";#N/A,#N/A,TRUE,"NIE_D";#N/A,#N/A,TRUE,"NIE_D_CC";#N/A,#N/A,TRUE,"HEA -- EXP"}</definedName>
    <definedName name="wrn.fcb" localSheetId="3" hidden="1">{"FCB_ALL",#N/A,FALSE,"FCB"}</definedName>
    <definedName name="wrn.FCB." localSheetId="3" hidden="1">{"FCB_ALL",#N/A,FALSE,"FCB"}</definedName>
    <definedName name="wrn.fcb2" localSheetId="3" hidden="1">{"FCB_ALL",#N/A,FALSE,"FCB"}</definedName>
    <definedName name="wrn.FER." localSheetId="3" hidden="1">{#N/A,#N/A,TRUE,"BS_A";#N/A,#N/A,TRUE,"BS_L";#N/A,#N/A,TRUE,"PL";#N/A,#N/A,TRUE,"NET";#N/A,#N/A,TRUE,"MAR_2";#N/A,#N/A,TRUE,"MAR";#N/A,#N/A,TRUE,"NII";#N/A,#N/A,TRUE,"NIE";#N/A,#N/A,TRUE,"FS_BS";#N/A,#N/A,TRUE,"FS_PL";#N/A,#N/A,TRUE,"HEA"}</definedName>
    <definedName name="wrn.FER_EXPENSES." localSheetId="3" hidden="1">{#N/A,#N/A,TRUE,"NIE_C";#N/A,#N/A,TRUE,"NIE";#N/A,#N/A,TRUE,"NIE_D";#N/A,#N/A,TRUE,"HEA -- EXP"}</definedName>
    <definedName name="wrn.FER_NIA." localSheetId="3" hidden="1">{#N/A,#N/A,FALSE,"HEA NIA";#N/A,#N/A,FALSE,"CHART";#N/A,#N/A,FALSE,"NIA";#N/A,#N/A,FALSE,"WF_DET"}</definedName>
    <definedName name="wrn.FER_REVENUES." localSheetId="3" hidden="1">{#N/A,#N/A,TRUE,"NII_C";#N/A,#N/A,TRUE,"NII";#N/A,#N/A,TRUE,"NII_D";#N/A,#N/A,TRUE,"HEA --REV"}</definedName>
    <definedName name="wrn.filecopy." localSheetId="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ncials." localSheetId="3" hidden="1">{#N/A,#N/A,TRUE,"Income Statement";#N/A,#N/A,TRUE,"Balance Sheet";#N/A,#N/A,TRUE,"Cash Flow"}</definedName>
    <definedName name="wrn.FINANCIALS._.10K." localSheetId="3" hidden="1">{#N/A,#N/A,FALSE,"BS";#N/A,#N/A,FALSE,"PL_10K";#N/A,#N/A,FALSE,"SOE";#N/A,#N/A,FALSE,"SCF"}</definedName>
    <definedName name="wrn.FINANCIALS._.10Q." localSheetId="3" hidden="1">{#N/A,#N/A,FALSE,"BS";#N/A,#N/A,FALSE,"PL_10Q";#N/A,#N/A,FALSE,"SOE";#N/A,#N/A,FALSE,"SCF"}</definedName>
    <definedName name="wrn.Followon._.1998" localSheetId="3" hidden="1">{#N/A,#N/A,FALSE,"Summary";#N/A,#N/A,FALSE,"Pending";#N/A,#N/A,FALSE,"Jan'98";#N/A,#N/A,FALSE,"Feb'98";#N/A,#N/A,FALSE,"Mar'98";#N/A,#N/A,FALSE,"Apr'98";#N/A,#N/A,FALSE,"May'98";#N/A,#N/A,FALSE,"June'98";#N/A,#N/A,FALSE,"July'98"}</definedName>
    <definedName name="wrn.FORECAST." localSheetId="3" hidden="1">{"TOT",#N/A,FALSE,"ASFCST99";"TOTINT",#N/A,FALSE,"ASFCST99";"DOM",#N/A,FALSE,"ASFCST99";"NORTHATL",#N/A,FALSE,"ASFCST99";"PACIFIC",#N/A,FALSE,"ASFCST99";"LATAM",#N/A,FALSE,"ASFCST99"}</definedName>
    <definedName name="wrn.FRANCE._.FINANCIALS." localSheetId="3" hidden="1">{#N/A,#N/A,FALSE,"COMP BS-FRANCE";#N/A,#N/A,FALSE,"96 COMP P&amp;L-FRANCE";#N/A,#N/A,FALSE,"BUD VS ACT FRAN 96";#N/A,#N/A,FALSE,"B/S - FRANCE"}</definedName>
    <definedName name="wrn.FS._.AND._.TBLS._.10K." localSheetId="3"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ull._.Package." localSheetId="3"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report."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Y00._.all._.reports." localSheetId="3" hidden="1">{"cash flow - FY00",#N/A,FALSE,"P &amp; L";"qtrly summ-FY00",#N/A,FALSE,"P &amp; L";"monthly P&amp;L-FY00",#N/A,FALSE,"P &amp; L";"P&amp;L FY00",#N/A,FALSE,"P &amp; L";"BS FY00",#N/A,FALSE,"P &amp; L";"staffing - FY00",#N/A,FALSE,"P &amp; L"}</definedName>
    <definedName name="wrn.FY01._.all._.reports." localSheetId="3" hidden="1">{"qtrly summ-FY01",#N/A,FALSE,"P &amp; L";"monthly P&amp;L-FY01",#N/A,FALSE,"P &amp; L";"cash flow - FY01",#N/A,FALSE,"P &amp; L";"P&amp;L FY01",#N/A,FALSE,"P &amp; L";"BS FY01",#N/A,FALSE,"P &amp; L";"staffing - FY01",#N/A,FALSE,"P &amp; L"}</definedName>
    <definedName name="wrn.FY02._.all._.reports." localSheetId="3" hidden="1">{"cash flow - FY02",#N/A,FALSE,"P &amp; L";"qtrly summ-FY02",#N/A,FALSE,"P &amp; L";"monthly P&amp;L-FY02",#N/A,FALSE,"P &amp; L";"P&amp;L FY02",#N/A,FALSE,"P &amp; L";"BS FY02",#N/A,FALSE,"P &amp; L";"staffing - FY02",#N/A,FALSE,"P &amp; L"}</definedName>
    <definedName name="wrn.FY03._.all._.reports." localSheetId="3" hidden="1">{"cash flow - FY03",#N/A,FALSE,"P &amp; L";"qtrly summ-FY03",#N/A,FALSE,"P &amp; L";"monthly P&amp;L-FY03",#N/A,FALSE,"P &amp; L";"P&amp;L FY03",#N/A,FALSE,"P &amp; L";"BS FY03",#N/A,FALSE,"P &amp; L";"staffing - FY03",#N/A,FALSE,"P &amp; L"}</definedName>
    <definedName name="wrn.General._.OTC." localSheetId="3" hidden="1">{#N/A,#N/A,FALSE,"Title Page (3)";#N/A,#N/A,FALSE,"YTD - OTC";#N/A,#N/A,FALSE,"MTH - OTC"}</definedName>
    <definedName name="wrn.General._.Pharm." localSheetId="3" hidden="1">{#N/A,#N/A,FALSE,"Title Page (2)";#N/A,#N/A,FALSE,"YTD - Pharm";#N/A,#N/A,FALSE,"MTH - Pharm"}</definedName>
    <definedName name="wrn.General._.Total." localSheetId="3" hidden="1">{#N/A,#N/A,FALSE,"Title Page (4)";#N/A,#N/A,FALSE,"YTD - Total";#N/A,#N/A,FALSE,"MTH - Total"}</definedName>
    <definedName name="wrn.GJE_NBR_7_Print_Job." localSheetId="3" hidden="1">{"Accrual_Calculation",#N/A,FALSE,"Comp Calc";"SJE#7",#N/A,FALSE,"GJE"}</definedName>
    <definedName name="wrn.GRAPHS." localSheetId="3" hidden="1">{#N/A,#N/A,FALSE,"ACQ_GRAPHS";#N/A,#N/A,FALSE,"T_1 GRAPHS";#N/A,#N/A,FALSE,"T_2 GRAPHS";#N/A,#N/A,FALSE,"COMB_GRAPHS"}</definedName>
    <definedName name="wrn.Growth." localSheetId="3" hidden="1">{#N/A,#N/A,FALSE,"Rev Grwth";#N/A,#N/A,FALSE,"Op Inc Grwth";#N/A,#N/A,FALSE,"Net Grwth";#N/A,#N/A,FALSE,"EPS Growth"}</definedName>
    <definedName name="wrn.Ilijan._.Print." localSheetId="3"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NCOME._.STATEMENT." localSheetId="3" hidden="1">{"INCOME STATEMENT",#N/A,FALSE,"Income Statement"}</definedName>
    <definedName name="wrn.Individual._.Statements." localSheetId="3" hidden="1">{"barlup",#N/A,FALSE,"evabnk97";"gillespey",#N/A,FALSE,"evabnk97";"koon",#N/A,FALSE,"evabnk97";"schreur",#N/A,FALSE,"evabnk97";"stone",#N/A,FALSE,"evabnk97";"wichmann",#N/A,FALSE,"evabnk97";"wright",#N/A,FALSE,"evabnk97"}</definedName>
    <definedName name="wrn.Infectious._.Diseases." localSheetId="3" hidden="1">{#N/A,#N/A,FALSE,"Anti";#N/A,#N/A,FALSE,"Cefa";#N/A,#N/A,FALSE,"Ceph";#N/A,#N/A,FALSE,"Cefp";#N/A,#N/A,FALSE,"Cefe";#N/A,#N/A,FALSE,"Pens";#N/A,#N/A,FALSE,"Ampi";#N/A,#N/A,FALSE,"Amox";#N/A,#N/A,FALSE,"Isox";#N/A,#N/A,FALSE,"Aztr";#N/A,#N/A,FALSE,"Videx";#N/A,#N/A,FALSE,"Zerit"}</definedName>
    <definedName name="wrn.input._.and._.output." localSheetId="3" hidden="1">{"EBITDA",#N/A,TRUE,"P&amp;L Net of Disc Ops";"output net of disc ops",#N/A,TRUE,"Revenue";"input",#N/A,TRUE,"Revenue";"output",#N/A,TRUE,"DC";"Input",#N/A,TRUE,"DC";"MTN and MCN",#N/A,TRUE,"Margin";"output detail line items",#N/A,TRUE,"SGA";"personnel by year",#N/A,TRUE,"Payroll";#N/A,#N/A,TRUE,"CapEx"}</definedName>
    <definedName name="wrn.Internal._.Report._.for._.Martha." localSheetId="3"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PO." localSheetId="3" hidden="1">{#N/A,#N/A,FALSE,"Summary";#N/A,#N/A,FALSE,"Jan'97";#N/A,#N/A,FALSE,"Feb'97";#N/A,#N/A,FALSE,"Mar'97";#N/A,#N/A,FALSE,"Apr'97";#N/A,#N/A,FALSE,"May'97";#N/A,#N/A,FALSE,"Jun'97";#N/A,#N/A,FALSE,"Jul'97";#N/A,#N/A,FALSE,"Aug'97";#N/A,#N/A,FALSE,"Sept'97";#N/A,#N/A,FALSE,"Oct'97";#N/A,#N/A,FALSE,"Nov'97";#N/A,#N/A,FALSE,"Dec'97";#N/A,#N/A,FALSE,"Pending"}</definedName>
    <definedName name="wrn.IPO._.1998." localSheetId="3" hidden="1">{#N/A,#N/A,FALSE,"Summary";#N/A,#N/A,FALSE,"Pending";#N/A,#N/A,FALSE,"Jan'98";#N/A,#N/A,FALSE,"Feb'98";#N/A,#N/A,FALSE,"Mar'98";#N/A,#N/A,FALSE,"Apr'98";#N/A,#N/A,FALSE,"May'98";#N/A,#N/A,FALSE,"June'98";#N/A,#N/A,FALSE,"July'98"}</definedName>
    <definedName name="wrn.IPO._.Analysis." localSheetId="3" hidden="1">{#N/A,#N/A,FALSE,"Summary";#N/A,#N/A,FALSE,"Pending";#N/A,#N/A,FALSE,"Oct'97";#N/A,#N/A,FALSE,"Sept'97";#N/A,#N/A,FALSE,"Aug'97";#N/A,#N/A,FALSE,"Jul'97";#N/A,#N/A,FALSE,"Jun'97";#N/A,#N/A,FALSE,"May'97";#N/A,#N/A,FALSE,"Apr'97";#N/A,#N/A,FALSE,"Mar'97";#N/A,#N/A,FALSE,"Feb'97";#N/A,#N/A,FALSE,"Jan'97"}</definedName>
    <definedName name="wrn.IS._.Q96." localSheetId="3" hidden="1">{"IS Q96",#N/A,FALSE,"Income Statement"}</definedName>
    <definedName name="wrn.IS._.Q97." localSheetId="3" hidden="1">{"IS Q97",#N/A,FALSE,"Income Statement"}</definedName>
    <definedName name="wrn.IS._.Years." localSheetId="3" hidden="1">{"IS Years",#N/A,FALSE,"Income Statement"}</definedName>
    <definedName name="wrn.JANI._.REBATES." localSheetId="3" hidden="1">{"TOTAL",#N/A,FALSE,"A";"FISCAL94",#N/A,FALSE,"A";"FISCAL95",#N/A,FALSE,"A";"FISCAL96",#N/A,FALSE,"A";"misc page",#N/A,FALSE,"A"}</definedName>
    <definedName name="wrn.JODM._.Graphs." localSheetId="3" hidden="1">{"graph",#N/A,FALSE,"WWJU";"graph",#N/A,FALSE,"WWSEM";"graph",#N/A,FALSE,"GOMJU";"graph",#N/A,FALSE,"GOMSEM";"graph",#N/A,FALSE,"NSJU";"graph",#N/A,FALSE,"NSSEM";"graph",#N/A,FALSE,"WAJU";"graph",#N/A,FALSE,"STOCKPRI";"graph",#N/A,FALSE,"CFTEV";"graph",#N/A,FALSE,"NAV-RCV";"graph",#N/A,FALSE,"CRUDEWW"}</definedName>
    <definedName name="wrn.Just._.Sorts." localSheetId="3" hidden="1">{#N/A,#N/A,FALSE,"Hi";#N/A,#N/A,FALSE,"Lo";#N/A,#N/A,FALSE,"Mkt. Cap";#N/A,#N/A,FALSE,"Alpha"}</definedName>
    <definedName name="wrn.Lease_Deli." localSheetId="3" hidden="1">{#N/A,#N/A,FALSE,"COVER";#N/A,#N/A,FALSE,"Index";#N/A,#N/A,FALSE,"Non-Earning";#N/A,#N/A,FALSE,"Non-Earning-Recovery";#N/A,#N/A,FALSE,"Leasing_Equipo";#N/A,#N/A,FALSE,"Leasing_Auto";#N/A,#N/A,FALSE,"Leasing_Legal"}</definedName>
    <definedName name="wrn.Main._.Fields."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rch._.Financials." localSheetId="3" hidden="1">{"Statement of Income",#N/A,TRUE,"Mar99";"Balance Sheet",#N/A,TRUE,"Mar99"}</definedName>
    <definedName name="wrn.MARGIN." localSheetId="3" hidden="1">{#N/A,#N/A,TRUE,"MAR";#N/A,#N/A,TRUE,"MAR_2"}</definedName>
    <definedName name="wrn.Margins." localSheetId="3" hidden="1">{#N/A,#N/A,FALSE,"Margins - GrossR&amp;D";#N/A,#N/A,FALSE,"Margins - sg&amp;a";#N/A,#N/A,FALSE,"Margins - Oper-net"}</definedName>
    <definedName name="wrn.Mason._.Deliverables." localSheetId="3" hidden="1">{#N/A,#N/A,FALSE,"Data &amp; Key Results";#N/A,#N/A,FALSE,"Summary Template";#N/A,#N/A,FALSE,"Budget";#N/A,#N/A,FALSE,"Present Value Comparison";#N/A,#N/A,FALSE,"Cashflow";#N/A,#N/A,FALSE,"Income";#N/A,#N/A,FALSE,"Inputs"}</definedName>
    <definedName name="wrn.Master." localSheetId="3" hidden="1">{#N/A,#N/A,TRUE,"ProFormaProfit";#N/A,#N/A,TRUE,"ProFormaCash";#N/A,#N/A,TRUE,"Depreciation";#N/A,#N/A,TRUE,"Assets";#N/A,#N/A,TRUE,"Revenue";#N/A,#N/A,TRUE,"EstimatedPurchase"}</definedName>
    <definedName name="wrn.MDA._.Tables." localSheetId="3" hidden="1">{#N/A,#N/A,TRUE,"Sel Fn Data QTD";#N/A,#N/A,TRUE,"TABLE_1 SPREAD ANALYSIS";#N/A,#N/A,TRUE,"Tables 2 to 3 PL";#N/A,#N/A,TRUE,"Tables 4 and 5 ALLL";#N/A,#N/A,TRUE,"Tables 6 to 8 ALLL NPA";#N/A,#N/A,TRUE,"Table 9 to 10 - Balance Sheet";#N/A,#N/A,TRUE,"Table 11 to 12 - Equity"}</definedName>
    <definedName name="wrn.MDA._.TABLES._.10Q." localSheetId="3" hidden="1">{#N/A,#N/A,FALSE,"Table 1 QTD";#N/A,#N/A,FALSE,"Table 1 YTD";#N/A,#N/A,FALSE,"Tables 2 to 4 PL";#N/A,#N/A,FALSE,"Tables 5 to 9 ALLL";#N/A,#N/A,FALSE,"Table 10 to 13 - Balance Sheet"}</definedName>
    <definedName name="wrn.MDA_TABLES._.10K." localSheetId="3"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Q." localSheetId="3" hidden="1">{#N/A,#N/A,TRUE,"Sel Fn Data QTD";#N/A,#N/A,TRUE,"Table 1 YTD";#N/A,#N/A,TRUE,"Table 1 QTD";#N/A,#N/A,TRUE,"Tables 2 to 3 PL";#N/A,#N/A,TRUE,"Tables 4 and 5ALLL";#N/A,#N/A,TRUE,"Tables 6 to 8 ALLL ";#N/A,#N/A,TRUE,"Table 9 to 12 - Balance Sheet"}</definedName>
    <definedName name="wrn.MDA_TABLES._.10Q._.SEPT." localSheetId="3" hidden="1">{#N/A,#N/A,TRUE,"Sel Fn Data QTD";#N/A,#N/A,TRUE,"Table 1 YTD";#N/A,#N/A,TRUE,"Tables 2 to 4 PL";#N/A,#N/A,TRUE,"Tables 5 to 9 ALLL";#N/A,#N/A,TRUE,"Table 10 to 13 - Balance Sheet"}</definedName>
    <definedName name="wrn.Merger." localSheetId="3" hidden="1">{#N/A,#N/A,FALSE,"Overview";#N/A,#N/A,FALSE,"Summary";#N/A,#N/A,FALSE,"Unph Hist";#N/A,#N/A,FALSE,"Combination";#N/A,#N/A,FALSE,"IOC Proj Base";#N/A,#N/A,FALSE,"Bal";#N/A,#N/A,FALSE,"IOC Bal";#N/A,#N/A,FALSE,"IOC CF";#N/A,#N/A,FALSE,"UNPH Proj"}</definedName>
    <definedName name="wrn.MONTH_REPORT." localSheetId="3" hidden="1">{#N/A,#N/A,TRUE,"ALLL";#N/A,#N/A,TRUE,"DEL";#N/A,#N/A,TRUE,"Reserve Analysis";#N/A,#N/A,TRUE,"C_OFF HISTORY";#N/A,#N/A,TRUE,"ALLL_QTR";#N/A,#N/A,TRUE,"HEA_M";#N/A,#N/A,TRUE,"BL_DET";#N/A,#N/A,TRUE,"3YRS+";#N/A,#N/A,TRUE,"CONSTR_DET"}</definedName>
    <definedName name="wrn.MONTH_REPORT_BOD." localSheetId="3" hidden="1">{#N/A,#N/A,FALSE,"HEA_M";#N/A,#N/A,FALSE,"ALLL";#N/A,#N/A,FALSE,"DEL";#N/A,#N/A,FALSE,"Reserve Analysis";#N/A,#N/A,FALSE,"C_OFF HISTORY";#N/A,#N/A,FALSE,"ALLL_QTR"}</definedName>
    <definedName name="wrn.Month_Report_Mgmt." localSheetId="3" hidden="1">{#N/A,#N/A,FALSE,"HEA_M";#N/A,#N/A,FALSE,"ALLL";#N/A,#N/A,FALSE,"DEL";#N/A,#N/A,FALSE,"Reserve Analysis";#N/A,#N/A,FALSE,"C_OFF HISTORY";#N/A,#N/A,FALSE,"ALLL_QTR";#N/A,#N/A,FALSE,"RR Review";#N/A,#N/A,FALSE,"MORT. SS 1YRS+";#N/A,#N/A,FALSE,"MORT. DOUBFUL 1YEAR+";#N/A,#N/A,FALSE,"MORT. LOSS 1YEAR+";#N/A,#N/A,FALSE,"Watch List Report";#N/A,#N/A,FALSE,"CONSTR_DET"}</definedName>
    <definedName name="wrn.Mortgage." localSheetId="3" hidden="1">{#N/A,#N/A,FALSE,"COVER";#N/A,#N/A,FALSE,"Index";#N/A,#N/A,FALSE,"Non-Earning";#N/A,#N/A,FALSE,"Mortgage_Legal";#N/A,#N/A,FALSE,"Mortgages"}</definedName>
    <definedName name="wrn.Most._.Likely._.Scenarios." localSheetId="3" hidden="1">{#N/A,"Mine Allocated, Keep AC",FALSE,"Stream INPUTS";#N/A,"All Preferred, Sell AC",FALSE,"Stream INPUTS";#N/A,"Step Up, Sell AC",FALSE,"Stream INPUTS";#N/A,"All Preferred, BRONCO buys AC",FALSE,"Stream INPUTS"}</definedName>
    <definedName name="wrn.Munsell."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wrn.Netbacks." localSheetId="3" hidden="1">{"Netbacks",#N/A,FALSE,"Netbacks"}</definedName>
    <definedName name="wrn.Oncology." localSheetId="3" hidden="1">{#N/A,#N/A,FALSE,"Onco";#N/A,#N/A,FALSE,"Taxol";#N/A,#N/A,FALSE,"UFT";#N/A,#N/A,FALSE,"Carb"}</definedName>
    <definedName name="wrn.one." localSheetId="3" hidden="1">{"page1",#N/A,FALSE,"A";"page2",#N/A,FALSE,"A"}</definedName>
    <definedName name="wrn.OPERATIONS." localSheetId="3" hidden="1">{#N/A,#N/A,FALSE,"PL-FS";#N/A,#N/A,FALSE,"PL"}</definedName>
    <definedName name="wrn.ops._.costs." localSheetId="3" hidden="1">{"page1",#N/A,FALSE,"APCI Operations Detail  ";"page2",#N/A,FALSE,"APCI Operations Detail  ";"page3",#N/A,FALSE,"APCI Operations Detail  ";"page4",#N/A,FALSE,"APCI Operations Detail  "}</definedName>
    <definedName name="wrn.OTC._.Market._.Report." localSheetId="3" hidden="1">{#N/A,#N/A,FALSE,"Sales Graph";#N/A,#N/A,FALSE,"BUC Graph";#N/A,#N/A,FALSE,"P&amp;L - YTD"}</definedName>
    <definedName name="wrn.Other._.Pharm." localSheetId="3" hidden="1">{#N/A,#N/A,FALSE,"Other";#N/A,#N/A,FALSE,"Ace";#N/A,#N/A,FALSE,"Derm"}</definedName>
    <definedName name="wrn.p" localSheetId="3" hidden="1">{#N/A,#N/A,FALSE,"1";#N/A,#N/A,FALSE,"2";#N/A,#N/A,FALSE,"16 - 17";#N/A,#N/A,FALSE,"18 - 19";#N/A,#N/A,FALSE,"26";#N/A,#N/A,FALSE,"27";#N/A,#N/A,FALSE,"28"}</definedName>
    <definedName name="wrn.PARTNERS._.CAPITAL._.STMT." localSheetId="3" hidden="1">{"PARTNERS CAPITAL STMT",#N/A,FALSE,"Partners Capital"}</definedName>
    <definedName name="wrn.Pharm._.Market._.Report." localSheetId="3" hidden="1">{#N/A,#N/A,FALSE,"Sales Graph";#N/A,#N/A,FALSE,"PSBM";#N/A,#N/A,FALSE,"BUC Graph";#N/A,#N/A,FALSE,"P&amp;L - YTD"}</definedName>
    <definedName name="wrn.Pharmaceuticals." localSheetId="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LX." localSheetId="3" hidden="1">{"cred comp",#N/A,FALSE,"Comparable Credit Analysis";"IS",#N/A,FALSE,"IS";"Sensitivity",#N/A,FALSE,"Sensitivity";"BS",#N/A,FALSE,"BS";"Bond Summary",#N/A,FALSE,"B Summary";"AD",#N/A,FALSE,"Accretion";"NAV",#N/A,FALSE,"NAV";"SU",#N/A,FALSE,"S&amp;U";"acq. study",#N/A,FALSE,"Acq. Study";"F Charges",#N/A,FALSE,"Fixed Charges"}</definedName>
    <definedName name="wrn.ppp" localSheetId="3" hidden="1">{#N/A,#N/A,FALSE,"1";#N/A,#N/A,FALSE,"2";#N/A,#N/A,FALSE,"16 - 17";#N/A,#N/A,FALSE,"18 - 19";#N/A,#N/A,FALSE,"26";#N/A,#N/A,FALSE,"27";#N/A,#N/A,FALSE,"28"}</definedName>
    <definedName name="wrn.prin2._.all." localSheetId="3" hidden="1">{#N/A,#N/A,FALSE,"Pharm";#N/A,#N/A,FALSE,"WWCM"}</definedName>
    <definedName name="wrn.prin3" localSheetId="3" hidden="1">{#N/A,#N/A,FALSE,"Pharm";#N/A,#N/A,FALSE,"WWCM"}</definedName>
    <definedName name="wrn.print" localSheetId="3" hidden="1">{#N/A,#N/A,FALSE,"Pharm";#N/A,#N/A,FALSE,"WWCM"}</definedName>
    <definedName name="wrn.print." localSheetId="3" hidden="1">{#N/A,#N/A,FALSE,"Japan 2003";#N/A,#N/A,FALSE,"Sheet2"}</definedName>
    <definedName name="wrn.Print._.All." localSheetId="3" hidden="1">{"IS Years",#N/A,FALSE,"Income Statement";"IS Q96",#N/A,FALSE,"Income Statement";"IS Q97",#N/A,FALSE,"Income Statement";"Corporate",#N/A,FALSE,"Corporate Profile";"Netbacks",#N/A,FALSE,"Netbacks"}</definedName>
    <definedName name="wrn.PRINT._.ALL.2" localSheetId="3" hidden="1">{#N/A,#N/A,FALSE,"Pharm";#N/A,#N/A,FALSE,"WWCM"}</definedName>
    <definedName name="wrn.print._.all2" localSheetId="3" hidden="1">{#N/A,#N/A,FALSE,"Pharm";#N/A,#N/A,FALSE,"WWCM"}</definedName>
    <definedName name="wrn.print._.graphs." localSheetId="3" hidden="1">{"cap_structure",#N/A,FALSE,"Graph-Mkt Cap";"price",#N/A,FALSE,"Graph-Price";"ebit",#N/A,FALSE,"Graph-EBITDA";"ebitda",#N/A,FALSE,"Graph-EBITDA"}</definedName>
    <definedName name="wrn.Print._.PNL._.Download." localSheetId="3" hidden="1">{"PNLProjDL",#N/A,FALSE,"PROJCO";"PNLParDL",#N/A,FALSE,"Parent"}</definedName>
    <definedName name="wrn.print._.raw._.data._.entry." localSheetId="3" hidden="1">{"inputs raw data",#N/A,TRUE,"INPUT"}</definedName>
    <definedName name="wrn.print._.summary._.sheets." localSheetId="3" hidden="1">{"summary1",#N/A,TRUE,"Comps";"summary2",#N/A,TRUE,"Comps";"summary3",#N/A,TRUE,"Comps"}</definedName>
    <definedName name="wrn.print._all1." localSheetId="3" hidden="1">{#N/A,#N/A,FALSE,"Pharm";#N/A,#N/A,FALSE,"WWCM"}</definedName>
    <definedName name="wrn.Print_Buyer." localSheetId="3" hidden="1">{#N/A,"DR",FALSE,"increm pf";#N/A,"MAMSI",FALSE,"increm pf";#N/A,"MAXI",FALSE,"increm pf";#N/A,"PCAM",FALSE,"increm pf";#N/A,"PHSV",FALSE,"increm pf";#N/A,"SIE",FALSE,"increm pf"}</definedName>
    <definedName name="wrn.Print_Earnings_template." localSheetId="3" hidden="1">{"by_month",#N/A,TRUE,"template";"destec_month",#N/A,TRUE,"template";"by_quarter",#N/A,TRUE,"template";"destec_quarter",#N/A,TRUE,"template";"by_year",#N/A,TRUE,"template";"destec_annual",#N/A,TRUE,"template"}</definedName>
    <definedName name="wrn.Print_Target." localSheetId="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localSheetId="3" hidden="1">{"var_page",#N/A,FALSE,"template"}</definedName>
    <definedName name="wrn.print_variance." localSheetId="3" hidden="1">{"var_report",#N/A,FALSE,"template"}</definedName>
    <definedName name="wrn.Print_Variance_Page." localSheetId="3" hidden="1">{"variance_page",#N/A,FALSE,"template"}</definedName>
    <definedName name="wrn.print2" localSheetId="3" hidden="1">{#N/A,#N/A,FALSE,"Pharm";#N/A,#N/A,FALSE,"WWCM"}</definedName>
    <definedName name="wrn.PrintAll." localSheetId="3" hidden="1">{"PA1",#N/A,TRUE,"BORDMW";"pa2",#N/A,TRUE,"BORDMW";"PA3",#N/A,TRUE,"BORDMW";"PA4",#N/A,TRUE,"BORDMW"}</definedName>
    <definedName name="wrn.products" localSheetId="3" hidden="1">{#N/A,#N/A,FALSE,"1";#N/A,#N/A,FALSE,"2";#N/A,#N/A,FALSE,"16 - 17";#N/A,#N/A,FALSE,"18 - 19";#N/A,#N/A,FALSE,"26";#N/A,#N/A,FALSE,"27";#N/A,#N/A,FALSE,"28"}</definedName>
    <definedName name="wrn.Products." localSheetId="3" hidden="1">{#N/A,#N/A,FALSE,"1";#N/A,#N/A,FALSE,"2";#N/A,#N/A,FALSE,"16 - 17";#N/A,#N/A,FALSE,"18 - 19";#N/A,#N/A,FALSE,"26";#N/A,#N/A,FALSE,"27";#N/A,#N/A,FALSE,"28"}</definedName>
    <definedName name="wrn.Project._.Summary." localSheetId="3" hidden="1">{"Summary",#N/A,FALSE,"MICMULT";"Income Statement",#N/A,FALSE,"MICMULT";"Cash Flows",#N/A,FALSE,"MICMULT"}</definedName>
    <definedName name="wrn.pror" localSheetId="3" hidden="1">{#N/A,#N/A,FALSE,"Pharm";#N/A,#N/A,FALSE,"WWCM"}</definedName>
    <definedName name="wrn.Pulp." localSheetId="3" hidden="1">{"Pulp Production",#N/A,FALSE,"Pulp";"Pulp Earnings",#N/A,FALSE,"Pulp"}</definedName>
    <definedName name="wrn.qtrly._.PL._.summary._.FY01._.to._.FY03." localSheetId="3" hidden="1">{"qtrly summ-FY01",#N/A,FALSE,"P &amp; L";"qtrly summ-FY02",#N/A,FALSE,"P &amp; L";"qtrly summ-FY03",#N/A,FALSE,"P &amp; L"}</definedName>
    <definedName name="wrn.Ratios." localSheetId="3" hidden="1">{"Ratios",#N/A,FALSE,"Ratios"}</definedName>
    <definedName name="wrn.Recovery." localSheetId="3" hidden="1">{#N/A,#N/A,FALSE,"COVER";#N/A,#N/A,FALSE,"Index";#N/A,#N/A,FALSE,"Summ_Products_Rec.97-98";#N/A,#N/A,FALSE,"QTR_Comp.";#N/A,#N/A,FALSE,"Summ_Detail_Rec.97-98";#N/A,#N/A,FALSE,"Summ_Agencies_Rec.97-98"}</definedName>
    <definedName name="wrn.red_take." localSheetId="3" hidden="1">{"red_take_pg1",#N/A,FALSE,"reduced_take";"red_take_pg2",#N/A,FALSE,"reduced_take";"red_take_pg3",#N/A,FALSE,"reduced_take";"red_take_pg4",#N/A,FALSE,"reduced_take";"red_take_pg5",#N/A,FALSE,"reduced_take";"red_take_pg6",#N/A,FALSE,"reduced_take"}</definedName>
    <definedName name="wrn.report" localSheetId="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3" hidden="1">{#N/A,#N/A,FALSE,"COVER";#N/A,#N/A,FALSE,"RATIOS";#N/A,#N/A,FALSE,"LEVERAGE";#N/A,#N/A,FALSE,"TIER-1";#N/A,#N/A,FALSE,"RISK BASED ASSETS";#N/A,#N/A,FALSE,"TIER-2"}</definedName>
    <definedName name="wrn.Report1." localSheetId="3" hidden="1">{#N/A,#N/A,FALSE,"IS";#N/A,#N/A,FALSE,"BS";#N/A,#N/A,FALSE,"CF";#N/A,#N/A,FALSE,"CE";#N/A,#N/A,FALSE,"Depr";#N/A,#N/A,FALSE,"APAL"}</definedName>
    <definedName name="wrn.Roll._.Up._.Fields." localSheetId="3" hidden="1">{"Total",#N/A,FALSE,"Six Fields";"PDP",#N/A,FALSE,"Six Fields";"PNP",#N/A,FALSE,"Six Fields";"PUD",#N/A,FALSE,"Six Fields";"Prob",#N/A,FALSE,"Six Fields"}</definedName>
    <definedName name="wrn.sales." localSheetId="3" hidden="1">{"sales",#N/A,FALSE,"Sales";"sales existing",#N/A,FALSE,"Sales";"sales rd1",#N/A,FALSE,"Sales";"sales rd2",#N/A,FALSE,"Sales"}</definedName>
    <definedName name="wrn.Sell._.AC._.Scenarios." localSheetId="3" hidden="1">{#N/A,"Mine Allocated, Sell AC",FALSE,"INPUTS";#N/A,"All Preferred, Sell AC",FALSE,"INPUTS";#N/A,"Step Up, Sell AC",FALSE,"INPUTS"}</definedName>
    <definedName name="wrn.SemiCap." localSheetId="3" hidden="1">{#N/A,#N/A,FALSE,"from high";#N/A,#N/A,FALSE,"from low";#N/A,#N/A,FALSE,"Market Cap";#N/A,#N/A,FALSE,"Alpha"}</definedName>
    <definedName name="wrn.Set." localSheetId="3" hidden="1">{#N/A,#N/A,FALSE,"High";#N/A,#N/A,FALSE,"Low";#N/A,#N/A,FALSE,"MarketCap";#N/A,#N/A,FALSE,"Alpha"}</definedName>
    <definedName name="wrn.SJE_NBR_1_Job." localSheetId="3" hidden="1">{"SJE_#1A",#N/A,FALSE,"SJE1A";"Payroll_Summary_Report",#N/A,FALSE,"Summary";"SJE_#1B",#N/A,FALSE,"SJE1B";"WC_Grouping",#N/A,FALSE,"WC Payroll"}</definedName>
    <definedName name="wrn.SJE11_Print_Job." localSheetId="3" hidden="1">{"SJE #11",#N/A,FALSE,"Sheet1"}</definedName>
    <definedName name="wrn.SJE12_PRINT_JOB." localSheetId="3" hidden="1">{"SJE#12",#N/A,FALSE,"Sheet1"}</definedName>
    <definedName name="wrn.SJE2_PRINTJOB." localSheetId="3" hidden="1">{"TAX_CALCULATION",#N/A,FALSE,"Accrual Calc";"SJE#2A",#N/A,FALSE,"Accrual GJE";"SJE#2B",#N/A,FALSE,"Reversal GJE"}</definedName>
    <definedName name="wrn.sje22." localSheetId="3" hidden="1">{"sje #22",#N/A,FALSE,"SJE #22";"calc",#N/A,FALSE,"CALC"}</definedName>
    <definedName name="wrn.SJE3_Print_Job." localSheetId="3" hidden="1">{"Accrual_Calc",#N/A,FALSE,"JE DETAIL";"SJE#3A",#N/A,FALSE,"JE DETAIL";"SJE#3B",#N/A,FALSE,"JE DETAIL"}</definedName>
    <definedName name="wrn.SJE4_PRINT_JOB." localSheetId="3" hidden="1">{"sje#4",#N/A,FALSE,"Sheet1"}</definedName>
    <definedName name="wrn.SJE4A_PRINT_JOB." localSheetId="3" hidden="1">{"SJE#4A",#N/A,FALSE,"Sheet1"}</definedName>
    <definedName name="wrn.SJE5_PRINT_JOB." localSheetId="3" hidden="1">{"SJE#5",#N/A,FALSE,"Sheet1"}</definedName>
    <definedName name="wrn.Staffing." localSheetId="3"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ND_ALONE_BOTH." localSheetId="3" hidden="1">{"FCB_ALL",#N/A,FALSE,"FCB";"GREY_ALL",#N/A,FALSE,"GREY"}</definedName>
    <definedName name="wrn.STMT._.OF._.CASH._.FLOWS." localSheetId="3" hidden="1">{"STMT OF CASH FLOWS",#N/A,FALSE,"Cash Flows Indirect"}</definedName>
    <definedName name="wrn.Structure." localSheetId="3" hidden="1">{#N/A,#N/A,FALSE,"Structure";#N/A,#N/A,FALSE,"Proj-Cal";#N/A,#N/A,FALSE,"Market"}</definedName>
    <definedName name="wrn.Subject._.Worksheet." localSheetId="3" hidden="1">{"Balance Sheets",#N/A,FALSE,"Subject";"Income Statements - As Reported",#N/A,FALSE,"Subject";"Income Statements - Adjusted",#N/A,FALSE,"Subject";"Ratios",#N/A,FALSE,"Subject";"Representative Earnings",#N/A,FALSE,"Subject"}</definedName>
    <definedName name="wrn.summ4." localSheetId="3" hidden="1">{#N/A,#N/A,FALSE,"summ";#N/A,#N/A,FALSE,"q1";#N/A,#N/A,FALSE,"summ_alt";#N/A,#N/A,FALSE,"stock_nozero";#N/A,#N/A,FALSE,"1995"}</definedName>
    <definedName name="wrn.Summary." localSheetId="3" hidden="1">{"Sum1",#N/A,FALSE,"Reserve Report";"Sum2",#N/A,FALSE,"Reserve Report";"Sum3",#N/A,FALSE,"Reserve Report";"Sum4",#N/A,FALSE,"Reserve Report"}</definedName>
    <definedName name="wrn.Summary._.Financials." localSheetId="3" hidden="1">{"Balance Sheet",#N/A,FALSE,"Annual Summary";"Cashflows",#N/A,FALSE,"Annual Summary";"Summary Earnings",#N/A,FALSE,"Annual Summary"}</definedName>
    <definedName name="wrn.SUPP_SCHD." localSheetId="3" hidden="1">{#N/A,#N/A,TRUE,"A";#N/A,#N/A,TRUE,"B";#N/A,#N/A,TRUE,"C";#N/A,#N/A,TRUE,"D";#N/A,#N/A,TRUE,"E"}</definedName>
    <definedName name="wrn.Support." localSheetId="3" hidden="1">{#N/A,#N/A,FALSE,"TRIAL INPUT";#N/A,#N/A,FALSE,"AVG INPUT COPY";#N/A,#N/A,FALSE,"INVESTMENTS_INPUT"}</definedName>
    <definedName name="wrn.Tables._.and._.Support." localSheetId="3" hidden="1">{#N/A,#N/A,FALSE,"TABLE_1 YTD";#N/A,#N/A,FALSE,"TABLE_1A QTD";#N/A,#N/A,FALSE,"NORMAL_SPREAD_QTD";#N/A,#N/A,FALSE,"NORMAL_SPREAD_YTD";#N/A,#N/A,FALSE,"TAX_EQV";#N/A,#N/A,FALSE,"TAX EQUIV_INPUT";#N/A,#N/A,FALSE,"NET FROM FER";#N/A,#N/A,FALSE,"COVER"}</definedName>
    <definedName name="wrn.TB._.ALL._.ACCTS." localSheetId="3" hidden="1">{"BALANCE SHEET ACCTS",#N/A,TRUE,"Working Trial Balance";"INCOME STMT ACCTS",#N/A,TRUE,"Working Trial Balance"}</definedName>
    <definedName name="wrn.TB._.BALANCE._.SHEET." localSheetId="3" hidden="1">{"BALANCE SHEET ACCTS",#N/A,FALSE,"Working Trial Balance"}</definedName>
    <definedName name="wrn.TB._.EXPLANATIONS." localSheetId="3" hidden="1">{"EXPLANATIONS",#N/A,FALSE,"Working Trial Balance"}</definedName>
    <definedName name="wrn.TB._.INCOME._.STMT." localSheetId="3" hidden="1">{"INCOME STMT ACCTS",#N/A,FALSE,"Working Trial Balance"}</definedName>
    <definedName name="wrn.test1." localSheetId="3" hidden="1">{"Income Statement",#N/A,FALSE,"CFMODEL";"Balance Sheet",#N/A,FALSE,"CFMODEL"}</definedName>
    <definedName name="wrn.test2." localSheetId="3" hidden="1">{"SourcesUses",#N/A,TRUE,"CFMODEL";"TransOverview",#N/A,TRUE,"CFMODEL"}</definedName>
    <definedName name="wrn.test3." localSheetId="3" hidden="1">{"SourcesUses",#N/A,TRUE,#N/A;"TransOverview",#N/A,TRUE,"CFMODEL"}</definedName>
    <definedName name="wrn.test4." localSheetId="3" hidden="1">{"SourcesUses",#N/A,TRUE,"FundsFlow";"TransOverview",#N/A,TRUE,"FundsFlow"}</definedName>
    <definedName name="wrn.TheWholeEnchilada." localSheetId="3" hidden="1">{"CSheet",#N/A,FALSE,"C";"SmCap",#N/A,FALSE,"VAL1";"GulfCoast",#N/A,FALSE,"VAL1";"nav",#N/A,FALSE,"NAV";"Summary",#N/A,FALSE,"NAV"}</definedName>
    <definedName name="wrn.Total._.Business." localSheetId="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localSheetId="3" hidden="1">{#N/A,#N/A,FALSE,"Sales Graph";#N/A,#N/A,FALSE,"BUC Graph";#N/A,#N/A,FALSE,"P&amp;L - YTD"}</definedName>
    <definedName name="wrn.Total._.Proved." localSheetId="3" hidden="1">{"Total",#N/A,FALSE,"Total Proved";"PDP",#N/A,FALSE,"Total Proved";"PNP",#N/A,FALSE,"Total Proved";"PUD",#N/A,FALSE,"Total Proved"}</definedName>
    <definedName name="wrn.Total._.Proved._.plus._.Probable." localSheetId="3" hidden="1">{"Total",#N/A,FALSE,"Total Proved + Probable";"PDP",#N/A,FALSE,"Total Proved + Probable";"PNP",#N/A,FALSE,"Total Proved + Probable";"PUD",#N/A,FALSE,"Total Proved + Probable";"Prob",#N/A,FALSE,"Total Proved + Probable"}</definedName>
    <definedName name="wrn.Tout._.Sauf._.BG." localSheetId="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VALUATION." localSheetId="3" hidden="1">{#N/A,#N/A,FALSE,"Valuation Assumptions";#N/A,#N/A,FALSE,"Summary";#N/A,#N/A,FALSE,"DCF";#N/A,#N/A,FALSE,"Valuation";#N/A,#N/A,FALSE,"WACC";#N/A,#N/A,FALSE,"UBVH";#N/A,#N/A,FALSE,"Free Cash Flow"}</definedName>
    <definedName name="wrn.Wacc." localSheetId="3" hidden="1">{"Area1",#N/A,FALSE,"OREWACC";"Area2",#N/A,FALSE,"OREWACC"}</definedName>
    <definedName name="wrn2.All." localSheetId="3"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a.prod" localSheetId="3" hidden="1">{#N/A,#N/A,FALSE,"1";#N/A,#N/A,FALSE,"2";#N/A,#N/A,FALSE,"16 - 17";#N/A,#N/A,FALSE,"18 - 19";#N/A,#N/A,FALSE,"26";#N/A,#N/A,FALSE,"27";#N/A,#N/A,FALSE,"28"}</definedName>
    <definedName name="WRR" localSheetId="3" hidden="1">{#N/A,#N/A,FALSE,"Pharm";#N/A,#N/A,FALSE,"WWCM"}</definedName>
    <definedName name="wrrrrr" localSheetId="3" hidden="1">{#N/A,#N/A,FALSE,"REPORT"}</definedName>
    <definedName name="wv" localSheetId="3" hidden="1">{#N/A,#N/A,FALSE,"Pharm";#N/A,#N/A,FALSE,"WWCM"}</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localSheetId="3" hidden="1">{#N/A,#N/A,FALSE,"Pharm";#N/A,#N/A,FALSE,"WWCM"}</definedName>
    <definedName name="www" localSheetId="3" hidden="1">{#N/A,#N/A,TRUE,"BUD VS ACT AUST 96";#N/A,#N/A,TRUE,"96 COMP P&amp;L-AUST";#N/A,#N/A,TRUE,"COMP BS-AUSTRALIA";#N/A,#N/A,TRUE,"B/S - AUSTR."}</definedName>
    <definedName name="wwww" localSheetId="3" hidden="1">{#N/A,#N/A,TRUE,"BUD VS ACT AUST 96";#N/A,#N/A,TRUE,"96 COMP P&amp;L-AUST";#N/A,#N/A,TRUE,"COMP BS-AUSTRALIA";#N/A,#N/A,TRUE,"B/S - AUSTR."}</definedName>
    <definedName name="wx" localSheetId="3" hidden="1">{#N/A,#N/A,FALSE,"Pharm";#N/A,#N/A,FALSE,"WWCM"}</definedName>
    <definedName name="x" localSheetId="3" hidden="1">#REF!</definedName>
    <definedName name="xc" localSheetId="3"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v" localSheetId="3" hidden="1">{#N/A,#N/A,FALSE,"Pharm";#N/A,#N/A,FALSE,"WWCM"}</definedName>
    <definedName name="xjey1" localSheetId="3" hidden="1">#REF!</definedName>
    <definedName name="xsort2" localSheetId="3" hidden="1">#REF!</definedName>
    <definedName name="xx" localSheetId="3" hidden="1">{#N/A,#N/A,FALSE,"REPORT"}</definedName>
    <definedName name="xxx" localSheetId="3" hidden="1">{#N/A,#N/A,TRUE,"BUD VS ACT AUST 96";#N/A,#N/A,TRUE,"96 COMP P&amp;L-AUST";#N/A,#N/A,TRUE,"COMP BS-AUSTRALIA";#N/A,#N/A,TRUE,"B/S - AUSTR."}</definedName>
    <definedName name="xxxxx" localSheetId="3" hidden="1">{#N/A,#N/A,FALSE,"Pharm";#N/A,#N/A,FALSE,"WWCM"}</definedName>
    <definedName name="xyz" localSheetId="3" hidden="1">{#N/A,#N/A,TRUE,"Total";#N/A,#N/A,TRUE,"U.S. Devl.";#N/A,#N/A,TRUE,"U.S. Headcount"}</definedName>
    <definedName name="y" localSheetId="3" hidden="1">{#N/A,#N/A,FALSE,"Pharm";#N/A,#N/A,FALSE,"WWCM"}</definedName>
    <definedName name="Year1_plan" localSheetId="3">#REF!</definedName>
    <definedName name="Year2_plan" localSheetId="3">#REF!</definedName>
    <definedName name="yes" localSheetId="3" hidden="1">{#N/A,#N/A,FALSE,"Admin";#N/A,#N/A,FALSE,"Other"}</definedName>
    <definedName name="YTY" localSheetId="3" hidden="1">{#N/A,#N/A,FALSE,"TABLE_1 YTD";#N/A,#N/A,FALSE,"TABLE_1A QTD";#N/A,#N/A,FALSE,"NORMAL_SPREAD_QTD";#N/A,#N/A,FALSE,"NORMAL_SPREAD_YTD";#N/A,#N/A,FALSE,"TAX_EQV";#N/A,#N/A,FALSE,"TAX EQUIV_INPUT";#N/A,#N/A,FALSE,"NET FROM FER";#N/A,#N/A,FALSE,"COVER"}</definedName>
    <definedName name="yy" localSheetId="3" hidden="1">{#N/A,#N/A,FALSE,"COVER";#N/A,#N/A,FALSE,"Index";#N/A,#N/A,FALSE,"Summ_Products_Rec.97-98";#N/A,#N/A,FALSE,"QTR_Comp.";#N/A,#N/A,FALSE,"Summ_Detail_Rec.97-98";#N/A,#N/A,FALSE,"Summ_Agencies_Rec.97-98"}</definedName>
    <definedName name="yyy" localSheetId="3" hidden="1">{#N/A,#N/A,FALSE,"Other";#N/A,#N/A,FALSE,"Ace";#N/A,#N/A,FALSE,"Derm"}</definedName>
    <definedName name="z" localSheetId="3" hidden="1">{"CSheet",#N/A,FALSE,"C";"SmCap",#N/A,FALSE,"VAL1";"GulfCoast",#N/A,FALSE,"VAL1";"nav",#N/A,FALSE,"NAV";"Summary",#N/A,FALSE,"NAV"}</definedName>
    <definedName name="Z_24BF9755_66DA_11D4_A31E_00C0F0154575_.wvu.PrintArea" localSheetId="3" hidden="1">#REF!</definedName>
    <definedName name="Z_24BF9755_66DA_11D4_A31E_00C0F0154575_.wvu.PrintTitles" localSheetId="3" hidden="1">#REF!</definedName>
    <definedName name="Z_4FA7459B_7D59_11D3_B819_444553540000_.wvu.Cols" localSheetId="3" hidden="1">#REF!,#REF!</definedName>
    <definedName name="Z_4FA7459B_7D59_11D3_B819_444553540000_.wvu.Rows" localSheetId="3" hidden="1">#REF!</definedName>
    <definedName name="Z_603CDB61_4585_11D3_9E2C_00105AA4333D_.wvu.PrintArea" localSheetId="3" hidden="1">#REF!</definedName>
    <definedName name="Z_603CDB63_4585_11D3_9E2C_00105AA4333D_.wvu.PrintArea" localSheetId="3" hidden="1">#REF!</definedName>
    <definedName name="Z_603CDB64_4585_11D3_9E2C_00105AA4333D_.wvu.PrintArea" localSheetId="3" hidden="1">#REF!</definedName>
    <definedName name="Z_603CDB66_4585_11D3_9E2C_00105AA4333D_.wvu.PrintArea" localSheetId="3" hidden="1">#REF!</definedName>
    <definedName name="Z_6DFA7DCF_3C08_11D1_BDBE_0020AF42250B_.wvu.PrintArea" localSheetId="3" hidden="1">#REF!</definedName>
    <definedName name="Z_6DFA7DCF_3C08_11D1_BDBE_0020AF42250B_.wvu.PrintTitles" localSheetId="3" hidden="1">#REF!</definedName>
    <definedName name="Z_6DFA7DD9_3C08_11D1_BDBE_0020AF42250B_.wvu.PrintTitles" localSheetId="3" hidden="1">#REF!</definedName>
    <definedName name="Z_6DFA7DDA_3C08_11D1_BDBE_0020AF42250B_.wvu.PrintArea" localSheetId="3" hidden="1">#REF!</definedName>
    <definedName name="Z_6DFA7DDA_3C08_11D1_BDBE_0020AF42250B_.wvu.PrintTitles" localSheetId="3" hidden="1">#REF!</definedName>
    <definedName name="Z_6DFA7DDC_3C08_11D1_BDBE_0020AF42250B_.wvu.PrintArea" localSheetId="3" hidden="1">#REF!</definedName>
    <definedName name="Z_6DFA7DDC_3C08_11D1_BDBE_0020AF42250B_.wvu.PrintTitles" localSheetId="3" hidden="1">#REF!</definedName>
    <definedName name="Z_6DFA7DDD_3C08_11D1_BDBE_0020AF42250B_.wvu.PrintArea" localSheetId="3" hidden="1">#REF!</definedName>
    <definedName name="Z_6DFA7DDD_3C08_11D1_BDBE_0020AF42250B_.wvu.PrintTitles" localSheetId="3" hidden="1">#REF!</definedName>
    <definedName name="Z_6DFA7DDE_3C08_11D1_BDBE_0020AF42250B_.wvu.PrintArea" localSheetId="3" hidden="1">#REF!</definedName>
    <definedName name="Z_6DFA7DDE_3C08_11D1_BDBE_0020AF42250B_.wvu.PrintTitles" localSheetId="3" hidden="1">#REF!</definedName>
    <definedName name="Z_6DFA7DDF_3C08_11D1_BDBE_0020AF42250B_.wvu.PrintArea" localSheetId="3" hidden="1">#REF!</definedName>
    <definedName name="Z_6DFA7DDF_3C08_11D1_BDBE_0020AF42250B_.wvu.PrintTitles" localSheetId="3" hidden="1">#REF!</definedName>
    <definedName name="Z_6DFA7DE0_3C08_11D1_BDBE_0020AF42250B_.wvu.PrintArea" localSheetId="3" hidden="1">#REF!</definedName>
    <definedName name="Z_6DFA7DE0_3C08_11D1_BDBE_0020AF42250B_.wvu.PrintTitles" localSheetId="3" hidden="1">#REF!</definedName>
    <definedName name="Z_6DFA7DE5_3C08_11D1_BDBE_0020AF42250B_.wvu.PrintTitles" localSheetId="3" hidden="1">#REF!</definedName>
    <definedName name="Z_6DFA7DE6_3C08_11D1_BDBE_0020AF42250B_.wvu.PrintArea" localSheetId="3" hidden="1">#REF!</definedName>
    <definedName name="Z_6DFA7DE6_3C08_11D1_BDBE_0020AF42250B_.wvu.PrintTitles" localSheetId="3" hidden="1">#REF!</definedName>
    <definedName name="Z_702CE201_67EF_11D2_8E81_00104BCAECA1_.wvu.PrintTitles" localSheetId="3" hidden="1">#REF!,#REF!</definedName>
    <definedName name="Z_870DA93B_C7EC_11D1_935A_00A0C95F1362_.wvu.PrintArea" localSheetId="3" hidden="1">#REF!</definedName>
    <definedName name="Z_995DB91B_DC87_11D2_BCA9_00C04F8BBE86_.wvu.PrintArea" localSheetId="3" hidden="1">#REF!</definedName>
    <definedName name="Z_995DB91E_DC87_11D2_BCA9_00C04F8BBE86_.wvu.PrintArea" localSheetId="3" hidden="1">#REF!</definedName>
    <definedName name="Z_995DB91F_DC87_11D2_BCA9_00C04F8BBE86_.wvu.PrintArea" localSheetId="3" hidden="1">#REF!</definedName>
    <definedName name="Z_9AB6DE14_D22E_11D2_A1DB_00105AA4333D_.wvu.PrintArea" localSheetId="3" hidden="1">#REF!</definedName>
    <definedName name="Z_9AB6DE16_D22E_11D2_A1DB_00105AA4333D_.wvu.PrintArea" localSheetId="3" hidden="1">#REF!</definedName>
    <definedName name="Z_9AB6DE17_D22E_11D2_A1DB_00105AA4333D_.wvu.PrintArea" localSheetId="3" hidden="1">#REF!</definedName>
    <definedName name="Z_9AB6DE19_D22E_11D2_A1DB_00105AA4333D_.wvu.PrintArea" localSheetId="3" hidden="1">#REF!</definedName>
    <definedName name="Z_9AB6DE4D_D22E_11D2_A1DB_00105AA4333D_.wvu.PrintArea" localSheetId="3" hidden="1">#REF!</definedName>
    <definedName name="Z_9AB6DE4F_D22E_11D2_A1DB_00105AA4333D_.wvu.PrintArea" localSheetId="3" hidden="1">#REF!</definedName>
    <definedName name="Z_9AB6DE50_D22E_11D2_A1DB_00105AA4333D_.wvu.PrintArea" localSheetId="3" hidden="1">#REF!</definedName>
    <definedName name="Z_9AB6DE52_D22E_11D2_A1DB_00105AA4333D_.wvu.PrintArea" localSheetId="3" hidden="1">#REF!</definedName>
    <definedName name="Z_B21BDB45_3C17_11D2_913A_00A024D72BFF_.wvu.PrintArea" localSheetId="3" hidden="1">#REF!</definedName>
    <definedName name="Z_B21BDB45_3C17_11D2_913A_00A024D72BFF_.wvu.PrintTitles" localSheetId="3" hidden="1">#REF!,#REF!</definedName>
    <definedName name="Z_B21BDB46_3C17_11D2_913A_00A024D72BFF_.wvu.PrintArea" localSheetId="3" hidden="1">#REF!</definedName>
    <definedName name="Z_B21BDB46_3C17_11D2_913A_00A024D72BFF_.wvu.PrintTitles" localSheetId="3" hidden="1">#REF!,#REF!</definedName>
    <definedName name="Z_B21BDBC3_3C17_11D2_913A_00A024D72BFF_.wvu.PrintArea" localSheetId="3" hidden="1">#REF!</definedName>
    <definedName name="Z_B21BDBC3_3C17_11D2_913A_00A024D72BFF_.wvu.PrintTitles" localSheetId="3" hidden="1">#REF!,#REF!</definedName>
    <definedName name="Z_B21BDBC4_3C17_11D2_913A_00A024D72BFF_.wvu.PrintArea" localSheetId="3" hidden="1">#REF!</definedName>
    <definedName name="Z_B21BDBC4_3C17_11D2_913A_00A024D72BFF_.wvu.PrintTitles" localSheetId="3" hidden="1">#REF!,#REF!</definedName>
    <definedName name="Z_C229C740_74EF_11D3_8C05_00105AA43A7F_.wvu.Cols" localSheetId="3" hidden="1">#REF!</definedName>
    <definedName name="Z_C229C740_74EF_11D3_8C05_00105AA43A7F_.wvu.PrintArea" localSheetId="3" hidden="1">#REF!</definedName>
    <definedName name="Z_C229C740_74EF_11D3_8C05_00105AA43A7F_.wvu.PrintTitles" localSheetId="3" hidden="1">#REF!,#REF!</definedName>
    <definedName name="Z_C229C740_74EF_11D3_8C05_00105AA43A7F_.wvu.Rows" localSheetId="3" hidden="1">#REF!,#REF!,#REF!,#REF!,#REF!,#REF!,#REF!,#REF!,#REF!,#REF!,#REF!,#REF!,#REF!,#REF!,#REF!,#REF!,#REF!,#REF!,#REF!,#REF!,#REF!,#REF!,#REF!,#REF!,#REF!,#REF!,#REF!,#REF!,#REF!,#REF!,#REF!,#REF!,#REF!,#REF!,#REF!,#REF!,#REF!,#REF!,#REF!,#REF!,#REF!,#REF!,#REF!,#REF!,#REF!,#REF!,#REF!,#REF!,#REF!,#REF!,#REF!,#REF!,#REF!,#REF!</definedName>
    <definedName name="Z_D774FBF2_C14B_4E8C_A09D_6327FECC4D99_.wvu.Cols" localSheetId="3" hidden="1">#REF!</definedName>
    <definedName name="zhu" localSheetId="3" hidden="1">{#N/A,#N/A,FALSE,"REPORT"}</definedName>
    <definedName name="zhutr" localSheetId="3" hidden="1">{#N/A,#N/A,FALSE,"REPORT"}</definedName>
    <definedName name="ZSZ" localSheetId="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y" localSheetId="3" hidden="1">{#N/A,#N/A,TRUE,"BUD VS ACT AUST 96";#N/A,#N/A,TRUE,"96 COMP P&amp;L-AUST";#N/A,#N/A,TRUE,"COMP BS-AUSTRALIA";#N/A,#N/A,TRUE,"B/S - AUSTR."}</definedName>
    <definedName name="zza4pg" localSheetId="3" hidden="1">{#N/A,#N/A,FALSE,"REPORT"}</definedName>
    <definedName name="zzee" localSheetId="3" hidden="1">{#N/A,#N/A,FALSE,"Pharm";#N/A,#N/A,FALSE,"WWCM"}</definedName>
    <definedName name="zzzz" localSheetId="3" hidden="1">{#N/A,#N/A,FALSE,"COMP BS-FRANCE";#N/A,#N/A,FALSE,"96 COMP P&amp;L-FRANCE";#N/A,#N/A,FALSE,"BUD VS ACT FRAN 96";#N/A,#N/A,FALSE,"B/S - FRANCE"}</definedName>
    <definedName name="zzzzz" localSheetId="3" hidden="1">{#N/A,#N/A,FALSE,"REPORT"}</definedName>
    <definedName name="고" localSheetId="3" hidden="1">{#N/A,#N/A,FALSE,"REPORT"}</definedName>
    <definedName name="ㄶㅇ노ㅗㄶ호" localSheetId="3" hidden="1">{#N/A,#N/A,FALSE,"REPORT"}</definedName>
    <definedName name="미애" localSheetId="3" hidden="1">{#N/A,#N/A,FALSE,"REPORT"}</definedName>
    <definedName name="_xlnm.Print_Area" localSheetId="3">'IV. EBITDA Adjustments'!$B$3:$Q$80</definedName>
    <definedName name="_xlnm.Print_Area" localSheetId="4">'V. Comparables'!$B$1:$P$56</definedName>
    <definedName name="____________________________ww2" localSheetId="5" hidden="1">{#N/A,#N/A,FALSE,"Admin";#N/A,#N/A,FALSE,"Other"}</definedName>
    <definedName name="______________ww2" localSheetId="5" hidden="1">{#N/A,#N/A,FALSE,"Admin";#N/A,#N/A,FALSE,"Other"}</definedName>
    <definedName name="_____________ww2" localSheetId="5" hidden="1">{#N/A,#N/A,FALSE,"Admin";#N/A,#N/A,FALSE,"Other"}</definedName>
    <definedName name="____________ww2" localSheetId="5" hidden="1">{#N/A,#N/A,FALSE,"Admin";#N/A,#N/A,FALSE,"Other"}</definedName>
    <definedName name="___________ww2" localSheetId="5" hidden="1">{#N/A,#N/A,FALSE,"Admin";#N/A,#N/A,FALSE,"Other"}</definedName>
    <definedName name="__________ww2" localSheetId="5" hidden="1">{#N/A,#N/A,FALSE,"Admin";#N/A,#N/A,FALSE,"Other"}</definedName>
    <definedName name="_________ww2" localSheetId="5" hidden="1">{#N/A,#N/A,FALSE,"Admin";#N/A,#N/A,FALSE,"Other"}</definedName>
    <definedName name="________ww2" localSheetId="5" hidden="1">{#N/A,#N/A,FALSE,"Admin";#N/A,#N/A,FALSE,"Other"}</definedName>
    <definedName name="_______ww2" localSheetId="5" hidden="1">{#N/A,#N/A,FALSE,"Admin";#N/A,#N/A,FALSE,"Other"}</definedName>
    <definedName name="______ww2" localSheetId="5" hidden="1">{#N/A,#N/A,FALSE,"Admin";#N/A,#N/A,FALSE,"Other"}</definedName>
    <definedName name="_____ww2" localSheetId="5" hidden="1">{#N/A,#N/A,FALSE,"Admin";#N/A,#N/A,FALSE,"Other"}</definedName>
    <definedName name="____ww2" localSheetId="5" hidden="1">{#N/A,#N/A,FALSE,"Admin";#N/A,#N/A,FALSE,"Other"}</definedName>
    <definedName name="___ww2" localSheetId="5" hidden="1">{#N/A,#N/A,FALSE,"Admin";#N/A,#N/A,FALSE,"Other"}</definedName>
    <definedName name="__123Graph_C" localSheetId="5" hidden="1">#REF!</definedName>
    <definedName name="__123Graph_D" localSheetId="5" hidden="1">#REF!</definedName>
    <definedName name="__123Graph_E" localSheetId="5" hidden="1">#REF!</definedName>
    <definedName name="__123Graph_F" localSheetId="5" hidden="1">#REF!</definedName>
    <definedName name="__4__123Graph_ACHART_1" localSheetId="5" hidden="1">#REF!</definedName>
    <definedName name="__7__123Graph_ACHART_1" localSheetId="5" hidden="1">#REF!</definedName>
    <definedName name="__a1" localSheetId="5" hidden="1">{#N/A,#N/A,FALSE,"Pharm";#N/A,#N/A,FALSE,"WWCM"}</definedName>
    <definedName name="__A11" localSheetId="5" hidden="1">{#N/A,#N/A,FALSE,"Umsatz 99";#N/A,#N/A,FALSE,"ER 99 "}</definedName>
    <definedName name="__aaa1" localSheetId="5" hidden="1">{#N/A,#N/A,FALSE,"REPORT"}</definedName>
    <definedName name="__aas1" localSheetId="5" hidden="1">{#N/A,#N/A,FALSE,"REPORT"}</definedName>
    <definedName name="__ACS2000" localSheetId="5" hidden="1">{#N/A,#N/A,FALSE,"REPORT"}</definedName>
    <definedName name="__b111" localSheetId="5" hidden="1">{#N/A,#N/A,FALSE,"Pharm";#N/A,#N/A,FALSE,"WWCM"}</definedName>
    <definedName name="__c" localSheetId="5" hidden="1">{"Fiesta Facer Page",#N/A,FALSE,"Q_C_S";"Fiesta Main Page",#N/A,FALSE,"V_L";"Fiesta 95BP Struct",#N/A,FALSE,"StructBP";"Fiesta Post 95BP Struct",#N/A,FALSE,"AdjStructBP"}</definedName>
    <definedName name="__FDS_USED_FOR_REUSING_RANGE_IDS_RECYCLE" localSheetId="5" hidden="1">{3,6,6,3,3,1,6,4,3}</definedName>
    <definedName name="__IntlFixupTable" localSheetId="5" hidden="1">#REF!</definedName>
    <definedName name="__new1" localSheetId="5" hidden="1">{#N/A,#N/A,FALSE,"Pharm";#N/A,#N/A,FALSE,"WWCM"}</definedName>
    <definedName name="__o1" localSheetId="5" hidden="1">{#N/A,#N/A,FALSE,"SUMMARY";#N/A,#N/A,FALSE,"mcsh";#N/A,#N/A,FALSE,"vol&amp;rev";#N/A,#N/A,FALSE,"wkgcap";#N/A,#N/A,FALSE,"DEPR&amp;DT";#N/A,#N/A,FALSE,"ASSETS";#N/A,#N/A,FALSE,"NI&amp;OTH&amp;DIV";#N/A,#N/A,FALSE,"CASHFLOW";#N/A,#N/A,FALSE,"CAPEMPL";#N/A,#N/A,FALSE,"ROCE"}</definedName>
    <definedName name="__r" localSheetId="5" hidden="1">{#N/A,#N/A,FALSE,"Pharm";#N/A,#N/A,FALSE,"WWCM"}</definedName>
    <definedName name="__tm1" localSheetId="5" hidden="1">{#N/A,#N/A,FALSE,"Pharm";#N/A,#N/A,FALSE,"WWCM"}</definedName>
    <definedName name="__ww2" localSheetId="5" hidden="1">{#N/A,#N/A,FALSE,"Admin";#N/A,#N/A,FALSE,"Other"}</definedName>
    <definedName name="__X2" localSheetId="5" hidden="1">{#N/A,#N/A,FALSE,"Other";#N/A,#N/A,FALSE,"Ace";#N/A,#N/A,FALSE,"Derm"}</definedName>
    <definedName name="_1__FDSAUDITLINK__" localSheetId="5" hidden="1">{"fdsup://Directions/FactSet Auditing Viewer?action=AUDIT_VALUE&amp;DB=129&amp;ID1=610036&amp;VALUEID=05192&amp;SDATE=201101&amp;PERIODTYPE=QTR_STD&amp;SCFT=3&amp;window=popup_no_bar&amp;width=385&amp;height=120&amp;START_MAXIMIZED=FALSE&amp;creator=factset&amp;display_string=Audit"}</definedName>
    <definedName name="_10__FDSAUDITLINK__" localSheetId="5" hidden="1">{"fdsup://Directions/FactSet Auditing Viewer?action=AUDIT_VALUE&amp;DB=129&amp;ID1=613566&amp;VALUEID=05192&amp;SDATE=201101&amp;PERIODTYPE=QTR_STD&amp;SCFT=3&amp;window=popup_no_bar&amp;width=385&amp;height=120&amp;START_MAXIMIZED=FALSE&amp;creator=factset&amp;display_string=Audit"}</definedName>
    <definedName name="_11__FDSAUDITLINK__" localSheetId="5" hidden="1">{"fdsup://Directions/FactSet Auditing Viewer?action=AUDIT_VALUE&amp;DB=129&amp;ID1=B2QKWK&amp;VALUEID=05194&amp;SDATE=201101&amp;PERIODTYPE=QTR_STD&amp;SCFT=3&amp;window=popup_no_bar&amp;width=385&amp;height=120&amp;START_MAXIMIZED=FALSE&amp;creator=factset&amp;display_string=Audit"}</definedName>
    <definedName name="_112__FDSAUDITLINK__" localSheetId="5"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2__FDSAUDITLINK__" localSheetId="5" hidden="1">{"fdsup://Directions/FactSet Auditing Viewer?action=AUDIT_VALUE&amp;DB=129&amp;ID1=613566&amp;VALUEID=05194&amp;SDATE=201101&amp;PERIODTYPE=QTR_STD&amp;SCFT=3&amp;window=popup_no_bar&amp;width=385&amp;height=120&amp;START_MAXIMIZED=FALSE&amp;creator=factset&amp;display_string=Audit"}</definedName>
    <definedName name="_120__FDSAUDITLINK__" localSheetId="5"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3__FDSAUDITLINK__" localSheetId="5" hidden="1">{"fdsup://Directions/FactSet Auditing Viewer?action=AUDIT_VALUE&amp;DB=129&amp;ID1=B62G7K&amp;VALUEID=05194&amp;SDATE=201101&amp;PERIODTYPE=QTR_STD&amp;SCFT=3&amp;window=popup_no_bar&amp;width=385&amp;height=120&amp;START_MAXIMIZED=FALSE&amp;creator=factset&amp;display_string=Audit"}</definedName>
    <definedName name="_14__FDSAUDITLINK__" localSheetId="5" hidden="1">{"fdsup://Directions/FactSet Auditing Viewer?action=AUDIT_VALUE&amp;DB=129&amp;ID1=B01LXY&amp;VALUEID=05194&amp;SDATE=201101&amp;PERIODTYPE=QTR_STD&amp;SCFT=3&amp;window=popup_no_bar&amp;width=385&amp;height=120&amp;START_MAXIMIZED=FALSE&amp;creator=factset&amp;display_string=Audit"}</definedName>
    <definedName name="_144__FDSAUDITLINK__" localSheetId="5"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5__FDSAUDITLINK__" localSheetId="5" hidden="1">{"fdsup://Directions/FactSet Auditing Viewer?action=AUDIT_VALUE&amp;DB=129&amp;ID1=B12C0T&amp;VALUEID=05194&amp;SDATE=201101&amp;PERIODTYPE=QTR_STD&amp;SCFT=3&amp;window=popup_no_bar&amp;width=385&amp;height=120&amp;START_MAXIMIZED=FALSE&amp;creator=factset&amp;display_string=Audit"}</definedName>
    <definedName name="_16__FDSAUDITLINK__" localSheetId="5" hidden="1">{"fdsup://Directions/FactSet Auditing Viewer?action=AUDIT_VALUE&amp;DB=129&amp;ID1=615525&amp;VALUEID=05192&amp;SDATE=201101&amp;PERIODTYPE=QTR_STD&amp;SCFT=3&amp;window=popup_no_bar&amp;width=385&amp;height=120&amp;START_MAXIMIZED=FALSE&amp;creator=factset&amp;display_string=Audit"}</definedName>
    <definedName name="_160__FDSAUDITLINK__" localSheetId="5"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7__FDSAUDITLINK__" localSheetId="5" hidden="1">{"fdsup://Directions/FactSet Auditing Viewer?action=AUDIT_VALUE&amp;DB=129&amp;ID1=651312&amp;VALUEID=05194&amp;SDATE=201101&amp;PERIODTYPE=QTR_STD&amp;SCFT=3&amp;window=popup_no_bar&amp;width=385&amp;height=120&amp;START_MAXIMIZED=FALSE&amp;creator=factset&amp;display_string=Audit"}</definedName>
    <definedName name="_18__FDSAUDITLINK__" localSheetId="5" hidden="1">{"fdsup://Directions/FactSet Auditing Viewer?action=AUDIT_VALUE&amp;DB=129&amp;ID1=610036&amp;VALUEID=05194&amp;SDATE=201101&amp;PERIODTYPE=QTR_STD&amp;SCFT=3&amp;window=popup_no_bar&amp;width=385&amp;height=120&amp;START_MAXIMIZED=FALSE&amp;creator=factset&amp;display_string=Audit"}</definedName>
    <definedName name="_19__FDSAUDITLINK__" localSheetId="5" hidden="1">{"fdsup://directions/FAT Viewer?action=UPDATE&amp;creator=factset&amp;DYN_ARGS=TRUE&amp;DOC_NAME=FAT:FQL_AUDITING_CLIENT_TEMPLATE.FAT&amp;display_string=Audit&amp;VAR:KEY=RIVODUVABY&amp;VAR:QUERY=RkZfREVCVChRVFIsMCk=&amp;WINDOW=FIRST_POPUP&amp;HEIGHT=450&amp;WIDTH=450&amp;START_MAXIMIZED=FALSE&amp;VA","R:CALENDAR=US&amp;VAR:SYMBOL=B1TJG9&amp;VAR:INDEX=0"}</definedName>
    <definedName name="_2__123Graph_BCHART_4" localSheetId="5" hidden="1">#REF!</definedName>
    <definedName name="_2__FDSAUDITLINK__" localSheetId="5" hidden="1">{"fdsup://Directions/FactSet Auditing Viewer?action=AUDIT_VALUE&amp;DB=129&amp;ID1=718981&amp;VALUEID=01004&amp;SDATE=2010&amp;PERIODTYPE=ANN_STD&amp;SCFT=3&amp;window=popup_no_bar&amp;width=385&amp;height=120&amp;START_MAXIMIZED=FALSE&amp;creator=factset&amp;display_string=Audit"}</definedName>
    <definedName name="_20__FDSAUDITLINK__" localSheetId="5" hidden="1">{"fdsup://directions/FAT Viewer?action=UPDATE&amp;creator=factset&amp;DYN_ARGS=TRUE&amp;DOC_NAME=FAT:FQL_AUDITING_CLIENT_TEMPLATE.FAT&amp;display_string=Audit&amp;VAR:KEY=NOROXQDYDA&amp;VAR:QUERY=RkZfREVCVChRVFIsMCk=&amp;WINDOW=FIRST_POPUP&amp;HEIGHT=450&amp;WIDTH=450&amp;START_MAXIMIZED=FALSE&amp;VA","R:CALENDAR=US&amp;VAR:SYMBOL=B2QKWK&amp;VAR:INDEX=0"}</definedName>
    <definedName name="_206__FDSAUDITLINK__" localSheetId="5"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1__FDSAUDITLINK__" localSheetId="5" hidden="1">{"fdsup://directions/FAT Viewer?action=UPDATE&amp;creator=factset&amp;DYN_ARGS=TRUE&amp;DOC_NAME=FAT:FQL_AUDITING_CLIENT_TEMPLATE.FAT&amp;display_string=Audit&amp;VAR:KEY=BWBYDQBYRG&amp;VAR:QUERY=RkZfREVCVChRVFIsMCk=&amp;WINDOW=FIRST_POPUP&amp;HEIGHT=450&amp;WIDTH=450&amp;START_MAXIMIZED=FALSE&amp;VA","R:CALENDAR=US&amp;VAR:SYMBOL=626404&amp;VAR:INDEX=0"}</definedName>
    <definedName name="_22__FDSAUDITLINK__" localSheetId="5" hidden="1">{"fdsup://directions/FAT Viewer?action=UPDATE&amp;creator=factset&amp;DYN_ARGS=TRUE&amp;DOC_NAME=FAT:FQL_AUDITING_CLIENT_TEMPLATE.FAT&amp;display_string=Audit&amp;VAR:KEY=TQLCLGJUJU&amp;VAR:QUERY=RkZfREVCVChRVFIsMCk=&amp;WINDOW=FIRST_POPUP&amp;HEIGHT=450&amp;WIDTH=450&amp;START_MAXIMIZED=FALSE&amp;VA","R:CALENDAR=US&amp;VAR:SYMBOL=613566&amp;VAR:INDEX=0"}</definedName>
    <definedName name="_23__FDSAUDITLINK__" localSheetId="5" hidden="1">{"fdsup://directions/FAT Viewer?action=UPDATE&amp;creator=factset&amp;DYN_ARGS=TRUE&amp;DOC_NAME=FAT:FQL_AUDITING_CLIENT_TEMPLATE.FAT&amp;display_string=Audit&amp;VAR:KEY=NYXYJIPEVY&amp;VAR:QUERY=RkZfREVCVChRVFIsMCk=&amp;WINDOW=FIRST_POPUP&amp;HEIGHT=450&amp;WIDTH=450&amp;START_MAXIMIZED=FALSE&amp;VA","R:CALENDAR=US&amp;VAR:SYMBOL=B62G7K&amp;VAR:INDEX=0"}</definedName>
    <definedName name="_24__FDSAUDITLINK__" localSheetId="5" hidden="1">{"fdsup://directions/FAT Viewer?action=UPDATE&amp;creator=factset&amp;DYN_ARGS=TRUE&amp;DOC_NAME=FAT:FQL_AUDITING_CLIENT_TEMPLATE.FAT&amp;display_string=Audit&amp;VAR:KEY=NSBMVWPMXC&amp;VAR:QUERY=RkZfREVCVChRVFIsMCk=&amp;WINDOW=FIRST_POPUP&amp;HEIGHT=450&amp;WIDTH=450&amp;START_MAXIMIZED=FALSE&amp;VA","R:CALENDAR=US&amp;VAR:SYMBOL=B601QS&amp;VAR:INDEX=0"}</definedName>
    <definedName name="_25__FDSAUDITLINK__" localSheetId="5" hidden="1">{"fdsup://directions/FAT Viewer?action=UPDATE&amp;creator=factset&amp;DYN_ARGS=TRUE&amp;DOC_NAME=FAT:FQL_AUDITING_CLIENT_TEMPLATE.FAT&amp;display_string=Audit&amp;VAR:KEY=RGRCNQPWVG&amp;VAR:QUERY=RkZfREVCVChRVFIsMCk=&amp;WINDOW=FIRST_POPUP&amp;HEIGHT=450&amp;WIDTH=450&amp;START_MAXIMIZED=FALSE&amp;VA","R:CALENDAR=US&amp;VAR:SYMBOL=B2Q4CS&amp;VAR:INDEX=0"}</definedName>
    <definedName name="_26__FDSAUDITLINK__" localSheetId="5" hidden="1">{"fdsup://directions/FAT Viewer?action=UPDATE&amp;creator=factset&amp;DYN_ARGS=TRUE&amp;DOC_NAME=FAT:FQL_AUDITING_CLIENT_TEMPLATE.FAT&amp;display_string=Audit&amp;VAR:KEY=LINIDUNITC&amp;VAR:QUERY=RkZfREVCVChRVFIsMCk=&amp;WINDOW=FIRST_POPUP&amp;HEIGHT=450&amp;WIDTH=450&amp;START_MAXIMIZED=FALSE&amp;VA","R:CALENDAR=US&amp;VAR:SYMBOL=670625&amp;VAR:INDEX=0"}</definedName>
    <definedName name="_27__FDSAUDITLINK__" localSheetId="5"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28__FDSAUDITLINK__" localSheetId="5" hidden="1">{"fdsup://directions/FAT Viewer?action=UPDATE&amp;creator=factset&amp;DYN_ARGS=TRUE&amp;DOC_NAME=FAT:FQL_AUDITING_CLIENT_TEMPLATE.FAT&amp;display_string=Audit&amp;VAR:KEY=ZCBIPGHWJS&amp;VAR:QUERY=RkZfREVCVChRVFIsMCk=&amp;WINDOW=FIRST_POPUP&amp;HEIGHT=450&amp;WIDTH=450&amp;START_MAXIMIZED=FALSE&amp;VA","R:CALENDAR=US&amp;VAR:SYMBOL=627137&amp;VAR:INDEX=0"}</definedName>
    <definedName name="_29__FDSAUDITLINK__" localSheetId="5" hidden="1">{"fdsup://directions/FAT Viewer?action=UPDATE&amp;creator=factset&amp;DYN_ARGS=TRUE&amp;DOC_NAME=FAT:FQL_AUDITING_CLIENT_TEMPLATE.FAT&amp;display_string=Audit&amp;VAR:KEY=CLCRSDAPSX&amp;VAR:QUERY=RkZfREVCVChRVFIsMCk=&amp;WINDOW=FIRST_POPUP&amp;HEIGHT=450&amp;WIDTH=450&amp;START_MAXIMIZED=FALSE&amp;VA","R:CALENDAR=US&amp;VAR:SYMBOL=B4TX8S&amp;VAR:INDEX=0"}</definedName>
    <definedName name="_3__123Graph_LBL_ACHART_4" localSheetId="5" hidden="1">#REF!</definedName>
    <definedName name="_3__FDSAUDITLINK__" localSheetId="5" hidden="1">{"fdsup://directions/FAT Viewer?action=UPDATE&amp;creator=factset&amp;DYN_ARGS=TRUE&amp;DOC_NAME=FAT:FQL_AUDITING_CLIENT_TEMPLATE.FAT&amp;display_string=Audit&amp;VAR:KEY=NYZOXGHULC&amp;VAR:QUERY=RkZfREVCVChRVFIsMCk=&amp;WINDOW=FIRST_POPUP&amp;HEIGHT=450&amp;WIDTH=450&amp;START_MAXIMIZED=FALSE&amp;VA","R:CALENDAR=US&amp;VAR:SYMBOL=615525&amp;VAR:INDEX=0"}</definedName>
    <definedName name="_30__FDSAUDITLINK__" localSheetId="5" hidden="1">{"fdsup://directions/FAT Viewer?action=UPDATE&amp;creator=factset&amp;DYN_ARGS=TRUE&amp;DOC_NAME=FAT:FQL_AUDITING_CLIENT_TEMPLATE.FAT&amp;display_string=Audit&amp;VAR:KEY=FCXYFCHWXA&amp;VAR:QUERY=RkZfREVCVChRVFIsMCk=&amp;WINDOW=FIRST_POPUP&amp;HEIGHT=450&amp;WIDTH=450&amp;START_MAXIMIZED=FALSE&amp;VA","R:CALENDAR=US&amp;VAR:SYMBOL=641167&amp;VAR:INDEX=0"}</definedName>
    <definedName name="_31__FDSAUDITLINK__" localSheetId="5" hidden="1">{"fdsup://directions/FAT Viewer?action=UPDATE&amp;creator=factset&amp;DYN_ARGS=TRUE&amp;DOC_NAME=FAT:FQL_AUDITING_CLIENT_TEMPLATE.FAT&amp;display_string=Audit&amp;VAR:KEY=ZWDYLGNOZS&amp;VAR:QUERY=RkZfREVCVChRVFIsMCk=&amp;WINDOW=FIRST_POPUP&amp;HEIGHT=450&amp;WIDTH=450&amp;START_MAXIMIZED=FALSE&amp;VA","R:CALENDAR=US&amp;VAR:SYMBOL=642566&amp;VAR:INDEX=0"}</definedName>
    <definedName name="_33__FDSAUDITLINK__" localSheetId="5" hidden="1">{"fdsup://directions/FAT Viewer?action=UPDATE&amp;creator=factset&amp;DYN_ARGS=TRUE&amp;DOC_NAME=FAT:FQL_AUDITING_CLIENT_TEMPLATE.FAT&amp;display_string=Audit&amp;VAR:KEY=BYZORMPCHQ&amp;VAR:QUERY=RkZfREVCVChRVFIsMCk=&amp;WINDOW=FIRST_POPUP&amp;HEIGHT=450&amp;WIDTH=450&amp;START_MAXIMIZED=FALSE&amp;VA","R:CALENDAR=US&amp;VAR:SYMBOL=649613&amp;VAR:INDEX=0"}</definedName>
    <definedName name="_34__FDSAUDITLINK__" localSheetId="5" hidden="1">{"fdsup://directions/FAT Viewer?action=UPDATE&amp;creator=factset&amp;DYN_ARGS=TRUE&amp;DOC_NAME=FAT:FQL_AUDITING_CLIENT_TEMPLATE.FAT&amp;display_string=Audit&amp;VAR:KEY=IRGRQDQTWB&amp;VAR:QUERY=RkZfREVCVChRVFIsMCk=&amp;WINDOW=FIRST_POPUP&amp;HEIGHT=450&amp;WIDTH=450&amp;START_MAXIMIZED=FALSE&amp;VA","R:CALENDAR=US&amp;VAR:SYMBOL=680580&amp;VAR:INDEX=0"}</definedName>
    <definedName name="_35__FDSAUDITLINK__" localSheetId="5"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353__FDSAUDITLINK__" localSheetId="5"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6__FDSAUDITLINK__" localSheetId="5" hidden="1">{"fdsup://directions/FAT Viewer?action=UPDATE&amp;creator=factset&amp;DYN_ARGS=TRUE&amp;DOC_NAME=FAT:FQL_AUDITING_CLIENT_TEMPLATE.FAT&amp;display_string=Audit&amp;VAR:KEY=BOFAPUNSFW&amp;VAR:QUERY=RkZfREVCVChRVFIsMCk=&amp;WINDOW=FIRST_POPUP&amp;HEIGHT=450&amp;WIDTH=450&amp;START_MAXIMIZED=FALSE&amp;VA","R:CALENDAR=US&amp;VAR:SYMBOL=615593&amp;VAR:INDEX=0"}</definedName>
    <definedName name="_37__FDSAUDITLINK__" localSheetId="5" hidden="1">{"fdsup://directions/FAT Viewer?action=UPDATE&amp;creator=factset&amp;DYN_ARGS=TRUE&amp;DOC_NAME=FAT:FQL_AUDITING_CLIENT_TEMPLATE.FAT&amp;display_string=Audit&amp;VAR:KEY=NCDWZYHQLY&amp;VAR:QUERY=RkZfREVCVChRVFIsMCk=&amp;WINDOW=FIRST_POPUP&amp;HEIGHT=450&amp;WIDTH=450&amp;START_MAXIMIZED=FALSE&amp;VA","R:CALENDAR=US&amp;VAR:SYMBOL=616216&amp;VAR:INDEX=0"}</definedName>
    <definedName name="_371__FDSAUDITLINK__" localSheetId="5"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8__FDSAUDITLINK__" localSheetId="5" hidden="1">{"fdsup://directions/FAT Viewer?action=UPDATE&amp;creator=factset&amp;DYN_ARGS=TRUE&amp;DOC_NAME=FAT:FQL_AUDITING_CLIENT_TEMPLATE.FAT&amp;display_string=Audit&amp;VAR:KEY=LIHILQPEHS&amp;VAR:QUERY=RkZfREVCVChRVFIsMCk=&amp;WINDOW=FIRST_POPUP&amp;HEIGHT=450&amp;WIDTH=450&amp;START_MAXIMIZED=FALSE&amp;VA","R:CALENDAR=US&amp;VAR:SYMBOL=B01LXY&amp;VAR:INDEX=0"}</definedName>
    <definedName name="_39__FDSAUDITLINK__" localSheetId="5" hidden="1">{"fdsup://directions/FAT Viewer?action=UPDATE&amp;creator=factset&amp;DYN_ARGS=TRUE&amp;DOC_NAME=FAT:FQL_AUDITING_CLIENT_TEMPLATE.FAT&amp;display_string=Audit&amp;VAR:KEY=BKHSXEZQRI&amp;VAR:QUERY=RkZfREVCVChRVFIsMCk=&amp;WINDOW=FIRST_POPUP&amp;HEIGHT=450&amp;WIDTH=450&amp;START_MAXIMIZED=FALSE&amp;VA","R:CALENDAR=US&amp;VAR:SYMBOL=B12C0T&amp;VAR:INDEX=0"}</definedName>
    <definedName name="_4__123Graph_LBL_BCHART_4" localSheetId="5" hidden="1">#REF!</definedName>
    <definedName name="_4__FDSAUDITLINK__" localSheetId="5" hidden="1">{"fdsup://Directions/FactSet Auditing Viewer?action=AUDIT_VALUE&amp;DB=129&amp;ID1=B01LXY&amp;VALUEID=05192&amp;SDATE=201101&amp;PERIODTYPE=QTR_STD&amp;SCFT=3&amp;window=popup_no_bar&amp;width=385&amp;height=120&amp;START_MAXIMIZED=FALSE&amp;creator=factset&amp;display_string=Audit"}</definedName>
    <definedName name="_40__FDSAUDITLINK__" localSheetId="5" hidden="1">{"fdsup://Directions/FactSet Auditing Viewer?action=AUDIT_VALUE&amp;DB=129&amp;ID1=615525&amp;VALUEID=05194&amp;SDATE=201101&amp;PERIODTYPE=QTR_STD&amp;SCFT=3&amp;window=popup_no_bar&amp;width=385&amp;height=120&amp;START_MAXIMIZED=FALSE&amp;creator=factset&amp;display_string=Audit"}</definedName>
    <definedName name="_41__FDSAUDITLINK__" localSheetId="5" hidden="1">{"fdsup://directions/FAT Viewer?action=UPDATE&amp;creator=factset&amp;DYN_ARGS=TRUE&amp;DOC_NAME=FAT:FQL_AUDITING_CLIENT_TEMPLATE.FAT&amp;display_string=Audit&amp;VAR:KEY=NCPODUVUTY&amp;VAR:QUERY=RkZfREVCVChRVFIsMCk=&amp;WINDOW=FIRST_POPUP&amp;HEIGHT=450&amp;WIDTH=450&amp;START_MAXIMIZED=FALSE&amp;VA","R:CALENDAR=US&amp;VAR:SYMBOL=651312&amp;VAR:INDEX=0"}</definedName>
    <definedName name="_42__FDSAUDITLINK__" localSheetId="5" hidden="1">{"fdsup://directions/FAT Viewer?action=UPDATE&amp;creator=factset&amp;DYN_ARGS=TRUE&amp;DOC_NAME=FAT:FQL_AUDITING_CLIENT_TEMPLATE.FAT&amp;display_string=Audit&amp;VAR:KEY=TCLSBADEBM&amp;VAR:QUERY=RkZfREVCVChRVFIsMCk=&amp;WINDOW=FIRST_POPUP&amp;HEIGHT=450&amp;WIDTH=450&amp;START_MAXIMIZED=FALSE&amp;VA","R:CALENDAR=US&amp;VAR:SYMBOL=610036&amp;VAR:INDEX=0"}</definedName>
    <definedName name="_42wrn.²Ä1­Ó¤ë1_Ü20¤H." localSheetId="5" hidden="1">{#N/A,#N/A,FALSE,"²Ä1­Ó¤ë"}</definedName>
    <definedName name="_43__FDSAUDITLINK__" localSheetId="5" hidden="1">{"fdsup://directions/FAT Viewer?action=UPDATE&amp;creator=factset&amp;DYN_ARGS=TRUE&amp;DOC_NAME=FAT:FQL_AUDITING_CLIENT_TEMPLATE.FAT&amp;display_string=Audit&amp;VAR:KEY=TCVWVCXSPG&amp;VAR:QUERY=RkZfREVCVChRVFIsMCk=&amp;WINDOW=FIRST_POPUP&amp;HEIGHT=450&amp;WIDTH=450&amp;START_MAXIMIZED=FALSE&amp;VA","R:CALENDAR=US&amp;VAR:SYMBOL=B5Q3JZ&amp;VAR:INDEX=0"}</definedName>
    <definedName name="_44__FDSAUDITLINK__" localSheetId="5" hidden="1">{"fdsup://directions/FAT Viewer?action=UPDATE&amp;creator=factset&amp;DYN_ARGS=TRUE&amp;DOC_NAME=FAT:FQL_AUDITING_CLIENT_TEMPLATE.FAT&amp;display_string=Audit&amp;VAR:KEY=FKRWBWPYJQ&amp;VAR:QUERY=RkZfREVCVChRVFIsMCk=&amp;WINDOW=FIRST_POPUP&amp;HEIGHT=450&amp;WIDTH=450&amp;START_MAXIMIZED=FALSE&amp;VA","R:CALENDAR=US&amp;VAR:SYMBOL=B2Q5H5&amp;VAR:INDEX=0"}</definedName>
    <definedName name="_45__FDSAUDITLINK__" localSheetId="5"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46__FDSAUDITLINK__" localSheetId="5" hidden="1">{"fdsup://directions/FAT Viewer?action=UPDATE&amp;creator=factset&amp;DYN_ARGS=TRUE&amp;DOC_NAME=FAT:FQL_AUDITING_CLIENT_TEMPLATE.FAT&amp;display_string=Audit&amp;VAR:KEY=DUDADIPCVA&amp;VAR:QUERY=RkZfREVCVChRVFIsMCk=&amp;WINDOW=FIRST_POPUP&amp;HEIGHT=450&amp;WIDTH=450&amp;START_MAXIMIZED=FALSE&amp;VA","R:CALENDAR=US&amp;VAR:SYMBOL=B01FLR&amp;VAR:INDEX=0"}</definedName>
    <definedName name="_47__FDSAUDITLINK__" localSheetId="5" hidden="1">{"fdsup://Directions/FactSet Auditing Viewer?action=AUDIT_VALUE&amp;DB=129&amp;ID1=627137&amp;VALUEID=05194&amp;SDATE=201102&amp;PERIODTYPE=QTR_STD&amp;SCFT=3&amp;window=popup_no_bar&amp;width=385&amp;height=120&amp;START_MAXIMIZED=FALSE&amp;creator=factset&amp;display_string=Audit"}</definedName>
    <definedName name="_48__FDSAUDITLINK__" localSheetId="5" hidden="1">{"fdsup://Directions/FactSet Auditing Viewer?action=AUDIT_VALUE&amp;DB=129&amp;ID1=627137&amp;VALUEID=05192&amp;SDATE=201102&amp;PERIODTYPE=QTR_STD&amp;SCFT=3&amp;window=popup_no_bar&amp;width=385&amp;height=120&amp;START_MAXIMIZED=FALSE&amp;creator=factset&amp;display_string=Audit"}</definedName>
    <definedName name="_481__FDSAUDITLINK__" localSheetId="5" hidden="1">{"fdsup://directions/FAT Viewer?action=UPDATE&amp;creator=factset&amp;DYN_ARGS=TRUE&amp;DOC_NAME=FAT:FQL_AUDITING_CLIENT_TEMPLATE.FAT&amp;display_string=Audit&amp;VAR:KEY=FKZMDKTUXA&amp;VAR:QUERY=KEZGX0JQU19UQU5HKFFUUiw0MDE0MylARkZfQlBTX1RBTkcoQU5OLDQwMTQzKSk=&amp;WINDOW=FIRST_POPUP&amp;H","EIGHT=450&amp;WIDTH=450&amp;START_MAXIMIZED=FALSE&amp;VAR:CALENDAR=US&amp;VAR:SYMBOL=002939&amp;VAR:INDEX=0"}</definedName>
    <definedName name="_49__FDSAUDITLINK__" localSheetId="5" hidden="1">{"fdsup://directions/FAT Viewer?action=UPDATE&amp;creator=factset&amp;DYN_ARGS=TRUE&amp;DOC_NAME=FAT:FQL_AUDITING_CLIENT_TEMPLATE.FAT&amp;display_string=Audit&amp;VAR:KEY=YLCVWFIZGL&amp;VAR:QUERY=RkZfREVCVChRVFIsMCk=&amp;WINDOW=FIRST_POPUP&amp;HEIGHT=450&amp;WIDTH=450&amp;START_MAXIMIZED=FALSE&amp;VA","R:CALENDAR=US&amp;VAR:SYMBOL=652766&amp;VAR:INDEX=0"}</definedName>
    <definedName name="_5__123Graph_XCHART_4" localSheetId="5" hidden="1">#REF!</definedName>
    <definedName name="_5__FDSAUDITLINK__" localSheetId="5" hidden="1">{"fdsup://Directions/FactSet Auditing Viewer?action=AUDIT_VALUE&amp;DB=129&amp;ID1=529412&amp;VALUEID=01004&amp;SDATE=2010&amp;PERIODTYPE=ANN_STD&amp;SCFT=3&amp;window=popup_no_bar&amp;width=385&amp;height=120&amp;START_MAXIMIZED=FALSE&amp;creator=factset&amp;display_string=Audit"}</definedName>
    <definedName name="_50__FDSAUDITLINK__" localSheetId="5" hidden="1">{"fdsup://Directions/FactSet Auditing Viewer?action=AUDIT_VALUE&amp;DB=129&amp;ID1=680580&amp;VALUEID=05194&amp;SDATE=201101&amp;PERIODTYPE=QTR_STD&amp;SCFT=3&amp;window=popup_no_bar&amp;width=385&amp;height=120&amp;START_MAXIMIZED=FALSE&amp;creator=factset&amp;display_string=Audit"}</definedName>
    <definedName name="_51__FDSAUDITLINK__" localSheetId="5" hidden="1">{"fdsup://Directions/FactSet Auditing Viewer?action=AUDIT_VALUE&amp;DB=129&amp;ID1=616216&amp;VALUEID=05194&amp;SDATE=201101&amp;PERIODTYPE=QTR_STD&amp;SCFT=3&amp;window=popup_no_bar&amp;width=385&amp;height=120&amp;START_MAXIMIZED=FALSE&amp;creator=factset&amp;display_string=Audit"}</definedName>
    <definedName name="_52__FDSAUDITLINK__" localSheetId="5" hidden="1">{"fdsup://Directions/FactSet Auditing Viewer?action=AUDIT_VALUE&amp;DB=129&amp;ID1=B01T14&amp;VALUEID=05194&amp;SDATE=201101&amp;PERIODTYPE=QTR_STD&amp;SCFT=3&amp;window=popup_no_bar&amp;width=385&amp;height=120&amp;START_MAXIMIZED=FALSE&amp;creator=factset&amp;display_string=Audit"}</definedName>
    <definedName name="_53__FDSAUDITLINK__" localSheetId="5" hidden="1">{"fdsup://Directions/FactSet Auditing Viewer?action=AUDIT_VALUE&amp;DB=129&amp;ID1=B01LXY&amp;VALUEID=05194&amp;SDATE=201101&amp;PERIODTYPE=QTR_STD&amp;SCFT=3&amp;window=popup_no_bar&amp;width=385&amp;height=120&amp;START_MAXIMIZED=FALSE&amp;creator=factset&amp;display_string=Audit"}</definedName>
    <definedName name="_54__FDSAUDITLINK__" localSheetId="5" hidden="1">{"fdsup://Directions/FactSet Auditing Viewer?action=AUDIT_VALUE&amp;DB=129&amp;ID1=616216&amp;VALUEID=05194&amp;SDATE=201101&amp;PERIODTYPE=QTR_STD&amp;SCFT=3&amp;window=popup_no_bar&amp;width=385&amp;height=120&amp;START_MAXIMIZED=FALSE&amp;creator=factset&amp;display_string=Audit"}</definedName>
    <definedName name="_55__FDSAUDITLINK__" localSheetId="5" hidden="1">{"fdsup://Directions/FactSet Auditing Viewer?action=AUDIT_VALUE&amp;DB=129&amp;ID1=649613&amp;VALUEID=05192&amp;SDATE=201101&amp;PERIODTYPE=QTR_STD&amp;SCFT=3&amp;window=popup_no_bar&amp;width=385&amp;height=120&amp;START_MAXIMIZED=FALSE&amp;creator=factset&amp;display_string=Audit"}</definedName>
    <definedName name="_56__FDSAUDITLINK__" localSheetId="5" hidden="1">{"fdsup://Directions/FactSet Auditing Viewer?action=AUDIT_VALUE&amp;DB=129&amp;ID1=680580&amp;VALUEID=05192&amp;SDATE=201101&amp;PERIODTYPE=QTR_STD&amp;SCFT=3&amp;window=popup_no_bar&amp;width=385&amp;height=120&amp;START_MAXIMIZED=FALSE&amp;creator=factset&amp;display_string=Audit"}</definedName>
    <definedName name="_57__FDSAUDITLINK__" localSheetId="5" hidden="1">{"fdsup://Directions/FactSet Auditing Viewer?action=AUDIT_VALUE&amp;DB=129&amp;ID1=616216&amp;VALUEID=05192&amp;SDATE=201101&amp;PERIODTYPE=QTR_STD&amp;SCFT=3&amp;window=popup_no_bar&amp;width=385&amp;height=120&amp;START_MAXIMIZED=FALSE&amp;creator=factset&amp;display_string=Audit"}</definedName>
    <definedName name="_58__FDSAUDITLINK__" localSheetId="5" hidden="1">{"fdsup://Directions/FactSet Auditing Viewer?action=AUDIT_VALUE&amp;DB=129&amp;ID1=B01T14&amp;VALUEID=05192&amp;SDATE=201101&amp;PERIODTYPE=QTR_STD&amp;SCFT=3&amp;window=popup_no_bar&amp;width=385&amp;height=120&amp;START_MAXIMIZED=FALSE&amp;creator=factset&amp;display_string=Audit"}</definedName>
    <definedName name="_59__FDSAUDITLINK__" localSheetId="5" hidden="1">{"fdsup://Directions/FactSet Auditing Viewer?action=AUDIT_VALUE&amp;DB=129&amp;ID1=B01LXY&amp;VALUEID=05192&amp;SDATE=201101&amp;PERIODTYPE=QTR_STD&amp;SCFT=3&amp;window=popup_no_bar&amp;width=385&amp;height=120&amp;START_MAXIMIZED=FALSE&amp;creator=factset&amp;display_string=Audit"}</definedName>
    <definedName name="_6__123Graph_CCHART_1" localSheetId="5" hidden="1">#REF!</definedName>
    <definedName name="_6__FDSAUDITLINK__" localSheetId="5" hidden="1">{"fdsup://Directions/FactSet Auditing Viewer?action=AUDIT_VALUE&amp;DB=129&amp;ID1=B2Q4CS&amp;VALUEID=05192&amp;SDATE=201101&amp;PERIODTYPE=QTR_STD&amp;SCFT=3&amp;window=popup_no_bar&amp;width=385&amp;height=120&amp;START_MAXIMIZED=FALSE&amp;creator=factset&amp;display_string=Audit"}</definedName>
    <definedName name="_60__FDSAUDITLINK__" localSheetId="5" hidden="1">{"fdsup://Directions/FactSet Auditing Viewer?action=AUDIT_VALUE&amp;DB=129&amp;ID1=616216&amp;VALUEID=05192&amp;SDATE=201101&amp;PERIODTYPE=QTR_STD&amp;SCFT=3&amp;window=popup_no_bar&amp;width=385&amp;height=120&amp;START_MAXIMIZED=FALSE&amp;creator=factset&amp;display_string=Audit"}</definedName>
    <definedName name="_61__FDSAUDITLINK__" localSheetId="5"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2__FDSAUDITLINK__" localSheetId="5"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3__FDSAUDITLINK__" localSheetId="5"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4__FDSAUDITLINK__" localSheetId="5" hidden="1">{"fdsup://Directions/FactSet Auditing Viewer?action=AUDIT_VALUE&amp;DB=129&amp;ID1=615593&amp;VALUEID=05192&amp;SDATE=201101&amp;PERIODTYPE=QTR_STD&amp;SCFT=3&amp;window=popup_no_bar&amp;width=385&amp;height=120&amp;START_MAXIMIZED=FALSE&amp;creator=factset&amp;display_string=Audit"}</definedName>
    <definedName name="_65__FDSAUDITLINK__" localSheetId="5" hidden="1">{"fdsup://Directions/FactSet Auditing Viewer?action=AUDIT_VALUE&amp;DB=129&amp;ID1=615593&amp;VALUEID=05194&amp;SDATE=201101&amp;PERIODTYPE=QTR_STD&amp;SCFT=3&amp;window=popup_no_bar&amp;width=385&amp;height=120&amp;START_MAXIMIZED=FALSE&amp;creator=factset&amp;display_string=Audit"}</definedName>
    <definedName name="_66__FDSAUDITLINK__" localSheetId="5" hidden="1">{"fdsup://Directions/FactSet Auditing Viewer?action=AUDIT_VALUE&amp;DB=129&amp;ID1=B62B9W&amp;VALUEID=05192&amp;SDATE=201101&amp;PERIODTYPE=QTR_STD&amp;SCFT=3&amp;window=popup_no_bar&amp;width=385&amp;height=120&amp;START_MAXIMIZED=FALSE&amp;creator=factset&amp;display_string=Audit"}</definedName>
    <definedName name="_67__FDSAUDITLINK__" localSheetId="5" hidden="1">{"fdsup://Directions/FactSet Auditing Viewer?action=AUDIT_VALUE&amp;DB=129&amp;ID1=B62B9W&amp;VALUEID=05194&amp;SDATE=201101&amp;PERIODTYPE=QTR_STD&amp;SCFT=3&amp;window=popup_no_bar&amp;width=385&amp;height=120&amp;START_MAXIMIZED=FALSE&amp;creator=factset&amp;display_string=Audit"}</definedName>
    <definedName name="_68__FDSAUDITLINK__" localSheetId="5" hidden="1">{"fdsup://Directions/FactSet Auditing Viewer?action=AUDIT_VALUE&amp;DB=129&amp;ID1=B12C0T&amp;VALUEID=05192&amp;SDATE=201101&amp;PERIODTYPE=QTR_STD&amp;SCFT=3&amp;window=popup_no_bar&amp;width=385&amp;height=120&amp;START_MAXIMIZED=FALSE&amp;creator=factset&amp;display_string=Audit"}</definedName>
    <definedName name="_69__FDSAUDITLINK__" localSheetId="5" hidden="1">{"fdsup://Directions/FactSet Auditing Viewer?action=AUDIT_VALUE&amp;DB=129&amp;ID1=B12C0T&amp;VALUEID=05194&amp;SDATE=201101&amp;PERIODTYPE=QTR_STD&amp;SCFT=3&amp;window=popup_no_bar&amp;width=385&amp;height=120&amp;START_MAXIMIZED=FALSE&amp;creator=factset&amp;display_string=Audit"}</definedName>
    <definedName name="_7__FDSAUDITLINK__" localSheetId="5" hidden="1">{"fdsup://Directions/FactSet Auditing Viewer?action=AUDIT_VALUE&amp;DB=129&amp;ID1=B601QS&amp;VALUEID=05192&amp;SDATE=201101&amp;PERIODTYPE=QTR_STD&amp;SCFT=3&amp;window=popup_no_bar&amp;width=385&amp;height=120&amp;START_MAXIMIZED=FALSE&amp;creator=factset&amp;display_string=Audit"}</definedName>
    <definedName name="_70__FDSAUDITLINK__" localSheetId="5" hidden="1">{"fdsup://Directions/FactSet Auditing Viewer?action=AUDIT_VALUE&amp;DB=129&amp;ID1=B12C0T&amp;VALUEID=05192&amp;SDATE=201101&amp;PERIODTYPE=QTR_STD&amp;SCFT=3&amp;window=popup_no_bar&amp;width=385&amp;height=120&amp;START_MAXIMIZED=FALSE&amp;creator=factset&amp;display_string=Audit"}</definedName>
    <definedName name="_71__FDSAUDITLINK__" localSheetId="5" hidden="1">{"fdsup://Directions/FactSet Auditing Viewer?action=AUDIT_VALUE&amp;DB=129&amp;ID1=B12C0T&amp;VALUEID=05194&amp;SDATE=201101&amp;PERIODTYPE=QTR_STD&amp;SCFT=3&amp;window=popup_no_bar&amp;width=385&amp;height=120&amp;START_MAXIMIZED=FALSE&amp;creator=factset&amp;display_string=Audit"}</definedName>
    <definedName name="_72__FDSAUDITLINK__" localSheetId="5" hidden="1">{"fdsup://directions/FAT Viewer?action=UPDATE&amp;creator=factset&amp;DYN_ARGS=TRUE&amp;DOC_NAME=FAT:FQL_AUDITING_CLIENT_TEMPLATE.FAT&amp;display_string=Audit&amp;VAR:KEY=EPKPEBABGZ&amp;VAR:QUERY=RkZfREVCVChRVFIsMCk=&amp;WINDOW=FIRST_POPUP&amp;HEIGHT=450&amp;WIDTH=450&amp;START_MAXIMIZED=FALSE&amp;VA","R:CALENDAR=US&amp;VAR:SYMBOL=B62B9W&amp;VAR:INDEX=0"}</definedName>
    <definedName name="_73__FDSAUDITLINK__" localSheetId="5" hidden="1">{"fdsup://Directions/FactSet Auditing Viewer?action=AUDIT_VALUE&amp;DB=129&amp;ID1=B0YCFG&amp;VALUEID=05192&amp;SDATE=201101&amp;PERIODTYPE=QTR_STD&amp;SCFT=3&amp;window=popup_no_bar&amp;width=385&amp;height=120&amp;START_MAXIMIZED=FALSE&amp;creator=factset&amp;display_string=Audit"}</definedName>
    <definedName name="_74__FDSAUDITLINK__" localSheetId="5" hidden="1">{"fdsup://Directions/FactSet Auditing Viewer?action=AUDIT_VALUE&amp;DB=129&amp;ID1=B0YCFG&amp;VALUEID=05194&amp;SDATE=201101&amp;PERIODTYPE=QTR_STD&amp;SCFT=3&amp;window=popup_no_bar&amp;width=385&amp;height=120&amp;START_MAXIMIZED=FALSE&amp;creator=factset&amp;display_string=Audit"}</definedName>
    <definedName name="_75__FDSAUDITLINK__" localSheetId="5" hidden="1">{"fdsup://Directions/FactSet Auditing Viewer?action=AUDIT_VALUE&amp;DB=129&amp;ID1=649613&amp;VALUEID=05192&amp;SDATE=201101&amp;PERIODTYPE=QTR_STD&amp;SCFT=3&amp;window=popup_no_bar&amp;width=385&amp;height=120&amp;START_MAXIMIZED=FALSE&amp;creator=factset&amp;display_string=Audit"}</definedName>
    <definedName name="_76__FDSAUDITLINK__" localSheetId="5" hidden="1">{"fdsup://Directions/FactSet Auditing Viewer?action=AUDIT_VALUE&amp;DB=129&amp;ID1=B12C0T&amp;VALUEID=05192&amp;SDATE=201101&amp;PERIODTYPE=QTR_STD&amp;SCFT=3&amp;window=popup_no_bar&amp;width=385&amp;height=120&amp;START_MAXIMIZED=FALSE&amp;creator=factset&amp;display_string=Audit"}</definedName>
    <definedName name="_77__FDSAUDITLINK__" localSheetId="5" hidden="1">{"fdsup://Directions/FactSet Auditing Viewer?action=AUDIT_VALUE&amp;DB=129&amp;ID1=B12C0T&amp;VALUEID=05192&amp;SDATE=201101&amp;PERIODTYPE=QTR_STD&amp;SCFT=3&amp;window=popup_no_bar&amp;width=385&amp;height=120&amp;START_MAXIMIZED=FALSE&amp;creator=factset&amp;display_string=Audit"}</definedName>
    <definedName name="_78__FDSAUDITLINK__" localSheetId="5" hidden="1">{"fdsup://Directions/FactSet Auditing Viewer?action=AUDIT_VALUE&amp;DB=129&amp;ID1=B12C0T&amp;VALUEID=05192&amp;SDATE=201101&amp;PERIODTYPE=QTR_STD&amp;SCFT=3&amp;window=popup_no_bar&amp;width=385&amp;height=120&amp;START_MAXIMIZED=FALSE&amp;creator=factset&amp;display_string=Audit"}</definedName>
    <definedName name="_79__FDSAUDITLINK__" localSheetId="5" hidden="1">{"fdsup://Directions/FactSet Auditing Viewer?action=AUDIT_VALUE&amp;DB=129&amp;ID1=680580&amp;VALUEID=05194&amp;SDATE=201101&amp;PERIODTYPE=QTR_STD&amp;SCFT=3&amp;window=popup_no_bar&amp;width=385&amp;height=120&amp;START_MAXIMIZED=FALSE&amp;creator=factset&amp;display_string=Audit"}</definedName>
    <definedName name="_8__123Graph_LBL_ACHART_1" localSheetId="5" hidden="1">#REF!</definedName>
    <definedName name="_8__FDSAUDITLINK__" localSheetId="5" hidden="1">{"fdsup://Directions/FactSet Auditing Viewer?action=AUDIT_VALUE&amp;DB=129&amp;ID1=002939&amp;VALUEID=01004&amp;SDATE=2010&amp;PERIODTYPE=ANN_STD&amp;SCFT=3&amp;window=popup_no_bar&amp;width=385&amp;height=120&amp;START_MAXIMIZED=FALSE&amp;creator=factset&amp;display_string=Audit"}</definedName>
    <definedName name="_80__FDSAUDITLINK__" localSheetId="5" hidden="1">{"fdsup://Directions/FactSet Auditing Viewer?action=AUDIT_VALUE&amp;DB=129&amp;ID1=680580&amp;VALUEID=05192&amp;SDATE=201101&amp;PERIODTYPE=QTR_STD&amp;SCFT=3&amp;window=popup_no_bar&amp;width=385&amp;height=120&amp;START_MAXIMIZED=FALSE&amp;creator=factset&amp;display_string=Audit"}</definedName>
    <definedName name="_81__FDSAUDITLINK__" localSheetId="5" hidden="1">{"fdsup://Directions/FactSet Auditing Viewer?action=AUDIT_VALUE&amp;DB=129&amp;ID1=B0YCFG&amp;VALUEID=05192&amp;SDATE=201101&amp;PERIODTYPE=QTR_STD&amp;SCFT=3&amp;window=popup_no_bar&amp;width=385&amp;height=120&amp;START_MAXIMIZED=FALSE&amp;creator=factset&amp;display_string=Audit"}</definedName>
    <definedName name="_82__FDSAUDITLINK__" localSheetId="5" hidden="1">{"fdsup://Directions/FactSet Auditing Viewer?action=AUDIT_VALUE&amp;DB=129&amp;ID1=B62B9W&amp;VALUEID=05192&amp;SDATE=201101&amp;PERIODTYPE=QTR_STD&amp;SCFT=3&amp;window=popup_no_bar&amp;width=385&amp;height=120&amp;START_MAXIMIZED=FALSE&amp;creator=factset&amp;display_string=Audit"}</definedName>
    <definedName name="_83__FDSAUDITLINK__" localSheetId="5"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84__FDSAUDITLINK__" localSheetId="5"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85__FDSAUDITLINK__" localSheetId="5"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9__123Graph_LBL_ACHART_1" localSheetId="5" hidden="1">#REF!</definedName>
    <definedName name="_9__123Graph_LBL_ACHART_2" localSheetId="5" hidden="1">#REF!</definedName>
    <definedName name="_9__FDSAUDITLINK__" localSheetId="5" hidden="1">{"fdsup://Directions/FactSet Auditing Viewer?action=AUDIT_VALUE&amp;DB=129&amp;ID1=B2QKWK&amp;VALUEID=05192&amp;SDATE=201101&amp;PERIODTYPE=QTR_STD&amp;SCFT=3&amp;window=popup_no_bar&amp;width=385&amp;height=120&amp;START_MAXIMIZED=FALSE&amp;creator=factset&amp;display_string=Audit"}</definedName>
    <definedName name="_a1" localSheetId="5" hidden="1">{#N/A,#N/A,FALSE,"Pharm";#N/A,#N/A,FALSE,"WWCM"}</definedName>
    <definedName name="_A11" localSheetId="5" hidden="1">{#N/A,#N/A,FALSE,"Umsatz 99";#N/A,#N/A,FALSE,"ER 99 "}</definedName>
    <definedName name="_aaa1" localSheetId="5" hidden="1">{#N/A,#N/A,FALSE,"REPORT"}</definedName>
    <definedName name="_aas1" localSheetId="5" hidden="1">{#N/A,#N/A,FALSE,"REPORT"}</definedName>
    <definedName name="_ACS2000" localSheetId="5" hidden="1">{#N/A,#N/A,FALSE,"REPORT"}</definedName>
    <definedName name="_Apr03" localSheetId="5" hidden="1">{"Statement of Income",#N/A,TRUE,"Mar99";"Balance Sheet",#N/A,TRUE,"Mar99"}</definedName>
    <definedName name="_Apr04" localSheetId="5" hidden="1">{"Statement of Income",#N/A,TRUE,"Mar99";"Balance Sheet",#N/A,TRUE,"Mar99"}</definedName>
    <definedName name="_aug04" localSheetId="5" hidden="1">{"Statement of Income",#N/A,TRUE,"Mar99";"Balance Sheet",#N/A,TRUE,"Mar99"}</definedName>
    <definedName name="_b111" localSheetId="5" hidden="1">{#N/A,#N/A,FALSE,"Pharm";#N/A,#N/A,FALSE,"WWCM"}</definedName>
    <definedName name="_bdm.06aba940d10f4e9891315ec61059704a.edm" localSheetId="5" hidden="1">#REF!</definedName>
    <definedName name="_bdm.09e26870c38b4357a6aea2e373b7c6f1.edm" localSheetId="5" hidden="1">#REF!</definedName>
    <definedName name="_bdm.0c27711082264dd6b5cca30486d67157.edm" localSheetId="5" hidden="1">#REF!</definedName>
    <definedName name="_bdm.0ecff46e37b340048eaa524490633844.edm" localSheetId="5" hidden="1">#REF!</definedName>
    <definedName name="_bdm.0f344057a599479ea2b6147d4d0e3c5f.edm" localSheetId="5" hidden="1">#REF!</definedName>
    <definedName name="_bdm.107A9799626E4FC8B49DB037971FCDD2.edm" localSheetId="5" hidden="1">#REF!</definedName>
    <definedName name="_bdm.110fe0472f1e41cf8edfb7d9fbf72439.edm" localSheetId="5" hidden="1">#REF!</definedName>
    <definedName name="_bdm.12f0aa224e09430cad2ed60790ffe470.edm" localSheetId="5" hidden="1">#REF!</definedName>
    <definedName name="_bdm.1420e4c1048149d99f99db2566dfb5b6.edm" localSheetId="5" hidden="1">#REF!</definedName>
    <definedName name="_bdm.1497adb1f2b54105a4df4bc37a84c6c4.edm" localSheetId="5" hidden="1">#REF!</definedName>
    <definedName name="_bdm.1965d84e9dac42d2be9d9bf87fe61145.edm" localSheetId="5" hidden="1">#REF!</definedName>
    <definedName name="_bdm.1a29c1eb2dc64e088b7ad86656a9e874.edm" localSheetId="5" hidden="1">#REF!</definedName>
    <definedName name="_bdm.1a8de28cc6974690bbf0cff346208b17.edm" localSheetId="5" hidden="1">#REF!</definedName>
    <definedName name="_bdm.1b397b7c00064e61aa76d0144b785fe0.edm" localSheetId="5" hidden="1">#REF!</definedName>
    <definedName name="_bdm.1c518483f1b34bf589326925c6ad47f2.edm" localSheetId="5" hidden="1">#REF!</definedName>
    <definedName name="_bdm.214561e77c784af08279f1e267b69e4c.edm" localSheetId="5" hidden="1">#REF!</definedName>
    <definedName name="_bdm.2238af81b1df48a99cdf3fc2eac364e0.edm" localSheetId="5" hidden="1">#REF!</definedName>
    <definedName name="_bdm.234f7a16e72f40a0845104532184609f.edm" localSheetId="5" hidden="1">#REF!</definedName>
    <definedName name="_bdm.26445cecadca4d17a13d767e2fdc29fb.edm" localSheetId="5" hidden="1">#REF!</definedName>
    <definedName name="_bdm.26e841ef35ab4eb6affb63c417cc4c35.edm" localSheetId="5" hidden="1">#REF!</definedName>
    <definedName name="_bdm.29702e413a104ff5a9371b3ec0f1e346.edm" localSheetId="5" hidden="1">#REF!</definedName>
    <definedName name="_bdm.2a74673ecafc406ebd20d27a2d20d8db.edm" localSheetId="5" hidden="1">#REF!</definedName>
    <definedName name="_bdm.2aeb20c3e92449beb4f64a19da293aae.edm" localSheetId="5" hidden="1">#REF!</definedName>
    <definedName name="_bdm.3243e94bedbf4599a63778c5179a9b09.edm" localSheetId="5" hidden="1">#REF!</definedName>
    <definedName name="_bdm.332938db69b349d08ea559a761998da8.edm" localSheetId="5" hidden="1">#REF!</definedName>
    <definedName name="_bdm.33f753569bdc4b8fae2126d83823e39f.edm" localSheetId="5" hidden="1">#REF!</definedName>
    <definedName name="_bdm.3749b8233bd94fbb97c5bf2340186fff.edm" localSheetId="5" hidden="1">#REF!</definedName>
    <definedName name="_bdm.3b8b6c75df1847e2b4c8054302cc61b8.edm" localSheetId="5" hidden="1">#REF!</definedName>
    <definedName name="_bdm.3bbbdad2c6ff46689a0c5056d2bca420.edm" localSheetId="5" hidden="1">#REF!</definedName>
    <definedName name="_bdm.3c295d39c4ca459f94ea51cb739309b9.edm" localSheetId="5" hidden="1">#REF!</definedName>
    <definedName name="_bdm.41291a97341f414c839ef174f521a6aa.edm" localSheetId="5" hidden="1">#REF!</definedName>
    <definedName name="_bdm.440ce4c88b06424d942f877ea996d545.edm" localSheetId="5" hidden="1">#REF!</definedName>
    <definedName name="_bdm.47285f811d0143979ceb9834d0043a8d.edm" localSheetId="5" hidden="1">#REF!</definedName>
    <definedName name="_bdm.4823498195f64b0fa90e1a741418009c.edm" localSheetId="5" hidden="1">#REF!</definedName>
    <definedName name="_bdm.49565361dbda41eab60069382827a057.edm" localSheetId="5" hidden="1">#REF!</definedName>
    <definedName name="_bdm.4bc3f84aac74476fb6b30639df9457e6.edm" localSheetId="5" hidden="1">#REF!</definedName>
    <definedName name="_bdm.4fd121ca66564828a3b31134ce8761d6.edm" localSheetId="5" hidden="1">#REF!</definedName>
    <definedName name="_bdm.56759a0aaab9447da1feaf28376f3f18.edm" localSheetId="5" hidden="1">#REF!</definedName>
    <definedName name="_bdm.585db46637e84fdbb9c96eb7fa844a10.edm" localSheetId="5" hidden="1">#REF!</definedName>
    <definedName name="_bdm.5B55EC15D59D494AA5E3D74BF9AE6CDB.edm" localSheetId="5" hidden="1">#REF!</definedName>
    <definedName name="_bdm.5c152d30ac0747f79c24f036e6a05020.edm" localSheetId="5" hidden="1">#REF!</definedName>
    <definedName name="_bdm.5d3c0e326a334d279f76e57f90740956.edm" localSheetId="5" hidden="1">#REF!</definedName>
    <definedName name="_bdm.5d44ab69fbb040c7bc1f0362425a561d.edm" localSheetId="5" hidden="1">#REF!</definedName>
    <definedName name="_bdm.6517d25ae5414d19b53ecc71e4866bb9.edm" localSheetId="5" hidden="1">#REF!</definedName>
    <definedName name="_bdm.66202a0bdac64c43a5a7f83fd8de7c9f.edm" localSheetId="5" hidden="1">#REF!</definedName>
    <definedName name="_bdm.6690f7a1b49046cd92e6613dfaef875d.edm" localSheetId="5" hidden="1">#REF!</definedName>
    <definedName name="_bdm.68bfd4388f7043ed9321ec5178f77d37.edm" localSheetId="5" hidden="1">#REF!</definedName>
    <definedName name="_bdm.695146503cea4412b0664012f646045f.edm" localSheetId="5" hidden="1">#REF!</definedName>
    <definedName name="_bdm.69c201d82a644eca8a9fbed036d32601.edm" localSheetId="5" hidden="1">#REF!</definedName>
    <definedName name="_bdm.6ba6e74e6eb748d583cd9321429e307b.edm" localSheetId="5" hidden="1">#REF!</definedName>
    <definedName name="_bdm.6d7dc00e546f4af4a97581b467c60e24.edm" localSheetId="5" hidden="1">#REF!</definedName>
    <definedName name="_bdm.705bdc931efa45a38c8e79cc7b403c80.edm" localSheetId="5" hidden="1">#REF!</definedName>
    <definedName name="_bdm.72599d5820f046f79580d875534f093a.edm" localSheetId="5" hidden="1">#REF!</definedName>
    <definedName name="_bdm.72733edca7d54cd2b5c4d91c4dca0d87.edm" localSheetId="5" hidden="1">#REF!</definedName>
    <definedName name="_bdm.740fc54ffb42446ca63ea59791c98f7f.edm" localSheetId="5" hidden="1">#REF!</definedName>
    <definedName name="_bdm.752f7def96f14bc3accad76e5e3cdd88.edm" localSheetId="5" hidden="1">#REF!</definedName>
    <definedName name="_bdm.77eb6f822121492aa3868cae88abcecb.edm" localSheetId="5" hidden="1">#REF!</definedName>
    <definedName name="_bdm.7e2ade1d496b41699589357f401fda88.edm" localSheetId="5" hidden="1">#REF!</definedName>
    <definedName name="_bdm.81cf058de8eb44c0968677f4f1b16ca0.edm" localSheetId="5" hidden="1">#REF!</definedName>
    <definedName name="_bdm.84e52997677e4d24b08c10da4c726f80.edm" localSheetId="5" hidden="1">#REF!</definedName>
    <definedName name="_bdm.88462335defc4036849a815ca4416c8c.edm" localSheetId="5" hidden="1">#REF!</definedName>
    <definedName name="_bdm.8a3c598aee154ff6931ce6dd468ddaea.edm" localSheetId="5" hidden="1">#REF!</definedName>
    <definedName name="_bdm.8a44d1c95ac34250b264a3a864fcb86b.edm" localSheetId="5" hidden="1">#REF!</definedName>
    <definedName name="_bdm.8a55a33b552e451fb03ec997b9731453.edm" localSheetId="5" hidden="1">#REF!</definedName>
    <definedName name="_bdm.8c9a430faa154994a2270cae796eb559.edm" localSheetId="5" hidden="1">#REF!</definedName>
    <definedName name="_bdm.8cdb7ccd95d74af990906609ea35dfbc.edm" localSheetId="5" hidden="1">#REF!</definedName>
    <definedName name="_bdm.8dfc430906c342bd882d6a98b39b69f1.edm" localSheetId="5" hidden="1">#REF!</definedName>
    <definedName name="_bdm.9091c479dd1b47ec874324364a5b9ae3.edm" localSheetId="5" hidden="1">#REF!</definedName>
    <definedName name="_bdm.913e03f58e1f4452963c57a381265ee7.edm" localSheetId="5" hidden="1">#REF!</definedName>
    <definedName name="_bdm.93ca406dc6834ae69565065edc9c2485.edm" localSheetId="5" hidden="1">#REF!</definedName>
    <definedName name="_bdm.959e76887e7543758f2e98344fea62e5.edm" localSheetId="5" hidden="1">#REF!</definedName>
    <definedName name="_bdm.9686b5ad8e454bdc831589f3096d9a75.edm" localSheetId="5" hidden="1">#REF!</definedName>
    <definedName name="_bdm.9CDC35CDB7B143079762F320F757C403.edm" localSheetId="5" hidden="1">#REF!</definedName>
    <definedName name="_bdm.a0309f58e97b4c6d8322611907706b6a.edm" localSheetId="5" hidden="1">#REF!</definedName>
    <definedName name="_bdm.a1e0c8fa41d44456bd3fd7eb5a5d9627.edm" localSheetId="5" hidden="1">#REF!</definedName>
    <definedName name="_bdm.a2767cf6f5294501949b9f3c21b3776d.edm" localSheetId="5" hidden="1">#REF!</definedName>
    <definedName name="_bdm.a4ade6bf31a84e6bacb74a8df69fca58.edm" localSheetId="5" hidden="1">#REF!</definedName>
    <definedName name="_bdm.a69419b31f744796b987db38ad0d649e.edm" localSheetId="5" hidden="1">#REF!</definedName>
    <definedName name="_bdm.a7155ec8dbbd466e9e9760143496bc24.edm" localSheetId="5" hidden="1">#REF!</definedName>
    <definedName name="_bdm.a8e01da119ca4d9c97d0184b931b4420.edm" localSheetId="5" hidden="1">#REF!</definedName>
    <definedName name="_bdm.A9E8F2214015449F99BBFDAC629C22DB.edm" localSheetId="5" hidden="1">#REF!</definedName>
    <definedName name="_bdm.ab7b7b42d23245188962b044b04613e6.edm" localSheetId="5" hidden="1">#REF!</definedName>
    <definedName name="_bdm.acacaaab71bd41e0b29ad58a8364f331.edm" localSheetId="5" hidden="1">#REF!</definedName>
    <definedName name="_bdm.acefef0cf05b4befa5daff43bfd4bb8b.edm" localSheetId="5" hidden="1">#REF!</definedName>
    <definedName name="_bdm.b1683122ac6b4606ba091a2d30a53c97.edm" localSheetId="5" hidden="1">#REF!</definedName>
    <definedName name="_bdm.b4d515774e7a423c8064201e48a64c9c.edm" localSheetId="5" hidden="1">#REF!</definedName>
    <definedName name="_bdm.b5d441b04f98485b9fa2305f394ea693.edm" localSheetId="5" hidden="1">#REF!</definedName>
    <definedName name="_bdm.b6296d9d69be44d3b0ab376cc7a2077d.edm" localSheetId="5" hidden="1">#REF!</definedName>
    <definedName name="_bdm.b66241962f6f4cf6a41d86d230025c5f.edm" localSheetId="5" hidden="1">#REF!</definedName>
    <definedName name="_bdm.B78A2F570E0D4F80A27689B75CAACA19.edm" localSheetId="5" hidden="1">#REF!</definedName>
    <definedName name="_bdm.bae08ec90f6946df8081afc258d047e2.edm" localSheetId="5" hidden="1">#REF!</definedName>
    <definedName name="_bdm.bb2880eacbfa40f28db22aef1696cb1f.edm" localSheetId="5" hidden="1">#REF!</definedName>
    <definedName name="_bdm.bfdbf5fa636b44d9a2044c3bf3f4fce1.edm" localSheetId="5" hidden="1">#REF!</definedName>
    <definedName name="_bdm.c337c662ace64983b75f1598939e1ca0.edm" localSheetId="5" hidden="1">#REF!</definedName>
    <definedName name="_bdm.c82f6d59ab0f4183ab7982284f6ca023.edm" localSheetId="5" hidden="1">#REF!</definedName>
    <definedName name="_bdm.c95f0efb7afc4bddb5661b316a446c20.edm" localSheetId="5" hidden="1">#REF!</definedName>
    <definedName name="_bdm.CAAD75B892744DA7A396804116BF19C2.edm" localSheetId="5" hidden="1">#REF!</definedName>
    <definedName name="_bdm.CCC9810E33DE4D12B7AF2ADB20F5BEB6.edm" localSheetId="5" hidden="1">#REF!</definedName>
    <definedName name="_bdm.d1968915ea1d488ba2e70cb188c7112f.edm" localSheetId="5" hidden="1">#REF!</definedName>
    <definedName name="_bdm.d1ca68b227d84bca98bb89dba783a220.edm" localSheetId="5" hidden="1">#REF!</definedName>
    <definedName name="_bdm.d267de5bccac46c4a3b6fd653ff128a9.edm" localSheetId="5" hidden="1">#REF!</definedName>
    <definedName name="_bdm.d53f47b82daf45e4868929e6a4a61b28.edm" localSheetId="5" hidden="1">#REF!</definedName>
    <definedName name="_bdm.d5905c45accc467d8e0cbecfbdb6d351.edm" localSheetId="5" hidden="1">#REF!</definedName>
    <definedName name="_bdm.da19e4131cb1467a902e377b3a70585c.edm" localSheetId="5" hidden="1">#REF!</definedName>
    <definedName name="_bdm.DB532E19E1024187875B38658C500AFB.edm" localSheetId="5" hidden="1">#REF!</definedName>
    <definedName name="_bdm.dcae2f7028fe4979b995dfb76193bf08.edm" localSheetId="5" hidden="1">#REF!</definedName>
    <definedName name="_bdm.df41725d793e46f38e1f8990b163397d.edm" localSheetId="5" hidden="1">#REF!</definedName>
    <definedName name="_bdm.e35c9784e4ad47a7a5c78064174100d9.edm" localSheetId="5" hidden="1">#REF!</definedName>
    <definedName name="_bdm.e570225ffa854d47a1516065465b8c39.edm" localSheetId="5" hidden="1">#REF!</definedName>
    <definedName name="_bdm.e6bcf26036b34f4db6695a8b5c33b57a.edm" localSheetId="5" hidden="1">#REF!</definedName>
    <definedName name="_bdm.ea29e06f9ded4e86b9cbf4762b02bddd.edm" localSheetId="5" hidden="1">#REF!</definedName>
    <definedName name="_bdm.ebbe593872c146e495157e215b93eeb9.edm" localSheetId="5" hidden="1">#REF!</definedName>
    <definedName name="_bdm.f657bf8812554f2393edb0592314ae5c.edm" localSheetId="5" hidden="1">#REF!</definedName>
    <definedName name="_bdm.f65f2519a1cc483eb303d30ed9683ea7.edm" localSheetId="5" hidden="1">#REF!</definedName>
    <definedName name="_bdm.f98f720359e04de195dafd5feb1f2931.edm" localSheetId="5" hidden="1">#REF!</definedName>
    <definedName name="_bdm.fae8c1993a0348c6bd3f3f88bca1680b.edm" localSheetId="5" hidden="1">#REF!</definedName>
    <definedName name="_bdm.faefdaef13054963acdeec03973192fb.edm" localSheetId="5" hidden="1">#REF!</definedName>
    <definedName name="_bdm.FB8D8AB244B64BB9B4F5F5A4C5205085.edm" localSheetId="5" hidden="1">#REF!</definedName>
    <definedName name="_bdm.fbf2cf8320134cd6b6acb7e0469adae4.edm" localSheetId="5" hidden="1">#REF!</definedName>
    <definedName name="_bdm.fbf95f80a8a345a8a68e5f1c32ce5841.edm" localSheetId="5" hidden="1">#REF!</definedName>
    <definedName name="_bdm.fc1c10be5f384f7f9699c11635fbdb69.edm" localSheetId="5" hidden="1">#REF!</definedName>
    <definedName name="_bdm.fc61fabc452f40daa3bf7256b8675373.edm" localSheetId="5" hidden="1">#REF!</definedName>
    <definedName name="_c" localSheetId="5" hidden="1">{"Fiesta Facer Page",#N/A,FALSE,"Q_C_S";"Fiesta Main Page",#N/A,FALSE,"V_L";"Fiesta 95BP Struct",#N/A,FALSE,"StructBP";"Fiesta Post 95BP Struct",#N/A,FALSE,"AdjStructBP"}</definedName>
    <definedName name="_Dec01" localSheetId="5" hidden="1">{"Statement of Income",#N/A,TRUE,"Mar99";"Balance Sheet",#N/A,TRUE,"Mar99"}</definedName>
    <definedName name="_Dist_Values" localSheetId="5" hidden="1">#REF!</definedName>
    <definedName name="_feb01" localSheetId="5" hidden="1">{"Statement of Income",#N/A,TRUE,"Mar99";"Balance Sheet",#N/A,TRUE,"Mar99"}</definedName>
    <definedName name="_feb02" localSheetId="5" hidden="1">{"Statement of Income",#N/A,TRUE,"Mar99";"Balance Sheet",#N/A,TRUE,"Mar99"}</definedName>
    <definedName name="_Fill" localSheetId="5" hidden="1">#REF!</definedName>
    <definedName name="_Jun02" localSheetId="5" hidden="1">{"Statement of Income",#N/A,TRUE,"Mar99";"Balance Sheet",#N/A,TRUE,"Mar99"}</definedName>
    <definedName name="_Key1" localSheetId="5" hidden="1">#REF!</definedName>
    <definedName name="_Key2" localSheetId="5" hidden="1">#REF!</definedName>
    <definedName name="_Mar03" localSheetId="5" hidden="1">{"Statement of Income",#N/A,TRUE,"Mar99";"Balance Sheet",#N/A,TRUE,"Mar99"}</definedName>
    <definedName name="_Mar04" localSheetId="5" hidden="1">{"Statement of Income",#N/A,TRUE,"Mar99";"Balance Sheet",#N/A,TRUE,"Mar99"}</definedName>
    <definedName name="_new1" localSheetId="5" hidden="1">{#N/A,#N/A,FALSE,"Pharm";#N/A,#N/A,FALSE,"WWCM"}</definedName>
    <definedName name="_o1" localSheetId="5" hidden="1">{#N/A,#N/A,FALSE,"SUMMARY";#N/A,#N/A,FALSE,"mcsh";#N/A,#N/A,FALSE,"vol&amp;rev";#N/A,#N/A,FALSE,"wkgcap";#N/A,#N/A,FALSE,"DEPR&amp;DT";#N/A,#N/A,FALSE,"ASSETS";#N/A,#N/A,FALSE,"NI&amp;OTH&amp;DIV";#N/A,#N/A,FALSE,"CASHFLOW";#N/A,#N/A,FALSE,"CAPEMPL";#N/A,#N/A,FALSE,"ROCE"}</definedName>
    <definedName name="_OCT01" localSheetId="5" hidden="1">{"Statement of Income",#N/A,TRUE,"Mar99";"Balance Sheet",#N/A,TRUE,"Mar99"}</definedName>
    <definedName name="_OCT03" localSheetId="5" hidden="1">{"Statement of Income",#N/A,TRUE,"Mar99";"Balance Sheet",#N/A,TRUE,"Mar99"}</definedName>
    <definedName name="_Parse_In" localSheetId="5" hidden="1">#REF!</definedName>
    <definedName name="_Parse_Out" localSheetId="5" hidden="1">#REF!</definedName>
    <definedName name="_r" localSheetId="5" hidden="1">{#N/A,#N/A,FALSE,"Pharm";#N/A,#N/A,FALSE,"WWCM"}</definedName>
    <definedName name="_Regression_Out" localSheetId="5" hidden="1">#REF!</definedName>
    <definedName name="_Regression_X" localSheetId="5" hidden="1">#REF!</definedName>
    <definedName name="_Regression_Y" localSheetId="5" hidden="1">#REF!</definedName>
    <definedName name="_SEP01" localSheetId="5" hidden="1">{"Statement of Income",#N/A,TRUE,"Mar99";"Balance Sheet",#N/A,TRUE,"Mar99"}</definedName>
    <definedName name="_Sep03" localSheetId="5" hidden="1">{"Statement of Income",#N/A,TRUE,"Mar99";"Balance Sheet",#N/A,TRUE,"Mar99"}</definedName>
    <definedName name="_Sort" localSheetId="5" hidden="1">#REF!</definedName>
    <definedName name="_Table1_In1" localSheetId="5" hidden="1">#REF!</definedName>
    <definedName name="_Table1_Out" localSheetId="5" hidden="1">#REF!</definedName>
    <definedName name="_Table2_In1" localSheetId="5" hidden="1">#REF!</definedName>
    <definedName name="_Table2_In2" localSheetId="5" hidden="1">#REF!</definedName>
    <definedName name="_Table2_Out" localSheetId="5" hidden="1">#REF!</definedName>
    <definedName name="_tm1" localSheetId="5" hidden="1">{#N/A,#N/A,FALSE,"Pharm";#N/A,#N/A,FALSE,"WWCM"}</definedName>
    <definedName name="_TMAutoChart1Names" localSheetId="5" hidden="1">{"Timeline","Chart 6","Timeline Chart 6"}</definedName>
    <definedName name="_TMAutoChart1Refs" localSheetId="5" hidden="1">{"","","'Timeline'!$F$16","'Timeline'!$F$25","","","","","",""}</definedName>
    <definedName name="_TMAutoChart2Names" localSheetId="5" hidden="1">{"Timeline","Chart 6","Timeline Chart 6"}</definedName>
    <definedName name="_TMAutoChart2Refs" localSheetId="5" hidden="1">{"","","'Timeline'!$F$16","'Timeline'!$H$25","","","","","",""}</definedName>
    <definedName name="_ww2" localSheetId="5" hidden="1">{#N/A,#N/A,FALSE,"Admin";#N/A,#N/A,FALSE,"Other"}</definedName>
    <definedName name="_X2" localSheetId="5" hidden="1">{#N/A,#N/A,FALSE,"Other";#N/A,#N/A,FALSE,"Ace";#N/A,#N/A,FALSE,"Derm"}</definedName>
    <definedName name="_xlcn.WorksheetConnection_CapexA19F431" localSheetId="5" hidden="1">#REF!</definedName>
    <definedName name="aa" localSheetId="5" hidden="1">{#N/A,#N/A,FALSE,"Pharm";#N/A,#N/A,FALSE,"WWCM"}</definedName>
    <definedName name="aaa" localSheetId="5" hidden="1">{"BS",#N/A,FALSE,"USA"}</definedName>
    <definedName name="aaaa" localSheetId="5" hidden="1">{#N/A,#N/A,FALSE,"REPORT"}</definedName>
    <definedName name="aaaaa" localSheetId="5" hidden="1">{#N/A,#N/A,TRUE,"BUD VS ACT AUST 96";#N/A,#N/A,TRUE,"96 COMP P&amp;L-AUST";#N/A,#N/A,TRUE,"COMP BS-AUSTRALIA";#N/A,#N/A,TRUE,"B/S - AUSTR."}</definedName>
    <definedName name="aaaaaa" localSheetId="5" hidden="1">{#N/A,#N/A,FALSE,"REPORT"}</definedName>
    <definedName name="aaaaaaa" localSheetId="5" hidden="1">{"barlup",#N/A,FALSE,"evabnk97";"gillespey",#N/A,FALSE,"evabnk97";"koon",#N/A,FALSE,"evabnk97";"schreur",#N/A,FALSE,"evabnk97";"stone",#N/A,FALSE,"evabnk97";"wichmann",#N/A,FALSE,"evabnk97";"wright",#N/A,FALSE,"evabnk97"}</definedName>
    <definedName name="aaaaaaaaaaa" localSheetId="5" hidden="1">{#N/A,#N/A,FALSE,"REPORT"}</definedName>
    <definedName name="aaaaaaaaaaaa" localSheetId="5" hidden="1">{#N/A,#N/A,TRUE,"BUD VS ACT AUST 96";#N/A,#N/A,TRUE,"96 COMP P&amp;L-AUST";#N/A,#N/A,TRUE,"COMP BS-AUSTRALIA";#N/A,#N/A,TRUE,"B/S - AUSTR."}</definedName>
    <definedName name="aaaaaaaaaaaaaaa" localSheetId="5" hidden="1">{#N/A,#N/A,FALSE,"Pharm";#N/A,#N/A,FALSE,"WWCM"}</definedName>
    <definedName name="aaasb" localSheetId="5" hidden="1">{#N/A,#N/A,FALSE,"Pharm";#N/A,#N/A,FALSE,"WWCM"}</definedName>
    <definedName name="aab" localSheetId="5" hidden="1">{#N/A,#N/A,FALSE,"Pharm";#N/A,#N/A,FALSE,"WWCM"}</definedName>
    <definedName name="aaddd" localSheetId="5" hidden="1">{#N/A,#N/A,FALSE,"REPORT"}</definedName>
    <definedName name="aas" localSheetId="5" hidden="1">{#N/A,#N/A,FALSE,"1";#N/A,#N/A,FALSE,"2";#N/A,#N/A,FALSE,"16 - 17";#N/A,#N/A,FALSE,"18 - 19";#N/A,#N/A,FALSE,"26";#N/A,#N/A,FALSE,"27";#N/A,#N/A,FALSE,"28"}</definedName>
    <definedName name="ABC" localSheetId="5" hidden="1">{#N/A,#N/A,TRUE,"BUD VS ACT AUST 96";#N/A,#N/A,TRUE,"96 COMP P&amp;L-AUST";#N/A,#N/A,TRUE,"COMP BS-AUSTRALIA";#N/A,#N/A,TRUE,"B/S - AUSTR."}</definedName>
    <definedName name="abc.abc" localSheetId="5" hidden="1">{"cash flow - FY02",#N/A,FALSE,"P &amp; L";"cash flow - FY03",#N/A,FALSE,"P &amp; L"}</definedName>
    <definedName name="abc.abc2" localSheetId="5" hidden="1">{"cash flow - FY02",#N/A,FALSE,"P &amp; L";"cash flow - FY03",#N/A,FALSE,"P &amp; L"}</definedName>
    <definedName name="absfghbtg" localSheetId="5" hidden="1">#REF!,#REF!,#REF!,#REF!,#REF!,#REF!,#REF!,#REF!,#REF!,#REF!,#REF!,#REF!,#REF!,#REF!,#REF!,#REF!,#REF!,#REF!,#REF!,#REF!,#REF!,#REF!,#REF!,#REF!,#REF!,#REF!,#REF!,#REF!,#REF!,#REF!,#REF!,#REF!,#REF!,#REF!,#REF!,#REF!,#REF!,#REF!,#REF!,#REF!,#REF!,#REF!,#REF!,#REF!,#REF!,#REF!,#REF!,#REF!,#REF!,#REF!,#REF!,#REF!,#REF!,#REF!</definedName>
    <definedName name="acc" localSheetId="5" hidden="1">{"Accretion",#N/A,FALSE,"Assum"}</definedName>
    <definedName name="adasa" localSheetId="5" hidden="1">{"'Sheet1'!$A$1:$J$121"}</definedName>
    <definedName name="adfadf" localSheetId="5" hidden="1">{"'Sheet1'!$A$1:$J$121"}</definedName>
    <definedName name="adfgasdysty" localSheetId="5" hidden="1">{#N/A,#N/A,FALSE,"REPORT"}</definedName>
    <definedName name="adfsfjfjky" localSheetId="5" hidden="1">{#N/A,#N/A,FALSE,"REPORT"}</definedName>
    <definedName name="adhad" localSheetId="5" hidden="1">{"'Sheet1'!$A$1:$J$121"}</definedName>
    <definedName name="AFDADSFDAS" localSheetId="5" hidden="1">{#N/A,#N/A,FALSE,"REPORT"}</definedName>
    <definedName name="africa" localSheetId="5" hidden="1">{#N/A,#N/A,FALSE,"CNS";#N/A,#N/A,FALSE,"Serz";#N/A,#N/A,FALSE,"Ace"}</definedName>
    <definedName name="agafdhsdh" localSheetId="5" hidden="1">{#N/A,#N/A,FALSE,"REPORT"}</definedName>
    <definedName name="agsgaghgfj" localSheetId="5" hidden="1">{#N/A,#N/A,FALSE,"Pharm";#N/A,#N/A,FALSE,"WWCM"}</definedName>
    <definedName name="alb" localSheetId="5" hidden="1">{#N/A,#N/A,FALSE,"Summary";#N/A,#N/A,FALSE,"Edit";#N/A,#N/A,FALSE,"MedProf";#N/A,#N/A,FALSE,"Proj Mgt";#N/A,#N/A,FALSE,"Creat Svc";#N/A,#N/A,FALSE,"Meet Svc";#N/A,#N/A,FALSE,"Non-OCC";#N/A,#N/A,FALSE,"Client Svc";#N/A,#N/A,FALSE,"Bus Dev";#N/A,#N/A,FALSE,"Indirect"}</definedName>
    <definedName name="alex" localSheetId="5" hidden="1">{#N/A,#N/A,FALSE,"REPORT"}</definedName>
    <definedName name="alexan" localSheetId="5" hidden="1">{#N/A,#N/A,FALSE,"REPORT"}</definedName>
    <definedName name="andy" localSheetId="5" hidden="1">{#N/A,#N/A,FALSE,"REPORT"}</definedName>
    <definedName name="Apr00" localSheetId="5" hidden="1">{"Statement of Income",#N/A,TRUE,"Mar99";"Balance Sheet",#N/A,TRUE,"Mar99"}</definedName>
    <definedName name="Apr00TB" localSheetId="5" hidden="1">{"Statement of Income",#N/A,TRUE,"Mar99";"Balance Sheet",#N/A,TRUE,"Mar99"}</definedName>
    <definedName name="AS" localSheetId="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AS2TickmarkLS" localSheetId="5" hidden="1">#REF!</definedName>
    <definedName name="asas" localSheetId="5" hidden="1">{#N/A,#N/A,FALSE,"Pharm";#N/A,#N/A,FALSE,"WWCM"}</definedName>
    <definedName name="asd" localSheetId="5" hidden="1">{#N/A,#N/A,FALSE,"Pharm";#N/A,#N/A,FALSE,"WWCM"}</definedName>
    <definedName name="asdfadsf" localSheetId="5" hidden="1">{"'Sheet1'!$A$1:$J$121"}</definedName>
    <definedName name="asdfg" localSheetId="5" hidden="1">{#N/A,#N/A,FALSE,"Pharm";#N/A,#N/A,FALSE,"WWCM"}</definedName>
    <definedName name="asdgahdfhth" localSheetId="5" hidden="1">{#N/A,#N/A,FALSE,"REPORT"}</definedName>
    <definedName name="asdgayery" localSheetId="5" hidden="1">{#N/A,#N/A,FALSE,"Pharm";#N/A,#N/A,FALSE,"WWCM"}</definedName>
    <definedName name="asdgfdytyet" localSheetId="5" hidden="1">{#N/A,#N/A,FALSE,"REPORT"}</definedName>
    <definedName name="asdgtryukuio" localSheetId="5" hidden="1">{#N/A,#N/A,FALSE,"REPORT"}</definedName>
    <definedName name="asdjgkl" localSheetId="5" hidden="1">{#N/A,#N/A,FALSE,"Pharm";#N/A,#N/A,FALSE,"WWCM"}</definedName>
    <definedName name="asfasdf" localSheetId="5" hidden="1">#REF!</definedName>
    <definedName name="asffghujyki" localSheetId="5" hidden="1">{#N/A,#N/A,FALSE,"Pharm";#N/A,#N/A,FALSE,"WWCM"}</definedName>
    <definedName name="ASSA" localSheetId="5" hidden="1">{#N/A,#N/A,FALSE,"1";#N/A,#N/A,FALSE,"2";#N/A,#N/A,FALSE,"16 - 17";#N/A,#N/A,FALSE,"18 - 19";#N/A,#N/A,FALSE,"26";#N/A,#N/A,FALSE,"27";#N/A,#N/A,FALSE,"28"}</definedName>
    <definedName name="aust" localSheetId="5" hidden="1">{#N/A,#N/A,TRUE,"BUD VS ACT AUST 96";#N/A,#N/A,TRUE,"96 COMP P&amp;L-AUST";#N/A,#N/A,TRUE,"COMP BS-AUSTRALIA";#N/A,#N/A,TRUE,"B/S - AUSTR."}</definedName>
    <definedName name="awe" localSheetId="5" hidden="1">{#N/A,#N/A,FALSE,"COVER";#N/A,#N/A,FALSE,"Index";#N/A,#N/A,FALSE,"Non-Earning";#N/A,#N/A,FALSE,"Commercial";#N/A,#N/A,FALSE,"Detailed"}</definedName>
    <definedName name="AX" localSheetId="5" hidden="1">{#N/A,#N/A,FALSE,"Pharm";#N/A,#N/A,FALSE,"WWCM"}</definedName>
    <definedName name="ayman" localSheetId="5" hidden="1">{#N/A,#N/A,FALSE,"1";#N/A,#N/A,FALSE,"2";#N/A,#N/A,FALSE,"16 - 17";#N/A,#N/A,FALSE,"18 - 19";#N/A,#N/A,FALSE,"26";#N/A,#N/A,FALSE,"27";#N/A,#N/A,FALSE,"28"}</definedName>
    <definedName name="ayman1" localSheetId="5" hidden="1">{#N/A,#N/A,FALSE,"Pharm";#N/A,#N/A,FALSE,"WWCM"}</definedName>
    <definedName name="ayman2" localSheetId="5" hidden="1">{#N/A,#N/A,FALSE,"Pharm";#N/A,#N/A,FALSE,"WWCM"}</definedName>
    <definedName name="ayman7" localSheetId="5" hidden="1">{#N/A,#N/A,FALSE,"REPORT"}</definedName>
    <definedName name="ayman8" localSheetId="5" hidden="1">{#N/A,#N/A,FALSE,"REPORT"}</definedName>
    <definedName name="az" localSheetId="5" hidden="1">{#N/A,#N/A,FALSE,"Pharm";#N/A,#N/A,FALSE,"WWCM"}</definedName>
    <definedName name="azeazr" localSheetId="5" hidden="1">{#N/A,#N/A,FALSE,"Sales Graph";#N/A,#N/A,FALSE,"BUC Graph";#N/A,#N/A,FALSE,"P&amp;L - YTD"}</definedName>
    <definedName name="azerety" localSheetId="5" hidden="1">{#N/A,#N/A,FALSE,"Pharm";#N/A,#N/A,FALSE,"WWCM"}</definedName>
    <definedName name="b" localSheetId="5" hidden="1">{"barlup",#N/A,FALSE,"evabnk97";"gillespey",#N/A,FALSE,"evabnk97";"koon",#N/A,FALSE,"evabnk97";"schreur",#N/A,FALSE,"evabnk97";"stone",#N/A,FALSE,"evabnk97";"wichmann",#N/A,FALSE,"evabnk97";"wright",#N/A,FALSE,"evabnk97"}</definedName>
    <definedName name="bbb" localSheetId="5" hidden="1">{#N/A,#N/A,FALSE,"Pharm";#N/A,#N/A,FALSE,"WWCM"}</definedName>
    <definedName name="bbbb" localSheetId="5" hidden="1">{#N/A,#N/A,FALSE,"REPORT"}</definedName>
    <definedName name="bbbbb" localSheetId="5" hidden="1">{#N/A,#N/A,TRUE,"BUD VS ACT AUST 96";#N/A,#N/A,TRUE,"96 COMP P&amp;L-AUST";#N/A,#N/A,TRUE,"COMP BS-AUSTRALIA";#N/A,#N/A,TRUE,"B/S - AUSTR."}</definedName>
    <definedName name="BBBBBB" localSheetId="5" hidden="1">{#N/A,#N/A,FALSE,"REPORT"}</definedName>
    <definedName name="BBBBBBBBB" localSheetId="5" hidden="1">{#N/A,#N/A,FALSE,"REPORT"}</definedName>
    <definedName name="bbbbbbbbbbbbb" localSheetId="5" hidden="1">{#N/A,#N/A,FALSE,"Pharm";#N/A,#N/A,FALSE,"WWCM"}</definedName>
    <definedName name="BLPH1" localSheetId="5" hidden="1">#REF!</definedName>
    <definedName name="BLPH15" localSheetId="5" hidden="1">#REF!</definedName>
    <definedName name="BLPH16" localSheetId="5" hidden="1">#REF!</definedName>
    <definedName name="BLPH176" localSheetId="5" hidden="1">#REF!</definedName>
    <definedName name="BLPH177" localSheetId="5" hidden="1">#REF!</definedName>
    <definedName name="BLPH178" localSheetId="5" hidden="1">#REF!</definedName>
    <definedName name="BLPH179" localSheetId="5" hidden="1">#REF!</definedName>
    <definedName name="BLPH180" localSheetId="5" hidden="1">#REF!</definedName>
    <definedName name="BLPH181" localSheetId="5" hidden="1">#REF!</definedName>
    <definedName name="BLPH182" localSheetId="5" hidden="1">#REF!</definedName>
    <definedName name="BLPH183" localSheetId="5" hidden="1">#REF!</definedName>
    <definedName name="BLPH184" localSheetId="5" hidden="1">#REF!</definedName>
    <definedName name="BLPH195" localSheetId="5" hidden="1">#REF!</definedName>
    <definedName name="BLPH196" localSheetId="5" hidden="1">#REF!</definedName>
    <definedName name="BLPH197" localSheetId="5" hidden="1">#REF!</definedName>
    <definedName name="BLPH198" localSheetId="5" hidden="1">#REF!</definedName>
    <definedName name="BLPH199" localSheetId="5" hidden="1">#REF!</definedName>
    <definedName name="BLPH2" localSheetId="5" hidden="1">#REF!</definedName>
    <definedName name="BLPH200" localSheetId="5" hidden="1">#REF!</definedName>
    <definedName name="BLPH201" localSheetId="5" hidden="1">#REF!</definedName>
    <definedName name="BLPH202" localSheetId="5" hidden="1">#REF!</definedName>
    <definedName name="BLPH203" localSheetId="5" hidden="1">#REF!</definedName>
    <definedName name="BLPH204" localSheetId="5" hidden="1">#REF!</definedName>
    <definedName name="BLPH205" localSheetId="5" hidden="1">#REF!</definedName>
    <definedName name="BLPH206" localSheetId="5" hidden="1">#REF!</definedName>
    <definedName name="BLPH207" localSheetId="5" hidden="1">#REF!</definedName>
    <definedName name="BLPH208" localSheetId="5" hidden="1">#REF!</definedName>
    <definedName name="BLPH209" localSheetId="5" hidden="1">#REF!</definedName>
    <definedName name="BLPH210" localSheetId="5" hidden="1">#REF!</definedName>
    <definedName name="BLPH211" localSheetId="5" hidden="1">#REF!</definedName>
    <definedName name="BLPH212" localSheetId="5" hidden="1">#REF!</definedName>
    <definedName name="BLPH213" localSheetId="5" hidden="1">#REF!</definedName>
    <definedName name="BLPH214" localSheetId="5" hidden="1">#REF!</definedName>
    <definedName name="BLPH215" localSheetId="5" hidden="1">#REF!</definedName>
    <definedName name="BLPH216" localSheetId="5" hidden="1">#REF!</definedName>
    <definedName name="BLPH217" localSheetId="5" hidden="1">#REF!</definedName>
    <definedName name="BLPH218" localSheetId="5" hidden="1">#REF!</definedName>
    <definedName name="BLPH219" localSheetId="5" hidden="1">#REF!</definedName>
    <definedName name="BLPH220" localSheetId="5" hidden="1">#REF!</definedName>
    <definedName name="BLPH221" localSheetId="5" hidden="1">#REF!</definedName>
    <definedName name="BLPH222" localSheetId="5" hidden="1">#REF!</definedName>
    <definedName name="BLPH223" localSheetId="5" hidden="1">#REF!</definedName>
    <definedName name="BLPH224" localSheetId="5" hidden="1">#REF!</definedName>
    <definedName name="BLPH225" localSheetId="5" hidden="1">#REF!</definedName>
    <definedName name="BLPH226" localSheetId="5" hidden="1">#REF!</definedName>
    <definedName name="BLPH227" localSheetId="5" hidden="1">#REF!</definedName>
    <definedName name="BLPH228" localSheetId="5" hidden="1">#REF!</definedName>
    <definedName name="BLPH229" localSheetId="5" hidden="1">#REF!</definedName>
    <definedName name="BLPH230" localSheetId="5" hidden="1">#REF!</definedName>
    <definedName name="BLPH231" localSheetId="5" hidden="1">#REF!</definedName>
    <definedName name="BLPH232" localSheetId="5" hidden="1">#REF!</definedName>
    <definedName name="BLPH233" localSheetId="5" hidden="1">#REF!</definedName>
    <definedName name="BLPH234" localSheetId="5" hidden="1">#REF!</definedName>
    <definedName name="BLPH235" localSheetId="5" hidden="1">#REF!</definedName>
    <definedName name="BLPH236" localSheetId="5" hidden="1">#REF!</definedName>
    <definedName name="BLPH237" localSheetId="5" hidden="1">#REF!</definedName>
    <definedName name="BLPH238" localSheetId="5" hidden="1">#REF!</definedName>
    <definedName name="BLPH239" localSheetId="5" hidden="1">#REF!</definedName>
    <definedName name="BLPH240" localSheetId="5" hidden="1">#REF!</definedName>
    <definedName name="BLPH241" localSheetId="5" hidden="1">#REF!</definedName>
    <definedName name="BLPH242" localSheetId="5" hidden="1">#REF!</definedName>
    <definedName name="BLPH243" localSheetId="5" hidden="1">#REF!</definedName>
    <definedName name="BLPH244" localSheetId="5" hidden="1">#REF!</definedName>
    <definedName name="BLPH245" localSheetId="5" hidden="1">#REF!</definedName>
    <definedName name="BLPH246" localSheetId="5" hidden="1">#REF!</definedName>
    <definedName name="BLPH247" localSheetId="5" hidden="1">#REF!</definedName>
    <definedName name="BLPH248" localSheetId="5" hidden="1">#REF!</definedName>
    <definedName name="BLPH249" localSheetId="5" hidden="1">#REF!</definedName>
    <definedName name="BLPH250" localSheetId="5" hidden="1">#REF!</definedName>
    <definedName name="BLPH251" localSheetId="5" hidden="1">#REF!</definedName>
    <definedName name="BLPH252" localSheetId="5" hidden="1">#REF!</definedName>
    <definedName name="BLPH253" localSheetId="5" hidden="1">#REF!</definedName>
    <definedName name="BLPH254" localSheetId="5" hidden="1">#REF!</definedName>
    <definedName name="BLPH255" localSheetId="5" hidden="1">#REF!</definedName>
    <definedName name="BLPH256" localSheetId="5" hidden="1">#REF!</definedName>
    <definedName name="BLPH257" localSheetId="5" hidden="1">#REF!</definedName>
    <definedName name="BLPH258" localSheetId="5" hidden="1">#REF!</definedName>
    <definedName name="BLPH259" localSheetId="5" hidden="1">#REF!</definedName>
    <definedName name="BLPH260" localSheetId="5" hidden="1">#REF!</definedName>
    <definedName name="BLPH261" localSheetId="5" hidden="1">#REF!</definedName>
    <definedName name="BLPH262" localSheetId="5" hidden="1">#REF!</definedName>
    <definedName name="BLPH263" localSheetId="5" hidden="1">#REF!</definedName>
    <definedName name="BLPH264" localSheetId="5" hidden="1">#REF!</definedName>
    <definedName name="BLPH265" localSheetId="5" hidden="1">#REF!</definedName>
    <definedName name="BLPH266" localSheetId="5" hidden="1">#REF!</definedName>
    <definedName name="BLPH267" localSheetId="5" hidden="1">#REF!</definedName>
    <definedName name="BLPH268" localSheetId="5" hidden="1">#REF!</definedName>
    <definedName name="BLPH269" localSheetId="5" hidden="1">#REF!</definedName>
    <definedName name="BLPH270" localSheetId="5" hidden="1">#REF!</definedName>
    <definedName name="BLPH271" localSheetId="5" hidden="1">#REF!</definedName>
    <definedName name="BLPH272" localSheetId="5" hidden="1">#REF!</definedName>
    <definedName name="BLPH273" localSheetId="5" hidden="1">#REF!</definedName>
    <definedName name="BLPH274" localSheetId="5" hidden="1">#REF!</definedName>
    <definedName name="BLPH275" localSheetId="5" hidden="1">#REF!</definedName>
    <definedName name="BLPH276" localSheetId="5" hidden="1">#REF!</definedName>
    <definedName name="BLPH277" localSheetId="5" hidden="1">#REF!</definedName>
    <definedName name="BLPH278" localSheetId="5" hidden="1">#REF!</definedName>
    <definedName name="BLPH279" localSheetId="5" hidden="1">#REF!</definedName>
    <definedName name="BLPH280" localSheetId="5" hidden="1">#REF!</definedName>
    <definedName name="BLPH281" localSheetId="5" hidden="1">#REF!</definedName>
    <definedName name="BLPH282" localSheetId="5" hidden="1">#REF!</definedName>
    <definedName name="BLPH283" localSheetId="5" hidden="1">#REF!</definedName>
    <definedName name="BLPH284" localSheetId="5" hidden="1">#REF!</definedName>
    <definedName name="BLPH285" localSheetId="5" hidden="1">#REF!</definedName>
    <definedName name="BLPH286" localSheetId="5" hidden="1">#REF!</definedName>
    <definedName name="BLPH287" localSheetId="5" hidden="1">#REF!</definedName>
    <definedName name="BLPH288" localSheetId="5" hidden="1">#REF!</definedName>
    <definedName name="BLPH289" localSheetId="5" hidden="1">#REF!</definedName>
    <definedName name="BLPH290" localSheetId="5" hidden="1">#REF!</definedName>
    <definedName name="BLPH291" localSheetId="5" hidden="1">#REF!</definedName>
    <definedName name="BLPH292" localSheetId="5" hidden="1">#REF!</definedName>
    <definedName name="BLPH293" localSheetId="5" hidden="1">#REF!</definedName>
    <definedName name="BLPH294" localSheetId="5" hidden="1">#REF!</definedName>
    <definedName name="BLPH295" localSheetId="5" hidden="1">#REF!</definedName>
    <definedName name="BLPH296" localSheetId="5" hidden="1">#REF!</definedName>
    <definedName name="BLPH297" localSheetId="5" hidden="1">#REF!</definedName>
    <definedName name="BLPH298" localSheetId="5" hidden="1">#REF!</definedName>
    <definedName name="BLPH299" localSheetId="5" hidden="1">#REF!</definedName>
    <definedName name="BLPH3" localSheetId="5" hidden="1">#REF!</definedName>
    <definedName name="BLPH300" localSheetId="5" hidden="1">#REF!</definedName>
    <definedName name="BLPH301" localSheetId="5" hidden="1">#REF!</definedName>
    <definedName name="BLPH302" localSheetId="5" hidden="1">#REF!</definedName>
    <definedName name="BLPH303" localSheetId="5" hidden="1">#REF!</definedName>
    <definedName name="BLPH304" localSheetId="5" hidden="1">#REF!</definedName>
    <definedName name="BLPH305" localSheetId="5" hidden="1">#REF!</definedName>
    <definedName name="BLPH306" localSheetId="5" hidden="1">#REF!</definedName>
    <definedName name="BLPH307" localSheetId="5" hidden="1">#REF!</definedName>
    <definedName name="BLPH308" localSheetId="5" hidden="1">#REF!</definedName>
    <definedName name="BLPH309" localSheetId="5" hidden="1">#REF!</definedName>
    <definedName name="BLPH310" localSheetId="5" hidden="1">#REF!</definedName>
    <definedName name="BLPH311" localSheetId="5" hidden="1">#REF!</definedName>
    <definedName name="BLPH312" localSheetId="5" hidden="1">#REF!</definedName>
    <definedName name="BLPH313" localSheetId="5" hidden="1">#REF!</definedName>
    <definedName name="BLPH314" localSheetId="5" hidden="1">#REF!</definedName>
    <definedName name="BLPH315" localSheetId="5" hidden="1">#REF!</definedName>
    <definedName name="BLPH316" localSheetId="5" hidden="1">#REF!</definedName>
    <definedName name="BLPH317" localSheetId="5" hidden="1">#REF!</definedName>
    <definedName name="BLPH318" localSheetId="5" hidden="1">#REF!</definedName>
    <definedName name="BLPH319" localSheetId="5" hidden="1">#REF!</definedName>
    <definedName name="BLPH320" localSheetId="5" hidden="1">#REF!</definedName>
    <definedName name="BLPH321" localSheetId="5" hidden="1">#REF!</definedName>
    <definedName name="BLPH322" localSheetId="5" hidden="1">#REF!</definedName>
    <definedName name="BLPH323" localSheetId="5" hidden="1">#REF!</definedName>
    <definedName name="BLPH324" localSheetId="5" hidden="1">#REF!</definedName>
    <definedName name="BLPH325" localSheetId="5" hidden="1">#REF!</definedName>
    <definedName name="BLPH326" localSheetId="5" hidden="1">#REF!</definedName>
    <definedName name="BLPH327" localSheetId="5" hidden="1">#REF!</definedName>
    <definedName name="BLPH328" localSheetId="5" hidden="1">#REF!</definedName>
    <definedName name="BLPH329" localSheetId="5" hidden="1">#REF!</definedName>
    <definedName name="BLPH330" localSheetId="5" hidden="1">#REF!</definedName>
    <definedName name="BLPH331" localSheetId="5" hidden="1">#REF!</definedName>
    <definedName name="BLPH332" localSheetId="5" hidden="1">#REF!</definedName>
    <definedName name="BLPH333" localSheetId="5" hidden="1">#REF!</definedName>
    <definedName name="BLPH334" localSheetId="5" hidden="1">#REF!</definedName>
    <definedName name="BLPH335" localSheetId="5" hidden="1">#REF!</definedName>
    <definedName name="BLPH336" localSheetId="5" hidden="1">#REF!</definedName>
    <definedName name="BLPH337" localSheetId="5" hidden="1">#REF!</definedName>
    <definedName name="BLPH338" localSheetId="5" hidden="1">#REF!</definedName>
    <definedName name="BLPH339" localSheetId="5" hidden="1">#REF!</definedName>
    <definedName name="BLPH340" localSheetId="5" hidden="1">#REF!</definedName>
    <definedName name="BLPH341" localSheetId="5" hidden="1">#REF!</definedName>
    <definedName name="BLPH342" localSheetId="5" hidden="1">#REF!</definedName>
    <definedName name="BLPH343" localSheetId="5" hidden="1">#REF!</definedName>
    <definedName name="BLPH344" localSheetId="5" hidden="1">#REF!</definedName>
    <definedName name="BLPH345" localSheetId="5" hidden="1">#REF!</definedName>
    <definedName name="BLPH346" localSheetId="5" hidden="1">#REF!</definedName>
    <definedName name="BLPH347" localSheetId="5" hidden="1">#REF!</definedName>
    <definedName name="BLPH348" localSheetId="5" hidden="1">#REF!</definedName>
    <definedName name="BLPH349" localSheetId="5" hidden="1">#REF!</definedName>
    <definedName name="BLPH35" localSheetId="5" hidden="1">#REF!</definedName>
    <definedName name="BLPH350" localSheetId="5" hidden="1">#REF!</definedName>
    <definedName name="BLPH351" localSheetId="5" hidden="1">#REF!</definedName>
    <definedName name="BLPH352" localSheetId="5" hidden="1">#REF!</definedName>
    <definedName name="BLPH353" localSheetId="5" hidden="1">#REF!</definedName>
    <definedName name="BLPH354" localSheetId="5" hidden="1">#REF!</definedName>
    <definedName name="BLPH355" localSheetId="5" hidden="1">#REF!</definedName>
    <definedName name="BLPH356" localSheetId="5" hidden="1">#REF!</definedName>
    <definedName name="BLPH357" localSheetId="5" hidden="1">#REF!</definedName>
    <definedName name="BLPH358" localSheetId="5" hidden="1">#REF!</definedName>
    <definedName name="BLPH359" localSheetId="5" hidden="1">#REF!</definedName>
    <definedName name="BLPH36" localSheetId="5" hidden="1">#REF!</definedName>
    <definedName name="BLPH360" localSheetId="5" hidden="1">#REF!</definedName>
    <definedName name="BLPH361" localSheetId="5" hidden="1">#REF!</definedName>
    <definedName name="BLPH362" localSheetId="5" hidden="1">#REF!</definedName>
    <definedName name="BLPH363" localSheetId="5" hidden="1">#REF!</definedName>
    <definedName name="BLPH364" localSheetId="5" hidden="1">#REF!</definedName>
    <definedName name="BLPH365" localSheetId="5" hidden="1">#REF!</definedName>
    <definedName name="BLPH366" localSheetId="5" hidden="1">#REF!</definedName>
    <definedName name="BLPH367" localSheetId="5" hidden="1">#REF!</definedName>
    <definedName name="BLPH368" localSheetId="5" hidden="1">#REF!</definedName>
    <definedName name="BLPH369" localSheetId="5" hidden="1">#REF!</definedName>
    <definedName name="BLPH370" localSheetId="5" hidden="1">#REF!</definedName>
    <definedName name="BLPH371" localSheetId="5" hidden="1">#REF!</definedName>
    <definedName name="BLPH372" localSheetId="5" hidden="1">#REF!</definedName>
    <definedName name="BLPH373" localSheetId="5" hidden="1">#REF!</definedName>
    <definedName name="BLPH374" localSheetId="5" hidden="1">#REF!</definedName>
    <definedName name="BLPH375" localSheetId="5" hidden="1">#REF!</definedName>
    <definedName name="BLPH376" localSheetId="5" hidden="1">#REF!</definedName>
    <definedName name="BLPH377" localSheetId="5" hidden="1">#REF!</definedName>
    <definedName name="BLPH378" localSheetId="5" hidden="1">#REF!</definedName>
    <definedName name="BLPH379" localSheetId="5" hidden="1">#REF!</definedName>
    <definedName name="BLPH380" localSheetId="5" hidden="1">#REF!</definedName>
    <definedName name="BLPH381" localSheetId="5" hidden="1">#REF!</definedName>
    <definedName name="BLPH382" localSheetId="5" hidden="1">#REF!</definedName>
    <definedName name="BLPH383" localSheetId="5" hidden="1">#REF!</definedName>
    <definedName name="BLPH384" localSheetId="5" hidden="1">#REF!</definedName>
    <definedName name="BLPH385" localSheetId="5" hidden="1">#REF!</definedName>
    <definedName name="BLPH386" localSheetId="5" hidden="1">#REF!</definedName>
    <definedName name="BLPH387" localSheetId="5" hidden="1">#REF!</definedName>
    <definedName name="BLPH388" localSheetId="5" hidden="1">#REF!</definedName>
    <definedName name="BLPH389" localSheetId="5" hidden="1">#REF!</definedName>
    <definedName name="BLPH390" localSheetId="5" hidden="1">#REF!</definedName>
    <definedName name="BLPH391" localSheetId="5" hidden="1">#REF!</definedName>
    <definedName name="BLPH392" localSheetId="5" hidden="1">#REF!</definedName>
    <definedName name="BLPH393" localSheetId="5" hidden="1">#REF!</definedName>
    <definedName name="BLPH394" localSheetId="5" hidden="1">#REF!</definedName>
    <definedName name="BLPH395" localSheetId="5" hidden="1">#REF!</definedName>
    <definedName name="BLPH396" localSheetId="5" hidden="1">#REF!</definedName>
    <definedName name="BLPH397" localSheetId="5" hidden="1">#REF!</definedName>
    <definedName name="BLPH398" localSheetId="5" hidden="1">#REF!</definedName>
    <definedName name="BLPH399" localSheetId="5" hidden="1">#REF!</definedName>
    <definedName name="BLPH4" localSheetId="5" hidden="1">#REF!</definedName>
    <definedName name="BLPH400" localSheetId="5" hidden="1">#REF!</definedName>
    <definedName name="BLPH401" localSheetId="5" hidden="1">#REF!</definedName>
    <definedName name="BLPH402" localSheetId="5" hidden="1">#REF!</definedName>
    <definedName name="BLPH403" localSheetId="5" hidden="1">#REF!</definedName>
    <definedName name="BLPH404" localSheetId="5" hidden="1">#REF!</definedName>
    <definedName name="BLPH405" localSheetId="5" hidden="1">#REF!</definedName>
    <definedName name="BLPH406" localSheetId="5" hidden="1">#REF!</definedName>
    <definedName name="BLPH407" localSheetId="5" hidden="1">#REF!</definedName>
    <definedName name="BLPH408" localSheetId="5" hidden="1">#REF!</definedName>
    <definedName name="BLPH409" localSheetId="5" hidden="1">#REF!</definedName>
    <definedName name="BLPH410" localSheetId="5" hidden="1">#REF!</definedName>
    <definedName name="BLPH411" localSheetId="5" hidden="1">#REF!</definedName>
    <definedName name="BLPH412" localSheetId="5" hidden="1">#REF!</definedName>
    <definedName name="BLPH413" localSheetId="5" hidden="1">#REF!</definedName>
    <definedName name="BLPH414" localSheetId="5" hidden="1">#REF!</definedName>
    <definedName name="BLPH415" localSheetId="5" hidden="1">#REF!</definedName>
    <definedName name="BLPH416" localSheetId="5" hidden="1">#REF!</definedName>
    <definedName name="BLPH417" localSheetId="5" hidden="1">#REF!</definedName>
    <definedName name="BLPH418" localSheetId="5" hidden="1">#REF!</definedName>
    <definedName name="BLPH419" localSheetId="5" hidden="1">#REF!</definedName>
    <definedName name="BLPH420" localSheetId="5" hidden="1">#REF!</definedName>
    <definedName name="BLPH421" localSheetId="5" hidden="1">#REF!</definedName>
    <definedName name="BLPH422" localSheetId="5" hidden="1">#REF!</definedName>
    <definedName name="BLPH423" localSheetId="5" hidden="1">#REF!</definedName>
    <definedName name="BLPH424" localSheetId="5" hidden="1">#REF!</definedName>
    <definedName name="BLPH425" localSheetId="5" hidden="1">#REF!</definedName>
    <definedName name="BLPH426" localSheetId="5" hidden="1">#REF!</definedName>
    <definedName name="BLPH427" localSheetId="5" hidden="1">#REF!</definedName>
    <definedName name="BLPH428" localSheetId="5" hidden="1">#REF!</definedName>
    <definedName name="BLPH429" localSheetId="5" hidden="1">#REF!</definedName>
    <definedName name="BLPH430" localSheetId="5" hidden="1">#REF!</definedName>
    <definedName name="BLPH431" localSheetId="5" hidden="1">#REF!</definedName>
    <definedName name="BLPH432" localSheetId="5" hidden="1">#REF!</definedName>
    <definedName name="BLPH433" localSheetId="5" hidden="1">#REF!</definedName>
    <definedName name="BLPH434" localSheetId="5" hidden="1">#REF!</definedName>
    <definedName name="BLPH435" localSheetId="5" hidden="1">#REF!</definedName>
    <definedName name="BLPH436" localSheetId="5" hidden="1">#REF!</definedName>
    <definedName name="BLPH437" localSheetId="5" hidden="1">#REF!</definedName>
    <definedName name="BLPH438" localSheetId="5" hidden="1">#REF!</definedName>
    <definedName name="BLPH439" localSheetId="5" hidden="1">#REF!</definedName>
    <definedName name="BLPH440" localSheetId="5" hidden="1">#REF!</definedName>
    <definedName name="BLPH441" localSheetId="5" hidden="1">#REF!</definedName>
    <definedName name="BLPH442" localSheetId="5" hidden="1">#REF!</definedName>
    <definedName name="BLPH443" localSheetId="5" hidden="1">#REF!</definedName>
    <definedName name="BLPH444" localSheetId="5" hidden="1">#REF!</definedName>
    <definedName name="BLPH445" localSheetId="5" hidden="1">#REF!</definedName>
    <definedName name="BLPH446" localSheetId="5" hidden="1">#REF!</definedName>
    <definedName name="BLPH447" localSheetId="5" hidden="1">#REF!</definedName>
    <definedName name="BLPH448" localSheetId="5" hidden="1">#REF!</definedName>
    <definedName name="BLPH459" localSheetId="5" hidden="1">#REF!</definedName>
    <definedName name="BLPH460" localSheetId="5" hidden="1">#REF!</definedName>
    <definedName name="BLPH461" localSheetId="5" hidden="1">#REF!</definedName>
    <definedName name="BLPH462" localSheetId="5" hidden="1">#REF!</definedName>
    <definedName name="BLPH463" localSheetId="5" hidden="1">#REF!</definedName>
    <definedName name="BLPH464" localSheetId="5" hidden="1">#REF!</definedName>
    <definedName name="BLPH465" localSheetId="5" hidden="1">#REF!</definedName>
    <definedName name="BLPH466" localSheetId="5" hidden="1">#REF!</definedName>
    <definedName name="BLPH467" localSheetId="5" hidden="1">#REF!</definedName>
    <definedName name="BLPH468" localSheetId="5" hidden="1">#REF!</definedName>
    <definedName name="BLPH469" localSheetId="5" hidden="1">#REF!</definedName>
    <definedName name="BLPH470" localSheetId="5" hidden="1">#REF!</definedName>
    <definedName name="BLPH471" localSheetId="5" hidden="1">#REF!</definedName>
    <definedName name="BLPH472" localSheetId="5" hidden="1">#REF!</definedName>
    <definedName name="BLPH473" localSheetId="5" hidden="1">#REF!</definedName>
    <definedName name="BLPH474" localSheetId="5" hidden="1">#REF!</definedName>
    <definedName name="BLPH475" localSheetId="5" hidden="1">#REF!</definedName>
    <definedName name="BLPH476" localSheetId="5" hidden="1">#REF!</definedName>
    <definedName name="BLPH477" localSheetId="5" hidden="1">#REF!</definedName>
    <definedName name="BLPH478" localSheetId="5" hidden="1">#REF!</definedName>
    <definedName name="BLPH479" localSheetId="5" hidden="1">#REF!</definedName>
    <definedName name="BLPH480" localSheetId="5" hidden="1">#REF!</definedName>
    <definedName name="BLPH481" localSheetId="5" hidden="1">#REF!</definedName>
    <definedName name="BLPH482" localSheetId="5" hidden="1">#REF!</definedName>
    <definedName name="BLPH483" localSheetId="5" hidden="1">#REF!</definedName>
    <definedName name="BLPH484" localSheetId="5" hidden="1">#REF!</definedName>
    <definedName name="BLPH485" localSheetId="5" hidden="1">#REF!</definedName>
    <definedName name="BLPH486" localSheetId="5" hidden="1">#REF!</definedName>
    <definedName name="BLPH487" localSheetId="5" hidden="1">#REF!</definedName>
    <definedName name="BLPH488" localSheetId="5" hidden="1">#REF!</definedName>
    <definedName name="BLPH489" localSheetId="5" hidden="1">#REF!</definedName>
    <definedName name="BLPH490" localSheetId="5" hidden="1">#REF!</definedName>
    <definedName name="BLPH491" localSheetId="5" hidden="1">#REF!</definedName>
    <definedName name="BLPH492" localSheetId="5" hidden="1">#REF!</definedName>
    <definedName name="BLPH493" localSheetId="5" hidden="1">#REF!</definedName>
    <definedName name="BLPH494" localSheetId="5" hidden="1">#REF!</definedName>
    <definedName name="BLPH495" localSheetId="5" hidden="1">#REF!</definedName>
    <definedName name="BLPH496" localSheetId="5" hidden="1">#REF!</definedName>
    <definedName name="BLPH497" localSheetId="5" hidden="1">#REF!</definedName>
    <definedName name="BLPH498" localSheetId="5" hidden="1">#REF!</definedName>
    <definedName name="BLPH499" localSheetId="5" hidden="1">#REF!</definedName>
    <definedName name="BLPH50" localSheetId="5" hidden="1">#REF!</definedName>
    <definedName name="BLPH51" localSheetId="5" hidden="1">#REF!</definedName>
    <definedName name="BLPH6" localSheetId="5" hidden="1">#REF!</definedName>
    <definedName name="BNE_MESSAGES_HIDDEN" localSheetId="5" hidden="1">#REF!</definedName>
    <definedName name="bnm" localSheetId="5" hidden="1">{#N/A,#N/A,FALSE,"REPORT"}</definedName>
    <definedName name="BSSSS" localSheetId="5" hidden="1">#REF!</definedName>
    <definedName name="cancel" localSheetId="5" hidden="1">{"PARTNERS CAPITAL STMT",#N/A,FALSE,"Partners Capital"}</definedName>
    <definedName name="cancel2" localSheetId="5" hidden="1">{"PNLProjDL",#N/A,FALSE,"PROJCO";"PNLParDL",#N/A,FALSE,"Parent"}</definedName>
    <definedName name="cancel3" localSheetId="5" hidden="1">{"Summary",#N/A,FALSE,"MICMULT";"Income Statement",#N/A,FALSE,"MICMULT";"Cash Flows",#N/A,FALSE,"MICMULT"}</definedName>
    <definedName name="cc" localSheetId="5" hidden="1">{"bs",#N/A,FALSE,"SCF"}</definedName>
    <definedName name="cdsds" localSheetId="5" hidden="1">{#N/A,#N/A,TRUE,"BUD VS ACT AUST 96";#N/A,#N/A,TRUE,"96 COMP P&amp;L-AUST";#N/A,#N/A,TRUE,"COMP BS-AUSTRALIA";#N/A,#N/A,TRUE,"B/S - AUSTR."}</definedName>
    <definedName name="ChangeRange" localSheetId="5" hidden="1">#REF!</definedName>
    <definedName name="Chart" localSheetId="5" hidden="1">{#N/A,#N/A,FALSE,"Pharm";#N/A,#N/A,FALSE,"WWCM"}</definedName>
    <definedName name="chosie" localSheetId="5" hidden="1">{#N/A,#N/A,FALSE,"Pharm";#N/A,#N/A,FALSE,"WWCM"}</definedName>
    <definedName name="COGstandard" localSheetId="5" hidden="1">{#N/A,#N/A,FALSE,"Pharm";#N/A,#N/A,FALSE,"WWCM"}</definedName>
    <definedName name="ContentsHelp" localSheetId="5" hidden="1">#REF!</definedName>
    <definedName name="COPY" localSheetId="5" hidden="1">{#N/A,#N/A,FALSE,"Pharm";#N/A,#N/A,FALSE,"WWCM"}</definedName>
    <definedName name="copy1" localSheetId="5" hidden="1">{#N/A,#N/A,FALSE,"Pharm";#N/A,#N/A,FALSE,"WWCM"}</definedName>
    <definedName name="COPY2" localSheetId="5" hidden="1">{#N/A,#N/A,FALSE,"Pharm";#N/A,#N/A,FALSE,"WWCM"}</definedName>
    <definedName name="copy233" localSheetId="5" hidden="1">{#N/A,#N/A,FALSE,"Pharm";#N/A,#N/A,FALSE,"WWCM"}</definedName>
    <definedName name="copy33" localSheetId="5" hidden="1">{#N/A,#N/A,FALSE,"Pharm";#N/A,#N/A,FALSE,"WWCM"}</definedName>
    <definedName name="copy38" localSheetId="5" hidden="1">{#N/A,#N/A,FALSE,"Pharm";#N/A,#N/A,FALSE,"WWCM"}</definedName>
    <definedName name="corp" localSheetId="5" hidden="1">{#N/A,#N/A,TRUE,"BUD VS ACT AUST 96";#N/A,#N/A,TRUE,"96 COMP P&amp;L-AUST";#N/A,#N/A,TRUE,"COMP BS-AUSTRALIA";#N/A,#N/A,TRUE,"B/S - AUSTR."}</definedName>
    <definedName name="costofrev" localSheetId="5" hidden="1">{"qtrly summ-FY01",#N/A,FALSE,"P &amp; L";"monthly P&amp;L-FY01",#N/A,FALSE,"P &amp; L";"cash flow - FY01",#N/A,FALSE,"P &amp; L";"P&amp;L FY01",#N/A,FALSE,"P &amp; L";"BS FY01",#N/A,FALSE,"P &amp; L";"staffing - FY01",#N/A,FALSE,"P &amp; L"}</definedName>
    <definedName name="CreateTable" localSheetId="5" hidden="1">#REF!</definedName>
    <definedName name="cvb" localSheetId="5" hidden="1">{#N/A,#N/A,FALSE,"TABLE_1 YTD";#N/A,#N/A,FALSE,"TABLE_1A QTD";#N/A,#N/A,FALSE,"NORMAL_SPREAD_QTD";#N/A,#N/A,FALSE,"NORMAL_SPREAD_YTD";#N/A,#N/A,FALSE,"TAX_EQV";#N/A,#N/A,FALSE,"TAX EQUIV_INPUT";#N/A,#N/A,FALSE,"NET FROM FER";#N/A,#N/A,FALSE,"COVER"}</definedName>
    <definedName name="Cwvu.GREY_ALL." localSheetId="5" hidden="1">#REF!</definedName>
    <definedName name="DAD" localSheetId="5" hidden="1">{#N/A,#N/A,FALSE,"REPORT"}</definedName>
    <definedName name="DADF" localSheetId="5" hidden="1">{#N/A,#N/A,FALSE,"REPORT"}</definedName>
    <definedName name="dadfa" localSheetId="5"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f" localSheetId="5" hidden="1">{#N/A,#N/A,FALSE,"1";#N/A,#N/A,FALSE,"2";#N/A,#N/A,FALSE,"16 - 17";#N/A,#N/A,FALSE,"18 - 19";#N/A,#N/A,FALSE,"26";#N/A,#N/A,FALSE,"27";#N/A,#N/A,FALSE,"28"}</definedName>
    <definedName name="dafa" localSheetId="5"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kfkjafgkeaj" localSheetId="5" hidden="1">{#N/A,#N/A,FALSE,"Pharm";#N/A,#N/A,FALSE,"WWCM"}</definedName>
    <definedName name="dd" localSheetId="5" hidden="1">{#N/A,#N/A,FALSE,"Pharm";#N/A,#N/A,FALSE,"WWCM"}</definedName>
    <definedName name="ddd" localSheetId="5" hidden="1">{"'ATP'!$E$6"}</definedName>
    <definedName name="ddd_1" localSheetId="5" hidden="1">{"'ATP'!$E$6"}</definedName>
    <definedName name="ddd_11" localSheetId="5" hidden="1">{"'ATP'!$E$6"}</definedName>
    <definedName name="dddaz" localSheetId="5" hidden="1">{#N/A,#N/A,FALSE,"Pharm";#N/A,#N/A,FALSE,"WWCM"}</definedName>
    <definedName name="dddd" localSheetId="5" hidden="1">{"'ATP'!$E$6"}</definedName>
    <definedName name="dddddd" localSheetId="5" hidden="1">{#N/A,#N/A,FALSE,"Pharm";#N/A,#N/A,FALSE,"WWCM"}</definedName>
    <definedName name="ddddddd" localSheetId="5" hidden="1">{"Income Statement",#N/A,FALSE,"Income Statement";"Balance Sheet",#N/A,FALSE,"Balance Sheet";"Cash Flow",#N/A,FALSE,"Cash Flow";"Ratios",#N/A,FALSE,"Ratios"}</definedName>
    <definedName name="DE" localSheetId="5"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de" localSheetId="5" hidden="1">{#N/A,#N/A,FALSE,"Pharm";#N/A,#N/A,FALSE,"WWCM"}</definedName>
    <definedName name="DEDED" localSheetId="5" hidden="1">{#N/A,#N/A,FALSE,"Card";#N/A,#N/A,FALSE,"Prav";#N/A,#N/A,FALSE,"Irbe";#N/A,#N/A,FALSE,"Plavix";#N/A,#N/A,FALSE,"Capt";#N/A,#N/A,FALSE,"Fosi"}</definedName>
    <definedName name="DEDEDZE" localSheetId="5" hidden="1">{#N/A,#N/A,FALSE,"Pharm";#N/A,#N/A,FALSE,"WWCM"}</definedName>
    <definedName name="DEDZD" localSheetId="5" hidden="1">{#N/A,#N/A,FALSE,"Pharm";#N/A,#N/A,FALSE,"WWCM"}</definedName>
    <definedName name="DEE" localSheetId="5" hidden="1">{#N/A,#N/A,FALSE,"Pharm";#N/A,#N/A,FALSE,"WWCM"}</definedName>
    <definedName name="delete" localSheetId="5" hidden="1">{"STMT OF CASH FLOWS",#N/A,FALSE,"Cash Flows Indirect"}</definedName>
    <definedName name="delete2" localSheetId="5" hidden="1">{"BALANCE SHEET ACCTS",#N/A,TRUE,"Working Trial Balance";"INCOME STMT ACCTS",#N/A,TRUE,"Working Trial Balance"}</definedName>
    <definedName name="DeleteRange" localSheetId="5" hidden="1">#REF!</definedName>
    <definedName name="DeleteTable" localSheetId="5" hidden="1">#REF!</definedName>
    <definedName name="dev_tech" localSheetId="5" hidden="1">#REF!</definedName>
    <definedName name="DEZLFEZKLHF" localSheetId="5" hidden="1">{#N/A,#N/A,FALSE,"Pharm";#N/A,#N/A,FALSE,"WWCM"}</definedName>
    <definedName name="df" localSheetId="5" hidden="1">{#N/A,#N/A,TRUE,"A";#N/A,#N/A,TRUE,"B";#N/A,#N/A,TRUE,"C";#N/A,#N/A,TRUE,"D";#N/A,#N/A,TRUE,"E"}</definedName>
    <definedName name="dfasdf" localSheetId="5" hidden="1">#REF!</definedName>
    <definedName name="dfd" localSheetId="5" hidden="1">{"BS",#N/A,FALSE,"USA"}</definedName>
    <definedName name="dfdas" localSheetId="5" hidden="1">{"FCB_ALL",#N/A,FALSE,"FCB";"GREY_ALL",#N/A,FALSE,"GREY"}</definedName>
    <definedName name="DFDD" localSheetId="5" hidden="1">{#N/A,#N/A,FALSE,"REPORT"}</definedName>
    <definedName name="dfdfd" localSheetId="5" hidden="1">{"FCB_ALL",#N/A,FALSE,"FCB";"GREY_ALL",#N/A,FALSE,"GREY"}</definedName>
    <definedName name="dfdfdfd" localSheetId="5" hidden="1">{"FCB_ALL",#N/A,FALSE,"FCB"}</definedName>
    <definedName name="dfr" localSheetId="5" hidden="1">{#N/A,#N/A,FALSE,"Pharm";#N/A,#N/A,FALSE,"WWCM"}</definedName>
    <definedName name="dfsafd" localSheetId="5"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5"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jdjdjd" localSheetId="5" hidden="1">{#N/A,#N/A,TRUE,"BUD VS ACT AUST 96";#N/A,#N/A,TRUE,"96 COMP P&amp;L-AUST";#N/A,#N/A,TRUE,"COMP BS-AUSTRALIA";#N/A,#N/A,TRUE,"B/S - AUSTR."}</definedName>
    <definedName name="djksljd" localSheetId="5" hidden="1">{#N/A,#N/A,FALSE,"Other";#N/A,#N/A,FALSE,"Ace";#N/A,#N/A,FALSE,"Derm"}</definedName>
    <definedName name="dkgahirghigf" localSheetId="5" hidden="1">{#N/A,#N/A,FALSE,"Pharm";#N/A,#N/A,FALSE,"WWCM"}</definedName>
    <definedName name="dsafd" localSheetId="5"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fsffss" localSheetId="5" hidden="1">{#N/A,#N/A,FALSE,"Pharm";#N/A,#N/A,FALSE,"WWCM"}</definedName>
    <definedName name="dvv" localSheetId="5" hidden="1">{#N/A,#N/A,TRUE,"NIE_C";#N/A,#N/A,TRUE,"NIE";#N/A,#N/A,TRUE,"NIE_D";#N/A,#N/A,TRUE,"NIE_D_CC";#N/A,#N/A,TRUE,"HEA -- EXP"}</definedName>
    <definedName name="ed" localSheetId="5"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dr" localSheetId="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e" localSheetId="5"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EEE" localSheetId="5" hidden="1">{#N/A,#N/A,FALSE,"Pharm";#N/A,#N/A,FALSE,"WWCM"}</definedName>
    <definedName name="eeeee" localSheetId="5" hidden="1">{#N/A,#N/A,FALSE,"Pharm";#N/A,#N/A,FALSE,"WWCM"}</definedName>
    <definedName name="ejkfgkjze" localSheetId="5" hidden="1">{#N/A,#N/A,FALSE,"Pharm";#N/A,#N/A,FALSE,"WWCM"}</definedName>
    <definedName name="erd" localSheetId="5" hidden="1">{#N/A,#N/A,FALSE,"Pharm";#N/A,#N/A,FALSE,"WWCM"}</definedName>
    <definedName name="erryeyetyuu" localSheetId="5" hidden="1">{#N/A,#N/A,FALSE,"Pharm";#N/A,#N/A,FALSE,"WWCM"}</definedName>
    <definedName name="ESSAI" localSheetId="5" hidden="1">{#N/A,#N/A,FALSE,"Pharm";#N/A,#N/A,FALSE,"WWCM"}</definedName>
    <definedName name="esw" localSheetId="5" hidden="1">{#N/A,#N/A,FALSE,"TABLE_1 YTD- VALUES LAST YR(2)"}</definedName>
    <definedName name="ewwe" localSheetId="5" hidden="1">{#N/A,#N/A,FALSE,"REPORT"}</definedName>
    <definedName name="excel" localSheetId="5" hidden="1">{"cash flow - FY00",#N/A,FALSE,"P &amp; L";"cash flow - FY01",#N/A,FALSE,"P &amp; L"}</definedName>
    <definedName name="excel2" localSheetId="5" hidden="1">{"cash flow - FY00",#N/A,FALSE,"P &amp; L";"cash flow - FY01",#N/A,FALSE,"P &amp; L"}</definedName>
    <definedName name="eyh" localSheetId="5" hidden="1">{#N/A,#N/A,FALSE,"BS";#N/A,#N/A,FALSE,"PL";#N/A,#N/A,FALSE,"SOE";#N/A,#N/A,FALSE,"SCF"}</definedName>
    <definedName name="FarrellWitchita" localSheetId="5" hidden="1">{"FCB_ALL",#N/A,FALSE,"FCB"}</definedName>
    <definedName name="FDFD" localSheetId="5" hidden="1">{#N/A,#N/A,FALSE,"Pharm";#N/A,#N/A,FALSE,"WWCM"}</definedName>
    <definedName name="fds" localSheetId="5" hidden="1">{#N/A,#N/A,FALSE,"Pharm";#N/A,#N/A,FALSE,"WWCM"}</definedName>
    <definedName name="feb02tb" localSheetId="5" hidden="1">{"Statement of Income",#N/A,TRUE,"Mar99";"Balance Sheet",#N/A,TRUE,"Mar99"}</definedName>
    <definedName name="ff" localSheetId="5" hidden="1">{#N/A,#N/A,FALSE,"Pharm";#N/A,#N/A,FALSE,"WWCM"}</definedName>
    <definedName name="fff" localSheetId="5" hidden="1">{#N/A,#N/A,FALSE,"Pharm";#N/A,#N/A,FALSE,"WWCM"}</definedName>
    <definedName name="ffff" localSheetId="5" hidden="1">{#N/A,#N/A,TRUE,"BUD VS ACT AUST 96";#N/A,#N/A,TRUE,"96 COMP P&amp;L-AUST";#N/A,#N/A,TRUE,"COMP BS-AUSTRALIA";#N/A,#N/A,TRUE,"B/S - AUSTR."}</definedName>
    <definedName name="fffffff" localSheetId="5" hidden="1">{#N/A,#N/A,FALSE,"Pharm";#N/A,#N/A,FALSE,"WWCM"}</definedName>
    <definedName name="fg" localSheetId="5"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fgf" localSheetId="5" hidden="1">{#N/A,#N/A,FALSE,"COVER";#N/A,#N/A,FALSE,"RATIOS";#N/A,#N/A,FALSE,"LEVERAGE";#N/A,#N/A,FALSE,"TIER-1";#N/A,#N/A,FALSE,"RISK BASED ASSETS";#N/A,#N/A,FALSE,"TIER-2"}</definedName>
    <definedName name="fgkjkh" localSheetId="5" hidden="1">{#N/A,#N/A,FALSE,"REPORT"}</definedName>
    <definedName name="fgr" localSheetId="5"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inancial" localSheetId="5" hidden="1">{#N/A,#N/A,FALSE,"1996 Monthly Detail";#N/A,#N/A,FALSE,"1996 CashFlow";#N/A,#N/A,FALSE,"PNL By Dept";#N/A,#N/A,FALSE,"1997 Quarterly Detail";#N/A,#N/A,FALSE,"1998 Quarterly Detail";#N/A,#N/A,FALSE,"1997 Cash Flow";#N/A,#N/A,FALSE,"1998 Cash Flow"}</definedName>
    <definedName name="FJEZK" localSheetId="5" hidden="1">{#N/A,#N/A,FALSE,"Pharm";#N/A,#N/A,FALSE,"WWCM"}</definedName>
    <definedName name="france" localSheetId="5" hidden="1">{#N/A,#N/A,FALSE,"COMP BS-FRANCE";#N/A,#N/A,FALSE,"96 COMP P&amp;L-FRANCE";#N/A,#N/A,FALSE,"BUD VS ACT FRAN 96";#N/A,#N/A,FALSE,"B/S - FRANCE"}</definedName>
    <definedName name="FRANCE1" localSheetId="5" hidden="1">{#N/A,#N/A,FALSE,"COMP BS-FRANCE";#N/A,#N/A,FALSE,"96 COMP P&amp;L-FRANCE";#N/A,#N/A,FALSE,"BUD VS ACT FRAN 96";#N/A,#N/A,FALSE,"B/S - FRANCE"}</definedName>
    <definedName name="FRF" localSheetId="5" hidden="1">{#N/A,#N/A,FALSE,"1";#N/A,#N/A,FALSE,"2";#N/A,#N/A,FALSE,"16 - 17";#N/A,#N/A,FALSE,"18 - 19";#N/A,#N/A,FALSE,"26";#N/A,#N/A,FALSE,"27";#N/A,#N/A,FALSE,"28"}</definedName>
    <definedName name="FRFERFE" localSheetId="5" hidden="1">{#N/A,#N/A,FALSE,"Pharm";#N/A,#N/A,FALSE,"WWCM"}</definedName>
    <definedName name="fsdsfafd" localSheetId="5" hidden="1">{"CSheet",#N/A,FALSE,"C";"SmCap",#N/A,FALSE,"VAL1";"GulfCoast",#N/A,FALSE,"VAL1";"nav",#N/A,FALSE,"NAV";"Summary",#N/A,FALSE,"NAV"}</definedName>
    <definedName name="fuelco_wrn.test1." localSheetId="5" hidden="1">{"Income Statement",#N/A,FALSE,"CFMODEL";"Balance Sheet",#N/A,FALSE,"CFMODEL"}</definedName>
    <definedName name="fuelco_wrn.test2." localSheetId="5" hidden="1">{"SourcesUses",#N/A,TRUE,"CFMODEL";"TransOverview",#N/A,TRUE,"CFMODEL"}</definedName>
    <definedName name="fuelco_wrn.test3." localSheetId="5" hidden="1">{"SourcesUses",#N/A,TRUE,#N/A;"TransOverview",#N/A,TRUE,"CFMODEL"}</definedName>
    <definedName name="fuelco_wrn.test4." localSheetId="5" hidden="1">{"SourcesUses",#N/A,TRUE,"FundsFlow";"TransOverview",#N/A,TRUE,"FundsFlow"}</definedName>
    <definedName name="FVG" localSheetId="5" hidden="1">{#N/A,#N/A,FALSE,"Pharm";#N/A,#N/A,FALSE,"WWCM"}</definedName>
    <definedName name="g" localSheetId="5" hidden="1">{#N/A,#N/A,FALSE,"Pharm";#N/A,#N/A,FALSE,"WWCM"}</definedName>
    <definedName name="gdfgdf" localSheetId="5" hidden="1">{#N/A,#N/A,FALSE,"Pharm";#N/A,#N/A,FALSE,"WWCM"}</definedName>
    <definedName name="gfdjhjh" localSheetId="5" hidden="1">{#N/A,#N/A,FALSE,"Pharm";#N/A,#N/A,FALSE,"WWCM"}</definedName>
    <definedName name="GG" localSheetId="5" hidden="1">{#N/A,#N/A,FALSE,"PL-FS";#N/A,#N/A,FALSE,"PL"}</definedName>
    <definedName name="ghjfg" localSheetId="5" hidden="1">{#N/A,#N/A,TRUE,"ALLL";#N/A,#N/A,TRUE,"DEL";#N/A,#N/A,TRUE,"Reserve Analysis";#N/A,#N/A,TRUE,"C_OFF HISTORY";#N/A,#N/A,TRUE,"ALLL_QTR";#N/A,#N/A,TRUE,"HEA_M";#N/A,#N/A,TRUE,"BL_DET";#N/A,#N/A,TRUE,"3YRS+";#N/A,#N/A,TRUE,"CONSTR_DET"}</definedName>
    <definedName name="ghjggjh" localSheetId="5" hidden="1">{#N/A,#N/A,FALSE,"Pharm";#N/A,#N/A,FALSE,"WWCM"}</definedName>
    <definedName name="gilb.wrn.test2." localSheetId="5" hidden="1">{"SourcesUses",#N/A,TRUE,"CFMODEL";"TransOverview",#N/A,TRUE,"CFMODEL"}</definedName>
    <definedName name="gilb.wrn.test3." localSheetId="5" hidden="1">{"SourcesUses",#N/A,TRUE,#N/A;"TransOverview",#N/A,TRUE,"CFMODEL"}</definedName>
    <definedName name="gilb.wrn.test4." localSheetId="5" hidden="1">{"SourcesUses",#N/A,TRUE,"FundsFlow";"TransOverview",#N/A,TRUE,"FundsFlow"}</definedName>
    <definedName name="gilb_wrn.test1" localSheetId="5" hidden="1">{"Income Statement",#N/A,FALSE,"CFMODEL";"Balance Sheet",#N/A,FALSE,"CFMODEL"}</definedName>
    <definedName name="Global1" localSheetId="5" hidden="1">{#N/A,#N/A,FALSE,"Pharm";#N/A,#N/A,FALSE,"WWCM"}</definedName>
    <definedName name="go" localSheetId="5" hidden="1">{"TOTAL",#N/A,FALSE,"A";"FISCAL94",#N/A,FALSE,"A";"FISCAL95",#N/A,FALSE,"A";"FISCAL96",#N/A,FALSE,"A";"misc page",#N/A,FALSE,"A"}</definedName>
    <definedName name="graph" localSheetId="5" hidden="1">{#N/A,#N/A,FALSE,"REPORT"}</definedName>
    <definedName name="gt" localSheetId="5" hidden="1">{#N/A,#N/A,FALSE,"COVER";#N/A,#N/A,FALSE,"Index";#N/A,#N/A,FALSE,"Non-Earning";#N/A,#N/A,FALSE,"Commercial";#N/A,#N/A,FALSE,"Detailed"}</definedName>
    <definedName name="h" localSheetId="5" hidden="1">{#N/A,#N/A,FALSE,"REPORT"}</definedName>
    <definedName name="hbkg" localSheetId="5" hidden="1">{#N/A,#N/A,FALSE,"COVER";#N/A,#N/A,FALSE,"Index";#N/A,#N/A,FALSE,"Non-Earning";#N/A,#N/A,FALSE,"Non-Earning-Recovery";#N/A,#N/A,FALSE,"Leasing_Equipo";#N/A,#N/A,FALSE,"Leasing_Auto";#N/A,#N/A,FALSE,"Leasing_Legal"}</definedName>
    <definedName name="HFinGraph" localSheetId="5" hidden="1">{#N/A,#N/A,FALSE,"Pharm";#N/A,#N/A,FALSE,"WWCM"}</definedName>
    <definedName name="Hibh" localSheetId="5" hidden="1">{#N/A,#N/A,FALSE,"Pharm";#N/A,#N/A,FALSE,"WWCM"}</definedName>
    <definedName name="High" localSheetId="5" hidden="1">{#N/A,#N/A,FALSE,"Pharm";#N/A,#N/A,FALSE,"WWCM"}</definedName>
    <definedName name="hjhjffukfuk" localSheetId="5" hidden="1">{#N/A,#N/A,FALSE,"Pharm";#N/A,#N/A,FALSE,"WWCM"}</definedName>
    <definedName name="hjhjfkfukywrte" localSheetId="5" hidden="1">{#N/A,#N/A,FALSE,"Pharm";#N/A,#N/A,FALSE,"WWCM"}</definedName>
    <definedName name="hjhkjkl" localSheetId="5" hidden="1">{#N/A,#N/A,FALSE,"Pharm";#N/A,#N/A,FALSE,"WWCM"}</definedName>
    <definedName name="hjjjkk" localSheetId="5" hidden="1">{#N/A,#N/A,FALSE,"REPORT"}</definedName>
    <definedName name="hjjkk" localSheetId="5" hidden="1">{#N/A,#N/A,FALSE,"Pharm";#N/A,#N/A,FALSE,"WWCM"}</definedName>
    <definedName name="hjkk" localSheetId="5" hidden="1">{#N/A,#N/A,FALSE,"Pharm";#N/A,#N/A,FALSE,"WWCM"}</definedName>
    <definedName name="HKSH" localSheetId="5" hidden="1">{#N/A,#N/A,FALSE,"REPORT"}</definedName>
    <definedName name="HMG" localSheetId="5" hidden="1">{#N/A,#N/A,FALSE,"REPORT"}</definedName>
    <definedName name="HTML_Control" localSheetId="5" hidden="1">{"'ATP'!$E$6"}</definedName>
    <definedName name="HTML_Control_1" localSheetId="5" hidden="1">{"'ATP'!$E$6"}</definedName>
    <definedName name="htyuityuiotio" localSheetId="5" hidden="1">{#N/A,#N/A,FALSE,"REPORT"}</definedName>
    <definedName name="Hypertention" localSheetId="5" hidden="1">{#N/A,#N/A,FALSE,"Pharm";#N/A,#N/A,FALSE,"WWCM"}</definedName>
    <definedName name="hypo" localSheetId="5" hidden="1">{#N/A,#N/A,FALSE,"Pharm";#N/A,#N/A,FALSE,"WWCM"}</definedName>
    <definedName name="IntroPrintArea" localSheetId="5" hidden="1">#REF!</definedName>
    <definedName name="IP" localSheetId="5" hidden="1">{#N/A,#N/A,FALSE,"Pharm";#N/A,#N/A,FALSE,"WWCM"}</definedName>
    <definedName name="IPRD_mites" localSheetId="5" hidden="1">{"bs",#N/A,FALSE,"SCF"}</definedName>
    <definedName name="IPRD_Pollen" localSheetId="5" hidden="1">{"bs",#N/A,FALSE,"SCF"}</definedName>
    <definedName name="IQB_BOOKMARK_LOCATION_0" localSheetId="5" hidden="1">#REF!</definedName>
    <definedName name="IQR111711P10" localSheetId="5" hidden="1">#REF!</definedName>
    <definedName name="IQR111711P101" localSheetId="5" hidden="1">#REF!</definedName>
    <definedName name="IQR111711P102" localSheetId="5" hidden="1">#REF!</definedName>
    <definedName name="IQR111711P103" localSheetId="5" hidden="1">#REF!</definedName>
    <definedName name="IQR111711P104" localSheetId="5" hidden="1">#REF!</definedName>
    <definedName name="IQR111711P106" localSheetId="5" hidden="1">#REF!</definedName>
    <definedName name="IQR111711P107" localSheetId="5" hidden="1">#REF!</definedName>
    <definedName name="IQR111711P110" localSheetId="5" hidden="1">#REF!</definedName>
    <definedName name="IQR111711P111" localSheetId="5" hidden="1">#REF!</definedName>
    <definedName name="IQR111711P112" localSheetId="5" hidden="1">#REF!</definedName>
    <definedName name="IQR111711P113" localSheetId="5" hidden="1">#REF!</definedName>
    <definedName name="IQR111711P114" localSheetId="5" hidden="1">#REF!</definedName>
    <definedName name="IQR111711P117" localSheetId="5" hidden="1">#REF!</definedName>
    <definedName name="IQR111711P119" localSheetId="5" hidden="1">#REF!</definedName>
    <definedName name="IQR111711P120" localSheetId="5" hidden="1">#REF!</definedName>
    <definedName name="IQR111711P122" localSheetId="5" hidden="1">#REF!</definedName>
    <definedName name="IQR111711P123" localSheetId="5" hidden="1">#REF!</definedName>
    <definedName name="IQR111711P124" localSheetId="5" hidden="1">#REF!</definedName>
    <definedName name="IQR111711P127" localSheetId="5" hidden="1">#REF!</definedName>
    <definedName name="IQR111711P128" localSheetId="5" hidden="1">#REF!</definedName>
    <definedName name="IQR111711P13" localSheetId="5" hidden="1">#REF!</definedName>
    <definedName name="IQR111711P131" localSheetId="5" hidden="1">#REF!</definedName>
    <definedName name="IQR111711P132" localSheetId="5" hidden="1">#REF!</definedName>
    <definedName name="IQR111711P134" localSheetId="5" hidden="1">#REF!</definedName>
    <definedName name="IQR111711P135" localSheetId="5" hidden="1">#REF!</definedName>
    <definedName name="IQR111711P136" localSheetId="5" hidden="1">#REF!</definedName>
    <definedName name="IQR111711P138" localSheetId="5" hidden="1">#REF!</definedName>
    <definedName name="IQR111711P139" localSheetId="5" hidden="1">#REF!</definedName>
    <definedName name="IQR111711P14" localSheetId="5" hidden="1">#REF!</definedName>
    <definedName name="IQR111711P140" localSheetId="5" hidden="1">#REF!</definedName>
    <definedName name="IQR111711P141" localSheetId="5" hidden="1">#REF!</definedName>
    <definedName name="IQR111711P142" localSheetId="5" hidden="1">#REF!</definedName>
    <definedName name="IQR111711P143" localSheetId="5" hidden="1">#REF!</definedName>
    <definedName name="IQR111711P144" localSheetId="5" hidden="1">#REF!</definedName>
    <definedName name="IQR111711P145" localSheetId="5" hidden="1">#REF!</definedName>
    <definedName name="IQR111711P148" localSheetId="5" hidden="1">#REF!</definedName>
    <definedName name="IQR111711P149" localSheetId="5" hidden="1">#REF!</definedName>
    <definedName name="IQR111711P150" localSheetId="5" hidden="1">#REF!</definedName>
    <definedName name="IQR111711P153" localSheetId="5" hidden="1">#REF!</definedName>
    <definedName name="IQR111711P155" localSheetId="5" hidden="1">#REF!</definedName>
    <definedName name="IQR111711P156" localSheetId="5" hidden="1">#REF!</definedName>
    <definedName name="IQR111711P161" localSheetId="5" hidden="1">#REF!</definedName>
    <definedName name="IQR111711P163" localSheetId="5" hidden="1">#REF!</definedName>
    <definedName name="IQR111711P167" localSheetId="5" hidden="1">#REF!</definedName>
    <definedName name="IQR111711P168" localSheetId="5" hidden="1">#REF!</definedName>
    <definedName name="IQR111711P169" localSheetId="5" hidden="1">#REF!</definedName>
    <definedName name="IQR111711P17" localSheetId="5" hidden="1">#REF!</definedName>
    <definedName name="IQR111711P170" localSheetId="5" hidden="1">#REF!</definedName>
    <definedName name="IQR111711P172" localSheetId="5" hidden="1">#REF!</definedName>
    <definedName name="IQR111711P174" localSheetId="5" hidden="1">#REF!</definedName>
    <definedName name="IQR111711P175" localSheetId="5" hidden="1">#REF!</definedName>
    <definedName name="IQR111711P179" localSheetId="5" hidden="1">#REF!</definedName>
    <definedName name="IQR111711P18" localSheetId="5" hidden="1">#REF!</definedName>
    <definedName name="IQR111711P182" localSheetId="5" hidden="1">#REF!</definedName>
    <definedName name="IQR111711P183" localSheetId="5" hidden="1">#REF!</definedName>
    <definedName name="IQR111711P187" localSheetId="5" hidden="1">#REF!</definedName>
    <definedName name="IQR111711P188" localSheetId="5" hidden="1">#REF!</definedName>
    <definedName name="IQR111711P190" localSheetId="5" hidden="1">#REF!</definedName>
    <definedName name="IQR111711P192" localSheetId="5" hidden="1">#REF!</definedName>
    <definedName name="IQR111711P193" localSheetId="5" hidden="1">#REF!</definedName>
    <definedName name="IQR111711P195" localSheetId="5" hidden="1">#REF!</definedName>
    <definedName name="IQR111711P196" localSheetId="5" hidden="1">#REF!</definedName>
    <definedName name="IQR111711P198" localSheetId="5" hidden="1">#REF!</definedName>
    <definedName name="IQR111711P199" localSheetId="5" hidden="1">#REF!</definedName>
    <definedName name="IQR111711P200" localSheetId="5" hidden="1">#REF!</definedName>
    <definedName name="IQR111711P202" localSheetId="5" hidden="1">#REF!</definedName>
    <definedName name="IQR111711P205" localSheetId="5" hidden="1">#REF!</definedName>
    <definedName name="IQR111711P206" localSheetId="5" hidden="1">#REF!</definedName>
    <definedName name="IQR111711P207" localSheetId="5" hidden="1">#REF!</definedName>
    <definedName name="IQR111711P208" localSheetId="5" hidden="1">#REF!</definedName>
    <definedName name="IQR111711P21" localSheetId="5" hidden="1">#REF!</definedName>
    <definedName name="IQR111711P210" localSheetId="5" hidden="1">#REF!</definedName>
    <definedName name="IQR111711P211" localSheetId="5" hidden="1">#REF!</definedName>
    <definedName name="IQR111711P212" localSheetId="5" hidden="1">#REF!</definedName>
    <definedName name="IQR111711P213" localSheetId="5" hidden="1">#REF!</definedName>
    <definedName name="IQR111711P214" localSheetId="5" hidden="1">#REF!</definedName>
    <definedName name="IQR111711P215" localSheetId="5" hidden="1">#REF!</definedName>
    <definedName name="IQR111711P216" localSheetId="5" hidden="1">#REF!</definedName>
    <definedName name="IQR111711P218" localSheetId="5" hidden="1">#REF!</definedName>
    <definedName name="IQR111711P219" localSheetId="5" hidden="1">#REF!</definedName>
    <definedName name="IQR111711P222" localSheetId="5" hidden="1">#REF!</definedName>
    <definedName name="IQR111711P223" localSheetId="5" hidden="1">#REF!</definedName>
    <definedName name="IQR111711P224" localSheetId="5" hidden="1">#REF!</definedName>
    <definedName name="IQR111711P225" localSheetId="5" hidden="1">#REF!</definedName>
    <definedName name="IQR111711P227" localSheetId="5" hidden="1">#REF!</definedName>
    <definedName name="IQR111711P229" localSheetId="5" hidden="1">#REF!</definedName>
    <definedName name="IQR111711P23" localSheetId="5" hidden="1">#REF!</definedName>
    <definedName name="IQR111711P230" localSheetId="5" hidden="1">#REF!</definedName>
    <definedName name="IQR111711P232" localSheetId="5" hidden="1">#REF!</definedName>
    <definedName name="IQR111711P233" localSheetId="5" hidden="1">#REF!</definedName>
    <definedName name="IQR111711P234" localSheetId="5" hidden="1">#REF!</definedName>
    <definedName name="IQR111711P237" localSheetId="5" hidden="1">#REF!</definedName>
    <definedName name="IQR111711P238" localSheetId="5" hidden="1">#REF!</definedName>
    <definedName name="IQR111711P239" localSheetId="5" hidden="1">#REF!</definedName>
    <definedName name="IQR111711P24" localSheetId="5" hidden="1">#REF!</definedName>
    <definedName name="IQR111711P240" localSheetId="5" hidden="1">#REF!</definedName>
    <definedName name="IQR111711P242" localSheetId="5" hidden="1">#REF!</definedName>
    <definedName name="IQR111711P243" localSheetId="5" hidden="1">#REF!</definedName>
    <definedName name="IQR111711P245" localSheetId="5" hidden="1">#REF!</definedName>
    <definedName name="IQR111711P247" localSheetId="5" hidden="1">#REF!</definedName>
    <definedName name="IQR111711P248" localSheetId="5" hidden="1">#REF!</definedName>
    <definedName name="IQR111711P249" localSheetId="5" hidden="1">#REF!</definedName>
    <definedName name="IQR111711P25" localSheetId="5" hidden="1">#REF!</definedName>
    <definedName name="IQR111711P252" localSheetId="5" hidden="1">#REF!</definedName>
    <definedName name="IQR111711P253" localSheetId="5" hidden="1">#REF!</definedName>
    <definedName name="IQR111711P254" localSheetId="5" hidden="1">#REF!</definedName>
    <definedName name="IQR111711P255" localSheetId="5" hidden="1">#REF!</definedName>
    <definedName name="IQR111711P256" localSheetId="5" hidden="1">#REF!</definedName>
    <definedName name="IQR111711P257" localSheetId="5" hidden="1">#REF!</definedName>
    <definedName name="IQR111711P258" localSheetId="5" hidden="1">#REF!</definedName>
    <definedName name="IQR111711P259" localSheetId="5" hidden="1">#REF!</definedName>
    <definedName name="IQR111711P26" localSheetId="5" hidden="1">#REF!</definedName>
    <definedName name="IQR111711P260" localSheetId="5" hidden="1">#REF!</definedName>
    <definedName name="IQR111711P261" localSheetId="5" hidden="1">#REF!</definedName>
    <definedName name="IQR111711P263" localSheetId="5" hidden="1">#REF!</definedName>
    <definedName name="IQR111711P264" localSheetId="5" hidden="1">#REF!</definedName>
    <definedName name="IQR111711P265" localSheetId="5" hidden="1">#REF!</definedName>
    <definedName name="IQR111711P266" localSheetId="5" hidden="1">#REF!</definedName>
    <definedName name="IQR111711P267" localSheetId="5" hidden="1">#REF!</definedName>
    <definedName name="IQR111711P269" localSheetId="5" hidden="1">#REF!</definedName>
    <definedName name="IQR111711P27" localSheetId="5" hidden="1">#REF!</definedName>
    <definedName name="IQR111711P270" localSheetId="5" hidden="1">#REF!</definedName>
    <definedName name="IQR111711P271" localSheetId="5" hidden="1">#REF!</definedName>
    <definedName name="IQR111711P275" localSheetId="5" hidden="1">#REF!</definedName>
    <definedName name="IQR111711P276" localSheetId="5" hidden="1">#REF!</definedName>
    <definedName name="IQR111711P278" localSheetId="5" hidden="1">#REF!</definedName>
    <definedName name="IQR111711P279" localSheetId="5" hidden="1">#REF!</definedName>
    <definedName name="IQR111711P28" localSheetId="5" hidden="1">#REF!</definedName>
    <definedName name="IQR111711P280" localSheetId="5" hidden="1">#REF!</definedName>
    <definedName name="IQR111711P281" localSheetId="5" hidden="1">#REF!</definedName>
    <definedName name="IQR111711P282" localSheetId="5" hidden="1">#REF!</definedName>
    <definedName name="IQR111711P284" localSheetId="5" hidden="1">#REF!</definedName>
    <definedName name="IQR111711P285" localSheetId="5" hidden="1">#REF!</definedName>
    <definedName name="IQR111711P286" localSheetId="5" hidden="1">#REF!</definedName>
    <definedName name="IQR111711P289" localSheetId="5" hidden="1">#REF!</definedName>
    <definedName name="IQR111711P29" localSheetId="5" hidden="1">#REF!</definedName>
    <definedName name="IQR111711P290" localSheetId="5" hidden="1">#REF!</definedName>
    <definedName name="IQR111711P292" localSheetId="5" hidden="1">#REF!</definedName>
    <definedName name="IQR111711P294" localSheetId="5" hidden="1">#REF!</definedName>
    <definedName name="IQR111711P295" localSheetId="5" hidden="1">#REF!</definedName>
    <definedName name="IQR111711P297" localSheetId="5" hidden="1">#REF!</definedName>
    <definedName name="IQR111711P299" localSheetId="5" hidden="1">#REF!</definedName>
    <definedName name="IQR111711P30" localSheetId="5" hidden="1">#REF!</definedName>
    <definedName name="IQR111711P300" localSheetId="5" hidden="1">#REF!</definedName>
    <definedName name="IQR111711P301" localSheetId="5" hidden="1">#REF!</definedName>
    <definedName name="IQR111711P303" localSheetId="5" hidden="1">#REF!</definedName>
    <definedName name="IQR111711P304" localSheetId="5" hidden="1">#REF!</definedName>
    <definedName name="IQR111711P306" localSheetId="5" hidden="1">#REF!</definedName>
    <definedName name="IQR111711P307" localSheetId="5" hidden="1">#REF!</definedName>
    <definedName name="IQR111711P308" localSheetId="5" hidden="1">#REF!</definedName>
    <definedName name="IQR111711P309" localSheetId="5" hidden="1">#REF!</definedName>
    <definedName name="IQR111711P31" localSheetId="5" hidden="1">#REF!</definedName>
    <definedName name="IQR111711P311" localSheetId="5" hidden="1">#REF!</definedName>
    <definedName name="IQR111711P312" localSheetId="5" hidden="1">#REF!</definedName>
    <definedName name="IQR111711P313" localSheetId="5" hidden="1">#REF!</definedName>
    <definedName name="IQR111711P314" localSheetId="5" hidden="1">#REF!</definedName>
    <definedName name="IQR111711P315" localSheetId="5" hidden="1">#REF!</definedName>
    <definedName name="IQR111711P318" localSheetId="5" hidden="1">#REF!</definedName>
    <definedName name="IQR111711P319" localSheetId="5" hidden="1">#REF!</definedName>
    <definedName name="IQR111711P32" localSheetId="5" hidden="1">#REF!</definedName>
    <definedName name="IQR111711P320" localSheetId="5" hidden="1">#REF!</definedName>
    <definedName name="IQR111711P321" localSheetId="5" hidden="1">#REF!</definedName>
    <definedName name="IQR111711P322" localSheetId="5" hidden="1">#REF!</definedName>
    <definedName name="IQR111711P323" localSheetId="5" hidden="1">#REF!</definedName>
    <definedName name="IQR111711P324" localSheetId="5" hidden="1">#REF!</definedName>
    <definedName name="IQR111711P325" localSheetId="5" hidden="1">#REF!</definedName>
    <definedName name="IQR111711P327" localSheetId="5" hidden="1">#REF!</definedName>
    <definedName name="IQR111711P328" localSheetId="5" hidden="1">#REF!</definedName>
    <definedName name="IQR111711P329" localSheetId="5" hidden="1">#REF!</definedName>
    <definedName name="IQR111711P33" localSheetId="5" hidden="1">#REF!</definedName>
    <definedName name="IQR111711P330" localSheetId="5" hidden="1">#REF!</definedName>
    <definedName name="IQR111711P331" localSheetId="5" hidden="1">#REF!</definedName>
    <definedName name="IQR111711P333" localSheetId="5" hidden="1">#REF!</definedName>
    <definedName name="IQR111711P335" localSheetId="5" hidden="1">#REF!</definedName>
    <definedName name="IQR111711P336" localSheetId="5" hidden="1">#REF!</definedName>
    <definedName name="IQR111711P337" localSheetId="5" hidden="1">#REF!</definedName>
    <definedName name="IQR111711P338" localSheetId="5" hidden="1">#REF!</definedName>
    <definedName name="IQR111711P339" localSheetId="5" hidden="1">#REF!</definedName>
    <definedName name="IQR111711P34" localSheetId="5" hidden="1">#REF!</definedName>
    <definedName name="IQR111711P340" localSheetId="5" hidden="1">#REF!</definedName>
    <definedName name="IQR111711P341" localSheetId="5" hidden="1">#REF!</definedName>
    <definedName name="IQR111711P343" localSheetId="5" hidden="1">#REF!</definedName>
    <definedName name="IQR111711P345" localSheetId="5" hidden="1">#REF!</definedName>
    <definedName name="IQR111711P346" localSheetId="5" hidden="1">#REF!</definedName>
    <definedName name="IQR111711P347" localSheetId="5" hidden="1">#REF!</definedName>
    <definedName name="IQR111711P348" localSheetId="5" hidden="1">#REF!</definedName>
    <definedName name="IQR111711P349" localSheetId="5" hidden="1">#REF!</definedName>
    <definedName name="IQR111711P350" localSheetId="5" hidden="1">#REF!</definedName>
    <definedName name="IQR111711P352" localSheetId="5" hidden="1">#REF!</definedName>
    <definedName name="IQR111711P353" localSheetId="5" hidden="1">#REF!</definedName>
    <definedName name="IQR111711P354" localSheetId="5" hidden="1">#REF!</definedName>
    <definedName name="IQR111711P355" localSheetId="5" hidden="1">#REF!</definedName>
    <definedName name="IQR111711P356" localSheetId="5" hidden="1">#REF!</definedName>
    <definedName name="IQR111711P358" localSheetId="5" hidden="1">#REF!</definedName>
    <definedName name="IQR111711P36" localSheetId="5" hidden="1">#REF!</definedName>
    <definedName name="IQR111711P361" localSheetId="5" hidden="1">#REF!</definedName>
    <definedName name="IQR111711P362" localSheetId="5" hidden="1">#REF!</definedName>
    <definedName name="IQR111711P364" localSheetId="5" hidden="1">#REF!</definedName>
    <definedName name="IQR111711P367" localSheetId="5" hidden="1">#REF!</definedName>
    <definedName name="IQR111711P368" localSheetId="5" hidden="1">#REF!</definedName>
    <definedName name="IQR111711P369" localSheetId="5" hidden="1">#REF!</definedName>
    <definedName name="IQR111711P37" localSheetId="5" hidden="1">#REF!</definedName>
    <definedName name="IQR111711P370" localSheetId="5" hidden="1">#REF!</definedName>
    <definedName name="IQR111711P372" localSheetId="5" hidden="1">#REF!</definedName>
    <definedName name="IQR111711P374" localSheetId="5" hidden="1">#REF!</definedName>
    <definedName name="IQR111711P375" localSheetId="5" hidden="1">#REF!</definedName>
    <definedName name="IQR111711P378" localSheetId="5" hidden="1">#REF!</definedName>
    <definedName name="IQR111711P379" localSheetId="5" hidden="1">#REF!</definedName>
    <definedName name="IQR111711P38" localSheetId="5" hidden="1">#REF!</definedName>
    <definedName name="IQR111711P380" localSheetId="5" hidden="1">#REF!</definedName>
    <definedName name="IQR111711P381" localSheetId="5" hidden="1">#REF!</definedName>
    <definedName name="IQR111711P41" localSheetId="5" hidden="1">#REF!</definedName>
    <definedName name="IQR111711P42" localSheetId="5" hidden="1">#REF!</definedName>
    <definedName name="IQR111711P43" localSheetId="5" hidden="1">#REF!</definedName>
    <definedName name="IQR111711P44" localSheetId="5" hidden="1">#REF!</definedName>
    <definedName name="IQR111711P46" localSheetId="5" hidden="1">#REF!</definedName>
    <definedName name="IQR111711P48" localSheetId="5" hidden="1">#REF!</definedName>
    <definedName name="IQR111711P50" localSheetId="5" hidden="1">#REF!</definedName>
    <definedName name="IQR111711P51" localSheetId="5" hidden="1">#REF!</definedName>
    <definedName name="IQR111711P55" localSheetId="5" hidden="1">#REF!</definedName>
    <definedName name="IQR111711P56" localSheetId="5" hidden="1">#REF!</definedName>
    <definedName name="IQR111711P57" localSheetId="5" hidden="1">#REF!</definedName>
    <definedName name="IQR111711P58" localSheetId="5" hidden="1">#REF!</definedName>
    <definedName name="IQR111711P59" localSheetId="5" hidden="1">#REF!</definedName>
    <definedName name="IQR111711P62" localSheetId="5" hidden="1">#REF!</definedName>
    <definedName name="IQR111711P64" localSheetId="5" hidden="1">#REF!</definedName>
    <definedName name="IQR111711P65" localSheetId="5" hidden="1">#REF!</definedName>
    <definedName name="IQR111711P66" localSheetId="5" hidden="1">#REF!</definedName>
    <definedName name="IQR111711P67" localSheetId="5" hidden="1">#REF!</definedName>
    <definedName name="IQR111711P69" localSheetId="5" hidden="1">#REF!</definedName>
    <definedName name="IQR111711P70" localSheetId="5" hidden="1">#REF!</definedName>
    <definedName name="IQR111711P71" localSheetId="5" hidden="1">#REF!</definedName>
    <definedName name="IQR111711P74" localSheetId="5" hidden="1">#REF!</definedName>
    <definedName name="IQR111711P75" localSheetId="5" hidden="1">#REF!</definedName>
    <definedName name="IQR111711P76" localSheetId="5" hidden="1">#REF!</definedName>
    <definedName name="IQR111711P77" localSheetId="5" hidden="1">#REF!</definedName>
    <definedName name="IQR111711P79" localSheetId="5" hidden="1">#REF!</definedName>
    <definedName name="IQR111711P81" localSheetId="5" hidden="1">#REF!</definedName>
    <definedName name="IQR111711P83" localSheetId="5" hidden="1">#REF!</definedName>
    <definedName name="IQR111711P87" localSheetId="5" hidden="1">#REF!</definedName>
    <definedName name="IQR111711P88" localSheetId="5" hidden="1">#REF!</definedName>
    <definedName name="IQR111711P9" localSheetId="5" hidden="1">#REF!</definedName>
    <definedName name="IQR111711P91" localSheetId="5" hidden="1">#REF!</definedName>
    <definedName name="IQR111711P92" localSheetId="5" hidden="1">#REF!</definedName>
    <definedName name="IQR111711P93" localSheetId="5" hidden="1">#REF!</definedName>
    <definedName name="IQR111711P94" localSheetId="5" hidden="1">#REF!</definedName>
    <definedName name="IQR111711P95" localSheetId="5" hidden="1">#REF!</definedName>
    <definedName name="IQR111711P96" localSheetId="5" hidden="1">#REF!</definedName>
    <definedName name="IQR111711P98" localSheetId="5" hidden="1">#REF!</definedName>
    <definedName name="IQR111711Q112" localSheetId="5" hidden="1">#REF!</definedName>
    <definedName name="IQR111711Q113" localSheetId="5" hidden="1">#REF!</definedName>
    <definedName name="IQR111711Q14" localSheetId="5" hidden="1">#REF!</definedName>
    <definedName name="IQR111711Q148" localSheetId="5" hidden="1">#REF!</definedName>
    <definedName name="IQR111711Q149" localSheetId="5" hidden="1">#REF!</definedName>
    <definedName name="IQR111711Q17" localSheetId="5" hidden="1">#REF!</definedName>
    <definedName name="IQR111711Q174" localSheetId="5" hidden="1">#REF!</definedName>
    <definedName name="IQR111711Q175" localSheetId="5" hidden="1">#REF!</definedName>
    <definedName name="IQR111711Q187" localSheetId="5" hidden="1">#REF!</definedName>
    <definedName name="IQR111711Q188" localSheetId="5" hidden="1">#REF!</definedName>
    <definedName name="IQR111711Q224" localSheetId="5" hidden="1">#REF!</definedName>
    <definedName name="IQR111711Q225" localSheetId="5" hidden="1">#REF!</definedName>
    <definedName name="IQR111711Q242" localSheetId="5" hidden="1">#REF!</definedName>
    <definedName name="IQR111711Q243" localSheetId="5" hidden="1">#REF!</definedName>
    <definedName name="IQR111711Q270" localSheetId="5" hidden="1">#REF!</definedName>
    <definedName name="IQR111711Q271" localSheetId="5" hidden="1">#REF!</definedName>
    <definedName name="IQR111711Q289" localSheetId="5" hidden="1">#REF!</definedName>
    <definedName name="IQR111711Q290" localSheetId="5" hidden="1">#REF!</definedName>
    <definedName name="IQR111711Q313" localSheetId="5" hidden="1">#REF!</definedName>
    <definedName name="IQR111711Q314" localSheetId="5" hidden="1">#REF!</definedName>
    <definedName name="IQR111711Q330" localSheetId="5" hidden="1">#REF!</definedName>
    <definedName name="IQR111711Q331" localSheetId="5" hidden="1">#REF!</definedName>
    <definedName name="IQR111711Q43" localSheetId="5" hidden="1">#REF!</definedName>
    <definedName name="IQR111711Q44" localSheetId="5" hidden="1">#REF!</definedName>
    <definedName name="IQR111711Q69" localSheetId="5" hidden="1">#REF!</definedName>
    <definedName name="IQR111711Q70" localSheetId="5" hidden="1">#REF!</definedName>
    <definedName name="IQR111711Q74" localSheetId="5" hidden="1">#REF!</definedName>
    <definedName name="IQR111711Q75" localSheetId="5" hidden="1">#REF!</definedName>
    <definedName name="IQR111711Q76" localSheetId="5" hidden="1">#REF!</definedName>
    <definedName name="IQR111711Q77" localSheetId="5" hidden="1">#REF!</definedName>
    <definedName name="IQR111711Q9" localSheetId="5" hidden="1">#REF!</definedName>
    <definedName name="IQRCustomIndexX10" localSheetId="5" hidden="1">#REF!</definedName>
    <definedName name="Irbe" localSheetId="5" hidden="1">{#N/A,#N/A,FALSE,"Pharm";#N/A,#N/A,FALSE,"WWCM"}</definedName>
    <definedName name="iyrt" localSheetId="5" hidden="1">{#N/A,#N/A,TRUE,"A";#N/A,#N/A,TRUE,"B";#N/A,#N/A,TRUE,"C";#N/A,#N/A,TRUE,"D";#N/A,#N/A,TRUE,"E"}</definedName>
    <definedName name="j" localSheetId="5" hidden="1">#REF!</definedName>
    <definedName name="jde" localSheetId="5" hidden="1">{#N/A,#N/A,TRUE,"BUD VS ACT AUST 96";#N/A,#N/A,TRUE,"96 COMP P&amp;L-AUST";#N/A,#N/A,TRUE,"COMP BS-AUSTRALIA";#N/A,#N/A,TRUE,"B/S - AUSTR."}</definedName>
    <definedName name="jdfjesjds" localSheetId="5" hidden="1">{#N/A,#N/A,TRUE,"BUD VS ACT AUST 96";#N/A,#N/A,TRUE,"96 COMP P&amp;L-AUST";#N/A,#N/A,TRUE,"COMP BS-AUSTRALIA";#N/A,#N/A,TRUE,"B/S - AUSTR."}</definedName>
    <definedName name="jgjgfjgfjf" localSheetId="5" hidden="1">{#N/A,#N/A,FALSE,"COMP BS-FRANCE";#N/A,#N/A,FALSE,"96 COMP P&amp;L-FRANCE";#N/A,#N/A,FALSE,"BUD VS ACT FRAN 96";#N/A,#N/A,FALSE,"B/S - FRANCE"}</definedName>
    <definedName name="jhy" localSheetId="5" hidden="1">{#N/A,#N/A,TRUE,"Sel Fn Data QTD";#N/A,#N/A,TRUE,"TABLE_1 SPREAD ANALYSIS";#N/A,#N/A,TRUE,"Tables 2 to 3 PL";#N/A,#N/A,TRUE,"Tables 4 and 5 ALLL";#N/A,#N/A,TRUE,"Tables 6 to 8 ALLL NPA";#N/A,#N/A,TRUE,"Table 9 to 10 - Balance Sheet";#N/A,#N/A,TRUE,"Table 11 to 12 - Equity"}</definedName>
    <definedName name="jjj" localSheetId="5" hidden="1">{#N/A,#N/A,FALSE,"REPORT"}</definedName>
    <definedName name="jk" localSheetId="5" hidden="1">#REF!</definedName>
    <definedName name="jkl" localSheetId="5" hidden="1">{#N/A,#N/A,FALSE,"REPORT"}</definedName>
    <definedName name="jnhkjk" localSheetId="5" hidden="1">{#N/A,#N/A,TRUE,"BUD VS ACT AUST 96";#N/A,#N/A,TRUE,"96 COMP P&amp;L-AUST";#N/A,#N/A,TRUE,"COMP BS-AUSTRALIA";#N/A,#N/A,TRUE,"B/S - AUSTR."}</definedName>
    <definedName name="jnjnhjn" localSheetId="5" hidden="1">{#N/A,#N/A,TRUE,"BUD VS ACT AUST 96";#N/A,#N/A,TRUE,"96 COMP P&amp;L-AUST";#N/A,#N/A,TRUE,"COMP BS-AUSTRALIA";#N/A,#N/A,TRUE,"B/S - AUSTR."}</definedName>
    <definedName name="judy" localSheetId="5" hidden="1">{#N/A,#N/A,FALSE,"Pharm";#N/A,#N/A,FALSE,"WWCM"}</definedName>
    <definedName name="judy1" localSheetId="5" hidden="1">{#N/A,#N/A,FALSE,"Pharm";#N/A,#N/A,FALSE,"WWCM"}</definedName>
    <definedName name="junk" localSheetId="5" hidden="1">#REF!</definedName>
    <definedName name="junk2" localSheetId="5" hidden="1">#REF!</definedName>
    <definedName name="junk3" localSheetId="5" hidden="1">{"BS",#N/A,FALSE,"USA"}</definedName>
    <definedName name="junkme" localSheetId="5" hidden="1">{#N/A,#N/A,TRUE,"Status Report";#N/A,#N/A,TRUE,"Current Forecast";#N/A,#N/A,TRUE,"Last Forecast";#N/A,#N/A,TRUE,"BP";#N/A,#N/A,TRUE,"LY"}</definedName>
    <definedName name="k" localSheetId="5" hidden="1">{#N/A,#N/A,FALSE,"BS";#N/A,#N/A,FALSE,"PL";#N/A,#N/A,FALSE,"SOE";#N/A,#N/A,FALSE,"SCF"}</definedName>
    <definedName name="ka" localSheetId="5" hidden="1">{"TOTAL",#N/A,FALSE,"A";"FISCAL94",#N/A,FALSE,"A";"FISCAL95",#N/A,FALSE,"A";"FISCAL96",#N/A,FALSE,"A";"misc page",#N/A,FALSE,"A"}</definedName>
    <definedName name="kas" localSheetId="5" hidden="1">{"TOTAL",#N/A,FALSE,"A";"FISCAL94",#N/A,FALSE,"A";"FISCAL95",#N/A,FALSE,"A";"FISCAL96",#N/A,FALSE,"A";"misc page",#N/A,FALSE,"A"}</definedName>
    <definedName name="KDJD" localSheetId="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gkg" localSheetId="5" hidden="1">{#N/A,#N/A,FALSE,"COVER";#N/A,#N/A,FALSE,"Index";#N/A,#N/A,FALSE,"Non-Earning";#N/A,#N/A,FALSE,"Non-Earning_Recovery"}</definedName>
    <definedName name="kk" localSheetId="5" hidden="1">{#N/A,#N/A,TRUE,"Sel Fn Data QTD";#N/A,#N/A,TRUE,"Table 1 YTD";#N/A,#N/A,TRUE,"Tables 2 to 4 PL";#N/A,#N/A,TRUE,"Tables 5 to 9 ALLL";#N/A,#N/A,TRUE,"Table 10 to 13 - Balance Sheet"}</definedName>
    <definedName name="kkk" localSheetId="5" hidden="1">{#N/A,#N/A,TRUE,"BUD VS ACT AUST 96";#N/A,#N/A,TRUE,"96 COMP P&amp;L-AUST";#N/A,#N/A,TRUE,"COMP BS-AUSTRALIA";#N/A,#N/A,TRUE,"B/S - AUSTR."}</definedName>
    <definedName name="kkkk" localSheetId="5" hidden="1">{#N/A,#N/A,TRUE,"BUD VS ACT AUST 96";#N/A,#N/A,TRUE,"96 COMP P&amp;L-AUST";#N/A,#N/A,TRUE,"COMP BS-AUSTRALIA";#N/A,#N/A,TRUE,"B/S - AUSTR."}</definedName>
    <definedName name="kkkkkkk" localSheetId="5" hidden="1">{#N/A,#N/A,TRUE,"BUD VS ACT AUST 96";#N/A,#N/A,TRUE,"96 COMP P&amp;L-AUST";#N/A,#N/A,TRUE,"COMP BS-AUSTRALIA";#N/A,#N/A,TRUE,"B/S - AUSTR."}</definedName>
    <definedName name="klklkl" localSheetId="5" hidden="1">{#N/A,#N/A,TRUE,"BUD VS ACT AUST 96";#N/A,#N/A,TRUE,"96 COMP P&amp;L-AUST";#N/A,#N/A,TRUE,"COMP BS-AUSTRALIA";#N/A,#N/A,TRUE,"B/S - AUSTR."}</definedName>
    <definedName name="kslkjkjlkjd" localSheetId="5" hidden="1">{#N/A,#N/A,FALSE,"REPORT"}</definedName>
    <definedName name="ku" localSheetId="5" hidden="1">{#N/A,#N/A,TRUE,"BUD VS ACT AUST 96";#N/A,#N/A,TRUE,"96 COMP P&amp;L-AUST";#N/A,#N/A,TRUE,"COMP BS-AUSTRALIA";#N/A,#N/A,TRUE,"B/S - AUSTR."}</definedName>
    <definedName name="lee" localSheetId="5" hidden="1">{#N/A,#N/A,FALSE,"Pharm";#N/A,#N/A,FALSE,"WWCM"}</definedName>
    <definedName name="lfj" localSheetId="5" hidden="1">{#N/A,#N/A,FALSE,"TABLE_1 YTD";#N/A,#N/A,FALSE,"TABLE_1A QTD";#N/A,#N/A,FALSE,"NORMAL_SPREAD_QTD";#N/A,#N/A,FALSE,"NORMAL_SPREAD_YTD";#N/A,#N/A,FALSE,"TAX_EQV";#N/A,#N/A,FALSE,"TAX EQUIV_INPUT";#N/A,#N/A,FALSE,"NET FROM FER";#N/A,#N/A,FALSE,"COVER"}</definedName>
    <definedName name="lkj" localSheetId="5" hidden="1">#REF!</definedName>
    <definedName name="ll" localSheetId="5" hidden="1">{#N/A,#N/A,FALSE,"PL-FS";#N/A,#N/A,FALSE,"PL"}</definedName>
    <definedName name="lnk_Print_Area" localSheetId="5" hidden="1">#REF!</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I" localSheetId="5" hidden="1">{#N/A,#N/A,FALSE,"TABLE_1 YTD";#N/A,#N/A,FALSE,"TABLE_1A QTD";#N/A,#N/A,FALSE,"NORMAL_SPREAD_QTD";#N/A,#N/A,FALSE,"NORMAL_SPREAD_YTD";#N/A,#N/A,FALSE,"TAX_EQV";#N/A,#N/A,FALSE,"TAX EQUIV_INPUT";#N/A,#N/A,FALSE,"NET FROM FER";#N/A,#N/A,FALSE,"COVER"}</definedName>
    <definedName name="m" localSheetId="5" hidden="1">{#N/A,#N/A,FALSE,"COVER";#N/A,#N/A,FALSE,"Index";#N/A,#N/A,FALSE,"Non-Earning";#N/A,#N/A,FALSE,"Commercial";#N/A,#N/A,FALSE,"Detailed"}</definedName>
    <definedName name="M_A" localSheetId="5" hidden="1">{#N/A,#N/A,FALSE,"Rev Grwth";#N/A,#N/A,FALSE,"Op Inc Grwth";#N/A,#N/A,FALSE,"Net Grwth";#N/A,#N/A,FALSE,"EPS Growth"}</definedName>
    <definedName name="Mar00" localSheetId="5" hidden="1">{"Statement of Income",#N/A,TRUE,"Mar99";"Balance Sheet",#N/A,TRUE,"Mar99"}</definedName>
    <definedName name="Mar00TB" localSheetId="5" hidden="1">{"Statement of Income",#N/A,TRUE,"Mar99";"Balance Sheet",#N/A,TRUE,"Mar99"}</definedName>
    <definedName name="mar00tb1" localSheetId="5" hidden="1">{"Statement of Income",#N/A,TRUE,"Mar99";"Balance Sheet",#N/A,TRUE,"Mar99"}</definedName>
    <definedName name="mason?" localSheetId="5" hidden="1">{#N/A,#N/A,FALSE,"Data &amp; Key Results";#N/A,#N/A,FALSE,"Summary Template";#N/A,#N/A,FALSE,"Budget";#N/A,#N/A,FALSE,"Present Value Comparison";#N/A,#N/A,FALSE,"Cashflow";#N/A,#N/A,FALSE,"Income";#N/A,#N/A,FALSE,"Inputs"}</definedName>
    <definedName name="mason2" localSheetId="5" hidden="1">{#N/A,#N/A,FALSE,"Data &amp; Key Results";#N/A,#N/A,FALSE,"Summary Template";#N/A,#N/A,FALSE,"Budget";#N/A,#N/A,FALSE,"Present Value Comparison";#N/A,#N/A,FALSE,"Cashflow";#N/A,#N/A,FALSE,"Income";#N/A,#N/A,FALSE,"Inputs"}</definedName>
    <definedName name="mason3" localSheetId="5" hidden="1">{#N/A,#N/A,FALSE,"Data &amp; Key Results";#N/A,#N/A,FALSE,"Summary Template";#N/A,#N/A,FALSE,"Budget";#N/A,#N/A,FALSE,"Present Value Comparison";#N/A,#N/A,FALSE,"Cashflow";#N/A,#N/A,FALSE,"Income";#N/A,#N/A,FALSE,"Inputs"}</definedName>
    <definedName name="mason4" localSheetId="5" hidden="1">{#N/A,#N/A,FALSE,"Data &amp; Key Results";#N/A,#N/A,FALSE,"Summary Template";#N/A,#N/A,FALSE,"Budget";#N/A,#N/A,FALSE,"Present Value Comparison";#N/A,#N/A,FALSE,"Cashflow";#N/A,#N/A,FALSE,"Income";#N/A,#N/A,FALSE,"Inputs"}</definedName>
    <definedName name="mason5" localSheetId="5" hidden="1">{#N/A,#N/A,FALSE,"Data &amp; Key Results";#N/A,#N/A,FALSE,"Summary Template";#N/A,#N/A,FALSE,"Budget";#N/A,#N/A,FALSE,"Present Value Comparison";#N/A,#N/A,FALSE,"Cashflow";#N/A,#N/A,FALSE,"Income";#N/A,#N/A,FALSE,"Inputs"}</definedName>
    <definedName name="masonII" localSheetId="5" hidden="1">{#N/A,#N/A,FALSE,"Data &amp; Key Results";#N/A,#N/A,FALSE,"Summary Template";#N/A,#N/A,FALSE,"Budget";#N/A,#N/A,FALSE,"Present Value Comparison";#N/A,#N/A,FALSE,"Cashflow";#N/A,#N/A,FALSE,"Income";#N/A,#N/A,FALSE,"Inputs"}</definedName>
    <definedName name="MerrillPrintIt" localSheetId="5" hidden="1">#REF!</definedName>
    <definedName name="Mie" localSheetId="5" hidden="1">#REF!</definedName>
    <definedName name="min" localSheetId="5" hidden="1">{#N/A,#N/A,FALSE,"REPORT"}</definedName>
    <definedName name="mina" localSheetId="5" hidden="1">{#N/A,#N/A,FALSE,"REPORT"}</definedName>
    <definedName name="mkj" localSheetId="5" hidden="1">{#N/A,#N/A,TRUE,"A";#N/A,#N/A,TRUE,"B";#N/A,#N/A,TRUE,"C";#N/A,#N/A,TRUE,"D";#N/A,#N/A,TRUE,"E"}</definedName>
    <definedName name="MLNK00d48aea1172490e8970884bfd0bc5ab" localSheetId="5" hidden="1">#REF!</definedName>
    <definedName name="MLNK00d8e64d840b46bea261783566ad72fd" localSheetId="5" hidden="1">#REF!</definedName>
    <definedName name="MLNK018bfad56a014b6f84cfc7fb40567079" localSheetId="5" hidden="1">#REF!</definedName>
    <definedName name="MLNK01c3f180173548f9b3518767c367e255" localSheetId="5" hidden="1">#REF!</definedName>
    <definedName name="MLNK02152b7ac4cf43e68ef13bfa3f5e34b5" localSheetId="5" hidden="1">#REF!</definedName>
    <definedName name="MLNK02b436c54d1d4f1fb7ece854589ebc3b" localSheetId="5" hidden="1">#REF!</definedName>
    <definedName name="MLNK02ddb7e50a9a4088ad89faf3155f305e" localSheetId="5" hidden="1">#REF!</definedName>
    <definedName name="MLNK037a70f6dc4c4ccc86d3bc951b2599a8" localSheetId="5" hidden="1">#REF!</definedName>
    <definedName name="MLNK03d895c600f84237af0a9f6d50dde8ed" localSheetId="5" hidden="1">#REF!</definedName>
    <definedName name="MLNK04075ac9c75d447c8a0ebdbdc9a54c65" localSheetId="5" hidden="1">#REF!</definedName>
    <definedName name="MLNK044a71679f47458eaf36d10fdaae790f" localSheetId="5" hidden="1">#REF!</definedName>
    <definedName name="MLNK04b34d7237ff4693803d53b078679e77" localSheetId="5" hidden="1">#REF!</definedName>
    <definedName name="MLNK04baecedd8f843f7b8ab7f1e046494dc" localSheetId="5" hidden="1">#REF!</definedName>
    <definedName name="MLNK04c12b15290e4102b331188b33f480a5" localSheetId="5" hidden="1">#REF!</definedName>
    <definedName name="MLNK04ed437773d6468f978a880d6fea840e" localSheetId="5" hidden="1">#REF!</definedName>
    <definedName name="MLNK052f3789d18e4da4b8a206db6d662f8c" localSheetId="5" hidden="1">#REF!</definedName>
    <definedName name="MLNK055891053a474c2da6a013d17eafcd56" localSheetId="5" hidden="1">#REF!</definedName>
    <definedName name="MLNK055957a194f74f8e9bafb258f3f928dc" localSheetId="5" hidden="1">#REF!</definedName>
    <definedName name="MLNK060e2b647fc847038ccaa50e705b32b2" localSheetId="5" hidden="1">#REF!</definedName>
    <definedName name="MLNK064c2e8abed14178b8e9385f23e95e0f" localSheetId="5" hidden="1">#REF!</definedName>
    <definedName name="MLNK070510d453cb48d1938cdcf099afbdfc" localSheetId="5" hidden="1">#REF!</definedName>
    <definedName name="MLNK07a48200f15c4498a1034433e59fb9ee" localSheetId="5" hidden="1">#REF!</definedName>
    <definedName name="MLNK0810a7425db84fdbafb57121a4c1bdc7" localSheetId="5" hidden="1">#REF!</definedName>
    <definedName name="MLNK082f62a9898f4a6ebf0892b9a8dee313" localSheetId="5" hidden="1">#REF!</definedName>
    <definedName name="MLNK08b0d9ab9b7f4a019f01558fa42f52cc" localSheetId="5" hidden="1">#REF!</definedName>
    <definedName name="MLNK0932a8a0f6734900b5db162af6d4008b" localSheetId="5" hidden="1">#REF!</definedName>
    <definedName name="MLNK09676ee764e448008376f2bfff9e384d" localSheetId="5" hidden="1">#REF!</definedName>
    <definedName name="MLNK0a25e559e0ca40d3b117c10dde841c8d" localSheetId="5" hidden="1">#REF!</definedName>
    <definedName name="MLNK0a4500987a0d44bea968f35f842414e7" localSheetId="5" hidden="1">#REF!</definedName>
    <definedName name="MLNK0b0460e4acf542378be2a3d79b7df220" localSheetId="5" hidden="1">#REF!</definedName>
    <definedName name="MLNK0b4b5f3a99ce4b28b1cca53ba01bc3c8" localSheetId="5" hidden="1">#REF!</definedName>
    <definedName name="MLNK0b60f77ace8b4dd786fd1017a509d59f" localSheetId="5" hidden="1">#REF!</definedName>
    <definedName name="MLNK0c19dec1a7144650b526abd40fd3e1c9" localSheetId="5" hidden="1">#REF!</definedName>
    <definedName name="MLNK0c29236af04547d8895347a76fdbff29" localSheetId="5" hidden="1">#REF!</definedName>
    <definedName name="MLNK0ca8413a6a4e48109c00e972f8591f15" localSheetId="5" hidden="1">#REF!</definedName>
    <definedName name="MLNK0db0f33ed0324031b6b3ea38ff41c6b3" localSheetId="5" hidden="1">#REF!</definedName>
    <definedName name="MLNK0e30595ea35a4b91a9f0400f7da90810" localSheetId="5" hidden="1">#REF!</definedName>
    <definedName name="MLNK0ec975729a544ee48ecaa4993f759464" localSheetId="5" hidden="1">#REF!</definedName>
    <definedName name="MLNK0f79f0b17a0c4338ba2c447b8558f837" localSheetId="5" hidden="1">#REF!</definedName>
    <definedName name="MLNK0fa679e88a084677a1120db6a61735ad" localSheetId="5" hidden="1">#REF!</definedName>
    <definedName name="MLNK102a6a0da87b49bd8c869ffdcb8f6a5c" localSheetId="5" hidden="1">#REF!</definedName>
    <definedName name="MLNK11ad7f67537f4d04b5b5e34d17a1dfe7" localSheetId="5" hidden="1">#REF!</definedName>
    <definedName name="MLNK11e2a30c9b564beeb398ac3e535a96de" localSheetId="5" hidden="1">#REF!</definedName>
    <definedName name="MLNK127813a1a6254a548e091fd36e1fbb47" localSheetId="5" hidden="1">#REF!</definedName>
    <definedName name="MLNK12defab03df94ea382b71e4a83c23c96" localSheetId="5" hidden="1">#REF!</definedName>
    <definedName name="MLNK12f7145ce43446359e563854d28497d8" localSheetId="5" hidden="1">#REF!</definedName>
    <definedName name="MLNK134f38e34bcd4dbc84982cc9d8fa79cc" localSheetId="5" hidden="1">#REF!</definedName>
    <definedName name="MLNK1352b7f45b1d412299a3ad4b5f3b89fc" localSheetId="5" hidden="1">#REF!</definedName>
    <definedName name="MLNK136a8efde5d14d7880780cb4288214c8" localSheetId="5" hidden="1">#REF!</definedName>
    <definedName name="MLNK14e06d7cc4024f199e311d3b65bbb63c" localSheetId="5" hidden="1">#REF!</definedName>
    <definedName name="MLNK1502445670b740809babbf80893a2fc6" localSheetId="5" hidden="1">#REF!</definedName>
    <definedName name="MLNK15426febeea146dbb161891fa048bd4e" localSheetId="5" hidden="1">#REF!</definedName>
    <definedName name="MLNK155ed824d11e499683ac57119c33dda9" localSheetId="5" hidden="1">#REF!</definedName>
    <definedName name="MLNK15ce2520bab04a56a1b91f68d2bb2193" localSheetId="5" hidden="1">#REF!</definedName>
    <definedName name="MLNK168568dec16c423ea55308759534aead" localSheetId="5" hidden="1">#REF!</definedName>
    <definedName name="MLNK16a713e7610a41beb1e604353d934383" localSheetId="5" hidden="1">#REF!</definedName>
    <definedName name="MLNK16bb90555bb549c4a8cb4cd97a93e068" localSheetId="5" hidden="1">#REF!</definedName>
    <definedName name="MLNK17543382e2bf4b3eaa92152d6f293baf" localSheetId="5" hidden="1">#REF!</definedName>
    <definedName name="MLNK1878ac2ef4984cf88c7f6be575c72b35" localSheetId="5" hidden="1">#REF!</definedName>
    <definedName name="MLNK187aae0e1b444d2daa05f7fc058c71f3" localSheetId="5" hidden="1">#REF!</definedName>
    <definedName name="MLNK18c91ea14fe44af7b5151b4160cd85ee" localSheetId="5" hidden="1">#REF!</definedName>
    <definedName name="MLNK18d67e4ee034443ba5648d0dda6747bc" localSheetId="5" hidden="1">#REF!</definedName>
    <definedName name="MLNK18d7e2cdfe3c4b23bb4430da28ad21ed" localSheetId="5" hidden="1">#REF!</definedName>
    <definedName name="MLNK18ea120670984a17b7a93b6d9eb58e17" localSheetId="5" hidden="1">#REF!</definedName>
    <definedName name="MLNK18eb0f4412cb40a4ae711508efd03722" localSheetId="5" hidden="1">#REF!</definedName>
    <definedName name="MLNK1942f939dd30413084b5900bc3a48e91" localSheetId="5" hidden="1">#REF!</definedName>
    <definedName name="MLNK197a4e305f8e4a28923e9685bfe5755d" localSheetId="5" hidden="1">#REF!</definedName>
    <definedName name="MLNK19da6caece2e4a0da0e0510020408a9f" localSheetId="5" hidden="1">#REF!</definedName>
    <definedName name="MLNK1a54210510d0478faa44db0489c964ab" localSheetId="5" hidden="1">#REF!</definedName>
    <definedName name="MLNK1b25ef79157c4ecc86be17ec702147dd" localSheetId="5" hidden="1">#REF!</definedName>
    <definedName name="MLNK1b323a4c2490472c854bc05124ef80d4" localSheetId="5" hidden="1">#REF!</definedName>
    <definedName name="MLNK1b3e86fde2dd4141aabb68ae999a4618" localSheetId="5" hidden="1">#REF!</definedName>
    <definedName name="MLNK1bde29be2bb04b7dba98a0a15c3656f7" localSheetId="5" hidden="1">#REF!</definedName>
    <definedName name="MLNK1c5a2340dcf14e12be7f6bb726377d0e" localSheetId="5" hidden="1">#REF!</definedName>
    <definedName name="MLNK1c83a07ed2a14eb297a3aafd495ea8f8" localSheetId="5" hidden="1">#REF!</definedName>
    <definedName name="MLNK1cbe96a220924eddb8390adadf496f4d" localSheetId="5" hidden="1">#REF!</definedName>
    <definedName name="MLNK1d87f7352fcc4050afa51b0b23b6df7b" localSheetId="5" hidden="1">#REF!</definedName>
    <definedName name="MLNK1dd499f1d55b466eb23c641e6a6136f8" localSheetId="5" hidden="1">#REF!</definedName>
    <definedName name="MLNK1de8cf250711483ba35281509ce426a3" localSheetId="5" hidden="1">#REF!</definedName>
    <definedName name="MLNK1fd1a613b4e042338ae9b944d7c75226" localSheetId="5" hidden="1">#REF!</definedName>
    <definedName name="MLNK2001e30c2e79462fb212bee2d523546c" localSheetId="5" hidden="1">#REF!</definedName>
    <definedName name="MLNK2004611481114fd7836a787ce7cbc787" localSheetId="5" hidden="1">#REF!</definedName>
    <definedName name="MLNK205684d319924bf28951b6697b190691" localSheetId="5" hidden="1">#REF!</definedName>
    <definedName name="MLNK2070a8a62489433ea2ef832a7b27ce8e" localSheetId="5" hidden="1">#REF!</definedName>
    <definedName name="MLNK20db4d3c94964f3a8f93dbbc366d2cfd" localSheetId="5" hidden="1">#REF!</definedName>
    <definedName name="MLNK20ec3ff50f064852adb8fd689f113130" localSheetId="5" hidden="1">#REF!</definedName>
    <definedName name="MLNK21060abefe22464881ffa9dc4087f34a" localSheetId="5" hidden="1">#REF!</definedName>
    <definedName name="MLNK21407499ba784667b4908f9c47c07ba0" localSheetId="5" hidden="1">#REF!</definedName>
    <definedName name="MLNK215d6ec32f3f4db6a3d798cc5297a671" localSheetId="5" hidden="1">#REF!</definedName>
    <definedName name="MLNK216741f5dafc4782a31735a1bbf0c00b" localSheetId="5" hidden="1">#REF!</definedName>
    <definedName name="MLNK21819cd4be3747afaafe7fd6af1a80dd" localSheetId="5" hidden="1">#REF!</definedName>
    <definedName name="MLNK233feeaa85db4459a7b9b00424fa2ff8" localSheetId="5" hidden="1">#REF!</definedName>
    <definedName name="MLNK23a22acb0ce643cfab0c7c09267827be" localSheetId="5" hidden="1">#REF!</definedName>
    <definedName name="MLNK23e7d64cf91849bf971cdd0e2506b3b9" localSheetId="5" hidden="1">#REF!</definedName>
    <definedName name="MLNK242f346894804e1886d2cf64cec38165" localSheetId="5" hidden="1">#REF!</definedName>
    <definedName name="MLNK2474a500bbc54ae7929db86934bc6273" localSheetId="5" hidden="1">#REF!</definedName>
    <definedName name="MLNK2573f5f2b0a147228dcc43cff2d4ac48" localSheetId="5" hidden="1">#REF!</definedName>
    <definedName name="MLNK259ca339584144f5926618d12b15da3e" localSheetId="5" hidden="1">#REF!</definedName>
    <definedName name="MLNK25a89f60adf6498fb802aaec26c25d00" localSheetId="5" hidden="1">#REF!</definedName>
    <definedName name="MLNK25f9e2e8d5514c5489f2b23bea37f935" localSheetId="5" hidden="1">#REF!</definedName>
    <definedName name="MLNK26c398595c9545efbd82dca4a520047a" localSheetId="5" hidden="1">#REF!</definedName>
    <definedName name="MLNK26cda75b65fd41048c6f187517f0d6ba" localSheetId="5" hidden="1">#REF!</definedName>
    <definedName name="MLNK27f4b8570bad4ba0ad262108ff4c0490" localSheetId="5" hidden="1">#REF!</definedName>
    <definedName name="MLNK291cdfb6f516442784c0baf3b12fde25" localSheetId="5" hidden="1">#REF!</definedName>
    <definedName name="MLNK29814a5538324abfbbc2da617e73d6f7" localSheetId="5" hidden="1">#REF!</definedName>
    <definedName name="MLNK299ae3da7f4f4b678de7f52a7f43c2db" localSheetId="5" hidden="1">#REF!</definedName>
    <definedName name="MLNK29c57d71f4d746e7898935907da19e0c" localSheetId="5" hidden="1">#REF!</definedName>
    <definedName name="MLNK29e39640eaab48838edc89ddf6129fad" localSheetId="5" hidden="1">#REF!</definedName>
    <definedName name="MLNK29e84db5458b45658bb97db4ee5141fa" localSheetId="5" hidden="1">#REF!</definedName>
    <definedName name="MLNK2abee68d748f43408f3c78ff1aab5cd8" localSheetId="5" hidden="1">#REF!</definedName>
    <definedName name="MLNK2b2c36ff82434559965b4adeae9bae8e" localSheetId="5" hidden="1">#REF!</definedName>
    <definedName name="MLNK2b452caa83434d14a5a8bf95fbfefdb4" localSheetId="5" hidden="1">#REF!</definedName>
    <definedName name="MLNK2b85baa9501840b6827700471c774d80" localSheetId="5" hidden="1">#REF!</definedName>
    <definedName name="MLNK2b9b059d0a2a4ffeafce19ba06c9cdb7" localSheetId="5" hidden="1">#REF!</definedName>
    <definedName name="MLNK2c18432822ef4f83a820c2daed1e8bc0" localSheetId="5" hidden="1">#REF!</definedName>
    <definedName name="MLNK2c9088fbcd634d40b09e37e4e2d3a7c4" localSheetId="5" hidden="1">#REF!</definedName>
    <definedName name="MLNK2db7e1032d8c4d67a7116fb19fe6fa4a" localSheetId="5" hidden="1">#REF!</definedName>
    <definedName name="MLNK2e229c7e6c1a4a3eb10431ebf4b8170e" localSheetId="5" hidden="1">#REF!</definedName>
    <definedName name="MLNK2e74d86902b44d1fb46c4e137bcb62a8" localSheetId="5" hidden="1">#REF!</definedName>
    <definedName name="MLNK2e90962703ad48c792ea668d84149920" localSheetId="5" hidden="1">#REF!</definedName>
    <definedName name="MLNK2f0b5324375b449b94bf8a49a9cb7754" localSheetId="5" hidden="1">#REF!</definedName>
    <definedName name="MLNK300a116a290b4ed4b3002b11ff01efdb" localSheetId="5" hidden="1">#REF!</definedName>
    <definedName name="MLNK303b4d13bf9d4ab6b918ec321bc7d36d" localSheetId="5" hidden="1">#REF!</definedName>
    <definedName name="MLNK30b27c2cda9f470faea966f90bdec659" localSheetId="5" hidden="1">#REF!</definedName>
    <definedName name="MLNK3191c7771c5c4908bde70ad7e0523638" localSheetId="5" hidden="1">#REF!</definedName>
    <definedName name="MLNK31c437e513bd43708561c0a56b16836b" localSheetId="5" hidden="1">#REF!</definedName>
    <definedName name="MLNK33217662758946f9a7f766d1fe4702be" localSheetId="5" hidden="1">#REF!</definedName>
    <definedName name="MLNK33aa50c1f4864f5f92625202d233ad79" localSheetId="5" hidden="1">#REF!</definedName>
    <definedName name="MLNK34ea0417da44458e98269b90c5445c1b" localSheetId="5" hidden="1">#REF!</definedName>
    <definedName name="MLNK35525a34df824ef08bc71bc6c1025b5e" localSheetId="5" hidden="1">#REF!</definedName>
    <definedName name="MLNK35912bca35884e638463d146863134bb" localSheetId="5" hidden="1">#REF!</definedName>
    <definedName name="MLNK35b610b967514c518799192b3a025611" localSheetId="5" hidden="1">#REF!</definedName>
    <definedName name="MLNK35bcc842081945b9a4877e95b7f82936" localSheetId="5" hidden="1">#REF!</definedName>
    <definedName name="MLNK36d2e358aee44ad3a469ecc7f1efc28f" localSheetId="5" hidden="1">#REF!</definedName>
    <definedName name="MLNK374c68b7739746d4a370cfaacf277aa1" localSheetId="5" hidden="1">#REF!</definedName>
    <definedName name="MLNK3841ed7b84fe495094681d8873f2c710" localSheetId="5" hidden="1">#REF!</definedName>
    <definedName name="MLNK3894a42fcffc46fa83b48f2f455a1892" localSheetId="5" hidden="1">#REF!</definedName>
    <definedName name="MLNK38a93eff606b42d3964eda691fb0138d" localSheetId="5" hidden="1">#REF!</definedName>
    <definedName name="MLNK3995b3421bea4957ab58a57e281927c9" localSheetId="5" hidden="1">#REF!</definedName>
    <definedName name="MLNK39ed8c9a242a490181548740f180a9c9" localSheetId="5" hidden="1">#REF!</definedName>
    <definedName name="MLNK3a756cbdc0c6474a83ad9659a5ffb5d6" localSheetId="5" hidden="1">#REF!</definedName>
    <definedName name="MLNK3a7d26cf39d04e13a1e0f59b3cf1ac34" localSheetId="5" hidden="1">#REF!</definedName>
    <definedName name="MLNK3aee124db8a44e39804dcd74f89a6664" localSheetId="5" hidden="1">#REF!</definedName>
    <definedName name="MLNK3afd6ec422124a4280bd560d99a5eba9" localSheetId="5" hidden="1">#REF!</definedName>
    <definedName name="MLNK3b42315a9d964ea4ba34b4278796ab20" localSheetId="5" hidden="1">#REF!</definedName>
    <definedName name="MLNK3b490f78d86c43a4ba5da5a64039855e" localSheetId="5" hidden="1">#REF!</definedName>
    <definedName name="MLNK3b95ca2726664ee2b57b97a4c60f7da9" localSheetId="5" hidden="1">#REF!</definedName>
    <definedName name="MLNK3c627e7ee5f448969942c7a9faa6081b" localSheetId="5" hidden="1">#REF!</definedName>
    <definedName name="MLNK3cd376d99e2b4eeda28f2f45624a5c45" localSheetId="5" hidden="1">#REF!</definedName>
    <definedName name="MLNK3ce12ae9f8b347e1b969b8686bfdfe72" localSheetId="5" hidden="1">#REF!</definedName>
    <definedName name="MLNK3d93ff247b44478fad5e45e535c9514e" localSheetId="5" hidden="1">#REF!</definedName>
    <definedName name="MLNK3e136b76f6f0458d807d686e90e781c2" localSheetId="5" hidden="1">#REF!</definedName>
    <definedName name="MLNK3e6b5949989744febe30c0ce950b887b" localSheetId="5" hidden="1">#REF!</definedName>
    <definedName name="MLNK3e76f131abb041509d7aac5ad4e4f4da" localSheetId="5" hidden="1">#REF!</definedName>
    <definedName name="MLNK3f20583318934e1a985b3fb218f6cf2f" localSheetId="5" hidden="1">#REF!</definedName>
    <definedName name="MLNK401f5f02698d4243848666f8a851e686" localSheetId="5" hidden="1">#REF!</definedName>
    <definedName name="MLNK4087003224b14ff29dc20d806f658a35" localSheetId="5" hidden="1">#REF!</definedName>
    <definedName name="MLNK40b9f550cd2d40e1a23c9d58b10442b6" localSheetId="5" hidden="1">#REF!</definedName>
    <definedName name="MLNK4119008fa8f04941acb729f1d48f780c" localSheetId="5" hidden="1">#REF!</definedName>
    <definedName name="MLNK42b4cb02d65643168912e34a2a4d7f2e" localSheetId="5" hidden="1">#REF!</definedName>
    <definedName name="MLNK430cf43e8a734ab98b65790d0ec28b85" localSheetId="5" hidden="1">#REF!</definedName>
    <definedName name="MLNK43b4ade77b1b480587ab3b6070bdaf61" localSheetId="5" hidden="1">#REF!</definedName>
    <definedName name="MLNK43f1a5f6b89847a58b6fdae96b57e2dd" localSheetId="5" hidden="1">#REF!</definedName>
    <definedName name="MLNK442a5197cad145db945ab21b9c8b200c" localSheetId="5" hidden="1">#REF!</definedName>
    <definedName name="MLNK454cea6ef9f8417a9c84129b9df206cc" localSheetId="5" hidden="1">#REF!</definedName>
    <definedName name="MLNK468781f1a56c4f7b9056af3f150c3d01" localSheetId="5" hidden="1">#REF!</definedName>
    <definedName name="MLNK4698963d1cd64c3cbb3c00339b2715ab" localSheetId="5" hidden="1">#REF!</definedName>
    <definedName name="MLNK46ac64f69e41430dbae711c8a31227b2" localSheetId="5" hidden="1">#REF!</definedName>
    <definedName name="MLNK46cd212686fd4aff871cbe473595c1f4" localSheetId="5" hidden="1">#REF!</definedName>
    <definedName name="MLNK470a094db47f45bd86aa09e2eec85f94" localSheetId="5" hidden="1">#REF!</definedName>
    <definedName name="MLNK482a72a757504185abeb196b4c2e8eac" localSheetId="5" hidden="1">#REF!</definedName>
    <definedName name="MLNK4879f7a0100442f19df60debe3894898" localSheetId="5" hidden="1">#REF!</definedName>
    <definedName name="MLNK48e61342d81b4a01bdca4ce46a298839" localSheetId="5" hidden="1">#REF!</definedName>
    <definedName name="MLNK497b1f6578814ea499f2045816063c56" localSheetId="5" hidden="1">#REF!</definedName>
    <definedName name="MLNK49db4a5128f84b5a944ba5c6aa4f2e5e" localSheetId="5" hidden="1">#REF!</definedName>
    <definedName name="MLNK4a0aaaa4ade34633a6f39809db59ce93" localSheetId="5" hidden="1">#REF!</definedName>
    <definedName name="MLNK4a4f1de30419440b9e6fce86c1c3ea6d" localSheetId="5" hidden="1">#REF!</definedName>
    <definedName name="MLNK4a5be1ff9d6d417494e78d1077939115" localSheetId="5" hidden="1">#REF!</definedName>
    <definedName name="MLNK4a82332111354264ba7c54403cfab047" localSheetId="5" hidden="1">#REF!</definedName>
    <definedName name="MLNK4b3b9b2c509a49709ab64ea8279021ed" localSheetId="5" hidden="1">#REF!</definedName>
    <definedName name="MLNK4b40bbbaef344de0ab2a1c4c1549a012" localSheetId="5" hidden="1">#REF!</definedName>
    <definedName name="MLNK4b869de81adf428db1532acf496b0194" localSheetId="5" hidden="1">#REF!</definedName>
    <definedName name="MLNK4b8c43bd0f2d489388c97469ffb92dc2" localSheetId="5" hidden="1">#REF!</definedName>
    <definedName name="MLNK4b94666561864b68b487863d6d2c00ee" localSheetId="5" hidden="1">#REF!</definedName>
    <definedName name="MLNK4ba48b82125544feb54b63a50d2993a1" localSheetId="5" hidden="1">#REF!</definedName>
    <definedName name="MLNK4bf9ca0a4035470ab9854379328e9681" localSheetId="5" hidden="1">#REF!</definedName>
    <definedName name="MLNK4c724cf6bfd64d28bbd8ce74243815c2" localSheetId="5" hidden="1">#REF!</definedName>
    <definedName name="MLNK4d2809775cd446e6a90014faac5dd8f5" localSheetId="5" hidden="1">#REF!</definedName>
    <definedName name="MLNK4d47096029b64b53b114e1f22b3b0f38" localSheetId="5" hidden="1">#REF!</definedName>
    <definedName name="MLNK4d7fda9b12f74ae49bf48ef6c5fd5340" localSheetId="5" hidden="1">#REF!</definedName>
    <definedName name="MLNK4d9e0f11ae5e428c937ce9be516b6a99" localSheetId="5" hidden="1">#REF!</definedName>
    <definedName name="MLNK4dfd8bb2b1b14ccea2701f57b93d553e" localSheetId="5" hidden="1">#REF!</definedName>
    <definedName name="MLNK4e3e032ebe97403cb7ac1878b9b13549" localSheetId="5" hidden="1">#REF!</definedName>
    <definedName name="MLNK4e9bdae243794a8daf62540f83c5aa10" localSheetId="5" hidden="1">#REF!</definedName>
    <definedName name="MLNK4fb339189826401080c6579bbdb2860a" localSheetId="5" hidden="1">#REF!</definedName>
    <definedName name="MLNK5066a176457140b4ab8fef34359475b7" localSheetId="5" hidden="1">#REF!</definedName>
    <definedName name="MLNK509c50b0f30e41d2861594506e9a5b3d" localSheetId="5" hidden="1">#REF!</definedName>
    <definedName name="MLNK5223518531274ba9b8944e931c5091f4" localSheetId="5" hidden="1">#REF!</definedName>
    <definedName name="MLNK5273f113756f4c699300085097bea1ac" localSheetId="5" hidden="1">#REF!</definedName>
    <definedName name="MLNK52a3c800b810441686324242468860af" localSheetId="5" hidden="1">#REF!</definedName>
    <definedName name="MLNK52b773a93c594b90828c2297469b7d75" localSheetId="5" hidden="1">#REF!</definedName>
    <definedName name="MLNK539da7e8b6df4b1ba62b9857d1c8b428" localSheetId="5" hidden="1">#REF!</definedName>
    <definedName name="MLNK53f4f99dd75b45668a7dbec1b7261904" localSheetId="5" hidden="1">#REF!</definedName>
    <definedName name="MLNK5419c38a82504718a60b37b75c6058c5" localSheetId="5" hidden="1">#REF!</definedName>
    <definedName name="MLNK546b60d4cec643f6b1f022d2fd84673e" localSheetId="5" hidden="1">#REF!</definedName>
    <definedName name="MLNK549b1164492642239189c8432acac595" localSheetId="5" hidden="1">#REF!</definedName>
    <definedName name="MLNK54aa1b85a6384b7e8738b9f361971039" localSheetId="5" hidden="1">#REF!</definedName>
    <definedName name="MLNK558089d3077d4fdc8ad112fbee95b79f" localSheetId="5" hidden="1">#REF!</definedName>
    <definedName name="MLNK558420cb2c3f4942b970d972a1f4004b" localSheetId="5" hidden="1">#REF!</definedName>
    <definedName name="MLNK55a655decbf6419eb2c91cf936552e1a" localSheetId="5" hidden="1">#REF!</definedName>
    <definedName name="MLNK55e46825f9514c48852aa1b226b92cfc" localSheetId="5" hidden="1">#REF!</definedName>
    <definedName name="MLNK564779ce4b57458fae9e72aa61a4f78d" localSheetId="5" hidden="1">#REF!</definedName>
    <definedName name="MLNK5662e450df734a6bbd33a33ee472c231" localSheetId="5" hidden="1">#REF!</definedName>
    <definedName name="MLNK56784cfee8224356b96f48647bfb4487" localSheetId="5" hidden="1">#REF!</definedName>
    <definedName name="MLNK56c97d0b00a9420f86ab98f9461c3369" localSheetId="5" hidden="1">#REF!</definedName>
    <definedName name="MLNK5712d7caec4d4e1284cfaab2fc1b2380" localSheetId="5" hidden="1">#REF!</definedName>
    <definedName name="MLNK572500526c264b7b95065377003ddae5" localSheetId="5" hidden="1">#REF!</definedName>
    <definedName name="MLNK57ba1a57437c45af8dca541162dd478f" localSheetId="5" hidden="1">#REF!</definedName>
    <definedName name="MLNK58053737ae524582b77cbd888ce85d75" localSheetId="5" hidden="1">#REF!</definedName>
    <definedName name="MLNK58227a099e774037a2c4ee46ba51169b" localSheetId="5" hidden="1">#REF!</definedName>
    <definedName name="MLNK5868995cab8141f58d146ceb5ab8e064" localSheetId="5" hidden="1">#REF!</definedName>
    <definedName name="MLNK58cc0fc20f5f40bfabbdb8766eb0af9c" localSheetId="5" hidden="1">#REF!</definedName>
    <definedName name="MLNK58d4fc78b4664492bb3fa144423113d2" localSheetId="5" hidden="1">#REF!</definedName>
    <definedName name="MLNK58f9115d080d4d92853e40c2f2eb0758" localSheetId="5" hidden="1">#REF!</definedName>
    <definedName name="MLNK5a37a43bf2834901840d23cbb0abc044" localSheetId="5" hidden="1">#REF!</definedName>
    <definedName name="MLNK5bc72c653a64456ca35790155aeeb15c" localSheetId="5" hidden="1">#REF!</definedName>
    <definedName name="MLNK5c118afdb7424a12984646f92bdb0baf" localSheetId="5" hidden="1">#REF!</definedName>
    <definedName name="MLNK5c93849b1c694866a7fdca906433d872" localSheetId="5" hidden="1">#REF!</definedName>
    <definedName name="MLNK5cc120250dba49fc954ce969f59c29e4" localSheetId="5" hidden="1">#REF!</definedName>
    <definedName name="MLNK5d504a170b0b424b845a2fbdf8ae212e" localSheetId="5" hidden="1">#REF!</definedName>
    <definedName name="MLNK5d9cc9b2b2fd4b2799819c19126f0e1b" localSheetId="5" hidden="1">#REF!</definedName>
    <definedName name="MLNK5de520c386f4498e87cf292a9422b147" localSheetId="5" hidden="1">#REF!</definedName>
    <definedName name="MLNK5e8dd6ee2dc24c0eb99cc80145bc853f" localSheetId="5" hidden="1">#REF!</definedName>
    <definedName name="MLNK5f489b36a3dd4ffca654ca893fdc01e1" localSheetId="5" hidden="1">#REF!</definedName>
    <definedName name="MLNK60d659c3c8bc4afb8091990511f37424" localSheetId="5" hidden="1">#REF!</definedName>
    <definedName name="MLNK6210b0a7eff74c16936439a65bb1d85a" localSheetId="5" hidden="1">#REF!</definedName>
    <definedName name="MLNK631f5f318f32460cb70ce1837416f6f6" localSheetId="5" hidden="1">#REF!</definedName>
    <definedName name="MLNK63ac4582cfe047bbb516377b722c0c61" localSheetId="5" hidden="1">#REF!</definedName>
    <definedName name="MLNK652441e2374d4a8fae70b563e0916718" localSheetId="5" hidden="1">#REF!</definedName>
    <definedName name="MLNK655665b4820d4dc3b01557425e02aa4b" localSheetId="5" hidden="1">#REF!</definedName>
    <definedName name="MLNK65839af1b13744b0a4faaeb49d4fe140" localSheetId="5" hidden="1">#REF!</definedName>
    <definedName name="MLNK6593c6ab73264e69b4374330ab13c8e1" localSheetId="5" hidden="1">#REF!</definedName>
    <definedName name="MLNK65a6ee50c38f4a1787e6ee66d8745808" localSheetId="5" hidden="1">#REF!</definedName>
    <definedName name="MLNK65e75eb4a985451a9cb2467efa5a31db" localSheetId="5" hidden="1">#REF!</definedName>
    <definedName name="MLNK66fe63e2714d498394dcacd64546234b" localSheetId="5" hidden="1">#REF!</definedName>
    <definedName name="MLNK678d9ffd405846fabeb219bf563b4a86" localSheetId="5" hidden="1">#REF!</definedName>
    <definedName name="MLNK68871f2145af4dca900f0d21af672263" localSheetId="5" hidden="1">#REF!</definedName>
    <definedName name="MLNK68aecd16316b4ec5a6fee43a0404a643" localSheetId="5" hidden="1">#REF!</definedName>
    <definedName name="MLNK6903e22c8a4146488153f7a43fa6c9fc" localSheetId="5" hidden="1">#REF!</definedName>
    <definedName name="MLNK6a265b582ea3449ba161933f47d6ad8a" localSheetId="5" hidden="1">#REF!</definedName>
    <definedName name="MLNK6aa03d44785e4ed68239ea75127de48e" localSheetId="5" hidden="1">#REF!</definedName>
    <definedName name="MLNK6b5e31c5a8134a35aa3b61e6a3c34f1c" localSheetId="5" hidden="1">#REF!</definedName>
    <definedName name="MLNK6b92bb4e16d6422caedcf892b957e8dc" localSheetId="5" hidden="1">#REF!</definedName>
    <definedName name="MLNK6ca7e7164c8c49318c0a92737f4ed103" localSheetId="5" hidden="1">#REF!</definedName>
    <definedName name="MLNK6d68e9d61ca0416884aa1cfee1a494eb" localSheetId="5" hidden="1">#REF!</definedName>
    <definedName name="MLNK6e486e2d5a334a39b4877bea72d7eb92" localSheetId="5" hidden="1">#REF!</definedName>
    <definedName name="MLNK6e783f0d518148e08e2aaef094f77e6b" localSheetId="5" hidden="1">#REF!</definedName>
    <definedName name="MLNK6fed978a0f5a4a4cbe4ee5d4155e5ec5" localSheetId="5" hidden="1">#REF!</definedName>
    <definedName name="MLNK7019e39e85c246f1ae9e0ef6fc958370" localSheetId="5" hidden="1">#REF!</definedName>
    <definedName name="MLNK7021f5ebbdd84a45ba6a7ba23cb30771" localSheetId="5" hidden="1">#REF!</definedName>
    <definedName name="MLNK7057dc7973694314b60de6b163b24838" localSheetId="5" hidden="1">#REF!</definedName>
    <definedName name="MLNK70646e4a8e034cd78f431f91898c66c0" localSheetId="5" hidden="1">#REF!</definedName>
    <definedName name="MLNK70a874c7f368487cbe704d484fc1af16" localSheetId="5" hidden="1">#REF!</definedName>
    <definedName name="MLNK711e7c92b77c4bdba0a8fd967f51d09a" localSheetId="5" hidden="1">#REF!</definedName>
    <definedName name="MLNK713d8596e8df4275ab2d2f003c345043" localSheetId="5" hidden="1">#REF!</definedName>
    <definedName name="MLNK7165b3d004ff4cdb8cf06f37aad03417" localSheetId="5" hidden="1">#REF!</definedName>
    <definedName name="MLNK71b4daf60a6b45208f07199ac429da30" localSheetId="5" hidden="1">#REF!</definedName>
    <definedName name="MLNK729c511e6fb8406388008eaec1c014b6" localSheetId="5" hidden="1">#REF!</definedName>
    <definedName name="MLNK73535d6b26d34f28bcc1383ca23ae898" localSheetId="5" hidden="1">#REF!</definedName>
    <definedName name="MLNK7390ef6b69464b07902bf436ab3f0c81" localSheetId="5" hidden="1">#REF!</definedName>
    <definedName name="MLNK73bdb994b87f4972a5708ca53b7466f0" localSheetId="5" hidden="1">#REF!</definedName>
    <definedName name="MLNK74aaf3c2da574df69615013232ece008" localSheetId="5" hidden="1">#REF!</definedName>
    <definedName name="MLNK74ac2ebf8f2a4931b8cde3dabac0a546" localSheetId="5" hidden="1">#REF!</definedName>
    <definedName name="MLNK74e85bd6385d4993b531d38f2f3836c0" localSheetId="5" hidden="1">#REF!</definedName>
    <definedName name="MLNK7575c400d762409d9d7d3f247f474ee7" localSheetId="5" hidden="1">#REF!</definedName>
    <definedName name="MLNK758fdcdb07a04274a7c7bedbf4c52f8d" localSheetId="5" hidden="1">#REF!</definedName>
    <definedName name="MLNK75db4195e5d141d3a7eec873d4cc3a5e" localSheetId="5" hidden="1">#REF!</definedName>
    <definedName name="MLNK763a9f01ebb64e43939b2276d58ab053" localSheetId="5" hidden="1">#REF!</definedName>
    <definedName name="MLNK76a07ad73c6943b0b9490c28c2773a72" localSheetId="5" hidden="1">#REF!</definedName>
    <definedName name="MLNK78474ea8ccc645299e21f8fb8f2831bb" localSheetId="5" hidden="1">#REF!</definedName>
    <definedName name="MLNK786446f9adf44b9c8e69153a249119f0" localSheetId="5" hidden="1">#REF!</definedName>
    <definedName name="MLNK78cdf337446c4c4fa061d0ca0ea856da" localSheetId="5" hidden="1">#REF!</definedName>
    <definedName name="MLNK79f1f52cffc2440d893df1536bc81db2" localSheetId="5" hidden="1">#REF!</definedName>
    <definedName name="MLNK7a261d36437c4a978a819df4ce0f5c46" localSheetId="5" hidden="1">#REF!</definedName>
    <definedName name="MLNK7a38c2826a99439c9e40971bcc5ad261" localSheetId="5" hidden="1">#REF!</definedName>
    <definedName name="MLNK7b537a5989264eddabc292d4476e8379" localSheetId="5" hidden="1">#REF!</definedName>
    <definedName name="MLNK7bd30f6b03154f80b4ece3b807f67f53" localSheetId="5" hidden="1">#REF!</definedName>
    <definedName name="MLNK7bec44c0ba524dd5968ece36d71dd645" localSheetId="5" hidden="1">#REF!</definedName>
    <definedName name="MLNK7c2d7cae1ba24e14af55455df7615e04" localSheetId="5" hidden="1">#REF!</definedName>
    <definedName name="MLNK7c6376d3e24e49f68f4a6c8210e18b82" localSheetId="5" hidden="1">#REF!</definedName>
    <definedName name="MLNK7c808528906245c8bc83cd2434e1f4a3" localSheetId="5" hidden="1">#REF!</definedName>
    <definedName name="MLNK7ccb8304142d4079b335f546155f0e48" localSheetId="5" hidden="1">#REF!</definedName>
    <definedName name="MLNK7cdcd9ff45e94baa8c22f1bbb7a0756c" localSheetId="5" hidden="1">#REF!</definedName>
    <definedName name="MLNK7ce7df4de2444df2ae72af9f72d99cf3" localSheetId="5" hidden="1">#REF!</definedName>
    <definedName name="MLNK7d839fb3a2534df1af4fe0c1fb45f03b" localSheetId="5" hidden="1">#REF!</definedName>
    <definedName name="MLNK7dde91cd40a0482ca0661c225c13de3c" localSheetId="5" hidden="1">#REF!</definedName>
    <definedName name="MLNK7dfeefbfedf84d17b41a6bc802339b65" localSheetId="5" hidden="1">#REF!</definedName>
    <definedName name="MLNK7e722a65711d41bbb1f89dac8f1d179f" localSheetId="5" hidden="1">#REF!</definedName>
    <definedName name="MLNK7f00420c94b84d218a5ffd741e2618a4" localSheetId="5" hidden="1">#REF!</definedName>
    <definedName name="MLNK7f381db745e745038123354ce5695f85" localSheetId="5" hidden="1">#REF!</definedName>
    <definedName name="MLNK7f3a5242886546ca971d4b3fd26e0d39" localSheetId="5" hidden="1">#REF!</definedName>
    <definedName name="MLNK7f9b2a8b4c6e4ee79f750e916a643062" localSheetId="5" hidden="1">#REF!</definedName>
    <definedName name="MLNK822c71a676b44b90a0ae9ee8e8922351" localSheetId="5" hidden="1">#REF!</definedName>
    <definedName name="MLNK82a32cd08bcd424db6b53342a4ef2b53" localSheetId="5" hidden="1">#REF!</definedName>
    <definedName name="MLNK8389a0e593704536bf47bf8d77e09b85" localSheetId="5" hidden="1">#REF!</definedName>
    <definedName name="MLNK849be104a79e4e71843072e3fc579178" localSheetId="5" hidden="1">#REF!</definedName>
    <definedName name="MLNK8519166dded446979824141450c07732" localSheetId="5" hidden="1">#REF!</definedName>
    <definedName name="MLNK85d104ed1abd4ee8b2b7b9e36d1a40a0" localSheetId="5" hidden="1">#REF!</definedName>
    <definedName name="MLNK86084a0d926c4d1c99f2a4ed620b0d92" localSheetId="5" hidden="1">#REF!</definedName>
    <definedName name="MLNK863d7154b90b4ff58eb8073dda6f1db2" localSheetId="5" hidden="1">#REF!</definedName>
    <definedName name="MLNK864586187871466fbdc98181e8196c2a" localSheetId="5" hidden="1">#REF!</definedName>
    <definedName name="MLNK86b0faed08ae4756b1f81b4c70bd37cf" localSheetId="5" hidden="1">#REF!</definedName>
    <definedName name="MLNK87bdc6b5081740989afaa8649fe51684" localSheetId="5" hidden="1">#REF!</definedName>
    <definedName name="MLNK882742a4574d4c398317209f734ccdee" localSheetId="5" hidden="1">#REF!</definedName>
    <definedName name="MLNK88bff6d610804cce9a482ca53b2475a0" localSheetId="5" hidden="1">#REF!</definedName>
    <definedName name="MLNK88e70c518ed8483ebc887df4719632e4" localSheetId="5" hidden="1">#REF!</definedName>
    <definedName name="MLNK88f32ac2f3294394b8e9f43317d7102f" localSheetId="5" hidden="1">#REF!</definedName>
    <definedName name="MLNK88f6c9c50f6a42c18f38f2c69d3c79c5" localSheetId="5" hidden="1">#REF!</definedName>
    <definedName name="MLNK8940cbfbd55a452991b13e1c94d646f7" localSheetId="5" hidden="1">#REF!</definedName>
    <definedName name="MLNK89953e64f7ca478889eab0480ca166d9" localSheetId="5" hidden="1">#REF!</definedName>
    <definedName name="MLNK8a2ff150aff945afbc20a79562761a81" localSheetId="5" hidden="1">#REF!</definedName>
    <definedName name="MLNK8a4b37d8c34843689209c16083a16b7c" localSheetId="5" hidden="1">#REF!</definedName>
    <definedName name="MLNK8acbb2a77cd04fcdb24d3585bb94e8e9" localSheetId="5" hidden="1">#REF!</definedName>
    <definedName name="MLNK8b131d72e5df48faa6c8c6406e26e418" localSheetId="5" hidden="1">#REF!</definedName>
    <definedName name="MLNK8b17f146ac5a48cd8e81eb109aeee3ae" localSheetId="5" hidden="1">#REF!</definedName>
    <definedName name="MLNK8c682d93591c4c73845ba2c1082c48d3" localSheetId="5" hidden="1">#REF!</definedName>
    <definedName name="MLNK8cd52f4b903543658de827aa52acf74e" localSheetId="5" hidden="1">#REF!</definedName>
    <definedName name="MLNK8d141d7d47ad4fc987d59f39088ad916" localSheetId="5" hidden="1">#REF!</definedName>
    <definedName name="MLNK8e8302d4806d4976b250563630d06974" localSheetId="5" hidden="1">#REF!</definedName>
    <definedName name="MLNK8e9b770ba4eb41da82ee651f9a564109" localSheetId="5" hidden="1">#REF!</definedName>
    <definedName name="MLNK9004dc033f374e6a928f9b0ebb5d8196" localSheetId="5" hidden="1">#REF!</definedName>
    <definedName name="MLNK907ffb3c3f914b5ea9e24fe283c6cb99" localSheetId="5" hidden="1">#REF!</definedName>
    <definedName name="MLNK90c4ba7186d54322a67fb04486a8cbf3" localSheetId="5" hidden="1">#REF!</definedName>
    <definedName name="MLNK90e25c2ecaa64d57bb26958b4d223428" localSheetId="5" hidden="1">#REF!</definedName>
    <definedName name="MLNK9110823f14ea42ec8690146557817cd4" localSheetId="5" hidden="1">#REF!</definedName>
    <definedName name="MLNK913274e26d0b40a5a0c25c58b5a6b52f" localSheetId="5" hidden="1">#REF!</definedName>
    <definedName name="MLNK91662700859a4b5887ea4b2f311dfaa8" localSheetId="5" hidden="1">#REF!</definedName>
    <definedName name="MLNK91bae33c68f54070a9d0dc2c0bf12ef3" localSheetId="5" hidden="1">#REF!</definedName>
    <definedName name="MLNK9345a567a3bf4c0b9f86177bd2d75271" localSheetId="5" hidden="1">#REF!</definedName>
    <definedName name="MLNK93e5daee684d41bcb8fcce607e193642" localSheetId="5" hidden="1">#REF!</definedName>
    <definedName name="MLNK94328738fd3c4600af18be2154210e21" localSheetId="5" hidden="1">#REF!</definedName>
    <definedName name="MLNK945d6f39e1f24984b04097fbaf17eeea" localSheetId="5" hidden="1">#REF!</definedName>
    <definedName name="MLNK9637ccf249e443078a50f7c2eb385852" localSheetId="5" hidden="1">#REF!</definedName>
    <definedName name="MLNK9682ca475ff54cbfb2f968b54a63e991" localSheetId="5" hidden="1">#REF!</definedName>
    <definedName name="MLNK970f77a437ad4eba93f82bc0a2c68793" localSheetId="5" hidden="1">#REF!</definedName>
    <definedName name="MLNK97df538a2fdf490296fd305add5f1023" localSheetId="5" hidden="1">#REF!</definedName>
    <definedName name="MLNK97e64800be9a4f7e916bf03b564bb072" localSheetId="5" hidden="1">#REF!</definedName>
    <definedName name="MLNK98f7f2b7a3444132ab2e3711160705fd" localSheetId="5" hidden="1">#REF!</definedName>
    <definedName name="MLNK99b9d957895544fda8e9670506643b77" localSheetId="5" hidden="1">#REF!</definedName>
    <definedName name="MLNK99de40bd629144c7ba32aae377c57f70" localSheetId="5" hidden="1">#REF!</definedName>
    <definedName name="MLNK9a4f673c06ec41419cc6dcbbb88e0dea" localSheetId="5" hidden="1">#REF!</definedName>
    <definedName name="MLNK9ab5b092e0124e1fb5be58e7bfd4270d" localSheetId="5" hidden="1">#REF!</definedName>
    <definedName name="MLNK9bf4240de0604471b0871b323169dcca" localSheetId="5" hidden="1">#REF!</definedName>
    <definedName name="MLNK9bf7c40dc1ea40a1b552234224cb0d1b" localSheetId="5" hidden="1">#REF!</definedName>
    <definedName name="MLNK9d772ca29969447bb894388d70fa9a5f" localSheetId="5" hidden="1">#REF!</definedName>
    <definedName name="MLNK9df90ae49f6a429a93387ed77e0be2b2" localSheetId="5" hidden="1">#REF!</definedName>
    <definedName name="MLNK9e49aa41542f4b3c85f3ee6589fc1063" localSheetId="5" hidden="1">#REF!</definedName>
    <definedName name="MLNK9ec928e25a7346ee9e4798135a8b5762" localSheetId="5" hidden="1">#REF!</definedName>
    <definedName name="MLNK9f2cc9d5eedf40d9be4150e48c60c1dd" localSheetId="5" hidden="1">#REF!</definedName>
    <definedName name="MLNK9f5e9f25b1b94a1c81bdc28b15d167c0" localSheetId="5" hidden="1">#REF!</definedName>
    <definedName name="MLNK9f9c1ebd4e6a4e589df75a77d68c31d2" localSheetId="5" hidden="1">#REF!</definedName>
    <definedName name="MLNK9fb16ef3f8724c15939d445b614c75a4" localSheetId="5" hidden="1">#REF!</definedName>
    <definedName name="MLNK9fb8406726c54571934f80236f646acb" localSheetId="5" hidden="1">#REF!</definedName>
    <definedName name="MLNKa1b5fc7caf74424b8bbf75e731066ab0" localSheetId="5" hidden="1">#REF!</definedName>
    <definedName name="MLNKa25cae9dc8c74628915f296fa982e1fb" localSheetId="5" hidden="1">#REF!</definedName>
    <definedName name="MLNKa33f5b922c52401198b5e559799f8eef" localSheetId="5" hidden="1">#REF!</definedName>
    <definedName name="MLNKa4bfc61416724e8488baa1e1bf692f7c" localSheetId="5" hidden="1">#REF!</definedName>
    <definedName name="MLNKa4e5105d657d4972a79e03058f83813b" localSheetId="5" hidden="1">#REF!</definedName>
    <definedName name="MLNKa5ec9fd3c1204d3ab4000afcd26c7311" localSheetId="5" hidden="1">#REF!</definedName>
    <definedName name="MLNKa6dd1b101c6a4ddb975ed96014483413" localSheetId="5" hidden="1">#REF!</definedName>
    <definedName name="MLNKa6fb886c6532415487930914f9a76842" localSheetId="5" hidden="1">#REF!</definedName>
    <definedName name="MLNKa7219183ccd0431194753052ff289c50" localSheetId="5" hidden="1">#REF!</definedName>
    <definedName name="MLNKa77db0f4971f4e9fadc9a15aca25114d" localSheetId="5" hidden="1">#REF!</definedName>
    <definedName name="MLNKa7817aa319db4731a9e2c933aca0719c" localSheetId="5" hidden="1">#REF!</definedName>
    <definedName name="MLNKa7a3d6f9d11a4a809ee5ff79e0c8ad5c" localSheetId="5" hidden="1">#REF!</definedName>
    <definedName name="MLNKa7b98c7307644bba8c90bc9645775b57" localSheetId="5" hidden="1">#REF!</definedName>
    <definedName name="MLNKa82dec760367413abef062bc8720b820" localSheetId="5" hidden="1">#REF!</definedName>
    <definedName name="MLNKa89b4ee9c2de4f7eaf93310b35832ee5" localSheetId="5" hidden="1">#REF!</definedName>
    <definedName name="MLNKa8c37bf10f834510876329f05782f34d" localSheetId="5" hidden="1">#REF!</definedName>
    <definedName name="MLNKa95e6c6ba069403f8a62b2744d732b98" localSheetId="5" hidden="1">#REF!</definedName>
    <definedName name="MLNKa97d26cd09d849ab9bdeca389fa24805" localSheetId="5" hidden="1">#REF!</definedName>
    <definedName name="MLNKab02c2991b6b431a8d270be0189e9571" localSheetId="5" hidden="1">#REF!</definedName>
    <definedName name="MLNKac42ad8b02784fb2b0c9f96bd99bb08a" localSheetId="5" hidden="1">#REF!</definedName>
    <definedName name="MLNKac716c0503d44271adc268c475933c7b" localSheetId="5" hidden="1">#REF!</definedName>
    <definedName name="MLNKae2bd731278143659ca73b7e3c820374" localSheetId="5" hidden="1">#REF!</definedName>
    <definedName name="MLNKaea5c256d3804e37a62ac031b17c2a94" localSheetId="5" hidden="1">#REF!</definedName>
    <definedName name="MLNKaf0cbd3c6eb94c84b3215a78955725ce" localSheetId="5" hidden="1">#REF!</definedName>
    <definedName name="MLNKaf0dac759b4745cb803ecfc7dac9891a" localSheetId="5" hidden="1">#REF!</definedName>
    <definedName name="MLNKb026e7e791854d31b7bb7758362b4c54" localSheetId="5" hidden="1">#REF!</definedName>
    <definedName name="MLNKb02de38dd13d495d8a2f90addc300534" localSheetId="5" hidden="1">#REF!</definedName>
    <definedName name="MLNKb0a22b8da9e349b0a219bcb103ca5e26" localSheetId="5" hidden="1">#REF!</definedName>
    <definedName name="MLNKb1f4aa7639a64f0bb4faf48bcfffa77e" localSheetId="5" hidden="1">#REF!</definedName>
    <definedName name="MLNKb1f744c776484ca18efc7c1044adf418" localSheetId="5" hidden="1">#REF!</definedName>
    <definedName name="MLNKb2901e1f50a84f918b6ead78ee99678a" localSheetId="5" hidden="1">#REF!</definedName>
    <definedName name="MLNKb2b99e6a58ac4865b2554ef3d1971577" localSheetId="5" hidden="1">#REF!</definedName>
    <definedName name="MLNKb2c15ca540cc43de87cb92d3c45b905e" localSheetId="5" hidden="1">#REF!</definedName>
    <definedName name="MLNKb30365b9692843388d1fd11a48afb7de" localSheetId="5" hidden="1">#REF!</definedName>
    <definedName name="MLNKb34eced05fc4474da889379a0eeab0c8" localSheetId="5" hidden="1">#REF!</definedName>
    <definedName name="MLNKb359d3fb47314fe2954621c0d9a0460e" localSheetId="5" hidden="1">#REF!</definedName>
    <definedName name="MLNKb394646e412b46e4bd36ca82f51a7ef4" localSheetId="5" hidden="1">#REF!</definedName>
    <definedName name="MLNKb5282d98527f4904ba52287e9cb5399b" localSheetId="5" hidden="1">#REF!</definedName>
    <definedName name="MLNKb56d95f79c694ba18d515de86ff406ad" localSheetId="5" hidden="1">#REF!</definedName>
    <definedName name="MLNKb5c891d151b145b786e0f50677531611" localSheetId="5" hidden="1">#REF!</definedName>
    <definedName name="MLNKb60c585591ff435499adcbcedc787ee9" localSheetId="5" hidden="1">#REF!</definedName>
    <definedName name="MLNKb70e0287e1c84373ae29e8b329df47f8" localSheetId="5" hidden="1">'VI. Comparables (Description)'!$B$20:$E$32</definedName>
    <definedName name="MLNKb721f99c3bd5494da0bbba9b39253294" localSheetId="5" hidden="1">#REF!</definedName>
    <definedName name="MLNKb80123ad714847a49302cb5808ce1193" localSheetId="5" hidden="1">#REF!</definedName>
    <definedName name="MLNKb858ba554cba45c2b1e6497959577cb6" localSheetId="5" hidden="1">#REF!</definedName>
    <definedName name="MLNKb8793bbdc4cd4502a30b4e9de8fa112e" localSheetId="5" hidden="1">#REF!</definedName>
    <definedName name="MLNKb96c898e66e64db6be18f3516577e540" localSheetId="5" hidden="1">#REF!</definedName>
    <definedName name="MLNKbb02b748687641bc809fdb4b8b3361a4" localSheetId="5" hidden="1">#REF!</definedName>
    <definedName name="MLNKbb0818788be947d5849c08d5af71dccc" localSheetId="5" hidden="1">'VI. Comparables (Description)'!$1:$1048576</definedName>
    <definedName name="MLNKbb6fbd47bf084dbc9553f91d139a05a9" localSheetId="5" hidden="1">#REF!</definedName>
    <definedName name="MLNKbb86d3d2a0f24dd2bbc238b0e1bc07d0" localSheetId="5" hidden="1">#REF!</definedName>
    <definedName name="MLNKbb88464955b04e74890527baf9dc3dca" localSheetId="5" hidden="1">#REF!</definedName>
    <definedName name="MLNKbc1fe6c37f4d4ab5bd8ff0e9ab1e3940" localSheetId="5" hidden="1">#REF!</definedName>
    <definedName name="MLNKbc46897c4edd49a3b339f17c312cec25" localSheetId="5" hidden="1">#REF!</definedName>
    <definedName name="MLNKbd76be2c1b68486a83af5de8bdbcfe39" localSheetId="5" hidden="1">#REF!</definedName>
    <definedName name="MLNKbddc92dbcd424513a26fec3a36608c07" localSheetId="5" hidden="1">#REF!</definedName>
    <definedName name="MLNKbeb2a85a7d5e4ac58ab6701f6b711fbb" localSheetId="5" hidden="1">#REF!</definedName>
    <definedName name="MLNKbefbd14f401445f6b6822f51bdc13266" localSheetId="5" hidden="1">#REF!</definedName>
    <definedName name="MLNKbf8530991c7842458de3c4951292490e" localSheetId="5" hidden="1">#REF!</definedName>
    <definedName name="MLNKbf9802cd3cc24b93b0e5cdc8298b13dd" localSheetId="5" hidden="1">#REF!</definedName>
    <definedName name="MLNKbfe3b2005f2742068b1031a3e3f8a2c6" localSheetId="5" hidden="1">#REF!</definedName>
    <definedName name="MLNKc028b05ec1474697ae0f46d24ddade90" localSheetId="5" hidden="1">#REF!</definedName>
    <definedName name="MLNKc06d473cc53e493ba7441c705e9ad9c0" localSheetId="5" hidden="1">#REF!</definedName>
    <definedName name="MLNKc15800ad3ce64a799cbdf8cb51764dd3" localSheetId="5" hidden="1">#REF!</definedName>
    <definedName name="MLNKc15a042a1cbc44198e3f9d1f75834286" localSheetId="5" hidden="1">#REF!</definedName>
    <definedName name="MLNKc162c015d35146d1b78e079093f33a77" localSheetId="5" hidden="1">#REF!</definedName>
    <definedName name="MLNKc1dc26d0f03a46858e757bd1d4377f75" localSheetId="5" hidden="1">#REF!</definedName>
    <definedName name="MLNKc26338d459b741348648c7ac47c31ac0" localSheetId="5" hidden="1">#REF!</definedName>
    <definedName name="MLNKc2efd8ffcaa34e59b60518bbb305fc63" localSheetId="5" hidden="1">#REF!</definedName>
    <definedName name="MLNKc3c336515a70492995ab6aca70041fcd" localSheetId="5" hidden="1">#REF!</definedName>
    <definedName name="MLNKc46028cf5e4d492d9dea2018869aaaed" localSheetId="5" hidden="1">#REF!</definedName>
    <definedName name="MLNKc50218c9156a467781e411dbd3d48136" localSheetId="5" hidden="1">#REF!</definedName>
    <definedName name="MLNKc5130a94ec1244b7a7361d362b309207" localSheetId="5" hidden="1">#REF!</definedName>
    <definedName name="MLNKc52f5a42071748faace2c1e249d2015f" localSheetId="5" hidden="1">#REF!</definedName>
    <definedName name="MLNKc5917d86d84245a19e71228e902d9570" localSheetId="5" hidden="1">#REF!</definedName>
    <definedName name="MLNKc59c2c879bb947b281e7464f5d9cc03a" localSheetId="5" hidden="1">#REF!</definedName>
    <definedName name="MLNKc5a2959bebff4f91b09362097725d98e" localSheetId="5" hidden="1">#REF!</definedName>
    <definedName name="MLNKc659f995effe4b579c38ff91fa57e987" localSheetId="5" hidden="1">#REF!</definedName>
    <definedName name="MLNKc6aefbd14cfb45458e4c047f71737189" localSheetId="5" hidden="1">#REF!</definedName>
    <definedName name="MLNKc74e60fbf854453db17e8684ea5bce66" localSheetId="5" hidden="1">#REF!</definedName>
    <definedName name="MLNKc78948282baa424d84a9383779c84fd8" localSheetId="5" hidden="1">#REF!</definedName>
    <definedName name="MLNKc7bd4a1a060f4aaa8c20cc94cfe1d136" localSheetId="5" hidden="1">#REF!</definedName>
    <definedName name="MLNKc84748cc10dd4256933f02e2c927b5a9" localSheetId="5" hidden="1">#REF!</definedName>
    <definedName name="MLNKc8b6fbc053ad4a09b0fc6be79636d8a0" localSheetId="5" hidden="1">#REF!</definedName>
    <definedName name="MLNKc8b73752472f48b2bccfdaba1c6b6f7b" localSheetId="5" hidden="1">#REF!</definedName>
    <definedName name="MLNKcbd71f619082476689d69b3dbeedeac6" localSheetId="5" hidden="1">#REF!</definedName>
    <definedName name="MLNKcc96c218311c4662b164636e42f56ff7" localSheetId="5" hidden="1">#REF!</definedName>
    <definedName name="MLNKce77c2f032d04ee79c255f6e39b36c47" localSheetId="5" hidden="1">#REF!</definedName>
    <definedName name="MLNKcec893d18ba74351a83a8b40b0d5efd9" localSheetId="5" hidden="1">#REF!</definedName>
    <definedName name="MLNKcfda49d4838e4081a1e44ac95a0dc186" localSheetId="5" hidden="1">#REF!</definedName>
    <definedName name="MLNKd0acfc2eb6a54c42914a931ced4f1d48" localSheetId="5" hidden="1">#REF!</definedName>
    <definedName name="MLNKd1b79e4e7aef43368318ed1e172c8dbd" localSheetId="5" hidden="1">#REF!</definedName>
    <definedName name="MLNKd1bfe69c1e284d6fba0c9353cc855643" localSheetId="5" hidden="1">#REF!</definedName>
    <definedName name="MLNKd1c69d0883884061b336aab57325eb3d" localSheetId="5" hidden="1">#REF!</definedName>
    <definedName name="MLNKd1eb0891b31448f6a2a42787308f57d0" localSheetId="5" hidden="1">#REF!</definedName>
    <definedName name="MLNKd36364ccf3554d17be4e90cf90af8fff" localSheetId="5" hidden="1">#REF!</definedName>
    <definedName name="MLNKd4318cd5f5444700b610edf92c08ff61" localSheetId="5" hidden="1">#REF!</definedName>
    <definedName name="MLNKd4ece25b0836456690f432756db42070" localSheetId="5" hidden="1">#REF!</definedName>
    <definedName name="MLNKd4ee53c7dd364f0285ddf36588313749" localSheetId="5" hidden="1">#REF!</definedName>
    <definedName name="MLNKd73ad899cda541a8982e3f2d5aa1956e" localSheetId="5" hidden="1">#REF!</definedName>
    <definedName name="MLNKd8e056c4de3e4a3b863d5b0fe931d713" localSheetId="5" hidden="1">#REF!</definedName>
    <definedName name="MLNKda1152c4cc0c422f84e177462720e4e9" localSheetId="5" hidden="1">#REF!</definedName>
    <definedName name="MLNKdad976f7fd5f4e2b8d5894157ebede88" localSheetId="5" hidden="1">#REF!</definedName>
    <definedName name="MLNKdaf6c5baad5440ac9bc69ff1570d9d9a" localSheetId="5" hidden="1">#REF!</definedName>
    <definedName name="MLNKdb864bfe86424f5e87f6b1bb724e6820" localSheetId="5" hidden="1">#REF!</definedName>
    <definedName name="MLNKdc921760362b49f09e4e76d8b6a7b69d" localSheetId="5" hidden="1">#REF!</definedName>
    <definedName name="MLNKdcc1ef51c49e470a9212dd480f00d5c5" localSheetId="5" hidden="1">#REF!</definedName>
    <definedName name="MLNKdcfa7180c18943a0898fa020b54f44e5" localSheetId="5" hidden="1">#REF!</definedName>
    <definedName name="MLNKdd16275dc64b4808b13920b3578e8113" localSheetId="5" hidden="1">#REF!</definedName>
    <definedName name="MLNKdd36a7854d414eb6b4c775afa248a0ac" localSheetId="5" hidden="1">#REF!</definedName>
    <definedName name="MLNKde8006bacfc346d6b4df8727d916822c" localSheetId="5" hidden="1">#REF!</definedName>
    <definedName name="MLNKdf07d88462fd4bfd9dc7f95442e82542" localSheetId="5" hidden="1">#REF!</definedName>
    <definedName name="MLNKdf2238e63cba47398e2681a8c2bfaa54" localSheetId="5" hidden="1">#REF!</definedName>
    <definedName name="MLNKdf654a64333a494fa6e088e037163da8" localSheetId="5" hidden="1">#REF!</definedName>
    <definedName name="MLNKdfa802fe092a4977907fea92b409c1e1" localSheetId="5" hidden="1">#REF!</definedName>
    <definedName name="MLNKe04bf971879347c7982b1173e2d29a2a" localSheetId="5" hidden="1">#REF!</definedName>
    <definedName name="MLNKe090e26510014cdeb8e67a5d5a96ba13" localSheetId="5" hidden="1">#REF!</definedName>
    <definedName name="MLNKe097181bd7e94b59b0bf560b50f4a59a" localSheetId="5" hidden="1">#REF!</definedName>
    <definedName name="MLNKe0c53436419d42a685619d07b8f478b9" localSheetId="5" hidden="1">#REF!</definedName>
    <definedName name="MLNKe0e0cfd6df4745e9ad359e10947fe8c7" localSheetId="5" hidden="1">#REF!</definedName>
    <definedName name="MLNKe1ac4738cbfe4e66ab2c077b0dc4db99" localSheetId="5" hidden="1">#REF!</definedName>
    <definedName name="MLNKe2a086a7b5c14ff5800311a557761726" localSheetId="5" hidden="1">#REF!</definedName>
    <definedName name="MLNKe2eb1cfb3a68470b9c8fea946d494a0a" localSheetId="5" hidden="1">'VI. Comparables (Description)'!$B$5:$E$19</definedName>
    <definedName name="MLNKe301b7ee170d422480db09afd5555b9d" localSheetId="5" hidden="1">#REF!</definedName>
    <definedName name="MLNKe35ef9b20e8c4b09a97c3424b90a59ab" localSheetId="5" hidden="1">#REF!</definedName>
    <definedName name="MLNKe3741771fafe452fbc166f1b31abb306" localSheetId="5" hidden="1">#REF!</definedName>
    <definedName name="MLNKe46d45e2188d48f4864afc164943f2a4" localSheetId="5" hidden="1">#REF!</definedName>
    <definedName name="MLNKe4afc91282184093a934ea945b892c20" localSheetId="5" hidden="1">#REF!</definedName>
    <definedName name="MLNKe58b4f9954594a68919adf5d39ec4f38" localSheetId="5" hidden="1">#REF!</definedName>
    <definedName name="MLNKe5f7520d114649c68b8a2a9313d7a076" localSheetId="5" hidden="1">#REF!</definedName>
    <definedName name="MLNKe6017dab58bc41efb29a306689344160" localSheetId="5" hidden="1">#REF!</definedName>
    <definedName name="MLNKe67783f9386045fab4a95e47d8eed990" localSheetId="5" hidden="1">#REF!</definedName>
    <definedName name="MLNKe69c7e47ace84fdabba07cd9364eb119" localSheetId="5" hidden="1">#REF!</definedName>
    <definedName name="MLNKe718831ad10d4537b33e4eb72d3f42c8" localSheetId="5" hidden="1">#REF!</definedName>
    <definedName name="MLNKe754afffd77a4d84aa91d88468789915" localSheetId="5" hidden="1">#REF!</definedName>
    <definedName name="MLNKe75bfc86c5c340b58c80decac0c459df" localSheetId="5" hidden="1">#REF!</definedName>
    <definedName name="MLNKe7d255d2ea4045708a682a35478c4a53" localSheetId="5" hidden="1">#REF!</definedName>
    <definedName name="MLNKe7f13861e6d2486aaed4a2efd709d77f" localSheetId="5" hidden="1">#REF!</definedName>
    <definedName name="MLNKe87eba5671a54589ba2b3005504069f5" localSheetId="5" hidden="1">#REF!</definedName>
    <definedName name="MLNKe8bbf428f7b741fda970875cb350ca06" localSheetId="5" hidden="1">#REF!</definedName>
    <definedName name="MLNKe9691c94eb924535b492835020e075c4" localSheetId="5" hidden="1">#REF!</definedName>
    <definedName name="MLNKeabbe4aeee6047609b732161a9b667c5" localSheetId="5" hidden="1">#REF!</definedName>
    <definedName name="MLNKeb94e17874554a428430ccc272790bb9" localSheetId="5" hidden="1">#REF!</definedName>
    <definedName name="MLNKece6d007c0f24cbb975070e5fd99dd6a" localSheetId="5" hidden="1">#REF!</definedName>
    <definedName name="MLNKed63a1a3f60d4cb9a6eea667a88f3bae" localSheetId="5" hidden="1">#REF!</definedName>
    <definedName name="MLNKedad7bc6cf7c48458c71bbdca16f9636" localSheetId="5" hidden="1">#REF!</definedName>
    <definedName name="MLNKeecdb8d7190e4f8c808622a7226be5e5" localSheetId="5" hidden="1">#REF!</definedName>
    <definedName name="MLNKef1b927cfe704d81a46a8bc2f477a2fa" localSheetId="5" hidden="1">#REF!</definedName>
    <definedName name="MLNKf0bcc9f4176d4a49ab0f9727901687cc" localSheetId="5" hidden="1">#REF!</definedName>
    <definedName name="MLNKf187bf23ebf6455abeeb8dcfe68f1a02" localSheetId="5" hidden="1">#REF!</definedName>
    <definedName name="MLNKf1ce7c1f71ca4b5dbd297a8314c35f0d" localSheetId="5" hidden="1">#REF!</definedName>
    <definedName name="MLNKf1d741c373f34620ba9db75e559d6492" localSheetId="5" hidden="1">#REF!</definedName>
    <definedName name="MLNKf1e1e702f443436db370aefe1af4b4af" localSheetId="5" hidden="1">#REF!</definedName>
    <definedName name="MLNKf1fc313dfb8c49c9ad656524cf038dd4" localSheetId="5" hidden="1">#REF!</definedName>
    <definedName name="MLNKf22d86e83dc74649878809d6d5084ff5" localSheetId="5" hidden="1">#REF!</definedName>
    <definedName name="MLNKf34374e0248843038ab5daf7c14052b3" localSheetId="5" hidden="1">#REF!</definedName>
    <definedName name="MLNKf589f5d4860d4c168e084a35ada47455" localSheetId="5" hidden="1">#REF!</definedName>
    <definedName name="MLNKf5d530e37ea3487f8215dece0e743f02" localSheetId="5" hidden="1">#REF!</definedName>
    <definedName name="MLNKf62372b10e7546899a27aba86588940f" localSheetId="5" hidden="1">#REF!</definedName>
    <definedName name="MLNKf655751cc8844c7f812a2493aeecffe0" localSheetId="5" hidden="1">#REF!</definedName>
    <definedName name="MLNKf65576a79529435e96ea56a9f989a6c1" localSheetId="5" hidden="1">#REF!</definedName>
    <definedName name="MLNKf66035223f4444779699efe602c3bb34" localSheetId="5" hidden="1">#REF!</definedName>
    <definedName name="MLNKf8373b71f8f04deb98bc961f11b3339a" localSheetId="5" hidden="1">#REF!</definedName>
    <definedName name="MLNKf83b8907730540f7ad62729b856f69cd" localSheetId="5" hidden="1">#REF!</definedName>
    <definedName name="MLNKf864eed95e984ae99caedb517dee0d9a" localSheetId="5" hidden="1">#REF!</definedName>
    <definedName name="MLNKf8965499dbe140ae94eaca5543729810" localSheetId="5" hidden="1">#REF!</definedName>
    <definedName name="MLNKf8f37e5ba04b4a2b9dacd71d668832f0" localSheetId="5" hidden="1">#REF!</definedName>
    <definedName name="MLNKfaa67a026dd9454f9e7abfa18fd2ea98" localSheetId="5" hidden="1">#REF!</definedName>
    <definedName name="MLNKfb30cc3b31544b5faf150bb880655370" localSheetId="5" hidden="1">#REF!</definedName>
    <definedName name="MLNKfbd34e9c5e9a46d68b7d7c6b4ac63d0c" localSheetId="5" hidden="1">#REF!</definedName>
    <definedName name="MLNKfc65f694760547b99ecbf623bd883e7a" localSheetId="5" hidden="1">#REF!</definedName>
    <definedName name="MLNKfd0d9b768299437b92b717f7f627c62c" localSheetId="5" hidden="1">#REF!</definedName>
    <definedName name="MLNKfebe3ae174e74e728322fa727b235f1f" localSheetId="5" hidden="1">#REF!</definedName>
    <definedName name="MLNKff5ecd00ef6847669fb191968d8809a5" localSheetId="5" hidden="1">#REF!</definedName>
    <definedName name="MLNKffb594f36bc542278515f6018b380411" localSheetId="5" hidden="1">#REF!</definedName>
    <definedName name="mlw" localSheetId="5" hidden="1">{#N/A,#N/A,FALSE,"Pharm";#N/A,#N/A,FALSE,"WWCM"}</definedName>
    <definedName name="mnkj" localSheetId="5" hidden="1">{#N/A,#N/A,TRUE,"BUD VS ACT AUST 96";#N/A,#N/A,TRUE,"96 COMP P&amp;L-AUST";#N/A,#N/A,TRUE,"COMP BS-AUSTRALIA";#N/A,#N/A,TRUE,"B/S - AUSTR."}</definedName>
    <definedName name="model" localSheetId="5" hidden="1">{#N/A,#N/A,FALSE,"Rev Grwth";#N/A,#N/A,FALSE,"Op Inc Grwth";#N/A,#N/A,FALSE,"Net Grwth";#N/A,#N/A,FALSE,"EPS Growth"}</definedName>
    <definedName name="model2" localSheetId="5" hidden="1">{#N/A,#N/A,FALSE,"Rev Grwth";#N/A,#N/A,FALSE,"Op Inc Grwth";#N/A,#N/A,FALSE,"Net Grwth";#N/A,#N/A,FALSE,"EPS Growth"}</definedName>
    <definedName name="MPO" localSheetId="5" hidden="1">{#N/A,#N/A,TRUE,"BS_A";#N/A,#N/A,TRUE,"BS_L";#N/A,#N/A,TRUE,"PL";#N/A,#N/A,TRUE,"NET";#N/A,#N/A,TRUE,"MAR_2";#N/A,#N/A,TRUE,"MAR";#N/A,#N/A,TRUE,"NII";#N/A,#N/A,TRUE,"NIE";#N/A,#N/A,TRUE,"FS_BS";#N/A,#N/A,TRUE,"FS_PL";#N/A,#N/A,TRUE,"HEA"}</definedName>
    <definedName name="mw" localSheetId="5" hidden="1">{#N/A,#N/A,FALSE,"Pharm";#N/A,#N/A,FALSE,"WWCM"}</definedName>
    <definedName name="NCBN" localSheetId="5"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ew" localSheetId="5" hidden="1">{"SourcesUses",#N/A,TRUE,"CFMODEL";"TransOverview",#N/A,TRUE,"CFMODEL"}</definedName>
    <definedName name="newnewnew" localSheetId="5" hidden="1">{#N/A,#N/A,FALSE,"Pharm";#N/A,#N/A,FALSE,"WWCM"}</definedName>
    <definedName name="NewRange" localSheetId="5" hidden="1">#REF!</definedName>
    <definedName name="NMCVM" localSheetId="5" hidden="1">{#N/A,#N/A,FALSE,"TABLE_1 YTD- VALUES LAST YR(2)"}</definedName>
    <definedName name="nouv" localSheetId="5" hidden="1">{#N/A,#N/A,FALSE,"Pharm";#N/A,#N/A,FALSE,"WWCM"}</definedName>
    <definedName name="Nov00" localSheetId="5" hidden="1">{"Statement of Income",#N/A,TRUE,"Mar99";"Balance Sheet",#N/A,TRUE,"Mar99"}</definedName>
    <definedName name="Nov00TB" localSheetId="5" hidden="1">{"Statement of Income",#N/A,TRUE,"Mar99";"Balance Sheet",#N/A,TRUE,"Mar99"}</definedName>
    <definedName name="o" localSheetId="5" hidden="1">{#N/A,#N/A,FALSE,"New Depr Sch-150% DB";#N/A,#N/A,FALSE,"Cash Flows RLP";#N/A,#N/A,FALSE,"IRR";#N/A,#N/A,FALSE,"Proforma IS";#N/A,#N/A,FALSE,"Assumptions"}</definedName>
    <definedName name="Oct00" localSheetId="5" hidden="1">{"Statement of Income",#N/A,TRUE,"Mar99";"Balance Sheet",#N/A,TRUE,"Mar99"}</definedName>
    <definedName name="Oct00TB" localSheetId="5" hidden="1">{"Statement of Income",#N/A,TRUE,"Mar99";"Balance Sheet",#N/A,TRUE,"Mar99"}</definedName>
    <definedName name="Octob00" localSheetId="5" hidden="1">{"Statement of Income",#N/A,TRUE,"Mar99";"Balance Sheet",#N/A,TRUE,"Mar99"}</definedName>
    <definedName name="Octob00TB" localSheetId="5" hidden="1">{"Statement of Income",#N/A,TRUE,"Mar99";"Balance Sheet",#N/A,TRUE,"Mar99"}</definedName>
    <definedName name="OI" localSheetId="5" hidden="1">{#N/A,#N/A,FALSE,"COVER";#N/A,#N/A,FALSE,"Index";#N/A,#N/A,FALSE,"Non-Earning";#N/A,#N/A,FALSE,"Non-Earning_Recovery"}</definedName>
    <definedName name="oiu" localSheetId="5" hidden="1">{#N/A,#N/A,FALSE,"COVER";#N/A,#N/A,FALSE,"RATIOS";#N/A,#N/A,FALSE,"LEVERAGE";#N/A,#N/A,FALSE,"TIER-1";#N/A,#N/A,FALSE,"RISK BASED ASSETS";#N/A,#N/A,FALSE,"TIER-2"}</definedName>
    <definedName name="OK" localSheetId="5" hidden="1">{#N/A,#N/A,FALSE,"REPORT"}</definedName>
    <definedName name="okay" localSheetId="5" hidden="1">{#N/A,#N/A,FALSE,"Admin";#N/A,#N/A,FALSE,"Other"}</definedName>
    <definedName name="oldkey1" localSheetId="5" hidden="1">#REF!</definedName>
    <definedName name="oldsort" localSheetId="5" hidden="1">#REF!</definedName>
    <definedName name="on" localSheetId="5" hidden="1">{"TOTAL",#N/A,FALSE,"A";"FISCAL94",#N/A,FALSE,"A";"FISCAL95",#N/A,FALSE,"A";"FISCAL96",#N/A,FALSE,"A";"misc page",#N/A,FALSE,"A"}</definedName>
    <definedName name="ookok" localSheetId="5" hidden="1">{#N/A,#N/A,TRUE,"BUD VS ACT AUST 96";#N/A,#N/A,TRUE,"96 COMP P&amp;L-AUST";#N/A,#N/A,TRUE,"COMP BS-AUSTRALIA";#N/A,#N/A,TRUE,"B/S - AUSTR."}</definedName>
    <definedName name="ooo" localSheetId="5" hidden="1">{#N/A,#N/A,FALSE,"REPORT"}</definedName>
    <definedName name="OOU" localSheetId="5" hidden="1">{#N/A,#N/A,FALSE,"BS";#N/A,#N/A,FALSE,"PL_10Q";#N/A,#N/A,FALSE,"SOE";#N/A,#N/A,FALSE,"SCF"}</definedName>
    <definedName name="other33" localSheetId="5" hidden="1">{#N/A,#N/A,FALSE,"Pharm";#N/A,#N/A,FALSE,"WWCM"}</definedName>
    <definedName name="othermar" localSheetId="5" hidden="1">{#N/A,#N/A,FALSE,"Pharm";#N/A,#N/A,FALSE,"WWCM"}</definedName>
    <definedName name="ouououiouopupo" localSheetId="5" hidden="1">{#N/A,#N/A,FALSE,"BS";#N/A,#N/A,FALSE,"PL";#N/A,#N/A,FALSE,"SOE";#N/A,#N/A,FALSE,"SCF"}</definedName>
    <definedName name="ououp0" localSheetId="5" hidden="1">{#N/A,#N/A,FALSE,"TABLE_1 YTD- VALUES LAST YR(2)"}</definedName>
    <definedName name="panther_wrn.test1." localSheetId="5" hidden="1">{"Income Statement",#N/A,FALSE,"CFMODEL";"Balance Sheet",#N/A,FALSE,"CFMODEL"}</definedName>
    <definedName name="panther_wrn.test2." localSheetId="5" hidden="1">{"SourcesUses",#N/A,TRUE,"CFMODEL";"TransOverview",#N/A,TRUE,"CFMODEL"}</definedName>
    <definedName name="panther_wrn.test3." localSheetId="5" hidden="1">{"SourcesUses",#N/A,TRUE,#N/A;"TransOverview",#N/A,TRUE,"CFMODEL"}</definedName>
    <definedName name="panther_wrn.test4." localSheetId="5" hidden="1">{"SourcesUses",#N/A,TRUE,"FundsFlow";"TransOverview",#N/A,TRUE,"FundsFlow"}</definedName>
    <definedName name="Pecos" localSheetId="5"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localSheetId="5"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pe" localSheetId="5" hidden="1">{#N/A,#N/A,FALSE,"Pharm";#N/A,#N/A,FALSE,"WWCM"}</definedName>
    <definedName name="PEPE4" localSheetId="5" hidden="1">{#N/A,#N/A,FALSE,"Pharm";#N/A,#N/A,FALSE,"WWCM"}</definedName>
    <definedName name="PEPE5" localSheetId="5" hidden="1">{#N/A,#N/A,FALSE,"Pharm";#N/A,#N/A,FALSE,"WWCM"}</definedName>
    <definedName name="pharma" localSheetId="5" hidden="1">{#N/A,#N/A,FALSE,"Sales Graph";#N/A,#N/A,FALSE,"PSBM";#N/A,#N/A,FALSE,"BUC Graph";#N/A,#N/A,FALSE,"P&amp;L - YTD"}</definedName>
    <definedName name="pkg.gom" localSheetId="5" hidden="1">{"2000PPE",#N/A,FALSE,"PPE 2000";"2000DD",#N/A,FALSE,"DrydocksOther"}</definedName>
    <definedName name="pl" localSheetId="5" hidden="1">{#N/A,#N/A,FALSE,"REPORT"}</definedName>
    <definedName name="PLCepi" localSheetId="5" hidden="1">{#N/A,#N/A,FALSE,"REPORT"}</definedName>
    <definedName name="PLProcef" localSheetId="5" hidden="1">{#N/A,#N/A,FALSE,"REPORT"}</definedName>
    <definedName name="PLTaxol" localSheetId="5" hidden="1">{#N/A,#N/A,FALSE,"REPORT"}</definedName>
    <definedName name="Pnl" localSheetId="5" hidden="1">{#N/A,#N/A,FALSE,"Pharm";#N/A,#N/A,FALSE,"WWCM"}</definedName>
    <definedName name="po" localSheetId="5"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i" localSheetId="5" hidden="1">{#N/A,#N/A,FALSE,"PL-FS";#N/A,#N/A,FALSE,"PL"}</definedName>
    <definedName name="port29" localSheetId="5" hidden="1">{#N/A,#N/A,FALSE,"Pharm";#N/A,#N/A,FALSE,"WWCM"}</definedName>
    <definedName name="poso_wrn.test1." localSheetId="5" hidden="1">{"Income Statement",#N/A,FALSE,"CFMODEL";"Balance Sheet",#N/A,FALSE,"CFMODEL"}</definedName>
    <definedName name="poso_wrn.test2." localSheetId="5" hidden="1">{"SourcesUses",#N/A,TRUE,"CFMODEL";"TransOverview",#N/A,TRUE,"CFMODEL"}</definedName>
    <definedName name="poso_wrn.test3." localSheetId="5" hidden="1">{"SourcesUses",#N/A,TRUE,#N/A;"TransOverview",#N/A,TRUE,"CFMODEL"}</definedName>
    <definedName name="poso_wrn.test4." localSheetId="5" hidden="1">{"SourcesUses",#N/A,TRUE,"FundsFlow";"TransOverview",#N/A,TRUE,"FundsFlow"}</definedName>
    <definedName name="Procef" localSheetId="5" hidden="1">{#N/A,#N/A,FALSE,"Pharm";#N/A,#N/A,FALSE,"WWCM"}</definedName>
    <definedName name="prod" localSheetId="5" hidden="1">{#N/A,#N/A,FALSE,"Pharm";#N/A,#N/A,FALSE,"WWCM"}</definedName>
    <definedName name="q" localSheetId="5" hidden="1">{"CSheet",#N/A,FALSE,"C";"SmCap",#N/A,FALSE,"VAL1";"GulfCoast",#N/A,FALSE,"VAL1";"nav",#N/A,FALSE,"NAV";"Summary",#N/A,FALSE,"NAV"}</definedName>
    <definedName name="qaz" localSheetId="5" hidden="1">{#N/A,#N/A,FALSE,"Pharm";#N/A,#N/A,FALSE,"WWCM"}</definedName>
    <definedName name="qertweyu" localSheetId="5" hidden="1">{#N/A,#N/A,FALSE,"REPORT"}</definedName>
    <definedName name="qetryywt" localSheetId="5" hidden="1">{#N/A,#N/A,FALSE,"REPORT"}</definedName>
    <definedName name="qqq" localSheetId="5" hidden="1">{#N/A,#N/A,FALSE,"Pharm";#N/A,#N/A,FALSE,"WWCM"}</definedName>
    <definedName name="qqwtweryey" localSheetId="5" hidden="1">{#N/A,#N/A,FALSE,"REPORT"}</definedName>
    <definedName name="qw" localSheetId="5" hidden="1">{#N/A,#N/A,FALSE,"REPORT"}</definedName>
    <definedName name="qwe" localSheetId="5" hidden="1">{#N/A,#N/A,TRUE,"BS_A";#N/A,#N/A,TRUE,"BS_L";#N/A,#N/A,TRUE,"PL";#N/A,#N/A,TRUE,"NET";#N/A,#N/A,TRUE,"MAR_2";#N/A,#N/A,TRUE,"MAR";#N/A,#N/A,TRUE,"NII";#N/A,#N/A,TRUE,"NIE";#N/A,#N/A,TRUE,"FS_BS";#N/A,#N/A,TRUE,"FS_PL";#N/A,#N/A,TRUE,"HEA"}</definedName>
    <definedName name="qwertqry" localSheetId="5" hidden="1">{#N/A,#N/A,FALSE,"REPORT"}</definedName>
    <definedName name="qwetqryetytu" localSheetId="5" hidden="1">{#N/A,#N/A,FALSE,"Pharm";#N/A,#N/A,FALSE,"WWCM"}</definedName>
    <definedName name="QWQ" localSheetId="5" hidden="1">{#N/A,#N/A,FALSE,"PL-FS";#N/A,#N/A,FALSE,"PL"}</definedName>
    <definedName name="RedefinePrintTableRange" localSheetId="5" hidden="1">#REF!</definedName>
    <definedName name="reggie" localSheetId="5" hidden="1">{#N/A,#N/A,FALSE,"Pharm";#N/A,#N/A,FALSE,"WWCM"}</definedName>
    <definedName name="resp." localSheetId="5" hidden="1">{#N/A,#N/A,FALSE,"Pharm";#N/A,#N/A,FALSE,"WWCM"}</definedName>
    <definedName name="RestatedActuals" localSheetId="5" hidden="1">{#N/A,#N/A,FALSE,"Aging Summary";#N/A,#N/A,FALSE,"Ratio Analysis";#N/A,#N/A,FALSE,"Test 120 Day Accts";#N/A,#N/A,FALSE,"Tickmarks"}</definedName>
    <definedName name="rf2e" localSheetId="5" hidden="1">{#N/A,#N/A,FALSE,"Pharm";#N/A,#N/A,FALSE,"WWCM"}</definedName>
    <definedName name="rrrrr" localSheetId="5" hidden="1">{#N/A,#N/A,FALSE,"Pharm";#N/A,#N/A,FALSE,"WWCM"}</definedName>
    <definedName name="rwert" localSheetId="5" hidden="1">{#N/A,#N/A,FALSE,"Pharm";#N/A,#N/A,FALSE,"WWCM"}</definedName>
    <definedName name="rwjf" localSheetId="5" hidden="1">{#N/A,#N/A,FALSE,"BS";#N/A,#N/A,FALSE,"PL";#N/A,#N/A,FALSE,"SOE";#N/A,#N/A,FALSE,"SCF"}</definedName>
    <definedName name="sally" localSheetId="5" hidden="1">{#N/A,#N/A,FALSE,"Pharm";#N/A,#N/A,FALSE,"WWCM"}</definedName>
    <definedName name="SD" localSheetId="5" hidden="1">{#N/A,#N/A,FALSE,"Pharm";#N/A,#N/A,FALSE,"WWCM"}</definedName>
    <definedName name="sdafgs" localSheetId="5" hidden="1">{#N/A,#N/A,FALSE,"Pharm";#N/A,#N/A,FALSE,"WWCM"}</definedName>
    <definedName name="sdas" localSheetId="5" hidden="1">{"Total",#N/A,FALSE,"Six Fields";"PDP",#N/A,FALSE,"Six Fields";"PNP",#N/A,FALSE,"Six Fields";"PUD",#N/A,FALSE,"Six Fields";"Prob",#N/A,FALSE,"Six Fields"}</definedName>
    <definedName name="sdf" localSheetId="5" hidden="1">#REF!</definedName>
    <definedName name="sdfdsf" localSheetId="5" hidden="1">{"SourcesUses",#N/A,TRUE,#N/A;"TransOverview",#N/A,TRUE,"CFMODEL"}</definedName>
    <definedName name="sdfh" localSheetId="5" hidden="1">{#N/A,#N/A,FALSE,"Pharm";#N/A,#N/A,FALSE,"WWCM"}</definedName>
    <definedName name="sdgagf" localSheetId="5" hidden="1">{#N/A,#N/A,FALSE,"Pharm";#N/A,#N/A,FALSE,"WWCM"}</definedName>
    <definedName name="sdsadasd" localSheetId="5" hidden="1">{#N/A,#N/A,FALSE,"Pharm";#N/A,#N/A,FALSE,"WWCM"}</definedName>
    <definedName name="sdsd" localSheetId="5" hidden="1">{#N/A,#N/A,FALSE,"REPORT"}</definedName>
    <definedName name="sdw" localSheetId="5" hidden="1">{#N/A,#N/A,FALSE,"Admin";#N/A,#N/A,FALSE,"Other"}</definedName>
    <definedName name="secondaries" localSheetId="5" hidden="1">{#N/A,#N/A,FALSE,"Summary";#N/A,#N/A,FALSE,"Pending";#N/A,#N/A,FALSE,"Oct'97";#N/A,#N/A,FALSE,"Sept'97";#N/A,#N/A,FALSE,"Aug'97";#N/A,#N/A,FALSE,"Jul'97";#N/A,#N/A,FALSE,"Jun'97";#N/A,#N/A,FALSE,"May'97";#N/A,#N/A,FALSE,"Apr'97";#N/A,#N/A,FALSE,"Mar'97";#N/A,#N/A,FALSE,"Feb'97";#N/A,#N/A,FALSE,"Jan'97"}</definedName>
    <definedName name="sf" localSheetId="5" hidden="1">{#N/A,#N/A,FALSE,"Sales Graph";#N/A,#N/A,FALSE,"BUC Graph";#N/A,#N/A,FALSE,"P&amp;L - YTD"}</definedName>
    <definedName name="SFD" localSheetId="5" hidden="1">{#N/A,#N/A,FALSE,"TABLE_1 YTD";#N/A,#N/A,FALSE,"TABLE_1A QTD";#N/A,#N/A,FALSE,"NORMAL_SPREAD_QTD";#N/A,#N/A,FALSE,"NORMAL_SPREAD_YTD";#N/A,#N/A,FALSE,"TAX_EQV";#N/A,#N/A,FALSE,"TAX EQUIV_INPUT";#N/A,#N/A,FALSE,"NET FROM FER";#N/A,#N/A,FALSE,"COVER"}</definedName>
    <definedName name="sfdirect" localSheetId="5" hidden="1">{#N/A,#N/A,FALSE,"REPORT"}</definedName>
    <definedName name="solver_lhs1" localSheetId="5" hidden="1">#REF!</definedName>
    <definedName name="solver_opt" localSheetId="5" hidden="1">#REF!</definedName>
    <definedName name="ssd" localSheetId="5" hidden="1">#REF!</definedName>
    <definedName name="ssdfsd" localSheetId="5" hidden="1">{"Balance Sheets",#N/A,FALSE,"Subject";"Income Statements - As Reported",#N/A,FALSE,"Subject";"Income Statements - Adjusted",#N/A,FALSE,"Subject";"Ratios",#N/A,FALSE,"Subject";"Representative Earnings",#N/A,FALSE,"Subject"}</definedName>
    <definedName name="sss" localSheetId="5" hidden="1">{#N/A,#N/A,FALSE,"Form 41 Commuter Domestic";#N/A,#N/A,FALSE,"FORM41--COMMUTER % CHG";#N/A,#N/A,FALSE,"Total Domestic Traffic Stats";#N/A,#N/A,FALSE,"TOTAL DOM TRAFFIC--% CHG";#N/A,#N/A,FALSE,"TotDomTraf-Large Carriers Only";#N/A,#N/A,FALSE,"TOTDOMTRAF-LARGECAR% CHG"}</definedName>
    <definedName name="Staril" localSheetId="5" hidden="1">{#N/A,#N/A,FALSE,"REPORT"}</definedName>
    <definedName name="StratPlanAP" localSheetId="5" hidden="1">{#N/A,#N/A,FALSE,"Pharm";#N/A,#N/A,FALSE,"WWCM"}</definedName>
    <definedName name="stuffs" localSheetId="5" hidden="1">{"TOTAL",#N/A,FALSE,"A";"FISCAL94",#N/A,FALSE,"A";"FISCAL95",#N/A,FALSE,"A";"FISCAL96",#N/A,FALSE,"A";"misc page",#N/A,FALSE,"A"}</definedName>
    <definedName name="SX" localSheetId="5"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taxol" localSheetId="5" hidden="1">{#N/A,#N/A,FALSE,"Pharm";#N/A,#N/A,FALSE,"WWCM"}</definedName>
    <definedName name="Tem" localSheetId="5" hidden="1">{#N/A,#N/A,FALSE,"Pharm";#N/A,#N/A,FALSE,"WWCM"}</definedName>
    <definedName name="teq" localSheetId="5" hidden="1">{#N/A,#N/A,FALSE,"Pharm";#N/A,#N/A,FALSE,"WWCM"}</definedName>
    <definedName name="Tequin" localSheetId="5" hidden="1">{#N/A,#N/A,FALSE,"Pharm";#N/A,#N/A,FALSE,"WWCM"}</definedName>
    <definedName name="tequinol" localSheetId="5" hidden="1">{#N/A,#N/A,FALSE,"REPORT"}</definedName>
    <definedName name="tes" localSheetId="5" hidden="1">#REF!</definedName>
    <definedName name="test" localSheetId="5" hidden="1">{#N/A,#N/A,FALSE,"Pharm";#N/A,#N/A,FALSE,"WWCM"}</definedName>
    <definedName name="teste" localSheetId="5" hidden="1">{#N/A,#N/A,FALSE,"Pharm";#N/A,#N/A,FALSE,"WWCM"}</definedName>
    <definedName name="TESYT" localSheetId="5" hidden="1">{#N/A,#N/A,TRUE,"BUD VS ACT AUST 96";#N/A,#N/A,TRUE,"96 COMP P&amp;L-AUST";#N/A,#N/A,TRUE,"COMP BS-AUSTRALIA";#N/A,#N/A,TRUE,"B/S - AUSTR."}</definedName>
    <definedName name="tryeuyit" localSheetId="5" hidden="1">{#N/A,#N/A,FALSE,"Pharm";#N/A,#N/A,FALSE,"WWCM"}</definedName>
    <definedName name="ttt" localSheetId="5" hidden="1">{#N/A,#N/A,FALSE,"COMP BS-FRANCE";#N/A,#N/A,FALSE,"96 COMP P&amp;L-FRANCE";#N/A,#N/A,FALSE,"BUD VS ACT FRAN 96";#N/A,#N/A,FALSE,"B/S - FRANCE"}</definedName>
    <definedName name="tttt" localSheetId="5"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yuiktyu" localSheetId="5" hidden="1">{#N/A,#N/A,FALSE,"COVER";#N/A,#N/A,FALSE,"Index";#N/A,#N/A,FALSE,"Non-Earning";#N/A,#N/A,FALSE,"Mortgage_Legal";#N/A,#N/A,FALSE,"Mortgages"}</definedName>
    <definedName name="tyutytyi" localSheetId="5" hidden="1">{#N/A,#N/A,FALSE,"Pharm";#N/A,#N/A,FALSE,"WWCM"}</definedName>
    <definedName name="tyyufkjkhjd" localSheetId="5" hidden="1">{#N/A,#N/A,FALSE,"Pharm";#N/A,#N/A,FALSE,"WWCM"}</definedName>
    <definedName name="u" localSheetId="5" hidden="1">{"CSheet",#N/A,FALSE,"C";"SmCap",#N/A,FALSE,"VAL1";"GulfCoast",#N/A,FALSE,"VAL1";"nav",#N/A,FALSE,"NAV";"Summary",#N/A,FALSE,"NAV"}</definedName>
    <definedName name="UK" localSheetId="5" hidden="1">{#N/A,#N/A,TRUE,"BUD VS ACT AUST 96";#N/A,#N/A,TRUE,"96 COMP P&amp;L-AUST";#N/A,#N/A,TRUE,"COMP BS-AUSTRALIA";#N/A,#N/A,TRUE,"B/S - AUSTR."}</definedName>
    <definedName name="Unit" localSheetId="5" hidden="1">{#N/A,#N/A,FALSE,"Pharm";#N/A,#N/A,FALSE,"WWCM"}</definedName>
    <definedName name="VZDX" localSheetId="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 localSheetId="5" hidden="1">{"ReportTop",#N/A,FALSE,"report top"}</definedName>
    <definedName name="was" localSheetId="5" hidden="1">{#N/A,#N/A,FALSE,"Sales Graph";#N/A,#N/A,FALSE,"BUC Graph";#N/A,#N/A,FALSE,"P&amp;L - YTD"}</definedName>
    <definedName name="wb" localSheetId="5" hidden="1">{#N/A,#N/A,FALSE,"Pharm";#N/A,#N/A,FALSE,"WWCM"}</definedName>
    <definedName name="wc" localSheetId="5" hidden="1">{#N/A,#N/A,FALSE,"Pharm";#N/A,#N/A,FALSE,"WWCM"}</definedName>
    <definedName name="WE" localSheetId="5" hidden="1">{#N/A,#N/A,FALSE,"COVER";#N/A,#N/A,FALSE,"Index";#N/A,#N/A,FALSE,"Non-Earning";#N/A,#N/A,FALSE,"Commercial";#N/A,#N/A,FALSE,"Detailed"}</definedName>
    <definedName name="werrr" localSheetId="5" hidden="1">{#N/A,#N/A,FALSE,"Pharm";#N/A,#N/A,FALSE,"WWCM"}</definedName>
    <definedName name="working" localSheetId="5" hidden="1">{#N/A,#N/A,FALSE,"REPORT"}</definedName>
    <definedName name="wrn" localSheetId="5" hidden="1">{"FCB_ALL",#N/A,FALSE,"FCB"}</definedName>
    <definedName name="wrn.10K._.FS._.AND._.TABLES." localSheetId="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Q._.FS._.AND._.TABLES." localSheetId="5"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TABLES." localSheetId="5" hidden="1">{#N/A,#N/A,FALSE,"TABLE_1 YTD";#N/A,#N/A,FALSE,"TABLE_1A QTD"}</definedName>
    <definedName name="wrn.111111" localSheetId="5" hidden="1">{#N/A,#N/A,FALSE,"Pharm";#N/A,#N/A,FALSE,"WWCM"}</definedName>
    <definedName name="wrn.1998._.IPO._.Update." localSheetId="5" hidden="1">{#N/A,#N/A,FALSE,"Summary";#N/A,#N/A,FALSE,"Pending";#N/A,#N/A,FALSE,"Aug'98";#N/A,#N/A,FALSE,"July'98";#N/A,#N/A,FALSE,"June'98";#N/A,#N/A,FALSE,"May'98";#N/A,#N/A,FALSE,"Apr'98";#N/A,#N/A,FALSE,"Mar'98";#N/A,#N/A,FALSE,"Feb'98";#N/A,#N/A,FALSE,"Jan'98"}</definedName>
    <definedName name="wrn.2000._.Package._.GOM." localSheetId="5" hidden="1">{"2000PPE",#N/A,FALSE,"PPE 2000";"2000DD",#N/A,FALSE,"DrydocksOther"}</definedName>
    <definedName name="wrn.730." localSheetId="5" hidden="1">{#N/A,#N/A,FALSE,"REPORT"}</definedName>
    <definedName name="wrn.731" localSheetId="5" hidden="1">{#N/A,#N/A,FALSE,"REPORT"}</definedName>
    <definedName name="wrn.750." localSheetId="5" hidden="1">{#N/A,#N/A,FALSE,"REPORT"}</definedName>
    <definedName name="wrn.7501" localSheetId="5" hidden="1">{#N/A,#N/A,FALSE,"REPORT"}</definedName>
    <definedName name="wrn.760.16." localSheetId="5" hidden="1">{#N/A,#N/A,FALSE,"REPORT"}</definedName>
    <definedName name="wrn.7900" localSheetId="5" hidden="1">{#N/A,#N/A,FALSE,"REPORT"}</definedName>
    <definedName name="wrn.905" localSheetId="5" hidden="1">{#N/A,#N/A,FALSE,"REPORT"}</definedName>
    <definedName name="wrn.99999" localSheetId="5" hidden="1">{#N/A,#N/A,FALSE,"REPORT"}</definedName>
    <definedName name="wrn.aaa" localSheetId="5" hidden="1">{#N/A,#N/A,FALSE,"Pharm";#N/A,#N/A,FALSE,"WWCM"}</definedName>
    <definedName name="wrn.aaaaaaa" localSheetId="5" hidden="1">{#N/A,#N/A,FALSE,"Pharm";#N/A,#N/A,FALSE,"WWCM"}</definedName>
    <definedName name="wrn.Accretion." localSheetId="5" hidden="1">{"Accretion",#N/A,FALSE,"Assum"}</definedName>
    <definedName name="wrn.ACCT._.PACKAGE._.REPORT." localSheetId="5" hidden="1">{#N/A,#N/A,TRUE,"Highlights";#N/A,#N/A,TRUE,"BS_Oriental International Bank";#N/A,#N/A,TRUE,"P&amp;L_Oriental International Bank";#N/A,#N/A,TRUE,"Revenues Report_OIB";#N/A,#N/A,TRUE,"Expenses OIB";#N/A,#N/A,TRUE,"Margin_ORIENTAL INTL BANK";#N/A,#N/A,TRUE,"PL Quarterly_OIB";#N/A,#N/A,TRUE,"COVER"}</definedName>
    <definedName name="wrn.Aging._.and._.Trend._.Analysis." localSheetId="5" hidden="1">{#N/A,#N/A,FALSE,"Aging Summary";#N/A,#N/A,FALSE,"Ratio Analysis";#N/A,#N/A,FALSE,"Test 120 Day Accts";#N/A,#N/A,FALSE,"Tickmarks"}</definedName>
    <definedName name="wrn.all." localSheetId="5" hidden="1">{#N/A,#N/A,TRUE,"Title_Page";#N/A,#N/A,TRUE,"Tax_Income_Sum";#N/A,#N/A,TRUE,"GL_Mgmt_Rec";#N/A,#N/A,TRUE,"Long_Term_Accrual";#N/A,#N/A,TRUE,"Reserves";#N/A,#N/A,TRUE,"Contributions";#N/A,#N/A,TRUE,"R&amp;D Credit";#N/A,#N/A,TRUE,"Unicap";#N/A,#N/A,TRUE,"Other_Income";#N/A,#N/A,TRUE,"Other_Deduction";#N/A,#N/A,TRUE,"Increase_RE";#N/A,#N/A,TRUE,"Decrease_RE";#N/A,#N/A,TRUE,"Cafe_Subsidy";#N/A,#N/A,TRUE,"Std. Reclass Adjstmnts";#N/A,#N/A,TRUE,"LT Accruals BT-1A";#N/A,#N/A,TRUE,"Sch. M-1 Adjstmnts"}</definedName>
    <definedName name="wrn.all._.input." localSheetId="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rint." localSheetId="5" hidden="1">{#N/A,#N/A,FALSE,"Summary";#N/A,#N/A,FALSE,"Edit";#N/A,#N/A,FALSE,"MedProf";#N/A,#N/A,FALSE,"Proj Mgt";#N/A,#N/A,FALSE,"Creat Svc";#N/A,#N/A,FALSE,"Meet Svc";#N/A,#N/A,FALSE,"Non-OCC";#N/A,#N/A,FALSE,"Client Svc";#N/A,#N/A,FALSE,"Bus Dev";#N/A,#N/A,FALSE,"Indirect"}</definedName>
    <definedName name="wrn.ALL._.STATEMENTS." localSheetId="5" hidden="1">{"BALANCE SHEET",#N/A,FALSE,"Balance Sheet";"INCOME STATEMENT",#N/A,FALSE,"Income Statement";"STMT OF CASH FLOWS",#N/A,FALSE,"Cash Flows Indirect";"PARTNERS CAPITAL STMT",#N/A,FALSE,"Partners Capital"}</definedName>
    <definedName name="wrn.Annual._.Report." localSheetId="5" hidden="1">{#N/A,#N/A,FALSE,"TABLE_1 YTD- VALUES LAST YR(2)"}</definedName>
    <definedName name="wrn.April._.Financials." localSheetId="5" hidden="1">{"Statement of Income",#N/A,TRUE,"Mar99";"Balance Sheet",#N/A,TRUE,"Mar99"}</definedName>
    <definedName name="wrn.Assumptions." localSheetId="5" hidden="1">{"Assumptions",#N/A,FALSE,"Assum"}</definedName>
    <definedName name="wrn.AUST._.FINANCIALS." localSheetId="5" hidden="1">{#N/A,#N/A,TRUE,"BUD VS ACT AUST 96";#N/A,#N/A,TRUE,"96 COMP P&amp;L-AUST";#N/A,#N/A,TRUE,"COMP BS-AUSTRALIA";#N/A,#N/A,TRUE,"B/S - AUSTR."}</definedName>
    <definedName name="wrn.Backup." localSheetId="5" hidden="1">{#N/A,#N/A,FALSE,"Balance";#N/A,#N/A,FALSE,"TDFX";#N/A,#N/A,FALSE,"TDDDF";#N/A,#N/A,FALSE,"ADI";#N/A,#N/A,FALSE,"CUBE";#N/A,#N/A,FALSE,"DIMD";#N/A,#N/A,FALSE,"ZRAN";#N/A,#N/A,FALSE,"GNMC"}</definedName>
    <definedName name="wrn.BALANCE._.SHEET." localSheetId="5" hidden="1">{"BALANCE SHEET",#N/A,FALSE,"Balance Sheet"}</definedName>
    <definedName name="wrn.balance._.sheet2." localSheetId="5" hidden="1">{"bs",#N/A,FALSE,"SCF"}</definedName>
    <definedName name="wrn.balance._.sheet3." localSheetId="5" hidden="1">{"bs",#N/A,FALSE,"SCF"}</definedName>
    <definedName name="wrn.balance._.sheet4." localSheetId="5" hidden="1">{"bs",#N/A,FALSE,"SCF"}</definedName>
    <definedName name="wrn.Balance._.sheets._.FY01._.to._.FY03." localSheetId="5" hidden="1">{"BS FY01",#N/A,FALSE,"P &amp; L";"BS FY02",#N/A,FALSE,"P &amp; L";"BS FY03",#N/A,FALSE,"P &amp; L"}</definedName>
    <definedName name="wrn.balance._sheet2." localSheetId="5" hidden="1">{"bs",#N/A,FALSE,"SCF"}</definedName>
    <definedName name="wrn.Bank._.Report." localSheetId="5"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sic._.Report." localSheetId="5" hidden="1">{#N/A,#N/A,FALSE,"New Depr Sch-150% DB";#N/A,#N/A,FALSE,"Cash Flows RLP";#N/A,#N/A,FALSE,"IRR";#N/A,#N/A,FALSE,"Proforma IS";#N/A,#N/A,FALSE,"Assumptions"}</definedName>
    <definedName name="wrn.BidCo." localSheetId="5" hidden="1">{#N/A,#N/A,FALSE,"BidCo Assumptions";#N/A,#N/A,FALSE,"Credit Stats";#N/A,#N/A,FALSE,"Bidco Summary";#N/A,#N/A,FALSE,"BIDCO Consolidated"}</definedName>
    <definedName name="wrn.bm" localSheetId="5"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udget." localSheetId="5" hidden="1">{"Instructions",#N/A,FALSE,"INPUT";"Sharing",#N/A,FALSE,"Sharing";"InputArea",#N/A,FALSE,"INPUT";"Budget",#N/A,FALSE,"INPUT"}</definedName>
    <definedName name="wrn.BUDGET2004." localSheetId="5" hidden="1">{#N/A,#N/A,FALSE,"BUD04 HEA";#N/A,#N/A,FALSE,"BUD04 Earnings";#N/A,#N/A,FALSE,"BUD04 Expenses"}</definedName>
    <definedName name="wrn.calc_all." localSheetId="5"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rdiovasculars." localSheetId="5" hidden="1">{#N/A,#N/A,FALSE,"Card";#N/A,#N/A,FALSE,"Prav";#N/A,#N/A,FALSE,"Irbe";#N/A,#N/A,FALSE,"Plavix";#N/A,#N/A,FALSE,"Capt";#N/A,#N/A,FALSE,"Fosi"}</definedName>
    <definedName name="wrn.Cash._.Flow." localSheetId="5" hidden="1">{"Cash Flow",#N/A,FALSE,"Cash Flow"}</definedName>
    <definedName name="wrn.cash._.flow._.FY00._.and._.FY01." localSheetId="5" hidden="1">{"cash flow - FY00",#N/A,FALSE,"P &amp; L";"cash flow - FY01",#N/A,FALSE,"P &amp; L"}</definedName>
    <definedName name="wrn.cash._.flow._.FY02._.and._.FY03." localSheetId="5" hidden="1">{"cash flow - FY02",#N/A,FALSE,"P &amp; L";"cash flow - FY03",#N/A,FALSE,"P &amp; L"}</definedName>
    <definedName name="wrn.Central._.Nervous._.System." localSheetId="5" hidden="1">{#N/A,#N/A,FALSE,"CNS";#N/A,#N/A,FALSE,"Serz";#N/A,#N/A,FALSE,"Ace"}</definedName>
    <definedName name="wrn.chart._.1998" localSheetId="5" hidden="1">{#N/A,#N/A,FALSE,"Summary";#N/A,#N/A,FALSE,"Pending";#N/A,#N/A,FALSE,"Jan'98";#N/A,#N/A,FALSE,"Feb'98";#N/A,#N/A,FALSE,"Mar'98";#N/A,#N/A,FALSE,"Apr'98";#N/A,#N/A,FALSE,"May'98";#N/A,#N/A,FALSE,"June'98";#N/A,#N/A,FALSE,"July'98"}</definedName>
    <definedName name="wrn.clientcopy." localSheetId="5"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OMMISSIONER." localSheetId="5" hidden="1">{#N/A,#N/A,FALSE,"BS_OCIF OIB";#N/A,#N/A,FALSE,"PL_OCIF OIB";#N/A,#N/A,FALSE,"SCH_A-B_OCIF OIB";#N/A,#N/A,FALSE,"AVG_CALC OIB"}</definedName>
    <definedName name="wrn.Comp._.and._.Prices." localSheetId="5" hidden="1">{#N/A,#N/A,FALSE,"comp";#N/A,#N/A,FALSE,"Alpha";#N/A,#N/A,FALSE,"Hi";#N/A,#N/A,FALSE,"Lo";#N/A,#N/A,FALSE,"Mkt. Cap";#N/A,#N/A,FALSE,"Categ."}</definedName>
    <definedName name="wrn.Complete._.Report." localSheetId="5" hidden="1">{#N/A,#N/A,FALSE,"Assumptions";#N/A,#N/A,FALSE,"Proforma IS";#N/A,#N/A,FALSE,"Cash Flows RLP";#N/A,#N/A,FALSE,"IRR";#N/A,#N/A,FALSE,"New Depr Sch-150% DB";#N/A,#N/A,FALSE,"Comments"}</definedName>
    <definedName name="wrn.Consol." localSheetId="5"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idado." localSheetId="5" hidden="1">{#N/A,#N/A,FALSE,"COVER";#N/A,#N/A,FALSE,"Index";#N/A,#N/A,FALSE,"Non-Earning";#N/A,#N/A,FALSE,"Non-Earning_Recovery"}</definedName>
    <definedName name="wrn.Consolidated." localSheetId="5"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umer._.Medicines." localSheetId="5" hidden="1">{#N/A,#N/A,FALSE,"OTC";#N/A,#N/A,FALSE,"Ther";#N/A,#N/A,FALSE,"Temp";#N/A,#N/A,FALSE,"Exce";#N/A,#N/A,FALSE,"Buff";#N/A,#N/A,FALSE,"Picot";#N/A,#N/A,FALSE,"Luftal";#N/A,#N/A,FALSE,"Comt"}</definedName>
    <definedName name="wrn.Corporate." localSheetId="5" hidden="1">{"Corporate",#N/A,FALSE,"Corporate Profile"}</definedName>
    <definedName name="wrn.cotop." localSheetId="5" hidden="1">{"ReportTop",#N/A,FALSE,"report top"}</definedName>
    <definedName name="wrn.Daily." localSheetId="5" hidden="1">{#N/A,#N/A,FALSE,"Input";#N/A,#N/A,FALSE,"BBC";#N/A,#N/A,FALSE,"Sch A";#N/A,#N/A,FALSE,"Sch B";#N/A,#N/A,FALSE,"Ineligible"}</definedName>
    <definedName name="wrn.DCF._.Valuation." localSheetId="5" hidden="1">{"value box",#N/A,TRUE,"DPL Inc. Fin Statements";"unlevered free cash flows",#N/A,TRUE,"DPL Inc. Fin Statements"}</definedName>
    <definedName name="wrn.Debt." localSheetId="5" hidden="1">{"debt summary",#N/A,FALSE,"Debt";"loan details",#N/A,FALSE,"Debt"}</definedName>
    <definedName name="wrn.Delinc_Comercial." localSheetId="5" hidden="1">{#N/A,#N/A,FALSE,"COVER";#N/A,#N/A,FALSE,"Index";#N/A,#N/A,FALSE,"Non-Earning";#N/A,#N/A,FALSE,"Commercial";#N/A,#N/A,FALSE,"Detailed"}</definedName>
    <definedName name="wrn.Detail." localSheetId="5" hidden="1">{"SalaryPer",#N/A,FALSE,"INPUT";"WageRate",#N/A,FALSE,"INPUT";"Salary",#N/A,FALSE,"INPUT";"Overtime",#N/A,FALSE,"INPUT";"PagerPay",#N/A,FALSE,"INPUT";"FringeTable",#N/A,FALSE,"INPUT";"Fringes",#N/A,FALSE,"INPUT";"ProfitSharing",#N/A,FALSE,"INPUT"}</definedName>
    <definedName name="wrn.Detail._.Balance._.Sheet." localSheetId="5" hidden="1">{#N/A,#N/A,FALSE,"Detail"}</definedName>
    <definedName name="wrn.Detail_Projection." localSheetId="5" hidden="1">{#N/A,#N/A,FALSE,"Detail YTD"}</definedName>
    <definedName name="wrn.Dilution." localSheetId="5" hidden="1">{#N/A,#N/A,FALSE,"FY 1997 (NR)";#N/A,#N/A,FALSE,"FY 1998 (NR)";#N/A,#N/A,FALSE,"Balance";#N/A,#N/A,FALSE,"Matrix (NR)"}</definedName>
    <definedName name="wrn.DOM._.TRAF._.STATS." localSheetId="5" hidden="1">{#N/A,#N/A,FALSE,"Form 41 Commuter Domestic";#N/A,#N/A,FALSE,"FORM41--COMMUTER % CHG";#N/A,#N/A,FALSE,"Total Domestic Traffic Stats";#N/A,#N/A,FALSE,"TOTAL DOM TRAFFIC--% CHG";#N/A,#N/A,FALSE,"TotDomTraf-Large Carriers Only";#N/A,#N/A,FALSE,"TOTDOMTRAF-LARGECAR% CHG"}</definedName>
    <definedName name="wrn.econtab." localSheetId="5" hidden="1">{#N/A,#N/A,FALSE,"TABLE1";#N/A,#N/A,FALSE,"TABLE2";#N/A,#N/A,FALSE,"TABLE3";#N/A,#N/A,FALSE,"TABLE4";#N/A,#N/A,FALSE,"TABLE5"}</definedName>
    <definedName name="wrn.executive._.summary._.reports." localSheetId="5" hidden="1">{"4 year overview",#N/A,FALSE,"P &amp; L";"key indicators",#N/A,FALSE,"P &amp; L"}</definedName>
    <definedName name="wrn.EXP2." localSheetId="5" hidden="1">{#N/A,#N/A,TRUE,"NIE_C";#N/A,#N/A,TRUE,"NIE";#N/A,#N/A,TRUE,"NIE_D";#N/A,#N/A,TRUE,"NIE_D_CC";#N/A,#N/A,TRUE,"HEA -- EXP"}</definedName>
    <definedName name="wrn.fcb" localSheetId="5" hidden="1">{"FCB_ALL",#N/A,FALSE,"FCB"}</definedName>
    <definedName name="wrn.FCB." localSheetId="5" hidden="1">{"FCB_ALL",#N/A,FALSE,"FCB"}</definedName>
    <definedName name="wrn.fcb2" localSheetId="5" hidden="1">{"FCB_ALL",#N/A,FALSE,"FCB"}</definedName>
    <definedName name="wrn.FER." localSheetId="5" hidden="1">{#N/A,#N/A,TRUE,"BS_A";#N/A,#N/A,TRUE,"BS_L";#N/A,#N/A,TRUE,"PL";#N/A,#N/A,TRUE,"NET";#N/A,#N/A,TRUE,"MAR_2";#N/A,#N/A,TRUE,"MAR";#N/A,#N/A,TRUE,"NII";#N/A,#N/A,TRUE,"NIE";#N/A,#N/A,TRUE,"FS_BS";#N/A,#N/A,TRUE,"FS_PL";#N/A,#N/A,TRUE,"HEA"}</definedName>
    <definedName name="wrn.FER_EXPENSES." localSheetId="5" hidden="1">{#N/A,#N/A,TRUE,"NIE_C";#N/A,#N/A,TRUE,"NIE";#N/A,#N/A,TRUE,"NIE_D";#N/A,#N/A,TRUE,"HEA -- EXP"}</definedName>
    <definedName name="wrn.FER_NIA." localSheetId="5" hidden="1">{#N/A,#N/A,FALSE,"HEA NIA";#N/A,#N/A,FALSE,"CHART";#N/A,#N/A,FALSE,"NIA";#N/A,#N/A,FALSE,"WF_DET"}</definedName>
    <definedName name="wrn.FER_REVENUES." localSheetId="5" hidden="1">{#N/A,#N/A,TRUE,"NII_C";#N/A,#N/A,TRUE,"NII";#N/A,#N/A,TRUE,"NII_D";#N/A,#N/A,TRUE,"HEA --REV"}</definedName>
    <definedName name="wrn.filecopy." localSheetId="5"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ncials." localSheetId="5" hidden="1">{#N/A,#N/A,TRUE,"Income Statement";#N/A,#N/A,TRUE,"Balance Sheet";#N/A,#N/A,TRUE,"Cash Flow"}</definedName>
    <definedName name="wrn.FINANCIALS._.10K." localSheetId="5" hidden="1">{#N/A,#N/A,FALSE,"BS";#N/A,#N/A,FALSE,"PL_10K";#N/A,#N/A,FALSE,"SOE";#N/A,#N/A,FALSE,"SCF"}</definedName>
    <definedName name="wrn.FINANCIALS._.10Q." localSheetId="5" hidden="1">{#N/A,#N/A,FALSE,"BS";#N/A,#N/A,FALSE,"PL_10Q";#N/A,#N/A,FALSE,"SOE";#N/A,#N/A,FALSE,"SCF"}</definedName>
    <definedName name="wrn.Followon._.1998" localSheetId="5" hidden="1">{#N/A,#N/A,FALSE,"Summary";#N/A,#N/A,FALSE,"Pending";#N/A,#N/A,FALSE,"Jan'98";#N/A,#N/A,FALSE,"Feb'98";#N/A,#N/A,FALSE,"Mar'98";#N/A,#N/A,FALSE,"Apr'98";#N/A,#N/A,FALSE,"May'98";#N/A,#N/A,FALSE,"June'98";#N/A,#N/A,FALSE,"July'98"}</definedName>
    <definedName name="wrn.FORECAST." localSheetId="5" hidden="1">{"TOT",#N/A,FALSE,"ASFCST99";"TOTINT",#N/A,FALSE,"ASFCST99";"DOM",#N/A,FALSE,"ASFCST99";"NORTHATL",#N/A,FALSE,"ASFCST99";"PACIFIC",#N/A,FALSE,"ASFCST99";"LATAM",#N/A,FALSE,"ASFCST99"}</definedName>
    <definedName name="wrn.FRANCE._.FINANCIALS." localSheetId="5" hidden="1">{#N/A,#N/A,FALSE,"COMP BS-FRANCE";#N/A,#N/A,FALSE,"96 COMP P&amp;L-FRANCE";#N/A,#N/A,FALSE,"BUD VS ACT FRAN 96";#N/A,#N/A,FALSE,"B/S - FRANCE"}</definedName>
    <definedName name="wrn.FS._.AND._.TBLS._.10K." localSheetId="5"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ull._.Package." localSheetId="5"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report." localSheetId="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Y00._.all._.reports." localSheetId="5" hidden="1">{"cash flow - FY00",#N/A,FALSE,"P &amp; L";"qtrly summ-FY00",#N/A,FALSE,"P &amp; L";"monthly P&amp;L-FY00",#N/A,FALSE,"P &amp; L";"P&amp;L FY00",#N/A,FALSE,"P &amp; L";"BS FY00",#N/A,FALSE,"P &amp; L";"staffing - FY00",#N/A,FALSE,"P &amp; L"}</definedName>
    <definedName name="wrn.FY01._.all._.reports." localSheetId="5" hidden="1">{"qtrly summ-FY01",#N/A,FALSE,"P &amp; L";"monthly P&amp;L-FY01",#N/A,FALSE,"P &amp; L";"cash flow - FY01",#N/A,FALSE,"P &amp; L";"P&amp;L FY01",#N/A,FALSE,"P &amp; L";"BS FY01",#N/A,FALSE,"P &amp; L";"staffing - FY01",#N/A,FALSE,"P &amp; L"}</definedName>
    <definedName name="wrn.FY02._.all._.reports." localSheetId="5" hidden="1">{"cash flow - FY02",#N/A,FALSE,"P &amp; L";"qtrly summ-FY02",#N/A,FALSE,"P &amp; L";"monthly P&amp;L-FY02",#N/A,FALSE,"P &amp; L";"P&amp;L FY02",#N/A,FALSE,"P &amp; L";"BS FY02",#N/A,FALSE,"P &amp; L";"staffing - FY02",#N/A,FALSE,"P &amp; L"}</definedName>
    <definedName name="wrn.FY03._.all._.reports." localSheetId="5" hidden="1">{"cash flow - FY03",#N/A,FALSE,"P &amp; L";"qtrly summ-FY03",#N/A,FALSE,"P &amp; L";"monthly P&amp;L-FY03",#N/A,FALSE,"P &amp; L";"P&amp;L FY03",#N/A,FALSE,"P &amp; L";"BS FY03",#N/A,FALSE,"P &amp; L";"staffing - FY03",#N/A,FALSE,"P &amp; L"}</definedName>
    <definedName name="wrn.General._.OTC." localSheetId="5" hidden="1">{#N/A,#N/A,FALSE,"Title Page (3)";#N/A,#N/A,FALSE,"YTD - OTC";#N/A,#N/A,FALSE,"MTH - OTC"}</definedName>
    <definedName name="wrn.General._.Pharm." localSheetId="5" hidden="1">{#N/A,#N/A,FALSE,"Title Page (2)";#N/A,#N/A,FALSE,"YTD - Pharm";#N/A,#N/A,FALSE,"MTH - Pharm"}</definedName>
    <definedName name="wrn.General._.Total." localSheetId="5" hidden="1">{#N/A,#N/A,FALSE,"Title Page (4)";#N/A,#N/A,FALSE,"YTD - Total";#N/A,#N/A,FALSE,"MTH - Total"}</definedName>
    <definedName name="wrn.GJE_NBR_7_Print_Job." localSheetId="5" hidden="1">{"Accrual_Calculation",#N/A,FALSE,"Comp Calc";"SJE#7",#N/A,FALSE,"GJE"}</definedName>
    <definedName name="wrn.Growth." localSheetId="5" hidden="1">{#N/A,#N/A,FALSE,"Rev Grwth";#N/A,#N/A,FALSE,"Op Inc Grwth";#N/A,#N/A,FALSE,"Net Grwth";#N/A,#N/A,FALSE,"EPS Growth"}</definedName>
    <definedName name="wrn.Ilijan._.Print." localSheetId="5"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NCOME._.STATEMENT." localSheetId="5" hidden="1">{"INCOME STATEMENT",#N/A,FALSE,"Income Statement"}</definedName>
    <definedName name="wrn.Individual._.Statements." localSheetId="5" hidden="1">{"barlup",#N/A,FALSE,"evabnk97";"gillespey",#N/A,FALSE,"evabnk97";"koon",#N/A,FALSE,"evabnk97";"schreur",#N/A,FALSE,"evabnk97";"stone",#N/A,FALSE,"evabnk97";"wichmann",#N/A,FALSE,"evabnk97";"wright",#N/A,FALSE,"evabnk97"}</definedName>
    <definedName name="wrn.Infectious._.Diseases." localSheetId="5" hidden="1">{#N/A,#N/A,FALSE,"Anti";#N/A,#N/A,FALSE,"Cefa";#N/A,#N/A,FALSE,"Ceph";#N/A,#N/A,FALSE,"Cefp";#N/A,#N/A,FALSE,"Cefe";#N/A,#N/A,FALSE,"Pens";#N/A,#N/A,FALSE,"Ampi";#N/A,#N/A,FALSE,"Amox";#N/A,#N/A,FALSE,"Isox";#N/A,#N/A,FALSE,"Aztr";#N/A,#N/A,FALSE,"Videx";#N/A,#N/A,FALSE,"Zerit"}</definedName>
    <definedName name="wrn.Internal._.Report._.for._.Martha." localSheetId="5"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PO." localSheetId="5" hidden="1">{#N/A,#N/A,FALSE,"Summary";#N/A,#N/A,FALSE,"Jan'97";#N/A,#N/A,FALSE,"Feb'97";#N/A,#N/A,FALSE,"Mar'97";#N/A,#N/A,FALSE,"Apr'97";#N/A,#N/A,FALSE,"May'97";#N/A,#N/A,FALSE,"Jun'97";#N/A,#N/A,FALSE,"Jul'97";#N/A,#N/A,FALSE,"Aug'97";#N/A,#N/A,FALSE,"Sept'97";#N/A,#N/A,FALSE,"Oct'97";#N/A,#N/A,FALSE,"Nov'97";#N/A,#N/A,FALSE,"Dec'97";#N/A,#N/A,FALSE,"Pending"}</definedName>
    <definedName name="wrn.IPO._.1998." localSheetId="5" hidden="1">{#N/A,#N/A,FALSE,"Summary";#N/A,#N/A,FALSE,"Pending";#N/A,#N/A,FALSE,"Jan'98";#N/A,#N/A,FALSE,"Feb'98";#N/A,#N/A,FALSE,"Mar'98";#N/A,#N/A,FALSE,"Apr'98";#N/A,#N/A,FALSE,"May'98";#N/A,#N/A,FALSE,"June'98";#N/A,#N/A,FALSE,"July'98"}</definedName>
    <definedName name="wrn.IPO._.Analysis." localSheetId="5" hidden="1">{#N/A,#N/A,FALSE,"Summary";#N/A,#N/A,FALSE,"Pending";#N/A,#N/A,FALSE,"Oct'97";#N/A,#N/A,FALSE,"Sept'97";#N/A,#N/A,FALSE,"Aug'97";#N/A,#N/A,FALSE,"Jul'97";#N/A,#N/A,FALSE,"Jun'97";#N/A,#N/A,FALSE,"May'97";#N/A,#N/A,FALSE,"Apr'97";#N/A,#N/A,FALSE,"Mar'97";#N/A,#N/A,FALSE,"Feb'97";#N/A,#N/A,FALSE,"Jan'97"}</definedName>
    <definedName name="wrn.IS._.Q96." localSheetId="5" hidden="1">{"IS Q96",#N/A,FALSE,"Income Statement"}</definedName>
    <definedName name="wrn.IS._.Q97." localSheetId="5" hidden="1">{"IS Q97",#N/A,FALSE,"Income Statement"}</definedName>
    <definedName name="wrn.IS._.Years." localSheetId="5" hidden="1">{"IS Years",#N/A,FALSE,"Income Statement"}</definedName>
    <definedName name="wrn.JANI._.REBATES." localSheetId="5" hidden="1">{"TOTAL",#N/A,FALSE,"A";"FISCAL94",#N/A,FALSE,"A";"FISCAL95",#N/A,FALSE,"A";"FISCAL96",#N/A,FALSE,"A";"misc page",#N/A,FALSE,"A"}</definedName>
    <definedName name="wrn.JODM._.Graphs." localSheetId="5" hidden="1">{"graph",#N/A,FALSE,"WWJU";"graph",#N/A,FALSE,"WWSEM";"graph",#N/A,FALSE,"GOMJU";"graph",#N/A,FALSE,"GOMSEM";"graph",#N/A,FALSE,"NSJU";"graph",#N/A,FALSE,"NSSEM";"graph",#N/A,FALSE,"WAJU";"graph",#N/A,FALSE,"STOCKPRI";"graph",#N/A,FALSE,"CFTEV";"graph",#N/A,FALSE,"NAV-RCV";"graph",#N/A,FALSE,"CRUDEWW"}</definedName>
    <definedName name="wrn.Just._.Sorts." localSheetId="5" hidden="1">{#N/A,#N/A,FALSE,"Hi";#N/A,#N/A,FALSE,"Lo";#N/A,#N/A,FALSE,"Mkt. Cap";#N/A,#N/A,FALSE,"Alpha"}</definedName>
    <definedName name="wrn.Lease_Deli." localSheetId="5" hidden="1">{#N/A,#N/A,FALSE,"COVER";#N/A,#N/A,FALSE,"Index";#N/A,#N/A,FALSE,"Non-Earning";#N/A,#N/A,FALSE,"Non-Earning-Recovery";#N/A,#N/A,FALSE,"Leasing_Equipo";#N/A,#N/A,FALSE,"Leasing_Auto";#N/A,#N/A,FALSE,"Leasing_Legal"}</definedName>
    <definedName name="wrn.Main._.Fields." localSheetId="5"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rch._.Financials." localSheetId="5" hidden="1">{"Statement of Income",#N/A,TRUE,"Mar99";"Balance Sheet",#N/A,TRUE,"Mar99"}</definedName>
    <definedName name="wrn.MARGIN." localSheetId="5" hidden="1">{#N/A,#N/A,TRUE,"MAR";#N/A,#N/A,TRUE,"MAR_2"}</definedName>
    <definedName name="wrn.Margins." localSheetId="5" hidden="1">{#N/A,#N/A,FALSE,"Margins - GrossR&amp;D";#N/A,#N/A,FALSE,"Margins - sg&amp;a";#N/A,#N/A,FALSE,"Margins - Oper-net"}</definedName>
    <definedName name="wrn.Mason._.Deliverables." localSheetId="5" hidden="1">{#N/A,#N/A,FALSE,"Data &amp; Key Results";#N/A,#N/A,FALSE,"Summary Template";#N/A,#N/A,FALSE,"Budget";#N/A,#N/A,FALSE,"Present Value Comparison";#N/A,#N/A,FALSE,"Cashflow";#N/A,#N/A,FALSE,"Income";#N/A,#N/A,FALSE,"Inputs"}</definedName>
    <definedName name="wrn.MDA._.Tables." localSheetId="5" hidden="1">{#N/A,#N/A,TRUE,"Sel Fn Data QTD";#N/A,#N/A,TRUE,"TABLE_1 SPREAD ANALYSIS";#N/A,#N/A,TRUE,"Tables 2 to 3 PL";#N/A,#N/A,TRUE,"Tables 4 and 5 ALLL";#N/A,#N/A,TRUE,"Tables 6 to 8 ALLL NPA";#N/A,#N/A,TRUE,"Table 9 to 10 - Balance Sheet";#N/A,#N/A,TRUE,"Table 11 to 12 - Equity"}</definedName>
    <definedName name="wrn.MDA._.TABLES._.10Q." localSheetId="5" hidden="1">{#N/A,#N/A,FALSE,"Table 1 QTD";#N/A,#N/A,FALSE,"Table 1 YTD";#N/A,#N/A,FALSE,"Tables 2 to 4 PL";#N/A,#N/A,FALSE,"Tables 5 to 9 ALLL";#N/A,#N/A,FALSE,"Table 10 to 13 - Balance Sheet"}</definedName>
    <definedName name="wrn.MDA_TABLES._.10K." localSheetId="5"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Q." localSheetId="5" hidden="1">{#N/A,#N/A,TRUE,"Sel Fn Data QTD";#N/A,#N/A,TRUE,"Table 1 YTD";#N/A,#N/A,TRUE,"Table 1 QTD";#N/A,#N/A,TRUE,"Tables 2 to 3 PL";#N/A,#N/A,TRUE,"Tables 4 and 5ALLL";#N/A,#N/A,TRUE,"Tables 6 to 8 ALLL ";#N/A,#N/A,TRUE,"Table 9 to 12 - Balance Sheet"}</definedName>
    <definedName name="wrn.MDA_TABLES._.10Q._.SEPT." localSheetId="5" hidden="1">{#N/A,#N/A,TRUE,"Sel Fn Data QTD";#N/A,#N/A,TRUE,"Table 1 YTD";#N/A,#N/A,TRUE,"Tables 2 to 4 PL";#N/A,#N/A,TRUE,"Tables 5 to 9 ALLL";#N/A,#N/A,TRUE,"Table 10 to 13 - Balance Sheet"}</definedName>
    <definedName name="wrn.Merger." localSheetId="5" hidden="1">{#N/A,#N/A,FALSE,"Overview";#N/A,#N/A,FALSE,"Summary";#N/A,#N/A,FALSE,"Unph Hist";#N/A,#N/A,FALSE,"Combination";#N/A,#N/A,FALSE,"IOC Proj Base";#N/A,#N/A,FALSE,"Bal";#N/A,#N/A,FALSE,"IOC Bal";#N/A,#N/A,FALSE,"IOC CF";#N/A,#N/A,FALSE,"UNPH Proj"}</definedName>
    <definedName name="wrn.MONTH_REPORT." localSheetId="5" hidden="1">{#N/A,#N/A,TRUE,"ALLL";#N/A,#N/A,TRUE,"DEL";#N/A,#N/A,TRUE,"Reserve Analysis";#N/A,#N/A,TRUE,"C_OFF HISTORY";#N/A,#N/A,TRUE,"ALLL_QTR";#N/A,#N/A,TRUE,"HEA_M";#N/A,#N/A,TRUE,"BL_DET";#N/A,#N/A,TRUE,"3YRS+";#N/A,#N/A,TRUE,"CONSTR_DET"}</definedName>
    <definedName name="wrn.MONTH_REPORT_BOD." localSheetId="5" hidden="1">{#N/A,#N/A,FALSE,"HEA_M";#N/A,#N/A,FALSE,"ALLL";#N/A,#N/A,FALSE,"DEL";#N/A,#N/A,FALSE,"Reserve Analysis";#N/A,#N/A,FALSE,"C_OFF HISTORY";#N/A,#N/A,FALSE,"ALLL_QTR"}</definedName>
    <definedName name="wrn.Month_Report_Mgmt." localSheetId="5" hidden="1">{#N/A,#N/A,FALSE,"HEA_M";#N/A,#N/A,FALSE,"ALLL";#N/A,#N/A,FALSE,"DEL";#N/A,#N/A,FALSE,"Reserve Analysis";#N/A,#N/A,FALSE,"C_OFF HISTORY";#N/A,#N/A,FALSE,"ALLL_QTR";#N/A,#N/A,FALSE,"RR Review";#N/A,#N/A,FALSE,"MORT. SS 1YRS+";#N/A,#N/A,FALSE,"MORT. DOUBFUL 1YEAR+";#N/A,#N/A,FALSE,"MORT. LOSS 1YEAR+";#N/A,#N/A,FALSE,"Watch List Report";#N/A,#N/A,FALSE,"CONSTR_DET"}</definedName>
    <definedName name="wrn.Mortgage." localSheetId="5" hidden="1">{#N/A,#N/A,FALSE,"COVER";#N/A,#N/A,FALSE,"Index";#N/A,#N/A,FALSE,"Non-Earning";#N/A,#N/A,FALSE,"Mortgage_Legal";#N/A,#N/A,FALSE,"Mortgages"}</definedName>
    <definedName name="wrn.Netbacks." localSheetId="5" hidden="1">{"Netbacks",#N/A,FALSE,"Netbacks"}</definedName>
    <definedName name="wrn.Oncology." localSheetId="5" hidden="1">{#N/A,#N/A,FALSE,"Onco";#N/A,#N/A,FALSE,"Taxol";#N/A,#N/A,FALSE,"UFT";#N/A,#N/A,FALSE,"Carb"}</definedName>
    <definedName name="wrn.OPERATIONS." localSheetId="5" hidden="1">{#N/A,#N/A,FALSE,"PL-FS";#N/A,#N/A,FALSE,"PL"}</definedName>
    <definedName name="wrn.ops._.costs." localSheetId="5" hidden="1">{"page1",#N/A,FALSE,"APCI Operations Detail  ";"page2",#N/A,FALSE,"APCI Operations Detail  ";"page3",#N/A,FALSE,"APCI Operations Detail  ";"page4",#N/A,FALSE,"APCI Operations Detail  "}</definedName>
    <definedName name="wrn.OTC._.Market._.Report." localSheetId="5" hidden="1">{#N/A,#N/A,FALSE,"Sales Graph";#N/A,#N/A,FALSE,"BUC Graph";#N/A,#N/A,FALSE,"P&amp;L - YTD"}</definedName>
    <definedName name="wrn.Other._.Pharm." localSheetId="5" hidden="1">{#N/A,#N/A,FALSE,"Other";#N/A,#N/A,FALSE,"Ace";#N/A,#N/A,FALSE,"Derm"}</definedName>
    <definedName name="wrn.p" localSheetId="5" hidden="1">{#N/A,#N/A,FALSE,"1";#N/A,#N/A,FALSE,"2";#N/A,#N/A,FALSE,"16 - 17";#N/A,#N/A,FALSE,"18 - 19";#N/A,#N/A,FALSE,"26";#N/A,#N/A,FALSE,"27";#N/A,#N/A,FALSE,"28"}</definedName>
    <definedName name="wrn.PARTNERS._.CAPITAL._.STMT." localSheetId="5" hidden="1">{"PARTNERS CAPITAL STMT",#N/A,FALSE,"Partners Capital"}</definedName>
    <definedName name="wrn.Pharm._.Market._.Report." localSheetId="5" hidden="1">{#N/A,#N/A,FALSE,"Sales Graph";#N/A,#N/A,FALSE,"PSBM";#N/A,#N/A,FALSE,"BUC Graph";#N/A,#N/A,FALSE,"P&amp;L - YTD"}</definedName>
    <definedName name="wrn.Pharmaceuticals." localSheetId="5"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LX." localSheetId="5" hidden="1">{"cred comp",#N/A,FALSE,"Comparable Credit Analysis";"IS",#N/A,FALSE,"IS";"Sensitivity",#N/A,FALSE,"Sensitivity";"BS",#N/A,FALSE,"BS";"Bond Summary",#N/A,FALSE,"B Summary";"AD",#N/A,FALSE,"Accretion";"NAV",#N/A,FALSE,"NAV";"SU",#N/A,FALSE,"S&amp;U";"acq. study",#N/A,FALSE,"Acq. Study";"F Charges",#N/A,FALSE,"Fixed Charges"}</definedName>
    <definedName name="wrn.ppp" localSheetId="5" hidden="1">{#N/A,#N/A,FALSE,"1";#N/A,#N/A,FALSE,"2";#N/A,#N/A,FALSE,"16 - 17";#N/A,#N/A,FALSE,"18 - 19";#N/A,#N/A,FALSE,"26";#N/A,#N/A,FALSE,"27";#N/A,#N/A,FALSE,"28"}</definedName>
    <definedName name="wrn.prin2._.all." localSheetId="5" hidden="1">{#N/A,#N/A,FALSE,"Pharm";#N/A,#N/A,FALSE,"WWCM"}</definedName>
    <definedName name="wrn.prin3" localSheetId="5" hidden="1">{#N/A,#N/A,FALSE,"Pharm";#N/A,#N/A,FALSE,"WWCM"}</definedName>
    <definedName name="wrn.print" localSheetId="5" hidden="1">{#N/A,#N/A,FALSE,"Pharm";#N/A,#N/A,FALSE,"WWCM"}</definedName>
    <definedName name="wrn.print." localSheetId="5" hidden="1">{#N/A,#N/A,FALSE,"Japan 2003";#N/A,#N/A,FALSE,"Sheet2"}</definedName>
    <definedName name="wrn.Print._.All." localSheetId="5" hidden="1">{"IS Years",#N/A,FALSE,"Income Statement";"IS Q96",#N/A,FALSE,"Income Statement";"IS Q97",#N/A,FALSE,"Income Statement";"Corporate",#N/A,FALSE,"Corporate Profile";"Netbacks",#N/A,FALSE,"Netbacks"}</definedName>
    <definedName name="wrn.PRINT._.ALL.2" localSheetId="5" hidden="1">{#N/A,#N/A,FALSE,"Pharm";#N/A,#N/A,FALSE,"WWCM"}</definedName>
    <definedName name="wrn.print._.all2" localSheetId="5" hidden="1">{#N/A,#N/A,FALSE,"Pharm";#N/A,#N/A,FALSE,"WWCM"}</definedName>
    <definedName name="wrn.print._.graphs." localSheetId="5" hidden="1">{"cap_structure",#N/A,FALSE,"Graph-Mkt Cap";"price",#N/A,FALSE,"Graph-Price";"ebit",#N/A,FALSE,"Graph-EBITDA";"ebitda",#N/A,FALSE,"Graph-EBITDA"}</definedName>
    <definedName name="wrn.Print._.PNL._.Download." localSheetId="5" hidden="1">{"PNLProjDL",#N/A,FALSE,"PROJCO";"PNLParDL",#N/A,FALSE,"Parent"}</definedName>
    <definedName name="wrn.print._.raw._.data._.entry." localSheetId="5" hidden="1">{"inputs raw data",#N/A,TRUE,"INPUT"}</definedName>
    <definedName name="wrn.print._.summary._.sheets." localSheetId="5" hidden="1">{"summary1",#N/A,TRUE,"Comps";"summary2",#N/A,TRUE,"Comps";"summary3",#N/A,TRUE,"Comps"}</definedName>
    <definedName name="wrn.print._all1." localSheetId="5" hidden="1">{#N/A,#N/A,FALSE,"Pharm";#N/A,#N/A,FALSE,"WWCM"}</definedName>
    <definedName name="wrn.Print_Buyer." localSheetId="5" hidden="1">{#N/A,"DR",FALSE,"increm pf";#N/A,"MAMSI",FALSE,"increm pf";#N/A,"MAXI",FALSE,"increm pf";#N/A,"PCAM",FALSE,"increm pf";#N/A,"PHSV",FALSE,"increm pf";#N/A,"SIE",FALSE,"increm pf"}</definedName>
    <definedName name="wrn.Print_Earnings_template." localSheetId="5" hidden="1">{"by_month",#N/A,TRUE,"template";"destec_month",#N/A,TRUE,"template";"by_quarter",#N/A,TRUE,"template";"destec_quarter",#N/A,TRUE,"template";"by_year",#N/A,TRUE,"template";"destec_annual",#N/A,TRUE,"template"}</definedName>
    <definedName name="wrn.Print_Target."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localSheetId="5" hidden="1">{"var_page",#N/A,FALSE,"template"}</definedName>
    <definedName name="wrn.print_variance." localSheetId="5" hidden="1">{"var_report",#N/A,FALSE,"template"}</definedName>
    <definedName name="wrn.Print_Variance_Page." localSheetId="5" hidden="1">{"variance_page",#N/A,FALSE,"template"}</definedName>
    <definedName name="wrn.print2" localSheetId="5" hidden="1">{#N/A,#N/A,FALSE,"Pharm";#N/A,#N/A,FALSE,"WWCM"}</definedName>
    <definedName name="wrn.PrintAll." localSheetId="5" hidden="1">{"PA1",#N/A,TRUE,"BORDMW";"pa2",#N/A,TRUE,"BORDMW";"PA3",#N/A,TRUE,"BORDMW";"PA4",#N/A,TRUE,"BORDMW"}</definedName>
    <definedName name="wrn.products" localSheetId="5" hidden="1">{#N/A,#N/A,FALSE,"1";#N/A,#N/A,FALSE,"2";#N/A,#N/A,FALSE,"16 - 17";#N/A,#N/A,FALSE,"18 - 19";#N/A,#N/A,FALSE,"26";#N/A,#N/A,FALSE,"27";#N/A,#N/A,FALSE,"28"}</definedName>
    <definedName name="wrn.Products." localSheetId="5" hidden="1">{#N/A,#N/A,FALSE,"1";#N/A,#N/A,FALSE,"2";#N/A,#N/A,FALSE,"16 - 17";#N/A,#N/A,FALSE,"18 - 19";#N/A,#N/A,FALSE,"26";#N/A,#N/A,FALSE,"27";#N/A,#N/A,FALSE,"28"}</definedName>
    <definedName name="wrn.Project._.Summary." localSheetId="5" hidden="1">{"Summary",#N/A,FALSE,"MICMULT";"Income Statement",#N/A,FALSE,"MICMULT";"Cash Flows",#N/A,FALSE,"MICMULT"}</definedName>
    <definedName name="wrn.pror" localSheetId="5" hidden="1">{#N/A,#N/A,FALSE,"Pharm";#N/A,#N/A,FALSE,"WWCM"}</definedName>
    <definedName name="wrn.qtrly._.PL._.summary._.FY01._.to._.FY03." localSheetId="5" hidden="1">{"qtrly summ-FY01",#N/A,FALSE,"P &amp; L";"qtrly summ-FY02",#N/A,FALSE,"P &amp; L";"qtrly summ-FY03",#N/A,FALSE,"P &amp; L"}</definedName>
    <definedName name="wrn.Ratios." localSheetId="5" hidden="1">{"Ratios",#N/A,FALSE,"Ratios"}</definedName>
    <definedName name="wrn.Recovery." localSheetId="5" hidden="1">{#N/A,#N/A,FALSE,"COVER";#N/A,#N/A,FALSE,"Index";#N/A,#N/A,FALSE,"Summ_Products_Rec.97-98";#N/A,#N/A,FALSE,"QTR_Comp.";#N/A,#N/A,FALSE,"Summ_Detail_Rec.97-98";#N/A,#N/A,FALSE,"Summ_Agencies_Rec.97-98"}</definedName>
    <definedName name="wrn.red_take." localSheetId="5" hidden="1">{"red_take_pg1",#N/A,FALSE,"reduced_take";"red_take_pg2",#N/A,FALSE,"reduced_take";"red_take_pg3",#N/A,FALSE,"reduced_take";"red_take_pg4",#N/A,FALSE,"reduced_take";"red_take_pg5",#N/A,FALSE,"reduced_take";"red_take_pg6",#N/A,FALSE,"reduced_take"}</definedName>
    <definedName name="wrn.REPORT." localSheetId="5" hidden="1">{#N/A,#N/A,FALSE,"COVER";#N/A,#N/A,FALSE,"RATIOS";#N/A,#N/A,FALSE,"LEVERAGE";#N/A,#N/A,FALSE,"TIER-1";#N/A,#N/A,FALSE,"RISK BASED ASSETS";#N/A,#N/A,FALSE,"TIER-2"}</definedName>
    <definedName name="wrn.Report1." localSheetId="5" hidden="1">{#N/A,#N/A,FALSE,"IS";#N/A,#N/A,FALSE,"BS";#N/A,#N/A,FALSE,"CF";#N/A,#N/A,FALSE,"CE";#N/A,#N/A,FALSE,"Depr";#N/A,#N/A,FALSE,"APAL"}</definedName>
    <definedName name="wrn.Roll._.Up._.Fields." localSheetId="5" hidden="1">{"Total",#N/A,FALSE,"Six Fields";"PDP",#N/A,FALSE,"Six Fields";"PNP",#N/A,FALSE,"Six Fields";"PUD",#N/A,FALSE,"Six Fields";"Prob",#N/A,FALSE,"Six Fields"}</definedName>
    <definedName name="wrn.sales." localSheetId="5" hidden="1">{"sales",#N/A,FALSE,"Sales";"sales existing",#N/A,FALSE,"Sales";"sales rd1",#N/A,FALSE,"Sales";"sales rd2",#N/A,FALSE,"Sales"}</definedName>
    <definedName name="wrn.SemiCap." localSheetId="5" hidden="1">{#N/A,#N/A,FALSE,"from high";#N/A,#N/A,FALSE,"from low";#N/A,#N/A,FALSE,"Market Cap";#N/A,#N/A,FALSE,"Alpha"}</definedName>
    <definedName name="wrn.Set." localSheetId="5" hidden="1">{#N/A,#N/A,FALSE,"High";#N/A,#N/A,FALSE,"Low";#N/A,#N/A,FALSE,"MarketCap";#N/A,#N/A,FALSE,"Alpha"}</definedName>
    <definedName name="wrn.SJE_NBR_1_Job." localSheetId="5" hidden="1">{"SJE_#1A",#N/A,FALSE,"SJE1A";"Payroll_Summary_Report",#N/A,FALSE,"Summary";"SJE_#1B",#N/A,FALSE,"SJE1B";"WC_Grouping",#N/A,FALSE,"WC Payroll"}</definedName>
    <definedName name="wrn.SJE11_Print_Job." localSheetId="5" hidden="1">{"SJE #11",#N/A,FALSE,"Sheet1"}</definedName>
    <definedName name="wrn.SJE12_PRINT_JOB." localSheetId="5" hidden="1">{"SJE#12",#N/A,FALSE,"Sheet1"}</definedName>
    <definedName name="wrn.SJE2_PRINTJOB." localSheetId="5" hidden="1">{"TAX_CALCULATION",#N/A,FALSE,"Accrual Calc";"SJE#2A",#N/A,FALSE,"Accrual GJE";"SJE#2B",#N/A,FALSE,"Reversal GJE"}</definedName>
    <definedName name="wrn.sje22." localSheetId="5" hidden="1">{"sje #22",#N/A,FALSE,"SJE #22";"calc",#N/A,FALSE,"CALC"}</definedName>
    <definedName name="wrn.SJE3_Print_Job." localSheetId="5" hidden="1">{"Accrual_Calc",#N/A,FALSE,"JE DETAIL";"SJE#3A",#N/A,FALSE,"JE DETAIL";"SJE#3B",#N/A,FALSE,"JE DETAIL"}</definedName>
    <definedName name="wrn.SJE4_PRINT_JOB." localSheetId="5" hidden="1">{"sje#4",#N/A,FALSE,"Sheet1"}</definedName>
    <definedName name="wrn.SJE4A_PRINT_JOB." localSheetId="5" hidden="1">{"SJE#4A",#N/A,FALSE,"Sheet1"}</definedName>
    <definedName name="wrn.SJE5_PRINT_JOB." localSheetId="5" hidden="1">{"SJE#5",#N/A,FALSE,"Sheet1"}</definedName>
    <definedName name="wrn.Staffing." localSheetId="5"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ND_ALONE_BOTH." localSheetId="5" hidden="1">{"FCB_ALL",#N/A,FALSE,"FCB";"GREY_ALL",#N/A,FALSE,"GREY"}</definedName>
    <definedName name="wrn.STMT._.OF._.CASH._.FLOWS." localSheetId="5" hidden="1">{"STMT OF CASH FLOWS",#N/A,FALSE,"Cash Flows Indirect"}</definedName>
    <definedName name="wrn.Structure." localSheetId="5" hidden="1">{#N/A,#N/A,FALSE,"Structure";#N/A,#N/A,FALSE,"Proj-Cal";#N/A,#N/A,FALSE,"Market"}</definedName>
    <definedName name="wrn.Subject._.Worksheet." localSheetId="5" hidden="1">{"Balance Sheets",#N/A,FALSE,"Subject";"Income Statements - As Reported",#N/A,FALSE,"Subject";"Income Statements - Adjusted",#N/A,FALSE,"Subject";"Ratios",#N/A,FALSE,"Subject";"Representative Earnings",#N/A,FALSE,"Subject"}</definedName>
    <definedName name="wrn.Summary." localSheetId="5" hidden="1">{"Sum1",#N/A,FALSE,"Reserve Report";"Sum2",#N/A,FALSE,"Reserve Report";"Sum3",#N/A,FALSE,"Reserve Report";"Sum4",#N/A,FALSE,"Reserve Report"}</definedName>
    <definedName name="wrn.SUPP_SCHD." localSheetId="5" hidden="1">{#N/A,#N/A,TRUE,"A";#N/A,#N/A,TRUE,"B";#N/A,#N/A,TRUE,"C";#N/A,#N/A,TRUE,"D";#N/A,#N/A,TRUE,"E"}</definedName>
    <definedName name="wrn.Support." localSheetId="5" hidden="1">{#N/A,#N/A,FALSE,"TRIAL INPUT";#N/A,#N/A,FALSE,"AVG INPUT COPY";#N/A,#N/A,FALSE,"INVESTMENTS_INPUT"}</definedName>
    <definedName name="wrn.Tables._.and._.Support." localSheetId="5" hidden="1">{#N/A,#N/A,FALSE,"TABLE_1 YTD";#N/A,#N/A,FALSE,"TABLE_1A QTD";#N/A,#N/A,FALSE,"NORMAL_SPREAD_QTD";#N/A,#N/A,FALSE,"NORMAL_SPREAD_YTD";#N/A,#N/A,FALSE,"TAX_EQV";#N/A,#N/A,FALSE,"TAX EQUIV_INPUT";#N/A,#N/A,FALSE,"NET FROM FER";#N/A,#N/A,FALSE,"COVER"}</definedName>
    <definedName name="wrn.TB._.ALL._.ACCTS." localSheetId="5" hidden="1">{"BALANCE SHEET ACCTS",#N/A,TRUE,"Working Trial Balance";"INCOME STMT ACCTS",#N/A,TRUE,"Working Trial Balance"}</definedName>
    <definedName name="wrn.TB._.BALANCE._.SHEET." localSheetId="5" hidden="1">{"BALANCE SHEET ACCTS",#N/A,FALSE,"Working Trial Balance"}</definedName>
    <definedName name="wrn.TB._.EXPLANATIONS." localSheetId="5" hidden="1">{"EXPLANATIONS",#N/A,FALSE,"Working Trial Balance"}</definedName>
    <definedName name="wrn.TB._.INCOME._.STMT." localSheetId="5" hidden="1">{"INCOME STMT ACCTS",#N/A,FALSE,"Working Trial Balance"}</definedName>
    <definedName name="wrn.test1." localSheetId="5" hidden="1">{"Income Statement",#N/A,FALSE,"CFMODEL";"Balance Sheet",#N/A,FALSE,"CFMODEL"}</definedName>
    <definedName name="wrn.test2." localSheetId="5" hidden="1">{"SourcesUses",#N/A,TRUE,"CFMODEL";"TransOverview",#N/A,TRUE,"CFMODEL"}</definedName>
    <definedName name="wrn.test3." localSheetId="5" hidden="1">{"SourcesUses",#N/A,TRUE,#N/A;"TransOverview",#N/A,TRUE,"CFMODEL"}</definedName>
    <definedName name="wrn.test4." localSheetId="5" hidden="1">{"SourcesUses",#N/A,TRUE,"FundsFlow";"TransOverview",#N/A,TRUE,"FundsFlow"}</definedName>
    <definedName name="wrn.TheWholeEnchilada." localSheetId="5" hidden="1">{"CSheet",#N/A,FALSE,"C";"SmCap",#N/A,FALSE,"VAL1";"GulfCoast",#N/A,FALSE,"VAL1";"nav",#N/A,FALSE,"NAV";"Summary",#N/A,FALSE,"NAV"}</definedName>
    <definedName name="wrn.Total._.Business." localSheetId="5"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localSheetId="5" hidden="1">{#N/A,#N/A,FALSE,"Sales Graph";#N/A,#N/A,FALSE,"BUC Graph";#N/A,#N/A,FALSE,"P&amp;L - YTD"}</definedName>
    <definedName name="wrn.Total._.Proved." localSheetId="5" hidden="1">{"Total",#N/A,FALSE,"Total Proved";"PDP",#N/A,FALSE,"Total Proved";"PNP",#N/A,FALSE,"Total Proved";"PUD",#N/A,FALSE,"Total Proved"}</definedName>
    <definedName name="wrn.Total._.Proved._.plus._.Probable." localSheetId="5" hidden="1">{"Total",#N/A,FALSE,"Total Proved + Probable";"PDP",#N/A,FALSE,"Total Proved + Probable";"PNP",#N/A,FALSE,"Total Proved + Probable";"PUD",#N/A,FALSE,"Total Proved + Probable";"Prob",#N/A,FALSE,"Total Proved + Probable"}</definedName>
    <definedName name="wrn.Wacc." localSheetId="5" hidden="1">{"Area1",#N/A,FALSE,"OREWACC";"Area2",#N/A,FALSE,"OREWACC"}</definedName>
    <definedName name="wrn2.All." localSheetId="5"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a.prod" localSheetId="5" hidden="1">{#N/A,#N/A,FALSE,"1";#N/A,#N/A,FALSE,"2";#N/A,#N/A,FALSE,"16 - 17";#N/A,#N/A,FALSE,"18 - 19";#N/A,#N/A,FALSE,"26";#N/A,#N/A,FALSE,"27";#N/A,#N/A,FALSE,"28"}</definedName>
    <definedName name="WRR" localSheetId="5" hidden="1">{#N/A,#N/A,FALSE,"Pharm";#N/A,#N/A,FALSE,"WWCM"}</definedName>
    <definedName name="wrrrrr" localSheetId="5" hidden="1">{#N/A,#N/A,FALSE,"REPORT"}</definedName>
    <definedName name="wv" localSheetId="5" hidden="1">{#N/A,#N/A,FALSE,"Pharm";#N/A,#N/A,FALSE,"WWCM"}</definedName>
    <definedName name="wvu.inputs._.raw._.data."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localSheetId="5" hidden="1">{#N/A,#N/A,FALSE,"Pharm";#N/A,#N/A,FALSE,"WWCM"}</definedName>
    <definedName name="www" localSheetId="5" hidden="1">{#N/A,#N/A,TRUE,"BUD VS ACT AUST 96";#N/A,#N/A,TRUE,"96 COMP P&amp;L-AUST";#N/A,#N/A,TRUE,"COMP BS-AUSTRALIA";#N/A,#N/A,TRUE,"B/S - AUSTR."}</definedName>
    <definedName name="wwww" localSheetId="5" hidden="1">{#N/A,#N/A,TRUE,"BUD VS ACT AUST 96";#N/A,#N/A,TRUE,"96 COMP P&amp;L-AUST";#N/A,#N/A,TRUE,"COMP BS-AUSTRALIA";#N/A,#N/A,TRUE,"B/S - AUSTR."}</definedName>
    <definedName name="wx" localSheetId="5" hidden="1">{#N/A,#N/A,FALSE,"Pharm";#N/A,#N/A,FALSE,"WWCM"}</definedName>
    <definedName name="x" localSheetId="5" hidden="1">#REF!</definedName>
    <definedName name="xc" localSheetId="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v" localSheetId="5" hidden="1">{#N/A,#N/A,FALSE,"Pharm";#N/A,#N/A,FALSE,"WWCM"}</definedName>
    <definedName name="xjey1" localSheetId="5" hidden="1">#REF!</definedName>
    <definedName name="xsort2" localSheetId="5" hidden="1">#REF!</definedName>
    <definedName name="xx" localSheetId="5" hidden="1">{#N/A,#N/A,FALSE,"REPORT"}</definedName>
    <definedName name="xxx" localSheetId="5" hidden="1">{#N/A,#N/A,TRUE,"BUD VS ACT AUST 96";#N/A,#N/A,TRUE,"96 COMP P&amp;L-AUST";#N/A,#N/A,TRUE,"COMP BS-AUSTRALIA";#N/A,#N/A,TRUE,"B/S - AUSTR."}</definedName>
    <definedName name="xxxxx" localSheetId="5" hidden="1">{#N/A,#N/A,FALSE,"Pharm";#N/A,#N/A,FALSE,"WWCM"}</definedName>
    <definedName name="xyz" localSheetId="5" hidden="1">{#N/A,#N/A,TRUE,"Total";#N/A,#N/A,TRUE,"U.S. Devl.";#N/A,#N/A,TRUE,"U.S. Headcount"}</definedName>
    <definedName name="y" localSheetId="5" hidden="1">{#N/A,#N/A,FALSE,"Pharm";#N/A,#N/A,FALSE,"WWCM"}</definedName>
    <definedName name="yes" localSheetId="5" hidden="1">{#N/A,#N/A,FALSE,"Admin";#N/A,#N/A,FALSE,"Other"}</definedName>
    <definedName name="YTY" localSheetId="5" hidden="1">{#N/A,#N/A,FALSE,"TABLE_1 YTD";#N/A,#N/A,FALSE,"TABLE_1A QTD";#N/A,#N/A,FALSE,"NORMAL_SPREAD_QTD";#N/A,#N/A,FALSE,"NORMAL_SPREAD_YTD";#N/A,#N/A,FALSE,"TAX_EQV";#N/A,#N/A,FALSE,"TAX EQUIV_INPUT";#N/A,#N/A,FALSE,"NET FROM FER";#N/A,#N/A,FALSE,"COVER"}</definedName>
    <definedName name="yy" localSheetId="5" hidden="1">{#N/A,#N/A,FALSE,"COVER";#N/A,#N/A,FALSE,"Index";#N/A,#N/A,FALSE,"Summ_Products_Rec.97-98";#N/A,#N/A,FALSE,"QTR_Comp.";#N/A,#N/A,FALSE,"Summ_Detail_Rec.97-98";#N/A,#N/A,FALSE,"Summ_Agencies_Rec.97-98"}</definedName>
    <definedName name="yyy" localSheetId="5" hidden="1">{#N/A,#N/A,FALSE,"Other";#N/A,#N/A,FALSE,"Ace";#N/A,#N/A,FALSE,"Derm"}</definedName>
    <definedName name="z" localSheetId="5" hidden="1">{"CSheet",#N/A,FALSE,"C";"SmCap",#N/A,FALSE,"VAL1";"GulfCoast",#N/A,FALSE,"VAL1";"nav",#N/A,FALSE,"NAV";"Summary",#N/A,FALSE,"NAV"}</definedName>
    <definedName name="Z_24BF9755_66DA_11D4_A31E_00C0F0154575_.wvu.PrintArea" localSheetId="5" hidden="1">#REF!</definedName>
    <definedName name="Z_24BF9755_66DA_11D4_A31E_00C0F0154575_.wvu.PrintTitles" localSheetId="5" hidden="1">#REF!</definedName>
    <definedName name="Z_6DFA7DCF_3C08_11D1_BDBE_0020AF42250B_.wvu.PrintArea" localSheetId="5" hidden="1">#REF!</definedName>
    <definedName name="Z_6DFA7DCF_3C08_11D1_BDBE_0020AF42250B_.wvu.PrintTitles" localSheetId="5" hidden="1">#REF!</definedName>
    <definedName name="Z_6DFA7DD9_3C08_11D1_BDBE_0020AF42250B_.wvu.PrintTitles" localSheetId="5" hidden="1">#REF!</definedName>
    <definedName name="Z_6DFA7DDA_3C08_11D1_BDBE_0020AF42250B_.wvu.PrintArea" localSheetId="5" hidden="1">#REF!</definedName>
    <definedName name="Z_6DFA7DDA_3C08_11D1_BDBE_0020AF42250B_.wvu.PrintTitles" localSheetId="5" hidden="1">#REF!</definedName>
    <definedName name="Z_6DFA7DDC_3C08_11D1_BDBE_0020AF42250B_.wvu.PrintArea" localSheetId="5" hidden="1">#REF!</definedName>
    <definedName name="Z_6DFA7DDC_3C08_11D1_BDBE_0020AF42250B_.wvu.PrintTitles" localSheetId="5" hidden="1">#REF!</definedName>
    <definedName name="Z_6DFA7DDD_3C08_11D1_BDBE_0020AF42250B_.wvu.PrintArea" localSheetId="5" hidden="1">#REF!</definedName>
    <definedName name="Z_6DFA7DDD_3C08_11D1_BDBE_0020AF42250B_.wvu.PrintTitles" localSheetId="5" hidden="1">#REF!</definedName>
    <definedName name="Z_6DFA7DDE_3C08_11D1_BDBE_0020AF42250B_.wvu.PrintArea" localSheetId="5" hidden="1">#REF!</definedName>
    <definedName name="Z_6DFA7DDE_3C08_11D1_BDBE_0020AF42250B_.wvu.PrintTitles" localSheetId="5" hidden="1">#REF!</definedName>
    <definedName name="Z_6DFA7DDF_3C08_11D1_BDBE_0020AF42250B_.wvu.PrintArea" localSheetId="5" hidden="1">#REF!</definedName>
    <definedName name="Z_6DFA7DDF_3C08_11D1_BDBE_0020AF42250B_.wvu.PrintTitles" localSheetId="5" hidden="1">#REF!</definedName>
    <definedName name="Z_6DFA7DE0_3C08_11D1_BDBE_0020AF42250B_.wvu.PrintArea" localSheetId="5" hidden="1">#REF!</definedName>
    <definedName name="Z_6DFA7DE0_3C08_11D1_BDBE_0020AF42250B_.wvu.PrintTitles" localSheetId="5" hidden="1">#REF!</definedName>
    <definedName name="Z_6DFA7DE5_3C08_11D1_BDBE_0020AF42250B_.wvu.PrintTitles" localSheetId="5" hidden="1">#REF!</definedName>
    <definedName name="Z_6DFA7DE6_3C08_11D1_BDBE_0020AF42250B_.wvu.PrintArea" localSheetId="5" hidden="1">#REF!</definedName>
    <definedName name="Z_6DFA7DE6_3C08_11D1_BDBE_0020AF42250B_.wvu.PrintTitles" localSheetId="5" hidden="1">#REF!</definedName>
    <definedName name="Z_702CE201_67EF_11D2_8E81_00104BCAECA1_.wvu.PrintTitles" localSheetId="5" hidden="1">#REF!,#REF!</definedName>
    <definedName name="Z_870DA93B_C7EC_11D1_935A_00A0C95F1362_.wvu.PrintArea" localSheetId="5" hidden="1">#REF!</definedName>
    <definedName name="Z_995DB91B_DC87_11D2_BCA9_00C04F8BBE86_.wvu.PrintArea" localSheetId="5" hidden="1">#REF!</definedName>
    <definedName name="Z_995DB91E_DC87_11D2_BCA9_00C04F8BBE86_.wvu.PrintArea" localSheetId="5" hidden="1">#REF!</definedName>
    <definedName name="Z_995DB91F_DC87_11D2_BCA9_00C04F8BBE86_.wvu.PrintArea" localSheetId="5" hidden="1">#REF!</definedName>
    <definedName name="Z_B21BDB45_3C17_11D2_913A_00A024D72BFF_.wvu.PrintArea" localSheetId="5" hidden="1">#REF!</definedName>
    <definedName name="Z_B21BDB45_3C17_11D2_913A_00A024D72BFF_.wvu.PrintTitles" localSheetId="5" hidden="1">#REF!,#REF!</definedName>
    <definedName name="Z_B21BDB46_3C17_11D2_913A_00A024D72BFF_.wvu.PrintArea" localSheetId="5" hidden="1">#REF!</definedName>
    <definedName name="Z_B21BDB46_3C17_11D2_913A_00A024D72BFF_.wvu.PrintTitles" localSheetId="5" hidden="1">#REF!,#REF!</definedName>
    <definedName name="Z_B21BDBC3_3C17_11D2_913A_00A024D72BFF_.wvu.PrintArea" localSheetId="5" hidden="1">#REF!</definedName>
    <definedName name="Z_B21BDBC3_3C17_11D2_913A_00A024D72BFF_.wvu.PrintTitles" localSheetId="5" hidden="1">#REF!,#REF!</definedName>
    <definedName name="Z_B21BDBC4_3C17_11D2_913A_00A024D72BFF_.wvu.PrintArea" localSheetId="5" hidden="1">#REF!</definedName>
    <definedName name="Z_B21BDBC4_3C17_11D2_913A_00A024D72BFF_.wvu.PrintTitles" localSheetId="5" hidden="1">#REF!,#REF!</definedName>
    <definedName name="Z_C229C740_74EF_11D3_8C05_00105AA43A7F_.wvu.Cols" localSheetId="5" hidden="1">#REF!</definedName>
    <definedName name="Z_C229C740_74EF_11D3_8C05_00105AA43A7F_.wvu.PrintArea" localSheetId="5" hidden="1">#REF!</definedName>
    <definedName name="Z_C229C740_74EF_11D3_8C05_00105AA43A7F_.wvu.PrintTitles" localSheetId="5" hidden="1">#REF!,#REF!</definedName>
    <definedName name="Z_C229C740_74EF_11D3_8C05_00105AA43A7F_.wvu.Rows" localSheetId="5" hidden="1">#REF!,#REF!,#REF!,#REF!,#REF!,#REF!,#REF!,#REF!,#REF!,#REF!,#REF!,#REF!,#REF!,#REF!,#REF!,#REF!,#REF!,#REF!,#REF!,#REF!,#REF!,#REF!,#REF!,#REF!,#REF!,#REF!,#REF!,#REF!,#REF!,#REF!,#REF!,#REF!,#REF!,#REF!,#REF!,#REF!,#REF!,#REF!,#REF!,#REF!,#REF!,#REF!,#REF!,#REF!,#REF!,#REF!,#REF!,#REF!,#REF!,#REF!,#REF!,#REF!,#REF!,#REF!</definedName>
    <definedName name="zhu" localSheetId="5" hidden="1">{#N/A,#N/A,FALSE,"REPORT"}</definedName>
    <definedName name="zhutr" localSheetId="5" hidden="1">{#N/A,#N/A,FALSE,"REPORT"}</definedName>
    <definedName name="ZSZ" localSheetId="5"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y" localSheetId="5" hidden="1">{#N/A,#N/A,TRUE,"BUD VS ACT AUST 96";#N/A,#N/A,TRUE,"96 COMP P&amp;L-AUST";#N/A,#N/A,TRUE,"COMP BS-AUSTRALIA";#N/A,#N/A,TRUE,"B/S - AUSTR."}</definedName>
    <definedName name="zza4pg" localSheetId="5" hidden="1">{#N/A,#N/A,FALSE,"REPORT"}</definedName>
    <definedName name="zzee" localSheetId="5" hidden="1">{#N/A,#N/A,FALSE,"Pharm";#N/A,#N/A,FALSE,"WWCM"}</definedName>
    <definedName name="zzzz" localSheetId="5" hidden="1">{#N/A,#N/A,FALSE,"COMP BS-FRANCE";#N/A,#N/A,FALSE,"96 COMP P&amp;L-FRANCE";#N/A,#N/A,FALSE,"BUD VS ACT FRAN 96";#N/A,#N/A,FALSE,"B/S - FRANCE"}</definedName>
    <definedName name="zzzzz" localSheetId="5" hidden="1">{#N/A,#N/A,FALSE,"REPORT"}</definedName>
    <definedName name="고" localSheetId="5" hidden="1">{#N/A,#N/A,FALSE,"REPORT"}</definedName>
    <definedName name="ㄶㅇ노ㅗㄶ호" localSheetId="5" hidden="1">{#N/A,#N/A,FALSE,"REPORT"}</definedName>
    <definedName name="미애" localSheetId="5" hidden="1">{#N/A,#N/A,FALSE,"REPORT"}</definedName>
    <definedName name="_xlnm.Print_Area" localSheetId="5">'VI. Comparables (Description)'!$B$5:$E$46</definedName>
    <definedName name="__Qtr4" localSheetId="7">#REF!</definedName>
    <definedName name="_bdm.CAAD75B892744DA7A396804116BF19C2.edm" localSheetId="7" hidden="1">#REF!</definedName>
    <definedName name="_bdm.FB8D8AB244B64BB9B4F5F5A4C5205085.edm" localSheetId="7" hidden="1">#REF!</definedName>
    <definedName name="_ex1" localSheetId="7">#REF!</definedName>
    <definedName name="_Key2" localSheetId="7" hidden="1">#REF!</definedName>
    <definedName name="_nt97" localSheetId="7">#REF!</definedName>
    <definedName name="_nt98" localSheetId="7">#REF!</definedName>
    <definedName name="_php98" localSheetId="7">#REF!</definedName>
    <definedName name="_Regression_Out" localSheetId="7" hidden="1">#REF!</definedName>
    <definedName name="_Regression_X" localSheetId="7" hidden="1">#REF!</definedName>
    <definedName name="_Regression_Y" localSheetId="7" hidden="1">#REF!</definedName>
    <definedName name="_rm98" localSheetId="7">#REF!</definedName>
    <definedName name="_sgd98" localSheetId="7">#REF!</definedName>
    <definedName name="_Table2_Out" localSheetId="7" hidden="1">#REF!</definedName>
    <definedName name="_xlcn.WorksheetConnection_CapexA19F431" localSheetId="7" hidden="1">#REF!</definedName>
    <definedName name="aaaaaaa" localSheetId="7" hidden="1">{"barlup",#N/A,FALSE,"evabnk97";"gillespey",#N/A,FALSE,"evabnk97";"koon",#N/A,FALSE,"evabnk97";"schreur",#N/A,FALSE,"evabnk97";"stone",#N/A,FALSE,"evabnk97";"wichmann",#N/A,FALSE,"evabnk97";"wright",#N/A,FALSE,"evabnk97"}</definedName>
    <definedName name="absfghbtg" localSheetId="7" hidden="1">#REF!,#REF!,#REF!,#REF!,#REF!,#REF!,#REF!,#REF!,#REF!,#REF!,#REF!,#REF!,#REF!,#REF!,#REF!,#REF!,#REF!,#REF!,#REF!,#REF!,#REF!,#REF!,#REF!,#REF!,#REF!,#REF!,#REF!,#REF!,#REF!,#REF!,#REF!,#REF!,#REF!,#REF!,#REF!,#REF!,#REF!,#REF!,#REF!,#REF!,#REF!,#REF!,#REF!,#REF!,#REF!,#REF!,#REF!,#REF!,#REF!,#REF!,#REF!,#REF!,#REF!,#REF!</definedName>
    <definedName name="adasa" localSheetId="7" hidden="1">{"'Sheet1'!$A$1:$J$121"}</definedName>
    <definedName name="ADCurr" localSheetId="7">#REF!</definedName>
    <definedName name="adfadf" localSheetId="7" hidden="1">{"'Sheet1'!$A$1:$J$121"}</definedName>
    <definedName name="adhad" localSheetId="7" hidden="1">{"'Sheet1'!$A$1:$J$121"}</definedName>
    <definedName name="allchanges1" localSheetId="7">#REF!</definedName>
    <definedName name="allchanges2" localSheetId="7">#REF!</definedName>
    <definedName name="alloc" localSheetId="7">#REF!</definedName>
    <definedName name="asdfadsf" localSheetId="7" hidden="1">{"'Sheet1'!$A$1:$J$121"}</definedName>
    <definedName name="asfasdf" localSheetId="7" hidden="1">#REF!</definedName>
    <definedName name="b" localSheetId="7" hidden="1">{"barlup",#N/A,FALSE,"evabnk97";"gillespey",#N/A,FALSE,"evabnk97";"koon",#N/A,FALSE,"evabnk97";"schreur",#N/A,FALSE,"evabnk97";"stone",#N/A,FALSE,"evabnk97";"wichmann",#N/A,FALSE,"evabnk97";"wright",#N/A,FALSE,"evabnk97"}</definedName>
    <definedName name="Beg_Bal" localSheetId="7">#REF!</definedName>
    <definedName name="Beginning_Balance" localSheetId="7">-FV(Interest_Rate/12,'LP Report'!Payment_Number-1,-'LP Report'!Monthly_Payment,'LP Report'!Loan_Amount)</definedName>
    <definedName name="BLPH1" localSheetId="7" hidden="1">#REF!</definedName>
    <definedName name="BLPH2" localSheetId="7" hidden="1">#REF!</definedName>
    <definedName name="BLPH3" localSheetId="7" hidden="1">#REF!</definedName>
    <definedName name="BLPH4" localSheetId="7" hidden="1">#REF!</definedName>
    <definedName name="BS" localSheetId="7">#REF!</definedName>
    <definedName name="cancel" localSheetId="7" hidden="1">{"PARTNERS CAPITAL STMT",#N/A,FALSE,"Partners Capital"}</definedName>
    <definedName name="cancel2" localSheetId="7" hidden="1">{"PNLProjDL",#N/A,FALSE,"PROJCO";"PNLParDL",#N/A,FALSE,"Parent"}</definedName>
    <definedName name="cancel3" localSheetId="7" hidden="1">{"Summary",#N/A,FALSE,"MICMULT";"Income Statement",#N/A,FALSE,"MICMULT";"Cash Flows",#N/A,FALSE,"MICMULT"}</definedName>
    <definedName name="CapCase" localSheetId="7">#REF!</definedName>
    <definedName name="CapContCurr" localSheetId="7">#REF!</definedName>
    <definedName name="CapContPrior" localSheetId="7">#REF!</definedName>
    <definedName name="cash" localSheetId="7">#REF!</definedName>
    <definedName name="cash2" localSheetId="7">#REF!</definedName>
    <definedName name="CashBeg" localSheetId="7">#REF!</definedName>
    <definedName name="CashEnd" localSheetId="7">#REF!</definedName>
    <definedName name="cmmt" localSheetId="7">#REF!</definedName>
    <definedName name="cmmts" localSheetId="7">#REF!</definedName>
    <definedName name="compound_period" localSheetId="7">INDEX({2,12,4,1},MATCH(#REF!,'LP Report'!compound_periods,0))</definedName>
    <definedName name="compound_periods" localSheetId="7">{"Semi-Annually";"Monthly";"Quarterly";"Annually"}</definedName>
    <definedName name="dadfa" localSheetId="7"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fa" localSheetId="7"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ta" localSheetId="7">#REF!</definedName>
    <definedName name="ddd" localSheetId="7" hidden="1">{"'ATP'!$E$6"}</definedName>
    <definedName name="ddd_1" localSheetId="7" hidden="1">{"'ATP'!$E$6"}</definedName>
    <definedName name="ddd_11" localSheetId="7" hidden="1">{"'ATP'!$E$6"}</definedName>
    <definedName name="dddd" localSheetId="7" hidden="1">{"'ATP'!$E$6"}</definedName>
    <definedName name="delete" localSheetId="7" hidden="1">{"STMT OF CASH FLOWS",#N/A,FALSE,"Cash Flows Indirect"}</definedName>
    <definedName name="delete2" localSheetId="7" hidden="1">{"BALANCE SHEET ACCTS",#N/A,TRUE,"Working Trial Balance";"INCOME STMT ACCTS",#N/A,TRUE,"Working Trial Balance"}</definedName>
    <definedName name="Depr_Method" localSheetId="7">#REF!</definedName>
    <definedName name="dfasdf" localSheetId="7" hidden="1">#REF!</definedName>
    <definedName name="dfsafd" localSheetId="7"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7"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localSheetId="7"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e" localSheetId="7">#REF!</definedName>
    <definedName name="elo" localSheetId="7">#REF!</definedName>
    <definedName name="eloCS" localSheetId="7">#REF!</definedName>
    <definedName name="eloFMV" localSheetId="7">#REF!</definedName>
    <definedName name="eloNR" localSheetId="7">#REF!</definedName>
    <definedName name="eloPref" localSheetId="7">#REF!</definedName>
    <definedName name="eloWarr" localSheetId="7">#REF!</definedName>
    <definedName name="Extra_Pay" localSheetId="7">#REF!</definedName>
    <definedName name="extra_payment_interval" localSheetId="7">#REF!</definedName>
    <definedName name="fees" localSheetId="7">#REF!</definedName>
    <definedName name="fpdate" localSheetId="7">#REF!</definedName>
    <definedName name="frequency" localSheetId="7">{"Annually";"Semi-Annually";"Quarterly";"Bi-Monthly";"Monthly";"Semi-Monthly";"Bi-Weekly";"Weekly"}</definedName>
    <definedName name="fsdsfafd" localSheetId="7" hidden="1">{"CSheet",#N/A,FALSE,"C";"SmCap",#N/A,FALSE,"VAL1";"GulfCoast",#N/A,FALSE,"VAL1";"nav",#N/A,FALSE,"NAV";"Summary",#N/A,FALSE,"NAV"}</definedName>
    <definedName name="fuelco_wrn.test1." localSheetId="7" hidden="1">{"Income Statement",#N/A,FALSE,"CFMODEL";"Balance Sheet",#N/A,FALSE,"CFMODEL"}</definedName>
    <definedName name="fuelco_wrn.test2." localSheetId="7" hidden="1">{"SourcesUses",#N/A,TRUE,"CFMODEL";"TransOverview",#N/A,TRUE,"CFMODEL"}</definedName>
    <definedName name="fuelco_wrn.test3." localSheetId="7" hidden="1">{"SourcesUses",#N/A,TRUE,#N/A;"TransOverview",#N/A,TRUE,"CFMODEL"}</definedName>
    <definedName name="fuelco_wrn.test4." localSheetId="7" hidden="1">{"SourcesUses",#N/A,TRUE,"FundsFlow";"TransOverview",#N/A,TRUE,"FundsFlow"}</definedName>
    <definedName name="gilb.wrn.test2." localSheetId="7" hidden="1">{"SourcesUses",#N/A,TRUE,"CFMODEL";"TransOverview",#N/A,TRUE,"CFMODEL"}</definedName>
    <definedName name="gilb.wrn.test3." localSheetId="7" hidden="1">{"SourcesUses",#N/A,TRUE,#N/A;"TransOverview",#N/A,TRUE,"CFMODEL"}</definedName>
    <definedName name="gilb.wrn.test4." localSheetId="7" hidden="1">{"SourcesUses",#N/A,TRUE,"FundsFlow";"TransOverview",#N/A,TRUE,"FundsFlow"}</definedName>
    <definedName name="gilb_wrn.test1" localSheetId="7" hidden="1">{"Income Statement",#N/A,FALSE,"CFMODEL";"Balance Sheet",#N/A,FALSE,"CFMODEL"}</definedName>
    <definedName name="Header" localSheetId="7">#REF!</definedName>
    <definedName name="HTML_Control" localSheetId="7" hidden="1">{"'ATP'!$E$6"}</definedName>
    <definedName name="HTML_Control_1" localSheetId="7" hidden="1">{"'ATP'!$E$6"}</definedName>
    <definedName name="Int" localSheetId="7">#REF!</definedName>
    <definedName name="investment" localSheetId="7">#REF!</definedName>
    <definedName name="InvFootnote" localSheetId="7">#REF!</definedName>
    <definedName name="ISCaseName" localSheetId="7">#REF!</definedName>
    <definedName name="j" localSheetId="7">#REF!</definedName>
    <definedName name="junk" localSheetId="7" hidden="1">#REF!</definedName>
    <definedName name="junk2" localSheetId="7" hidden="1">#REF!</definedName>
    <definedName name="Loan_Amount" localSheetId="7">#REF!</definedName>
    <definedName name="Loan_Not_Paid" localSheetId="7">IF('LP Report'!Payment_Number&lt;='LP Report'!Number_of_Payments,1,0)</definedName>
    <definedName name="LookupIndex" localSheetId="7">#REF!</definedName>
    <definedName name="mason?" localSheetId="7" hidden="1">{#N/A,#N/A,FALSE,"Data &amp; Key Results";#N/A,#N/A,FALSE,"Summary Template";#N/A,#N/A,FALSE,"Budget";#N/A,#N/A,FALSE,"Present Value Comparison";#N/A,#N/A,FALSE,"Cashflow";#N/A,#N/A,FALSE,"Income";#N/A,#N/A,FALSE,"Inputs"}</definedName>
    <definedName name="mason2" localSheetId="7" hidden="1">{#N/A,#N/A,FALSE,"Data &amp; Key Results";#N/A,#N/A,FALSE,"Summary Template";#N/A,#N/A,FALSE,"Budget";#N/A,#N/A,FALSE,"Present Value Comparison";#N/A,#N/A,FALSE,"Cashflow";#N/A,#N/A,FALSE,"Income";#N/A,#N/A,FALSE,"Inputs"}</definedName>
    <definedName name="mason3" localSheetId="7" hidden="1">{#N/A,#N/A,FALSE,"Data &amp; Key Results";#N/A,#N/A,FALSE,"Summary Template";#N/A,#N/A,FALSE,"Budget";#N/A,#N/A,FALSE,"Present Value Comparison";#N/A,#N/A,FALSE,"Cashflow";#N/A,#N/A,FALSE,"Income";#N/A,#N/A,FALSE,"Inputs"}</definedName>
    <definedName name="mason4" localSheetId="7" hidden="1">{#N/A,#N/A,FALSE,"Data &amp; Key Results";#N/A,#N/A,FALSE,"Summary Template";#N/A,#N/A,FALSE,"Budget";#N/A,#N/A,FALSE,"Present Value Comparison";#N/A,#N/A,FALSE,"Cashflow";#N/A,#N/A,FALSE,"Income";#N/A,#N/A,FALSE,"Inputs"}</definedName>
    <definedName name="mason5" localSheetId="7" hidden="1">{#N/A,#N/A,FALSE,"Data &amp; Key Results";#N/A,#N/A,FALSE,"Summary Template";#N/A,#N/A,FALSE,"Budget";#N/A,#N/A,FALSE,"Present Value Comparison";#N/A,#N/A,FALSE,"Cashflow";#N/A,#N/A,FALSE,"Income";#N/A,#N/A,FALSE,"Inputs"}</definedName>
    <definedName name="masonII" localSheetId="7" hidden="1">{#N/A,#N/A,FALSE,"Data &amp; Key Results";#N/A,#N/A,FALSE,"Summary Template";#N/A,#N/A,FALSE,"Budget";#N/A,#N/A,FALSE,"Present Value Comparison";#N/A,#N/A,FALSE,"Cashflow";#N/A,#N/A,FALSE,"Income";#N/A,#N/A,FALSE,"Inputs"}</definedName>
    <definedName name="Method_abbrev" localSheetId="7">#REF!</definedName>
    <definedName name="mgmtfee" localSheetId="7">#REF!</definedName>
    <definedName name="mgmtfees" localSheetId="7">#REF!</definedName>
    <definedName name="MLNK018bfad56a014b6f84cfc7fb40567079" localSheetId="7" hidden="1">#REF!</definedName>
    <definedName name="MLNK02b436c54d1d4f1fb7ece854589ebc3b" localSheetId="7" hidden="1">#REF!</definedName>
    <definedName name="MLNK02ddb7e50a9a4088ad89faf3155f305e" localSheetId="7" hidden="1">#REF!</definedName>
    <definedName name="MLNK03d895c600f84237af0a9f6d50dde8ed" localSheetId="7" hidden="1">#REF!</definedName>
    <definedName name="MLNK04b34d7237ff4693803d53b078679e77" localSheetId="7" hidden="1">#REF!</definedName>
    <definedName name="MLNK04baecedd8f843f7b8ab7f1e046494dc" localSheetId="7" hidden="1">#REF!</definedName>
    <definedName name="MLNK08b0d9ab9b7f4a019f01558fa42f52cc" localSheetId="7" hidden="1">#REF!</definedName>
    <definedName name="MLNK0a25e559e0ca40d3b117c10dde841c8d" localSheetId="7" hidden="1">#REF!</definedName>
    <definedName name="MLNK0ca8413a6a4e48109c00e972f8591f15" localSheetId="7" hidden="1">#REF!</definedName>
    <definedName name="MLNK0f79f0b17a0c4338ba2c447b8558f837" localSheetId="7" hidden="1">#REF!</definedName>
    <definedName name="MLNK1352b7f45b1d412299a3ad4b5f3b89fc" localSheetId="7" hidden="1">#REF!</definedName>
    <definedName name="MLNK136a8efde5d14d7880780cb4288214c8" localSheetId="7" hidden="1">#REF!</definedName>
    <definedName name="MLNK1878ac2ef4984cf88c7f6be575c72b35" localSheetId="7" hidden="1">#REF!</definedName>
    <definedName name="MLNK1942f939dd30413084b5900bc3a48e91" localSheetId="7" hidden="1">#REF!</definedName>
    <definedName name="MLNK1a54210510d0478faa44db0489c964ab" localSheetId="7" hidden="1">#REF!</definedName>
    <definedName name="MLNK2001e30c2e79462fb212bee2d523546c" localSheetId="7" hidden="1">#REF!</definedName>
    <definedName name="MLNK215d6ec32f3f4db6a3d798cc5297a671" localSheetId="7" hidden="1">#REF!</definedName>
    <definedName name="MLNK259ca339584144f5926618d12b15da3e" localSheetId="7" hidden="1">#REF!</definedName>
    <definedName name="MLNK25a89f60adf6498fb802aaec26c25d00" localSheetId="7" hidden="1">#REF!</definedName>
    <definedName name="MLNK2abee68d748f43408f3c78ff1aab5cd8" localSheetId="7" hidden="1">#REF!</definedName>
    <definedName name="MLNK2b2c36ff82434559965b4adeae9bae8e" localSheetId="7" hidden="1">#REF!</definedName>
    <definedName name="MLNK2b85baa9501840b6827700471c774d80" localSheetId="7" hidden="1">#REF!</definedName>
    <definedName name="MLNK300a116a290b4ed4b3002b11ff01efdb" localSheetId="7" hidden="1">#REF!</definedName>
    <definedName name="MLNK303b4d13bf9d4ab6b918ec321bc7d36d" localSheetId="7" hidden="1">#REF!</definedName>
    <definedName name="MLNK35525a34df824ef08bc71bc6c1025b5e" localSheetId="7" hidden="1">#REF!</definedName>
    <definedName name="MLNK35912bca35884e638463d146863134bb" localSheetId="7" hidden="1">#REF!</definedName>
    <definedName name="MLNK3e6b5949989744febe30c0ce950b887b" localSheetId="7" hidden="1">#REF!</definedName>
    <definedName name="MLNK46cd212686fd4aff871cbe473595c1f4" localSheetId="7" hidden="1">#REF!</definedName>
    <definedName name="MLNK48e61342d81b4a01bdca4ce46a298839" localSheetId="7" hidden="1">#REF!</definedName>
    <definedName name="MLNK5273f113756f4c699300085097bea1ac" localSheetId="7" hidden="1">#REF!</definedName>
    <definedName name="MLNK52b773a93c594b90828c2297469b7d75" localSheetId="7" hidden="1">#REF!</definedName>
    <definedName name="MLNK53f4f99dd75b45668a7dbec1b7261904" localSheetId="7" hidden="1">#REF!</definedName>
    <definedName name="MLNK549b1164492642239189c8432acac595" localSheetId="7" hidden="1">#REF!</definedName>
    <definedName name="MLNK558089d3077d4fdc8ad112fbee95b79f" localSheetId="7" hidden="1">#REF!</definedName>
    <definedName name="MLNK55a655decbf6419eb2c91cf936552e1a" localSheetId="7" hidden="1">#REF!</definedName>
    <definedName name="MLNK5662e450df734a6bbd33a33ee472c231" localSheetId="7" hidden="1">#REF!</definedName>
    <definedName name="MLNK56784cfee8224356b96f48647bfb4487" localSheetId="7" hidden="1">#REF!</definedName>
    <definedName name="MLNK5868995cab8141f58d146ceb5ab8e064" localSheetId="7" hidden="1">#REF!</definedName>
    <definedName name="MLNK5d9cc9b2b2fd4b2799819c19126f0e1b" localSheetId="7" hidden="1">#REF!</definedName>
    <definedName name="MLNK5de520c386f4498e87cf292a9422b147" localSheetId="7" hidden="1">#REF!</definedName>
    <definedName name="MLNK5f489b36a3dd4ffca654ca893fdc01e1" localSheetId="7" hidden="1">#REF!</definedName>
    <definedName name="MLNK6593c6ab73264e69b4374330ab13c8e1" localSheetId="7" hidden="1">#REF!</definedName>
    <definedName name="MLNK65e75eb4a985451a9cb2467efa5a31db" localSheetId="7" hidden="1">#REF!</definedName>
    <definedName name="MLNK66fe63e2714d498394dcacd64546234b" localSheetId="7" hidden="1">#REF!</definedName>
    <definedName name="MLNK6e486e2d5a334a39b4877bea72d7eb92" localSheetId="7" hidden="1">#REF!</definedName>
    <definedName name="MLNK7021f5ebbdd84a45ba6a7ba23cb30771" localSheetId="7" hidden="1">#REF!</definedName>
    <definedName name="MLNK70646e4a8e034cd78f431f91898c66c0" localSheetId="7" hidden="1">#REF!</definedName>
    <definedName name="MLNK74e85bd6385d4993b531d38f2f3836c0" localSheetId="7" hidden="1">#REF!</definedName>
    <definedName name="MLNK78474ea8ccc645299e21f8fb8f2831bb" localSheetId="7" hidden="1">#REF!</definedName>
    <definedName name="MLNK786446f9adf44b9c8e69153a249119f0" localSheetId="7" hidden="1">#REF!</definedName>
    <definedName name="MLNK7a38c2826a99439c9e40971bcc5ad261" localSheetId="7" hidden="1">#REF!</definedName>
    <definedName name="MLNK7b537a5989264eddabc292d4476e8379" localSheetId="7" hidden="1">#REF!</definedName>
    <definedName name="MLNK7bec44c0ba524dd5968ece36d71dd645" localSheetId="7" hidden="1">#REF!</definedName>
    <definedName name="MLNK7c6376d3e24e49f68f4a6c8210e18b82" localSheetId="7" hidden="1">#REF!</definedName>
    <definedName name="MLNK86b0faed08ae4756b1f81b4c70bd37cf" localSheetId="7" hidden="1">#REF!</definedName>
    <definedName name="MLNK8940cbfbd55a452991b13e1c94d646f7" localSheetId="7" hidden="1">#REF!</definedName>
    <definedName name="MLNK8b131d72e5df48faa6c8c6406e26e418" localSheetId="7" hidden="1">#REF!</definedName>
    <definedName name="MLNK90e25c2ecaa64d57bb26958b4d223428" localSheetId="7" hidden="1">#REF!</definedName>
    <definedName name="MLNK99de40bd629144c7ba32aae377c57f70" localSheetId="7" hidden="1">#REF!</definedName>
    <definedName name="MLNK9df90ae49f6a429a93387ed77e0be2b2" localSheetId="7" hidden="1">#REF!</definedName>
    <definedName name="MLNK9f9c1ebd4e6a4e589df75a77d68c31d2" localSheetId="7" hidden="1">#REF!</definedName>
    <definedName name="MLNKa25cae9dc8c74628915f296fa982e1fb" localSheetId="7" hidden="1">#REF!</definedName>
    <definedName name="MLNKa6dd1b101c6a4ddb975ed96014483413" localSheetId="7" hidden="1">#REF!</definedName>
    <definedName name="MLNKa7219183ccd0431194753052ff289c50" localSheetId="7" hidden="1">#REF!</definedName>
    <definedName name="MLNKac42ad8b02784fb2b0c9f96bd99bb08a" localSheetId="7" hidden="1">#REF!</definedName>
    <definedName name="MLNKae2bd731278143659ca73b7e3c820374" localSheetId="7" hidden="1">#REF!</definedName>
    <definedName name="MLNKb2c15ca540cc43de87cb92d3c45b905e" localSheetId="7" hidden="1">#REF!</definedName>
    <definedName name="MLNKb34eced05fc4474da889379a0eeab0c8" localSheetId="7" hidden="1">#REF!</definedName>
    <definedName name="MLNKb359d3fb47314fe2954621c0d9a0460e" localSheetId="7" hidden="1">#REF!</definedName>
    <definedName name="MLNKbddc92dbcd424513a26fec3a36608c07" localSheetId="7" hidden="1">#REF!</definedName>
    <definedName name="MLNKc06d473cc53e493ba7441c705e9ad9c0" localSheetId="7" hidden="1">#REF!</definedName>
    <definedName name="MLNKc52f5a42071748faace2c1e249d2015f" localSheetId="7" hidden="1">#REF!</definedName>
    <definedName name="MLNKc6aefbd14cfb45458e4c047f71737189" localSheetId="7" hidden="1">#REF!</definedName>
    <definedName name="MLNKc74e60fbf854453db17e8684ea5bce66" localSheetId="7" hidden="1">#REF!</definedName>
    <definedName name="MLNKce77c2f032d04ee79c255f6e39b36c47" localSheetId="7" hidden="1">#REF!</definedName>
    <definedName name="MLNKd1b79e4e7aef43368318ed1e172c8dbd" localSheetId="7" hidden="1">#REF!</definedName>
    <definedName name="MLNKd1bfe69c1e284d6fba0c9353cc855643" localSheetId="7" hidden="1">#REF!</definedName>
    <definedName name="MLNKd4ece25b0836456690f432756db42070" localSheetId="7" hidden="1">#REF!</definedName>
    <definedName name="MLNKd4ee53c7dd364f0285ddf36588313749" localSheetId="7" hidden="1">#REF!</definedName>
    <definedName name="MLNKda1152c4cc0c422f84e177462720e4e9" localSheetId="7" hidden="1">#REF!</definedName>
    <definedName name="MLNKdad976f7fd5f4e2b8d5894157ebede88" localSheetId="7" hidden="1">#REF!</definedName>
    <definedName name="MLNKe87eba5671a54589ba2b3005504069f5" localSheetId="7" hidden="1">#REF!</definedName>
    <definedName name="MLNKed63a1a3f60d4cb9a6eea667a88f3bae" localSheetId="7" hidden="1">#REF!</definedName>
    <definedName name="Month" localSheetId="7">#REF!</definedName>
    <definedName name="Monthly_Payment" localSheetId="7">-PMT(Interest_Rate/12,'LP Report'!Number_of_Payments,'LP Report'!Loan_Amount)</definedName>
    <definedName name="months_per_period" localSheetId="7">INDEX({12,6,3,2,1,0.5,0.5,0.25},MATCH(#REF!,'LP Report'!frequency,0))</definedName>
    <definedName name="NetIncCurr" localSheetId="7">#REF!</definedName>
    <definedName name="NetIncPrior" localSheetId="7">#REF!</definedName>
    <definedName name="new" localSheetId="7" hidden="1">{"SourcesUses",#N/A,TRUE,"CFMODEL";"TransOverview",#N/A,TRUE,"CFMODEL"}</definedName>
    <definedName name="nper" localSheetId="7">'LP Report'!term*'LP Report'!periods_per_year</definedName>
    <definedName name="Num_Pmt_Per_Year" localSheetId="7">#REF!</definedName>
    <definedName name="Number_of_Payments" localSheetId="7">MATCH(0.01,End_Bal,-1)+1</definedName>
    <definedName name="Page1" localSheetId="7">#REF!</definedName>
    <definedName name="Page2" localSheetId="7">#REF!</definedName>
    <definedName name="Page3" localSheetId="7">#REF!</definedName>
    <definedName name="Page4" localSheetId="7">#REF!</definedName>
    <definedName name="Page5" localSheetId="7">#REF!</definedName>
    <definedName name="Page6" localSheetId="7">#REF!</definedName>
    <definedName name="panther_wrn.test1." localSheetId="7" hidden="1">{"Income Statement",#N/A,FALSE,"CFMODEL";"Balance Sheet",#N/A,FALSE,"CFMODEL"}</definedName>
    <definedName name="panther_wrn.test2." localSheetId="7" hidden="1">{"SourcesUses",#N/A,TRUE,"CFMODEL";"TransOverview",#N/A,TRUE,"CFMODEL"}</definedName>
    <definedName name="panther_wrn.test3." localSheetId="7" hidden="1">{"SourcesUses",#N/A,TRUE,#N/A;"TransOverview",#N/A,TRUE,"CFMODEL"}</definedName>
    <definedName name="panther_wrn.test4." localSheetId="7" hidden="1">{"SourcesUses",#N/A,TRUE,"FundsFlow";"TransOverview",#N/A,TRUE,"FundsFlow"}</definedName>
    <definedName name="Pay_Date" localSheetId="7">#REF!</definedName>
    <definedName name="Pay_Num" localSheetId="7">#REF!</definedName>
    <definedName name="payment" localSheetId="7">#REF!</definedName>
    <definedName name="Payment_Date" localSheetId="7">DATE(YEAR(Loan_Start),MONTH(Loan_Start)+'LP Report'!Payment_Number,DAY(Loan_Start))</definedName>
    <definedName name="Payment_Number" localSheetId="7">ROW()-Header_Row</definedName>
    <definedName name="PDI" localSheetId="7">#REF!</definedName>
    <definedName name="PDICS" localSheetId="7">#REF!</definedName>
    <definedName name="PDIFMV" localSheetId="7">#REF!</definedName>
    <definedName name="PDINR" localSheetId="7">#REF!</definedName>
    <definedName name="PDIPref" localSheetId="7">#REF!</definedName>
    <definedName name="PDIWarr" localSheetId="7">#REF!</definedName>
    <definedName name="periods_per_year" localSheetId="7">INDEX({1,2,4,6,12,24,26,52},MATCH(#REF!,'LP Report'!frequency,0))</definedName>
    <definedName name="PL" localSheetId="7">#REF!</definedName>
    <definedName name="PLDate" localSheetId="7">#REF!</definedName>
    <definedName name="poso_wrn.test1." localSheetId="7" hidden="1">{"Income Statement",#N/A,FALSE,"CFMODEL";"Balance Sheet",#N/A,FALSE,"CFMODEL"}</definedName>
    <definedName name="poso_wrn.test2." localSheetId="7" hidden="1">{"SourcesUses",#N/A,TRUE,"CFMODEL";"TransOverview",#N/A,TRUE,"CFMODEL"}</definedName>
    <definedName name="poso_wrn.test3." localSheetId="7" hidden="1">{"SourcesUses",#N/A,TRUE,#N/A;"TransOverview",#N/A,TRUE,"CFMODEL"}</definedName>
    <definedName name="poso_wrn.test4." localSheetId="7" hidden="1">{"SourcesUses",#N/A,TRUE,"FundsFlow";"TransOverview",#N/A,TRUE,"FundsFlow"}</definedName>
    <definedName name="Princ" localSheetId="7">#REF!</definedName>
    <definedName name="Print_Area_Reset" localSheetId="7">OFFSET(Full_Print,0,0,Last_Row)</definedName>
    <definedName name="q" localSheetId="7" hidden="1">{"CSheet",#N/A,FALSE,"C";"SmCap",#N/A,FALSE,"VAL1";"GulfCoast",#N/A,FALSE,"VAL1";"nav",#N/A,FALSE,"NAV";"Summary",#N/A,FALSE,"NAV"}</definedName>
    <definedName name="Quarter1Percent" localSheetId="7">#REF!</definedName>
    <definedName name="Quarter2Percent" localSheetId="7">#REF!</definedName>
    <definedName name="Quarter3Percent" localSheetId="7">#REF!</definedName>
    <definedName name="Quarter4Percent" localSheetId="7">#REF!</definedName>
    <definedName name="rate" localSheetId="7">#REF!</definedName>
    <definedName name="RECurr" localSheetId="7">#REF!</definedName>
    <definedName name="Report" localSheetId="7">#REF!</definedName>
    <definedName name="REPrior" localSheetId="7">#REF!</definedName>
    <definedName name="ReserveGuidance" localSheetId="7">#REF!</definedName>
    <definedName name="s" localSheetId="7">#REF!</definedName>
    <definedName name="ScenarioList" localSheetId="7">OFFSET(#REF!,1,0,COUNTA(#REF!)-1,1)</definedName>
    <definedName name="Scenarios" comment="A-1" localSheetId="7">#REF!</definedName>
    <definedName name="Sched_Pay" localSheetId="7">#REF!</definedName>
    <definedName name="Scheduled_Extra_Payments" localSheetId="7">#REF!</definedName>
    <definedName name="Scheduled_Interest_Rate" localSheetId="7">#REF!</definedName>
    <definedName name="Scheduled_Monthly_Payment" localSheetId="7">#REF!</definedName>
    <definedName name="SCI" localSheetId="7">#REF!</definedName>
    <definedName name="SCIFMV" localSheetId="7">#REF!</definedName>
    <definedName name="SCIPref" localSheetId="7">#REF!</definedName>
    <definedName name="sd" localSheetId="7">#REF!</definedName>
    <definedName name="sdas" localSheetId="7" hidden="1">{"Total",#N/A,FALSE,"Six Fields";"PDP",#N/A,FALSE,"Six Fields";"PNP",#N/A,FALSE,"Six Fields";"PUD",#N/A,FALSE,"Six Fields";"Prob",#N/A,FALSE,"Six Fields"}</definedName>
    <definedName name="sdfdsf" localSheetId="7" hidden="1">{"SourcesUses",#N/A,TRUE,#N/A;"TransOverview",#N/A,TRUE,"CFMODEL"}</definedName>
    <definedName name="Select_Month" localSheetId="7">#REF!</definedName>
    <definedName name="sga" localSheetId="7">#REF!</definedName>
    <definedName name="size" localSheetId="7">#REF!</definedName>
    <definedName name="SizingColumn" localSheetId="7">#REF!</definedName>
    <definedName name="ssd" localSheetId="7" hidden="1">#REF!</definedName>
    <definedName name="Ter" localSheetId="7">#REF!</definedName>
    <definedName name="TerFMV" localSheetId="7">#REF!</definedName>
    <definedName name="term" localSheetId="7">#REF!</definedName>
    <definedName name="TerPref" localSheetId="7">#REF!</definedName>
    <definedName name="tes" localSheetId="7" hidden="1">#REF!</definedName>
    <definedName name="test" localSheetId="7">Scheduled_Payment+Extra_Payment</definedName>
    <definedName name="test2" localSheetId="7">Scheduled_Payment+Extra_Payment</definedName>
    <definedName name="Titles" localSheetId="7">#REF!</definedName>
    <definedName name="Total_Interest" localSheetId="7">#REF!</definedName>
    <definedName name="Total_Pay" localSheetId="7">#REF!</definedName>
    <definedName name="Total_Payment" localSheetId="7">Scheduled_Payment+Extra_Payment</definedName>
    <definedName name="TotalAssetsCurr" localSheetId="7">#REF!</definedName>
    <definedName name="tx_roll_cy" localSheetId="7">#REF!,#REF!</definedName>
    <definedName name="tx_roll_py" localSheetId="7">#REF!,#REF!</definedName>
    <definedName name="tx_roll_py1" localSheetId="7">#REF!,#REF!</definedName>
    <definedName name="tx_roll_py10" localSheetId="7">#REF!,#REF!</definedName>
    <definedName name="tx_roll_py11" localSheetId="7">#REF!,#REF!</definedName>
    <definedName name="tx_roll_py12" localSheetId="7">#REF!,#REF!</definedName>
    <definedName name="tx_roll_py13" localSheetId="7">#REF!,#REF!</definedName>
    <definedName name="tx_roll_py14" localSheetId="7">#REF!,#REF!</definedName>
    <definedName name="tx_roll_py15" localSheetId="7">#REF!,#REF!</definedName>
    <definedName name="tx_roll_py2" localSheetId="7">#REF!,#REF!</definedName>
    <definedName name="tx_roll_py3" localSheetId="7">#REF!,#REF!</definedName>
    <definedName name="tx_roll_py4" localSheetId="7">#REF!,#REF!</definedName>
    <definedName name="tx_roll_py5" localSheetId="7">#REF!,#REF!</definedName>
    <definedName name="tx_roll_py6" localSheetId="7">#REF!,#REF!</definedName>
    <definedName name="tx_roll_py7" localSheetId="7">#REF!,#REF!</definedName>
    <definedName name="tx_roll_py8" localSheetId="7">#REF!,#REF!</definedName>
    <definedName name="tx_roll_py9" localSheetId="7">#REF!,#REF!</definedName>
    <definedName name="u" localSheetId="7" hidden="1">{"CSheet",#N/A,FALSE,"C";"SmCap",#N/A,FALSE,"VAL1";"GulfCoast",#N/A,FALSE,"VAL1";"nav",#N/A,FALSE,"NAV";"Summary",#N/A,FALSE,"NAV"}</definedName>
    <definedName name="Values_Entered" localSheetId="7">IF('LP Report'!Loan_Amount*Interest_Rate*Loan_Years*Loan_Start&gt;0,1,0)</definedName>
    <definedName name="w" localSheetId="7" hidden="1">{"ReportTop",#N/A,FALSE,"report top"}</definedName>
    <definedName name="wrn.Aging._.and._.Trend._.Analysis." localSheetId="7" hidden="1">{#N/A,#N/A,FALSE,"Aging Summary";#N/A,#N/A,FALSE,"Ratio Analysis";#N/A,#N/A,FALSE,"Test 120 Day Accts";#N/A,#N/A,FALSE,"Tickmarks"}</definedName>
    <definedName name="wrn.all._.input." localSheetId="7"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STATEMENTS." localSheetId="7" hidden="1">{"BALANCE SHEET",#N/A,FALSE,"Balance Sheet";"INCOME STATEMENT",#N/A,FALSE,"Income Statement";"STMT OF CASH FLOWS",#N/A,FALSE,"Cash Flows Indirect";"PARTNERS CAPITAL STMT",#N/A,FALSE,"Partners Capital"}</definedName>
    <definedName name="wrn.BALANCE._.SHEET." localSheetId="7" hidden="1">{"BALANCE SHEET",#N/A,FALSE,"Balance Sheet"}</definedName>
    <definedName name="wrn.BidCo." localSheetId="7" hidden="1">{#N/A,#N/A,FALSE,"BidCo Assumptions";#N/A,#N/A,FALSE,"Credit Stats";#N/A,#N/A,FALSE,"Bidco Summary";#N/A,#N/A,FALSE,"BIDCO Consolidated"}</definedName>
    <definedName name="wrn.calc_all." localSheetId="7"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orporate." localSheetId="7" hidden="1">{"Corporate",#N/A,FALSE,"Corporate Profile"}</definedName>
    <definedName name="wrn.cotop." localSheetId="7" hidden="1">{"ReportTop",#N/A,FALSE,"report top"}</definedName>
    <definedName name="wrn.DCF._.Valuation." localSheetId="7" hidden="1">{"value box",#N/A,TRUE,"DPL Inc. Fin Statements";"unlevered free cash flows",#N/A,TRUE,"DPL Inc. Fin Statements"}</definedName>
    <definedName name="wrn.Debt." localSheetId="7" hidden="1">{"debt summary",#N/A,FALSE,"Debt";"loan details",#N/A,FALSE,"Debt"}</definedName>
    <definedName name="wrn.Financials." localSheetId="7" hidden="1">{#N/A,#N/A,TRUE,"Income Statement";#N/A,#N/A,TRUE,"Balance Sheet";#N/A,#N/A,TRUE,"Cash Flow"}</definedName>
    <definedName name="wrn.full._.report."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Ilijan._.Print." localSheetId="7"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NCOME._.STATEMENT." localSheetId="7" hidden="1">{"INCOME STATEMENT",#N/A,FALSE,"Income Statement"}</definedName>
    <definedName name="wrn.Individual._.Statements." localSheetId="7" hidden="1">{"barlup",#N/A,FALSE,"evabnk97";"gillespey",#N/A,FALSE,"evabnk97";"koon",#N/A,FALSE,"evabnk97";"schreur",#N/A,FALSE,"evabnk97";"stone",#N/A,FALSE,"evabnk97";"wichmann",#N/A,FALSE,"evabnk97";"wright",#N/A,FALSE,"evabnk97"}</definedName>
    <definedName name="wrn.IS._.Q96." localSheetId="7" hidden="1">{"IS Q96",#N/A,FALSE,"Income Statement"}</definedName>
    <definedName name="wrn.IS._.Q97." localSheetId="7" hidden="1">{"IS Q97",#N/A,FALSE,"Income Statement"}</definedName>
    <definedName name="wrn.IS._.Years." localSheetId="7" hidden="1">{"IS Years",#N/A,FALSE,"Income Statement"}</definedName>
    <definedName name="wrn.JODM._.Graphs." localSheetId="7" hidden="1">{"graph",#N/A,FALSE,"WWJU";"graph",#N/A,FALSE,"WWSEM";"graph",#N/A,FALSE,"GOMJU";"graph",#N/A,FALSE,"GOMSEM";"graph",#N/A,FALSE,"NSJU";"graph",#N/A,FALSE,"NSSEM";"graph",#N/A,FALSE,"WAJU";"graph",#N/A,FALSE,"STOCKPRI";"graph",#N/A,FALSE,"CFTEV";"graph",#N/A,FALSE,"NAV-RCV";"graph",#N/A,FALSE,"CRUDEWW"}</definedName>
    <definedName name="wrn.Main._.Fields." localSheetId="7"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son._.Deliverables." localSheetId="7" hidden="1">{#N/A,#N/A,FALSE,"Data &amp; Key Results";#N/A,#N/A,FALSE,"Summary Template";#N/A,#N/A,FALSE,"Budget";#N/A,#N/A,FALSE,"Present Value Comparison";#N/A,#N/A,FALSE,"Cashflow";#N/A,#N/A,FALSE,"Income";#N/A,#N/A,FALSE,"Inputs"}</definedName>
    <definedName name="wrn.Netbacks." localSheetId="7" hidden="1">{"Netbacks",#N/A,FALSE,"Netbacks"}</definedName>
    <definedName name="wrn.ops._.costs." localSheetId="7" hidden="1">{"page1",#N/A,FALSE,"APCI Operations Detail  ";"page2",#N/A,FALSE,"APCI Operations Detail  ";"page3",#N/A,FALSE,"APCI Operations Detail  ";"page4",#N/A,FALSE,"APCI Operations Detail  "}</definedName>
    <definedName name="wrn.PARTNERS._.CAPITAL._.STMT." localSheetId="7" hidden="1">{"PARTNERS CAPITAL STMT",#N/A,FALSE,"Partners Capital"}</definedName>
    <definedName name="wrn.PLX." localSheetId="7" hidden="1">{"cred comp",#N/A,FALSE,"Comparable Credit Analysis";"IS",#N/A,FALSE,"IS";"Sensitivity",#N/A,FALSE,"Sensitivity";"BS",#N/A,FALSE,"BS";"Bond Summary",#N/A,FALSE,"B Summary";"AD",#N/A,FALSE,"Accretion";"NAV",#N/A,FALSE,"NAV";"SU",#N/A,FALSE,"S&amp;U";"acq. study",#N/A,FALSE,"Acq. Study";"F Charges",#N/A,FALSE,"Fixed Charges"}</definedName>
    <definedName name="wrn.Print._.All." localSheetId="7" hidden="1">{"IS Years",#N/A,FALSE,"Income Statement";"IS Q96",#N/A,FALSE,"Income Statement";"IS Q97",#N/A,FALSE,"Income Statement";"Corporate",#N/A,FALSE,"Corporate Profile";"Netbacks",#N/A,FALSE,"Netbacks"}</definedName>
    <definedName name="wrn.Print._.PNL._.Download." localSheetId="7" hidden="1">{"PNLProjDL",#N/A,FALSE,"PROJCO";"PNLParDL",#N/A,FALSE,"Parent"}</definedName>
    <definedName name="wrn.Print_Earnings_template." localSheetId="7" hidden="1">{"by_month",#N/A,TRUE,"template";"destec_month",#N/A,TRUE,"template";"by_quarter",#N/A,TRUE,"template";"destec_quarter",#N/A,TRUE,"template";"by_year",#N/A,TRUE,"template";"destec_annual",#N/A,TRUE,"template"}</definedName>
    <definedName name="wrn.Print_Var_page." localSheetId="7" hidden="1">{"var_page",#N/A,FALSE,"template"}</definedName>
    <definedName name="wrn.print_variance." localSheetId="7" hidden="1">{"var_report",#N/A,FALSE,"template"}</definedName>
    <definedName name="wrn.Print_Variance_Page." localSheetId="7" hidden="1">{"variance_page",#N/A,FALSE,"template"}</definedName>
    <definedName name="wrn.PrintAll." localSheetId="7" hidden="1">{"PA1",#N/A,TRUE,"BORDMW";"pa2",#N/A,TRUE,"BORDMW";"PA3",#N/A,TRUE,"BORDMW";"PA4",#N/A,TRUE,"BORDMW"}</definedName>
    <definedName name="wrn.Project._.Summary." localSheetId="7" hidden="1">{"Summary",#N/A,FALSE,"MICMULT";"Income Statement",#N/A,FALSE,"MICMULT";"Cash Flows",#N/A,FALSE,"MICMULT"}</definedName>
    <definedName name="wrn.red_take." localSheetId="7" hidden="1">{"red_take_pg1",#N/A,FALSE,"reduced_take";"red_take_pg2",#N/A,FALSE,"reduced_take";"red_take_pg3",#N/A,FALSE,"reduced_take";"red_take_pg4",#N/A,FALSE,"reduced_take";"red_take_pg5",#N/A,FALSE,"reduced_take";"red_take_pg6",#N/A,FALSE,"reduced_take"}</definedName>
    <definedName name="wrn.Roll._.Up._.Fields." localSheetId="7" hidden="1">{"Total",#N/A,FALSE,"Six Fields";"PDP",#N/A,FALSE,"Six Fields";"PNP",#N/A,FALSE,"Six Fields";"PUD",#N/A,FALSE,"Six Fields";"Prob",#N/A,FALSE,"Six Fields"}</definedName>
    <definedName name="wrn.sales." localSheetId="7" hidden="1">{"sales",#N/A,FALSE,"Sales";"sales existing",#N/A,FALSE,"Sales";"sales rd1",#N/A,FALSE,"Sales";"sales rd2",#N/A,FALSE,"Sales"}</definedName>
    <definedName name="wrn.STMT._.OF._.CASH._.FLOWS." localSheetId="7" hidden="1">{"STMT OF CASH FLOWS",#N/A,FALSE,"Cash Flows Indirect"}</definedName>
    <definedName name="wrn.Summary." localSheetId="7" hidden="1">{"Sum1",#N/A,FALSE,"Reserve Report";"Sum2",#N/A,FALSE,"Reserve Report";"Sum3",#N/A,FALSE,"Reserve Report";"Sum4",#N/A,FALSE,"Reserve Report"}</definedName>
    <definedName name="wrn.TB._.ALL._.ACCTS." localSheetId="7" hidden="1">{"BALANCE SHEET ACCTS",#N/A,TRUE,"Working Trial Balance";"INCOME STMT ACCTS",#N/A,TRUE,"Working Trial Balance"}</definedName>
    <definedName name="wrn.TB._.BALANCE._.SHEET." localSheetId="7" hidden="1">{"BALANCE SHEET ACCTS",#N/A,FALSE,"Working Trial Balance"}</definedName>
    <definedName name="wrn.TB._.EXPLANATIONS." localSheetId="7" hidden="1">{"EXPLANATIONS",#N/A,FALSE,"Working Trial Balance"}</definedName>
    <definedName name="wrn.TB._.INCOME._.STMT." localSheetId="7" hidden="1">{"INCOME STMT ACCTS",#N/A,FALSE,"Working Trial Balance"}</definedName>
    <definedName name="wrn.test1." localSheetId="7" hidden="1">{"Income Statement",#N/A,FALSE,"CFMODEL";"Balance Sheet",#N/A,FALSE,"CFMODEL"}</definedName>
    <definedName name="wrn.test2." localSheetId="7" hidden="1">{"SourcesUses",#N/A,TRUE,"CFMODEL";"TransOverview",#N/A,TRUE,"CFMODEL"}</definedName>
    <definedName name="wrn.test3." localSheetId="7" hidden="1">{"SourcesUses",#N/A,TRUE,#N/A;"TransOverview",#N/A,TRUE,"CFMODEL"}</definedName>
    <definedName name="wrn.test4." localSheetId="7" hidden="1">{"SourcesUses",#N/A,TRUE,"FundsFlow";"TransOverview",#N/A,TRUE,"FundsFlow"}</definedName>
    <definedName name="wrn.TheWholeEnchilada." localSheetId="7" hidden="1">{"CSheet",#N/A,FALSE,"C";"SmCap",#N/A,FALSE,"VAL1";"GulfCoast",#N/A,FALSE,"VAL1";"nav",#N/A,FALSE,"NAV";"Summary",#N/A,FALSE,"NAV"}</definedName>
    <definedName name="wrn.Total._.Proved." localSheetId="7" hidden="1">{"Total",#N/A,FALSE,"Total Proved";"PDP",#N/A,FALSE,"Total Proved";"PNP",#N/A,FALSE,"Total Proved";"PUD",#N/A,FALSE,"Total Proved"}</definedName>
    <definedName name="wrn.Total._.Proved._.plus._.Probable." localSheetId="7" hidden="1">{"Total",#N/A,FALSE,"Total Proved + Probable";"PDP",#N/A,FALSE,"Total Proved + Probable";"PNP",#N/A,FALSE,"Total Proved + Probable";"PUD",#N/A,FALSE,"Total Proved + Probable";"Prob",#N/A,FALSE,"Total Proved + Probable"}</definedName>
    <definedName name="wrn.Wacc." localSheetId="7" hidden="1">{"Area1",#N/A,FALSE,"OREWACC";"Area2",#N/A,FALSE,"OREWACC"}</definedName>
    <definedName name="z" localSheetId="7" hidden="1">{"CSheet",#N/A,FALSE,"C";"SmCap",#N/A,FALSE,"VAL1";"GulfCoast",#N/A,FALSE,"VAL1";"nav",#N/A,FALSE,"NAV";"Summary",#N/A,FALSE,"NAV"}</definedName>
    <definedName name="Z_24BF9755_66DA_11D4_A31E_00C0F0154575_.wvu.PrintTitles" localSheetId="7" hidden="1">#REF!</definedName>
    <definedName name="Z_702CE201_67EF_11D2_8E81_00104BCAECA1_.wvu.PrintTitles" localSheetId="7" hidden="1">#REF!,#REF!</definedName>
    <definedName name="Z_C229C740_74EF_11D3_8C05_00105AA43A7F_.wvu.Cols" localSheetId="7" hidden="1">#REF!</definedName>
    <definedName name="Z_C229C740_74EF_11D3_8C05_00105AA43A7F_.wvu.PrintArea" localSheetId="7" hidden="1">#REF!</definedName>
    <definedName name="Z_C229C740_74EF_11D3_8C05_00105AA43A7F_.wvu.PrintTitles" localSheetId="7" hidden="1">#REF!,#REF!</definedName>
    <definedName name="Z_C229C740_74EF_11D3_8C05_00105AA43A7F_.wvu.Rows" localSheetId="7" hidden="1">#REF!,#REF!,#REF!,#REF!,#REF!,#REF!,#REF!,#REF!,#REF!,#REF!,#REF!,#REF!,#REF!,#REF!,#REF!,#REF!,#REF!,#REF!,#REF!,#REF!,#REF!,#REF!,#REF!,#REF!,#REF!,#REF!,#REF!,#REF!,#REF!,#REF!,#REF!,#REF!,#REF!,#REF!,#REF!,#REF!,#REF!,#REF!,#REF!,#REF!,#REF!,#REF!,#REF!,#REF!,#REF!,#REF!,#REF!,#REF!,#REF!,#REF!,#REF!,#REF!,#REF!,#REF!</definedName>
    <definedName name="_xlnm.Print_Area" localSheetId="7">'LP Report'!$A$1:$I$54</definedName>
    <definedName name="\" localSheetId="9" hidden="1">{"kricash",#N/A,FALSE,"INC";"kriinc",#N/A,FALSE,"INC";"krimiami",#N/A,FALSE,"INC";"kriother",#N/A,FALSE,"INC";"kripapers",#N/A,FALSE,"INC"}</definedName>
    <definedName name="____________________________ww2" localSheetId="9" hidden="1">{#N/A,#N/A,FALSE,"Admin";#N/A,#N/A,FALSE,"Other"}</definedName>
    <definedName name="______________ww2" localSheetId="9" hidden="1">{#N/A,#N/A,FALSE,"Admin";#N/A,#N/A,FALSE,"Other"}</definedName>
    <definedName name="_____________t2" localSheetId="9" hidden="1">{"'Sheet1'!$A$5:$G$42"}</definedName>
    <definedName name="_____________wrn2" localSheetId="9" hidden="1">{"arpm1995",#N/A,FALSE,"Summary 95-96";"bus_long_distance",#N/A,FALSE,"Summary 95-96";"mins_per_day",#N/A,FALSE,"Summary 95-96";"minutes1995",#N/A,FALSE,"Summary 95-96";"rev_per_day",#N/A,FALSE,"Summary 95-96";"view1995",#N/A,FALSE,"Summary 95-96"}</definedName>
    <definedName name="_____________ww2" localSheetId="9" hidden="1">{#N/A,#N/A,FALSE,"Admin";#N/A,#N/A,FALSE,"Other"}</definedName>
    <definedName name="____________t2" localSheetId="9" hidden="1">{"'Sheet1'!$A$5:$G$42"}</definedName>
    <definedName name="____________wrn2" localSheetId="9" hidden="1">{"arpm1995",#N/A,FALSE,"Summary 95-96";"bus_long_distance",#N/A,FALSE,"Summary 95-96";"mins_per_day",#N/A,FALSE,"Summary 95-96";"minutes1995",#N/A,FALSE,"Summary 95-96";"rev_per_day",#N/A,FALSE,"Summary 95-96";"view1995",#N/A,FALSE,"Summary 95-96"}</definedName>
    <definedName name="____________ww2" localSheetId="9" hidden="1">{#N/A,#N/A,FALSE,"Admin";#N/A,#N/A,FALSE,"Other"}</definedName>
    <definedName name="___________ww2" localSheetId="9" hidden="1">{#N/A,#N/A,FALSE,"Admin";#N/A,#N/A,FALSE,"Other"}</definedName>
    <definedName name="__________t2" localSheetId="9" hidden="1">{"'Sheet1'!$A$5:$G$42"}</definedName>
    <definedName name="__________wrn2" localSheetId="9" hidden="1">{"arpm1995",#N/A,FALSE,"Summary 95-96";"bus_long_distance",#N/A,FALSE,"Summary 95-96";"mins_per_day",#N/A,FALSE,"Summary 95-96";"minutes1995",#N/A,FALSE,"Summary 95-96";"rev_per_day",#N/A,FALSE,"Summary 95-96";"view1995",#N/A,FALSE,"Summary 95-96"}</definedName>
    <definedName name="__________ww2" localSheetId="9" hidden="1">{#N/A,#N/A,FALSE,"Admin";#N/A,#N/A,FALSE,"Other"}</definedName>
    <definedName name="_________I2" localSheetId="9" hidden="1">{"PVGraph2",#N/A,FALSE,"PV Data"}</definedName>
    <definedName name="_________I3" localSheetId="9" hidden="1">{"PVGraph2",#N/A,FALSE,"PV Data"}</definedName>
    <definedName name="_________t2" localSheetId="9" hidden="1">{"'Sheet1'!$A$5:$G$42"}</definedName>
    <definedName name="_________w1" localSheetId="9" hidden="1">{"PVGraph2",#N/A,FALSE,"PV Data"}</definedName>
    <definedName name="_________w2" localSheetId="9" hidden="1">{"PVGraph2",#N/A,FALSE,"PV Data"}</definedName>
    <definedName name="_________w3" localSheetId="9" hidden="1">{"PVGraph2",#N/A,FALSE,"PV Data"}</definedName>
    <definedName name="_________wrn2" localSheetId="9" hidden="1">{"arpm1995",#N/A,FALSE,"Summary 95-96";"bus_long_distance",#N/A,FALSE,"Summary 95-96";"mins_per_day",#N/A,FALSE,"Summary 95-96";"minutes1995",#N/A,FALSE,"Summary 95-96";"rev_per_day",#N/A,FALSE,"Summary 95-96";"view1995",#N/A,FALSE,"Summary 95-96"}</definedName>
    <definedName name="_________ww2" localSheetId="9" hidden="1">{#N/A,#N/A,FALSE,"Admin";#N/A,#N/A,FALSE,"Other"}</definedName>
    <definedName name="_________y2" localSheetId="9" hidden="1">{"PVGraph2",#N/A,FALSE,"PV Data"}</definedName>
    <definedName name="________I2" localSheetId="9" hidden="1">{"PVGraph2",#N/A,FALSE,"PV Data"}</definedName>
    <definedName name="________I3" localSheetId="9" hidden="1">{"PVGraph2",#N/A,FALSE,"PV Data"}</definedName>
    <definedName name="________t2" localSheetId="9" hidden="1">{"'Sheet1'!$A$5:$G$42"}</definedName>
    <definedName name="________w1" localSheetId="9" hidden="1">{"PVGraph2",#N/A,FALSE,"PV Data"}</definedName>
    <definedName name="________w2" localSheetId="9" hidden="1">{"PVGraph2",#N/A,FALSE,"PV Data"}</definedName>
    <definedName name="________w3" localSheetId="9" hidden="1">{"PVGraph2",#N/A,FALSE,"PV Data"}</definedName>
    <definedName name="________wrn2" localSheetId="9" hidden="1">{"arpm1995",#N/A,FALSE,"Summary 95-96";"bus_long_distance",#N/A,FALSE,"Summary 95-96";"mins_per_day",#N/A,FALSE,"Summary 95-96";"minutes1995",#N/A,FALSE,"Summary 95-96";"rev_per_day",#N/A,FALSE,"Summary 95-96";"view1995",#N/A,FALSE,"Summary 95-96"}</definedName>
    <definedName name="________ww2" localSheetId="9" hidden="1">{#N/A,#N/A,FALSE,"Admin";#N/A,#N/A,FALSE,"Other"}</definedName>
    <definedName name="________y2" localSheetId="9" hidden="1">{"PVGraph2",#N/A,FALSE,"PV Data"}</definedName>
    <definedName name="_______I2" localSheetId="9" hidden="1">{"PVGraph2",#N/A,FALSE,"PV Data"}</definedName>
    <definedName name="_______I3" localSheetId="9" hidden="1">{"PVGraph2",#N/A,FALSE,"PV Data"}</definedName>
    <definedName name="_______t2" localSheetId="9" hidden="1">{"'Sheet1'!$A$5:$G$42"}</definedName>
    <definedName name="_______w1" localSheetId="9" hidden="1">{"PVGraph2",#N/A,FALSE,"PV Data"}</definedName>
    <definedName name="_______w2" localSheetId="9" hidden="1">{"PVGraph2",#N/A,FALSE,"PV Data"}</definedName>
    <definedName name="_______w3" localSheetId="9" hidden="1">{"PVGraph2",#N/A,FALSE,"PV Data"}</definedName>
    <definedName name="_______wrn2" localSheetId="9" hidden="1">{"arpm1995",#N/A,FALSE,"Summary 95-96";"bus_long_distance",#N/A,FALSE,"Summary 95-96";"mins_per_day",#N/A,FALSE,"Summary 95-96";"minutes1995",#N/A,FALSE,"Summary 95-96";"rev_per_day",#N/A,FALSE,"Summary 95-96";"view1995",#N/A,FALSE,"Summary 95-96"}</definedName>
    <definedName name="_______ww2" localSheetId="9" hidden="1">{#N/A,#N/A,FALSE,"Admin";#N/A,#N/A,FALSE,"Other"}</definedName>
    <definedName name="_______y2" localSheetId="9" hidden="1">{"PVGraph2",#N/A,FALSE,"PV Data"}</definedName>
    <definedName name="______I2" localSheetId="9" hidden="1">{"PVGraph2",#N/A,FALSE,"PV Data"}</definedName>
    <definedName name="______I3" localSheetId="9" hidden="1">{"PVGraph2",#N/A,FALSE,"PV Data"}</definedName>
    <definedName name="______t2" localSheetId="9" hidden="1">{"'Sheet1'!$A$5:$G$42"}</definedName>
    <definedName name="______w1" localSheetId="9" hidden="1">{"PVGraph2",#N/A,FALSE,"PV Data"}</definedName>
    <definedName name="______w2" localSheetId="9" hidden="1">{"PVGraph2",#N/A,FALSE,"PV Data"}</definedName>
    <definedName name="______w3" localSheetId="9" hidden="1">{"PVGraph2",#N/A,FALSE,"PV Data"}</definedName>
    <definedName name="______WHO2" localSheetId="9" hidden="1">{#N/A,#N/A,FALSE,"SUMMARY";#N/A,#N/A,FALSE,"DETAIL";#N/A,#N/A,FALSE,"VARIANCE"}</definedName>
    <definedName name="______wrn2" localSheetId="9" hidden="1">{"arpm1995",#N/A,FALSE,"Summary 95-96";"bus_long_distance",#N/A,FALSE,"Summary 95-96";"mins_per_day",#N/A,FALSE,"Summary 95-96";"minutes1995",#N/A,FALSE,"Summary 95-96";"rev_per_day",#N/A,FALSE,"Summary 95-96";"view1995",#N/A,FALSE,"Summary 95-96"}</definedName>
    <definedName name="______ww2" localSheetId="9" hidden="1">{#N/A,#N/A,FALSE,"Admin";#N/A,#N/A,FALSE,"Other"}</definedName>
    <definedName name="______y2" localSheetId="9" hidden="1">{"PVGraph2",#N/A,FALSE,"PV Data"}</definedName>
    <definedName name="_____I2" localSheetId="9" hidden="1">{"PVGraph2",#N/A,FALSE,"PV Data"}</definedName>
    <definedName name="_____I3" localSheetId="9" hidden="1">{"PVGraph2",#N/A,FALSE,"PV Data"}</definedName>
    <definedName name="_____t2" localSheetId="9" hidden="1">{"'Sheet1'!$A$5:$G$42"}</definedName>
    <definedName name="_____w1" localSheetId="9" hidden="1">{"PVGraph2",#N/A,FALSE,"PV Data"}</definedName>
    <definedName name="_____w2" localSheetId="9" hidden="1">{"PVGraph2",#N/A,FALSE,"PV Data"}</definedName>
    <definedName name="_____w3" localSheetId="9" hidden="1">{"PVGraph2",#N/A,FALSE,"PV Data"}</definedName>
    <definedName name="_____wrn2" localSheetId="9" hidden="1">{#N/A,#N/A,FALSE,"ASSUMPTIONS";#N/A,#N/A,FALSE,"Valuation Summary";"page1",#N/A,FALSE,"PRESENTATION";"page2",#N/A,FALSE,"PRESENTATION";#N/A,#N/A,FALSE,"ORIGINAL_ROLLBACK"}</definedName>
    <definedName name="_____wrn3" localSheetId="9" hidden="1">{#N/A,#N/A,FALSE,"ASSUMPTIONS";#N/A,#N/A,FALSE,"Valuation Summary";"page1",#N/A,FALSE,"PRESENTATION";"page2",#N/A,FALSE,"PRESENTATION";#N/A,#N/A,FALSE,"ORIGINAL_ROLLBACK"}</definedName>
    <definedName name="_____ww2" localSheetId="9" hidden="1">{#N/A,#N/A,FALSE,"Admin";#N/A,#N/A,FALSE,"Other"}</definedName>
    <definedName name="_____y2" localSheetId="9" hidden="1">{"PVGraph2",#N/A,FALSE,"PV Data"}</definedName>
    <definedName name="____age1"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I2" localSheetId="9" hidden="1">{"PVGraph2",#N/A,FALSE,"PV Data"}</definedName>
    <definedName name="____I3" localSheetId="9" hidden="1">{"PVGraph2",#N/A,FALSE,"PV Data"}</definedName>
    <definedName name="____o1" localSheetId="9" hidden="1">{#N/A,#N/A,FALSE,"SUMMARY";#N/A,#N/A,FALSE,"mcsh";#N/A,#N/A,FALSE,"vol&amp;rev";#N/A,#N/A,FALSE,"wkgcap";#N/A,#N/A,FALSE,"DEPR&amp;DT";#N/A,#N/A,FALSE,"ASSETS";#N/A,#N/A,FALSE,"NI&amp;OTH&amp;DIV";#N/A,#N/A,FALSE,"CASHFLOW";#N/A,#N/A,FALSE,"CAPEMPL";#N/A,#N/A,FALSE,"ROCE"}</definedName>
    <definedName name="____t2" localSheetId="9" hidden="1">{"'Sheet1'!$A$5:$G$42"}</definedName>
    <definedName name="____w1" localSheetId="9" hidden="1">{"PVGraph2",#N/A,FALSE,"PV Data"}</definedName>
    <definedName name="____w2" localSheetId="9" hidden="1">{"PVGraph2",#N/A,FALSE,"PV Data"}</definedName>
    <definedName name="____w3" localSheetId="9" hidden="1">{"PVGraph2",#N/A,FALSE,"PV Data"}</definedName>
    <definedName name="____WHO2" localSheetId="9" hidden="1">{#N/A,#N/A,FALSE,"SUMMARY";#N/A,#N/A,FALSE,"DETAIL";#N/A,#N/A,FALSE,"VARIANCE"}</definedName>
    <definedName name="____wr3" localSheetId="9" hidden="1">{#N/A,#N/A,FALSE,"ASSUMPTIONS";#N/A,#N/A,FALSE,"Valuation Summary";"page1",#N/A,FALSE,"PRESENTATION";"page2",#N/A,FALSE,"PRESENTATION";#N/A,#N/A,FALSE,"ORIGINAL_ROLLBACK"}</definedName>
    <definedName name="____wrn2" localSheetId="9" hidden="1">{#N/A,#N/A,FALSE,"ASSUMPTIONS";#N/A,#N/A,FALSE,"Valuation Summary";"page1",#N/A,FALSE,"PRESENTATION";"page2",#N/A,FALSE,"PRESENTATION";#N/A,#N/A,FALSE,"ORIGINAL_ROLLBACK"}</definedName>
    <definedName name="____wrn3" localSheetId="9" hidden="1">{#N/A,#N/A,FALSE,"ASSUMPTIONS";#N/A,#N/A,FALSE,"Valuation Summary";"page1",#N/A,FALSE,"PRESENTATION";"page2",#N/A,FALSE,"PRESENTATION";#N/A,#N/A,FALSE,"ORIGINAL_ROLLBACK"}</definedName>
    <definedName name="____ww2" localSheetId="9" hidden="1">{#N/A,#N/A,FALSE,"Admin";#N/A,#N/A,FALSE,"Other"}</definedName>
    <definedName name="____y2" localSheetId="9" hidden="1">{"PVGraph2",#N/A,FALSE,"PV Data"}</definedName>
    <definedName name="___I2" localSheetId="9" hidden="1">{"PVGraph2",#N/A,FALSE,"PV Data"}</definedName>
    <definedName name="___I3" localSheetId="9" hidden="1">{"PVGraph2",#N/A,FALSE,"PV Data"}</definedName>
    <definedName name="___o1" localSheetId="9" hidden="1">{#N/A,#N/A,FALSE,"SUMMARY";#N/A,#N/A,FALSE,"mcsh";#N/A,#N/A,FALSE,"vol&amp;rev";#N/A,#N/A,FALSE,"wkgcap";#N/A,#N/A,FALSE,"DEPR&amp;DT";#N/A,#N/A,FALSE,"ASSETS";#N/A,#N/A,FALSE,"NI&amp;OTH&amp;DIV";#N/A,#N/A,FALSE,"CASHFLOW";#N/A,#N/A,FALSE,"CAPEMPL";#N/A,#N/A,FALSE,"ROCE"}</definedName>
    <definedName name="___t2" localSheetId="9" hidden="1">{"'Sheet1'!$A$5:$G$42"}</definedName>
    <definedName name="___w1" localSheetId="9" hidden="1">{"PVGraph2",#N/A,FALSE,"PV Data"}</definedName>
    <definedName name="___w2" localSheetId="9" hidden="1">{"PVGraph2",#N/A,FALSE,"PV Data"}</definedName>
    <definedName name="___w3" localSheetId="9" hidden="1">{"PVGraph2",#N/A,FALSE,"PV Data"}</definedName>
    <definedName name="___wrn2" localSheetId="9" hidden="1">{#N/A,#N/A,FALSE,"ASSUMPTIONS";#N/A,#N/A,FALSE,"Valuation Summary";"page1",#N/A,FALSE,"PRESENTATION";"page2",#N/A,FALSE,"PRESENTATION";#N/A,#N/A,FALSE,"ORIGINAL_ROLLBACK"}</definedName>
    <definedName name="___wrn3" localSheetId="9" hidden="1">{#N/A,#N/A,FALSE,"ASSUMPTIONS";#N/A,#N/A,FALSE,"Valuation Summary";"page1",#N/A,FALSE,"PRESENTATION";"page2",#N/A,FALSE,"PRESENTATION";#N/A,#N/A,FALSE,"ORIGINAL_ROLLBACK"}</definedName>
    <definedName name="___ww2" localSheetId="9" hidden="1">{#N/A,#N/A,FALSE,"Admin";#N/A,#N/A,FALSE,"Other"}</definedName>
    <definedName name="___y2" localSheetId="9" hidden="1">{"PVGraph2",#N/A,FALSE,"PV Data"}</definedName>
    <definedName name="__123Graph_A" localSheetId="9" hidden="1">#REF!</definedName>
    <definedName name="__123Graph_ACOMP" localSheetId="9" hidden="1">#REF!</definedName>
    <definedName name="__123Graph_AGraph1" localSheetId="9" hidden="1">#REF!</definedName>
    <definedName name="__a1" localSheetId="9" hidden="1">{#N/A,#N/A,FALSE,"Pharm";#N/A,#N/A,FALSE,"WWCM"}</definedName>
    <definedName name="__A11" localSheetId="9" hidden="1">{#N/A,#N/A,FALSE,"Umsatz 99";#N/A,#N/A,FALSE,"ER 99 "}</definedName>
    <definedName name="__aaa1" localSheetId="9" hidden="1">{#N/A,#N/A,FALSE,"REPORT"}</definedName>
    <definedName name="__aas1" localSheetId="9" hidden="1">{#N/A,#N/A,FALSE,"REPORT"}</definedName>
    <definedName name="__ACS2000" localSheetId="9" hidden="1">{#N/A,#N/A,FALSE,"REPORT"}</definedName>
    <definedName name="__b111" localSheetId="9" hidden="1">{#N/A,#N/A,FALSE,"Pharm";#N/A,#N/A,FALSE,"WWCM"}</definedName>
    <definedName name="__c" localSheetId="9" hidden="1">{"Fiesta Facer Page",#N/A,FALSE,"Q_C_S";"Fiesta Main Page",#N/A,FALSE,"V_L";"Fiesta 95BP Struct",#N/A,FALSE,"StructBP";"Fiesta Post 95BP Struct",#N/A,FALSE,"AdjStructBP"}</definedName>
    <definedName name="__FDS_USED_FOR_REUSING_RANGE_IDS_RECYCLE" localSheetId="9" hidden="1">{152,168,338,189,173,195,158,390,7,11,232,378,159,175,261,183,177,129,8,155,265,394,57}</definedName>
    <definedName name="__I2" localSheetId="9" hidden="1">{"PVGraph2",#N/A,FALSE,"PV Data"}</definedName>
    <definedName name="__I3" localSheetId="9" hidden="1">{"PVGraph2",#N/A,FALSE,"PV Data"}</definedName>
    <definedName name="__IntlFixupTable" localSheetId="9" hidden="1">#REF!</definedName>
    <definedName name="__new1" localSheetId="9" hidden="1">{#N/A,#N/A,FALSE,"Pharm";#N/A,#N/A,FALSE,"WWCM"}</definedName>
    <definedName name="__o1" localSheetId="9" hidden="1">{#N/A,#N/A,FALSE,"SUMMARY";#N/A,#N/A,FALSE,"mcsh";#N/A,#N/A,FALSE,"vol&amp;rev";#N/A,#N/A,FALSE,"wkgcap";#N/A,#N/A,FALSE,"DEPR&amp;DT";#N/A,#N/A,FALSE,"ASSETS";#N/A,#N/A,FALSE,"NI&amp;OTH&amp;DIV";#N/A,#N/A,FALSE,"CASHFLOW";#N/A,#N/A,FALSE,"CAPEMPL";#N/A,#N/A,FALSE,"ROCE"}</definedName>
    <definedName name="__p1" localSheetId="9" hidden="1">{"SUM",#N/A,FALSE,"Details (2)"}</definedName>
    <definedName name="__pp2" localSheetId="9" hidden="1">{"Summary",#N/A,FALSE,"Details (2)"}</definedName>
    <definedName name="__ppp1" localSheetId="9" hidden="1">{"SUM",#N/A,FALSE,"Details (2)"}</definedName>
    <definedName name="__q2" localSheetId="9" hidden="1">{"Summary",#N/A,FALSE,"Details (2)"}</definedName>
    <definedName name="__q4" localSheetId="9" hidden="1">{"Summary",#N/A,FALSE,"Details (2)"}</definedName>
    <definedName name="__q5" localSheetId="9" hidden="1">{"SUM",#N/A,FALSE,"Details (2)"}</definedName>
    <definedName name="__Qtr4" localSheetId="9">#REF!</definedName>
    <definedName name="__r" localSheetId="9" hidden="1">{#N/A,#N/A,FALSE,"Pharm";#N/A,#N/A,FALSE,"WWCM"}</definedName>
    <definedName name="__t2" localSheetId="9" hidden="1">{"'Sheet1'!$A$5:$G$42"}</definedName>
    <definedName name="__tm1" localSheetId="9" hidden="1">{#N/A,#N/A,FALSE,"Pharm";#N/A,#N/A,FALSE,"WWCM"}</definedName>
    <definedName name="__v2" localSheetId="9" hidden="1">{"arpm1995",#N/A,FALSE,"Summary 95-96";"bus_long_distance",#N/A,FALSE,"Summary 95-96";"mins_per_day",#N/A,FALSE,"Summary 95-96";"minutes1995",#N/A,FALSE,"Summary 95-96";"rev_per_day",#N/A,FALSE,"Summary 95-96";"view1995",#N/A,FALSE,"Summary 95-96"}</definedName>
    <definedName name="__w1" localSheetId="9" hidden="1">{"PVGraph2",#N/A,FALSE,"PV Data"}</definedName>
    <definedName name="__w2" localSheetId="9" hidden="1">{"PVGraph2",#N/A,FALSE,"PV Data"}</definedName>
    <definedName name="__w3" localSheetId="9" hidden="1">{"PVGraph2",#N/A,FALSE,"PV Data"}</definedName>
    <definedName name="__WHO2" localSheetId="9" hidden="1">{#N/A,#N/A,FALSE,"SUMMARY";#N/A,#N/A,FALSE,"DETAIL";#N/A,#N/A,FALSE,"VARIANCE"}</definedName>
    <definedName name="__wrn2" localSheetId="9" hidden="1">{#N/A,#N/A,FALSE,"ASSUMPTIONS";#N/A,#N/A,FALSE,"Valuation Summary";"page1",#N/A,FALSE,"PRESENTATION";"page2",#N/A,FALSE,"PRESENTATION";#N/A,#N/A,FALSE,"ORIGINAL_ROLLBACK"}</definedName>
    <definedName name="__wrn3" localSheetId="9" hidden="1">{#N/A,#N/A,FALSE,"ASSUMPTIONS";#N/A,#N/A,FALSE,"Valuation Summary";"page1",#N/A,FALSE,"PRESENTATION";"page2",#N/A,FALSE,"PRESENTATION";#N/A,#N/A,FALSE,"ORIGINAL_ROLLBACK"}</definedName>
    <definedName name="__ww2" localSheetId="9" hidden="1">{#N/A,#N/A,FALSE,"Admin";#N/A,#N/A,FALSE,"Other"}</definedName>
    <definedName name="__X1" localSheetId="9" hidden="1">{"Summary",#N/A,FALSE,"Details (2)"}</definedName>
    <definedName name="__X2" localSheetId="9" hidden="1">{#N/A,#N/A,FALSE,"Other";#N/A,#N/A,FALSE,"Ace";#N/A,#N/A,FALSE,"Derm"}</definedName>
    <definedName name="__y2" localSheetId="9" hidden="1">{"PVGraph2",#N/A,FALSE,"PV Data"}</definedName>
    <definedName name="_1__123Graph_ACHART_1" localSheetId="9" hidden="1">#REF!</definedName>
    <definedName name="_1__123Graph_ACHART_4" localSheetId="9" hidden="1">#REF!</definedName>
    <definedName name="_1__123Graph_AGraphique_1B" localSheetId="9" hidden="1">#REF!</definedName>
    <definedName name="_1__FDSAUDITLINK__" localSheetId="9" hidden="1">{"fdsup://Directions/FactSet Auditing Viewer?action=AUDIT_VALUE&amp;DB=129&amp;ID1=610036&amp;VALUEID=05192&amp;SDATE=201101&amp;PERIODTYPE=QTR_STD&amp;SCFT=3&amp;window=popup_no_bar&amp;width=385&amp;height=120&amp;START_MAXIMIZED=FALSE&amp;creator=factset&amp;display_string=Audit"}</definedName>
    <definedName name="_10__FDSAUDITLINK__" localSheetId="9" hidden="1">{"fdsup://Directions/FactSet Auditing Viewer?action=AUDIT_VALUE&amp;DB=129&amp;ID1=613566&amp;VALUEID=05192&amp;SDATE=201101&amp;PERIODTYPE=QTR_STD&amp;SCFT=3&amp;window=popup_no_bar&amp;width=385&amp;height=120&amp;START_MAXIMIZED=FALSE&amp;creator=factset&amp;display_string=Audit"}</definedName>
    <definedName name="_104__123Graph_LBL_BCHART_2" localSheetId="9" hidden="1">#REF!</definedName>
    <definedName name="_108__123Graph_LBL_BCHART_1" localSheetId="9" hidden="1">#REF!</definedName>
    <definedName name="_109__123Graph_ACHART_4" localSheetId="9" hidden="1">#REF!</definedName>
    <definedName name="_11__123Graph_LBL_ACHART_2" localSheetId="9" hidden="1">#REF!</definedName>
    <definedName name="_11__FDSAUDITLINK__" localSheetId="9" hidden="1">{"fdsup://Directions/FactSet Auditing Viewer?action=AUDIT_VALUE&amp;DB=129&amp;ID1=B2QKWK&amp;VALUEID=05194&amp;SDATE=201101&amp;PERIODTYPE=QTR_STD&amp;SCFT=3&amp;window=popup_no_bar&amp;width=385&amp;height=120&amp;START_MAXIMIZED=FALSE&amp;creator=factset&amp;display_string=Audit"}</definedName>
    <definedName name="_112__123Graph_LBL_BCHART_3" localSheetId="9" hidden="1">#REF!</definedName>
    <definedName name="_112__FDSAUDITLINK__" localSheetId="9"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7__123Graph_LBL_BCHART_2" localSheetId="9" hidden="1">#REF!</definedName>
    <definedName name="_12__123Graph_ACHART_2" localSheetId="9" hidden="1">#REF!</definedName>
    <definedName name="_12__123Graph_ACHART_3" localSheetId="9" hidden="1">#REF!</definedName>
    <definedName name="_12__FDSAUDITLINK__" localSheetId="9" hidden="1">{"fdsup://Directions/FactSet Auditing Viewer?action=AUDIT_VALUE&amp;DB=129&amp;ID1=613566&amp;VALUEID=05194&amp;SDATE=201101&amp;PERIODTYPE=QTR_STD&amp;SCFT=3&amp;window=popup_no_bar&amp;width=385&amp;height=120&amp;START_MAXIMIZED=FALSE&amp;creator=factset&amp;display_string=Audit"}</definedName>
    <definedName name="_120__123Graph_XCHART_1" localSheetId="9" hidden="1">#REF!</definedName>
    <definedName name="_120__FDSAUDITLINK__" localSheetId="9"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6__123Graph_LBL_BCHART_3" localSheetId="9" hidden="1">#REF!</definedName>
    <definedName name="_128__123Graph_XCHART_2" localSheetId="9" hidden="1">#REF!</definedName>
    <definedName name="_13__123Graph_ACHART_1" localSheetId="9" hidden="1">#REF!</definedName>
    <definedName name="_13__123Graph_LBL_ACHART_4" localSheetId="9" hidden="1">#REF!</definedName>
    <definedName name="_13__123Graph_LBL_BCHART_1" localSheetId="9" hidden="1">#REF!</definedName>
    <definedName name="_13__FDSAUDITLINK__" localSheetId="9" hidden="1">{"fdsup://Directions/FactSet Auditing Viewer?action=AUDIT_VALUE&amp;DB=129&amp;ID1=B62G7K&amp;VALUEID=05194&amp;SDATE=201101&amp;PERIODTYPE=QTR_STD&amp;SCFT=3&amp;window=popup_no_bar&amp;width=385&amp;height=120&amp;START_MAXIMIZED=FALSE&amp;creator=factset&amp;display_string=Audit"}</definedName>
    <definedName name="_136__123Graph_XCHART_3" localSheetId="9" hidden="1">#REF!</definedName>
    <definedName name="_14__123Graph_ACHART_1" localSheetId="9" hidden="1">#REF!</definedName>
    <definedName name="_14__123Graph_BCHART_1" localSheetId="9" hidden="1">#REF!</definedName>
    <definedName name="_14__123Graph_LBL_BCHART_1" localSheetId="9" hidden="1">#REF!</definedName>
    <definedName name="_14__FDSAUDITLINK__" localSheetId="9" hidden="1">{"fdsup://Directions/FactSet Auditing Viewer?action=AUDIT_VALUE&amp;DB=129&amp;ID1=B01LXY&amp;VALUEID=05194&amp;SDATE=201101&amp;PERIODTYPE=QTR_STD&amp;SCFT=3&amp;window=popup_no_bar&amp;width=385&amp;height=120&amp;START_MAXIMIZED=FALSE&amp;creator=factset&amp;display_string=Audit"}</definedName>
    <definedName name="_144__123Graph_XCHART_4" localSheetId="9" hidden="1">#REF!</definedName>
    <definedName name="_144__FDSAUDITLINK__" localSheetId="9"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5__123Graph_ACHART_3" localSheetId="9" hidden="1">#REF!</definedName>
    <definedName name="_15__123Graph_BCHART_1" localSheetId="9" hidden="1">#REF!</definedName>
    <definedName name="_15__123Graph_CCHART_1" localSheetId="9" hidden="1">#REF!</definedName>
    <definedName name="_15__FDSAUDITLINK__" localSheetId="9" hidden="1">{"fdsup://Directions/FactSet Auditing Viewer?action=AUDIT_VALUE&amp;DB=129&amp;ID1=B12C0T&amp;VALUEID=05194&amp;SDATE=201101&amp;PERIODTYPE=QTR_STD&amp;SCFT=3&amp;window=popup_no_bar&amp;width=385&amp;height=120&amp;START_MAXIMIZED=FALSE&amp;creator=factset&amp;display_string=Audit"}</definedName>
    <definedName name="_16__123Graph_ACHART_2" localSheetId="9" hidden="1">#REF!</definedName>
    <definedName name="_16__123Graph_ACHART_4" localSheetId="9" hidden="1">#REF!</definedName>
    <definedName name="_16__123Graph_BCHART_1" localSheetId="9" hidden="1">#REF!</definedName>
    <definedName name="_16__123Graph_LBL_ACHART_1" localSheetId="9" hidden="1">#REF!</definedName>
    <definedName name="_16__FDSAUDITLINK__" localSheetId="9" hidden="1">{"fdsup://Directions/FactSet Auditing Viewer?action=AUDIT_VALUE&amp;DB=129&amp;ID1=615525&amp;VALUEID=05192&amp;SDATE=201101&amp;PERIODTYPE=QTR_STD&amp;SCFT=3&amp;window=popup_no_bar&amp;width=385&amp;height=120&amp;START_MAXIMIZED=FALSE&amp;creator=factset&amp;display_string=Audit"}</definedName>
    <definedName name="_160__FDSAUDITLINK__" localSheetId="9"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2__123Graph_XCHART_4" localSheetId="9" hidden="1">#REF!</definedName>
    <definedName name="_163__123Graph_BCHART_2" localSheetId="9" hidden="1">#REF!</definedName>
    <definedName name="_17__123Graph_XCHART_1" localSheetId="9" hidden="1">#REF!</definedName>
    <definedName name="_17__FDSAUDITLINK__" localSheetId="9" hidden="1">{"fdsup://Directions/FactSet Auditing Viewer?action=AUDIT_VALUE&amp;DB=129&amp;ID1=651312&amp;VALUEID=05194&amp;SDATE=201101&amp;PERIODTYPE=QTR_STD&amp;SCFT=3&amp;window=popup_no_bar&amp;width=385&amp;height=120&amp;START_MAXIMIZED=FALSE&amp;creator=factset&amp;display_string=Audit"}</definedName>
    <definedName name="_18__FDSAUDITLINK__" localSheetId="9" hidden="1">{"fdsup://Directions/FactSet Auditing Viewer?action=AUDIT_VALUE&amp;DB=129&amp;ID1=610036&amp;VALUEID=05194&amp;SDATE=201101&amp;PERIODTYPE=QTR_STD&amp;SCFT=3&amp;window=popup_no_bar&amp;width=385&amp;height=120&amp;START_MAXIMIZED=FALSE&amp;creator=factset&amp;display_string=Audit"}</definedName>
    <definedName name="_19__FDSAUDITLINK__" localSheetId="9" hidden="1">{"fdsup://directions/FAT Viewer?action=UPDATE&amp;creator=factset&amp;DYN_ARGS=TRUE&amp;DOC_NAME=FAT:FQL_AUDITING_CLIENT_TEMPLATE.FAT&amp;display_string=Audit&amp;VAR:KEY=RIVODUVABY&amp;VAR:QUERY=RkZfREVCVChRVFIsMCk=&amp;WINDOW=FIRST_POPUP&amp;HEIGHT=450&amp;WIDTH=450&amp;START_MAXIMIZED=FALSE&amp;VA","R:CALENDAR=US&amp;VAR:SYMBOL=B1TJG9&amp;VAR:INDEX=0"}</definedName>
    <definedName name="_19_0__123Graph_ACHAR" localSheetId="9" hidden="1">#REF!</definedName>
    <definedName name="_19_0__123Graph_BCHAR" localSheetId="9" hidden="1">#REF!</definedName>
    <definedName name="_190__123Graph_BCHART_3" localSheetId="9" hidden="1">#REF!</definedName>
    <definedName name="_2__FDSAUDITLINK__" localSheetId="9" hidden="1">{"fdsup://Directions/FactSet Auditing Viewer?action=AUDIT_VALUE&amp;DB=129&amp;ID1=718981&amp;VALUEID=01004&amp;SDATE=2010&amp;PERIODTYPE=ANN_STD&amp;SCFT=3&amp;window=popup_no_bar&amp;width=385&amp;height=120&amp;START_MAXIMIZED=FALSE&amp;creator=factset&amp;display_string=Audit"}</definedName>
    <definedName name="_20__FDSAUDITLINK__" localSheetId="9" hidden="1">{"fdsup://directions/FAT Viewer?action=UPDATE&amp;creator=factset&amp;DYN_ARGS=TRUE&amp;DOC_NAME=FAT:FQL_AUDITING_CLIENT_TEMPLATE.FAT&amp;display_string=Audit&amp;VAR:KEY=NOROXQDYDA&amp;VAR:QUERY=RkZfREVCVChRVFIsMCk=&amp;WINDOW=FIRST_POPUP&amp;HEIGHT=450&amp;WIDTH=450&amp;START_MAXIMIZED=FALSE&amp;VA","R:CALENDAR=US&amp;VAR:SYMBOL=B2QKWK&amp;VAR:INDEX=0"}</definedName>
    <definedName name="_20_0__123Graph_BCHAR" localSheetId="9" hidden="1">#REF!</definedName>
    <definedName name="_20_0__123Graph_CCHAR" localSheetId="9" hidden="1">#REF!</definedName>
    <definedName name="_206__FDSAUDITLINK__" localSheetId="9"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1__123Graph_BCHART_1" localSheetId="9" hidden="1">#REF!</definedName>
    <definedName name="_21__123Graph_BCHART_3" localSheetId="9" hidden="1">#REF!</definedName>
    <definedName name="_21__FDSAUDITLINK__" localSheetId="9" hidden="1">{"fdsup://directions/FAT Viewer?action=UPDATE&amp;creator=factset&amp;DYN_ARGS=TRUE&amp;DOC_NAME=FAT:FQL_AUDITING_CLIENT_TEMPLATE.FAT&amp;display_string=Audit&amp;VAR:KEY=BWBYDQBYRG&amp;VAR:QUERY=RkZfREVCVChRVFIsMCk=&amp;WINDOW=FIRST_POPUP&amp;HEIGHT=450&amp;WIDTH=450&amp;START_MAXIMIZED=FALSE&amp;VA","R:CALENDAR=US&amp;VAR:SYMBOL=626404&amp;VAR:INDEX=0"}</definedName>
    <definedName name="_21_0__123Graph_CCHAR" localSheetId="9" hidden="1">#REF!</definedName>
    <definedName name="_21_0__123Graph_LBL_ACHAR" localSheetId="9" hidden="1">#REF!</definedName>
    <definedName name="_217__123Graph_LBL_ACHART_1" localSheetId="9" hidden="1">#REF!</definedName>
    <definedName name="_22__FDSAUDITLINK__" localSheetId="9" hidden="1">{"fdsup://directions/FAT Viewer?action=UPDATE&amp;creator=factset&amp;DYN_ARGS=TRUE&amp;DOC_NAME=FAT:FQL_AUDITING_CLIENT_TEMPLATE.FAT&amp;display_string=Audit&amp;VAR:KEY=TQLCLGJUJU&amp;VAR:QUERY=RkZfREVCVChRVFIsMCk=&amp;WINDOW=FIRST_POPUP&amp;HEIGHT=450&amp;WIDTH=450&amp;START_MAXIMIZED=FALSE&amp;VA","R:CALENDAR=US&amp;VAR:SYMBOL=613566&amp;VAR:INDEX=0"}</definedName>
    <definedName name="_22_0__123Graph_LBL_ACHAR" localSheetId="9" hidden="1">#REF!</definedName>
    <definedName name="_23__FDSAUDITLINK__" localSheetId="9" hidden="1">{"fdsup://directions/FAT Viewer?action=UPDATE&amp;creator=factset&amp;DYN_ARGS=TRUE&amp;DOC_NAME=FAT:FQL_AUDITING_CLIENT_TEMPLATE.FAT&amp;display_string=Audit&amp;VAR:KEY=NYXYJIPEVY&amp;VAR:QUERY=RkZfREVCVChRVFIsMCk=&amp;WINDOW=FIRST_POPUP&amp;HEIGHT=450&amp;WIDTH=450&amp;START_MAXIMIZED=FALSE&amp;VA","R:CALENDAR=US&amp;VAR:SYMBOL=B62G7K&amp;VAR:INDEX=0"}</definedName>
    <definedName name="_24__123Graph_ACHART_3" localSheetId="9" hidden="1">#REF!</definedName>
    <definedName name="_24__123Graph_BCHART_2" localSheetId="9" hidden="1">#REF!</definedName>
    <definedName name="_24__123Graph_LBL_ACHART_1" localSheetId="9" hidden="1">#REF!</definedName>
    <definedName name="_24__FDSAUDITLINK__" localSheetId="9" hidden="1">{"fdsup://directions/FAT Viewer?action=UPDATE&amp;creator=factset&amp;DYN_ARGS=TRUE&amp;DOC_NAME=FAT:FQL_AUDITING_CLIENT_TEMPLATE.FAT&amp;display_string=Audit&amp;VAR:KEY=NSBMVWPMXC&amp;VAR:QUERY=RkZfREVCVChRVFIsMCk=&amp;WINDOW=FIRST_POPUP&amp;HEIGHT=450&amp;WIDTH=450&amp;START_MAXIMIZED=FALSE&amp;VA","R:CALENDAR=US&amp;VAR:SYMBOL=B601QS&amp;VAR:INDEX=0"}</definedName>
    <definedName name="_24_0__123Graph_ACHAR" localSheetId="9" hidden="1">#REF!</definedName>
    <definedName name="_244__123Graph_LBL_ACHART_2" localSheetId="9" hidden="1">#REF!</definedName>
    <definedName name="_25__FDSAUDITLINK__" localSheetId="9" hidden="1">{"fdsup://directions/FAT Viewer?action=UPDATE&amp;creator=factset&amp;DYN_ARGS=TRUE&amp;DOC_NAME=FAT:FQL_AUDITING_CLIENT_TEMPLATE.FAT&amp;display_string=Audit&amp;VAR:KEY=RGRCNQPWVG&amp;VAR:QUERY=RkZfREVCVChRVFIsMCk=&amp;WINDOW=FIRST_POPUP&amp;HEIGHT=450&amp;WIDTH=450&amp;START_MAXIMIZED=FALSE&amp;VA","R:CALENDAR=US&amp;VAR:SYMBOL=B2Q4CS&amp;VAR:INDEX=0"}</definedName>
    <definedName name="_26__123Graph_ACHART_1" localSheetId="9" hidden="1">#REF!</definedName>
    <definedName name="_26__FDSAUDITLINK__" localSheetId="9" hidden="1">{"fdsup://directions/FAT Viewer?action=UPDATE&amp;creator=factset&amp;DYN_ARGS=TRUE&amp;DOC_NAME=FAT:FQL_AUDITING_CLIENT_TEMPLATE.FAT&amp;display_string=Audit&amp;VAR:KEY=LINIDUNITC&amp;VAR:QUERY=RkZfREVCVChRVFIsMCk=&amp;WINDOW=FIRST_POPUP&amp;HEIGHT=450&amp;WIDTH=450&amp;START_MAXIMIZED=FALSE&amp;VA","R:CALENDAR=US&amp;VAR:SYMBOL=670625&amp;VAR:INDEX=0"}</definedName>
    <definedName name="_26_0__123Graph_BCHAR" localSheetId="9" hidden="1">#REF!</definedName>
    <definedName name="_27__123Graph_ACHART_3" localSheetId="9" hidden="1">#REF!</definedName>
    <definedName name="_27__123Graph_BCHART_3" localSheetId="9" hidden="1">#REF!</definedName>
    <definedName name="_27__FDSAUDITLINK__" localSheetId="9"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271__123Graph_LBL_ACHART_3" localSheetId="9" hidden="1">#REF!</definedName>
    <definedName name="_28__123Graph_ACHART_1" localSheetId="9" hidden="1">#REF!</definedName>
    <definedName name="_28__123Graph_BCHART_1" localSheetId="9" hidden="1">#REF!</definedName>
    <definedName name="_28__FDSAUDITLINK__" localSheetId="9" hidden="1">{"fdsup://directions/FAT Viewer?action=UPDATE&amp;creator=factset&amp;DYN_ARGS=TRUE&amp;DOC_NAME=FAT:FQL_AUDITING_CLIENT_TEMPLATE.FAT&amp;display_string=Audit&amp;VAR:KEY=ZCBIPGHWJS&amp;VAR:QUERY=RkZfREVCVChRVFIsMCk=&amp;WINDOW=FIRST_POPUP&amp;HEIGHT=450&amp;WIDTH=450&amp;START_MAXIMIZED=FALSE&amp;VA","R:CALENDAR=US&amp;VAR:SYMBOL=627137&amp;VAR:INDEX=0"}</definedName>
    <definedName name="_28_0__123Graph_CCHAR" localSheetId="9" hidden="1">#REF!</definedName>
    <definedName name="_29__FDSAUDITLINK__" localSheetId="9" hidden="1">{"fdsup://directions/FAT Viewer?action=UPDATE&amp;creator=factset&amp;DYN_ARGS=TRUE&amp;DOC_NAME=FAT:FQL_AUDITING_CLIENT_TEMPLATE.FAT&amp;display_string=Audit&amp;VAR:KEY=CLCRSDAPSX&amp;VAR:QUERY=RkZfREVCVChRVFIsMCk=&amp;WINDOW=FIRST_POPUP&amp;HEIGHT=450&amp;WIDTH=450&amp;START_MAXIMIZED=FALSE&amp;VA","R:CALENDAR=US&amp;VAR:SYMBOL=B4TX8S&amp;VAR:INDEX=0"}</definedName>
    <definedName name="_298__123Graph_LBL_ACHART_4" localSheetId="9" hidden="1">#REF!</definedName>
    <definedName name="_3__123Graph_ACHART_1" localSheetId="9" hidden="1">#REF!</definedName>
    <definedName name="_3__123Graph_ACHART_2" localSheetId="9" hidden="1">#REF!</definedName>
    <definedName name="_3__FDSAUDITLINK__" localSheetId="9" hidden="1">{"fdsup://directions/FAT Viewer?action=UPDATE&amp;creator=factset&amp;DYN_ARGS=TRUE&amp;DOC_NAME=FAT:FQL_AUDITING_CLIENT_TEMPLATE.FAT&amp;display_string=Audit&amp;VAR:KEY=NYZOXGHULC&amp;VAR:QUERY=RkZfREVCVChRVFIsMCk=&amp;WINDOW=FIRST_POPUP&amp;HEIGHT=450&amp;WIDTH=450&amp;START_MAXIMIZED=FALSE&amp;VA","R:CALENDAR=US&amp;VAR:SYMBOL=615525&amp;VAR:INDEX=0"}</definedName>
    <definedName name="_30__123Graph_CCHART_1" localSheetId="9" hidden="1">#REF!</definedName>
    <definedName name="_30__123Graph_LBL_ACHART_1" localSheetId="9" hidden="1">#REF!</definedName>
    <definedName name="_30__123Graph_LBL_ACHART_3" localSheetId="9" hidden="1">#REF!</definedName>
    <definedName name="_30__FDSAUDITLINK__" localSheetId="9" hidden="1">{"fdsup://directions/FAT Viewer?action=UPDATE&amp;creator=factset&amp;DYN_ARGS=TRUE&amp;DOC_NAME=FAT:FQL_AUDITING_CLIENT_TEMPLATE.FAT&amp;display_string=Audit&amp;VAR:KEY=FCXYFCHWXA&amp;VAR:QUERY=RkZfREVCVChRVFIsMCk=&amp;WINDOW=FIRST_POPUP&amp;HEIGHT=450&amp;WIDTH=450&amp;START_MAXIMIZED=FALSE&amp;VA","R:CALENDAR=US&amp;VAR:SYMBOL=641167&amp;VAR:INDEX=0"}</definedName>
    <definedName name="_30_0__123Graph_LBL_ACHAR" localSheetId="9" hidden="1">#REF!</definedName>
    <definedName name="_31__FDSAUDITLINK__" localSheetId="9" hidden="1">{"fdsup://directions/FAT Viewer?action=UPDATE&amp;creator=factset&amp;DYN_ARGS=TRUE&amp;DOC_NAME=FAT:FQL_AUDITING_CLIENT_TEMPLATE.FAT&amp;display_string=Audit&amp;VAR:KEY=ZWDYLGNOZS&amp;VAR:QUERY=RkZfREVCVChRVFIsMCk=&amp;WINDOW=FIRST_POPUP&amp;HEIGHT=450&amp;WIDTH=450&amp;START_MAXIMIZED=FALSE&amp;VA","R:CALENDAR=US&amp;VAR:SYMBOL=642566&amp;VAR:INDEX=0"}</definedName>
    <definedName name="_32__123Graph_ACHART_4" localSheetId="9" hidden="1">#REF!</definedName>
    <definedName name="_32__123Graph_LBL_ACHART_1" localSheetId="9" hidden="1">#REF!</definedName>
    <definedName name="_325__123Graph_LBL_BCHART_1" localSheetId="9" hidden="1">#REF!</definedName>
    <definedName name="_33__123Graph_LBL_ACHART_2" localSheetId="9" hidden="1">#REF!</definedName>
    <definedName name="_33__FDSAUDITLINK__" localSheetId="9" hidden="1">{"fdsup://directions/FAT Viewer?action=UPDATE&amp;creator=factset&amp;DYN_ARGS=TRUE&amp;DOC_NAME=FAT:FQL_AUDITING_CLIENT_TEMPLATE.FAT&amp;display_string=Audit&amp;VAR:KEY=BYZORMPCHQ&amp;VAR:QUERY=RkZfREVCVChRVFIsMCk=&amp;WINDOW=FIRST_POPUP&amp;HEIGHT=450&amp;WIDTH=450&amp;START_MAXIMIZED=FALSE&amp;VA","R:CALENDAR=US&amp;VAR:SYMBOL=649613&amp;VAR:INDEX=0"}</definedName>
    <definedName name="_34__FDSAUDITLINK__" localSheetId="9" hidden="1">{"fdsup://directions/FAT Viewer?action=UPDATE&amp;creator=factset&amp;DYN_ARGS=TRUE&amp;DOC_NAME=FAT:FQL_AUDITING_CLIENT_TEMPLATE.FAT&amp;display_string=Audit&amp;VAR:KEY=IRGRQDQTWB&amp;VAR:QUERY=RkZfREVCVChRVFIsMCk=&amp;WINDOW=FIRST_POPUP&amp;HEIGHT=450&amp;WIDTH=450&amp;START_MAXIMIZED=FALSE&amp;VA","R:CALENDAR=US&amp;VAR:SYMBOL=680580&amp;VAR:INDEX=0"}</definedName>
    <definedName name="_35__FDSAUDITLINK__" localSheetId="9"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352__123Graph_LBL_BCHART_2" localSheetId="9" hidden="1">#REF!</definedName>
    <definedName name="_353__FDSAUDITLINK__" localSheetId="9"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6__123Graph_ACHART_4" localSheetId="9" hidden="1">#REF!</definedName>
    <definedName name="_36__123Graph_LBL_ACHART_2" localSheetId="9" hidden="1">#REF!</definedName>
    <definedName name="_36__123Graph_LBL_ACHART_3" localSheetId="9" hidden="1">#REF!</definedName>
    <definedName name="_36__FDSAUDITLINK__" localSheetId="9" hidden="1">{"fdsup://directions/FAT Viewer?action=UPDATE&amp;creator=factset&amp;DYN_ARGS=TRUE&amp;DOC_NAME=FAT:FQL_AUDITING_CLIENT_TEMPLATE.FAT&amp;display_string=Audit&amp;VAR:KEY=BOFAPUNSFW&amp;VAR:QUERY=RkZfREVCVChRVFIsMCk=&amp;WINDOW=FIRST_POPUP&amp;HEIGHT=450&amp;WIDTH=450&amp;START_MAXIMIZED=FALSE&amp;VA","R:CALENDAR=US&amp;VAR:SYMBOL=615593&amp;VAR:INDEX=0"}</definedName>
    <definedName name="_36_0__123Graph_ACHAR" localSheetId="9" hidden="1">#REF!</definedName>
    <definedName name="_37__FDSAUDITLINK__" localSheetId="9" hidden="1">{"fdsup://directions/FAT Viewer?action=UPDATE&amp;creator=factset&amp;DYN_ARGS=TRUE&amp;DOC_NAME=FAT:FQL_AUDITING_CLIENT_TEMPLATE.FAT&amp;display_string=Audit&amp;VAR:KEY=NCDWZYHQLY&amp;VAR:QUERY=RkZfREVCVChRVFIsMCk=&amp;WINDOW=FIRST_POPUP&amp;HEIGHT=450&amp;WIDTH=450&amp;START_MAXIMIZED=FALSE&amp;VA","R:CALENDAR=US&amp;VAR:SYMBOL=616216&amp;VAR:INDEX=0"}</definedName>
    <definedName name="_371__FDSAUDITLINK__" localSheetId="9"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9__123Graph_LBL_BCHART_3" localSheetId="9" hidden="1">#REF!</definedName>
    <definedName name="_38__FDSAUDITLINK__" localSheetId="9" hidden="1">{"fdsup://directions/FAT Viewer?action=UPDATE&amp;creator=factset&amp;DYN_ARGS=TRUE&amp;DOC_NAME=FAT:FQL_AUDITING_CLIENT_TEMPLATE.FAT&amp;display_string=Audit&amp;VAR:KEY=LIHILQPEHS&amp;VAR:QUERY=RkZfREVCVChRVFIsMCk=&amp;WINDOW=FIRST_POPUP&amp;HEIGHT=450&amp;WIDTH=450&amp;START_MAXIMIZED=FALSE&amp;VA","R:CALENDAR=US&amp;VAR:SYMBOL=B01LXY&amp;VAR:INDEX=0"}</definedName>
    <definedName name="_38_0__123Graph_BCHAR" localSheetId="9" hidden="1">#REF!</definedName>
    <definedName name="_39__123Graph_LBL_ACHART_4" localSheetId="9" hidden="1">#REF!</definedName>
    <definedName name="_39__123Graph_LBL_BCHART_2" localSheetId="9" hidden="1">#REF!</definedName>
    <definedName name="_39__FDSAUDITLINK__" localSheetId="9" hidden="1">{"fdsup://directions/FAT Viewer?action=UPDATE&amp;creator=factset&amp;DYN_ARGS=TRUE&amp;DOC_NAME=FAT:FQL_AUDITING_CLIENT_TEMPLATE.FAT&amp;display_string=Audit&amp;VAR:KEY=BKHSXEZQRI&amp;VAR:QUERY=RkZfREVCVChRVFIsMCk=&amp;WINDOW=FIRST_POPUP&amp;HEIGHT=450&amp;WIDTH=450&amp;START_MAXIMIZED=FALSE&amp;VA","R:CALENDAR=US&amp;VAR:SYMBOL=B12C0T&amp;VAR:INDEX=0"}</definedName>
    <definedName name="_4__123Graph_ACHART_1" localSheetId="9" hidden="1">#REF!</definedName>
    <definedName name="_4__123Graph_ACHART_2" localSheetId="9" hidden="1">#REF!</definedName>
    <definedName name="_4__123Graph_ACHART_3" localSheetId="9" hidden="1">#REF!</definedName>
    <definedName name="_4__FDSAUDITLINK__" localSheetId="9" hidden="1">{"fdsup://Directions/FactSet Auditing Viewer?action=AUDIT_VALUE&amp;DB=129&amp;ID1=B01LXY&amp;VALUEID=05192&amp;SDATE=201101&amp;PERIODTYPE=QTR_STD&amp;SCFT=3&amp;window=popup_no_bar&amp;width=385&amp;height=120&amp;START_MAXIMIZED=FALSE&amp;creator=factset&amp;display_string=Audit"}</definedName>
    <definedName name="_40__123Graph_BCHART_1" localSheetId="9" hidden="1">#REF!</definedName>
    <definedName name="_40__123Graph_LBL_ACHART_3" localSheetId="9" hidden="1">#REF!</definedName>
    <definedName name="_40__FDSAUDITLINK__" localSheetId="9" hidden="1">{"fdsup://Directions/FactSet Auditing Viewer?action=AUDIT_VALUE&amp;DB=129&amp;ID1=615525&amp;VALUEID=05194&amp;SDATE=201101&amp;PERIODTYPE=QTR_STD&amp;SCFT=3&amp;window=popup_no_bar&amp;width=385&amp;height=120&amp;START_MAXIMIZED=FALSE&amp;creator=factset&amp;display_string=Audit"}</definedName>
    <definedName name="_41__FDSAUDITLINK__" localSheetId="9" hidden="1">{"fdsup://directions/FAT Viewer?action=UPDATE&amp;creator=factset&amp;DYN_ARGS=TRUE&amp;DOC_NAME=FAT:FQL_AUDITING_CLIENT_TEMPLATE.FAT&amp;display_string=Audit&amp;VAR:KEY=NCPODUVUTY&amp;VAR:QUERY=RkZfREVCVChRVFIsMCk=&amp;WINDOW=FIRST_POPUP&amp;HEIGHT=450&amp;WIDTH=450&amp;START_MAXIMIZED=FALSE&amp;VA","R:CALENDAR=US&amp;VAR:SYMBOL=651312&amp;VAR:INDEX=0"}</definedName>
    <definedName name="_42__123Graph_LBL_BCHART_1" localSheetId="9" hidden="1">#REF!</definedName>
    <definedName name="_42__123Graph_LBL_BCHART_3" localSheetId="9" hidden="1">#REF!</definedName>
    <definedName name="_42__FDSAUDITLINK__" localSheetId="9" hidden="1">{"fdsup://directions/FAT Viewer?action=UPDATE&amp;creator=factset&amp;DYN_ARGS=TRUE&amp;DOC_NAME=FAT:FQL_AUDITING_CLIENT_TEMPLATE.FAT&amp;display_string=Audit&amp;VAR:KEY=TCLSBADEBM&amp;VAR:QUERY=RkZfREVCVChRVFIsMCk=&amp;WINDOW=FIRST_POPUP&amp;HEIGHT=450&amp;WIDTH=450&amp;START_MAXIMIZED=FALSE&amp;VA","R:CALENDAR=US&amp;VAR:SYMBOL=610036&amp;VAR:INDEX=0"}</definedName>
    <definedName name="_42_0__123Graph_LBL_ACHAR" localSheetId="9" hidden="1">#REF!</definedName>
    <definedName name="_42wrn.²Ä1­Ó¤ë1_Ü20¤H." localSheetId="9" hidden="1">{#N/A,#N/A,FALSE,"²Ä1­Ó¤ë"}</definedName>
    <definedName name="_43__FDSAUDITLINK__" localSheetId="9" hidden="1">{"fdsup://directions/FAT Viewer?action=UPDATE&amp;creator=factset&amp;DYN_ARGS=TRUE&amp;DOC_NAME=FAT:FQL_AUDITING_CLIENT_TEMPLATE.FAT&amp;display_string=Audit&amp;VAR:KEY=TCVWVCXSPG&amp;VAR:QUERY=RkZfREVCVChRVFIsMCk=&amp;WINDOW=FIRST_POPUP&amp;HEIGHT=450&amp;WIDTH=450&amp;START_MAXIMIZED=FALSE&amp;VA","R:CALENDAR=US&amp;VAR:SYMBOL=B5Q3JZ&amp;VAR:INDEX=0"}</definedName>
    <definedName name="_433__123Graph_XCHART_2" localSheetId="9" hidden="1">#REF!</definedName>
    <definedName name="_44__123Graph_LBL_ACHART_4" localSheetId="9" hidden="1">#REF!</definedName>
    <definedName name="_44__FDSAUDITLINK__" localSheetId="9" hidden="1">{"fdsup://directions/FAT Viewer?action=UPDATE&amp;creator=factset&amp;DYN_ARGS=TRUE&amp;DOC_NAME=FAT:FQL_AUDITING_CLIENT_TEMPLATE.FAT&amp;display_string=Audit&amp;VAR:KEY=FKRWBWPYJQ&amp;VAR:QUERY=RkZfREVCVChRVFIsMCk=&amp;WINDOW=FIRST_POPUP&amp;HEIGHT=450&amp;WIDTH=450&amp;START_MAXIMIZED=FALSE&amp;VA","R:CALENDAR=US&amp;VAR:SYMBOL=B2Q5H5&amp;VAR:INDEX=0"}</definedName>
    <definedName name="_45__123Graph_BCHART_1" localSheetId="9" hidden="1">#REF!</definedName>
    <definedName name="_45__123Graph_LBL_BCHART_2" localSheetId="9" hidden="1">#REF!</definedName>
    <definedName name="_45__123Graph_XCHART_1" localSheetId="9" hidden="1">#REF!</definedName>
    <definedName name="_45__FDSAUDITLINK__" localSheetId="9"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46__FDSAUDITLINK__" localSheetId="9" hidden="1">{"fdsup://directions/FAT Viewer?action=UPDATE&amp;creator=factset&amp;DYN_ARGS=TRUE&amp;DOC_NAME=FAT:FQL_AUDITING_CLIENT_TEMPLATE.FAT&amp;display_string=Audit&amp;VAR:KEY=DUDADIPCVA&amp;VAR:QUERY=RkZfREVCVChRVFIsMCk=&amp;WINDOW=FIRST_POPUP&amp;HEIGHT=450&amp;WIDTH=450&amp;START_MAXIMIZED=FALSE&amp;VA","R:CALENDAR=US&amp;VAR:SYMBOL=B01FLR&amp;VAR:INDEX=0"}</definedName>
    <definedName name="_460__123Graph_XCHART_3" localSheetId="9" hidden="1">#REF!</definedName>
    <definedName name="_47__FDSAUDITLINK__" localSheetId="9" hidden="1">{"fdsup://Directions/FactSet Auditing Viewer?action=AUDIT_VALUE&amp;DB=129&amp;ID1=627137&amp;VALUEID=05194&amp;SDATE=201102&amp;PERIODTYPE=QTR_STD&amp;SCFT=3&amp;window=popup_no_bar&amp;width=385&amp;height=120&amp;START_MAXIMIZED=FALSE&amp;creator=factset&amp;display_string=Audit"}</definedName>
    <definedName name="_48__123Graph_BCHART_2" localSheetId="9" hidden="1">#REF!</definedName>
    <definedName name="_48__123Graph_LBL_BCHART_1" localSheetId="9" hidden="1">#REF!</definedName>
    <definedName name="_48__123Graph_LBL_BCHART_3" localSheetId="9" hidden="1">#REF!</definedName>
    <definedName name="_48__123Graph_XCHART_2" localSheetId="9" hidden="1">#REF!</definedName>
    <definedName name="_48__FDSAUDITLINK__" localSheetId="9" hidden="1">{"fdsup://Directions/FactSet Auditing Viewer?action=AUDIT_VALUE&amp;DB=129&amp;ID1=627137&amp;VALUEID=05192&amp;SDATE=201102&amp;PERIODTYPE=QTR_STD&amp;SCFT=3&amp;window=popup_no_bar&amp;width=385&amp;height=120&amp;START_MAXIMIZED=FALSE&amp;creator=factset&amp;display_string=Audit"}</definedName>
    <definedName name="_481__FDSAUDITLINK__" localSheetId="9" hidden="1">{"fdsup://directions/FAT Viewer?action=UPDATE&amp;creator=factset&amp;DYN_ARGS=TRUE&amp;DOC_NAME=FAT:FQL_AUDITING_CLIENT_TEMPLATE.FAT&amp;display_string=Audit&amp;VAR:KEY=FKZMDKTUXA&amp;VAR:QUERY=KEZGX0JQU19UQU5HKFFUUiw0MDE0MylARkZfQlBTX1RBTkcoQU5OLDQwMTQzKSk=&amp;WINDOW=FIRST_POPUP&amp;H","EIGHT=450&amp;WIDTH=450&amp;START_MAXIMIZED=FALSE&amp;VAR:CALENDAR=US&amp;VAR:SYMBOL=002939&amp;VAR:INDEX=0"}</definedName>
    <definedName name="_487__123Graph_XCHART_4" localSheetId="9" hidden="1">#REF!</definedName>
    <definedName name="_49__FDSAUDITLINK__" localSheetId="9" hidden="1">{"fdsup://directions/FAT Viewer?action=UPDATE&amp;creator=factset&amp;DYN_ARGS=TRUE&amp;DOC_NAME=FAT:FQL_AUDITING_CLIENT_TEMPLATE.FAT&amp;display_string=Audit&amp;VAR:KEY=YLCVWFIZGL&amp;VAR:QUERY=RkZfREVCVChRVFIsMCk=&amp;WINDOW=FIRST_POPUP&amp;HEIGHT=450&amp;WIDTH=450&amp;START_MAXIMIZED=FALSE&amp;VA","R:CALENDAR=US&amp;VAR:SYMBOL=652766&amp;VAR:INDEX=0"}</definedName>
    <definedName name="_5__123Graph_ACHART_3" localSheetId="9" hidden="1">#REF!</definedName>
    <definedName name="_5__123Graph_ACHART_4" localSheetId="9" hidden="1">#REF!</definedName>
    <definedName name="_5__123Graph_BCHART_1" localSheetId="9" hidden="1">#REF!</definedName>
    <definedName name="_5__FDSAUDITLINK__" localSheetId="9" hidden="1">{"fdsup://Directions/FactSet Auditing Viewer?action=AUDIT_VALUE&amp;DB=129&amp;ID1=529412&amp;VALUEID=01004&amp;SDATE=2010&amp;PERIODTYPE=ANN_STD&amp;SCFT=3&amp;window=popup_no_bar&amp;width=385&amp;height=120&amp;START_MAXIMIZED=FALSE&amp;creator=factset&amp;display_string=Audit"}</definedName>
    <definedName name="_50__FDSAUDITLINK__" localSheetId="9" hidden="1">{"fdsup://Directions/FactSet Auditing Viewer?action=AUDIT_VALUE&amp;DB=129&amp;ID1=680580&amp;VALUEID=05194&amp;SDATE=201101&amp;PERIODTYPE=QTR_STD&amp;SCFT=3&amp;window=popup_no_bar&amp;width=385&amp;height=120&amp;START_MAXIMIZED=FALSE&amp;creator=factset&amp;display_string=Audit"}</definedName>
    <definedName name="_51__FDSAUDITLINK__" localSheetId="9" hidden="1">{"fdsup://Directions/FactSet Auditing Viewer?action=AUDIT_VALUE&amp;DB=129&amp;ID1=616216&amp;VALUEID=05194&amp;SDATE=201101&amp;PERIODTYPE=QTR_STD&amp;SCFT=3&amp;window=popup_no_bar&amp;width=385&amp;height=120&amp;START_MAXIMIZED=FALSE&amp;creator=factset&amp;display_string=Audit"}</definedName>
    <definedName name="_52__FDSAUDITLINK__" localSheetId="9" hidden="1">{"fdsup://Directions/FactSet Auditing Viewer?action=AUDIT_VALUE&amp;DB=129&amp;ID1=B01T14&amp;VALUEID=05194&amp;SDATE=201101&amp;PERIODTYPE=QTR_STD&amp;SCFT=3&amp;window=popup_no_bar&amp;width=385&amp;height=120&amp;START_MAXIMIZED=FALSE&amp;creator=factset&amp;display_string=Audit"}</definedName>
    <definedName name="_53__FDSAUDITLINK__" localSheetId="9" hidden="1">{"fdsup://Directions/FactSet Auditing Viewer?action=AUDIT_VALUE&amp;DB=129&amp;ID1=B01LXY&amp;VALUEID=05194&amp;SDATE=201101&amp;PERIODTYPE=QTR_STD&amp;SCFT=3&amp;window=popup_no_bar&amp;width=385&amp;height=120&amp;START_MAXIMIZED=FALSE&amp;creator=factset&amp;display_string=Audit"}</definedName>
    <definedName name="_54__FDSAUDITLINK__" localSheetId="9" hidden="1">{"fdsup://Directions/FactSet Auditing Viewer?action=AUDIT_VALUE&amp;DB=129&amp;ID1=616216&amp;VALUEID=05194&amp;SDATE=201101&amp;PERIODTYPE=QTR_STD&amp;SCFT=3&amp;window=popup_no_bar&amp;width=385&amp;height=120&amp;START_MAXIMIZED=FALSE&amp;creator=factset&amp;display_string=Audit"}</definedName>
    <definedName name="_55__FDSAUDITLINK__" localSheetId="9" hidden="1">{"fdsup://Directions/FactSet Auditing Viewer?action=AUDIT_VALUE&amp;DB=129&amp;ID1=649613&amp;VALUEID=05192&amp;SDATE=201101&amp;PERIODTYPE=QTR_STD&amp;SCFT=3&amp;window=popup_no_bar&amp;width=385&amp;height=120&amp;START_MAXIMIZED=FALSE&amp;creator=factset&amp;display_string=Audit"}</definedName>
    <definedName name="_56__123Graph_BCHART_3" localSheetId="9" hidden="1">#REF!</definedName>
    <definedName name="_56__123Graph_LBL_ACHART_1" localSheetId="9" hidden="1">#REF!</definedName>
    <definedName name="_56__123Graph_LBL_BCHART_3" localSheetId="9" hidden="1">#REF!</definedName>
    <definedName name="_56__FDSAUDITLINK__" localSheetId="9" hidden="1">{"fdsup://Directions/FactSet Auditing Viewer?action=AUDIT_VALUE&amp;DB=129&amp;ID1=680580&amp;VALUEID=05192&amp;SDATE=201101&amp;PERIODTYPE=QTR_STD&amp;SCFT=3&amp;window=popup_no_bar&amp;width=385&amp;height=120&amp;START_MAXIMIZED=FALSE&amp;creator=factset&amp;display_string=Audit"}</definedName>
    <definedName name="_57__FDSAUDITLINK__" localSheetId="9" hidden="1">{"fdsup://Directions/FactSet Auditing Viewer?action=AUDIT_VALUE&amp;DB=129&amp;ID1=616216&amp;VALUEID=05192&amp;SDATE=201101&amp;PERIODTYPE=QTR_STD&amp;SCFT=3&amp;window=popup_no_bar&amp;width=385&amp;height=120&amp;START_MAXIMIZED=FALSE&amp;creator=factset&amp;display_string=Audit"}</definedName>
    <definedName name="_58__FDSAUDITLINK__" localSheetId="9" hidden="1">{"fdsup://Directions/FactSet Auditing Viewer?action=AUDIT_VALUE&amp;DB=129&amp;ID1=B01T14&amp;VALUEID=05192&amp;SDATE=201101&amp;PERIODTYPE=QTR_STD&amp;SCFT=3&amp;window=popup_no_bar&amp;width=385&amp;height=120&amp;START_MAXIMIZED=FALSE&amp;creator=factset&amp;display_string=Audit"}</definedName>
    <definedName name="_59__FDSAUDITLINK__" localSheetId="9" hidden="1">{"fdsup://Directions/FactSet Auditing Viewer?action=AUDIT_VALUE&amp;DB=129&amp;ID1=B01LXY&amp;VALUEID=05192&amp;SDATE=201101&amp;PERIODTYPE=QTR_STD&amp;SCFT=3&amp;window=popup_no_bar&amp;width=385&amp;height=120&amp;START_MAXIMIZED=FALSE&amp;creator=factset&amp;display_string=Audit"}</definedName>
    <definedName name="_6__FDSAUDITLINK__" localSheetId="9" hidden="1">{"fdsup://Directions/FactSet Auditing Viewer?action=AUDIT_VALUE&amp;DB=129&amp;ID1=B2Q4CS&amp;VALUEID=05192&amp;SDATE=201101&amp;PERIODTYPE=QTR_STD&amp;SCFT=3&amp;window=popup_no_bar&amp;width=385&amp;height=120&amp;START_MAXIMIZED=FALSE&amp;creator=factset&amp;display_string=Audit"}</definedName>
    <definedName name="_60__FDSAUDITLINK__" localSheetId="9" hidden="1">{"fdsup://Directions/FactSet Auditing Viewer?action=AUDIT_VALUE&amp;DB=129&amp;ID1=616216&amp;VALUEID=05192&amp;SDATE=201101&amp;PERIODTYPE=QTR_STD&amp;SCFT=3&amp;window=popup_no_bar&amp;width=385&amp;height=120&amp;START_MAXIMIZED=FALSE&amp;creator=factset&amp;display_string=Audit"}</definedName>
    <definedName name="_61__FDSAUDITLINK__" localSheetId="9"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2__FDSAUDITLINK__" localSheetId="9"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2_0__123Graph_BCHAR" localSheetId="9" hidden="1">#REF!</definedName>
    <definedName name="_63__123Graph_BCHART_3" localSheetId="9" hidden="1">#REF!</definedName>
    <definedName name="_63__FDSAUDITLINK__" localSheetId="9"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4__123Graph_LBL_ACHART_1" localSheetId="9" hidden="1">#REF!</definedName>
    <definedName name="_64__123Graph_XCHART_2" localSheetId="9" hidden="1">#REF!</definedName>
    <definedName name="_64__FDSAUDITLINK__" localSheetId="9" hidden="1">{"fdsup://Directions/FactSet Auditing Viewer?action=AUDIT_VALUE&amp;DB=129&amp;ID1=615593&amp;VALUEID=05192&amp;SDATE=201101&amp;PERIODTYPE=QTR_STD&amp;SCFT=3&amp;window=popup_no_bar&amp;width=385&amp;height=120&amp;START_MAXIMIZED=FALSE&amp;creator=factset&amp;display_string=Audit"}</definedName>
    <definedName name="_65__FDSAUDITLINK__" localSheetId="9" hidden="1">{"fdsup://Directions/FactSet Auditing Viewer?action=AUDIT_VALUE&amp;DB=129&amp;ID1=615593&amp;VALUEID=05194&amp;SDATE=201101&amp;PERIODTYPE=QTR_STD&amp;SCFT=3&amp;window=popup_no_bar&amp;width=385&amp;height=120&amp;START_MAXIMIZED=FALSE&amp;creator=factset&amp;display_string=Audit"}</definedName>
    <definedName name="_66__FDSAUDITLINK__" localSheetId="9" hidden="1">{"fdsup://Directions/FactSet Auditing Viewer?action=AUDIT_VALUE&amp;DB=129&amp;ID1=B62B9W&amp;VALUEID=05192&amp;SDATE=201101&amp;PERIODTYPE=QTR_STD&amp;SCFT=3&amp;window=popup_no_bar&amp;width=385&amp;height=120&amp;START_MAXIMIZED=FALSE&amp;creator=factset&amp;display_string=Audit"}</definedName>
    <definedName name="_67__FDSAUDITLINK__" localSheetId="9" hidden="1">{"fdsup://Directions/FactSet Auditing Viewer?action=AUDIT_VALUE&amp;DB=129&amp;ID1=B62B9W&amp;VALUEID=05194&amp;SDATE=201101&amp;PERIODTYPE=QTR_STD&amp;SCFT=3&amp;window=popup_no_bar&amp;width=385&amp;height=120&amp;START_MAXIMIZED=FALSE&amp;creator=factset&amp;display_string=Audit"}</definedName>
    <definedName name="_68__FDSAUDITLINK__" localSheetId="9"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9__FDSAUDITLINK__" localSheetId="9" hidden="1">{"fdsup://Directions/FactSet Auditing Viewer?action=AUDIT_VALUE&amp;DB=129&amp;ID1=B12C0T&amp;VALUEID=05194&amp;SDATE=201101&amp;PERIODTYPE=QTR_STD&amp;SCFT=3&amp;window=popup_no_bar&amp;width=385&amp;height=120&amp;START_MAXIMIZED=FALSE&amp;creator=factset&amp;display_string=Audit"}</definedName>
    <definedName name="_7__FDSAUDITLINK__" localSheetId="9" hidden="1">{"fdsup://Directions/FactSet Auditing Viewer?action=AUDIT_VALUE&amp;DB=129&amp;ID1=B601QS&amp;VALUEID=05192&amp;SDATE=201101&amp;PERIODTYPE=QTR_STD&amp;SCFT=3&amp;window=popup_no_bar&amp;width=385&amp;height=120&amp;START_MAXIMIZED=FALSE&amp;creator=factset&amp;display_string=Audit"}</definedName>
    <definedName name="_70__FDSAUDITLINK__" localSheetId="9" hidden="1">{"fdsup://Directions/FactSet Auditing Viewer?action=AUDIT_VALUE&amp;DB=129&amp;ID1=B12C0T&amp;VALUEID=05192&amp;SDATE=201101&amp;PERIODTYPE=QTR_STD&amp;SCFT=3&amp;window=popup_no_bar&amp;width=385&amp;height=120&amp;START_MAXIMIZED=FALSE&amp;creator=factset&amp;display_string=Audit"}</definedName>
    <definedName name="_71__FDSAUDITLINK__" localSheetId="9" hidden="1">{"fdsup://Directions/FactSet Auditing Viewer?action=AUDIT_VALUE&amp;DB=129&amp;ID1=B12C0T&amp;VALUEID=05194&amp;SDATE=201101&amp;PERIODTYPE=QTR_STD&amp;SCFT=3&amp;window=popup_no_bar&amp;width=385&amp;height=120&amp;START_MAXIMIZED=FALSE&amp;creator=factset&amp;display_string=Audit"}</definedName>
    <definedName name="_72__123Graph_LBL_ACHART_2" localSheetId="9" hidden="1">#REF!</definedName>
    <definedName name="_72__123Graph_XCHART_4" localSheetId="9" hidden="1">#REF!</definedName>
    <definedName name="_72__FDSAUDITLINK__" localSheetId="9" hidden="1">{"fdsup://directions/FAT Viewer?action=UPDATE&amp;creator=factset&amp;DYN_ARGS=TRUE&amp;DOC_NAME=FAT:FQL_AUDITING_CLIENT_TEMPLATE.FAT&amp;display_string=Audit&amp;VAR:KEY=EPKPEBABGZ&amp;VAR:QUERY=RkZfREVCVChRVFIsMCk=&amp;WINDOW=FIRST_POPUP&amp;HEIGHT=450&amp;WIDTH=450&amp;START_MAXIMIZED=FALSE&amp;VA","R:CALENDAR=US&amp;VAR:SYMBOL=B62B9W&amp;VAR:INDEX=0"}</definedName>
    <definedName name="_73__FDSAUDITLINK__" localSheetId="9" hidden="1">{"fdsup://Directions/FactSet Auditing Viewer?action=AUDIT_VALUE&amp;DB=129&amp;ID1=B0YCFG&amp;VALUEID=05192&amp;SDATE=201101&amp;PERIODTYPE=QTR_STD&amp;SCFT=3&amp;window=popup_no_bar&amp;width=385&amp;height=120&amp;START_MAXIMIZED=FALSE&amp;creator=factset&amp;display_string=Audit"}</definedName>
    <definedName name="_74__FDSAUDITLINK__" localSheetId="9" hidden="1">{"fdsup://Directions/FactSet Auditing Viewer?action=AUDIT_VALUE&amp;DB=129&amp;ID1=B0YCFG&amp;VALUEID=05194&amp;SDATE=201101&amp;PERIODTYPE=QTR_STD&amp;SCFT=3&amp;window=popup_no_bar&amp;width=385&amp;height=120&amp;START_MAXIMIZED=FALSE&amp;creator=factset&amp;display_string=Audit"}</definedName>
    <definedName name="_75__FDSAUDITLINK__" localSheetId="9" hidden="1">{"fdsup://Directions/FactSet Auditing Viewer?action=AUDIT_VALUE&amp;DB=129&amp;ID1=649613&amp;VALUEID=05192&amp;SDATE=201101&amp;PERIODTYPE=QTR_STD&amp;SCFT=3&amp;window=popup_no_bar&amp;width=385&amp;height=120&amp;START_MAXIMIZED=FALSE&amp;creator=factset&amp;display_string=Audit"}</definedName>
    <definedName name="_76__FDSAUDITLINK__" localSheetId="9" hidden="1">{"fdsup://Directions/FactSet Auditing Viewer?action=AUDIT_VALUE&amp;DB=129&amp;ID1=B12C0T&amp;VALUEID=05192&amp;SDATE=201101&amp;PERIODTYPE=QTR_STD&amp;SCFT=3&amp;window=popup_no_bar&amp;width=385&amp;height=120&amp;START_MAXIMIZED=FALSE&amp;creator=factset&amp;display_string=Audit"}</definedName>
    <definedName name="_77__FDSAUDITLINK__" localSheetId="9" hidden="1">{"fdsup://Directions/FactSet Auditing Viewer?action=AUDIT_VALUE&amp;DB=129&amp;ID1=B12C0T&amp;VALUEID=05192&amp;SDATE=201101&amp;PERIODTYPE=QTR_STD&amp;SCFT=3&amp;window=popup_no_bar&amp;width=385&amp;height=120&amp;START_MAXIMIZED=FALSE&amp;creator=factset&amp;display_string=Audit"}</definedName>
    <definedName name="_78__FDSAUDITLINK__" localSheetId="9" hidden="1">{"fdsup://Directions/FactSet Auditing Viewer?action=AUDIT_VALUE&amp;DB=129&amp;ID1=B12C0T&amp;VALUEID=05192&amp;SDATE=201101&amp;PERIODTYPE=QTR_STD&amp;SCFT=3&amp;window=popup_no_bar&amp;width=385&amp;height=120&amp;START_MAXIMIZED=FALSE&amp;creator=factset&amp;display_string=Audit"}</definedName>
    <definedName name="_79__FDSAUDITLINK__" localSheetId="9" hidden="1">{"fdsup://Directions/FactSet Auditing Viewer?action=AUDIT_VALUE&amp;DB=129&amp;ID1=680580&amp;VALUEID=05194&amp;SDATE=201101&amp;PERIODTYPE=QTR_STD&amp;SCFT=3&amp;window=popup_no_bar&amp;width=385&amp;height=120&amp;START_MAXIMIZED=FALSE&amp;creator=factset&amp;display_string=Audit"}</definedName>
    <definedName name="_8__123Graph_ACHART_1" localSheetId="9" hidden="1">#REF!</definedName>
    <definedName name="_8__123Graph_ACHART_2" localSheetId="9" hidden="1">#REF!</definedName>
    <definedName name="_8__123Graph_BCHART_2" localSheetId="9" hidden="1">#REF!</definedName>
    <definedName name="_8__123Graph_BCHART_3" localSheetId="9" hidden="1">#REF!</definedName>
    <definedName name="_8__FDSAUDITLINK__" localSheetId="9" hidden="1">{"fdsup://Directions/FactSet Auditing Viewer?action=AUDIT_VALUE&amp;DB=129&amp;ID1=002939&amp;VALUEID=01004&amp;SDATE=2010&amp;PERIODTYPE=ANN_STD&amp;SCFT=3&amp;window=popup_no_bar&amp;width=385&amp;height=120&amp;START_MAXIMIZED=FALSE&amp;creator=factset&amp;display_string=Audit"}</definedName>
    <definedName name="_80__123Graph_LBL_ACHART_3" localSheetId="9" hidden="1">#REF!</definedName>
    <definedName name="_80__FDSAUDITLINK__" localSheetId="9" hidden="1">{"fdsup://Directions/FactSet Auditing Viewer?action=AUDIT_VALUE&amp;DB=129&amp;ID1=680580&amp;VALUEID=05192&amp;SDATE=201101&amp;PERIODTYPE=QTR_STD&amp;SCFT=3&amp;window=popup_no_bar&amp;width=385&amp;height=120&amp;START_MAXIMIZED=FALSE&amp;creator=factset&amp;display_string=Audit"}</definedName>
    <definedName name="_81__FDSAUDITLINK__" localSheetId="9" hidden="1">{"fdsup://Directions/FactSet Auditing Viewer?action=AUDIT_VALUE&amp;DB=129&amp;ID1=B0YCFG&amp;VALUEID=05192&amp;SDATE=201101&amp;PERIODTYPE=QTR_STD&amp;SCFT=3&amp;window=popup_no_bar&amp;width=385&amp;height=120&amp;START_MAXIMIZED=FALSE&amp;creator=factset&amp;display_string=Audit"}</definedName>
    <definedName name="_82__FDSAUDITLINK__" localSheetId="9" hidden="1">{"fdsup://Directions/FactSet Auditing Viewer?action=AUDIT_VALUE&amp;DB=129&amp;ID1=B62B9W&amp;VALUEID=05192&amp;SDATE=201101&amp;PERIODTYPE=QTR_STD&amp;SCFT=3&amp;window=popup_no_bar&amp;width=385&amp;height=120&amp;START_MAXIMIZED=FALSE&amp;creator=factset&amp;display_string=Audit"}</definedName>
    <definedName name="_83__FDSAUDITLINK__" localSheetId="9"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84__FDSAUDITLINK__" localSheetId="9"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85__FDSAUDITLINK__" localSheetId="9"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88__123Graph_LBL_ACHART_4" localSheetId="9" hidden="1">#REF!</definedName>
    <definedName name="_9__123Graph_ACHART_1" localSheetId="9" hidden="1">#REF!</definedName>
    <definedName name="_9__123Graph_ACHART_3" localSheetId="9" hidden="1">#REF!</definedName>
    <definedName name="_9__123Graph_BCHART_3" localSheetId="9" hidden="1">#REF!</definedName>
    <definedName name="_9__FDSAUDITLINK__" localSheetId="9" hidden="1">{"fdsup://Directions/FactSet Auditing Viewer?action=AUDIT_VALUE&amp;DB=129&amp;ID1=B2QKWK&amp;VALUEID=05192&amp;SDATE=201101&amp;PERIODTYPE=QTR_STD&amp;SCFT=3&amp;window=popup_no_bar&amp;width=385&amp;height=120&amp;START_MAXIMIZED=FALSE&amp;creator=factset&amp;display_string=Audit"}</definedName>
    <definedName name="_96__123Graph_LBL_BCHART_1" localSheetId="9" hidden="1">#REF!</definedName>
    <definedName name="_99__123Graph_LBL_ACHART_4" localSheetId="9" hidden="1">#REF!</definedName>
    <definedName name="_a1" localSheetId="9" hidden="1">{#N/A,#N/A,FALSE,"Pharm";#N/A,#N/A,FALSE,"WWCM"}</definedName>
    <definedName name="_A11" localSheetId="9" hidden="1">{#N/A,#N/A,FALSE,"Umsatz 99";#N/A,#N/A,FALSE,"ER 99 "}</definedName>
    <definedName name="_aaa1" localSheetId="9" hidden="1">{#N/A,#N/A,FALSE,"REPORT"}</definedName>
    <definedName name="_aas1" localSheetId="9" hidden="1">{#N/A,#N/A,FALSE,"REPORT"}</definedName>
    <definedName name="_ACS2000" localSheetId="9" hidden="1">{#N/A,#N/A,FALSE,"REPORT"}</definedName>
    <definedName name="_Actual_for_2004_Measure" localSheetId="9" hidden="1">#REF!</definedName>
    <definedName name="_ADS1" localSheetId="9" hidden="1">{"FCB_ALL",#N/A,FALSE,"FCB"}</definedName>
    <definedName name="_age1"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pr03" localSheetId="9" hidden="1">{"Statement of Income",#N/A,TRUE,"Mar99";"Balance Sheet",#N/A,TRUE,"Mar99"}</definedName>
    <definedName name="_Apr04" localSheetId="9" hidden="1">{"Statement of Income",#N/A,TRUE,"Mar99";"Balance Sheet",#N/A,TRUE,"Mar99"}</definedName>
    <definedName name="_as1" localSheetId="9" hidden="1">{"FCB_ALL",#N/A,FALSE,"FCB"}</definedName>
    <definedName name="_AS2" localSheetId="9" hidden="1">{"FCB_ALL",#N/A,FALSE,"FCB"}</definedName>
    <definedName name="_as3" localSheetId="9" hidden="1">{"FCB_ALL",#N/A,FALSE,"FCB"}</definedName>
    <definedName name="_AS4" localSheetId="9" hidden="1">{"FCB_ALL",#N/A,FALSE,"FCB"}</definedName>
    <definedName name="_as6" localSheetId="9" hidden="1">{"FCB_ALL",#N/A,FALSE,"FCB"}</definedName>
    <definedName name="_AS7" localSheetId="9" hidden="1">{"FCB_ALL",#N/A,FALSE,"FCB"}</definedName>
    <definedName name="_aud98" localSheetId="9">#REF!</definedName>
    <definedName name="_aug04" localSheetId="9" hidden="1">{"Statement of Income",#N/A,TRUE,"Mar99";"Balance Sheet",#N/A,TRUE,"Mar99"}</definedName>
    <definedName name="_b111" localSheetId="9" hidden="1">{#N/A,#N/A,FALSE,"Pharm";#N/A,#N/A,FALSE,"WWCM"}</definedName>
    <definedName name="_bdm.009bf12725d4456aa5aaf02394719683.edm" localSheetId="9" hidden="1">#REF!</definedName>
    <definedName name="_bdm.02fd679d145d41ba97140b66ebb9860a.edm" localSheetId="9" hidden="1">#REF!</definedName>
    <definedName name="_bdm.030d8fea3f6442edbb9937e5d03c81c9.edm" localSheetId="9" hidden="1">#REF!</definedName>
    <definedName name="_bdm.f98f720359e04de195dafd5feb1f2931.edm" localSheetId="9" hidden="1">#REF!</definedName>
    <definedName name="_c" localSheetId="9" hidden="1">{"Fiesta Facer Page",#N/A,FALSE,"Q_C_S";"Fiesta Main Page",#N/A,FALSE,"V_L";"Fiesta 95BP Struct",#N/A,FALSE,"StructBP";"Fiesta Post 95BP Struct",#N/A,FALSE,"AdjStructBP"}</definedName>
    <definedName name="_cd1" localSheetId="9" hidden="1">{#N/A,#N/A,FALSE,"Job Sched"}</definedName>
    <definedName name="_cd2" localSheetId="9" hidden="1">{#N/A,#N/A,FALSE,"Job Sched"}</definedName>
    <definedName name="_CD3" localSheetId="9" hidden="1">{#N/A,#N/A,FALSE,"Job Sched"}</definedName>
    <definedName name="_cd4" localSheetId="9" hidden="1">{#N/A,#N/A,FALSE,"Job Sched"}</definedName>
    <definedName name="_Cd5" localSheetId="9" hidden="1">{#N/A,#N/A,FALSE,"A"}</definedName>
    <definedName name="_cd8" localSheetId="9" hidden="1">{#N/A,#N/A,FALSE,"Job Sched"}</definedName>
    <definedName name="_Dec01" localSheetId="9" hidden="1">{"Statement of Income",#N/A,TRUE,"Mar99";"Balance Sheet",#N/A,TRUE,"Mar99"}</definedName>
    <definedName name="_df1" localSheetId="9" hidden="1">{#N/A,#N/A,FALSE,"Calc";#N/A,#N/A,FALSE,"Sensitivity";#N/A,#N/A,FALSE,"LT Earn.Dil.";#N/A,#N/A,FALSE,"Dil. AVP"}</definedName>
    <definedName name="_df2" localSheetId="9" hidden="1">{#N/A,#N/A,FALSE,"Calc";#N/A,#N/A,FALSE,"Sensitivity";#N/A,#N/A,FALSE,"LT Earn.Dil.";#N/A,#N/A,FALSE,"Dil. AVP"}</definedName>
    <definedName name="_dfd1" localSheetId="9" hidden="1">{"FCB_ALL",#N/A,FALSE,"FCB";"GREY_ALL",#N/A,FALSE,"GREY"}</definedName>
    <definedName name="_dfk1"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ist_Values" localSheetId="9" hidden="1">#REF!</definedName>
    <definedName name="_djd1"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ex1" localSheetId="9">#REF!</definedName>
    <definedName name="_fas123" localSheetId="9" hidden="1">{"Balance Sheet",#N/A,FALSE,"Annual Summary";"Cashflows",#N/A,FALSE,"Annual Summary";"Summary Earnings",#N/A,FALSE,"Annual Summary"}</definedName>
    <definedName name="_feb01" localSheetId="9" hidden="1">{"Statement of Income",#N/A,TRUE,"Mar99";"Balance Sheet",#N/A,TRUE,"Mar99"}</definedName>
    <definedName name="_feb02" localSheetId="9" hidden="1">{"Statement of Income",#N/A,TRUE,"Mar99";"Balance Sheet",#N/A,TRUE,"Mar99"}</definedName>
    <definedName name="_Fill" localSheetId="9" hidden="1">#REF!</definedName>
    <definedName name="_fy97" localSheetId="9" hidden="1">{#N/A,#N/A,FALSE,"FY97";#N/A,#N/A,FALSE,"FY98";#N/A,#N/A,FALSE,"FY99";#N/A,#N/A,FALSE,"FY00";#N/A,#N/A,FALSE,"FY01"}</definedName>
    <definedName name="_hd1" localSheetId="9" hidden="1">{#N/A,#N/A,FALSE,"Calc";#N/A,#N/A,FALSE,"Sensitivity";#N/A,#N/A,FALSE,"LT Earn.Dil.";#N/A,#N/A,FALSE,"Dil. AVP"}</definedName>
    <definedName name="_hd2" localSheetId="9" hidden="1">{#N/A,#N/A,FALSE,"Calc";#N/A,#N/A,FALSE,"Sensitivity";#N/A,#N/A,FALSE,"LT Earn.Dil.";#N/A,#N/A,FALSE,"Dil. AVP"}</definedName>
    <definedName name="_I2" localSheetId="9" hidden="1">{"PVGraph2",#N/A,FALSE,"PV Data"}</definedName>
    <definedName name="_I3" localSheetId="9" hidden="1">{"PVGraph2",#N/A,FALSE,"PV Data"}</definedName>
    <definedName name="_isg2" localSheetId="9" hidden="1">{#N/A,#N/A,FALSE,"REPORT"}</definedName>
    <definedName name="_Jun02" localSheetId="9" hidden="1">{"Statement of Income",#N/A,TRUE,"Mar99";"Balance Sheet",#N/A,TRUE,"Mar99"}</definedName>
    <definedName name="_Key1" localSheetId="9" hidden="1">#REF!</definedName>
    <definedName name="_Mar03" localSheetId="9" hidden="1">{"Statement of Income",#N/A,TRUE,"Mar99";"Balance Sheet",#N/A,TRUE,"Mar99"}</definedName>
    <definedName name="_Mar04" localSheetId="9" hidden="1">{"Statement of Income",#N/A,TRUE,"Mar99";"Balance Sheet",#N/A,TRUE,"Mar99"}</definedName>
    <definedName name="_mfg2" localSheetId="9" hidden="1">{"PAGE 1",#N/A,FALSE,"WEST_OT"}</definedName>
    <definedName name="_mfg3" localSheetId="9" hidden="1">{"PAGE 1",#N/A,FALSE,"WEST_OT"}</definedName>
    <definedName name="_mfg4" localSheetId="9" hidden="1">{"PAGE 1",#N/A,FALSE,"WEST_OT"}</definedName>
    <definedName name="_mfg5" localSheetId="9" hidden="1">{"PAGE 1",#N/A,FALSE,"WEST_OT"}</definedName>
    <definedName name="_new1" localSheetId="9" hidden="1">{#N/A,#N/A,FALSE,"Pharm";#N/A,#N/A,FALSE,"WWCM"}</definedName>
    <definedName name="_new22" localSheetId="9" hidden="1">{#N/A,#N/A,FALSE,"Income";#N/A,#N/A,FALSE,"Cost of Goods Sold";#N/A,#N/A,FALSE,"Other Costs";#N/A,#N/A,FALSE,"Other Income";#N/A,#N/A,FALSE,"Taxes";#N/A,#N/A,FALSE,"Other Deductions";#N/A,#N/A,FALSE,"Compensation of Officers"}</definedName>
    <definedName name="_nt97" localSheetId="9">#REF!</definedName>
    <definedName name="_nt98" localSheetId="9">#REF!</definedName>
    <definedName name="_o1" localSheetId="9" hidden="1">{#N/A,#N/A,FALSE,"SUMMARY";#N/A,#N/A,FALSE,"mcsh";#N/A,#N/A,FALSE,"vol&amp;rev";#N/A,#N/A,FALSE,"wkgcap";#N/A,#N/A,FALSE,"DEPR&amp;DT";#N/A,#N/A,FALSE,"ASSETS";#N/A,#N/A,FALSE,"NI&amp;OTH&amp;DIV";#N/A,#N/A,FALSE,"CASHFLOW";#N/A,#N/A,FALSE,"CAPEMPL";#N/A,#N/A,FALSE,"ROCE"}</definedName>
    <definedName name="_OCT01" localSheetId="9" hidden="1">{"Statement of Income",#N/A,TRUE,"Mar99";"Balance Sheet",#N/A,TRUE,"Mar99"}</definedName>
    <definedName name="_OCT03" localSheetId="9" hidden="1">{"Statement of Income",#N/A,TRUE,"Mar99";"Balance Sheet",#N/A,TRUE,"Mar99"}</definedName>
    <definedName name="_OK2" localSheetId="9" hidden="1">{#N/A,#N/A,FALSE,"Cover";#N/A,#N/A,FALSE,"LUMI";#N/A,#N/A,FALSE,"COMD";#N/A,#N/A,FALSE,"Valuation";#N/A,#N/A,FALSE,"Assumptions";#N/A,#N/A,FALSE,"Pooling";#N/A,#N/A,FALSE,"BalanceSheet"}</definedName>
    <definedName name="_old2" localSheetId="9" hidden="1">{#N/A,#N/A,FALSE,"Income";#N/A,#N/A,FALSE,"Cost of Goods Sold";#N/A,#N/A,FALSE,"Other Costs";#N/A,#N/A,FALSE,"Other Income";#N/A,#N/A,FALSE,"Taxes";#N/A,#N/A,FALSE,"Other Deductions";#N/A,#N/A,FALSE,"Compensation of Officers"}</definedName>
    <definedName name="_org_H_per_pot_others" localSheetId="9">#REF!</definedName>
    <definedName name="_p1" localSheetId="9" hidden="1">{"SUM",#N/A,FALSE,"Details (2)"}</definedName>
    <definedName name="_Parse_In" localSheetId="9" hidden="1">#REF!</definedName>
    <definedName name="_Parse_Out" localSheetId="9" hidden="1">#REF!</definedName>
    <definedName name="_PL2" localSheetId="9"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4" localSheetId="9" hidden="1">{#N/A,#N/A,FALSE,"Report Data";#N/A,#N/A,FALSE,"COMP POOL";#N/A,#N/A,FALSE,"COMP POOL NB95";#N/A,#N/A,FALSE,"COMP POOL NB94"}</definedName>
    <definedName name="_PL5" localSheetId="9"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p2" localSheetId="9" hidden="1">{"Summary",#N/A,FALSE,"Details (2)"}</definedName>
    <definedName name="_ppp1" localSheetId="9" hidden="1">{"SUM",#N/A,FALSE,"Details (2)"}</definedName>
    <definedName name="_q2" localSheetId="9" hidden="1">{"Summary",#N/A,FALSE,"Details (2)"}</definedName>
    <definedName name="_q4" localSheetId="9" hidden="1">{"Summary",#N/A,FALSE,"Details (2)"}</definedName>
    <definedName name="_q5" localSheetId="9" hidden="1">{"SUM",#N/A,FALSE,"Details (2)"}</definedName>
    <definedName name="_r" localSheetId="9" hidden="1">{#N/A,#N/A,FALSE,"Pharm";#N/A,#N/A,FALSE,"WWCM"}</definedName>
    <definedName name="_Regression_Out" localSheetId="9" hidden="1">#REF!</definedName>
    <definedName name="_Regression_X" localSheetId="9" hidden="1">#REF!</definedName>
    <definedName name="_Regression_Y" localSheetId="9" hidden="1">#REF!</definedName>
    <definedName name="_SEP01" localSheetId="9" hidden="1">{"Statement of Income",#N/A,TRUE,"Mar99";"Balance Sheet",#N/A,TRUE,"Mar99"}</definedName>
    <definedName name="_Sep03" localSheetId="9" hidden="1">{"Statement of Income",#N/A,TRUE,"Mar99";"Balance Sheet",#N/A,TRUE,"Mar99"}</definedName>
    <definedName name="_sg1" localSheetId="9">#REF!</definedName>
    <definedName name="_sgd97" localSheetId="9">#REF!</definedName>
    <definedName name="_sgd98" localSheetId="9">#REF!</definedName>
    <definedName name="_sop3" localSheetId="9" hidden="1">{"data",#N/A,FALSE,"client (3)";"margins",#N/A,FALSE,"client (3)";"multiple",#N/A,FALSE,"client (3)"}</definedName>
    <definedName name="_Sort" localSheetId="9" hidden="1">#REF!</definedName>
    <definedName name="_t2" localSheetId="9" hidden="1">{"'Sheet1'!$A$5:$G$42"}</definedName>
    <definedName name="_t9" localSheetId="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able1_In1" localSheetId="9" hidden="1">#REF!</definedName>
    <definedName name="_Table3_In2" localSheetId="9" hidden="1">#REF!</definedName>
    <definedName name="_tm1" localSheetId="9" hidden="1">{#N/A,#N/A,FALSE,"Pharm";#N/A,#N/A,FALSE,"WWCM"}</definedName>
    <definedName name="_TMAutoChart1Names" localSheetId="9" hidden="1">{"Timeline","Chart 6","Timeline Chart 6"}</definedName>
    <definedName name="_TMAutoChart1Refs" localSheetId="9" hidden="1">{"","","'Timeline'!$F$16","'Timeline'!$F$25","","","","","",""}</definedName>
    <definedName name="_TMAutoChart2Names" localSheetId="9" hidden="1">{"Timeline","Chart 6","Timeline Chart 6"}</definedName>
    <definedName name="_TMAutoChart2Refs" localSheetId="9" hidden="1">{"","","'Timeline'!$F$16","'Timeline'!$H$25","","","","","",""}</definedName>
    <definedName name="_v2" localSheetId="9" hidden="1">{"arpm1995",#N/A,FALSE,"Summary 95-96";"bus_long_distance",#N/A,FALSE,"Summary 95-96";"mins_per_day",#N/A,FALSE,"Summary 95-96";"minutes1995",#N/A,FALSE,"Summary 95-96";"rev_per_day",#N/A,FALSE,"Summary 95-96";"view1995",#N/A,FALSE,"Summary 95-96"}</definedName>
    <definedName name="_ver1" localSheetId="9"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w1" localSheetId="9" hidden="1">{"PVGraph2",#N/A,FALSE,"PV Data"}</definedName>
    <definedName name="_w2" localSheetId="9" hidden="1">{"PVGraph2",#N/A,FALSE,"PV Data"}</definedName>
    <definedName name="_w3" localSheetId="9" hidden="1">{"PVGraph2",#N/A,FALSE,"PV Data"}</definedName>
    <definedName name="_wrn1" localSheetId="9" hidden="1">{#N/A,#N/A,FALSE,"DCF";#N/A,#N/A,FALSE,"WACC";#N/A,#N/A,FALSE,"Sales_EBIT";#N/A,#N/A,FALSE,"Capex_Depreciation";#N/A,#N/A,FALSE,"WC";#N/A,#N/A,FALSE,"Interest";#N/A,#N/A,FALSE,"Assumptions"}</definedName>
    <definedName name="_wrn2" localSheetId="9" hidden="1">{#N/A,#N/A,FALSE,"ASSUMPTIONS";#N/A,#N/A,FALSE,"Valuation Summary";"page1",#N/A,FALSE,"PRESENTATION";"page2",#N/A,FALSE,"PRESENTATION";#N/A,#N/A,FALSE,"ORIGINAL_ROLLBACK"}</definedName>
    <definedName name="_wrn3" localSheetId="9" hidden="1">{#N/A,#N/A,FALSE,"ASSUMPTIONS";#N/A,#N/A,FALSE,"Valuation Summary";"page1",#N/A,FALSE,"PRESENTATION";"page2",#N/A,FALSE,"PRESENTATION";#N/A,#N/A,FALSE,"ORIGINAL_ROLLBACK"}</definedName>
    <definedName name="_wrn9" localSheetId="9" hidden="1">{"FCB_ALL",#N/A,FALSE,"FCB"}</definedName>
    <definedName name="_ww2" localSheetId="9" hidden="1">{#N/A,#N/A,FALSE,"Admin";#N/A,#N/A,FALSE,"Other"}</definedName>
    <definedName name="_X1" localSheetId="9" hidden="1">{"Summary",#N/A,FALSE,"Details (2)"}</definedName>
    <definedName name="_X2" localSheetId="9" hidden="1">{#N/A,#N/A,FALSE,"Other";#N/A,#N/A,FALSE,"Ace";#N/A,#N/A,FALSE,"Derm"}</definedName>
    <definedName name="_xlcn.LinkedTable_Table11" localSheetId="9" hidden="1">#REF!</definedName>
    <definedName name="_y2" localSheetId="9" hidden="1">{"PVGraph2",#N/A,FALSE,"PV Data"}</definedName>
    <definedName name="_Zcomps1" localSheetId="9" hidden="1">{0,0,0,0,1,-4105,42.5196850393701,42.5196850393701,42.5196850393701,42.5196850393701,2,TRUE,TRUE,FALSE,FALSE,FALSE,#N/A,1,85,1,1,"","","","&amp;""Kennerly,Roman Bold""&amp;14L&amp;12EHMAN &amp;14 B&amp;12ROTHERS","","",FALSE}</definedName>
    <definedName name="_Zcomps2" localSheetId="9" hidden="1">{0,0,0,0,1,-4105,28.3464566929134,28.3464566929134,28.346456664,28.3464566929134,2,TRUE,TRUE,FALSE,FALSE,FALSE,#N/A,1,85,1,2,"","","","&amp;""Kennerly,Roman Bold""&amp;14L&amp;12EHMAN &amp;14 B&amp;12ROTHERS","","",FALSE}</definedName>
    <definedName name="A" localSheetId="9" hidden="1">#REF!</definedName>
    <definedName name="aa" localSheetId="9" hidden="1">{#N/A,#N/A,FALSE,"Pharm";#N/A,#N/A,FALSE,"WWCM"}</definedName>
    <definedName name="aa.2" localSheetId="9" hidden="1">{#N/A,#N/A,FALSE,"Cashflow Analysis";#N/A,#N/A,FALSE,"Sensitivity Analysis";#N/A,#N/A,FALSE,"PV";#N/A,#N/A,FALSE,"Pro Forma"}</definedName>
    <definedName name="aaa" localSheetId="9" hidden="1">{#N/A,#N/A,FALSE,"Pharm";#N/A,#N/A,FALSE,"WWCM"}</definedName>
    <definedName name="aaaa" localSheetId="9" hidden="1">{#N/A,#N/A,FALSE,"REPORT"}</definedName>
    <definedName name="aaaaa" localSheetId="9" hidden="1">{#N/A,#N/A,FALSE,"REPORT"}</definedName>
    <definedName name="aaaaaa" localSheetId="9" hidden="1">{#N/A,#N/A,FALSE,"REPORT"}</definedName>
    <definedName name="aaaaaaa" localSheetId="9" hidden="1">{"barlup",#N/A,FALSE,"evabnk97";"gillespey",#N/A,FALSE,"evabnk97";"koon",#N/A,FALSE,"evabnk97";"schreur",#N/A,FALSE,"evabnk97";"stone",#N/A,FALSE,"evabnk97";"wichmann",#N/A,FALSE,"evabnk97";"wright",#N/A,FALSE,"evabnk97"}</definedName>
    <definedName name="aaaaaaaaaa" localSheetId="9" hidden="1">{"FCB_ALL",#N/A,FALSE,"FCB";"GREY_ALL",#N/A,FALSE,"GREY"}</definedName>
    <definedName name="aaaaaaaaaaa" localSheetId="9" hidden="1">{#N/A,#N/A,FALSE,"REPORT"}</definedName>
    <definedName name="aaaaaaaaaaaa" localSheetId="9" hidden="1">{#N/A,#N/A,TRUE,"BUD VS ACT AUST 96";#N/A,#N/A,TRUE,"96 COMP P&amp;L-AUST";#N/A,#N/A,TRUE,"COMP BS-AUSTRALIA";#N/A,#N/A,TRUE,"B/S - AUSTR."}</definedName>
    <definedName name="aaaaaaaaaaaaaaa" localSheetId="9" hidden="1">{#N/A,#N/A,FALSE,"Pharm";#N/A,#N/A,FALSE,"WWCM"}</definedName>
    <definedName name="aaasb" localSheetId="9" hidden="1">{#N/A,#N/A,FALSE,"Pharm";#N/A,#N/A,FALSE,"WWCM"}</definedName>
    <definedName name="aab" localSheetId="9" hidden="1">{#N/A,#N/A,FALSE,"Pharm";#N/A,#N/A,FALSE,"WWCM"}</definedName>
    <definedName name="aaddd" localSheetId="9" hidden="1">{#N/A,#N/A,FALSE,"REPORT"}</definedName>
    <definedName name="aas" localSheetId="9" hidden="1">{#N/A,#N/A,FALSE,"1";#N/A,#N/A,FALSE,"2";#N/A,#N/A,FALSE,"16 - 17";#N/A,#N/A,FALSE,"18 - 19";#N/A,#N/A,FALSE,"26";#N/A,#N/A,FALSE,"27";#N/A,#N/A,FALSE,"28"}</definedName>
    <definedName name="aassas" localSheetId="9" hidden="1">{"PR1","pr1",TRUE,"Sch PR-1"}</definedName>
    <definedName name="abc" localSheetId="9" hidden="1">{#N/A,#N/A,FALSE,"REPORT"}</definedName>
    <definedName name="abc.abc" localSheetId="9" hidden="1">{"cash flow - FY02",#N/A,FALSE,"P &amp; L";"cash flow - FY03",#N/A,FALSE,"P &amp; L"}</definedName>
    <definedName name="abc.abc2" localSheetId="9" hidden="1">{"cash flow - FY02",#N/A,FALSE,"P &amp; L";"cash flow - FY03",#N/A,FALSE,"P &amp; L"}</definedName>
    <definedName name="Abrisa" localSheetId="9" hidden="1">{"FY04_Assets",#N/A,FALSE,"Fin Stmt Budget";"FY04_Liabilities",#N/A,FALSE,"Fin Stmt Budget";"FY04_Inc_Stmt",#N/A,FALSE,"Fin Stmt Budget";"FY04_SOCF",#N/A,FALSE,"Fin Stmt Budget"}</definedName>
    <definedName name="absfghbtg" localSheetId="9" hidden="1">#REF!,#REF!,#REF!,#REF!,#REF!,#REF!,#REF!,#REF!,#REF!,#REF!,#REF!,#REF!,#REF!,#REF!,#REF!,#REF!,#REF!,#REF!,#REF!,#REF!,#REF!,#REF!,#REF!,#REF!,#REF!,#REF!,#REF!,#REF!,#REF!,#REF!,#REF!,#REF!,#REF!,#REF!,#REF!,#REF!,#REF!,#REF!,#REF!,#REF!,#REF!,#REF!,#REF!,#REF!,#REF!,#REF!,#REF!,#REF!,#REF!,#REF!,#REF!,#REF!,#REF!,#REF!</definedName>
    <definedName name="acc" localSheetId="9" hidden="1">{"Accretion",#N/A,FALSE,"Assum"}</definedName>
    <definedName name="Accessforecast" localSheetId="9" hidden="1">{"SUM",#N/A,FALSE,"Details (2)"}</definedName>
    <definedName name="actual" localSheetId="9" hidden="1">#REF!</definedName>
    <definedName name="adasa" localSheetId="9" hidden="1">{"'Sheet1'!$A$1:$J$121"}</definedName>
    <definedName name="adasdasdasdasd" localSheetId="9" hidden="1">{"PR1","pr1",TRUE,"Sch PR-1"}</definedName>
    <definedName name="ADBeg" localSheetId="9">#REF!</definedName>
    <definedName name="adcd" localSheetId="9" hidden="1">{#N/A,#N/A,FALSE,"Sheet8";#N/A,#N/A,FALSE,"Sheet7"}</definedName>
    <definedName name="ADCurr" localSheetId="9">#REF!</definedName>
    <definedName name="adf"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 localSheetId="9" hidden="1">{#N/A,#N/A,FALSE,"Aging Summary";#N/A,#N/A,FALSE,"Ratio Analysis";#N/A,#N/A,FALSE,"Test 120 Day Accts";#N/A,#N/A,FALSE,"Tickmarks"}</definedName>
    <definedName name="adfadf" localSheetId="9" hidden="1">{"'Sheet1'!$A$1:$J$121"}</definedName>
    <definedName name="adfadfasfdadf"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gasdysty" localSheetId="9" hidden="1">{#N/A,#N/A,FALSE,"REPORT"}</definedName>
    <definedName name="adfsfjfjky" localSheetId="9" hidden="1">{#N/A,#N/A,FALSE,"REPORT"}</definedName>
    <definedName name="ADFWAE" localSheetId="9" hidden="1">{"summary1",#N/A,TRUE,"Comps";"summary2",#N/A,TRUE,"Comps";"summary3",#N/A,TRUE,"Comps"}</definedName>
    <definedName name="adgad"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had" localSheetId="9" hidden="1">{"'Sheet1'!$A$1:$J$121"}</definedName>
    <definedName name="ads" localSheetId="9" hidden="1">{"inputs raw data",#N/A,TRUE,"INPUT"}</definedName>
    <definedName name="adsew" localSheetId="9" hidden="1">{"FCB_ALL",#N/A,FALSE,"FCB"}</definedName>
    <definedName name="ADSFA" localSheetId="9" hidden="1">{"inputs raw data",#N/A,TRUE,"INPUT"}</definedName>
    <definedName name="adsfaw" localSheetId="9" hidden="1">{"FCB_ALL",#N/A,FALSE,"FCB";"GREY_ALL",#N/A,FALSE,"GREY"}</definedName>
    <definedName name="adsfca" localSheetId="9" hidden="1">{"FCB_ALL",#N/A,FALSE,"FCB";"GREY_ALL",#N/A,FALSE,"GREY"}</definedName>
    <definedName name="adsfeklj" localSheetId="9" hidden="1">{"FCB_ALL",#N/A,FALSE,"FCB"}</definedName>
    <definedName name="adsfkl" localSheetId="9" hidden="1">{"FCB_ALL",#N/A,FALSE,"FCB";"GREY_ALL",#N/A,FALSE,"GREY"}</definedName>
    <definedName name="adsga" localSheetId="9" hidden="1">{"FCB_ALL",#N/A,FALSE,"FCB"}</definedName>
    <definedName name="adsgawe" localSheetId="9" hidden="1">{"FCB_ALL",#N/A,FALSE,"FCB"}</definedName>
    <definedName name="adwdlkj" localSheetId="9" hidden="1">{"FCB_ALL",#N/A,FALSE,"FCB"}</definedName>
    <definedName name="ae" localSheetId="9" hidden="1">{"'Edit'!$A$1:$V$2277"}</definedName>
    <definedName name="AEWEW" localSheetId="9" hidden="1">{"inputs raw data",#N/A,TRUE,"INPUT"}</definedName>
    <definedName name="aewfwe" localSheetId="9" hidden="1">{#N/A,#N/A,FALSE,"Brad_DCFM";#N/A,#N/A,FALSE,"Nick_DCFM";#N/A,#N/A,FALSE,"Mobile_DCFM"}</definedName>
    <definedName name="afd" localSheetId="9" hidden="1">{#N/A,#N/A,FALSE,"VALSUM";#N/A,#N/A,FALSE,"MKT.COMPS";#N/A,#N/A,FALSE,"ACQ.MULT.";#N/A,#N/A,FALSE,"DCF - LBO"}</definedName>
    <definedName name="AFDADSFDAS" localSheetId="9" hidden="1">{#N/A,#N/A,FALSE,"REPORT"}</definedName>
    <definedName name="afge" localSheetId="9" hidden="1">{"FCB_ALL",#N/A,FALSE,"FCB";"GREY_ALL",#N/A,FALSE,"GREY"}</definedName>
    <definedName name="africa" localSheetId="9" hidden="1">{#N/A,#N/A,FALSE,"CNS";#N/A,#N/A,FALSE,"Serz";#N/A,#N/A,FALSE,"Ace"}</definedName>
    <definedName name="agafdhsdh" localSheetId="9" hidden="1">{#N/A,#N/A,FALSE,"REPORT"}</definedName>
    <definedName name="age"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ne" localSheetId="9" hidden="1">{"FCB_ALL",#N/A,FALSE,"FCB";"GREY_ALL",#N/A,FALSE,"GREY"}</definedName>
    <definedName name="agng" localSheetId="9" hidden="1">{#N/A,#N/A,FALSE,"Aging Summary";#N/A,#N/A,FALSE,"Ratio Analysis";#N/A,#N/A,FALSE,"Test 120 Day Accts";#N/A,#N/A,FALSE,"Tickmarks"}</definedName>
    <definedName name="agsgaghgfj" localSheetId="9" hidden="1">{#N/A,#N/A,FALSE,"Pharm";#N/A,#N/A,FALSE,"WWCM"}</definedName>
    <definedName name="ahge" localSheetId="9" hidden="1">{"FCB_ALL",#N/A,FALSE,"FCB";"GREY_ALL",#N/A,FALSE,"GREY"}</definedName>
    <definedName name="AJHFkjDGHF" localSheetId="9" hidden="1">{"Annual_Income",#N/A,FALSE,"Report Page";"Balance_Cash_Flow",#N/A,FALSE,"Report Page";"Quarterly_Income",#N/A,FALSE,"Report Page"}</definedName>
    <definedName name="alb" localSheetId="9" hidden="1">{#N/A,#N/A,FALSE,"Summary";#N/A,#N/A,FALSE,"Edit";#N/A,#N/A,FALSE,"MedProf";#N/A,#N/A,FALSE,"Proj Mgt";#N/A,#N/A,FALSE,"Creat Svc";#N/A,#N/A,FALSE,"Meet Svc";#N/A,#N/A,FALSE,"Non-OCC";#N/A,#N/A,FALSE,"Client Svc";#N/A,#N/A,FALSE,"Bus Dev";#N/A,#N/A,FALSE,"Indirect"}</definedName>
    <definedName name="alex" localSheetId="9" hidden="1">{#N/A,#N/A,FALSE,"REPORT"}</definedName>
    <definedName name="alexan" localSheetId="9" hidden="1">{#N/A,#N/A,FALSE,"REPORT"}</definedName>
    <definedName name="alfredo" localSheetId="9" hidden="1">{#N/A,#N/A,FALSE,"CNS_ADJ";"Balance Consolidado",#N/A,FALSE,"BCEC_CNS";#N/A,#N/A,FALSE,"USGAAP_ADJ"}</definedName>
    <definedName name="allchanges1" localSheetId="9">#REF!</definedName>
    <definedName name="allchanges2" localSheetId="9">#REF!</definedName>
    <definedName name="alloc" localSheetId="9">#REF!</definedName>
    <definedName name="amt" localSheetId="9" hidden="1">{#N/A,#N/A,FALSE,"REPORT"}</definedName>
    <definedName name="ana" localSheetId="9" hidden="1">{#N/A,#N/A,FALSE,"Sheet1";#N/A,#N/A,FALSE,"Sheet2";#N/A,#N/A,FALSE,"Sheet3";#N/A,#N/A,FALSE,"Sheet4";#N/A,#N/A,FALSE,"Sheet5";#N/A,#N/A,FALSE,"Sheet6"}</definedName>
    <definedName name="andy" localSheetId="9" hidden="1">{#N/A,#N/A,FALSE,"REPORT"}</definedName>
    <definedName name="annualforc" localSheetId="9" hidden="1">{#N/A,#N/A,FALSE,"FAB VENDORS";"BUD SUM",#N/A,FALSE,"BUD SUM WO TEX"}</definedName>
    <definedName name="anything" localSheetId="9" hidden="1">{#N/A,#N/A,FALSE,"Output";#N/A,#N/A,FALSE,"Cover Sheet";#N/A,#N/A,FALSE,"Current Mkt. Projections"}</definedName>
    <definedName name="Apr00" localSheetId="9" hidden="1">{"Statement of Income",#N/A,TRUE,"Mar99";"Balance Sheet",#N/A,TRUE,"Mar99"}</definedName>
    <definedName name="Apr00TB" localSheetId="9" hidden="1">{"Statement of Income",#N/A,TRUE,"Mar99";"Balance Sheet",#N/A,TRUE,"Mar99"}</definedName>
    <definedName name="aq" localSheetId="9" hidden="1">{"'Edit'!$A$1:$V$2277"}</definedName>
    <definedName name="ardoutput" localSheetId="9"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arew" localSheetId="9" hidden="1">{"cap_structure",#N/A,FALSE,"Graph-Mkt Cap";"price",#N/A,FALSE,"Graph-Price";"ebit",#N/A,FALSE,"Graph-EBITDA";"ebitda",#N/A,FALSE,"Graph-EBITDA"}</definedName>
    <definedName name="arg" localSheetId="9" hidden="1">{"inputs raw data",#N/A,TRUE,"INPUT"}</definedName>
    <definedName name="AS" localSheetId="9" hidden="1">{#N/A,#N/A,FALSE,"Pharm";#N/A,#N/A,FALSE,"WWCM"}</definedName>
    <definedName name="AS2TickmarkLS" localSheetId="9" hidden="1">#REF!</definedName>
    <definedName name="asa" localSheetId="9" hidden="1">{"FCB_ALL",#N/A,FALSE,"FCB"}</definedName>
    <definedName name="asas" localSheetId="9" hidden="1">{#N/A,#N/A,FALSE,"Pharm";#N/A,#N/A,FALSE,"WWCM"}</definedName>
    <definedName name="asasasasas" localSheetId="9" hidden="1">{"PR1","pr1",TRUE,"Sch PR-1"}</definedName>
    <definedName name="asd" localSheetId="9" hidden="1">{#N/A,#N/A,FALSE,"Pharm";#N/A,#N/A,FALSE,"WWCM"}</definedName>
    <definedName name="asdaw" localSheetId="9" hidden="1">{"FCB_ALL",#N/A,FALSE,"FCB"}</definedName>
    <definedName name="asdfadg"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sf" localSheetId="9" hidden="1">{"'Sheet1'!$A$1:$J$121"}</definedName>
    <definedName name="asdfag" localSheetId="9" hidden="1">{"DTCONSOASSUMPTIONS1",#N/A,FALSE,"CONSO";"DTCONSOASSUMPTIONS2",#N/A,FALSE,"CONSO";"DTCONSOASSUMPTIONS3",#N/A,FALSE,"CONSO";"DTCONSOINCOME",#N/A,FALSE,"CONSO";"DTCOOSAEBITDA",#N/A,FALSE,"COOSA";"DTCONSOCASHFLOW",#N/A,FALSE,"CONSO";"DTCONSOBALANCESHEET",#N/A,FALSE,"CONSO";"DTCONSOCAPEX1",#N/A,FALSE,"CONSO";"DTCONSOCAPEX2",#N/A,FALSE,"CONSO";"DTCONSOCAPEX3",#N/A,FALSE,"CONSO";"DTDONNAASSUMPTIONS1",#N/A,FALSE,"PAPER DONNACONA";"DTDONNAASSUMPTIONS2",#N/A,FALSE,"PAPER DONNACONA";"DTDONNAASSUMPTIONS3",#N/A,FALSE,"PAPER DONNACONA";"DTDONNAINCOME",#N/A,FALSE,"PAPER DONNACONA";"DTDONNACASHFLOW",#N/A,FALSE,"PAPER DONNACONA";"DTDONNABALANCESHEET",#N/A,FALSE,"PAPER DONNACONA";"DTDONNACAPEX",#N/A,FALSE,"PAPER DONNACONA";"DTDOLBEAUASSUMPTIONS1",#N/A,FALSE,"PAPER DOLBEAU";"DTDOLBEAUASSUMPTIONS2",#N/A,FALSE,"PAPER DOLBEAU";"DTDOLBEAUASSUMPTIONS3",#N/A,FALSE,"PAPER DOLBEAU";"DTDOLBEAUINCOME",#N/A,FALSE,"PAPER DOLBEAU";"DTDOLBEAUCASHFLOW",#N/A,FALSE,"PAPER DOLBEAU";"DTDOLBEAUBALANCESHEET",#N/A,FALSE,"PAPER DOLBEAU";"DTDOLBEAUCAPEX",#N/A,FALSE,"PAPER DOLBEAU";"DTLUMBERASSUMPTIONS1",#N/A,FALSE,"LUMBER";"DTLUMBERASSUMPTIONS2",#N/A,FALSE,"LUMBER";"DTLUMBERASSUMPTIONS3",#N/A,FALSE,"LUMBER";"DTLUMBERINCOME",#N/A,FALSE,"LUMBER";"DTLUMBERCASHFLOW",#N/A,FALSE,"LUMBER";"DTLUMBERBALANCESHEET",#N/A,FALSE,"LUMBER";"DTLUMBERCAPEX",#N/A,FALSE,"LUMBER";"DTCOOSAASSUMPTIONS1",#N/A,FALSE,"COOSA";"DTCOOSAASSUMPTION2",#N/A,FALSE,"COOSA";"DTCOOSAASSUMPTIONS3",#N/A,FALSE,"COOSA";"DTCOOSAINCOME",#N/A,FALSE,"COOSA";"DTCOOSACASHFLOW",#N/A,FALSE,"COOSA";"DTCOOSABALANCESHEET",#N/A,FALSE,"COOSA";"DTCOOSACAPEX",#N/A,FALSE,"COOSA";"DTELIMINATIONINCOME",#N/A,FALSE,"ELIMINATION";"DTELIMINATIONCASHFLOW",#N/A,FALSE,"ELIMINATION";"DTELIMINATIONBALANCESHEET",#N/A,FALSE,"ELIMINATION";"DTHEADOFFICEASSUMPTIONS",#N/A,FALSE,"H.OFFICE";"DTHEADOFFICEINCOME",#N/A,FALSE,"H.OFFICE";"DTHEADOFFICECASHFLOW",#N/A,FALSE,"H.OFFICE";"DTHEADOFFICEBALANCESHEET",#N/A,FALSE,"H.OFFICE";"DTHEADOFFICECAPEX",#N/A,FALSE,"H.OFFICE";"DTSEGMENTED",#N/A,FALSE,"SEGMENTED INFO";"DTTAX1",#N/A,FALSE,"impôt";"DTTAX2",#N/A,FALSE,"impôt"}</definedName>
    <definedName name="asdfasdfas" localSheetId="9" hidden="1">{#N/A,#N/A,FALSE,"Sheet1";#N/A,#N/A,FALSE,"Sheet2";#N/A,#N/A,FALSE,"Sheet3";#N/A,#N/A,FALSE,"Sheet4";#N/A,#N/A,FALSE,"Sheet5";#N/A,#N/A,FALSE,"Sheet6"}</definedName>
    <definedName name="asdfe" localSheetId="9" hidden="1">{"FCB_ALL",#N/A,FALSE,"FCB"}</definedName>
    <definedName name="asdfg" localSheetId="9" hidden="1">{#N/A,#N/A,FALSE,"Pharm";#N/A,#N/A,FALSE,"WWCM"}</definedName>
    <definedName name="asdfn" localSheetId="9" hidden="1">{"FCB_ALL",#N/A,FALSE,"FCB";"GREY_ALL",#N/A,FALSE,"GREY"}</definedName>
    <definedName name="asdfSDF" localSheetId="9" hidden="1">{#N/A,#N/A,FALSE,"Sheet1";#N/A,#N/A,FALSE,"Sheet2";#N/A,#N/A,FALSE,"Sheet3";#N/A,#N/A,FALSE,"Sheet4";#N/A,#N/A,FALSE,"Sheet5";#N/A,#N/A,FALSE,"Sheet6"}</definedName>
    <definedName name="asdgaew" localSheetId="9" hidden="1">{"FCB_ALL",#N/A,FALSE,"FCB"}</definedName>
    <definedName name="asdgahdfhth" localSheetId="9" hidden="1">{#N/A,#N/A,FALSE,"REPORT"}</definedName>
    <definedName name="asdgayery" localSheetId="9" hidden="1">{#N/A,#N/A,FALSE,"Pharm";#N/A,#N/A,FALSE,"WWCM"}</definedName>
    <definedName name="asdgfdytyet" localSheetId="9" hidden="1">{#N/A,#N/A,FALSE,"REPORT"}</definedName>
    <definedName name="asdgtryukuio" localSheetId="9" hidden="1">{#N/A,#N/A,FALSE,"REPORT"}</definedName>
    <definedName name="asdjgkl" localSheetId="9" hidden="1">{#N/A,#N/A,FALSE,"Pharm";#N/A,#N/A,FALSE,"WWCM"}</definedName>
    <definedName name="asdr5" localSheetId="9" hidden="1">{"FCB_ALL",#N/A,FALSE,"FCB";"GREY_ALL",#N/A,FALSE,"GREY"}</definedName>
    <definedName name="asfasdf" localSheetId="9" hidden="1">#REF!</definedName>
    <definedName name="asfd" localSheetId="9" hidden="1">{"FCB_ALL",#N/A,FALSE,"FCB"}</definedName>
    <definedName name="asffghujyki" localSheetId="9" hidden="1">{#N/A,#N/A,FALSE,"Pharm";#N/A,#N/A,FALSE,"WWCM"}</definedName>
    <definedName name="ASSA" localSheetId="9" hidden="1">{#N/A,#N/A,FALSE,"1";#N/A,#N/A,FALSE,"2";#N/A,#N/A,FALSE,"16 - 17";#N/A,#N/A,FALSE,"18 - 19";#N/A,#N/A,FALSE,"26";#N/A,#N/A,FALSE,"27";#N/A,#N/A,FALSE,"28"}</definedName>
    <definedName name="assasdafsda" localSheetId="9" hidden="1">{"PR1","pr1",TRUE,"Sch PR-1"}</definedName>
    <definedName name="ASSIGNED_STATES" localSheetId="9">#REF!</definedName>
    <definedName name="ASSS" localSheetId="9" hidden="1">{"FCB_ALL",#N/A,FALSE,"FCB"}</definedName>
    <definedName name="assssss" localSheetId="9" hidden="1">{"FCB_ALL",#N/A,FALSE,"FCB"}</definedName>
    <definedName name="assum" localSheetId="9" hidden="1">{"'Sheet1'!$A$5:$G$42"}</definedName>
    <definedName name="att" localSheetId="9" hidden="1">{#N/A,#N/A,FALSE,"COVER PAGE";#N/A,#N/A,FALSE,"Page 2";#N/A,#N/A,FALSE,"Page 2";#N/A,#N/A,FALSE,"Page 4";#N/A,#N/A,FALSE,"Page5";#N/A,#N/A,FALSE,"Page 6";#N/A,#N/A,FALSE,"Page 7";#N/A,#N/A,FALSE,"Page 8";#N/A,#N/A,FALSE,"Page 10";#N/A,#N/A,FALSE,"Long-Term OCF Mult.";#N/A,#N/A,FALSE,"PCS Comp";#N/A,#N/A,FALSE,"OCS-CAPEX";#N/A,#N/A,FALSE,"Blank"}</definedName>
    <definedName name="aust" localSheetId="9" hidden="1">{#N/A,#N/A,TRUE,"BUD VS ACT AUST 96";#N/A,#N/A,TRUE,"96 COMP P&amp;L-AUST";#N/A,#N/A,TRUE,"COMP BS-AUSTRALIA";#N/A,#N/A,TRUE,"B/S - AUSTR."}</definedName>
    <definedName name="ave"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we" localSheetId="9" hidden="1">{#N/A,#N/A,FALSE,"COVER";#N/A,#N/A,FALSE,"Index";#N/A,#N/A,FALSE,"Non-Earning";#N/A,#N/A,FALSE,"Commercial";#N/A,#N/A,FALSE,"Detailed"}</definedName>
    <definedName name="awea" localSheetId="9" hidden="1">{"FCB_ALL",#N/A,FALSE,"FCB";"GREY_ALL",#N/A,FALSE,"GREY"}</definedName>
    <definedName name="AX" localSheetId="9" hidden="1">{#N/A,#N/A,FALSE,"Pharm";#N/A,#N/A,FALSE,"WWCM"}</definedName>
    <definedName name="ayman" localSheetId="9" hidden="1">{#N/A,#N/A,FALSE,"1";#N/A,#N/A,FALSE,"2";#N/A,#N/A,FALSE,"16 - 17";#N/A,#N/A,FALSE,"18 - 19";#N/A,#N/A,FALSE,"26";#N/A,#N/A,FALSE,"27";#N/A,#N/A,FALSE,"28"}</definedName>
    <definedName name="ayman1" localSheetId="9" hidden="1">{#N/A,#N/A,FALSE,"Pharm";#N/A,#N/A,FALSE,"WWCM"}</definedName>
    <definedName name="ayman2" localSheetId="9" hidden="1">{#N/A,#N/A,FALSE,"Pharm";#N/A,#N/A,FALSE,"WWCM"}</definedName>
    <definedName name="ayman7" localSheetId="9" hidden="1">{#N/A,#N/A,FALSE,"REPORT"}</definedName>
    <definedName name="ayman8" localSheetId="9" hidden="1">{#N/A,#N/A,FALSE,"REPORT"}</definedName>
    <definedName name="az" localSheetId="9" hidden="1">{#N/A,#N/A,FALSE,"Pharm";#N/A,#N/A,FALSE,"WWCM"}</definedName>
    <definedName name="azeazr" localSheetId="9" hidden="1">{#N/A,#N/A,FALSE,"Sales Graph";#N/A,#N/A,FALSE,"BUC Graph";#N/A,#N/A,FALSE,"P&amp;L - YTD"}</definedName>
    <definedName name="azerety" localSheetId="9" hidden="1">{#N/A,#N/A,FALSE,"Pharm";#N/A,#N/A,FALSE,"WWCM"}</definedName>
    <definedName name="b" localSheetId="9" hidden="1">{"barlup",#N/A,FALSE,"evabnk97";"gillespey",#N/A,FALSE,"evabnk97";"koon",#N/A,FALSE,"evabnk97";"schreur",#N/A,FALSE,"evabnk97";"stone",#N/A,FALSE,"evabnk97";"wichmann",#N/A,FALSE,"evabnk97";"wright",#N/A,FALSE,"evabnk97"}</definedName>
    <definedName name="ba" localSheetId="9" hidden="1">{"FCB_ALL",#N/A,FALSE,"FCB";"GREY_ALL",#N/A,FALSE,"GREY"}</definedName>
    <definedName name="Bank" localSheetId="9" hidden="1">{TRUE,TRUE,-1.25,-15.5,456.75,279.75,FALSE,FALSE,TRUE,TRUE,0,1,21,1,127,6,3,4,TRUE,TRUE,3,TRUE,1,TRUE,100,"Swvu.profits.","ACwvu.profits.",1,FALSE,FALSE,0.511811023622047,0.511811023622047,0.511811023622047,0.511811023622047,1,"","",FALSE,FALSE,FALSE,FALSE,1,#N/A,1,1,#DIV/0!,FALSE,"Rwvu.profits.",#N/A,FALSE,FALSE}</definedName>
    <definedName name="barrera" localSheetId="9" hidden="1">{#N/A,#N/A,FALSE,"RESUMEN ECON.";#N/A,#N/A,FALSE,"Costos de R.H.";#N/A,#N/A,FALSE,"COSTO HW";#N/A,#N/A,FALSE,"CUADROS";#N/A,#N/A,FALSE,"SCADA´s";#N/A,#N/A,FALSE,"PRECIOS EQUIPOS"}</definedName>
    <definedName name="bb" localSheetId="9" hidden="1">{#N/A,#N/A,FALSE,"Assessment";#N/A,#N/A,FALSE,"Staffing";#N/A,#N/A,FALSE,"Hires";#N/A,#N/A,FALSE,"Assumptions"}</definedName>
    <definedName name="bbb" localSheetId="9" hidden="1">{#N/A,#N/A,FALSE,"Pharm";#N/A,#N/A,FALSE,"WWCM"}</definedName>
    <definedName name="bbbb" localSheetId="9" hidden="1">{#N/A,#N/A,FALSE,"REPORT"}</definedName>
    <definedName name="bbbbb" localSheetId="9" hidden="1">{#N/A,#N/A,FALSE,"Pharm";#N/A,#N/A,FALSE,"WWCM"}</definedName>
    <definedName name="BBBBBB" localSheetId="9" hidden="1">{#N/A,#N/A,FALSE,"REPORT"}</definedName>
    <definedName name="BBBBBBBBB" localSheetId="9" hidden="1">{#N/A,#N/A,FALSE,"REPORT"}</definedName>
    <definedName name="bbbbbbbbbbbbb" localSheetId="9" hidden="1">{#N/A,#N/A,FALSE,"Pharm";#N/A,#N/A,FALSE,"WWCM"}</definedName>
    <definedName name="BD" localSheetId="9" hidden="1">{"EBITDA",#N/A,TRUE,"P&amp;L Net of Disc Ops";"output net of disc ops",#N/A,TRUE,"Revenue";"input",#N/A,TRUE,"Revenue";"output",#N/A,TRUE,"DC";"Input",#N/A,TRUE,"DC";"MTN and MCN",#N/A,TRUE,"Margin";"output detail line items",#N/A,TRUE,"SGA";"personnel by year",#N/A,TRUE,"Payroll";#N/A,#N/A,TRUE,"CapEx"}</definedName>
    <definedName name="Bear" localSheetId="9" hidden="1">{#N/A,#N/A,FALSE,"TS";#N/A,#N/A,FALSE,"Combo";#N/A,#N/A,FALSE,"FAIR";#N/A,#N/A,FALSE,"RBC";#N/A,#N/A,FALSE,"xxxx";#N/A,#N/A,FALSE,"A_D";#N/A,#N/A,FALSE,"WACC";#N/A,#N/A,FALSE,"DCF";#N/A,#N/A,FALSE,"LBO";#N/A,#N/A,FALSE,"AcqMults";#N/A,#N/A,FALSE,"CompMults"}</definedName>
    <definedName name="Bebefits" localSheetId="9" hidden="1">{"summary",#N/A,FALSE,"3 yr average";"comps",#N/A,FALSE,"3 yr average"}</definedName>
    <definedName name="Beg_Bal" localSheetId="9">#REF!</definedName>
    <definedName name="Beginning_Balance" localSheetId="9">-FV(Interest_Rate/12,#REF!-1,-#REF!,'Pro Forma Financials (Q1)'!Loan_Amount)</definedName>
    <definedName name="bill" localSheetId="9" hidden="1">{"PAGE 1",#N/A,FALSE,"WEST_OT"}</definedName>
    <definedName name="bill1" localSheetId="9" hidden="1">{"PAGE 1",#N/A,FALSE,"WEST_OT"}</definedName>
    <definedName name="bill2" localSheetId="9" hidden="1">{"PAGE 1",#N/A,FALSE,"WEST_OT"}</definedName>
    <definedName name="bill3" localSheetId="9" hidden="1">{"PAGE 1",#N/A,FALSE,"WEST_OT"}</definedName>
    <definedName name="billrev2" localSheetId="9" hidden="1">{"PAGE 1",#N/A,FALSE,"WEST_OT"}</definedName>
    <definedName name="bilol" localSheetId="9" hidden="1">{#N/A,#N/A,FALSE,"VALSUM";#N/A,#N/A,FALSE,"MKT.COMPS";#N/A,#N/A,FALSE,"ACQ.MULT.";#N/A,#N/A,FALSE,"DCF - LBO"}</definedName>
    <definedName name="BL" localSheetId="9" hidden="1">#REF!</definedName>
    <definedName name="BLANKS" localSheetId="9"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PH1" localSheetId="9" hidden="1">#REF!</definedName>
    <definedName name="BLPH15" localSheetId="9" hidden="1">#REF!</definedName>
    <definedName name="BLUE" localSheetId="9" hidden="1">{#N/A,#N/A,FALSE,"Barranca"}</definedName>
    <definedName name="BLUE1" localSheetId="9" hidden="1">{#N/A,#N/A,FALSE,"Total";#N/A,#N/A,FALSE,"Sew";#N/A,#N/A,FALSE,"Finish";#N/A,#N/A,FALSE,"CUT";#N/A,#N/A,FALSE,"Mill 5";#N/A,#N/A,FALSE,"Mill 6";#N/A,#N/A,FALSE,"Mill 8";#N/A,#N/A,FALSE,"Mill 9";#N/A,#N/A,FALSE,"Mill 10";#N/A,#N/A,FALSE,"Mill 12";#N/A,#N/A,FALSE,"Mill 15";#N/A,#N/A,FALSE,"Mill 17"}</definedName>
    <definedName name="BM" localSheetId="9" hidden="1">{"EBITDA",#N/A,TRUE,"P&amp;L Net of Disc Ops";"output net of disc ops",#N/A,TRUE,"Revenue";"input",#N/A,TRUE,"Revenue";"output",#N/A,TRUE,"DC";"Input",#N/A,TRUE,"DC";"MTN and MCN",#N/A,TRUE,"Margin";"output detail line items",#N/A,TRUE,"SGA";"personnel by year",#N/A,TRUE,"Payroll";#N/A,#N/A,TRUE,"CapEx"}</definedName>
    <definedName name="BNE_MESSAGES_HIDDEN" localSheetId="9" hidden="1">#REF!</definedName>
    <definedName name="bnm" localSheetId="9" hidden="1">{#N/A,#N/A,FALSE,"REPORT"}</definedName>
    <definedName name="bnnn" localSheetId="9" hidden="1">{"consolidated",#N/A,FALSE,"Sheet1";"cms",#N/A,FALSE,"Sheet1";"fse",#N/A,FALSE,"Sheet1"}</definedName>
    <definedName name="Bracket_0" localSheetId="9">#REF!</definedName>
    <definedName name="Bracket_1" localSheetId="9">#REF!</definedName>
    <definedName name="Bracket_2" localSheetId="9">#REF!</definedName>
    <definedName name="Brightline" localSheetId="9" hidden="1">{"Curr Month",#N/A,FALSE,"Curr Mo";"Total West",#N/A,FALSE,"Curr Mo";"YTD",#N/A,FALSE,"Curr Mo";"12 Months",#N/A,FALSE,"Curr Mo";"13 Months",#N/A,FALSE,"Curr Mo";"14 Months",#N/A,FALSE,"Curr Mo";"15 Months",#N/A,FALSE,"Curr Mo";"43 Months",#N/A,FALSE,"Curr Mo";"45 Months",#N/A,FALSE,"Curr Mo";"63 Months",#N/A,FALSE,"Curr Mo"}</definedName>
    <definedName name="Briteline" localSheetId="9" hidden="1">{"Curr Month",#N/A,FALSE,"Curr Mo";"Total West",#N/A,FALSE,"Curr Mo";"YTD",#N/A,FALSE,"Curr Mo";"12 Months",#N/A,FALSE,"Curr Mo";"13 Months",#N/A,FALSE,"Curr Mo";"14 Months",#N/A,FALSE,"Curr Mo";"15 Months",#N/A,FALSE,"Curr Mo";"43 Months",#N/A,FALSE,"Curr Mo";"45 Months",#N/A,FALSE,"Curr Mo";"63 Months",#N/A,FALSE,"Curr Mo"}</definedName>
    <definedName name="briteline___" localSheetId="9" hidden="1">{"Curr Month",#N/A,FALSE,"Curr Mo";"Total West",#N/A,FALSE,"Curr Mo";"YTD",#N/A,FALSE,"Curr Mo";"12 Months",#N/A,FALSE,"Curr Mo";"13 Months",#N/A,FALSE,"Curr Mo";"14 Months",#N/A,FALSE,"Curr Mo";"15 Months",#N/A,FALSE,"Curr Mo";"43 Months",#N/A,FALSE,"Curr Mo";"45 Months",#N/A,FALSE,"Curr Mo";"63 Months",#N/A,FALSE,"Curr Mo"}</definedName>
    <definedName name="BROWN" localSheetId="9"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S" localSheetId="9">#REF!</definedName>
    <definedName name="BSDate" localSheetId="9">#REF!</definedName>
    <definedName name="BSSSS" localSheetId="9" hidden="1">#REF!</definedName>
    <definedName name="budget1" localSheetId="9" hidden="1">{"Overview",#N/A,TRUE,"Overview";"New Gen",#N/A,TRUE,"New Gen";"cap-ex",#N/A,TRUE,"Consol cap-ex";"cap-ex",#N/A,TRUE,"APC cap-ex";"cap-ex",#N/A,TRUE,"GPC cap-ex";"cap-ex",#N/A,TRUE,"GUL cap-ex";"cap-ex",#N/A,TRUE,"MPC cap-ex";"cap-ex",#N/A,TRUE,"SAV cap-ex";"cap-ex",#N/A,TRUE,"SEGCO cap-ex";"cap-ex",#N/A,TRUE,"SWE cap-ex"}</definedName>
    <definedName name="BudgetSumm" localSheetId="9" hidden="1">{#N/A,#N/A,FALSE,"Cashflow Analysis";#N/A,#N/A,FALSE,"Sensitivity Analysis";#N/A,#N/A,FALSE,"PV";#N/A,#N/A,FALSE,"Pro Forma"}</definedName>
    <definedName name="BudgetSumm.2" localSheetId="9" hidden="1">{#N/A,#N/A,FALSE,"Cashflow Analysis";#N/A,#N/A,FALSE,"Sensitivity Analysis";#N/A,#N/A,FALSE,"PV";#N/A,#N/A,FALSE,"Pro Forma"}</definedName>
    <definedName name="c.LTMYear" localSheetId="9" hidden="1">#REF!</definedName>
    <definedName name="cade" localSheetId="9" hidden="1">{"FCB_ALL",#N/A,FALSE,"FCB"}</definedName>
    <definedName name="cads" localSheetId="9" hidden="1">{"FCB_ALL",#N/A,FALSE,"FCB"}</definedName>
    <definedName name="cadsf" localSheetId="9" hidden="1">{"FCB_ALL",#N/A,FALSE,"FCB"}</definedName>
    <definedName name="caega" localSheetId="9" hidden="1">{"FCB_ALL",#N/A,FALSE,"FCB"}</definedName>
    <definedName name="caer" localSheetId="9" hidden="1">{"FCB_ALL",#N/A,FALSE,"FCB"}</definedName>
    <definedName name="cagare" localSheetId="9" hidden="1">{"FCB_ALL",#N/A,FALSE,"FCB"}</definedName>
    <definedName name="cancel" localSheetId="9" hidden="1">{"PARTNERS CAPITAL STMT",#N/A,FALSE,"Partners Capital"}</definedName>
    <definedName name="cancel2" localSheetId="9" hidden="1">{"PNLProjDL",#N/A,FALSE,"PROJCO";"PNLParDL",#N/A,FALSE,"Parent"}</definedName>
    <definedName name="cancel3" localSheetId="9" hidden="1">{"Summary",#N/A,FALSE,"MICMULT";"Income Statement",#N/A,FALSE,"MICMULT";"Cash Flows",#N/A,FALSE,"MICMULT"}</definedName>
    <definedName name="cap.pos" localSheetId="9"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acity" localSheetId="9" hidden="1">{#N/A,#N/A,FALSE,"IPO";#N/A,#N/A,FALSE,"DCF";#N/A,#N/A,FALSE,"LBO";#N/A,#N/A,FALSE,"MULT_VAL";#N/A,#N/A,FALSE,"Status Quo";#N/A,#N/A,FALSE,"Recap"}</definedName>
    <definedName name="CapCase" localSheetId="9">#REF!</definedName>
    <definedName name="CapContCurr" localSheetId="9">#REF!</definedName>
    <definedName name="CapContPrior" localSheetId="9">#REF!</definedName>
    <definedName name="cash" localSheetId="9">#REF!</definedName>
    <definedName name="CASH_PRICE" localSheetId="9">#REF!</definedName>
    <definedName name="cavde" localSheetId="9" hidden="1">{"FCB_ALL",#N/A,FALSE,"FCB"}</definedName>
    <definedName name="cc" localSheetId="9" hidden="1">{"bs",#N/A,FALSE,"SCF"}</definedName>
    <definedName name="ccc" localSheetId="9" hidden="1">{#N/A,#N/A,TRUE,"Summary";#N/A,#N/A,TRUE,"Assumptions";#N/A,#N/A,TRUE,"Comparison";#N/A,#N/A,TRUE,"Financials";#N/A,#N/A,TRUE,"Plan v. Act"}</definedName>
    <definedName name="cccc" localSheetId="9" hidden="1">{#N/A,#N/A,FALSE,"Assessment";#N/A,#N/A,FALSE,"Staffing";#N/A,#N/A,FALSE,"Hires";#N/A,#N/A,FALSE,"Assumptions"}</definedName>
    <definedName name="CCOmps" localSheetId="9" hidden="1">{"page1",#N/A,TRUE,"PRICING";"page2",#N/A,TRUE,"PRICING"}</definedName>
    <definedName name="cd0" localSheetId="9" hidden="1">{#N/A,#N/A,FALSE,"Job Sched"}</definedName>
    <definedName name="cdsds" localSheetId="9" hidden="1">{#N/A,#N/A,TRUE,"BUD VS ACT AUST 96";#N/A,#N/A,TRUE,"96 COMP P&amp;L-AUST";#N/A,#N/A,TRUE,"COMP BS-AUSTRALIA";#N/A,#N/A,TRUE,"B/S - AUSTR."}</definedName>
    <definedName name="CDW" localSheetId="9" hidden="1">{#N/A,#N/A,FALSE,"Job Sched"}</definedName>
    <definedName name="CFFleet" localSheetId="9" hidden="1">{#N/A,#N/A,FALSE,"Cover";#N/A,#N/A,FALSE,"TOC";#N/A,#N/A,FALSE,"IS";#N/A,#N/A,FALSE,"Mo. IS";#N/A,#N/A,FALSE,"Cont By Div";#N/A,#N/A,FALSE,"BS";#N/A,#N/A,FALSE,"CF";#N/A,#N/A,FALSE,"Inventory"}</definedName>
    <definedName name="cgaf" localSheetId="9" hidden="1">{"FCB_ALL",#N/A,FALSE,"FCB"}</definedName>
    <definedName name="cgafde" localSheetId="9" hidden="1">{"FCB_ALL",#N/A,FALSE,"FCB"}</definedName>
    <definedName name="ChangeRange" localSheetId="9" hidden="1">#REF!</definedName>
    <definedName name="Chart" localSheetId="9" hidden="1">{#N/A,#N/A,FALSE,"Pharm";#N/A,#N/A,FALSE,"WWCM"}</definedName>
    <definedName name="chartNew" localSheetId="9" hidden="1">{#N/A,#N/A,FALSE,"SUMMARY";#N/A,#N/A,FALSE,"mcsh";#N/A,#N/A,FALSE,"vol&amp;rev";#N/A,#N/A,FALSE,"wkgcap";#N/A,#N/A,FALSE,"DEPR&amp;DT";#N/A,#N/A,FALSE,"ASSETS";#N/A,#N/A,FALSE,"NI&amp;OTH&amp;DIV";#N/A,#N/A,FALSE,"CASHFLOW";#N/A,#N/A,FALSE,"CAPEMPL";#N/A,#N/A,FALSE,"ROCE"}</definedName>
    <definedName name="check2" localSheetId="9" hidden="1">{#N/A,#N/A,FALSE,"Cashflow Analysis";#N/A,#N/A,FALSE,"Sensitivity Analysis";#N/A,#N/A,FALSE,"PV";#N/A,#N/A,FALSE,"Pro Forma"}</definedName>
    <definedName name="cheryl" localSheetId="9" hidden="1">{#N/A,#N/A,FALSE,"Barranca"}</definedName>
    <definedName name="chgeas" localSheetId="9" hidden="1">{"FCB_ALL",#N/A,FALSE,"FCB"}</definedName>
    <definedName name="chosie" localSheetId="9" hidden="1">{#N/A,#N/A,FALSE,"Pharm";#N/A,#N/A,FALSE,"WWCM"}</definedName>
    <definedName name="CIQANR_13a80e60b0854509a2f63c71534b92b8" localSheetId="9" hidden="1">#REF!</definedName>
    <definedName name="CIQANR_147f2cd0dc8f4e11822d613cc9a62d00" localSheetId="9" hidden="1">#REF!</definedName>
    <definedName name="CIQWBGuid" localSheetId="9" hidden="1">"204096d0-3f23-466d-acef-0208527d2ad2"</definedName>
    <definedName name="Circ" localSheetId="9">#REF!</definedName>
    <definedName name="CIRCABBA" localSheetId="9">#REF!</definedName>
    <definedName name="CircAcq4" localSheetId="9">#REF!</definedName>
    <definedName name="cmmt" localSheetId="9">#REF!</definedName>
    <definedName name="COGstandard" localSheetId="9" hidden="1">{#N/A,#N/A,FALSE,"Pharm";#N/A,#N/A,FALSE,"WWCM"}</definedName>
    <definedName name="comm" localSheetId="9" hidden="1">{"PAGE 1",#N/A,FALSE,"WEST_OT"}</definedName>
    <definedName name="comm2" localSheetId="9" hidden="1">{"PAGE 1",#N/A,FALSE,"WEST_OT"}</definedName>
    <definedName name="comm3" localSheetId="9" hidden="1">{"PAGE 1",#N/A,FALSE,"WEST_OT"}</definedName>
    <definedName name="commrev2" localSheetId="9" hidden="1">{"PAGE 1",#N/A,FALSE,"WEST_OT"}</definedName>
    <definedName name="Company" localSheetId="9">#REF!</definedName>
    <definedName name="CompanyFilter" localSheetId="9">#REF!</definedName>
    <definedName name="Compco1" localSheetId="9" hidden="1">{"Page1",#N/A,FALSE,"CompCo";"Page2",#N/A,FALSE,"CompCo"}</definedName>
    <definedName name="Compco2" localSheetId="9" hidden="1">{"Page1",#N/A,FALSE,"CompCo";"Page2",#N/A,FALSE,"CompCo"}</definedName>
    <definedName name="compound_period" localSheetId="9">INDEX({2,12,4,1},MATCH(#REF!,'Pro Forma Financials (Q1)'!compound_periods,0))</definedName>
    <definedName name="compound_periods" localSheetId="9">{"Semi-Annually";"Monthly";"Quarterly";"Annually"}</definedName>
    <definedName name="conflict" localSheetId="9" hidden="1">{"arpm1995",#N/A,FALSE,"Summary 95-96";"bus_long_distance",#N/A,FALSE,"Summary 95-96";"mins_per_day",#N/A,FALSE,"Summary 95-96";"minutes1995",#N/A,FALSE,"Summary 95-96";"rev_per_day",#N/A,FALSE,"Summary 95-96";"view1995",#N/A,FALSE,"Summary 95-96"}</definedName>
    <definedName name="consumer" localSheetId="9" hidden="1">{"'Sheet1'!$A$5:$G$42"}</definedName>
    <definedName name="ContentsHelp" localSheetId="9" hidden="1">#REF!</definedName>
    <definedName name="copin" localSheetId="9" hidden="1">{#N/A,#N/A,TRUE,"RESUMEN ECON.";#N/A,#N/A,TRUE,"Costos de R.H.";#N/A,#N/A,TRUE,"COSTO HW";#N/A,#N/A,TRUE,"CUADROS";#N/A,#N/A,TRUE,"SCADA´s";#N/A,#N/A,TRUE,"PRECIOS EQUIPOS"}</definedName>
    <definedName name="copon" localSheetId="9" hidden="1">{#N/A,#N/A,FALSE,"RESUMEN ECON.";#N/A,#N/A,FALSE,"Costos de R.H.";#N/A,#N/A,FALSE,"COSTO HW";#N/A,#N/A,FALSE,"CUADROS";#N/A,#N/A,FALSE,"SCADA´s";#N/A,#N/A,FALSE,"PRECIOS EQUIPOS"}</definedName>
    <definedName name="COPY" localSheetId="9" hidden="1">{#N/A,#N/A,FALSE,"Pharm";#N/A,#N/A,FALSE,"WWCM"}</definedName>
    <definedName name="copy1" localSheetId="9" hidden="1">{#N/A,#N/A,FALSE,"Pharm";#N/A,#N/A,FALSE,"WWCM"}</definedName>
    <definedName name="COPY2" localSheetId="9" hidden="1">{#N/A,#N/A,FALSE,"Pharm";#N/A,#N/A,FALSE,"WWCM"}</definedName>
    <definedName name="copy233" localSheetId="9" hidden="1">{#N/A,#N/A,FALSE,"Pharm";#N/A,#N/A,FALSE,"WWCM"}</definedName>
    <definedName name="copy33" localSheetId="9" hidden="1">{#N/A,#N/A,FALSE,"Pharm";#N/A,#N/A,FALSE,"WWCM"}</definedName>
    <definedName name="copy38" localSheetId="9" hidden="1">{#N/A,#N/A,FALSE,"Pharm";#N/A,#N/A,FALSE,"WWCM"}</definedName>
    <definedName name="corp" localSheetId="9" hidden="1">{#N/A,#N/A,TRUE,"BUD VS ACT AUST 96";#N/A,#N/A,TRUE,"96 COMP P&amp;L-AUST";#N/A,#N/A,TRUE,"COMP BS-AUSTRALIA";#N/A,#N/A,TRUE,"B/S - AUSTR."}</definedName>
    <definedName name="Costes" localSheetId="9" hidden="1">{#N/A,#N/A,TRUE,"RESUMEN ECON.";#N/A,#N/A,TRUE,"Costos de R.H.";#N/A,#N/A,TRUE,"COSTO HW";#N/A,#N/A,TRUE,"CUADROS";#N/A,#N/A,TRUE,"SCADA´s";#N/A,#N/A,TRUE,"PRECIOS EQUIPOS"}</definedName>
    <definedName name="costofrev" localSheetId="9" hidden="1">{"qtrly summ-FY01",#N/A,FALSE,"P &amp; L";"monthly P&amp;L-FY01",#N/A,FALSE,"P &amp; L";"cash flow - FY01",#N/A,FALSE,"P &amp; L";"P&amp;L FY01",#N/A,FALSE,"P &amp; L";"BS FY01",#N/A,FALSE,"P &amp; L";"staffing - FY01",#N/A,FALSE,"P &amp; L"}</definedName>
    <definedName name="coun" localSheetId="9" hidden="1">{#N/A,#N/A,FALSE,"Assessment";#N/A,#N/A,FALSE,"Staffing";#N/A,#N/A,FALSE,"Hires";#N/A,#N/A,FALSE,"Assumptions"}</definedName>
    <definedName name="COUNTRY" localSheetId="9" hidden="1">{#N/A,#N/A,FALSE,"Assessment";#N/A,#N/A,FALSE,"Staffing";#N/A,#N/A,FALSE,"Hires";#N/A,#N/A,FALSE,"Assumptions"}</definedName>
    <definedName name="cpvs" localSheetId="9"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reateTable" localSheetId="9" hidden="1">#REF!</definedName>
    <definedName name="credit1" localSheetId="9" hidden="1">{#N/A,#N/A,TRUE,"Overview";#N/A,#N/A,TRUE,"New Gen"}</definedName>
    <definedName name="CSG" localSheetId="9" hidden="1">{"cap_structure",#N/A,FALSE,"Graph-Mkt Cap";"price",#N/A,FALSE,"Graph-Price";"ebit",#N/A,FALSE,"Graph-EBITDA";"ebitda",#N/A,FALSE,"Graph-EBITDA"}</definedName>
    <definedName name="Cur_Month_Actual" localSheetId="9">#REF!</definedName>
    <definedName name="CurrentLoan" localSheetId="9">(#REF!*#REF!*#REF!*#REF!)&gt;0</definedName>
    <definedName name="cvade" localSheetId="9" hidden="1">{"FCB_ALL",#N/A,FALSE,"FCB"}</definedName>
    <definedName name="cvb" localSheetId="9" hidden="1">{#N/A,#N/A,FALSE,"TABLE_1 YTD";#N/A,#N/A,FALSE,"TABLE_1A QTD";#N/A,#N/A,FALSE,"NORMAL_SPREAD_QTD";#N/A,#N/A,FALSE,"NORMAL_SPREAD_YTD";#N/A,#N/A,FALSE,"TAX_EQV";#N/A,#N/A,FALSE,"TAX EQUIV_INPUT";#N/A,#N/A,FALSE,"NET FROM FER";#N/A,#N/A,FALSE,"COVER"}</definedName>
    <definedName name="Cwvu.GREY_ALL." localSheetId="9" hidden="1">#REF!</definedName>
    <definedName name="cxgxgfgfs" localSheetId="9" hidden="1">{#N/A,#N/A,FALSE,"Cashflow Analysis";#N/A,#N/A,FALSE,"Sensitivity Analysis";#N/A,#N/A,FALSE,"PV";#N/A,#N/A,FALSE,"Pro Forma"}</definedName>
    <definedName name="cxgxgfgfs.2" localSheetId="9" hidden="1">{#N/A,#N/A,FALSE,"Cashflow Analysis";#N/A,#N/A,FALSE,"Sensitivity Analysis";#N/A,#N/A,FALSE,"PV";#N/A,#N/A,FALSE,"Pro Forma"}</definedName>
    <definedName name="D" localSheetId="9" hidden="1">#REF!</definedName>
    <definedName name="DAD" localSheetId="9" hidden="1">{#N/A,#N/A,FALSE,"REPORT"}</definedName>
    <definedName name="DADF" localSheetId="9" hidden="1">{#N/A,#N/A,FALSE,"REPORT"}</definedName>
    <definedName name="dadfa" localSheetId="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eklj" localSheetId="9" hidden="1">{"FCB_ALL",#N/A,FALSE,"FCB"}</definedName>
    <definedName name="daewkl" localSheetId="9" hidden="1">{"FCB_ALL",#N/A,FALSE,"FCB";"GREY_ALL",#N/A,FALSE,"GREY"}</definedName>
    <definedName name="daf" localSheetId="9" hidden="1">{#N/A,#N/A,FALSE,"1";#N/A,#N/A,FALSE,"2";#N/A,#N/A,FALSE,"16 - 17";#N/A,#N/A,FALSE,"18 - 19";#N/A,#N/A,FALSE,"26";#N/A,#N/A,FALSE,"27";#N/A,#N/A,FALSE,"28"}</definedName>
    <definedName name="dafa" localSheetId="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FAD" localSheetId="9" hidden="1">{"cap_structure",#N/A,FALSE,"Graph-Mkt Cap";"price",#N/A,FALSE,"Graph-Price";"ebit",#N/A,FALSE,"Graph-EBITDA";"ebitda",#N/A,FALSE,"Graph-EBITDA"}</definedName>
    <definedName name="dakfkjafgkeaj" localSheetId="9" hidden="1">{#N/A,#N/A,FALSE,"Pharm";#N/A,#N/A,FALSE,"WWCM"}</definedName>
    <definedName name="das" localSheetId="9" hidden="1">{"FCB_ALL",#N/A,FALSE,"FCB";"GREY_ALL",#N/A,FALSE,"GREY"}</definedName>
    <definedName name="dasfdsa" localSheetId="9" hidden="1">{"SUM",#N/A,FALSE,"Details (2)"}</definedName>
    <definedName name="dasgfdag" localSheetId="9" hidden="1">{"FCB_ALL",#N/A,FALSE,"FCB"}</definedName>
    <definedName name="dasklej" localSheetId="9" hidden="1">{"FCB_ALL",#N/A,FALSE,"FCB"}</definedName>
    <definedName name="Data" localSheetId="9">#REF!</definedName>
    <definedName name="_xlnm.Database" localSheetId="9">#REF!</definedName>
    <definedName name="david" localSheetId="9" hidden="1">{#N/A,#N/A,FALSE,"ACQ_GRAPHS";#N/A,#N/A,FALSE,"T_1 GRAPHS";#N/A,#N/A,FALSE,"T_2 GRAPHS";#N/A,#N/A,FALSE,"COMB_GRAPHS"}</definedName>
    <definedName name="DCF_" localSheetId="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localSheetId="9" hidden="1">{#N/A,#N/A,FALSE,"Pharm";#N/A,#N/A,FALSE,"WWCM"}</definedName>
    <definedName name="ddd" localSheetId="9" hidden="1">{#N/A,#N/A,FALSE,"Pharm";#N/A,#N/A,FALSE,"WWCM"}</definedName>
    <definedName name="ddd_1" localSheetId="9" hidden="1">{"'ATP'!$E$6"}</definedName>
    <definedName name="ddd_11" localSheetId="9" hidden="1">{"'ATP'!$E$6"}</definedName>
    <definedName name="dddaz" localSheetId="9" hidden="1">{#N/A,#N/A,FALSE,"Pharm";#N/A,#N/A,FALSE,"WWCM"}</definedName>
    <definedName name="dddd" localSheetId="9" hidden="1">{#N/A,#N/A,TRUE,"BUD VS ACT AUST 96";#N/A,#N/A,TRUE,"96 COMP P&amp;L-AUST";#N/A,#N/A,TRUE,"COMP BS-AUSTRALIA";#N/A,#N/A,TRUE,"B/S - AUSTR."}</definedName>
    <definedName name="dddddd" localSheetId="9" hidden="1">{#N/A,#N/A,FALSE,"Pharm";#N/A,#N/A,FALSE,"WWCM"}</definedName>
    <definedName name="ddddddd" localSheetId="9" hidden="1">{"Income Statement",#N/A,FALSE,"Income Statement";"Balance Sheet",#N/A,FALSE,"Balance Sheet";"Cash Flow",#N/A,FALSE,"Cash Flow";"Ratios",#N/A,FALSE,"Ratios"}</definedName>
    <definedName name="DE" localSheetId="9"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bbie" localSheetId="9" hidden="1">{"FY03_Assets",#N/A,FALSE,"Fin Stmt Budget";"FY03_Liabilities",#N/A,FALSE,"Fin Stmt Budget";"FY03_Inc_Stmt",#N/A,FALSE,"Fin Stmt Budget";"FY03_SOCF",#N/A,FALSE,"Fin Stmt Budget"}</definedName>
    <definedName name="Dec95JobSched" localSheetId="9" hidden="1">{#N/A,#N/A,FALSE,"Job Sched"}</definedName>
    <definedName name="dede" localSheetId="9" hidden="1">{#N/A,#N/A,FALSE,"Pharm";#N/A,#N/A,FALSE,"WWCM"}</definedName>
    <definedName name="DEDED" localSheetId="9" hidden="1">{#N/A,#N/A,FALSE,"Card";#N/A,#N/A,FALSE,"Prav";#N/A,#N/A,FALSE,"Irbe";#N/A,#N/A,FALSE,"Plavix";#N/A,#N/A,FALSE,"Capt";#N/A,#N/A,FALSE,"Fosi"}</definedName>
    <definedName name="DEDEDZE" localSheetId="9" hidden="1">{#N/A,#N/A,FALSE,"Pharm";#N/A,#N/A,FALSE,"WWCM"}</definedName>
    <definedName name="DEDZD" localSheetId="9" hidden="1">{#N/A,#N/A,FALSE,"Pharm";#N/A,#N/A,FALSE,"WWCM"}</definedName>
    <definedName name="DEE" localSheetId="9" hidden="1">{#N/A,#N/A,FALSE,"Pharm";#N/A,#N/A,FALSE,"WWCM"}</definedName>
    <definedName name="def" localSheetId="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delete" localSheetId="9" hidden="1">{"STMT OF CASH FLOWS",#N/A,FALSE,"Cash Flows Indirect"}</definedName>
    <definedName name="delete2" localSheetId="9" hidden="1">{"BALANCE SHEET ACCTS",#N/A,TRUE,"Working Trial Balance";"INCOME STMT ACCTS",#N/A,TRUE,"Working Trial Balance"}</definedName>
    <definedName name="DeleteRange" localSheetId="9" hidden="1">#REF!</definedName>
    <definedName name="depn" localSheetId="9" hidden="1">{#N/A,#N/A,FALSE,"P&amp;L";#N/A,#N/A,FALSE,"fund";#N/A,#N/A,FALSE,"B.S.";#N/A,#N/A,FALSE,"tax-P&amp;L";#N/A,#N/A,FALSE,"tax-tarif1"}</definedName>
    <definedName name="depn2" localSheetId="9" hidden="1">{#N/A,#N/A,FALSE,"P&amp;L";#N/A,#N/A,FALSE,"fund";#N/A,#N/A,FALSE,"B.S.";#N/A,#N/A,FALSE,"tax-P&amp;L";#N/A,#N/A,FALSE,"tax-tarif1"}</definedName>
    <definedName name="Depr_Method" localSheetId="9">#REF!</definedName>
    <definedName name="DEZLFEZKLHF" localSheetId="9" hidden="1">{#N/A,#N/A,FALSE,"Pharm";#N/A,#N/A,FALSE,"WWCM"}</definedName>
    <definedName name="df" localSheetId="9" hidden="1">{#N/A,#N/A,TRUE,"A";#N/A,#N/A,TRUE,"B";#N/A,#N/A,TRUE,"C";#N/A,#N/A,TRUE,"D";#N/A,#N/A,TRUE,"E"}</definedName>
    <definedName name="dfa" localSheetId="9" hidden="1">{"Annual_Income",#N/A,FALSE,"Report Page";"Balance_Cash_Flow",#N/A,FALSE,"Report Page";"Quarterly_Income",#N/A,FALSE,"Report Page"}</definedName>
    <definedName name="dfasdf" localSheetId="9" hidden="1">#REF!</definedName>
    <definedName name="dfd" localSheetId="9" hidden="1">{"BS",#N/A,FALSE,"USA"}</definedName>
    <definedName name="dfdas" localSheetId="9" hidden="1">{"FCB_ALL",#N/A,FALSE,"FCB";"GREY_ALL",#N/A,FALSE,"GREY"}</definedName>
    <definedName name="dfdas1" localSheetId="9" hidden="1">{"FCB_ALL",#N/A,FALSE,"FCB";"GREY_ALL",#N/A,FALSE,"GREY"}</definedName>
    <definedName name="DFDD" localSheetId="9" hidden="1">{#N/A,#N/A,FALSE,"REPORT"}</definedName>
    <definedName name="dfdf"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d" localSheetId="9" hidden="1">{"FCB_ALL",#N/A,FALSE,"FCB";"GREY_ALL",#N/A,FALSE,"GREY"}</definedName>
    <definedName name="dfdfdd" localSheetId="9" hidden="1">{"FCB_ALL",#N/A,FALSE,"FCB";"GREY_ALL",#N/A,FALSE,"GREY"}</definedName>
    <definedName name="dfdfdfd" localSheetId="9" hidden="1">{"FCB_ALL",#N/A,FALSE,"FCB"}</definedName>
    <definedName name="dfdfdfd1" localSheetId="9" hidden="1">{"FCB_ALL",#N/A,FALSE,"FCB"}</definedName>
    <definedName name="dfdsf" localSheetId="9" hidden="1">{"FCB_ALL",#N/A,FALSE,"FCB";"GREY_ALL",#N/A,FALSE,"GREY"}</definedName>
    <definedName name="dfg" localSheetId="9">#REF!</definedName>
    <definedName name="dfgd" localSheetId="9" hidden="1">{#N/A,#N/A,FALSE,"Cashflow Analysis";#N/A,#N/A,FALSE,"Sensitivity Analysis";#N/A,#N/A,FALSE,"PV";#N/A,#N/A,FALSE,"Pro Forma"}</definedName>
    <definedName name="dfgdgd" localSheetId="9" hidden="1">{"FCB_ALL",#N/A,FALSE,"FCB"}</definedName>
    <definedName name="dfgdxfv" localSheetId="9" hidden="1">{"FCB_ALL",#N/A,FALSE,"FCB"}</definedName>
    <definedName name="dfgsdf" localSheetId="9" hidden="1">{"FCB_ALL",#N/A,FALSE,"FCB"}</definedName>
    <definedName name="dfhzfd" localSheetId="9" hidden="1">{"'Sheet1'!$A$5:$G$42"}</definedName>
    <definedName name="dfk"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r" localSheetId="9" hidden="1">{#N/A,#N/A,FALSE,"Pharm";#N/A,#N/A,FALSE,"WWCM"}</definedName>
    <definedName name="dfs" localSheetId="9" hidden="1">{#N/A,#N/A,FALSE,"Cover";#N/A,#N/A,FALSE,"TOC";#N/A,#N/A,FALSE,"IS";#N/A,#N/A,FALSE,"Mo. IS";#N/A,#N/A,FALSE,"Cont By Div";#N/A,#N/A,FALSE,"BS";#N/A,#N/A,FALSE,"CF";#N/A,#N/A,FALSE,"Inventory"}</definedName>
    <definedName name="dfsa" localSheetId="9" hidden="1">#REF!</definedName>
    <definedName name="dfsafd" localSheetId="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sa" localSheetId="9" hidden="1">#REF!</definedName>
    <definedName name="dfsafs" localSheetId="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gsdfg" localSheetId="9" hidden="1">{#N/A,#N/A,FALSE,"Cover";#N/A,#N/A,FALSE,"TOC";#N/A,#N/A,FALSE,"IS";#N/A,#N/A,FALSE,"Mo. IS";#N/A,#N/A,FALSE,"Cont By Div";#N/A,#N/A,FALSE,"BS";#N/A,#N/A,FALSE,"CF";#N/A,#N/A,FALSE,"Inventory"}</definedName>
    <definedName name="dg"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dg" localSheetId="9" hidden="1">{#N/A,#N/A,FALSE,"Calc";#N/A,#N/A,FALSE,"Sensitivity";#N/A,#N/A,FALSE,"LT Earn.Dil.";#N/A,#N/A,FALSE,"Dil. AVP"}</definedName>
    <definedName name="dgdgss" localSheetId="9" hidden="1">{"consolidated",#N/A,FALSE,"Sheet1";"cms",#N/A,FALSE,"Sheet1";"fse",#N/A,FALSE,"Sheet1"}</definedName>
    <definedName name="dgh" localSheetId="9" hidden="1">{"summary",#N/A,FALSE,"3 yr average";"comps",#N/A,FALSE,"3 yr average"}</definedName>
    <definedName name="dgtdf" localSheetId="9" hidden="1">{"FCB_ALL",#N/A,FALSE,"FCB"}</definedName>
    <definedName name="DHG" localSheetId="9" hidden="1">{"cap_structure",#N/A,FALSE,"Graph-Mkt Cap";"price",#N/A,FALSE,"Graph-Price";"ebit",#N/A,FALSE,"Graph-EBITDA";"ebitda",#N/A,FALSE,"Graph-EBITDA"}</definedName>
    <definedName name="dis" localSheetId="9" hidden="1">{#N/A,#N/A,FALSE,"Cashflow Analysis";#N/A,#N/A,FALSE,"Sensitivity Analysis";#N/A,#N/A,FALSE,"PV";#N/A,#N/A,FALSE,"Pro Forma"}</definedName>
    <definedName name="dis.2" localSheetId="9" hidden="1">{#N/A,#N/A,FALSE,"Cashflow Analysis";#N/A,#N/A,FALSE,"Sensitivity Analysis";#N/A,#N/A,FALSE,"PV";#N/A,#N/A,FALSE,"Pro Forma"}</definedName>
    <definedName name="Discout" localSheetId="9">#REF!</definedName>
    <definedName name="DistCurr" localSheetId="9">#REF!</definedName>
    <definedName name="DistPrior" localSheetId="9">#REF!</definedName>
    <definedName name="djd"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jdjd" localSheetId="9" hidden="1">{#N/A,#N/A,TRUE,"BUD VS ACT AUST 96";#N/A,#N/A,TRUE,"96 COMP P&amp;L-AUST";#N/A,#N/A,TRUE,"COMP BS-AUSTRALIA";#N/A,#N/A,TRUE,"B/S - AUSTR."}</definedName>
    <definedName name="djdNew"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ksljd" localSheetId="9" hidden="1">{#N/A,#N/A,FALSE,"Other";#N/A,#N/A,FALSE,"Ace";#N/A,#N/A,FALSE,"Derm"}</definedName>
    <definedName name="dkfjdfNew"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gahirghigf" localSheetId="9" hidden="1">{#N/A,#N/A,FALSE,"Pharm";#N/A,#N/A,FALSE,"WWCM"}</definedName>
    <definedName name="dkj"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reyer" localSheetId="9" hidden="1">{"FCB_ALL",#N/A,FALSE,"FCB"}</definedName>
    <definedName name="drgd" localSheetId="9" hidden="1">{"FCB_ALL",#N/A,FALSE,"FCB"}</definedName>
    <definedName name="drtd" localSheetId="9" hidden="1">{"FCB_ALL",#N/A,FALSE,"FCB"}</definedName>
    <definedName name="drtg" localSheetId="9" hidden="1">{"FCB_ALL",#N/A,FALSE,"FCB"}</definedName>
    <definedName name="drtgdg" localSheetId="9" hidden="1">{"FCB_ALL",#N/A,FALSE,"FCB"}</definedName>
    <definedName name="ds" localSheetId="9" hidden="1">#REF!</definedName>
    <definedName name="dsafd" localSheetId="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lkj" localSheetId="9" hidden="1">{"FCB_ALL",#N/A,FALSE,"FCB";"GREY_ALL",#N/A,FALSE,"GREY"}</definedName>
    <definedName name="dsaflkje" localSheetId="9" hidden="1">{"FCB_ALL",#N/A,FALSE,"FCB"}</definedName>
    <definedName name="dsafwlekj" localSheetId="9" hidden="1">{"FCB_ALL",#N/A,FALSE,"FCB";"GREY_ALL",#N/A,FALSE,"GREY"}</definedName>
    <definedName name="dsd" localSheetId="9" hidden="1">#REF!</definedName>
    <definedName name="dsea" localSheetId="9" hidden="1">{"FCB_ALL",#N/A,FALSE,"FCB"}</definedName>
    <definedName name="dsfgr" localSheetId="9" hidden="1">{"FCB_ALL",#N/A,FALSE,"FCB"}</definedName>
    <definedName name="dsfsd" localSheetId="9" hidden="1">{"Total",#N/A,FALSE,"Six Fields";"PDP",#N/A,FALSE,"Six Fields";"PNP",#N/A,FALSE,"Six Fields";"PUD",#N/A,FALSE,"Six Fields";"Prob",#N/A,FALSE,"Six Fields"}</definedName>
    <definedName name="dsfsffss" localSheetId="9" hidden="1">{#N/A,#N/A,FALSE,"Pharm";#N/A,#N/A,FALSE,"WWCM"}</definedName>
    <definedName name="dsg" localSheetId="9" hidden="1">{#N/A,#N/A,FALSE,"Calc";#N/A,#N/A,FALSE,"Sensitivity";#N/A,#N/A,FALSE,"LT Earn.Dil.";#N/A,#N/A,FALSE,"Dil. AVP"}</definedName>
    <definedName name="dtjhj" localSheetId="9" hidden="1">{#N/A,#N/A,FALSE,"Phase I";#N/A,#N/A,FALSE,"Phase II";#N/A,#N/A,FALSE,"Phase III"}</definedName>
    <definedName name="dtmm" localSheetId="9"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ue" localSheetId="9" hidden="1">{#N/A,#N/A,FALSE,"INPUTS";#N/A,#N/A,FALSE,"PROFORMA BSHEET";#N/A,#N/A,FALSE,"COMBINED";#N/A,#N/A,FALSE,"ACQUIROR";#N/A,#N/A,FALSE,"TARGET 1";#N/A,#N/A,FALSE,"TARGET 2";#N/A,#N/A,FALSE,"HIGH YIELD";#N/A,#N/A,FALSE,"OVERFUND"}</definedName>
    <definedName name="Dummy" localSheetId="9" hidden="1">{"Summary",#N/A,FALSE,"Summary"}</definedName>
    <definedName name="Dummy_1" localSheetId="9" hidden="1">{"Summary",#N/A,FALSE,"Summary"}</definedName>
    <definedName name="Dummy_1_1" localSheetId="9" hidden="1">{"Summary",#N/A,FALSE,"Summary"}</definedName>
    <definedName name="Dummy_1_2" localSheetId="9" hidden="1">{"Summary",#N/A,FALSE,"Summary"}</definedName>
    <definedName name="Dummy_1_3" localSheetId="9" hidden="1">{"Summary",#N/A,FALSE,"Summary"}</definedName>
    <definedName name="Dummy_1_4" localSheetId="9" hidden="1">{"Summary",#N/A,FALSE,"Summary"}</definedName>
    <definedName name="Dummy_2" localSheetId="9" hidden="1">{"Summary",#N/A,FALSE,"Summary"}</definedName>
    <definedName name="Dummy_3" localSheetId="9" hidden="1">{"Summary",#N/A,FALSE,"Summary"}</definedName>
    <definedName name="Dummy_4" localSheetId="9" hidden="1">{"Summary",#N/A,FALSE,"Summary"}</definedName>
    <definedName name="Dummy_5" localSheetId="9" hidden="1">{"Summary",#N/A,FALSE,"Summary"}</definedName>
    <definedName name="Dummy1" localSheetId="9" hidden="1">{"Summary",#N/A,FALSE,"Summary"}</definedName>
    <definedName name="Dummy1_1" localSheetId="9" hidden="1">{"Summary",#N/A,FALSE,"Summary"}</definedName>
    <definedName name="Dummy1_1_1" localSheetId="9" hidden="1">{"Summary",#N/A,FALSE,"Summary"}</definedName>
    <definedName name="Dummy1_1_2" localSheetId="9" hidden="1">{"Summary",#N/A,FALSE,"Summary"}</definedName>
    <definedName name="Dummy1_1_3" localSheetId="9" hidden="1">{"Summary",#N/A,FALSE,"Summary"}</definedName>
    <definedName name="Dummy1_1_4" localSheetId="9" hidden="1">{"Summary",#N/A,FALSE,"Summary"}</definedName>
    <definedName name="Dummy1_2" localSheetId="9" hidden="1">{"Summary",#N/A,FALSE,"Summary"}</definedName>
    <definedName name="Dummy1_3" localSheetId="9" hidden="1">{"Summary",#N/A,FALSE,"Summary"}</definedName>
    <definedName name="Dummy1_4" localSheetId="9" hidden="1">{"Summary",#N/A,FALSE,"Summary"}</definedName>
    <definedName name="Dummy1_5" localSheetId="9" hidden="1">{"Summary",#N/A,FALSE,"Summary"}</definedName>
    <definedName name="dvv" localSheetId="9" hidden="1">{#N/A,#N/A,TRUE,"NIE_C";#N/A,#N/A,TRUE,"NIE";#N/A,#N/A,TRUE,"NIE_D";#N/A,#N/A,TRUE,"NIE_D_CC";#N/A,#N/A,TRUE,"HEA -- EXP"}</definedName>
    <definedName name="E" localSheetId="9" hidden="1">#REF!</definedName>
    <definedName name="East" localSheetId="9"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coast" localSheetId="9" hidden="1">{"FY04_Assets",#N/A,FALSE,"Fin Stmt Budget";"FY04_Liabilities",#N/A,FALSE,"Fin Stmt Budget";"FY04_Inc_Stmt",#N/A,FALSE,"Fin Stmt Budget";"FY04_SOCF",#N/A,FALSE,"Fin Stmt Budget"}</definedName>
    <definedName name="Eastern" localSheetId="9" hidden="1">{"FY03_Assets",#N/A,FALSE,"Fin Stmt Budget";"FY03_Liabilities",#N/A,FALSE,"Fin Stmt Budget";"FY03_Inc_Stmt",#N/A,FALSE,"Fin Stmt Budget";"FY03_SOCF",#N/A,FALSE,"Fin Stmt Budget"}</definedName>
    <definedName name="Econscen" localSheetId="9">#REF!</definedName>
    <definedName name="ed" localSheetId="9"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dr" localSheetId="9"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e" localSheetId="9"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EEE" localSheetId="9" hidden="1">{#N/A,#N/A,FALSE,"Pharm";#N/A,#N/A,FALSE,"WWCM"}</definedName>
    <definedName name="eeeee" localSheetId="9" hidden="1">{#N/A,#N/A,FALSE,"Pharm";#N/A,#N/A,FALSE,"WWCM"}</definedName>
    <definedName name="eerr" localSheetId="9" hidden="1">{"Alle Perioden",#N/A,FALSE,"Erf";"Alle Perioden",#N/A,FALSE,"Ang";"Alle Perioden",#N/A,FALSE,"BV";"Alle Perioden",#N/A,FALSE,"BE";"Alle Perioden",#N/A,FALSE,"Re";"Alle Perioden",#N/A,FALSE,"Vol"}</definedName>
    <definedName name="ef" localSheetId="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ferferfge" localSheetId="9"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in" localSheetId="9" hidden="1">{#N/A,#N/A,FALSE,"Output";#N/A,#N/A,FALSE,"Cover Sheet";#N/A,#N/A,FALSE,"Current Mkt. Projections"}</definedName>
    <definedName name="efn" localSheetId="9" hidden="1">{#N/A,#N/A,TRUE,"DCF Summary";#N/A,#N/A,TRUE,"Casema";#N/A,#N/A,TRUE,"UK";#N/A,#N/A,TRUE,"RCF";#N/A,#N/A,TRUE,"Intercable CZ";#N/A,#N/A,TRUE,"Interkabel P";#N/A,#N/A,TRUE,"LBO-Total";#N/A,#N/A,TRUE,"LBO-Casema"}</definedName>
    <definedName name="ejejejej" localSheetId="9"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kfgkjze" localSheetId="9" hidden="1">{#N/A,#N/A,FALSE,"Pharm";#N/A,#N/A,FALSE,"WWCM"}</definedName>
    <definedName name="Elecout" localSheetId="9">#REF!</definedName>
    <definedName name="elo" localSheetId="9">#REF!</definedName>
    <definedName name="eloCS" localSheetId="9">#REF!</definedName>
    <definedName name="emily" localSheetId="9" hidden="1">{#N/A,#N/A,FALSE,"Calc";#N/A,#N/A,FALSE,"Sensitivity";#N/A,#N/A,FALSE,"LT Earn.Dil.";#N/A,#N/A,FALSE,"Dil. AVP"}</definedName>
    <definedName name="EndDate1" localSheetId="9">#REF!</definedName>
    <definedName name="Eng" localSheetId="9" hidden="1">{"PAGE 1",#N/A,FALSE,"WEST_OT"}</definedName>
    <definedName name="EPC" localSheetId="9" hidden="1">{#N/A,#N/A,FALSE,"RESUMEN ECON.";#N/A,#N/A,FALSE,"Costos de R.H.";#N/A,#N/A,FALSE,"COSTO HW";#N/A,#N/A,FALSE,"CUADROS";#N/A,#N/A,FALSE,"SCADA´s";#N/A,#N/A,FALSE,"PRECIOS EQUIPOS"}</definedName>
    <definedName name="equity" localSheetId="9" hidden="1">{"Balance Sheet",#N/A,FALSE,"Annual Summary";"Cashflows",#N/A,FALSE,"Annual Summary";"Summary Earnings",#N/A,FALSE,"Annual Summary"}</definedName>
    <definedName name="er"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aseMe" localSheetId="9" hidden="1">{#N/A,#N/A,FALSE,"Job Sched"}</definedName>
    <definedName name="erd" localSheetId="9" hidden="1">{#N/A,#N/A,FALSE,"Pharm";#N/A,#N/A,FALSE,"WWCM"}</definedName>
    <definedName name="erer" localSheetId="9" hidden="1">{"FCB_ALL",#N/A,FALSE,"FCB";"GREY_ALL",#N/A,FALSE,"GREY"}</definedName>
    <definedName name="erere" localSheetId="9" hidden="1">{"arpm1995",#N/A,FALSE,"Summary 95-96";"bus_long_distance",#N/A,FALSE,"Summary 95-96";"mins_per_day",#N/A,FALSE,"Summary 95-96";"minutes1995",#N/A,FALSE,"Summary 95-96";"rev_per_day",#N/A,FALSE,"Summary 95-96";"view1995",#N/A,FALSE,"Summary 95-96"}</definedName>
    <definedName name="ererer" localSheetId="9" hidden="1">{"arpm1995",#N/A,FALSE,"Summary 95-96";"bus_long_distance",#N/A,FALSE,"Summary 95-96";"mins_per_day",#N/A,FALSE,"Summary 95-96";"minutes1995",#N/A,FALSE,"Summary 95-96";"rev_per_day",#N/A,FALSE,"Summary 95-96";"view1995",#N/A,FALSE,"Summary 95-96"}</definedName>
    <definedName name="erewre" localSheetId="9" hidden="1">{"arpm1995",#N/A,FALSE,"Summary 95-96";"bus_long_distance",#N/A,FALSE,"Summary 95-96";"mins_per_day",#N/A,FALSE,"Summary 95-96";"minutes1995",#N/A,FALSE,"Summary 95-96";"rev_per_day",#N/A,FALSE,"Summary 95-96";"view1995",#N/A,FALSE,"Summary 95-96"}</definedName>
    <definedName name="erg" localSheetId="9" hidden="1">{#N/A,#N/A,FALSE,"ACQ_GRAPHS";#N/A,#N/A,FALSE,"T_1 GRAPHS";#N/A,#N/A,FALSE,"T_2 GRAPHS";#N/A,#N/A,FALSE,"COMB_GRAPHS"}</definedName>
    <definedName name="erryeyetyuu" localSheetId="9" hidden="1">{#N/A,#N/A,FALSE,"Pharm";#N/A,#N/A,FALSE,"WWCM"}</definedName>
    <definedName name="ers" localSheetId="9" hidden="1">{"FCB_ALL",#N/A,FALSE,"FCB";"GREY_ALL",#N/A,FALSE,"GREY"}</definedName>
    <definedName name="ersdf" localSheetId="9" hidden="1">{"FCB_ALL",#N/A,FALSE,"FCB";"GREY_ALL",#N/A,FALSE,"GREY"}</definedName>
    <definedName name="erser" localSheetId="9" hidden="1">{"FCB_ALL",#N/A,FALSE,"FCB"}</definedName>
    <definedName name="es" localSheetId="9" hidden="1">{"FCB_ALL",#N/A,FALSE,"FCB"}</definedName>
    <definedName name="esr" localSheetId="9" hidden="1">{"FCB_ALL",#N/A,FALSE,"FCB"}</definedName>
    <definedName name="esrs" localSheetId="9" hidden="1">{"FCB_ALL",#N/A,FALSE,"FCB"}</definedName>
    <definedName name="ESSAI" localSheetId="9" hidden="1">{#N/A,#N/A,FALSE,"Pharm";#N/A,#N/A,FALSE,"WWCM"}</definedName>
    <definedName name="esw" localSheetId="9" hidden="1">{#N/A,#N/A,FALSE,"TABLE_1 YTD- VALUES LAST YR(2)"}</definedName>
    <definedName name="etet" localSheetId="9" hidden="1">{#N/A,#N/A,FALSE,"Calc";#N/A,#N/A,FALSE,"Sensitivity";#N/A,#N/A,FALSE,"LT Earn.Dil.";#N/A,#N/A,FALSE,"Dil. AVP"}</definedName>
    <definedName name="ev.Calculation" localSheetId="9" hidden="1">2</definedName>
    <definedName name="ewwe" localSheetId="9" hidden="1">{#N/A,#N/A,FALSE,"REPORT"}</definedName>
    <definedName name="excel" localSheetId="9" hidden="1">{"cash flow - FY00",#N/A,FALSE,"P &amp; L";"cash flow - FY01",#N/A,FALSE,"P &amp; L"}</definedName>
    <definedName name="excel2" localSheetId="9" hidden="1">{"cash flow - FY00",#N/A,FALSE,"P &amp; L";"cash flow - FY01",#N/A,FALSE,"P &amp; L"}</definedName>
    <definedName name="ExitYr" localSheetId="9">#REF!</definedName>
    <definedName name="Expenses" localSheetId="9" hidden="1">{"SUM",#N/A,FALSE,"Details (2)"}</definedName>
    <definedName name="eyh" localSheetId="9" hidden="1">{#N/A,#N/A,FALSE,"BS";#N/A,#N/A,FALSE,"PL";#N/A,#N/A,FALSE,"SOE";#N/A,#N/A,FALSE,"SCF"}</definedName>
    <definedName name="f" localSheetId="9" hidden="1">#REF!</definedName>
    <definedName name="fadsf" localSheetId="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sd" localSheetId="9" hidden="1">{#N/A,#N/A,FALSE,"MKT.COMPS";#N/A,#N/A,FALSE,"DCF - LBO"}</definedName>
    <definedName name="fafs" localSheetId="9" hidden="1">{#N/A,#N/A,FALSE,"Brad BANM_S";#N/A,#N/A,FALSE,"Brad SAM_BANM";#N/A,#N/A,FALSE,"Brad_LD";#N/A,#N/A,FALSE,"BANM-&gt;S";#N/A,#N/A,FALSE,"BANM_S";#N/A,#N/A,FALSE,"S-&gt;BANM";#N/A,#N/A,FALSE,"SAM_BANM";#N/A,#N/A,FALSE,"BANM";#N/A,#N/A,FALSE,"Sam"}</definedName>
    <definedName name="FarrellWitchita" localSheetId="9" hidden="1">{"FCB_ALL",#N/A,FALSE,"FCB"}</definedName>
    <definedName name="fasdfs" localSheetId="9" hidden="1">{#N/A,#N/A,FALSE,"Aging Summary";#N/A,#N/A,FALSE,"Ratio Analysis";#N/A,#N/A,FALSE,"Test 120 Day Accts";#N/A,#N/A,FALSE,"Tickmarks"}</definedName>
    <definedName name="fd"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DFD" localSheetId="9" hidden="1">{#N/A,#N/A,FALSE,"Pharm";#N/A,#N/A,FALSE,"WWCM"}</definedName>
    <definedName name="fdgad" localSheetId="9" hidden="1">{"inputs raw data",#N/A,TRUE,"INPUT"}</definedName>
    <definedName name="fdgfdg" localSheetId="9" hidden="1">{"FCB_ALL",#N/A,FALSE,"FCB";"GREY_ALL",#N/A,FALSE,"GREY"}</definedName>
    <definedName name="fds" localSheetId="9" hidden="1">{#N/A,#N/A,FALSE,"Pharm";#N/A,#N/A,FALSE,"WWCM"}</definedName>
    <definedName name="fdsafdas" localSheetId="9" hidden="1">{"Summary",#N/A,FALSE,"Details (2)"}</definedName>
    <definedName name="fdsag" localSheetId="9" hidden="1">{"FCB_ALL",#N/A,FALSE,"FCB"}</definedName>
    <definedName name="fdsakfjds" localSheetId="9" hidden="1">{"FCB_ALL",#N/A,FALSE,"FCB";"GREY_ALL",#N/A,FALSE,"GREY"}</definedName>
    <definedName name="fdsg" localSheetId="9" hidden="1">{"FCB_ALL",#N/A,FALSE,"FCB"}</definedName>
    <definedName name="feb02tb" localSheetId="9" hidden="1">{"Statement of Income",#N/A,TRUE,"Mar99";"Balance Sheet",#N/A,TRUE,"Mar99"}</definedName>
    <definedName name="fees" localSheetId="9">#REF!</definedName>
    <definedName name="ff" localSheetId="9" hidden="1">{#N/A,#N/A,FALSE,"Pharm";#N/A,#N/A,FALSE,"WWCM"}</definedName>
    <definedName name="fff" localSheetId="9" hidden="1">{#N/A,#N/A,FALSE,"Pharm";#N/A,#N/A,FALSE,"WWCM"}</definedName>
    <definedName name="ffff" localSheetId="9" hidden="1">{#N/A,#N/A,TRUE,"BUD VS ACT AUST 96";#N/A,#N/A,TRUE,"96 COMP P&amp;L-AUST";#N/A,#N/A,TRUE,"COMP BS-AUSTRALIA";#N/A,#N/A,TRUE,"B/S - AUSTR."}</definedName>
    <definedName name="ffffff.2" localSheetId="9" hidden="1">{#N/A,#N/A,FALSE,"Cashflow Analysis";#N/A,#N/A,FALSE,"Sensitivity Analysis";#N/A,#N/A,FALSE,"PV";#N/A,#N/A,FALSE,"Pro Forma"}</definedName>
    <definedName name="fffffff" localSheetId="9" hidden="1">{#N/A,#N/A,FALSE,"Pharm";#N/A,#N/A,FALSE,"WWCM"}</definedName>
    <definedName name="ffffffffff" localSheetId="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g" localSheetId="9" hidden="1">{#N/A,#N/A,FALSE,"REPORT"}</definedName>
    <definedName name="fgf" localSheetId="9" hidden="1">{#N/A,#N/A,FALSE,"COVER";#N/A,#N/A,FALSE,"RATIOS";#N/A,#N/A,FALSE,"LEVERAGE";#N/A,#N/A,FALSE,"TIER-1";#N/A,#N/A,FALSE,"RISK BASED ASSETS";#N/A,#N/A,FALSE,"TIER-2"}</definedName>
    <definedName name="fgfdg" localSheetId="9" hidden="1">{"FCB_ALL",#N/A,FALSE,"FCB";"GREY_ALL",#N/A,FALSE,"GREY"}</definedName>
    <definedName name="fgj" localSheetId="9" hidden="1">{#N/A,#N/A,FALSE,"ACQ_GRAPHS";#N/A,#N/A,FALSE,"T_1 GRAPHS";#N/A,#N/A,FALSE,"T_2 GRAPHS";#N/A,#N/A,FALSE,"COMB_GRAPHS"}</definedName>
    <definedName name="fgkjkh" localSheetId="9" hidden="1">{#N/A,#N/A,FALSE,"REPORT"}</definedName>
    <definedName name="fgr" localSheetId="9"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sg" localSheetId="9" hidden="1">{"consolidated",#N/A,FALSE,"Sheet1";"cms",#N/A,FALSE,"Sheet1";"fse",#N/A,FALSE,"Sheet1"}</definedName>
    <definedName name="fhg"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ficha" localSheetId="9" hidden="1">{#N/A,#N/A,FALSE,"RESUMEN ECON.";#N/A,#N/A,FALSE,"Costos de R.H.";#N/A,#N/A,FALSE,"COSTO HW";#N/A,#N/A,FALSE,"CUADROS";#N/A,#N/A,FALSE,"SCADA´s";#N/A,#N/A,FALSE,"PRECIOS EQUIPOS"}</definedName>
    <definedName name="Final_Summary" localSheetId="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ncial" localSheetId="9" hidden="1">{#N/A,#N/A,FALSE,"1996 Monthly Detail";#N/A,#N/A,FALSE,"1996 CashFlow";#N/A,#N/A,FALSE,"PNL By Dept";#N/A,#N/A,FALSE,"1997 Quarterly Detail";#N/A,#N/A,FALSE,"1998 Quarterly Detail";#N/A,#N/A,FALSE,"1997 Cash Flow";#N/A,#N/A,FALSE,"1998 Cash Flow"}</definedName>
    <definedName name="financials" localSheetId="9" hidden="1">{"PAGE1",#N/A,FALSE,"BID (3)";"PAGE2",#N/A,FALSE,"BID (3)"}</definedName>
    <definedName name="fine" localSheetId="9" hidden="1">{#N/A,#N/A,FALSE,"RESUMEN ECON.";#N/A,#N/A,FALSE,"Costos de R.H.";#N/A,#N/A,FALSE,"COSTO HW";#N/A,#N/A,FALSE,"CUADROS";#N/A,#N/A,FALSE,"SCADA´s";#N/A,#N/A,FALSE,"PRECIOS EQUIPOS"}</definedName>
    <definedName name="fish" localSheetId="9" hidden="1">{#N/A,#N/A,FALSE,"VALSUM";#N/A,#N/A,FALSE,"MKT.COMPS";#N/A,#N/A,FALSE,"ACQ.MULT.";#N/A,#N/A,FALSE,"DCF - LBO"}</definedName>
    <definedName name="FJEZK" localSheetId="9" hidden="1">{#N/A,#N/A,FALSE,"Pharm";#N/A,#N/A,FALSE,"WWCM"}</definedName>
    <definedName name="fm" localSheetId="9" hidden="1">{"summary1",#N/A,TRUE,"Comps";"summary2",#N/A,TRUE,"Comps";"summary3",#N/A,TRUE,"Comps"}</definedName>
    <definedName name="FMVRATE" localSheetId="9">#REF!</definedName>
    <definedName name="FOHV" localSheetId="9">#REF!</definedName>
    <definedName name="FootnoteDefaults" localSheetId="9" hidden="1">{1;TRUE;5;"Times New Roman";FALSE;FALSE;TRUE;18;8;-4.5;-4;1;2;2;1;TRUE;5}</definedName>
    <definedName name="fpdate" localSheetId="9">#REF!</definedName>
    <definedName name="france" localSheetId="9" hidden="1">{#N/A,#N/A,FALSE,"COMP BS-FRANCE";#N/A,#N/A,FALSE,"96 COMP P&amp;L-FRANCE";#N/A,#N/A,FALSE,"BUD VS ACT FRAN 96";#N/A,#N/A,FALSE,"B/S - FRANCE"}</definedName>
    <definedName name="FRANCE1" localSheetId="9" hidden="1">{#N/A,#N/A,FALSE,"COMP BS-FRANCE";#N/A,#N/A,FALSE,"96 COMP P&amp;L-FRANCE";#N/A,#N/A,FALSE,"BUD VS ACT FRAN 96";#N/A,#N/A,FALSE,"B/S - FRANCE"}</definedName>
    <definedName name="frequency" localSheetId="9">{"Annually";"Semi-Annually";"Quarterly";"Bi-Monthly";"Monthly";"Semi-Monthly";"Bi-Weekly";"Weekly"}</definedName>
    <definedName name="FRF" localSheetId="9" hidden="1">{#N/A,#N/A,FALSE,"1";#N/A,#N/A,FALSE,"2";#N/A,#N/A,FALSE,"16 - 17";#N/A,#N/A,FALSE,"18 - 19";#N/A,#N/A,FALSE,"26";#N/A,#N/A,FALSE,"27";#N/A,#N/A,FALSE,"28"}</definedName>
    <definedName name="FRFERFE" localSheetId="9" hidden="1">{#N/A,#N/A,FALSE,"Pharm";#N/A,#N/A,FALSE,"WWCM"}</definedName>
    <definedName name="Frght_Discnt" localSheetId="9">#REF!</definedName>
    <definedName name="fsdafdsa" localSheetId="9" hidden="1">{"SUM",#N/A,FALSE,"Details (2)"}</definedName>
    <definedName name="fsdg" localSheetId="9">#REF!</definedName>
    <definedName name="fsdsfafd" localSheetId="9" hidden="1">{"CSheet",#N/A,FALSE,"C";"SmCap",#N/A,FALSE,"VAL1";"GulfCoast",#N/A,FALSE,"VAL1";"nav",#N/A,FALSE,"NAV";"Summary",#N/A,FALSE,"NAV"}</definedName>
    <definedName name="fsfs" localSheetId="9" hidden="1">{#N/A,#N/A,FALSE,"Calc";#N/A,#N/A,FALSE,"Sensitivity";#N/A,#N/A,FALSE,"LT Earn.Dil.";#N/A,#N/A,FALSE,"Dil. AVP"}</definedName>
    <definedName name="fsfsd" localSheetId="9" hidden="1">{#N/A,#N/A,TRUE,"RESUMEN ECON.";#N/A,#N/A,TRUE,"Costos de R.H.";#N/A,#N/A,TRUE,"COSTO HW";#N/A,#N/A,TRUE,"CUADROS";#N/A,#N/A,TRUE,"SCADA´s";#N/A,#N/A,TRUE,"PRECIOS EQUIPOS"}</definedName>
    <definedName name="fsgdr" localSheetId="9" hidden="1">{"FCB_ALL",#N/A,FALSE,"FCB"}</definedName>
    <definedName name="FSLine" localSheetId="9">#REF!</definedName>
    <definedName name="FSoPacific" localSheetId="9" hidden="1">{"BS",#N/A,FALSE,"USA"}</definedName>
    <definedName name="fsr" localSheetId="9" hidden="1">{"FCB_ALL",#N/A,FALSE,"FCB"}</definedName>
    <definedName name="fsv" localSheetId="9" hidden="1">{"FCB_ALL",#N/A,FALSE,"FCB";"GREY_ALL",#N/A,FALSE,"GREY"}</definedName>
    <definedName name="ftyf" localSheetId="9" hidden="1">{"FCB_ALL",#N/A,FALSE,"FCB";"GREY_ALL",#N/A,FALSE,"GREY"}</definedName>
    <definedName name="Fuckoff" localSheetId="9" hidden="1">{"Input Sheet",#N/A,FALSE,"Input";"New Co",#N/A,FALSE,"NEWCO";"Acq Cash Flow",#N/A,FALSE,"Acq. CF";"Target Cash Flow",#N/A,FALSE,"Tgt. CF";"Operational Merger",#N/A,FALSE,"OP Merger";"Acq Balance Sheet",#N/A,FALSE,"Acq. BS";"Target Balance Sheet",#N/A,FALSE,"Tgt. BS";"BOE Comp",#N/A,FALSE,"BOEComp"}</definedName>
    <definedName name="fuelco_wrn.test1." localSheetId="9" hidden="1">{"Income Statement",#N/A,FALSE,"CFMODEL";"Balance Sheet",#N/A,FALSE,"CFMODEL"}</definedName>
    <definedName name="fuelco_wrn.test2." localSheetId="9" hidden="1">{"SourcesUses",#N/A,TRUE,"CFMODEL";"TransOverview",#N/A,TRUE,"CFMODEL"}</definedName>
    <definedName name="fuelco_wrn.test3." localSheetId="9" hidden="1">{"SourcesUses",#N/A,TRUE,#N/A;"TransOverview",#N/A,TRUE,"CFMODEL"}</definedName>
    <definedName name="fuelco_wrn.test4." localSheetId="9" hidden="1">{"SourcesUses",#N/A,TRUE,"FundsFlow";"TransOverview",#N/A,TRUE,"FundsFlow"}</definedName>
    <definedName name="fundIV" localSheetId="9"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localSheetId="9"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VG" localSheetId="9" hidden="1">{#N/A,#N/A,FALSE,"Pharm";#N/A,#N/A,FALSE,"WWCM"}</definedName>
    <definedName name="g" localSheetId="9" hidden="1">{#N/A,#N/A,FALSE,"Pharm";#N/A,#N/A,FALSE,"WWCM"}</definedName>
    <definedName name="GA" localSheetId="9" hidden="1">{#N/A,#N/A,FALSE,"Job Sched"}</definedName>
    <definedName name="GAAP" localSheetId="9">#REF!</definedName>
    <definedName name="gadew" localSheetId="9" hidden="1">{"FCB_ALL",#N/A,FALSE,"FCB"}</definedName>
    <definedName name="gadfsh" localSheetId="9" hidden="1">{"FCB_ALL",#N/A,FALSE,"FCB"}</definedName>
    <definedName name="gads" localSheetId="9" hidden="1">{"FCB_ALL",#N/A,FALSE,"FCB"}</definedName>
    <definedName name="gadse" localSheetId="9" hidden="1">{"FCB_ALL",#N/A,FALSE,"FCB"}</definedName>
    <definedName name="Gasout" localSheetId="9">#REF!</definedName>
    <definedName name="Gatewayforecast" localSheetId="9" hidden="1">{"SUM",#N/A,FALSE,"Details (2)"}</definedName>
    <definedName name="gawea" localSheetId="9" hidden="1">{"FCB_ALL",#N/A,FALSE,"FCB"}</definedName>
    <definedName name="gawen" localSheetId="9" hidden="1">{"FCB_ALL",#N/A,FALSE,"FCB"}</definedName>
    <definedName name="gdfgdf" localSheetId="9" hidden="1">{#N/A,#N/A,FALSE,"Pharm";#N/A,#N/A,FALSE,"WWCM"}</definedName>
    <definedName name="GeelCapexFcst" localSheetId="9" hidden="1">{#N/A,#N/A,FALSE,"SUMMARY";#N/A,#N/A,FALSE,"mcsh";#N/A,#N/A,FALSE,"vol&amp;rev";#N/A,#N/A,FALSE,"wkgcap";#N/A,#N/A,FALSE,"DEPR&amp;DT";#N/A,#N/A,FALSE,"ASSETS";#N/A,#N/A,FALSE,"NI&amp;OTH&amp;DIV";#N/A,#N/A,FALSE,"CASHFLOW";#N/A,#N/A,FALSE,"CAPEMPL";#N/A,#N/A,FALSE,"ROCE"}</definedName>
    <definedName name="gegeg" localSheetId="9" hidden="1">{#N/A,#N/A,FALSE,"Cashflow Analysis";#N/A,#N/A,FALSE,"Sensitivity Analysis";#N/A,#N/A,FALSE,"PV";#N/A,#N/A,FALSE,"Pro Forma"}</definedName>
    <definedName name="gegeg.2" localSheetId="9" hidden="1">{#N/A,#N/A,FALSE,"Cashflow Analysis";#N/A,#N/A,FALSE,"Sensitivity Analysis";#N/A,#N/A,FALSE,"PV";#N/A,#N/A,FALSE,"Pro Forma"}</definedName>
    <definedName name="gfasd" localSheetId="9" hidden="1">{"FCB_ALL",#N/A,FALSE,"FCB"}</definedName>
    <definedName name="gfdjhjh" localSheetId="9" hidden="1">{#N/A,#N/A,FALSE,"Pharm";#N/A,#N/A,FALSE,"WWCM"}</definedName>
    <definedName name="gfhs" localSheetId="9" hidden="1">{"summary1",#N/A,TRUE,"Comps";"summary2",#N/A,TRUE,"Comps";"summary3",#N/A,TRUE,"Comps"}</definedName>
    <definedName name="gfsdn" localSheetId="9" hidden="1">{"FCB_ALL",#N/A,FALSE,"FCB";"GREY_ALL",#N/A,FALSE,"GREY"}</definedName>
    <definedName name="GG" localSheetId="9" hidden="1">{#N/A,#N/A,FALSE,"PL-FS";#N/A,#N/A,FALSE,"PL"}</definedName>
    <definedName name="gg.2" localSheetId="9" hidden="1">{#N/A,#N/A,FALSE,"Cashflow Analysis";#N/A,#N/A,FALSE,"Sensitivity Analysis";#N/A,#N/A,FALSE,"PV";#N/A,#N/A,FALSE,"Pro Forma"}</definedName>
    <definedName name="ghjfg" localSheetId="9" hidden="1">{#N/A,#N/A,TRUE,"ALLL";#N/A,#N/A,TRUE,"DEL";#N/A,#N/A,TRUE,"Reserve Analysis";#N/A,#N/A,TRUE,"C_OFF HISTORY";#N/A,#N/A,TRUE,"ALLL_QTR";#N/A,#N/A,TRUE,"HEA_M";#N/A,#N/A,TRUE,"BL_DET";#N/A,#N/A,TRUE,"3YRS+";#N/A,#N/A,TRUE,"CONSTR_DET"}</definedName>
    <definedName name="ghjggjh" localSheetId="9" hidden="1">{#N/A,#N/A,FALSE,"Pharm";#N/A,#N/A,FALSE,"WWCM"}</definedName>
    <definedName name="ghmtymk" localSheetId="9" hidden="1">{#N/A,#N/A,FALSE,"INPUTS";#N/A,#N/A,FALSE,"PROFORMA BSHEET";#N/A,#N/A,FALSE,"COMBINED";#N/A,#N/A,FALSE,"ACQUIROR";#N/A,#N/A,FALSE,"TARGET 1";#N/A,#N/A,FALSE,"TARGET 2";#N/A,#N/A,FALSE,"HIGH YIELD";#N/A,#N/A,FALSE,"OVERFUND"}</definedName>
    <definedName name="ghtj" localSheetId="9" hidden="1">{#N/A,#N/A,FALSE,"ACQ_GRAPHS";#N/A,#N/A,FALSE,"T_1 GRAPHS";#N/A,#N/A,FALSE,"T_2 GRAPHS";#N/A,#N/A,FALSE,"COMB_GRAPHS"}</definedName>
    <definedName name="gilb.wrn.test2." localSheetId="9" hidden="1">{"SourcesUses",#N/A,TRUE,"CFMODEL";"TransOverview",#N/A,TRUE,"CFMODEL"}</definedName>
    <definedName name="gilb.wrn.test3." localSheetId="9" hidden="1">{"SourcesUses",#N/A,TRUE,#N/A;"TransOverview",#N/A,TRUE,"CFMODEL"}</definedName>
    <definedName name="gilb.wrn.test4." localSheetId="9" hidden="1">{"SourcesUses",#N/A,TRUE,"FundsFlow";"TransOverview",#N/A,TRUE,"FundsFlow"}</definedName>
    <definedName name="gilb_wrn.test1" localSheetId="9" hidden="1">{"Income Statement",#N/A,FALSE,"CFMODEL";"Balance Sheet",#N/A,FALSE,"CFMODEL"}</definedName>
    <definedName name="gkn" localSheetId="9" hidden="1">{#N/A,#N/A,FALSE,"COVER PAGE";#N/A,#N/A,FALSE,"Page 2";#N/A,#N/A,FALSE,"Page 2";#N/A,#N/A,FALSE,"Page 4";#N/A,#N/A,FALSE,"Page5";#N/A,#N/A,FALSE,"Page 6";#N/A,#N/A,FALSE,"Page 7";#N/A,#N/A,FALSE,"Page 8";#N/A,#N/A,FALSE,"Page 10";#N/A,#N/A,FALSE,"Long-Term OCF Mult.";#N/A,#N/A,FALSE,"PCS Comp";#N/A,#N/A,FALSE,"OCS-CAPEX";#N/A,#N/A,FALSE,"Blank"}</definedName>
    <definedName name="GKUY" localSheetId="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obal1" localSheetId="9" hidden="1">{#N/A,#N/A,FALSE,"Pharm";#N/A,#N/A,FALSE,"WWCM"}</definedName>
    <definedName name="gmghm" localSheetId="9"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gnr" localSheetId="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 localSheetId="9" hidden="1">{"TOTAL",#N/A,FALSE,"A";"FISCAL94",#N/A,FALSE,"A";"FISCAL95",#N/A,FALSE,"A";"FISCAL96",#N/A,FALSE,"A";"misc page",#N/A,FALSE,"A"}</definedName>
    <definedName name="graph" localSheetId="9" hidden="1">{#N/A,#N/A,FALSE,"REPORT"}</definedName>
    <definedName name="gt" localSheetId="9" hidden="1">{#N/A,#N/A,FALSE,"COVER";#N/A,#N/A,FALSE,"Index";#N/A,#N/A,FALSE,"Non-Earning";#N/A,#N/A,FALSE,"Commercial";#N/A,#N/A,FALSE,"Detailed"}</definedName>
    <definedName name="gtrwegrwegw" localSheetId="9" hidden="1">{"Summary",#N/A,FALSE,"Details (2)"}</definedName>
    <definedName name="gty" localSheetId="9" hidden="1">{"arpm1995",#N/A,FALSE,"Summary 95-96";"bus_long_distance",#N/A,FALSE,"Summary 95-96";"mins_per_day",#N/A,FALSE,"Summary 95-96";"minutes1995",#N/A,FALSE,"Summary 95-96";"rev_per_day",#N/A,FALSE,"Summary 95-96";"view1995",#N/A,FALSE,"Summary 95-96"}</definedName>
    <definedName name="h" localSheetId="9" hidden="1">{#N/A,#N/A,FALSE,"REPORT"}</definedName>
    <definedName name="hbkg" localSheetId="9" hidden="1">{#N/A,#N/A,FALSE,"COVER";#N/A,#N/A,FALSE,"Index";#N/A,#N/A,FALSE,"Non-Earning";#N/A,#N/A,FALSE,"Non-Earning-Recovery";#N/A,#N/A,FALSE,"Leasing_Equipo";#N/A,#N/A,FALSE,"Leasing_Auto";#N/A,#N/A,FALSE,"Leasing_Legal"}</definedName>
    <definedName name="HD"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Header" localSheetId="9">#REF!</definedName>
    <definedName name="Header1" localSheetId="9" hidden="1">IF(COUNTA(#REF!)=0,0,INDEX(#REF!,MATCH(ROW(#REF!),#REF!,TRUE)))+1</definedName>
    <definedName name="Header2" localSheetId="9" hidden="1">#REF!-1 &amp; "." &amp; MAX(1,COUNTA(INDEX(#REF!,MATCH(#REF!-1,#REF!,FALSE)):#REF!))</definedName>
    <definedName name="HEI" localSheetId="9" hidden="1">{"AQUIRORDCF",#N/A,FALSE,"Merger consequences";"Acquirorassns",#N/A,FALSE,"Merger consequences"}</definedName>
    <definedName name="hello2" localSheetId="9" hidden="1">{#N/A,#N/A,FALSE,"Index";"Stmts_Qtrs",#N/A,FALSE,"Summary";"Stmts_24 mo",#N/A,FALSE,"Summary";"Summary_24",#N/A,FALSE,"Revenue";"Month_24",#N/A,FALSE,"Engineering";"Month_24",#N/A,FALSE,"Marketing";"Month_24",#N/A,FALSE,"G &amp; A";"Month_24",#N/A,FALSE,"Manufacturing"}</definedName>
    <definedName name="Help" localSheetId="9" hidden="1">{#N/A,#N/A,FALSE,"COVER PAGE";#N/A,#N/A,FALSE,"Page 2";#N/A,#N/A,FALSE,"Page 2";#N/A,#N/A,FALSE,"Page 4";#N/A,#N/A,FALSE,"Page5";#N/A,#N/A,FALSE,"Page 6";#N/A,#N/A,FALSE,"Page 7";#N/A,#N/A,FALSE,"Page 8";#N/A,#N/A,FALSE,"Page 10";#N/A,#N/A,FALSE,"Long-Term OCF Mult.";#N/A,#N/A,FALSE,"PCS Comp";#N/A,#N/A,FALSE,"OCS-CAPEX";#N/A,#N/A,FALSE,"Blank"}</definedName>
    <definedName name="help1" localSheetId="9" hidden="1">{#N/A,#N/A,FALSE,"Total";#N/A,#N/A,FALSE,"Sew";#N/A,#N/A,FALSE,"Finish";#N/A,#N/A,FALSE,"CUT";#N/A,#N/A,FALSE,"Mill 5";#N/A,#N/A,FALSE,"Mill 6";#N/A,#N/A,FALSE,"Mill 8";#N/A,#N/A,FALSE,"Mill 9";#N/A,#N/A,FALSE,"Mill 10";#N/A,#N/A,FALSE,"Mill 12";#N/A,#N/A,FALSE,"Mill 15";#N/A,#N/A,FALSE,"Mill 17"}</definedName>
    <definedName name="hfd" localSheetId="9" hidden="1">{"FCB_ALL",#N/A,FALSE,"FCB";"GREY_ALL",#N/A,FALSE,"GREY"}</definedName>
    <definedName name="HFinGraph" localSheetId="9" hidden="1">{#N/A,#N/A,FALSE,"Pharm";#N/A,#N/A,FALSE,"WWCM"}</definedName>
    <definedName name="hfydf" localSheetId="9" hidden="1">{"FCB_ALL",#N/A,FALSE,"FCB"}</definedName>
    <definedName name="hgsrt" localSheetId="9" hidden="1">{"FCB_ALL",#N/A,FALSE,"FCB";"GREY_ALL",#N/A,FALSE,"GREY"}</definedName>
    <definedName name="hh" localSheetId="9" hidden="1">{#N/A,#N/A,TRUE,"DCF Summary";#N/A,#N/A,TRUE,"Casema";#N/A,#N/A,TRUE,"UK";#N/A,#N/A,TRUE,"RCF";#N/A,#N/A,TRUE,"Intercable CZ";#N/A,#N/A,TRUE,"Interkabel P";#N/A,#N/A,TRUE,"LBO-Total";#N/A,#N/A,TRUE,"LBO-Casema"}</definedName>
    <definedName name="hhh" localSheetId="9" hidden="1">{#N/A,#N/A,FALSE,"Job Sched"}</definedName>
    <definedName name="hhhh" localSheetId="9" hidden="1">{"SUM",#N/A,FALSE,"Details (2)"}</definedName>
    <definedName name="Hi" localSheetId="9" hidden="1">{#N/A,#N/A,FALSE,"FAB VENDORS";"BUD SUM",#N/A,FALSE,"BUD SUM WO TEX"}</definedName>
    <definedName name="Hibh" localSheetId="9" hidden="1">{#N/A,#N/A,FALSE,"Pharm";#N/A,#N/A,FALSE,"WWCM"}</definedName>
    <definedName name="High" localSheetId="9" hidden="1">{#N/A,#N/A,FALSE,"Pharm";#N/A,#N/A,FALSE,"WWCM"}</definedName>
    <definedName name="hjf" localSheetId="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h" localSheetId="9" hidden="1">{#N/A,#N/A,FALSE,"Page 1";#N/A,#N/A,FALSE,"Page 2";#N/A,#N/A,FALSE,"Page 3";#N/A,#N/A,FALSE,"Page 4";#N/A,#N/A,FALSE,"Page 5"}</definedName>
    <definedName name="hjhjffukfuk" localSheetId="9" hidden="1">{#N/A,#N/A,FALSE,"Pharm";#N/A,#N/A,FALSE,"WWCM"}</definedName>
    <definedName name="hjhjfkfukywrte" localSheetId="9" hidden="1">{#N/A,#N/A,FALSE,"Pharm";#N/A,#N/A,FALSE,"WWCM"}</definedName>
    <definedName name="hjhjhj" localSheetId="9" hidden="1">{#N/A,#N/A,FALSE,"Index";"Stmts_Qtrs",#N/A,FALSE,"Summary";"Stmts_24 mo",#N/A,FALSE,"Summary";"Summary_24",#N/A,FALSE,"Revenue";"Month_24",#N/A,FALSE,"Engineering";"Month_24",#N/A,FALSE,"Marketing";"Month_24",#N/A,FALSE,"G &amp; A";"Month_24",#N/A,FALSE,"Manufacturing"}</definedName>
    <definedName name="hjhjhj2" localSheetId="9" hidden="1">{#N/A,#N/A,FALSE,"Index";"Stmts_Qtrs",#N/A,FALSE,"Summary";"Stmts_24 mo",#N/A,FALSE,"Summary";"Summary_24",#N/A,FALSE,"Revenue";"Month_24",#N/A,FALSE,"Engineering";"Month_24",#N/A,FALSE,"Marketing";"Month_24",#N/A,FALSE,"G &amp; A";"Month_24",#N/A,FALSE,"Manufacturing"}</definedName>
    <definedName name="hjhkjkl" localSheetId="9" hidden="1">{#N/A,#N/A,FALSE,"Pharm";#N/A,#N/A,FALSE,"WWCM"}</definedName>
    <definedName name="hjjjkk" localSheetId="9" hidden="1">{#N/A,#N/A,FALSE,"REPORT"}</definedName>
    <definedName name="hjjkk" localSheetId="9" hidden="1">{#N/A,#N/A,FALSE,"Pharm";#N/A,#N/A,FALSE,"WWCM"}</definedName>
    <definedName name="hjkk" localSheetId="9" hidden="1">{#N/A,#N/A,FALSE,"Pharm";#N/A,#N/A,FALSE,"WWCM"}</definedName>
    <definedName name="HKSH" localSheetId="9" hidden="1">{#N/A,#N/A,FALSE,"REPORT"}</definedName>
    <definedName name="HMG" localSheetId="9" hidden="1">{#N/A,#N/A,FALSE,"REPORT"}</definedName>
    <definedName name="hn._I018" localSheetId="9" hidden="1">#REF!</definedName>
    <definedName name="hn._I024" localSheetId="9" hidden="1">#REF!</definedName>
    <definedName name="hn.Delete015" localSheetId="9" hidden="1">#REF!,#REF!,#REF!,#REF!,#REF!</definedName>
    <definedName name="hn.PrivateLTMYear" localSheetId="9" hidden="1">#REF!</definedName>
    <definedName name="hod" localSheetId="9" hidden="1">{#N/A,#N/A,FALSE,"TS";#N/A,#N/A,FALSE,"Combo";#N/A,#N/A,FALSE,"FAIR";#N/A,#N/A,FALSE,"RBC";#N/A,#N/A,FALSE,"xxxx";#N/A,#N/A,FALSE,"A_D";#N/A,#N/A,FALSE,"WACC";#N/A,#N/A,FALSE,"DCF";#N/A,#N/A,FALSE,"LBO";#N/A,#N/A,FALSE,"AcqMults";#N/A,#N/A,FALSE,"CompMults"}</definedName>
    <definedName name="home" localSheetId="9" hidden="1">{"WACC_filecopy",#N/A,FALSE,"Inputs";"Beta_filecopy",#N/A,FALSE,"Inputs";"SCF_filecopy",#N/A,FALSE,"Inputs";"ProBS_filecopy",#N/A,FALSE,"Inputs";"BS_filecopy",#N/A,FALSE,"Inputs";"ProIS_filecopy",#N/A,FALSE,"Inputs";"IS_filecopy",#N/A,FALSE,"Inputs"}</definedName>
    <definedName name="HOMFE" localSheetId="9" hidden="1">{#N/A,#N/A,FALSE,"Assessment";#N/A,#N/A,FALSE,"Staffing";#N/A,#N/A,FALSE,"Hires";#N/A,#N/A,FALSE,"Assumptions"}</definedName>
    <definedName name="houy" localSheetId="9" hidden="1">{#N/A,#N/A,FALSE,"AD_Purchase";#N/A,#N/A,FALSE,"Credit";#N/A,#N/A,FALSE,"PF Acquisition";#N/A,#N/A,FALSE,"PF Offering"}</definedName>
    <definedName name="HQ" localSheetId="9" hidden="1">{#N/A,#N/A,FALSE,"6405";#N/A,#N/A,FALSE,"6406";#N/A,#N/A,FALSE,"6409";#N/A,#N/A,FALSE,"6425";#N/A,#N/A,FALSE,"6426";#N/A,#N/A,FALSE,"6427";#N/A,#N/A,FALSE,"6440";#N/A,#N/A,FALSE,"6441";#N/A,#N/A,FALSE,"6442";#N/A,#N/A,FALSE,"6443"}</definedName>
    <definedName name="HTML_Control" localSheetId="9" hidden="1">{"'Sheet1'!$A$1:$J$121"}</definedName>
    <definedName name="HTML_Control_1" localSheetId="9" hidden="1">{"'ATP'!$E$6"}</definedName>
    <definedName name="HTML_Control_BS" localSheetId="9" hidden="1">{"'Sheet1'!$A$1:$L$21"}</definedName>
    <definedName name="HTML_Header" localSheetId="9" hidden="1">"Sheet1"</definedName>
    <definedName name="HTML_LastUpdate" localSheetId="9" hidden="1">"10/21/99"</definedName>
    <definedName name="HTML_Name" localSheetId="9" hidden="1">"Paulette Peoples"</definedName>
    <definedName name="HTML_PathFile" localSheetId="9" hidden="1">"\\Bhincres01\groups\Mkt_Dev\EXECMKTR\RIGS\RigBible\Web NA.htm"</definedName>
    <definedName name="HTML_Title" localSheetId="9" hidden="1">"Total North America"</definedName>
    <definedName name="HTMLControl" localSheetId="9" hidden="1">{"'Edit'!$A$1:$V$2277"}</definedName>
    <definedName name="htyuityuiotio" localSheetId="9" hidden="1">{#N/A,#N/A,FALSE,"REPORT"}</definedName>
    <definedName name="hu"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ypertention" localSheetId="9" hidden="1">{#N/A,#N/A,FALSE,"Pharm";#N/A,#N/A,FALSE,"WWCM"}</definedName>
    <definedName name="hypo" localSheetId="9" hidden="1">{#N/A,#N/A,FALSE,"Pharm";#N/A,#N/A,FALSE,"WWCM"}</definedName>
    <definedName name="I" localSheetId="9" hidden="1">#REF!</definedName>
    <definedName name="iiiii"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movilizado2" localSheetId="9" hidden="1">{#N/A,#N/A,FALSE,"CNS_ADJ";"Balance Consolidado",#N/A,FALSE,"BCEC_CNS";#N/A,#N/A,FALSE,"USGAAP_ADJ"}</definedName>
    <definedName name="Int" localSheetId="9">#REF!</definedName>
    <definedName name="Interco2" localSheetId="9" hidden="1">{#N/A,#N/A,FALSE,"Job Sched"}</definedName>
    <definedName name="IP" localSheetId="9" hidden="1">{#N/A,#N/A,FALSE,"Pharm";#N/A,#N/A,FALSE,"WWCM"}</definedName>
    <definedName name="IPRD_mites" localSheetId="9" hidden="1">{"bs",#N/A,FALSE,"SCF"}</definedName>
    <definedName name="IPRD_Pollen" localSheetId="9" hidden="1">{"bs",#N/A,FALSE,"SCF"}</definedName>
    <definedName name="IQ_EXPENSE_CODE_" localSheetId="9" hidden="1">"001"</definedName>
    <definedName name="IQ_NAMES_REVISION_DATE_" localSheetId="9" hidden="1">41024.009837963</definedName>
    <definedName name="IQB_BOOKMARK_LOCATION_0" localSheetId="9" hidden="1">#REF!</definedName>
    <definedName name="IQR111711P10" localSheetId="9" hidden="1">#REF!</definedName>
    <definedName name="IQR111711P101" localSheetId="9" hidden="1">#REF!</definedName>
    <definedName name="IQRB17" localSheetId="9" hidden="1">"$B$18:$B$22"</definedName>
    <definedName name="IQRCompaniesH12" localSheetId="9" hidden="1">#REF!</definedName>
    <definedName name="IQRCompaniesH13" localSheetId="9" hidden="1">#REF!</definedName>
    <definedName name="IQRCompaniesH14" localSheetId="9" hidden="1">#REF!</definedName>
    <definedName name="IQRPeopleH12" localSheetId="9" hidden="1">#REF!</definedName>
    <definedName name="IQRPeopleH13" localSheetId="9" hidden="1">#REF!</definedName>
    <definedName name="IQRPeopleH14" localSheetId="9" hidden="1">#REF!</definedName>
    <definedName name="Irbe" localSheetId="9" hidden="1">{#N/A,#N/A,FALSE,"Pharm";#N/A,#N/A,FALSE,"WWCM"}</definedName>
    <definedName name="ISCaseName" localSheetId="9">#REF!</definedName>
    <definedName name="ISG" localSheetId="9" hidden="1">{#N/A,#N/A,FALSE,"REPORT"}</definedName>
    <definedName name="iv" localSheetId="9"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yrt" localSheetId="9" hidden="1">{#N/A,#N/A,TRUE,"A";#N/A,#N/A,TRUE,"B";#N/A,#N/A,TRUE,"C";#N/A,#N/A,TRUE,"D";#N/A,#N/A,TRUE,"E"}</definedName>
    <definedName name="j" localSheetId="9" hidden="1">{#N/A,#N/A,FALSE,"REPORT"}</definedName>
    <definedName name="jb" localSheetId="9" hidden="1">{"summary1",#N/A,TRUE,"Comps";"summary2",#N/A,TRUE,"Comps";"summary3",#N/A,TRUE,"Comps"}</definedName>
    <definedName name="jde" localSheetId="9" hidden="1">{#N/A,#N/A,TRUE,"BUD VS ACT AUST 96";#N/A,#N/A,TRUE,"96 COMP P&amp;L-AUST";#N/A,#N/A,TRUE,"COMP BS-AUSTRALIA";#N/A,#N/A,TRUE,"B/S - AUSTR."}</definedName>
    <definedName name="jdfjesjds" localSheetId="9" hidden="1">{#N/A,#N/A,TRUE,"BUD VS ACT AUST 96";#N/A,#N/A,TRUE,"96 COMP P&amp;L-AUST";#N/A,#N/A,TRUE,"COMP BS-AUSTRALIA";#N/A,#N/A,TRUE,"B/S - AUSTR."}</definedName>
    <definedName name="jen" localSheetId="9" hidden="1">{TRUE,TRUE,-1.25,-15.5,456.75,279.75,FALSE,FALSE,TRUE,TRUE,0,1,8,1,4,6,3,4,TRUE,TRUE,3,TRUE,1,TRUE,100,"Swvu.turnover.","ACwvu.turnover.",1,FALSE,FALSE,0.511811023622047,0.511811023622047,0.511811023622047,0.511811023622047,1,"","",FALSE,FALSE,FALSE,FALSE,1,#N/A,1,1,#DIV/0!,FALSE,"Rwvu.turnover.",#N/A,FALSE,FALSE}</definedName>
    <definedName name="jgjgfjgfjf" localSheetId="9" hidden="1">{#N/A,#N/A,FALSE,"COMP BS-FRANCE";#N/A,#N/A,FALSE,"96 COMP P&amp;L-FRANCE";#N/A,#N/A,FALSE,"BUD VS ACT FRAN 96";#N/A,#N/A,FALSE,"B/S - FRANCE"}</definedName>
    <definedName name="jhy" localSheetId="9" hidden="1">{#N/A,#N/A,TRUE,"Sel Fn Data QTD";#N/A,#N/A,TRUE,"TABLE_1 SPREAD ANALYSIS";#N/A,#N/A,TRUE,"Tables 2 to 3 PL";#N/A,#N/A,TRUE,"Tables 4 and 5 ALLL";#N/A,#N/A,TRUE,"Tables 6 to 8 ALLL NPA";#N/A,#N/A,TRUE,"Table 9 to 10 - Balance Sheet";#N/A,#N/A,TRUE,"Table 11 to 12 - Equity"}</definedName>
    <definedName name="jjj" localSheetId="9" hidden="1">{#N/A,#N/A,FALSE,"REPORT"}</definedName>
    <definedName name="jk" localSheetId="9" hidden="1">#REF!</definedName>
    <definedName name="jkl" localSheetId="9" hidden="1">{#N/A,#N/A,FALSE,"REPORT"}</definedName>
    <definedName name="JMBM" localSheetId="9" hidden="1">{#N/A,#N/A,TRUE,"RESUMEN ECON.";#N/A,#N/A,TRUE,"Costos de R.H.";#N/A,#N/A,TRUE,"COSTO HW";#N/A,#N/A,TRUE,"CUADROS";#N/A,#N/A,TRUE,"SCADA´s";#N/A,#N/A,TRUE,"PRECIOS EQUIPOS"}</definedName>
    <definedName name="JMBMI" localSheetId="9" hidden="1">{#N/A,#N/A,TRUE,"RESUMEN ECON.";#N/A,#N/A,TRUE,"Costos de R.H.";#N/A,#N/A,TRUE,"COSTO HW";#N/A,#N/A,TRUE,"CUADROS";#N/A,#N/A,TRUE,"SCADA´s";#N/A,#N/A,TRUE,"PRECIOS EQUIPOS"}</definedName>
    <definedName name="jnhkjk" localSheetId="9" hidden="1">{#N/A,#N/A,TRUE,"BUD VS ACT AUST 96";#N/A,#N/A,TRUE,"96 COMP P&amp;L-AUST";#N/A,#N/A,TRUE,"COMP BS-AUSTRALIA";#N/A,#N/A,TRUE,"B/S - AUSTR."}</definedName>
    <definedName name="jnjnhjn" localSheetId="9" hidden="1">{#N/A,#N/A,TRUE,"BUD VS ACT AUST 96";#N/A,#N/A,TRUE,"96 COMP P&amp;L-AUST";#N/A,#N/A,TRUE,"COMP BS-AUSTRALIA";#N/A,#N/A,TRUE,"B/S - AUSTR."}</definedName>
    <definedName name="JNPRpublish" localSheetId="9" hidden="1">{#N/A,#N/A,FALSE,"Index";"Stmts_Qtrs",#N/A,FALSE,"Summary";"Stmts_24 mo",#N/A,FALSE,"Summary";"Summary_24",#N/A,FALSE,"Revenue";"Month_24",#N/A,FALSE,"Engineering";"Month_24",#N/A,FALSE,"Marketing";"Month_24",#N/A,FALSE,"G &amp; A";"Month_24",#N/A,FALSE,"Manufacturing"}</definedName>
    <definedName name="Joe" localSheetId="9" hidden="1">{"FY04_Assets",#N/A,FALSE,"Fin Stmt Budget";"FY04_Liabilities",#N/A,FALSE,"Fin Stmt Budget";"FY04_Inc_Stmt",#N/A,FALSE,"Fin Stmt Budget";"FY04_SOCF",#N/A,FALSE,"Fin Stmt Budget"}</definedName>
    <definedName name="Joost" localSheetId="9"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JUAN" localSheetId="9" hidden="1">{#N/A,#N/A,FALSE,"RESUMEN ECON.";#N/A,#N/A,FALSE,"Costos de R.H.";#N/A,#N/A,FALSE,"COSTO HW";#N/A,#N/A,FALSE,"CUADROS";#N/A,#N/A,FALSE,"SCADA´s";#N/A,#N/A,FALSE,"PRECIOS EQUIPOS"}</definedName>
    <definedName name="judy" localSheetId="9" hidden="1">{#N/A,#N/A,FALSE,"Pharm";#N/A,#N/A,FALSE,"WWCM"}</definedName>
    <definedName name="judy1" localSheetId="9" hidden="1">{#N/A,#N/A,FALSE,"Pharm";#N/A,#N/A,FALSE,"WWCM"}</definedName>
    <definedName name="JUMABA" localSheetId="9" hidden="1">{#N/A,#N/A,TRUE,"RESUMEN ECON.";#N/A,#N/A,TRUE,"Costos de R.H.";#N/A,#N/A,TRUE,"COSTO HW";#N/A,#N/A,TRUE,"CUADROS";#N/A,#N/A,TRUE,"SCADA´s";#N/A,#N/A,TRUE,"PRECIOS EQUIPOS"}</definedName>
    <definedName name="junk" localSheetId="9" hidden="1">#REF!</definedName>
    <definedName name="junk3" localSheetId="9" hidden="1">{"BS",#N/A,FALSE,"USA"}</definedName>
    <definedName name="junkme" localSheetId="9" hidden="1">{#N/A,#N/A,TRUE,"Status Report";#N/A,#N/A,TRUE,"Current Forecast";#N/A,#N/A,TRUE,"Last Forecast";#N/A,#N/A,TRUE,"BP";#N/A,#N/A,TRUE,"LY"}</definedName>
    <definedName name="k" localSheetId="9"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2__CVPARAMS__" localSheetId="9" hidden="1">"Any by Any!$C$14:$D$35;"</definedName>
    <definedName name="K2__WBEVMODE__" localSheetId="9" hidden="1">1</definedName>
    <definedName name="K2__WBREFOPTIONS__" localSheetId="9" hidden="1">134217772</definedName>
    <definedName name="ka" localSheetId="9" hidden="1">{"TOTAL",#N/A,FALSE,"A";"FISCAL94",#N/A,FALSE,"A";"FISCAL95",#N/A,FALSE,"A";"FISCAL96",#N/A,FALSE,"A";"misc page",#N/A,FALSE,"A"}</definedName>
    <definedName name="kas" localSheetId="9" hidden="1">{"TOTAL",#N/A,FALSE,"A";"FISCAL94",#N/A,FALSE,"A";"FISCAL95",#N/A,FALSE,"A";"FISCAL96",#N/A,FALSE,"A";"misc page",#N/A,FALSE,"A"}</definedName>
    <definedName name="KDJD" localSheetId="9"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fw" localSheetId="9"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kgkg" localSheetId="9" hidden="1">{#N/A,#N/A,FALSE,"COVER";#N/A,#N/A,FALSE,"Index";#N/A,#N/A,FALSE,"Non-Earning";#N/A,#N/A,FALSE,"Non-Earning_Recovery"}</definedName>
    <definedName name="KGKHJ" localSheetId="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j" localSheetId="9" hidden="1">{"CASHFLOW",#N/A,FALSE,"Northpointe"}</definedName>
    <definedName name="kjo" localSheetId="9" hidden="1">{#N/A,#N/A,FALSE,"SUMMARY";#N/A,#N/A,FALSE,"mcsh";#N/A,#N/A,FALSE,"vol&amp;rev";#N/A,#N/A,FALSE,"wkgcap";#N/A,#N/A,FALSE,"DEPR&amp;DT";#N/A,#N/A,FALSE,"ASSETS";#N/A,#N/A,FALSE,"NI&amp;OTH&amp;DIV";#N/A,#N/A,FALSE,"CASHFLOW";#N/A,#N/A,FALSE,"CAPEMPL";#N/A,#N/A,FALSE,"ROCE"}</definedName>
    <definedName name="kk" localSheetId="9" hidden="1">{#N/A,#N/A,TRUE,"Sel Fn Data QTD";#N/A,#N/A,TRUE,"Table 1 YTD";#N/A,#N/A,TRUE,"Tables 2 to 4 PL";#N/A,#N/A,TRUE,"Tables 5 to 9 ALLL";#N/A,#N/A,TRUE,"Table 10 to 13 - Balance Sheet"}</definedName>
    <definedName name="kkk" localSheetId="9" hidden="1">{#N/A,#N/A,FALSE,"Pharm";#N/A,#N/A,FALSE,"WWCM"}</definedName>
    <definedName name="kkkk" localSheetId="9" hidden="1">{#N/A,#N/A,TRUE,"BUD VS ACT AUST 96";#N/A,#N/A,TRUE,"96 COMP P&amp;L-AUST";#N/A,#N/A,TRUE,"COMP BS-AUSTRALIA";#N/A,#N/A,TRUE,"B/S - AUSTR."}</definedName>
    <definedName name="kkkkkkk" localSheetId="9" hidden="1">{#N/A,#N/A,TRUE,"BUD VS ACT AUST 96";#N/A,#N/A,TRUE,"96 COMP P&amp;L-AUST";#N/A,#N/A,TRUE,"COMP BS-AUSTRALIA";#N/A,#N/A,TRUE,"B/S - AUSTR."}</definedName>
    <definedName name="klklkl" localSheetId="9" hidden="1">{#N/A,#N/A,TRUE,"BUD VS ACT AUST 96";#N/A,#N/A,TRUE,"96 COMP P&amp;L-AUST";#N/A,#N/A,TRUE,"COMP BS-AUSTRALIA";#N/A,#N/A,TRUE,"B/S - AUSTR."}</definedName>
    <definedName name="klklklkl" localSheetId="9" hidden="1">{#N/A,#N/A,FALSE,"Index";"Stmts_Qtrs",#N/A,FALSE,"Summary";"Stmts_24 mo",#N/A,FALSE,"Summary";"Summary_24",#N/A,FALSE,"Revenue";"Month_24",#N/A,FALSE,"Engineering";"Month_24",#N/A,FALSE,"Marketing";"Month_24",#N/A,FALSE,"G &amp; A";"Month_24",#N/A,FALSE,"Manufacturing"}</definedName>
    <definedName name="kslkjkjlkjd" localSheetId="9" hidden="1">{#N/A,#N/A,FALSE,"REPORT"}</definedName>
    <definedName name="ku" localSheetId="9" hidden="1">{#N/A,#N/A,TRUE,"BUD VS ACT AUST 96";#N/A,#N/A,TRUE,"96 COMP P&amp;L-AUST";#N/A,#N/A,TRUE,"COMP BS-AUSTRALIA";#N/A,#N/A,TRUE,"B/S - AUSTR."}</definedName>
    <definedName name="L" localSheetId="9" hidden="1">#REF!</definedName>
    <definedName name="Labourcost__h" localSheetId="9">#REF!</definedName>
    <definedName name="LaonPeriodCurrent" localSheetId="9">#REF!</definedName>
    <definedName name="LBOAnalysis2" localSheetId="9" hidden="1">{"WACC_clientcopy",#N/A,FALSE,"Inputs";"Beta_clientcopy",#N/A,FALSE,"Inputs";"SCF_clientcopy",#N/A,FALSE,"Inputs";"ProBS_clientcopy",#N/A,FALSE,"Inputs";"BS_clientcopy",#N/A,FALSE,"Inputs";"ProIS_clientcopy",#N/A,FALSE,"Inputs";"IS_clientcopy",#N/A,FALSE,"Inputs";"Ratios_clientcopy",#N/A,FALSE,"Ratios"}</definedName>
    <definedName name="LBOCreditConsol" localSheetId="9" hidden="1">{"FCB_ALL",#N/A,FALSE,"FCB"}</definedName>
    <definedName name="lee" localSheetId="9" hidden="1">{#N/A,#N/A,FALSE,"Pharm";#N/A,#N/A,FALSE,"WWCM"}</definedName>
    <definedName name="lfj" localSheetId="9" hidden="1">{#N/A,#N/A,FALSE,"TABLE_1 YTD";#N/A,#N/A,FALSE,"TABLE_1A QTD";#N/A,#N/A,FALSE,"NORMAL_SPREAD_QTD";#N/A,#N/A,FALSE,"NORMAL_SPREAD_YTD";#N/A,#N/A,FALSE,"TAX_EQV";#N/A,#N/A,FALSE,"TAX EQUIV_INPUT";#N/A,#N/A,FALSE,"NET FROM FER";#N/A,#N/A,FALSE,"COVER"}</definedName>
    <definedName name="Lifeguard" localSheetId="9">#REF!</definedName>
    <definedName name="lkj" localSheetId="9" hidden="1">#REF!</definedName>
    <definedName name="lklkl" localSheetId="9" hidden="1">{"consolidated",#N/A,FALSE,"Sheet1";"cms",#N/A,FALSE,"Sheet1";"fse",#N/A,FALSE,"Sheet1"}</definedName>
    <definedName name="ll" localSheetId="9" hidden="1">{#N/A,#N/A,FALSE,"PL-FS";#N/A,#N/A,FALSE,"PL"}</definedName>
    <definedName name="LLCP" localSheetId="9" hidden="1">{"PAGE1",#N/A,FALSE,"BID (3)";"PAGE2",#N/A,FALSE,"BID (3)"}</definedName>
    <definedName name="LLL" localSheetId="9" hidden="1">{#N/A,#N/A,FALSE,"ACQ_GRAPHS";#N/A,#N/A,FALSE,"T_1 GRAPHS";#N/A,#N/A,FALSE,"T_2 GRAPHS";#N/A,#N/A,FALSE,"COMB_GRAPHS"}</definedName>
    <definedName name="lllll" localSheetId="9" hidden="1">{"Summary",#N/A,FALSE,"Details (2)"}</definedName>
    <definedName name="lllllllll" localSheetId="9" hidden="1">{"SUM",#N/A,FALSE,"Details (2)"}</definedName>
    <definedName name="lllllllllllllllllll" localSheetId="9" hidden="1">{"Summary",#N/A,FALSE,"Details (2)"}</definedName>
    <definedName name="lnk_Print_Area" localSheetId="9" hidden="1">#REF!</definedName>
    <definedName name="Loan_Amount" localSheetId="9">#REF!</definedName>
    <definedName name="Loan_Not_Paid" localSheetId="9">IF(#REF!&lt;='Pro Forma Financials (Q1)'!Number_of_Payments,1,0)</definedName>
    <definedName name="Loan2016" localSheetId="9">(#REF!*#REF!*#REF!*#REF!)&gt;0</definedName>
    <definedName name="Loan2017" localSheetId="9">(#REF!*#REF!*#REF!*#REF!)&gt;0</definedName>
    <definedName name="Loan2018" localSheetId="9">(#REF!*#REF!*#REF!*#REF!)&gt;0</definedName>
    <definedName name="Local" localSheetId="9" hidden="1">{"arpm1995",#N/A,FALSE,"Summary 95-96";"bus_long_distance",#N/A,FALSE,"Summary 95-96";"mins_per_day",#N/A,FALSE,"Summary 95-96";"minutes1995",#N/A,FALSE,"Summary 95-96";"rev_per_day",#N/A,FALSE,"Summary 95-96";"view1995",#N/A,FALSE,"Summary 95-96"}</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 localSheetId="9">#REF!</definedName>
    <definedName name="LOI" localSheetId="9" hidden="1">{#N/A,#N/A,FALSE,"TABLE_1 YTD";#N/A,#N/A,FALSE,"TABLE_1A QTD";#N/A,#N/A,FALSE,"NORMAL_SPREAD_QTD";#N/A,#N/A,FALSE,"NORMAL_SPREAD_YTD";#N/A,#N/A,FALSE,"TAX_EQV";#N/A,#N/A,FALSE,"TAX EQUIV_INPUT";#N/A,#N/A,FALSE,"NET FROM FER";#N/A,#N/A,FALSE,"COVER"}</definedName>
    <definedName name="LookupIndex" localSheetId="9">#REF!</definedName>
    <definedName name="m" localSheetId="9" hidden="1">{#N/A,#N/A,FALSE,"CNS";#N/A,#N/A,FALSE,"Serz";#N/A,#N/A,FALSE,"Ace"}</definedName>
    <definedName name="M_A" localSheetId="9" hidden="1">{#N/A,#N/A,FALSE,"Rev Grwth";#N/A,#N/A,FALSE,"Op Inc Grwth";#N/A,#N/A,FALSE,"Net Grwth";#N/A,#N/A,FALSE,"EPS Growth"}</definedName>
    <definedName name="M_PlaceofPath" localSheetId="9" hidden="1">"F:\ABARBER\apb\VBA Models\jnj_vdf.xls"</definedName>
    <definedName name="MACTCostout" localSheetId="9">#REF!</definedName>
    <definedName name="MACTInvout" localSheetId="9">#REF!</definedName>
    <definedName name="Management" localSheetId="9" hidden="1">{#N/A,"Faber45",FALSE,"LBPROFOR";#N/A,"Faber50",FALSE,"LBPROFOR";#N/A,"Faber55",FALSE,"LBPROFOR";#N/A,"Faber60",FALSE,"LBPROFOR"}</definedName>
    <definedName name="Managemnt" localSheetId="9" hidden="1">{#N/A,"Faber45",FALSE,"LBPROFOR";#N/A,"Faber50",FALSE,"LBPROFOR";#N/A,"Faber55",FALSE,"LBPROFOR";#N/A,"Faber60",FALSE,"LBPROFOR"}</definedName>
    <definedName name="Mar00" localSheetId="9" hidden="1">{"Statement of Income",#N/A,TRUE,"Mar99";"Balance Sheet",#N/A,TRUE,"Mar99"}</definedName>
    <definedName name="Mar00TB" localSheetId="9" hidden="1">{"Statement of Income",#N/A,TRUE,"Mar99";"Balance Sheet",#N/A,TRUE,"Mar99"}</definedName>
    <definedName name="mar00tb1" localSheetId="9" hidden="1">{"Statement of Income",#N/A,TRUE,"Mar99";"Balance Sheet",#N/A,TRUE,"Mar99"}</definedName>
    <definedName name="Mark" localSheetId="9" hidden="1">{"WACC_clientcopy",#N/A,FALSE,"Inputs";"Beta_clientcopy",#N/A,FALSE,"Inputs";"SCF_clientcopy",#N/A,FALSE,"Inputs";"ProBS_clientcopy",#N/A,FALSE,"Inputs";"BS_clientcopy",#N/A,FALSE,"Inputs";"ProIS_clientcopy",#N/A,FALSE,"Inputs";"IS_clientcopy",#N/A,FALSE,"Inputs";"Ratios_clientcopy",#N/A,FALSE,"Ratios"}</definedName>
    <definedName name="mason?" localSheetId="9" hidden="1">{#N/A,#N/A,FALSE,"Data &amp; Key Results";#N/A,#N/A,FALSE,"Summary Template";#N/A,#N/A,FALSE,"Budget";#N/A,#N/A,FALSE,"Present Value Comparison";#N/A,#N/A,FALSE,"Cashflow";#N/A,#N/A,FALSE,"Income";#N/A,#N/A,FALSE,"Inputs"}</definedName>
    <definedName name="mason2" localSheetId="9" hidden="1">{#N/A,#N/A,FALSE,"Data &amp; Key Results";#N/A,#N/A,FALSE,"Summary Template";#N/A,#N/A,FALSE,"Budget";#N/A,#N/A,FALSE,"Present Value Comparison";#N/A,#N/A,FALSE,"Cashflow";#N/A,#N/A,FALSE,"Income";#N/A,#N/A,FALSE,"Inputs"}</definedName>
    <definedName name="mason3" localSheetId="9" hidden="1">{#N/A,#N/A,FALSE,"Data &amp; Key Results";#N/A,#N/A,FALSE,"Summary Template";#N/A,#N/A,FALSE,"Budget";#N/A,#N/A,FALSE,"Present Value Comparison";#N/A,#N/A,FALSE,"Cashflow";#N/A,#N/A,FALSE,"Income";#N/A,#N/A,FALSE,"Inputs"}</definedName>
    <definedName name="mason4" localSheetId="9" hidden="1">{#N/A,#N/A,FALSE,"Data &amp; Key Results";#N/A,#N/A,FALSE,"Summary Template";#N/A,#N/A,FALSE,"Budget";#N/A,#N/A,FALSE,"Present Value Comparison";#N/A,#N/A,FALSE,"Cashflow";#N/A,#N/A,FALSE,"Income";#N/A,#N/A,FALSE,"Inputs"}</definedName>
    <definedName name="mason5" localSheetId="9" hidden="1">{#N/A,#N/A,FALSE,"Data &amp; Key Results";#N/A,#N/A,FALSE,"Summary Template";#N/A,#N/A,FALSE,"Budget";#N/A,#N/A,FALSE,"Present Value Comparison";#N/A,#N/A,FALSE,"Cashflow";#N/A,#N/A,FALSE,"Income";#N/A,#N/A,FALSE,"Inputs"}</definedName>
    <definedName name="masonII" localSheetId="9" hidden="1">{#N/A,#N/A,FALSE,"Data &amp; Key Results";#N/A,#N/A,FALSE,"Summary Template";#N/A,#N/A,FALSE,"Budget";#N/A,#N/A,FALSE,"Present Value Comparison";#N/A,#N/A,FALSE,"Cashflow";#N/A,#N/A,FALSE,"Income";#N/A,#N/A,FALSE,"Inputs"}</definedName>
    <definedName name="matrix" localSheetId="9"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DI" localSheetId="9" hidden="1">{#N/A,#N/A,FALSE,"SUMMARY";#N/A,#N/A,FALSE,"mcsh";#N/A,#N/A,FALSE,"vol&amp;rev";#N/A,#N/A,FALSE,"wkgcap";#N/A,#N/A,FALSE,"DEPR&amp;DT";#N/A,#N/A,FALSE,"ASSETS";#N/A,#N/A,FALSE,"NI&amp;OTH&amp;DIV";#N/A,#N/A,FALSE,"CASHFLOW";#N/A,#N/A,FALSE,"CAPEMPL";#N/A,#N/A,FALSE,"ROCE"}</definedName>
    <definedName name="MerrillPrintIt" localSheetId="9" hidden="1">#REF!</definedName>
    <definedName name="Method_abbrev" localSheetId="9">#REF!</definedName>
    <definedName name="mfgr" localSheetId="9" hidden="1">{"PAGE 1",#N/A,FALSE,"WEST_OT"}</definedName>
    <definedName name="mfgtest" localSheetId="9" hidden="1">{"PAGE 1",#N/A,FALSE,"WEST_OT"}</definedName>
    <definedName name="MGHM" localSheetId="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mt" localSheetId="9" hidden="1">{#N/A,"Faber45",FALSE,"LBPROFOR";#N/A,"Faber50",FALSE,"LBPROFOR";#N/A,"Faber55",FALSE,"LBPROFOR";#N/A,"Faber60",FALSE,"LBPROFOR"}</definedName>
    <definedName name="Mgmt." localSheetId="9" hidden="1">{#N/A,"Faber45",FALSE,"LBPROFOR";#N/A,"Faber50",FALSE,"LBPROFOR";#N/A,"Faber55",FALSE,"LBPROFOR";#N/A,"Faber60",FALSE,"LBPROFOR"}</definedName>
    <definedName name="mgmtfee" localSheetId="9">#REF!</definedName>
    <definedName name="mhj" localSheetId="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idwest" localSheetId="9" hidden="1">{"FY02_Assets",#N/A,FALSE,"Fin Stmt Budget";"FY02_Liabilities",#N/A,FALSE,"Fin Stmt Budget";"FY02_Inc_Stmt",#N/A,FALSE,"Fin Stmt Budget";"FY02_SOCF",#N/A,FALSE,"Fin Stmt Budget"}</definedName>
    <definedName name="Mie" localSheetId="9" hidden="1">#REF!</definedName>
    <definedName name="min" localSheetId="9" hidden="1">{#N/A,#N/A,FALSE,"REPORT"}</definedName>
    <definedName name="mina" localSheetId="9" hidden="1">{#N/A,#N/A,FALSE,"REPORT"}</definedName>
    <definedName name="misc"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j" localSheetId="9" hidden="1">{#N/A,#N/A,FALSE,"FY97";#N/A,#N/A,FALSE,"FY98";#N/A,#N/A,FALSE,"FY99";#N/A,#N/A,FALSE,"FY00";#N/A,#N/A,FALSE,"FY01"}</definedName>
    <definedName name="mkj" localSheetId="9" hidden="1">{#N/A,#N/A,TRUE,"A";#N/A,#N/A,TRUE,"B";#N/A,#N/A,TRUE,"C";#N/A,#N/A,TRUE,"D";#N/A,#N/A,TRUE,"E"}</definedName>
    <definedName name="mkting_adv" localSheetId="9" hidden="1">{#N/A,#N/A,FALSE,"ASSUMPTIONS";#N/A,#N/A,FALSE,"Valuation Summary";"page1",#N/A,FALSE,"PRESENTATION";"page2",#N/A,FALSE,"PRESENTATION";#N/A,#N/A,FALSE,"ORIGINAL_ROLLBACK"}</definedName>
    <definedName name="mkting_adver" localSheetId="9" hidden="1">{#N/A,#N/A,FALSE,"ASSUMPTIONS";#N/A,#N/A,FALSE,"Valuation Summary";"page1",#N/A,FALSE,"PRESENTATION";"page2",#N/A,FALSE,"PRESENTATION";#N/A,#N/A,FALSE,"ORIGINAL_ROLLBACK"}</definedName>
    <definedName name="MLNK00d48aea1172490e8970884bfd0bc5ab" localSheetId="9" hidden="1">#REF!</definedName>
    <definedName name="MLNK00d8e64d840b46bea261783566ad72fd" localSheetId="9" hidden="1">#REF!</definedName>
    <definedName name="MLNK010e3d03325640fbbfa78190084e5e55" localSheetId="9" hidden="1">#REF!</definedName>
    <definedName name="MLNK0d71dc310fad49ec85da7434597cd6be" localSheetId="9" hidden="1">#REF!</definedName>
    <definedName name="MLNK0db0f33ed0324031b6b3ea38ff41c6b3" localSheetId="9" hidden="1">#REF!</definedName>
    <definedName name="MLNK24a3535198864783b147b6db4dfd1e1e" localSheetId="9" hidden="1">#REF!</definedName>
    <definedName name="MLNK24cd202804cc4c9ab3044945bd3e3713" localSheetId="9" hidden="1">#REF!</definedName>
    <definedName name="MLNK38ca0951e89f4f1d8ade9594aad915ad" localSheetId="9" hidden="1">#REF!</definedName>
    <definedName name="MLNK3933a2df57e34583986032bdeb424b65" localSheetId="9" hidden="1">#REF!</definedName>
    <definedName name="MLNK4ae1162da6924edbb77eb864286b52ec" localSheetId="9" hidden="1">#REF!</definedName>
    <definedName name="MLNK4afa9175c2a44f87b0416e8f4fa9153d" localSheetId="9" hidden="1">#REF!</definedName>
    <definedName name="MLNK5c2fdb53616843338a76ee87fba723a1" localSheetId="9" hidden="1">#REF!</definedName>
    <definedName name="MLNK5c93849b1c694866a7fdca906433d872" localSheetId="9" hidden="1">#REF!</definedName>
    <definedName name="MLNK5cb6067cb22d4404a352867a368c4dd3" localSheetId="9" hidden="1">#REF!</definedName>
    <definedName name="MLNK5cc120250dba49fc954ce969f59c29e4" localSheetId="9" hidden="1">#REF!</definedName>
    <definedName name="MLNK6b80abdc8fe740cfac848fac6ef04b6f" localSheetId="9" hidden="1">#REF!</definedName>
    <definedName name="MLNK6b92bb4e16d6422caedcf892b957e8dc" localSheetId="9" hidden="1">#REF!</definedName>
    <definedName name="MLNK74e35ae32fbd45038a8ca8786ddc5481" localSheetId="9" hidden="1">#REF!</definedName>
    <definedName name="MLNK74e85bd6385d4993b531d38f2f3836c0" localSheetId="9" hidden="1">#REF!</definedName>
    <definedName name="MLNK74f8fb9fd04744b0826b8e01af33e003" localSheetId="9" hidden="1">#REF!</definedName>
    <definedName name="MLNK7575c400d762409d9d7d3f247f474ee7" localSheetId="9" hidden="1">#REF!</definedName>
    <definedName name="MLNK966e51b421e543fa85b22020f4b131f7" localSheetId="9" hidden="1">#REF!</definedName>
    <definedName name="MLNK9682ca475ff54cbfb2f968b54a63e991" localSheetId="9" hidden="1">#REF!</definedName>
    <definedName name="MLNK970f77a437ad4eba93f82bc0a2c68793" localSheetId="9" hidden="1">#REF!</definedName>
    <definedName name="MLNK97272fb83d9a4d15ab6e0d44b4c2c8f5" localSheetId="9" hidden="1">#REF!</definedName>
    <definedName name="MLNK99a873284b354cc99f3774743c4cbac9" localSheetId="9" hidden="1">#REF!</definedName>
    <definedName name="MLNK99b9d957895544fda8e9670506643b77" localSheetId="9" hidden="1">#REF!</definedName>
    <definedName name="MLNK99bfb5c3951b44f481d1626f7cba5805" localSheetId="9" hidden="1">#REF!</definedName>
    <definedName name="MLNK99de40bd629144c7ba32aae377c57f70" localSheetId="9" hidden="1">#REF!</definedName>
    <definedName name="MLNK9f2762af21cb4bddb176751640ceebfe" localSheetId="9" hidden="1">#REF!</definedName>
    <definedName name="MLNK9f2cc9d5eedf40d9be4150e48c60c1dd" localSheetId="9" hidden="1">#REF!</definedName>
    <definedName name="MLNKb70e0287e1c84373ae29e8b329df47f8" localSheetId="9" hidden="1">#REF!</definedName>
    <definedName name="MLNKbb0818788be947d5849c08d5af71dccc" localSheetId="9" hidden="1">#REF!</definedName>
    <definedName name="MLNKbb5357eb56b4420ea6d73a7234b157c0" localSheetId="9" hidden="1">#REF!</definedName>
    <definedName name="MLNKc8c13711c8f146a2bed6a2a829026a3a" localSheetId="9" hidden="1">#REF!</definedName>
    <definedName name="MLNKc96440fe196b463188ebf018d89175e5" localSheetId="9" hidden="1">#REF!</definedName>
    <definedName name="MLNKc9c57b72996149a49a1298c36e44b823" localSheetId="9" hidden="1">#REF!</definedName>
    <definedName name="MLNKca1a1b8dbfbd452ba55a0e395ea793b3" localSheetId="9" hidden="1">#REF!</definedName>
    <definedName name="MLNKd1a73aa7a5624f9e8a8c5ab9b419c185" localSheetId="9" hidden="1">#REF!</definedName>
    <definedName name="MLNKd1b79e4e7aef43368318ed1e172c8dbd" localSheetId="9" hidden="1">#REF!</definedName>
    <definedName name="MLNKd1bfe69c1e284d6fba0c9353cc855643" localSheetId="9" hidden="1">#REF!</definedName>
    <definedName name="MLNKd1c69d0883884061b336aab57325eb3d" localSheetId="9" hidden="1">#REF!</definedName>
    <definedName name="MLNKd1e91ca61c1d4db08628df8a82893192" localSheetId="9" hidden="1">#REF!</definedName>
    <definedName name="MLNKd1eb0891b31448f6a2a42787308f57d0" localSheetId="9" hidden="1">#REF!</definedName>
    <definedName name="MLNKd25edf542942433c8b7b8a7ffaa24bec" localSheetId="9" hidden="1">#REF!</definedName>
    <definedName name="MLNKd30907edbba3423cb347492441fee011" localSheetId="9" hidden="1">#REF!</definedName>
    <definedName name="MLNKdb820b3d009f40ce8e422db2741d580f" localSheetId="9" hidden="1">#REF!</definedName>
    <definedName name="MLNKdb864bfe86424f5e87f6b1bb724e6820" localSheetId="9" hidden="1">#REF!</definedName>
    <definedName name="MLNKdbcdd2701ff140beb988f8d81263cfb6" localSheetId="9" hidden="1">#REF!</definedName>
    <definedName name="MLNKdbf5ffa69fb145d38b68f2930b8783c8" localSheetId="9" hidden="1">#REF!</definedName>
    <definedName name="MLNKdeefa2bfaa414bce9e904db535a538f9" localSheetId="9" hidden="1">#REF!</definedName>
    <definedName name="MLNKdf07d88462fd4bfd9dc7f95442e82542" localSheetId="9" hidden="1">#REF!</definedName>
    <definedName name="MLNKe2eb1cfb3a68470b9c8fea946d494a0a" localSheetId="9" hidden="1">#REF!</definedName>
    <definedName name="mlw" localSheetId="9" hidden="1">{#N/A,#N/A,FALSE,"Pharm";#N/A,#N/A,FALSE,"WWCM"}</definedName>
    <definedName name="mmmmm" localSheetId="9" hidden="1">{#N/A,#N/A,FALSE,"Calc";#N/A,#N/A,FALSE,"Sensitivity";#N/A,#N/A,FALSE,"LT Earn.Dil.";#N/A,#N/A,FALSE,"Dil. AVP"}</definedName>
    <definedName name="mnkj" localSheetId="9" hidden="1">{#N/A,#N/A,TRUE,"BUD VS ACT AUST 96";#N/A,#N/A,TRUE,"96 COMP P&amp;L-AUST";#N/A,#N/A,TRUE,"COMP BS-AUSTRALIA";#N/A,#N/A,TRUE,"B/S - AUSTR."}</definedName>
    <definedName name="model" localSheetId="9" hidden="1">{#N/A,#N/A,FALSE,"Rev Grwth";#N/A,#N/A,FALSE,"Op Inc Grwth";#N/A,#N/A,FALSE,"Net Grwth";#N/A,#N/A,FALSE,"EPS Growth"}</definedName>
    <definedName name="model2" localSheetId="9" hidden="1">{#N/A,#N/A,FALSE,"Rev Grwth";#N/A,#N/A,FALSE,"Op Inc Grwth";#N/A,#N/A,FALSE,"Net Grwth";#N/A,#N/A,FALSE,"EPS Growth"}</definedName>
    <definedName name="Month" localSheetId="9">#REF!</definedName>
    <definedName name="Monthly_Payment" localSheetId="9">-PMT(Interest_Rate/12,'Pro Forma Financials (Q1)'!Number_of_Payments,'Pro Forma Financials (Q1)'!Loan_Amount)</definedName>
    <definedName name="months_per_period" localSheetId="9">INDEX({12,6,3,2,1,0.5,0.5,0.25},MATCH(#REF!,'Pro Forma Financials (Q1)'!frequency,0))</definedName>
    <definedName name="MPO" localSheetId="9" hidden="1">{#N/A,#N/A,TRUE,"BS_A";#N/A,#N/A,TRUE,"BS_L";#N/A,#N/A,TRUE,"PL";#N/A,#N/A,TRUE,"NET";#N/A,#N/A,TRUE,"MAR_2";#N/A,#N/A,TRUE,"MAR";#N/A,#N/A,TRUE,"NII";#N/A,#N/A,TRUE,"NIE";#N/A,#N/A,TRUE,"FS_BS";#N/A,#N/A,TRUE,"FS_PL";#N/A,#N/A,TRUE,"HEA"}</definedName>
    <definedName name="mw" localSheetId="9" hidden="1">{#N/A,#N/A,FALSE,"Pharm";#N/A,#N/A,FALSE,"WWCM"}</definedName>
    <definedName name="Name" localSheetId="9">#REF!</definedName>
    <definedName name="nameconf1" localSheetId="9" hidden="1">{#N/A,#N/A,TRUE,"Sch-1a";#N/A,#N/A,TRUE,"Sch-1b";#N/A,#N/A,TRUE,"Sch-1c";#N/A,#N/A,TRUE,"Sch-1d";#N/A,#N/A,TRUE,"Sch-2a";#N/A,#N/A,TRUE,"Sch-2b";#N/A,#N/A,TRUE,"Sch-2c";#N/A,#N/A,TRUE,"Sch-3a";#N/A,#N/A,TRUE,"Sch-3b";#N/A,#N/A,TRUE,"Sch-3c";#N/A,#N/A,TRUE,"Sch-3d";#N/A,#N/A,TRUE,"Sch-3e"}</definedName>
    <definedName name="naveeds" localSheetId="9" hidden="1">{"CSheet",#N/A,FALSE,"C";"SmCap",#N/A,FALSE,"VAL1";"GulfCoast",#N/A,FALSE,"VAL1";"nav",#N/A,FALSE,"NAV";"Summary",#N/A,FALSE,"NAV"}</definedName>
    <definedName name="ncas" localSheetId="9" hidden="1">{"FCB_ALL",#N/A,FALSE,"FCB";"GREY_ALL",#N/A,FALSE,"GREY"}</definedName>
    <definedName name="NCBN" localSheetId="9"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k"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tIncCurr" localSheetId="9">#REF!</definedName>
    <definedName name="NetIncPrior" localSheetId="9">#REF!</definedName>
    <definedName name="new" localSheetId="9" hidden="1">{"SourcesUses",#N/A,TRUE,"CFMODEL";"TransOverview",#N/A,TRUE,"CFMODEL"}</definedName>
    <definedName name="Newco_Tax" localSheetId="9">#REF!</definedName>
    <definedName name="newdata" localSheetId="9" hidden="1">{"PAGE 1",#N/A,FALSE,"WEST_OT"}</definedName>
    <definedName name="newdata2" localSheetId="9" hidden="1">{"PAGE 1",#N/A,FALSE,"WEST_OT"}</definedName>
    <definedName name="NewLoan2014" localSheetId="9">(#REF!*#REF!*#REF!*#REF!)&gt;0</definedName>
    <definedName name="NewMaster" localSheetId="9">#REF!</definedName>
    <definedName name="newnewnew" localSheetId="9" hidden="1">{#N/A,#N/A,FALSE,"Pharm";#N/A,#N/A,FALSE,"WWCM"}</definedName>
    <definedName name="NewRange" localSheetId="9" hidden="1">#REF!</definedName>
    <definedName name="Newsprint.summary" localSheetId="9" hidden="1">{#N/A,#N/A,FALSE,"Furnish";#N/A,#N/A,FALSE,"Labor Productivity";#N/A,#N/A,FALSE,"Producer";#N/A,#N/A,FALSE,"PM Productivity";#N/A,#N/A,FALSE,"Regions &amp; Delivered";#N/A,#N/A,FALSE,"Product &amp; Delivered";#N/A,#N/A,FALSE,"Delivered Cost";#N/A,#N/A,FALSE,"Cash Cost"}</definedName>
    <definedName name="NICHOLE" localSheetId="9" hidden="1">{#N/A,#N/A,FALSE,"Total";#N/A,#N/A,FALSE,"Sew";#N/A,#N/A,FALSE,"Finish";#N/A,#N/A,FALSE,"CUT";#N/A,#N/A,FALSE,"Mill 5";#N/A,#N/A,FALSE,"Mill 6";#N/A,#N/A,FALSE,"Mill 8";#N/A,#N/A,FALSE,"Mill 9";#N/A,#N/A,FALSE,"Mill 10";#N/A,#N/A,FALSE,"Mill 12";#N/A,#N/A,FALSE,"Mill 15";#N/A,#N/A,FALSE,"Mill 17"}</definedName>
    <definedName name="NMCVM" localSheetId="9" hidden="1">{#N/A,#N/A,FALSE,"TABLE_1 YTD- VALUES LAST YR(2)"}</definedName>
    <definedName name="nmnmm" localSheetId="9" hidden="1">{#N/A,#N/A,FALSE,"Index";"Stmts_Qtrs",#N/A,FALSE,"Summary";"Stmts_24 mo",#N/A,FALSE,"Summary";"Summary_24",#N/A,FALSE,"Revenue";"Month_24",#N/A,FALSE,"Engineering";"Month_24",#N/A,FALSE,"Marketing";"Month_24",#N/A,FALSE,"G &amp; A";"Month_24",#N/A,FALSE,"Manufacturing"}</definedName>
    <definedName name="nn" localSheetId="9" hidden="1">{#N/A,#N/A,FALSE,"Sheet1";#N/A,#N/A,FALSE,"Sheet2";#N/A,#N/A,FALSE,"Sheet3";#N/A,#N/A,FALSE,"Sheet4";#N/A,#N/A,FALSE,"Sheet5";#N/A,#N/A,FALSE,"Sheet6"}</definedName>
    <definedName name="nnn" localSheetId="9" hidden="1">{#N/A,#N/A,FALSE,"Assessment";#N/A,#N/A,FALSE,"Staffing";#N/A,#N/A,FALSE,"Hires";#N/A,#N/A,FALSE,"Assumptions"}</definedName>
    <definedName name="nnnn" localSheetId="9" hidden="1">{#N/A,#N/A,FALSE,"Job Sched"}</definedName>
    <definedName name="no" localSheetId="9" hidden="1">{"'Sheet1'!$A$5:$G$42"}</definedName>
    <definedName name="no_1" localSheetId="9" hidden="1">{"'Sheet1'!$A$5:$G$42"}</definedName>
    <definedName name="NOBL" localSheetId="9" hidden="1">{"AQUIRORDCF",#N/A,FALSE,"Merger consequences";"Acquirorassns",#N/A,FALSE,"Merger consequences"}</definedName>
    <definedName name="noidea" localSheetId="9" hidden="1">{#N/A,#N/A,FALSE,"Calc";#N/A,#N/A,FALSE,"Sensitivity";#N/A,#N/A,FALSE,"LT Earn.Dil.";#N/A,#N/A,FALSE,"Dil. AVP"}</definedName>
    <definedName name="nono" localSheetId="9" hidden="1">{#N/A,#N/A,FALSE,"Objectives"}</definedName>
    <definedName name="normal" localSheetId="9" hidden="1">{"arpm1995",#N/A,FALSE,"Summary 95-96";"bus_long_distance",#N/A,FALSE,"Summary 95-96";"mins_per_day",#N/A,FALSE,"Summary 95-96";"minutes1995",#N/A,FALSE,"Summary 95-96";"rev_per_day",#N/A,FALSE,"Summary 95-96";"view1995",#N/A,FALSE,"Summary 95-96"}</definedName>
    <definedName name="NoteTextNames" localSheetId="9" hidden="1">{"Text 9";"Text 10";"Text 11";"Text 12"}</definedName>
    <definedName name="nothegsd" localSheetId="9" hidden="1">{"Summary",#N/A,FALSE,"Details (2)"}</definedName>
    <definedName name="nouv" localSheetId="9" hidden="1">{#N/A,#N/A,FALSE,"Pharm";#N/A,#N/A,FALSE,"WWCM"}</definedName>
    <definedName name="Nov00" localSheetId="9" hidden="1">{"Statement of Income",#N/A,TRUE,"Mar99";"Balance Sheet",#N/A,TRUE,"Mar99"}</definedName>
    <definedName name="Nov00TB" localSheetId="9" hidden="1">{"Statement of Income",#N/A,TRUE,"Mar99";"Balance Sheet",#N/A,TRUE,"Mar99"}</definedName>
    <definedName name="nper" localSheetId="9">'Pro Forma Financials (Q1)'!term*'Pro Forma Financials (Q1)'!periods_per_year</definedName>
    <definedName name="Num_Pmt_Per_Year" localSheetId="9">#REF!</definedName>
    <definedName name="Number_of_Payments" localSheetId="9">MATCH(0.01,End_Bal,-1)+1</definedName>
    <definedName name="o" localSheetId="9" hidden="1">{#N/A,#N/A,FALSE,"New Depr Sch-150% DB";#N/A,#N/A,FALSE,"Cash Flows RLP";#N/A,#N/A,FALSE,"IRR";#N/A,#N/A,FALSE,"Proforma IS";#N/A,#N/A,FALSE,"Assumptions"}</definedName>
    <definedName name="Oct00" localSheetId="9" hidden="1">{"Statement of Income",#N/A,TRUE,"Mar99";"Balance Sheet",#N/A,TRUE,"Mar99"}</definedName>
    <definedName name="Oct00TB" localSheetId="9" hidden="1">{"Statement of Income",#N/A,TRUE,"Mar99";"Balance Sheet",#N/A,TRUE,"Mar99"}</definedName>
    <definedName name="Octob00" localSheetId="9" hidden="1">{"Statement of Income",#N/A,TRUE,"Mar99";"Balance Sheet",#N/A,TRUE,"Mar99"}</definedName>
    <definedName name="Octob00TB" localSheetId="9" hidden="1">{"Statement of Income",#N/A,TRUE,"Mar99";"Balance Sheet",#N/A,TRUE,"Mar99"}</definedName>
    <definedName name="OI" localSheetId="9" hidden="1">{#N/A,#N/A,FALSE,"COVER";#N/A,#N/A,FALSE,"Index";#N/A,#N/A,FALSE,"Non-Earning";#N/A,#N/A,FALSE,"Non-Earning_Recovery"}</definedName>
    <definedName name="oiu" localSheetId="9" hidden="1">{#N/A,#N/A,FALSE,"COVER";#N/A,#N/A,FALSE,"RATIOS";#N/A,#N/A,FALSE,"LEVERAGE";#N/A,#N/A,FALSE,"TIER-1";#N/A,#N/A,FALSE,"RISK BASED ASSETS";#N/A,#N/A,FALSE,"TIER-2"}</definedName>
    <definedName name="oiwea" localSheetId="9" hidden="1">{"FCB_ALL",#N/A,FALSE,"FCB";"GREY_ALL",#N/A,FALSE,"GREY"}</definedName>
    <definedName name="OK" localSheetId="9" hidden="1">{#N/A,#N/A,FALSE,"REPORT"}</definedName>
    <definedName name="okay" localSheetId="9" hidden="1">{#N/A,#N/A,FALSE,"Admin";#N/A,#N/A,FALSE,"Other"}</definedName>
    <definedName name="olddata" localSheetId="9" hidden="1">{"PAGE 1",#N/A,FALSE,"WEST_OT"}</definedName>
    <definedName name="olddata1" localSheetId="9" hidden="1">{"PAGE 1",#N/A,FALSE,"WEST_OT"}</definedName>
    <definedName name="olddata2" localSheetId="9" hidden="1">{"PAGE 1",#N/A,FALSE,"WEST_OT"}</definedName>
    <definedName name="olddata3" localSheetId="9" hidden="1">{"PAGE 1",#N/A,FALSE,"WEST_OT"}</definedName>
    <definedName name="oldkey1" localSheetId="9" hidden="1">#REF!</definedName>
    <definedName name="oldsort" localSheetId="9" hidden="1">#REF!</definedName>
    <definedName name="on" localSheetId="9" hidden="1">{"TOTAL",#N/A,FALSE,"A";"FISCAL94",#N/A,FALSE,"A";"FISCAL95",#N/A,FALSE,"A";"FISCAL96",#N/A,FALSE,"A";"misc page",#N/A,FALSE,"A"}</definedName>
    <definedName name="ookok" localSheetId="9" hidden="1">{#N/A,#N/A,TRUE,"BUD VS ACT AUST 96";#N/A,#N/A,TRUE,"96 COMP P&amp;L-AUST";#N/A,#N/A,TRUE,"COMP BS-AUSTRALIA";#N/A,#N/A,TRUE,"B/S - AUSTR."}</definedName>
    <definedName name="ooo" localSheetId="9" hidden="1">{#N/A,#N/A,FALSE,"REPORT"}</definedName>
    <definedName name="ooooo" localSheetId="9" hidden="1">{#N/A,#N/A,FALSE,"Calc";#N/A,#N/A,FALSE,"Sensitivity";#N/A,#N/A,FALSE,"LT Earn.Dil.";#N/A,#N/A,FALSE,"Dil. AVP"}</definedName>
    <definedName name="OOU" localSheetId="9" hidden="1">{#N/A,#N/A,FALSE,"BS";#N/A,#N/A,FALSE,"PL_10Q";#N/A,#N/A,FALSE,"SOE";#N/A,#N/A,FALSE,"SCF"}</definedName>
    <definedName name="OPER" localSheetId="9" hidden="1">{"SUM",#N/A,FALSE,"Details (2)"}</definedName>
    <definedName name="OperatorServicesFi" localSheetId="9" hidden="1">{"SUM",#N/A,FALSE,"Details (2)"}</definedName>
    <definedName name="Opscen" localSheetId="9">#REF!</definedName>
    <definedName name="org_H_per_pot_cleaning" localSheetId="9">#REF!</definedName>
    <definedName name="org_H_per_pot_harvest" localSheetId="9">#REF!</definedName>
    <definedName name="Other" localSheetId="9" hidden="1">{#N/A,#N/A,FALSE,"Page 1";#N/A,#N/A,FALSE,"Page 2";#N/A,#N/A,FALSE,"Page 3";#N/A,#N/A,FALSE,"Page 4";#N/A,#N/A,FALSE,"Page 5"}</definedName>
    <definedName name="other33" localSheetId="9" hidden="1">{#N/A,#N/A,FALSE,"Pharm";#N/A,#N/A,FALSE,"WWCM"}</definedName>
    <definedName name="othermar" localSheetId="9" hidden="1">{#N/A,#N/A,FALSE,"Pharm";#N/A,#N/A,FALSE,"WWCM"}</definedName>
    <definedName name="ouhio" localSheetId="9" hidden="1">{"Summary",#N/A,FALSE,"Details (2)"}</definedName>
    <definedName name="ouououiouopupo" localSheetId="9" hidden="1">{#N/A,#N/A,FALSE,"BS";#N/A,#N/A,FALSE,"PL";#N/A,#N/A,FALSE,"SOE";#N/A,#N/A,FALSE,"SCF"}</definedName>
    <definedName name="ououp0" localSheetId="9" hidden="1">{#N/A,#N/A,FALSE,"TABLE_1 YTD- VALUES LAST YR(2)"}</definedName>
    <definedName name="Outlook" localSheetId="9" hidden="1">{"arpm1995",#N/A,FALSE,"Summary 95-96";"bus_long_distance",#N/A,FALSE,"Summary 95-96";"mins_per_day",#N/A,FALSE,"Summary 95-96";"minutes1995",#N/A,FALSE,"Summary 95-96";"rev_per_day",#N/A,FALSE,"Summary 95-96";"view1995",#N/A,FALSE,"Summary 95-96"}</definedName>
    <definedName name="p" localSheetId="9"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Page1" localSheetId="9">#REF!</definedName>
    <definedName name="Page2" localSheetId="9">#REF!</definedName>
    <definedName name="Page3" localSheetId="9">#REF!</definedName>
    <definedName name="panther_wrn.test1." localSheetId="9" hidden="1">{"Income Statement",#N/A,FALSE,"CFMODEL";"Balance Sheet",#N/A,FALSE,"CFMODEL"}</definedName>
    <definedName name="panther_wrn.test2." localSheetId="9" hidden="1">{"SourcesUses",#N/A,TRUE,"CFMODEL";"TransOverview",#N/A,TRUE,"CFMODEL"}</definedName>
    <definedName name="panther_wrn.test3." localSheetId="9" hidden="1">{"SourcesUses",#N/A,TRUE,#N/A;"TransOverview",#N/A,TRUE,"CFMODEL"}</definedName>
    <definedName name="panther_wrn.test4." localSheetId="9" hidden="1">{"SourcesUses",#N/A,TRUE,"FundsFlow";"TransOverview",#N/A,TRUE,"FundsFlow"}</definedName>
    <definedName name="patty" localSheetId="9" hidden="1">{"PAGE 1",#N/A,FALSE,"WEST_OT"}</definedName>
    <definedName name="Pay_Date" localSheetId="9">#REF!</definedName>
    <definedName name="Pay_Num" localSheetId="9">#REF!</definedName>
    <definedName name="Payment_Date" localSheetId="9">DATE(YEAR(Loan_Start),MONTH(Loan_Start)+#REF!,DAY(Loan_Start))</definedName>
    <definedName name="Payment_Number" localSheetId="9">ROW()-Header_Row</definedName>
    <definedName name="PaymentPerYear2016" localSheetId="9">#REF!</definedName>
    <definedName name="PaymentsPerYear" localSheetId="9">#REF!</definedName>
    <definedName name="PaymentsPerYear2014" localSheetId="9">#REF!</definedName>
    <definedName name="PDM" localSheetId="9" hidden="1">{#N/A,#N/A,FALSE,"Summary";#N/A,#N/A,FALSE,"Signatures";#N/A,#N/A,FALSE,"FL Current";#N/A,#N/A,FALSE,"Assumptions";#N/A,#N/A,FALSE,"Assumptions";#N/A,#N/A,FALSE,"Assumptions";#N/A,#N/A,FALSE,"FL Last";#N/A,#N/A,FALSE,"FL Orig";#N/A,#N/A,FALSE,"C to G Explain"}</definedName>
    <definedName name="Pechous" localSheetId="9" hidden="1">{"FY01_Assets",#N/A,FALSE,"Fin Stmt Budget";"FY01_Liabilities",#N/A,FALSE,"Fin Stmt Budget";"FY01_Inc_Stmt",#N/A,FALSE,"Fin Stmt Budget";"FY01_SOCF",#N/A,FALSE,"Fin Stmt Budget"}</definedName>
    <definedName name="Pecos" localSheetId="9"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localSheetId="9"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pe" localSheetId="9" hidden="1">{#N/A,#N/A,FALSE,"Pharm";#N/A,#N/A,FALSE,"WWCM"}</definedName>
    <definedName name="PEPE4" localSheetId="9" hidden="1">{#N/A,#N/A,FALSE,"Pharm";#N/A,#N/A,FALSE,"WWCM"}</definedName>
    <definedName name="PEPE5" localSheetId="9" hidden="1">{#N/A,#N/A,FALSE,"Pharm";#N/A,#N/A,FALSE,"WWCM"}</definedName>
    <definedName name="PERIOD2" localSheetId="9">#REF!</definedName>
    <definedName name="periods_per_year" localSheetId="9">INDEX({1,2,4,6,12,24,26,52},MATCH(#REF!,'Pro Forma Financials (Q1)'!frequency,0))</definedName>
    <definedName name="perm" localSheetId="9" hidden="1">{"PAGE 1",#N/A,FALSE,"WEST_OT"}</definedName>
    <definedName name="perm1" localSheetId="9" hidden="1">{"PAGE 1",#N/A,FALSE,"WEST_OT"}</definedName>
    <definedName name="perm3" localSheetId="9" hidden="1">{"PAGE 1",#N/A,FALSE,"WEST_OT"}</definedName>
    <definedName name="perm4" localSheetId="9" hidden="1">{"PAGE 1",#N/A,FALSE,"WEST_OT"}</definedName>
    <definedName name="perm5" localSheetId="9" hidden="1">{"PAGE 2",#N/A,FALSE,"WEST_OT"}</definedName>
    <definedName name="perm6" localSheetId="9" hidden="1">{"PAGE 2",#N/A,FALSE,"WEST_OT"}</definedName>
    <definedName name="perm7" localSheetId="9" hidden="1">{"PAGE 1",#N/A,FALSE,"WEST_OT"}</definedName>
    <definedName name="PeterTEST" localSheetId="9" hidden="1">{#N/A,#N/A,TRUE,"Acq-Ass";#N/A,#N/A,TRUE,"Acq-IS";#N/A,#N/A,TRUE,"Acq-BS";#N/A,#N/A,TRUE,"Acq-CF"}</definedName>
    <definedName name="pharma" localSheetId="9" hidden="1">{#N/A,#N/A,FALSE,"Sales Graph";#N/A,#N/A,FALSE,"PSBM";#N/A,#N/A,FALSE,"BUC Graph";#N/A,#N/A,FALSE,"P&amp;L - YTD"}</definedName>
    <definedName name="Pitchbook" localSheetId="9" hidden="1">{#N/A,#N/A,TRUE,"Sheet16"}</definedName>
    <definedName name="pkg.gom" localSheetId="9" hidden="1">{"2000PPE",#N/A,FALSE,"PPE 2000";"2000DD",#N/A,FALSE,"DrydocksOther"}</definedName>
    <definedName name="pl" localSheetId="9" hidden="1">{#N/A,#N/A,FALSE,"REPORT"}</definedName>
    <definedName name="plan2" localSheetId="9" hidden="1">{"'Sheet1'!$A$5:$G$42"}</definedName>
    <definedName name="PlanVLE" localSheetId="9" hidden="1">{#N/A,#N/A,FALSE,"SUMMARY";#N/A,#N/A,FALSE,"mcsh";#N/A,#N/A,FALSE,"vol&amp;rev";#N/A,#N/A,FALSE,"wkgcap";#N/A,#N/A,FALSE,"DEPR&amp;DT";#N/A,#N/A,FALSE,"ASSETS";#N/A,#N/A,FALSE,"NI&amp;OTH&amp;DIV";#N/A,#N/A,FALSE,"CASHFLOW";#N/A,#N/A,FALSE,"CAPEMPL";#N/A,#N/A,FALSE,"ROCE"}</definedName>
    <definedName name="Plastics" localSheetId="9" hidden="1">{"Curr Month",#N/A,FALSE,"Months";"All Months",#N/A,FALSE,"Months";"YTD",#N/A,FALSE,"Months";"01 Months",#N/A,FALSE,"01";"03 Months",#N/A,FALSE,"Months";"05 Months",#N/A,FALSE,"Months";"06 Months",#N/A,FALSE,"Months";"08 Months",#N/A,FALSE,"Months";"09 Months",#N/A,FALSE,"Months";"10 Months",#N/A,FALSE,"Months";"11 Months",#N/A,FALSE,"Months";"12 Months",#N/A,FALSE,"Months";"13 Months",#N/A,FALSE,"Months";"14 Months",#N/A,FALSE,"Months";"15 Months",#N/A,FALSE,"Months";"23 Months",#N/A,FALSE,"Months";"24 Months",#N/A,FALSE,"Months";"25 Months",#N/A,FALSE,"Months";"43 Months",#N/A,FALSE,"Months";"45 Months",#N/A,FALSE,"Months";"50 Months",#N/A,FALSE,"Months"}</definedName>
    <definedName name="plbudget04" localSheetId="9" hidden="1">{#N/A,#N/A,FALSE,"INPUTS";#N/A,#N/A,FALSE,"PROFORMA BSHEET";#N/A,#N/A,FALSE,"COMBINED";#N/A,#N/A,FALSE,"ACQUIROR";#N/A,#N/A,FALSE,"TARGET 1";#N/A,#N/A,FALSE,"TARGET 2";#N/A,#N/A,FALSE,"HIGH YIELD";#N/A,#N/A,FALSE,"OVERFUND"}</definedName>
    <definedName name="PLCepi" localSheetId="9" hidden="1">{#N/A,#N/A,FALSE,"REPORT"}</definedName>
    <definedName name="PLDate" localSheetId="9">#REF!</definedName>
    <definedName name="PLProcef" localSheetId="9" hidden="1">{#N/A,#N/A,FALSE,"REPORT"}</definedName>
    <definedName name="PLTaxol" localSheetId="9" hidden="1">{#N/A,#N/A,FALSE,"REPORT"}</definedName>
    <definedName name="Pnl" localSheetId="9" hidden="1">{#N/A,#N/A,FALSE,"Pharm";#N/A,#N/A,FALSE,"WWCM"}</definedName>
    <definedName name="po" localSheetId="9"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i" localSheetId="9" hidden="1">{#N/A,#N/A,FALSE,"PL-FS";#N/A,#N/A,FALSE,"PL"}</definedName>
    <definedName name="Poolmgr" localSheetId="9">#REF!</definedName>
    <definedName name="port29" localSheetId="9" hidden="1">{#N/A,#N/A,FALSE,"Pharm";#N/A,#N/A,FALSE,"WWCM"}</definedName>
    <definedName name="poso_wrn.test1." localSheetId="9" hidden="1">{"Income Statement",#N/A,FALSE,"CFMODEL";"Balance Sheet",#N/A,FALSE,"CFMODEL"}</definedName>
    <definedName name="poso_wrn.test2." localSheetId="9" hidden="1">{"SourcesUses",#N/A,TRUE,"CFMODEL";"TransOverview",#N/A,TRUE,"CFMODEL"}</definedName>
    <definedName name="poso_wrn.test3." localSheetId="9" hidden="1">{"SourcesUses",#N/A,TRUE,#N/A;"TransOverview",#N/A,TRUE,"CFMODEL"}</definedName>
    <definedName name="poso_wrn.test4." localSheetId="9" hidden="1">{"SourcesUses",#N/A,TRUE,"FundsFlow";"TransOverview",#N/A,TRUE,"FundsFlow"}</definedName>
    <definedName name="Powerop3" localSheetId="9">#REF!</definedName>
    <definedName name="pp" localSheetId="9">#REF!</definedName>
    <definedName name="ppp" localSheetId="9" hidden="1">{#N/A,#N/A,FALSE,"summ";#N/A,#N/A,FALSE,"q1";#N/A,#N/A,FALSE,"summ_alt";#N/A,#N/A,FALSE,"stock_nozero";#N/A,#N/A,FALSE,"1995"}</definedName>
    <definedName name="pppp" localSheetId="9" hidden="1">{"Summary",#N/A,FALSE,"Details (2)"}</definedName>
    <definedName name="pppp2" localSheetId="9" hidden="1">{"Summary",#N/A,FALSE,"Details (2)"}</definedName>
    <definedName name="ppppp" localSheetId="9" hidden="1">{"SUM",#N/A,FALSE,"Details (2)"}</definedName>
    <definedName name="pppppp" localSheetId="9" hidden="1">{"Summary",#N/A,FALSE,"Details (2)"}</definedName>
    <definedName name="ppppppp" localSheetId="9" hidden="1">{"SUM",#N/A,FALSE,"Details (2)"}</definedName>
    <definedName name="pppppppp" localSheetId="9" hidden="1">{"Summary",#N/A,FALSE,"Details (2)"}</definedName>
    <definedName name="ppppppppp" localSheetId="9" hidden="1">{"SUM",#N/A,FALSE,"Details (2)"}</definedName>
    <definedName name="pppppppppp" localSheetId="9" hidden="1">{"Summary",#N/A,FALSE,"Details (2)"}</definedName>
    <definedName name="ppppppppppp" localSheetId="9" hidden="1">{"SUM",#N/A,FALSE,"Details (2)"}</definedName>
    <definedName name="pppppppppppp" localSheetId="9" hidden="1">{"Summary",#N/A,FALSE,"Details (2)"}</definedName>
    <definedName name="ppppppppppppp" localSheetId="9" hidden="1">{"SUM",#N/A,FALSE,"Details (2)"}</definedName>
    <definedName name="ppppppppppppppp" localSheetId="9" hidden="1">{"Summary",#N/A,FALSE,"Details (2)"}</definedName>
    <definedName name="pppppppppppppppp" localSheetId="9" hidden="1">{"SUM",#N/A,FALSE,"Details (2)"}</definedName>
    <definedName name="ppppppppppppppppp" localSheetId="9" hidden="1">{"Summary",#N/A,FALSE,"Details (2)"}</definedName>
    <definedName name="ppppppppppppppppppppppppppp" localSheetId="9" hidden="1">{"FCB_ALL",#N/A,FALSE,"FCB"}</definedName>
    <definedName name="PPS" localSheetId="9"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rd" localSheetId="9" hidden="1">{"Netbacks",#N/A,FALSE,"Netbacks"}</definedName>
    <definedName name="prd." localSheetId="9" hidden="1">{"IS Years",#N/A,FALSE,"Income Statement";"IS Q96",#N/A,FALSE,"Income Statement";"IS Q97",#N/A,FALSE,"Income Statement";"Corporate",#N/A,FALSE,"Corporate Profile";"Netbacks",#N/A,FALSE,"Netbacks"}</definedName>
    <definedName name="Presentation" localSheetId="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v_Mkv" localSheetId="9">#REF!</definedName>
    <definedName name="prgrp" localSheetId="9" hidden="1">{"cap_structure",#N/A,FALSE,"Graph-Mkt Cap";"price",#N/A,FALSE,"Graph-Price";"ebit",#N/A,FALSE,"Graph-EBITDA";"ebitda",#N/A,FALSE,"Graph-EBITDA"}</definedName>
    <definedName name="Princ" localSheetId="9">#REF!</definedName>
    <definedName name="print4" localSheetId="9"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End" localSheetId="9" hidden="1">#REF!</definedName>
    <definedName name="PrintStart" localSheetId="9" hidden="1">#REF!</definedName>
    <definedName name="Procef" localSheetId="9" hidden="1">{#N/A,#N/A,FALSE,"Pharm";#N/A,#N/A,FALSE,"WWCM"}</definedName>
    <definedName name="prod" localSheetId="9" hidden="1">{#N/A,#N/A,FALSE,"Pharm";#N/A,#N/A,FALSE,"WWCM"}</definedName>
    <definedName name="profimp2" localSheetId="9" hidden="1">{"PAGE 1",#N/A,FALSE,"WEST_OT"}</definedName>
    <definedName name="profimp3" localSheetId="9" hidden="1">{"PAGE 2",#N/A,FALSE,"WEST_OT"}</definedName>
    <definedName name="profimp5" localSheetId="9" hidden="1">{"PAGE 1",#N/A,FALSE,"WEST_OT"}</definedName>
    <definedName name="profimptest" localSheetId="9" hidden="1">{"PAGE 2",#N/A,FALSE,"WEST_OT"}</definedName>
    <definedName name="Project" localSheetId="9">#REF!</definedName>
    <definedName name="project_name" localSheetId="9">#REF!</definedName>
    <definedName name="ptg" localSheetId="9" hidden="1">{#N/A,#N/A,TRUE,"RESUMEN ECON.";#N/A,#N/A,TRUE,"Costos de R.H.";#N/A,#N/A,TRUE,"COSTO HW";#N/A,#N/A,TRUE,"CUADROS";#N/A,#N/A,TRUE,"SCADA´s";#N/A,#N/A,TRUE,"PRECIOS EQUIPOS"}</definedName>
    <definedName name="pvdsk" localSheetId="9"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 localSheetId="9" hidden="1">{"CSheet",#N/A,FALSE,"C";"SmCap",#N/A,FALSE,"VAL1";"GulfCoast",#N/A,FALSE,"VAL1";"nav",#N/A,FALSE,"NAV";"Summary",#N/A,FALSE,"NAV"}</definedName>
    <definedName name="Q1Variances" localSheetId="9" hidden="1">{#N/A,#N/A,FALSE,"Revised Plan description";#N/A,#N/A,FALSE,"Mth Sum";#N/A,#N/A,FALSE,"YTD Sum";#N/A,#N/A,FALSE,"Mth Rev Sum";#N/A,#N/A,FALSE,"YTD Rev Sum";#N/A,#N/A,FALSE,"Direct Margin";#N/A,#N/A,FALSE,"Data MarginvsPlan";#N/A,#N/A,FALSE,"Local MarginvsPlan";#N/A,#N/A,FALSE,"Internet MarginvsPlan";#N/A,#N/A,FALSE,"LD Margin vs Plan ";#N/A,#N/A,FALSE,"Data Margin YTDvsPlan";#N/A,#N/A,FALSE,"Local Margin YTDvsPlan";#N/A,#N/A,FALSE,"Internet Margin YTDvsPlan";#N/A,#N/A,FALSE,"LD Margin YTD vs Plan";#N/A,#N/A,FALSE,"SC vs Pr Month ";#N/A,#N/A,FALSE,"SVC Detail Mth vs Pr Mth";#N/A,#N/A,FALSE,"Ind vs Pr Month ";#N/A,#N/A,FALSE,"SGA (Elem) vs Pr Month";#N/A,#N/A,FALSE,"SGA (BU) vs Pr Mth";#N/A,#N/A,FALSE,"SC vs Plan";#N/A,#N/A,FALSE,"SVC Detail Mth vsPlan ";#N/A,#N/A,FALSE,"Ind vs Plan";#N/A,#N/A,FALSE,"SGA (Elem) vs Plan";#N/A,#N/A,FALSE,"SGA (BU) vs Plan";#N/A,#N/A,FALSE,"SC vs YTD 00";#N/A,#N/A,FALSE,"SGA (Elem) vs YTD 00";#N/A,#N/A,FALSE,"SGA (BU) YTD vs YTD 00";#N/A,#N/A,FALSE,"SC vs YTD Plan ";#N/A,#N/A,FALSE,"SVC YTD Detail Mth vsPlan ";#N/A,#N/A,FALSE,"SGA (Elem) vs YTD Plan";#N/A,#N/A,FALSE,"SGA (BU) YTD vs Plan";#N/A,#N/A,FALSE,"CapExp";#N/A,#N/A,FALSE,"EBITDA";#N/A,#N/A,FALSE,"Mth trends";#N/A,#N/A,FALSE,"Inc. Statement";#N/A,#N/A,FALSE,"Balance Sheet";#N/A,#N/A,FALSE,"Cash Flow"}</definedName>
    <definedName name="qaz" localSheetId="9" hidden="1">{#N/A,#N/A,FALSE,"Pharm";#N/A,#N/A,FALSE,"WWCM"}</definedName>
    <definedName name="qertweyu" localSheetId="9" hidden="1">{#N/A,#N/A,FALSE,"REPORT"}</definedName>
    <definedName name="qetryywt" localSheetId="9" hidden="1">{#N/A,#N/A,FALSE,"REPORT"}</definedName>
    <definedName name="qg" localSheetId="9" hidden="1">{#N/A,#N/A,FALSE,"RESUMEN ECON.";#N/A,#N/A,FALSE,"Costos de R.H.";#N/A,#N/A,FALSE,"COSTO HW";#N/A,#N/A,FALSE,"CUADROS";#N/A,#N/A,FALSE,"SCADA´s";#N/A,#N/A,FALSE,"PRECIOS EQUIPOS"}</definedName>
    <definedName name="QofE2" localSheetId="9"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q" localSheetId="9" hidden="1">{#N/A,#N/A,FALSE,"March Details"}</definedName>
    <definedName name="qqq" localSheetId="9" hidden="1">{#N/A,#N/A,FALSE,"Pharm";#N/A,#N/A,FALSE,"WWCM"}</definedName>
    <definedName name="qqqqqqqq" localSheetId="9" hidden="1">{"Report",#N/A,FALSE,"March Details"}</definedName>
    <definedName name="qqwtweryey" localSheetId="9" hidden="1">{#N/A,#N/A,FALSE,"REPORT"}</definedName>
    <definedName name="qre"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Qtroperations" localSheetId="9" hidden="1">{"arpm1995",#N/A,FALSE,"Summary 95-96";"bus_long_distance",#N/A,FALSE,"Summary 95-96";"mins_per_day",#N/A,FALSE,"Summary 95-96";"minutes1995",#N/A,FALSE,"Summary 95-96";"rev_per_day",#N/A,FALSE,"Summary 95-96";"view1995",#N/A,FALSE,"Summary 95-96"}</definedName>
    <definedName name="Quarter1Percent" localSheetId="9">#REF!</definedName>
    <definedName name="Quarter2Percent" localSheetId="9">#REF!</definedName>
    <definedName name="Quarter3Percent" localSheetId="9">#REF!</definedName>
    <definedName name="qw" localSheetId="9" hidden="1">{#N/A,#N/A,FALSE,"REPORT"}</definedName>
    <definedName name="qw2fkgur" localSheetId="9" hidden="1">{#N/A,#N/A,FALSE,"Valuation Assumptions";#N/A,#N/A,FALSE,"Summary";#N/A,#N/A,FALSE,"DCF";#N/A,#N/A,FALSE,"Valuation";#N/A,#N/A,FALSE,"WACC";#N/A,#N/A,FALSE,"UBVH";#N/A,#N/A,FALSE,"Free Cash Flow"}</definedName>
    <definedName name="qwe" localSheetId="9" hidden="1">{#N/A,#N/A,TRUE,"BS_A";#N/A,#N/A,TRUE,"BS_L";#N/A,#N/A,TRUE,"PL";#N/A,#N/A,TRUE,"NET";#N/A,#N/A,TRUE,"MAR_2";#N/A,#N/A,TRUE,"MAR";#N/A,#N/A,TRUE,"NII";#N/A,#N/A,TRUE,"NIE";#N/A,#N/A,TRUE,"FS_BS";#N/A,#N/A,TRUE,"FS_PL";#N/A,#N/A,TRUE,"HEA"}</definedName>
    <definedName name="qwert" localSheetId="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qry" localSheetId="9" hidden="1">{#N/A,#N/A,FALSE,"REPORT"}</definedName>
    <definedName name="qwetqryetytu" localSheetId="9" hidden="1">{#N/A,#N/A,FALSE,"Pharm";#N/A,#N/A,FALSE,"WWCM"}</definedName>
    <definedName name="QWQ" localSheetId="9" hidden="1">{#N/A,#N/A,FALSE,"PL-FS";#N/A,#N/A,FALSE,"PL"}</definedName>
    <definedName name="qwqe" localSheetId="9" hidden="1">{#N/A,#N/A,FALSE,"Comp - War";#N/A,#N/A,FALSE,"Comp - War"}</definedName>
    <definedName name="radg" localSheetId="9" hidden="1">{"FCB_ALL",#N/A,FALSE,"FCB";"GREY_ALL",#N/A,FALSE,"GREY"}</definedName>
    <definedName name="rate" localSheetId="9">#REF!</definedName>
    <definedName name="RawsFIT" localSheetId="9" hidden="1">{#N/A,#N/A,TRUE,"Summary";#N/A,#N/A,TRUE,"Assumptions";#N/A,#N/A,TRUE,"Comparison";#N/A,#N/A,TRUE,"Financials";#N/A,#N/A,TRUE,"Plan v. Act"}</definedName>
    <definedName name="RECurr" localSheetId="9">#REF!</definedName>
    <definedName name="redo" localSheetId="9" hidden="1">{#N/A,#N/A,FALSE,"ACQ_GRAPHS";#N/A,#N/A,FALSE,"T_1 GRAPHS";#N/A,#N/A,FALSE,"T_2 GRAPHS";#N/A,#N/A,FALSE,"COMB_GRAPHS"}</definedName>
    <definedName name="reewrew" localSheetId="9" hidden="1">{"arpm1995",#N/A,FALSE,"Summary 95-96";"bus_long_distance",#N/A,FALSE,"Summary 95-96";"mins_per_day",#N/A,FALSE,"Summary 95-96";"minutes1995",#N/A,FALSE,"Summary 95-96";"rev_per_day",#N/A,FALSE,"Summary 95-96";"view1995",#N/A,FALSE,"Summary 95-96"}</definedName>
    <definedName name="reggie" localSheetId="9" hidden="1">{#N/A,#N/A,FALSE,"Pharm";#N/A,#N/A,FALSE,"WWCM"}</definedName>
    <definedName name="Regnew" localSheetId="9" hidden="1">{"arpm1995",#N/A,FALSE,"Summary 95-96";"bus_long_distance",#N/A,FALSE,"Summary 95-96";"mins_per_day",#N/A,FALSE,"Summary 95-96";"minutes1995",#N/A,FALSE,"Summary 95-96";"rev_per_day",#N/A,FALSE,"Summary 95-96";"view1995",#N/A,FALSE,"Summary 95-96"}</definedName>
    <definedName name="Related" localSheetId="9" hidden="1">{#N/A,#N/A,FALSE,"Job Sched"}</definedName>
    <definedName name="Report" localSheetId="9">#REF!</definedName>
    <definedName name="ReportPage1" localSheetId="9" hidden="1">{"Annual_Income",#N/A,FALSE,"Report Page";"Balance_Cash_Flow",#N/A,FALSE,"Report Page";"Quarterly_Income",#N/A,FALSE,"Report Page"}</definedName>
    <definedName name="REPrior" localSheetId="9">#REF!</definedName>
    <definedName name="reps" localSheetId="9" hidden="1">{"FY03_Assets",#N/A,FALSE,"Fin Stmt Budget";"FY03_Liabilities",#N/A,FALSE,"Fin Stmt Budget";"FY03_Inc_Stmt",#N/A,FALSE,"Fin Stmt Budget";"FY03_SOCF",#N/A,FALSE,"Fin Stmt Budget"}</definedName>
    <definedName name="rere" localSheetId="9" hidden="1">{"arpm1995",#N/A,FALSE,"Summary 95-96";"bus_long_distance",#N/A,FALSE,"Summary 95-96";"mins_per_day",#N/A,FALSE,"Summary 95-96";"minutes1995",#N/A,FALSE,"Summary 95-96";"rev_per_day",#N/A,FALSE,"Summary 95-96";"view1995",#N/A,FALSE,"Summary 95-96"}</definedName>
    <definedName name="rerer" localSheetId="9" hidden="1">{"arpm1995",#N/A,FALSE,"Summary 95-96";"bus_long_distance",#N/A,FALSE,"Summary 95-96";"mins_per_day",#N/A,FALSE,"Summary 95-96";"minutes1995",#N/A,FALSE,"Summary 95-96";"rev_per_day",#N/A,FALSE,"Summary 95-96";"view1995",#N/A,FALSE,"Summary 95-96"}</definedName>
    <definedName name="rerewr" localSheetId="9" hidden="1">{"arpm1995",#N/A,FALSE,"Summary 95-96";"bus_long_distance",#N/A,FALSE,"Summary 95-96";"mins_per_day",#N/A,FALSE,"Summary 95-96";"minutes1995",#N/A,FALSE,"Summary 95-96";"rev_per_day",#N/A,FALSE,"Summary 95-96";"view1995",#N/A,FALSE,"Summary 95-96"}</definedName>
    <definedName name="rerewty4etr" localSheetId="9" hidden="1">{"arpm1995",#N/A,FALSE,"Summary 95-96";"bus_long_distance",#N/A,FALSE,"Summary 95-96";"mins_per_day",#N/A,FALSE,"Summary 95-96";"minutes1995",#N/A,FALSE,"Summary 95-96";"rev_per_day",#N/A,FALSE,"Summary 95-96";"view1995",#N/A,FALSE,"Summary 95-96"}</definedName>
    <definedName name="reryt4y" localSheetId="9" hidden="1">{"arpm1995",#N/A,FALSE,"Summary 95-96";"bus_long_distance",#N/A,FALSE,"Summary 95-96";"mins_per_day",#N/A,FALSE,"Summary 95-96";"minutes1995",#N/A,FALSE,"Summary 95-96";"rev_per_day",#N/A,FALSE,"Summary 95-96";"view1995",#N/A,FALSE,"Summary 95-96"}</definedName>
    <definedName name="Reserve" localSheetId="9" hidden="1">{#N/A,#N/A,TRUE,"Sch-1a";#N/A,#N/A,TRUE,"Sch-1b";#N/A,#N/A,TRUE,"Sch-1c";#N/A,#N/A,TRUE,"Sch-1d";#N/A,#N/A,TRUE,"Sch-2a";#N/A,#N/A,TRUE,"Sch-2b";#N/A,#N/A,TRUE,"Sch-2c";#N/A,#N/A,TRUE,"Sch-3a";#N/A,#N/A,TRUE,"Sch-3b";#N/A,#N/A,TRUE,"Sch-3c";#N/A,#N/A,TRUE,"Sch-3d";#N/A,#N/A,TRUE,"Sch-3e"}</definedName>
    <definedName name="ReserveGuidance" localSheetId="9">#REF!</definedName>
    <definedName name="resources" localSheetId="9" hidden="1">{#N/A,#N/A,FALSE,"Assessment";#N/A,#N/A,FALSE,"Staffing";#N/A,#N/A,FALSE,"Hires";#N/A,#N/A,FALSE,"Assumptions"}</definedName>
    <definedName name="resp." localSheetId="9" hidden="1">{#N/A,#N/A,FALSE,"Pharm";#N/A,#N/A,FALSE,"WWCM"}</definedName>
    <definedName name="RestatedActuals" localSheetId="9" hidden="1">{#N/A,#N/A,FALSE,"Aging Summary";#N/A,#N/A,FALSE,"Ratio Analysis";#N/A,#N/A,FALSE,"Test 120 Day Accts";#N/A,#N/A,FALSE,"Tickmarks"}</definedName>
    <definedName name="Retail" localSheetId="9" hidden="1">{"'Sheet1'!$A$5:$G$42"}</definedName>
    <definedName name="rf2e" localSheetId="9" hidden="1">{#N/A,#N/A,FALSE,"Pharm";#N/A,#N/A,FALSE,"WWCM"}</definedName>
    <definedName name="rfr" localSheetId="9"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rft" localSheetId="9" hidden="1">{#N/A,#N/A,TRUE,"RESUMEN ECON.";#N/A,#N/A,TRUE,"Costos de R.H.";#N/A,#N/A,TRUE,"COSTO HW";#N/A,#N/A,TRUE,"CUADROS";#N/A,#N/A,TRUE,"SCADA´s";#N/A,#N/A,TRUE,"PRECIOS EQUIPOS"}</definedName>
    <definedName name="rich" localSheetId="9" hidden="1">{"Capital Plan CA Schedule",#N/A,TRUE,"Capital Plan";"Capital Plan Summary",#N/A,TRUE,"Capital Plan"}</definedName>
    <definedName name="Rick" localSheetId="9"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M" localSheetId="9">#REF!</definedName>
    <definedName name="Rocket" localSheetId="9">#REF!</definedName>
    <definedName name="Rocket_Deal_Month" localSheetId="9">#REF!</definedName>
    <definedName name="RPA" localSheetId="9" hidden="1">{#N/A,#N/A,FALSE,"Cashflow Analysis";#N/A,#N/A,FALSE,"Sensitivity Analysis";#N/A,#N/A,FALSE,"PV";#N/A,#N/A,FALSE,"Pro Forma"}</definedName>
    <definedName name="RPA.2" localSheetId="9" hidden="1">{#N/A,#N/A,FALSE,"Cashflow Analysis";#N/A,#N/A,FALSE,"Sensitivity Analysis";#N/A,#N/A,FALSE,"PV";#N/A,#N/A,FALSE,"Pro Forma"}</definedName>
    <definedName name="rrrrr" localSheetId="9" hidden="1">{#N/A,#N/A,FALSE,"Pharm";#N/A,#N/A,FALSE,"WWCM"}</definedName>
    <definedName name="rrrrrr" localSheetId="9" hidden="1">{"'Edit'!$A$1:$V$2277"}</definedName>
    <definedName name="rse" localSheetId="9" hidden="1">{"FCB_ALL",#N/A,FALSE,"FCB"}</definedName>
    <definedName name="rt" localSheetId="9" hidden="1">{"inputs raw data",#N/A,TRUE,"INPUT"}</definedName>
    <definedName name="rtu" localSheetId="9" hidden="1">{#N/A,#N/A,TRUE,"RESUMEN ECON.";#N/A,#N/A,TRUE,"Costos de R.H.";#N/A,#N/A,TRUE,"COSTO HW";#N/A,#N/A,TRUE,"CUADROS";#N/A,#N/A,TRUE,"SCADA´s";#N/A,#N/A,TRUE,"PRECIOS EQUIPOS"}</definedName>
    <definedName name="rustey" localSheetId="9"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rwert" localSheetId="9" hidden="1">{#N/A,#N/A,FALSE,"Pharm";#N/A,#N/A,FALSE,"WWCM"}</definedName>
    <definedName name="rwjf" localSheetId="9" hidden="1">{#N/A,#N/A,FALSE,"BS";#N/A,#N/A,FALSE,"PL";#N/A,#N/A,FALSE,"SOE";#N/A,#N/A,FALSE,"SCF"}</definedName>
    <definedName name="ryj" localSheetId="9" hidden="1">{#N/A,#N/A,FALSE,"ACQ_GRAPHS";#N/A,#N/A,FALSE,"T_1 GRAPHS";#N/A,#N/A,FALSE,"T_2 GRAPHS";#N/A,#N/A,FALSE,"COMB_GRAPHS"}</definedName>
    <definedName name="s" localSheetId="9">#REF!</definedName>
    <definedName name="sa" localSheetId="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ad" localSheetId="9" hidden="1">#REF!</definedName>
    <definedName name="sadfsdfsdfsaf" localSheetId="9" hidden="1">{"wpocash",#N/A,FALSE,"WPOALLT";"wpoinc",#N/A,FALSE,"WPOALLT";"wpobroad",#N/A,FALSE,"WPOALLT";"wpocable",#N/A,FALSE,"WPOALLT";"wpoexcl",#N/A,FALSE,"WPOALLT";"wponwsweek",#N/A,FALSE,"WPOALLT";"wpopost",#N/A,FALSE,"WPOALLT"}</definedName>
    <definedName name="sagf"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sally" localSheetId="9" hidden="1">{#N/A,#N/A,FALSE,"Pharm";#N/A,#N/A,FALSE,"WWCM"}</definedName>
    <definedName name="sandy" localSheetId="9">#REF!</definedName>
    <definedName name="sasdfkj" localSheetId="9" hidden="1">{"FCB_ALL",#N/A,FALSE,"FCB"}</definedName>
    <definedName name="ScenarioList" localSheetId="9">OFFSET(#REF!,1,0,COUNTA(#REF!)-1,1)</definedName>
    <definedName name="Scenarios" comment="A-1" localSheetId="9">#REF!</definedName>
    <definedName name="Sched_Pay" localSheetId="9">#REF!</definedName>
    <definedName name="Scheduled_Extra_Payments" localSheetId="9">#REF!</definedName>
    <definedName name="SD" localSheetId="9" hidden="1">{#N/A,#N/A,FALSE,"Pharm";#N/A,#N/A,FALSE,"WWCM"}</definedName>
    <definedName name="sdafe" localSheetId="9" hidden="1">{"FCB_ALL",#N/A,FALSE,"FCB";"GREY_ALL",#N/A,FALSE,"GREY"}</definedName>
    <definedName name="sdafgs" localSheetId="9" hidden="1">{#N/A,#N/A,FALSE,"Pharm";#N/A,#N/A,FALSE,"WWCM"}</definedName>
    <definedName name="sdaflkej" localSheetId="9" hidden="1">{"FCB_ALL",#N/A,FALSE,"FCB";"GREY_ALL",#N/A,FALSE,"GREY"}</definedName>
    <definedName name="sdafsdafsaf" localSheetId="9" hidden="1">{"wpocash",#N/A,FALSE,"WPOALLT";"wpoinc",#N/A,FALSE,"WPOALLT";"wpobroad",#N/A,FALSE,"WPOALLT";"wpocable",#N/A,FALSE,"WPOALLT";"wpoexcl",#N/A,FALSE,"WPOALLT";"wponwsweek",#N/A,FALSE,"WPOALLT";"wpopost",#N/A,FALSE,"WPOALLT"}</definedName>
    <definedName name="sdas" localSheetId="9" hidden="1">{"Total",#N/A,FALSE,"Six Fields";"PDP",#N/A,FALSE,"Six Fields";"PNP",#N/A,FALSE,"Six Fields";"PUD",#N/A,FALSE,"Six Fields";"Prob",#N/A,FALSE,"Six Fields"}</definedName>
    <definedName name="sdasd" localSheetId="9" hidden="1">{"FCB_ALL",#N/A,FALSE,"FCB";"GREY_ALL",#N/A,FALSE,"GREY"}</definedName>
    <definedName name="sdf" localSheetId="9" hidden="1">#REF!</definedName>
    <definedName name="sdfasr" localSheetId="9" hidden="1">{"FCB_ALL",#N/A,FALSE,"FCB"}</definedName>
    <definedName name="sdfdsf" localSheetId="9" hidden="1">{"SourcesUses",#N/A,TRUE,#N/A;"TransOverview",#N/A,TRUE,"CFMODEL"}</definedName>
    <definedName name="sdfg" localSheetId="9" hidden="1">{"summary",#N/A,FALSE,"3 yr average";"comps",#N/A,FALSE,"3 yr average"}</definedName>
    <definedName name="sdfga"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sdfh" localSheetId="9" hidden="1">{#N/A,#N/A,FALSE,"Pharm";#N/A,#N/A,FALSE,"WWCM"}</definedName>
    <definedName name="sdfsdfsdfsafsdf" localSheetId="9" hidden="1">{"FCB_ALL",#N/A,FALSE,"FCB"}</definedName>
    <definedName name="sdft" localSheetId="9" hidden="1">{#N/A,#N/A,FALSE,"SUMMARY";#N/A,#N/A,FALSE,"mcsh";#N/A,#N/A,FALSE,"vol&amp;rev";#N/A,#N/A,FALSE,"wkgcap";#N/A,#N/A,FALSE,"DEPR&amp;DT";#N/A,#N/A,FALSE,"ASSETS";#N/A,#N/A,FALSE,"NI&amp;OTH&amp;DIV";#N/A,#N/A,FALSE,"CASHFLOW";#N/A,#N/A,FALSE,"CAPEMPL";#N/A,#N/A,FALSE,"ROCE"}</definedName>
    <definedName name="sdgagf" localSheetId="9" hidden="1">{#N/A,#N/A,FALSE,"Pharm";#N/A,#N/A,FALSE,"WWCM"}</definedName>
    <definedName name="sdhr" localSheetId="9" hidden="1">{"FCB_ALL",#N/A,FALSE,"FCB";"GREY_ALL",#N/A,FALSE,"GREY"}</definedName>
    <definedName name="sds" localSheetId="9" hidden="1">{#N/A,#N/A,TRUE,"ProFormaProfit";#N/A,#N/A,TRUE,"ProFormaCash";#N/A,#N/A,TRUE,"Depreciation";#N/A,#N/A,TRUE,"Assets";#N/A,#N/A,TRUE,"Revenue";#N/A,#N/A,TRUE,"EstimatedPurchase"}</definedName>
    <definedName name="sdsadasd" localSheetId="9" hidden="1">{#N/A,#N/A,FALSE,"Pharm";#N/A,#N/A,FALSE,"WWCM"}</definedName>
    <definedName name="sdsd" localSheetId="9" hidden="1">{#N/A,#N/A,FALSE,"REPORT"}</definedName>
    <definedName name="sdsds" localSheetId="9" hidden="1">{"PR1","pr1",TRUE,"Sch PR-1"}</definedName>
    <definedName name="sdw" localSheetId="9" hidden="1">{#N/A,#N/A,FALSE,"Admin";#N/A,#N/A,FALSE,"Other"}</definedName>
    <definedName name="sdz" localSheetId="9" hidden="1">{"FCB_ALL",#N/A,FALSE,"FCB"}</definedName>
    <definedName name="secondaries" localSheetId="9" hidden="1">{#N/A,#N/A,FALSE,"Summary";#N/A,#N/A,FALSE,"Pending";#N/A,#N/A,FALSE,"Oct'97";#N/A,#N/A,FALSE,"Sept'97";#N/A,#N/A,FALSE,"Aug'97";#N/A,#N/A,FALSE,"Jul'97";#N/A,#N/A,FALSE,"Jun'97";#N/A,#N/A,FALSE,"May'97";#N/A,#N/A,FALSE,"Apr'97";#N/A,#N/A,FALSE,"Mar'97";#N/A,#N/A,FALSE,"Feb'97";#N/A,#N/A,FALSE,"Jan'97"}</definedName>
    <definedName name="Select_Month" localSheetId="9">#REF!</definedName>
    <definedName name="select_scenario" localSheetId="9">#REF!</definedName>
    <definedName name="sensitivity" localSheetId="9">#REF!</definedName>
    <definedName name="Sept" localSheetId="9" hidden="1">{"assets",#N/A,FALSE,"BSCON894"}</definedName>
    <definedName name="sf" localSheetId="9" hidden="1">{#N/A,#N/A,FALSE,"Sales Graph";#N/A,#N/A,FALSE,"BUC Graph";#N/A,#N/A,FALSE,"P&amp;L - YTD"}</definedName>
    <definedName name="SFD" localSheetId="9" hidden="1">{#N/A,#N/A,FALSE,"TABLE_1 YTD";#N/A,#N/A,FALSE,"TABLE_1A QTD";#N/A,#N/A,FALSE,"NORMAL_SPREAD_QTD";#N/A,#N/A,FALSE,"NORMAL_SPREAD_YTD";#N/A,#N/A,FALSE,"TAX_EQV";#N/A,#N/A,FALSE,"TAX EQUIV_INPUT";#N/A,#N/A,FALSE,"NET FROM FER";#N/A,#N/A,FALSE,"COVER"}</definedName>
    <definedName name="sfdgsar" localSheetId="9" hidden="1">{"FCB_ALL",#N/A,FALSE,"FCB";"GREY_ALL",#N/A,FALSE,"GREY"}</definedName>
    <definedName name="sfdirect" localSheetId="9" hidden="1">{#N/A,#N/A,FALSE,"REPORT"}</definedName>
    <definedName name="sfgv" localSheetId="9" hidden="1">{"consolidated",#N/A,FALSE,"Sheet1";"cms",#N/A,FALSE,"Sheet1";"fse",#N/A,FALSE,"Sheet1"}</definedName>
    <definedName name="sfj" localSheetId="9" hidden="1">{"PR1","pr1",TRUE,"Sch PR-1"}</definedName>
    <definedName name="sfq" localSheetId="9" hidden="1">{#N/A,#N/A,FALSE,"Calc";#N/A,#N/A,FALSE,"Sensitivity";#N/A,#N/A,FALSE,"LT Earn.Dil.";#N/A,#N/A,FALSE,"Dil. AVP"}</definedName>
    <definedName name="sg" localSheetId="9">#REF!</definedName>
    <definedName name="sga" localSheetId="9">#REF!</definedName>
    <definedName name="sgdg" localSheetId="9" hidden="1">{#N/A,#N/A,FALSE,"Calc";#N/A,#N/A,FALSE,"Sensitivity";#N/A,#N/A,FALSE,"LT Earn.Dil.";#N/A,#N/A,FALSE,"Dil. AVP"}</definedName>
    <definedName name="sgsx" localSheetId="9" hidden="1">{"consolidated",#N/A,FALSE,"Sheet1";"cms",#N/A,FALSE,"Sheet1";"fse",#N/A,FALSE,"Sheet1"}</definedName>
    <definedName name="shg"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shit" localSheetId="9" hidden="1">{#N/A,"Base",FALSE,"Dividend";#N/A,"Conservative",FALSE,"Dividend";#N/A,"Downside",FALSE,"Dividend"}</definedName>
    <definedName name="Simple" localSheetId="9" hidden="1">{#N/A,#N/A,FALSE,"RESUMEN ECON.";#N/A,#N/A,FALSE,"Costos de R.H.";#N/A,#N/A,FALSE,"COSTO HW";#N/A,#N/A,FALSE,"CUADROS";#N/A,#N/A,FALSE,"SCADA´s";#N/A,#N/A,FALSE,"PRECIOS EQUIPOS"}</definedName>
    <definedName name="size" localSheetId="9">#REF!</definedName>
    <definedName name="SizingColumn" localSheetId="9">#REF!</definedName>
    <definedName name="SizingColumn1" localSheetId="9">#REF!</definedName>
    <definedName name="SKFs" localSheetId="9">#REF!</definedName>
    <definedName name="SLEVIN" localSheetId="9"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T" localSheetId="9" hidden="1">{"SUM",#N/A,FALSE,"Details (2)"}</definedName>
    <definedName name="sofie" localSheetId="9"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lver_adj" localSheetId="9" hidden="1">#REF!</definedName>
    <definedName name="solver_lhs1" localSheetId="9" hidden="1">#REF!</definedName>
    <definedName name="solver_opt" localSheetId="9" hidden="1">#REF!</definedName>
    <definedName name="SPM" localSheetId="9" hidden="1">{#N/A,#N/A,FALSE,"Cashflow Analysis";#N/A,#N/A,FALSE,"Sensitivity Analysis";#N/A,#N/A,FALSE,"PV";#N/A,#N/A,FALSE,"Pro Forma"}</definedName>
    <definedName name="SPM.2" localSheetId="9" hidden="1">{#N/A,#N/A,FALSE,"Cashflow Analysis";#N/A,#N/A,FALSE,"Sensitivity Analysis";#N/A,#N/A,FALSE,"PV";#N/A,#N/A,FALSE,"Pro Forma"}</definedName>
    <definedName name="ssdfsd" localSheetId="9" hidden="1">{"Balance Sheets",#N/A,FALSE,"Subject";"Income Statements - As Reported",#N/A,FALSE,"Subject";"Income Statements - Adjusted",#N/A,FALSE,"Subject";"Ratios",#N/A,FALSE,"Subject";"Representative Earnings",#N/A,FALSE,"Subject"}</definedName>
    <definedName name="sss" localSheetId="9" hidden="1">{#N/A,#N/A,FALSE,"Pharm";#N/A,#N/A,FALSE,"WWCM"}</definedName>
    <definedName name="sssss" localSheetId="9" hidden="1">{#N/A,#N/A,FALSE,"Calc";#N/A,#N/A,FALSE,"Sensitivity";#N/A,#N/A,FALSE,"LT Earn.Dil.";#N/A,#N/A,FALSE,"Dil. AVP"}</definedName>
    <definedName name="sssssss" localSheetId="9" hidden="1">{"PR1","pr1",TRUE,"Sch PR-1"}</definedName>
    <definedName name="staffing2" localSheetId="9" hidden="1">{#N/A,#N/A,FALSE,"Assessment";#N/A,#N/A,FALSE,"Staffing";#N/A,#N/A,FALSE,"Hires";#N/A,#N/A,FALSE,"Assumptions"}</definedName>
    <definedName name="Staffing3" localSheetId="9" hidden="1">{#N/A,#N/A,FALSE,"Assessment";#N/A,#N/A,FALSE,"Staffing";#N/A,#N/A,FALSE,"Hires";#N/A,#N/A,FALSE,"Assumptions"}</definedName>
    <definedName name="stands" localSheetId="9" hidden="1">{"FCB_ALL",#N/A,FALSE,"FCB";"GREY_ALL",#N/A,FALSE,"GREY"}</definedName>
    <definedName name="stands1" localSheetId="9" hidden="1">{"FCB_ALL",#N/A,FALSE,"FCB";"GREY_ALL",#N/A,FALSE,"GREY"}</definedName>
    <definedName name="Staril" localSheetId="9" hidden="1">{#N/A,#N/A,FALSE,"REPORT"}</definedName>
    <definedName name="StartDate1" localSheetId="9">#REF!</definedName>
    <definedName name="StartDate2" localSheetId="9">#REF!</definedName>
    <definedName name="StratPlanAP" localSheetId="9" hidden="1">{#N/A,#N/A,FALSE,"Pharm";#N/A,#N/A,FALSE,"WWCM"}</definedName>
    <definedName name="stud13" localSheetId="9"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ff" localSheetId="9" hidden="1">#REF!</definedName>
    <definedName name="stuffs" localSheetId="9" hidden="1">{"TOTAL",#N/A,FALSE,"A";"FISCAL94",#N/A,FALSE,"A";"FISCAL95",#N/A,FALSE,"A";"FISCAL96",#N/A,FALSE,"A";"misc page",#N/A,FALSE,"A"}</definedName>
    <definedName name="suck" localSheetId="9" hidden="1">#REF!</definedName>
    <definedName name="sucker" localSheetId="9" hidden="1">#REF!</definedName>
    <definedName name="Sum_Perf_Fee" localSheetId="9">#REF!+#REF!</definedName>
    <definedName name="SUMMARY_BOOK" localSheetId="9" hidden="1">{"page1",#N/A,FALSE,"GIRLBO";"page2",#N/A,FALSE,"GIRLBO";"page3",#N/A,FALSE,"GIRLBO";"page4",#N/A,FALSE,"GIRLBO";"page5",#N/A,FALSE,"GIRLBO"}</definedName>
    <definedName name="supp" localSheetId="9" hidden="1">{#N/A,#N/A,FALSE,"Comp Balance";#N/A,#N/A,FALSE,"Sum Balance ";#N/A,#N/A,FALSE,"Balance Trend";#N/A,#N/A,FALSE,"Comp PL";#N/A,#N/A,FALSE,"PL";#N/A,#N/A,FALSE,"Sum PL";#N/A,#N/A,FALSE,"PL Trend";#N/A,#N/A,FALSE,"Change"}</definedName>
    <definedName name="switch" localSheetId="9" hidden="1">{"arpm1995",#N/A,FALSE,"Summary 95-96";"bus_long_distance",#N/A,FALSE,"Summary 95-96";"mins_per_day",#N/A,FALSE,"Summary 95-96";"minutes1995",#N/A,FALSE,"Summary 95-96";"rev_per_day",#N/A,FALSE,"Summary 95-96";"view1995",#N/A,FALSE,"Summary 95-96"}</definedName>
    <definedName name="SX" localSheetId="9"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t" localSheetId="9" hidden="1">#REF!</definedName>
    <definedName name="t2_1" localSheetId="9" hidden="1">{"'Sheet1'!$A$5:$G$42"}</definedName>
    <definedName name="Tax" localSheetId="9">#REF!</definedName>
    <definedName name="taxol" localSheetId="9" hidden="1">{#N/A,#N/A,FALSE,"Pharm";#N/A,#N/A,FALSE,"WWCM"}</definedName>
    <definedName name="TaxRate" localSheetId="9">#REF!</definedName>
    <definedName name="tdhjm" localSheetId="9" hidden="1">{#N/A,#N/A,FALSE,"INPUTS";#N/A,#N/A,FALSE,"PROFORMA BSHEET";#N/A,#N/A,FALSE,"COMBINED";#N/A,#N/A,FALSE,"HIGH YIELD";#N/A,#N/A,FALSE,"COMB_GRAPHS"}</definedName>
    <definedName name="tdjtmk" localSheetId="9" hidden="1">{#N/A,#N/A,FALSE,"ACQ_GRAPHS";#N/A,#N/A,FALSE,"T_1 GRAPHS";#N/A,#N/A,FALSE,"T_2 GRAPHS";#N/A,#N/A,FALSE,"COMB_GRAPHS"}</definedName>
    <definedName name="TECH" localSheetId="9">#REF!</definedName>
    <definedName name="Tem" localSheetId="9" hidden="1">{#N/A,#N/A,FALSE,"Pharm";#N/A,#N/A,FALSE,"WWCM"}</definedName>
    <definedName name="TEMP" localSheetId="9" hidden="1">{"PAGE 1",#N/A,FALSE,"WEST_OT"}</definedName>
    <definedName name="Temp_2" localSheetId="9" hidden="1">{#N/A,#N/A,FALSE,"Assessment";#N/A,#N/A,FALSE,"Staffing";#N/A,#N/A,FALSE,"Hires";#N/A,#N/A,FALSE,"Assumptions"}</definedName>
    <definedName name="Temp_3" localSheetId="9" hidden="1">{#N/A,#N/A,FALSE,"Assessment";#N/A,#N/A,FALSE,"Staffing";#N/A,#N/A,FALSE,"Hires";#N/A,#N/A,FALSE,"Assumptions"}</definedName>
    <definedName name="temp1" localSheetId="9" hidden="1">{"PAGE 1",#N/A,FALSE,"WEST_OT"}</definedName>
    <definedName name="temp2" localSheetId="9" hidden="1">{"PAGE 1",#N/A,FALSE,"WEST_OT"}</definedName>
    <definedName name="temp3" localSheetId="9" hidden="1">{"PAGE 1",#N/A,FALSE,"WEST_OT"}</definedName>
    <definedName name="tempq" localSheetId="9"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2" localSheetId="9"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3" localSheetId="9"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4" localSheetId="9"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5" localSheetId="9"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6" localSheetId="9" hidden="1">{#N/A,#N/A,TRUE,"FD IV Portfolio Summary ";#N/A,#N/A,TRUE,"Western";#N/A,#N/A,TRUE,"Kranson";#N/A,#N/A,TRUE,"ARC";#N/A,#N/A,TRUE,"Precise";#N/A,#N/A,TRUE,"WNA"}</definedName>
    <definedName name="tempq7" localSheetId="9"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8" localSheetId="9"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q" localSheetId="9" hidden="1">{#N/A,#N/A,FALSE,"Pharm";#N/A,#N/A,FALSE,"WWCM"}</definedName>
    <definedName name="Tequin" localSheetId="9" hidden="1">{#N/A,#N/A,FALSE,"Pharm";#N/A,#N/A,FALSE,"WWCM"}</definedName>
    <definedName name="tequinol" localSheetId="9" hidden="1">{#N/A,#N/A,FALSE,"REPORT"}</definedName>
    <definedName name="Ter" localSheetId="9">#REF!</definedName>
    <definedName name="TerFMV" localSheetId="9">#REF!</definedName>
    <definedName name="term" localSheetId="9">#REF!</definedName>
    <definedName name="tesg4" localSheetId="9" hidden="1">{"PAGE 1",#N/A,FALSE,"WEST_OT"}</definedName>
    <definedName name="test" localSheetId="9" hidden="1">{#N/A,#N/A,FALSE,"Pharm";#N/A,#N/A,FALSE,"WWCM"}</definedName>
    <definedName name="test1" localSheetId="9" hidden="1">{"PAGE 1",#N/A,FALSE,"WEST_OT"}</definedName>
    <definedName name="test10" localSheetId="9" hidden="1">{"PAGE 1",#N/A,FALSE,"WEST_OT"}</definedName>
    <definedName name="test11" localSheetId="9" hidden="1">{"PAGE 1",#N/A,FALSE,"WEST_OT"}</definedName>
    <definedName name="test12" localSheetId="9" hidden="1">{"PAGE 2",#N/A,FALSE,"WEST_OT"}</definedName>
    <definedName name="test13" localSheetId="9" hidden="1">{"PAGE 2",#N/A,FALSE,"WEST_OT"}</definedName>
    <definedName name="test14" localSheetId="9" hidden="1">{"PAGE 1",#N/A,FALSE,"WEST_OT"}</definedName>
    <definedName name="test15" localSheetId="9" hidden="1">{"PAGE 1",#N/A,FALSE,"WEST_OT"}</definedName>
    <definedName name="test2" localSheetId="9">Scheduled_Payment+Extra_Payment</definedName>
    <definedName name="test20" localSheetId="9" hidden="1">{"PAGE 1",#N/A,FALSE,"WEST_OT"}</definedName>
    <definedName name="test21" localSheetId="9" hidden="1">{"PAGE 1",#N/A,FALSE,"WEST_OT"}</definedName>
    <definedName name="test22" localSheetId="9" hidden="1">{"PAGE 1",#N/A,FALSE,"WEST_OT"}</definedName>
    <definedName name="test23" localSheetId="9" hidden="1">{"PAGE 1",#N/A,FALSE,"WEST_OT"}</definedName>
    <definedName name="test24" localSheetId="9" hidden="1">{"PAGE 1",#N/A,FALSE,"WEST_OT"}</definedName>
    <definedName name="test25" localSheetId="9" hidden="1">{"PAGE 1",#N/A,FALSE,"WEST_OT"}</definedName>
    <definedName name="test26" localSheetId="9" hidden="1">{"PAGE 1",#N/A,FALSE,"WEST_OT"}</definedName>
    <definedName name="test27" localSheetId="9" hidden="1">{"PAGE 1",#N/A,FALSE,"WEST_OT"}</definedName>
    <definedName name="test28" localSheetId="9" hidden="1">{"PAGE 1",#N/A,FALSE,"WEST_OT"}</definedName>
    <definedName name="test29" localSheetId="9" hidden="1">{"PAGE 1",#N/A,FALSE,"WEST_OT"}</definedName>
    <definedName name="test3" localSheetId="9" hidden="1">{"PAGE 1",#N/A,FALSE,"WEST_OT"}</definedName>
    <definedName name="test30" localSheetId="9" hidden="1">{"PAGE 2",#N/A,FALSE,"WEST_OT"}</definedName>
    <definedName name="test31" localSheetId="9" hidden="1">{"PAGE 1",#N/A,FALSE,"WEST_OT"}</definedName>
    <definedName name="test32" localSheetId="9" hidden="1">{"PAGE 1",#N/A,FALSE,"WEST_OT"}</definedName>
    <definedName name="test33" localSheetId="9" hidden="1">{"PAGE 1",#N/A,FALSE,"WEST_OT"}</definedName>
    <definedName name="test34" localSheetId="9" hidden="1">{"PAGE 1",#N/A,FALSE,"WEST_OT"}</definedName>
    <definedName name="test35" localSheetId="9" hidden="1">{"PAGE 1",#N/A,FALSE,"WEST_OT"}</definedName>
    <definedName name="test36" localSheetId="9" hidden="1">{"PAGE 1",#N/A,FALSE,"WEST_OT"}</definedName>
    <definedName name="test37" localSheetId="9" hidden="1">{"PAGE 2",#N/A,FALSE,"WEST_OT"}</definedName>
    <definedName name="test38" localSheetId="9" hidden="1">{"PAGE 1",#N/A,FALSE,"WEST_OT"}</definedName>
    <definedName name="test39" localSheetId="9" hidden="1">{"PAGE 1",#N/A,FALSE,"WEST_OT"}</definedName>
    <definedName name="test4" localSheetId="9" hidden="1">{"PAGE 1",#N/A,FALSE,"WEST_OT"}</definedName>
    <definedName name="test40" localSheetId="9" hidden="1">{"PAGE 2",#N/A,FALSE,"WEST_OT"}</definedName>
    <definedName name="test41" localSheetId="9" hidden="1">{"PAGE 1",#N/A,FALSE,"WEST_OT"}</definedName>
    <definedName name="test42" localSheetId="9" hidden="1">{"PAGE 1",#N/A,FALSE,"WEST_OT"}</definedName>
    <definedName name="test43" localSheetId="9" hidden="1">{"PAGE 2",#N/A,FALSE,"WEST_OT"}</definedName>
    <definedName name="test44" localSheetId="9" hidden="1">{"PAGE 2",#N/A,FALSE,"WEST_OT"}</definedName>
    <definedName name="test45" localSheetId="9" hidden="1">{"PAGE 1",#N/A,FALSE,"WEST_OT"}</definedName>
    <definedName name="test46" localSheetId="9" hidden="1">{"PAGE 1",#N/A,FALSE,"WEST_OT"}</definedName>
    <definedName name="test5" localSheetId="9" hidden="1">{"PAGE 1",#N/A,FALSE,"WEST_OT"}</definedName>
    <definedName name="test6" localSheetId="9" hidden="1">{"PAGE 2",#N/A,FALSE,"WEST_OT"}</definedName>
    <definedName name="test7" localSheetId="9" hidden="1">{"PAGE 2",#N/A,FALSE,"WEST_OT"}</definedName>
    <definedName name="test8" localSheetId="9" hidden="1">{"PAGE 1",#N/A,FALSE,"WEST_OT"}</definedName>
    <definedName name="test9" localSheetId="9" hidden="1">{"PAGE 1",#N/A,FALSE,"WEST_OT"}</definedName>
    <definedName name="teste" localSheetId="9" hidden="1">{#N/A,#N/A,FALSE,"Pharm";#N/A,#N/A,FALSE,"WWCM"}</definedName>
    <definedName name="TESYT" localSheetId="9" hidden="1">{#N/A,#N/A,TRUE,"BUD VS ACT AUST 96";#N/A,#N/A,TRUE,"96 COMP P&amp;L-AUST";#N/A,#N/A,TRUE,"COMP BS-AUSTRALIA";#N/A,#N/A,TRUE,"B/S - AUSTR."}</definedName>
    <definedName name="tetas" localSheetId="9" hidden="1">{#N/A,#N/A,FALSE,"RESUMEN ECON.";#N/A,#N/A,FALSE,"Costos de R.H.";#N/A,#N/A,FALSE,"COSTO HW";#N/A,#N/A,FALSE,"CUADROS";#N/A,#N/A,FALSE,"SCADA´s";#N/A,#N/A,FALSE,"PRECIOS EQUIPOS"}</definedName>
    <definedName name="tgj" localSheetId="9" hidden="1">{#N/A,#N/A,FALSE,"INPUTS";#N/A,#N/A,FALSE,"PROFORMA BSHEET";#N/A,#N/A,FALSE,"COMBINED";#N/A,#N/A,FALSE,"ACQUIROR";#N/A,#N/A,FALSE,"TARGET 1";#N/A,#N/A,FALSE,"TARGET 2";#N/A,#N/A,FALSE,"HIGH YIELD";#N/A,#N/A,FALSE,"OVERFUND"}</definedName>
    <definedName name="thth" localSheetId="9" hidden="1">{#N/A,#N/A,FALSE,"Calc";#N/A,#N/A,FALSE,"Sensitivity";#N/A,#N/A,FALSE,"LT Earn.Dil.";#N/A,#N/A,FALSE,"Dil. AVP"}</definedName>
    <definedName name="Titan" localSheetId="9" hidden="1">{"kricash",#N/A,FALSE,"INC";"kriinc",#N/A,FALSE,"INC";"krimiami",#N/A,FALSE,"INC";"kriother",#N/A,FALSE,"INC";"kripapers",#N/A,FALSE,"INC"}</definedName>
    <definedName name="Titles" localSheetId="9">#REF!</definedName>
    <definedName name="tl" localSheetId="9" hidden="1">{#N/A,#N/A,FALSE,"FAB VENDORS";"BUD SUM",#N/A,FALSE,"BUD SUM WO TEX"}</definedName>
    <definedName name="Total_Payment" localSheetId="9">Scheduled_Payment+Extra_Payment</definedName>
    <definedName name="TotalAssetsCurr" localSheetId="9">#REF!</definedName>
    <definedName name="tre" localSheetId="9" hidden="1">{#N/A,#N/A,TRUE,"Sch-5a";#N/A,#N/A,TRUE,"Sch-5b";#N/A,#N/A,TRUE,"Sch-5c";#N/A,#N/A,TRUE,"Sch-5d";#N/A,#N/A,TRUE,"Sch-6a";#N/A,#N/A,TRUE,"Sch-6b";#N/A,#N/A,TRUE,"Sch-6c";#N/A,#N/A,TRUE,"Sch-6d";#N/A,#N/A,TRUE,"Sch-6e"}</definedName>
    <definedName name="trevor" localSheetId="9" hidden="1">{#N/A,#N/A,FALSE,"FAB VENDORS";"BUD SUM",#N/A,FALSE,"BUD SUM WO TEX"}</definedName>
    <definedName name="Trust2" localSheetId="9" hidden="1">{#N/A,#N/A,FALSE,"Summary";#N/A,#N/A,FALSE,"Financials";#N/A,#N/A,FALSE,"Returns";#N/A,#N/A,FALSE,"Open";#N/A,#N/A,FALSE,"Assumptions"}</definedName>
    <definedName name="tryeuyit" localSheetId="9" hidden="1">{#N/A,#N/A,FALSE,"Pharm";#N/A,#N/A,FALSE,"WWCM"}</definedName>
    <definedName name="tss" localSheetId="9" hidden="1">{#N/A,#N/A,TRUE,"ProFormaProfit";#N/A,#N/A,TRUE,"ProFormaCash";#N/A,#N/A,TRUE,"Depreciation";#N/A,#N/A,TRUE,"Assets";#N/A,#N/A,TRUE,"Revenue";#N/A,#N/A,TRUE,"EstimatedPurchase"}</definedName>
    <definedName name="ttt" localSheetId="9" hidden="1">{#N/A,#N/A,FALSE,"COMP BS-FRANCE";#N/A,#N/A,FALSE,"96 COMP P&amp;L-FRANCE";#N/A,#N/A,FALSE,"BUD VS ACT FRAN 96";#N/A,#N/A,FALSE,"B/S - FRANCE"}</definedName>
    <definedName name="tttt" localSheetId="9"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tttttt" localSheetId="9"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U" localSheetId="9" hidden="1">{#N/A,#N/A,FALSE,"CNS_ADJ";"Balance Consolidado",#N/A,FALSE,"BCEC_CNS";#N/A,#N/A,FALSE,"USGAAP_ADJ"}</definedName>
    <definedName name="Tulsa" localSheetId="9" hidden="1">{#N/A,#N/A,FALSE,"Report Data";#N/A,#N/A,FALSE,"COMP POOL";#N/A,#N/A,FALSE,"COMP POOL NB95";#N/A,#N/A,FALSE,"COMP POOL NB94"}</definedName>
    <definedName name="tut" localSheetId="9" hidden="1">{#N/A,#N/A,TRUE,"ProFormaProfit";#N/A,#N/A,TRUE,"ProFormaCash";#N/A,#N/A,TRUE,"Depreciation";#N/A,#N/A,TRUE,"Assets";#N/A,#N/A,TRUE,"Revenue";#N/A,#N/A,TRUE,"EstimatedPurchase"}</definedName>
    <definedName name="tuv" localSheetId="9" hidden="1">{#N/A,#N/A,TRUE,"Sch-5a";#N/A,#N/A,TRUE,"Sch-5b";#N/A,#N/A,TRUE,"Sch-5c";#N/A,#N/A,TRUE,"Sch-5d";#N/A,#N/A,TRUE,"Sch-6a";#N/A,#N/A,TRUE,"Sch-6b";#N/A,#N/A,TRUE,"Sch-6c";#N/A,#N/A,TRUE,"Sch-6d";#N/A,#N/A,TRUE,"Sch-6e"}</definedName>
    <definedName name="two.print" localSheetId="9" hidden="1">{"month",#N/A,FALSE,"LOPL594";"ytd",#N/A,FALSE,"LOPL594"}</definedName>
    <definedName name="tx_roll_cy" localSheetId="9">#REF!,#REF!</definedName>
    <definedName name="tx_roll_py" localSheetId="9">#REF!,#REF!</definedName>
    <definedName name="tx_roll_py1" localSheetId="9">#REF!,#REF!</definedName>
    <definedName name="tyler" localSheetId="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u" localSheetId="9" hidden="1">{"MARCH",#N/A,FALSE,"CONSO OPEX 5899";"FullOpex",#N/A,FALSE,"CONSO OPEX 5899"}</definedName>
    <definedName name="tyuiktyu" localSheetId="9" hidden="1">{#N/A,#N/A,FALSE,"COVER";#N/A,#N/A,FALSE,"Index";#N/A,#N/A,FALSE,"Non-Earning";#N/A,#N/A,FALSE,"Mortgage_Legal";#N/A,#N/A,FALSE,"Mortgages"}</definedName>
    <definedName name="tyutytyi" localSheetId="9" hidden="1">{#N/A,#N/A,FALSE,"Pharm";#N/A,#N/A,FALSE,"WWCM"}</definedName>
    <definedName name="tyyufkjkhjd" localSheetId="9" hidden="1">{#N/A,#N/A,FALSE,"Pharm";#N/A,#N/A,FALSE,"WWCM"}</definedName>
    <definedName name="u" localSheetId="9" hidden="1">{"CSheet",#N/A,FALSE,"C";"SmCap",#N/A,FALSE,"VAL1";"GulfCoast",#N/A,FALSE,"VAL1";"nav",#N/A,FALSE,"NAV";"Summary",#N/A,FALSE,"NAV"}</definedName>
    <definedName name="UK" localSheetId="9" hidden="1">{#N/A,#N/A,TRUE,"BUD VS ACT AUST 96";#N/A,#N/A,TRUE,"96 COMP P&amp;L-AUST";#N/A,#N/A,TRUE,"COMP BS-AUSTRALIA";#N/A,#N/A,TRUE,"B/S - AUSTR."}</definedName>
    <definedName name="Unit" localSheetId="9" hidden="1">{#N/A,#N/A,FALSE,"Pharm";#N/A,#N/A,FALSE,"WWCM"}</definedName>
    <definedName name="United" localSheetId="9"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S" localSheetId="9">#REF!</definedName>
    <definedName name="usd" localSheetId="9">#REF!</definedName>
    <definedName name="uyfkf" localSheetId="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aluationDate" localSheetId="9">#REF!</definedName>
    <definedName name="Value.2" localSheetId="9" hidden="1">{#N/A,#N/A,FALSE,"Cashflow Analysis";#N/A,#N/A,FALSE,"Sensitivity Analysis";#N/A,#N/A,FALSE,"PV";#N/A,#N/A,FALSE,"Pro Forma"}</definedName>
    <definedName name="value1" localSheetId="9" hidden="1">{#N/A,#N/A,FALSE,"Cashflow Analysis";#N/A,#N/A,FALSE,"Sensitivity Analysis";#N/A,#N/A,FALSE,"PV";#N/A,#N/A,FALSE,"Pro Forma"}</definedName>
    <definedName name="value1.2" localSheetId="9" hidden="1">{#N/A,#N/A,FALSE,"Cashflow Analysis";#N/A,#N/A,FALSE,"Sensitivity Analysis";#N/A,#N/A,FALSE,"PV";#N/A,#N/A,FALSE,"Pro Forma"}</definedName>
    <definedName name="Values_Entered" localSheetId="9">IF('Pro Forma Financials (Q1)'!Loan_Amount*Interest_Rate*Loan_Years*Loan_Start&gt;0,1,0)</definedName>
    <definedName name="Var_type" localSheetId="9">#REF!</definedName>
    <definedName name="varianc" localSheetId="9" hidden="1">{#N/A,#N/A,TRUE,"Mth Sum";#N/A,#N/A,TRUE,"YTD Sum";#N/A,#N/A,TRUE,"Mth Rev Sum";#N/A,#N/A,TRUE,"YTD Rev Sum";#N/A,#N/A,TRUE,"SC vs Pr Month (Revised)";#N/A,#N/A,TRUE,"SVC Detail Mth vs Pr Mth (Rev)";#N/A,#N/A,TRUE,"SGA (Elem) vs Pr Month";#N/A,#N/A,TRUE,"SGA (BU) vs Pr Mth";#N/A,#N/A,TRUE,"SC vs Plan (Revised)";#N/A,#N/A,TRUE,"SVC Detail Mth vsPlan (Rev)";#N/A,#N/A,TRUE,"SGA (Elem) vs Plan";#N/A,#N/A,TRUE,"SGA (BU) vs Plan(Rev)";#N/A,#N/A,TRUE,"SC vs YTD 00 (Revised)";#N/A,#N/A,TRUE,"SGA (Elem) vs YTD 00";#N/A,#N/A,TRUE,"SGA (BU) YTD vs YTD 00";#N/A,#N/A,TRUE,"SC vs YTD Plan (Revised)";#N/A,#N/A,TRUE,"SVC YTD Detail Mth vsPlan (Rev)";#N/A,#N/A,TRUE,"SGA (Elem) vs YTD Plan";#N/A,#N/A,TRUE,"SGA (BU) YTD vs Plan(Rev)";#N/A,#N/A,TRUE,"CapExp";#N/A,#N/A,TRUE,"EBITDA(Flash)";#N/A,#N/A,TRUE,"NetInc(Flash)";#N/A,#N/A,TRUE,"Gross Margin(Flash)";#N/A,#N/A,TRUE,"Mth trends(Flash)";#N/A,#N/A,TRUE,"HeadcountP01";#N/A,#N/A,TRUE,"Headcount P00";#N/A,#N/A,TRUE,"Inc. Statement";#N/A,#N/A,TRUE,"Balance Sheet";#N/A,#N/A,TRUE,"Cash Flow"}</definedName>
    <definedName name="Veneco" localSheetId="9" hidden="1">{"one",#N/A,TRUE,"Alaska";"two",#N/A,TRUE,"Alaska";"three",#N/A,TRUE,"Alaska";"four",#N/A,TRUE,"Alaska"}</definedName>
    <definedName name="vertex42_copyright" localSheetId="9" hidden="1">"© 2015 Vertex42 LLC"</definedName>
    <definedName name="vertex42_id" localSheetId="9" hidden="1">"waterfall-chart.xlsx"</definedName>
    <definedName name="vertex42_title" localSheetId="9" hidden="1">"Waterfall Chart Template"</definedName>
    <definedName name="viajes" localSheetId="9" hidden="1">{#N/A,#N/A,TRUE,"RESUMEN ECON.";#N/A,#N/A,TRUE,"Costos de R.H.";#N/A,#N/A,TRUE,"COSTO HW";#N/A,#N/A,TRUE,"CUADROS";#N/A,#N/A,TRUE,"SCADA´s";#N/A,#N/A,TRUE,"PRECIOS EQUIPOS"}</definedName>
    <definedName name="viajes2" localSheetId="9" hidden="1">{#N/A,#N/A,TRUE,"RESUMEN ECON.";#N/A,#N/A,TRUE,"Costos de R.H.";#N/A,#N/A,TRUE,"COSTO HW";#N/A,#N/A,TRUE,"CUADROS";#N/A,#N/A,TRUE,"SCADA´s";#N/A,#N/A,TRUE,"PRECIOS EQUIPOS"}</definedName>
    <definedName name="Viastar" localSheetId="9" hidden="1">{#N/A,#N/A,FALSE,"Assumptions";#N/A,#N/A,FALSE,"N-IS-Sum";#N/A,#N/A,FALSE,"N-St-Sum";#N/A,#N/A,FALSE,"Inc Stmt";#N/A,#N/A,FALSE,"Stats"}</definedName>
    <definedName name="victor" localSheetId="9" hidden="1">{"multiple",#N/A,FALSE,"client";"margins",#N/A,FALSE,"client";"data",#N/A,FALSE,"client"}</definedName>
    <definedName name="vnbs" localSheetId="9" hidden="1">{"FCB_ALL",#N/A,FALSE,"FCB"}</definedName>
    <definedName name="vo" localSheetId="9" hidden="1">{"consolidated",#N/A,FALSE,"Sheet1";"cms",#N/A,FALSE,"Sheet1";"fse",#N/A,FALSE,"Sheet1"}</definedName>
    <definedName name="vsr" localSheetId="9" hidden="1">{"FCB_ALL",#N/A,FALSE,"FCB"}</definedName>
    <definedName name="vv" localSheetId="9" hidden="1">{"cash_marc",#N/A,FALSE,"dec95cr.xls"}</definedName>
    <definedName name="vvvv" localSheetId="9" hidden="1">{#N/A,#N/A,FALSE,"Cashflow Analysis";#N/A,#N/A,FALSE,"Sensitivity Analysis";#N/A,#N/A,FALSE,"PV";#N/A,#N/A,FALSE,"Pro Forma"}</definedName>
    <definedName name="VVVV.2" localSheetId="9" hidden="1">{#N/A,#N/A,FALSE,"Cashflow Analysis";#N/A,#N/A,FALSE,"Sensitivity Analysis";#N/A,#N/A,FALSE,"PV";#N/A,#N/A,FALSE,"Pro Forma"}</definedName>
    <definedName name="VZDX" localSheetId="9"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 localSheetId="9" hidden="1">{"ReportTop",#N/A,FALSE,"report top"}</definedName>
    <definedName name="wafe" localSheetId="9" hidden="1">{"summary1",#N/A,TRUE,"Comps";"summary2",#N/A,TRUE,"Comps";"summary3",#N/A,TRUE,"Comps"}</definedName>
    <definedName name="was" localSheetId="9" hidden="1">{#N/A,#N/A,FALSE,"Sales Graph";#N/A,#N/A,FALSE,"BUC Graph";#N/A,#N/A,FALSE,"P&amp;L - YTD"}</definedName>
    <definedName name="wb" localSheetId="9" hidden="1">{#N/A,#N/A,FALSE,"Pharm";#N/A,#N/A,FALSE,"WWCM"}</definedName>
    <definedName name="wc" localSheetId="9" hidden="1">{#N/A,#N/A,FALSE,"Pharm";#N/A,#N/A,FALSE,"WWCM"}</definedName>
    <definedName name="wc.3" localSheetId="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e" localSheetId="9" hidden="1">{#N/A,#N/A,FALSE,"Pharm";#N/A,#N/A,FALSE,"WWCM"}</definedName>
    <definedName name="WEA"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d" localSheetId="9" hidden="1">{#N/A,#N/A,FALSE,"INPUTS";#N/A,#N/A,FALSE,"PROFORMA BSHEET";#N/A,#N/A,FALSE,"COMBINED";#N/A,#N/A,FALSE,"ACQUIROR";#N/A,#N/A,FALSE,"TARGET 1";#N/A,#N/A,FALSE,"TARGET 2";#N/A,#N/A,FALSE,"HIGH YIELD";#N/A,#N/A,FALSE,"OVERFUND"}</definedName>
    <definedName name="wef" localSheetId="9" hidden="1">{#N/A,#N/A,FALSE,"INPUTS";#N/A,#N/A,FALSE,"PROFORMA BSHEET";#N/A,#N/A,FALSE,"COMBINED";#N/A,#N/A,FALSE,"HIGH YIELD";#N/A,#N/A,FALSE,"COMB_GRAPHS"}</definedName>
    <definedName name="wefaf"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f" localSheetId="9" hidden="1">{#N/A,#N/A,FALSE,"Assum";#N/A,#N/A,FALSE,"IS";#N/A,#N/A,FALSE,"Op-BS";#N/A,#N/A,FALSE,"BSCF";#N/A,#N/A,FALSE,"Brad_IS";#N/A,#N/A,FALSE,"Brad_BSCF";#N/A,#N/A,FALSE,"Nick_IS";#N/A,#N/A,FALSE,"Nick_BSCF";#N/A,#N/A,FALSE,"Mobile_IS";#N/A,#N/A,FALSE,"Mobile_BSCF";#N/A,#N/A,FALSE,"Syn+Elim";#N/A,#N/A,FALSE,"Ratings"}</definedName>
    <definedName name="wefyjtf" localSheetId="9"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ekwn" localSheetId="9" hidden="1">{"'Edit'!$A$1:$V$2277"}</definedName>
    <definedName name="welw" localSheetId="9" hidden="1">{"'Edit'!$A$1:$V$2277"}</definedName>
    <definedName name="WEQQE" localSheetId="9" hidden="1">{"summary1",#N/A,TRUE,"Comps";"summary2",#N/A,TRUE,"Comps";"summary3",#N/A,TRUE,"Comps"}</definedName>
    <definedName name="wererer" localSheetId="9" hidden="1">{"arpm1995",#N/A,FALSE,"Summary 95-96";"bus_long_distance",#N/A,FALSE,"Summary 95-96";"mins_per_day",#N/A,FALSE,"Summary 95-96";"minutes1995",#N/A,FALSE,"Summary 95-96";"rev_per_day",#N/A,FALSE,"Summary 95-96";"view1995",#N/A,FALSE,"Summary 95-96"}</definedName>
    <definedName name="werrr" localSheetId="9" hidden="1">{#N/A,#N/A,FALSE,"Pharm";#N/A,#N/A,FALSE,"WWCM"}</definedName>
    <definedName name="wg" localSheetId="9" hidden="1">{"ReportTop",#N/A,FALSE,"report top"}</definedName>
    <definedName name="What?" localSheetId="9" hidden="1">{#N/A,#N/A,TRUE,"Summary";#N/A,#N/A,TRUE,"Financials"}</definedName>
    <definedName name="What2?" localSheetId="9" hidden="1">{#N/A,#N/A,TRUE,"Summary";#N/A,#N/A,TRUE,"Financials";#N/A,#N/A,TRUE,"Assumptions";#N/A,#N/A,TRUE,"Pro Forma";#N/A,#N/A,TRUE,"Debt";#N/A,#N/A,TRUE,"Amortization";#N/A,#N/A,TRUE,"GG Returns"}</definedName>
    <definedName name="What3?" localSheetId="9" hidden="1">{#N/A,#N/A,TRUE,"Summary";#N/A,#N/A,TRUE,"Assumptions";#N/A,#N/A,TRUE,"Comparison";#N/A,#N/A,TRUE,"Financials";#N/A,#N/A,TRUE,"Plan v. Act"}</definedName>
    <definedName name="WHO" localSheetId="9" hidden="1">{#N/A,#N/A,FALSE,"SUMMARY";#N/A,#N/A,FALSE,"DETAIL";#N/A,#N/A,FALSE,"VARIANCE"}</definedName>
    <definedName name="wholesaleforecast" localSheetId="9" hidden="1">{"SUM",#N/A,FALSE,"Details (2)"}</definedName>
    <definedName name="willem" localSheetId="9"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orking" localSheetId="9" hidden="1">{#N/A,#N/A,FALSE,"REPORT"}</definedName>
    <definedName name="wpw" localSheetId="9" hidden="1">{#N/A,#N/A,FALSE,"TopTen Failures";#N/A,#N/A,FALSE,"Top Ten %";#N/A,#N/A,FALSE,"Fail Code 5 mo. Totals (%)"}</definedName>
    <definedName name="wqe" localSheetId="9" hidden="1">{#N/A,#N/A,TRUE,"Sch-1a";#N/A,#N/A,TRUE,"Sch-1b";#N/A,#N/A,TRUE,"Sch-1c";#N/A,#N/A,TRUE,"Sch-1d";#N/A,#N/A,TRUE,"Sch-2a";#N/A,#N/A,TRUE,"Sch-2b";#N/A,#N/A,TRUE,"Sch-2c";#N/A,#N/A,TRUE,"Sch-3a";#N/A,#N/A,TRUE,"Sch-3b";#N/A,#N/A,TRUE,"Sch-3c";#N/A,#N/A,TRUE,"Sch-3d";#N/A,#N/A,TRUE,"Sch-3e"}</definedName>
    <definedName name="wqefh" localSheetId="9" hidden="1">{#N/A,#N/A,FALSE,"ACQ_GRAPHS";#N/A,#N/A,FALSE,"T_1 GRAPHS";#N/A,#N/A,FALSE,"T_2 GRAPHS";#N/A,#N/A,FALSE,"COMB_GRAPHS"}</definedName>
    <definedName name="wr" localSheetId="9" hidden="1">{"Cashflow chart",#N/A,TRUE,"A";"Rev Assumptions",#N/A,TRUE,"B";"Rev Reconcilliation 1",#N/A,TRUE,"B";"Rev Reconcilliation 2",#N/A,TRUE,"B";"exp 1",#N/A,TRUE,"C";"exp 2",#N/A,TRUE,"C";"exp3",#N/A,TRUE,"C";"cap 1",#N/A,TRUE,"D";"exp4",#N/A,TRUE,"C";"cap 2",#N/A,TRUE,"D";"cap 3",#N/A,TRUE,"D";"inputs",#N/A,TRUE,"E"}</definedName>
    <definedName name="wr_1" localSheetId="9" hidden="1">{"Cashflow chart",#N/A,TRUE,"A";"Rev Assumptions",#N/A,TRUE,"B";"Rev Reconcilliation 1",#N/A,TRUE,"B";"Rev Reconcilliation 2",#N/A,TRUE,"B";"exp 1",#N/A,TRUE,"C";"exp 2",#N/A,TRUE,"C";"exp3",#N/A,TRUE,"C";"cap 1",#N/A,TRUE,"D";"exp4",#N/A,TRUE,"C";"cap 2",#N/A,TRUE,"D";"cap 3",#N/A,TRUE,"D";"inputs",#N/A,TRUE,"E"}</definedName>
    <definedName name="wrd.2._.pagers.3" localSheetId="9" hidden="1">{"Cover",#N/A,FALSE,"Cover";"Summary",#N/A,FALSE,"Summarpage"}</definedName>
    <definedName name="wrd.2_.pagers.3" localSheetId="9" hidden="1">{"Cover",#N/A,FALSE,"Cover";"Summary",#N/A,FALSE,"Summarpage"}</definedName>
    <definedName name="wrer" localSheetId="9" hidden="1">{"arpm1995",#N/A,FALSE,"Summary 95-96";"bus_long_distance",#N/A,FALSE,"Summary 95-96";"mins_per_day",#N/A,FALSE,"Summary 95-96";"minutes1995",#N/A,FALSE,"Summary 95-96";"rev_per_day",#N/A,FALSE,"Summary 95-96";"view1995",#N/A,FALSE,"Summary 95-96"}</definedName>
    <definedName name="wrn" localSheetId="9" hidden="1">{"FCB_ALL",#N/A,FALSE,"FCB"}</definedName>
    <definedName name="wrn.1"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localSheetId="9" hidden="1">{#N/A,#N/A,FALSE,"Calc";#N/A,#N/A,FALSE,"Sensitivity";#N/A,#N/A,FALSE,"LT Earn.Dil.";#N/A,#N/A,FALSE,"Dil. AVP"}</definedName>
    <definedName name="wrn.100._.Monthly._.Package." localSheetId="9"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K._.FS._.AND._.TABLES." localSheetId="9"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Q._.FS._.AND._.TABLES." localSheetId="9"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TABLES." localSheetId="9" hidden="1">{#N/A,#N/A,FALSE,"TABLE_1 YTD";#N/A,#N/A,FALSE,"TABLE_1A QTD"}</definedName>
    <definedName name="wrn.111111" localSheetId="9" hidden="1">{#N/A,#N/A,FALSE,"Pharm";#N/A,#N/A,FALSE,"WWCM"}</definedName>
    <definedName name="wrn.12_30._.Adv._.Book." localSheetId="9"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3100._.Port._.Review." localSheetId="9"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998._.FINANCIAL._.STATEMENTS." localSheetId="9" hidden="1">{"QTR2PGIBS",#N/A,FALSE,"Qtr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wrn.1998._.IPO._.Update." localSheetId="9" hidden="1">{#N/A,#N/A,FALSE,"Summary";#N/A,#N/A,FALSE,"Pending";#N/A,#N/A,FALSE,"Aug'98";#N/A,#N/A,FALSE,"July'98";#N/A,#N/A,FALSE,"June'98";#N/A,#N/A,FALSE,"May'98";#N/A,#N/A,FALSE,"Apr'98";#N/A,#N/A,FALSE,"Mar'98";#N/A,#N/A,FALSE,"Feb'98";#N/A,#N/A,FALSE,"Jan'98"}</definedName>
    <definedName name="wrn.2._.pagers." localSheetId="9" hidden="1">{"Cover",#N/A,FALSE,"Cover";"Summary",#N/A,FALSE,"Summarpage"}</definedName>
    <definedName name="wrn.2._.pagers.2" localSheetId="9" hidden="1">{"Cover",#N/A,FALSE,"Cover";"Summary",#N/A,FALSE,"Summarpage"}</definedName>
    <definedName name="wrn.2._.pagers.3" localSheetId="9" hidden="1">{"Cover",#N/A,FALSE,"Cover";"Summary",#N/A,FALSE,"Summarpage"}</definedName>
    <definedName name="wrn.2._.pagers.4" localSheetId="9" hidden="1">{"Cover",#N/A,FALSE,"Cover";"Summary",#N/A,FALSE,"Summarpage"}</definedName>
    <definedName name="wrn.2._.pagers.5" localSheetId="9" hidden="1">{"Cover",#N/A,FALSE,"Cover";"Summary",#N/A,FALSE,"Summarpage"}</definedName>
    <definedName name="wrn.2._.pagers.6" localSheetId="9" hidden="1">{"Cover",#N/A,FALSE,"Cover";"Summary",#N/A,FALSE,"Summarpage"}</definedName>
    <definedName name="wrn.2._.pagers.8" localSheetId="9" hidden="1">{"Cover",#N/A,FALSE,"Cover";"Summary",#N/A,FALSE,"Summarpage"}</definedName>
    <definedName name="wrn.2._pagers.4" localSheetId="9" hidden="1">{"Cover",#N/A,FALSE,"Cover";"Summary",#N/A,FALSE,"Summarpage"}</definedName>
    <definedName name="wrn.2_5_99._.Scenarios." localSheetId="9" hidden="1">{#N/A,"Scenario 4; Book Value",FALSE,"Stream INPUTS";#N/A,"Scenario 4; Market Value",FALSE,"Stream INPUTS";#N/A,"Scenario 5; Book Value",FALSE,"Stream INPUTS";#N/A,"Scenario 5; Market Value",FALSE,"Stream INPUTS"}</definedName>
    <definedName name="wrn.2000._.Package._.GOM." localSheetId="9" hidden="1">{"2000PPE",#N/A,FALSE,"PPE 2000";"2000DD",#N/A,FALSE,"DrydocksOther"}</definedName>
    <definedName name="wrn.2003._.Detail._.in._.Dollars." localSheetId="9" hidden="1">{#N/A,#N/A,FALSE,"2003 Est";#N/A,#N/A,FALSE,"2003 Pr";#N/A,#N/A,FALSE,"2003 Plan"}</definedName>
    <definedName name="wrn.2003._.Detail._.per._.pax." localSheetId="9" hidden="1">{#N/A,#N/A,FALSE,"2003 Est per pax";#N/A,#N/A,FALSE,"2003 Pr per pax";#N/A,#N/A,FALSE,"2003 Plan per pax"}</definedName>
    <definedName name="wrn.2003._.RM._.Reports." localSheetId="9" hidden="1">{#N/A,#N/A,FALSE,"Prd Summ 03Prvs03E";#N/A,#N/A,FALSE,"Prd Summ 03Pvs03E"}</definedName>
    <definedName name="wrn.2004._.Budget." localSheetId="9" hidden="1">{#N/A,#N/A,FALSE,"Wynd";#N/A,#N/A,FALSE,"Wynd Sales-100";#N/A,#N/A,FALSE,"Wynd Marketing-200";#N/A,#N/A,FALSE,"Wynd IT-300";#N/A,#N/A,FALSE,"Wynd NOC-321";#N/A,#N/A,FALSE,"Wynd Admin-400";#N/A,#N/A,FALSE,"Wynd Operations-500"}</definedName>
    <definedName name="wrn.2004._.Detail._.in._.Dollars." localSheetId="9" hidden="1">{#N/A,#N/A,FALSE,"2004 Est";#N/A,#N/A,FALSE,"2004 Pr Est";#N/A,#N/A,FALSE,"2004 Plan"}</definedName>
    <definedName name="wrn.2004._.Detail._.per._.pax." localSheetId="9" hidden="1">{#N/A,#N/A,FALSE,"2004 Est per pax";#N/A,#N/A,FALSE,"2004 Pr per pax";#N/A,#N/A,FALSE,"2004 Plan per pax"}</definedName>
    <definedName name="wrn.2004._.RM._.Reports." localSheetId="9" hidden="1">{#N/A,#N/A,FALSE,"Prd Summ 04Pvs04E";#N/A,#N/A,FALSE,"Prd Summ 04Prvs04E";#N/A,#N/A,FALSE,"Prd Summ 03Evs04E"}</definedName>
    <definedName name="wrn.3.00._.Adv.._.Board." localSheetId="9"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cases." localSheetId="9" hidden="1">{#N/A,"Base",FALSE,"Dividend";#N/A,"Conservative",FALSE,"Dividend";#N/A,"Downside",FALSE,"Dividend"}</definedName>
    <definedName name="wrn.5._.Year._.Plan." localSheetId="9" hidden="1">{"Consolidated assumptions 1",#N/A,FALSE,"CONSO";"Consolidated assumptions 2",#N/A,FALSE,"CONSO";"Consolidated assumptions 3",#N/A,FALSE,"CONSO";"Consolidated earnings",#N/A,FALSE,"CONSO";"Consolidated Cash Flow",#N/A,FALSE,"CONSO";"Consolidated Balance Sheet",#N/A,FALSE,"CONSO";"Consolidated Cap-Ex",#N/A,FALSE,"CONSO";"Paper Donnacona summary assumptions",#N/A,FALSE,"PAPER DONNACONA";"Paper Donnacona earnings",#N/A,FALSE,"PAPER DONNACONA";"Paper Donnacona Cash Flow",#N/A,FALSE,"PAPER DONNACONA";"Paper Donnacona Balance Sheet",#N/A,FALSE,"PAPER DONNACONA";"Paper Donnacona Cap-ex",#N/A,FALSE,"PAPER DONNACONA";"Paper Dolbeau summary assumptions",#N/A,FALSE,"PAPER DOLBEAU";"Paper Dolbeau earnings",#N/A,FALSE,"PAPER DOLBEAU";"Paper Dolbeau Cash Flow",#N/A,FALSE,"PAPER DOLBEAU";"Paper Dolbeau Balance Sheet",#N/A,FALSE,"PAPER DOLBEAU";"Paper Dolbeau Cap-ex",#N/A,FALSE,"PAPER DOLBEAU";"Lumber assumptions 1",#N/A,FALSE,"LUMBER";"Lumber assumptions 2",#N/A,FALSE,"LUMBER";"Lumber earnings",#N/A,FALSE,"LUMBER";"Lumber Cash Flow",#N/A,FALSE,"LUMBER";"Lumber Balance Sheet",#N/A,FALSE,"LUMBER";"Lumber Cap-ex",#N/A,FALSE,"LUMBER";"Coosa assumptions 1",#N/A,FALSE,"COOSA";"Coosa assumptions 2",#N/A,FALSE,"COOSA";"Coosa earnings",#N/A,FALSE,"COOSA";"Coosa Cash Flow",#N/A,FALSE,"COOSA";"Coosa Balance Sheet",#N/A,FALSE,"COOSA";"Coosa Cap-ex",#N/A,FALSE,"COOSA";"Head Office assumptions",#N/A,FALSE,"H.OFFICE";"Head Office earnings",#N/A,FALSE,"H.OFFICE";"Head Office Cash Flow",#N/A,FALSE,"H.OFFICE";"Head Office Balance Sheet",#N/A,FALSE,"H.OFFICE";"Head Office Cap-ex",#N/A,FALSE,"H.OFFICE";"Tax 1",#N/A,FALSE,"impôt";"Tax 2",#N/A,FALSE,"impôt"}</definedName>
    <definedName name="wrn.730." localSheetId="9" hidden="1">{#N/A,#N/A,FALSE,"REPORT"}</definedName>
    <definedName name="wrn.731" localSheetId="9" hidden="1">{#N/A,#N/A,FALSE,"REPORT"}</definedName>
    <definedName name="wrn.750." localSheetId="9" hidden="1">{#N/A,#N/A,FALSE,"REPORT"}</definedName>
    <definedName name="wrn.7501" localSheetId="9" hidden="1">{#N/A,#N/A,FALSE,"REPORT"}</definedName>
    <definedName name="wrn.760.16." localSheetId="9" hidden="1">{#N/A,#N/A,FALSE,"REPORT"}</definedName>
    <definedName name="wrn.7900" localSheetId="9" hidden="1">{#N/A,#N/A,FALSE,"REPORT"}</definedName>
    <definedName name="wrn.8964sch." localSheetId="9" hidden="1">{"Membership",#N/A,FALSE,"8964SCH";"Membership2",#N/A,FALSE,"8964SCH"}</definedName>
    <definedName name="wrn.9_30._.Adv._.Board." localSheetId="9"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LP._.Meeting." localSheetId="9"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05" localSheetId="9" hidden="1">{#N/A,#N/A,FALSE,"REPORT"}</definedName>
    <definedName name="wrn.96._.Plan." localSheetId="9"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1." localSheetId="9"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9999" localSheetId="9" hidden="1">{#N/A,#N/A,FALSE,"REPORT"}</definedName>
    <definedName name="wrn.A_VALUATION." localSheetId="9" hidden="1">{#N/A,#N/A,FALSE,"A_D";#N/A,#N/A,FALSE,"WACC";#N/A,#N/A,FALSE,"DCF";#N/A,#N/A,FALSE,"A";#N/A,#N/A,FALSE,"LBO";#N/A,#N/A,FALSE,"C";#N/A,#N/A,FALSE,"impd";#N/A,#N/A,FALSE,"comps"}</definedName>
    <definedName name="wrn.aaa" localSheetId="9" hidden="1">{#N/A,#N/A,FALSE,"Pharm";#N/A,#N/A,FALSE,"WWCM"}</definedName>
    <definedName name="wrn.aaaaaaa" localSheetId="9" hidden="1">{#N/A,#N/A,FALSE,"Pharm";#N/A,#N/A,FALSE,"WWCM"}</definedName>
    <definedName name="wrn.abc"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wrn.Accounts." localSheetId="9" hidden="1">{"turnover",#N/A,FALSE;"profits",#N/A,FALSE;"cash",#N/A,FALSE}</definedName>
    <definedName name="wrn.Accr_Dil." localSheetId="9" hidden="1">{#N/A,#N/A,FALSE,"Debt Accr";#N/A,#N/A,FALSE,"Stock Accr";#N/A,#N/A,FALSE,"Debt Stock Accr"}</definedName>
    <definedName name="wrn.Accretion." localSheetId="9" hidden="1">{"Accretion",#N/A,FALSE,"Assum"}</definedName>
    <definedName name="wrn.ACCT._.PACKAGE._.REPORT." localSheetId="9" hidden="1">{#N/A,#N/A,TRUE,"Highlights";#N/A,#N/A,TRUE,"BS_Oriental International Bank";#N/A,#N/A,TRUE,"P&amp;L_Oriental International Bank";#N/A,#N/A,TRUE,"Revenues Report_OIB";#N/A,#N/A,TRUE,"Expenses OIB";#N/A,#N/A,TRUE,"Margin_ORIENTAL INTL BANK";#N/A,#N/A,TRUE,"PL Quarterly_OIB";#N/A,#N/A,TRUE,"COVER"}</definedName>
    <definedName name="wrn.ACI." localSheetId="9" hidden="1">{"ACI IS",#N/A,FALSE,"ACI - IS";"ACI BS",#N/A,FALSE,"ACI - BS";"ACI Detail IS",#N/A,FALSE,"ACI - Detail IS";"ACI Detail IS Supplemental Info",#N/A,FALSE,"ACI - Detail IS";"ACI Monthly 1999",#N/A,FALSE,"ACI Monthly";"ACI Monthly 1998",#N/A,FALSE,"ACI Monthly";"ACI Monthly 1997",#N/A,FALSE,"ACI Monthly"}</definedName>
    <definedName name="wrn.AcqState." localSheetId="9" hidden="1">{#N/A,#N/A,TRUE,"Acq-Ass";#N/A,#N/A,TRUE,"Acq-IS";#N/A,#N/A,TRUE,"Acq-BS";#N/A,#N/A,TRUE,"Acq-CF"}</definedName>
    <definedName name="wrn.AcqState1" localSheetId="9" hidden="1">{#N/A,#N/A,TRUE,"Acq-Ass";#N/A,#N/A,TRUE,"Acq-IS";#N/A,#N/A,TRUE,"Acq-BS";#N/A,#N/A,TRUE,"Acq-CF"}</definedName>
    <definedName name="wrn.Acquiror." localSheetId="9" hidden="1">{#N/A,#N/A,TRUE,"Acq-Ass";#N/A,#N/A,TRUE,"Acq-IS";#N/A,#N/A,TRUE,"Acq-BS";#N/A,#N/A,TRUE,"Acq-CF";#N/A,#N/A,TRUE,"Acq-Proj";#N/A,#N/A,TRUE,"Acq-CapEx";#N/A,#N/A,TRUE,"Acq-Debt";#N/A,#N/A,TRUE,"Acq-Int";#N/A,#N/A,TRUE,"Acq-BD";#N/A,#N/A,TRUE,"Acq-TD";#N/A,#N/A,TRUE,"Acq-Taxes";#N/A,#N/A,TRUE,"Acq-Credit";#N/A,#N/A,TRUE,"Acq-Val";#N/A,#N/A,TRUE,"Acq-Mult Val"}</definedName>
    <definedName name="wrn.Acquisition_matrix." localSheetId="9" hidden="1">{"Acq_matrix",#N/A,FALSE,"Acquisition Matrix"}</definedName>
    <definedName name="wrn.AcqVal." localSheetId="9" hidden="1">{#N/A,#N/A,FALSE,"Acq-Val";#N/A,#N/A,FALSE,"Acq-Mult Val"}</definedName>
    <definedName name="wrn.adj95." localSheetId="9" hidden="1">{"adj95mult",#N/A,FALSE,"COMPCO";"adj95est",#N/A,FALSE,"COMPCO"}</definedName>
    <definedName name="wrn.adj95a" localSheetId="9" hidden="1">{"adj95mult",#N/A,FALSE,"COMPCO";"adj95est",#N/A,FALSE,"COMPCO"}</definedName>
    <definedName name="wrn.AGING._.ALL." localSheetId="9" hidden="1">{#N/A,#N/A,FALSE,"CURR-AG";#N/A,#N/A,FALSE,"BDS-AG";#N/A,#N/A,FALSE,"GOLD-AG";#N/A,#N/A,FALSE,"EXOT-AG";#N/A,#N/A,FALSE,"EQTY-AG";#N/A,#N/A,FALSE,"EMG RP-AG";#N/A,#N/A,FALSE,"$REPO-AG";#N/A,#N/A,FALSE,"PFD EQTY-AG";#N/A,#N/A,FALSE,"EMG BDS-AG";#N/A,#N/A,FALSE,"LATIN$-AG";#N/A,#N/A,FALSE,"DERIV-AG";#N/A,#N/A,FALSE,"EAST$-AG";#N/A,#N/A,FALSE,"NON-MEX-AG";#N/A,#N/A,FALSE,"ELECT-AG"}</definedName>
    <definedName name="wrn.Aging._.and._.Trend._.Analysis." localSheetId="9" hidden="1">{#N/A,#N/A,FALSE,"Aging Summary";#N/A,#N/A,FALSE,"Ratio Analysis";#N/A,#N/A,FALSE,"Test 120 Day Accts";#N/A,#N/A,FALSE,"Tickmarks"}</definedName>
    <definedName name="wrn.Aging._.and._.Trend._.Analysis._1" localSheetId="9" hidden="1">{#N/A,#N/A,FALSE,"Aging Summary";#N/A,#N/A,FALSE,"Ratio Analysis";#N/A,#N/A,FALSE,"Test 120 Day Accts";#N/A,#N/A,FALSE,"Tickmarks"}</definedName>
    <definedName name="wrn.Aging._.and._.Trend._.Analysis._1_1" localSheetId="9" hidden="1">{#N/A,#N/A,FALSE,"Aging Summary";#N/A,#N/A,FALSE,"Ratio Analysis";#N/A,#N/A,FALSE,"Test 120 Day Accts";#N/A,#N/A,FALSE,"Tickmarks"}</definedName>
    <definedName name="wrn.Aging._.and._.Trend._.Analysis._1_2" localSheetId="9" hidden="1">{#N/A,#N/A,FALSE,"Aging Summary";#N/A,#N/A,FALSE,"Ratio Analysis";#N/A,#N/A,FALSE,"Test 120 Day Accts";#N/A,#N/A,FALSE,"Tickmarks"}</definedName>
    <definedName name="wrn.Aging._.and._.Trend._.Analysis._1_3" localSheetId="9" hidden="1">{#N/A,#N/A,FALSE,"Aging Summary";#N/A,#N/A,FALSE,"Ratio Analysis";#N/A,#N/A,FALSE,"Test 120 Day Accts";#N/A,#N/A,FALSE,"Tickmarks"}</definedName>
    <definedName name="wrn.Aging._.and._.Trend._.Analysis._1_4" localSheetId="9" hidden="1">{#N/A,#N/A,FALSE,"Aging Summary";#N/A,#N/A,FALSE,"Ratio Analysis";#N/A,#N/A,FALSE,"Test 120 Day Accts";#N/A,#N/A,FALSE,"Tickmarks"}</definedName>
    <definedName name="wrn.Aging._.and._.Trend._.Analysis._2" localSheetId="9" hidden="1">{#N/A,#N/A,FALSE,"Aging Summary";#N/A,#N/A,FALSE,"Ratio Analysis";#N/A,#N/A,FALSE,"Test 120 Day Accts";#N/A,#N/A,FALSE,"Tickmarks"}</definedName>
    <definedName name="wrn.Aging._.and._.Trend._.Analysis._3" localSheetId="9" hidden="1">{#N/A,#N/A,FALSE,"Aging Summary";#N/A,#N/A,FALSE,"Ratio Analysis";#N/A,#N/A,FALSE,"Test 120 Day Accts";#N/A,#N/A,FALSE,"Tickmarks"}</definedName>
    <definedName name="wrn.Aging._.and._.Trend._.Analysis._4" localSheetId="9" hidden="1">{#N/A,#N/A,FALSE,"Aging Summary";#N/A,#N/A,FALSE,"Ratio Analysis";#N/A,#N/A,FALSE,"Test 120 Day Accts";#N/A,#N/A,FALSE,"Tickmarks"}</definedName>
    <definedName name="wrn.Aging._.and._.Trend._.Analysis._5" localSheetId="9" hidden="1">{#N/A,#N/A,FALSE,"Aging Summary";#N/A,#N/A,FALSE,"Ratio Analysis";#N/A,#N/A,FALSE,"Test 120 Day Accts";#N/A,#N/A,FALSE,"Tickmarks"}</definedName>
    <definedName name="wrn.ALAN." localSheetId="9" hidden="1">{"CREDIT STATISTICS",#N/A,FALSE,"STATS";"CF_AND_IS",#N/A,FALSE,"PLAN";"DEBT SCHEDULE",#N/A,FALSE,"PLAN";"SUBSCRIBERS",#N/A,FALSE,"PLAN";"DETAIL_REV",#N/A,FALSE,"PLAN";"DETAIL_EXPENSE",#N/A,FALSE,"PLAN";"SALES_AND EXP_DRIVERS",#N/A,FALSE,"PLAN";"FIXED ASSETS",#N/A,FALSE,"PLAN";"DEPRECIATION SCHEDULE",#N/A,FALSE,"PLAN"}</definedName>
    <definedName name="wrn.Alex." localSheetId="9" hidden="1">{#N/A,#N/A,FALSE,"TradeSumm";#N/A,#N/A,FALSE,"StatsSumm"}</definedName>
    <definedName name="wrn.all." localSheetId="9" hidden="1">{#N/A,#N/A,TRUE,"Title_Page";#N/A,#N/A,TRUE,"Tax_Income_Sum";#N/A,#N/A,TRUE,"GL_Mgmt_Rec";#N/A,#N/A,TRUE,"Long_Term_Accrual";#N/A,#N/A,TRUE,"Reserves";#N/A,#N/A,TRUE,"Contributions";#N/A,#N/A,TRUE,"R&amp;D Credit";#N/A,#N/A,TRUE,"Unicap";#N/A,#N/A,TRUE,"Other_Income";#N/A,#N/A,TRUE,"Other_Deduction";#N/A,#N/A,TRUE,"Increase_RE";#N/A,#N/A,TRUE,"Decrease_RE";#N/A,#N/A,TRUE,"Cafe_Subsidy";#N/A,#N/A,TRUE,"Std. Reclass Adjstmnts";#N/A,#N/A,TRUE,"LT Accruals BT-1A";#N/A,#N/A,TRUE,"Sch. M-1 Adjstmnts"}</definedName>
    <definedName name="wrn.All._.Financials." localSheetId="9" hidden="1">{#N/A,#N/A,TRUE,"Assumptions";#N/A,#N/A,TRUE,"Op Projection";#N/A,#N/A,TRUE,"Capital";#N/A,#N/A,TRUE,"Income";#N/A,#N/A,TRUE,"Balance";#N/A,#N/A,TRUE,"Sources&amp;Uses"}</definedName>
    <definedName name="wrn.All._.First._.Pass._.Schedules." localSheetId="9"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graphs." localSheetId="9" hidden="1">{#N/A,#N/A,FALSE,"total telco cost ";#N/A,#N/A,FALSE,"# min per month EEA";#N/A,#N/A,FALSE,"# min per month LSA";#N/A,#N/A,FALSE,"# min per month 800";#N/A,#N/A,FALSE,"# min per month WATS";#N/A,#N/A,FALSE,"# min per month X-BORDER";#N/A,#N/A,FALSE,"# min per month Intl";#N/A,#N/A,FALSE,"mthly revenue";#N/A,#N/A,FALSE,"total telco cost as % of rev";#N/A,#N/A,FALSE,"res per bus revenue min split";#N/A,#N/A,FALSE,"# DALS";#N/A,#N/A,FALSE,"% of total min by axs type";#N/A,#N/A,FALSE,"telco cost per rev minute";#N/A,#N/A,FALSE,"rev per rev minute";#N/A,#N/A,FALSE,"contribution per minute"}</definedName>
    <definedName name="wrn.all._.gulp._.sheets." localSheetId="9"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9"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9" hidden="1">{#N/A,#N/A,FALSE,"puboff";#N/A,#N/A,FALSE,"financials";#N/A,#N/A,FALSE,"valuation";#N/A,#N/A,FALSE,"split"}</definedName>
    <definedName name="wrn.all._.print." localSheetId="9" hidden="1">{#N/A,#N/A,FALSE,"Summary";#N/A,#N/A,FALSE,"Edit";#N/A,#N/A,FALSE,"MedProf";#N/A,#N/A,FALSE,"Proj Mgt";#N/A,#N/A,FALSE,"Creat Svc";#N/A,#N/A,FALSE,"Meet Svc";#N/A,#N/A,FALSE,"Non-OCC";#N/A,#N/A,FALSE,"Client Svc";#N/A,#N/A,FALSE,"Bus Dev";#N/A,#N/A,FALSE,"Indirect"}</definedName>
    <definedName name="wrn.All._.Scenarios." localSheetId="9" hidden="1">{#N/A,"Mine Allocated; Keep AC",FALSE,"Transaction Summary";#N/A,"Mine Allocated; Sell AC",FALSE,"Transaction Summary";#N/A,"Commodity; Keep AC",FALSE,"Transaction Summary";#N/A,"Commodity; Sell AC",FALSE,"Transaction Summary";#N/A,"Step-Up; Keep AC",FALSE,"Transaction Summary";#N/A,"Step-Up; Sell AC",FALSE,"Transaction Summary"}</definedName>
    <definedName name="wrn.All._.Schedules." localSheetId="9" hidden="1">{#N/A,#N/A,FALSE,"Assumptions";#N/A,#N/A,FALSE,"Inc Stmt";#N/A,#N/A,FALSE,"Stats";#N/A,#N/A,FALSE,"Existing Business";#N/A,#N/A,FALSE,"New Business";#N/A,#N/A,FALSE,"Labor";#N/A,#N/A,FALSE,"Vehicles";#N/A,#N/A,FALSE,"Facilities";#N/A,#N/A,FALSE,"Indirect Costs";#N/A,#N/A,FALSE,"Capital";#N/A,#N/A,FALSE,"CABR Form";#N/A,#N/A,FALSE,"Corp Costs"}</definedName>
    <definedName name="wrn.ALL._.SHEETS." localSheetId="9" hidden="1">{#N/A,#N/A,FALSE,"Adj Proj";#N/A,#N/A,FALSE,"Sheet1";#N/A,#N/A,FALSE,"LBO";#N/A,#N/A,FALSE,"LBOMER";#N/A,#N/A,FALSE,"WACC";#N/A,#N/A,FALSE,"DCF";#N/A,#N/A,FALSE,"DCFMER";#N/A,#N/A,FALSE,"Pooling";#N/A,#N/A,FALSE,"income";#N/A,#N/A,FALSE,"Offer"}</definedName>
    <definedName name="wrn.ALL._.STATEMENTS." localSheetId="9" hidden="1">{"BALANCE SHEET",#N/A,FALSE,"Balance Sheet";"INCOME STATEMENT",#N/A,FALSE,"Income Statement";"STMT OF CASH FLOWS",#N/A,FALSE,"Cash Flows Indirect";"PARTNERS CAPITAL STMT",#N/A,FALSE,"Partners Capital"}</definedName>
    <definedName name="wrn.All._.Views." localSheetId="9" hidden="1">{#N/A,#N/A,FALSE,"Summary";#N/A,#N/A,FALSE,"Signatures";#N/A,#N/A,FALSE,"FL Current";#N/A,#N/A,FALSE,"Assumptions";#N/A,#N/A,FALSE,"Assumptions";#N/A,#N/A,FALSE,"Assumptions";#N/A,#N/A,FALSE,"FL Last";#N/A,#N/A,FALSE,"FL Orig";#N/A,#N/A,FALSE,"C to G Explain"}</definedName>
    <definedName name="wrn.All._.Worksheets." localSheetId="9"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1" localSheetId="9"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1" localSheetId="9"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2" localSheetId="9"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3" localSheetId="9"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4" localSheetId="9"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2" localSheetId="9"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3" localSheetId="9"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4" localSheetId="9"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5" localSheetId="9"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2" localSheetId="9" hidden="1">{#N/A,#N/A,FALSE,"DCF";#N/A,#N/A,FALSE,"WACC";#N/A,#N/A,FALSE,"Sales_EBIT";#N/A,#N/A,FALSE,"Capex_Depreciation";#N/A,#N/A,FALSE,"WC";#N/A,#N/A,FALSE,"Interest";#N/A,#N/A,FALSE,"Assumptions"}</definedName>
    <definedName name="wrn.all.views.1" localSheetId="9" hidden="1">{#N/A,#N/A,FALSE,"Summary";#N/A,#N/A,FALSE,"Signatures";#N/A,#N/A,FALSE,"FL Current";#N/A,#N/A,FALSE,"Assumptions";#N/A,#N/A,FALSE,"Assumptions";#N/A,#N/A,FALSE,"Assumptions";#N/A,#N/A,FALSE,"FL Last";#N/A,#N/A,FALSE,"FL Orig";#N/A,#N/A,FALSE,"C to G Explain"}</definedName>
    <definedName name="wrn.all.views.1a" localSheetId="9" hidden="1">{#N/A,#N/A,FALSE,"Summary";#N/A,#N/A,FALSE,"Signatures";#N/A,#N/A,FALSE,"FL Current";#N/A,#N/A,FALSE,"Assumptions";#N/A,#N/A,FALSE,"Assumptions";#N/A,#N/A,FALSE,"Assumptions";#N/A,#N/A,FALSE,"FL Last";#N/A,#N/A,FALSE,"FL Orig";#N/A,#N/A,FALSE,"C to G Explain"}</definedName>
    <definedName name="wrn.all_1" localSheetId="9" hidden="1">{#N/A,#N/A,FALSE,"total telco cost ";#N/A,#N/A,FALSE,"# min per month EEA";#N/A,#N/A,FALSE,"# min per month LSA";#N/A,#N/A,FALSE,"# min per month 800";#N/A,#N/A,FALSE,"# min per month WATS";#N/A,#N/A,FALSE,"# min per month X-BORDER";#N/A,#N/A,FALSE,"# min per month Intl";#N/A,#N/A,FALSE,"mthly revenue";#N/A,#N/A,FALSE,"total telco cost as % of rev";#N/A,#N/A,FALSE,"res per bus revenue min split";#N/A,#N/A,FALSE,"# DALS";#N/A,#N/A,FALSE,"% of total min by axs type";#N/A,#N/A,FALSE,"telco cost per rev minute";#N/A,#N/A,FALSE,"rev per rev minute";#N/A,#N/A,FALSE,"contribution per minute"}</definedName>
    <definedName name="wrn.All_Models." localSheetId="9" hidden="1">{#N/A,#N/A,FALSE,"Summary";#N/A,#N/A,FALSE,"Projections";#N/A,#N/A,FALSE,"Mkt Mults";#N/A,#N/A,FALSE,"DCF";#N/A,#N/A,FALSE,"Accr Dil";#N/A,#N/A,FALSE,"PIC LBO";#N/A,#N/A,FALSE,"MULT10_4";#N/A,#N/A,FALSE,"CBI LBO"}</definedName>
    <definedName name="wrn.All_Sheets." localSheetId="9" hidden="1">{#N/A,#N/A,FALSE,"Projections";#N/A,#N/A,FALSE,"Contribution_Stock";#N/A,#N/A,FALSE,"PF_Combo_Stock";#N/A,#N/A,FALSE,"Projections";#N/A,#N/A,FALSE,"Contribution_Cash";#N/A,#N/A,FALSE,"PF_Combo_Cash";#N/A,#N/A,FALSE,"IPO_Cash"}</definedName>
    <definedName name="wrn.ALL2." localSheetId="9" hidden="1">{#N/A,#N/A,FALSE,"DCF";#N/A,#N/A,FALSE,"WACC";#N/A,#N/A,FALSE,"Sales_EBIT";#N/A,#N/A,FALSE,"Capex_Depreciation";#N/A,#N/A,FALSE,"WC";#N/A,#N/A,FALSE,"Interest";#N/A,#N/A,FALSE,"Assumptions"}</definedName>
    <definedName name="wrn.all3" localSheetId="9" hidden="1">{#N/A,#N/A,FALSE,"assumptions";#N/A,#N/A,FALSE,"v_projcy";#N/A,#N/A,FALSE,"tar_proj";#N/A,#N/A,FALSE,"contrib_annual";#N/A,#N/A,FALSE,"Proforma";#N/A,#N/A,FALSE,"purc_97";#N/A,#N/A,FALSE,"syn_purc_97";#N/A,#N/A,FALSE,"pool_97";#N/A,#N/A,FALSE,"syn_pool_97";#N/A,#N/A,FALSE,"pool1_FY2"}</definedName>
    <definedName name="wrn.ALL4" localSheetId="9" hidden="1">{#N/A,#N/A,FALSE,"ASSUMPTIONS";#N/A,#N/A,FALSE,"Valuation Summary";"page1",#N/A,FALSE,"PRESENTATION";"page2",#N/A,FALSE,"PRESENTATION";#N/A,#N/A,FALSE,"ORIGINAL_ROLLBACK"}</definedName>
    <definedName name="wrn.ALL5" localSheetId="9" hidden="1">{#N/A,#N/A,FALSE,"ASSUMPTIONS";#N/A,#N/A,FALSE,"Valuation Summary";"page1",#N/A,FALSE,"PRESENTATION";"page2",#N/A,FALSE,"PRESENTATION";#N/A,#N/A,FALSE,"ORIGINAL_ROLLBACK"}</definedName>
    <definedName name="wrn.ALL6" localSheetId="9" hidden="1">{#N/A,#N/A,FALSE,"ASSUMPTIONS";#N/A,#N/A,FALSE,"Valuation Summary";"page1",#N/A,FALSE,"PRESENTATION";"page2",#N/A,FALSE,"PRESENTATION";#N/A,#N/A,FALSE,"ORIGINAL_ROLLBACK"}</definedName>
    <definedName name="wrn.ALL8" localSheetId="9" hidden="1">{#N/A,#N/A,FALSE,"ASSUMPTIONS";#N/A,#N/A,FALSE,"Valuation Summary";"page1",#N/A,FALSE,"PRESENTATION";"page2",#N/A,FALSE,"PRESENTATION";#N/A,#N/A,FALSE,"ORIGINAL_ROLLBACK"}</definedName>
    <definedName name="wrn.ALLbutPREMIUM." localSheetId="9" hidden="1">{#N/A,#N/A,FALSE,"Projections";#N/A,#N/A,FALSE,"AccrDil";#N/A,#N/A,FALSE,"PurchPriMult";#N/A,#N/A,FALSE,"Mults7_13";#N/A,#N/A,FALSE,"Mkt Mults";#N/A,#N/A,FALSE,"Acq Mults";#N/A,#N/A,FALSE,"StockPrices";#N/A,#N/A,FALSE,"Prem Paid";#N/A,#N/A,FALSE,"DCF";#N/A,#N/A,FALSE,"AUTO";#N/A,#N/A,FALSE,"Relative Trading";#N/A,#N/A,FALSE,"Mkt Val";#N/A,#N/A,FALSE,"Acq Val"}</definedName>
    <definedName name="wrn.AllDivisions." localSheetId="9" hidden="1">{#N/A,#N/A,TRUE,"buffalo";#N/A,#N/A,TRUE,"chatt";#N/A,#N/A,TRUE,"Griffith";#N/A,#N/A,TRUE,"Hammond";#N/A,#N/A,TRUE,"Harvey";#N/A,#N/A,TRUE,"texas";#N/A,#N/A,TRUE,"Combined"}</definedName>
    <definedName name="wrn.AllModels." localSheetId="9" hidden="1">{#N/A,#N/A,FALSE,"AD_Purchase";#N/A,#N/A,FALSE,"Credit";#N/A,#N/A,FALSE,"PF Acquisition";#N/A,#N/A,FALSE,"PF Offering"}</definedName>
    <definedName name="wrn.allpages." localSheetId="9" hidden="1">{#N/A,#N/A,TRUE,"Historicals";#N/A,#N/A,TRUE,"Charts";#N/A,#N/A,TRUE,"Forecasts"}</definedName>
    <definedName name="wrn.Annexes._.de._.coûts." localSheetId="9" hidden="1">{#N/A,#N/A,FALSE,"Coût des ventes";#N/A,#N/A,FALSE,"Hypothèse - coûts directs";#N/A,#N/A,FALSE,"FGF";#N/A,#N/A,FALSE,"Frais de vente";#N/A,#N/A,FALSE,"Frais d'administration";#N/A,#N/A,FALSE,"Frais financiers";#N/A,#N/A,FALSE,"Achats - Débours";#N/A,#N/A,FALSE,"Salaires";#N/A,#N/A,FALSE,"Taxes"}</definedName>
    <definedName name="wrn.Annual._.Report." localSheetId="9" hidden="1">{#N/A,#N/A,FALSE,"TABLE_1 YTD- VALUES LAST YR(2)"}</definedName>
    <definedName name="wrn.Anteilig._.alle._.Perioden." localSheetId="9" hidden="1">{"Alle Perioden",#N/A,FALSE,"Erf";"Alle Perioden",#N/A,FALSE,"Ang";"Alle Perioden",#N/A,FALSE,"BV";"Alle Perioden",#N/A,FALSE,"BE";"Alle Perioden",#N/A,FALSE,"Re";"Alle Perioden",#N/A,FALSE,"Vol"}</definedName>
    <definedName name="wrn.Anteilig._.erste._.elf._.Perioden." localSheetId="9" hidden="1">{"Erste elf Perioden",#N/A,FALSE,"Erf";"Erste elf Perioden",#N/A,FALSE,"Ang";"Erste elf Perioden",#N/A,FALSE,"BV";"Erste elf Perioden",#N/A,FALSE,"BE";"Erste elf Perioden",#N/A,FALSE,"Vol";"Erste elf Perioden",#N/A,FALSE,"Re"}</definedName>
    <definedName name="wrn.April._.Consolidated." localSheetId="9" hidden="1">{#N/A,#N/A,FALSE,"Consol BS";#N/A,#N/A,FALSE,"Consol IS";#N/A,#N/A,FALSE,"Cash Flow";#N/A,#N/A,FALSE,"Consol Equity";#N/A,#N/A,FALSE,"BS vs. Plan";#N/A,#N/A,FALSE,"Mo vs. Plan";#N/A,#N/A,FALSE,"Mo. vs. Prior Yr";#N/A,#N/A,FALSE,"YTD vs. Plan";#N/A,#N/A,FALSE,"YTD vs. Prior Yr";#N/A,#N/A,FALSE,"Cash Flow Mo vs. Plan";#N/A,#N/A,FALSE,"Cash Flow Mo vs. Prior Yr";#N/A,#N/A,FALSE,"Cash Flow YTD vs. Plan";#N/A,#N/A,FALSE,"Cash Flow YTD vs. Prior Yr";#N/A,#N/A,FALSE,"Seg BS";#N/A,#N/A,FALSE,"Seg IS";#N/A,#N/A,FALSE,"Seg Cash";#N/A,#N/A,FALSE,"Str IS";#N/A,#N/A,FALSE,"Art IS";#N/A,#N/A,FALSE,"History BS";#N/A,#N/A,FALSE,"History IS";#N/A,#N/A,FALSE,"History Cash";#N/A,#N/A,FALSE,"Imp IS";#N/A,#N/A,FALSE,"Gross to Net";#N/A,#N/A,FALSE,"Ratio Summary";#N/A,#N/A,FALSE,"Union";#N/A,#N/A,FALSE,"Midwest";#N/A,#N/A,FALSE,"Ratios - 5";#N/A,#N/A,FALSE,"Ratios - 6";#N/A,#N/A,FALSE,"Ratios - 7";#N/A,#N/A,FALSE,"Ratios - 8";#N/A,#N/A,FALSE,"Ratios - 9"}</definedName>
    <definedName name="wrn.April._.Financials." localSheetId="9" hidden="1">{"Statement of Income",#N/A,TRUE,"Mar99";"Balance Sheet",#N/A,TRUE,"Mar99"}</definedName>
    <definedName name="wrn.April._.other._.sched.." localSheetId="9" hidden="1">{#N/A,#N/A,FALSE,"Union";#N/A,#N/A,FALSE,"Reserves";#N/A,#N/A,FALSE,"Head Ct";#N/A,#N/A,FALSE,"Str AR";#N/A,#N/A,FALSE,"Str AP";#N/A,#N/A,FALSE,"Art AR";#N/A,#N/A,FALSE,"Art AP";#N/A,#N/A,FALSE,"Imp AR";#N/A,#N/A,FALSE,"Imp AP"}</definedName>
    <definedName name="wrn.AQUIROR._.DCF." localSheetId="9" hidden="1">{"AQUIRORDCF",#N/A,FALSE,"Merger consequences";"Acquirorassns",#N/A,FALSE,"Merger consequences"}</definedName>
    <definedName name="wrn.AR._.PACKAGE." localSheetId="9" hidden="1">{#N/A,#N/A,FALSE,"BR-Gross";#N/A,#N/A,FALSE,"AGING COMP";#N/A,#N/A,FALSE,"BR-Net";#N/A,#N/A,FALSE,"RECSUB";#N/A,#N/A,FALSE,"BILL94";#N/A,#N/A,FALSE,"L.D.S. Rep 1"}</definedName>
    <definedName name="wrn.asg." localSheetId="9" hidden="1">{#N/A,#N/A,FALSE,"Exh 1";#N/A,#N/A,FALSE,"Exh 2";#N/A,#N/A,FALSE,"Exh 2a";#N/A,#N/A,FALSE,"Exh 3";#N/A,#N/A,FALSE,"Exhib 4";#N/A,#N/A,FALSE,"eh 5";#N/A,#N/A,FALSE,"Exh 6"}</definedName>
    <definedName name="wrn.Asia." localSheetId="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Total._.Variance." localSheetId="9" hidden="1">{#N/A,#N/A,FALSE,"Asia"}</definedName>
    <definedName name="wrn.assets." localSheetId="9" hidden="1">{"assets",#N/A,FALSE,"BSCON894"}</definedName>
    <definedName name="wrn.Assumption._.Book." localSheetId="9" hidden="1">{#N/A,#N/A,FALSE,"Model Assumptions"}</definedName>
    <definedName name="wrn.Assumptions." localSheetId="9" hidden="1">{"Assumptions",#N/A,FALSE,"Assum"}</definedName>
    <definedName name="wrn.AUST._.FINANCIALS." localSheetId="9" hidden="1">{#N/A,#N/A,TRUE,"BUD VS ACT AUST 96";#N/A,#N/A,TRUE,"96 COMP P&amp;L-AUST";#N/A,#N/A,TRUE,"COMP BS-AUSTRALIA";#N/A,#N/A,TRUE,"B/S - AUSTR."}</definedName>
    <definedName name="wrn.Auto._.Comp." localSheetId="9" hidden="1">{#N/A,#N/A,FALSE,"Sheet1"}</definedName>
    <definedName name="wrn.Backup." localSheetId="9" hidden="1">{#N/A,#N/A,FALSE,"Balance";#N/A,#N/A,FALSE,"TDFX";#N/A,#N/A,FALSE,"TDDDF";#N/A,#N/A,FALSE,"ADI";#N/A,#N/A,FALSE,"CUBE";#N/A,#N/A,FALSE,"DIMD";#N/A,#N/A,FALSE,"ZRAN";#N/A,#N/A,FALSE,"GNMC"}</definedName>
    <definedName name="wrn.BALANCE._.SHEET." localSheetId="9" hidden="1">{"BALANCE SHEET",#N/A,FALSE,"Balance Sheet"}</definedName>
    <definedName name="wrn.balance._.sheet2." localSheetId="9" hidden="1">{"bs",#N/A,FALSE,"SCF"}</definedName>
    <definedName name="wrn.balance._.sheet3." localSheetId="9" hidden="1">{"bs",#N/A,FALSE,"SCF"}</definedName>
    <definedName name="wrn.balance._.sheet4." localSheetId="9" hidden="1">{"bs",#N/A,FALSE,"SCF"}</definedName>
    <definedName name="wrn.Balance._.Sheets." localSheetId="9" hidden="1">{#N/A,#N/A,FALSE,"Bal sht";"Qtrly Bal Sht",#N/A,FALSE,"Bal sht - QTR"}</definedName>
    <definedName name="wrn.Balance._.sheets._.FY01._.to._.FY03." localSheetId="9" hidden="1">{"BS FY01",#N/A,FALSE,"P &amp; L";"BS FY02",#N/A,FALSE,"P &amp; L";"BS FY03",#N/A,FALSE,"P &amp; L"}</definedName>
    <definedName name="wrn.balance._sheet2." localSheetId="9" hidden="1">{"bs",#N/A,FALSE,"SCF"}</definedName>
    <definedName name="wrn.bank._.model." localSheetId="9" hidden="1">{"banks",#N/A,FALSE,"BASIC"}</definedName>
    <definedName name="wrn.Bank._.of._.America." localSheetId="9" hidden="1">{#N/A,#N/A,TRUE,"Cover_Page";#N/A,#N/A,TRUE,"Balance Sheet FY12";#N/A,#N/A,TRUE,"Debt Covenants_BofA_Cons";#N/A,#N/A,TRUE,"Consolidated-Cash Flow";#N/A,#N/A,TRUE,"CY_Per Inc FY12";#N/A,#N/A,TRUE,"Income FY12";#N/A,#N/A,TRUE,"Consolidated"}</definedName>
    <definedName name="wrn.Bank._.Report." localSheetId="9"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ers." localSheetId="9"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rranca." localSheetId="9" hidden="1">{#N/A,#N/A,FALSE,"Barranca"}</definedName>
    <definedName name="wrn.Basic." localSheetId="9" hidden="1">{#N/A,#N/A,FALSE,"Cover";#N/A,#N/A,FALSE,"Assumptions";#N/A,#N/A,FALSE,"Acquirer";#N/A,#N/A,FALSE,"Target";#N/A,#N/A,FALSE,"Income Statement";#N/A,#N/A,FALSE,"Summary Tables"}</definedName>
    <definedName name="wrn.Basic._.Report." localSheetId="9" hidden="1">{#N/A,#N/A,FALSE,"New Depr Sch-150% DB";#N/A,#N/A,FALSE,"Cash Flows RLP";#N/A,#N/A,FALSE,"IRR";#N/A,#N/A,FALSE,"Proforma IS";#N/A,#N/A,FALSE,"Assumptions"}</definedName>
    <definedName name="wrn.basics." localSheetId="9" hidden="1">{#N/A,#N/A,FALSE,"TSUM";#N/A,#N/A,FALSE,"shares";#N/A,#N/A,FALSE,"earnout";#N/A,#N/A,FALSE,"Heaty";#N/A,#N/A,FALSE,"self-tend";#N/A,#N/A,FALSE,"self-sum"}</definedName>
    <definedName name="wrn.BD._.FINAL." localSheetId="9" hidden="1">{#N/A,#N/A,FALSE,"Cover";#N/A,#N/A,FALSE,"Index";#N/A,#N/A,FALSE,"HL";#N/A,#N/A,FALSE,"BS ACCTS";#N/A,#N/A,FALSE,"Table";#N/A,#N/A,FALSE,"Summ";#N/A,#N/A,FALSE,"ComAn-finished";#N/A,#N/A,FALSE,"SmbAn-FINISHED";#N/A,#N/A,FALSE,"RebAn";#N/A,#N/A,FALSE,"ComR";#N/A,#N/A,FALSE,"SmbR-FINISHED";#N/A,#N/A,FALSE,"RebR-FINISHED";#N/A,#N/A,FALSE,"RC";#N/A,#N/A,FALSE,"NetR";#N/A,#N/A,FALSE,"Non-Trade";#N/A,#N/A,FALSE,"Notes Receivables";#N/A,#N/A,FALSE,"ComP-diteck-FINISHED";#N/A,#N/A,FALSE,"SmbP-finished";#N/A,#N/A,FALSE,"RebP-DITECK-FINISHED";#N/A,#N/A,FALSE,"NetP";#N/A,#N/A,FALSE,"AllcompanyG";#N/A,#N/A,FALSE,"AR 91+&gt;100K"}</definedName>
    <definedName name="wrn.BD._.Preliminary." localSheetId="9" hidden="1">{#N/A,#N/A,FALSE,"Cover";#N/A,#N/A,FALSE,"Index";#N/A,#N/A,FALSE,"HL";#N/A,#N/A,FALSE,"Table";#N/A,#N/A,FALSE,"Summ";#N/A,#N/A,FALSE,"ComR";#N/A,#N/A,FALSE,"SmbR-FINISHED";#N/A,#N/A,FALSE,"RebR-FINISHED";#N/A,#N/A,FALSE,"Specific Provision";#N/A,#N/A,FALSE,"NetR";#N/A,#N/A,FALSE,"Non-Trade";#N/A,#N/A,FALSE,"ComP-diteck-FINISHED";#N/A,#N/A,FALSE,"SmbP-finished";#N/A,#N/A,FALSE,"RebP-DITECK-FINISHED";#N/A,#N/A,FALSE,"NetP";#N/A,#N/A,FALSE,"AllcompanyG";#N/A,#N/A,FALSE,"AR 91+&gt;100K"}</definedName>
    <definedName name="wrn.BGEN." localSheetId="9" hidden="1">{"Revenue",#N/A,FALSE,"Revenue";"QEarn1",#N/A,FALSE,"Qearn";"QEarn2",#N/A,FALSE,"Qearn";"QMargin",#N/A,FALSE,"Margin";"Cashflow",#N/A,FALSE,"Cashflow";"Product Pipeline",#N/A,FALSE,"Product Pipeline";"Comment Model",#N/A,FALSE,"Comment P&amp;L"}</definedName>
    <definedName name="wrn.BID." localSheetId="9" hidden="1">{"PAGE1",#N/A,FALSE,"BID (3)";"PAGE2",#N/A,FALSE,"BID (3)"}</definedName>
    <definedName name="wrn.BidCo." localSheetId="9" hidden="1">{#N/A,#N/A,FALSE,"BidCo Assumptions";#N/A,#N/A,FALSE,"Credit Stats";#N/A,#N/A,FALSE,"Bidco Summary";#N/A,#N/A,FALSE,"BIDCO Consolidated"}</definedName>
    <definedName name="wrn.BKD." localSheetId="9" hidden="1">{#N/A,#N/A,FALSE,"Cover_Page";#N/A,#N/A,FALSE,"Balance Sheet FY12";#N/A,#N/A,FALSE,"Debt Covenants_US Bank_Cons";#N/A,#N/A,FALSE,"Debt Covenants_BofA_Cons";#N/A,#N/A,FALSE,"Consolidated-Cash Flow";#N/A,#N/A,FALSE,"CY_Per Inc FY12";#N/A,#N/A,FALSE,"Income FY12";#N/A,#N/A,FALSE,"Consolidated"}</definedName>
    <definedName name="wrn.bm" localSheetId="9"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ard._.Package." localSheetId="9" hidden="1">{#N/A,#N/A,FALSE,"Summary";#N/A,#N/A,FALSE,"GOAM";#N/A,#N/A,FALSE,"WYND";#N/A,#N/A,FALSE,"Presentation BS";#N/A,#N/A,FALSE,"P&amp;L CUMM";#N/A,#N/A,FALSE,"Cash Flow CUMM";#N/A,#N/A,FALSE,"Equity";#N/A,#N/A,FALSE,"P&amp;L QTD";#N/A,#N/A,FALSE,"Cash Flow Qtr";#N/A,#N/A,FALSE,"P&amp;L MONTH";#N/A,#N/A,FALSE,"Cash Flow Month"}</definedName>
    <definedName name="wrn.Breakout." localSheetId="9" hidden="1">{#N/A,#N/A,FALSE,"BreakoutFY95";#N/A,#N/A,FALSE,"BreakoutFY96";#N/A,#N/A,FALSE,"BreakoutFY97";#N/A,#N/A,FALSE,"BreakoutFY98"}</definedName>
    <definedName name="wrn.Budget." localSheetId="9" hidden="1">{"Instructions",#N/A,FALSE,"INPUT";"Sharing",#N/A,FALSE,"Sharing";"InputArea",#N/A,FALSE,"INPUT";"Budget",#N/A,FALSE,"INPUT"}</definedName>
    <definedName name="wrn.Budget._.Analysis." localSheetId="9" hidden="1">{#N/A,#N/A,FALSE,"Mill 5"}</definedName>
    <definedName name="wrn.BUDGET2004." localSheetId="9" hidden="1">{#N/A,#N/A,FALSE,"BUD04 HEA";#N/A,#N/A,FALSE,"BUD04 Earnings";#N/A,#N/A,FALSE,"BUD04 Expenses"}</definedName>
    <definedName name="wrn.budgetb." localSheetId="9"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ildups." localSheetId="9" hidden="1">{"ACQ",#N/A,FALSE,"ACQUISITIONS";"ACQF",#N/A,FALSE,"ACQUISITIONS";"PF",#N/A,FALSE,"PROYECTOVILA";"PV",#N/A,FALSE,"PROYECTOVILA";"Fee Dev",#N/A,FALSE,"DEVELOPMENT GROWTH";"gd",#N/A,FALSE,"DEVELOPMENT GROWTH"}</definedName>
    <definedName name="wrn.bullshit1." localSheetId="9" hidden="1">{#N/A,#N/A,FALSE,"Sheet1";#N/A,#N/A,FALSE,"Summary";#N/A,#N/A,FALSE,"proj1";#N/A,#N/A,FALSE,"proj2"}</definedName>
    <definedName name="wrn.Business._.Report." localSheetId="9"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Business._.Report._1" localSheetId="9"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CAG." localSheetId="9" hidden="1">{#N/A,#N/A,FALSE,"CAG"}</definedName>
    <definedName name="wrn.calc_all." localSheetId="9"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NWEST._.GLOBAL." localSheetId="9" hidden="1">{"BS",#N/A,FALSE;"RE",#N/A,FALSE;"IS",#N/A,FALSE;"CASH",#N/A,FALSE}</definedName>
    <definedName name="wrn.Cap._.Budget9_27." localSheetId="9" hidden="1">{"Overview",#N/A,TRUE,"Overview";"New Gen",#N/A,TRUE,"New Gen";"cap-ex",#N/A,TRUE,"Consol cap-ex";"cap-ex",#N/A,TRUE,"APC cap-ex";"cap-ex",#N/A,TRUE,"GPC cap-ex";"cap-ex",#N/A,TRUE,"GUL cap-ex";"cap-ex",#N/A,TRUE,"MPC cap-ex";"cap-ex",#N/A,TRUE,"SAV cap-ex";"cap-ex",#N/A,TRUE,"SEGCO cap-ex";"cap-ex",#N/A,TRUE,"SWE cap-ex"}</definedName>
    <definedName name="wrn.Capital._.Plan._.Report." localSheetId="9" hidden="1">{"Capital Plan CA Schedule",#N/A,TRUE,"Capital Plan";"Capital Plan Summary",#N/A,TRUE,"Capital Plan"}</definedName>
    <definedName name="wrn.Cardiovasculars." localSheetId="9" hidden="1">{#N/A,#N/A,FALSE,"Card";#N/A,#N/A,FALSE,"Prav";#N/A,#N/A,FALSE,"Irbe";#N/A,#N/A,FALSE,"Plavix";#N/A,#N/A,FALSE,"Capt";#N/A,#N/A,FALSE,"Fosi"}</definedName>
    <definedName name="wrn.Carterco." localSheetId="9" hidden="1">{#N/A,#N/A,FALSE,"Carterco"}</definedName>
    <definedName name="wrn.Cash._.Flow." localSheetId="9" hidden="1">{"Cash Flow",#N/A,FALSE,"Cash Flow"}</definedName>
    <definedName name="wrn.cash._.flow._.FY00._.and._.FY01." localSheetId="9" hidden="1">{"cash flow - FY00",#N/A,FALSE,"P &amp; L";"cash flow - FY01",#N/A,FALSE,"P &amp; L"}</definedName>
    <definedName name="wrn.cash._.flow._.FY02._.and._.FY03." localSheetId="9" hidden="1">{"cash flow - FY02",#N/A,FALSE,"P &amp; L";"cash flow - FY03",#N/A,FALSE,"P &amp; L"}</definedName>
    <definedName name="wrn.cash2." localSheetId="9" hidden="1">{#N/A,#N/A,FALSE,"KGFORE94"}</definedName>
    <definedName name="wrn.CEA._.Budget._.months._.sterling." localSheetId="9"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localSheetId="9"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localSheetId="9" hidden="1">{"CEA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localSheetId="9" hidden="1">{"CEA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localSheetId="9"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localSheetId="9"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localSheetId="9"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localSheetId="9" hidden="1">{"CEGH Budget years USD",#N/A,TRUE,"Profit and Loss";"CEGH Budget years USD",#N/A,TRUE,"Firm capex";"CEGH Budget years USD",#N/A,TRUE,"Gross profit analysis";"CEGH Budget years USD",#N/A,TRUE,"Cashflow";"CEGH Budget years USD",#N/A,TRUE,"Balance Sheet"}</definedName>
    <definedName name="wrn.CEGH._.sub._.group._.months._.sterling." localSheetId="9"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localSheetId="9" hidden="1">{"CEGH sub group months USD",#N/A,TRUE,"Profit and Loss";"CEGH sub group months USD",#N/A,TRUE,"Firm capex";"CEGH sub group months USD",#N/A,TRUE,"Cashflow";"CEGH sub group months USD",#N/A,TRUE,"Balance Sheet"}</definedName>
    <definedName name="wrn.CEGH._.sub._.group._.years._.sterling." localSheetId="9" hidden="1">{"CEGH sub-group budget years sterling",#N/A,TRUE,"Profit and Loss";"CEGH sub-group budget years sterling",#N/A,TRUE,"Firm capex";"CEGH sub-group budget years sterling",#N/A,TRUE,"Cashflow";"CEGH sub-group budget years sterling",#N/A,TRUE,"Balance Sheet"}</definedName>
    <definedName name="wrn.CEGH._.sub._.group._.years._.USD." localSheetId="9" hidden="1">{"CEGH sub-group years USD",#N/A,TRUE,"Profit and Loss";"CEGH sub-group years USD",#N/A,TRUE,"Firm capex";"CEGH sub-group years USD",#N/A,TRUE,"Cashflow";"CEGH sub-group years USD",#N/A,TRUE,"Balance Sheet"}</definedName>
    <definedName name="wrn.CEI._.Budget._.months._.sterling." localSheetId="9"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localSheetId="9" hidden="1">{"CEI budget months USD",#N/A,TRUE,"Profit and Loss";"CEI budget months USD",#N/A,TRUE,"Firm capex";"CEI budget months USD",#N/A,TRUE,"Gross profit analysis";"CEI budget months USD",#N/A,TRUE,"Cashflow";"CEI budget months USD",#N/A,TRUE,"Balance Sheet"}</definedName>
    <definedName name="wrn.CEI._.Budget._.years._.sterling." localSheetId="9" hidden="1">{"CEI Budget years sterling",#N/A,TRUE,"Profit and Loss";"CEI Budget years sterling",#N/A,TRUE,"Firm capex";"CEI Budget years sterling",#N/A,TRUE,"Gross profit analysis";"CEI Budget years sterling",#N/A,TRUE,"Cashflow";"CEI Budget years sterling",#N/A,TRUE,"Balance Sheet"}</definedName>
    <definedName name="wrn.CEI._.Budget._.years._.USD." localSheetId="9" hidden="1">{"CEI Budget years USD",#N/A,TRUE,"Profit and Loss";"CEI Budget years USD",#N/A,TRUE,"Firm capex";"CEI Budget years USD",#N/A,TRUE,"Gross profit analysis";"CEI Budget years USD",#N/A,TRUE,"Cashflow";"CEI Budget years USD",#N/A,TRUE,"Balance Sheet"}</definedName>
    <definedName name="wrn.Central._.Nervous._.System." localSheetId="9" hidden="1">{#N/A,#N/A,FALSE,"CNS";#N/A,#N/A,FALSE,"Serz";#N/A,#N/A,FALSE,"Ace"}</definedName>
    <definedName name="wrn.chart._.1998" localSheetId="9" hidden="1">{#N/A,#N/A,FALSE,"Summary";#N/A,#N/A,FALSE,"Pending";#N/A,#N/A,FALSE,"Jan'98";#N/A,#N/A,FALSE,"Feb'98";#N/A,#N/A,FALSE,"Mar'98";#N/A,#N/A,FALSE,"Apr'98";#N/A,#N/A,FALSE,"May'98";#N/A,#N/A,FALSE,"June'98";#N/A,#N/A,FALSE,"July'98"}</definedName>
    <definedName name="wrn.Chart._.Printouts." localSheetId="9"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lient." localSheetId="9" hidden="1">{"multiple",#N/A,FALSE,"client";"margins",#N/A,FALSE,"client";"data",#N/A,FALSE,"client"}</definedName>
    <definedName name="wrn.Client3." localSheetId="9" hidden="1">{"data",#N/A,FALSE,"client (3)";"margins",#N/A,FALSE,"client (3)";"multiple",#N/A,FALSE,"client (3)"}</definedName>
    <definedName name="wrn.client4." localSheetId="9" hidden="1">{"multiple",#N/A,FALSE,"client (4)";"margins",#N/A,FALSE,"client (4)";"data",#N/A,FALSE,"client (4)"}</definedName>
    <definedName name="wrn.clientcopy." localSheetId="9"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1." localSheetId="9" hidden="1">{"WACC_clientcopy",#N/A,FALSE,"Inputs";"Beta_clientcopy",#N/A,FALSE,"Inputs";"SCF_clientcopy",#N/A,FALSE,"Inputs";"ProBS_clientcopy",#N/A,FALSE,"Inputs";"BS_clientcopy",#N/A,FALSE,"Inputs";"ProIS_clientcopy",#N/A,FALSE,"Inputs";"IS_clientcopy",#N/A,FALSE,"Inputs";"Ratios_clientcopy",#N/A,FALSE,"Ratios"}</definedName>
    <definedName name="wrn.clientcopy2." localSheetId="9" hidden="1">{"WACC_clientcopy",#N/A,FALSE,"Inputs";"Beta_clientcopy",#N/A,FALSE,"Inputs";"SCF_clientcopy",#N/A,FALSE,"Inputs";"ProBS_clientcopy",#N/A,FALSE,"Inputs";"BS_clientcopy",#N/A,FALSE,"Inputs";"ProIS_clientcopy",#N/A,FALSE,"Inputs";"IS_clientcopy",#N/A,FALSE,"Inputs";"Ratios_clientcopy",#N/A,FALSE,"Ratios"}</definedName>
    <definedName name="wrn.clientcopy3." localSheetId="9" hidden="1">{"WACC_clientcopy",#N/A,FALSE,"Inputs";"Beta_clientcopy",#N/A,FALSE,"Inputs";"SCF_clientcopy",#N/A,FALSE,"Inputs";"ProBS_clientcopy",#N/A,FALSE,"Inputs";"BS_clientcopy",#N/A,FALSE,"Inputs";"ProIS_clientcopy",#N/A,FALSE,"Inputs";"IS_clientcopy",#N/A,FALSE,"Inputs";"Ratios_clientcopy",#N/A,FALSE,"Ratios"}</definedName>
    <definedName name="WRN.CM" localSheetId="9" hidden="1">{#N/A,#N/A,FALSE,"FAB VENDORS";"BUD SUM",#N/A,FALSE,"BUD SUM WO TEX"}</definedName>
    <definedName name="WRN.CM1" localSheetId="9" hidden="1">{#N/A,#N/A,FALSE,"FAB VENDORS";"BUD SUM",#N/A,FALSE,"BUD SUM WO TEX"}</definedName>
    <definedName name="wrn.COGS." localSheetId="9" hidden="1">{"Balt COGS",#N/A,FALSE,"COGS";"Balt Sum",#N/A,FALSE,"SUM";"Balt Defd Var",#N/A,FALSE,"DEFD VAR";"Balt Input Usage",#N/A,FALSE,"INPUT";"Balt Input PPV",#N/A,FALSE,"INPUT"}</definedName>
    <definedName name="wrn.Combination." localSheetId="9"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ED." localSheetId="9" hidden="1">{#N/A,#N/A,FALSE,"INPUTS";#N/A,#N/A,FALSE,"PROFORMA BSHEET";#N/A,#N/A,FALSE,"COMBINED";#N/A,#N/A,FALSE,"HIGH YIELD";#N/A,#N/A,FALSE,"COMB_GRAPHS"}</definedName>
    <definedName name="wrn.ComboResults." localSheetId="9" hidden="1">{#N/A,#N/A,FALSE,"Combo-Ass ";#N/A,#N/A,FALSE,"Combo-AD sum";#N/A,#N/A,FALSE,"Combo-Syn Sens";#N/A,#N/A,FALSE,"Combo-Contr";#N/A,#N/A,FALSE,"Combo-Credit Sum";#N/A,#N/A,FALSE,"Combo-Credit";#N/A,#N/A,FALSE,"Combo-AD";#N/A,#N/A,FALSE,"Combo-AD CF"}</definedName>
    <definedName name="wrn.ComboState." localSheetId="9" hidden="1">{#N/A,#N/A,FALSE,"Combo-Ass ";#N/A,#N/A,FALSE,"Combo-IS";#N/A,#N/A,FALSE,"Combo-BS";#N/A,#N/A,FALSE,"Combo-CF"}</definedName>
    <definedName name="wrn.COMMISSIONER." localSheetId="9" hidden="1">{#N/A,#N/A,FALSE,"BS_OCIF OIB";#N/A,#N/A,FALSE,"PL_OCIF OIB";#N/A,#N/A,FALSE,"SCH_A-B_OCIF OIB";#N/A,#N/A,FALSE,"AVG_CALC OIB"}</definedName>
    <definedName name="wrn.Comp._.and._.Prices." localSheetId="9" hidden="1">{#N/A,#N/A,FALSE,"comp";#N/A,#N/A,FALSE,"Alpha";#N/A,#N/A,FALSE,"Hi";#N/A,#N/A,FALSE,"Lo";#N/A,#N/A,FALSE,"Mkt. Cap";#N/A,#N/A,FALSE,"Categ."}</definedName>
    <definedName name="wrn.Comparisons." localSheetId="9" hidden="1">{#N/A,#N/A,FALSE," IS Comparison";#N/A,#N/A,FALSE,"BS Comparison";#N/A,#N/A,FALSE," SCF Comparison"}</definedName>
    <definedName name="wrn.COMPCO." localSheetId="9" hidden="1">{"Page1",#N/A,FALSE,"CompCo";"Page2",#N/A,FALSE,"CompCo"}</definedName>
    <definedName name="wrn.Compco._.Only." localSheetId="9" hidden="1">{"vi1",#N/A,FALSE,"6_30_96";"vi2",#N/A,FALSE,"6_30_96";"vi3",#N/A,FALSE,"6_30_96"}</definedName>
    <definedName name="wrn.compco2" localSheetId="9" hidden="1">{"mult96",#N/A,FALSE,"PETCOMP";"est96",#N/A,FALSE,"PETCOMP";"mult95",#N/A,FALSE,"PETCOMP";"est95",#N/A,FALSE,"PETCOMP";"multltm",#N/A,FALSE,"PETCOMP";"resultltm",#N/A,FALSE,"PETCOMP"}</definedName>
    <definedName name="wrn.compco3" localSheetId="9" hidden="1">{"mult96",#N/A,FALSE,"PETCOMP";"est96",#N/A,FALSE,"PETCOMP";"mult95",#N/A,FALSE,"PETCOMP";"est95",#N/A,FALSE,"PETCOMP";"multltm",#N/A,FALSE,"PETCOMP";"resultltm",#N/A,FALSE,"PETCOMP"}</definedName>
    <definedName name="wrn.Complete." localSheetId="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Budget." localSheetId="9"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Report." localSheetId="9" hidden="1">{#N/A,#N/A,FALSE,"Assumptions";#N/A,#N/A,FALSE,"Proforma IS";#N/A,#N/A,FALSE,"Cash Flows RLP";#N/A,#N/A,FALSE,"IRR";#N/A,#N/A,FALSE,"New Depr Sch-150% DB";#N/A,#N/A,FALSE,"Comments"}</definedName>
    <definedName name="wrn.Complete.2" localSheetId="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4" localSheetId="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4" localSheetId="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6" localSheetId="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7" localSheetId="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9" localSheetId="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4" localSheetId="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5" localSheetId="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6" localSheetId="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7" localSheetId="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8" localSheetId="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9" localSheetId="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Report."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s." localSheetId="9" hidden="1">{#N/A,#N/A,FALSE,"Comps"}</definedName>
    <definedName name="wrn.comps._.and._.DCF_LBO." localSheetId="9" hidden="1">{#N/A,#N/A,FALSE,"MKT.COMPS";#N/A,#N/A,FALSE,"DCF - LBO"}</definedName>
    <definedName name="wrn.comps._1" localSheetId="9" hidden="1">{#N/A,#N/A,FALSE,"Comp"}</definedName>
    <definedName name="wrn.comps._1_1" localSheetId="9" hidden="1">{#N/A,#N/A,FALSE,"Comp"}</definedName>
    <definedName name="wrn.comps._1_2" localSheetId="9" hidden="1">{#N/A,#N/A,FALSE,"Comp"}</definedName>
    <definedName name="wrn.comps._1_3" localSheetId="9" hidden="1">{#N/A,#N/A,FALSE,"Comp"}</definedName>
    <definedName name="wrn.comps._1_4" localSheetId="9" hidden="1">{#N/A,#N/A,FALSE,"Comp"}</definedName>
    <definedName name="wrn.comps._2" localSheetId="9" hidden="1">{#N/A,#N/A,FALSE,"Comp"}</definedName>
    <definedName name="wrn.comps._3" localSheetId="9" hidden="1">{#N/A,#N/A,FALSE,"Comp"}</definedName>
    <definedName name="wrn.comps._4" localSheetId="9" hidden="1">{#N/A,#N/A,FALSE,"Comp"}</definedName>
    <definedName name="wrn.comps._5" localSheetId="9" hidden="1">{#N/A,#N/A,FALSE,"Comp"}</definedName>
    <definedName name="wrn.comps.whatisthis" localSheetId="9" hidden="1">{#N/A,#N/A,FALSE,"Comp"}</definedName>
    <definedName name="wrn.comps.whatisthis_1" localSheetId="9" hidden="1">{#N/A,#N/A,FALSE,"Comp"}</definedName>
    <definedName name="wrn.comps.whatisthis_1_1" localSheetId="9" hidden="1">{#N/A,#N/A,FALSE,"Comp"}</definedName>
    <definedName name="wrn.comps.whatisthis_1_2" localSheetId="9" hidden="1">{#N/A,#N/A,FALSE,"Comp"}</definedName>
    <definedName name="wrn.comps.whatisthis_1_3" localSheetId="9" hidden="1">{#N/A,#N/A,FALSE,"Comp"}</definedName>
    <definedName name="wrn.comps.whatisthis_1_4" localSheetId="9" hidden="1">{#N/A,#N/A,FALSE,"Comp"}</definedName>
    <definedName name="wrn.comps.whatisthis_2" localSheetId="9" hidden="1">{#N/A,#N/A,FALSE,"Comp"}</definedName>
    <definedName name="wrn.comps.whatisthis_3" localSheetId="9" hidden="1">{#N/A,#N/A,FALSE,"Comp"}</definedName>
    <definedName name="wrn.comps.whatisthis_4" localSheetId="9" hidden="1">{#N/A,#N/A,FALSE,"Comp"}</definedName>
    <definedName name="wrn.comps.whatisthis_5" localSheetId="9" hidden="1">{#N/A,#N/A,FALSE,"Comp"}</definedName>
    <definedName name="wrn.Consol." localSheetId="9"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IDACIÓN." localSheetId="9" hidden="1">{#N/A,#N/A,FALSE,"CNS_ADJ";"Balance Consolidado",#N/A,FALSE,"BCEC_CNS";#N/A,#N/A,FALSE,"USGAAP_ADJ"}</definedName>
    <definedName name="wrn.Consolidado." localSheetId="9" hidden="1">{#N/A,#N/A,FALSE,"COVER";#N/A,#N/A,FALSE,"Index";#N/A,#N/A,FALSE,"Non-Earning";#N/A,#N/A,FALSE,"Non-Earning_Recovery"}</definedName>
    <definedName name="wrn.Consolidated." localSheetId="9"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olidated._.Statements." localSheetId="9" hidden="1">{"view1",#N/A,FALSE,"EARN (US$)";"view1",#N/A,FALSE,"DASTBS (US$)";"view1",#N/A,FALSE,"DASTCF (US$)"}</definedName>
    <definedName name="wrn.Consolidating." localSheetId="9" hidden="1">{"Consolidated IS",#N/A,FALSE,"Consolidated IS";"Consolidated Detail IS",#N/A,FALSE,"Consolidated Detail IS";"Consolidated Detail Supplemental Info",#N/A,FALSE,"Consolidated Detail IS";"Consolidated CF",#N/A,FALSE,"Consolidated CF";"Consolidated BS",#N/A,FALSE,"Consolidated BS";"Consolidating 1999 Detail IS",#N/A,FALSE,"1999 Detail IS";"Consolidated 1999 Supplemental Info",#N/A,FALSE,"1999 Detail IS";"Consolidating 1998 Detail IS",#N/A,FALSE,"1998 Detail IS";"Consolidating 1998 Supplemental Info",#N/A,FALSE,"1998 Detail IS";"Consolidating 1997 Detail IS",#N/A,FALSE,"1997 Detail IS";"Consolidated 1997 Supplemental Info",#N/A,FALSE,"1997 Detail IS"}</definedName>
    <definedName name="wrn.CONSOLIDATION." localSheetId="9" hidden="1">{"PAGE1",#N/A,FALSE,"Consolidation";"PAGE2",#N/A,FALSE,"Consolidation";"PAGE3",#N/A,FALSE,"Consolidation";"PAGE4",#N/A,FALSE,"Consolidation";"PAGE5",#N/A,FALSE,"Consolidation";"PAGE6",#N/A,FALSE,"Consolidation";"PAGE7",#N/A,FALSE,"Consolidation"}</definedName>
    <definedName name="wrn.Consumer._.Medicines." localSheetId="9" hidden="1">{#N/A,#N/A,FALSE,"OTC";#N/A,#N/A,FALSE,"Ther";#N/A,#N/A,FALSE,"Temp";#N/A,#N/A,FALSE,"Exce";#N/A,#N/A,FALSE,"Buff";#N/A,#N/A,FALSE,"Picot";#N/A,#N/A,FALSE,"Luftal";#N/A,#N/A,FALSE,"Comt"}</definedName>
    <definedName name="wrn.Continous._.Page._.Numbers._.DCF." localSheetId="9"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ACT._.WIP._.1997." localSheetId="9" hidden="1">{#N/A,#N/A,FALSE,"A"}</definedName>
    <definedName name="wrn.contributory._.asset._.charges." localSheetId="9" hidden="1">{"contributory1",#N/A,FALSE,"Contributory Assets Detail";"contributory2",#N/A,FALSE,"Contributory Assets Detail"}</definedName>
    <definedName name="wrn.CORPO." localSheetId="9" hidden="1">{#N/A,#N/A,FALSE,"DIV.CORPO"}</definedName>
    <definedName name="wrn.Corporate." localSheetId="9" hidden="1">{"Corporate",#N/A,FALSE,"Corporate Profile"}</definedName>
    <definedName name="wrn.CORR." localSheetId="9" hidden="1">{"INCSTMT1",#N/A,FALSE,"COR";"INCSTMT2",#N/A,FALSE,"COR"}</definedName>
    <definedName name="wrn.cotop." localSheetId="9" hidden="1">{"ReportTop",#N/A,FALSE,"report top"}</definedName>
    <definedName name="wrn.cotop2." localSheetId="9" hidden="1">{"ReportTop",#N/A,FALSE,"report top"}</definedName>
    <definedName name="wrn.Cover." localSheetId="9" hidden="1">{"coverall",#N/A,FALSE,"Definitions";"cover1",#N/A,FALSE,"Definitions";"cover2",#N/A,FALSE,"Definitions";"cover3",#N/A,FALSE,"Definitions";"cover4",#N/A,FALSE,"Definitions";"cover5",#N/A,FALSE,"Definitions";"blank",#N/A,FALSE,"Definitions"}</definedName>
    <definedName name="wrn.Covers." localSheetId="9" hidden="1">{"view1",#N/A,FALSE,"MOTEARN";"view1",#N/A,FALSE,"Bal Sht";"view1",#N/A,FALSE,"Cash Flows"}</definedName>
    <definedName name="wrn.CPB." localSheetId="9" hidden="1">{#N/A,#N/A,FALSE,"CPB"}</definedName>
    <definedName name="wrn.Credit._.Summary." localSheetId="9" hidden="1">{#N/A,#N/A,FALSE,"Credit Summary"}</definedName>
    <definedName name="wrn.CW." localSheetId="9" hidden="1">{#N/A,#N/A,FALSE,"FAB VENDORS";"BUD SUM",#N/A,FALSE,"BUD SUM WO TEX"}</definedName>
    <definedName name="wrn.Daily." localSheetId="9" hidden="1">{#N/A,#N/A,FALSE,"Input";#N/A,#N/A,FALSE,"BBC";#N/A,#N/A,FALSE,"Sch A";#N/A,#N/A,FALSE,"Sch B";#N/A,#N/A,FALSE,"Ineligible"}</definedName>
    <definedName name="wrn.DAILY._.SALES." localSheetId="9" hidden="1">{"New York",#N/A,FALSE,"NY";"London Et Al",#N/A,FALSE,"NY";"Cash Balance",#N/A,FALSE,"NY"}</definedName>
    <definedName name="wrn.DATA." localSheetId="9" hidden="1">{#N/A,#N/A,FALSE,"WTI";#N/A,#N/A,FALSE,"Cdn Oil";#N/A,#N/A,FALSE,"Cdn Gas";#N/A,#N/A,FALSE,"CDN Gas Exports";#N/A,#N/A,FALSE,"CDN Gas Prod";#N/A,#N/A,FALSE,"CDN Gas Wells";#N/A,#N/A,FALSE,"US Gas";#N/A,#N/A,FALSE,"US Gas Prod";#N/A,#N/A,FALSE,"US Gas Wells";#N/A,#N/A,FALSE,"US Work Gas";#N/A,#N/A,FALSE,"US Rig Count";#N/A,#N/A,FALSE,"US Gas End-Use";#N/A,#N/A,FALSE,"Chem"}</definedName>
    <definedName name="wrn.DataVPN." localSheetId="9" hidden="1">{"Cashflow chart",#N/A,TRUE,"A";"Rev Assumptions",#N/A,TRUE,"B";"Rev Reconcilliation 1",#N/A,TRUE,"B";"Rev Reconcilliation 2",#N/A,TRUE,"B";"exp 1",#N/A,TRUE,"C";"exp 2",#N/A,TRUE,"C";"exp3",#N/A,TRUE,"C";"cap 1",#N/A,TRUE,"D";"exp4",#N/A,TRUE,"C";"cap 2",#N/A,TRUE,"D";"cap 3",#N/A,TRUE,"D";"inputs",#N/A,TRUE,"E"}</definedName>
    <definedName name="wrn.DataVPN1" localSheetId="9" hidden="1">{"Cashflow chart",#N/A,TRUE,"A";"Rev Assumptions",#N/A,TRUE,"B";"Rev Reconcilliation 1",#N/A,TRUE,"B";"Rev Reconcilliation 2",#N/A,TRUE,"B";"exp 1",#N/A,TRUE,"C";"exp 2",#N/A,TRUE,"C";"exp3",#N/A,TRUE,"C";"cap 1",#N/A,TRUE,"D";"exp4",#N/A,TRUE,"C";"cap 2",#N/A,TRUE,"D";"cap 3",#N/A,TRUE,"D";"inputs",#N/A,TRUE,"E"}</definedName>
    <definedName name="wrn.dcf." localSheetId="9" hidden="1">{"mgmt forecast",#N/A,FALSE,"Mgmt Forecast";"dcf table",#N/A,FALSE,"Mgmt Forecast";"sensitivity",#N/A,FALSE,"Mgmt Forecast";"table inputs",#N/A,FALSE,"Mgmt Forecast";"calculations",#N/A,FALSE,"Mgmt Forecast"}</definedName>
    <definedName name="wrn.DCF._.Only." localSheetId="9" hidden="1">{#N/A,#N/A,FALSE,"DCF Summary";#N/A,#N/A,FALSE,"Casema";#N/A,#N/A,FALSE,"Casema NoTel";#N/A,#N/A,FALSE,"UK";#N/A,#N/A,FALSE,"RCF";#N/A,#N/A,FALSE,"Intercable CZ";#N/A,#N/A,FALSE,"Interkabel P"}</definedName>
    <definedName name="wrn.DCF._.Valuation." localSheetId="9" hidden="1">{"value box",#N/A,TRUE,"DPL Inc. Fin Statements";"unlevered free cash flows",#N/A,TRUE,"DPL Inc. Fin Statements"}</definedName>
    <definedName name="wrn.dcf._1" localSheetId="9" hidden="1">{"mgmt forecast",#N/A,FALSE,"Mgmt Forecast";"dcf table",#N/A,FALSE,"Mgmt Forecast";"sensitivity",#N/A,FALSE,"Mgmt Forecast";"table inputs",#N/A,FALSE,"Mgmt Forecast";"calculations",#N/A,FALSE,"Mgmt Forecast"}</definedName>
    <definedName name="wrn.dcf._1_1" localSheetId="9" hidden="1">{"mgmt forecast",#N/A,FALSE,"Mgmt Forecast";"dcf table",#N/A,FALSE,"Mgmt Forecast";"sensitivity",#N/A,FALSE,"Mgmt Forecast";"table inputs",#N/A,FALSE,"Mgmt Forecast";"calculations",#N/A,FALSE,"Mgmt Forecast"}</definedName>
    <definedName name="wrn.dcf._1_2" localSheetId="9" hidden="1">{"mgmt forecast",#N/A,FALSE,"Mgmt Forecast";"dcf table",#N/A,FALSE,"Mgmt Forecast";"sensitivity",#N/A,FALSE,"Mgmt Forecast";"table inputs",#N/A,FALSE,"Mgmt Forecast";"calculations",#N/A,FALSE,"Mgmt Forecast"}</definedName>
    <definedName name="wrn.dcf._1_3" localSheetId="9" hidden="1">{"mgmt forecast",#N/A,FALSE,"Mgmt Forecast";"dcf table",#N/A,FALSE,"Mgmt Forecast";"sensitivity",#N/A,FALSE,"Mgmt Forecast";"table inputs",#N/A,FALSE,"Mgmt Forecast";"calculations",#N/A,FALSE,"Mgmt Forecast"}</definedName>
    <definedName name="wrn.dcf._1_4" localSheetId="9" hidden="1">{"mgmt forecast",#N/A,FALSE,"Mgmt Forecast";"dcf table",#N/A,FALSE,"Mgmt Forecast";"sensitivity",#N/A,FALSE,"Mgmt Forecast";"table inputs",#N/A,FALSE,"Mgmt Forecast";"calculations",#N/A,FALSE,"Mgmt Forecast"}</definedName>
    <definedName name="wrn.dcf._2" localSheetId="9" hidden="1">{"mgmt forecast",#N/A,FALSE,"Mgmt Forecast";"dcf table",#N/A,FALSE,"Mgmt Forecast";"sensitivity",#N/A,FALSE,"Mgmt Forecast";"table inputs",#N/A,FALSE,"Mgmt Forecast";"calculations",#N/A,FALSE,"Mgmt Forecast"}</definedName>
    <definedName name="wrn.dcf._3" localSheetId="9" hidden="1">{"mgmt forecast",#N/A,FALSE,"Mgmt Forecast";"dcf table",#N/A,FALSE,"Mgmt Forecast";"sensitivity",#N/A,FALSE,"Mgmt Forecast";"table inputs",#N/A,FALSE,"Mgmt Forecast";"calculations",#N/A,FALSE,"Mgmt Forecast"}</definedName>
    <definedName name="wrn.dcf._4" localSheetId="9" hidden="1">{"mgmt forecast",#N/A,FALSE,"Mgmt Forecast";"dcf table",#N/A,FALSE,"Mgmt Forecast";"sensitivity",#N/A,FALSE,"Mgmt Forecast";"table inputs",#N/A,FALSE,"Mgmt Forecast";"calculations",#N/A,FALSE,"Mgmt Forecast"}</definedName>
    <definedName name="wrn.dcf._5" localSheetId="9" hidden="1">{"mgmt forecast",#N/A,FALSE,"Mgmt Forecast";"dcf table",#N/A,FALSE,"Mgmt Forecast";"sensitivity",#N/A,FALSE,"Mgmt Forecast";"table inputs",#N/A,FALSE,"Mgmt Forecast";"calculations",#N/A,FALSE,"Mgmt Forecast"}</definedName>
    <definedName name="wrn.DCF_Terminal_Value_qchm." localSheetId="9" hidden="1">{"qchm_dcf",#N/A,FALSE,"QCHMDCF2";"qchm_terminal",#N/A,FALSE,"QCHMDCF2"}</definedName>
    <definedName name="wrn.DCFEpervier." localSheetId="9"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bt." localSheetId="9" hidden="1">{"debt summary",#N/A,FALSE,"Debt";"loan details",#N/A,FALSE,"Debt"}</definedName>
    <definedName name="wrn.Delchamps." localSheetId="9" hidden="1">{"Operating Data",#N/A,TRUE,"Sheet1";"Valuation Matrix",#N/A,TRUE,"Sheet1";"Sales Analysis",#N/A,TRUE,"Sheet1";"Closed Remodelled New",#N/A,TRUE,"Sheet1";"Competitive and FSP",#N/A,TRUE,"Sheet1";"Working Capital and Capex",#N/A,TRUE,"Sheet1";"depreciation",#N/A,TRUE,"Sheet1"}</definedName>
    <definedName name="wrn.Delinc_Comercial." localSheetId="9" hidden="1">{#N/A,#N/A,FALSE,"COVER";#N/A,#N/A,FALSE,"Index";#N/A,#N/A,FALSE,"Non-Earning";#N/A,#N/A,FALSE,"Commercial";#N/A,#N/A,FALSE,"Detailed"}</definedName>
    <definedName name="wrn.Deltek._.Upload." localSheetId="9" hidden="1">{#N/A,#N/A,FALSE,"Delt Data"}</definedName>
    <definedName name="wrn.depmatrix." localSheetId="9" hidden="1">{"depmatrix",#N/A,FALSE,"DECATUR-DIMMIT"}</definedName>
    <definedName name="wrn.Detail." localSheetId="9" hidden="1">{"SalaryPer",#N/A,FALSE,"INPUT";"WageRate",#N/A,FALSE,"INPUT";"Salary",#N/A,FALSE,"INPUT";"Overtime",#N/A,FALSE,"INPUT";"PagerPay",#N/A,FALSE,"INPUT";"FringeTable",#N/A,FALSE,"INPUT";"Fringes",#N/A,FALSE,"INPUT";"ProfitSharing",#N/A,FALSE,"INPUT"}</definedName>
    <definedName name="wrn.Detail._.Balance._.Sheet." localSheetId="9" hidden="1">{#N/A,#N/A,FALSE,"Detail"}</definedName>
    <definedName name="wrn.Detail._.Income._.Statement." localSheetId="9" hidden="1">{"Facility Detail",#N/A,FALSE,"P&amp;L Detail"}</definedName>
    <definedName name="wrn.Detail_Projection." localSheetId="9" hidden="1">{#N/A,#N/A,FALSE,"Detail YTD"}</definedName>
    <definedName name="wrn.Detailed._.Profit._.and._.Loss." localSheetId="9" hidden="1">{#N/A,#N/A,FALSE,"P&amp;L CONSOLIDATED";#N/A,#N/A,FALSE,"Cyperus";#N/A,#N/A,FALSE,"ANP";#N/A,#N/A,FALSE,"PRNE CORE"}</definedName>
    <definedName name="wrn.devdeal." localSheetId="9" hidden="1">{"top",#N/A,TRUE,"Detail";"next",#N/A,TRUE,"Detail";"then",#N/A,TRUE,"Detail";"and",#N/A,TRUE,"Detail";"inaddition",#N/A,TRUE,"Detail";"finally",#N/A,TRUE,"Detail"}</definedName>
    <definedName name="wrn.Dilution." localSheetId="9" hidden="1">{#N/A,#N/A,FALSE,"FY 1997 (NR)";#N/A,#N/A,FALSE,"FY 1998 (NR)";#N/A,#N/A,FALSE,"Balance";#N/A,#N/A,FALSE,"Matrix (NR)"}</definedName>
    <definedName name="wrn.djall." localSheetId="9" hidden="1">{"djcash",#N/A,FALSE,"DJann";"djinc",#N/A,FALSE,"DJann";"djtaxes",#N/A,FALSE,"DJann";"djbuspub",#N/A,FALSE,"DJann";"djwall",#N/A,FALSE,"DJann";"djcompprs",#N/A,FALSE,"DJann";"djteler",#N/A,FALSE,"DJann"}</definedName>
    <definedName name="wrn.document." localSheetId="9" hidden="1">{"consolidated",#N/A,FALSE,"Sheet1";"cms",#N/A,FALSE,"Sheet1";"fse",#N/A,FALSE,"Sheet1"}</definedName>
    <definedName name="wrn.documentation." localSheetId="9" hidden="1">{"documentation1",#N/A,FALSE,"Documentation";"documentation2",#N/A,FALSE,"Documentation"}</definedName>
    <definedName name="wrn.DOM._.TRAF._.STATS." localSheetId="9" hidden="1">{#N/A,#N/A,FALSE,"Form 41 Commuter Domestic";#N/A,#N/A,FALSE,"FORM41--COMMUTER % CHG";#N/A,#N/A,FALSE,"Total Domestic Traffic Stats";#N/A,#N/A,FALSE,"TOTAL DOM TRAFFIC--% CHG";#N/A,#N/A,FALSE,"TotDomTraf-Large Carriers Only";#N/A,#N/A,FALSE,"TOTDOMTRAF-LARGECAR% CHG"}</definedName>
    <definedName name="wrn.DPI._.Summary." localSheetId="9" hidden="1">{#N/A,#N/A,TRUE,"Summary";#N/A,#N/A,TRUE,"Financials"}</definedName>
    <definedName name="wrn.Druck." localSheetId="9" hidden="1">{#N/A,#N/A,FALSE,"Phase I";#N/A,#N/A,FALSE,"Phase II";#N/A,#N/A,FALSE,"Phase III"}</definedName>
    <definedName name="wrn.DTPLAN." localSheetId="9" hidden="1">{"DTCONSOASSUMPTIONS1",#N/A,FALSE,"CONSO";"DTCONSOASSUMPTIONS2",#N/A,FALSE,"CONSO";"DTCONSOASSUMPTIONS3",#N/A,FALSE,"CONSO";"DTCONSOINCOME",#N/A,FALSE,"CONSO";"DTCOOSAEBITDA",#N/A,FALSE,"COOSA";"DTCONSOCASHFLOW",#N/A,FALSE,"CONSO";"DTCONSOBALANCESHEET",#N/A,FALSE,"CONSO";"DTCONSOCAPEX1",#N/A,FALSE,"CONSO";"DTCONSOCAPEX2",#N/A,FALSE,"CONSO";"DTCONSOCAPEX3",#N/A,FALSE,"CONSO";"DTDONNAASSUMPTIONS1",#N/A,FALSE,"PAPER DONNACONA";"DTDONNAASSUMPTIONS2",#N/A,FALSE,"PAPER DONNACONA";"DTDONNAASSUMPTIONS3",#N/A,FALSE,"PAPER DONNACONA";"DTDONNAINCOME",#N/A,FALSE,"PAPER DONNACONA";"DTDONNACASHFLOW",#N/A,FALSE,"PAPER DONNACONA";"DTDONNABALANCESHEET",#N/A,FALSE,"PAPER DONNACONA";"DTDONNACAPEX",#N/A,FALSE,"PAPER DONNACONA";"DTDOLBEAUASSUMPTIONS1",#N/A,FALSE,"PAPER DOLBEAU";"DTDOLBEAUASSUMPTIONS2",#N/A,FALSE,"PAPER DOLBEAU";"DTDOLBEAUASSUMPTIONS3",#N/A,FALSE,"PAPER DOLBEAU";"DTDOLBEAUINCOME",#N/A,FALSE,"PAPER DOLBEAU";"DTDOLBEAUCASHFLOW",#N/A,FALSE,"PAPER DOLBEAU";"DTDOLBEAUBALANCESHEET",#N/A,FALSE,"PAPER DOLBEAU";"DTDOLBEAUCAPEX",#N/A,FALSE,"PAPER DOLBEAU";"DTLUMBERASSUMPTIONS1",#N/A,FALSE,"LUMBER";"DTLUMBERASSUMPTIONS2",#N/A,FALSE,"LUMBER";"DTLUMBERASSUMPTIONS3",#N/A,FALSE,"LUMBER";"DTLUMBERINCOME",#N/A,FALSE,"LUMBER";"DTLUMBERCASHFLOW",#N/A,FALSE,"LUMBER";"DTLUMBERBALANCESHEET",#N/A,FALSE,"LUMBER";"DTLUMBERCAPEX",#N/A,FALSE,"LUMBER";"DTCOOSAASSUMPTIONS1",#N/A,FALSE,"COOSA";"DTCOOSAASSUMPTION2",#N/A,FALSE,"COOSA";"DTCOOSAASSUMPTIONS3",#N/A,FALSE,"COOSA";"DTCOOSAINCOME",#N/A,FALSE,"COOSA";"DTCOOSACASHFLOW",#N/A,FALSE,"COOSA";"DTCOOSABALANCESHEET",#N/A,FALSE,"COOSA";"DTCOOSACAPEX",#N/A,FALSE,"COOSA";"DTELIMINATIONINCOME",#N/A,FALSE,"ELIMINATION";"DTELIMINATIONCASHFLOW",#N/A,FALSE,"ELIMINATION";"DTELIMINATIONBALANCESHEET",#N/A,FALSE,"ELIMINATION";"DTHEADOFFICEASSUMPTIONS",#N/A,FALSE,"H.OFFICE";"DTHEADOFFICEINCOME",#N/A,FALSE,"H.OFFICE";"DTHEADOFFICECASHFLOW",#N/A,FALSE,"H.OFFICE";"DTHEADOFFICEBALANCESHEET",#N/A,FALSE,"H.OFFICE";"DTHEADOFFICECAPEX",#N/A,FALSE,"H.OFFICE";"DTSEGMENTED",#N/A,FALSE,"SEGMENTED INFO";"DTTAX1",#N/A,FALSE,"impôt";"DTTAX2",#N/A,FALSE,"impôt"}</definedName>
    <definedName name="wrn.Earnings._.Model."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itda." localSheetId="9" hidden="1">{#N/A,#N/A,FALSE,"2003_Input - P&amp;L"}</definedName>
    <definedName name="wrn.ebitda2" localSheetId="9" hidden="1">{#N/A,#N/A,FALSE,"2003_Input - P&amp;L"}</definedName>
    <definedName name="wrn.Economic._.Value._.Added._.Analysis." localSheetId="9" hidden="1">{"EVA",#N/A,FALSE,"EVA";"WACC",#N/A,FALSE,"WACC"}</definedName>
    <definedName name="wrn.econtab." localSheetId="9" hidden="1">{#N/A,#N/A,FALSE,"TABLE1";#N/A,#N/A,FALSE,"TABLE2";#N/A,#N/A,FALSE,"TABLE3";#N/A,#N/A,FALSE,"TABLE4";#N/A,#N/A,FALSE,"TABLE5"}</definedName>
    <definedName name="wrn.ecpall." localSheetId="9" hidden="1">{"ecpcash",#N/A,FALSE,"ECPann";"ecpinc",#N/A,FALSE,"ECPann";"ecpindia",#N/A,FALSE,"ECPann";"ecpmun",#N/A,FALSE,"ECPann";"ecpphoenix",#N/A,FALSE,"ECPann";"ecpothe",#N/A,FALSE,"ECPann";"ecpbalsht",#N/A,FALSE,"ECPann"}</definedName>
    <definedName name="wrn.EE4._.Budget._.months._.sterling." localSheetId="9" hidden="1">{"EE4 Budget months only sterling",#N/A,TRUE,"Profit and Loss";"EE4 Budget months only sterling",#N/A,TRUE,"Firm capex";"EE4 Budget months only sterling",#N/A,TRUE,"Cashflow";"EE4 Budget months only sterling",#N/A,TRUE,"Balance Sheet"}</definedName>
    <definedName name="wrn.EE4._.Budget._.months._.USD." localSheetId="9" hidden="1">{"EE4 Budget months only in USD",#N/A,TRUE,"Profit and Loss";"EE4 Budget months only in USD",#N/A,TRUE,"Firm capex";"EE4 Budget months only in USD",#N/A,TRUE,"Cashflow";"EE4 Budget months only in USD",#N/A,TRUE,"Balance Sheet"}</definedName>
    <definedName name="wrn.EE4._.budget._.years._.sterling." localSheetId="9" hidden="1">{"EE4 Budget years sterling",#N/A,TRUE,"Profit and Loss";"EE4 Budget years sterling",#N/A,TRUE,"Firm capex";"EE4 Budget years sterling",#N/A,TRUE,"Cashflow";"EE4 Budget years sterling",#N/A,TRUE,"Balance Sheet"}</definedName>
    <definedName name="wrn.EE4._.Budget._.years._.USD." localSheetId="9" hidden="1">{"EE4 Budget years USD",#N/A,TRUE,"Profit and Loss";"EE4 Budget years USD",#N/A,TRUE,"Firm capex";"EE4 Budget years USD",#N/A,TRUE,"Cashflow";"EE4 Budget years USD",#N/A,TRUE,"Balance Sheet"}</definedName>
    <definedName name="wrn.EF._.Complet." localSheetId="9" hidden="1">{#N/A,#N/A,TRUE,"1";#N/A,#N/A,TRUE,"1.2";#N/A,#N/A,TRUE,"2";#N/A,#N/A,TRUE,"4";#N/A,#N/A,TRUE,"11";#N/A,#N/A,TRUE,"11.9";#N/A,#N/A,TRUE,"A";#N/A,#N/A,TRUE,"B";#N/A,#N/A,TRUE,"C"}</definedName>
    <definedName name="wrn.Einhundert._.Prozent._.alle._.Perioden." localSheetId="9" hidden="1">{"Alle Perioden",#N/A,FALSE,"Erf";"Alle Perioden",#N/A,FALSE,"BV100";"Alle Perioden",#N/A,FALSE,"BE100";"Alle Perioden",#N/A,FALSE,"Re100";"Alle Perioden",#N/A,FALSE,"Vol100"}</definedName>
    <definedName name="wrn.Einhundert._.Prozent._.erste._.elf._.Perioden." localSheetId="9" hidden="1">{"Erste elf Perioden",#N/A,FALSE,"Erf";"Erste elf Perioden",#N/A,FALSE,"BV100";"Erste elf Perioden",#N/A,FALSE,"BE100";"Erste elf Perioden",#N/A,FALSE,"Re100";"Erste elf Perioden",#N/A,FALSE,"Vol100"}</definedName>
    <definedName name="wrn.Enitre._.Model." localSheetId="9" hidden="1">{"Input Sheet",#N/A,FALSE,"Input";"New Co",#N/A,FALSE,"NEWCO";"Acq Cash Flow",#N/A,FALSE,"Acq. CF";"Target Cash Flow",#N/A,FALSE,"Tgt. CF";"Operational Merger",#N/A,FALSE,"OP Merger";"Acq Balance Sheet",#N/A,FALSE,"Acq. BS";"Target Balance Sheet",#N/A,FALSE,"Tgt. BS";"BOE Comp",#N/A,FALSE,"BOEComp"}</definedName>
    <definedName name="wrn.ESPP." localSheetId="9" hidden="1">{#N/A,#N/A,FALSE,"REPORT"}</definedName>
    <definedName name="wrn.ETATS." localSheetId="9" hidden="1">{"TABLE",#N/A,TRUE,"Feuil1";"CONSO",#N/A,TRUE,"Feuil1";"STHUB1",#N/A,TRUE,"Feuil1";"STHUB2",#N/A,TRUE,"Feuil1";"PROSERV",#N/A,TRUE,"Feuil1";"GROUPE",#N/A,TRUE,"Feuil1";"BERTHELET",#N/A,TRUE,"Feuil1";"MEILLEURES",#N/A,TRUE,"Feuil1";"TRICORP",#N/A,TRUE,"Feuil1"}</definedName>
    <definedName name="wrn.Europe." localSheetId="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xam._.Workpapers._.1." localSheetId="9"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ecutive._.summary._.reports." localSheetId="9" hidden="1">{"4 year overview",#N/A,FALSE,"P &amp; L";"key indicators",#N/A,FALSE,"P &amp; L"}</definedName>
    <definedName name="wrn.EXHIBITS." localSheetId="9"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wrn.EXP2." localSheetId="9" hidden="1">{#N/A,#N/A,TRUE,"NIE_C";#N/A,#N/A,TRUE,"NIE";#N/A,#N/A,TRUE,"NIE_D";#N/A,#N/A,TRUE,"NIE_D_CC";#N/A,#N/A,TRUE,"HEA -- EXP"}</definedName>
    <definedName name="wrn.External." localSheetId="9" hidden="1">{"External_Annual_Income",#N/A,FALSE,"External";"External_Quarterly_Income",#N/A,FALSE,"External"}</definedName>
    <definedName name="wrn.external.2" localSheetId="9" hidden="1">{"External_Annual_Income",#N/A,FALSE,"External";"External_Quarterly_Income",#N/A,FALSE,"External"}</definedName>
    <definedName name="wrn.Facility._.Profit._.and._.Loss." localSheetId="9" hidden="1">{"Domestic Prisons - Prior to 1998 - 1",#N/A,FALSE,"Domestic Prisons";"Domestic Prisons - Prior to 1998 - 2",#N/A,FALSE,"Domestic Prisons";"Domestic Prisons - 1998",#N/A,FALSE,"Domestic Prisons";"Domestic Prisons - 1999",#N/A,FALSE,"Domestic Prisons";"Domestic Prisons - 2000",#N/A,FALSE,"Domestic Prisons";"Domestic Prisons - 2001",#N/A,FALSE,"Domestic Prisons"}</definedName>
    <definedName name="wrn.fc" localSheetId="9" hidden="1">{"FCB_ALL",#N/A,FALSE,"FCB"}</definedName>
    <definedName name="wrn.fc12" localSheetId="9" hidden="1">{"FCB_ALL",#N/A,FALSE,"FCB"}</definedName>
    <definedName name="wrn.fcb" localSheetId="9" hidden="1">{"FCB_ALL",#N/A,FALSE,"FCB"}</definedName>
    <definedName name="wrn.FCB." localSheetId="9" hidden="1">{"FCB_ALL",#N/A,FALSE,"FCB"}</definedName>
    <definedName name="wrn.fcb._dcf" localSheetId="9" hidden="1">{"FCB_ALL",#N/A,FALSE,"FCB"}</definedName>
    <definedName name="wrn.fcb.1" localSheetId="9" hidden="1">{"FCB_ALL",#N/A,FALSE,"FCB"}</definedName>
    <definedName name="wrn.fcb.9" localSheetId="9" hidden="1">{"FCB_ALL",#N/A,FALSE,"FCB"}</definedName>
    <definedName name="wrn.fcb1" localSheetId="9" hidden="1">{"FCB_ALL",#N/A,FALSE,"FCB"}</definedName>
    <definedName name="wrn.fcb10" localSheetId="9" hidden="1">{"FCB_ALL",#N/A,FALSE,"FCB"}</definedName>
    <definedName name="wrn.fcb11" localSheetId="9" hidden="1">{"FCB_ALL",#N/A,FALSE,"FCB"}</definedName>
    <definedName name="wrn.fcb2" localSheetId="9" hidden="1">{"FCB_ALL",#N/A,FALSE,"FCB"}</definedName>
    <definedName name="wrn.fcb2_dcf" localSheetId="9" hidden="1">{"FCB_ALL",#N/A,FALSE,"FCB"}</definedName>
    <definedName name="wrn.fcb3" localSheetId="9" hidden="1">{"FCB_ALL",#N/A,FALSE,"FCB"}</definedName>
    <definedName name="wrn.fcb4" localSheetId="9" hidden="1">{"FCB_ALL",#N/A,FALSE,"FCB"}</definedName>
    <definedName name="wrn.fcb5" localSheetId="9" hidden="1">{"FCB_ALL",#N/A,FALSE,"FCB"}</definedName>
    <definedName name="wrn.fcb6" localSheetId="9" hidden="1">{"FCB_ALL",#N/A,FALSE,"FCB"}</definedName>
    <definedName name="wrn.fcb7" localSheetId="9" hidden="1">{"FCB_ALL",#N/A,FALSE,"FCB"}</definedName>
    <definedName name="wrn.fcb8" localSheetId="9" hidden="1">{"FCB_ALL",#N/A,FALSE,"FCB"}</definedName>
    <definedName name="wrn.fcb9" localSheetId="9" hidden="1">{"FCB_ALL",#N/A,FALSE,"FCB"}</definedName>
    <definedName name="wrn.fcopy2" localSheetId="9" hidden="1">{"WACC_filecopy",#N/A,FALSE,"Inputs";"Beta_filecopy",#N/A,FALSE,"Inputs";"SCF_filecopy",#N/A,FALSE,"Inputs";"ProBS_filecopy",#N/A,FALSE,"Inputs";"BS_filecopy",#N/A,FALSE,"Inputs";"ProIS_filecopy",#N/A,FALSE,"Inputs";"IS_filecopy",#N/A,FALSE,"Inputs"}</definedName>
    <definedName name="wrn.FDII6_01PortReview." localSheetId="9" hidden="1">{#N/A,#N/A,TRUE,"Port Summary II";#N/A,#N/A,TRUE,"BV Valuation";#N/A,#N/A,TRUE,"FV Valuation";#N/A,#N/A,TRUE,"JRI";#N/A,#N/A,TRUE,"Weasler";#N/A,#N/A,TRUE,"Stronghaven";#N/A,#N/A,TRUE,"Connor";#N/A,#N/A,TRUE,"HWC";#N/A,#N/A,TRUE,"Temple"}</definedName>
    <definedName name="wrn.FdIII6_30_01PortRev.." localSheetId="9" hidden="1">{#N/A,#N/A,TRUE,"Beacon";#N/A,#N/A,TRUE,"CII";#N/A,#N/A,TRUE,"MCA";#N/A,#N/A,TRUE,"Elm";#N/A,#N/A,TRUE,"Tharco";#N/A,#N/A,TRUE,"Dee H";#N/A,#N/A,TRUE,"Hunt Valve";#N/A,#N/A,TRUE,"KBA";#N/A,#N/A,TRUE,"Glassmaster";#N/A,#N/A,TRUE,"MLS";#N/A,#N/A,TRUE,"CBSA";#N/A,#N/A,TRUE,"ACE";#N/A,#N/A,TRUE,"United Central";#N/A,#N/A,TRUE,"Jakel";#N/A,#N/A,TRUE,"Lake City "}</definedName>
    <definedName name="wrn.FER." localSheetId="9" hidden="1">{#N/A,#N/A,TRUE,"BS_A";#N/A,#N/A,TRUE,"BS_L";#N/A,#N/A,TRUE,"PL";#N/A,#N/A,TRUE,"NET";#N/A,#N/A,TRUE,"MAR_2";#N/A,#N/A,TRUE,"MAR";#N/A,#N/A,TRUE,"NII";#N/A,#N/A,TRUE,"NIE";#N/A,#N/A,TRUE,"FS_BS";#N/A,#N/A,TRUE,"FS_PL";#N/A,#N/A,TRUE,"HEA"}</definedName>
    <definedName name="wrn.FER_EXPENSES." localSheetId="9" hidden="1">{#N/A,#N/A,TRUE,"NIE_C";#N/A,#N/A,TRUE,"NIE";#N/A,#N/A,TRUE,"NIE_D";#N/A,#N/A,TRUE,"HEA -- EXP"}</definedName>
    <definedName name="wrn.FER_NIA." localSheetId="9" hidden="1">{#N/A,#N/A,FALSE,"HEA NIA";#N/A,#N/A,FALSE,"CHART";#N/A,#N/A,FALSE,"NIA";#N/A,#N/A,FALSE,"WF_DET"}</definedName>
    <definedName name="wrn.FER_REVENUES." localSheetId="9" hidden="1">{#N/A,#N/A,TRUE,"NII_C";#N/A,#N/A,TRUE,"NII";#N/A,#N/A,TRUE,"NII_D";#N/A,#N/A,TRUE,"HEA --REV"}</definedName>
    <definedName name="wrn.filecopy." localSheetId="9"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1." localSheetId="9" hidden="1">{"WACC_filecopy",#N/A,FALSE,"Inputs";"Beta_filecopy",#N/A,FALSE,"Inputs";"SCF_filecopy",#N/A,FALSE,"Inputs";"ProBS_filecopy",#N/A,FALSE,"Inputs";"BS_filecopy",#N/A,FALSE,"Inputs";"ProIS_filecopy",#N/A,FALSE,"Inputs";"IS_filecopy",#N/A,FALSE,"Inputs"}</definedName>
    <definedName name="wrn.filecopy2." localSheetId="9" hidden="1">{"WACC_filecopy",#N/A,FALSE,"Inputs";"Beta_filecopy",#N/A,FALSE,"Inputs";"SCF_filecopy",#N/A,FALSE,"Inputs";"ProBS_filecopy",#N/A,FALSE,"Inputs";"BS_filecopy",#N/A,FALSE,"Inputs";"ProIS_filecopy",#N/A,FALSE,"Inputs";"IS_filecopy",#N/A,FALSE,"Inputs"}</definedName>
    <definedName name="wrn.Filter." localSheetId="9" hidden="1">{#N/A,#N/A,FALSE,"Assump2";#N/A,#N/A,FALSE,"Income2";#N/A,#N/A,FALSE,"Balance2";#N/A,#N/A,FALSE,"DCF Filter";#N/A,#N/A,FALSE,"Trans Assump2";#N/A,#N/A,FALSE,"Combined Income2";#N/A,#N/A,FALSE,"Combined Balance2"}</definedName>
    <definedName name="wrn.FIN97." localSheetId="9" hidden="1">{#N/A,#N/A,FALSE,"FIN97 DETAIL"}</definedName>
    <definedName name="wrn.financial._.package." localSheetId="9" hidden="1">{#N/A,#N/A,FALSE,"BALANCE SHEET";#N/A,#N/A,FALSE,"IS";#N/A,#N/A,FALSE,"ISCOMPAR";#N/A,#N/A,FALSE,"ADD RETMAR";#N/A,#N/A,FALSE,"VARIOUS COMP";#N/A,#N/A,FALSE,"RATIOS";#N/A,#N/A,FALSE,"GRAPHS"}</definedName>
    <definedName name="wrn.Financial._.Statements._.all._.detail." localSheetId="9" hidden="1">{#N/A,#N/A,TRUE,"P&amp;L CONSOLIDATED";#N/A,#N/A,TRUE,"Cyperus";#N/A,#N/A,TRUE,"ANP";#N/A,#N/A,TRUE,"South Africa";#N/A,#N/A,TRUE,"PRNE CORE";#N/A,#N/A,TRUE,"Targeting";#N/A,#N/A,TRUE,"Distribution";#N/A,#N/A,TRUE,"A - Disclose";#N/A,#N/A,TRUE,"B - Others";#N/A,#N/A,TRUE,"Measurement";#N/A,#N/A,TRUE,"OVERHEADS";#N/A,#N/A,TRUE,"Consolidated B Sheet";#N/A,#N/A,TRUE,"Consolidated Cashflow"}</definedName>
    <definedName name="wrn.Financial_Package." localSheetId="9" hidden="1">{#N/A,#N/A,FALSE,"Cover";#N/A,#N/A,FALSE,"TOC";#N/A,#N/A,FALSE,"IS";#N/A,#N/A,FALSE,"Mo. IS";#N/A,#N/A,FALSE,"Cont By Div";#N/A,#N/A,FALSE,"BS";#N/A,#N/A,FALSE,"CF";#N/A,#N/A,FALSE,"Inventory"}</definedName>
    <definedName name="wrn.Financials." localSheetId="9" hidden="1">{#N/A,#N/A,TRUE,"Income Statement";#N/A,#N/A,TRUE,"Balance Sheet";#N/A,#N/A,TRUE,"Cash Flow"}</definedName>
    <definedName name="wrn.FINANCIALS._.10K." localSheetId="9" hidden="1">{#N/A,#N/A,FALSE,"BS";#N/A,#N/A,FALSE,"PL_10K";#N/A,#N/A,FALSE,"SOE";#N/A,#N/A,FALSE,"SCF"}</definedName>
    <definedName name="wrn.FINANCIALS._.10Q." localSheetId="9" hidden="1">{#N/A,#N/A,FALSE,"BS";#N/A,#N/A,FALSE,"PL_10Q";#N/A,#N/A,FALSE,"SOE";#N/A,#N/A,FALSE,"SCF"}</definedName>
    <definedName name="wrn.Financials_long." localSheetId="9" hidden="1">{"IS",#N/A,FALSE,"Financials2 (Expanded)";"bsa",#N/A,FALSE,"Financials2 (Expanded)";"BS",#N/A,FALSE,"Financials2 (Expanded)";"CF",#N/A,FALSE,"Financials2 (Expanded)"}</definedName>
    <definedName name="wrn.finmodel." localSheetId="9" hidden="1">{#N/A,#N/A,FALSE,"Fin Model"}</definedName>
    <definedName name="wrn.finmodel._1" localSheetId="9" hidden="1">{#N/A,#N/A,FALSE,"Fin Model"}</definedName>
    <definedName name="wrn.finmodel._1_1" localSheetId="9" hidden="1">{#N/A,#N/A,FALSE,"Fin Model"}</definedName>
    <definedName name="wrn.finmodel._1_2" localSheetId="9" hidden="1">{#N/A,#N/A,FALSE,"Fin Model"}</definedName>
    <definedName name="wrn.finmodel._1_3" localSheetId="9" hidden="1">{#N/A,#N/A,FALSE,"Fin Model"}</definedName>
    <definedName name="wrn.finmodel._1_4" localSheetId="9" hidden="1">{#N/A,#N/A,FALSE,"Fin Model"}</definedName>
    <definedName name="wrn.finmodel._2" localSheetId="9" hidden="1">{#N/A,#N/A,FALSE,"Fin Model"}</definedName>
    <definedName name="wrn.finmodel._3" localSheetId="9" hidden="1">{#N/A,#N/A,FALSE,"Fin Model"}</definedName>
    <definedName name="wrn.finmodel._4" localSheetId="9" hidden="1">{#N/A,#N/A,FALSE,"Fin Model"}</definedName>
    <definedName name="wrn.finmodel._5" localSheetId="9" hidden="1">{#N/A,#N/A,FALSE,"Fin Model"}</definedName>
    <definedName name="wrn.first2." localSheetId="9" hidden="1">{#N/A,#N/A,FALSE,"sum-don";#N/A,#N/A,FALSE,"inc-don"}</definedName>
    <definedName name="wrn.first3." localSheetId="9" hidden="1">{#N/A,#N/A,FALSE,"Summary";#N/A,#N/A,FALSE,"proj1";#N/A,#N/A,FALSE,"proj2"}</definedName>
    <definedName name="wrn.first4." localSheetId="9" hidden="1">{#N/A,#N/A,FALSE,"Summary";#N/A,#N/A,FALSE,"proj1";#N/A,#N/A,FALSE,"proj2";#N/A,#N/A,FALSE,"DCF"}</definedName>
    <definedName name="wrn.FISV._.5._.year._.model." localSheetId="9" hidden="1">{"Assns Fax",#N/A,FALSE,"Assumptions";"Financial View",#N/A,FALSE,"Earnings";"DCF View",#N/A,FALSE,"Earnings";"Sensitivity",#N/A,FALSE,"DCF"}</definedName>
    <definedName name="wrn.fleck." localSheetId="9" hidden="1">{"first",#N/A,FALSE,"FLEXPAC2";"second",#N/A,FALSE,"FLEXPAC2"}</definedName>
    <definedName name="wrn.fleckcompac." localSheetId="9" hidden="1">{"one",#N/A,FALSE,"FLEXPAC2";"two",#N/A,FALSE,"FLEXPAC2";"three",#N/A,FALSE,"FLEXPAC2"}</definedName>
    <definedName name="wrn.Followon._.1998" localSheetId="9" hidden="1">{#N/A,#N/A,FALSE,"Summary";#N/A,#N/A,FALSE,"Pending";#N/A,#N/A,FALSE,"Jan'98";#N/A,#N/A,FALSE,"Feb'98";#N/A,#N/A,FALSE,"Mar'98";#N/A,#N/A,FALSE,"Apr'98";#N/A,#N/A,FALSE,"May'98";#N/A,#N/A,FALSE,"June'98";#N/A,#N/A,FALSE,"July'98"}</definedName>
    <definedName name="wrn.FORECAST." localSheetId="9" hidden="1">{"TOT",#N/A,FALSE,"ASFCST99";"TOTINT",#N/A,FALSE,"ASFCST99";"DOM",#N/A,FALSE,"ASFCST99";"NORTHATL",#N/A,FALSE,"ASFCST99";"PACIFIC",#N/A,FALSE,"ASFCST99";"LATAM",#N/A,FALSE,"ASFCST99"}</definedName>
    <definedName name="wrn.forecast2qf." localSheetId="9" hidden="1">{#N/A,#N/A,FALSE,"REV 110 PRNE (Bureau-Frankfurt)";#N/A,#N/A,FALSE,"REV 120 PRNE (Bureau - Paris)"}</definedName>
    <definedName name="wrn.forms." localSheetId="9" hidden="1">{#N/A,#N/A,FALSE,"Set-Up";#N/A,#N/A,FALSE,"Comparison";#N/A,#N/A,FALSE,"AR";#N/A,#N/A,FALSE,"Inv";#N/A,#N/A,FALSE,"Concentrations";#N/A,#N/A,FALSE,"Past Dues";#N/A,#N/A,FALSE,"Trends";#N/A,#N/A,FALSE,"AR Trends";#N/A,#N/A,FALSE,"Inv Trends"}</definedName>
    <definedName name="wrn.FRANCE._.FINANCIALS." localSheetId="9" hidden="1">{#N/A,#N/A,FALSE,"COMP BS-FRANCE";#N/A,#N/A,FALSE,"96 COMP P&amp;L-FRANCE";#N/A,#N/A,FALSE,"BUD VS ACT FRAN 96";#N/A,#N/A,FALSE,"B/S - FRANCE"}</definedName>
    <definedName name="wrn.FS._.AND._.TBLS._.10K." localSheetId="9"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2005." localSheetId="9" hidden="1">{"BS-Yearly",#N/A,TRUE,"BS-Year";"BS-Monthly-2005",#N/A,TRUE,"BS"}</definedName>
    <definedName name="wrn.full." localSheetId="9" hidden="1">{"vi1",#N/A,FALSE,"Pagcc";"vi2",#N/A,FALSE,"Pagcc";"vi3",#N/A,FALSE,"Pagcc";"vi4",#N/A,FALSE,"Pagcc";"vi5",#N/A,FALSE,"Pagcc";#N/A,#N/A,FALSE,"Contribution"}</definedName>
    <definedName name="wrn.Full._.Budget." localSheetId="9" hidden="1">{#N/A,#N/A,FALSE,"IS-Month";#N/A,#N/A,FALSE,"IS-Qtr";#N/A,#N/A,FALSE,"Bal";#N/A,#N/A,FALSE,"Flow";#N/A,#N/A,FALSE,"Volumes";#N/A,#N/A,FALSE,"LOE";#N/A,#N/A,FALSE,"Revenues";#N/A,#N/A,FALSE,"OpMar";#N/A,#N/A,FALSE,"DD&amp;A";#N/A,#N/A,FALSE,"Oil $";#N/A,#N/A,FALSE,"Gas $";#N/A,#N/A,FALSE,"Swaps";#N/A,#N/A,FALSE,"CAPEX";#N/A,#N/A,FALSE,"G&amp;A";#N/A,#N/A,FALSE,"Debt";#N/A,#N/A,FALSE,"Interest"}</definedName>
    <definedName name="wrn.Full._.Financials." localSheetId="9" hidden="1">{#N/A,#N/A,TRUE,"Financials";#N/A,#N/A,TRUE,"Operating Statistics";#N/A,#N/A,TRUE,"Capex &amp; Depreciation";#N/A,#N/A,TRUE,"Debt"}</definedName>
    <definedName name="wrn.Full._.Model." localSheetId="9" hidden="1">{#N/A,#N/A,FALSE,"Cov";#N/A,#N/A,FALSE,"sum (2)";#N/A,#N/A,FALSE,"bs";#N/A,#N/A,FALSE,"is";#N/A,#N/A,FALSE,"pis";#N/A,#N/A,FALSE,"cf";#N/A,#N/A,FALSE,"wc";#N/A,#N/A,FALSE,"ltd";#N/A,#N/A,FALSE,"cover";#N/A,#N/A,FALSE,"irr (2)";#N/A,#N/A,FALSE,"in"}</definedName>
    <definedName name="wrn.Full._.Monty." localSheetId="9" hidden="1">{"ROIC",#N/A,FALSE,"ROIC";"Graphs",#N/A,FALSE,"TY analysis";"fcf",#N/A,FALSE,"FCF";"Matrix_2004",#N/A,FALSE,"MATRIX(2004)";"matrix_2008",#N/A,FALSE,"MATRIX(2008)";"FS_Condensed",#N/A,FALSE,"Financial Statements2";"TAXES",#N/A,FALSE,"Taxes";"DEBT_INVEST",#N/A,FALSE,"Debt&amp;Investment Schedule";"Main_menu",#N/A,FALSE,"Main Menu"}</definedName>
    <definedName name="wrn.Full._.Package." localSheetId="9"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rint._.Out." localSheetId="9"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 localSheetId="9"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1" localSheetId="9"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2" localSheetId="9"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3" localSheetId="9"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4" localSheetId="9"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2" localSheetId="9"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3" localSheetId="9"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4" localSheetId="9"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5" localSheetId="9"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report." localSheetId="9"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Workbook._.Report." localSheetId="9" hidden="1">{"Balance Sheet Summary",#N/A,TRUE,"Balance Sheet";"Cash Flow Summary",#N/A,TRUE,"Cash Flow";"Capital Plan CA Schedule",#N/A,TRUE,"Capital Plan";"Capital Plan Summary",#N/A,TRUE,"Capital Plan"}</definedName>
    <definedName name="wrn.Full_Template." localSheetId="9"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nd._.II." localSheetId="9"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Adv.._.Brd._.June._.2000." localSheetId="9" hidden="1">{#N/A,#N/A,TRUE,"FD II Portfolio Summary";#N/A,#N/A,TRUE,"JRI";#N/A,#N/A,TRUE,"NDS";#N/A,#N/A,TRUE,"Weasler";#N/A,#N/A,TRUE,"Stronghaven";#N/A,#N/A,TRUE,"Connor";#N/A,#N/A,TRUE,"Docu";#N/A,#N/A,TRUE,"HWC";#N/A,#N/A,TRUE,"Temple"}</definedName>
    <definedName name="wrn.Fund._.II._.Adv._.Mtg.." localSheetId="9"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Mtg.." localSheetId="9"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I." localSheetId="9"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Adv.._.Brd.._.June._.2000." localSheetId="9"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Mtg.." localSheetId="9"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V._.Adv.._.Brd.._.June._.2000." localSheetId="9" hidden="1">{#N/A,#N/A,TRUE,"FD IV Portfolio Summary ";#N/A,#N/A,TRUE,"Western";#N/A,#N/A,TRUE,"Kranson";#N/A,#N/A,TRUE,"ARC";#N/A,#N/A,TRUE,"Precise";#N/A,#N/A,TRUE,"WNA"}</definedName>
    <definedName name="wrn.FUNDING._.ANALYSIS._.PRINT." localSheetId="9"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nel._.Report." localSheetId="9" hidden="1">{#N/A,#N/A,FALSE,"funnel";#N/A,#N/A,FALSE,"AE Summary";#N/A,#N/A,FALSE,"Product Summary"}</definedName>
    <definedName name="wrn.FY00._.all._.reports." localSheetId="9" hidden="1">{"cash flow - FY00",#N/A,FALSE,"P &amp; L";"qtrly summ-FY00",#N/A,FALSE,"P &amp; L";"monthly P&amp;L-FY00",#N/A,FALSE,"P &amp; L";"P&amp;L FY00",#N/A,FALSE,"P &amp; L";"BS FY00",#N/A,FALSE,"P &amp; L";"staffing - FY00",#N/A,FALSE,"P &amp; L"}</definedName>
    <definedName name="wrn.FY01._.all._.reports." localSheetId="9" hidden="1">{"qtrly summ-FY01",#N/A,FALSE,"P &amp; L";"monthly P&amp;L-FY01",#N/A,FALSE,"P &amp; L";"cash flow - FY01",#N/A,FALSE,"P &amp; L";"P&amp;L FY01",#N/A,FALSE,"P &amp; L";"BS FY01",#N/A,FALSE,"P &amp; L";"staffing - FY01",#N/A,FALSE,"P &amp; L"}</definedName>
    <definedName name="wrn.FY01_Fin_Stmts." localSheetId="9" hidden="1">{"FY01_Assets",#N/A,FALSE,"Fin Stmt Budget";"FY01_Liabilities",#N/A,FALSE,"Fin Stmt Budget";"FY01_Inc_Stmt",#N/A,FALSE,"Fin Stmt Budget";"FY01_SOCF",#N/A,FALSE,"Fin Stmt Budget"}</definedName>
    <definedName name="wrn.FY02._.all._.reports." localSheetId="9" hidden="1">{"cash flow - FY02",#N/A,FALSE,"P &amp; L";"qtrly summ-FY02",#N/A,FALSE,"P &amp; L";"monthly P&amp;L-FY02",#N/A,FALSE,"P &amp; L";"P&amp;L FY02",#N/A,FALSE,"P &amp; L";"BS FY02",#N/A,FALSE,"P &amp; L";"staffing - FY02",#N/A,FALSE,"P &amp; L"}</definedName>
    <definedName name="wrn.FY02_Fin_Stmts." localSheetId="9" hidden="1">{"FY02_Assets",#N/A,FALSE,"Fin Stmt Budget";"FY02_Liabilities",#N/A,FALSE,"Fin Stmt Budget";"FY02_Inc_Stmt",#N/A,FALSE,"Fin Stmt Budget";"FY02_SOCF",#N/A,FALSE,"Fin Stmt Budget"}</definedName>
    <definedName name="wrn.FY03._.all._.reports." localSheetId="9" hidden="1">{"cash flow - FY03",#N/A,FALSE,"P &amp; L";"qtrly summ-FY03",#N/A,FALSE,"P &amp; L";"monthly P&amp;L-FY03",#N/A,FALSE,"P &amp; L";"P&amp;L FY03",#N/A,FALSE,"P &amp; L";"BS FY03",#N/A,FALSE,"P &amp; L";"staffing - FY03",#N/A,FALSE,"P &amp; L"}</definedName>
    <definedName name="wrn.FY03_Fin_Stmts." localSheetId="9" hidden="1">{"FY03_Assets",#N/A,FALSE,"Fin Stmt Budget";"FY03_Liabilities",#N/A,FALSE,"Fin Stmt Budget";"FY03_Inc_Stmt",#N/A,FALSE,"Fin Stmt Budget";"FY03_SOCF",#N/A,FALSE,"Fin Stmt Budget"}</definedName>
    <definedName name="wrn.FY04_Fin._.Stmts." localSheetId="9" hidden="1">{"FY04_Assets",#N/A,FALSE,"Fin Stmt Budget";"FY04_Liabilities",#N/A,FALSE,"Fin Stmt Budget";"FY04_Inc_Stmt",#N/A,FALSE,"Fin Stmt Budget";"FY04_SOCF",#N/A,FALSE,"Fin Stmt Budget"}</definedName>
    <definedName name="wrn.FY06" localSheetId="9" hidden="1">{"FY04_Assets",#N/A,FALSE,"Fin Stmt Budget";"FY04_Liabilities",#N/A,FALSE,"Fin Stmt Budget";"FY04_Inc_Stmt",#N/A,FALSE,"Fin Stmt Budget";"FY04_SOCF",#N/A,FALSE,"Fin Stmt Budget"}</definedName>
    <definedName name="wrn.FY07" localSheetId="9" hidden="1">{"FY01_Assets",#N/A,FALSE,"Fin Stmt Budget";"FY01_Liabilities",#N/A,FALSE,"Fin Stmt Budget";"FY01_Inc_Stmt",#N/A,FALSE,"Fin Stmt Budget";"FY01_SOCF",#N/A,FALSE,"Fin Stmt Budget"}</definedName>
    <definedName name="wrn.FY07_fin" localSheetId="9" hidden="1">{"FY04_Assets",#N/A,FALSE,"Fin Stmt Budget";"FY04_Liabilities",#N/A,FALSE,"Fin Stmt Budget";"FY04_Inc_Stmt",#N/A,FALSE,"Fin Stmt Budget";"FY04_SOCF",#N/A,FALSE,"Fin Stmt Budget"}</definedName>
    <definedName name="wrn.FY96sbp99" localSheetId="9" hidden="1">{#N/A,#N/A,FALSE,"FY97";#N/A,#N/A,FALSE,"FY98";#N/A,#N/A,FALSE,"FY99";#N/A,#N/A,FALSE,"FY00";#N/A,#N/A,FALSE,"FY01"}</definedName>
    <definedName name="wrn.FY97SBP." localSheetId="9" hidden="1">{#N/A,#N/A,FALSE,"FY97";#N/A,#N/A,FALSE,"FY98";#N/A,#N/A,FALSE,"FY99";#N/A,#N/A,FALSE,"FY00";#N/A,#N/A,FALSE,"FY01"}</definedName>
    <definedName name="wrn.FY97SBP2" localSheetId="9" hidden="1">{#N/A,#N/A,FALSE,"FY97";#N/A,#N/A,FALSE,"FY98";#N/A,#N/A,FALSE,"FY99";#N/A,#N/A,FALSE,"FY00";#N/A,#N/A,FALSE,"FY01"}</definedName>
    <definedName name="wrn.GCIall." localSheetId="9" hidden="1">{"gcicash",#N/A,FALSE,"GCIINC";"gciinc",#N/A,FALSE,"GCIINC";"gciexclusa",#N/A,FALSE,"GCIINC";"usatdy",#N/A,FALSE,"GCIINC"}</definedName>
    <definedName name="wrn.General._.OTC." localSheetId="9" hidden="1">{#N/A,#N/A,FALSE,"Title Page (3)";#N/A,#N/A,FALSE,"YTD - OTC";#N/A,#N/A,FALSE,"MTH - OTC"}</definedName>
    <definedName name="wrn.General._.Pharm." localSheetId="9" hidden="1">{#N/A,#N/A,FALSE,"Title Page (2)";#N/A,#N/A,FALSE,"YTD - Pharm";#N/A,#N/A,FALSE,"MTH - Pharm"}</definedName>
    <definedName name="wrn.General._.Total." localSheetId="9" hidden="1">{#N/A,#N/A,FALSE,"Title Page (4)";#N/A,#N/A,FALSE,"YTD - Total";#N/A,#N/A,FALSE,"MTH - Total"}</definedName>
    <definedName name="wrn.Gesamtausdruck._.alle._.Perioden." localSheetId="9" hidden="1">{"Alle Perioden",#N/A,FALSE,"Erf";"Alle Perioden",#N/A,FALSE,"Ang";"Alle Perioden",#N/A,FALSE,"BV";"Alle Perioden",#N/A,FALSE,"BE";"Alle Perioden",#N/A,FALSE,"Re";"Alle Perioden",#N/A,FALSE,"Vol";"Alle Perioden",#N/A,FALSE,"BV100";"Alle Perioden",#N/A,FALSE,"BE100";"Alle Perioden",#N/A,FALSE,"Re100";"Alle Perioden",#N/A,FALSE,"Vol100"}</definedName>
    <definedName name="wrn.Gesamtausdruck._.erste._.elf._.Perioden." localSheetId="9" hidden="1">{"Erste elf Perioden",#N/A,FALSE,"Erf";"Erste elf Perioden",#N/A,FALSE,"Ang";"Erste elf Perioden",#N/A,FALSE,"BV";"Erste elf Perioden",#N/A,FALSE,"BE";"Erste elf Perioden",#N/A,FALSE,"Re";"Erste elf Perioden",#N/A,FALSE,"Vol";"Erste elf Perioden",#N/A,FALSE,"BV100";"Erste elf Perioden",#N/A,FALSE,"BE100";"Erste elf Perioden",#N/A,FALSE,"Re100";"Erste elf Perioden",#N/A,FALSE,"Vol100"}</definedName>
    <definedName name="wrn.GIS." localSheetId="9" hidden="1">{#N/A,#N/A,FALSE,"GIS"}</definedName>
    <definedName name="wrn.GJE_NBR_7_Print_Job." localSheetId="9" hidden="1">{"Accrual_Calculation",#N/A,FALSE,"Comp Calc";"SJE#7",#N/A,FALSE,"GJE"}</definedName>
    <definedName name="wrn.graph." localSheetId="9" hidden="1">{"graph",#N/A,FALSE,"RIGCOUNT";"graph",#N/A,FALSE,"ON_OFFSHORE";"graph",#N/A,FALSE,"crewcnt";"graph",#N/A,FALSE,"OILvGAS";"graph",#N/A,FALSE,"OFF_RIGCOUNT";"graph",#N/A,FALSE,"indep perf";"graph",#N/A,FALSE,"oil serv perf"}</definedName>
    <definedName name="wrn.GRAPHS." localSheetId="9" hidden="1">{#N/A,#N/A,FALSE,"ACQ_GRAPHS";#N/A,#N/A,FALSE,"T_1 GRAPHS";#N/A,#N/A,FALSE,"T_2 GRAPHS";#N/A,#N/A,FALSE,"COMB_GRAPHS"}</definedName>
    <definedName name="wrn.gross._.margin._.detail." localSheetId="9" hidden="1">{"gross_margin1",#N/A,FALSE,"Gross Margin Detail";"gross_margin2",#N/A,FALSE,"Gross Margin Detail"}</definedName>
    <definedName name="wrn.Gross._.Profit._.Report." localSheetId="9" hidden="1">{"Monthly",#N/A,FALSE,"Phosphate Gross Profit";"Quarterly",#N/A,FALSE,"Phosphate Gross Profit"}</definedName>
    <definedName name="wrn.Group._.budget._.months._.only." localSheetId="9" hidden="1">{"Group Budget months only",#N/A,TRUE,"Profit and Loss";"Group Budget months only",#N/A,TRUE,"Firm capex";"Group Budget months only",#N/A,TRUE,"Gross profit analysis";"Group Budget months only",#N/A,TRUE,"Cashflow";"Group Budget months only",#N/A,TRUE,"Balance Sheet"}</definedName>
    <definedName name="wrn.Group._.budget._.years._.only." localSheetId="9" hidden="1">{"Group Budget years only",#N/A,TRUE,"Profit and Loss";"Group Budget years only",#N/A,TRUE,"Firm capex";"Group Budget years only",#N/A,TRUE,"Gross profit analysis";"Group Budget years only",#N/A,TRUE,"Cashflow";"Group Budget years only",#N/A,TRUE,"Balance Sheet"}</definedName>
    <definedName name="wrn.Growth." localSheetId="9" hidden="1">{#N/A,#N/A,FALSE,"Rev Grwth";#N/A,#N/A,FALSE,"Op Inc Grwth";#N/A,#N/A,FALSE,"Net Grwth";#N/A,#N/A,FALSE,"EPS Growth"}</definedName>
    <definedName name="wrn.Guillaume." localSheetId="9" hidden="1">{"MARCH",#N/A,FALSE,"CONSO OPEX 5899";"FullOpex",#N/A,FALSE,"CONSO OPEX 5899"}</definedName>
    <definedName name="wrn.HAMMOND." localSheetId="9"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NDOUT." localSheetId="9" hidden="1">{#N/A,#N/A,FALSE,"COVER PAGE";#N/A,#N/A,FALSE,"Page 2";#N/A,#N/A,FALSE,"Page 2";#N/A,#N/A,FALSE,"Page 4";#N/A,#N/A,FALSE,"Page5";#N/A,#N/A,FALSE,"Page 6";#N/A,#N/A,FALSE,"Page 7";#N/A,#N/A,FALSE,"Page 8";#N/A,#N/A,FALSE,"Page 10";#N/A,#N/A,FALSE,"Long-Term OCF Mult.";#N/A,#N/A,FALSE,"PCS Comp";#N/A,#N/A,FALSE,"OCS-CAPEX";#N/A,#N/A,FALSE,"Blank"}</definedName>
    <definedName name="wrn.HEAT." localSheetId="9" hidden="1">{#N/A,#N/A,FALSE,"Heat";#N/A,#N/A,FALSE,"DCF";#N/A,#N/A,FALSE,"LBO";#N/A,#N/A,FALSE,"A";#N/A,#N/A,FALSE,"C";#N/A,#N/A,FALSE,"impd";#N/A,#N/A,FALSE,"Accr-Dilu"}</definedName>
    <definedName name="wrn.historical." localSheetId="9"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_.performance." localSheetId="9" hidden="1">{"historical acquirer",#N/A,FALSE,"Historical Performance";"historical target",#N/A,FALSE,"Historical Performance"}</definedName>
    <definedName name="wrn.historical._.rev._.backup." localSheetId="9" hidden="1">{"rev_history_revenueDetail",#N/A,FALSE,"historical rev us";"rev_history_minutesDetail",#N/A,FALSE,"historical rev us"}</definedName>
    <definedName name="wrn.HNZ." localSheetId="9" hidden="1">{#N/A,#N/A,FALSE,"HNZ"}</definedName>
    <definedName name="wrn.HSSH._.budget._.months._.NLG." localSheetId="9"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localSheetId="9"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localSheetId="9" hidden="1">{"HSSH Budget years NLG",#N/A,TRUE,"Profit and Loss";"HSSH Budget years NLG",#N/A,TRUE,"Firm capex";"HSSH Budget years NLG",#N/A,TRUE,"Gross profit analysis";"HSSH Budget years NLG",#N/A,TRUE,"Cashflow";"HSSH Budget years NLG",#N/A,TRUE,"Balance Sheet"}</definedName>
    <definedName name="wrn.HSSH._.Budget._.years._.sterling." localSheetId="9" hidden="1">{"HSSH Budget years sterling",#N/A,TRUE,"Profit and Loss";"HSSH Budget years sterling",#N/A,TRUE,"Firm capex";"HSSH Budget years sterling",#N/A,TRUE,"Gross profit analysis";"HSSH Budget years sterling",#N/A,TRUE,"Cashflow";"HSSH Budget years sterling",#N/A,TRUE,"Balance Sheet"}</definedName>
    <definedName name="wrn.Hydraulic." localSheetId="9"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9" hidden="1">{#N/A,#N/A,FALSE,"HuscoCombined-Summ";#N/A,#N/A,FALSE,"HuscoCombined-Income";#N/A,#N/A,FALSE,"HuscoCombined-Offering";#N/A,#N/A,FALSE,"Husco-Income";#N/A,#N/A,FALSE,"TargetEngineer";#N/A,#N/A,FALSE,"TargetAcqCalc";#N/A,#N/A,FALSE,"Husco-Acq"}</definedName>
    <definedName name="wrn.IDPH." localSheetId="9" hidden="1">{"Rituxan Revenues",#N/A,FALSE,"B cell Revenues";"QEarn1",#N/A,FALSE,"Qearn";"QEarn2",#N/A,FALSE,"Qearn";"QMargin",#N/A,FALSE,"qmargin";"Cashflow",#N/A,FALSE,"cashflow";"Product Pipeline",#N/A,FALSE,"Product Pipeline"}</definedName>
    <definedName name="wrn.II._.PortRev33102." localSheetId="9" hidden="1">{#N/A,#N/A,TRUE,"Port Summary II";#N/A,#N/A,TRUE,"BV Valuation";#N/A,#N/A,TRUE,"FV Valuation";#N/A,#N/A,TRUE,"JRI";#N/A,#N/A,TRUE,"Weasler";#N/A,#N/A,TRUE,"Stronghaven";#N/A,#N/A,TRUE,"Connor";#N/A,#N/A,TRUE,"HWC";#N/A,#N/A,TRUE,"Temple"}</definedName>
    <definedName name="wrn.III." localSheetId="9" hidden="1">{"CASHFLOW",#N/A,FALSE,"Northpointe"}</definedName>
    <definedName name="wrn.III1." localSheetId="9" hidden="1">{"CASHFLOW",#N/A,FALSE,"Northpointe"}</definedName>
    <definedName name="wrn.Ilijan._.Print." localSheetId="9"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mp_sommaire." localSheetId="9" hidden="1">{"imp_Sommaire",#N/A,FALSE,"REV IMMOBILIER"}</definedName>
    <definedName name="wrn.imp_Tous." localSheetId="9" hidden="1">{"imp_0196",#N/A,FALSE,"0019";"imp_0000",#N/A,FALSE,"0000";"imp_0214",#N/A,FALSE,"0214";"imp_0143",#N/A,FALSE,"0143";"imp_0144",#N/A,FALSE,"0144";"imp_0154",#N/A,FALSE,"0154";"imp_0155",#N/A,FALSE,"0155";"imp_0161",#N/A,FALSE,"0161";"imp_0205",#N/A,FALSE,"0205";"imp_0196",#N/A,FALSE,"0196"}</definedName>
    <definedName name="wrn.Income." localSheetId="9" hidden="1">{#N/A,#N/A,TRUE,"Income";#N/A,#N/A,TRUE,"IncomeDetail";#N/A,#N/A,TRUE,"Balance";#N/A,#N/A,TRUE,"BalDetail"}</definedName>
    <definedName name="wrn.Income._.State." localSheetId="9" hidden="1">{#N/A,#N/A,FALSE,"Income statement";#N/A,#N/A,FALSE,"Income Statement by Plant"}</definedName>
    <definedName name="wrn.Income._.State._.and._.CapEx." localSheetId="9" hidden="1">{#N/A,#N/A,FALSE,"Income statement";#N/A,#N/A,FALSE,"Income Statement by Plant"}</definedName>
    <definedName name="wrn.INCOME._.STATEMENT." localSheetId="9" hidden="1">{"INCOME STATEMENT",#N/A,FALSE,"Income Statement"}</definedName>
    <definedName name="wrn.Income._.Statement._1" localSheetId="9" hidden="1">{"% Growth",#N/A,FALSE,"Income Statement";"% of GDAR",#N/A,FALSE,"Income Statement"}</definedName>
    <definedName name="wrn.Income._.Statement._1_1" localSheetId="9" hidden="1">{"% Growth",#N/A,FALSE,"Income Statement";"% of GDAR",#N/A,FALSE,"Income Statement"}</definedName>
    <definedName name="wrn.Income._.Statement._1_2" localSheetId="9" hidden="1">{"% Growth",#N/A,FALSE,"Income Statement";"% of GDAR",#N/A,FALSE,"Income Statement"}</definedName>
    <definedName name="wrn.Income._.Statement._1_3" localSheetId="9" hidden="1">{"% Growth",#N/A,FALSE,"Income Statement";"% of GDAR",#N/A,FALSE,"Income Statement"}</definedName>
    <definedName name="wrn.Income._.Statement._1_4" localSheetId="9" hidden="1">{"% Growth",#N/A,FALSE,"Income Statement";"% of GDAR",#N/A,FALSE,"Income Statement"}</definedName>
    <definedName name="wrn.Income._.Statement._2" localSheetId="9" hidden="1">{"% Growth",#N/A,FALSE,"Income Statement";"% of GDAR",#N/A,FALSE,"Income Statement"}</definedName>
    <definedName name="wrn.Income._.Statement._3" localSheetId="9" hidden="1">{"% Growth",#N/A,FALSE,"Income Statement";"% of GDAR",#N/A,FALSE,"Income Statement"}</definedName>
    <definedName name="wrn.Income._.Statement._4" localSheetId="9" hidden="1">{"% Growth",#N/A,FALSE,"Income Statement";"% of GDAR",#N/A,FALSE,"Income Statement"}</definedName>
    <definedName name="wrn.Income._.Statement._5" localSheetId="9" hidden="1">{"% Growth",#N/A,FALSE,"Income Statement";"% of GDAR",#N/A,FALSE,"Income Statement"}</definedName>
    <definedName name="wrn.Income._.Statements." localSheetId="9" hidden="1">{"Income Statement",#N/A,FALSE,"P&amp;L - $";"Quarterly Income Statement",#N/A,FALSE,"P&amp;L Detail"}</definedName>
    <definedName name="wrn.INDEPS." localSheetId="9" hidden="1">{"page1",#N/A,FALSE,"TIND_CC1";"page2",#N/A,FALSE,"TIND_CC1";"page3",#N/A,FALSE,"TIND_CC1";"page4",#N/A,FALSE,"TIND_CC1";"page5",#N/A,FALSE,"TIND_CC1"}</definedName>
    <definedName name="wrn.Individual._.Statements." localSheetId="9" hidden="1">{"barlup",#N/A,FALSE,"evabnk97";"gillespey",#N/A,FALSE,"evabnk97";"koon",#N/A,FALSE,"evabnk97";"schreur",#N/A,FALSE,"evabnk97";"stone",#N/A,FALSE,"evabnk97";"wichmann",#N/A,FALSE,"evabnk97";"wright",#N/A,FALSE,"evabnk97"}</definedName>
    <definedName name="wrn.Industry.xls." localSheetId="9" hidden="1">{#N/A,#N/A,FALSE,"Earnings";#N/A,#N/A,FALSE,"Overview";#N/A,#N/A,FALSE,"Summary";#N/A,#N/A,FALSE,"Summary II";#N/A,#N/A,FALSE,"R&amp;D";#N/A,#N/A,FALSE,"R&amp;D Forecast";#N/A,#N/A,FALSE,"Tax Adj";#N/A,#N/A,FALSE,"Goodwill";#N/A,#N/A,FALSE,"FX ";#N/A,#N/A,FALSE,"Consolidation";#N/A,#N/A,FALSE,"Provisions"}</definedName>
    <definedName name="wrn.Infectious._.Diseases." localSheetId="9" hidden="1">{#N/A,#N/A,FALSE,"Anti";#N/A,#N/A,FALSE,"Cefa";#N/A,#N/A,FALSE,"Ceph";#N/A,#N/A,FALSE,"Cefp";#N/A,#N/A,FALSE,"Cefe";#N/A,#N/A,FALSE,"Pens";#N/A,#N/A,FALSE,"Ampi";#N/A,#N/A,FALSE,"Amox";#N/A,#N/A,FALSE,"Isox";#N/A,#N/A,FALSE,"Aztr";#N/A,#N/A,FALSE,"Videx";#N/A,#N/A,FALSE,"Zerit"}</definedName>
    <definedName name="wrn.info." localSheetId="9" hidden="1">{#N/A,#N/A,FALSE,"INFORMATIQUE"}</definedName>
    <definedName name="wrn.input._.and._.output." localSheetId="9" hidden="1">{"EBITDA",#N/A,TRUE,"P&amp;L Net of Disc Ops";"output net of disc ops",#N/A,TRUE,"Revenue";"input",#N/A,TRUE,"Revenue";"output",#N/A,TRUE,"DC";"Input",#N/A,TRUE,"DC";"MTN and MCN",#N/A,TRUE,"Margin";"output detail line items",#N/A,TRUE,"SGA";"personnel by year",#N/A,TRUE,"Payroll";#N/A,#N/A,TRUE,"CapEx"}</definedName>
    <definedName name="wrn.Input._.Print._.Area." localSheetId="9" hidden="1">{#N/A,#N/A,FALSE,"inputs";#N/A,#N/A,FALSE,"inputs"}</definedName>
    <definedName name="wrn.Inputs." localSheetId="9" hidden="1">{"ABF inputs",#N/A,FALSE,"ABF";"ICI inputs",#N/A,FALSE,"ICI"}</definedName>
    <definedName name="wrn.Instructor._.Tips." localSheetId="9"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ternal." localSheetId="9" hidden="1">{#N/A,#N/A,TRUE,"COVER INT";#N/A,#N/A,TRUE,"SUMMARY INT";#N/A,#N/A,TRUE,"INCOME STMT INT";#N/A,#N/A,TRUE,"IS TREND";#N/A,#N/A,TRUE,"BALANCE SHEET INT";#N/A,#N/A,TRUE,"BS TREND";#N/A,#N/A,TRUE,"CASH FLOW INT";#N/A,#N/A,TRUE,"CF TREND";#N/A,#N/A,TRUE,"SALES BY TERR INT";#N/A,#N/A,TRUE,"UNITS INT";#N/A,#N/A,TRUE,"PRODUCT SALES INT";#N/A,#N/A,TRUE,"ASP's INT";#N/A,#N/A,TRUE,"GROSS MARGINS INT";#N/A,#N/A,TRUE,"MARGINS PER UNIT INT";#N/A,#N/A,TRUE,"INVENTORY INT";#N/A,#N/A,TRUE,"HEADCOUNT INT";#N/A,#N/A,TRUE,"DEBT STRUCTURE Int";#N/A,#N/A,TRUE," AR"}</definedName>
    <definedName name="wrn.Internal._.Report._.for._.Martha." localSheetId="9"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vestment._.Summary." localSheetId="9" hidden="1">{#N/A,#N/A,TRUE,"Summary";#N/A,#N/A,TRUE,"Financials";#N/A,#N/A,TRUE,"Assumptions";#N/A,#N/A,TRUE,"Pro Forma";#N/A,#N/A,TRUE,"Debt";#N/A,#N/A,TRUE,"Amortization";#N/A,#N/A,TRUE,"GG Returns"}</definedName>
    <definedName name="wrn.IPIX." localSheetId="9" hidden="1">{#N/A,#N/A,FALSE,"Report Print"}</definedName>
    <definedName name="wrn.IPO." localSheetId="9" hidden="1">{#N/A,#N/A,FALSE,"Summary";#N/A,#N/A,FALSE,"Jan'97";#N/A,#N/A,FALSE,"Feb'97";#N/A,#N/A,FALSE,"Mar'97";#N/A,#N/A,FALSE,"Apr'97";#N/A,#N/A,FALSE,"May'97";#N/A,#N/A,FALSE,"Jun'97";#N/A,#N/A,FALSE,"Jul'97";#N/A,#N/A,FALSE,"Aug'97";#N/A,#N/A,FALSE,"Sept'97";#N/A,#N/A,FALSE,"Oct'97";#N/A,#N/A,FALSE,"Nov'97";#N/A,#N/A,FALSE,"Dec'97";#N/A,#N/A,FALSE,"Pending"}</definedName>
    <definedName name="wrn.IPO._.1998." localSheetId="9" hidden="1">{#N/A,#N/A,FALSE,"Summary";#N/A,#N/A,FALSE,"Pending";#N/A,#N/A,FALSE,"Jan'98";#N/A,#N/A,FALSE,"Feb'98";#N/A,#N/A,FALSE,"Mar'98";#N/A,#N/A,FALSE,"Apr'98";#N/A,#N/A,FALSE,"May'98";#N/A,#N/A,FALSE,"June'98";#N/A,#N/A,FALSE,"July'98"}</definedName>
    <definedName name="wrn.IPO._.Analysis." localSheetId="9" hidden="1">{#N/A,#N/A,FALSE,"Summary";#N/A,#N/A,FALSE,"Pending";#N/A,#N/A,FALSE,"Oct'97";#N/A,#N/A,FALSE,"Sept'97";#N/A,#N/A,FALSE,"Aug'97";#N/A,#N/A,FALSE,"Jul'97";#N/A,#N/A,FALSE,"Jun'97";#N/A,#N/A,FALSE,"May'97";#N/A,#N/A,FALSE,"Apr'97";#N/A,#N/A,FALSE,"Mar'97";#N/A,#N/A,FALSE,"Feb'97";#N/A,#N/A,FALSE,"Jan'97"}</definedName>
    <definedName name="wrn.IPO._.Valuation." localSheetId="9" hidden="1">{"assumptions",#N/A,FALSE,"Scenario 1";"valuation",#N/A,FALSE,"Scenario 1"}</definedName>
    <definedName name="wrn.ipovalue." localSheetId="9" hidden="1">{#N/A,#N/A,FALSE,"puboff";#N/A,#N/A,FALSE,"valuation";#N/A,#N/A,FALSE,"finanalsis";#N/A,#N/A,FALSE,"split";#N/A,#N/A,FALSE,"ownership"}</definedName>
    <definedName name="wrn.IS._.Q96." localSheetId="9" hidden="1">{"IS Q96",#N/A,FALSE,"Income Statement"}</definedName>
    <definedName name="wrn.IS._.Q97." localSheetId="9" hidden="1">{"IS Q97",#N/A,FALSE,"Income Statement"}</definedName>
    <definedName name="wrn.IS._.Years." localSheetId="9" hidden="1">{"IS Years",#N/A,FALSE,"Income Statement"}</definedName>
    <definedName name="wrn.IS_BS_SCF." localSheetId="9" hidden="1">{#N/A,#N/A,FALSE,"Income Statement";#N/A,#N/A,FALSE,"Balance Sheet";#N/A,#N/A,FALSE,"Cash Flow"}</definedName>
    <definedName name="wrn.ISCG._.model." localSheetId="9" hidden="1">{#N/A,#N/A,FALSE,"Second";#N/A,#N/A,FALSE,"ownership";#N/A,#N/A,FALSE,"Valuation";#N/A,#N/A,FALSE,"Eqiv";#N/A,#N/A,FALSE,"Mults";#N/A,#N/A,FALSE,"ISCG Graphics"}</definedName>
    <definedName name="wrn.IV." localSheetId="9" hidden="1">{"CASHFLOW",#N/A,FALSE,"Northpointe"}</definedName>
    <definedName name="wrn.JANI._.REBATES." localSheetId="9" hidden="1">{"TOTAL",#N/A,FALSE,"A";"FISCAL94",#N/A,FALSE,"A";"FISCAL95",#N/A,FALSE,"A";"FISCAL96",#N/A,FALSE,"A";"misc page",#N/A,FALSE,"A"}</definedName>
    <definedName name="wrn.jerrys_copy." localSheetId="9"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ODM._.Graphs." localSheetId="9" hidden="1">{"graph",#N/A,FALSE,"WWJU";"graph",#N/A,FALSE,"WWSEM";"graph",#N/A,FALSE,"GOMJU";"graph",#N/A,FALSE,"GOMSEM";"graph",#N/A,FALSE,"NSJU";"graph",#N/A,FALSE,"NSSEM";"graph",#N/A,FALSE,"WAJU";"graph",#N/A,FALSE,"STOCKPRI";"graph",#N/A,FALSE,"CFTEV";"graph",#N/A,FALSE,"NAV-RCV";"graph",#N/A,FALSE,"CRUDEWW"}</definedName>
    <definedName name="wrn.July._.Final." localSheetId="9" hidden="1">{#N/A,#N/A,TRUE,"Mth Sum";#N/A,#N/A,TRUE,"YTD Sum";#N/A,#N/A,TRUE,"Mth Rev Sum";#N/A,#N/A,TRUE,"YTD Rev Sum";#N/A,#N/A,TRUE,"SC vs Pr Month (Revised)";#N/A,#N/A,TRUE,"SVC Detail Mth vs Pr Mth (Rev)";#N/A,#N/A,TRUE,"SGA (Elem) vs Pr Month";#N/A,#N/A,TRUE,"SGA (BU) vs Pr Mth";#N/A,#N/A,TRUE,"SC vs Plan (Revised)";#N/A,#N/A,TRUE,"SVC Detail Mth vsPlan (Rev)";#N/A,#N/A,TRUE,"SGA (Elem) vs Plan";#N/A,#N/A,TRUE,"SGA (BU) vs Plan(Rev)";#N/A,#N/A,TRUE,"SC vs YTD 00 (Revised)";#N/A,#N/A,TRUE,"SGA (Elem) vs YTD 00";#N/A,#N/A,TRUE,"SGA (BU) YTD vs YTD 00";#N/A,#N/A,TRUE,"SC vs YTD Plan (Revised)";#N/A,#N/A,TRUE,"SVC YTD Detail Mth vsPlan (Rev)";#N/A,#N/A,TRUE,"SGA (Elem) vs YTD Plan";#N/A,#N/A,TRUE,"SGA (BU) YTD vs Plan(Rev)";#N/A,#N/A,TRUE,"CapExp";#N/A,#N/A,TRUE,"EBITDA(Flash)";#N/A,#N/A,TRUE,"NetInc(Flash)";#N/A,#N/A,TRUE,"Gross Margin(Flash)";#N/A,#N/A,TRUE,"Mth trends(Flash)";#N/A,#N/A,TRUE,"HeadcountP01";#N/A,#N/A,TRUE,"Headcount P00";#N/A,#N/A,TRUE,"Inc. Statement";#N/A,#N/A,TRUE,"Balance Sheet";#N/A,#N/A,TRUE,"Cash Flow"}</definedName>
    <definedName name="wrn.July._.Presentation." localSheetId="9" hidden="1">{#N/A,#N/A,FALSE,"Revised Plan description";#N/A,#N/A,FALSE,"Mth Sum";#N/A,#N/A,FALSE,"YTD Sum";#N/A,#N/A,FALSE,"Mth Rev Sum";#N/A,#N/A,FALSE,"YTD Rev Sum";#N/A,#N/A,FALSE,"Direct Margin";#N/A,#N/A,FALSE,"Data MarginvsPlan";#N/A,#N/A,FALSE,"Local MarginvsPlan";#N/A,#N/A,FALSE,"Internet MarginvsPlan";#N/A,#N/A,FALSE,"LD Margin vs Plan ";#N/A,#N/A,FALSE,"Data Margin YTDvsPlan";#N/A,#N/A,FALSE,"Local Margin YTDvsPlan";#N/A,#N/A,FALSE,"Internet Margin YTDvsPlan";#N/A,#N/A,FALSE,"LD Margin YTD vs Plan";#N/A,#N/A,FALSE,"SC vs Pr Month ";#N/A,#N/A,FALSE,"SVC Detail Mth vs Pr Mth";#N/A,#N/A,FALSE,"Ind vs Pr Month ";#N/A,#N/A,FALSE,"SGA (Elem) vs Pr Month";#N/A,#N/A,FALSE,"SGA (BU) vs Pr Mth";#N/A,#N/A,FALSE,"SC vs Plan";#N/A,#N/A,FALSE,"SVC Detail Mth vsPlan ";#N/A,#N/A,FALSE,"Ind vs Plan";#N/A,#N/A,FALSE,"SGA (Elem) vs Plan";#N/A,#N/A,FALSE,"SGA (BU) vs Plan";#N/A,#N/A,FALSE,"SC vs YTD 00";#N/A,#N/A,FALSE,"SGA (Elem) vs YTD 00";#N/A,#N/A,FALSE,"SGA (BU) YTD vs YTD 00";#N/A,#N/A,FALSE,"SC vs YTD Plan ";#N/A,#N/A,FALSE,"SVC YTD Detail Mth vsPlan ";#N/A,#N/A,FALSE,"SGA (Elem) vs YTD Plan";#N/A,#N/A,FALSE,"SGA (BU) YTD vs Plan";#N/A,#N/A,FALSE,"CapExp";#N/A,#N/A,FALSE,"EBITDA";#N/A,#N/A,FALSE,"Mth trends";#N/A,#N/A,FALSE,"Inc. Statement";#N/A,#N/A,FALSE,"Balance Sheet";#N/A,#N/A,FALSE,"Cash Flow"}</definedName>
    <definedName name="wrn.Just._.Sorts." localSheetId="9" hidden="1">{#N/A,#N/A,FALSE,"Hi";#N/A,#N/A,FALSE,"Lo";#N/A,#N/A,FALSE,"Mkt. Cap";#N/A,#N/A,FALSE,"Alpha"}</definedName>
    <definedName name="wrn.K." localSheetId="9" hidden="1">{#N/A,#N/A,FALSE,"K"}</definedName>
    <definedName name="wrn.K3._.Annual." localSheetId="9" hidden="1">{"K3Cash",#N/A,FALSE,"Ann";"K3Income",#N/A,FALSE,"Ann";"K3Educ",#N/A,FALSE,"Ann";"K3media",#N/A,FALSE,"Ann";"K3Info",#N/A,FALSE,"Ann";"K3Valuation",#N/A,FALSE,"Ann"}</definedName>
    <definedName name="wrn.K3._.Quarterly." localSheetId="9" hidden="1">{"K3 first",#N/A,FALSE,"Qtr.";"K3 second",#N/A,FALSE,"Qtr.";"K3 Third",#N/A,FALSE,"Qtr.";"K3 Fourth",#N/A,FALSE,"Qtr.";"K3 Full",#N/A,FALSE,"Qtr."}</definedName>
    <definedName name="wrn.kriall." localSheetId="9" hidden="1">{"kricash",#N/A,FALSE,"INC";"kriinc",#N/A,FALSE,"INC";"krimiami",#N/A,FALSE,"INC";"kriother",#N/A,FALSE,"INC";"kripapers",#N/A,FALSE,"INC"}</definedName>
    <definedName name="wrn.LBO._.Summary." localSheetId="9" hidden="1">{"LBO Summary",#N/A,FALSE,"Summary"}</definedName>
    <definedName name="wrn.Lease_Deli." localSheetId="9" hidden="1">{#N/A,#N/A,FALSE,"COVER";#N/A,#N/A,FALSE,"Index";#N/A,#N/A,FALSE,"Non-Earning";#N/A,#N/A,FALSE,"Non-Earning-Recovery";#N/A,#N/A,FALSE,"Leasing_Equipo";#N/A,#N/A,FALSE,"Leasing_Auto";#N/A,#N/A,FALSE,"Leasing_Legal"}</definedName>
    <definedName name="wrn.liab." localSheetId="9" hidden="1">{#N/A,#N/A,FALSE,"BSCON894"}</definedName>
    <definedName name="wrn.LM._.Gear." localSheetId="9" hidden="1">{"LM Gear IS",#N/A,FALSE,"LM Gear - IS";"LM Gear BS",#N/A,FALSE,"LM Gear BS";"LM Gear Detail IS",#N/A,FALSE,"LM Gear - Detail IS";"LM Gear Detail IS Supplemental Info",#N/A,FALSE,"LM Gear - Detail IS";"LM Gear Monthly 1999",#N/A,FALSE,"LM Gear Monthly";"LM Gear Monthly 1998",#N/A,FALSE,"LM Gear Monthly";"LM Gear Monthly 1997",#N/A,FALSE,"LM Gear Monthly"}</definedName>
    <definedName name="wrn.LP._.Committee._.Book." localSheetId="9"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June._.13.._.2000." localSheetId="9"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UXCOS." localSheetId="9" hidden="1">{"LUX_ASSET",#N/A,FALSE,"CII-Q494.XLS";"LUX_LIAB",#N/A,FALSE,"CII-Q494.XLS";"LUX_INC",#N/A,FALSE,"CII-Q494.XLS";"LUXje",#N/A,FALSE,"CII-Q494.XLS"}</definedName>
    <definedName name="wrn.m_cash." localSheetId="9" hidden="1">{"cash_marc",#N/A,FALSE,"dec95cr.xls"}</definedName>
    <definedName name="wrn.Mahmoud." localSheetId="9" hidden="1">{#N/A,#N/A,FALSE,"Objectives"}</definedName>
    <definedName name="wrn.Main._.Fields." localSheetId="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Report._.All._.Sections."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e." localSheetId="9" hidden="1">{"Assumptions",#N/A,TRUE,"Assumptions";"Income",#N/A,TRUE,"Income";"Balance",#N/A,TRUE,"Balance"}</definedName>
    <definedName name="wrn.Maine2." localSheetId="9"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nagement._.Control._.Report." localSheetId="9" hidden="1">{#N/A,#N/A,TRUE,"Sheet1 (2)";#N/A,#N/A,TRUE,"Sheet1 (3)";#N/A,#N/A,TRUE,"Sheet1 (4)";#N/A,#N/A,TRUE,"Sheet1 (5)";#N/A,#N/A,TRUE,"Sheet1 (8)";#N/A,#N/A,TRUE,"Sheet1 (9)";#N/A,#N/A,TRUE,"Sheet1 (10)";#N/A,#N/A,TRUE,"Sheet1 (6)";#N/A,#N/A,TRUE,"Sheet1 (7)";#N/A,#N/A,TRUE,"Sheet1 (11)";#N/A,#N/A,TRUE,"Sheet2 (2)";#N/A,#N/A,TRUE,"Sheet3 (2)";#N/A,#N/A,TRUE,"Sheet4 (2)";#N/A,#N/A,TRUE,"Sheet9 (2)";#N/A,#N/A,TRUE,"Sheet8 (2)";#N/A,#N/A,TRUE,"Sheet7 (2)";#N/A,#N/A,TRUE,"Sheet5 (2)";#N/A,#N/A,TRUE,"Sheet2 (3)";#N/A,#N/A,TRUE,"Sheet6 (2)";#N/A,#N/A,TRUE,"Sheet 6A";#N/A,#N/A,TRUE,"Sheet2 (4)";#N/A,#N/A,TRUE,"Sheet2 (5)";#N/A,#N/A,TRUE,"Sheet3 (3)";#N/A,#N/A,TRUE,"Sheet3 (4)";#N/A,#N/A,TRUE,"Sheet4 (3)";#N/A,#N/A,TRUE,"Sheet4 (4)";#N/A,#N/A,TRUE,"Sheet8 (3)";#N/A,#N/A,TRUE,"Sheet8 (4)";#N/A,#N/A,TRUE,"Sheet5 (3)";#N/A,#N/A,TRUE,"Sheet5 (4)";#N/A,#N/A,TRUE,"Sheet10 (2)";#N/A,#N/A,TRUE,"Sheet7 (3)";#N/A,#N/A,TRUE,"Sheet6 (3)";#N/A,#N/A,TRUE,"Sheet5 (5)";#N/A,#N/A,TRUE,"Sheet9 (3)";#N/A,#N/A,TRUE,"Sheet4 (5)";#N/A,#N/A,TRUE,"Sheet12 (2)";#N/A,#N/A,TRUE,"Sheet11 (2)";#N/A,#N/A,TRUE,"Sheet13 (2)";#N/A,#N/A,TRUE,"Sheet14 (2)";#N/A,#N/A,TRUE,"Sheet15 (2)";#N/A,#N/A,TRUE,"Sheet16 (2)";#N/A,#N/A,TRUE,"Sheet1 (12)";#N/A,#N/A,TRUE,"Sheet3 (5)";#N/A,#N/A,TRUE,"Sheet7 (4)";#N/A,#N/A,TRUE,"Sheet2 (6)";#N/A,#N/A,TRUE,"sheet1 (13)";#N/A,#N/A,TRUE,"sheet2 (7)";#N/A,#N/A,TRUE,"sheet10 (3)";#N/A,#N/A,TRUE,"sheet11 (3)";#N/A,#N/A,TRUE,"sheet3 (6)";#N/A,#N/A,TRUE,"sheet4 (6)";#N/A,#N/A,TRUE,"sheet5 (6)";#N/A,#N/A,TRUE,"sheet6 (4)";#N/A,#N/A,TRUE,"sheet7 (5)";#N/A,#N/A,TRUE,"sheet8 (5)";#N/A,#N/A,TRUE,"sheet9 (4)";#N/A,#N/A,TRUE,"Sheet1 (14)";#N/A,#N/A,TRUE,"Sheet2 (8)";#N/A,#N/A,TRUE,"Sheet3 (8)";#N/A,#N/A,TRUE,"Sheet3 (7)";#N/A,#N/A,TRUE,"Sheet4 (7)";#N/A,#N/A,TRUE,"Sheet5 (7)";#N/A,#N/A,TRUE,"Sheet6 (5)";#N/A,#N/A,TRUE,"Sheet1";#N/A,#N/A,TRUE,"Sheet2"}</definedName>
    <definedName name="wrn.March._.Financials." localSheetId="9" hidden="1">{"Statement of Income",#N/A,TRUE,"Mar99";"Balance Sheet",#N/A,TRUE,"Mar99"}</definedName>
    <definedName name="wrn.MARGIN." localSheetId="9" hidden="1">{#N/A,#N/A,TRUE,"MAR";#N/A,#N/A,TRUE,"MAR_2"}</definedName>
    <definedName name="wrn.Margins." localSheetId="9" hidden="1">{#N/A,#N/A,FALSE,"Margins - GrossR&amp;D";#N/A,#N/A,FALSE,"Margins - sg&amp;a";#N/A,#N/A,FALSE,"Margins - Oper-net"}</definedName>
    <definedName name="wrn.Mason._.Deliverables." localSheetId="9" hidden="1">{#N/A,#N/A,FALSE,"Data &amp; Key Results";#N/A,#N/A,FALSE,"Summary Template";#N/A,#N/A,FALSE,"Budget";#N/A,#N/A,FALSE,"Present Value Comparison";#N/A,#N/A,FALSE,"Cashflow";#N/A,#N/A,FALSE,"Income";#N/A,#N/A,FALSE,"Inputs"}</definedName>
    <definedName name="wrn.Master." localSheetId="9" hidden="1">{#N/A,#N/A,TRUE,"ProFormaProfit";#N/A,#N/A,TRUE,"ProFormaCash";#N/A,#N/A,TRUE,"Depreciation";#N/A,#N/A,TRUE,"Assets";#N/A,#N/A,TRUE,"Revenue";#N/A,#N/A,TRUE,"EstimatedPurchase"}</definedName>
    <definedName name="wrn.Master_Income." localSheetId="9" hidden="1">{"Annual_Income",#N/A,FALSE,"Master Model";"Quarterly_Income",#N/A,FALSE,"Master Model"}</definedName>
    <definedName name="wrn.MCCRK." localSheetId="9" hidden="1">{#N/A,#N/A,FALSE,"MCCRK"}</definedName>
    <definedName name="wrn.MDA._.Tables." localSheetId="9" hidden="1">{#N/A,#N/A,TRUE,"Sel Fn Data QTD";#N/A,#N/A,TRUE,"TABLE_1 SPREAD ANALYSIS";#N/A,#N/A,TRUE,"Tables 2 to 3 PL";#N/A,#N/A,TRUE,"Tables 4 and 5 ALLL";#N/A,#N/A,TRUE,"Tables 6 to 8 ALLL NPA";#N/A,#N/A,TRUE,"Table 9 to 10 - Balance Sheet";#N/A,#N/A,TRUE,"Table 11 to 12 - Equity"}</definedName>
    <definedName name="wrn.MDA._.TABLES._.10Q." localSheetId="9" hidden="1">{#N/A,#N/A,FALSE,"Table 1 QTD";#N/A,#N/A,FALSE,"Table 1 YTD";#N/A,#N/A,FALSE,"Tables 2 to 4 PL";#N/A,#N/A,FALSE,"Tables 5 to 9 ALLL";#N/A,#N/A,FALSE,"Table 10 to 13 - Balance Sheet"}</definedName>
    <definedName name="wrn.MDA_TABLES._.10K." localSheetId="9"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Q." localSheetId="9" hidden="1">{#N/A,#N/A,TRUE,"Sel Fn Data QTD";#N/A,#N/A,TRUE,"Table 1 YTD";#N/A,#N/A,TRUE,"Table 1 QTD";#N/A,#N/A,TRUE,"Tables 2 to 3 PL";#N/A,#N/A,TRUE,"Tables 4 and 5ALLL";#N/A,#N/A,TRUE,"Tables 6 to 8 ALLL ";#N/A,#N/A,TRUE,"Table 9 to 12 - Balance Sheet"}</definedName>
    <definedName name="wrn.MDA_TABLES._.10Q._.SEPT." localSheetId="9" hidden="1">{#N/A,#N/A,TRUE,"Sel Fn Data QTD";#N/A,#N/A,TRUE,"Table 1 YTD";#N/A,#N/A,TRUE,"Tables 2 to 4 PL";#N/A,#N/A,TRUE,"Tables 5 to 9 ALLL";#N/A,#N/A,TRUE,"Table 10 to 13 - Balance Sheet"}</definedName>
    <definedName name="wrn.MEDI." localSheetId="9" hidden="1">{"Revenues",#N/A,FALSE,"Revenues";"QEarn1",#N/A,FALSE,"Qearn";"QEarn2",#N/A,FALSE,"Qearn";"QMargin",#N/A,FALSE,"Qmargin";"Cashflow",#N/A,FALSE,"Cashflow";"Product Pipeline",#N/A,FALSE,"Product Pipeline";"First Call Tables",#N/A,FALSE,"First Call Tables";"Comment P&amp;L",#N/A,FALSE,"Comment P&amp;L"}</definedName>
    <definedName name="wrn.merge." localSheetId="9" hidden="1">{#N/A,#N/A,FALSE,"IPO";#N/A,#N/A,FALSE,"DCF";#N/A,#N/A,FALSE,"LBO";#N/A,#N/A,FALSE,"MULT_VAL";#N/A,#N/A,FALSE,"Status Quo";#N/A,#N/A,FALSE,"Recap"}</definedName>
    <definedName name="wrn.Merger." localSheetId="9" hidden="1">{#N/A,#N/A,FALSE,"Overview";#N/A,#N/A,FALSE,"Summary";#N/A,#N/A,FALSE,"Unph Hist";#N/A,#N/A,FALSE,"Combination";#N/A,#N/A,FALSE,"IOC Proj Base";#N/A,#N/A,FALSE,"Bal";#N/A,#N/A,FALSE,"IOC Bal";#N/A,#N/A,FALSE,"IOC CF";#N/A,#N/A,FALSE,"UNPH Proj"}</definedName>
    <definedName name="wrn.merger._.analysis." localSheetId="9"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 localSheetId="9"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I" localSheetId="9"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II" localSheetId="9"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V" localSheetId="9"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hpall." localSheetId="9" hidden="1">{"mhpcash",#N/A,FALSE,"MHPNEWX";"mhpinc",#N/A,FALSE,"MHPNEWX";"mhptax",#N/A,FALSE,"MHPNEWX";"mhpbroad",#N/A,FALSE,"MHPNEWX";"mhpeduc",#N/A,FALSE,"MHPNEWX";"mhpfin",#N/A,FALSE,"MHPNEWX";"mhpinfo",#N/A,FALSE,"MHPNEWX"}</definedName>
    <definedName name="wrn.mikes_copy." localSheetId="9"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LLARES." localSheetId="9" hidden="1">{#N/A,#N/A,TRUE,"RESUMEN ECON.";#N/A,#N/A,TRUE,"Costos de R.H.";#N/A,#N/A,TRUE,"COSTO HW";#N/A,#N/A,TRUE,"CUADROS";#N/A,#N/A,TRUE,"SCADA´s";#N/A,#N/A,TRUE,"PRECIOS EQUIPOS"}</definedName>
    <definedName name="wrn.model." localSheetId="9" hidden="1">{"page1",#N/A,FALSE,"GIRLBO";"page2",#N/A,FALSE,"GIRLBO";"page3",#N/A,FALSE,"GIRLBO";"page4",#N/A,FALSE,"GIRLBO";"page5",#N/A,FALSE,"GIRLBO"}</definedName>
    <definedName name="wrn.Month." localSheetId="9" hidden="1">{#N/A,#N/A,FALSE,"Comp Balance";#N/A,#N/A,FALSE,"Sum Balance ";#N/A,#N/A,FALSE,"Balance Trend";#N/A,#N/A,FALSE,"Comp PL";#N/A,#N/A,FALSE,"PL";#N/A,#N/A,FALSE,"Sum PL";#N/A,#N/A,FALSE,"PL Trend";#N/A,#N/A,FALSE,"Change"}</definedName>
    <definedName name="wrn.Month._.End._.Print._.Out." localSheetId="9"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 localSheetId="9" hidden="1">{#N/A,#N/A,FALSE,"SUMMARY";#N/A,#N/A,FALSE,"DETAIL";#N/A,#N/A,FALSE,"VARIANCE"}</definedName>
    <definedName name="wrn.MONTH_REPORT." localSheetId="9" hidden="1">{#N/A,#N/A,TRUE,"ALLL";#N/A,#N/A,TRUE,"DEL";#N/A,#N/A,TRUE,"Reserve Analysis";#N/A,#N/A,TRUE,"C_OFF HISTORY";#N/A,#N/A,TRUE,"ALLL_QTR";#N/A,#N/A,TRUE,"HEA_M";#N/A,#N/A,TRUE,"BL_DET";#N/A,#N/A,TRUE,"3YRS+";#N/A,#N/A,TRUE,"CONSTR_DET"}</definedName>
    <definedName name="wrn.MONTH_REPORT_BOD." localSheetId="9" hidden="1">{#N/A,#N/A,FALSE,"HEA_M";#N/A,#N/A,FALSE,"ALLL";#N/A,#N/A,FALSE,"DEL";#N/A,#N/A,FALSE,"Reserve Analysis";#N/A,#N/A,FALSE,"C_OFF HISTORY";#N/A,#N/A,FALSE,"ALLL_QTR"}</definedName>
    <definedName name="wrn.Month_Report_Mgmt." localSheetId="9"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ly._.Financials." localSheetId="9" hidden="1">{#N/A,#N/A,FALSE,"mfg - consol";#N/A,#N/A,FALSE,"mfg - flo";#N/A,#N/A,FALSE,"mfg - lindsay"}</definedName>
    <definedName name="wrn.MONTHLY._.INVENTORY._.SCHEDULE." localSheetId="9" hidden="1">{#N/A,#N/A,FALSE,"Sheet1";#N/A,#N/A,FALSE,"Sheet2";#N/A,#N/A,FALSE,"Sheet3";#N/A,#N/A,FALSE,"Sheet4";#N/A,#N/A,FALSE,"Sheet5";#N/A,#N/A,FALSE,"Sheet6"}</definedName>
    <definedName name="wrn.Monthly._.Report." localSheetId="9" hidden="1">{#N/A,#N/A,FALSE,"Summary Page";#N/A,#N/A,FALSE,"Collections Listing";#N/A,#N/A,FALSE,"Lessee 60 days past due";#N/A,#N/A,FALSE,"Revenues--Lend Base JP Morgan";#N/A,#N/A,FALSE,"JP Morgan Debt Amort Schedule";#N/A,#N/A,FALSE,"Covenant Analysis"}</definedName>
    <definedName name="wrn.Months." localSheetId="9" hidden="1">{"Curr Month",#N/A,FALSE,"Curr Mo";"All Months",#N/A,FALSE,"Curr Mo";"YTD",#N/A,FALSE,"Curr Mo";"1001",#N/A,FALSE,"Curr Mo";"1002",#N/A,FALSE,"Curr Mo";"4012",#N/A,FALSE,"Curr Mo";"4017",#N/A,FALSE,"Curr Mo";"1050",#N/A,FALSE,"Curr Mo";"1009",#N/A,FALSE,"Curr Mo";"4079",#N/A,FALSE,"Curr Mo";"4077",#N/A,FALSE,"Curr Mo";"1005",#N/A,FALSE,"Curr Mo";"1008",#N/A,FALSE,"Curr Mo";"1011",#N/A,FALSE,"Curr Mo";"1006",#N/A,FALSE,"Curr Mo";"1024",#N/A,FALSE,"Curr Mo";"1003",#N/A,FALSE,"Curr Mo";"1025",#N/A,FALSE,"Curr Mo";"4013",#N/A,FALSE,"Curr Mo";"1091",#N/A,FALSE,"Curr Mo";"1010",#N/A,FALSE,"Curr Mo";"1023",#N/A,FALSE,"Curr Mo";"4014",#N/A,FALSE,"Curr Mo";"1043",#N/A,FALSE,"Curr Mo";"1014",#N/A,FALSE,"Curr Mo";"1015",#N/A,FALSE,"Curr Mo";"1012",#N/A,FALSE,"Curr Mo";"1061",#N/A,FALSE,"Curr Mo";"1045",#N/A,FALSE,"Curr Mo";"4058",#N/A,FALSE,"Curr Mo";"1033",#N/A,FALSE,"Curr Mo";"1103",#N/A,FALSE,"Curr Mo";"4007",#N/A,FALSE,"Curr Mo";"4021",#N/A,FALSE,"Curr Mo";"4026",#N/A,FALSE,"Curr Mo";"4022",#N/A,FALSE,"Curr Mo";"4050",#N/A,FALSE,"Curr Mo";"4032",#N/A,FALSE,"Curr Mo";"4089",#N/A,FALSE,"Curr Mo";"1042",#N/A,FALSE,"Curr Mo";"1048",#N/A,FALSE,"Curr Mo";"4049",#N/A,FALSE,"Curr Mo"}</definedName>
    <definedName name="wrn.Mortgage." localSheetId="9" hidden="1">{#N/A,#N/A,FALSE,"COVER";#N/A,#N/A,FALSE,"Index";#N/A,#N/A,FALSE,"Non-Earning";#N/A,#N/A,FALSE,"Mortgage_Legal";#N/A,#N/A,FALSE,"Mortgages"}</definedName>
    <definedName name="wrn.Most._.Likely._.Scenarios." localSheetId="9" hidden="1">{#N/A,"Mine Allocated, Keep AC",FALSE,"Stream INPUTS";#N/A,"All Preferred, Sell AC",FALSE,"Stream INPUTS";#N/A,"Step Up, Sell AC",FALSE,"Stream INPUTS";#N/A,"All Preferred, BRONCO buys AC",FALSE,"Stream INPUTS"}</definedName>
    <definedName name="wrn.MRA." localSheetId="9" hidden="1">{"MRA IS",#N/A,FALSE,"MRA - IS";"MRA BS",#N/A,FALSE,"MRA - BS";"MRA Detail IS",#N/A,FALSE,"MRA - Detail IS";"MRA Detail IS Supplemental Info",#N/A,FALSE,"MRA - Detail IS";"MRA Monthly 1999",#N/A,FALSE,"MRA Monthly";"MRA Monthly IS 1998",#N/A,FALSE,"MRA Monthly";"MRA Monthly IS 1997",#N/A,FALSE,"MRA Monthly"}</definedName>
    <definedName name="wrn.Munsell."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wrn.NA." localSheetId="9" hidden="1">{#N/A,#N/A,FALSE,"NA"}</definedName>
    <definedName name="wrn.Neds." localSheetId="9" hidden="1">{"page1",#N/A,TRUE,"PRICING";"page2",#N/A,TRUE,"PRICING"}</definedName>
    <definedName name="wrn.Netbacks." localSheetId="9" hidden="1">{"Netbacks",#N/A,FALSE,"Netbacks"}</definedName>
    <definedName name="wrn.new." localSheetId="9" hidden="1">{"new1",#N/A,FALSE,"FLEXPAC2";"new2",#N/A,FALSE,"FLEXPAC2"}</definedName>
    <definedName name="wrn.newest." localSheetId="9" hidden="1">{#N/A,#N/A,TRUE,"TS";#N/A,#N/A,TRUE,"Combo";#N/A,#N/A,TRUE,"FAIR";#N/A,#N/A,TRUE,"RBC";#N/A,#N/A,TRUE,"xxxx"}</definedName>
    <definedName name="wrn.nuevahoja." localSheetId="9" hidden="1">{#N/A,#N/A,FALSE,"CNS_ADJ";"Balance Consolidado",#N/A,FALSE,"BCEC_CNS";#N/A,#N/A,FALSE,"USGAAP_ADJ"}</definedName>
    <definedName name="wrn.nytaann." localSheetId="9" hidden="1">{"nytacash",#N/A,FALSE,"GLOBEINC";"nytainc",#N/A,FALSE,"GLOBEINC";"nytanyt",#N/A,FALSE,"GLOBEINC";"nytareg",#N/A,FALSE,"GLOBEINC";"nytaglobe",#N/A,FALSE,"GLOBEINC";"nytapprttl",#N/A,FALSE,"GLOBEINC"}</definedName>
    <definedName name="wrn.Oncology." localSheetId="9" hidden="1">{#N/A,#N/A,FALSE,"Onco";#N/A,#N/A,FALSE,"Taxol";#N/A,#N/A,FALSE,"UFT";#N/A,#N/A,FALSE,"Carb"}</definedName>
    <definedName name="wrn.one." localSheetId="9" hidden="1">{"page1",#N/A,FALSE,"A";"page2",#N/A,FALSE,"A"}</definedName>
    <definedName name="wrn.One._.Pager._.plus._.Technicals." localSheetId="9" hidden="1">{#N/A,#N/A,FALSE,"One Pager";#N/A,#N/A,FALSE,"Technical"}</definedName>
    <definedName name="wrn.OPERATIONS." localSheetId="9" hidden="1">{#N/A,#N/A,FALSE,"PL-FS";#N/A,#N/A,FALSE,"PL"}</definedName>
    <definedName name="wrn.Opportunity._.Assessment." localSheetId="9" hidden="1">{#N/A,#N/A,TRUE,"Summary";#N/A,#N/A,TRUE,"Assumptions";#N/A,#N/A,TRUE,"Comparison";#N/A,#N/A,TRUE,"Financials";#N/A,#N/A,TRUE,"Plan v. Act"}</definedName>
    <definedName name="wrn.ops._.costs." localSheetId="9" hidden="1">{"page1",#N/A,FALSE,"APCI Operations Detail  ";"page2",#N/A,FALSE,"APCI Operations Detail  ";"page3",#N/A,FALSE,"APCI Operations Detail  ";"page4",#N/A,FALSE,"APCI Operations Detail  "}</definedName>
    <definedName name="wrn.OPSUMM." localSheetId="9" hidden="1">{#N/A,#N/A,FALSE,"BAGOSLEA"}</definedName>
    <definedName name="wrn.OTC._.Market._.Report." localSheetId="9" hidden="1">{#N/A,#N/A,FALSE,"Sales Graph";#N/A,#N/A,FALSE,"BUC Graph";#N/A,#N/A,FALSE,"P&amp;L - YTD"}</definedName>
    <definedName name="wrn.Other._.Pharm." localSheetId="9" hidden="1">{#N/A,#N/A,FALSE,"Other";#N/A,#N/A,FALSE,"Ace";#N/A,#N/A,FALSE,"Derm"}</definedName>
    <definedName name="wrn.Output." localSheetId="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hd." localSheetId="9" hidden="1">{#N/A,#N/A,FALSE,"OVHDSUM"}</definedName>
    <definedName name="wrn.ovhd1." localSheetId="9" hidden="1">{#N/A,#N/A,FALSE,"OVHDSUM"}</definedName>
    <definedName name="wrn.p" localSheetId="9" hidden="1">{#N/A,#N/A,FALSE,"1";#N/A,#N/A,FALSE,"2";#N/A,#N/A,FALSE,"16 - 17";#N/A,#N/A,FALSE,"18 - 19";#N/A,#N/A,FALSE,"26";#N/A,#N/A,FALSE,"27";#N/A,#N/A,FALSE,"28"}</definedName>
    <definedName name="wrn.packer._.1." localSheetId="9"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_.1." localSheetId="9" hidden="1">{#N/A,#N/A,FALSE,"Job Sched"}</definedName>
    <definedName name="wrn.PAGE._.2." localSheetId="9" hidden="1">{"PAGE 2",#N/A,FALSE,"WEST_OT"}</definedName>
    <definedName name="wrn.PAGE._.3." localSheetId="9" hidden="1">{"PAGE 2",#N/A,FALSE,"WEST_OT"}</definedName>
    <definedName name="wrn.page57to67." localSheetId="9" hidden="1">{#N/A,#N/A,FALSE,"57";#N/A,#N/A,FALSE,"58";#N/A,#N/A,FALSE,"59";#N/A,#N/A,FALSE,"60";#N/A,#N/A,FALSE,"60A";#N/A,#N/A,FALSE,"61";#N/A,#N/A,FALSE,"62";#N/A,#N/A,FALSE,"63";#N/A,#N/A,FALSE,"63A";#N/A,#N/A,FALSE,"64";#N/A,#N/A,FALSE,"65";#N/A,#N/A,FALSE,"66";#N/A,#N/A,FALSE,"67"}</definedName>
    <definedName name="wrn.page57to67._1" localSheetId="9" hidden="1">{#N/A,#N/A,FALSE,"57";#N/A,#N/A,FALSE,"58";#N/A,#N/A,FALSE,"59";#N/A,#N/A,FALSE,"60";#N/A,#N/A,FALSE,"60A";#N/A,#N/A,FALSE,"61";#N/A,#N/A,FALSE,"62";#N/A,#N/A,FALSE,"63";#N/A,#N/A,FALSE,"63A";#N/A,#N/A,FALSE,"64";#N/A,#N/A,FALSE,"65";#N/A,#N/A,FALSE,"66";#N/A,#N/A,FALSE,"67"}</definedName>
    <definedName name="wrn.page57to67._1_1" localSheetId="9" hidden="1">{#N/A,#N/A,FALSE,"57";#N/A,#N/A,FALSE,"58";#N/A,#N/A,FALSE,"59";#N/A,#N/A,FALSE,"60";#N/A,#N/A,FALSE,"60A";#N/A,#N/A,FALSE,"61";#N/A,#N/A,FALSE,"62";#N/A,#N/A,FALSE,"63";#N/A,#N/A,FALSE,"63A";#N/A,#N/A,FALSE,"64";#N/A,#N/A,FALSE,"65";#N/A,#N/A,FALSE,"66";#N/A,#N/A,FALSE,"67"}</definedName>
    <definedName name="wrn.page57to67._1_2" localSheetId="9" hidden="1">{#N/A,#N/A,FALSE,"57";#N/A,#N/A,FALSE,"58";#N/A,#N/A,FALSE,"59";#N/A,#N/A,FALSE,"60";#N/A,#N/A,FALSE,"60A";#N/A,#N/A,FALSE,"61";#N/A,#N/A,FALSE,"62";#N/A,#N/A,FALSE,"63";#N/A,#N/A,FALSE,"63A";#N/A,#N/A,FALSE,"64";#N/A,#N/A,FALSE,"65";#N/A,#N/A,FALSE,"66";#N/A,#N/A,FALSE,"67"}</definedName>
    <definedName name="wrn.page57to67._1_3" localSheetId="9" hidden="1">{#N/A,#N/A,FALSE,"57";#N/A,#N/A,FALSE,"58";#N/A,#N/A,FALSE,"59";#N/A,#N/A,FALSE,"60";#N/A,#N/A,FALSE,"60A";#N/A,#N/A,FALSE,"61";#N/A,#N/A,FALSE,"62";#N/A,#N/A,FALSE,"63";#N/A,#N/A,FALSE,"63A";#N/A,#N/A,FALSE,"64";#N/A,#N/A,FALSE,"65";#N/A,#N/A,FALSE,"66";#N/A,#N/A,FALSE,"67"}</definedName>
    <definedName name="wrn.page57to67._1_4" localSheetId="9" hidden="1">{#N/A,#N/A,FALSE,"57";#N/A,#N/A,FALSE,"58";#N/A,#N/A,FALSE,"59";#N/A,#N/A,FALSE,"60";#N/A,#N/A,FALSE,"60A";#N/A,#N/A,FALSE,"61";#N/A,#N/A,FALSE,"62";#N/A,#N/A,FALSE,"63";#N/A,#N/A,FALSE,"63A";#N/A,#N/A,FALSE,"64";#N/A,#N/A,FALSE,"65";#N/A,#N/A,FALSE,"66";#N/A,#N/A,FALSE,"67"}</definedName>
    <definedName name="wrn.page57to67._2" localSheetId="9" hidden="1">{#N/A,#N/A,FALSE,"57";#N/A,#N/A,FALSE,"58";#N/A,#N/A,FALSE,"59";#N/A,#N/A,FALSE,"60";#N/A,#N/A,FALSE,"60A";#N/A,#N/A,FALSE,"61";#N/A,#N/A,FALSE,"62";#N/A,#N/A,FALSE,"63";#N/A,#N/A,FALSE,"63A";#N/A,#N/A,FALSE,"64";#N/A,#N/A,FALSE,"65";#N/A,#N/A,FALSE,"66";#N/A,#N/A,FALSE,"67"}</definedName>
    <definedName name="wrn.page57to67._3" localSheetId="9" hidden="1">{#N/A,#N/A,FALSE,"57";#N/A,#N/A,FALSE,"58";#N/A,#N/A,FALSE,"59";#N/A,#N/A,FALSE,"60";#N/A,#N/A,FALSE,"60A";#N/A,#N/A,FALSE,"61";#N/A,#N/A,FALSE,"62";#N/A,#N/A,FALSE,"63";#N/A,#N/A,FALSE,"63A";#N/A,#N/A,FALSE,"64";#N/A,#N/A,FALSE,"65";#N/A,#N/A,FALSE,"66";#N/A,#N/A,FALSE,"67"}</definedName>
    <definedName name="wrn.page57to67._4" localSheetId="9" hidden="1">{#N/A,#N/A,FALSE,"57";#N/A,#N/A,FALSE,"58";#N/A,#N/A,FALSE,"59";#N/A,#N/A,FALSE,"60";#N/A,#N/A,FALSE,"60A";#N/A,#N/A,FALSE,"61";#N/A,#N/A,FALSE,"62";#N/A,#N/A,FALSE,"63";#N/A,#N/A,FALSE,"63A";#N/A,#N/A,FALSE,"64";#N/A,#N/A,FALSE,"65";#N/A,#N/A,FALSE,"66";#N/A,#N/A,FALSE,"67"}</definedName>
    <definedName name="wrn.page57to67._5" localSheetId="9" hidden="1">{#N/A,#N/A,FALSE,"57";#N/A,#N/A,FALSE,"58";#N/A,#N/A,FALSE,"59";#N/A,#N/A,FALSE,"60";#N/A,#N/A,FALSE,"60A";#N/A,#N/A,FALSE,"61";#N/A,#N/A,FALSE,"62";#N/A,#N/A,FALSE,"63";#N/A,#N/A,FALSE,"63A";#N/A,#N/A,FALSE,"64";#N/A,#N/A,FALSE,"65";#N/A,#N/A,FALSE,"66";#N/A,#N/A,FALSE,"67"}</definedName>
    <definedName name="wrn.Pages._.28._.to._.50." localSheetId="9"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 localSheetId="9"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1" localSheetId="9"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2" localSheetId="9"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3" localSheetId="9"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4" localSheetId="9"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2" localSheetId="9"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3" localSheetId="9"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4" localSheetId="9"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5" localSheetId="9"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localSheetId="9" hidden="1">{#N/A,#N/A,FALSE,"51";#N/A,#N/A,FALSE,"52";#N/A,#N/A,FALSE,"53";#N/A,#N/A,FALSE,"54";#N/A,#N/A,FALSE,"55";#N/A,#N/A,FALSE,"55A";#N/A,#N/A,FALSE,"56";#N/A,#N/A,FALSE,"57";#N/A,#N/A,FALSE,"57A";#N/A,#N/A,FALSE,"58";#N/A,#N/A,FALSE,"59";#N/A,#N/A,FALSE,"60";#N/A,#N/A,FALSE,"60A";#N/A,#N/A,FALSE,"61";#N/A,#N/A,FALSE,"62";#N/A,#N/A,FALSE,"63";#N/A,#N/A,FALSE,"63A";#N/A,#N/A,FALSE,"64";#N/A,#N/A,FALSE,"65";#N/A,#N/A,FALSE,"66"}</definedName>
    <definedName name="wrn.Pages._.51._.to._.66._1" localSheetId="9"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1" localSheetId="9"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2" localSheetId="9"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3" localSheetId="9"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4" localSheetId="9" hidden="1">{#N/A,#N/A,FALSE,"51";#N/A,#N/A,FALSE,"52";#N/A,#N/A,FALSE,"53";#N/A,#N/A,FALSE,"54";#N/A,#N/A,FALSE,"55";#N/A,#N/A,FALSE,"55A";#N/A,#N/A,FALSE,"56";#N/A,#N/A,FALSE,"57";#N/A,#N/A,FALSE,"57A";#N/A,#N/A,FALSE,"58";#N/A,#N/A,FALSE,"59";#N/A,#N/A,FALSE,"60";#N/A,#N/A,FALSE,"60A";#N/A,#N/A,FALSE,"61";#N/A,#N/A,FALSE,"62";#N/A,#N/A,FALSE,"63";#N/A,#N/A,FALSE,"63A";#N/A,#N/A,FALSE,"64";#N/A,#N/A,FALSE,"65";#N/A,#N/A,FALSE,"66"}</definedName>
    <definedName name="wrn.Pages._.51._.to._.66._2" localSheetId="9" hidden="1">{#N/A,#N/A,FALSE,"51";#N/A,#N/A,FALSE,"52";#N/A,#N/A,FALSE,"53";#N/A,#N/A,FALSE,"54";#N/A,#N/A,FALSE,"55";#N/A,#N/A,FALSE,"55A";#N/A,#N/A,FALSE,"56";#N/A,#N/A,FALSE,"57";#N/A,#N/A,FALSE,"57A";#N/A,#N/A,FALSE,"58";#N/A,#N/A,FALSE,"59";#N/A,#N/A,FALSE,"60";#N/A,#N/A,FALSE,"60A";#N/A,#N/A,FALSE,"61";#N/A,#N/A,FALSE,"62";#N/A,#N/A,FALSE,"63";#N/A,#N/A,FALSE,"63A";#N/A,#N/A,FALSE,"64";#N/A,#N/A,FALSE,"65";#N/A,#N/A,FALSE,"66"}</definedName>
    <definedName name="wrn.Pages._.51._.to._.66._3" localSheetId="9" hidden="1">{#N/A,#N/A,FALSE,"51";#N/A,#N/A,FALSE,"52";#N/A,#N/A,FALSE,"53";#N/A,#N/A,FALSE,"54";#N/A,#N/A,FALSE,"55";#N/A,#N/A,FALSE,"55A";#N/A,#N/A,FALSE,"56";#N/A,#N/A,FALSE,"57";#N/A,#N/A,FALSE,"57A";#N/A,#N/A,FALSE,"58";#N/A,#N/A,FALSE,"59";#N/A,#N/A,FALSE,"60";#N/A,#N/A,FALSE,"60A";#N/A,#N/A,FALSE,"61";#N/A,#N/A,FALSE,"62";#N/A,#N/A,FALSE,"63";#N/A,#N/A,FALSE,"63A";#N/A,#N/A,FALSE,"64";#N/A,#N/A,FALSE,"65";#N/A,#N/A,FALSE,"66"}</definedName>
    <definedName name="wrn.Pages._.51._.to._.66._4" localSheetId="9" hidden="1">{#N/A,#N/A,FALSE,"51";#N/A,#N/A,FALSE,"52";#N/A,#N/A,FALSE,"53";#N/A,#N/A,FALSE,"54";#N/A,#N/A,FALSE,"55";#N/A,#N/A,FALSE,"55A";#N/A,#N/A,FALSE,"56";#N/A,#N/A,FALSE,"57";#N/A,#N/A,FALSE,"57A";#N/A,#N/A,FALSE,"58";#N/A,#N/A,FALSE,"59";#N/A,#N/A,FALSE,"60";#N/A,#N/A,FALSE,"60A";#N/A,#N/A,FALSE,"61";#N/A,#N/A,FALSE,"62";#N/A,#N/A,FALSE,"63";#N/A,#N/A,FALSE,"63A";#N/A,#N/A,FALSE,"64";#N/A,#N/A,FALSE,"65";#N/A,#N/A,FALSE,"66"}</definedName>
    <definedName name="wrn.Pages._.51._.to._.66._5" localSheetId="9" hidden="1">{#N/A,#N/A,FALSE,"51";#N/A,#N/A,FALSE,"52";#N/A,#N/A,FALSE,"53";#N/A,#N/A,FALSE,"54";#N/A,#N/A,FALSE,"55";#N/A,#N/A,FALSE,"55A";#N/A,#N/A,FALSE,"56";#N/A,#N/A,FALSE,"57";#N/A,#N/A,FALSE,"57A";#N/A,#N/A,FALSE,"58";#N/A,#N/A,FALSE,"59";#N/A,#N/A,FALSE,"60";#N/A,#N/A,FALSE,"60A";#N/A,#N/A,FALSE,"61";#N/A,#N/A,FALSE,"62";#N/A,#N/A,FALSE,"63";#N/A,#N/A,FALSE,"63A";#N/A,#N/A,FALSE,"64";#N/A,#N/A,FALSE,"65";#N/A,#N/A,FALSE,"66"}</definedName>
    <definedName name="wrn.pages._.88._.to._.end." localSheetId="9"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 localSheetId="9"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1" localSheetId="9"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2" localSheetId="9"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3" localSheetId="9"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4" localSheetId="9"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2" localSheetId="9"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3" localSheetId="9"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4" localSheetId="9"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5" localSheetId="9"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ing._.Compco." localSheetId="9" hidden="1">{"financials",#N/A,TRUE,"6_30_96";"footnotes",#N/A,TRUE,"6_30_96";"valuation",#N/A,TRUE,"6_30_96"}</definedName>
    <definedName name="wrn.PARTNERS._.CAPITAL._.STMT." localSheetId="9" hidden="1">{"PARTNERS CAPITAL STMT",#N/A,FALSE,"Partners Capital"}</definedName>
    <definedName name="wrn.Penn._.PSC._.part._.1." localSheetId="9"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 localSheetId="9"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1" localSheetId="9"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2" localSheetId="9"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3" localSheetId="9"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4" localSheetId="9"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2" localSheetId="9"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3" localSheetId="9"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4" localSheetId="9"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5" localSheetId="9"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localSheetId="9"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 localSheetId="9"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1" localSheetId="9"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2" localSheetId="9"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3" localSheetId="9"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4" localSheetId="9"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2" localSheetId="9"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3" localSheetId="9"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4" localSheetId="9"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5" localSheetId="9"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harm._.Market._.Report." localSheetId="9" hidden="1">{#N/A,#N/A,FALSE,"Sales Graph";#N/A,#N/A,FALSE,"PSBM";#N/A,#N/A,FALSE,"BUC Graph";#N/A,#N/A,FALSE,"P&amp;L - YTD"}</definedName>
    <definedName name="wrn.Pharmaceuticals." localSheetId="9"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se._.in." localSheetId="9" hidden="1">{"Phase in summary",#N/A,FALSE,"P&amp;L Phased"}</definedName>
    <definedName name="wrn.PL._.Detail." localSheetId="9" hidden="1">{#N/A,#N/A,FALSE,"P&amp;L Detail";#N/A,#N/A,FALSE,"P&amp;L Detail";#N/A,#N/A,FALSE,"P&amp;L Detail"}</definedName>
    <definedName name="wrn.PLC._.Co.._.budget._.months." localSheetId="9"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localSheetId="9" hidden="1">{"PLC Company Budget years",#N/A,TRUE,"Profit and Loss";"PLC Company Budget years",#N/A,TRUE,"Firm capex";"PLC Company Budget years",#N/A,TRUE,"Gross profit analysis";"PLC Company Budget years",#N/A,TRUE,"Cashflow";"PLC Company Budget years",#N/A,TRUE,"Balance Sheet"}</definedName>
    <definedName name="wrn.PLX." localSheetId="9" hidden="1">{"cred comp",#N/A,FALSE,"Comparable Credit Analysis";"IS",#N/A,FALSE,"IS";"Sensitivity",#N/A,FALSE,"Sensitivity";"BS",#N/A,FALSE,"BS";"Bond Summary",#N/A,FALSE,"B Summary";"AD",#N/A,FALSE,"Accretion";"NAV",#N/A,FALSE,"NAV";"SU",#N/A,FALSE,"S&amp;U";"acq. study",#N/A,FALSE,"Acq. Study";"F Charges",#N/A,FALSE,"Fixed Charges"}</definedName>
    <definedName name="wrn.ppp" localSheetId="9" hidden="1">{#N/A,#N/A,FALSE,"1";#N/A,#N/A,FALSE,"2";#N/A,#N/A,FALSE,"16 - 17";#N/A,#N/A,FALSE,"18 - 19";#N/A,#N/A,FALSE,"26";#N/A,#N/A,FALSE,"27";#N/A,#N/A,FALSE,"28"}</definedName>
    <definedName name="wrn.PRES_OUT." localSheetId="9" hidden="1">{"page1",#N/A,FALSE,"PRESENTATION";"page2",#N/A,FALSE,"PRESENTATION";#N/A,#N/A,FALSE,"Valuation Summary"}</definedName>
    <definedName name="wrn.PRES_OUT2" localSheetId="9" hidden="1">{"page1",#N/A,FALSE,"PRESENTATION";"page2",#N/A,FALSE,"PRESENTATION";#N/A,#N/A,FALSE,"Valuation Summary"}</definedName>
    <definedName name="wrn.Pres_OUT3" localSheetId="9" hidden="1">{"page1",#N/A,FALSE,"PRESENTATION";"page2",#N/A,FALSE,"PRESENTATION";#N/A,#N/A,FALSE,"Valuation Summary"}</definedName>
    <definedName name="wrn.PRES_OUT4" localSheetId="9" hidden="1">{"page1",#N/A,FALSE,"PRESENTATION";"page2",#N/A,FALSE,"PRESENTATION";#N/A,#N/A,FALSE,"Valuation Summary"}</definedName>
    <definedName name="wrn.PRES_OUT5" localSheetId="9" hidden="1">{"page1",#N/A,FALSE,"PRESENTATION";"page2",#N/A,FALSE,"PRESENTATION";#N/A,#N/A,FALSE,"Valuation Summary"}</definedName>
    <definedName name="wrn.PRES_OUT6" localSheetId="9" hidden="1">{"page1",#N/A,FALSE,"PRESENTATION";"page2",#N/A,FALSE,"PRESENTATION";#N/A,#N/A,FALSE,"Valuation Summary"}</definedName>
    <definedName name="wrn.PRES_OUT8" localSheetId="9" hidden="1">{"page1",#N/A,FALSE,"PRESENTATION";"page2",#N/A,FALSE,"PRESENTATION";#N/A,#N/A,FALSE,"Valuation Summary"}</definedName>
    <definedName name="wrn.prin2._.all." localSheetId="9" hidden="1">{#N/A,#N/A,FALSE,"Pharm";#N/A,#N/A,FALSE,"WWCM"}</definedName>
    <definedName name="wrn.prin3" localSheetId="9" hidden="1">{#N/A,#N/A,FALSE,"Pharm";#N/A,#N/A,FALSE,"WWCM"}</definedName>
    <definedName name="wrn.print" localSheetId="9" hidden="1">{#N/A,#N/A,FALSE,"Pharm";#N/A,#N/A,FALSE,"WWCM"}</definedName>
    <definedName name="wrn.print." localSheetId="9" hidden="1">{#N/A,#N/A,FALSE,"Japan 2003";#N/A,#N/A,FALSE,"Sheet2"}</definedName>
    <definedName name="wrn.Print._.24." localSheetId="9" hidden="1">{#N/A,#N/A,FALSE,"Index";"Stmts_Qtrs",#N/A,FALSE,"Summary";"Stmts_24 mo",#N/A,FALSE,"Summary";"Summary_24",#N/A,FALSE,"Revenue";"Month_24",#N/A,FALSE,"Engineering";"Month_24",#N/A,FALSE,"Marketing";"Month_24",#N/A,FALSE,"G &amp; A";"Month_24",#N/A,FALSE,"Manufacturing"}</definedName>
    <definedName name="wrn.Print._.All." localSheetId="9" hidden="1">{"IS Years",#N/A,FALSE,"Income Statement";"IS Q96",#N/A,FALSE,"Income Statement";"IS Q97",#N/A,FALSE,"Income Statement";"Corporate",#N/A,FALSE,"Corporate Profile";"Netbacks",#N/A,FALSE,"Netbacks"}</definedName>
    <definedName name="wrn.Print._.All._.Pages." localSheetId="9" hidden="1">{"LBO Summary",#N/A,FALSE,"Summary";"Income Statement",#N/A,FALSE,"Model";"Cash Flow",#N/A,FALSE,"Model";"Balance Sheet",#N/A,FALSE,"Model";"Working Capital",#N/A,FALSE,"Model";"Pro Forma Balance Sheets",#N/A,FALSE,"PFBS";"Debt Balances",#N/A,FALSE,"Model";"Fee Schedules",#N/A,FALSE,"Model"}</definedName>
    <definedName name="wrn.Print._.All._.Worksheets." localSheetId="9" hidden="1">{#N/A,#N/A,FALSE,"Capitaliztion Matrix";#N/A,#N/A,FALSE,"4YR P&amp;L";#N/A,#N/A,FALSE,"Program Contributions";#N/A,#N/A,FALSE,"P&amp;L Trans YR 2";#N/A,#N/A,FALSE,"Rev &amp; EBITDA YR2";#N/A,#N/A,FALSE,"P&amp;L Trans YR 1";#N/A,#N/A,FALSE,"Rev &amp; EBITDA YR1"}</definedName>
    <definedName name="wrn.PRINT._.ALL.2" localSheetId="9" hidden="1">{#N/A,#N/A,FALSE,"Pharm";#N/A,#N/A,FALSE,"WWCM"}</definedName>
    <definedName name="wrn.print._.all2" localSheetId="9" hidden="1">{#N/A,#N/A,FALSE,"Pharm";#N/A,#N/A,FALSE,"WWCM"}</definedName>
    <definedName name="wrn.PRINT._.FULL." localSheetId="9" hidden="1">{#N/A,#N/A,FALSE,"face";#N/A,#N/A,FALSE,"RETURN SUMMARY ";#N/A,#N/A,FALSE,"return RS";#N/A,#N/A,FALSE,"return US$";#N/A,#N/A,FALSE,"Key Ratio";#N/A,#N/A,FALSE,"input";#N/A,#N/A,FALSE,"fnplan";#N/A,#N/A,FALSE,"RsKW";#N/A,#N/A,FALSE,"RsKW value";#N/A,#N/A,FALSE,"gen&amp;fuel";#N/A,#N/A,FALSE,"O&amp;M+admin";#N/A,#N/A,FALSE,"dep_rskw";#N/A,#N/A,FALSE,"wc_tariff";#N/A,#N/A,FALSE,"tax-tarif1";#N/A,#N/A,FALSE,"ROE";#N/A,#N/A,FALSE,"P&amp;L";#N/A,#N/A,FALSE,"fund";#N/A,#N/A,FALSE,"B.S.";#N/A,#N/A,FALSE,"wc-P&amp;L";#N/A,#N/A,FALSE,"tax-P&amp;L";#N/A,#N/A,FALSE,"dep-p&amp;l";#N/A,#N/A,FALSE,"Project Cost P&amp;L";#N/A,#N/A,FALSE,"IDCa";#N/A,#N/A,FALSE,"TN_PCOST";#N/A,#N/A,FALSE,"Local Debt in $ CEA";#N/A,#N/A,FALSE,"Debt Service"}</definedName>
    <definedName name="wrn.print._.graphs." localSheetId="9" hidden="1">{"cap_structure",#N/A,FALSE,"Graph-Mkt Cap";"price",#N/A,FALSE,"Graph-Price";"ebit",#N/A,FALSE,"Graph-EBITDA";"ebitda",#N/A,FALSE,"Graph-EBITDA"}</definedName>
    <definedName name="wrn.Print._.Model." localSheetId="9"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nthly._.Book." localSheetId="9"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_.Out._.1." localSheetId="9" hidden="1">{"Five Year",#N/A,FALSE,"Summary (2)";"Month 1 and Years",#N/A,FALSE,"Cash Budget"}</definedName>
    <definedName name="wrn.Print._.Pages." localSheetId="9" hidden="1">{#N/A,#N/A,FALSE,"Page 1";#N/A,#N/A,FALSE,"Page 2";#N/A,#N/A,FALSE,"Page 3";#N/A,#N/A,FALSE,"Page 4";#N/A,#N/A,FALSE,"Page 5"}</definedName>
    <definedName name="wrn.Print._.PNL._.Download." localSheetId="9" hidden="1">{"PNLProjDL",#N/A,FALSE,"PROJCO";"PNLParDL",#N/A,FALSE,"Parent"}</definedName>
    <definedName name="wrn.print._.raw._.data._.entry." localSheetId="9" hidden="1">{"inputs raw data",#N/A,TRUE,"INPUT"}</definedName>
    <definedName name="wrn.print._.raw._data._.entry2." localSheetId="9" hidden="1">{"inputs raw data",#N/A,TRUE,"INPUT"}</definedName>
    <definedName name="wrn.print._.summary._.sheets." localSheetId="9" hidden="1">{"summary1",#N/A,TRUE,"Comps";"summary2",#N/A,TRUE,"Comps";"summary3",#N/A,TRUE,"Comps"}</definedName>
    <definedName name="wrn.print._.summary._.sheets.2" localSheetId="9" hidden="1">{"summary1",#N/A,TRUE,"Comps";"summary2",#N/A,TRUE,"Comps";"summary3",#N/A,TRUE,"Comps"}</definedName>
    <definedName name="wrn.Print._.whole._.Report." localSheetId="9"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all1." localSheetId="9" hidden="1">{#N/A,#N/A,FALSE,"Pharm";#N/A,#N/A,FALSE,"WWCM"}</definedName>
    <definedName name="wrn.Print_Buyer." localSheetId="9" hidden="1">{#N/A,"DR",FALSE,"increm pf";#N/A,"MAMSI",FALSE,"increm pf";#N/A,"MAXI",FALSE,"increm pf";#N/A,"PCAM",FALSE,"increm pf";#N/A,"PHSV",FALSE,"increm pf";#N/A,"SIE",FALSE,"increm pf"}</definedName>
    <definedName name="wrn.Print_Earnings_template." localSheetId="9" hidden="1">{"by_month",#N/A,TRUE,"template";"destec_month",#N/A,TRUE,"template";"by_quarter",#N/A,TRUE,"template";"destec_quarter",#N/A,TRUE,"template";"by_year",#N/A,TRUE,"template";"destec_annual",#N/A,TRUE,"template"}</definedName>
    <definedName name="wrn.Print_Target." localSheetId="9"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localSheetId="9" hidden="1">{"var_page",#N/A,FALSE,"template"}</definedName>
    <definedName name="wrn.print_variance." localSheetId="9" hidden="1">{"var_report",#N/A,FALSE,"template"}</definedName>
    <definedName name="wrn.Print_Variance_Page." localSheetId="9" hidden="1">{"variance_page",#N/A,FALSE,"template"}</definedName>
    <definedName name="wrn.print2" localSheetId="9" hidden="1">{#N/A,#N/A,FALSE,"Pharm";#N/A,#N/A,FALSE,"WWCM"}</definedName>
    <definedName name="wrn.PRINT2." localSheetId="9" hidden="1">{"PAGE1",#N/A,FALSE,"ADJMODL";"PAGE2",#N/A,FALSE,"ADJMODL";"PAGE3",#N/A,FALSE,"ADJMODL";"PAGE4",#N/A,FALSE,"ADJMODL";"PAGE5",#N/A,FALSE,"ADJMODL";"PAGE6",#N/A,FALSE,"ADJMODL";"PAGE7",#N/A,FALSE,"ADJMODL";"PAGE8",#N/A,FALSE,"ADJMODL"}</definedName>
    <definedName name="wrn.print3." localSheetId="9"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ac." localSheetId="9" hidden="1">{#N/A,#N/A,FALSE,"Op-BS";#N/A,#N/A,FALSE,"Assum";#N/A,#N/A,FALSE,"IS";#N/A,#N/A,FALSE,"Syn+Elim";#N/A,#N/A,FALSE,"BSCF";#N/A,#N/A,FALSE,"Blue_IS";#N/A,#N/A,FALSE,"Blue_BSCF";#N/A,#N/A,FALSE,"Ratings"}</definedName>
    <definedName name="wrn.PrintAll." localSheetId="9" hidden="1">{"PA1",#N/A,TRUE,"BORDMW";"pa2",#N/A,TRUE,"BORDMW";"PA3",#N/A,TRUE,"BORDMW";"PA4",#N/A,TRUE,"BORDMW"}</definedName>
    <definedName name="wrn.printqtr." localSheetId="9" hidden="1">{"nytasecond",#N/A,FALSE,"NYTQTRS";"nytafirst",#N/A,FALSE,"NYTQTRS";"nytathird",#N/A,FALSE,"NYTQTRS";"nytafourth",#N/A,FALSE,"NYTQTRS";"nytafull",#N/A,FALSE,"NYTQTRS"}</definedName>
    <definedName name="wrn.PRINTREP." localSheetId="9" hidden="1">{"PRINTREP",#N/A,FALSE,"Sheet1"}</definedName>
    <definedName name="wrn.PRNE._.Profit._.and._.Loss._.detail." localSheetId="9" hidden="1">{#N/A,#N/A,TRUE,"PRNE CORE";#N/A,#N/A,TRUE,"Targeting";#N/A,#N/A,TRUE,"Distribution";#N/A,#N/A,TRUE,"Measurement"}</definedName>
    <definedName name="wrn.PROD._.PLAN._.OPTION._.4." localSheetId="9" hidden="1">{"TOP 4",#N/A,FALSE,"MVR_SUM OPTION 4 BY MO";"TOP 3A",#N/A,FALSE,"MVR_SUM OPTION 3A BY MO";"TOP OPT 4 VS 3A",#N/A,FALSE,"MVR_SUM OPTION 4 VS 3A BY MO";#N/A,#N/A,FALSE,"MVR_SUM OPTION 4 SUM";#N/A,#N/A,FALSE,"PROD PLAN 4";#N/A,#N/A,FALSE,"PROD PLAN 3A";#N/A,#N/A,FALSE,"PROD UNITS 4 VS 3A";#N/A,#N/A,FALSE,"DLV 4 VS 3A";#N/A,#N/A,FALSE,"SPD 4 VS 3A";#N/A,#N/A,FALSE,"ABS 4 VS 3A"}</definedName>
    <definedName name="wrn.products" localSheetId="9" hidden="1">{#N/A,#N/A,FALSE,"1";#N/A,#N/A,FALSE,"2";#N/A,#N/A,FALSE,"16 - 17";#N/A,#N/A,FALSE,"18 - 19";#N/A,#N/A,FALSE,"26";#N/A,#N/A,FALSE,"27";#N/A,#N/A,FALSE,"28"}</definedName>
    <definedName name="wrn.Products." localSheetId="9" hidden="1">{#N/A,#N/A,FALSE,"1";#N/A,#N/A,FALSE,"2";#N/A,#N/A,FALSE,"16 - 17";#N/A,#N/A,FALSE,"18 - 19";#N/A,#N/A,FALSE,"26";#N/A,#N/A,FALSE,"27";#N/A,#N/A,FALSE,"28"}</definedName>
    <definedName name="wrn.Proforma." localSheetId="9"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wrn.Project._.Summary." localSheetId="9" hidden="1">{"Summary",#N/A,FALSE,"MICMULT";"Income Statement",#N/A,FALSE,"MICMULT";"Cash Flows",#N/A,FALSE,"MICMULT"}</definedName>
    <definedName name="wrn.pror" localSheetId="9" hidden="1">{#N/A,#N/A,FALSE,"Pharm";#N/A,#N/A,FALSE,"WWCM"}</definedName>
    <definedName name="wrn.PROVSS." localSheetId="9" hidden="1">{"FOOTNOTE",#N/A,FALSE,"PROV";"SUMMARY",#N/A,FALSE,"PROV";"RATE",#N/A,FALSE,"PROV";"PROV CALC",#N/A,FALSE,"PROV";"PROV TO TR",#N/A,FALSE,"PROV";"TAX ACCOUNT ANAL",#N/A,FALSE,"PROV"}</definedName>
    <definedName name="wrn.Pulp." localSheetId="9" hidden="1">{"Pulp Production",#N/A,FALSE,"Pulp";"Pulp Earnings",#N/A,FALSE,"Pulp"}</definedName>
    <definedName name="wrn.Pulp.2" localSheetId="9" hidden="1">{"Pulp Production",#N/A,FALSE,"Pulp";"Pulp Earnings",#N/A,FALSE,"Pulp"}</definedName>
    <definedName name="wrn.Pulp.3" localSheetId="9" hidden="1">{"Pulp Production",#N/A,FALSE,"Pulp";"Pulp Earnings",#N/A,FALSE,"Pulp"}</definedName>
    <definedName name="wrn.Pulp.3.2" localSheetId="9" hidden="1">{"Pulp Production",#N/A,FALSE,"Pulp";"Pulp Earnings",#N/A,FALSE,"Pulp"}</definedName>
    <definedName name="wrn.Pulp.3.4" localSheetId="9" hidden="1">{"Pulp Production",#N/A,FALSE,"Pulp";"Pulp Earnings",#N/A,FALSE,"Pulp"}</definedName>
    <definedName name="wrn.Pulp.3.6" localSheetId="9" hidden="1">{"Pulp Production",#N/A,FALSE,"Pulp";"Pulp Earnings",#N/A,FALSE,"Pulp"}</definedName>
    <definedName name="wrn.Pulp.4" localSheetId="9" hidden="1">{"Pulp Production",#N/A,FALSE,"Pulp";"Pulp Earnings",#N/A,FALSE,"Pulp"}</definedName>
    <definedName name="wrn.Pulp.5" localSheetId="9" hidden="1">{"Pulp Production",#N/A,FALSE,"Pulp";"Pulp Earnings",#N/A,FALSE,"Pulp"}</definedName>
    <definedName name="wrn.Pulp.6" localSheetId="9" hidden="1">{"Pulp Production",#N/A,FALSE,"Pulp";"Pulp Earnings",#N/A,FALSE,"Pulp"}</definedName>
    <definedName name="wrn.Pulp.7" localSheetId="9" hidden="1">{"Pulp Production",#N/A,FALSE,"Pulp";"Pulp Earnings",#N/A,FALSE,"Pulp"}</definedName>
    <definedName name="wrn.Pulp.8" localSheetId="9" hidden="1">{"Pulp Production",#N/A,FALSE,"Pulp";"Pulp Earnings",#N/A,FALSE,"Pulp"}</definedName>
    <definedName name="wrn.Pulp.9" localSheetId="9" hidden="1">{"Pulp Production",#N/A,FALSE,"Pulp";"Pulp Earnings",#N/A,FALSE,"Pulp"}</definedName>
    <definedName name="wrn.Pump." localSheetId="9" hidden="1">{#N/A,#N/A,FALSE,"Assump";#N/A,#N/A,FALSE,"Income";#N/A,#N/A,FALSE,"Balance";#N/A,#N/A,FALSE,"DCF Pump";#N/A,#N/A,FALSE,"Trans Assump";#N/A,#N/A,FALSE,"Combined Income";#N/A,#N/A,FALSE,"Combined Balance"}</definedName>
    <definedName name="wrn.Qtr._.3." localSheetId="9" hidden="1">{"QTR3PL",#N/A,FALSE,"Qtr 3";"QTR3PLYTD",#N/A,FALSE,"Qtr 3";"QTR3BS",#N/A,FALSE,"Qtr 3";"QTR3CF",#N/A,FALSE,"Qtr 3";"QTR3CFYTD",#N/A,FALSE,"Qtr 3";"QTR3PGIPL",#N/A,FALSE,"Qtr 3";"QTR3PGIPLYTD",#N/A,FALSE,"Qtr 3";"QTR3PGIBS",#N/A,FALSE,"Qtr 3";"QTR3PGICF",#N/A,FALSE,"Qtr 3";"QTR3PGICFYTD",#N/A,FALSE,"Qtr 3"}</definedName>
    <definedName name="wrn.QTR1." localSheetId="9" hidden="1">{"QTR1PGIBS",#N/A,FALSE,"Qtr 1 PGI";"QTR1PGIPL",#N/A,FALSE,"Qtr 1 PGI";"QTR1PGICF",#N/A,FALSE,"Qtr 1 PGI";"QTR1BS",#N/A,FALSE,"Qtr 1 ";"QTR1PL",#N/A,FALSE,"Qtr 1 ";"QTR1CF",#N/A,FALSE,"Qtr 1 "}</definedName>
    <definedName name="wrn.Qtr2." localSheetId="9" hidden="1">{"QTR2PL",#N/A,FALSE,"Qtr 2";"QTR2PLYTD",#N/A,FALSE,"Qtr 2";"QTR2BS",#N/A,FALSE,"Qtr 2";"QTR2CF",#N/A,FALSE,"Qtr 2";"QTR2CFYTD",#N/A,FALSE,"Qtr 2";"QTR2PGIPL",#N/A,FALSE,"Qtr 2 PGI";"QTR2PGIPLYTD",#N/A,FALSE,"Qtr 2 PGI";"QTR2PGIBS",#N/A,FALSE,"Qtr 2 PGI";"QTR2PGICF",#N/A,FALSE,"Qtr 2 PGI";"QTR2PGICFYTD",#N/A,FALSE,"Qtr 2 PGI"}</definedName>
    <definedName name="wrn.qtrly._.PL._.summary._.FY01._.to._.FY03." localSheetId="9" hidden="1">{"qtrly summ-FY01",#N/A,FALSE,"P &amp; L";"qtrly summ-FY02",#N/A,FALSE,"P &amp; L";"qtrly summ-FY03",#N/A,FALSE,"P &amp; L"}</definedName>
    <definedName name="wrn.Quarterly._.Income._.Statement." localSheetId="9" hidden="1">{"Quarterly Income Statement",#N/A,FALSE,"P&amp;L Detail"}</definedName>
    <definedName name="wrn.Quarters." localSheetId="9" hidden="1">{"All Qtrs",#N/A,FALSE,"Curr Mo";"1001Q",#N/A,FALSE,"Curr Mo";"1002Q",#N/A,FALSE,"Curr Mo";"4012Q",#N/A,FALSE,"Curr Mo";"4017Q",#N/A,FALSE,"Curr Mo";"1050Q",#N/A,FALSE,"Curr Mo";"1009Q",#N/A,FALSE,"Curr Mo";"4079Q",#N/A,FALSE,"Curr Mo";"4077Q",#N/A,FALSE,"Curr Mo";"1005Q",#N/A,FALSE,"Curr Mo";"1008Q",#N/A,FALSE,"Curr Mo";"1011Q",#N/A,FALSE,"Curr Mo";"1006Q",#N/A,FALSE,"Curr Mo";"1024Q",#N/A,FALSE,"Curr Mo";"1003Q",#N/A,FALSE,"Curr Mo";"1025q",#N/A,FALSE,"Curr Mo";"4013Q",#N/A,FALSE,"Curr Mo";"1091Q",#N/A,FALSE,"Curr Mo";"1010Q",#N/A,FALSE,"Curr Mo";"1023Q",#N/A,FALSE,"Curr Mo";"4014Q",#N/A,FALSE,"Curr Mo";"1043Q",#N/A,FALSE,"Curr Mo";"1014Q",#N/A,FALSE,"Curr Mo";"1015Q",#N/A,FALSE,"Curr Mo";"1012Q",#N/A,FALSE,"Curr Mo";"1061Q",#N/A,FALSE,"Curr Mo";"1045Q",#N/A,FALSE,"Curr Mo";"4058Q",#N/A,FALSE,"Curr Mo";"1033Q",#N/A,FALSE,"Curr Mo";"1103Q",#N/A,FALSE,"Curr Mo";"4007Q",#N/A,FALSE,"Curr Mo";"4021Q",#N/A,FALSE,"Curr Mo";"4026Q",#N/A,FALSE,"Curr Mo";"4022Q",#N/A,FALSE,"Curr Mo";"4050Q",#N/A,FALSE,"Curr Mo";"4032Q",#N/A,FALSE,"Curr Mo";"4089Q",#N/A,FALSE,"Curr Mo";"1042Q",#N/A,FALSE,"Curr Mo";"1048Q",#N/A,FALSE,"Curr Mo";"4049Q",#N/A,FALSE,"Curr Mo"}</definedName>
    <definedName name="wrn.RANKED._.REC._.LLC." localSheetId="9" hidden="1">{#N/A,#N/A,FALSE,"BONDS";#N/A,#N/A,FALSE,"NON-LATIN";#N/A,#N/A,FALSE,"HY BONDS";#N/A,#N/A,FALSE,"LA-ASIAN";#N/A,#N/A,FALSE,"EMG REPO";#N/A,#N/A,FALSE,"TREASURY REPO";#N/A,#N/A,FALSE,"EMG BONDS";#N/A,#N/A,FALSE,"CREDIT DERIV";#N/A,#N/A,FALSE,"CORP DERIV"}</definedName>
    <definedName name="wrn.RANKED._.REV._.GRP._.LLC." localSheetId="9" hidden="1">{#N/A,#N/A,FALSE,"CURRENCY";#N/A,#N/A,FALSE,"BONDS";#N/A,#N/A,FALSE,"GOLD";#N/A,#N/A,FALSE,"EXOTICS";#N/A,#N/A,FALSE,"NON-LATIN";#N/A,#N/A,FALSE,"HY BONDS";#N/A,#N/A,FALSE,"LA-ASIAN";#N/A,#N/A,FALSE,"EMG REPO";#N/A,#N/A,FALSE,"TREASURY REPO";#N/A,#N/A,FALSE,"EMG BONDS";#N/A,#N/A,FALSE,"EM OPTIONS";#N/A,#N/A,FALSE,"CREDIT DERIV";#N/A,#N/A,FALSE,"CORP DERIV";#N/A,#N/A,FALSE,"NON-MEX SPOT";#N/A,#N/A,FALSE,"ELECTRICITY";#N/A,#N/A,FALSE,"FE ASIA SPOT";#N/A,#N/A,FALSE,"MEX  FWD NDF"}</definedName>
    <definedName name="wrn.Rapport." localSheetId="9" hidden="1">{#N/A,#N/A,FALSE,"SHEET1";#N/A,#N/A,FALSE,"SHEET2";#N/A,#N/A,FALSE,"SHEET3";#N/A,#N/A,FALSE,"SHEET4"}</definedName>
    <definedName name="wrn.Rapport._.complet." localSheetId="9" hidden="1">{#N/A,#N/A,FALSE,"Bilan d'ouverture";#N/A,#N/A,FALSE,"Résultats";#N/A,#N/A,FALSE,"Ventes";#N/A,#N/A,FALSE,"Hypothèse - fabrication";#N/A,#N/A,FALSE,"Hypothèse - coûts directs";#N/A,#N/A,FALSE,"Coût des ventes";#N/A,#N/A,FALSE,"Fabrication";#N/A,#N/A,FALSE,"FGF";#N/A,#N/A,FALSE,"Frais de vente";#N/A,#N/A,FALSE,"Frais d'administration";#N/A,#N/A,FALSE,"Frais financiers";#N/A,#N/A,FALSE,"Bilan";#N/A,#N/A,FALSE,"Trésorerie";#N/A,#N/A,FALSE,"Situation";#N/A,#N/A,FALSE,"Comptes clients";#N/A,#N/A,FALSE,"Perc";#N/A,#N/A,FALSE,"Stocks";#N/A,#N/A,FALSE,"FPA";#N/A,#N/A,FALSE,"Immobilisations";#N/A,#N/A,FALSE,"Autres actifs";#N/A,#N/A,FALSE,"Fournisseurs";#N/A,#N/A,FALSE,"Achats";#N/A,#N/A,FALSE,"Débours";#N/A,#N/A,FALSE,"Achats - Débours";#N/A,#N/A,FALSE,"Salaires";#N/A,#N/A,FALSE,"Taxes";#N/A,#N/A,FALSE,"DLT"}</definedName>
    <definedName name="wrn.Rapport._.détaillé." localSheetId="9" hidden="1">{#N/A,#N/A,TRUE,"Bilan";#N/A,#N/A,TRUE,"Résultats";#N/A,#N/A,TRUE,"Trésorerie";#N/A,#N/A,TRUE,"DLT";#N/A,#N/A,TRUE,"Situation";#N/A,#N/A,TRUE,"FGF";#N/A,#N/A,TRUE,"Frais de vente";#N/A,#N/A,TRUE,"Frais d'administration";#N/A,#N/A,TRUE,"Frais financiers"}</definedName>
    <definedName name="wrn.Rapport._.sommaire." localSheetId="9" hidden="1">{#N/A,#N/A,TRUE,"Bilan";#N/A,#N/A,TRUE,"Résultats";#N/A,#N/A,TRUE,"Trésorerie";#N/A,#N/A,TRUE,"DLT";#N/A,#N/A,TRUE,"Situation"}</definedName>
    <definedName name="wrn.Ratios." localSheetId="9" hidden="1">{"Ratios",#N/A,FALSE,"Ratios"}</definedName>
    <definedName name="wrn.Recovery." localSheetId="9" hidden="1">{#N/A,#N/A,FALSE,"COVER";#N/A,#N/A,FALSE,"Index";#N/A,#N/A,FALSE,"Summ_Products_Rec.97-98";#N/A,#N/A,FALSE,"QTR_Comp.";#N/A,#N/A,FALSE,"Summ_Detail_Rec.97-98";#N/A,#N/A,FALSE,"Summ_Agencies_Rec.97-98"}</definedName>
    <definedName name="wrn.red_take." localSheetId="9" hidden="1">{"red_take_pg1",#N/A,FALSE,"reduced_take";"red_take_pg2",#N/A,FALSE,"reduced_take";"red_take_pg3",#N/A,FALSE,"reduced_take";"red_take_pg4",#N/A,FALSE,"reduced_take";"red_take_pg5",#N/A,FALSE,"reduced_take";"red_take_pg6",#N/A,FALSE,"reduced_take"}</definedName>
    <definedName name="wrn.Reforcast._.Print." localSheetId="9" hidden="1">{#N/A,#N/A,FALSE,"RF Inc Stmt";#N/A,#N/A,FALSE,"RF-IS-1";#N/A,#N/A,FALSE,"RF-IS-2"}</definedName>
    <definedName name="wrn.Reforecast." localSheetId="9"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gions._.Bank." localSheetId="9" hidden="1">{#N/A,#N/A,FALSE,"Cover_Page";#N/A,#N/A,FALSE,"Balance Sheet FY12";#N/A,#N/A,FALSE,"Consolidated-Cash Flow";#N/A,#N/A,FALSE,"CY_Per Inc FY12"}</definedName>
    <definedName name="wrn.RELEVANTSHEETS." localSheetId="9" hidden="1">{#N/A,#N/A,FALSE,"AD_Purch";#N/A,#N/A,FALSE,"Projections";#N/A,#N/A,FALSE,"DCF";#N/A,#N/A,FALSE,"Mkt Val"}</definedName>
    <definedName name="wrn.Relvals." localSheetId="9" hidden="1">{"weekly",#N/A,FALSE,"HLTH_BND";"weekly",#N/A,FALSE,"PAP_BOND";#N/A,#N/A,FALSE,"RET_BND";"weekly",#N/A,FALSE,"CHM_BND";#N/A,#N/A,FALSE,"MOVIES";#N/A,#N/A,FALSE,"CABLE";#N/A,#N/A,FALSE,"BDCSTRV"}</definedName>
    <definedName name="wrn.rep_page." localSheetId="9" hidden="1">{"Annual_Income",#N/A,FALSE,"Report Page";"Balance_Cash_Flow",#N/A,FALSE,"Report Page";"Quarterly_Income",#N/A,FALSE,"Report Page"}</definedName>
    <definedName name="wrn.report" localSheetId="9"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9"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2." localSheetId="9" hidden="1">{#N/A,#N/A,TRUE,"Pivots-Employee";#N/A,"Scenerio2",TRUE,"Assumptions Summary"}</definedName>
    <definedName name="wrn.REPORT._.C." localSheetId="9" hidden="1">{#N/A,#N/A,TRUE,"Sch-5a";#N/A,#N/A,TRUE,"Sch-5b";#N/A,#N/A,TRUE,"Sch-5c";#N/A,#N/A,TRUE,"Sch-5d";#N/A,#N/A,TRUE,"Sch-6a";#N/A,#N/A,TRUE,"Sch-6b";#N/A,#N/A,TRUE,"Sch-6c";#N/A,#N/A,TRUE,"Sch-6d";#N/A,#N/A,TRUE,"Sch-6e"}</definedName>
    <definedName name="wrn.Report._.Summary." localSheetId="9" hidden="1">{#N/A,#N/A,FALSE,"March Details"}</definedName>
    <definedName name="wrn.Report_Page." localSheetId="9" hidden="1">{"Annual_Income",#N/A,FALSE,"Report Page";"Balance_Cash_Flow",#N/A,FALSE,"Report Page";"Quarterly_Income",#N/A,FALSE,"Report Page"}</definedName>
    <definedName name="wrn.Report_PR_1." localSheetId="9" hidden="1">{"PR1","pr1",TRUE,"Sch PR-1"}</definedName>
    <definedName name="wrn.Report1." localSheetId="9" hidden="1">{#N/A,#N/A,FALSE,"IS";#N/A,#N/A,FALSE,"BS";#N/A,#N/A,FALSE,"CF";#N/A,#N/A,FALSE,"CE";#N/A,#N/A,FALSE,"Depr";#N/A,#N/A,FALSE,"APAL"}</definedName>
    <definedName name="wrn.REPORTING._.PACKAGE." localSheetId="9" hidden="1">{#N/A,#N/A,TRUE,"Cover";#N/A,#N/A,TRUE,"BS";#N/A,#N/A,TRUE,"BS (2)";#N/A,#N/A,TRUE,"BS (3)";#N/A,#N/A,TRUE,"Supp Info-BS";#N/A,#N/A,TRUE,"IS";#N/A,#N/A,TRUE,"IS (2)";#N/A,#N/A,TRUE,"IS (3)";#N/A,#N/A,TRUE,"Supp Info-IS";#N/A,#N/A,TRUE,"CF";#N/A,#N/A,TRUE,"Supp Info-CF";#N/A,#N/A,TRUE,"SH";#N/A,#N/A,TRUE,"Supp Info-SH"}</definedName>
    <definedName name="wrn.reports." localSheetId="9" hidden="1">{"summary",#N/A,FALSE,"3 yr average";"comps",#N/A,FALSE,"3 yr average"}</definedName>
    <definedName name="wrn.RESERVE._.SCHEDULE." localSheetId="9" hidden="1">{#N/A,#N/A,FALSE,"Sheet8";#N/A,#N/A,FALSE,"Sheet7"}</definedName>
    <definedName name="wrn.Results." localSheetId="9" hidden="1">{#N/A,#N/A,FALSE,"PR report 1";#N/A,#N/A,FALSE,"PR report 2";#N/A,#N/A,FALSE,"PR report 3";#N/A,#N/A,FALSE,"HBE Rev";#N/A,#N/A,FALSE,"PR report 4";#N/A,#N/A,FALSE,"Wiggin Rev";#N/A,#N/A,FALSE,"NH Rev"}</definedName>
    <definedName name="wrn.revenue._.detail." localSheetId="9" hidden="1">{"revenue detail 1",#N/A,FALSE,"Revenue Detail";"revenue detail 2",#N/A,FALSE,"Revenue Detail";"revenue detail 3",#N/A,FALSE,"Revenue Detail";"revenue detail 4",#N/A,FALSE,"Revenue Detail"}</definedName>
    <definedName name="wrn.revenue._.graph." localSheetId="9" hidden="1">{"revenue graph",#N/A,FALSE,"Revenue Graph"}</definedName>
    <definedName name="wrn.revenue._.historical." localSheetId="9"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ised._.Cap._.Budget." localSheetId="9" hidden="1">{#N/A,#N/A,TRUE,"Overview";#N/A,#N/A,TRUE,"New Gen"}</definedName>
    <definedName name="wrn.Revised._.Capital._.Budget." localSheetId="9" hidden="1">{#N/A,#N/A,TRUE,"Overview";#N/A,#N/A,TRUE,"New Gen";#N/A,#N/A,TRUE,"Consol cap-ex";#N/A,#N/A,TRUE,"APC cap-ex";#N/A,#N/A,TRUE,"GPC cap-ex";#N/A,#N/A,TRUE,"GUL cap-ex";#N/A,#N/A,TRUE,"MPC cap-ex";#N/A,#N/A,TRUE,"SAV cap-ex";#N/A,#N/A,TRUE,"SEGCO cap-ex";#N/A,#N/A,TRUE,"SWE cap-ex"}</definedName>
    <definedName name="wrn.Ricobayo._.I." localSheetId="9" hidden="1">{#N/A,#N/A,FALSE,"RESUMEN ECON.";#N/A,#N/A,FALSE,"Costos de R.H.";#N/A,#N/A,FALSE,"COSTO HW";#N/A,#N/A,FALSE,"CUADROS";#N/A,#N/A,FALSE,"SCADA´s";#N/A,#N/A,FALSE,"PRECIOS EQUIPOS"}</definedName>
    <definedName name="wrn.Riverwood_comp_model." localSheetId="9" hidden="1">{#N/A,#N/A,FALSE,"Che-Ga";#N/A,#N/A,FALSE,"Iv-Sm";#N/A,#N/A,FALSE,"So-We";#N/A,#N/A,FALSE,"Me-Po";#N/A,#N/A,FALSE,"Be-Bo";#N/A,#N/A,FALSE,"Cha-Ki";#N/A,#N/A,FALSE,"In";#N/A,#N/A,FALSE,"Schedule 23";#N/A,#N/A,FALSE,"Schedule 22";#N/A,#N/A,FALSE,"WACC"}</definedName>
    <definedName name="wrn.Roll._.Up._.Fields." localSheetId="9" hidden="1">{"Total",#N/A,FALSE,"Six Fields";"PDP",#N/A,FALSE,"Six Fields";"PNP",#N/A,FALSE,"Six Fields";"PUD",#N/A,FALSE,"Six Fields";"Prob",#N/A,FALSE,"Six Fields"}</definedName>
    <definedName name="wrn.RustyPresentation." localSheetId="9" hidden="1">{#N/A,#N/A,TRUE,"TransCore Summary";#N/A,#N/A,TRUE,"TransCore IS";#N/A,#N/A,TRUE,"TransCore Balance";#N/A,#N/A,TRUE,"TransCore Backlog";#N/A,#N/A,TRUE,"Syntonic IS";#N/A,#N/A,TRUE,"Syntonic Bal";#N/A,#N/A,TRUE,"Systems IS";#N/A,#N/A,TRUE,"Systems Bal"}</definedName>
    <definedName name="wrn.sales." localSheetId="9" hidden="1">{"sales",#N/A,FALSE,"Sales";"sales existing",#N/A,FALSE,"Sales";"sales rd1",#N/A,FALSE,"Sales";"sales rd2",#N/A,FALSE,"Sales"}</definedName>
    <definedName name="wrn.San._.Pedro." localSheetId="9" hidden="1">{#N/A,#N/A,FALSE,"San Pedro"}</definedName>
    <definedName name="wrn.SB_PRES." localSheetId="9" hidden="1">{#N/A,#N/A,TRUE,"Sheet16"}</definedName>
    <definedName name="wrn.SBEI." localSheetId="9" hidden="1">{#N/A,#N/A,TRUE,"Table1";#N/A,#N/A,TRUE,"Table2";#N/A,#N/A,TRUE,"Table3";#N/A,#N/A,TRUE,"Table4";#N/A,#N/A,TRUE,"Table5";#N/A,#N/A,TRUE,"Table6";#N/A,#N/A,TRUE,"Table7";#N/A,#N/A,TRUE,"Table8";#N/A,#N/A,TRUE,"Table9";#N/A,#N/A,TRUE,"Table10";#N/A,#N/A,TRUE,"Table11";#N/A,#N/A,TRUE,"Table12";#N/A,#N/A,TRUE,"Table13";#N/A,#N/A,TRUE,"Table14"}</definedName>
    <definedName name="wrn.Schedules." localSheetId="9" hidden="1">{#N/A,#N/A,FALSE,"Sch. 1";#N/A,#N/A,FALSE,"Sch. 2";#N/A,#N/A,FALSE,"Sch. 3";#N/A,#N/A,FALSE,"Sch. 4";#N/A,#N/A,FALSE,"Sch. 5";#N/A,#N/A,FALSE,"Sch 6.";#N/A,#N/A,FALSE,"Sch. 7";#N/A,#N/A,FALSE,"Sch. 8";#N/A,#N/A,FALSE,"Sch. 9";#N/A,#N/A,FALSE,"Sch. 10";#N/A,#N/A,FALSE,"Sch. 13"}</definedName>
    <definedName name="wrn.Scripts." localSheetId="9" hidden="1">{"ENBREL",#N/A,FALSE,"Sheet1";"RenaGel",#N/A,FALSE,"Sheet1";"HIV PI",#N/A,FALSE,"Sheet1";"MS",#N/A,FALSE,"Sheet1"}</definedName>
    <definedName name="wrn.Segments." localSheetId="9" hidden="1">{"view1",#N/A,FALSE,"Consolidated";"view2",#N/A,FALSE,"Consolidated (sum)";"view1",#N/A,FALSE,"Gen Sys";"view1",#N/A,FALSE,"Semicon";"view1",#N/A,FALSE,"Mess|Med";"view1",#N/A,FALSE,"Land Mob";"view1",#N/A,FALSE,"Other Prod";"view1",#N/A,FALSE,"Adj|Elim"}</definedName>
    <definedName name="wrn.Sell._.AC._.Scenarios." localSheetId="9" hidden="1">{#N/A,"Mine Allocated, Sell AC",FALSE,"INPUTS";#N/A,"All Preferred, Sell AC",FALSE,"INPUTS";#N/A,"Step Up, Sell AC",FALSE,"INPUTS"}</definedName>
    <definedName name="wrn.SemiCap." localSheetId="9" hidden="1">{#N/A,#N/A,FALSE,"from high";#N/A,#N/A,FALSE,"from low";#N/A,#N/A,FALSE,"Market Cap";#N/A,#N/A,FALSE,"Alpha"}</definedName>
    <definedName name="wrn.Senior._.Mgr._.Review." localSheetId="9" hidden="1">{#N/A,#N/A,TRUE,"Y1-F00"}</definedName>
    <definedName name="wrn.Sensitivity." localSheetId="9" hidden="1">{"sen cf",#N/A,FALSE,"MODEL";"sen earn",#N/A,FALSE,"MODEL";"sen debt",#N/A,FALSE,"MODEL";"sen nav",#N/A,FALSE,"MODEL"}</definedName>
    <definedName name="wrn.Sensitivity._.Analysis." localSheetId="9" hidden="1">{"Sensitivity Tables",#N/A,FALSE,"DCF"}</definedName>
    <definedName name="wrn.Set." localSheetId="9" hidden="1">{#N/A,#N/A,FALSE,"High";#N/A,#N/A,FALSE,"Low";#N/A,#N/A,FALSE,"MarketCap";#N/A,#N/A,FALSE,"Alpha"}</definedName>
    <definedName name="wrn.SHORT." localSheetId="9" hidden="1">{"CREDIT STATISTICS",#N/A,FALSE,"STATS";"CF_AND_IS",#N/A,FALSE,"PLAN";"BALSHEET",#N/A,FALSE,"BALANCE SHEET"}</definedName>
    <definedName name="wrn.Short._.Form._.Print._.Out." localSheetId="9" hidden="1">{#N/A,#N/A,FALSE,"General Assumptions";#N/A,#N/A,FALSE,"Accounts";#N/A,#N/A,FALSE,"OperatingAssumptions";#N/A,#N/A,FALSE,"Cashflow";#N/A,#N/A,FALSE,"Debt";#N/A,#N/A,FALSE,"Ops Summary";#N/A,#N/A,FALSE,"Summary"}</definedName>
    <definedName name="wrn.Short._.Form._.Print._.Out._1" localSheetId="9" hidden="1">{#N/A,#N/A,FALSE,"General Assumptions";#N/A,#N/A,FALSE,"Accounts";#N/A,#N/A,FALSE,"OperatingAssumptions";#N/A,#N/A,FALSE,"Cashflow";#N/A,#N/A,FALSE,"Debt";#N/A,#N/A,FALSE,"Ops Summary";#N/A,#N/A,FALSE,"Summary"}</definedName>
    <definedName name="wrn.Short._.Form._.Print._.Out._1_1" localSheetId="9" hidden="1">{#N/A,#N/A,FALSE,"General Assumptions";#N/A,#N/A,FALSE,"Accounts";#N/A,#N/A,FALSE,"OperatingAssumptions";#N/A,#N/A,FALSE,"Cashflow";#N/A,#N/A,FALSE,"Debt";#N/A,#N/A,FALSE,"Ops Summary";#N/A,#N/A,FALSE,"Summary"}</definedName>
    <definedName name="wrn.Short._.Form._.Print._.Out._1_2" localSheetId="9" hidden="1">{#N/A,#N/A,FALSE,"General Assumptions";#N/A,#N/A,FALSE,"Accounts";#N/A,#N/A,FALSE,"OperatingAssumptions";#N/A,#N/A,FALSE,"Cashflow";#N/A,#N/A,FALSE,"Debt";#N/A,#N/A,FALSE,"Ops Summary";#N/A,#N/A,FALSE,"Summary"}</definedName>
    <definedName name="wrn.Short._.Form._.Print._.Out._1_3" localSheetId="9" hidden="1">{#N/A,#N/A,FALSE,"General Assumptions";#N/A,#N/A,FALSE,"Accounts";#N/A,#N/A,FALSE,"OperatingAssumptions";#N/A,#N/A,FALSE,"Cashflow";#N/A,#N/A,FALSE,"Debt";#N/A,#N/A,FALSE,"Ops Summary";#N/A,#N/A,FALSE,"Summary"}</definedName>
    <definedName name="wrn.Short._.Form._.Print._.Out._1_4" localSheetId="9" hidden="1">{#N/A,#N/A,FALSE,"General Assumptions";#N/A,#N/A,FALSE,"Accounts";#N/A,#N/A,FALSE,"OperatingAssumptions";#N/A,#N/A,FALSE,"Cashflow";#N/A,#N/A,FALSE,"Debt";#N/A,#N/A,FALSE,"Ops Summary";#N/A,#N/A,FALSE,"Summary"}</definedName>
    <definedName name="wrn.Short._.Form._.Print._.Out._2" localSheetId="9" hidden="1">{#N/A,#N/A,FALSE,"General Assumptions";#N/A,#N/A,FALSE,"Accounts";#N/A,#N/A,FALSE,"OperatingAssumptions";#N/A,#N/A,FALSE,"Cashflow";#N/A,#N/A,FALSE,"Debt";#N/A,#N/A,FALSE,"Ops Summary";#N/A,#N/A,FALSE,"Summary"}</definedName>
    <definedName name="wrn.Short._.Form._.Print._.Out._3" localSheetId="9" hidden="1">{#N/A,#N/A,FALSE,"General Assumptions";#N/A,#N/A,FALSE,"Accounts";#N/A,#N/A,FALSE,"OperatingAssumptions";#N/A,#N/A,FALSE,"Cashflow";#N/A,#N/A,FALSE,"Debt";#N/A,#N/A,FALSE,"Ops Summary";#N/A,#N/A,FALSE,"Summary"}</definedName>
    <definedName name="wrn.Short._.Form._.Print._.Out._4" localSheetId="9" hidden="1">{#N/A,#N/A,FALSE,"General Assumptions";#N/A,#N/A,FALSE,"Accounts";#N/A,#N/A,FALSE,"OperatingAssumptions";#N/A,#N/A,FALSE,"Cashflow";#N/A,#N/A,FALSE,"Debt";#N/A,#N/A,FALSE,"Ops Summary";#N/A,#N/A,FALSE,"Summary"}</definedName>
    <definedName name="wrn.Short._.Form._.Print._.Out._5" localSheetId="9" hidden="1">{#N/A,#N/A,FALSE,"General Assumptions";#N/A,#N/A,FALSE,"Accounts";#N/A,#N/A,FALSE,"OperatingAssumptions";#N/A,#N/A,FALSE,"Cashflow";#N/A,#N/A,FALSE,"Debt";#N/A,#N/A,FALSE,"Ops Summary";#N/A,#N/A,FALSE,"Summary"}</definedName>
    <definedName name="wrn.Side._.by._.Side." localSheetId="9" hidden="1">{"Side 99",#N/A,FALSE,"S&amp;U Side by Side"}</definedName>
    <definedName name="wrn.SJE_NBR_1_Job." localSheetId="9" hidden="1">{"SJE_#1A",#N/A,FALSE,"SJE1A";"Payroll_Summary_Report",#N/A,FALSE,"Summary";"SJE_#1B",#N/A,FALSE,"SJE1B";"WC_Grouping",#N/A,FALSE,"WC Payroll"}</definedName>
    <definedName name="wrn.SJE11_Print_Job." localSheetId="9" hidden="1">{"SJE #11",#N/A,FALSE,"Sheet1"}</definedName>
    <definedName name="wrn.SJE12_PRINT_JOB." localSheetId="9" hidden="1">{"SJE#12",#N/A,FALSE,"Sheet1"}</definedName>
    <definedName name="wrn.SJE2_PRINTJOB." localSheetId="9" hidden="1">{"TAX_CALCULATION",#N/A,FALSE,"Accrual Calc";"SJE#2A",#N/A,FALSE,"Accrual GJE";"SJE#2B",#N/A,FALSE,"Reversal GJE"}</definedName>
    <definedName name="wrn.sje22." localSheetId="9" hidden="1">{"sje #22",#N/A,FALSE,"SJE #22";"calc",#N/A,FALSE,"CALC"}</definedName>
    <definedName name="wrn.SJE3_Print_Job." localSheetId="9" hidden="1">{"Accrual_Calc",#N/A,FALSE,"JE DETAIL";"SJE#3A",#N/A,FALSE,"JE DETAIL";"SJE#3B",#N/A,FALSE,"JE DETAIL"}</definedName>
    <definedName name="wrn.SJE4_PRINT_JOB." localSheetId="9" hidden="1">{"sje#4",#N/A,FALSE,"Sheet1"}</definedName>
    <definedName name="wrn.SJE4A_PRINT_JOB." localSheetId="9" hidden="1">{"SJE#4A",#N/A,FALSE,"Sheet1"}</definedName>
    <definedName name="wrn.SJE5_PRINT_JOB." localSheetId="9" hidden="1">{"SJE#5",#N/A,FALSE,"Sheet1"}</definedName>
    <definedName name="wrn.Sommaire." localSheetId="9" hidden="1">{#N/A,#N/A,TRUE,"Summary";#N/A,#N/A,TRUE,"NARRATIF";#N/A,#N/A,TRUE,"SALES";#N/A,#N/A,TRUE,"NOPAT";#N/A,#N/A,TRUE,"CASH";#N/A,#N/A,TRUE,"UA";#N/A,#N/A,TRUE,"spares"}</definedName>
    <definedName name="wrn.sspall." localSheetId="9" hidden="1">{"sspcash",#N/A,FALSE,"EWSINCX";"sspinc",#N/A,FALSE,"EWSINCX";"ssptax",#N/A,FALSE,"EWSINCX";"ssppub",#N/A,FALSE,"EWSINCX";"sspperchgetc",#N/A,FALSE,"EWSINCX";"sspevan",#N/A,FALSE,"EWSINCX";"sspbroad",#N/A,FALSE,"EWSINCX";"sspbroadcont",#N/A,FALSE,"EWSINCX";"sspcable",#N/A,FALSE,"EWSINCX";"sspent",#N/A,FALSE,"EWSINCX"}</definedName>
    <definedName name="wrn.Staffing." localSheetId="9"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1" localSheetId="9" hidden="1">{#N/A,#N/A,FALSE,"Assessment";#N/A,#N/A,FALSE,"Staffing";#N/A,#N/A,FALSE,"Hires";#N/A,#N/A,FALSE,"Assumptions"}</definedName>
    <definedName name="wrn.stand_alone_both" localSheetId="9" hidden="1">{"FCB_ALL",#N/A,FALSE,"FCB";"GREY_ALL",#N/A,FALSE,"GREY"}</definedName>
    <definedName name="wrn.STAND_ALONE_BOTH." localSheetId="9" hidden="1">{"FCB_ALL",#N/A,FALSE,"FCB";"GREY_ALL",#N/A,FALSE,"GREY"}</definedName>
    <definedName name="wrn.Stand_alone_both._dcf" localSheetId="9" hidden="1">{"FCB_ALL",#N/A,FALSE,"FCB";"GREY_ALL",#N/A,FALSE,"GREY"}</definedName>
    <definedName name="wrn.stand_alone_both.1" localSheetId="9" hidden="1">{"FCB_ALL",#N/A,FALSE,"FCB";"GREY_ALL",#N/A,FALSE,"GREY"}</definedName>
    <definedName name="wrn.stand_alone_both1" localSheetId="9" hidden="1">{"FCB_ALL",#N/A,FALSE,"FCB";"GREY_ALL",#N/A,FALSE,"GREY"}</definedName>
    <definedName name="wrn.stand_alone_both9" localSheetId="9" hidden="1">{"FCB_ALL",#N/A,FALSE,"FCB";"GREY_ALL",#N/A,FALSE,"GREY"}</definedName>
    <definedName name="wrn.standaloneboth1" localSheetId="9" hidden="1">{"FCB_ALL",#N/A,FALSE,"FCB";"GREY_ALL",#N/A,FALSE,"GREY"}</definedName>
    <definedName name="wrn.Standard._.Reports." localSheetId="9"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tements." localSheetId="9" hidden="1">{#N/A,#N/A,FALSE,"CostOfService";#N/A,#N/A,FALSE,"BalanceSheet";#N/A,#N/A,FALSE,"IncomeStmt";#N/A,#N/A,FALSE,"CashFlow";#N/A,#N/A,FALSE,"RateBase"}</definedName>
    <definedName name="wrn.statemetns1." localSheetId="9" hidden="1">{#N/A,#N/A,FALSE,"CostOfService";#N/A,#N/A,FALSE,"BalanceSheet";#N/A,#N/A,FALSE,"IncomeStmt";#N/A,#N/A,FALSE,"CashFlow";#N/A,#N/A,FALSE,"RateBase"}</definedName>
    <definedName name="wrn.Statistics." localSheetId="9" hidden="1">{"Std Poor",#N/A,FALSE,"S&amp;P";"Sum Stats",#N/A,FALSE,"Stats"}</definedName>
    <definedName name="wrn.STMT._.OF._.CASH._.FLOWS." localSheetId="9" hidden="1">{"STMT OF CASH FLOWS",#N/A,FALSE,"Cash Flows Indirect"}</definedName>
    <definedName name="wrn.Structure." localSheetId="9" hidden="1">{#N/A,#N/A,FALSE,"Structure";#N/A,#N/A,FALSE,"Proj-Cal";#N/A,#N/A,FALSE,"Market"}</definedName>
    <definedName name="wrn.Subject._.Worksheet." localSheetId="9" hidden="1">{"Balance Sheets",#N/A,FALSE,"Subject";"Income Statements - As Reported",#N/A,FALSE,"Subject";"Income Statements - Adjusted",#N/A,FALSE,"Subject";"Ratios",#N/A,FALSE,"Subject";"Representative Earnings",#N/A,FALSE,"Subject"}</definedName>
    <definedName name="wrn.subs." localSheetId="9" hidden="1">{#N/A,#N/A,FALSE,"Comp - War";#N/A,#N/A,FALSE,"Comp - War"}</definedName>
    <definedName name="wrn.SUM." localSheetId="9" hidden="1">{"SUM",#N/A,FALSE,"Details (2)"}</definedName>
    <definedName name="wrn.sumarry_96_980" localSheetId="9" hidden="1">{"arpm1995",#N/A,FALSE,"Summary 95-96";"bus_long_distance",#N/A,FALSE,"Summary 95-96";"mins_per_day",#N/A,FALSE,"Summary 95-96";"minutes1995",#N/A,FALSE,"Summary 95-96";"rev_per_day",#N/A,FALSE,"Summary 95-96";"view1995",#N/A,FALSE,"Summary 95-96"}</definedName>
    <definedName name="wrn.Summ." localSheetId="9" hidden="1">{#N/A,#N/A,TRUE,"Months 2003";#N/A,#N/A,TRUE,"Months 2004";#N/A,#N/A,TRUE,"Months 2005"}</definedName>
    <definedName name="wrn.summ4." localSheetId="9" hidden="1">{#N/A,#N/A,FALSE,"summ";#N/A,#N/A,FALSE,"q1";#N/A,#N/A,FALSE,"summ_alt";#N/A,#N/A,FALSE,"stock_nozero";#N/A,#N/A,FALSE,"1995"}</definedName>
    <definedName name="wrn.summaries." localSheetId="9"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localSheetId="9" hidden="1">{"Sum1",#N/A,FALSE,"Reserve Report";"Sum2",#N/A,FALSE,"Reserve Report";"Sum3",#N/A,FALSE,"Reserve Report";"Sum4",#N/A,FALSE,"Reserve Report"}</definedName>
    <definedName name="wrn.Summary._.Financials." localSheetId="9" hidden="1">{"Balance Sheet",#N/A,FALSE,"Annual Summary";"Cashflows",#N/A,FALSE,"Annual Summary";"Summary Earnings",#N/A,FALSE,"Annual Summary"}</definedName>
    <definedName name="wrn.Summary._.of._.Details2." localSheetId="9" hidden="1">{"Summary",#N/A,FALSE,"Details (2)"}</definedName>
    <definedName name="wrn.summary._.schedules." localSheetId="9" hidden="1">{"summary1",#N/A,FALSE,"Summary of Values";"summary2",#N/A,FALSE,"Summary of Values"}</definedName>
    <definedName name="wrn.Summary._1" localSheetId="9" hidden="1">{"Summary",#N/A,FALSE,"Summary"}</definedName>
    <definedName name="wrn.Summary._1_1" localSheetId="9" hidden="1">{"Summary",#N/A,FALSE,"Summary"}</definedName>
    <definedName name="wrn.Summary._1_2" localSheetId="9" hidden="1">{"Summary",#N/A,FALSE,"Summary"}</definedName>
    <definedName name="wrn.Summary._1_3" localSheetId="9" hidden="1">{"Summary",#N/A,FALSE,"Summary"}</definedName>
    <definedName name="wrn.Summary._1_4" localSheetId="9" hidden="1">{"Summary",#N/A,FALSE,"Summary"}</definedName>
    <definedName name="wrn.Summary._2" localSheetId="9" hidden="1">{"Summary",#N/A,FALSE,"Summary"}</definedName>
    <definedName name="wrn.Summary._3" localSheetId="9" hidden="1">{"Summary",#N/A,FALSE,"Summary"}</definedName>
    <definedName name="wrn.Summary._4" localSheetId="9" hidden="1">{"Summary",#N/A,FALSE,"Summary"}</definedName>
    <definedName name="wrn.Summary._5" localSheetId="9" hidden="1">{"Summary",#N/A,FALSE,"Summary"}</definedName>
    <definedName name="wrn.summary_95_890" localSheetId="9" hidden="1">{"arpm1995",#N/A,FALSE,"Summary 95-96";"bus_long_distance",#N/A,FALSE,"Summary 95-96";"mins_per_day",#N/A,FALSE,"Summary 95-96";"minutes1995",#N/A,FALSE,"Summary 95-96";"rev_per_day",#N/A,FALSE,"Summary 95-96";"view1995",#N/A,FALSE,"Summary 95-96"}</definedName>
    <definedName name="wrn.summary_95_950" localSheetId="9" hidden="1">{"arpm1995",#N/A,FALSE,"Summary 95-96";"bus_long_distance",#N/A,FALSE,"Summary 95-96";"mins_per_day",#N/A,FALSE,"Summary 95-96";"minutes1995",#N/A,FALSE,"Summary 95-96";"rev_per_day",#N/A,FALSE,"Summary 95-96";"view1995",#N/A,FALSE,"Summary 95-96"}</definedName>
    <definedName name="wrn.summary_95_96." localSheetId="9" hidden="1">{"arpm1995",#N/A,FALSE,"Summary 95-96";"bus_long_distance",#N/A,FALSE,"Summary 95-96";"mins_per_day",#N/A,FALSE,"Summary 95-96";"minutes1995",#N/A,FALSE,"Summary 95-96";"rev_per_day",#N/A,FALSE,"Summary 95-96";"view1995",#N/A,FALSE,"Summary 95-96"}</definedName>
    <definedName name="wrn.summary_95_960" localSheetId="9" hidden="1">{"arpm1995",#N/A,FALSE,"Summary 95-96";"bus_long_distance",#N/A,FALSE,"Summary 95-96";"mins_per_day",#N/A,FALSE,"Summary 95-96";"minutes1995",#N/A,FALSE,"Summary 95-96";"rev_per_day",#N/A,FALSE,"Summary 95-96";"view1995",#N/A,FALSE,"Summary 95-96"}</definedName>
    <definedName name="wrn.summary_95_961." localSheetId="9" hidden="1">{"arpm1995",#N/A,FALSE,"Summary 95-96";"bus_long_distance",#N/A,FALSE,"Summary 95-96";"mins_per_day",#N/A,FALSE,"Summary 95-96";"minutes1995",#N/A,FALSE,"Summary 95-96";"rev_per_day",#N/A,FALSE,"Summary 95-96";"view1995",#N/A,FALSE,"Summary 95-96"}</definedName>
    <definedName name="wrn.summary_95_963" localSheetId="9" hidden="1">{"arpm1995",#N/A,FALSE,"Summary 95-96";"bus_long_distance",#N/A,FALSE,"Summary 95-96";"mins_per_day",#N/A,FALSE,"Summary 95-96";"minutes1995",#N/A,FALSE,"Summary 95-96";"rev_per_day",#N/A,FALSE,"Summary 95-96";"view1995",#N/A,FALSE,"Summary 95-96"}</definedName>
    <definedName name="wrn.summary_95_966" localSheetId="9" hidden="1">{"arpm1995",#N/A,FALSE,"Summary 95-96";"bus_long_distance",#N/A,FALSE,"Summary 95-96";"mins_per_day",#N/A,FALSE,"Summary 95-96";"minutes1995",#N/A,FALSE,"Summary 95-96";"rev_per_day",#N/A,FALSE,"Summary 95-96";"view1995",#N/A,FALSE,"Summary 95-96"}</definedName>
    <definedName name="wrn.summary_95_967" localSheetId="9" hidden="1">{"arpm1995",#N/A,FALSE,"Summary 95-96";"bus_long_distance",#N/A,FALSE,"Summary 95-96";"mins_per_day",#N/A,FALSE,"Summary 95-96";"minutes1995",#N/A,FALSE,"Summary 95-96";"rev_per_day",#N/A,FALSE,"Summary 95-96";"view1995",#N/A,FALSE,"Summary 95-96"}</definedName>
    <definedName name="wrn.summary_95_968" localSheetId="9" hidden="1">{"arpm1995",#N/A,FALSE,"Summary 95-96";"bus_long_distance",#N/A,FALSE,"Summary 95-96";"mins_per_day",#N/A,FALSE,"Summary 95-96";"minutes1995",#N/A,FALSE,"Summary 95-96";"rev_per_day",#N/A,FALSE,"Summary 95-96";"view1995",#N/A,FALSE,"Summary 95-96"}</definedName>
    <definedName name="wrn.summary_95_968w" localSheetId="9" hidden="1">{"arpm1995",#N/A,FALSE,"Summary 95-96";"bus_long_distance",#N/A,FALSE,"Summary 95-96";"mins_per_day",#N/A,FALSE,"Summary 95-96";"minutes1995",#N/A,FALSE,"Summary 95-96";"rev_per_day",#N/A,FALSE,"Summary 95-96";"view1995",#N/A,FALSE,"Summary 95-96"}</definedName>
    <definedName name="wrn.summary_95_969" localSheetId="9" hidden="1">{"arpm1995",#N/A,FALSE,"Summary 95-96";"bus_long_distance",#N/A,FALSE,"Summary 95-96";"mins_per_day",#N/A,FALSE,"Summary 95-96";"minutes1995",#N/A,FALSE,"Summary 95-96";"rev_per_day",#N/A,FALSE,"Summary 95-96";"view1995",#N/A,FALSE,"Summary 95-96"}</definedName>
    <definedName name="wrn.summary_95_97" localSheetId="9" hidden="1">{"arpm1995",#N/A,FALSE,"Summary 95-96";"bus_long_distance",#N/A,FALSE,"Summary 95-96";"mins_per_day",#N/A,FALSE,"Summary 95-96";"minutes1995",#N/A,FALSE,"Summary 95-96";"rev_per_day",#N/A,FALSE,"Summary 95-96";"view1995",#N/A,FALSE,"Summary 95-96"}</definedName>
    <definedName name="wrn.summary_95_970" localSheetId="9" hidden="1">{"arpm1995",#N/A,FALSE,"Summary 95-96";"bus_long_distance",#N/A,FALSE,"Summary 95-96";"mins_per_day",#N/A,FALSE,"Summary 95-96";"minutes1995",#N/A,FALSE,"Summary 95-96";"rev_per_day",#N/A,FALSE,"Summary 95-96";"view1995",#N/A,FALSE,"Summary 95-96"}</definedName>
    <definedName name="wrn.summary_95_971" localSheetId="9" hidden="1">{"arpm1995",#N/A,FALSE,"Summary 95-96";"bus_long_distance",#N/A,FALSE,"Summary 95-96";"mins_per_day",#N/A,FALSE,"Summary 95-96";"minutes1995",#N/A,FALSE,"Summary 95-96";"rev_per_day",#N/A,FALSE,"Summary 95-96";"view1995",#N/A,FALSE,"Summary 95-96"}</definedName>
    <definedName name="wrn.summary_95_98" localSheetId="9" hidden="1">{"arpm1995",#N/A,FALSE,"Summary 95-96";"bus_long_distance",#N/A,FALSE,"Summary 95-96";"mins_per_day",#N/A,FALSE,"Summary 95-96";"minutes1995",#N/A,FALSE,"Summary 95-96";"rev_per_day",#N/A,FALSE,"Summary 95-96";"view1995",#N/A,FALSE,"Summary 95-96"}</definedName>
    <definedName name="wrn.summary_95_982" localSheetId="9" hidden="1">{"arpm1995",#N/A,FALSE,"Summary 95-96";"bus_long_distance",#N/A,FALSE,"Summary 95-96";"mins_per_day",#N/A,FALSE,"Summary 95-96";"minutes1995",#N/A,FALSE,"Summary 95-96";"rev_per_day",#N/A,FALSE,"Summary 95-96";"view1995",#N/A,FALSE,"Summary 95-96"}</definedName>
    <definedName name="wrn.summary_96_915" localSheetId="9" hidden="1">{"arpm1995",#N/A,FALSE,"Summary 95-96";"bus_long_distance",#N/A,FALSE,"Summary 95-96";"mins_per_day",#N/A,FALSE,"Summary 95-96";"minutes1995",#N/A,FALSE,"Summary 95-96";"rev_per_day",#N/A,FALSE,"Summary 95-96";"view1995",#N/A,FALSE,"Summary 95-96"}</definedName>
    <definedName name="wrn.summary_96_97" localSheetId="9" hidden="1">{"arpm1995",#N/A,FALSE,"Summary 95-96";"bus_long_distance",#N/A,FALSE,"Summary 95-96";"mins_per_day",#N/A,FALSE,"Summary 95-96";"minutes1995",#N/A,FALSE,"Summary 95-96";"rev_per_day",#N/A,FALSE,"Summary 95-96";"view1995",#N/A,FALSE,"Summary 95-96"}</definedName>
    <definedName name="wrn.summary_96_970" localSheetId="9" hidden="1">{"arpm1995",#N/A,FALSE,"Summary 95-96";"bus_long_distance",#N/A,FALSE,"Summary 95-96";"mins_per_day",#N/A,FALSE,"Summary 95-96";"minutes1995",#N/A,FALSE,"Summary 95-96";"rev_per_day",#N/A,FALSE,"Summary 95-96";"view1995",#N/A,FALSE,"Summary 95-96"}</definedName>
    <definedName name="wrn.summary_96_973" localSheetId="9" hidden="1">{"arpm1995",#N/A,FALSE,"Summary 95-96";"bus_long_distance",#N/A,FALSE,"Summary 95-96";"mins_per_day",#N/A,FALSE,"Summary 95-96";"minutes1995",#N/A,FALSE,"Summary 95-96";"rev_per_day",#N/A,FALSE,"Summary 95-96";"view1995",#N/A,FALSE,"Summary 95-96"}</definedName>
    <definedName name="wrn.summary_96_974" localSheetId="9" hidden="1">{"arpm1995",#N/A,FALSE,"Summary 95-96";"bus_long_distance",#N/A,FALSE,"Summary 95-96";"mins_per_day",#N/A,FALSE,"Summary 95-96";"minutes1995",#N/A,FALSE,"Summary 95-96";"rev_per_day",#N/A,FALSE,"Summary 95-96";"view1995",#N/A,FALSE,"Summary 95-96"}</definedName>
    <definedName name="wrn.summary_96_977" localSheetId="9" hidden="1">{"arpm1995",#N/A,FALSE,"Summary 95-96";"bus_long_distance",#N/A,FALSE,"Summary 95-96";"mins_per_day",#N/A,FALSE,"Summary 95-96";"minutes1995",#N/A,FALSE,"Summary 95-96";"rev_per_day",#N/A,FALSE,"Summary 95-96";"view1995",#N/A,FALSE,"Summary 95-96"}</definedName>
    <definedName name="wrn.summary_96_977_1" localSheetId="9" hidden="1">{"arpm1995",#N/A,FALSE,"Summary 95-96";"bus_long_distance",#N/A,FALSE,"Summary 95-96";"mins_per_day",#N/A,FALSE,"Summary 95-96";"minutes1995",#N/A,FALSE,"Summary 95-96";"rev_per_day",#N/A,FALSE,"Summary 95-96";"view1995",#N/A,FALSE,"Summary 95-96"}</definedName>
    <definedName name="wrn.summary_96_978" localSheetId="9" hidden="1">{"arpm1995",#N/A,FALSE,"Summary 95-96";"bus_long_distance",#N/A,FALSE,"Summary 95-96";"mins_per_day",#N/A,FALSE,"Summary 95-96";"minutes1995",#N/A,FALSE,"Summary 95-96";"rev_per_day",#N/A,FALSE,"Summary 95-96";"view1995",#N/A,FALSE,"Summary 95-96"}</definedName>
    <definedName name="wrn.summary_96_97x" localSheetId="9" hidden="1">{"arpm1995",#N/A,FALSE,"Summary 95-96";"bus_long_distance",#N/A,FALSE,"Summary 95-96";"mins_per_day",#N/A,FALSE,"Summary 95-96";"minutes1995",#N/A,FALSE,"Summary 95-96";"rev_per_day",#N/A,FALSE,"Summary 95-96";"view1995",#N/A,FALSE,"Summary 95-96"}</definedName>
    <definedName name="wrn.summary_96_987" localSheetId="9" hidden="1">{"arpm1995",#N/A,FALSE,"Summary 95-96";"bus_long_distance",#N/A,FALSE,"Summary 95-96";"mins_per_day",#N/A,FALSE,"Summary 95-96";"minutes1995",#N/A,FALSE,"Summary 95-96";"rev_per_day",#N/A,FALSE,"Summary 95-96";"view1995",#N/A,FALSE,"Summary 95-96"}</definedName>
    <definedName name="wrn.SUPP_SCHD." localSheetId="9" hidden="1">{#N/A,#N/A,TRUE,"A";#N/A,#N/A,TRUE,"B";#N/A,#N/A,TRUE,"C";#N/A,#N/A,TRUE,"D";#N/A,#N/A,TRUE,"E"}</definedName>
    <definedName name="wrn.Supplemental_Reports." localSheetId="9" hidden="1">{#N/A,#N/A,FALSE,"Report Data";#N/A,#N/A,FALSE,"COMP POOL";#N/A,#N/A,FALSE,"COMP POOL NB95";#N/A,#N/A,FALSE,"COMP POOL NB94"}</definedName>
    <definedName name="wrn.Support." localSheetId="9" hidden="1">{#N/A,#N/A,FALSE,"TRIAL INPUT";#N/A,#N/A,FALSE,"AVG INPUT COPY";#N/A,#N/A,FALSE,"INVESTMENTS_INPUT"}</definedName>
    <definedName name="wrn.t_cash." localSheetId="9" hidden="1">{"cash_tes",#N/A,FALSE,"dec95cr.xls"}</definedName>
    <definedName name="wrn.Tables." localSheetId="9" hidden="1">{"view1",#N/A,FALSE,"Tables";"view2",#N/A,FALSE,"Tables";"view3",#N/A,FALSE,"Tables"}</definedName>
    <definedName name="wrn.Tables._.and._.Support." localSheetId="9" hidden="1">{#N/A,#N/A,FALSE,"TABLE_1 YTD";#N/A,#N/A,FALSE,"TABLE_1A QTD";#N/A,#N/A,FALSE,"NORMAL_SPREAD_QTD";#N/A,#N/A,FALSE,"NORMAL_SPREAD_YTD";#N/A,#N/A,FALSE,"TAX_EQV";#N/A,#N/A,FALSE,"TAX EQUIV_INPUT";#N/A,#N/A,FALSE,"NET FROM FER";#N/A,#N/A,FALSE,"COVER"}</definedName>
    <definedName name="wrn.Target." localSheetId="9"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DCF." localSheetId="9" hidden="1">{"targetdcf",#N/A,FALSE,"Merger consequences";"TARGETASSU",#N/A,FALSE,"Merger consequences";"TERMINAL VALUE",#N/A,FALSE,"Merger consequences"}</definedName>
    <definedName name="wrn.TargetLBO." localSheetId="9" hidden="1">{#N/A,#N/A,TRUE,"Tar-Ass";#N/A,#N/A,TRUE,"Tar-Ass LBO";#N/A,#N/A,TRUE,"LBO Ret";#N/A,#N/A,TRUE,"Tar-BS LBO";#N/A,#N/A,TRUE,"Tar-IS LBO";#N/A,#N/A,TRUE,"Tar-CF LBO";#N/A,#N/A,TRUE,"Tar-Debt LBO";#N/A,#N/A,TRUE,"Tar-Int LBO";#N/A,#N/A,TRUE,"Tar-Taxes LBO";#N/A,#N/A,TRUE,"Tar-Val LBO"}</definedName>
    <definedName name="wrn.TargetState." localSheetId="9" hidden="1">{#N/A,#N/A,FALSE,"Tar-Ass";#N/A,#N/A,FALSE,"Tar-IS";#N/A,#N/A,FALSE,"Tar-BS";#N/A,#N/A,FALSE,"Tar-Adg BS";#N/A,#N/A,FALSE,"Tar-CF"}</definedName>
    <definedName name="wrn.TargetVal." localSheetId="9" hidden="1">{#N/A,#N/A,TRUE,"Val - sum";#N/A,#N/A,TRUE,"Val - Sum1";#N/A,#N/A,TRUE,"Val - sum2";#N/A,#N/A,TRUE,"Val - Sum3";#N/A,#N/A,TRUE,"Tar-DCF";#N/A,#N/A,TRUE,"Tar-Val LBO";#N/A,#N/A,TRUE,"Tar-Mult Val"}</definedName>
    <definedName name="wrn.Tariff._.working." localSheetId="9" hidden="1">{#N/A,#N/A,TRUE,"input";#N/A,#N/A,TRUE,"fnplan";#N/A,#N/A,TRUE,"Key Ratio";#N/A,#N/A,TRUE,"Gen_BrkDn";#N/A,#N/A,TRUE,"RsKW";#N/A,#N/A,TRUE,"gen&amp;fuel";#N/A,#N/A,TRUE,"fuel_price";#N/A,#N/A,TRUE,"O&amp;M+admin";#N/A,#N/A,TRUE,"int(GB-debt)";#N/A,#N/A,TRUE,"dep_rskw";#N/A,#N/A,TRUE,"wc_tariff";#N/A,#N/A,TRUE,"tax-tarif1";#N/A,#N/A,TRUE,"ROE";#N/A,#N/A,TRUE,"TN_PCOST";#N/A,#N/A,TRUE,"fincost-tec";#N/A,#N/A,TRUE,"IDCa";#N/A,#N/A,TRUE,"fcloan(G)";#N/A,#N/A,TRUE,"fcloan(NO-G) ";#N/A,#N/A,TRUE,"Local Debt in $";#N/A,#N/A,TRUE,"Rsloan -CEA";#N/A,#N/A,TRUE,"SHL1 in $";#N/A,#N/A,TRUE,"SHL-1-INRs"}</definedName>
    <definedName name="wrn.TB._.ALL._.ACCTS." localSheetId="9" hidden="1">{"BALANCE SHEET ACCTS",#N/A,TRUE,"Working Trial Balance";"INCOME STMT ACCTS",#N/A,TRUE,"Working Trial Balance"}</definedName>
    <definedName name="wrn.TB._.BALANCE._.SHEET." localSheetId="9" hidden="1">{"BALANCE SHEET ACCTS",#N/A,FALSE,"Working Trial Balance"}</definedName>
    <definedName name="wrn.TB._.EXPLANATIONS." localSheetId="9" hidden="1">{"EXPLANATIONS",#N/A,FALSE,"Working Trial Balance"}</definedName>
    <definedName name="wrn.TB._.INCOME._.STMT." localSheetId="9" hidden="1">{"INCOME STMT ACCTS",#N/A,FALSE,"Working Trial Balance"}</definedName>
    <definedName name="wrn.technology." localSheetId="9" hidden="1">{"developed valuation",#N/A,FALSE,"Valuation Analysis";"developed income statement",#N/A,FALSE,"Abbreviated Income Statement";"inprocess valuation",#N/A,FALSE,"Valuation Analysis";"inprocess income statement",#N/A,FALSE,"Abbreviated Income Statement"}</definedName>
    <definedName name="wrn.test." localSheetId="9" hidden="1">{"test2",#N/A,TRUE,"Prices"}</definedName>
    <definedName name="wrn.Test._1" localSheetId="9" hidden="1">{#N/A,#N/A,FALSE,"P&amp;L";#N/A,#N/A,FALSE,"BS"}</definedName>
    <definedName name="wrn.Test._1_1" localSheetId="9" hidden="1">{#N/A,#N/A,FALSE,"P&amp;L";#N/A,#N/A,FALSE,"BS"}</definedName>
    <definedName name="wrn.Test._1_2" localSheetId="9" hidden="1">{#N/A,#N/A,FALSE,"P&amp;L";#N/A,#N/A,FALSE,"BS"}</definedName>
    <definedName name="wrn.Test._1_3" localSheetId="9" hidden="1">{#N/A,#N/A,FALSE,"P&amp;L";#N/A,#N/A,FALSE,"BS"}</definedName>
    <definedName name="wrn.Test._1_4" localSheetId="9" hidden="1">{#N/A,#N/A,FALSE,"P&amp;L";#N/A,#N/A,FALSE,"BS"}</definedName>
    <definedName name="wrn.Test._2" localSheetId="9" hidden="1">{#N/A,#N/A,FALSE,"P&amp;L";#N/A,#N/A,FALSE,"BS"}</definedName>
    <definedName name="wrn.Test._3" localSheetId="9" hidden="1">{#N/A,#N/A,FALSE,"P&amp;L";#N/A,#N/A,FALSE,"BS"}</definedName>
    <definedName name="wrn.Test._4" localSheetId="9" hidden="1">{#N/A,#N/A,FALSE,"P&amp;L";#N/A,#N/A,FALSE,"BS"}</definedName>
    <definedName name="wrn.Test._5" localSheetId="9" hidden="1">{#N/A,#N/A,FALSE,"P&amp;L";#N/A,#N/A,FALSE,"BS"}</definedName>
    <definedName name="wrn.test1." localSheetId="9" hidden="1">{"Income Statement",#N/A,FALSE,"CFMODEL";"Balance Sheet",#N/A,FALSE,"CFMODEL"}</definedName>
    <definedName name="wrn.test2." localSheetId="9" hidden="1">{"SourcesUses",#N/A,TRUE,"CFMODEL";"TransOverview",#N/A,TRUE,"CFMODEL"}</definedName>
    <definedName name="wrn.test3." localSheetId="9" hidden="1">{"SourcesUses",#N/A,TRUE,#N/A;"TransOverview",#N/A,TRUE,"CFMODEL"}</definedName>
    <definedName name="wrn.test4." localSheetId="9" hidden="1">{"SourcesUses",#N/A,TRUE,"FundsFlow";"TransOverview",#N/A,TRUE,"FundsFlow"}</definedName>
    <definedName name="wrn.TheWholeEnchilada." localSheetId="9" hidden="1">{"CSheet",#N/A,FALSE,"C";"SmCap",#N/A,FALSE,"VAL1";"GulfCoast",#N/A,FALSE,"VAL1";"nav",#N/A,FALSE,"NAV";"Summary",#N/A,FALSE,"NAV"}</definedName>
    <definedName name="wrn.TMCALL." localSheetId="9" hidden="1">{"tmccash",#N/A,FALSE,"INCX";"tmcinc",#N/A,FALSE,"INCX";"tmcpretx",#N/A,FALSE,"INCX";"tmcadrev",#N/A,FALSE,"INCX";"tmcbooks",#N/A,FALSE,"INCX"}</definedName>
    <definedName name="wrn.tobacco." localSheetId="9" hidden="1">{"income",#N/A,FALSE,"TOBACCO";"value",#N/A,FALSE,"TOBACCO";"assum1",#N/A,FALSE,"TOBACCO";"assum2",#N/A,FALSE,"TOBACCO";"swisher",#N/A,FALSE,"TOBACCO";"martin",#N/A,FALSE,"TOBACCO";"helme1",#N/A,FALSE,"TOBACCO";"helme2",#N/A,FALSE,"TOBACCO";"HELME3",#N/A,FALSE,"TOBACCO";"depmatrix",#N/A,FALSE,"TOBACCO"}</definedName>
    <definedName name="wrn.tobsum." localSheetId="9" hidden="1">{"income",#N/A,FALSE,"TOBACCO";"value",#N/A,FALSE,"TOBACCO";"assum1",#N/A,FALSE,"TOBACCO"}</definedName>
    <definedName name="wrn.TOOL." localSheetId="9"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localSheetId="9"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tal._.Business." localSheetId="9"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ompany._.Reforecast._.Print." localSheetId="9"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urrent._.scenario." localSheetId="9" hidden="1">{"assumptions",#N/A,TRUE,"assumptions";"PandL",#N/A,TRUE,"Merged entity";"sens",#N/A,TRUE,"assumptions";"pres1",#N/A,TRUE,"for presentation"}</definedName>
    <definedName name="wrn.Total._.Market._.Report." localSheetId="9" hidden="1">{#N/A,#N/A,FALSE,"Sales Graph";#N/A,#N/A,FALSE,"BUC Graph";#N/A,#N/A,FALSE,"P&amp;L - YTD"}</definedName>
    <definedName name="wrn.Total._.Print." localSheetId="9"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oved." localSheetId="9" hidden="1">{"Total",#N/A,FALSE,"Total Proved";"PDP",#N/A,FALSE,"Total Proved";"PNP",#N/A,FALSE,"Total Proved";"PUD",#N/A,FALSE,"Total Proved"}</definedName>
    <definedName name="wrn.Total._.Proved._.plus._.Probable." localSheetId="9" hidden="1">{"Total",#N/A,FALSE,"Total Proved + Probable";"PDP",#N/A,FALSE,"Total Proved + Probable";"PNP",#N/A,FALSE,"Total Proved + Probable";"PUD",#N/A,FALSE,"Total Proved + Probable";"Prob",#N/A,FALSE,"Total Proved + Probable"}</definedName>
    <definedName name="wrn.total._.year." localSheetId="9" hidden="1">{#N/A,#N/A,FALSE,"2003_Input - P&amp;L"}</definedName>
    <definedName name="wrn.total1." localSheetId="9"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ut._.Sauf._.BG." localSheetId="9"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rack." localSheetId="9" hidden="1">{#N/A,#N/A,FALSE,"Inc Stmt";#N/A,#N/A,FALSE,"Indirect Costs";#N/A,#N/A,FALSE,"Capital"}</definedName>
    <definedName name="wrn.trademark._.and._.trade._.name." localSheetId="9" hidden="1">{"trademark1",#N/A,FALSE,"Trademark(s) and Trade Name(s)"}</definedName>
    <definedName name="wrn.Trading._.Summary." localSheetId="9" hidden="1">{#N/A,#N/A,FALSE,"Trading Summary"}</definedName>
    <definedName name="wrn.TransPrcd_123." localSheetId="9" hidden="1">{#N/A,#N/A,TRUE,"TransPrcd 1";#N/A,#N/A,TRUE,"TransPrcd 2";#N/A,#N/A,TRUE,"TransPrcd 3"}</definedName>
    <definedName name="wrn.trball." localSheetId="9" hidden="1">{"trbcash",#N/A,FALSE,"INCPF";"trbinc",#N/A,FALSE,"INCPF";"trbchic",#N/A,FALSE,"INCPF";"trbadrev",#N/A,FALSE,"INCPF";"trbstns",#N/A,FALSE,"INCPF";"trbtvstns",#N/A,FALSE,"INCPF"}</definedName>
    <definedName name="wrn.tsp." localSheetId="9" hidden="1">{#N/A,#N/A,FALSE,"Summary";#N/A,#N/A,FALSE,"Financials";#N/A,#N/A,FALSE,"Returns";#N/A,#N/A,FALSE,"Open";#N/A,#N/A,FALSE,"Assumptions"}</definedName>
    <definedName name="wrn.twofin." localSheetId="9" hidden="1">{"bscompare",#N/A,FALSE,"Bal Sheet"}</definedName>
    <definedName name="wrn.Typhoon." localSheetId="9" hidden="1">{"Agg Output",#N/A,FALSE,"Operational Drivers Output";"NW Output",#N/A,FALSE,"Operational Drivers Output";"South Output",#N/A,FALSE,"Operational Drivers Output";"Central Output",#N/A,FALSE,"Operational Drivers Output"}</definedName>
    <definedName name="wrn.UK." localSheetId="9" hidden="1">{#N/A,#N/A,TRUE,"Combined";#N/A,#N/A,TRUE,"HotRoll";#N/A,#N/A,TRUE,"Gadd";#N/A,#N/A,TRUE,"Wesson";#N/A,#N/A,TRUE,"BrightBar";#N/A,#N/A,TRUE,"GB Longmore";#N/A,#N/A,TRUE,"MES";#N/A,#N/A,TRUE,"Wesson Bright";#N/A,#N/A,TRUE,"Macreadys";#N/A,#N/A,TRUE,"HeadOffice"}</definedName>
    <definedName name="wrn.US._.Bank." localSheetId="9" hidden="1">{#N/A,#N/A,TRUE,"Cover_Page";#N/A,#N/A,TRUE,"Balance Sheet FY12";#N/A,#N/A,TRUE,"Debt Covenants_US Bank_Cons";#N/A,#N/A,TRUE,"Consolidated-Cash Flow";#N/A,#N/A,TRUE,"CY_Per Inc FY12";#N/A,#N/A,TRUE,"Income FY12";#N/A,#N/A,TRUE,"Consolidated"}</definedName>
    <definedName name="wrn.USA._.Consolidated._.Report." localSheetId="9" hidden="1">{#N/A,#N/A,TRUE,"Consolidated B Sheet";#N/A,#N/A,TRUE,"Consolidated Cashflow";#N/A,#N/A,TRUE,"P&amp;L CONSOLIDATED"}</definedName>
    <definedName name="wrn.USR." localSheetId="9" hidden="1">{#N/A,#N/A,FALSE,"TopTen Failures";#N/A,#N/A,FALSE,"Top Ten %";#N/A,#N/A,FALSE,"Fail Code 5 mo. Totals (%)"}</definedName>
    <definedName name="wrn.Utility._.Accrual." localSheetId="9" hidden="1">{"Balt Util Water",#N/A,TRUE,"UTIL";"Balt Util Elect",#N/A,TRUE,"UTIL";"Balt Util JE",#N/A,TRUE,"UTIL"}</definedName>
    <definedName name="wrn.VALUATION." localSheetId="9" hidden="1">{#N/A,#N/A,FALSE,"Valuation Assumptions";#N/A,#N/A,FALSE,"Summary";#N/A,#N/A,FALSE,"DCF";#N/A,#N/A,FALSE,"Valuation";#N/A,#N/A,FALSE,"WACC";#N/A,#N/A,FALSE,"UBVH";#N/A,#N/A,FALSE,"Free Cash Flow"}</definedName>
    <definedName name="wrn.Valuation._.Summaries." localSheetId="9" hidden="1">{#N/A,#N/A,FALSE,"Cover Sheet";#N/A,#N/A,FALSE,"Financial Assumptions";#N/A,#N/A,FALSE,"DCFOverviewPower";#N/A,#N/A,FALSE,"DCFOverviewGas";#N/A,#N/A,FALSE,"DCFOverviewWater";#N/A,#N/A,FALSE,"DCFOverviewVersorgung"}</definedName>
    <definedName name="wrn.Value." localSheetId="9" hidden="1">{#N/A,#N/A,FALSE,"Cashflow Analysis";#N/A,#N/A,FALSE,"Sensitivity Analysis";#N/A,#N/A,FALSE,"PV";#N/A,#N/A,FALSE,"Pro Forma"}</definedName>
    <definedName name="wrn.Value.2" localSheetId="9" hidden="1">{#N/A,#N/A,FALSE,"Cashflow Analysis";#N/A,#N/A,FALSE,"Sensitivity Analysis";#N/A,#N/A,FALSE,"PV";#N/A,#N/A,FALSE,"Pro Forma"}</definedName>
    <definedName name="wrn.Variance._.REports." localSheetId="9" hidden="1">{#N/A,#N/A,FALSE,"Summary";#N/A,#N/A,FALSE,"04E Summ";#N/A,#N/A,FALSE,"04Pvs03E Summ";#N/A,#N/A,FALSE,"03E Summ"}</definedName>
    <definedName name="wrn.Versorgungs._.GmbH._.Data." localSheetId="9" hidden="1">{#N/A,#N/A,FALSE,"DCFCoverVersorgung";#N/A,#N/A,FALSE,"DCFOverviewVersorgung";#N/A,#N/A,FALSE,"PlanVersorgung";#N/A,#N/A,FALSE,"DCFVersorgung";#N/A,#N/A,FALSE,"ValueVersorgung";#N/A,#N/A,FALSE,"WaccVersorgung";#N/A,#N/A,FALSE,"WaccVersorgung";#N/A,#N/A,FALSE,"WaccCompVersorgung";#N/A,#N/A,FALSE,"MatrixVersorgung"}</definedName>
    <definedName name="wrn.VRTX." localSheetId="9" hidden="1">{"Revenues",#N/A,FALSE,"Revenue";"qearn1",#N/A,FALSE,"Qearn";"qearn2",#N/A,FALSE,"Qearn";#N/A,#N/A,FALSE,"Qmargin";"cashflow",#N/A,FALSE,"Cashflow";"Product Pipeline",#N/A,FALSE,"Product Pipeline"}</definedName>
    <definedName name="wrn.Wacc." localSheetId="9" hidden="1">{"Area1",#N/A,FALSE,"OREWACC";"Area2",#N/A,FALSE,"OREWACC"}</definedName>
    <definedName name="wrn.Warrant._.analysis." localSheetId="9" hidden="1">{#N/A,#N/A,FALSE,"sum (2)";#N/A,#N/A,FALSE,"bs";#N/A,#N/A,FALSE,"is";#N/A,#N/A,FALSE,"cf";#N/A,#N/A,FALSE,"ltd";#N/A,#N/A,FALSE,"irr (2)"}</definedName>
    <definedName name="wrn.WATERTOWN._.BUDGET." localSheetId="9" hidden="1">{#N/A,#N/A,TRUE,"Inc. St.";#N/A,#N/A,TRUE,"SalesLabor";#N/A,#N/A,TRUE,"Labor";#N/A,#N/A,TRUE,"TEMP.";#N/A,#N/A,TRUE,"Manuf.";#N/A,#N/A,TRUE,"Repairs";#N/A,#N/A,TRUE,"G&amp;A";#N/A,#N/A,TRUE,"Inv.";#N/A,#N/A,TRUE,"Cap.X";#N/A,#N/A,TRUE,"Leases"}</definedName>
    <definedName name="wrn.Web._.Portfolio._.Companies._.June._.2000." localSheetId="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stern._.Metal." localSheetId="9" hidden="1">{#N/A,#N/A,FALSE,"Western";#N/A,#N/A,FALSE,"Inc. St.";#N/A,#N/A,FALSE,"Hist.";#N/A,#N/A,FALSE,"SalesLabor";#N/A,#N/A,FALSE,"Labor";#N/A,#N/A,FALSE,"Manuf.";#N/A,#N/A,FALSE,"Repairs";#N/A,#N/A,FALSE,"G&amp;A";#N/A,#N/A,FALSE,"Inv.";#N/A,#N/A,FALSE,"Cap. X"}</definedName>
    <definedName name="wrn.WHOLE." localSheetId="9" hidden="1">{#N/A,#N/A,FALSE,"assumptions";#N/A,#N/A,FALSE,"contrib_annual";#N/A,#N/A,FALSE,"historic";#N/A,#N/A,FALSE,"Proforma";#N/A,#N/A,FALSE,"CALENDARIZED";#N/A,#N/A,FALSE,"Has_gets";#N/A,#N/A,FALSE,"DILUTION"}</definedName>
    <definedName name="wrn.wicor." localSheetId="9" hidden="1">{#N/A,#N/A,FALSE,"FACTSHEETS";#N/A,#N/A,FALSE,"pump";#N/A,#N/A,FALSE,"filter"}</definedName>
    <definedName name="wrn.work._.paper._.shcedules." localSheetId="9" hidden="1">{"summary1",#N/A,FALSE,"Summary of Values";"summary2",#N/A,FALSE,"Summary of Values";"weighted average returns",#N/A,FALSE,"WACC and WARA";"fixed asset detail",#N/A,FALSE,"Fixed Asset Detail"}</definedName>
    <definedName name="wrn.wpoall." localSheetId="9" hidden="1">{"wpocash",#N/A,FALSE,"WPOALLT";"wpoinc",#N/A,FALSE,"WPOALLT";"wpoexcl",#N/A,FALSE,"WPOALLT";"wpocable",#N/A,FALSE,"WPOALLT";"wpobroad",#N/A,FALSE,"WPOALLT";"wpopost",#N/A,FALSE,"WPOALLT";"wponwsweek",#N/A,FALSE,"WPOALLT"}</definedName>
    <definedName name="wrn.WWY." localSheetId="9" hidden="1">{#N/A,#N/A,FALSE,"WWY"}</definedName>
    <definedName name="wrn_eva" localSheetId="9" hidden="1">{"EVA",#N/A,FALSE,"EVA";"WACC",#N/A,FALSE,"WACC"}</definedName>
    <definedName name="wrn_otpt" localSheetId="9" hidden="1">{"DCF","UPSIDE CASE",FALSE,"Sheet1";"DCF","BASE CASE",FALSE,"Sheet1";"DCF","DOWNSIDE CASE",FALSE,"Sheet1"}</definedName>
    <definedName name="wrn_summary_95_952" localSheetId="9" hidden="1">{"arpm1995",#N/A,FALSE,"Summary 95-96";"bus_long_distance",#N/A,FALSE,"Summary 95-96";"mins_per_day",#N/A,FALSE,"Summary 95-96";"minutes1995",#N/A,FALSE,"Summary 95-96";"rev_per_day",#N/A,FALSE,"Summary 95-96";"view1995",#N/A,FALSE,"Summary 95-96"}</definedName>
    <definedName name="wrn_summary_95_952_1" localSheetId="9" hidden="1">{"arpm1995",#N/A,FALSE,"Summary 95-96";"bus_long_distance",#N/A,FALSE,"Summary 95-96";"mins_per_day",#N/A,FALSE,"Summary 95-96";"minutes1995",#N/A,FALSE,"Summary 95-96";"rev_per_day",#N/A,FALSE,"Summary 95-96";"view1995",#N/A,FALSE,"Summary 95-96"}</definedName>
    <definedName name="wrn1.Statements." localSheetId="9" hidden="1">{#N/A,#N/A,FALSE,"CostOfService";#N/A,#N/A,FALSE,"BalanceSheet";#N/A,#N/A,FALSE,"IncomeStmt";#N/A,#N/A,FALSE,"CashFlow";#N/A,#N/A,FALSE,"RateBase"}</definedName>
    <definedName name="wrn2.All." localSheetId="9"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3.ALL." localSheetId="9" hidden="1">{#N/A,#N/A,FALSE,"DCF";#N/A,#N/A,FALSE,"WACC";#N/A,#N/A,FALSE,"Sales_EBIT";#N/A,#N/A,FALSE,"Capex_Depreciation";#N/A,#N/A,FALSE,"WC";#N/A,#N/A,FALSE,"Interest";#N/A,#N/A,FALSE,"Assumptions"}</definedName>
    <definedName name="wrna.prod" localSheetId="9" hidden="1">{#N/A,#N/A,FALSE,"1";#N/A,#N/A,FALSE,"2";#N/A,#N/A,FALSE,"16 - 17";#N/A,#N/A,FALSE,"18 - 19";#N/A,#N/A,FALSE,"26";#N/A,#N/A,FALSE,"27";#N/A,#N/A,FALSE,"28"}</definedName>
    <definedName name="wrnc" localSheetId="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2" localSheetId="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fy97" localSheetId="9" hidden="1">{#N/A,#N/A,FALSE,"FY97";#N/A,#N/A,FALSE,"FY98";#N/A,#N/A,FALSE,"FY99";#N/A,#N/A,FALSE,"FY00";#N/A,#N/A,FALSE,"FY01"}</definedName>
    <definedName name="wrnrep" localSheetId="9" hidden="1">{"summary",#N/A,FALSE,"3 yr average";"comps",#N/A,FALSE,"3 yr average"}</definedName>
    <definedName name="WRR" localSheetId="9" hidden="1">{#N/A,#N/A,FALSE,"Pharm";#N/A,#N/A,FALSE,"WWCM"}</definedName>
    <definedName name="wrrr" localSheetId="9" hidden="1">{"arpm1995",#N/A,FALSE,"Summary 95-96";"bus_long_distance",#N/A,FALSE,"Summary 95-96";"mins_per_day",#N/A,FALSE,"Summary 95-96";"minutes1995",#N/A,FALSE,"Summary 95-96";"rev_per_day",#N/A,FALSE,"Summary 95-96";"view1995",#N/A,FALSE,"Summary 95-96"}</definedName>
    <definedName name="wrrrrr" localSheetId="9" hidden="1">{#N/A,#N/A,FALSE,"REPORT"}</definedName>
    <definedName name="wt" localSheetId="9" hidden="1">{#N/A,#N/A,FALSE,"FY97";#N/A,#N/A,FALSE,"FY98";#N/A,#N/A,FALSE,"FY99";#N/A,#N/A,FALSE,"FY00";#N/A,#N/A,FALSE,"FY01"}</definedName>
    <definedName name="wtere" localSheetId="9" hidden="1">{"arpm1995",#N/A,FALSE,"Summary 95-96";"bus_long_distance",#N/A,FALSE,"Summary 95-96";"mins_per_day",#N/A,FALSE,"Summary 95-96";"minutes1995",#N/A,FALSE,"Summary 95-96";"rev_per_day",#N/A,FALSE,"Summary 95-96";"view1995",#N/A,FALSE,"Summary 95-96"}</definedName>
    <definedName name="wv" localSheetId="9" hidden="1">{#N/A,#N/A,FALSE,"Pharm";#N/A,#N/A,FALSE,"WWCM"}</definedName>
    <definedName name="wvu.cash." localSheetId="9" hidden="1">{TRUE,TRUE,-1.25,-15.5,456.75,279.75,FALSE,FALSE,TRUE,TRUE,0,1,18,1,199,6,3,4,TRUE,TRUE,3,TRUE,1,TRUE,100,"Swvu.cash.","ACwvu.cash.",1,FALSE,FALSE,0.511811023622047,0.511811023622047,0.511811023622047,0.511811023622047,1,"","",FALSE,FALSE,FALSE,FALSE,1,#N/A,1,1,#DIV/0!,FALSE,"Rwvu.cash.",#N/A,FALSE,FALSE}</definedName>
    <definedName name="wvu.inputs._.raw._.data."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wvu.profits." localSheetId="9" hidden="1">{TRUE,TRUE,-1.25,-15.5,456.75,279.75,FALSE,FALSE,TRUE,TRUE,0,1,21,1,127,6,3,4,TRUE,TRUE,3,TRUE,1,TRUE,100,"Swvu.profits.","ACwvu.profits.",1,FALSE,FALSE,0.511811023622047,0.511811023622047,0.511811023622047,0.511811023622047,1,"","",FALSE,FALSE,FALSE,FALSE,1,#N/A,1,1,#DIV/0!,FALSE,"Rwvu.profits.",#N/A,FALSE,FALSE}</definedName>
    <definedName name="wvu.summary1." localSheetId="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6" localSheetId="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turnover." localSheetId="9" hidden="1">{TRUE,TRUE,-1.25,-15.5,456.75,279.75,FALSE,FALSE,TRUE,TRUE,0,1,8,1,4,6,3,4,TRUE,TRUE,3,TRUE,1,TRUE,100,"Swvu.turnover.","ACwvu.turnover.",1,FALSE,FALSE,0.511811023622047,0.511811023622047,0.511811023622047,0.511811023622047,1,"","",FALSE,FALSE,FALSE,FALSE,1,#N/A,1,1,#DIV/0!,FALSE,"Rwvu.turnover.",#N/A,FALSE,FALSE}</definedName>
    <definedName name="ww" localSheetId="9" hidden="1">{#N/A,#N/A,FALSE,"Pharm";#N/A,#N/A,FALSE,"WWCM"}</definedName>
    <definedName name="wwewrt" localSheetId="9" hidden="1">{#N/A,#N/A,FALSE,"RESUMEN ECON.";#N/A,#N/A,FALSE,"Costos de R.H.";#N/A,#N/A,FALSE,"COSTO HW";#N/A,#N/A,FALSE,"CUADROS";#N/A,#N/A,FALSE,"SCADA´s";#N/A,#N/A,FALSE,"PRECIOS EQUIPOS"}</definedName>
    <definedName name="www" localSheetId="9" hidden="1">{#N/A,#N/A,TRUE,"BUD VS ACT AUST 96";#N/A,#N/A,TRUE,"96 COMP P&amp;L-AUST";#N/A,#N/A,TRUE,"COMP BS-AUSTRALIA";#N/A,#N/A,TRUE,"B/S - AUSTR."}</definedName>
    <definedName name="www.nuevahoja." localSheetId="9" hidden="1">{#N/A,#N/A,FALSE,"CNS_ADJ";"Balance Consolidado",#N/A,FALSE,"BCEC_CNS";#N/A,#N/A,FALSE,"USGAAP_ADJ"}</definedName>
    <definedName name="wwww" localSheetId="9" hidden="1">{#N/A,#N/A,TRUE,"BUD VS ACT AUST 96";#N/A,#N/A,TRUE,"96 COMP P&amp;L-AUST";#N/A,#N/A,TRUE,"COMP BS-AUSTRALIA";#N/A,#N/A,TRUE,"B/S - AUSTR."}</definedName>
    <definedName name="wx" localSheetId="9" hidden="1">{#N/A,#N/A,FALSE,"Pharm";#N/A,#N/A,FALSE,"WWCM"}</definedName>
    <definedName name="x" localSheetId="9" hidden="1">{#N/A,#N/A,FALSE,"REPORT"}</definedName>
    <definedName name="xc" localSheetId="9"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v" localSheetId="9" hidden="1">{#N/A,#N/A,FALSE,"Pharm";#N/A,#N/A,FALSE,"WWCM"}</definedName>
    <definedName name="xjey1" localSheetId="9" hidden="1">#REF!</definedName>
    <definedName name="XS" localSheetId="9" hidden="1">{#N/A,#N/A,FALSE,"REV 110 PRNE (Bureau-Frankfurt)";#N/A,#N/A,FALSE,"REV 120 PRNE (Bureau - Paris)"}</definedName>
    <definedName name="xsort2" localSheetId="9" hidden="1">#REF!</definedName>
    <definedName name="xvc" localSheetId="9" hidden="1">{"FCB_ALL",#N/A,FALSE,"FCB"}</definedName>
    <definedName name="xx" localSheetId="9" hidden="1">{#N/A,#N/A,FALSE,"REPORT"}</definedName>
    <definedName name="xxd" localSheetId="9" hidden="1">{#N/A,#N/A,FALSE,"Cashflow Analysis";#N/A,#N/A,FALSE,"Sensitivity Analysis";#N/A,#N/A,FALSE,"PV";#N/A,#N/A,FALSE,"Pro Forma"}</definedName>
    <definedName name="xxd.2" localSheetId="9" hidden="1">{#N/A,#N/A,FALSE,"Cashflow Analysis";#N/A,#N/A,FALSE,"Sensitivity Analysis";#N/A,#N/A,FALSE,"PV";#N/A,#N/A,FALSE,"Pro Forma"}</definedName>
    <definedName name="XXX" localSheetId="9" hidden="1">{#N/A,#N/A,FALSE,"Other";#N/A,#N/A,FALSE,"Ace";#N/A,#N/A,FALSE,"Derm"}</definedName>
    <definedName name="xxxx" localSheetId="9" hidden="1">{"PAGE 1",#N/A,FALSE,"WEST_OT"}</definedName>
    <definedName name="xxxxx" localSheetId="9" hidden="1">{#N/A,#N/A,FALSE,"Pharm";#N/A,#N/A,FALSE,"WWCM"}</definedName>
    <definedName name="xyz" localSheetId="9" hidden="1">{#N/A,#N/A,TRUE,"Total";#N/A,#N/A,TRUE,"U.S. Devl.";#N/A,#N/A,TRUE,"U.S. Headcount"}</definedName>
    <definedName name="y" localSheetId="9" hidden="1">{#N/A,#N/A,FALSE,"Pharm";#N/A,#N/A,FALSE,"WWCM"}</definedName>
    <definedName name="Year1_plan" localSheetId="9">#REF!</definedName>
    <definedName name="Year2_plan" localSheetId="9">#REF!</definedName>
    <definedName name="yes" localSheetId="9" hidden="1">{#N/A,#N/A,FALSE,"Admin";#N/A,#N/A,FALSE,"Other"}</definedName>
    <definedName name="YGJ"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yq" localSheetId="9" hidden="1">{#N/A,#N/A,FALSE,"CNS_ADJ";"Balance Consolidado",#N/A,FALSE,"BCEC_CNS";#N/A,#N/A,FALSE,"USGAAP_ADJ"}</definedName>
    <definedName name="yrd" localSheetId="9" hidden="1">{"PAGE 1",#N/A,FALSE,"WEST_OT"}</definedName>
    <definedName name="YTY" localSheetId="9" hidden="1">{#N/A,#N/A,FALSE,"TABLE_1 YTD";#N/A,#N/A,FALSE,"TABLE_1A QTD";#N/A,#N/A,FALSE,"NORMAL_SPREAD_QTD";#N/A,#N/A,FALSE,"NORMAL_SPREAD_YTD";#N/A,#N/A,FALSE,"TAX_EQV";#N/A,#N/A,FALSE,"TAX EQUIV_INPUT";#N/A,#N/A,FALSE,"NET FROM FER";#N/A,#N/A,FALSE,"COVER"}</definedName>
    <definedName name="yy" localSheetId="9" hidden="1">{#N/A,#N/A,FALSE,"COVER";#N/A,#N/A,FALSE,"Index";#N/A,#N/A,FALSE,"Summ_Products_Rec.97-98";#N/A,#N/A,FALSE,"QTR_Comp.";#N/A,#N/A,FALSE,"Summ_Detail_Rec.97-98";#N/A,#N/A,FALSE,"Summ_Agencies_Rec.97-98"}</definedName>
    <definedName name="yyy" localSheetId="9" hidden="1">{#N/A,#N/A,FALSE,"Other";#N/A,#N/A,FALSE,"Ace";#N/A,#N/A,FALSE,"Derm"}</definedName>
    <definedName name="z" localSheetId="9" hidden="1">{"CSheet",#N/A,FALSE,"C";"SmCap",#N/A,FALSE,"VAL1";"GulfCoast",#N/A,FALSE,"VAL1";"nav",#N/A,FALSE,"NAV";"Summary",#N/A,FALSE,"NAV"}</definedName>
    <definedName name="Z_24BF9755_66DA_11D4_A31E_00C0F0154575_.wvu.PrintArea" localSheetId="9" hidden="1">#REF!</definedName>
    <definedName name="Z_4FA7459B_7D59_11D3_B819_444553540000_.wvu.Cols" localSheetId="9" hidden="1">#REF!,#REF!</definedName>
    <definedName name="Z_4FA7459B_7D59_11D3_B819_444553540000_.wvu.Rows" localSheetId="9" hidden="1">#REF!</definedName>
    <definedName name="Z_603CDB61_4585_11D3_9E2C_00105AA4333D_.wvu.PrintArea" localSheetId="9" hidden="1">#REF!</definedName>
    <definedName name="Z_603CDB63_4585_11D3_9E2C_00105AA4333D_.wvu.PrintArea" localSheetId="9" hidden="1">#REF!</definedName>
    <definedName name="Z_603CDB64_4585_11D3_9E2C_00105AA4333D_.wvu.PrintArea" localSheetId="9" hidden="1">#REF!</definedName>
    <definedName name="Z_702CE201_67EF_11D2_8E81_00104BCAECA1_.wvu.PrintTitles" localSheetId="9" hidden="1">#REF!,#REF!</definedName>
    <definedName name="Z_870DA93B_C7EC_11D1_935A_00A0C95F1362_.wvu.PrintArea" localSheetId="9" hidden="1">#REF!</definedName>
    <definedName name="Z_995DB91B_DC87_11D2_BCA9_00C04F8BBE86_.wvu.PrintArea" localSheetId="9" hidden="1">#REF!</definedName>
    <definedName name="Z_995DB91E_DC87_11D2_BCA9_00C04F8BBE86_.wvu.PrintArea" localSheetId="9" hidden="1">#REF!</definedName>
    <definedName name="Z_B21BDB45_3C17_11D2_913A_00A024D72BFF_.wvu.PrintArea" localSheetId="9" hidden="1">#REF!</definedName>
    <definedName name="Z_B21BDB45_3C17_11D2_913A_00A024D72BFF_.wvu.PrintTitles" localSheetId="9" hidden="1">#REF!,#REF!</definedName>
    <definedName name="Z_B21BDB46_3C17_11D2_913A_00A024D72BFF_.wvu.PrintArea" localSheetId="9" hidden="1">#REF!</definedName>
    <definedName name="Z_B21BDB46_3C17_11D2_913A_00A024D72BFF_.wvu.PrintTitles" localSheetId="9" hidden="1">#REF!,#REF!</definedName>
    <definedName name="Z_B21BDBC3_3C17_11D2_913A_00A024D72BFF_.wvu.PrintArea" localSheetId="9" hidden="1">#REF!</definedName>
    <definedName name="Z_B21BDBC3_3C17_11D2_913A_00A024D72BFF_.wvu.PrintTitles" localSheetId="9" hidden="1">#REF!,#REF!</definedName>
    <definedName name="Z_B21BDBC4_3C17_11D2_913A_00A024D72BFF_.wvu.PrintArea" localSheetId="9" hidden="1">#REF!</definedName>
    <definedName name="Z_B21BDBC4_3C17_11D2_913A_00A024D72BFF_.wvu.PrintTitles" localSheetId="9" hidden="1">#REF!,#REF!</definedName>
    <definedName name="Z_C229C740_74EF_11D3_8C05_00105AA43A7F_.wvu.Cols" localSheetId="9" hidden="1">#REF!</definedName>
    <definedName name="Z_C229C740_74EF_11D3_8C05_00105AA43A7F_.wvu.PrintTitles" localSheetId="9" hidden="1">#REF!,#REF!</definedName>
    <definedName name="Z_C229C740_74EF_11D3_8C05_00105AA43A7F_.wvu.Rows" localSheetId="9" hidden="1">#REF!,#REF!,#REF!,#REF!,#REF!,#REF!,#REF!,#REF!,#REF!,#REF!,#REF!,#REF!,#REF!,#REF!,#REF!,#REF!,#REF!,#REF!,#REF!,#REF!,#REF!,#REF!,#REF!,#REF!,#REF!,#REF!,#REF!,#REF!,#REF!,#REF!,#REF!,#REF!,#REF!,#REF!,#REF!,#REF!,#REF!,#REF!,#REF!,#REF!,#REF!,#REF!,#REF!,#REF!,#REF!,#REF!,#REF!,#REF!,#REF!,#REF!,#REF!,#REF!,#REF!,#REF!</definedName>
    <definedName name="Z_D774FBF2_C14B_4E8C_A09D_6327FECC4D99_.wvu.Cols" localSheetId="9" hidden="1">#REF!</definedName>
    <definedName name="zaq" localSheetId="9" hidden="1">{#N/A,#N/A,FALSE,"Calc";#N/A,#N/A,FALSE,"Sensitivity";#N/A,#N/A,FALSE,"LT Earn.Dil.";#N/A,#N/A,FALSE,"Dil. AVP"}</definedName>
    <definedName name="zb" localSheetId="9" hidden="1">{#N/A,#N/A,FALSE,"Sheet1";#N/A,#N/A,FALSE,"Sheet2";#N/A,#N/A,FALSE,"Sheet3";#N/A,#N/A,FALSE,"Sheet4";#N/A,#N/A,FALSE,"Sheet5";#N/A,#N/A,FALSE,"Sheet6"}</definedName>
    <definedName name="zbt" localSheetId="9"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dfgxzdfg" localSheetId="9" hidden="1">{"ReportTop",#N/A,FALSE,"report top"}</definedName>
    <definedName name="zer" localSheetId="9" hidden="1">{#N/A,#N/A,FALSE,"Calc";#N/A,#N/A,FALSE,"Sensitivity";#N/A,#N/A,FALSE,"LT Earn.Dil.";#N/A,#N/A,FALSE,"Dil. AVP"}</definedName>
    <definedName name="zhu" localSheetId="9" hidden="1">{#N/A,#N/A,FALSE,"REPORT"}</definedName>
    <definedName name="zhutr" localSheetId="9" hidden="1">{#N/A,#N/A,FALSE,"REPORT"}</definedName>
    <definedName name="zs" localSheetId="9" hidden="1">{"FCB_ALL",#N/A,FALSE,"FCB"}</definedName>
    <definedName name="zsdas" localSheetId="9" hidden="1">{"FCB_ALL",#N/A,FALSE,"FCB"}</definedName>
    <definedName name="ZSZ" localSheetId="9"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xczz" localSheetId="9" hidden="1">{"FCB_ALL",#N/A,FALSE,"FCB"}</definedName>
    <definedName name="zxxx" localSheetId="9" hidden="1">{"arpm1995",#N/A,FALSE,"Summary 95-96";"bus_long_distance",#N/A,FALSE,"Summary 95-96";"mins_per_day",#N/A,FALSE,"Summary 95-96";"minutes1995",#N/A,FALSE,"Summary 95-96";"rev_per_day",#N/A,FALSE,"Summary 95-96";"view1995",#N/A,FALSE,"Summary 95-96"}</definedName>
    <definedName name="zxxx_1" localSheetId="9" hidden="1">{"arpm1995",#N/A,FALSE,"Summary 95-96";"bus_long_distance",#N/A,FALSE,"Summary 95-96";"mins_per_day",#N/A,FALSE,"Summary 95-96";"minutes1995",#N/A,FALSE,"Summary 95-96";"rev_per_day",#N/A,FALSE,"Summary 95-96";"view1995",#N/A,FALSE,"Summary 95-96"}</definedName>
    <definedName name="zy" localSheetId="9" hidden="1">{#N/A,#N/A,TRUE,"BUD VS ACT AUST 96";#N/A,#N/A,TRUE,"96 COMP P&amp;L-AUST";#N/A,#N/A,TRUE,"COMP BS-AUSTRALIA";#N/A,#N/A,TRUE,"B/S - AUSTR."}</definedName>
    <definedName name="zza4pg" localSheetId="9" hidden="1">{#N/A,#N/A,FALSE,"REPORT"}</definedName>
    <definedName name="zzee" localSheetId="9" hidden="1">{#N/A,#N/A,FALSE,"Pharm";#N/A,#N/A,FALSE,"WWCM"}</definedName>
    <definedName name="zzzz" localSheetId="9" hidden="1">{#N/A,#N/A,FALSE,"COMP BS-FRANCE";#N/A,#N/A,FALSE,"96 COMP P&amp;L-FRANCE";#N/A,#N/A,FALSE,"BUD VS ACT FRAN 96";#N/A,#N/A,FALSE,"B/S - FRANCE"}</definedName>
    <definedName name="zzzzz" localSheetId="9" hidden="1">{#N/A,#N/A,FALSE,"REPORT"}</definedName>
    <definedName name="고" localSheetId="9" hidden="1">{#N/A,#N/A,FALSE,"REPORT"}</definedName>
    <definedName name="ㄶㅇ노ㅗㄶ호" localSheetId="9" hidden="1">{#N/A,#N/A,FALSE,"REPORT"}</definedName>
    <definedName name="미애" localSheetId="9" hidden="1">{#N/A,#N/A,FALSE,"REPORT"}</definedName>
    <definedName name="\" localSheetId="10" hidden="1">{"kricash",#N/A,FALSE,"INC";"kriinc",#N/A,FALSE,"INC";"krimiami",#N/A,FALSE,"INC";"kriother",#N/A,FALSE,"INC";"kripapers",#N/A,FALSE,"INC"}</definedName>
    <definedName name="____________________________ww2" localSheetId="10" hidden="1">{#N/A,#N/A,FALSE,"Admin";#N/A,#N/A,FALSE,"Other"}</definedName>
    <definedName name="______________ww2" localSheetId="10" hidden="1">{#N/A,#N/A,FALSE,"Admin";#N/A,#N/A,FALSE,"Other"}</definedName>
    <definedName name="_____________t2" localSheetId="10" hidden="1">{"'Sheet1'!$A$5:$G$42"}</definedName>
    <definedName name="_____________wrn2" localSheetId="10" hidden="1">{"arpm1995",#N/A,FALSE,"Summary 95-96";"bus_long_distance",#N/A,FALSE,"Summary 95-96";"mins_per_day",#N/A,FALSE,"Summary 95-96";"minutes1995",#N/A,FALSE,"Summary 95-96";"rev_per_day",#N/A,FALSE,"Summary 95-96";"view1995",#N/A,FALSE,"Summary 95-96"}</definedName>
    <definedName name="_____________ww2" localSheetId="10" hidden="1">{#N/A,#N/A,FALSE,"Admin";#N/A,#N/A,FALSE,"Other"}</definedName>
    <definedName name="____________t2" localSheetId="10" hidden="1">{"'Sheet1'!$A$5:$G$42"}</definedName>
    <definedName name="____________wrn2" localSheetId="10" hidden="1">{"arpm1995",#N/A,FALSE,"Summary 95-96";"bus_long_distance",#N/A,FALSE,"Summary 95-96";"mins_per_day",#N/A,FALSE,"Summary 95-96";"minutes1995",#N/A,FALSE,"Summary 95-96";"rev_per_day",#N/A,FALSE,"Summary 95-96";"view1995",#N/A,FALSE,"Summary 95-96"}</definedName>
    <definedName name="____________ww2" localSheetId="10" hidden="1">{#N/A,#N/A,FALSE,"Admin";#N/A,#N/A,FALSE,"Other"}</definedName>
    <definedName name="___________ww2" localSheetId="10" hidden="1">{#N/A,#N/A,FALSE,"Admin";#N/A,#N/A,FALSE,"Other"}</definedName>
    <definedName name="__________t2" localSheetId="10" hidden="1">{"'Sheet1'!$A$5:$G$42"}</definedName>
    <definedName name="__________wrn2" localSheetId="10" hidden="1">{"arpm1995",#N/A,FALSE,"Summary 95-96";"bus_long_distance",#N/A,FALSE,"Summary 95-96";"mins_per_day",#N/A,FALSE,"Summary 95-96";"minutes1995",#N/A,FALSE,"Summary 95-96";"rev_per_day",#N/A,FALSE,"Summary 95-96";"view1995",#N/A,FALSE,"Summary 95-96"}</definedName>
    <definedName name="__________ww2" localSheetId="10" hidden="1">{#N/A,#N/A,FALSE,"Admin";#N/A,#N/A,FALSE,"Other"}</definedName>
    <definedName name="_________I2" localSheetId="10" hidden="1">{"PVGraph2",#N/A,FALSE,"PV Data"}</definedName>
    <definedName name="_________I3" localSheetId="10" hidden="1">{"PVGraph2",#N/A,FALSE,"PV Data"}</definedName>
    <definedName name="_________t2" localSheetId="10" hidden="1">{"'Sheet1'!$A$5:$G$42"}</definedName>
    <definedName name="_________w1" localSheetId="10" hidden="1">{"PVGraph2",#N/A,FALSE,"PV Data"}</definedName>
    <definedName name="_________w2" localSheetId="10" hidden="1">{"PVGraph2",#N/A,FALSE,"PV Data"}</definedName>
    <definedName name="_________w3" localSheetId="10" hidden="1">{"PVGraph2",#N/A,FALSE,"PV Data"}</definedName>
    <definedName name="_________wrn2" localSheetId="10" hidden="1">{"arpm1995",#N/A,FALSE,"Summary 95-96";"bus_long_distance",#N/A,FALSE,"Summary 95-96";"mins_per_day",#N/A,FALSE,"Summary 95-96";"minutes1995",#N/A,FALSE,"Summary 95-96";"rev_per_day",#N/A,FALSE,"Summary 95-96";"view1995",#N/A,FALSE,"Summary 95-96"}</definedName>
    <definedName name="_________ww2" localSheetId="10" hidden="1">{#N/A,#N/A,FALSE,"Admin";#N/A,#N/A,FALSE,"Other"}</definedName>
    <definedName name="_________y2" localSheetId="10" hidden="1">{"PVGraph2",#N/A,FALSE,"PV Data"}</definedName>
    <definedName name="________I2" localSheetId="10" hidden="1">{"PVGraph2",#N/A,FALSE,"PV Data"}</definedName>
    <definedName name="________I3" localSheetId="10" hidden="1">{"PVGraph2",#N/A,FALSE,"PV Data"}</definedName>
    <definedName name="________t2" localSheetId="10" hidden="1">{"'Sheet1'!$A$5:$G$42"}</definedName>
    <definedName name="________w1" localSheetId="10" hidden="1">{"PVGraph2",#N/A,FALSE,"PV Data"}</definedName>
    <definedName name="________w2" localSheetId="10" hidden="1">{"PVGraph2",#N/A,FALSE,"PV Data"}</definedName>
    <definedName name="________w3" localSheetId="10" hidden="1">{"PVGraph2",#N/A,FALSE,"PV Data"}</definedName>
    <definedName name="________wrn2" localSheetId="10" hidden="1">{"arpm1995",#N/A,FALSE,"Summary 95-96";"bus_long_distance",#N/A,FALSE,"Summary 95-96";"mins_per_day",#N/A,FALSE,"Summary 95-96";"minutes1995",#N/A,FALSE,"Summary 95-96";"rev_per_day",#N/A,FALSE,"Summary 95-96";"view1995",#N/A,FALSE,"Summary 95-96"}</definedName>
    <definedName name="________ww2" localSheetId="10" hidden="1">{#N/A,#N/A,FALSE,"Admin";#N/A,#N/A,FALSE,"Other"}</definedName>
    <definedName name="________y2" localSheetId="10" hidden="1">{"PVGraph2",#N/A,FALSE,"PV Data"}</definedName>
    <definedName name="_______I2" localSheetId="10" hidden="1">{"PVGraph2",#N/A,FALSE,"PV Data"}</definedName>
    <definedName name="_______I3" localSheetId="10" hidden="1">{"PVGraph2",#N/A,FALSE,"PV Data"}</definedName>
    <definedName name="_______t2" localSheetId="10" hidden="1">{"'Sheet1'!$A$5:$G$42"}</definedName>
    <definedName name="_______w1" localSheetId="10" hidden="1">{"PVGraph2",#N/A,FALSE,"PV Data"}</definedName>
    <definedName name="_______w2" localSheetId="10" hidden="1">{"PVGraph2",#N/A,FALSE,"PV Data"}</definedName>
    <definedName name="_______w3" localSheetId="10" hidden="1">{"PVGraph2",#N/A,FALSE,"PV Data"}</definedName>
    <definedName name="_______wrn2" localSheetId="10" hidden="1">{"arpm1995",#N/A,FALSE,"Summary 95-96";"bus_long_distance",#N/A,FALSE,"Summary 95-96";"mins_per_day",#N/A,FALSE,"Summary 95-96";"minutes1995",#N/A,FALSE,"Summary 95-96";"rev_per_day",#N/A,FALSE,"Summary 95-96";"view1995",#N/A,FALSE,"Summary 95-96"}</definedName>
    <definedName name="_______ww2" localSheetId="10" hidden="1">{#N/A,#N/A,FALSE,"Admin";#N/A,#N/A,FALSE,"Other"}</definedName>
    <definedName name="_______y2" localSheetId="10" hidden="1">{"PVGraph2",#N/A,FALSE,"PV Data"}</definedName>
    <definedName name="______I2" localSheetId="10" hidden="1">{"PVGraph2",#N/A,FALSE,"PV Data"}</definedName>
    <definedName name="______I3" localSheetId="10" hidden="1">{"PVGraph2",#N/A,FALSE,"PV Data"}</definedName>
    <definedName name="______t2" localSheetId="10" hidden="1">{"'Sheet1'!$A$5:$G$42"}</definedName>
    <definedName name="______w1" localSheetId="10" hidden="1">{"PVGraph2",#N/A,FALSE,"PV Data"}</definedName>
    <definedName name="______w2" localSheetId="10" hidden="1">{"PVGraph2",#N/A,FALSE,"PV Data"}</definedName>
    <definedName name="______w3" localSheetId="10" hidden="1">{"PVGraph2",#N/A,FALSE,"PV Data"}</definedName>
    <definedName name="______WHO2" localSheetId="10" hidden="1">{#N/A,#N/A,FALSE,"SUMMARY";#N/A,#N/A,FALSE,"DETAIL";#N/A,#N/A,FALSE,"VARIANCE"}</definedName>
    <definedName name="______wrn2" localSheetId="10" hidden="1">{"arpm1995",#N/A,FALSE,"Summary 95-96";"bus_long_distance",#N/A,FALSE,"Summary 95-96";"mins_per_day",#N/A,FALSE,"Summary 95-96";"minutes1995",#N/A,FALSE,"Summary 95-96";"rev_per_day",#N/A,FALSE,"Summary 95-96";"view1995",#N/A,FALSE,"Summary 95-96"}</definedName>
    <definedName name="______ww2" localSheetId="10" hidden="1">{#N/A,#N/A,FALSE,"Admin";#N/A,#N/A,FALSE,"Other"}</definedName>
    <definedName name="______y2" localSheetId="10" hidden="1">{"PVGraph2",#N/A,FALSE,"PV Data"}</definedName>
    <definedName name="_____I2" localSheetId="10" hidden="1">{"PVGraph2",#N/A,FALSE,"PV Data"}</definedName>
    <definedName name="_____I3" localSheetId="10" hidden="1">{"PVGraph2",#N/A,FALSE,"PV Data"}</definedName>
    <definedName name="_____t2" localSheetId="10" hidden="1">{"'Sheet1'!$A$5:$G$42"}</definedName>
    <definedName name="_____w1" localSheetId="10" hidden="1">{"PVGraph2",#N/A,FALSE,"PV Data"}</definedName>
    <definedName name="_____w2" localSheetId="10" hidden="1">{"PVGraph2",#N/A,FALSE,"PV Data"}</definedName>
    <definedName name="_____w3" localSheetId="10" hidden="1">{"PVGraph2",#N/A,FALSE,"PV Data"}</definedName>
    <definedName name="_____wrn2" localSheetId="10" hidden="1">{#N/A,#N/A,FALSE,"ASSUMPTIONS";#N/A,#N/A,FALSE,"Valuation Summary";"page1",#N/A,FALSE,"PRESENTATION";"page2",#N/A,FALSE,"PRESENTATION";#N/A,#N/A,FALSE,"ORIGINAL_ROLLBACK"}</definedName>
    <definedName name="_____wrn3" localSheetId="10" hidden="1">{#N/A,#N/A,FALSE,"ASSUMPTIONS";#N/A,#N/A,FALSE,"Valuation Summary";"page1",#N/A,FALSE,"PRESENTATION";"page2",#N/A,FALSE,"PRESENTATION";#N/A,#N/A,FALSE,"ORIGINAL_ROLLBACK"}</definedName>
    <definedName name="_____ww2" localSheetId="10" hidden="1">{#N/A,#N/A,FALSE,"Admin";#N/A,#N/A,FALSE,"Other"}</definedName>
    <definedName name="_____y2" localSheetId="10" hidden="1">{"PVGraph2",#N/A,FALSE,"PV Data"}</definedName>
    <definedName name="____age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I2" localSheetId="10" hidden="1">{"PVGraph2",#N/A,FALSE,"PV Data"}</definedName>
    <definedName name="____I3" localSheetId="10" hidden="1">{"PVGraph2",#N/A,FALSE,"PV Data"}</definedName>
    <definedName name="____o1" localSheetId="10" hidden="1">{#N/A,#N/A,FALSE,"SUMMARY";#N/A,#N/A,FALSE,"mcsh";#N/A,#N/A,FALSE,"vol&amp;rev";#N/A,#N/A,FALSE,"wkgcap";#N/A,#N/A,FALSE,"DEPR&amp;DT";#N/A,#N/A,FALSE,"ASSETS";#N/A,#N/A,FALSE,"NI&amp;OTH&amp;DIV";#N/A,#N/A,FALSE,"CASHFLOW";#N/A,#N/A,FALSE,"CAPEMPL";#N/A,#N/A,FALSE,"ROCE"}</definedName>
    <definedName name="____t2" localSheetId="10" hidden="1">{"'Sheet1'!$A$5:$G$42"}</definedName>
    <definedName name="____w1" localSheetId="10" hidden="1">{"PVGraph2",#N/A,FALSE,"PV Data"}</definedName>
    <definedName name="____w2" localSheetId="10" hidden="1">{"PVGraph2",#N/A,FALSE,"PV Data"}</definedName>
    <definedName name="____w3" localSheetId="10" hidden="1">{"PVGraph2",#N/A,FALSE,"PV Data"}</definedName>
    <definedName name="____WHO2" localSheetId="10" hidden="1">{#N/A,#N/A,FALSE,"SUMMARY";#N/A,#N/A,FALSE,"DETAIL";#N/A,#N/A,FALSE,"VARIANCE"}</definedName>
    <definedName name="____wr3" localSheetId="10" hidden="1">{#N/A,#N/A,FALSE,"ASSUMPTIONS";#N/A,#N/A,FALSE,"Valuation Summary";"page1",#N/A,FALSE,"PRESENTATION";"page2",#N/A,FALSE,"PRESENTATION";#N/A,#N/A,FALSE,"ORIGINAL_ROLLBACK"}</definedName>
    <definedName name="____wrn2" localSheetId="10" hidden="1">{#N/A,#N/A,FALSE,"ASSUMPTIONS";#N/A,#N/A,FALSE,"Valuation Summary";"page1",#N/A,FALSE,"PRESENTATION";"page2",#N/A,FALSE,"PRESENTATION";#N/A,#N/A,FALSE,"ORIGINAL_ROLLBACK"}</definedName>
    <definedName name="____wrn3" localSheetId="10" hidden="1">{#N/A,#N/A,FALSE,"ASSUMPTIONS";#N/A,#N/A,FALSE,"Valuation Summary";"page1",#N/A,FALSE,"PRESENTATION";"page2",#N/A,FALSE,"PRESENTATION";#N/A,#N/A,FALSE,"ORIGINAL_ROLLBACK"}</definedName>
    <definedName name="____ww2" localSheetId="10" hidden="1">{#N/A,#N/A,FALSE,"Admin";#N/A,#N/A,FALSE,"Other"}</definedName>
    <definedName name="____y2" localSheetId="10" hidden="1">{"PVGraph2",#N/A,FALSE,"PV Data"}</definedName>
    <definedName name="___I2" localSheetId="10" hidden="1">{"PVGraph2",#N/A,FALSE,"PV Data"}</definedName>
    <definedName name="___I3" localSheetId="10" hidden="1">{"PVGraph2",#N/A,FALSE,"PV Data"}</definedName>
    <definedName name="___o1" localSheetId="10" hidden="1">{#N/A,#N/A,FALSE,"SUMMARY";#N/A,#N/A,FALSE,"mcsh";#N/A,#N/A,FALSE,"vol&amp;rev";#N/A,#N/A,FALSE,"wkgcap";#N/A,#N/A,FALSE,"DEPR&amp;DT";#N/A,#N/A,FALSE,"ASSETS";#N/A,#N/A,FALSE,"NI&amp;OTH&amp;DIV";#N/A,#N/A,FALSE,"CASHFLOW";#N/A,#N/A,FALSE,"CAPEMPL";#N/A,#N/A,FALSE,"ROCE"}</definedName>
    <definedName name="___t2" localSheetId="10" hidden="1">{"'Sheet1'!$A$5:$G$42"}</definedName>
    <definedName name="___w1" localSheetId="10" hidden="1">{"PVGraph2",#N/A,FALSE,"PV Data"}</definedName>
    <definedName name="___w2" localSheetId="10" hidden="1">{"PVGraph2",#N/A,FALSE,"PV Data"}</definedName>
    <definedName name="___w3" localSheetId="10" hidden="1">{"PVGraph2",#N/A,FALSE,"PV Data"}</definedName>
    <definedName name="___wrn2" localSheetId="10" hidden="1">{#N/A,#N/A,FALSE,"ASSUMPTIONS";#N/A,#N/A,FALSE,"Valuation Summary";"page1",#N/A,FALSE,"PRESENTATION";"page2",#N/A,FALSE,"PRESENTATION";#N/A,#N/A,FALSE,"ORIGINAL_ROLLBACK"}</definedName>
    <definedName name="___wrn3" localSheetId="10" hidden="1">{#N/A,#N/A,FALSE,"ASSUMPTIONS";#N/A,#N/A,FALSE,"Valuation Summary";"page1",#N/A,FALSE,"PRESENTATION";"page2",#N/A,FALSE,"PRESENTATION";#N/A,#N/A,FALSE,"ORIGINAL_ROLLBACK"}</definedName>
    <definedName name="___ww2" localSheetId="10" hidden="1">{#N/A,#N/A,FALSE,"Admin";#N/A,#N/A,FALSE,"Other"}</definedName>
    <definedName name="___y2" localSheetId="10" hidden="1">{"PVGraph2",#N/A,FALSE,"PV Data"}</definedName>
    <definedName name="__a1" localSheetId="10" hidden="1">{#N/A,#N/A,FALSE,"Pharm";#N/A,#N/A,FALSE,"WWCM"}</definedName>
    <definedName name="__A11" localSheetId="10" hidden="1">{#N/A,#N/A,FALSE,"Umsatz 99";#N/A,#N/A,FALSE,"ER 99 "}</definedName>
    <definedName name="__aaa1" localSheetId="10" hidden="1">{#N/A,#N/A,FALSE,"REPORT"}</definedName>
    <definedName name="__aas1" localSheetId="10" hidden="1">{#N/A,#N/A,FALSE,"REPORT"}</definedName>
    <definedName name="__ACS2000" localSheetId="10" hidden="1">{#N/A,#N/A,FALSE,"REPORT"}</definedName>
    <definedName name="__APW_RESTORE_DATA1__" localSheetId="10" hidden="1">#REF!,#REF!,#REF!,#REF!,#REF!</definedName>
    <definedName name="__APW_RESTORE_DATA1050__" localSheetId="10" hidden="1">#REF!,#REF!</definedName>
    <definedName name="__APW_RESTORE_DATA1111__" localSheetId="10" hidden="1">#REF!,#REF!</definedName>
    <definedName name="__APW_RESTORE_DATA1409__" localSheetId="10" hidden="1">#REF!,#REF!,#REF!,#REF!,#REF!,#REF!,#REF!,#REF!,#REF!,#REF!,#REF!,#REF!,#REF!,#REF!</definedName>
    <definedName name="__APW_RESTORE_DATA1410__" localSheetId="10" hidden="1">#REF!,#REF!,#REF!,#REF!,#REF!,#REF!,#REF!,#REF!,#REF!,#REF!,#REF!,#REF!</definedName>
    <definedName name="__APW_RESTORE_DATA1411__" localSheetId="10" hidden="1">#REF!,#REF!,#REF!,#REF!,#REF!,#REF!,#REF!,#REF!,#REF!,#REF!,#REF!,#REF!,#REF!</definedName>
    <definedName name="__APW_RESTORE_DATA1412__" localSheetId="10" hidden="1">#REF!,#REF!,#REF!,#REF!,#REF!,#REF!,#REF!,#REF!,#REF!,#REF!,#REF!,#REF!,#REF!,#REF!</definedName>
    <definedName name="__APW_RESTORE_DATA1413__" localSheetId="10" hidden="1">#REF!,#REF!,#REF!,#REF!,#REF!,#REF!,#REF!,#REF!,#REF!,#REF!,#REF!,#REF!,#REF!,#REF!</definedName>
    <definedName name="__APW_RESTORE_DATA190__" localSheetId="10" hidden="1">#REF!,#REF!,#REF!,#REF!,#REF!</definedName>
    <definedName name="__b111" localSheetId="10" hidden="1">{#N/A,#N/A,FALSE,"Pharm";#N/A,#N/A,FALSE,"WWCM"}</definedName>
    <definedName name="__c" localSheetId="10" hidden="1">{"Fiesta Facer Page",#N/A,FALSE,"Q_C_S";"Fiesta Main Page",#N/A,FALSE,"V_L";"Fiesta 95BP Struct",#N/A,FALSE,"StructBP";"Fiesta Post 95BP Struct",#N/A,FALSE,"AdjStructBP"}</definedName>
    <definedName name="__FDS_USED_FOR_REUSING_RANGE_IDS_RECYCLE" localSheetId="10" hidden="1">{3,6,6,3,3,1,6,4,3}</definedName>
    <definedName name="__I2" localSheetId="10" hidden="1">{"PVGraph2",#N/A,FALSE,"PV Data"}</definedName>
    <definedName name="__I3" localSheetId="10" hidden="1">{"PVGraph2",#N/A,FALSE,"PV Data"}</definedName>
    <definedName name="__IntlFixupTable" localSheetId="10" hidden="1">#REF!</definedName>
    <definedName name="__new1" localSheetId="10" hidden="1">{#N/A,#N/A,FALSE,"Pharm";#N/A,#N/A,FALSE,"WWCM"}</definedName>
    <definedName name="__o1" localSheetId="10" hidden="1">{#N/A,#N/A,FALSE,"SUMMARY";#N/A,#N/A,FALSE,"mcsh";#N/A,#N/A,FALSE,"vol&amp;rev";#N/A,#N/A,FALSE,"wkgcap";#N/A,#N/A,FALSE,"DEPR&amp;DT";#N/A,#N/A,FALSE,"ASSETS";#N/A,#N/A,FALSE,"NI&amp;OTH&amp;DIV";#N/A,#N/A,FALSE,"CASHFLOW";#N/A,#N/A,FALSE,"CAPEMPL";#N/A,#N/A,FALSE,"ROCE"}</definedName>
    <definedName name="__p1" localSheetId="10" hidden="1">{"SUM",#N/A,FALSE,"Details (2)"}</definedName>
    <definedName name="__pp2" localSheetId="10" hidden="1">{"Summary",#N/A,FALSE,"Details (2)"}</definedName>
    <definedName name="__ppp1" localSheetId="10" hidden="1">{"SUM",#N/A,FALSE,"Details (2)"}</definedName>
    <definedName name="__q2" localSheetId="10" hidden="1">{"Summary",#N/A,FALSE,"Details (2)"}</definedName>
    <definedName name="__q4" localSheetId="10" hidden="1">{"Summary",#N/A,FALSE,"Details (2)"}</definedName>
    <definedName name="__q5" localSheetId="10" hidden="1">{"SUM",#N/A,FALSE,"Details (2)"}</definedName>
    <definedName name="__Qtr4" localSheetId="10">#REF!</definedName>
    <definedName name="__r" localSheetId="10" hidden="1">{#N/A,#N/A,FALSE,"Pharm";#N/A,#N/A,FALSE,"WWCM"}</definedName>
    <definedName name="__t2" localSheetId="10" hidden="1">{"'Sheet1'!$A$5:$G$42"}</definedName>
    <definedName name="__tm1" localSheetId="10" hidden="1">{#N/A,#N/A,FALSE,"Pharm";#N/A,#N/A,FALSE,"WWCM"}</definedName>
    <definedName name="__v2" localSheetId="10" hidden="1">{"arpm1995",#N/A,FALSE,"Summary 95-96";"bus_long_distance",#N/A,FALSE,"Summary 95-96";"mins_per_day",#N/A,FALSE,"Summary 95-96";"minutes1995",#N/A,FALSE,"Summary 95-96";"rev_per_day",#N/A,FALSE,"Summary 95-96";"view1995",#N/A,FALSE,"Summary 95-96"}</definedName>
    <definedName name="__w1" localSheetId="10" hidden="1">{"PVGraph2",#N/A,FALSE,"PV Data"}</definedName>
    <definedName name="__w2" localSheetId="10" hidden="1">{"PVGraph2",#N/A,FALSE,"PV Data"}</definedName>
    <definedName name="__w3" localSheetId="10" hidden="1">{"PVGraph2",#N/A,FALSE,"PV Data"}</definedName>
    <definedName name="__WHO2" localSheetId="10" hidden="1">{#N/A,#N/A,FALSE,"SUMMARY";#N/A,#N/A,FALSE,"DETAIL";#N/A,#N/A,FALSE,"VARIANCE"}</definedName>
    <definedName name="__wrn2" localSheetId="10" hidden="1">{#N/A,#N/A,FALSE,"ASSUMPTIONS";#N/A,#N/A,FALSE,"Valuation Summary";"page1",#N/A,FALSE,"PRESENTATION";"page2",#N/A,FALSE,"PRESENTATION";#N/A,#N/A,FALSE,"ORIGINAL_ROLLBACK"}</definedName>
    <definedName name="__wrn3" localSheetId="10" hidden="1">{#N/A,#N/A,FALSE,"ASSUMPTIONS";#N/A,#N/A,FALSE,"Valuation Summary";"page1",#N/A,FALSE,"PRESENTATION";"page2",#N/A,FALSE,"PRESENTATION";#N/A,#N/A,FALSE,"ORIGINAL_ROLLBACK"}</definedName>
    <definedName name="__ww2" localSheetId="10" hidden="1">{#N/A,#N/A,FALSE,"Admin";#N/A,#N/A,FALSE,"Other"}</definedName>
    <definedName name="__X1" localSheetId="10" hidden="1">{"Summary",#N/A,FALSE,"Details (2)"}</definedName>
    <definedName name="__X2" localSheetId="10" hidden="1">{#N/A,#N/A,FALSE,"Other";#N/A,#N/A,FALSE,"Ace";#N/A,#N/A,FALSE,"Derm"}</definedName>
    <definedName name="__y2" localSheetId="10" hidden="1">{"PVGraph2",#N/A,FALSE,"PV Data"}</definedName>
    <definedName name="_1__FDSAUDITLINK__" localSheetId="10" hidden="1">{"fdsup://Directions/FactSet Auditing Viewer?action=AUDIT_VALUE&amp;DB=129&amp;ID1=610036&amp;VALUEID=05192&amp;SDATE=201101&amp;PERIODTYPE=QTR_STD&amp;SCFT=3&amp;window=popup_no_bar&amp;width=385&amp;height=120&amp;START_MAXIMIZED=FALSE&amp;creator=factset&amp;display_string=Audit"}</definedName>
    <definedName name="_10__FDSAUDITLINK__" localSheetId="10" hidden="1">{"fdsup://Directions/FactSet Auditing Viewer?action=AUDIT_VALUE&amp;DB=129&amp;ID1=613566&amp;VALUEID=05192&amp;SDATE=201101&amp;PERIODTYPE=QTR_STD&amp;SCFT=3&amp;window=popup_no_bar&amp;width=385&amp;height=120&amp;START_MAXIMIZED=FALSE&amp;creator=factset&amp;display_string=Audit"}</definedName>
    <definedName name="_11__FDSAUDITLINK__" localSheetId="10" hidden="1">{"fdsup://Directions/FactSet Auditing Viewer?action=AUDIT_VALUE&amp;DB=129&amp;ID1=B2QKWK&amp;VALUEID=05194&amp;SDATE=201101&amp;PERIODTYPE=QTR_STD&amp;SCFT=3&amp;window=popup_no_bar&amp;width=385&amp;height=120&amp;START_MAXIMIZED=FALSE&amp;creator=factset&amp;display_string=Audit"}</definedName>
    <definedName name="_112__FDSAUDITLINK__" localSheetId="10"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2__FDSAUDITLINK__" localSheetId="10" hidden="1">{"fdsup://Directions/FactSet Auditing Viewer?action=AUDIT_VALUE&amp;DB=129&amp;ID1=613566&amp;VALUEID=05194&amp;SDATE=201101&amp;PERIODTYPE=QTR_STD&amp;SCFT=3&amp;window=popup_no_bar&amp;width=385&amp;height=120&amp;START_MAXIMIZED=FALSE&amp;creator=factset&amp;display_string=Audit"}</definedName>
    <definedName name="_120__FDSAUDITLINK__" localSheetId="1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3__FDSAUDITLINK__" localSheetId="10" hidden="1">{"fdsup://Directions/FactSet Auditing Viewer?action=AUDIT_VALUE&amp;DB=129&amp;ID1=B62G7K&amp;VALUEID=05194&amp;SDATE=201101&amp;PERIODTYPE=QTR_STD&amp;SCFT=3&amp;window=popup_no_bar&amp;width=385&amp;height=120&amp;START_MAXIMIZED=FALSE&amp;creator=factset&amp;display_string=Audit"}</definedName>
    <definedName name="_14__FDSAUDITLINK__" localSheetId="10" hidden="1">{"fdsup://Directions/FactSet Auditing Viewer?action=AUDIT_VALUE&amp;DB=129&amp;ID1=B01LXY&amp;VALUEID=05194&amp;SDATE=201101&amp;PERIODTYPE=QTR_STD&amp;SCFT=3&amp;window=popup_no_bar&amp;width=385&amp;height=120&amp;START_MAXIMIZED=FALSE&amp;creator=factset&amp;display_string=Audit"}</definedName>
    <definedName name="_144__FDSAUDITLINK__" localSheetId="1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5__FDSAUDITLINK__" localSheetId="10" hidden="1">{"fdsup://Directions/FactSet Auditing Viewer?action=AUDIT_VALUE&amp;DB=129&amp;ID1=B12C0T&amp;VALUEID=05194&amp;SDATE=201101&amp;PERIODTYPE=QTR_STD&amp;SCFT=3&amp;window=popup_no_bar&amp;width=385&amp;height=120&amp;START_MAXIMIZED=FALSE&amp;creator=factset&amp;display_string=Audit"}</definedName>
    <definedName name="_16__FDSAUDITLINK__" localSheetId="10" hidden="1">{"fdsup://Directions/FactSet Auditing Viewer?action=AUDIT_VALUE&amp;DB=129&amp;ID1=615525&amp;VALUEID=05192&amp;SDATE=201101&amp;PERIODTYPE=QTR_STD&amp;SCFT=3&amp;window=popup_no_bar&amp;width=385&amp;height=120&amp;START_MAXIMIZED=FALSE&amp;creator=factset&amp;display_string=Audit"}</definedName>
    <definedName name="_160__FDSAUDITLINK__" localSheetId="10"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7__FDSAUDITLINK__" localSheetId="10" hidden="1">{"fdsup://Directions/FactSet Auditing Viewer?action=AUDIT_VALUE&amp;DB=129&amp;ID1=651312&amp;VALUEID=05194&amp;SDATE=201101&amp;PERIODTYPE=QTR_STD&amp;SCFT=3&amp;window=popup_no_bar&amp;width=385&amp;height=120&amp;START_MAXIMIZED=FALSE&amp;creator=factset&amp;display_string=Audit"}</definedName>
    <definedName name="_18__FDSAUDITLINK__" localSheetId="10" hidden="1">{"fdsup://Directions/FactSet Auditing Viewer?action=AUDIT_VALUE&amp;DB=129&amp;ID1=610036&amp;VALUEID=05194&amp;SDATE=201101&amp;PERIODTYPE=QTR_STD&amp;SCFT=3&amp;window=popup_no_bar&amp;width=385&amp;height=120&amp;START_MAXIMIZED=FALSE&amp;creator=factset&amp;display_string=Audit"}</definedName>
    <definedName name="_19__FDSAUDITLINK__" localSheetId="10" hidden="1">{"fdsup://directions/FAT Viewer?action=UPDATE&amp;creator=factset&amp;DYN_ARGS=TRUE&amp;DOC_NAME=FAT:FQL_AUDITING_CLIENT_TEMPLATE.FAT&amp;display_string=Audit&amp;VAR:KEY=RIVODUVABY&amp;VAR:QUERY=RkZfREVCVChRVFIsMCk=&amp;WINDOW=FIRST_POPUP&amp;HEIGHT=450&amp;WIDTH=450&amp;START_MAXIMIZED=FALSE&amp;VA","R:CALENDAR=US&amp;VAR:SYMBOL=B1TJG9&amp;VAR:INDEX=0"}</definedName>
    <definedName name="_2__123Graph_BCHART_1" localSheetId="10" hidden="1">#REF!</definedName>
    <definedName name="_2__FDSAUDITLINK__" localSheetId="10" hidden="1">{"fdsup://Directions/FactSet Auditing Viewer?action=AUDIT_VALUE&amp;DB=129&amp;ID1=718981&amp;VALUEID=01004&amp;SDATE=2010&amp;PERIODTYPE=ANN_STD&amp;SCFT=3&amp;window=popup_no_bar&amp;width=385&amp;height=120&amp;START_MAXIMIZED=FALSE&amp;creator=factset&amp;display_string=Audit"}</definedName>
    <definedName name="_20__FDSAUDITLINK__" localSheetId="10" hidden="1">{"fdsup://directions/FAT Viewer?action=UPDATE&amp;creator=factset&amp;DYN_ARGS=TRUE&amp;DOC_NAME=FAT:FQL_AUDITING_CLIENT_TEMPLATE.FAT&amp;display_string=Audit&amp;VAR:KEY=NOROXQDYDA&amp;VAR:QUERY=RkZfREVCVChRVFIsMCk=&amp;WINDOW=FIRST_POPUP&amp;HEIGHT=450&amp;WIDTH=450&amp;START_MAXIMIZED=FALSE&amp;VA","R:CALENDAR=US&amp;VAR:SYMBOL=B2QKWK&amp;VAR:INDEX=0"}</definedName>
    <definedName name="_206__FDSAUDITLINK__" localSheetId="1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1__FDSAUDITLINK__" localSheetId="10" hidden="1">{"fdsup://directions/FAT Viewer?action=UPDATE&amp;creator=factset&amp;DYN_ARGS=TRUE&amp;DOC_NAME=FAT:FQL_AUDITING_CLIENT_TEMPLATE.FAT&amp;display_string=Audit&amp;VAR:KEY=BWBYDQBYRG&amp;VAR:QUERY=RkZfREVCVChRVFIsMCk=&amp;WINDOW=FIRST_POPUP&amp;HEIGHT=450&amp;WIDTH=450&amp;START_MAXIMIZED=FALSE&amp;VA","R:CALENDAR=US&amp;VAR:SYMBOL=626404&amp;VAR:INDEX=0"}</definedName>
    <definedName name="_22__FDSAUDITLINK__" localSheetId="10" hidden="1">{"fdsup://directions/FAT Viewer?action=UPDATE&amp;creator=factset&amp;DYN_ARGS=TRUE&amp;DOC_NAME=FAT:FQL_AUDITING_CLIENT_TEMPLATE.FAT&amp;display_string=Audit&amp;VAR:KEY=TQLCLGJUJU&amp;VAR:QUERY=RkZfREVCVChRVFIsMCk=&amp;WINDOW=FIRST_POPUP&amp;HEIGHT=450&amp;WIDTH=450&amp;START_MAXIMIZED=FALSE&amp;VA","R:CALENDAR=US&amp;VAR:SYMBOL=613566&amp;VAR:INDEX=0"}</definedName>
    <definedName name="_23__FDSAUDITLINK__" localSheetId="10" hidden="1">{"fdsup://directions/FAT Viewer?action=UPDATE&amp;creator=factset&amp;DYN_ARGS=TRUE&amp;DOC_NAME=FAT:FQL_AUDITING_CLIENT_TEMPLATE.FAT&amp;display_string=Audit&amp;VAR:KEY=NYXYJIPEVY&amp;VAR:QUERY=RkZfREVCVChRVFIsMCk=&amp;WINDOW=FIRST_POPUP&amp;HEIGHT=450&amp;WIDTH=450&amp;START_MAXIMIZED=FALSE&amp;VA","R:CALENDAR=US&amp;VAR:SYMBOL=B62G7K&amp;VAR:INDEX=0"}</definedName>
    <definedName name="_24__FDSAUDITLINK__" localSheetId="10" hidden="1">{"fdsup://directions/FAT Viewer?action=UPDATE&amp;creator=factset&amp;DYN_ARGS=TRUE&amp;DOC_NAME=FAT:FQL_AUDITING_CLIENT_TEMPLATE.FAT&amp;display_string=Audit&amp;VAR:KEY=NSBMVWPMXC&amp;VAR:QUERY=RkZfREVCVChRVFIsMCk=&amp;WINDOW=FIRST_POPUP&amp;HEIGHT=450&amp;WIDTH=450&amp;START_MAXIMIZED=FALSE&amp;VA","R:CALENDAR=US&amp;VAR:SYMBOL=B601QS&amp;VAR:INDEX=0"}</definedName>
    <definedName name="_25__FDSAUDITLINK__" localSheetId="10" hidden="1">{"fdsup://directions/FAT Viewer?action=UPDATE&amp;creator=factset&amp;DYN_ARGS=TRUE&amp;DOC_NAME=FAT:FQL_AUDITING_CLIENT_TEMPLATE.FAT&amp;display_string=Audit&amp;VAR:KEY=RGRCNQPWVG&amp;VAR:QUERY=RkZfREVCVChRVFIsMCk=&amp;WINDOW=FIRST_POPUP&amp;HEIGHT=450&amp;WIDTH=450&amp;START_MAXIMIZED=FALSE&amp;VA","R:CALENDAR=US&amp;VAR:SYMBOL=B2Q4CS&amp;VAR:INDEX=0"}</definedName>
    <definedName name="_26__FDSAUDITLINK__" localSheetId="10" hidden="1">{"fdsup://directions/FAT Viewer?action=UPDATE&amp;creator=factset&amp;DYN_ARGS=TRUE&amp;DOC_NAME=FAT:FQL_AUDITING_CLIENT_TEMPLATE.FAT&amp;display_string=Audit&amp;VAR:KEY=LINIDUNITC&amp;VAR:QUERY=RkZfREVCVChRVFIsMCk=&amp;WINDOW=FIRST_POPUP&amp;HEIGHT=450&amp;WIDTH=450&amp;START_MAXIMIZED=FALSE&amp;VA","R:CALENDAR=US&amp;VAR:SYMBOL=670625&amp;VAR:INDEX=0"}</definedName>
    <definedName name="_27__FDSAUDITLINK__" localSheetId="10"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28__FDSAUDITLINK__" localSheetId="10" hidden="1">{"fdsup://directions/FAT Viewer?action=UPDATE&amp;creator=factset&amp;DYN_ARGS=TRUE&amp;DOC_NAME=FAT:FQL_AUDITING_CLIENT_TEMPLATE.FAT&amp;display_string=Audit&amp;VAR:KEY=ZCBIPGHWJS&amp;VAR:QUERY=RkZfREVCVChRVFIsMCk=&amp;WINDOW=FIRST_POPUP&amp;HEIGHT=450&amp;WIDTH=450&amp;START_MAXIMIZED=FALSE&amp;VA","R:CALENDAR=US&amp;VAR:SYMBOL=627137&amp;VAR:INDEX=0"}</definedName>
    <definedName name="_29__FDSAUDITLINK__" localSheetId="10" hidden="1">{"fdsup://directions/FAT Viewer?action=UPDATE&amp;creator=factset&amp;DYN_ARGS=TRUE&amp;DOC_NAME=FAT:FQL_AUDITING_CLIENT_TEMPLATE.FAT&amp;display_string=Audit&amp;VAR:KEY=CLCRSDAPSX&amp;VAR:QUERY=RkZfREVCVChRVFIsMCk=&amp;WINDOW=FIRST_POPUP&amp;HEIGHT=450&amp;WIDTH=450&amp;START_MAXIMIZED=FALSE&amp;VA","R:CALENDAR=US&amp;VAR:SYMBOL=B4TX8S&amp;VAR:INDEX=0"}</definedName>
    <definedName name="_3__FDSAUDITLINK__" localSheetId="10" hidden="1">{"fdsup://directions/FAT Viewer?action=UPDATE&amp;creator=factset&amp;DYN_ARGS=TRUE&amp;DOC_NAME=FAT:FQL_AUDITING_CLIENT_TEMPLATE.FAT&amp;display_string=Audit&amp;VAR:KEY=NYZOXGHULC&amp;VAR:QUERY=RkZfREVCVChRVFIsMCk=&amp;WINDOW=FIRST_POPUP&amp;HEIGHT=450&amp;WIDTH=450&amp;START_MAXIMIZED=FALSE&amp;VA","R:CALENDAR=US&amp;VAR:SYMBOL=615525&amp;VAR:INDEX=0"}</definedName>
    <definedName name="_30__FDSAUDITLINK__" localSheetId="10" hidden="1">{"fdsup://directions/FAT Viewer?action=UPDATE&amp;creator=factset&amp;DYN_ARGS=TRUE&amp;DOC_NAME=FAT:FQL_AUDITING_CLIENT_TEMPLATE.FAT&amp;display_string=Audit&amp;VAR:KEY=FCXYFCHWXA&amp;VAR:QUERY=RkZfREVCVChRVFIsMCk=&amp;WINDOW=FIRST_POPUP&amp;HEIGHT=450&amp;WIDTH=450&amp;START_MAXIMIZED=FALSE&amp;VA","R:CALENDAR=US&amp;VAR:SYMBOL=641167&amp;VAR:INDEX=0"}</definedName>
    <definedName name="_31__FDSAUDITLINK__" localSheetId="10" hidden="1">{"fdsup://directions/FAT Viewer?action=UPDATE&amp;creator=factset&amp;DYN_ARGS=TRUE&amp;DOC_NAME=FAT:FQL_AUDITING_CLIENT_TEMPLATE.FAT&amp;display_string=Audit&amp;VAR:KEY=ZWDYLGNOZS&amp;VAR:QUERY=RkZfREVCVChRVFIsMCk=&amp;WINDOW=FIRST_POPUP&amp;HEIGHT=450&amp;WIDTH=450&amp;START_MAXIMIZED=FALSE&amp;VA","R:CALENDAR=US&amp;VAR:SYMBOL=642566&amp;VAR:INDEX=0"}</definedName>
    <definedName name="_33__FDSAUDITLINK__" localSheetId="10" hidden="1">{"fdsup://directions/FAT Viewer?action=UPDATE&amp;creator=factset&amp;DYN_ARGS=TRUE&amp;DOC_NAME=FAT:FQL_AUDITING_CLIENT_TEMPLATE.FAT&amp;display_string=Audit&amp;VAR:KEY=BYZORMPCHQ&amp;VAR:QUERY=RkZfREVCVChRVFIsMCk=&amp;WINDOW=FIRST_POPUP&amp;HEIGHT=450&amp;WIDTH=450&amp;START_MAXIMIZED=FALSE&amp;VA","R:CALENDAR=US&amp;VAR:SYMBOL=649613&amp;VAR:INDEX=0"}</definedName>
    <definedName name="_34__FDSAUDITLINK__" localSheetId="10" hidden="1">{"fdsup://directions/FAT Viewer?action=UPDATE&amp;creator=factset&amp;DYN_ARGS=TRUE&amp;DOC_NAME=FAT:FQL_AUDITING_CLIENT_TEMPLATE.FAT&amp;display_string=Audit&amp;VAR:KEY=IRGRQDQTWB&amp;VAR:QUERY=RkZfREVCVChRVFIsMCk=&amp;WINDOW=FIRST_POPUP&amp;HEIGHT=450&amp;WIDTH=450&amp;START_MAXIMIZED=FALSE&amp;VA","R:CALENDAR=US&amp;VAR:SYMBOL=680580&amp;VAR:INDEX=0"}</definedName>
    <definedName name="_35__FDSAUDITLINK__" localSheetId="10"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353__FDSAUDITLINK__" localSheetId="10"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6__FDSAUDITLINK__" localSheetId="10" hidden="1">{"fdsup://directions/FAT Viewer?action=UPDATE&amp;creator=factset&amp;DYN_ARGS=TRUE&amp;DOC_NAME=FAT:FQL_AUDITING_CLIENT_TEMPLATE.FAT&amp;display_string=Audit&amp;VAR:KEY=BOFAPUNSFW&amp;VAR:QUERY=RkZfREVCVChRVFIsMCk=&amp;WINDOW=FIRST_POPUP&amp;HEIGHT=450&amp;WIDTH=450&amp;START_MAXIMIZED=FALSE&amp;VA","R:CALENDAR=US&amp;VAR:SYMBOL=615593&amp;VAR:INDEX=0"}</definedName>
    <definedName name="_37__FDSAUDITLINK__" localSheetId="10" hidden="1">{"fdsup://directions/FAT Viewer?action=UPDATE&amp;creator=factset&amp;DYN_ARGS=TRUE&amp;DOC_NAME=FAT:FQL_AUDITING_CLIENT_TEMPLATE.FAT&amp;display_string=Audit&amp;VAR:KEY=NCDWZYHQLY&amp;VAR:QUERY=RkZfREVCVChRVFIsMCk=&amp;WINDOW=FIRST_POPUP&amp;HEIGHT=450&amp;WIDTH=450&amp;START_MAXIMIZED=FALSE&amp;VA","R:CALENDAR=US&amp;VAR:SYMBOL=616216&amp;VAR:INDEX=0"}</definedName>
    <definedName name="_371__FDSAUDITLINK__" localSheetId="10"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8__FDSAUDITLINK__" localSheetId="10" hidden="1">{"fdsup://directions/FAT Viewer?action=UPDATE&amp;creator=factset&amp;DYN_ARGS=TRUE&amp;DOC_NAME=FAT:FQL_AUDITING_CLIENT_TEMPLATE.FAT&amp;display_string=Audit&amp;VAR:KEY=LIHILQPEHS&amp;VAR:QUERY=RkZfREVCVChRVFIsMCk=&amp;WINDOW=FIRST_POPUP&amp;HEIGHT=450&amp;WIDTH=450&amp;START_MAXIMIZED=FALSE&amp;VA","R:CALENDAR=US&amp;VAR:SYMBOL=B01LXY&amp;VAR:INDEX=0"}</definedName>
    <definedName name="_39__FDSAUDITLINK__" localSheetId="10" hidden="1">{"fdsup://directions/FAT Viewer?action=UPDATE&amp;creator=factset&amp;DYN_ARGS=TRUE&amp;DOC_NAME=FAT:FQL_AUDITING_CLIENT_TEMPLATE.FAT&amp;display_string=Audit&amp;VAR:KEY=BKHSXEZQRI&amp;VAR:QUERY=RkZfREVCVChRVFIsMCk=&amp;WINDOW=FIRST_POPUP&amp;HEIGHT=450&amp;WIDTH=450&amp;START_MAXIMIZED=FALSE&amp;VA","R:CALENDAR=US&amp;VAR:SYMBOL=B12C0T&amp;VAR:INDEX=0"}</definedName>
    <definedName name="_4__FDSAUDITLINK__" localSheetId="10" hidden="1">{"fdsup://Directions/FactSet Auditing Viewer?action=AUDIT_VALUE&amp;DB=129&amp;ID1=B01LXY&amp;VALUEID=05192&amp;SDATE=201101&amp;PERIODTYPE=QTR_STD&amp;SCFT=3&amp;window=popup_no_bar&amp;width=385&amp;height=120&amp;START_MAXIMIZED=FALSE&amp;creator=factset&amp;display_string=Audit"}</definedName>
    <definedName name="_40__FDSAUDITLINK__" localSheetId="10" hidden="1">{"fdsup://Directions/FactSet Auditing Viewer?action=AUDIT_VALUE&amp;DB=129&amp;ID1=615525&amp;VALUEID=05194&amp;SDATE=201101&amp;PERIODTYPE=QTR_STD&amp;SCFT=3&amp;window=popup_no_bar&amp;width=385&amp;height=120&amp;START_MAXIMIZED=FALSE&amp;creator=factset&amp;display_string=Audit"}</definedName>
    <definedName name="_41__FDSAUDITLINK__" localSheetId="10" hidden="1">{"fdsup://directions/FAT Viewer?action=UPDATE&amp;creator=factset&amp;DYN_ARGS=TRUE&amp;DOC_NAME=FAT:FQL_AUDITING_CLIENT_TEMPLATE.FAT&amp;display_string=Audit&amp;VAR:KEY=NCPODUVUTY&amp;VAR:QUERY=RkZfREVCVChRVFIsMCk=&amp;WINDOW=FIRST_POPUP&amp;HEIGHT=450&amp;WIDTH=450&amp;START_MAXIMIZED=FALSE&amp;VA","R:CALENDAR=US&amp;VAR:SYMBOL=651312&amp;VAR:INDEX=0"}</definedName>
    <definedName name="_42__FDSAUDITLINK__" localSheetId="10" hidden="1">{"fdsup://directions/FAT Viewer?action=UPDATE&amp;creator=factset&amp;DYN_ARGS=TRUE&amp;DOC_NAME=FAT:FQL_AUDITING_CLIENT_TEMPLATE.FAT&amp;display_string=Audit&amp;VAR:KEY=TCLSBADEBM&amp;VAR:QUERY=RkZfREVCVChRVFIsMCk=&amp;WINDOW=FIRST_POPUP&amp;HEIGHT=450&amp;WIDTH=450&amp;START_MAXIMIZED=FALSE&amp;VA","R:CALENDAR=US&amp;VAR:SYMBOL=610036&amp;VAR:INDEX=0"}</definedName>
    <definedName name="_42wrn.²Ä1­Ó¤ë1_Ü20¤H." localSheetId="10" hidden="1">{#N/A,#N/A,FALSE,"²Ä1­Ó¤ë"}</definedName>
    <definedName name="_43__FDSAUDITLINK__" localSheetId="10" hidden="1">{"fdsup://directions/FAT Viewer?action=UPDATE&amp;creator=factset&amp;DYN_ARGS=TRUE&amp;DOC_NAME=FAT:FQL_AUDITING_CLIENT_TEMPLATE.FAT&amp;display_string=Audit&amp;VAR:KEY=TCVWVCXSPG&amp;VAR:QUERY=RkZfREVCVChRVFIsMCk=&amp;WINDOW=FIRST_POPUP&amp;HEIGHT=450&amp;WIDTH=450&amp;START_MAXIMIZED=FALSE&amp;VA","R:CALENDAR=US&amp;VAR:SYMBOL=B5Q3JZ&amp;VAR:INDEX=0"}</definedName>
    <definedName name="_44__FDSAUDITLINK__" localSheetId="10" hidden="1">{"fdsup://directions/FAT Viewer?action=UPDATE&amp;creator=factset&amp;DYN_ARGS=TRUE&amp;DOC_NAME=FAT:FQL_AUDITING_CLIENT_TEMPLATE.FAT&amp;display_string=Audit&amp;VAR:KEY=FKRWBWPYJQ&amp;VAR:QUERY=RkZfREVCVChRVFIsMCk=&amp;WINDOW=FIRST_POPUP&amp;HEIGHT=450&amp;WIDTH=450&amp;START_MAXIMIZED=FALSE&amp;VA","R:CALENDAR=US&amp;VAR:SYMBOL=B2Q5H5&amp;VAR:INDEX=0"}</definedName>
    <definedName name="_45__FDSAUDITLINK__" localSheetId="10"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46__FDSAUDITLINK__" localSheetId="10" hidden="1">{"fdsup://directions/FAT Viewer?action=UPDATE&amp;creator=factset&amp;DYN_ARGS=TRUE&amp;DOC_NAME=FAT:FQL_AUDITING_CLIENT_TEMPLATE.FAT&amp;display_string=Audit&amp;VAR:KEY=DUDADIPCVA&amp;VAR:QUERY=RkZfREVCVChRVFIsMCk=&amp;WINDOW=FIRST_POPUP&amp;HEIGHT=450&amp;WIDTH=450&amp;START_MAXIMIZED=FALSE&amp;VA","R:CALENDAR=US&amp;VAR:SYMBOL=B01FLR&amp;VAR:INDEX=0"}</definedName>
    <definedName name="_47__FDSAUDITLINK__" localSheetId="10" hidden="1">{"fdsup://Directions/FactSet Auditing Viewer?action=AUDIT_VALUE&amp;DB=129&amp;ID1=627137&amp;VALUEID=05194&amp;SDATE=201102&amp;PERIODTYPE=QTR_STD&amp;SCFT=3&amp;window=popup_no_bar&amp;width=385&amp;height=120&amp;START_MAXIMIZED=FALSE&amp;creator=factset&amp;display_string=Audit"}</definedName>
    <definedName name="_48__FDSAUDITLINK__" localSheetId="10" hidden="1">{"fdsup://Directions/FactSet Auditing Viewer?action=AUDIT_VALUE&amp;DB=129&amp;ID1=627137&amp;VALUEID=05192&amp;SDATE=201102&amp;PERIODTYPE=QTR_STD&amp;SCFT=3&amp;window=popup_no_bar&amp;width=385&amp;height=120&amp;START_MAXIMIZED=FALSE&amp;creator=factset&amp;display_string=Audit"}</definedName>
    <definedName name="_481__FDSAUDITLINK__" localSheetId="10" hidden="1">{"fdsup://directions/FAT Viewer?action=UPDATE&amp;creator=factset&amp;DYN_ARGS=TRUE&amp;DOC_NAME=FAT:FQL_AUDITING_CLIENT_TEMPLATE.FAT&amp;display_string=Audit&amp;VAR:KEY=FKZMDKTUXA&amp;VAR:QUERY=KEZGX0JQU19UQU5HKFFUUiw0MDE0MylARkZfQlBTX1RBTkcoQU5OLDQwMTQzKSk=&amp;WINDOW=FIRST_POPUP&amp;H","EIGHT=450&amp;WIDTH=450&amp;START_MAXIMIZED=FALSE&amp;VAR:CALENDAR=US&amp;VAR:SYMBOL=002939&amp;VAR:INDEX=0"}</definedName>
    <definedName name="_49__FDSAUDITLINK__" localSheetId="10" hidden="1">{"fdsup://directions/FAT Viewer?action=UPDATE&amp;creator=factset&amp;DYN_ARGS=TRUE&amp;DOC_NAME=FAT:FQL_AUDITING_CLIENT_TEMPLATE.FAT&amp;display_string=Audit&amp;VAR:KEY=YLCVWFIZGL&amp;VAR:QUERY=RkZfREVCVChRVFIsMCk=&amp;WINDOW=FIRST_POPUP&amp;HEIGHT=450&amp;WIDTH=450&amp;START_MAXIMIZED=FALSE&amp;VA","R:CALENDAR=US&amp;VAR:SYMBOL=652766&amp;VAR:INDEX=0"}</definedName>
    <definedName name="_5__FDSAUDITLINK__" localSheetId="10" hidden="1">{"fdsup://Directions/FactSet Auditing Viewer?action=AUDIT_VALUE&amp;DB=129&amp;ID1=529412&amp;VALUEID=01004&amp;SDATE=2010&amp;PERIODTYPE=ANN_STD&amp;SCFT=3&amp;window=popup_no_bar&amp;width=385&amp;height=120&amp;START_MAXIMIZED=FALSE&amp;creator=factset&amp;display_string=Audit"}</definedName>
    <definedName name="_50__FDSAUDITLINK__" localSheetId="10" hidden="1">{"fdsup://Directions/FactSet Auditing Viewer?action=AUDIT_VALUE&amp;DB=129&amp;ID1=680580&amp;VALUEID=05194&amp;SDATE=201101&amp;PERIODTYPE=QTR_STD&amp;SCFT=3&amp;window=popup_no_bar&amp;width=385&amp;height=120&amp;START_MAXIMIZED=FALSE&amp;creator=factset&amp;display_string=Audit"}</definedName>
    <definedName name="_51__FDSAUDITLINK__" localSheetId="10" hidden="1">{"fdsup://Directions/FactSet Auditing Viewer?action=AUDIT_VALUE&amp;DB=129&amp;ID1=616216&amp;VALUEID=05194&amp;SDATE=201101&amp;PERIODTYPE=QTR_STD&amp;SCFT=3&amp;window=popup_no_bar&amp;width=385&amp;height=120&amp;START_MAXIMIZED=FALSE&amp;creator=factset&amp;display_string=Audit"}</definedName>
    <definedName name="_52__FDSAUDITLINK__" localSheetId="10" hidden="1">{"fdsup://Directions/FactSet Auditing Viewer?action=AUDIT_VALUE&amp;DB=129&amp;ID1=B01T14&amp;VALUEID=05194&amp;SDATE=201101&amp;PERIODTYPE=QTR_STD&amp;SCFT=3&amp;window=popup_no_bar&amp;width=385&amp;height=120&amp;START_MAXIMIZED=FALSE&amp;creator=factset&amp;display_string=Audit"}</definedName>
    <definedName name="_53__FDSAUDITLINK__" localSheetId="10" hidden="1">{"fdsup://Directions/FactSet Auditing Viewer?action=AUDIT_VALUE&amp;DB=129&amp;ID1=B01LXY&amp;VALUEID=05194&amp;SDATE=201101&amp;PERIODTYPE=QTR_STD&amp;SCFT=3&amp;window=popup_no_bar&amp;width=385&amp;height=120&amp;START_MAXIMIZED=FALSE&amp;creator=factset&amp;display_string=Audit"}</definedName>
    <definedName name="_54__FDSAUDITLINK__" localSheetId="10" hidden="1">{"fdsup://Directions/FactSet Auditing Viewer?action=AUDIT_VALUE&amp;DB=129&amp;ID1=616216&amp;VALUEID=05194&amp;SDATE=201101&amp;PERIODTYPE=QTR_STD&amp;SCFT=3&amp;window=popup_no_bar&amp;width=385&amp;height=120&amp;START_MAXIMIZED=FALSE&amp;creator=factset&amp;display_string=Audit"}</definedName>
    <definedName name="_55__FDSAUDITLINK__" localSheetId="10" hidden="1">{"fdsup://Directions/FactSet Auditing Viewer?action=AUDIT_VALUE&amp;DB=129&amp;ID1=649613&amp;VALUEID=05192&amp;SDATE=201101&amp;PERIODTYPE=QTR_STD&amp;SCFT=3&amp;window=popup_no_bar&amp;width=385&amp;height=120&amp;START_MAXIMIZED=FALSE&amp;creator=factset&amp;display_string=Audit"}</definedName>
    <definedName name="_56__FDSAUDITLINK__" localSheetId="10" hidden="1">{"fdsup://Directions/FactSet Auditing Viewer?action=AUDIT_VALUE&amp;DB=129&amp;ID1=680580&amp;VALUEID=05192&amp;SDATE=201101&amp;PERIODTYPE=QTR_STD&amp;SCFT=3&amp;window=popup_no_bar&amp;width=385&amp;height=120&amp;START_MAXIMIZED=FALSE&amp;creator=factset&amp;display_string=Audit"}</definedName>
    <definedName name="_57__FDSAUDITLINK__" localSheetId="10" hidden="1">{"fdsup://Directions/FactSet Auditing Viewer?action=AUDIT_VALUE&amp;DB=129&amp;ID1=616216&amp;VALUEID=05192&amp;SDATE=201101&amp;PERIODTYPE=QTR_STD&amp;SCFT=3&amp;window=popup_no_bar&amp;width=385&amp;height=120&amp;START_MAXIMIZED=FALSE&amp;creator=factset&amp;display_string=Audit"}</definedName>
    <definedName name="_58__FDSAUDITLINK__" localSheetId="10" hidden="1">{"fdsup://Directions/FactSet Auditing Viewer?action=AUDIT_VALUE&amp;DB=129&amp;ID1=B01T14&amp;VALUEID=05192&amp;SDATE=201101&amp;PERIODTYPE=QTR_STD&amp;SCFT=3&amp;window=popup_no_bar&amp;width=385&amp;height=120&amp;START_MAXIMIZED=FALSE&amp;creator=factset&amp;display_string=Audit"}</definedName>
    <definedName name="_59__FDSAUDITLINK__" localSheetId="10" hidden="1">{"fdsup://Directions/FactSet Auditing Viewer?action=AUDIT_VALUE&amp;DB=129&amp;ID1=B01LXY&amp;VALUEID=05192&amp;SDATE=201101&amp;PERIODTYPE=QTR_STD&amp;SCFT=3&amp;window=popup_no_bar&amp;width=385&amp;height=120&amp;START_MAXIMIZED=FALSE&amp;creator=factset&amp;display_string=Audit"}</definedName>
    <definedName name="_6__FDSAUDITLINK__" localSheetId="10" hidden="1">{"fdsup://Directions/FactSet Auditing Viewer?action=AUDIT_VALUE&amp;DB=129&amp;ID1=B2Q4CS&amp;VALUEID=05192&amp;SDATE=201101&amp;PERIODTYPE=QTR_STD&amp;SCFT=3&amp;window=popup_no_bar&amp;width=385&amp;height=120&amp;START_MAXIMIZED=FALSE&amp;creator=factset&amp;display_string=Audit"}</definedName>
    <definedName name="_60__FDSAUDITLINK__" localSheetId="10" hidden="1">{"fdsup://Directions/FactSet Auditing Viewer?action=AUDIT_VALUE&amp;DB=129&amp;ID1=616216&amp;VALUEID=05192&amp;SDATE=201101&amp;PERIODTYPE=QTR_STD&amp;SCFT=3&amp;window=popup_no_bar&amp;width=385&amp;height=120&amp;START_MAXIMIZED=FALSE&amp;creator=factset&amp;display_string=Audit"}</definedName>
    <definedName name="_61__FDSAUDITLINK__" localSheetId="10"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2__FDSAUDITLINK__" localSheetId="10"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3__FDSAUDITLINK__" localSheetId="10"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4__FDSAUDITLINK__" localSheetId="10" hidden="1">{"fdsup://Directions/FactSet Auditing Viewer?action=AUDIT_VALUE&amp;DB=129&amp;ID1=615593&amp;VALUEID=05192&amp;SDATE=201101&amp;PERIODTYPE=QTR_STD&amp;SCFT=3&amp;window=popup_no_bar&amp;width=385&amp;height=120&amp;START_MAXIMIZED=FALSE&amp;creator=factset&amp;display_string=Audit"}</definedName>
    <definedName name="_65__FDSAUDITLINK__" localSheetId="10" hidden="1">{"fdsup://Directions/FactSet Auditing Viewer?action=AUDIT_VALUE&amp;DB=129&amp;ID1=615593&amp;VALUEID=05194&amp;SDATE=201101&amp;PERIODTYPE=QTR_STD&amp;SCFT=3&amp;window=popup_no_bar&amp;width=385&amp;height=120&amp;START_MAXIMIZED=FALSE&amp;creator=factset&amp;display_string=Audit"}</definedName>
    <definedName name="_66__FDSAUDITLINK__" localSheetId="10" hidden="1">{"fdsup://Directions/FactSet Auditing Viewer?action=AUDIT_VALUE&amp;DB=129&amp;ID1=B62B9W&amp;VALUEID=05192&amp;SDATE=201101&amp;PERIODTYPE=QTR_STD&amp;SCFT=3&amp;window=popup_no_bar&amp;width=385&amp;height=120&amp;START_MAXIMIZED=FALSE&amp;creator=factset&amp;display_string=Audit"}</definedName>
    <definedName name="_67__FDSAUDITLINK__" localSheetId="10" hidden="1">{"fdsup://Directions/FactSet Auditing Viewer?action=AUDIT_VALUE&amp;DB=129&amp;ID1=B62B9W&amp;VALUEID=05194&amp;SDATE=201101&amp;PERIODTYPE=QTR_STD&amp;SCFT=3&amp;window=popup_no_bar&amp;width=385&amp;height=120&amp;START_MAXIMIZED=FALSE&amp;creator=factset&amp;display_string=Audit"}</definedName>
    <definedName name="_68__FDSAUDITLINK__" localSheetId="10" hidden="1">{"fdsup://Directions/FactSet Auditing Viewer?action=AUDIT_VALUE&amp;DB=129&amp;ID1=B12C0T&amp;VALUEID=05192&amp;SDATE=201101&amp;PERIODTYPE=QTR_STD&amp;SCFT=3&amp;window=popup_no_bar&amp;width=385&amp;height=120&amp;START_MAXIMIZED=FALSE&amp;creator=factset&amp;display_string=Audit"}</definedName>
    <definedName name="_69__FDSAUDITLINK__" localSheetId="10" hidden="1">{"fdsup://Directions/FactSet Auditing Viewer?action=AUDIT_VALUE&amp;DB=129&amp;ID1=B12C0T&amp;VALUEID=05194&amp;SDATE=201101&amp;PERIODTYPE=QTR_STD&amp;SCFT=3&amp;window=popup_no_bar&amp;width=385&amp;height=120&amp;START_MAXIMIZED=FALSE&amp;creator=factset&amp;display_string=Audit"}</definedName>
    <definedName name="_7__FDSAUDITLINK__" localSheetId="10" hidden="1">{"fdsup://Directions/FactSet Auditing Viewer?action=AUDIT_VALUE&amp;DB=129&amp;ID1=B601QS&amp;VALUEID=05192&amp;SDATE=201101&amp;PERIODTYPE=QTR_STD&amp;SCFT=3&amp;window=popup_no_bar&amp;width=385&amp;height=120&amp;START_MAXIMIZED=FALSE&amp;creator=factset&amp;display_string=Audit"}</definedName>
    <definedName name="_70__FDSAUDITLINK__" localSheetId="10" hidden="1">{"fdsup://Directions/FactSet Auditing Viewer?action=AUDIT_VALUE&amp;DB=129&amp;ID1=B12C0T&amp;VALUEID=05192&amp;SDATE=201101&amp;PERIODTYPE=QTR_STD&amp;SCFT=3&amp;window=popup_no_bar&amp;width=385&amp;height=120&amp;START_MAXIMIZED=FALSE&amp;creator=factset&amp;display_string=Audit"}</definedName>
    <definedName name="_71__FDSAUDITLINK__" localSheetId="10" hidden="1">{"fdsup://Directions/FactSet Auditing Viewer?action=AUDIT_VALUE&amp;DB=129&amp;ID1=B12C0T&amp;VALUEID=05194&amp;SDATE=201101&amp;PERIODTYPE=QTR_STD&amp;SCFT=3&amp;window=popup_no_bar&amp;width=385&amp;height=120&amp;START_MAXIMIZED=FALSE&amp;creator=factset&amp;display_string=Audit"}</definedName>
    <definedName name="_72__FDSAUDITLINK__" localSheetId="10" hidden="1">{"fdsup://directions/FAT Viewer?action=UPDATE&amp;creator=factset&amp;DYN_ARGS=TRUE&amp;DOC_NAME=FAT:FQL_AUDITING_CLIENT_TEMPLATE.FAT&amp;display_string=Audit&amp;VAR:KEY=EPKPEBABGZ&amp;VAR:QUERY=RkZfREVCVChRVFIsMCk=&amp;WINDOW=FIRST_POPUP&amp;HEIGHT=450&amp;WIDTH=450&amp;START_MAXIMIZED=FALSE&amp;VA","R:CALENDAR=US&amp;VAR:SYMBOL=B62B9W&amp;VAR:INDEX=0"}</definedName>
    <definedName name="_73__FDSAUDITLINK__" localSheetId="10" hidden="1">{"fdsup://Directions/FactSet Auditing Viewer?action=AUDIT_VALUE&amp;DB=129&amp;ID1=B0YCFG&amp;VALUEID=05192&amp;SDATE=201101&amp;PERIODTYPE=QTR_STD&amp;SCFT=3&amp;window=popup_no_bar&amp;width=385&amp;height=120&amp;START_MAXIMIZED=FALSE&amp;creator=factset&amp;display_string=Audit"}</definedName>
    <definedName name="_74__FDSAUDITLINK__" localSheetId="10" hidden="1">{"fdsup://Directions/FactSet Auditing Viewer?action=AUDIT_VALUE&amp;DB=129&amp;ID1=B0YCFG&amp;VALUEID=05194&amp;SDATE=201101&amp;PERIODTYPE=QTR_STD&amp;SCFT=3&amp;window=popup_no_bar&amp;width=385&amp;height=120&amp;START_MAXIMIZED=FALSE&amp;creator=factset&amp;display_string=Audit"}</definedName>
    <definedName name="_75__FDSAUDITLINK__" localSheetId="10" hidden="1">{"fdsup://Directions/FactSet Auditing Viewer?action=AUDIT_VALUE&amp;DB=129&amp;ID1=649613&amp;VALUEID=05192&amp;SDATE=201101&amp;PERIODTYPE=QTR_STD&amp;SCFT=3&amp;window=popup_no_bar&amp;width=385&amp;height=120&amp;START_MAXIMIZED=FALSE&amp;creator=factset&amp;display_string=Audit"}</definedName>
    <definedName name="_76__FDSAUDITLINK__" localSheetId="10" hidden="1">{"fdsup://Directions/FactSet Auditing Viewer?action=AUDIT_VALUE&amp;DB=129&amp;ID1=B12C0T&amp;VALUEID=05192&amp;SDATE=201101&amp;PERIODTYPE=QTR_STD&amp;SCFT=3&amp;window=popup_no_bar&amp;width=385&amp;height=120&amp;START_MAXIMIZED=FALSE&amp;creator=factset&amp;display_string=Audit"}</definedName>
    <definedName name="_77__FDSAUDITLINK__" localSheetId="10" hidden="1">{"fdsup://Directions/FactSet Auditing Viewer?action=AUDIT_VALUE&amp;DB=129&amp;ID1=B12C0T&amp;VALUEID=05192&amp;SDATE=201101&amp;PERIODTYPE=QTR_STD&amp;SCFT=3&amp;window=popup_no_bar&amp;width=385&amp;height=120&amp;START_MAXIMIZED=FALSE&amp;creator=factset&amp;display_string=Audit"}</definedName>
    <definedName name="_78__FDSAUDITLINK__" localSheetId="10" hidden="1">{"fdsup://Directions/FactSet Auditing Viewer?action=AUDIT_VALUE&amp;DB=129&amp;ID1=B12C0T&amp;VALUEID=05192&amp;SDATE=201101&amp;PERIODTYPE=QTR_STD&amp;SCFT=3&amp;window=popup_no_bar&amp;width=385&amp;height=120&amp;START_MAXIMIZED=FALSE&amp;creator=factset&amp;display_string=Audit"}</definedName>
    <definedName name="_79__FDSAUDITLINK__" localSheetId="10" hidden="1">{"fdsup://Directions/FactSet Auditing Viewer?action=AUDIT_VALUE&amp;DB=129&amp;ID1=680580&amp;VALUEID=05194&amp;SDATE=201101&amp;PERIODTYPE=QTR_STD&amp;SCFT=3&amp;window=popup_no_bar&amp;width=385&amp;height=120&amp;START_MAXIMIZED=FALSE&amp;creator=factset&amp;display_string=Audit"}</definedName>
    <definedName name="_8__FDSAUDITLINK__" localSheetId="10" hidden="1">{"fdsup://Directions/FactSet Auditing Viewer?action=AUDIT_VALUE&amp;DB=129&amp;ID1=002939&amp;VALUEID=01004&amp;SDATE=2010&amp;PERIODTYPE=ANN_STD&amp;SCFT=3&amp;window=popup_no_bar&amp;width=385&amp;height=120&amp;START_MAXIMIZED=FALSE&amp;creator=factset&amp;display_string=Audit"}</definedName>
    <definedName name="_80__FDSAUDITLINK__" localSheetId="10" hidden="1">{"fdsup://Directions/FactSet Auditing Viewer?action=AUDIT_VALUE&amp;DB=129&amp;ID1=680580&amp;VALUEID=05192&amp;SDATE=201101&amp;PERIODTYPE=QTR_STD&amp;SCFT=3&amp;window=popup_no_bar&amp;width=385&amp;height=120&amp;START_MAXIMIZED=FALSE&amp;creator=factset&amp;display_string=Audit"}</definedName>
    <definedName name="_81__FDSAUDITLINK__" localSheetId="10" hidden="1">{"fdsup://Directions/FactSet Auditing Viewer?action=AUDIT_VALUE&amp;DB=129&amp;ID1=B0YCFG&amp;VALUEID=05192&amp;SDATE=201101&amp;PERIODTYPE=QTR_STD&amp;SCFT=3&amp;window=popup_no_bar&amp;width=385&amp;height=120&amp;START_MAXIMIZED=FALSE&amp;creator=factset&amp;display_string=Audit"}</definedName>
    <definedName name="_82__FDSAUDITLINK__" localSheetId="10" hidden="1">{"fdsup://Directions/FactSet Auditing Viewer?action=AUDIT_VALUE&amp;DB=129&amp;ID1=B62B9W&amp;VALUEID=05192&amp;SDATE=201101&amp;PERIODTYPE=QTR_STD&amp;SCFT=3&amp;window=popup_no_bar&amp;width=385&amp;height=120&amp;START_MAXIMIZED=FALSE&amp;creator=factset&amp;display_string=Audit"}</definedName>
    <definedName name="_83__FDSAUDITLINK__" localSheetId="10"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84__FDSAUDITLINK__" localSheetId="10"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85__FDSAUDITLINK__" localSheetId="10"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9__FDSAUDITLINK__" localSheetId="10" hidden="1">{"fdsup://Directions/FactSet Auditing Viewer?action=AUDIT_VALUE&amp;DB=129&amp;ID1=B2QKWK&amp;VALUEID=05192&amp;SDATE=201101&amp;PERIODTYPE=QTR_STD&amp;SCFT=3&amp;window=popup_no_bar&amp;width=385&amp;height=120&amp;START_MAXIMIZED=FALSE&amp;creator=factset&amp;display_string=Audit"}</definedName>
    <definedName name="_a1" localSheetId="10" hidden="1">{#N/A,#N/A,FALSE,"Pharm";#N/A,#N/A,FALSE,"WWCM"}</definedName>
    <definedName name="_A11" localSheetId="10" hidden="1">{#N/A,#N/A,FALSE,"Umsatz 99";#N/A,#N/A,FALSE,"ER 99 "}</definedName>
    <definedName name="_aaa1" localSheetId="10" hidden="1">{#N/A,#N/A,FALSE,"REPORT"}</definedName>
    <definedName name="_aas1" localSheetId="10" hidden="1">{#N/A,#N/A,FALSE,"REPORT"}</definedName>
    <definedName name="_ACS2000" localSheetId="10" hidden="1">{#N/A,#N/A,FALSE,"REPORT"}</definedName>
    <definedName name="_ADS1" localSheetId="10" hidden="1">{"FCB_ALL",#N/A,FALSE,"FCB"}</definedName>
    <definedName name="_age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pr03" localSheetId="10" hidden="1">{"Statement of Income",#N/A,TRUE,"Mar99";"Balance Sheet",#N/A,TRUE,"Mar99"}</definedName>
    <definedName name="_Apr04" localSheetId="10" hidden="1">{"Statement of Income",#N/A,TRUE,"Mar99";"Balance Sheet",#N/A,TRUE,"Mar99"}</definedName>
    <definedName name="_as1" localSheetId="10" hidden="1">{"FCB_ALL",#N/A,FALSE,"FCB"}</definedName>
    <definedName name="_AS2" localSheetId="10" hidden="1">{"FCB_ALL",#N/A,FALSE,"FCB"}</definedName>
    <definedName name="_as3" localSheetId="10" hidden="1">{"FCB_ALL",#N/A,FALSE,"FCB"}</definedName>
    <definedName name="_AS4" localSheetId="10" hidden="1">{"FCB_ALL",#N/A,FALSE,"FCB"}</definedName>
    <definedName name="_as6" localSheetId="10" hidden="1">{"FCB_ALL",#N/A,FALSE,"FCB"}</definedName>
    <definedName name="_AS7" localSheetId="10" hidden="1">{"FCB_ALL",#N/A,FALSE,"FCB"}</definedName>
    <definedName name="_aug04" localSheetId="10" hidden="1">{"Statement of Income",#N/A,TRUE,"Mar99";"Balance Sheet",#N/A,TRUE,"Mar99"}</definedName>
    <definedName name="_b111" localSheetId="10" hidden="1">{#N/A,#N/A,FALSE,"Pharm";#N/A,#N/A,FALSE,"WWCM"}</definedName>
    <definedName name="_bdm.06aba940d10f4e9891315ec61059704a.edm" localSheetId="10" hidden="1">#REF!</definedName>
    <definedName name="_bdm.09e26870c38b4357a6aea2e373b7c6f1.edm" localSheetId="10" hidden="1">#REF!</definedName>
    <definedName name="_bdm.0c27711082264dd6b5cca30486d67157.edm" localSheetId="10" hidden="1">#REF!</definedName>
    <definedName name="_bdm.0ecff46e37b340048eaa524490633844.edm" localSheetId="10" hidden="1">#REF!</definedName>
    <definedName name="_bdm.0f344057a599479ea2b6147d4d0e3c5f.edm" localSheetId="10" hidden="1">#REF!</definedName>
    <definedName name="_bdm.107A9799626E4FC8B49DB037971FCDD2.edm" localSheetId="10" hidden="1">#REF!</definedName>
    <definedName name="_bdm.110fe0472f1e41cf8edfb7d9fbf72439.edm" localSheetId="10" hidden="1">#REF!</definedName>
    <definedName name="_bdm.12f0aa224e09430cad2ed60790ffe470.edm" localSheetId="10" hidden="1">#REF!</definedName>
    <definedName name="_bdm.1420e4c1048149d99f99db2566dfb5b6.edm" localSheetId="10" hidden="1">#REF!</definedName>
    <definedName name="_bdm.1497adb1f2b54105a4df4bc37a84c6c4.edm" localSheetId="10" hidden="1">#REF!</definedName>
    <definedName name="_bdm.1965d84e9dac42d2be9d9bf87fe61145.edm" localSheetId="10" hidden="1">#REF!</definedName>
    <definedName name="_bdm.1a29c1eb2dc64e088b7ad86656a9e874.edm" localSheetId="10" hidden="1">#REF!</definedName>
    <definedName name="_bdm.1a8de28cc6974690bbf0cff346208b17.edm" localSheetId="10" hidden="1">#REF!</definedName>
    <definedName name="_bdm.1b397b7c00064e61aa76d0144b785fe0.edm" localSheetId="10" hidden="1">#REF!</definedName>
    <definedName name="_bdm.1c518483f1b34bf589326925c6ad47f2.edm" localSheetId="10" hidden="1">#REF!</definedName>
    <definedName name="_bdm.214561e77c784af08279f1e267b69e4c.edm" localSheetId="10" hidden="1">#REF!</definedName>
    <definedName name="_bdm.2238af81b1df48a99cdf3fc2eac364e0.edm" localSheetId="10" hidden="1">#REF!</definedName>
    <definedName name="_bdm.234f7a16e72f40a0845104532184609f.edm" localSheetId="10" hidden="1">#REF!</definedName>
    <definedName name="_bdm.26445cecadca4d17a13d767e2fdc29fb.edm" localSheetId="10" hidden="1">#REF!</definedName>
    <definedName name="_bdm.26e841ef35ab4eb6affb63c417cc4c35.edm" localSheetId="10" hidden="1">#REF!</definedName>
    <definedName name="_bdm.29702e413a104ff5a9371b3ec0f1e346.edm" localSheetId="10" hidden="1">#REF!</definedName>
    <definedName name="_bdm.2a74673ecafc406ebd20d27a2d20d8db.edm" localSheetId="10" hidden="1">#REF!</definedName>
    <definedName name="_bdm.2aeb20c3e92449beb4f64a19da293aae.edm" localSheetId="10" hidden="1">#REF!</definedName>
    <definedName name="_bdm.3243e94bedbf4599a63778c5179a9b09.edm" localSheetId="10" hidden="1">#REF!</definedName>
    <definedName name="_bdm.332938db69b349d08ea559a761998da8.edm" localSheetId="10" hidden="1">#REF!</definedName>
    <definedName name="_bdm.33f753569bdc4b8fae2126d83823e39f.edm" localSheetId="10" hidden="1">#REF!</definedName>
    <definedName name="_bdm.3749b8233bd94fbb97c5bf2340186fff.edm" localSheetId="10" hidden="1">#REF!</definedName>
    <definedName name="_bdm.3b8b6c75df1847e2b4c8054302cc61b8.edm" localSheetId="10" hidden="1">#REF!</definedName>
    <definedName name="_bdm.3bbbdad2c6ff46689a0c5056d2bca420.edm" localSheetId="10" hidden="1">#REF!</definedName>
    <definedName name="_bdm.3c295d39c4ca459f94ea51cb739309b9.edm" localSheetId="10" hidden="1">#REF!</definedName>
    <definedName name="_bdm.41291a97341f414c839ef174f521a6aa.edm" localSheetId="10" hidden="1">#REF!</definedName>
    <definedName name="_bdm.440ce4c88b06424d942f877ea996d545.edm" localSheetId="10" hidden="1">#REF!</definedName>
    <definedName name="_bdm.47285f811d0143979ceb9834d0043a8d.edm" localSheetId="10" hidden="1">#REF!</definedName>
    <definedName name="_bdm.4823498195f64b0fa90e1a741418009c.edm" localSheetId="10" hidden="1">#REF!</definedName>
    <definedName name="_bdm.49565361dbda41eab60069382827a057.edm" localSheetId="10" hidden="1">#REF!</definedName>
    <definedName name="_bdm.4bc3f84aac74476fb6b30639df9457e6.edm" localSheetId="10" hidden="1">#REF!</definedName>
    <definedName name="_bdm.4fd121ca66564828a3b31134ce8761d6.edm" localSheetId="10" hidden="1">#REF!</definedName>
    <definedName name="_bdm.56759a0aaab9447da1feaf28376f3f18.edm" localSheetId="10" hidden="1">#REF!</definedName>
    <definedName name="_bdm.585db46637e84fdbb9c96eb7fa844a10.edm" localSheetId="10" hidden="1">#REF!</definedName>
    <definedName name="_bdm.5B55EC15D59D494AA5E3D74BF9AE6CDB.edm" localSheetId="10" hidden="1">#REF!</definedName>
    <definedName name="_bdm.5c152d30ac0747f79c24f036e6a05020.edm" localSheetId="10" hidden="1">#REF!</definedName>
    <definedName name="_bdm.5d3c0e326a334d279f76e57f90740956.edm" localSheetId="10" hidden="1">#REF!</definedName>
    <definedName name="_bdm.5d44ab69fbb040c7bc1f0362425a561d.edm" localSheetId="10" hidden="1">#REF!</definedName>
    <definedName name="_bdm.6517d25ae5414d19b53ecc71e4866bb9.edm" localSheetId="10" hidden="1">#REF!</definedName>
    <definedName name="_bdm.66202a0bdac64c43a5a7f83fd8de7c9f.edm" localSheetId="10" hidden="1">#REF!</definedName>
    <definedName name="_bdm.6690f7a1b49046cd92e6613dfaef875d.edm" localSheetId="10" hidden="1">#REF!</definedName>
    <definedName name="_bdm.68bfd4388f7043ed9321ec5178f77d37.edm" localSheetId="10" hidden="1">#REF!</definedName>
    <definedName name="_bdm.695146503cea4412b0664012f646045f.edm" localSheetId="10" hidden="1">#REF!</definedName>
    <definedName name="_bdm.69c201d82a644eca8a9fbed036d32601.edm" localSheetId="10" hidden="1">#REF!</definedName>
    <definedName name="_bdm.6ba6e74e6eb748d583cd9321429e307b.edm" localSheetId="10" hidden="1">#REF!</definedName>
    <definedName name="_bdm.6d7dc00e546f4af4a97581b467c60e24.edm" localSheetId="10" hidden="1">#REF!</definedName>
    <definedName name="_bdm.705bdc931efa45a38c8e79cc7b403c80.edm" localSheetId="10" hidden="1">#REF!</definedName>
    <definedName name="_bdm.72599d5820f046f79580d875534f093a.edm" localSheetId="10" hidden="1">#REF!</definedName>
    <definedName name="_bdm.72733edca7d54cd2b5c4d91c4dca0d87.edm" localSheetId="10" hidden="1">#REF!</definedName>
    <definedName name="_bdm.740fc54ffb42446ca63ea59791c98f7f.edm" localSheetId="10" hidden="1">#REF!</definedName>
    <definedName name="_bdm.752f7def96f14bc3accad76e5e3cdd88.edm" localSheetId="10" hidden="1">#REF!</definedName>
    <definedName name="_bdm.77eb6f822121492aa3868cae88abcecb.edm" localSheetId="10" hidden="1">#REF!</definedName>
    <definedName name="_bdm.7e2ade1d496b41699589357f401fda88.edm" localSheetId="10" hidden="1">#REF!</definedName>
    <definedName name="_bdm.81cf058de8eb44c0968677f4f1b16ca0.edm" localSheetId="10" hidden="1">#REF!</definedName>
    <definedName name="_bdm.84e52997677e4d24b08c10da4c726f80.edm" localSheetId="10" hidden="1">#REF!</definedName>
    <definedName name="_bdm.88462335defc4036849a815ca4416c8c.edm" localSheetId="10" hidden="1">#REF!</definedName>
    <definedName name="_bdm.8a3c598aee154ff6931ce6dd468ddaea.edm" localSheetId="10" hidden="1">#REF!</definedName>
    <definedName name="_bdm.8a44d1c95ac34250b264a3a864fcb86b.edm" localSheetId="10" hidden="1">#REF!</definedName>
    <definedName name="_bdm.8a55a33b552e451fb03ec997b9731453.edm" localSheetId="10" hidden="1">#REF!</definedName>
    <definedName name="_bdm.8c9a430faa154994a2270cae796eb559.edm" localSheetId="10" hidden="1">#REF!</definedName>
    <definedName name="_bdm.8cdb7ccd95d74af990906609ea35dfbc.edm" localSheetId="10" hidden="1">#REF!</definedName>
    <definedName name="_bdm.8dfc430906c342bd882d6a98b39b69f1.edm" localSheetId="10" hidden="1">#REF!</definedName>
    <definedName name="_bdm.9091c479dd1b47ec874324364a5b9ae3.edm" localSheetId="10" hidden="1">#REF!</definedName>
    <definedName name="_bdm.913e03f58e1f4452963c57a381265ee7.edm" localSheetId="10" hidden="1">#REF!</definedName>
    <definedName name="_bdm.93ca406dc6834ae69565065edc9c2485.edm" localSheetId="10" hidden="1">#REF!</definedName>
    <definedName name="_bdm.959e76887e7543758f2e98344fea62e5.edm" localSheetId="10" hidden="1">#REF!</definedName>
    <definedName name="_bdm.9686b5ad8e454bdc831589f3096d9a75.edm" localSheetId="10" hidden="1">#REF!</definedName>
    <definedName name="_bdm.9CDC35CDB7B143079762F320F757C403.edm" localSheetId="10" hidden="1">#REF!</definedName>
    <definedName name="_bdm.a0309f58e97b4c6d8322611907706b6a.edm" localSheetId="10" hidden="1">#REF!</definedName>
    <definedName name="_bdm.a1e0c8fa41d44456bd3fd7eb5a5d9627.edm" localSheetId="10" hidden="1">#REF!</definedName>
    <definedName name="_bdm.a2767cf6f5294501949b9f3c21b3776d.edm" localSheetId="10" hidden="1">#REF!</definedName>
    <definedName name="_bdm.a4ade6bf31a84e6bacb74a8df69fca58.edm" localSheetId="10" hidden="1">#REF!</definedName>
    <definedName name="_bdm.a69419b31f744796b987db38ad0d649e.edm" localSheetId="10" hidden="1">#REF!</definedName>
    <definedName name="_bdm.a7155ec8dbbd466e9e9760143496bc24.edm" localSheetId="10" hidden="1">#REF!</definedName>
    <definedName name="_bdm.a8e01da119ca4d9c97d0184b931b4420.edm" localSheetId="10" hidden="1">#REF!</definedName>
    <definedName name="_bdm.A9E8F2214015449F99BBFDAC629C22DB.edm" localSheetId="10" hidden="1">#REF!</definedName>
    <definedName name="_bdm.ab7b7b42d23245188962b044b04613e6.edm" localSheetId="10" hidden="1">#REF!</definedName>
    <definedName name="_bdm.acacaaab71bd41e0b29ad58a8364f331.edm" localSheetId="10" hidden="1">#REF!</definedName>
    <definedName name="_bdm.acefef0cf05b4befa5daff43bfd4bb8b.edm" localSheetId="10" hidden="1">#REF!</definedName>
    <definedName name="_bdm.b1683122ac6b4606ba091a2d30a53c97.edm" localSheetId="10" hidden="1">#REF!</definedName>
    <definedName name="_bdm.b4d515774e7a423c8064201e48a64c9c.edm" localSheetId="10" hidden="1">#REF!</definedName>
    <definedName name="_bdm.b5d441b04f98485b9fa2305f394ea693.edm" localSheetId="10" hidden="1">#REF!</definedName>
    <definedName name="_bdm.b6296d9d69be44d3b0ab376cc7a2077d.edm" localSheetId="10" hidden="1">#REF!</definedName>
    <definedName name="_bdm.b66241962f6f4cf6a41d86d230025c5f.edm" localSheetId="10" hidden="1">#REF!</definedName>
    <definedName name="_bdm.B78A2F570E0D4F80A27689B75CAACA19.edm" localSheetId="10" hidden="1">#REF!</definedName>
    <definedName name="_bdm.bae08ec90f6946df8081afc258d047e2.edm" localSheetId="10" hidden="1">#REF!</definedName>
    <definedName name="_bdm.bb2880eacbfa40f28db22aef1696cb1f.edm" localSheetId="10" hidden="1">#REF!</definedName>
    <definedName name="_bdm.bfdbf5fa636b44d9a2044c3bf3f4fce1.edm" localSheetId="10" hidden="1">#REF!</definedName>
    <definedName name="_bdm.c337c662ace64983b75f1598939e1ca0.edm" localSheetId="10" hidden="1">#REF!</definedName>
    <definedName name="_bdm.c82f6d59ab0f4183ab7982284f6ca023.edm" localSheetId="10" hidden="1">#REF!</definedName>
    <definedName name="_bdm.c95f0efb7afc4bddb5661b316a446c20.edm" localSheetId="10" hidden="1">#REF!</definedName>
    <definedName name="_bdm.CAAD75B892744DA7A396804116BF19C2.edm" localSheetId="10" hidden="1">#REF!</definedName>
    <definedName name="_bdm.CCC9810E33DE4D12B7AF2ADB20F5BEB6.edm" localSheetId="10" hidden="1">#REF!</definedName>
    <definedName name="_bdm.d1968915ea1d488ba2e70cb188c7112f.edm" localSheetId="10" hidden="1">#REF!</definedName>
    <definedName name="_bdm.d1ca68b227d84bca98bb89dba783a220.edm" localSheetId="10" hidden="1">#REF!</definedName>
    <definedName name="_bdm.d267de5bccac46c4a3b6fd653ff128a9.edm" localSheetId="10" hidden="1">#REF!</definedName>
    <definedName name="_bdm.d53f47b82daf45e4868929e6a4a61b28.edm" localSheetId="10" hidden="1">#REF!</definedName>
    <definedName name="_bdm.d5905c45accc467d8e0cbecfbdb6d351.edm" localSheetId="10" hidden="1">#REF!</definedName>
    <definedName name="_bdm.da19e4131cb1467a902e377b3a70585c.edm" localSheetId="10" hidden="1">#REF!</definedName>
    <definedName name="_bdm.DB532E19E1024187875B38658C500AFB.edm" localSheetId="10" hidden="1">#REF!</definedName>
    <definedName name="_bdm.dcae2f7028fe4979b995dfb76193bf08.edm" localSheetId="10" hidden="1">#REF!</definedName>
    <definedName name="_bdm.df41725d793e46f38e1f8990b163397d.edm" localSheetId="10" hidden="1">#REF!</definedName>
    <definedName name="_bdm.e35c9784e4ad47a7a5c78064174100d9.edm" localSheetId="10" hidden="1">#REF!</definedName>
    <definedName name="_bdm.e570225ffa854d47a1516065465b8c39.edm" localSheetId="10" hidden="1">#REF!</definedName>
    <definedName name="_bdm.e6bcf26036b34f4db6695a8b5c33b57a.edm" localSheetId="10" hidden="1">#REF!</definedName>
    <definedName name="_bdm.ea29e06f9ded4e86b9cbf4762b02bddd.edm" localSheetId="10" hidden="1">#REF!</definedName>
    <definedName name="_bdm.ebbe593872c146e495157e215b93eeb9.edm" localSheetId="10" hidden="1">#REF!</definedName>
    <definedName name="_bdm.f657bf8812554f2393edb0592314ae5c.edm" localSheetId="10" hidden="1">#REF!</definedName>
    <definedName name="_bdm.f65f2519a1cc483eb303d30ed9683ea7.edm" localSheetId="10" hidden="1">#REF!</definedName>
    <definedName name="_bdm.f98f720359e04de195dafd5feb1f2931.edm" localSheetId="10" hidden="1">#REF!</definedName>
    <definedName name="_bdm.fae8c1993a0348c6bd3f3f88bca1680b.edm" localSheetId="10" hidden="1">#REF!</definedName>
    <definedName name="_bdm.faefdaef13054963acdeec03973192fb.edm" localSheetId="10" hidden="1">#REF!</definedName>
    <definedName name="_bdm.FB8D8AB244B64BB9B4F5F5A4C5205085.edm" localSheetId="10" hidden="1">#REF!</definedName>
    <definedName name="_bdm.fbf2cf8320134cd6b6acb7e0469adae4.edm" localSheetId="10" hidden="1">#REF!</definedName>
    <definedName name="_bdm.fbf95f80a8a345a8a68e5f1c32ce5841.edm" localSheetId="10" hidden="1">#REF!</definedName>
    <definedName name="_bdm.fc1c10be5f384f7f9699c11635fbdb69.edm" localSheetId="10" hidden="1">#REF!</definedName>
    <definedName name="_bdm.fc61fabc452f40daa3bf7256b8675373.edm" localSheetId="10" hidden="1">#REF!</definedName>
    <definedName name="_c" localSheetId="10" hidden="1">{"Fiesta Facer Page",#N/A,FALSE,"Q_C_S";"Fiesta Main Page",#N/A,FALSE,"V_L";"Fiesta 95BP Struct",#N/A,FALSE,"StructBP";"Fiesta Post 95BP Struct",#N/A,FALSE,"AdjStructBP"}</definedName>
    <definedName name="_cd1" localSheetId="10" hidden="1">{#N/A,#N/A,FALSE,"Job Sched"}</definedName>
    <definedName name="_cd2" localSheetId="10" hidden="1">{#N/A,#N/A,FALSE,"Job Sched"}</definedName>
    <definedName name="_CD3" localSheetId="10" hidden="1">{#N/A,#N/A,FALSE,"Job Sched"}</definedName>
    <definedName name="_cd4" localSheetId="10" hidden="1">{#N/A,#N/A,FALSE,"Job Sched"}</definedName>
    <definedName name="_Cd5" localSheetId="10" hidden="1">{#N/A,#N/A,FALSE,"A"}</definedName>
    <definedName name="_cd8" localSheetId="10" hidden="1">{#N/A,#N/A,FALSE,"Job Sched"}</definedName>
    <definedName name="_Dec01" localSheetId="10" hidden="1">{"Statement of Income",#N/A,TRUE,"Mar99";"Balance Sheet",#N/A,TRUE,"Mar99"}</definedName>
    <definedName name="_df1" localSheetId="10" hidden="1">{#N/A,#N/A,FALSE,"Calc";#N/A,#N/A,FALSE,"Sensitivity";#N/A,#N/A,FALSE,"LT Earn.Dil.";#N/A,#N/A,FALSE,"Dil. AVP"}</definedName>
    <definedName name="_df2" localSheetId="10" hidden="1">{#N/A,#N/A,FALSE,"Calc";#N/A,#N/A,FALSE,"Sensitivity";#N/A,#N/A,FALSE,"LT Earn.Dil.";#N/A,#N/A,FALSE,"Dil. AVP"}</definedName>
    <definedName name="_dfd1" localSheetId="10" hidden="1">{"FCB_ALL",#N/A,FALSE,"FCB";"GREY_ALL",#N/A,FALSE,"GREY"}</definedName>
    <definedName name="_dfk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ist_Values" localSheetId="10" hidden="1">#REF!</definedName>
    <definedName name="_djd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ex1" localSheetId="10">#REF!</definedName>
    <definedName name="_fas123" localSheetId="10" hidden="1">{"Balance Sheet",#N/A,FALSE,"Annual Summary";"Cashflows",#N/A,FALSE,"Annual Summary";"Summary Earnings",#N/A,FALSE,"Annual Summary"}</definedName>
    <definedName name="_feb01" localSheetId="10" hidden="1">{"Statement of Income",#N/A,TRUE,"Mar99";"Balance Sheet",#N/A,TRUE,"Mar99"}</definedName>
    <definedName name="_feb02" localSheetId="10" hidden="1">{"Statement of Income",#N/A,TRUE,"Mar99";"Balance Sheet",#N/A,TRUE,"Mar99"}</definedName>
    <definedName name="_Fill" localSheetId="10" hidden="1">#REF!</definedName>
    <definedName name="_fy97" localSheetId="10" hidden="1">{#N/A,#N/A,FALSE,"FY97";#N/A,#N/A,FALSE,"FY98";#N/A,#N/A,FALSE,"FY99";#N/A,#N/A,FALSE,"FY00";#N/A,#N/A,FALSE,"FY01"}</definedName>
    <definedName name="_hd1" localSheetId="10" hidden="1">{#N/A,#N/A,FALSE,"Calc";#N/A,#N/A,FALSE,"Sensitivity";#N/A,#N/A,FALSE,"LT Earn.Dil.";#N/A,#N/A,FALSE,"Dil. AVP"}</definedName>
    <definedName name="_hd2" localSheetId="10" hidden="1">{#N/A,#N/A,FALSE,"Calc";#N/A,#N/A,FALSE,"Sensitivity";#N/A,#N/A,FALSE,"LT Earn.Dil.";#N/A,#N/A,FALSE,"Dil. AVP"}</definedName>
    <definedName name="_I2" localSheetId="10" hidden="1">{"PVGraph2",#N/A,FALSE,"PV Data"}</definedName>
    <definedName name="_I3" localSheetId="10" hidden="1">{"PVGraph2",#N/A,FALSE,"PV Data"}</definedName>
    <definedName name="_isg2" localSheetId="10" hidden="1">{#N/A,#N/A,FALSE,"REPORT"}</definedName>
    <definedName name="_Jun02" localSheetId="10" hidden="1">{"Statement of Income",#N/A,TRUE,"Mar99";"Balance Sheet",#N/A,TRUE,"Mar99"}</definedName>
    <definedName name="_Key2" localSheetId="10" hidden="1">#REF!</definedName>
    <definedName name="_Mar03" localSheetId="10" hidden="1">{"Statement of Income",#N/A,TRUE,"Mar99";"Balance Sheet",#N/A,TRUE,"Mar99"}</definedName>
    <definedName name="_Mar04" localSheetId="10" hidden="1">{"Statement of Income",#N/A,TRUE,"Mar99";"Balance Sheet",#N/A,TRUE,"Mar99"}</definedName>
    <definedName name="_mfg2" localSheetId="10" hidden="1">{"PAGE 1",#N/A,FALSE,"WEST_OT"}</definedName>
    <definedName name="_mfg3" localSheetId="10" hidden="1">{"PAGE 1",#N/A,FALSE,"WEST_OT"}</definedName>
    <definedName name="_mfg4" localSheetId="10" hidden="1">{"PAGE 1",#N/A,FALSE,"WEST_OT"}</definedName>
    <definedName name="_mfg5" localSheetId="10" hidden="1">{"PAGE 1",#N/A,FALSE,"WEST_OT"}</definedName>
    <definedName name="_new1" localSheetId="10" hidden="1">{#N/A,#N/A,FALSE,"Pharm";#N/A,#N/A,FALSE,"WWCM"}</definedName>
    <definedName name="_new22" localSheetId="10" hidden="1">{#N/A,#N/A,FALSE,"Income";#N/A,#N/A,FALSE,"Cost of Goods Sold";#N/A,#N/A,FALSE,"Other Costs";#N/A,#N/A,FALSE,"Other Income";#N/A,#N/A,FALSE,"Taxes";#N/A,#N/A,FALSE,"Other Deductions";#N/A,#N/A,FALSE,"Compensation of Officers"}</definedName>
    <definedName name="_nt97" localSheetId="10">#REF!</definedName>
    <definedName name="_o1" localSheetId="10" hidden="1">{#N/A,#N/A,FALSE,"SUMMARY";#N/A,#N/A,FALSE,"mcsh";#N/A,#N/A,FALSE,"vol&amp;rev";#N/A,#N/A,FALSE,"wkgcap";#N/A,#N/A,FALSE,"DEPR&amp;DT";#N/A,#N/A,FALSE,"ASSETS";#N/A,#N/A,FALSE,"NI&amp;OTH&amp;DIV";#N/A,#N/A,FALSE,"CASHFLOW";#N/A,#N/A,FALSE,"CAPEMPL";#N/A,#N/A,FALSE,"ROCE"}</definedName>
    <definedName name="_OCT01" localSheetId="10" hidden="1">{"Statement of Income",#N/A,TRUE,"Mar99";"Balance Sheet",#N/A,TRUE,"Mar99"}</definedName>
    <definedName name="_OCT03" localSheetId="10" hidden="1">{"Statement of Income",#N/A,TRUE,"Mar99";"Balance Sheet",#N/A,TRUE,"Mar99"}</definedName>
    <definedName name="_OK2" localSheetId="10" hidden="1">{#N/A,#N/A,FALSE,"Cover";#N/A,#N/A,FALSE,"LUMI";#N/A,#N/A,FALSE,"COMD";#N/A,#N/A,FALSE,"Valuation";#N/A,#N/A,FALSE,"Assumptions";#N/A,#N/A,FALSE,"Pooling";#N/A,#N/A,FALSE,"BalanceSheet"}</definedName>
    <definedName name="_old2" localSheetId="10" hidden="1">{#N/A,#N/A,FALSE,"Income";#N/A,#N/A,FALSE,"Cost of Goods Sold";#N/A,#N/A,FALSE,"Other Costs";#N/A,#N/A,FALSE,"Other Income";#N/A,#N/A,FALSE,"Taxes";#N/A,#N/A,FALSE,"Other Deductions";#N/A,#N/A,FALSE,"Compensation of Officers"}</definedName>
    <definedName name="_p1" localSheetId="10" hidden="1">{"SUM",#N/A,FALSE,"Details (2)"}</definedName>
    <definedName name="_Parse_In" localSheetId="10" hidden="1">#REF!</definedName>
    <definedName name="_Parse_Out" localSheetId="10" hidden="1">#REF!</definedName>
    <definedName name="_PL2" localSheetId="1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4" localSheetId="10" hidden="1">{#N/A,#N/A,FALSE,"Report Data";#N/A,#N/A,FALSE,"COMP POOL";#N/A,#N/A,FALSE,"COMP POOL NB95";#N/A,#N/A,FALSE,"COMP POOL NB94"}</definedName>
    <definedName name="_PL5" localSheetId="1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p2" localSheetId="10" hidden="1">{"Summary",#N/A,FALSE,"Details (2)"}</definedName>
    <definedName name="_ppp1" localSheetId="10" hidden="1">{"SUM",#N/A,FALSE,"Details (2)"}</definedName>
    <definedName name="_q2" localSheetId="10" hidden="1">{"Summary",#N/A,FALSE,"Details (2)"}</definedName>
    <definedName name="_q4" localSheetId="10" hidden="1">{"Summary",#N/A,FALSE,"Details (2)"}</definedName>
    <definedName name="_q5" localSheetId="10" hidden="1">{"SUM",#N/A,FALSE,"Details (2)"}</definedName>
    <definedName name="_r" localSheetId="10" hidden="1">{#N/A,#N/A,FALSE,"Pharm";#N/A,#N/A,FALSE,"WWCM"}</definedName>
    <definedName name="_Regression_Out" localSheetId="10" hidden="1">#REF!</definedName>
    <definedName name="_Regression_X" localSheetId="10" hidden="1">#REF!</definedName>
    <definedName name="_Regression_Y" localSheetId="10" hidden="1">#REF!</definedName>
    <definedName name="_SEP01" localSheetId="10" hidden="1">{"Statement of Income",#N/A,TRUE,"Mar99";"Balance Sheet",#N/A,TRUE,"Mar99"}</definedName>
    <definedName name="_Sep03" localSheetId="10" hidden="1">{"Statement of Income",#N/A,TRUE,"Mar99";"Balance Sheet",#N/A,TRUE,"Mar99"}</definedName>
    <definedName name="_sop3" localSheetId="10" hidden="1">{"data",#N/A,FALSE,"client (3)";"margins",#N/A,FALSE,"client (3)";"multiple",#N/A,FALSE,"client (3)"}</definedName>
    <definedName name="_t2" localSheetId="10" hidden="1">{"'Sheet1'!$A$5:$G$42"}</definedName>
    <definedName name="_t9" localSheetId="1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able2_Out" localSheetId="10" hidden="1">#REF!</definedName>
    <definedName name="_tm1" localSheetId="10" hidden="1">{#N/A,#N/A,FALSE,"Pharm";#N/A,#N/A,FALSE,"WWCM"}</definedName>
    <definedName name="_TMAutoChart1Names" localSheetId="10" hidden="1">{"Timeline","Chart 6","Timeline Chart 6"}</definedName>
    <definedName name="_TMAutoChart1Refs" localSheetId="10" hidden="1">{"","","'Timeline'!$F$16","'Timeline'!$F$25","","","","","",""}</definedName>
    <definedName name="_TMAutoChart2Names" localSheetId="10" hidden="1">{"Timeline","Chart 6","Timeline Chart 6"}</definedName>
    <definedName name="_TMAutoChart2Refs" localSheetId="10" hidden="1">{"","","'Timeline'!$F$16","'Timeline'!$H$25","","","","","",""}</definedName>
    <definedName name="_v2" localSheetId="10" hidden="1">{"arpm1995",#N/A,FALSE,"Summary 95-96";"bus_long_distance",#N/A,FALSE,"Summary 95-96";"mins_per_day",#N/A,FALSE,"Summary 95-96";"minutes1995",#N/A,FALSE,"Summary 95-96";"rev_per_day",#N/A,FALSE,"Summary 95-96";"view1995",#N/A,FALSE,"Summary 95-96"}</definedName>
    <definedName name="_ver1" localSheetId="1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w1" localSheetId="10" hidden="1">{"PVGraph2",#N/A,FALSE,"PV Data"}</definedName>
    <definedName name="_w2" localSheetId="10" hidden="1">{"PVGraph2",#N/A,FALSE,"PV Data"}</definedName>
    <definedName name="_w3" localSheetId="10" hidden="1">{"PVGraph2",#N/A,FALSE,"PV Data"}</definedName>
    <definedName name="_wrn1" localSheetId="10" hidden="1">{#N/A,#N/A,FALSE,"DCF";#N/A,#N/A,FALSE,"WACC";#N/A,#N/A,FALSE,"Sales_EBIT";#N/A,#N/A,FALSE,"Capex_Depreciation";#N/A,#N/A,FALSE,"WC";#N/A,#N/A,FALSE,"Interest";#N/A,#N/A,FALSE,"Assumptions"}</definedName>
    <definedName name="_wrn2" localSheetId="10" hidden="1">{#N/A,#N/A,FALSE,"ASSUMPTIONS";#N/A,#N/A,FALSE,"Valuation Summary";"page1",#N/A,FALSE,"PRESENTATION";"page2",#N/A,FALSE,"PRESENTATION";#N/A,#N/A,FALSE,"ORIGINAL_ROLLBACK"}</definedName>
    <definedName name="_wrn3" localSheetId="10" hidden="1">{#N/A,#N/A,FALSE,"ASSUMPTIONS";#N/A,#N/A,FALSE,"Valuation Summary";"page1",#N/A,FALSE,"PRESENTATION";"page2",#N/A,FALSE,"PRESENTATION";#N/A,#N/A,FALSE,"ORIGINAL_ROLLBACK"}</definedName>
    <definedName name="_wrn9" localSheetId="10" hidden="1">{"FCB_ALL",#N/A,FALSE,"FCB"}</definedName>
    <definedName name="_ww2" localSheetId="10" hidden="1">{#N/A,#N/A,FALSE,"Admin";#N/A,#N/A,FALSE,"Other"}</definedName>
    <definedName name="_X1" localSheetId="10" hidden="1">{"Summary",#N/A,FALSE,"Details (2)"}</definedName>
    <definedName name="_X2" localSheetId="10" hidden="1">{#N/A,#N/A,FALSE,"Other";#N/A,#N/A,FALSE,"Ace";#N/A,#N/A,FALSE,"Derm"}</definedName>
    <definedName name="_xlcn.WorksheetConnection_CapexA19F431" localSheetId="10" hidden="1">#REF!</definedName>
    <definedName name="_y2" localSheetId="10" hidden="1">{"PVGraph2",#N/A,FALSE,"PV Data"}</definedName>
    <definedName name="_Zcomps1" localSheetId="10" hidden="1">{0,0,0,0,1,-4105,42.5196850393701,42.5196850393701,42.5196850393701,42.5196850393701,2,TRUE,TRUE,FALSE,FALSE,FALSE,#N/A,1,85,1,1,"","","","&amp;""Kennerly,Roman Bold""&amp;14L&amp;12EHMAN &amp;14 B&amp;12ROTHERS","","",FALSE}</definedName>
    <definedName name="_Zcomps2" localSheetId="10" hidden="1">{0,0,0,0,1,-4105,28.3464566929134,28.3464566929134,28.346456664,28.3464566929134,2,TRUE,TRUE,FALSE,FALSE,FALSE,#N/A,1,85,1,2,"","","","&amp;""Kennerly,Roman Bold""&amp;14L&amp;12EHMAN &amp;14 B&amp;12ROTHERS","","",FALSE}</definedName>
    <definedName name="aa" localSheetId="10" hidden="1">{#N/A,#N/A,FALSE,"Pharm";#N/A,#N/A,FALSE,"WWCM"}</definedName>
    <definedName name="aa.2" localSheetId="10" hidden="1">{#N/A,#N/A,FALSE,"Cashflow Analysis";#N/A,#N/A,FALSE,"Sensitivity Analysis";#N/A,#N/A,FALSE,"PV";#N/A,#N/A,FALSE,"Pro Forma"}</definedName>
    <definedName name="aaa" localSheetId="10" hidden="1">{"BS",#N/A,FALSE,"USA"}</definedName>
    <definedName name="aaaa" localSheetId="10" hidden="1">{#N/A,#N/A,FALSE,"REPORT"}</definedName>
    <definedName name="aaaaa" localSheetId="10" hidden="1">{#N/A,#N/A,TRUE,"BUD VS ACT AUST 96";#N/A,#N/A,TRUE,"96 COMP P&amp;L-AUST";#N/A,#N/A,TRUE,"COMP BS-AUSTRALIA";#N/A,#N/A,TRUE,"B/S - AUSTR."}</definedName>
    <definedName name="aaaaaa" localSheetId="10" hidden="1">{#N/A,#N/A,FALSE,"REPORT"}</definedName>
    <definedName name="aaaaaaa" localSheetId="10" hidden="1">{"barlup",#N/A,FALSE,"evabnk97";"gillespey",#N/A,FALSE,"evabnk97";"koon",#N/A,FALSE,"evabnk97";"schreur",#N/A,FALSE,"evabnk97";"stone",#N/A,FALSE,"evabnk97";"wichmann",#N/A,FALSE,"evabnk97";"wright",#N/A,FALSE,"evabnk97"}</definedName>
    <definedName name="aaaaaaaaaa" localSheetId="10" hidden="1">{"FCB_ALL",#N/A,FALSE,"FCB";"GREY_ALL",#N/A,FALSE,"GREY"}</definedName>
    <definedName name="aaaaaaaaaaa" localSheetId="10" hidden="1">{#N/A,#N/A,FALSE,"REPORT"}</definedName>
    <definedName name="aaaaaaaaaaaa" localSheetId="10" hidden="1">{#N/A,#N/A,TRUE,"BUD VS ACT AUST 96";#N/A,#N/A,TRUE,"96 COMP P&amp;L-AUST";#N/A,#N/A,TRUE,"COMP BS-AUSTRALIA";#N/A,#N/A,TRUE,"B/S - AUSTR."}</definedName>
    <definedName name="aaaaaaaaaaaaaaa" localSheetId="10" hidden="1">{#N/A,#N/A,FALSE,"Pharm";#N/A,#N/A,FALSE,"WWCM"}</definedName>
    <definedName name="aaasb" localSheetId="10" hidden="1">{#N/A,#N/A,FALSE,"Pharm";#N/A,#N/A,FALSE,"WWCM"}</definedName>
    <definedName name="aab" localSheetId="10" hidden="1">{#N/A,#N/A,FALSE,"Pharm";#N/A,#N/A,FALSE,"WWCM"}</definedName>
    <definedName name="aaddd" localSheetId="10" hidden="1">{#N/A,#N/A,FALSE,"REPORT"}</definedName>
    <definedName name="aas" localSheetId="10" hidden="1">{#N/A,#N/A,FALSE,"1";#N/A,#N/A,FALSE,"2";#N/A,#N/A,FALSE,"16 - 17";#N/A,#N/A,FALSE,"18 - 19";#N/A,#N/A,FALSE,"26";#N/A,#N/A,FALSE,"27";#N/A,#N/A,FALSE,"28"}</definedName>
    <definedName name="aassas" localSheetId="10" hidden="1">{"PR1","pr1",TRUE,"Sch PR-1"}</definedName>
    <definedName name="ABC" localSheetId="10" hidden="1">{#N/A,#N/A,TRUE,"BUD VS ACT AUST 96";#N/A,#N/A,TRUE,"96 COMP P&amp;L-AUST";#N/A,#N/A,TRUE,"COMP BS-AUSTRALIA";#N/A,#N/A,TRUE,"B/S - AUSTR."}</definedName>
    <definedName name="abc.abc" localSheetId="10" hidden="1">{"cash flow - FY02",#N/A,FALSE,"P &amp; L";"cash flow - FY03",#N/A,FALSE,"P &amp; L"}</definedName>
    <definedName name="abc.abc2" localSheetId="10" hidden="1">{"cash flow - FY02",#N/A,FALSE,"P &amp; L";"cash flow - FY03",#N/A,FALSE,"P &amp; L"}</definedName>
    <definedName name="Abrisa" localSheetId="10" hidden="1">{"FY04_Assets",#N/A,FALSE,"Fin Stmt Budget";"FY04_Liabilities",#N/A,FALSE,"Fin Stmt Budget";"FY04_Inc_Stmt",#N/A,FALSE,"Fin Stmt Budget";"FY04_SOCF",#N/A,FALSE,"Fin Stmt Budget"}</definedName>
    <definedName name="absfghbtg" localSheetId="10" hidden="1">#REF!,#REF!,#REF!,#REF!,#REF!,#REF!,#REF!,#REF!,#REF!,#REF!,#REF!,#REF!,#REF!,#REF!,#REF!,#REF!,#REF!,#REF!,#REF!,#REF!,#REF!,#REF!,#REF!,#REF!,#REF!,#REF!,#REF!,#REF!,#REF!,#REF!,#REF!,#REF!,#REF!,#REF!,#REF!,#REF!,#REF!,#REF!,#REF!,#REF!,#REF!,#REF!,#REF!,#REF!,#REF!,#REF!,#REF!,#REF!,#REF!,#REF!,#REF!,#REF!,#REF!,#REF!</definedName>
    <definedName name="acc" localSheetId="10" hidden="1">{"Accretion",#N/A,FALSE,"Assum"}</definedName>
    <definedName name="Accessforecast" localSheetId="10" hidden="1">{"SUM",#N/A,FALSE,"Details (2)"}</definedName>
    <definedName name="adasa" localSheetId="10" hidden="1">{"'Sheet1'!$A$1:$J$121"}</definedName>
    <definedName name="adasdasdasdasd" localSheetId="10" hidden="1">{"PR1","pr1",TRUE,"Sch PR-1"}</definedName>
    <definedName name="ADBeg" localSheetId="10">#REF!</definedName>
    <definedName name="adcd" localSheetId="10" hidden="1">{#N/A,#N/A,FALSE,"Sheet8";#N/A,#N/A,FALSE,"Sheet7"}</definedName>
    <definedName name="ADCurr" localSheetId="10">#REF!</definedName>
    <definedName name="adf"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 localSheetId="10" hidden="1">{#N/A,#N/A,FALSE,"Aging Summary";#N/A,#N/A,FALSE,"Ratio Analysis";#N/A,#N/A,FALSE,"Test 120 Day Accts";#N/A,#N/A,FALSE,"Tickmarks"}</definedName>
    <definedName name="adfadf" localSheetId="10" hidden="1">{"'Sheet1'!$A$1:$J$121"}</definedName>
    <definedName name="adfadfasfdadf"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gasdysty" localSheetId="10" hidden="1">{#N/A,#N/A,FALSE,"REPORT"}</definedName>
    <definedName name="adfsfjfjky" localSheetId="10" hidden="1">{#N/A,#N/A,FALSE,"REPORT"}</definedName>
    <definedName name="ADFWAE" localSheetId="10" hidden="1">{"summary1",#N/A,TRUE,"Comps";"summary2",#N/A,TRUE,"Comps";"summary3",#N/A,TRUE,"Comps"}</definedName>
    <definedName name="adgad"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had" localSheetId="10" hidden="1">{"'Sheet1'!$A$1:$J$121"}</definedName>
    <definedName name="ads" localSheetId="10" hidden="1">{"inputs raw data",#N/A,TRUE,"INPUT"}</definedName>
    <definedName name="adsew" localSheetId="10" hidden="1">{"FCB_ALL",#N/A,FALSE,"FCB"}</definedName>
    <definedName name="ADSFA" localSheetId="10" hidden="1">{"inputs raw data",#N/A,TRUE,"INPUT"}</definedName>
    <definedName name="adsfaw" localSheetId="10" hidden="1">{"FCB_ALL",#N/A,FALSE,"FCB";"GREY_ALL",#N/A,FALSE,"GREY"}</definedName>
    <definedName name="adsfca" localSheetId="10" hidden="1">{"FCB_ALL",#N/A,FALSE,"FCB";"GREY_ALL",#N/A,FALSE,"GREY"}</definedName>
    <definedName name="adsfeklj" localSheetId="10" hidden="1">{"FCB_ALL",#N/A,FALSE,"FCB"}</definedName>
    <definedName name="adsfkl" localSheetId="10" hidden="1">{"FCB_ALL",#N/A,FALSE,"FCB";"GREY_ALL",#N/A,FALSE,"GREY"}</definedName>
    <definedName name="adsga" localSheetId="10" hidden="1">{"FCB_ALL",#N/A,FALSE,"FCB"}</definedName>
    <definedName name="adsgawe" localSheetId="10" hidden="1">{"FCB_ALL",#N/A,FALSE,"FCB"}</definedName>
    <definedName name="adwdlkj" localSheetId="10" hidden="1">{"FCB_ALL",#N/A,FALSE,"FCB"}</definedName>
    <definedName name="ae" localSheetId="10" hidden="1">{"'Edit'!$A$1:$V$2277"}</definedName>
    <definedName name="AEWEW" localSheetId="10" hidden="1">{"inputs raw data",#N/A,TRUE,"INPUT"}</definedName>
    <definedName name="aewfwe" localSheetId="10" hidden="1">{#N/A,#N/A,FALSE,"Brad_DCFM";#N/A,#N/A,FALSE,"Nick_DCFM";#N/A,#N/A,FALSE,"Mobile_DCFM"}</definedName>
    <definedName name="afd" localSheetId="10" hidden="1">{#N/A,#N/A,FALSE,"VALSUM";#N/A,#N/A,FALSE,"MKT.COMPS";#N/A,#N/A,FALSE,"ACQ.MULT.";#N/A,#N/A,FALSE,"DCF - LBO"}</definedName>
    <definedName name="AFDADSFDAS" localSheetId="10" hidden="1">{#N/A,#N/A,FALSE,"REPORT"}</definedName>
    <definedName name="afge" localSheetId="10" hidden="1">{"FCB_ALL",#N/A,FALSE,"FCB";"GREY_ALL",#N/A,FALSE,"GREY"}</definedName>
    <definedName name="africa" localSheetId="10" hidden="1">{#N/A,#N/A,FALSE,"CNS";#N/A,#N/A,FALSE,"Serz";#N/A,#N/A,FALSE,"Ace"}</definedName>
    <definedName name="agafdhsdh" localSheetId="10" hidden="1">{#N/A,#N/A,FALSE,"REPORT"}</definedName>
    <definedName name="age"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ne" localSheetId="10" hidden="1">{"FCB_ALL",#N/A,FALSE,"FCB";"GREY_ALL",#N/A,FALSE,"GREY"}</definedName>
    <definedName name="agng" localSheetId="10" hidden="1">{#N/A,#N/A,FALSE,"Aging Summary";#N/A,#N/A,FALSE,"Ratio Analysis";#N/A,#N/A,FALSE,"Test 120 Day Accts";#N/A,#N/A,FALSE,"Tickmarks"}</definedName>
    <definedName name="agsgaghgfj" localSheetId="10" hidden="1">{#N/A,#N/A,FALSE,"Pharm";#N/A,#N/A,FALSE,"WWCM"}</definedName>
    <definedName name="ahge" localSheetId="10" hidden="1">{"FCB_ALL",#N/A,FALSE,"FCB";"GREY_ALL",#N/A,FALSE,"GREY"}</definedName>
    <definedName name="AJHFkjDGHF" localSheetId="10" hidden="1">{"Annual_Income",#N/A,FALSE,"Report Page";"Balance_Cash_Flow",#N/A,FALSE,"Report Page";"Quarterly_Income",#N/A,FALSE,"Report Page"}</definedName>
    <definedName name="alb" localSheetId="10" hidden="1">{#N/A,#N/A,FALSE,"Summary";#N/A,#N/A,FALSE,"Edit";#N/A,#N/A,FALSE,"MedProf";#N/A,#N/A,FALSE,"Proj Mgt";#N/A,#N/A,FALSE,"Creat Svc";#N/A,#N/A,FALSE,"Meet Svc";#N/A,#N/A,FALSE,"Non-OCC";#N/A,#N/A,FALSE,"Client Svc";#N/A,#N/A,FALSE,"Bus Dev";#N/A,#N/A,FALSE,"Indirect"}</definedName>
    <definedName name="alex" localSheetId="10" hidden="1">{#N/A,#N/A,FALSE,"REPORT"}</definedName>
    <definedName name="alexan" localSheetId="10" hidden="1">{#N/A,#N/A,FALSE,"REPORT"}</definedName>
    <definedName name="alfredo" localSheetId="10" hidden="1">{#N/A,#N/A,FALSE,"CNS_ADJ";"Balance Consolidado",#N/A,FALSE,"BCEC_CNS";#N/A,#N/A,FALSE,"USGAAP_ADJ"}</definedName>
    <definedName name="allchanges1" localSheetId="10">#REF!</definedName>
    <definedName name="amt" localSheetId="10" hidden="1">{#N/A,#N/A,FALSE,"REPORT"}</definedName>
    <definedName name="ana" localSheetId="10" hidden="1">{#N/A,#N/A,FALSE,"Sheet1";#N/A,#N/A,FALSE,"Sheet2";#N/A,#N/A,FALSE,"Sheet3";#N/A,#N/A,FALSE,"Sheet4";#N/A,#N/A,FALSE,"Sheet5";#N/A,#N/A,FALSE,"Sheet6"}</definedName>
    <definedName name="andy" localSheetId="10" hidden="1">{#N/A,#N/A,FALSE,"REPORT"}</definedName>
    <definedName name="annualforc" localSheetId="10" hidden="1">{#N/A,#N/A,FALSE,"FAB VENDORS";"BUD SUM",#N/A,FALSE,"BUD SUM WO TEX"}</definedName>
    <definedName name="anything" localSheetId="10" hidden="1">{#N/A,#N/A,FALSE,"Output";#N/A,#N/A,FALSE,"Cover Sheet";#N/A,#N/A,FALSE,"Current Mkt. Projections"}</definedName>
    <definedName name="Apr00" localSheetId="10" hidden="1">{"Statement of Income",#N/A,TRUE,"Mar99";"Balance Sheet",#N/A,TRUE,"Mar99"}</definedName>
    <definedName name="Apr00TB" localSheetId="10" hidden="1">{"Statement of Income",#N/A,TRUE,"Mar99";"Balance Sheet",#N/A,TRUE,"Mar99"}</definedName>
    <definedName name="aq" localSheetId="10" hidden="1">{"'Edit'!$A$1:$V$2277"}</definedName>
    <definedName name="ardoutput" localSheetId="1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arew" localSheetId="10" hidden="1">{"cap_structure",#N/A,FALSE,"Graph-Mkt Cap";"price",#N/A,FALSE,"Graph-Price";"ebit",#N/A,FALSE,"Graph-EBITDA";"ebitda",#N/A,FALSE,"Graph-EBITDA"}</definedName>
    <definedName name="arg" localSheetId="10" hidden="1">{"inputs raw data",#N/A,TRUE,"INPUT"}</definedName>
    <definedName name="AS" localSheetId="1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AS2TickmarkLS" localSheetId="10" hidden="1">#REF!</definedName>
    <definedName name="asa" localSheetId="10" hidden="1">{"FCB_ALL",#N/A,FALSE,"FCB"}</definedName>
    <definedName name="asas" localSheetId="10" hidden="1">{#N/A,#N/A,FALSE,"Pharm";#N/A,#N/A,FALSE,"WWCM"}</definedName>
    <definedName name="asasasasas" localSheetId="10" hidden="1">{"PR1","pr1",TRUE,"Sch PR-1"}</definedName>
    <definedName name="asd" localSheetId="10" hidden="1">{#N/A,#N/A,FALSE,"Pharm";#N/A,#N/A,FALSE,"WWCM"}</definedName>
    <definedName name="asdaw" localSheetId="10" hidden="1">{"FCB_ALL",#N/A,FALSE,"FCB"}</definedName>
    <definedName name="asdfadg"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sf" localSheetId="10" hidden="1">{"'Sheet1'!$A$1:$J$121"}</definedName>
    <definedName name="asdfag" localSheetId="10" hidden="1">{"DTCONSOASSUMPTIONS1",#N/A,FALSE,"CONSO";"DTCONSOASSUMPTIONS2",#N/A,FALSE,"CONSO";"DTCONSOASSUMPTIONS3",#N/A,FALSE,"CONSO";"DTCONSOINCOME",#N/A,FALSE,"CONSO";"DTCOOSAEBITDA",#N/A,FALSE,"COOSA";"DTCONSOCASHFLOW",#N/A,FALSE,"CONSO";"DTCONSOBALANCESHEET",#N/A,FALSE,"CONSO";"DTCONSOCAPEX1",#N/A,FALSE,"CONSO";"DTCONSOCAPEX2",#N/A,FALSE,"CONSO";"DTCONSOCAPEX3",#N/A,FALSE,"CONSO";"DTDONNAASSUMPTIONS1",#N/A,FALSE,"PAPER DONNACONA";"DTDONNAASSUMPTIONS2",#N/A,FALSE,"PAPER DONNACONA";"DTDONNAASSUMPTIONS3",#N/A,FALSE,"PAPER DONNACONA";"DTDONNAINCOME",#N/A,FALSE,"PAPER DONNACONA";"DTDONNACASHFLOW",#N/A,FALSE,"PAPER DONNACONA";"DTDONNABALANCESHEET",#N/A,FALSE,"PAPER DONNACONA";"DTDONNACAPEX",#N/A,FALSE,"PAPER DONNACONA";"DTDOLBEAUASSUMPTIONS1",#N/A,FALSE,"PAPER DOLBEAU";"DTDOLBEAUASSUMPTIONS2",#N/A,FALSE,"PAPER DOLBEAU";"DTDOLBEAUASSUMPTIONS3",#N/A,FALSE,"PAPER DOLBEAU";"DTDOLBEAUINCOME",#N/A,FALSE,"PAPER DOLBEAU";"DTDOLBEAUCASHFLOW",#N/A,FALSE,"PAPER DOLBEAU";"DTDOLBEAUBALANCESHEET",#N/A,FALSE,"PAPER DOLBEAU";"DTDOLBEAUCAPEX",#N/A,FALSE,"PAPER DOLBEAU";"DTLUMBERASSUMPTIONS1",#N/A,FALSE,"LUMBER";"DTLUMBERASSUMPTIONS2",#N/A,FALSE,"LUMBER";"DTLUMBERASSUMPTIONS3",#N/A,FALSE,"LUMBER";"DTLUMBERINCOME",#N/A,FALSE,"LUMBER";"DTLUMBERCASHFLOW",#N/A,FALSE,"LUMBER";"DTLUMBERBALANCESHEET",#N/A,FALSE,"LUMBER";"DTLUMBERCAPEX",#N/A,FALSE,"LUMBER";"DTCOOSAASSUMPTIONS1",#N/A,FALSE,"COOSA";"DTCOOSAASSUMPTION2",#N/A,FALSE,"COOSA";"DTCOOSAASSUMPTIONS3",#N/A,FALSE,"COOSA";"DTCOOSAINCOME",#N/A,FALSE,"COOSA";"DTCOOSACASHFLOW",#N/A,FALSE,"COOSA";"DTCOOSABALANCESHEET",#N/A,FALSE,"COOSA";"DTCOOSACAPEX",#N/A,FALSE,"COOSA";"DTELIMINATIONINCOME",#N/A,FALSE,"ELIMINATION";"DTELIMINATIONCASHFLOW",#N/A,FALSE,"ELIMINATION";"DTELIMINATIONBALANCESHEET",#N/A,FALSE,"ELIMINATION";"DTHEADOFFICEASSUMPTIONS",#N/A,FALSE,"H.OFFICE";"DTHEADOFFICEINCOME",#N/A,FALSE,"H.OFFICE";"DTHEADOFFICECASHFLOW",#N/A,FALSE,"H.OFFICE";"DTHEADOFFICEBALANCESHEET",#N/A,FALSE,"H.OFFICE";"DTHEADOFFICECAPEX",#N/A,FALSE,"H.OFFICE";"DTSEGMENTED",#N/A,FALSE,"SEGMENTED INFO";"DTTAX1",#N/A,FALSE,"impôt";"DTTAX2",#N/A,FALSE,"impôt"}</definedName>
    <definedName name="asdfasdfas" localSheetId="10" hidden="1">{#N/A,#N/A,FALSE,"Sheet1";#N/A,#N/A,FALSE,"Sheet2";#N/A,#N/A,FALSE,"Sheet3";#N/A,#N/A,FALSE,"Sheet4";#N/A,#N/A,FALSE,"Sheet5";#N/A,#N/A,FALSE,"Sheet6"}</definedName>
    <definedName name="asdfe" localSheetId="10" hidden="1">{"FCB_ALL",#N/A,FALSE,"FCB"}</definedName>
    <definedName name="asdfg" localSheetId="10" hidden="1">{#N/A,#N/A,FALSE,"Pharm";#N/A,#N/A,FALSE,"WWCM"}</definedName>
    <definedName name="asdfn" localSheetId="10" hidden="1">{"FCB_ALL",#N/A,FALSE,"FCB";"GREY_ALL",#N/A,FALSE,"GREY"}</definedName>
    <definedName name="asdfSDF" localSheetId="10" hidden="1">{#N/A,#N/A,FALSE,"Sheet1";#N/A,#N/A,FALSE,"Sheet2";#N/A,#N/A,FALSE,"Sheet3";#N/A,#N/A,FALSE,"Sheet4";#N/A,#N/A,FALSE,"Sheet5";#N/A,#N/A,FALSE,"Sheet6"}</definedName>
    <definedName name="asdgaew" localSheetId="10" hidden="1">{"FCB_ALL",#N/A,FALSE,"FCB"}</definedName>
    <definedName name="asdgahdfhth" localSheetId="10" hidden="1">{#N/A,#N/A,FALSE,"REPORT"}</definedName>
    <definedName name="asdgayery" localSheetId="10" hidden="1">{#N/A,#N/A,FALSE,"Pharm";#N/A,#N/A,FALSE,"WWCM"}</definedName>
    <definedName name="asdgfdytyet" localSheetId="10" hidden="1">{#N/A,#N/A,FALSE,"REPORT"}</definedName>
    <definedName name="asdgtryukuio" localSheetId="10" hidden="1">{#N/A,#N/A,FALSE,"REPORT"}</definedName>
    <definedName name="asdjgkl" localSheetId="10" hidden="1">{#N/A,#N/A,FALSE,"Pharm";#N/A,#N/A,FALSE,"WWCM"}</definedName>
    <definedName name="asdr5" localSheetId="10" hidden="1">{"FCB_ALL",#N/A,FALSE,"FCB";"GREY_ALL",#N/A,FALSE,"GREY"}</definedName>
    <definedName name="asfasdf" localSheetId="10" hidden="1">#REF!</definedName>
    <definedName name="asfd" localSheetId="10" hidden="1">{"FCB_ALL",#N/A,FALSE,"FCB"}</definedName>
    <definedName name="asffghujyki" localSheetId="10" hidden="1">{#N/A,#N/A,FALSE,"Pharm";#N/A,#N/A,FALSE,"WWCM"}</definedName>
    <definedName name="ASSA" localSheetId="10" hidden="1">{#N/A,#N/A,FALSE,"1";#N/A,#N/A,FALSE,"2";#N/A,#N/A,FALSE,"16 - 17";#N/A,#N/A,FALSE,"18 - 19";#N/A,#N/A,FALSE,"26";#N/A,#N/A,FALSE,"27";#N/A,#N/A,FALSE,"28"}</definedName>
    <definedName name="assasdafsda" localSheetId="10" hidden="1">{"PR1","pr1",TRUE,"Sch PR-1"}</definedName>
    <definedName name="ASSIGNED_STATES" localSheetId="10">#REF!</definedName>
    <definedName name="ASSS" localSheetId="10" hidden="1">{"FCB_ALL",#N/A,FALSE,"FCB"}</definedName>
    <definedName name="assssss" localSheetId="10" hidden="1">{"FCB_ALL",#N/A,FALSE,"FCB"}</definedName>
    <definedName name="assum" localSheetId="10" hidden="1">{"'Sheet1'!$A$5:$G$42"}</definedName>
    <definedName name="att" localSheetId="10" hidden="1">{#N/A,#N/A,FALSE,"COVER PAGE";#N/A,#N/A,FALSE,"Page 2";#N/A,#N/A,FALSE,"Page 2";#N/A,#N/A,FALSE,"Page 4";#N/A,#N/A,FALSE,"Page5";#N/A,#N/A,FALSE,"Page 6";#N/A,#N/A,FALSE,"Page 7";#N/A,#N/A,FALSE,"Page 8";#N/A,#N/A,FALSE,"Page 10";#N/A,#N/A,FALSE,"Long-Term OCF Mult.";#N/A,#N/A,FALSE,"PCS Comp";#N/A,#N/A,FALSE,"OCS-CAPEX";#N/A,#N/A,FALSE,"Blank"}</definedName>
    <definedName name="aust" localSheetId="10" hidden="1">{#N/A,#N/A,TRUE,"BUD VS ACT AUST 96";#N/A,#N/A,TRUE,"96 COMP P&amp;L-AUST";#N/A,#N/A,TRUE,"COMP BS-AUSTRALIA";#N/A,#N/A,TRUE,"B/S - AUSTR."}</definedName>
    <definedName name="ave"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we" localSheetId="10" hidden="1">{#N/A,#N/A,FALSE,"COVER";#N/A,#N/A,FALSE,"Index";#N/A,#N/A,FALSE,"Non-Earning";#N/A,#N/A,FALSE,"Commercial";#N/A,#N/A,FALSE,"Detailed"}</definedName>
    <definedName name="awea" localSheetId="10" hidden="1">{"FCB_ALL",#N/A,FALSE,"FCB";"GREY_ALL",#N/A,FALSE,"GREY"}</definedName>
    <definedName name="AX" localSheetId="10" hidden="1">{#N/A,#N/A,FALSE,"Pharm";#N/A,#N/A,FALSE,"WWCM"}</definedName>
    <definedName name="ayman" localSheetId="10" hidden="1">{#N/A,#N/A,FALSE,"1";#N/A,#N/A,FALSE,"2";#N/A,#N/A,FALSE,"16 - 17";#N/A,#N/A,FALSE,"18 - 19";#N/A,#N/A,FALSE,"26";#N/A,#N/A,FALSE,"27";#N/A,#N/A,FALSE,"28"}</definedName>
    <definedName name="ayman1" localSheetId="10" hidden="1">{#N/A,#N/A,FALSE,"Pharm";#N/A,#N/A,FALSE,"WWCM"}</definedName>
    <definedName name="ayman2" localSheetId="10" hidden="1">{#N/A,#N/A,FALSE,"Pharm";#N/A,#N/A,FALSE,"WWCM"}</definedName>
    <definedName name="ayman7" localSheetId="10" hidden="1">{#N/A,#N/A,FALSE,"REPORT"}</definedName>
    <definedName name="ayman8" localSheetId="10" hidden="1">{#N/A,#N/A,FALSE,"REPORT"}</definedName>
    <definedName name="az" localSheetId="10" hidden="1">{#N/A,#N/A,FALSE,"Pharm";#N/A,#N/A,FALSE,"WWCM"}</definedName>
    <definedName name="azeazr" localSheetId="10" hidden="1">{#N/A,#N/A,FALSE,"Sales Graph";#N/A,#N/A,FALSE,"BUC Graph";#N/A,#N/A,FALSE,"P&amp;L - YTD"}</definedName>
    <definedName name="azerety" localSheetId="10" hidden="1">{#N/A,#N/A,FALSE,"Pharm";#N/A,#N/A,FALSE,"WWCM"}</definedName>
    <definedName name="b" localSheetId="10" hidden="1">{"barlup",#N/A,FALSE,"evabnk97";"gillespey",#N/A,FALSE,"evabnk97";"koon",#N/A,FALSE,"evabnk97";"schreur",#N/A,FALSE,"evabnk97";"stone",#N/A,FALSE,"evabnk97";"wichmann",#N/A,FALSE,"evabnk97";"wright",#N/A,FALSE,"evabnk97"}</definedName>
    <definedName name="ba" localSheetId="10" hidden="1">{"FCB_ALL",#N/A,FALSE,"FCB";"GREY_ALL",#N/A,FALSE,"GREY"}</definedName>
    <definedName name="Bank" localSheetId="10" hidden="1">{TRUE,TRUE,-1.25,-15.5,456.75,279.75,FALSE,FALSE,TRUE,TRUE,0,1,21,1,127,6,3,4,TRUE,TRUE,3,TRUE,1,TRUE,100,"Swvu.profits.","ACwvu.profits.",1,FALSE,FALSE,0.511811023622047,0.511811023622047,0.511811023622047,0.511811023622047,1,"","",FALSE,FALSE,FALSE,FALSE,1,#N/A,1,1,#DIV/0!,FALSE,"Rwvu.profits.",#N/A,FALSE,FALSE}</definedName>
    <definedName name="barrera" localSheetId="10" hidden="1">{#N/A,#N/A,FALSE,"RESUMEN ECON.";#N/A,#N/A,FALSE,"Costos de R.H.";#N/A,#N/A,FALSE,"COSTO HW";#N/A,#N/A,FALSE,"CUADROS";#N/A,#N/A,FALSE,"SCADA´s";#N/A,#N/A,FALSE,"PRECIOS EQUIPOS"}</definedName>
    <definedName name="bb" localSheetId="10" hidden="1">{#N/A,#N/A,FALSE,"Assessment";#N/A,#N/A,FALSE,"Staffing";#N/A,#N/A,FALSE,"Hires";#N/A,#N/A,FALSE,"Assumptions"}</definedName>
    <definedName name="bbb" localSheetId="10" hidden="1">{#N/A,#N/A,FALSE,"Pharm";#N/A,#N/A,FALSE,"WWCM"}</definedName>
    <definedName name="bbbb" localSheetId="10" hidden="1">{#N/A,#N/A,FALSE,"REPORT"}</definedName>
    <definedName name="bbbbb" localSheetId="10" hidden="1">{#N/A,#N/A,TRUE,"BUD VS ACT AUST 96";#N/A,#N/A,TRUE,"96 COMP P&amp;L-AUST";#N/A,#N/A,TRUE,"COMP BS-AUSTRALIA";#N/A,#N/A,TRUE,"B/S - AUSTR."}</definedName>
    <definedName name="BBBBBB" localSheetId="10" hidden="1">{#N/A,#N/A,FALSE,"REPORT"}</definedName>
    <definedName name="BBBBBBBBB" localSheetId="10" hidden="1">{#N/A,#N/A,FALSE,"REPORT"}</definedName>
    <definedName name="bbbbbbbbbbbbb" localSheetId="10" hidden="1">{#N/A,#N/A,FALSE,"Pharm";#N/A,#N/A,FALSE,"WWCM"}</definedName>
    <definedName name="BD" localSheetId="10" hidden="1">{"EBITDA",#N/A,TRUE,"P&amp;L Net of Disc Ops";"output net of disc ops",#N/A,TRUE,"Revenue";"input",#N/A,TRUE,"Revenue";"output",#N/A,TRUE,"DC";"Input",#N/A,TRUE,"DC";"MTN and MCN",#N/A,TRUE,"Margin";"output detail line items",#N/A,TRUE,"SGA";"personnel by year",#N/A,TRUE,"Payroll";#N/A,#N/A,TRUE,"CapEx"}</definedName>
    <definedName name="Bear" localSheetId="10" hidden="1">{#N/A,#N/A,FALSE,"TS";#N/A,#N/A,FALSE,"Combo";#N/A,#N/A,FALSE,"FAIR";#N/A,#N/A,FALSE,"RBC";#N/A,#N/A,FALSE,"xxxx";#N/A,#N/A,FALSE,"A_D";#N/A,#N/A,FALSE,"WACC";#N/A,#N/A,FALSE,"DCF";#N/A,#N/A,FALSE,"LBO";#N/A,#N/A,FALSE,"AcqMults";#N/A,#N/A,FALSE,"CompMults"}</definedName>
    <definedName name="Bebefits" localSheetId="10" hidden="1">{"summary",#N/A,FALSE,"3 yr average";"comps",#N/A,FALSE,"3 yr average"}</definedName>
    <definedName name="Beg_Bal" localSheetId="10">#REF!</definedName>
    <definedName name="Beginning_Balance" localSheetId="10">-FV(Interest_Rate/12,#REF!-1,-#REF!,Loan_Amount)</definedName>
    <definedName name="bill" localSheetId="10" hidden="1">{"PAGE 1",#N/A,FALSE,"WEST_OT"}</definedName>
    <definedName name="bill1" localSheetId="10" hidden="1">{"PAGE 1",#N/A,FALSE,"WEST_OT"}</definedName>
    <definedName name="bill2" localSheetId="10" hidden="1">{"PAGE 1",#N/A,FALSE,"WEST_OT"}</definedName>
    <definedName name="bill3" localSheetId="10" hidden="1">{"PAGE 1",#N/A,FALSE,"WEST_OT"}</definedName>
    <definedName name="billrev2" localSheetId="10" hidden="1">{"PAGE 1",#N/A,FALSE,"WEST_OT"}</definedName>
    <definedName name="bilol" localSheetId="10" hidden="1">{#N/A,#N/A,FALSE,"VALSUM";#N/A,#N/A,FALSE,"MKT.COMPS";#N/A,#N/A,FALSE,"ACQ.MULT.";#N/A,#N/A,FALSE,"DCF - LBO"}</definedName>
    <definedName name="BLANKS"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PH1" localSheetId="10" hidden="1">#REF!</definedName>
    <definedName name="BLPH195" localSheetId="10" hidden="1">#REF!</definedName>
    <definedName name="BLPH196" localSheetId="10" hidden="1">#REF!</definedName>
    <definedName name="BLPH197" localSheetId="10" hidden="1">#REF!</definedName>
    <definedName name="BLPH198" localSheetId="10" hidden="1">#REF!</definedName>
    <definedName name="BLPH199" localSheetId="10" hidden="1">#REF!</definedName>
    <definedName name="BLPH2" localSheetId="10" hidden="1">#REF!</definedName>
    <definedName name="BLPH200" localSheetId="10" hidden="1">#REF!</definedName>
    <definedName name="BLPH201" localSheetId="10" hidden="1">#REF!</definedName>
    <definedName name="BLPH202" localSheetId="10" hidden="1">#REF!</definedName>
    <definedName name="BLPH203" localSheetId="10" hidden="1">#REF!</definedName>
    <definedName name="BLPH204" localSheetId="10" hidden="1">#REF!</definedName>
    <definedName name="BLPH205" localSheetId="10" hidden="1">#REF!</definedName>
    <definedName name="BLPH206" localSheetId="10" hidden="1">#REF!</definedName>
    <definedName name="BLPH207" localSheetId="10" hidden="1">#REF!</definedName>
    <definedName name="BLPH208" localSheetId="10" hidden="1">#REF!</definedName>
    <definedName name="BLPH209" localSheetId="10" hidden="1">#REF!</definedName>
    <definedName name="BLPH210" localSheetId="10" hidden="1">#REF!</definedName>
    <definedName name="BLPH211" localSheetId="10" hidden="1">#REF!</definedName>
    <definedName name="BLPH212" localSheetId="10" hidden="1">#REF!</definedName>
    <definedName name="BLPH213" localSheetId="10" hidden="1">#REF!</definedName>
    <definedName name="BLPH214" localSheetId="10" hidden="1">#REF!</definedName>
    <definedName name="BLPH215" localSheetId="10" hidden="1">#REF!</definedName>
    <definedName name="BLPH216" localSheetId="10" hidden="1">#REF!</definedName>
    <definedName name="BLPH217" localSheetId="10" hidden="1">#REF!</definedName>
    <definedName name="BLPH218" localSheetId="10" hidden="1">#REF!</definedName>
    <definedName name="BLPH219" localSheetId="10" hidden="1">#REF!</definedName>
    <definedName name="BLPH220" localSheetId="10" hidden="1">#REF!</definedName>
    <definedName name="BLPH221" localSheetId="10" hidden="1">#REF!</definedName>
    <definedName name="BLPH222" localSheetId="10" hidden="1">#REF!</definedName>
    <definedName name="BLPH223" localSheetId="10" hidden="1">#REF!</definedName>
    <definedName name="BLPH224" localSheetId="10" hidden="1">#REF!</definedName>
    <definedName name="BLPH225" localSheetId="10" hidden="1">#REF!</definedName>
    <definedName name="BLPH226" localSheetId="10" hidden="1">#REF!</definedName>
    <definedName name="BLPH227" localSheetId="10" hidden="1">#REF!</definedName>
    <definedName name="BLPH228" localSheetId="10" hidden="1">#REF!</definedName>
    <definedName name="BLPH229" localSheetId="10" hidden="1">#REF!</definedName>
    <definedName name="BLPH230" localSheetId="10" hidden="1">#REF!</definedName>
    <definedName name="BLPH231" localSheetId="10" hidden="1">#REF!</definedName>
    <definedName name="BLPH232" localSheetId="10" hidden="1">#REF!</definedName>
    <definedName name="BLPH233" localSheetId="10" hidden="1">#REF!</definedName>
    <definedName name="BLPH234" localSheetId="10" hidden="1">#REF!</definedName>
    <definedName name="BLPH235" localSheetId="10" hidden="1">#REF!</definedName>
    <definedName name="BLPH236" localSheetId="10" hidden="1">#REF!</definedName>
    <definedName name="BLPH237" localSheetId="10" hidden="1">#REF!</definedName>
    <definedName name="BLPH238" localSheetId="10" hidden="1">#REF!</definedName>
    <definedName name="BLPH239" localSheetId="10" hidden="1">#REF!</definedName>
    <definedName name="BLPH240" localSheetId="10" hidden="1">#REF!</definedName>
    <definedName name="BLPH241" localSheetId="10" hidden="1">#REF!</definedName>
    <definedName name="BLPH242" localSheetId="10" hidden="1">#REF!</definedName>
    <definedName name="BLPH243" localSheetId="10" hidden="1">#REF!</definedName>
    <definedName name="BLPH244" localSheetId="10" hidden="1">#REF!</definedName>
    <definedName name="BLPH245" localSheetId="10" hidden="1">#REF!</definedName>
    <definedName name="BLPH246" localSheetId="10" hidden="1">#REF!</definedName>
    <definedName name="BLPH247" localSheetId="10" hidden="1">#REF!</definedName>
    <definedName name="BLPH248" localSheetId="10" hidden="1">#REF!</definedName>
    <definedName name="BLPH249" localSheetId="10" hidden="1">#REF!</definedName>
    <definedName name="BLPH250" localSheetId="10" hidden="1">#REF!</definedName>
    <definedName name="BLPH251" localSheetId="10" hidden="1">#REF!</definedName>
    <definedName name="BLPH252" localSheetId="10" hidden="1">#REF!</definedName>
    <definedName name="BLPH253" localSheetId="10" hidden="1">#REF!</definedName>
    <definedName name="BLPH254" localSheetId="10" hidden="1">#REF!</definedName>
    <definedName name="BLPH255" localSheetId="10" hidden="1">#REF!</definedName>
    <definedName name="BLPH256" localSheetId="10" hidden="1">#REF!</definedName>
    <definedName name="BLPH257" localSheetId="10" hidden="1">#REF!</definedName>
    <definedName name="BLPH258" localSheetId="10" hidden="1">#REF!</definedName>
    <definedName name="BLPH259" localSheetId="10" hidden="1">#REF!</definedName>
    <definedName name="BLPH260" localSheetId="10" hidden="1">#REF!</definedName>
    <definedName name="BLPH261" localSheetId="10" hidden="1">#REF!</definedName>
    <definedName name="BLPH262" localSheetId="10" hidden="1">#REF!</definedName>
    <definedName name="BLPH263" localSheetId="10" hidden="1">#REF!</definedName>
    <definedName name="BLPH264" localSheetId="10" hidden="1">#REF!</definedName>
    <definedName name="BLPH265" localSheetId="10" hidden="1">#REF!</definedName>
    <definedName name="BLPH266" localSheetId="10" hidden="1">#REF!</definedName>
    <definedName name="BLPH267" localSheetId="10" hidden="1">#REF!</definedName>
    <definedName name="BLPH268" localSheetId="10" hidden="1">#REF!</definedName>
    <definedName name="BLPH269" localSheetId="10" hidden="1">#REF!</definedName>
    <definedName name="BLPH270" localSheetId="10" hidden="1">#REF!</definedName>
    <definedName name="BLPH271" localSheetId="10" hidden="1">#REF!</definedName>
    <definedName name="BLPH272" localSheetId="10" hidden="1">#REF!</definedName>
    <definedName name="BLPH273" localSheetId="10" hidden="1">#REF!</definedName>
    <definedName name="BLPH274" localSheetId="10" hidden="1">#REF!</definedName>
    <definedName name="BLPH275" localSheetId="10" hidden="1">#REF!</definedName>
    <definedName name="BLPH276" localSheetId="10" hidden="1">#REF!</definedName>
    <definedName name="BLPH277" localSheetId="10" hidden="1">#REF!</definedName>
    <definedName name="BLPH278" localSheetId="10" hidden="1">#REF!</definedName>
    <definedName name="BLPH279" localSheetId="10" hidden="1">#REF!</definedName>
    <definedName name="BLPH280" localSheetId="10" hidden="1">#REF!</definedName>
    <definedName name="BLPH281" localSheetId="10" hidden="1">#REF!</definedName>
    <definedName name="BLPH282" localSheetId="10" hidden="1">#REF!</definedName>
    <definedName name="BLPH283" localSheetId="10" hidden="1">#REF!</definedName>
    <definedName name="BLPH284" localSheetId="10" hidden="1">#REF!</definedName>
    <definedName name="BLPH285" localSheetId="10" hidden="1">#REF!</definedName>
    <definedName name="BLPH286" localSheetId="10" hidden="1">#REF!</definedName>
    <definedName name="BLPH287" localSheetId="10" hidden="1">#REF!</definedName>
    <definedName name="BLPH288" localSheetId="10" hidden="1">#REF!</definedName>
    <definedName name="BLPH289" localSheetId="10" hidden="1">#REF!</definedName>
    <definedName name="BLPH290" localSheetId="10" hidden="1">#REF!</definedName>
    <definedName name="BLPH291" localSheetId="10" hidden="1">#REF!</definedName>
    <definedName name="BLPH292" localSheetId="10" hidden="1">#REF!</definedName>
    <definedName name="BLPH293" localSheetId="10" hidden="1">#REF!</definedName>
    <definedName name="BLPH294" localSheetId="10" hidden="1">#REF!</definedName>
    <definedName name="BLPH295" localSheetId="10" hidden="1">#REF!</definedName>
    <definedName name="BLPH296" localSheetId="10" hidden="1">#REF!</definedName>
    <definedName name="BLPH297" localSheetId="10" hidden="1">#REF!</definedName>
    <definedName name="BLPH298" localSheetId="10" hidden="1">#REF!</definedName>
    <definedName name="BLPH299" localSheetId="10" hidden="1">#REF!</definedName>
    <definedName name="BLPH3" localSheetId="10" hidden="1">#REF!</definedName>
    <definedName name="BLPH300" localSheetId="10" hidden="1">#REF!</definedName>
    <definedName name="BLPH301" localSheetId="10" hidden="1">#REF!</definedName>
    <definedName name="BLPH302" localSheetId="10" hidden="1">#REF!</definedName>
    <definedName name="BLPH303" localSheetId="10" hidden="1">#REF!</definedName>
    <definedName name="BLPH304" localSheetId="10" hidden="1">#REF!</definedName>
    <definedName name="BLPH305" localSheetId="10" hidden="1">#REF!</definedName>
    <definedName name="BLPH306" localSheetId="10" hidden="1">#REF!</definedName>
    <definedName name="BLPH307" localSheetId="10" hidden="1">#REF!</definedName>
    <definedName name="BLPH308" localSheetId="10" hidden="1">#REF!</definedName>
    <definedName name="BLPH309" localSheetId="10" hidden="1">#REF!</definedName>
    <definedName name="BLPH310" localSheetId="10" hidden="1">#REF!</definedName>
    <definedName name="BLPH311" localSheetId="10" hidden="1">#REF!</definedName>
    <definedName name="BLPH312" localSheetId="10" hidden="1">#REF!</definedName>
    <definedName name="BLPH313" localSheetId="10" hidden="1">#REF!</definedName>
    <definedName name="BLPH314" localSheetId="10" hidden="1">#REF!</definedName>
    <definedName name="BLPH315" localSheetId="10" hidden="1">#REF!</definedName>
    <definedName name="BLPH316" localSheetId="10" hidden="1">#REF!</definedName>
    <definedName name="BLPH317" localSheetId="10" hidden="1">#REF!</definedName>
    <definedName name="BLPH318" localSheetId="10" hidden="1">#REF!</definedName>
    <definedName name="BLPH319" localSheetId="10" hidden="1">#REF!</definedName>
    <definedName name="BLPH320" localSheetId="10" hidden="1">#REF!</definedName>
    <definedName name="BLPH321" localSheetId="10" hidden="1">#REF!</definedName>
    <definedName name="BLPH322" localSheetId="10" hidden="1">#REF!</definedName>
    <definedName name="BLPH323" localSheetId="10" hidden="1">#REF!</definedName>
    <definedName name="BLPH324" localSheetId="10" hidden="1">#REF!</definedName>
    <definedName name="BLPH325" localSheetId="10" hidden="1">#REF!</definedName>
    <definedName name="BLPH326" localSheetId="10" hidden="1">#REF!</definedName>
    <definedName name="BLPH327" localSheetId="10" hidden="1">#REF!</definedName>
    <definedName name="BLPH328" localSheetId="10" hidden="1">#REF!</definedName>
    <definedName name="BLPH329" localSheetId="10" hidden="1">#REF!</definedName>
    <definedName name="BLPH330" localSheetId="10" hidden="1">#REF!</definedName>
    <definedName name="BLPH331" localSheetId="10" hidden="1">#REF!</definedName>
    <definedName name="BLPH332" localSheetId="10" hidden="1">#REF!</definedName>
    <definedName name="BLPH333" localSheetId="10" hidden="1">#REF!</definedName>
    <definedName name="BLPH334" localSheetId="10" hidden="1">#REF!</definedName>
    <definedName name="BLPH335" localSheetId="10" hidden="1">#REF!</definedName>
    <definedName name="BLPH336" localSheetId="10" hidden="1">#REF!</definedName>
    <definedName name="BLPH337" localSheetId="10" hidden="1">#REF!</definedName>
    <definedName name="BLPH338" localSheetId="10" hidden="1">#REF!</definedName>
    <definedName name="BLPH339" localSheetId="10" hidden="1">#REF!</definedName>
    <definedName name="BLPH340" localSheetId="10" hidden="1">#REF!</definedName>
    <definedName name="BLPH341" localSheetId="10" hidden="1">#REF!</definedName>
    <definedName name="BLPH342" localSheetId="10" hidden="1">#REF!</definedName>
    <definedName name="BLPH343" localSheetId="10" hidden="1">#REF!</definedName>
    <definedName name="BLPH344" localSheetId="10" hidden="1">#REF!</definedName>
    <definedName name="BLPH345" localSheetId="10" hidden="1">#REF!</definedName>
    <definedName name="BLPH346" localSheetId="10" hidden="1">#REF!</definedName>
    <definedName name="BLPH347" localSheetId="10" hidden="1">#REF!</definedName>
    <definedName name="BLPH348" localSheetId="10" hidden="1">#REF!</definedName>
    <definedName name="BLPH349" localSheetId="10" hidden="1">#REF!</definedName>
    <definedName name="BLPH350" localSheetId="10" hidden="1">#REF!</definedName>
    <definedName name="BLPH351" localSheetId="10" hidden="1">#REF!</definedName>
    <definedName name="BLPH352" localSheetId="10" hidden="1">#REF!</definedName>
    <definedName name="BLPH353" localSheetId="10" hidden="1">#REF!</definedName>
    <definedName name="BLPH354" localSheetId="10" hidden="1">#REF!</definedName>
    <definedName name="BLPH355" localSheetId="10" hidden="1">#REF!</definedName>
    <definedName name="BLPH356" localSheetId="10" hidden="1">#REF!</definedName>
    <definedName name="BLPH357" localSheetId="10" hidden="1">#REF!</definedName>
    <definedName name="BLPH358" localSheetId="10" hidden="1">#REF!</definedName>
    <definedName name="BLPH359" localSheetId="10" hidden="1">#REF!</definedName>
    <definedName name="BLPH360" localSheetId="10" hidden="1">#REF!</definedName>
    <definedName name="BLPH361" localSheetId="10" hidden="1">#REF!</definedName>
    <definedName name="BLPH362" localSheetId="10" hidden="1">#REF!</definedName>
    <definedName name="BLPH363" localSheetId="10" hidden="1">#REF!</definedName>
    <definedName name="BLPH364" localSheetId="10" hidden="1">#REF!</definedName>
    <definedName name="BLPH365" localSheetId="10" hidden="1">#REF!</definedName>
    <definedName name="BLPH366" localSheetId="10" hidden="1">#REF!</definedName>
    <definedName name="BLPH367" localSheetId="10" hidden="1">#REF!</definedName>
    <definedName name="BLPH368" localSheetId="10" hidden="1">#REF!</definedName>
    <definedName name="BLPH369" localSheetId="10" hidden="1">#REF!</definedName>
    <definedName name="BLPH370" localSheetId="10" hidden="1">#REF!</definedName>
    <definedName name="BLPH371" localSheetId="10" hidden="1">#REF!</definedName>
    <definedName name="BLPH372" localSheetId="10" hidden="1">#REF!</definedName>
    <definedName name="BLPH373" localSheetId="10" hidden="1">#REF!</definedName>
    <definedName name="BLPH374" localSheetId="10" hidden="1">#REF!</definedName>
    <definedName name="BLPH375" localSheetId="10" hidden="1">#REF!</definedName>
    <definedName name="BLPH376" localSheetId="10" hidden="1">#REF!</definedName>
    <definedName name="BLPH377" localSheetId="10" hidden="1">#REF!</definedName>
    <definedName name="BLPH378" localSheetId="10" hidden="1">#REF!</definedName>
    <definedName name="BLPH379" localSheetId="10" hidden="1">#REF!</definedName>
    <definedName name="BLPH380" localSheetId="10" hidden="1">#REF!</definedName>
    <definedName name="BLPH381" localSheetId="10" hidden="1">#REF!</definedName>
    <definedName name="BLPH382" localSheetId="10" hidden="1">#REF!</definedName>
    <definedName name="BLPH383" localSheetId="10" hidden="1">#REF!</definedName>
    <definedName name="BLPH384" localSheetId="10" hidden="1">#REF!</definedName>
    <definedName name="BLPH385" localSheetId="10" hidden="1">#REF!</definedName>
    <definedName name="BLPH386" localSheetId="10" hidden="1">#REF!</definedName>
    <definedName name="BLPH387" localSheetId="10" hidden="1">#REF!</definedName>
    <definedName name="BLPH388" localSheetId="10" hidden="1">#REF!</definedName>
    <definedName name="BLPH389" localSheetId="10" hidden="1">#REF!</definedName>
    <definedName name="BLPH390" localSheetId="10" hidden="1">#REF!</definedName>
    <definedName name="BLPH391" localSheetId="10" hidden="1">#REF!</definedName>
    <definedName name="BLPH392" localSheetId="10" hidden="1">#REF!</definedName>
    <definedName name="BLPH393" localSheetId="10" hidden="1">#REF!</definedName>
    <definedName name="BLPH394" localSheetId="10" hidden="1">#REF!</definedName>
    <definedName name="BLPH395" localSheetId="10" hidden="1">#REF!</definedName>
    <definedName name="BLPH396" localSheetId="10" hidden="1">#REF!</definedName>
    <definedName name="BLPH397" localSheetId="10" hidden="1">#REF!</definedName>
    <definedName name="BLPH398" localSheetId="10" hidden="1">#REF!</definedName>
    <definedName name="BLPH399" localSheetId="10" hidden="1">#REF!</definedName>
    <definedName name="BLPH4" localSheetId="10" hidden="1">#REF!</definedName>
    <definedName name="BLPH400" localSheetId="10" hidden="1">#REF!</definedName>
    <definedName name="BLPH401" localSheetId="10" hidden="1">#REF!</definedName>
    <definedName name="BLPH402" localSheetId="10" hidden="1">#REF!</definedName>
    <definedName name="BLPH403" localSheetId="10" hidden="1">#REF!</definedName>
    <definedName name="BLPH404" localSheetId="10" hidden="1">#REF!</definedName>
    <definedName name="BLPH405" localSheetId="10" hidden="1">#REF!</definedName>
    <definedName name="BLPH406" localSheetId="10" hidden="1">#REF!</definedName>
    <definedName name="BLPH407" localSheetId="10" hidden="1">#REF!</definedName>
    <definedName name="BLPH408" localSheetId="10" hidden="1">#REF!</definedName>
    <definedName name="BLPH409" localSheetId="10" hidden="1">#REF!</definedName>
    <definedName name="BLPH410" localSheetId="10" hidden="1">#REF!</definedName>
    <definedName name="BLPH411" localSheetId="10" hidden="1">#REF!</definedName>
    <definedName name="BLPH412" localSheetId="10" hidden="1">#REF!</definedName>
    <definedName name="BLPH413" localSheetId="10" hidden="1">#REF!</definedName>
    <definedName name="BLPH414" localSheetId="10" hidden="1">#REF!</definedName>
    <definedName name="BLPH415" localSheetId="10" hidden="1">#REF!</definedName>
    <definedName name="BLPH416" localSheetId="10" hidden="1">#REF!</definedName>
    <definedName name="BLPH417" localSheetId="10" hidden="1">#REF!</definedName>
    <definedName name="BLPH418" localSheetId="10" hidden="1">#REF!</definedName>
    <definedName name="BLPH419" localSheetId="10" hidden="1">#REF!</definedName>
    <definedName name="BLPH420" localSheetId="10" hidden="1">#REF!</definedName>
    <definedName name="BLPH421" localSheetId="10" hidden="1">#REF!</definedName>
    <definedName name="BLPH422" localSheetId="10" hidden="1">#REF!</definedName>
    <definedName name="BLPH423" localSheetId="10" hidden="1">#REF!</definedName>
    <definedName name="BLPH424" localSheetId="10" hidden="1">#REF!</definedName>
    <definedName name="BLPH425" localSheetId="10" hidden="1">#REF!</definedName>
    <definedName name="BLPH426" localSheetId="10" hidden="1">#REF!</definedName>
    <definedName name="BLPH427" localSheetId="10" hidden="1">#REF!</definedName>
    <definedName name="BLPH428" localSheetId="10" hidden="1">#REF!</definedName>
    <definedName name="BLPH429" localSheetId="10" hidden="1">#REF!</definedName>
    <definedName name="BLPH430" localSheetId="10" hidden="1">#REF!</definedName>
    <definedName name="BLPH431" localSheetId="10" hidden="1">#REF!</definedName>
    <definedName name="BLPH432" localSheetId="10" hidden="1">#REF!</definedName>
    <definedName name="BLPH433" localSheetId="10" hidden="1">#REF!</definedName>
    <definedName name="BLPH434" localSheetId="10" hidden="1">#REF!</definedName>
    <definedName name="BLPH435" localSheetId="10" hidden="1">#REF!</definedName>
    <definedName name="BLPH436" localSheetId="10" hidden="1">#REF!</definedName>
    <definedName name="BLPH437" localSheetId="10" hidden="1">#REF!</definedName>
    <definedName name="BLPH438" localSheetId="10" hidden="1">#REF!</definedName>
    <definedName name="BLPH439" localSheetId="10" hidden="1">#REF!</definedName>
    <definedName name="BLPH440" localSheetId="10" hidden="1">#REF!</definedName>
    <definedName name="BLPH441" localSheetId="10" hidden="1">#REF!</definedName>
    <definedName name="BLPH442" localSheetId="10" hidden="1">#REF!</definedName>
    <definedName name="BLPH443" localSheetId="10" hidden="1">#REF!</definedName>
    <definedName name="BLPH444" localSheetId="10" hidden="1">#REF!</definedName>
    <definedName name="BLPH445" localSheetId="10" hidden="1">#REF!</definedName>
    <definedName name="BLPH446" localSheetId="10" hidden="1">#REF!</definedName>
    <definedName name="BLPH447" localSheetId="10" hidden="1">#REF!</definedName>
    <definedName name="BLPH448" localSheetId="10" hidden="1">#REF!</definedName>
    <definedName name="BLPH459" localSheetId="10" hidden="1">#REF!</definedName>
    <definedName name="BLPH460" localSheetId="10" hidden="1">#REF!</definedName>
    <definedName name="BLPH461" localSheetId="10" hidden="1">#REF!</definedName>
    <definedName name="BLPH462" localSheetId="10" hidden="1">#REF!</definedName>
    <definedName name="BLPH463" localSheetId="10" hidden="1">#REF!</definedName>
    <definedName name="BLPH464" localSheetId="10" hidden="1">#REF!</definedName>
    <definedName name="BLPH465" localSheetId="10" hidden="1">#REF!</definedName>
    <definedName name="BLPH466" localSheetId="10" hidden="1">#REF!</definedName>
    <definedName name="BLPH467" localSheetId="10" hidden="1">#REF!</definedName>
    <definedName name="BLPH468" localSheetId="10" hidden="1">#REF!</definedName>
    <definedName name="BLPH469" localSheetId="10" hidden="1">#REF!</definedName>
    <definedName name="BLPH470" localSheetId="10" hidden="1">#REF!</definedName>
    <definedName name="BLPH471" localSheetId="10" hidden="1">#REF!</definedName>
    <definedName name="BLPH472" localSheetId="10" hidden="1">#REF!</definedName>
    <definedName name="BLPH473" localSheetId="10" hidden="1">#REF!</definedName>
    <definedName name="BLPH474" localSheetId="10" hidden="1">#REF!</definedName>
    <definedName name="BLPH475" localSheetId="10" hidden="1">#REF!</definedName>
    <definedName name="BLPH476" localSheetId="10" hidden="1">#REF!</definedName>
    <definedName name="BLPH477" localSheetId="10" hidden="1">#REF!</definedName>
    <definedName name="BLPH478" localSheetId="10" hidden="1">#REF!</definedName>
    <definedName name="BLPH479" localSheetId="10" hidden="1">#REF!</definedName>
    <definedName name="BLPH480" localSheetId="10" hidden="1">#REF!</definedName>
    <definedName name="BLPH481" localSheetId="10" hidden="1">#REF!</definedName>
    <definedName name="BLPH482" localSheetId="10" hidden="1">#REF!</definedName>
    <definedName name="BLPH483" localSheetId="10" hidden="1">#REF!</definedName>
    <definedName name="BLPH484" localSheetId="10" hidden="1">#REF!</definedName>
    <definedName name="BLPH485" localSheetId="10" hidden="1">#REF!</definedName>
    <definedName name="BLPH486" localSheetId="10" hidden="1">#REF!</definedName>
    <definedName name="BLPH487" localSheetId="10" hidden="1">#REF!</definedName>
    <definedName name="BLPH488" localSheetId="10" hidden="1">#REF!</definedName>
    <definedName name="BLPH489" localSheetId="10" hidden="1">#REF!</definedName>
    <definedName name="BLPH490" localSheetId="10" hidden="1">#REF!</definedName>
    <definedName name="BLPH491" localSheetId="10" hidden="1">#REF!</definedName>
    <definedName name="BLPH492" localSheetId="10" hidden="1">#REF!</definedName>
    <definedName name="BLPH493" localSheetId="10" hidden="1">#REF!</definedName>
    <definedName name="BLPH494" localSheetId="10" hidden="1">#REF!</definedName>
    <definedName name="BLPH495" localSheetId="10" hidden="1">#REF!</definedName>
    <definedName name="BLPH496" localSheetId="10" hidden="1">#REF!</definedName>
    <definedName name="BLPH497" localSheetId="10" hidden="1">#REF!</definedName>
    <definedName name="BLPH498" localSheetId="10" hidden="1">#REF!</definedName>
    <definedName name="BLPH499" localSheetId="10" hidden="1">#REF!</definedName>
    <definedName name="BLUE" localSheetId="10" hidden="1">{#N/A,#N/A,FALSE,"Barranca"}</definedName>
    <definedName name="BLUE1" localSheetId="10" hidden="1">{#N/A,#N/A,FALSE,"Total";#N/A,#N/A,FALSE,"Sew";#N/A,#N/A,FALSE,"Finish";#N/A,#N/A,FALSE,"CUT";#N/A,#N/A,FALSE,"Mill 5";#N/A,#N/A,FALSE,"Mill 6";#N/A,#N/A,FALSE,"Mill 8";#N/A,#N/A,FALSE,"Mill 9";#N/A,#N/A,FALSE,"Mill 10";#N/A,#N/A,FALSE,"Mill 12";#N/A,#N/A,FALSE,"Mill 15";#N/A,#N/A,FALSE,"Mill 17"}</definedName>
    <definedName name="BM" localSheetId="10" hidden="1">{"EBITDA",#N/A,TRUE,"P&amp;L Net of Disc Ops";"output net of disc ops",#N/A,TRUE,"Revenue";"input",#N/A,TRUE,"Revenue";"output",#N/A,TRUE,"DC";"Input",#N/A,TRUE,"DC";"MTN and MCN",#N/A,TRUE,"Margin";"output detail line items",#N/A,TRUE,"SGA";"personnel by year",#N/A,TRUE,"Payroll";#N/A,#N/A,TRUE,"CapEx"}</definedName>
    <definedName name="BNE_MESSAGES_HIDDEN" localSheetId="10" hidden="1">#REF!</definedName>
    <definedName name="bnm" localSheetId="10" hidden="1">{#N/A,#N/A,FALSE,"REPORT"}</definedName>
    <definedName name="bnnn" localSheetId="10" hidden="1">{"consolidated",#N/A,FALSE,"Sheet1";"cms",#N/A,FALSE,"Sheet1";"fse",#N/A,FALSE,"Sheet1"}</definedName>
    <definedName name="Bracket_0" localSheetId="10">#REF!</definedName>
    <definedName name="Bracket_1" localSheetId="10">#REF!</definedName>
    <definedName name="Bracket_2" localSheetId="10">#REF!</definedName>
    <definedName name="Bracket_3" localSheetId="10">#REF!</definedName>
    <definedName name="Bracket_4" localSheetId="10">#REF!</definedName>
    <definedName name="Bracket_5" localSheetId="10">#REF!</definedName>
    <definedName name="Bracket_6" localSheetId="10">#REF!</definedName>
    <definedName name="Bracket_7" localSheetId="10">#REF!</definedName>
    <definedName name="Bracket_8" localSheetId="10">#REF!</definedName>
    <definedName name="Brightline" localSheetId="10" hidden="1">{"Curr Month",#N/A,FALSE,"Curr Mo";"Total West",#N/A,FALSE,"Curr Mo";"YTD",#N/A,FALSE,"Curr Mo";"12 Months",#N/A,FALSE,"Curr Mo";"13 Months",#N/A,FALSE,"Curr Mo";"14 Months",#N/A,FALSE,"Curr Mo";"15 Months",#N/A,FALSE,"Curr Mo";"43 Months",#N/A,FALSE,"Curr Mo";"45 Months",#N/A,FALSE,"Curr Mo";"63 Months",#N/A,FALSE,"Curr Mo"}</definedName>
    <definedName name="Briteline" localSheetId="10" hidden="1">{"Curr Month",#N/A,FALSE,"Curr Mo";"Total West",#N/A,FALSE,"Curr Mo";"YTD",#N/A,FALSE,"Curr Mo";"12 Months",#N/A,FALSE,"Curr Mo";"13 Months",#N/A,FALSE,"Curr Mo";"14 Months",#N/A,FALSE,"Curr Mo";"15 Months",#N/A,FALSE,"Curr Mo";"43 Months",#N/A,FALSE,"Curr Mo";"45 Months",#N/A,FALSE,"Curr Mo";"63 Months",#N/A,FALSE,"Curr Mo"}</definedName>
    <definedName name="briteline___" localSheetId="10" hidden="1">{"Curr Month",#N/A,FALSE,"Curr Mo";"Total West",#N/A,FALSE,"Curr Mo";"YTD",#N/A,FALSE,"Curr Mo";"12 Months",#N/A,FALSE,"Curr Mo";"13 Months",#N/A,FALSE,"Curr Mo";"14 Months",#N/A,FALSE,"Curr Mo";"15 Months",#N/A,FALSE,"Curr Mo";"43 Months",#N/A,FALSE,"Curr Mo";"45 Months",#N/A,FALSE,"Curr Mo";"63 Months",#N/A,FALSE,"Curr Mo"}</definedName>
    <definedName name="BROWN"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S" localSheetId="10">#REF!</definedName>
    <definedName name="budget1" localSheetId="10" hidden="1">{"Overview",#N/A,TRUE,"Overview";"New Gen",#N/A,TRUE,"New Gen";"cap-ex",#N/A,TRUE,"Consol cap-ex";"cap-ex",#N/A,TRUE,"APC cap-ex";"cap-ex",#N/A,TRUE,"GPC cap-ex";"cap-ex",#N/A,TRUE,"GUL cap-ex";"cap-ex",#N/A,TRUE,"MPC cap-ex";"cap-ex",#N/A,TRUE,"SAV cap-ex";"cap-ex",#N/A,TRUE,"SEGCO cap-ex";"cap-ex",#N/A,TRUE,"SWE cap-ex"}</definedName>
    <definedName name="BudgetSumm" localSheetId="10" hidden="1">{#N/A,#N/A,FALSE,"Cashflow Analysis";#N/A,#N/A,FALSE,"Sensitivity Analysis";#N/A,#N/A,FALSE,"PV";#N/A,#N/A,FALSE,"Pro Forma"}</definedName>
    <definedName name="BudgetSumm.2" localSheetId="10" hidden="1">{#N/A,#N/A,FALSE,"Cashflow Analysis";#N/A,#N/A,FALSE,"Sensitivity Analysis";#N/A,#N/A,FALSE,"PV";#N/A,#N/A,FALSE,"Pro Forma"}</definedName>
    <definedName name="c.LTMYear" localSheetId="10" hidden="1">#REF!</definedName>
    <definedName name="cade" localSheetId="10" hidden="1">{"FCB_ALL",#N/A,FALSE,"FCB"}</definedName>
    <definedName name="cads" localSheetId="10" hidden="1">{"FCB_ALL",#N/A,FALSE,"FCB"}</definedName>
    <definedName name="cadsf" localSheetId="10" hidden="1">{"FCB_ALL",#N/A,FALSE,"FCB"}</definedName>
    <definedName name="caega" localSheetId="10" hidden="1">{"FCB_ALL",#N/A,FALSE,"FCB"}</definedName>
    <definedName name="caer" localSheetId="10" hidden="1">{"FCB_ALL",#N/A,FALSE,"FCB"}</definedName>
    <definedName name="cagare" localSheetId="10" hidden="1">{"FCB_ALL",#N/A,FALSE,"FCB"}</definedName>
    <definedName name="cancel" localSheetId="10" hidden="1">{"PARTNERS CAPITAL STMT",#N/A,FALSE,"Partners Capital"}</definedName>
    <definedName name="cancel2" localSheetId="10" hidden="1">{"PNLProjDL",#N/A,FALSE,"PROJCO";"PNLParDL",#N/A,FALSE,"Parent"}</definedName>
    <definedName name="cancel3" localSheetId="10" hidden="1">{"Summary",#N/A,FALSE,"MICMULT";"Income Statement",#N/A,FALSE,"MICMULT";"Cash Flows",#N/A,FALSE,"MICMULT"}</definedName>
    <definedName name="cap.pos"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acity" localSheetId="10" hidden="1">{#N/A,#N/A,FALSE,"IPO";#N/A,#N/A,FALSE,"DCF";#N/A,#N/A,FALSE,"LBO";#N/A,#N/A,FALSE,"MULT_VAL";#N/A,#N/A,FALSE,"Status Quo";#N/A,#N/A,FALSE,"Recap"}</definedName>
    <definedName name="CapCase" localSheetId="10">#REF!</definedName>
    <definedName name="cavde" localSheetId="10" hidden="1">{"FCB_ALL",#N/A,FALSE,"FCB"}</definedName>
    <definedName name="cc" localSheetId="10" hidden="1">{"bs",#N/A,FALSE,"SCF"}</definedName>
    <definedName name="ccc" localSheetId="10" hidden="1">{#N/A,#N/A,TRUE,"Summary";#N/A,#N/A,TRUE,"Assumptions";#N/A,#N/A,TRUE,"Comparison";#N/A,#N/A,TRUE,"Financials";#N/A,#N/A,TRUE,"Plan v. Act"}</definedName>
    <definedName name="cccc" localSheetId="10" hidden="1">{#N/A,#N/A,FALSE,"Assessment";#N/A,#N/A,FALSE,"Staffing";#N/A,#N/A,FALSE,"Hires";#N/A,#N/A,FALSE,"Assumptions"}</definedName>
    <definedName name="CCOmps" localSheetId="10" hidden="1">{"page1",#N/A,TRUE,"PRICING";"page2",#N/A,TRUE,"PRICING"}</definedName>
    <definedName name="cd0" localSheetId="10" hidden="1">{#N/A,#N/A,FALSE,"Job Sched"}</definedName>
    <definedName name="cdsds" localSheetId="10" hidden="1">{#N/A,#N/A,TRUE,"BUD VS ACT AUST 96";#N/A,#N/A,TRUE,"96 COMP P&amp;L-AUST";#N/A,#N/A,TRUE,"COMP BS-AUSTRALIA";#N/A,#N/A,TRUE,"B/S - AUSTR."}</definedName>
    <definedName name="CDW" localSheetId="10" hidden="1">{#N/A,#N/A,FALSE,"Job Sched"}</definedName>
    <definedName name="CFFleet" localSheetId="10" hidden="1">{#N/A,#N/A,FALSE,"Cover";#N/A,#N/A,FALSE,"TOC";#N/A,#N/A,FALSE,"IS";#N/A,#N/A,FALSE,"Mo. IS";#N/A,#N/A,FALSE,"Cont By Div";#N/A,#N/A,FALSE,"BS";#N/A,#N/A,FALSE,"CF";#N/A,#N/A,FALSE,"Inventory"}</definedName>
    <definedName name="cgaf" localSheetId="10" hidden="1">{"FCB_ALL",#N/A,FALSE,"FCB"}</definedName>
    <definedName name="cgafde" localSheetId="10" hidden="1">{"FCB_ALL",#N/A,FALSE,"FCB"}</definedName>
    <definedName name="Chart" localSheetId="10" hidden="1">{#N/A,#N/A,FALSE,"Pharm";#N/A,#N/A,FALSE,"WWCM"}</definedName>
    <definedName name="chartNew" localSheetId="10" hidden="1">{#N/A,#N/A,FALSE,"SUMMARY";#N/A,#N/A,FALSE,"mcsh";#N/A,#N/A,FALSE,"vol&amp;rev";#N/A,#N/A,FALSE,"wkgcap";#N/A,#N/A,FALSE,"DEPR&amp;DT";#N/A,#N/A,FALSE,"ASSETS";#N/A,#N/A,FALSE,"NI&amp;OTH&amp;DIV";#N/A,#N/A,FALSE,"CASHFLOW";#N/A,#N/A,FALSE,"CAPEMPL";#N/A,#N/A,FALSE,"ROCE"}</definedName>
    <definedName name="check2" localSheetId="10" hidden="1">{#N/A,#N/A,FALSE,"Cashflow Analysis";#N/A,#N/A,FALSE,"Sensitivity Analysis";#N/A,#N/A,FALSE,"PV";#N/A,#N/A,FALSE,"Pro Forma"}</definedName>
    <definedName name="cheryl" localSheetId="10" hidden="1">{#N/A,#N/A,FALSE,"Barranca"}</definedName>
    <definedName name="chgeas" localSheetId="10" hidden="1">{"FCB_ALL",#N/A,FALSE,"FCB"}</definedName>
    <definedName name="chosie" localSheetId="10" hidden="1">{#N/A,#N/A,FALSE,"Pharm";#N/A,#N/A,FALSE,"WWCM"}</definedName>
    <definedName name="CIQWBGuid" localSheetId="10" hidden="1">"1869515b-2ebb-45a5-a673-ca1112c5987b"</definedName>
    <definedName name="CircHP" localSheetId="10">#REF!</definedName>
    <definedName name="cmmt" localSheetId="10">#REF!</definedName>
    <definedName name="code" localSheetId="10">#REF!</definedName>
    <definedName name="COGstandard" localSheetId="10" hidden="1">{#N/A,#N/A,FALSE,"Pharm";#N/A,#N/A,FALSE,"WWCM"}</definedName>
    <definedName name="comm" localSheetId="10" hidden="1">{"PAGE 1",#N/A,FALSE,"WEST_OT"}</definedName>
    <definedName name="comm2" localSheetId="10" hidden="1">{"PAGE 1",#N/A,FALSE,"WEST_OT"}</definedName>
    <definedName name="comm3" localSheetId="10" hidden="1">{"PAGE 1",#N/A,FALSE,"WEST_OT"}</definedName>
    <definedName name="commrev2" localSheetId="10" hidden="1">{"PAGE 1",#N/A,FALSE,"WEST_OT"}</definedName>
    <definedName name="Compco1" localSheetId="10" hidden="1">{"Page1",#N/A,FALSE,"CompCo";"Page2",#N/A,FALSE,"CompCo"}</definedName>
    <definedName name="Compco2" localSheetId="10" hidden="1">{"Page1",#N/A,FALSE,"CompCo";"Page2",#N/A,FALSE,"CompCo"}</definedName>
    <definedName name="compound_period" localSheetId="10">INDEX({2,12,4,1},MATCH(#REF!,'EBITDA Adjustments 2026'!compound_periods,0))</definedName>
    <definedName name="compound_periods" localSheetId="10">{"Semi-Annually";"Monthly";"Quarterly";"Annually"}</definedName>
    <definedName name="conflict" localSheetId="10" hidden="1">{"arpm1995",#N/A,FALSE,"Summary 95-96";"bus_long_distance",#N/A,FALSE,"Summary 95-96";"mins_per_day",#N/A,FALSE,"Summary 95-96";"minutes1995",#N/A,FALSE,"Summary 95-96";"rev_per_day",#N/A,FALSE,"Summary 95-96";"view1995",#N/A,FALSE,"Summary 95-96"}</definedName>
    <definedName name="consumer" localSheetId="10" hidden="1">{"'Sheet1'!$A$5:$G$42"}</definedName>
    <definedName name="copin" localSheetId="10" hidden="1">{#N/A,#N/A,TRUE,"RESUMEN ECON.";#N/A,#N/A,TRUE,"Costos de R.H.";#N/A,#N/A,TRUE,"COSTO HW";#N/A,#N/A,TRUE,"CUADROS";#N/A,#N/A,TRUE,"SCADA´s";#N/A,#N/A,TRUE,"PRECIOS EQUIPOS"}</definedName>
    <definedName name="copon" localSheetId="10" hidden="1">{#N/A,#N/A,FALSE,"RESUMEN ECON.";#N/A,#N/A,FALSE,"Costos de R.H.";#N/A,#N/A,FALSE,"COSTO HW";#N/A,#N/A,FALSE,"CUADROS";#N/A,#N/A,FALSE,"SCADA´s";#N/A,#N/A,FALSE,"PRECIOS EQUIPOS"}</definedName>
    <definedName name="COPY" localSheetId="10" hidden="1">{#N/A,#N/A,FALSE,"Pharm";#N/A,#N/A,FALSE,"WWCM"}</definedName>
    <definedName name="copy1" localSheetId="10" hidden="1">{#N/A,#N/A,FALSE,"Pharm";#N/A,#N/A,FALSE,"WWCM"}</definedName>
    <definedName name="COPY2" localSheetId="10" hidden="1">{#N/A,#N/A,FALSE,"Pharm";#N/A,#N/A,FALSE,"WWCM"}</definedName>
    <definedName name="copy233" localSheetId="10" hidden="1">{#N/A,#N/A,FALSE,"Pharm";#N/A,#N/A,FALSE,"WWCM"}</definedName>
    <definedName name="copy33" localSheetId="10" hidden="1">{#N/A,#N/A,FALSE,"Pharm";#N/A,#N/A,FALSE,"WWCM"}</definedName>
    <definedName name="copy38" localSheetId="10" hidden="1">{#N/A,#N/A,FALSE,"Pharm";#N/A,#N/A,FALSE,"WWCM"}</definedName>
    <definedName name="corp" localSheetId="10" hidden="1">{#N/A,#N/A,TRUE,"BUD VS ACT AUST 96";#N/A,#N/A,TRUE,"96 COMP P&amp;L-AUST";#N/A,#N/A,TRUE,"COMP BS-AUSTRALIA";#N/A,#N/A,TRUE,"B/S - AUSTR."}</definedName>
    <definedName name="Costes" localSheetId="10" hidden="1">{#N/A,#N/A,TRUE,"RESUMEN ECON.";#N/A,#N/A,TRUE,"Costos de R.H.";#N/A,#N/A,TRUE,"COSTO HW";#N/A,#N/A,TRUE,"CUADROS";#N/A,#N/A,TRUE,"SCADA´s";#N/A,#N/A,TRUE,"PRECIOS EQUIPOS"}</definedName>
    <definedName name="costofrev" localSheetId="10" hidden="1">{"qtrly summ-FY01",#N/A,FALSE,"P &amp; L";"monthly P&amp;L-FY01",#N/A,FALSE,"P &amp; L";"cash flow - FY01",#N/A,FALSE,"P &amp; L";"P&amp;L FY01",#N/A,FALSE,"P &amp; L";"BS FY01",#N/A,FALSE,"P &amp; L";"staffing - FY01",#N/A,FALSE,"P &amp; L"}</definedName>
    <definedName name="coun" localSheetId="10" hidden="1">{#N/A,#N/A,FALSE,"Assessment";#N/A,#N/A,FALSE,"Staffing";#N/A,#N/A,FALSE,"Hires";#N/A,#N/A,FALSE,"Assumptions"}</definedName>
    <definedName name="COUNTRY" localSheetId="10" hidden="1">{#N/A,#N/A,FALSE,"Assessment";#N/A,#N/A,FALSE,"Staffing";#N/A,#N/A,FALSE,"Hires";#N/A,#N/A,FALSE,"Assumptions"}</definedName>
    <definedName name="cpvs"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redit1" localSheetId="10" hidden="1">{#N/A,#N/A,TRUE,"Overview";#N/A,#N/A,TRUE,"New Gen"}</definedName>
    <definedName name="CSG" localSheetId="10" hidden="1">{"cap_structure",#N/A,FALSE,"Graph-Mkt Cap";"price",#N/A,FALSE,"Graph-Price";"ebit",#N/A,FALSE,"Graph-EBITDA";"ebitda",#N/A,FALSE,"Graph-EBITDA"}</definedName>
    <definedName name="CurrentLoan" localSheetId="10">(#REF!*#REF!*#REF!*#REF!)&gt;0</definedName>
    <definedName name="cvade" localSheetId="10" hidden="1">{"FCB_ALL",#N/A,FALSE,"FCB"}</definedName>
    <definedName name="cvb" localSheetId="10" hidden="1">{#N/A,#N/A,FALSE,"TABLE_1 YTD";#N/A,#N/A,FALSE,"TABLE_1A QTD";#N/A,#N/A,FALSE,"NORMAL_SPREAD_QTD";#N/A,#N/A,FALSE,"NORMAL_SPREAD_YTD";#N/A,#N/A,FALSE,"TAX_EQV";#N/A,#N/A,FALSE,"TAX EQUIV_INPUT";#N/A,#N/A,FALSE,"NET FROM FER";#N/A,#N/A,FALSE,"COVER"}</definedName>
    <definedName name="cxgxgfgfs" localSheetId="10" hidden="1">{#N/A,#N/A,FALSE,"Cashflow Analysis";#N/A,#N/A,FALSE,"Sensitivity Analysis";#N/A,#N/A,FALSE,"PV";#N/A,#N/A,FALSE,"Pro Forma"}</definedName>
    <definedName name="cxgxgfgfs.2" localSheetId="10" hidden="1">{#N/A,#N/A,FALSE,"Cashflow Analysis";#N/A,#N/A,FALSE,"Sensitivity Analysis";#N/A,#N/A,FALSE,"PV";#N/A,#N/A,FALSE,"Pro Forma"}</definedName>
    <definedName name="D" localSheetId="10" hidden="1">#REF!</definedName>
    <definedName name="DAD" localSheetId="10" hidden="1">{#N/A,#N/A,FALSE,"REPORT"}</definedName>
    <definedName name="DADF" localSheetId="10" hidden="1">{#N/A,#N/A,FALSE,"REPORT"}</definedName>
    <definedName name="dadfa" localSheetId="1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eklj" localSheetId="10" hidden="1">{"FCB_ALL",#N/A,FALSE,"FCB"}</definedName>
    <definedName name="daewkl" localSheetId="10" hidden="1">{"FCB_ALL",#N/A,FALSE,"FCB";"GREY_ALL",#N/A,FALSE,"GREY"}</definedName>
    <definedName name="daf" localSheetId="10" hidden="1">{#N/A,#N/A,FALSE,"1";#N/A,#N/A,FALSE,"2";#N/A,#N/A,FALSE,"16 - 17";#N/A,#N/A,FALSE,"18 - 19";#N/A,#N/A,FALSE,"26";#N/A,#N/A,FALSE,"27";#N/A,#N/A,FALSE,"28"}</definedName>
    <definedName name="dafa" localSheetId="1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FAD" localSheetId="10" hidden="1">{"cap_structure",#N/A,FALSE,"Graph-Mkt Cap";"price",#N/A,FALSE,"Graph-Price";"ebit",#N/A,FALSE,"Graph-EBITDA";"ebitda",#N/A,FALSE,"Graph-EBITDA"}</definedName>
    <definedName name="dakfkjafgkeaj" localSheetId="10" hidden="1">{#N/A,#N/A,FALSE,"Pharm";#N/A,#N/A,FALSE,"WWCM"}</definedName>
    <definedName name="das" localSheetId="10" hidden="1">{"FCB_ALL",#N/A,FALSE,"FCB";"GREY_ALL",#N/A,FALSE,"GREY"}</definedName>
    <definedName name="dasfdsa" localSheetId="10" hidden="1">{"SUM",#N/A,FALSE,"Details (2)"}</definedName>
    <definedName name="dasgfdag" localSheetId="10" hidden="1">{"FCB_ALL",#N/A,FALSE,"FCB"}</definedName>
    <definedName name="dasklej" localSheetId="10" hidden="1">{"FCB_ALL",#N/A,FALSE,"FCB"}</definedName>
    <definedName name="Data" localSheetId="10">#REF!</definedName>
    <definedName name="david" localSheetId="10" hidden="1">{#N/A,#N/A,FALSE,"ACQ_GRAPHS";#N/A,#N/A,FALSE,"T_1 GRAPHS";#N/A,#N/A,FALSE,"T_2 GRAPHS";#N/A,#N/A,FALSE,"COMB_GRAPHS"}</definedName>
    <definedName name="DCF_" localSheetId="1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localSheetId="10" hidden="1">{#N/A,#N/A,FALSE,"Pharm";#N/A,#N/A,FALSE,"WWCM"}</definedName>
    <definedName name="ddd" localSheetId="10" hidden="1">{"'ATP'!$E$6"}</definedName>
    <definedName name="ddd_1" localSheetId="10" hidden="1">{"'ATP'!$E$6"}</definedName>
    <definedName name="ddd_11" localSheetId="10" hidden="1">{"'ATP'!$E$6"}</definedName>
    <definedName name="dddaz" localSheetId="10" hidden="1">{#N/A,#N/A,FALSE,"Pharm";#N/A,#N/A,FALSE,"WWCM"}</definedName>
    <definedName name="dddd" localSheetId="10" hidden="1">{"'ATP'!$E$6"}</definedName>
    <definedName name="dddddd" localSheetId="10" hidden="1">{#N/A,#N/A,FALSE,"Pharm";#N/A,#N/A,FALSE,"WWCM"}</definedName>
    <definedName name="ddddddd" localSheetId="10" hidden="1">{"Income Statement",#N/A,FALSE,"Income Statement";"Balance Sheet",#N/A,FALSE,"Balance Sheet";"Cash Flow",#N/A,FALSE,"Cash Flow";"Ratios",#N/A,FALSE,"Ratios"}</definedName>
    <definedName name="DE" localSheetId="1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bbie" localSheetId="10" hidden="1">{"FY03_Assets",#N/A,FALSE,"Fin Stmt Budget";"FY03_Liabilities",#N/A,FALSE,"Fin Stmt Budget";"FY03_Inc_Stmt",#N/A,FALSE,"Fin Stmt Budget";"FY03_SOCF",#N/A,FALSE,"Fin Stmt Budget"}</definedName>
    <definedName name="Dec95JobSched" localSheetId="10" hidden="1">{#N/A,#N/A,FALSE,"Job Sched"}</definedName>
    <definedName name="dede" localSheetId="10" hidden="1">{#N/A,#N/A,FALSE,"Pharm";#N/A,#N/A,FALSE,"WWCM"}</definedName>
    <definedName name="DEDED" localSheetId="10" hidden="1">{#N/A,#N/A,FALSE,"Card";#N/A,#N/A,FALSE,"Prav";#N/A,#N/A,FALSE,"Irbe";#N/A,#N/A,FALSE,"Plavix";#N/A,#N/A,FALSE,"Capt";#N/A,#N/A,FALSE,"Fosi"}</definedName>
    <definedName name="DEDEDZE" localSheetId="10" hidden="1">{#N/A,#N/A,FALSE,"Pharm";#N/A,#N/A,FALSE,"WWCM"}</definedName>
    <definedName name="DEDZD" localSheetId="10" hidden="1">{#N/A,#N/A,FALSE,"Pharm";#N/A,#N/A,FALSE,"WWCM"}</definedName>
    <definedName name="DEE" localSheetId="10" hidden="1">{#N/A,#N/A,FALSE,"Pharm";#N/A,#N/A,FALSE,"WWCM"}</definedName>
    <definedName name="def"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delete" localSheetId="10" hidden="1">{"STMT OF CASH FLOWS",#N/A,FALSE,"Cash Flows Indirect"}</definedName>
    <definedName name="delete2" localSheetId="10" hidden="1">{"BALANCE SHEET ACCTS",#N/A,TRUE,"Working Trial Balance";"INCOME STMT ACCTS",#N/A,TRUE,"Working Trial Balance"}</definedName>
    <definedName name="depn" localSheetId="10" hidden="1">{#N/A,#N/A,FALSE,"P&amp;L";#N/A,#N/A,FALSE,"fund";#N/A,#N/A,FALSE,"B.S.";#N/A,#N/A,FALSE,"tax-P&amp;L";#N/A,#N/A,FALSE,"tax-tarif1"}</definedName>
    <definedName name="depn2" localSheetId="10" hidden="1">{#N/A,#N/A,FALSE,"P&amp;L";#N/A,#N/A,FALSE,"fund";#N/A,#N/A,FALSE,"B.S.";#N/A,#N/A,FALSE,"tax-P&amp;L";#N/A,#N/A,FALSE,"tax-tarif1"}</definedName>
    <definedName name="Depr_Method" localSheetId="10">#REF!</definedName>
    <definedName name="DEZLFEZKLHF" localSheetId="10" hidden="1">{#N/A,#N/A,FALSE,"Pharm";#N/A,#N/A,FALSE,"WWCM"}</definedName>
    <definedName name="df" localSheetId="10" hidden="1">{#N/A,#N/A,TRUE,"A";#N/A,#N/A,TRUE,"B";#N/A,#N/A,TRUE,"C";#N/A,#N/A,TRUE,"D";#N/A,#N/A,TRUE,"E"}</definedName>
    <definedName name="dfa" localSheetId="10" hidden="1">{"Annual_Income",#N/A,FALSE,"Report Page";"Balance_Cash_Flow",#N/A,FALSE,"Report Page";"Quarterly_Income",#N/A,FALSE,"Report Page"}</definedName>
    <definedName name="dfasdf" localSheetId="10" hidden="1">#REF!</definedName>
    <definedName name="dfd" localSheetId="10" hidden="1">{"BS",#N/A,FALSE,"USA"}</definedName>
    <definedName name="dfdas" localSheetId="10" hidden="1">{"FCB_ALL",#N/A,FALSE,"FCB";"GREY_ALL",#N/A,FALSE,"GREY"}</definedName>
    <definedName name="dfdas1" localSheetId="10" hidden="1">{"FCB_ALL",#N/A,FALSE,"FCB";"GREY_ALL",#N/A,FALSE,"GREY"}</definedName>
    <definedName name="DFDD" localSheetId="10" hidden="1">{#N/A,#N/A,FALSE,"REPORT"}</definedName>
    <definedName name="dfdf"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d" localSheetId="10" hidden="1">{"FCB_ALL",#N/A,FALSE,"FCB";"GREY_ALL",#N/A,FALSE,"GREY"}</definedName>
    <definedName name="dfdfdd" localSheetId="10" hidden="1">{"FCB_ALL",#N/A,FALSE,"FCB";"GREY_ALL",#N/A,FALSE,"GREY"}</definedName>
    <definedName name="dfdfdfd" localSheetId="10" hidden="1">{"FCB_ALL",#N/A,FALSE,"FCB"}</definedName>
    <definedName name="dfdfdfd1" localSheetId="10" hidden="1">{"FCB_ALL",#N/A,FALSE,"FCB"}</definedName>
    <definedName name="dfdsf" localSheetId="10" hidden="1">{"FCB_ALL",#N/A,FALSE,"FCB";"GREY_ALL",#N/A,FALSE,"GREY"}</definedName>
    <definedName name="dfg" localSheetId="10">#REF!</definedName>
    <definedName name="dfgd" localSheetId="10" hidden="1">{#N/A,#N/A,FALSE,"Cashflow Analysis";#N/A,#N/A,FALSE,"Sensitivity Analysis";#N/A,#N/A,FALSE,"PV";#N/A,#N/A,FALSE,"Pro Forma"}</definedName>
    <definedName name="dfgdgd" localSheetId="10" hidden="1">{"FCB_ALL",#N/A,FALSE,"FCB"}</definedName>
    <definedName name="dfgdxfv" localSheetId="10" hidden="1">{"FCB_ALL",#N/A,FALSE,"FCB"}</definedName>
    <definedName name="dfgsdf" localSheetId="10" hidden="1">{"FCB_ALL",#N/A,FALSE,"FCB"}</definedName>
    <definedName name="dfhzfd" localSheetId="10" hidden="1">{"'Sheet1'!$A$5:$G$42"}</definedName>
    <definedName name="dfk"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r" localSheetId="10" hidden="1">{#N/A,#N/A,FALSE,"Pharm";#N/A,#N/A,FALSE,"WWCM"}</definedName>
    <definedName name="dfs" localSheetId="10" hidden="1">{#N/A,#N/A,FALSE,"Cover";#N/A,#N/A,FALSE,"TOC";#N/A,#N/A,FALSE,"IS";#N/A,#N/A,FALSE,"Mo. IS";#N/A,#N/A,FALSE,"Cont By Div";#N/A,#N/A,FALSE,"BS";#N/A,#N/A,FALSE,"CF";#N/A,#N/A,FALSE,"Inventory"}</definedName>
    <definedName name="dfsafd" localSheetId="1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1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localSheetId="1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1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gsdfg" localSheetId="10" hidden="1">{#N/A,#N/A,FALSE,"Cover";#N/A,#N/A,FALSE,"TOC";#N/A,#N/A,FALSE,"IS";#N/A,#N/A,FALSE,"Mo. IS";#N/A,#N/A,FALSE,"Cont By Div";#N/A,#N/A,FALSE,"BS";#N/A,#N/A,FALSE,"CF";#N/A,#N/A,FALSE,"Inventory"}</definedName>
    <definedName name="dg"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dg" localSheetId="10" hidden="1">{#N/A,#N/A,FALSE,"Calc";#N/A,#N/A,FALSE,"Sensitivity";#N/A,#N/A,FALSE,"LT Earn.Dil.";#N/A,#N/A,FALSE,"Dil. AVP"}</definedName>
    <definedName name="dgdgss" localSheetId="10" hidden="1">{"consolidated",#N/A,FALSE,"Sheet1";"cms",#N/A,FALSE,"Sheet1";"fse",#N/A,FALSE,"Sheet1"}</definedName>
    <definedName name="dgh" localSheetId="10" hidden="1">{"summary",#N/A,FALSE,"3 yr average";"comps",#N/A,FALSE,"3 yr average"}</definedName>
    <definedName name="dgtdf" localSheetId="10" hidden="1">{"FCB_ALL",#N/A,FALSE,"FCB"}</definedName>
    <definedName name="DHG" localSheetId="10" hidden="1">{"cap_structure",#N/A,FALSE,"Graph-Mkt Cap";"price",#N/A,FALSE,"Graph-Price";"ebit",#N/A,FALSE,"Graph-EBITDA";"ebitda",#N/A,FALSE,"Graph-EBITDA"}</definedName>
    <definedName name="dis" localSheetId="10" hidden="1">{#N/A,#N/A,FALSE,"Cashflow Analysis";#N/A,#N/A,FALSE,"Sensitivity Analysis";#N/A,#N/A,FALSE,"PV";#N/A,#N/A,FALSE,"Pro Forma"}</definedName>
    <definedName name="dis.2" localSheetId="10" hidden="1">{#N/A,#N/A,FALSE,"Cashflow Analysis";#N/A,#N/A,FALSE,"Sensitivity Analysis";#N/A,#N/A,FALSE,"PV";#N/A,#N/A,FALSE,"Pro Forma"}</definedName>
    <definedName name="Discout" localSheetId="10">#REF!</definedName>
    <definedName name="djd"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jdjd" localSheetId="10" hidden="1">{#N/A,#N/A,TRUE,"BUD VS ACT AUST 96";#N/A,#N/A,TRUE,"96 COMP P&amp;L-AUST";#N/A,#N/A,TRUE,"COMP BS-AUSTRALIA";#N/A,#N/A,TRUE,"B/S - AUSTR."}</definedName>
    <definedName name="djd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ksljd" localSheetId="10" hidden="1">{#N/A,#N/A,FALSE,"Other";#N/A,#N/A,FALSE,"Ace";#N/A,#N/A,FALSE,"Derm"}</definedName>
    <definedName name="dkfjdfNew"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gahirghigf" localSheetId="10" hidden="1">{#N/A,#N/A,FALSE,"Pharm";#N/A,#N/A,FALSE,"WWCM"}</definedName>
    <definedName name="dkj"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reyer" localSheetId="10" hidden="1">{"FCB_ALL",#N/A,FALSE,"FCB"}</definedName>
    <definedName name="drgd" localSheetId="10" hidden="1">{"FCB_ALL",#N/A,FALSE,"FCB"}</definedName>
    <definedName name="drtd" localSheetId="10" hidden="1">{"FCB_ALL",#N/A,FALSE,"FCB"}</definedName>
    <definedName name="drtg" localSheetId="10" hidden="1">{"FCB_ALL",#N/A,FALSE,"FCB"}</definedName>
    <definedName name="drtgdg" localSheetId="10" hidden="1">{"FCB_ALL",#N/A,FALSE,"FCB"}</definedName>
    <definedName name="dsafd" localSheetId="1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lkj" localSheetId="10" hidden="1">{"FCB_ALL",#N/A,FALSE,"FCB";"GREY_ALL",#N/A,FALSE,"GREY"}</definedName>
    <definedName name="dsaflkje" localSheetId="10" hidden="1">{"FCB_ALL",#N/A,FALSE,"FCB"}</definedName>
    <definedName name="dsafwlekj" localSheetId="10" hidden="1">{"FCB_ALL",#N/A,FALSE,"FCB";"GREY_ALL",#N/A,FALSE,"GREY"}</definedName>
    <definedName name="dsea" localSheetId="10" hidden="1">{"FCB_ALL",#N/A,FALSE,"FCB"}</definedName>
    <definedName name="dsfgr" localSheetId="10" hidden="1">{"FCB_ALL",#N/A,FALSE,"FCB"}</definedName>
    <definedName name="dsfsd" localSheetId="10" hidden="1">{"Total",#N/A,FALSE,"Six Fields";"PDP",#N/A,FALSE,"Six Fields";"PNP",#N/A,FALSE,"Six Fields";"PUD",#N/A,FALSE,"Six Fields";"Prob",#N/A,FALSE,"Six Fields"}</definedName>
    <definedName name="dsfsffss" localSheetId="10" hidden="1">{#N/A,#N/A,FALSE,"Pharm";#N/A,#N/A,FALSE,"WWCM"}</definedName>
    <definedName name="dsg" localSheetId="10" hidden="1">{#N/A,#N/A,FALSE,"Calc";#N/A,#N/A,FALSE,"Sensitivity";#N/A,#N/A,FALSE,"LT Earn.Dil.";#N/A,#N/A,FALSE,"Dil. AVP"}</definedName>
    <definedName name="dtjhj" localSheetId="10" hidden="1">{#N/A,#N/A,FALSE,"Phase I";#N/A,#N/A,FALSE,"Phase II";#N/A,#N/A,FALSE,"Phase III"}</definedName>
    <definedName name="dtmm"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ue" localSheetId="10" hidden="1">{#N/A,#N/A,FALSE,"INPUTS";#N/A,#N/A,FALSE,"PROFORMA BSHEET";#N/A,#N/A,FALSE,"COMBINED";#N/A,#N/A,FALSE,"ACQUIROR";#N/A,#N/A,FALSE,"TARGET 1";#N/A,#N/A,FALSE,"TARGET 2";#N/A,#N/A,FALSE,"HIGH YIELD";#N/A,#N/A,FALSE,"OVERFUND"}</definedName>
    <definedName name="Dummy" localSheetId="10" hidden="1">{"Summary",#N/A,FALSE,"Summary"}</definedName>
    <definedName name="Dummy_1" localSheetId="10" hidden="1">{"Summary",#N/A,FALSE,"Summary"}</definedName>
    <definedName name="Dummy_1_1" localSheetId="10" hidden="1">{"Summary",#N/A,FALSE,"Summary"}</definedName>
    <definedName name="Dummy_1_2" localSheetId="10" hidden="1">{"Summary",#N/A,FALSE,"Summary"}</definedName>
    <definedName name="Dummy_1_3" localSheetId="10" hidden="1">{"Summary",#N/A,FALSE,"Summary"}</definedName>
    <definedName name="Dummy_1_4" localSheetId="10" hidden="1">{"Summary",#N/A,FALSE,"Summary"}</definedName>
    <definedName name="Dummy_2" localSheetId="10" hidden="1">{"Summary",#N/A,FALSE,"Summary"}</definedName>
    <definedName name="Dummy_3" localSheetId="10" hidden="1">{"Summary",#N/A,FALSE,"Summary"}</definedName>
    <definedName name="Dummy_4" localSheetId="10" hidden="1">{"Summary",#N/A,FALSE,"Summary"}</definedName>
    <definedName name="Dummy_5" localSheetId="10" hidden="1">{"Summary",#N/A,FALSE,"Summary"}</definedName>
    <definedName name="Dummy1" localSheetId="10" hidden="1">{"Summary",#N/A,FALSE,"Summary"}</definedName>
    <definedName name="Dummy1_1" localSheetId="10" hidden="1">{"Summary",#N/A,FALSE,"Summary"}</definedName>
    <definedName name="Dummy1_1_1" localSheetId="10" hidden="1">{"Summary",#N/A,FALSE,"Summary"}</definedName>
    <definedName name="Dummy1_1_2" localSheetId="10" hidden="1">{"Summary",#N/A,FALSE,"Summary"}</definedName>
    <definedName name="Dummy1_1_3" localSheetId="10" hidden="1">{"Summary",#N/A,FALSE,"Summary"}</definedName>
    <definedName name="Dummy1_1_4" localSheetId="10" hidden="1">{"Summary",#N/A,FALSE,"Summary"}</definedName>
    <definedName name="Dummy1_2" localSheetId="10" hidden="1">{"Summary",#N/A,FALSE,"Summary"}</definedName>
    <definedName name="Dummy1_3" localSheetId="10" hidden="1">{"Summary",#N/A,FALSE,"Summary"}</definedName>
    <definedName name="Dummy1_4" localSheetId="10" hidden="1">{"Summary",#N/A,FALSE,"Summary"}</definedName>
    <definedName name="Dummy1_5" localSheetId="10" hidden="1">{"Summary",#N/A,FALSE,"Summary"}</definedName>
    <definedName name="dvv" localSheetId="10" hidden="1">{#N/A,#N/A,TRUE,"NIE_C";#N/A,#N/A,TRUE,"NIE";#N/A,#N/A,TRUE,"NIE_D";#N/A,#N/A,TRUE,"NIE_D_CC";#N/A,#N/A,TRUE,"HEA -- EXP"}</definedName>
    <definedName name="E" localSheetId="10" hidden="1">#REF!</definedName>
    <definedName name="East" localSheetId="10"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coast" localSheetId="10" hidden="1">{"FY04_Assets",#N/A,FALSE,"Fin Stmt Budget";"FY04_Liabilities",#N/A,FALSE,"Fin Stmt Budget";"FY04_Inc_Stmt",#N/A,FALSE,"Fin Stmt Budget";"FY04_SOCF",#N/A,FALSE,"Fin Stmt Budget"}</definedName>
    <definedName name="Eastern" localSheetId="10" hidden="1">{"FY03_Assets",#N/A,FALSE,"Fin Stmt Budget";"FY03_Liabilities",#N/A,FALSE,"Fin Stmt Budget";"FY03_Inc_Stmt",#N/A,FALSE,"Fin Stmt Budget";"FY03_SOCF",#N/A,FALSE,"Fin Stmt Budget"}</definedName>
    <definedName name="ed" localSheetId="10"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dr" localSheetId="1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e" localSheetId="10"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EEE" localSheetId="10" hidden="1">{#N/A,#N/A,FALSE,"Pharm";#N/A,#N/A,FALSE,"WWCM"}</definedName>
    <definedName name="eeeee" localSheetId="10" hidden="1">{#N/A,#N/A,FALSE,"Pharm";#N/A,#N/A,FALSE,"WWCM"}</definedName>
    <definedName name="eerr" localSheetId="10" hidden="1">{"Alle Perioden",#N/A,FALSE,"Erf";"Alle Perioden",#N/A,FALSE,"Ang";"Alle Perioden",#N/A,FALSE,"BV";"Alle Perioden",#N/A,FALSE,"BE";"Alle Perioden",#N/A,FALSE,"Re";"Alle Perioden",#N/A,FALSE,"Vol"}</definedName>
    <definedName name="ef"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ferferfge"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in" localSheetId="10" hidden="1">{#N/A,#N/A,FALSE,"Output";#N/A,#N/A,FALSE,"Cover Sheet";#N/A,#N/A,FALSE,"Current Mkt. Projections"}</definedName>
    <definedName name="efn" localSheetId="10" hidden="1">{#N/A,#N/A,TRUE,"DCF Summary";#N/A,#N/A,TRUE,"Casema";#N/A,#N/A,TRUE,"UK";#N/A,#N/A,TRUE,"RCF";#N/A,#N/A,TRUE,"Intercable CZ";#N/A,#N/A,TRUE,"Interkabel P";#N/A,#N/A,TRUE,"LBO-Total";#N/A,#N/A,TRUE,"LBO-Casema"}</definedName>
    <definedName name="ejejejej" localSheetId="1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kfgkjze" localSheetId="10" hidden="1">{#N/A,#N/A,FALSE,"Pharm";#N/A,#N/A,FALSE,"WWCM"}</definedName>
    <definedName name="emily" localSheetId="10" hidden="1">{#N/A,#N/A,FALSE,"Calc";#N/A,#N/A,FALSE,"Sensitivity";#N/A,#N/A,FALSE,"LT Earn.Dil.";#N/A,#N/A,FALSE,"Dil. AVP"}</definedName>
    <definedName name="EndDate1" localSheetId="10">#REF!</definedName>
    <definedName name="Eng" localSheetId="10" hidden="1">{"PAGE 1",#N/A,FALSE,"WEST_OT"}</definedName>
    <definedName name="EPC" localSheetId="10" hidden="1">{#N/A,#N/A,FALSE,"RESUMEN ECON.";#N/A,#N/A,FALSE,"Costos de R.H.";#N/A,#N/A,FALSE,"COSTO HW";#N/A,#N/A,FALSE,"CUADROS";#N/A,#N/A,FALSE,"SCADA´s";#N/A,#N/A,FALSE,"PRECIOS EQUIPOS"}</definedName>
    <definedName name="equity" localSheetId="10" hidden="1">{"Balance Sheet",#N/A,FALSE,"Annual Summary";"Cashflows",#N/A,FALSE,"Annual Summary";"Summary Earnings",#N/A,FALSE,"Annual Summary"}</definedName>
    <definedName name="er"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aseMe" localSheetId="10" hidden="1">{#N/A,#N/A,FALSE,"Job Sched"}</definedName>
    <definedName name="erd" localSheetId="10" hidden="1">{#N/A,#N/A,FALSE,"Pharm";#N/A,#N/A,FALSE,"WWCM"}</definedName>
    <definedName name="erer" localSheetId="10" hidden="1">{"FCB_ALL",#N/A,FALSE,"FCB";"GREY_ALL",#N/A,FALSE,"GREY"}</definedName>
    <definedName name="erere" localSheetId="10" hidden="1">{"arpm1995",#N/A,FALSE,"Summary 95-96";"bus_long_distance",#N/A,FALSE,"Summary 95-96";"mins_per_day",#N/A,FALSE,"Summary 95-96";"minutes1995",#N/A,FALSE,"Summary 95-96";"rev_per_day",#N/A,FALSE,"Summary 95-96";"view1995",#N/A,FALSE,"Summary 95-96"}</definedName>
    <definedName name="ererer" localSheetId="10" hidden="1">{"arpm1995",#N/A,FALSE,"Summary 95-96";"bus_long_distance",#N/A,FALSE,"Summary 95-96";"mins_per_day",#N/A,FALSE,"Summary 95-96";"minutes1995",#N/A,FALSE,"Summary 95-96";"rev_per_day",#N/A,FALSE,"Summary 95-96";"view1995",#N/A,FALSE,"Summary 95-96"}</definedName>
    <definedName name="erewre" localSheetId="10" hidden="1">{"arpm1995",#N/A,FALSE,"Summary 95-96";"bus_long_distance",#N/A,FALSE,"Summary 95-96";"mins_per_day",#N/A,FALSE,"Summary 95-96";"minutes1995",#N/A,FALSE,"Summary 95-96";"rev_per_day",#N/A,FALSE,"Summary 95-96";"view1995",#N/A,FALSE,"Summary 95-96"}</definedName>
    <definedName name="erg" localSheetId="10" hidden="1">{#N/A,#N/A,FALSE,"ACQ_GRAPHS";#N/A,#N/A,FALSE,"T_1 GRAPHS";#N/A,#N/A,FALSE,"T_2 GRAPHS";#N/A,#N/A,FALSE,"COMB_GRAPHS"}</definedName>
    <definedName name="erryeyetyuu" localSheetId="10" hidden="1">{#N/A,#N/A,FALSE,"Pharm";#N/A,#N/A,FALSE,"WWCM"}</definedName>
    <definedName name="ers" localSheetId="10" hidden="1">{"FCB_ALL",#N/A,FALSE,"FCB";"GREY_ALL",#N/A,FALSE,"GREY"}</definedName>
    <definedName name="ersdf" localSheetId="10" hidden="1">{"FCB_ALL",#N/A,FALSE,"FCB";"GREY_ALL",#N/A,FALSE,"GREY"}</definedName>
    <definedName name="erser" localSheetId="10" hidden="1">{"FCB_ALL",#N/A,FALSE,"FCB"}</definedName>
    <definedName name="es" localSheetId="10" hidden="1">{"FCB_ALL",#N/A,FALSE,"FCB"}</definedName>
    <definedName name="esr" localSheetId="10" hidden="1">{"FCB_ALL",#N/A,FALSE,"FCB"}</definedName>
    <definedName name="esrs" localSheetId="10" hidden="1">{"FCB_ALL",#N/A,FALSE,"FCB"}</definedName>
    <definedName name="ESSAI" localSheetId="10" hidden="1">{#N/A,#N/A,FALSE,"Pharm";#N/A,#N/A,FALSE,"WWCM"}</definedName>
    <definedName name="esw" localSheetId="10" hidden="1">{#N/A,#N/A,FALSE,"TABLE_1 YTD- VALUES LAST YR(2)"}</definedName>
    <definedName name="etet" localSheetId="10" hidden="1">{#N/A,#N/A,FALSE,"Calc";#N/A,#N/A,FALSE,"Sensitivity";#N/A,#N/A,FALSE,"LT Earn.Dil.";#N/A,#N/A,FALSE,"Dil. AVP"}</definedName>
    <definedName name="ev.Calculation" localSheetId="10" hidden="1">2</definedName>
    <definedName name="ewwe" localSheetId="10" hidden="1">{#N/A,#N/A,FALSE,"REPORT"}</definedName>
    <definedName name="excel" localSheetId="10" hidden="1">{"cash flow - FY00",#N/A,FALSE,"P &amp; L";"cash flow - FY01",#N/A,FALSE,"P &amp; L"}</definedName>
    <definedName name="excel2" localSheetId="10" hidden="1">{"cash flow - FY00",#N/A,FALSE,"P &amp; L";"cash flow - FY01",#N/A,FALSE,"P &amp; L"}</definedName>
    <definedName name="Expenses" localSheetId="10" hidden="1">{"SUM",#N/A,FALSE,"Details (2)"}</definedName>
    <definedName name="eyh" localSheetId="10" hidden="1">{#N/A,#N/A,FALSE,"BS";#N/A,#N/A,FALSE,"PL";#N/A,#N/A,FALSE,"SOE";#N/A,#N/A,FALSE,"SCF"}</definedName>
    <definedName name="fadsf"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sd" localSheetId="10" hidden="1">{#N/A,#N/A,FALSE,"MKT.COMPS";#N/A,#N/A,FALSE,"DCF - LBO"}</definedName>
    <definedName name="fafs" localSheetId="10" hidden="1">{#N/A,#N/A,FALSE,"Brad BANM_S";#N/A,#N/A,FALSE,"Brad SAM_BANM";#N/A,#N/A,FALSE,"Brad_LD";#N/A,#N/A,FALSE,"BANM-&gt;S";#N/A,#N/A,FALSE,"BANM_S";#N/A,#N/A,FALSE,"S-&gt;BANM";#N/A,#N/A,FALSE,"SAM_BANM";#N/A,#N/A,FALSE,"BANM";#N/A,#N/A,FALSE,"Sam"}</definedName>
    <definedName name="FarrellWitchita" localSheetId="10" hidden="1">{"FCB_ALL",#N/A,FALSE,"FCB"}</definedName>
    <definedName name="fasdfs" localSheetId="10" hidden="1">{#N/A,#N/A,FALSE,"Aging Summary";#N/A,#N/A,FALSE,"Ratio Analysis";#N/A,#N/A,FALSE,"Test 120 Day Accts";#N/A,#N/A,FALSE,"Tickmarks"}</definedName>
    <definedName name="fd"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DFD" localSheetId="10" hidden="1">{#N/A,#N/A,FALSE,"Pharm";#N/A,#N/A,FALSE,"WWCM"}</definedName>
    <definedName name="fdgad" localSheetId="10" hidden="1">{"inputs raw data",#N/A,TRUE,"INPUT"}</definedName>
    <definedName name="fdgfdg" localSheetId="10" hidden="1">{"FCB_ALL",#N/A,FALSE,"FCB";"GREY_ALL",#N/A,FALSE,"GREY"}</definedName>
    <definedName name="fds" localSheetId="10" hidden="1">{#N/A,#N/A,FALSE,"Pharm";#N/A,#N/A,FALSE,"WWCM"}</definedName>
    <definedName name="fdsafdas" localSheetId="10" hidden="1">{"Summary",#N/A,FALSE,"Details (2)"}</definedName>
    <definedName name="fdsag" localSheetId="10" hidden="1">{"FCB_ALL",#N/A,FALSE,"FCB"}</definedName>
    <definedName name="fdsakfjds" localSheetId="10" hidden="1">{"FCB_ALL",#N/A,FALSE,"FCB";"GREY_ALL",#N/A,FALSE,"GREY"}</definedName>
    <definedName name="fdsg" localSheetId="10" hidden="1">{"FCB_ALL",#N/A,FALSE,"FCB"}</definedName>
    <definedName name="feb02tb" localSheetId="10" hidden="1">{"Statement of Income",#N/A,TRUE,"Mar99";"Balance Sheet",#N/A,TRUE,"Mar99"}</definedName>
    <definedName name="fees" localSheetId="10">#REF!</definedName>
    <definedName name="ff" localSheetId="10" hidden="1">{#N/A,#N/A,FALSE,"Pharm";#N/A,#N/A,FALSE,"WWCM"}</definedName>
    <definedName name="fff" localSheetId="10" hidden="1">{#N/A,#N/A,FALSE,"Pharm";#N/A,#N/A,FALSE,"WWCM"}</definedName>
    <definedName name="ffff" localSheetId="10" hidden="1">{#N/A,#N/A,TRUE,"BUD VS ACT AUST 96";#N/A,#N/A,TRUE,"96 COMP P&amp;L-AUST";#N/A,#N/A,TRUE,"COMP BS-AUSTRALIA";#N/A,#N/A,TRUE,"B/S - AUSTR."}</definedName>
    <definedName name="ffffff.2" localSheetId="10" hidden="1">{#N/A,#N/A,FALSE,"Cashflow Analysis";#N/A,#N/A,FALSE,"Sensitivity Analysis";#N/A,#N/A,FALSE,"PV";#N/A,#N/A,FALSE,"Pro Forma"}</definedName>
    <definedName name="fffffff" localSheetId="10" hidden="1">{#N/A,#N/A,FALSE,"Pharm";#N/A,#N/A,FALSE,"WWCM"}</definedName>
    <definedName name="ffffffffff"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g" localSheetId="10"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fgf" localSheetId="10" hidden="1">{#N/A,#N/A,FALSE,"COVER";#N/A,#N/A,FALSE,"RATIOS";#N/A,#N/A,FALSE,"LEVERAGE";#N/A,#N/A,FALSE,"TIER-1";#N/A,#N/A,FALSE,"RISK BASED ASSETS";#N/A,#N/A,FALSE,"TIER-2"}</definedName>
    <definedName name="fgfdg" localSheetId="10" hidden="1">{"FCB_ALL",#N/A,FALSE,"FCB";"GREY_ALL",#N/A,FALSE,"GREY"}</definedName>
    <definedName name="fgj" localSheetId="10" hidden="1">{#N/A,#N/A,FALSE,"ACQ_GRAPHS";#N/A,#N/A,FALSE,"T_1 GRAPHS";#N/A,#N/A,FALSE,"T_2 GRAPHS";#N/A,#N/A,FALSE,"COMB_GRAPHS"}</definedName>
    <definedName name="fgkjkh" localSheetId="10" hidden="1">{#N/A,#N/A,FALSE,"REPORT"}</definedName>
    <definedName name="fgr" localSheetId="10"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sg" localSheetId="10" hidden="1">{"consolidated",#N/A,FALSE,"Sheet1";"cms",#N/A,FALSE,"Sheet1";"fse",#N/A,FALSE,"Sheet1"}</definedName>
    <definedName name="fhg"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ficha" localSheetId="10" hidden="1">{#N/A,#N/A,FALSE,"RESUMEN ECON.";#N/A,#N/A,FALSE,"Costos de R.H.";#N/A,#N/A,FALSE,"COSTO HW";#N/A,#N/A,FALSE,"CUADROS";#N/A,#N/A,FALSE,"SCADA´s";#N/A,#N/A,FALSE,"PRECIOS EQUIPOS"}</definedName>
    <definedName name="Final_Summary"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ncial" localSheetId="10" hidden="1">{#N/A,#N/A,FALSE,"1996 Monthly Detail";#N/A,#N/A,FALSE,"1996 CashFlow";#N/A,#N/A,FALSE,"PNL By Dept";#N/A,#N/A,FALSE,"1997 Quarterly Detail";#N/A,#N/A,FALSE,"1998 Quarterly Detail";#N/A,#N/A,FALSE,"1997 Cash Flow";#N/A,#N/A,FALSE,"1998 Cash Flow"}</definedName>
    <definedName name="financials" localSheetId="10" hidden="1">{"PAGE1",#N/A,FALSE,"BID (3)";"PAGE2",#N/A,FALSE,"BID (3)"}</definedName>
    <definedName name="fine" localSheetId="10" hidden="1">{#N/A,#N/A,FALSE,"RESUMEN ECON.";#N/A,#N/A,FALSE,"Costos de R.H.";#N/A,#N/A,FALSE,"COSTO HW";#N/A,#N/A,FALSE,"CUADROS";#N/A,#N/A,FALSE,"SCADA´s";#N/A,#N/A,FALSE,"PRECIOS EQUIPOS"}</definedName>
    <definedName name="fish" localSheetId="10" hidden="1">{#N/A,#N/A,FALSE,"VALSUM";#N/A,#N/A,FALSE,"MKT.COMPS";#N/A,#N/A,FALSE,"ACQ.MULT.";#N/A,#N/A,FALSE,"DCF - LBO"}</definedName>
    <definedName name="FJEZK" localSheetId="10" hidden="1">{#N/A,#N/A,FALSE,"Pharm";#N/A,#N/A,FALSE,"WWCM"}</definedName>
    <definedName name="fm" localSheetId="10" hidden="1">{"summary1",#N/A,TRUE,"Comps";"summary2",#N/A,TRUE,"Comps";"summary3",#N/A,TRUE,"Comps"}</definedName>
    <definedName name="FootnoteDefaults" localSheetId="10" hidden="1">{1;TRUE;5;"Times New Roman";FALSE;FALSE;TRUE;18;8;-4.5;-4;1;2;2;1;TRUE;5}</definedName>
    <definedName name="france" localSheetId="10" hidden="1">{#N/A,#N/A,FALSE,"COMP BS-FRANCE";#N/A,#N/A,FALSE,"96 COMP P&amp;L-FRANCE";#N/A,#N/A,FALSE,"BUD VS ACT FRAN 96";#N/A,#N/A,FALSE,"B/S - FRANCE"}</definedName>
    <definedName name="FRANCE1" localSheetId="10" hidden="1">{#N/A,#N/A,FALSE,"COMP BS-FRANCE";#N/A,#N/A,FALSE,"96 COMP P&amp;L-FRANCE";#N/A,#N/A,FALSE,"BUD VS ACT FRAN 96";#N/A,#N/A,FALSE,"B/S - FRANCE"}</definedName>
    <definedName name="frequency" localSheetId="10">{"Annually";"Semi-Annually";"Quarterly";"Bi-Monthly";"Monthly";"Semi-Monthly";"Bi-Weekly";"Weekly"}</definedName>
    <definedName name="FRF" localSheetId="10" hidden="1">{#N/A,#N/A,FALSE,"1";#N/A,#N/A,FALSE,"2";#N/A,#N/A,FALSE,"16 - 17";#N/A,#N/A,FALSE,"18 - 19";#N/A,#N/A,FALSE,"26";#N/A,#N/A,FALSE,"27";#N/A,#N/A,FALSE,"28"}</definedName>
    <definedName name="FRFERFE" localSheetId="10" hidden="1">{#N/A,#N/A,FALSE,"Pharm";#N/A,#N/A,FALSE,"WWCM"}</definedName>
    <definedName name="fsdafdsa" localSheetId="10" hidden="1">{"SUM",#N/A,FALSE,"Details (2)"}</definedName>
    <definedName name="fsdsfafd" localSheetId="10" hidden="1">{"CSheet",#N/A,FALSE,"C";"SmCap",#N/A,FALSE,"VAL1";"GulfCoast",#N/A,FALSE,"VAL1";"nav",#N/A,FALSE,"NAV";"Summary",#N/A,FALSE,"NAV"}</definedName>
    <definedName name="fsfs" localSheetId="10" hidden="1">{#N/A,#N/A,FALSE,"Calc";#N/A,#N/A,FALSE,"Sensitivity";#N/A,#N/A,FALSE,"LT Earn.Dil.";#N/A,#N/A,FALSE,"Dil. AVP"}</definedName>
    <definedName name="fsfsd" localSheetId="10" hidden="1">{#N/A,#N/A,TRUE,"RESUMEN ECON.";#N/A,#N/A,TRUE,"Costos de R.H.";#N/A,#N/A,TRUE,"COSTO HW";#N/A,#N/A,TRUE,"CUADROS";#N/A,#N/A,TRUE,"SCADA´s";#N/A,#N/A,TRUE,"PRECIOS EQUIPOS"}</definedName>
    <definedName name="fsgdr" localSheetId="10" hidden="1">{"FCB_ALL",#N/A,FALSE,"FCB"}</definedName>
    <definedName name="FSoPacific" localSheetId="10" hidden="1">{"BS",#N/A,FALSE,"USA"}</definedName>
    <definedName name="fsr" localSheetId="10" hidden="1">{"FCB_ALL",#N/A,FALSE,"FCB"}</definedName>
    <definedName name="fsv" localSheetId="10" hidden="1">{"FCB_ALL",#N/A,FALSE,"FCB";"GREY_ALL",#N/A,FALSE,"GREY"}</definedName>
    <definedName name="ftyf" localSheetId="10" hidden="1">{"FCB_ALL",#N/A,FALSE,"FCB";"GREY_ALL",#N/A,FALSE,"GREY"}</definedName>
    <definedName name="Fuckoff" localSheetId="10" hidden="1">{"Input Sheet",#N/A,FALSE,"Input";"New Co",#N/A,FALSE,"NEWCO";"Acq Cash Flow",#N/A,FALSE,"Acq. CF";"Target Cash Flow",#N/A,FALSE,"Tgt. CF";"Operational Merger",#N/A,FALSE,"OP Merger";"Acq Balance Sheet",#N/A,FALSE,"Acq. BS";"Target Balance Sheet",#N/A,FALSE,"Tgt. BS";"BOE Comp",#N/A,FALSE,"BOEComp"}</definedName>
    <definedName name="fuelco_wrn.test1." localSheetId="10" hidden="1">{"Income Statement",#N/A,FALSE,"CFMODEL";"Balance Sheet",#N/A,FALSE,"CFMODEL"}</definedName>
    <definedName name="fuelco_wrn.test2." localSheetId="10" hidden="1">{"SourcesUses",#N/A,TRUE,"CFMODEL";"TransOverview",#N/A,TRUE,"CFMODEL"}</definedName>
    <definedName name="fuelco_wrn.test3." localSheetId="10" hidden="1">{"SourcesUses",#N/A,TRUE,#N/A;"TransOverview",#N/A,TRUE,"CFMODEL"}</definedName>
    <definedName name="fuelco_wrn.test4." localSheetId="10" hidden="1">{"SourcesUses",#N/A,TRUE,"FundsFlow";"TransOverview",#N/A,TRUE,"FundsFlow"}</definedName>
    <definedName name="fundIV"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VG" localSheetId="10" hidden="1">{#N/A,#N/A,FALSE,"Pharm";#N/A,#N/A,FALSE,"WWCM"}</definedName>
    <definedName name="g" localSheetId="10" hidden="1">{#N/A,#N/A,FALSE,"Pharm";#N/A,#N/A,FALSE,"WWCM"}</definedName>
    <definedName name="GA" localSheetId="10" hidden="1">{#N/A,#N/A,FALSE,"Job Sched"}</definedName>
    <definedName name="GAAP" localSheetId="10">#REF!</definedName>
    <definedName name="gadew" localSheetId="10" hidden="1">{"FCB_ALL",#N/A,FALSE,"FCB"}</definedName>
    <definedName name="gadfsh" localSheetId="10" hidden="1">{"FCB_ALL",#N/A,FALSE,"FCB"}</definedName>
    <definedName name="gads" localSheetId="10" hidden="1">{"FCB_ALL",#N/A,FALSE,"FCB"}</definedName>
    <definedName name="gadse" localSheetId="10" hidden="1">{"FCB_ALL",#N/A,FALSE,"FCB"}</definedName>
    <definedName name="Gatewayforecast" localSheetId="10" hidden="1">{"SUM",#N/A,FALSE,"Details (2)"}</definedName>
    <definedName name="gawea" localSheetId="10" hidden="1">{"FCB_ALL",#N/A,FALSE,"FCB"}</definedName>
    <definedName name="gawen" localSheetId="10" hidden="1">{"FCB_ALL",#N/A,FALSE,"FCB"}</definedName>
    <definedName name="gdfgdf" localSheetId="10" hidden="1">{#N/A,#N/A,FALSE,"Pharm";#N/A,#N/A,FALSE,"WWCM"}</definedName>
    <definedName name="GeelCapexFcst" localSheetId="10" hidden="1">{#N/A,#N/A,FALSE,"SUMMARY";#N/A,#N/A,FALSE,"mcsh";#N/A,#N/A,FALSE,"vol&amp;rev";#N/A,#N/A,FALSE,"wkgcap";#N/A,#N/A,FALSE,"DEPR&amp;DT";#N/A,#N/A,FALSE,"ASSETS";#N/A,#N/A,FALSE,"NI&amp;OTH&amp;DIV";#N/A,#N/A,FALSE,"CASHFLOW";#N/A,#N/A,FALSE,"CAPEMPL";#N/A,#N/A,FALSE,"ROCE"}</definedName>
    <definedName name="gegeg" localSheetId="10" hidden="1">{#N/A,#N/A,FALSE,"Cashflow Analysis";#N/A,#N/A,FALSE,"Sensitivity Analysis";#N/A,#N/A,FALSE,"PV";#N/A,#N/A,FALSE,"Pro Forma"}</definedName>
    <definedName name="gegeg.2" localSheetId="10" hidden="1">{#N/A,#N/A,FALSE,"Cashflow Analysis";#N/A,#N/A,FALSE,"Sensitivity Analysis";#N/A,#N/A,FALSE,"PV";#N/A,#N/A,FALSE,"Pro Forma"}</definedName>
    <definedName name="gfasd" localSheetId="10" hidden="1">{"FCB_ALL",#N/A,FALSE,"FCB"}</definedName>
    <definedName name="gfdjhjh" localSheetId="10" hidden="1">{#N/A,#N/A,FALSE,"Pharm";#N/A,#N/A,FALSE,"WWCM"}</definedName>
    <definedName name="gfhs" localSheetId="10" hidden="1">{"summary1",#N/A,TRUE,"Comps";"summary2",#N/A,TRUE,"Comps";"summary3",#N/A,TRUE,"Comps"}</definedName>
    <definedName name="gfsdn" localSheetId="10" hidden="1">{"FCB_ALL",#N/A,FALSE,"FCB";"GREY_ALL",#N/A,FALSE,"GREY"}</definedName>
    <definedName name="GG" localSheetId="10" hidden="1">{#N/A,#N/A,FALSE,"PL-FS";#N/A,#N/A,FALSE,"PL"}</definedName>
    <definedName name="gg.2" localSheetId="10" hidden="1">{#N/A,#N/A,FALSE,"Cashflow Analysis";#N/A,#N/A,FALSE,"Sensitivity Analysis";#N/A,#N/A,FALSE,"PV";#N/A,#N/A,FALSE,"Pro Forma"}</definedName>
    <definedName name="ghjfg" localSheetId="10" hidden="1">{#N/A,#N/A,TRUE,"ALLL";#N/A,#N/A,TRUE,"DEL";#N/A,#N/A,TRUE,"Reserve Analysis";#N/A,#N/A,TRUE,"C_OFF HISTORY";#N/A,#N/A,TRUE,"ALLL_QTR";#N/A,#N/A,TRUE,"HEA_M";#N/A,#N/A,TRUE,"BL_DET";#N/A,#N/A,TRUE,"3YRS+";#N/A,#N/A,TRUE,"CONSTR_DET"}</definedName>
    <definedName name="ghjggjh" localSheetId="10" hidden="1">{#N/A,#N/A,FALSE,"Pharm";#N/A,#N/A,FALSE,"WWCM"}</definedName>
    <definedName name="ghmtymk" localSheetId="10" hidden="1">{#N/A,#N/A,FALSE,"INPUTS";#N/A,#N/A,FALSE,"PROFORMA BSHEET";#N/A,#N/A,FALSE,"COMBINED";#N/A,#N/A,FALSE,"ACQUIROR";#N/A,#N/A,FALSE,"TARGET 1";#N/A,#N/A,FALSE,"TARGET 2";#N/A,#N/A,FALSE,"HIGH YIELD";#N/A,#N/A,FALSE,"OVERFUND"}</definedName>
    <definedName name="ghtj" localSheetId="10" hidden="1">{#N/A,#N/A,FALSE,"ACQ_GRAPHS";#N/A,#N/A,FALSE,"T_1 GRAPHS";#N/A,#N/A,FALSE,"T_2 GRAPHS";#N/A,#N/A,FALSE,"COMB_GRAPHS"}</definedName>
    <definedName name="gilb.wrn.test2." localSheetId="10" hidden="1">{"SourcesUses",#N/A,TRUE,"CFMODEL";"TransOverview",#N/A,TRUE,"CFMODEL"}</definedName>
    <definedName name="gilb.wrn.test3." localSheetId="10" hidden="1">{"SourcesUses",#N/A,TRUE,#N/A;"TransOverview",#N/A,TRUE,"CFMODEL"}</definedName>
    <definedName name="gilb.wrn.test4." localSheetId="10" hidden="1">{"SourcesUses",#N/A,TRUE,"FundsFlow";"TransOverview",#N/A,TRUE,"FundsFlow"}</definedName>
    <definedName name="gilb_wrn.test1" localSheetId="10" hidden="1">{"Income Statement",#N/A,FALSE,"CFMODEL";"Balance Sheet",#N/A,FALSE,"CFMODEL"}</definedName>
    <definedName name="gkn" localSheetId="10" hidden="1">{#N/A,#N/A,FALSE,"COVER PAGE";#N/A,#N/A,FALSE,"Page 2";#N/A,#N/A,FALSE,"Page 2";#N/A,#N/A,FALSE,"Page 4";#N/A,#N/A,FALSE,"Page5";#N/A,#N/A,FALSE,"Page 6";#N/A,#N/A,FALSE,"Page 7";#N/A,#N/A,FALSE,"Page 8";#N/A,#N/A,FALSE,"Page 10";#N/A,#N/A,FALSE,"Long-Term OCF Mult.";#N/A,#N/A,FALSE,"PCS Comp";#N/A,#N/A,FALSE,"OCS-CAPEX";#N/A,#N/A,FALSE,"Blank"}</definedName>
    <definedName name="GKUY"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obal1" localSheetId="10" hidden="1">{#N/A,#N/A,FALSE,"Pharm";#N/A,#N/A,FALSE,"WWCM"}</definedName>
    <definedName name="gmghm"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gnr" localSheetId="1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 localSheetId="10" hidden="1">{"TOTAL",#N/A,FALSE,"A";"FISCAL94",#N/A,FALSE,"A";"FISCAL95",#N/A,FALSE,"A";"FISCAL96",#N/A,FALSE,"A";"misc page",#N/A,FALSE,"A"}</definedName>
    <definedName name="graph" localSheetId="10" hidden="1">{#N/A,#N/A,FALSE,"REPORT"}</definedName>
    <definedName name="gt" localSheetId="10" hidden="1">{#N/A,#N/A,FALSE,"COVER";#N/A,#N/A,FALSE,"Index";#N/A,#N/A,FALSE,"Non-Earning";#N/A,#N/A,FALSE,"Commercial";#N/A,#N/A,FALSE,"Detailed"}</definedName>
    <definedName name="gtrwegrwegw" localSheetId="10" hidden="1">{"Summary",#N/A,FALSE,"Details (2)"}</definedName>
    <definedName name="gty" localSheetId="10" hidden="1">{"arpm1995",#N/A,FALSE,"Summary 95-96";"bus_long_distance",#N/A,FALSE,"Summary 95-96";"mins_per_day",#N/A,FALSE,"Summary 95-96";"minutes1995",#N/A,FALSE,"Summary 95-96";"rev_per_day",#N/A,FALSE,"Summary 95-96";"view1995",#N/A,FALSE,"Summary 95-96"}</definedName>
    <definedName name="h" localSheetId="10" hidden="1">{#N/A,#N/A,FALSE,"REPORT"}</definedName>
    <definedName name="hbkg" localSheetId="10" hidden="1">{#N/A,#N/A,FALSE,"COVER";#N/A,#N/A,FALSE,"Index";#N/A,#N/A,FALSE,"Non-Earning";#N/A,#N/A,FALSE,"Non-Earning-Recovery";#N/A,#N/A,FALSE,"Leasing_Equipo";#N/A,#N/A,FALSE,"Leasing_Auto";#N/A,#N/A,FALSE,"Leasing_Legal"}</definedName>
    <definedName name="HD"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Header" localSheetId="10">#REF!</definedName>
    <definedName name="Header1" localSheetId="10" hidden="1">IF(COUNTA(#REF!)=0,0,INDEX(#REF!,MATCH(ROW(#REF!),#REF!,TRUE)))+1</definedName>
    <definedName name="Header2" localSheetId="10" hidden="1">#REF!-1 &amp; "." &amp; MAX(1,COUNTA(INDEX(#REF!,MATCH(#REF!-1,#REF!,FALSE)):#REF!))</definedName>
    <definedName name="HEI" localSheetId="10" hidden="1">{"AQUIRORDCF",#N/A,FALSE,"Merger consequences";"Acquirorassns",#N/A,FALSE,"Merger consequences"}</definedName>
    <definedName name="hello2" localSheetId="10" hidden="1">{#N/A,#N/A,FALSE,"Index";"Stmts_Qtrs",#N/A,FALSE,"Summary";"Stmts_24 mo",#N/A,FALSE,"Summary";"Summary_24",#N/A,FALSE,"Revenue";"Month_24",#N/A,FALSE,"Engineering";"Month_24",#N/A,FALSE,"Marketing";"Month_24",#N/A,FALSE,"G &amp; A";"Month_24",#N/A,FALSE,"Manufacturing"}</definedName>
    <definedName name="Help" localSheetId="10" hidden="1">{#N/A,#N/A,FALSE,"COVER PAGE";#N/A,#N/A,FALSE,"Page 2";#N/A,#N/A,FALSE,"Page 2";#N/A,#N/A,FALSE,"Page 4";#N/A,#N/A,FALSE,"Page5";#N/A,#N/A,FALSE,"Page 6";#N/A,#N/A,FALSE,"Page 7";#N/A,#N/A,FALSE,"Page 8";#N/A,#N/A,FALSE,"Page 10";#N/A,#N/A,FALSE,"Long-Term OCF Mult.";#N/A,#N/A,FALSE,"PCS Comp";#N/A,#N/A,FALSE,"OCS-CAPEX";#N/A,#N/A,FALSE,"Blank"}</definedName>
    <definedName name="help1" localSheetId="10" hidden="1">{#N/A,#N/A,FALSE,"Total";#N/A,#N/A,FALSE,"Sew";#N/A,#N/A,FALSE,"Finish";#N/A,#N/A,FALSE,"CUT";#N/A,#N/A,FALSE,"Mill 5";#N/A,#N/A,FALSE,"Mill 6";#N/A,#N/A,FALSE,"Mill 8";#N/A,#N/A,FALSE,"Mill 9";#N/A,#N/A,FALSE,"Mill 10";#N/A,#N/A,FALSE,"Mill 12";#N/A,#N/A,FALSE,"Mill 15";#N/A,#N/A,FALSE,"Mill 17"}</definedName>
    <definedName name="hfd" localSheetId="10" hidden="1">{"FCB_ALL",#N/A,FALSE,"FCB";"GREY_ALL",#N/A,FALSE,"GREY"}</definedName>
    <definedName name="HFinGraph" localSheetId="10" hidden="1">{#N/A,#N/A,FALSE,"Pharm";#N/A,#N/A,FALSE,"WWCM"}</definedName>
    <definedName name="hfydf" localSheetId="10" hidden="1">{"FCB_ALL",#N/A,FALSE,"FCB"}</definedName>
    <definedName name="hgsrt" localSheetId="10" hidden="1">{"FCB_ALL",#N/A,FALSE,"FCB";"GREY_ALL",#N/A,FALSE,"GREY"}</definedName>
    <definedName name="hh" localSheetId="10" hidden="1">{#N/A,#N/A,TRUE,"DCF Summary";#N/A,#N/A,TRUE,"Casema";#N/A,#N/A,TRUE,"UK";#N/A,#N/A,TRUE,"RCF";#N/A,#N/A,TRUE,"Intercable CZ";#N/A,#N/A,TRUE,"Interkabel P";#N/A,#N/A,TRUE,"LBO-Total";#N/A,#N/A,TRUE,"LBO-Casema"}</definedName>
    <definedName name="hhh" localSheetId="10" hidden="1">{#N/A,#N/A,FALSE,"Job Sched"}</definedName>
    <definedName name="hhhh" localSheetId="10" hidden="1">{"SUM",#N/A,FALSE,"Details (2)"}</definedName>
    <definedName name="Hi" localSheetId="10" hidden="1">{#N/A,#N/A,FALSE,"FAB VENDORS";"BUD SUM",#N/A,FALSE,"BUD SUM WO TEX"}</definedName>
    <definedName name="Hibh" localSheetId="10" hidden="1">{#N/A,#N/A,FALSE,"Pharm";#N/A,#N/A,FALSE,"WWCM"}</definedName>
    <definedName name="High" localSheetId="10" hidden="1">{#N/A,#N/A,FALSE,"Pharm";#N/A,#N/A,FALSE,"WWCM"}</definedName>
    <definedName name="hjf"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h" localSheetId="10" hidden="1">{#N/A,#N/A,FALSE,"Page 1";#N/A,#N/A,FALSE,"Page 2";#N/A,#N/A,FALSE,"Page 3";#N/A,#N/A,FALSE,"Page 4";#N/A,#N/A,FALSE,"Page 5"}</definedName>
    <definedName name="hjhjffukfuk" localSheetId="10" hidden="1">{#N/A,#N/A,FALSE,"Pharm";#N/A,#N/A,FALSE,"WWCM"}</definedName>
    <definedName name="hjhjfkfukywrte" localSheetId="10" hidden="1">{#N/A,#N/A,FALSE,"Pharm";#N/A,#N/A,FALSE,"WWCM"}</definedName>
    <definedName name="hjhjhj" localSheetId="10" hidden="1">{#N/A,#N/A,FALSE,"Index";"Stmts_Qtrs",#N/A,FALSE,"Summary";"Stmts_24 mo",#N/A,FALSE,"Summary";"Summary_24",#N/A,FALSE,"Revenue";"Month_24",#N/A,FALSE,"Engineering";"Month_24",#N/A,FALSE,"Marketing";"Month_24",#N/A,FALSE,"G &amp; A";"Month_24",#N/A,FALSE,"Manufacturing"}</definedName>
    <definedName name="hjhjhj2" localSheetId="10" hidden="1">{#N/A,#N/A,FALSE,"Index";"Stmts_Qtrs",#N/A,FALSE,"Summary";"Stmts_24 mo",#N/A,FALSE,"Summary";"Summary_24",#N/A,FALSE,"Revenue";"Month_24",#N/A,FALSE,"Engineering";"Month_24",#N/A,FALSE,"Marketing";"Month_24",#N/A,FALSE,"G &amp; A";"Month_24",#N/A,FALSE,"Manufacturing"}</definedName>
    <definedName name="hjhkjkl" localSheetId="10" hidden="1">{#N/A,#N/A,FALSE,"Pharm";#N/A,#N/A,FALSE,"WWCM"}</definedName>
    <definedName name="hjjjkk" localSheetId="10" hidden="1">{#N/A,#N/A,FALSE,"REPORT"}</definedName>
    <definedName name="hjjkk" localSheetId="10" hidden="1">{#N/A,#N/A,FALSE,"Pharm";#N/A,#N/A,FALSE,"WWCM"}</definedName>
    <definedName name="hjkk" localSheetId="10" hidden="1">{#N/A,#N/A,FALSE,"Pharm";#N/A,#N/A,FALSE,"WWCM"}</definedName>
    <definedName name="HKSH" localSheetId="10" hidden="1">{#N/A,#N/A,FALSE,"REPORT"}</definedName>
    <definedName name="HMG" localSheetId="10" hidden="1">{#N/A,#N/A,FALSE,"REPORT"}</definedName>
    <definedName name="hn._I018" localSheetId="10" hidden="1">#REF!</definedName>
    <definedName name="hn._I024" localSheetId="10" hidden="1">#REF!</definedName>
    <definedName name="hn._I028" localSheetId="10" hidden="1">#REF!</definedName>
    <definedName name="hn._I029" localSheetId="10" hidden="1">#REF!</definedName>
    <definedName name="hn._I030" localSheetId="10" hidden="1">#REF!</definedName>
    <definedName name="hn._I031" localSheetId="10" hidden="1">#REF!</definedName>
    <definedName name="hn._I059" localSheetId="10" hidden="1">#REF!</definedName>
    <definedName name="hn._I071" localSheetId="10" hidden="1">#REF!</definedName>
    <definedName name="hn._I075" localSheetId="10" hidden="1">#REF!</definedName>
    <definedName name="hn._I083" localSheetId="10" hidden="1">#REF!</definedName>
    <definedName name="hn._I085" localSheetId="10" hidden="1">#REF!</definedName>
    <definedName name="hn._P001" localSheetId="10" hidden="1">#REF!</definedName>
    <definedName name="hn._P004" localSheetId="10" hidden="1">#REF!</definedName>
    <definedName name="hn._P014" localSheetId="10" hidden="1">#REF!</definedName>
    <definedName name="hn._P016" localSheetId="10" hidden="1">#REF!</definedName>
    <definedName name="hn._P021" localSheetId="10" hidden="1">#REF!</definedName>
    <definedName name="hn._P024" localSheetId="10" hidden="1">#REF!</definedName>
    <definedName name="hn.Add015" localSheetId="10" hidden="1">#REF!</definedName>
    <definedName name="hn.Delete015" localSheetId="10" hidden="1">#REF!,#REF!,#REF!,#REF!,#REF!</definedName>
    <definedName name="hn.PrivateLTMYear" localSheetId="10" hidden="1">#REF!</definedName>
    <definedName name="hod" localSheetId="10" hidden="1">{#N/A,#N/A,FALSE,"TS";#N/A,#N/A,FALSE,"Combo";#N/A,#N/A,FALSE,"FAIR";#N/A,#N/A,FALSE,"RBC";#N/A,#N/A,FALSE,"xxxx";#N/A,#N/A,FALSE,"A_D";#N/A,#N/A,FALSE,"WACC";#N/A,#N/A,FALSE,"DCF";#N/A,#N/A,FALSE,"LBO";#N/A,#N/A,FALSE,"AcqMults";#N/A,#N/A,FALSE,"CompMults"}</definedName>
    <definedName name="home" localSheetId="10" hidden="1">{"WACC_filecopy",#N/A,FALSE,"Inputs";"Beta_filecopy",#N/A,FALSE,"Inputs";"SCF_filecopy",#N/A,FALSE,"Inputs";"ProBS_filecopy",#N/A,FALSE,"Inputs";"BS_filecopy",#N/A,FALSE,"Inputs";"ProIS_filecopy",#N/A,FALSE,"Inputs";"IS_filecopy",#N/A,FALSE,"Inputs"}</definedName>
    <definedName name="HOMFE" localSheetId="10" hidden="1">{#N/A,#N/A,FALSE,"Assessment";#N/A,#N/A,FALSE,"Staffing";#N/A,#N/A,FALSE,"Hires";#N/A,#N/A,FALSE,"Assumptions"}</definedName>
    <definedName name="houy" localSheetId="10" hidden="1">{#N/A,#N/A,FALSE,"AD_Purchase";#N/A,#N/A,FALSE,"Credit";#N/A,#N/A,FALSE,"PF Acquisition";#N/A,#N/A,FALSE,"PF Offering"}</definedName>
    <definedName name="HQ" localSheetId="10" hidden="1">{#N/A,#N/A,FALSE,"6405";#N/A,#N/A,FALSE,"6406";#N/A,#N/A,FALSE,"6409";#N/A,#N/A,FALSE,"6425";#N/A,#N/A,FALSE,"6426";#N/A,#N/A,FALSE,"6427";#N/A,#N/A,FALSE,"6440";#N/A,#N/A,FALSE,"6441";#N/A,#N/A,FALSE,"6442";#N/A,#N/A,FALSE,"6443"}</definedName>
    <definedName name="HTML_Control" localSheetId="10" hidden="1">{"'ATP'!$E$6"}</definedName>
    <definedName name="HTML_Control_1" localSheetId="10" hidden="1">{"'ATP'!$E$6"}</definedName>
    <definedName name="HTML_Control_BS" localSheetId="10" hidden="1">{"'Sheet1'!$A$1:$L$21"}</definedName>
    <definedName name="HTML_Header" localSheetId="10" hidden="1">""</definedName>
    <definedName name="HTML_LastUpdate" localSheetId="10" hidden="1">"2/4/99"</definedName>
    <definedName name="HTML_Name" localSheetId="10" hidden="1">"Marianne Kim"</definedName>
    <definedName name="HTML_PathFile" localSheetId="10" hidden="1">"h:\home\MJK\atp.htm"</definedName>
    <definedName name="HTML_Title" localSheetId="10" hidden="1">"atp"</definedName>
    <definedName name="HTMLControl" localSheetId="10" hidden="1">{"'Edit'!$A$1:$V$2277"}</definedName>
    <definedName name="htyuityuiotio" localSheetId="10" hidden="1">{#N/A,#N/A,FALSE,"REPORT"}</definedName>
    <definedName name="hu"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ypertention" localSheetId="10" hidden="1">{#N/A,#N/A,FALSE,"Pharm";#N/A,#N/A,FALSE,"WWCM"}</definedName>
    <definedName name="hypo" localSheetId="10" hidden="1">{#N/A,#N/A,FALSE,"Pharm";#N/A,#N/A,FALSE,"WWCM"}</definedName>
    <definedName name="I" localSheetId="10" hidden="1">#REF!</definedName>
    <definedName name="iiiii"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movilizado2" localSheetId="10" hidden="1">{#N/A,#N/A,FALSE,"CNS_ADJ";"Balance Consolidado",#N/A,FALSE,"BCEC_CNS";#N/A,#N/A,FALSE,"USGAAP_ADJ"}</definedName>
    <definedName name="Int" localSheetId="10">#REF!</definedName>
    <definedName name="Interco2" localSheetId="10" hidden="1">{#N/A,#N/A,FALSE,"Job Sched"}</definedName>
    <definedName name="IntroPrintArea" localSheetId="10" hidden="1">#REF!</definedName>
    <definedName name="IP" localSheetId="10" hidden="1">{#N/A,#N/A,FALSE,"Pharm";#N/A,#N/A,FALSE,"WWCM"}</definedName>
    <definedName name="IPRD_mites" localSheetId="10" hidden="1">{"bs",#N/A,FALSE,"SCF"}</definedName>
    <definedName name="IPRD_Pollen" localSheetId="10" hidden="1">{"bs",#N/A,FALSE,"SCF"}</definedName>
    <definedName name="IQ_EXPENSE_CODE_" localSheetId="10" hidden="1">"General Advisory"</definedName>
    <definedName name="IQ_NAMES_REVISION_DATE_" localSheetId="10" hidden="1">40449.4288773148</definedName>
    <definedName name="IQR111711P10" localSheetId="10" hidden="1">#REF!</definedName>
    <definedName name="IQR111711P101" localSheetId="10" hidden="1">#REF!</definedName>
    <definedName name="IQR111711P102" localSheetId="10" hidden="1">#REF!</definedName>
    <definedName name="IQR111711P103" localSheetId="10" hidden="1">#REF!</definedName>
    <definedName name="IQR111711P104" localSheetId="10" hidden="1">#REF!</definedName>
    <definedName name="IQR111711P106" localSheetId="10" hidden="1">#REF!</definedName>
    <definedName name="IQR111711P107" localSheetId="10" hidden="1">#REF!</definedName>
    <definedName name="IQR111711P110" localSheetId="10" hidden="1">#REF!</definedName>
    <definedName name="IQR111711P111" localSheetId="10" hidden="1">#REF!</definedName>
    <definedName name="IQR111711P112" localSheetId="10" hidden="1">#REF!</definedName>
    <definedName name="IQR111711P113" localSheetId="10" hidden="1">#REF!</definedName>
    <definedName name="IQR111711P114" localSheetId="10" hidden="1">#REF!</definedName>
    <definedName name="IQR111711P117" localSheetId="10" hidden="1">#REF!</definedName>
    <definedName name="IQR111711P119" localSheetId="10" hidden="1">#REF!</definedName>
    <definedName name="IQR111711P120" localSheetId="10" hidden="1">#REF!</definedName>
    <definedName name="IQR111711P122" localSheetId="10" hidden="1">#REF!</definedName>
    <definedName name="IQR111711P123" localSheetId="10" hidden="1">#REF!</definedName>
    <definedName name="IQR111711P124" localSheetId="10" hidden="1">#REF!</definedName>
    <definedName name="IQR111711P127" localSheetId="10" hidden="1">#REF!</definedName>
    <definedName name="IQR111711P128" localSheetId="10" hidden="1">#REF!</definedName>
    <definedName name="IQR111711P13" localSheetId="10" hidden="1">#REF!</definedName>
    <definedName name="IQR111711P131" localSheetId="10" hidden="1">#REF!</definedName>
    <definedName name="IQR111711P132" localSheetId="10" hidden="1">#REF!</definedName>
    <definedName name="IQR111711P134" localSheetId="10" hidden="1">#REF!</definedName>
    <definedName name="IQR111711P135" localSheetId="10" hidden="1">#REF!</definedName>
    <definedName name="IQR111711P136" localSheetId="10" hidden="1">#REF!</definedName>
    <definedName name="IQR111711P138" localSheetId="10" hidden="1">#REF!</definedName>
    <definedName name="IQR111711P139" localSheetId="10" hidden="1">#REF!</definedName>
    <definedName name="IQR111711P14" localSheetId="10" hidden="1">#REF!</definedName>
    <definedName name="IQR111711P140" localSheetId="10" hidden="1">#REF!</definedName>
    <definedName name="IQR111711P141" localSheetId="10" hidden="1">#REF!</definedName>
    <definedName name="IQR111711P142" localSheetId="10" hidden="1">#REF!</definedName>
    <definedName name="IQR111711P143" localSheetId="10" hidden="1">#REF!</definedName>
    <definedName name="IQR111711P144" localSheetId="10" hidden="1">#REF!</definedName>
    <definedName name="IQR111711P145" localSheetId="10" hidden="1">#REF!</definedName>
    <definedName name="IQR111711P148" localSheetId="10" hidden="1">#REF!</definedName>
    <definedName name="IQR111711P149" localSheetId="10" hidden="1">#REF!</definedName>
    <definedName name="IQR111711P150" localSheetId="10" hidden="1">#REF!</definedName>
    <definedName name="IQR111711P153" localSheetId="10" hidden="1">#REF!</definedName>
    <definedName name="IQR111711P155" localSheetId="10" hidden="1">#REF!</definedName>
    <definedName name="IQR111711P156" localSheetId="10" hidden="1">#REF!</definedName>
    <definedName name="IQR111711P161" localSheetId="10" hidden="1">#REF!</definedName>
    <definedName name="IQR111711P163" localSheetId="10" hidden="1">#REF!</definedName>
    <definedName name="IQR111711P167" localSheetId="10" hidden="1">#REF!</definedName>
    <definedName name="IQR111711P168" localSheetId="10" hidden="1">#REF!</definedName>
    <definedName name="IQR111711P169" localSheetId="10" hidden="1">#REF!</definedName>
    <definedName name="IQR111711P17" localSheetId="10" hidden="1">#REF!</definedName>
    <definedName name="IQR111711P170" localSheetId="10" hidden="1">#REF!</definedName>
    <definedName name="IQR111711P172" localSheetId="10" hidden="1">#REF!</definedName>
    <definedName name="IQR111711P174" localSheetId="10" hidden="1">#REF!</definedName>
    <definedName name="IQR111711P175" localSheetId="10" hidden="1">#REF!</definedName>
    <definedName name="IQR111711P179" localSheetId="10" hidden="1">#REF!</definedName>
    <definedName name="IQR111711P18" localSheetId="10" hidden="1">#REF!</definedName>
    <definedName name="IQR111711P182" localSheetId="10" hidden="1">#REF!</definedName>
    <definedName name="IQR111711P183" localSheetId="10" hidden="1">#REF!</definedName>
    <definedName name="IQR111711P187" localSheetId="10" hidden="1">#REF!</definedName>
    <definedName name="IQR111711P188" localSheetId="10" hidden="1">#REF!</definedName>
    <definedName name="IQR111711P190" localSheetId="10" hidden="1">#REF!</definedName>
    <definedName name="IQR111711P192" localSheetId="10" hidden="1">#REF!</definedName>
    <definedName name="IQR111711P193" localSheetId="10" hidden="1">#REF!</definedName>
    <definedName name="IQR111711P195" localSheetId="10" hidden="1">#REF!</definedName>
    <definedName name="IQR111711P196" localSheetId="10" hidden="1">#REF!</definedName>
    <definedName name="IQR111711P198" localSheetId="10" hidden="1">#REF!</definedName>
    <definedName name="IQR111711P199" localSheetId="10" hidden="1">#REF!</definedName>
    <definedName name="IQR111711P200" localSheetId="10" hidden="1">#REF!</definedName>
    <definedName name="IQR111711P202" localSheetId="10" hidden="1">#REF!</definedName>
    <definedName name="IQR111711P205" localSheetId="10" hidden="1">#REF!</definedName>
    <definedName name="IQR111711P206" localSheetId="10" hidden="1">#REF!</definedName>
    <definedName name="IQR111711P207" localSheetId="10" hidden="1">#REF!</definedName>
    <definedName name="IQR111711P208" localSheetId="10" hidden="1">#REF!</definedName>
    <definedName name="IQR111711P21" localSheetId="10" hidden="1">#REF!</definedName>
    <definedName name="IQR111711P210" localSheetId="10" hidden="1">#REF!</definedName>
    <definedName name="IQR111711P211" localSheetId="10" hidden="1">#REF!</definedName>
    <definedName name="IQR111711P212" localSheetId="10" hidden="1">#REF!</definedName>
    <definedName name="IQR111711P213" localSheetId="10" hidden="1">#REF!</definedName>
    <definedName name="IQR111711P214" localSheetId="10" hidden="1">#REF!</definedName>
    <definedName name="IQR111711P215" localSheetId="10" hidden="1">#REF!</definedName>
    <definedName name="IQR111711P216" localSheetId="10" hidden="1">#REF!</definedName>
    <definedName name="IQR111711P218" localSheetId="10" hidden="1">#REF!</definedName>
    <definedName name="IQR111711P219" localSheetId="10" hidden="1">#REF!</definedName>
    <definedName name="IQR111711P222" localSheetId="10" hidden="1">#REF!</definedName>
    <definedName name="IQR111711P223" localSheetId="10" hidden="1">#REF!</definedName>
    <definedName name="IQR111711P224" localSheetId="10" hidden="1">#REF!</definedName>
    <definedName name="IQR111711P225" localSheetId="10" hidden="1">#REF!</definedName>
    <definedName name="IQR111711P227" localSheetId="10" hidden="1">#REF!</definedName>
    <definedName name="IQR111711P229" localSheetId="10" hidden="1">#REF!</definedName>
    <definedName name="IQR111711P23" localSheetId="10" hidden="1">#REF!</definedName>
    <definedName name="IQR111711P230" localSheetId="10" hidden="1">#REF!</definedName>
    <definedName name="IQR111711P232" localSheetId="10" hidden="1">#REF!</definedName>
    <definedName name="IQR111711P233" localSheetId="10" hidden="1">#REF!</definedName>
    <definedName name="IQR111711P234" localSheetId="10" hidden="1">#REF!</definedName>
    <definedName name="IQR111711P237" localSheetId="10" hidden="1">#REF!</definedName>
    <definedName name="IQR111711P238" localSheetId="10" hidden="1">#REF!</definedName>
    <definedName name="IQR111711P239" localSheetId="10" hidden="1">#REF!</definedName>
    <definedName name="IQR111711P24" localSheetId="10" hidden="1">#REF!</definedName>
    <definedName name="IQR111711P240" localSheetId="10" hidden="1">#REF!</definedName>
    <definedName name="IQR111711P242" localSheetId="10" hidden="1">#REF!</definedName>
    <definedName name="IQR111711P243" localSheetId="10" hidden="1">#REF!</definedName>
    <definedName name="IQR111711P245" localSheetId="10" hidden="1">#REF!</definedName>
    <definedName name="IQR111711P247" localSheetId="10" hidden="1">#REF!</definedName>
    <definedName name="IQR111711P248" localSheetId="10" hidden="1">#REF!</definedName>
    <definedName name="IQR111711P249" localSheetId="10" hidden="1">#REF!</definedName>
    <definedName name="IQR111711P25" localSheetId="10" hidden="1">#REF!</definedName>
    <definedName name="IQR111711P252" localSheetId="10" hidden="1">#REF!</definedName>
    <definedName name="IQR111711P253" localSheetId="10" hidden="1">#REF!</definedName>
    <definedName name="IQR111711P254" localSheetId="10" hidden="1">#REF!</definedName>
    <definedName name="IQR111711P255" localSheetId="10" hidden="1">#REF!</definedName>
    <definedName name="IQR111711P256" localSheetId="10" hidden="1">#REF!</definedName>
    <definedName name="IQR111711P257" localSheetId="10" hidden="1">#REF!</definedName>
    <definedName name="IQR111711P258" localSheetId="10" hidden="1">#REF!</definedName>
    <definedName name="IQR111711P259" localSheetId="10" hidden="1">#REF!</definedName>
    <definedName name="IQR111711P26" localSheetId="10" hidden="1">#REF!</definedName>
    <definedName name="IQR111711P260" localSheetId="10" hidden="1">#REF!</definedName>
    <definedName name="IQR111711P261" localSheetId="10" hidden="1">#REF!</definedName>
    <definedName name="IQR111711P263" localSheetId="10" hidden="1">#REF!</definedName>
    <definedName name="IQR111711P264" localSheetId="10" hidden="1">#REF!</definedName>
    <definedName name="IQR111711P265" localSheetId="10" hidden="1">#REF!</definedName>
    <definedName name="IQR111711P266" localSheetId="10" hidden="1">#REF!</definedName>
    <definedName name="IQR111711P267" localSheetId="10" hidden="1">#REF!</definedName>
    <definedName name="IQR111711P269" localSheetId="10" hidden="1">#REF!</definedName>
    <definedName name="IQR111711P27" localSheetId="10" hidden="1">#REF!</definedName>
    <definedName name="IQR111711P270" localSheetId="10" hidden="1">#REF!</definedName>
    <definedName name="IQR111711P271" localSheetId="10" hidden="1">#REF!</definedName>
    <definedName name="IQR111711P275" localSheetId="10" hidden="1">#REF!</definedName>
    <definedName name="IQR111711P276" localSheetId="10" hidden="1">#REF!</definedName>
    <definedName name="IQR111711P278" localSheetId="10" hidden="1">#REF!</definedName>
    <definedName name="IQR111711P279" localSheetId="10" hidden="1">#REF!</definedName>
    <definedName name="IQR111711P28" localSheetId="10" hidden="1">#REF!</definedName>
    <definedName name="IQR111711P280" localSheetId="10" hidden="1">#REF!</definedName>
    <definedName name="IQR111711P281" localSheetId="10" hidden="1">#REF!</definedName>
    <definedName name="IQR111711P282" localSheetId="10" hidden="1">#REF!</definedName>
    <definedName name="IQR111711P284" localSheetId="10" hidden="1">#REF!</definedName>
    <definedName name="IQR111711P285" localSheetId="10" hidden="1">#REF!</definedName>
    <definedName name="IQR111711P286" localSheetId="10" hidden="1">#REF!</definedName>
    <definedName name="IQR111711P289" localSheetId="10" hidden="1">#REF!</definedName>
    <definedName name="IQR111711P29" localSheetId="10" hidden="1">#REF!</definedName>
    <definedName name="IQR111711P290" localSheetId="10" hidden="1">#REF!</definedName>
    <definedName name="IQR111711P292" localSheetId="10" hidden="1">#REF!</definedName>
    <definedName name="IQR111711P294" localSheetId="10" hidden="1">#REF!</definedName>
    <definedName name="IQR111711P295" localSheetId="10" hidden="1">#REF!</definedName>
    <definedName name="IQR111711P297" localSheetId="10" hidden="1">#REF!</definedName>
    <definedName name="IQR111711P299" localSheetId="10" hidden="1">#REF!</definedName>
    <definedName name="IQR111711P30" localSheetId="10" hidden="1">#REF!</definedName>
    <definedName name="IQR111711P300" localSheetId="10" hidden="1">#REF!</definedName>
    <definedName name="IQR111711P301" localSheetId="10" hidden="1">#REF!</definedName>
    <definedName name="IQR111711P303" localSheetId="10" hidden="1">#REF!</definedName>
    <definedName name="IQR111711P304" localSheetId="10" hidden="1">#REF!</definedName>
    <definedName name="IQR111711P306" localSheetId="10" hidden="1">#REF!</definedName>
    <definedName name="IQR111711P307" localSheetId="10" hidden="1">#REF!</definedName>
    <definedName name="IQR111711P308" localSheetId="10" hidden="1">#REF!</definedName>
    <definedName name="IQR111711P309" localSheetId="10" hidden="1">#REF!</definedName>
    <definedName name="IQR111711P31" localSheetId="10" hidden="1">#REF!</definedName>
    <definedName name="IQR111711P311" localSheetId="10" hidden="1">#REF!</definedName>
    <definedName name="IQR111711P312" localSheetId="10" hidden="1">#REF!</definedName>
    <definedName name="IQR111711P313" localSheetId="10" hidden="1">#REF!</definedName>
    <definedName name="IQR111711P314" localSheetId="10" hidden="1">#REF!</definedName>
    <definedName name="IQR111711P315" localSheetId="10" hidden="1">#REF!</definedName>
    <definedName name="IQR111711P318" localSheetId="10" hidden="1">#REF!</definedName>
    <definedName name="IQR111711P319" localSheetId="10" hidden="1">#REF!</definedName>
    <definedName name="IQR111711P32" localSheetId="10" hidden="1">#REF!</definedName>
    <definedName name="IQR111711P320" localSheetId="10" hidden="1">#REF!</definedName>
    <definedName name="IQR111711P321" localSheetId="10" hidden="1">#REF!</definedName>
    <definedName name="IQR111711P322" localSheetId="10" hidden="1">#REF!</definedName>
    <definedName name="IQR111711P323" localSheetId="10" hidden="1">#REF!</definedName>
    <definedName name="IQR111711P324" localSheetId="10" hidden="1">#REF!</definedName>
    <definedName name="IQR111711P325" localSheetId="10" hidden="1">#REF!</definedName>
    <definedName name="IQR111711P327" localSheetId="10" hidden="1">#REF!</definedName>
    <definedName name="IQR111711P328" localSheetId="10" hidden="1">#REF!</definedName>
    <definedName name="IQR111711P329" localSheetId="10" hidden="1">#REF!</definedName>
    <definedName name="IQR111711P33" localSheetId="10" hidden="1">#REF!</definedName>
    <definedName name="IQR111711P330" localSheetId="10" hidden="1">#REF!</definedName>
    <definedName name="IQR111711P331" localSheetId="10" hidden="1">#REF!</definedName>
    <definedName name="IQR111711P333" localSheetId="10" hidden="1">#REF!</definedName>
    <definedName name="IQR111711P335" localSheetId="10" hidden="1">#REF!</definedName>
    <definedName name="IQR111711P336" localSheetId="10" hidden="1">#REF!</definedName>
    <definedName name="IQR111711P337" localSheetId="10" hidden="1">#REF!</definedName>
    <definedName name="IQR111711P338" localSheetId="10" hidden="1">#REF!</definedName>
    <definedName name="IQR111711P339" localSheetId="10" hidden="1">#REF!</definedName>
    <definedName name="IQR111711P34" localSheetId="10" hidden="1">#REF!</definedName>
    <definedName name="IQR111711P340" localSheetId="10" hidden="1">#REF!</definedName>
    <definedName name="IQR111711P341" localSheetId="10" hidden="1">#REF!</definedName>
    <definedName name="IQR111711P343" localSheetId="10" hidden="1">#REF!</definedName>
    <definedName name="IQR111711P345" localSheetId="10" hidden="1">#REF!</definedName>
    <definedName name="IQR111711P346" localSheetId="10" hidden="1">#REF!</definedName>
    <definedName name="IQR111711P347" localSheetId="10" hidden="1">#REF!</definedName>
    <definedName name="IQR111711P348" localSheetId="10" hidden="1">#REF!</definedName>
    <definedName name="IQR111711P349" localSheetId="10" hidden="1">#REF!</definedName>
    <definedName name="IQR111711P350" localSheetId="10" hidden="1">#REF!</definedName>
    <definedName name="IQR111711P352" localSheetId="10" hidden="1">#REF!</definedName>
    <definedName name="IQR111711P353" localSheetId="10" hidden="1">#REF!</definedName>
    <definedName name="IQR111711P354" localSheetId="10" hidden="1">#REF!</definedName>
    <definedName name="IQR111711P355" localSheetId="10" hidden="1">#REF!</definedName>
    <definedName name="IQR111711P356" localSheetId="10" hidden="1">#REF!</definedName>
    <definedName name="IQR111711P358" localSheetId="10" hidden="1">#REF!</definedName>
    <definedName name="IQR111711P36" localSheetId="10" hidden="1">#REF!</definedName>
    <definedName name="IQR111711P361" localSheetId="10" hidden="1">#REF!</definedName>
    <definedName name="IQR111711P362" localSheetId="10" hidden="1">#REF!</definedName>
    <definedName name="IQR111711P364" localSheetId="10" hidden="1">#REF!</definedName>
    <definedName name="IQR111711P367" localSheetId="10" hidden="1">#REF!</definedName>
    <definedName name="IQR111711P368" localSheetId="10" hidden="1">#REF!</definedName>
    <definedName name="IQR111711P369" localSheetId="10" hidden="1">#REF!</definedName>
    <definedName name="IQR111711P37" localSheetId="10" hidden="1">#REF!</definedName>
    <definedName name="IQR111711P370" localSheetId="10" hidden="1">#REF!</definedName>
    <definedName name="IQR111711P372" localSheetId="10" hidden="1">#REF!</definedName>
    <definedName name="IQR111711P374" localSheetId="10" hidden="1">#REF!</definedName>
    <definedName name="IQR111711P375" localSheetId="10" hidden="1">#REF!</definedName>
    <definedName name="IQR111711P378" localSheetId="10" hidden="1">#REF!</definedName>
    <definedName name="IQR111711P379" localSheetId="10" hidden="1">#REF!</definedName>
    <definedName name="IQR111711P38" localSheetId="10" hidden="1">#REF!</definedName>
    <definedName name="IQR111711P380" localSheetId="10" hidden="1">#REF!</definedName>
    <definedName name="IQR111711P381" localSheetId="10" hidden="1">#REF!</definedName>
    <definedName name="IQR111711P41" localSheetId="10" hidden="1">#REF!</definedName>
    <definedName name="IQR111711P42" localSheetId="10" hidden="1">#REF!</definedName>
    <definedName name="IQR111711P43" localSheetId="10" hidden="1">#REF!</definedName>
    <definedName name="IQR111711P44" localSheetId="10" hidden="1">#REF!</definedName>
    <definedName name="IQR111711P46" localSheetId="10" hidden="1">#REF!</definedName>
    <definedName name="IQR111711P48" localSheetId="10" hidden="1">#REF!</definedName>
    <definedName name="IQR111711P50" localSheetId="10" hidden="1">#REF!</definedName>
    <definedName name="IQR111711P51" localSheetId="10" hidden="1">#REF!</definedName>
    <definedName name="IQR111711P55" localSheetId="10" hidden="1">#REF!</definedName>
    <definedName name="IQR111711P56" localSheetId="10" hidden="1">#REF!</definedName>
    <definedName name="IQR111711P57" localSheetId="10" hidden="1">#REF!</definedName>
    <definedName name="IQR111711P58" localSheetId="10" hidden="1">#REF!</definedName>
    <definedName name="IQR111711P59" localSheetId="10" hidden="1">#REF!</definedName>
    <definedName name="IQR111711P62" localSheetId="10" hidden="1">#REF!</definedName>
    <definedName name="IQR111711P64" localSheetId="10" hidden="1">#REF!</definedName>
    <definedName name="IQR111711P65" localSheetId="10" hidden="1">#REF!</definedName>
    <definedName name="IQR111711P66" localSheetId="10" hidden="1">#REF!</definedName>
    <definedName name="IQR111711P67" localSheetId="10" hidden="1">#REF!</definedName>
    <definedName name="IQR111711P69" localSheetId="10" hidden="1">#REF!</definedName>
    <definedName name="IQR111711P70" localSheetId="10" hidden="1">#REF!</definedName>
    <definedName name="IQR111711P71" localSheetId="10" hidden="1">#REF!</definedName>
    <definedName name="IQR111711P74" localSheetId="10" hidden="1">#REF!</definedName>
    <definedName name="IQR111711P75" localSheetId="10" hidden="1">#REF!</definedName>
    <definedName name="IQR111711P76" localSheetId="10" hidden="1">#REF!</definedName>
    <definedName name="IQR111711P77" localSheetId="10" hidden="1">#REF!</definedName>
    <definedName name="IQR111711P79" localSheetId="10" hidden="1">#REF!</definedName>
    <definedName name="IQR111711P81" localSheetId="10" hidden="1">#REF!</definedName>
    <definedName name="IQR111711P83" localSheetId="10" hidden="1">#REF!</definedName>
    <definedName name="IQR111711P87" localSheetId="10" hidden="1">#REF!</definedName>
    <definedName name="IQR111711P88" localSheetId="10" hidden="1">#REF!</definedName>
    <definedName name="IQR111711P9" localSheetId="10" hidden="1">#REF!</definedName>
    <definedName name="IQR111711P91" localSheetId="10" hidden="1">#REF!</definedName>
    <definedName name="IQR111711P92" localSheetId="10" hidden="1">#REF!</definedName>
    <definedName name="IQR111711P93" localSheetId="10" hidden="1">#REF!</definedName>
    <definedName name="IQR111711P94" localSheetId="10" hidden="1">#REF!</definedName>
    <definedName name="IQR111711P95" localSheetId="10" hidden="1">#REF!</definedName>
    <definedName name="IQR111711P96" localSheetId="10" hidden="1">#REF!</definedName>
    <definedName name="IQR111711P98" localSheetId="10" hidden="1">#REF!</definedName>
    <definedName name="IQR111711Q112" localSheetId="10" hidden="1">#REF!</definedName>
    <definedName name="IQR111711Q113" localSheetId="10" hidden="1">#REF!</definedName>
    <definedName name="IQR111711Q14" localSheetId="10" hidden="1">#REF!</definedName>
    <definedName name="IQR111711Q148" localSheetId="10" hidden="1">#REF!</definedName>
    <definedName name="IQR111711Q149" localSheetId="10" hidden="1">#REF!</definedName>
    <definedName name="IQR111711Q17" localSheetId="10" hidden="1">#REF!</definedName>
    <definedName name="IQR111711Q174" localSheetId="10" hidden="1">#REF!</definedName>
    <definedName name="IQR111711Q175" localSheetId="10" hidden="1">#REF!</definedName>
    <definedName name="IQR111711Q187" localSheetId="10" hidden="1">#REF!</definedName>
    <definedName name="IQR111711Q188" localSheetId="10" hidden="1">#REF!</definedName>
    <definedName name="IQR111711Q224" localSheetId="10" hidden="1">#REF!</definedName>
    <definedName name="IQR111711Q225" localSheetId="10" hidden="1">#REF!</definedName>
    <definedName name="IQR111711Q242" localSheetId="10" hidden="1">#REF!</definedName>
    <definedName name="IQR111711Q243" localSheetId="10" hidden="1">#REF!</definedName>
    <definedName name="IQR111711Q270" localSheetId="10" hidden="1">#REF!</definedName>
    <definedName name="IQR111711Q271" localSheetId="10" hidden="1">#REF!</definedName>
    <definedName name="IQR111711Q289" localSheetId="10" hidden="1">#REF!</definedName>
    <definedName name="IQR111711Q290" localSheetId="10" hidden="1">#REF!</definedName>
    <definedName name="IQR111711Q313" localSheetId="10" hidden="1">#REF!</definedName>
    <definedName name="IQR111711Q314" localSheetId="10" hidden="1">#REF!</definedName>
    <definedName name="IQR111711Q330" localSheetId="10" hidden="1">#REF!</definedName>
    <definedName name="IQR111711Q331" localSheetId="10" hidden="1">#REF!</definedName>
    <definedName name="IQR111711Q43" localSheetId="10" hidden="1">#REF!</definedName>
    <definedName name="IQR111711Q44" localSheetId="10" hidden="1">#REF!</definedName>
    <definedName name="IQR111711Q69" localSheetId="10" hidden="1">#REF!</definedName>
    <definedName name="IQR111711Q70" localSheetId="10" hidden="1">#REF!</definedName>
    <definedName name="IQR111711Q74" localSheetId="10" hidden="1">#REF!</definedName>
    <definedName name="IQR111711Q75" localSheetId="10" hidden="1">#REF!</definedName>
    <definedName name="IQR111711Q76" localSheetId="10" hidden="1">#REF!</definedName>
    <definedName name="IQR111711Q77" localSheetId="10" hidden="1">#REF!</definedName>
    <definedName name="IQR111711Q9" localSheetId="10" hidden="1">#REF!</definedName>
    <definedName name="IQRB17" localSheetId="10" hidden="1">"$B$18:$B$77"</definedName>
    <definedName name="IQRCustomIndexX10" localSheetId="10" hidden="1">#REF!</definedName>
    <definedName name="Irbe" localSheetId="10" hidden="1">{#N/A,#N/A,FALSE,"Pharm";#N/A,#N/A,FALSE,"WWCM"}</definedName>
    <definedName name="ISCaseName" localSheetId="10">#REF!</definedName>
    <definedName name="ISG" localSheetId="10" hidden="1">{#N/A,#N/A,FALSE,"REPORT"}</definedName>
    <definedName name="iv" localSheetId="10"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yrt" localSheetId="10" hidden="1">{#N/A,#N/A,TRUE,"A";#N/A,#N/A,TRUE,"B";#N/A,#N/A,TRUE,"C";#N/A,#N/A,TRUE,"D";#N/A,#N/A,TRUE,"E"}</definedName>
    <definedName name="j" localSheetId="10" hidden="1">#REF!</definedName>
    <definedName name="jb" localSheetId="10" hidden="1">{"summary1",#N/A,TRUE,"Comps";"summary2",#N/A,TRUE,"Comps";"summary3",#N/A,TRUE,"Comps"}</definedName>
    <definedName name="jde" localSheetId="10" hidden="1">{#N/A,#N/A,TRUE,"BUD VS ACT AUST 96";#N/A,#N/A,TRUE,"96 COMP P&amp;L-AUST";#N/A,#N/A,TRUE,"COMP BS-AUSTRALIA";#N/A,#N/A,TRUE,"B/S - AUSTR."}</definedName>
    <definedName name="jdfjesjds" localSheetId="10" hidden="1">{#N/A,#N/A,TRUE,"BUD VS ACT AUST 96";#N/A,#N/A,TRUE,"96 COMP P&amp;L-AUST";#N/A,#N/A,TRUE,"COMP BS-AUSTRALIA";#N/A,#N/A,TRUE,"B/S - AUSTR."}</definedName>
    <definedName name="jen" localSheetId="10" hidden="1">{TRUE,TRUE,-1.25,-15.5,456.75,279.75,FALSE,FALSE,TRUE,TRUE,0,1,8,1,4,6,3,4,TRUE,TRUE,3,TRUE,1,TRUE,100,"Swvu.turnover.","ACwvu.turnover.",1,FALSE,FALSE,0.511811023622047,0.511811023622047,0.511811023622047,0.511811023622047,1,"","",FALSE,FALSE,FALSE,FALSE,1,#N/A,1,1,#DIV/0!,FALSE,"Rwvu.turnover.",#N/A,FALSE,FALSE}</definedName>
    <definedName name="jgjgfjgfjf" localSheetId="10" hidden="1">{#N/A,#N/A,FALSE,"COMP BS-FRANCE";#N/A,#N/A,FALSE,"96 COMP P&amp;L-FRANCE";#N/A,#N/A,FALSE,"BUD VS ACT FRAN 96";#N/A,#N/A,FALSE,"B/S - FRANCE"}</definedName>
    <definedName name="jhy" localSheetId="10" hidden="1">{#N/A,#N/A,TRUE,"Sel Fn Data QTD";#N/A,#N/A,TRUE,"TABLE_1 SPREAD ANALYSIS";#N/A,#N/A,TRUE,"Tables 2 to 3 PL";#N/A,#N/A,TRUE,"Tables 4 and 5 ALLL";#N/A,#N/A,TRUE,"Tables 6 to 8 ALLL NPA";#N/A,#N/A,TRUE,"Table 9 to 10 - Balance Sheet";#N/A,#N/A,TRUE,"Table 11 to 12 - Equity"}</definedName>
    <definedName name="jjj" localSheetId="10" hidden="1">{#N/A,#N/A,FALSE,"REPORT"}</definedName>
    <definedName name="jk" localSheetId="10" hidden="1">#REF!</definedName>
    <definedName name="jkl" localSheetId="10" hidden="1">{#N/A,#N/A,FALSE,"REPORT"}</definedName>
    <definedName name="JMBM" localSheetId="10" hidden="1">{#N/A,#N/A,TRUE,"RESUMEN ECON.";#N/A,#N/A,TRUE,"Costos de R.H.";#N/A,#N/A,TRUE,"COSTO HW";#N/A,#N/A,TRUE,"CUADROS";#N/A,#N/A,TRUE,"SCADA´s";#N/A,#N/A,TRUE,"PRECIOS EQUIPOS"}</definedName>
    <definedName name="JMBMI" localSheetId="10" hidden="1">{#N/A,#N/A,TRUE,"RESUMEN ECON.";#N/A,#N/A,TRUE,"Costos de R.H.";#N/A,#N/A,TRUE,"COSTO HW";#N/A,#N/A,TRUE,"CUADROS";#N/A,#N/A,TRUE,"SCADA´s";#N/A,#N/A,TRUE,"PRECIOS EQUIPOS"}</definedName>
    <definedName name="jnhkjk" localSheetId="10" hidden="1">{#N/A,#N/A,TRUE,"BUD VS ACT AUST 96";#N/A,#N/A,TRUE,"96 COMP P&amp;L-AUST";#N/A,#N/A,TRUE,"COMP BS-AUSTRALIA";#N/A,#N/A,TRUE,"B/S - AUSTR."}</definedName>
    <definedName name="jnjnhjn" localSheetId="10" hidden="1">{#N/A,#N/A,TRUE,"BUD VS ACT AUST 96";#N/A,#N/A,TRUE,"96 COMP P&amp;L-AUST";#N/A,#N/A,TRUE,"COMP BS-AUSTRALIA";#N/A,#N/A,TRUE,"B/S - AUSTR."}</definedName>
    <definedName name="JNPRpublish" localSheetId="10" hidden="1">{#N/A,#N/A,FALSE,"Index";"Stmts_Qtrs",#N/A,FALSE,"Summary";"Stmts_24 mo",#N/A,FALSE,"Summary";"Summary_24",#N/A,FALSE,"Revenue";"Month_24",#N/A,FALSE,"Engineering";"Month_24",#N/A,FALSE,"Marketing";"Month_24",#N/A,FALSE,"G &amp; A";"Month_24",#N/A,FALSE,"Manufacturing"}</definedName>
    <definedName name="Joe" localSheetId="10" hidden="1">{"FY04_Assets",#N/A,FALSE,"Fin Stmt Budget";"FY04_Liabilities",#N/A,FALSE,"Fin Stmt Budget";"FY04_Inc_Stmt",#N/A,FALSE,"Fin Stmt Budget";"FY04_SOCF",#N/A,FALSE,"Fin Stmt Budget"}</definedName>
    <definedName name="Joost"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JUAN" localSheetId="10" hidden="1">{#N/A,#N/A,FALSE,"RESUMEN ECON.";#N/A,#N/A,FALSE,"Costos de R.H.";#N/A,#N/A,FALSE,"COSTO HW";#N/A,#N/A,FALSE,"CUADROS";#N/A,#N/A,FALSE,"SCADA´s";#N/A,#N/A,FALSE,"PRECIOS EQUIPOS"}</definedName>
    <definedName name="judy" localSheetId="10" hidden="1">{#N/A,#N/A,FALSE,"Pharm";#N/A,#N/A,FALSE,"WWCM"}</definedName>
    <definedName name="judy1" localSheetId="10" hidden="1">{#N/A,#N/A,FALSE,"Pharm";#N/A,#N/A,FALSE,"WWCM"}</definedName>
    <definedName name="JUMABA" localSheetId="10" hidden="1">{#N/A,#N/A,TRUE,"RESUMEN ECON.";#N/A,#N/A,TRUE,"Costos de R.H.";#N/A,#N/A,TRUE,"COSTO HW";#N/A,#N/A,TRUE,"CUADROS";#N/A,#N/A,TRUE,"SCADA´s";#N/A,#N/A,TRUE,"PRECIOS EQUIPOS"}</definedName>
    <definedName name="junk" localSheetId="10" hidden="1">#REF!</definedName>
    <definedName name="junk2" localSheetId="10" hidden="1">#REF!</definedName>
    <definedName name="junk3" localSheetId="10" hidden="1">{"BS",#N/A,FALSE,"USA"}</definedName>
    <definedName name="junkme" localSheetId="10" hidden="1">{#N/A,#N/A,TRUE,"Status Report";#N/A,#N/A,TRUE,"Current Forecast";#N/A,#N/A,TRUE,"Last Forecast";#N/A,#N/A,TRUE,"BP";#N/A,#N/A,TRUE,"LY"}</definedName>
    <definedName name="k" localSheetId="10" hidden="1">{#N/A,#N/A,FALSE,"BS";#N/A,#N/A,FALSE,"PL";#N/A,#N/A,FALSE,"SOE";#N/A,#N/A,FALSE,"SCF"}</definedName>
    <definedName name="K2__CVPARAMS__" localSheetId="10" hidden="1">"Any by Any!$C$14:$D$35;"</definedName>
    <definedName name="K2__WBEVMODE__" localSheetId="10" hidden="1">1</definedName>
    <definedName name="K2__WBREFOPTIONS__" localSheetId="10" hidden="1">134217772</definedName>
    <definedName name="ka" localSheetId="10" hidden="1">{"TOTAL",#N/A,FALSE,"A";"FISCAL94",#N/A,FALSE,"A";"FISCAL95",#N/A,FALSE,"A";"FISCAL96",#N/A,FALSE,"A";"misc page",#N/A,FALSE,"A"}</definedName>
    <definedName name="kas" localSheetId="10" hidden="1">{"TOTAL",#N/A,FALSE,"A";"FISCAL94",#N/A,FALSE,"A";"FISCAL95",#N/A,FALSE,"A";"FISCAL96",#N/A,FALSE,"A";"misc page",#N/A,FALSE,"A"}</definedName>
    <definedName name="KDJD" localSheetId="1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fw" localSheetId="10"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kgkg" localSheetId="10" hidden="1">{#N/A,#N/A,FALSE,"COVER";#N/A,#N/A,FALSE,"Index";#N/A,#N/A,FALSE,"Non-Earning";#N/A,#N/A,FALSE,"Non-Earning_Recovery"}</definedName>
    <definedName name="KGKHJ"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j" localSheetId="10" hidden="1">{"CASHFLOW",#N/A,FALSE,"Northpointe"}</definedName>
    <definedName name="kjo" localSheetId="10" hidden="1">{#N/A,#N/A,FALSE,"SUMMARY";#N/A,#N/A,FALSE,"mcsh";#N/A,#N/A,FALSE,"vol&amp;rev";#N/A,#N/A,FALSE,"wkgcap";#N/A,#N/A,FALSE,"DEPR&amp;DT";#N/A,#N/A,FALSE,"ASSETS";#N/A,#N/A,FALSE,"NI&amp;OTH&amp;DIV";#N/A,#N/A,FALSE,"CASHFLOW";#N/A,#N/A,FALSE,"CAPEMPL";#N/A,#N/A,FALSE,"ROCE"}</definedName>
    <definedName name="kk" localSheetId="10" hidden="1">{#N/A,#N/A,TRUE,"Sel Fn Data QTD";#N/A,#N/A,TRUE,"Table 1 YTD";#N/A,#N/A,TRUE,"Tables 2 to 4 PL";#N/A,#N/A,TRUE,"Tables 5 to 9 ALLL";#N/A,#N/A,TRUE,"Table 10 to 13 - Balance Sheet"}</definedName>
    <definedName name="kkk" localSheetId="10" hidden="1">{#N/A,#N/A,TRUE,"BUD VS ACT AUST 96";#N/A,#N/A,TRUE,"96 COMP P&amp;L-AUST";#N/A,#N/A,TRUE,"COMP BS-AUSTRALIA";#N/A,#N/A,TRUE,"B/S - AUSTR."}</definedName>
    <definedName name="kkkk" localSheetId="10" hidden="1">{#N/A,#N/A,TRUE,"BUD VS ACT AUST 96";#N/A,#N/A,TRUE,"96 COMP P&amp;L-AUST";#N/A,#N/A,TRUE,"COMP BS-AUSTRALIA";#N/A,#N/A,TRUE,"B/S - AUSTR."}</definedName>
    <definedName name="kkkkkkk" localSheetId="10" hidden="1">{#N/A,#N/A,TRUE,"BUD VS ACT AUST 96";#N/A,#N/A,TRUE,"96 COMP P&amp;L-AUST";#N/A,#N/A,TRUE,"COMP BS-AUSTRALIA";#N/A,#N/A,TRUE,"B/S - AUSTR."}</definedName>
    <definedName name="klklkl" localSheetId="10" hidden="1">{#N/A,#N/A,TRUE,"BUD VS ACT AUST 96";#N/A,#N/A,TRUE,"96 COMP P&amp;L-AUST";#N/A,#N/A,TRUE,"COMP BS-AUSTRALIA";#N/A,#N/A,TRUE,"B/S - AUSTR."}</definedName>
    <definedName name="klklklkl" localSheetId="10" hidden="1">{#N/A,#N/A,FALSE,"Index";"Stmts_Qtrs",#N/A,FALSE,"Summary";"Stmts_24 mo",#N/A,FALSE,"Summary";"Summary_24",#N/A,FALSE,"Revenue";"Month_24",#N/A,FALSE,"Engineering";"Month_24",#N/A,FALSE,"Marketing";"Month_24",#N/A,FALSE,"G &amp; A";"Month_24",#N/A,FALSE,"Manufacturing"}</definedName>
    <definedName name="kslkjkjlkjd" localSheetId="10" hidden="1">{#N/A,#N/A,FALSE,"REPORT"}</definedName>
    <definedName name="ku" localSheetId="10" hidden="1">{#N/A,#N/A,TRUE,"BUD VS ACT AUST 96";#N/A,#N/A,TRUE,"96 COMP P&amp;L-AUST";#N/A,#N/A,TRUE,"COMP BS-AUSTRALIA";#N/A,#N/A,TRUE,"B/S - AUSTR."}</definedName>
    <definedName name="L" localSheetId="10" hidden="1">#REF!</definedName>
    <definedName name="LBOAnalysis2" localSheetId="10" hidden="1">{"WACC_clientcopy",#N/A,FALSE,"Inputs";"Beta_clientcopy",#N/A,FALSE,"Inputs";"SCF_clientcopy",#N/A,FALSE,"Inputs";"ProBS_clientcopy",#N/A,FALSE,"Inputs";"BS_clientcopy",#N/A,FALSE,"Inputs";"ProIS_clientcopy",#N/A,FALSE,"Inputs";"IS_clientcopy",#N/A,FALSE,"Inputs";"Ratios_clientcopy",#N/A,FALSE,"Ratios"}</definedName>
    <definedName name="LBOCreditConsol" localSheetId="10" hidden="1">{"FCB_ALL",#N/A,FALSE,"FCB"}</definedName>
    <definedName name="lee" localSheetId="10" hidden="1">{#N/A,#N/A,FALSE,"Pharm";#N/A,#N/A,FALSE,"WWCM"}</definedName>
    <definedName name="lfj" localSheetId="10" hidden="1">{#N/A,#N/A,FALSE,"TABLE_1 YTD";#N/A,#N/A,FALSE,"TABLE_1A QTD";#N/A,#N/A,FALSE,"NORMAL_SPREAD_QTD";#N/A,#N/A,FALSE,"NORMAL_SPREAD_YTD";#N/A,#N/A,FALSE,"TAX_EQV";#N/A,#N/A,FALSE,"TAX EQUIV_INPUT";#N/A,#N/A,FALSE,"NET FROM FER";#N/A,#N/A,FALSE,"COVER"}</definedName>
    <definedName name="lkj" localSheetId="10" hidden="1">#REF!</definedName>
    <definedName name="lklkl" localSheetId="10" hidden="1">{"consolidated",#N/A,FALSE,"Sheet1";"cms",#N/A,FALSE,"Sheet1";"fse",#N/A,FALSE,"Sheet1"}</definedName>
    <definedName name="ll" localSheetId="10" hidden="1">{#N/A,#N/A,FALSE,"PL-FS";#N/A,#N/A,FALSE,"PL"}</definedName>
    <definedName name="LLCP" localSheetId="10" hidden="1">{"PAGE1",#N/A,FALSE,"BID (3)";"PAGE2",#N/A,FALSE,"BID (3)"}</definedName>
    <definedName name="lll" localSheetId="10">#REF!</definedName>
    <definedName name="lllll" localSheetId="10" hidden="1">{"Summary",#N/A,FALSE,"Details (2)"}</definedName>
    <definedName name="lllllllll" localSheetId="10" hidden="1">{"SUM",#N/A,FALSE,"Details (2)"}</definedName>
    <definedName name="lllllllllllllllllll" localSheetId="10" hidden="1">{"Summary",#N/A,FALSE,"Details (2)"}</definedName>
    <definedName name="lnk_Print_Area" localSheetId="10" hidden="1">#REF!</definedName>
    <definedName name="Loan_Not_Paid" localSheetId="10">IF(#REF!&lt;='EBITDA Adjustments 2026'!Number_of_Payments,1,0)</definedName>
    <definedName name="Loan2016" localSheetId="10">(#REF!*#REF!*#REF!*#REF!)&gt;0</definedName>
    <definedName name="Loan2017" localSheetId="10">(#REF!*#REF!*#REF!*#REF!)&gt;0</definedName>
    <definedName name="Loan2018" localSheetId="10">(#REF!*#REF!*#REF!*#REF!)&gt;0</definedName>
    <definedName name="LoanIsGood" localSheetId="10">(#REF!*#REF!*#REF!*#REF!)&gt;0</definedName>
    <definedName name="Local" localSheetId="10" hidden="1">{"arpm1995",#N/A,FALSE,"Summary 95-96";"bus_long_distance",#N/A,FALSE,"Summary 95-96";"mins_per_day",#N/A,FALSE,"Summary 95-96";"minutes1995",#N/A,FALSE,"Summary 95-96";"rev_per_day",#N/A,FALSE,"Summary 95-96";"view1995",#N/A,FALSE,"Summary 95-96"}</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I" localSheetId="10" hidden="1">{#N/A,#N/A,FALSE,"TABLE_1 YTD";#N/A,#N/A,FALSE,"TABLE_1A QTD";#N/A,#N/A,FALSE,"NORMAL_SPREAD_QTD";#N/A,#N/A,FALSE,"NORMAL_SPREAD_YTD";#N/A,#N/A,FALSE,"TAX_EQV";#N/A,#N/A,FALSE,"TAX EQUIV_INPUT";#N/A,#N/A,FALSE,"NET FROM FER";#N/A,#N/A,FALSE,"COVER"}</definedName>
    <definedName name="LookupIndex" localSheetId="10">#REF!</definedName>
    <definedName name="m" localSheetId="10" hidden="1">{#N/A,#N/A,FALSE,"COVER";#N/A,#N/A,FALSE,"Index";#N/A,#N/A,FALSE,"Non-Earning";#N/A,#N/A,FALSE,"Commercial";#N/A,#N/A,FALSE,"Detailed"}</definedName>
    <definedName name="M_A" localSheetId="10" hidden="1">{#N/A,#N/A,FALSE,"Rev Grwth";#N/A,#N/A,FALSE,"Op Inc Grwth";#N/A,#N/A,FALSE,"Net Grwth";#N/A,#N/A,FALSE,"EPS Growth"}</definedName>
    <definedName name="M_PlaceofPath" localSheetId="10" hidden="1">"G:\blabla"</definedName>
    <definedName name="Management" localSheetId="10" hidden="1">{#N/A,"Faber45",FALSE,"LBPROFOR";#N/A,"Faber50",FALSE,"LBPROFOR";#N/A,"Faber55",FALSE,"LBPROFOR";#N/A,"Faber60",FALSE,"LBPROFOR"}</definedName>
    <definedName name="Managemnt" localSheetId="10" hidden="1">{#N/A,"Faber45",FALSE,"LBPROFOR";#N/A,"Faber50",FALSE,"LBPROFOR";#N/A,"Faber55",FALSE,"LBPROFOR";#N/A,"Faber60",FALSE,"LBPROFOR"}</definedName>
    <definedName name="Mar00" localSheetId="10" hidden="1">{"Statement of Income",#N/A,TRUE,"Mar99";"Balance Sheet",#N/A,TRUE,"Mar99"}</definedName>
    <definedName name="Mar00TB" localSheetId="10" hidden="1">{"Statement of Income",#N/A,TRUE,"Mar99";"Balance Sheet",#N/A,TRUE,"Mar99"}</definedName>
    <definedName name="mar00tb1" localSheetId="10" hidden="1">{"Statement of Income",#N/A,TRUE,"Mar99";"Balance Sheet",#N/A,TRUE,"Mar99"}</definedName>
    <definedName name="Mark" localSheetId="10" hidden="1">{"WACC_clientcopy",#N/A,FALSE,"Inputs";"Beta_clientcopy",#N/A,FALSE,"Inputs";"SCF_clientcopy",#N/A,FALSE,"Inputs";"ProBS_clientcopy",#N/A,FALSE,"Inputs";"BS_clientcopy",#N/A,FALSE,"Inputs";"ProIS_clientcopy",#N/A,FALSE,"Inputs";"IS_clientcopy",#N/A,FALSE,"Inputs";"Ratios_clientcopy",#N/A,FALSE,"Ratios"}</definedName>
    <definedName name="mason?" localSheetId="10" hidden="1">{#N/A,#N/A,FALSE,"Data &amp; Key Results";#N/A,#N/A,FALSE,"Summary Template";#N/A,#N/A,FALSE,"Budget";#N/A,#N/A,FALSE,"Present Value Comparison";#N/A,#N/A,FALSE,"Cashflow";#N/A,#N/A,FALSE,"Income";#N/A,#N/A,FALSE,"Inputs"}</definedName>
    <definedName name="mason2" localSheetId="10" hidden="1">{#N/A,#N/A,FALSE,"Data &amp; Key Results";#N/A,#N/A,FALSE,"Summary Template";#N/A,#N/A,FALSE,"Budget";#N/A,#N/A,FALSE,"Present Value Comparison";#N/A,#N/A,FALSE,"Cashflow";#N/A,#N/A,FALSE,"Income";#N/A,#N/A,FALSE,"Inputs"}</definedName>
    <definedName name="mason3" localSheetId="10" hidden="1">{#N/A,#N/A,FALSE,"Data &amp; Key Results";#N/A,#N/A,FALSE,"Summary Template";#N/A,#N/A,FALSE,"Budget";#N/A,#N/A,FALSE,"Present Value Comparison";#N/A,#N/A,FALSE,"Cashflow";#N/A,#N/A,FALSE,"Income";#N/A,#N/A,FALSE,"Inputs"}</definedName>
    <definedName name="mason4" localSheetId="10" hidden="1">{#N/A,#N/A,FALSE,"Data &amp; Key Results";#N/A,#N/A,FALSE,"Summary Template";#N/A,#N/A,FALSE,"Budget";#N/A,#N/A,FALSE,"Present Value Comparison";#N/A,#N/A,FALSE,"Cashflow";#N/A,#N/A,FALSE,"Income";#N/A,#N/A,FALSE,"Inputs"}</definedName>
    <definedName name="mason5" localSheetId="10" hidden="1">{#N/A,#N/A,FALSE,"Data &amp; Key Results";#N/A,#N/A,FALSE,"Summary Template";#N/A,#N/A,FALSE,"Budget";#N/A,#N/A,FALSE,"Present Value Comparison";#N/A,#N/A,FALSE,"Cashflow";#N/A,#N/A,FALSE,"Income";#N/A,#N/A,FALSE,"Inputs"}</definedName>
    <definedName name="masonII" localSheetId="10" hidden="1">{#N/A,#N/A,FALSE,"Data &amp; Key Results";#N/A,#N/A,FALSE,"Summary Template";#N/A,#N/A,FALSE,"Budget";#N/A,#N/A,FALSE,"Present Value Comparison";#N/A,#N/A,FALSE,"Cashflow";#N/A,#N/A,FALSE,"Income";#N/A,#N/A,FALSE,"Inputs"}</definedName>
    <definedName name="matrix" localSheetId="1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DI" localSheetId="10" hidden="1">{#N/A,#N/A,FALSE,"SUMMARY";#N/A,#N/A,FALSE,"mcsh";#N/A,#N/A,FALSE,"vol&amp;rev";#N/A,#N/A,FALSE,"wkgcap";#N/A,#N/A,FALSE,"DEPR&amp;DT";#N/A,#N/A,FALSE,"ASSETS";#N/A,#N/A,FALSE,"NI&amp;OTH&amp;DIV";#N/A,#N/A,FALSE,"CASHFLOW";#N/A,#N/A,FALSE,"CAPEMPL";#N/A,#N/A,FALSE,"ROCE"}</definedName>
    <definedName name="mfgr" localSheetId="10" hidden="1">{"PAGE 1",#N/A,FALSE,"WEST_OT"}</definedName>
    <definedName name="mfgtest" localSheetId="10" hidden="1">{"PAGE 1",#N/A,FALSE,"WEST_OT"}</definedName>
    <definedName name="MGHM"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mt" localSheetId="10" hidden="1">{#N/A,"Faber45",FALSE,"LBPROFOR";#N/A,"Faber50",FALSE,"LBPROFOR";#N/A,"Faber55",FALSE,"LBPROFOR";#N/A,"Faber60",FALSE,"LBPROFOR"}</definedName>
    <definedName name="Mgmt." localSheetId="10" hidden="1">{#N/A,"Faber45",FALSE,"LBPROFOR";#N/A,"Faber50",FALSE,"LBPROFOR";#N/A,"Faber55",FALSE,"LBPROFOR";#N/A,"Faber60",FALSE,"LBPROFOR"}</definedName>
    <definedName name="mgmtfee" localSheetId="10">#REF!</definedName>
    <definedName name="mhj"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idwest" localSheetId="10" hidden="1">{"FY02_Assets",#N/A,FALSE,"Fin Stmt Budget";"FY02_Liabilities",#N/A,FALSE,"Fin Stmt Budget";"FY02_Inc_Stmt",#N/A,FALSE,"Fin Stmt Budget";"FY02_SOCF",#N/A,FALSE,"Fin Stmt Budget"}</definedName>
    <definedName name="min" localSheetId="10" hidden="1">{#N/A,#N/A,FALSE,"REPORT"}</definedName>
    <definedName name="mina" localSheetId="10" hidden="1">{#N/A,#N/A,FALSE,"REPORT"}</definedName>
    <definedName name="misc"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j" localSheetId="10" hidden="1">{#N/A,#N/A,FALSE,"FY97";#N/A,#N/A,FALSE,"FY98";#N/A,#N/A,FALSE,"FY99";#N/A,#N/A,FALSE,"FY00";#N/A,#N/A,FALSE,"FY01"}</definedName>
    <definedName name="mkj" localSheetId="10" hidden="1">{#N/A,#N/A,TRUE,"A";#N/A,#N/A,TRUE,"B";#N/A,#N/A,TRUE,"C";#N/A,#N/A,TRUE,"D";#N/A,#N/A,TRUE,"E"}</definedName>
    <definedName name="mkting_adv" localSheetId="10" hidden="1">{#N/A,#N/A,FALSE,"ASSUMPTIONS";#N/A,#N/A,FALSE,"Valuation Summary";"page1",#N/A,FALSE,"PRESENTATION";"page2",#N/A,FALSE,"PRESENTATION";#N/A,#N/A,FALSE,"ORIGINAL_ROLLBACK"}</definedName>
    <definedName name="mkting_adver" localSheetId="10" hidden="1">{#N/A,#N/A,FALSE,"ASSUMPTIONS";#N/A,#N/A,FALSE,"Valuation Summary";"page1",#N/A,FALSE,"PRESENTATION";"page2",#N/A,FALSE,"PRESENTATION";#N/A,#N/A,FALSE,"ORIGINAL_ROLLBACK"}</definedName>
    <definedName name="MLNK00d48aea1172490e8970884bfd0bc5ab" localSheetId="10" hidden="1">#REF!</definedName>
    <definedName name="MLNK00d8e64d840b46bea261783566ad72fd" localSheetId="10" hidden="1">#REF!</definedName>
    <definedName name="MLNK018bfad56a014b6f84cfc7fb40567079" localSheetId="10" hidden="1">#REF!</definedName>
    <definedName name="MLNK01c3f180173548f9b3518767c367e255" localSheetId="10" hidden="1">#REF!</definedName>
    <definedName name="MLNK02152b7ac4cf43e68ef13bfa3f5e34b5" localSheetId="10" hidden="1">#REF!</definedName>
    <definedName name="MLNK02ddb7e50a9a4088ad89faf3155f305e" localSheetId="10" hidden="1">#REF!</definedName>
    <definedName name="MLNK0365e2134fd54e1c8a59696978fd7f3d" localSheetId="10" hidden="1">#REF!</definedName>
    <definedName name="MLNK03d895c600f84237af0a9f6d50dde8ed" localSheetId="10" hidden="1">#REF!</definedName>
    <definedName name="MLNK04075ac9c75d447c8a0ebdbdc9a54c65" localSheetId="10" hidden="1">#REF!</definedName>
    <definedName name="MLNK044a71679f47458eaf36d10fdaae790f" localSheetId="10" hidden="1">#REF!</definedName>
    <definedName name="MLNK049def977a854a32b6d9fae794c51186" localSheetId="10" hidden="1">#REF!</definedName>
    <definedName name="MLNK04b34d7237ff4693803d53b078679e77" localSheetId="10" hidden="1">#REF!</definedName>
    <definedName name="MLNK04baecedd8f843f7b8ab7f1e046494dc" localSheetId="10" hidden="1">#REF!</definedName>
    <definedName name="MLNK04c12b15290e4102b331188b33f480a5" localSheetId="10" hidden="1">#REF!</definedName>
    <definedName name="MLNK04e5a28d84a040ef8f83d3c026042dad" localSheetId="10" hidden="1">#REF!</definedName>
    <definedName name="MLNK04ed437773d6468f978a880d6fea840e" localSheetId="10" hidden="1">#REF!</definedName>
    <definedName name="MLNK052f3789d18e4da4b8a206db6d662f8c" localSheetId="10" hidden="1">#REF!</definedName>
    <definedName name="MLNK055891053a474c2da6a013d17eafcd56" localSheetId="10" hidden="1">#REF!</definedName>
    <definedName name="MLNK055957a194f74f8e9bafb258f3f928dc" localSheetId="10" hidden="1">#REF!</definedName>
    <definedName name="MLNK060e2b647fc847038ccaa50e705b32b2" localSheetId="10" hidden="1">#REF!</definedName>
    <definedName name="MLNK064c2e8abed14178b8e9385f23e95e0f" localSheetId="10" hidden="1">#REF!</definedName>
    <definedName name="MLNK070510d453cb48d1938cdcf099afbdfc" localSheetId="10" hidden="1">#REF!</definedName>
    <definedName name="MLNK077f2649cfa54691bf98644e2b70ea32" localSheetId="10" hidden="1">#REF!</definedName>
    <definedName name="MLNK07a48200f15c4498a1034433e59fb9ee" localSheetId="10" hidden="1">#REF!</definedName>
    <definedName name="MLNK0810a7425db84fdbafb57121a4c1bdc7" localSheetId="10" hidden="1">#REF!</definedName>
    <definedName name="MLNK082f62a9898f4a6ebf0892b9a8dee313" localSheetId="10" hidden="1">#REF!</definedName>
    <definedName name="MLNK0837b19ae8b44ca0afd72e4ea716841d" localSheetId="10" hidden="1">#REF!</definedName>
    <definedName name="MLNK089379dd25fc469a8b451627548465a0" localSheetId="10" hidden="1">#REF!</definedName>
    <definedName name="MLNK08b0d9ab9b7f4a019f01558fa42f52cc" localSheetId="10" hidden="1">#REF!</definedName>
    <definedName name="MLNK0932a8a0f6734900b5db162af6d4008b" localSheetId="10" hidden="1">#REF!</definedName>
    <definedName name="MLNK09676ee764e448008376f2bfff9e384d" localSheetId="10" hidden="1">#REF!</definedName>
    <definedName name="MLNK0a25e559e0ca40d3b117c10dde841c8d" localSheetId="10" hidden="1">#REF!</definedName>
    <definedName name="MLNK0a4500987a0d44bea968f35f842414e7" localSheetId="10" hidden="1">#REF!</definedName>
    <definedName name="MLNK0b0460e4acf542378be2a3d79b7df220" localSheetId="10" hidden="1">#REF!</definedName>
    <definedName name="MLNK0b4b5f3a99ce4b28b1cca53ba01bc3c8" localSheetId="10" hidden="1">#REF!</definedName>
    <definedName name="MLNK0b60f77ace8b4dd786fd1017a509d59f" localSheetId="10" hidden="1">#REF!</definedName>
    <definedName name="MLNK0b6138e25adf4209b99f73f49521a659" localSheetId="10" hidden="1">#REF!</definedName>
    <definedName name="MLNK0c19dec1a7144650b526abd40fd3e1c9" localSheetId="10" hidden="1">#REF!</definedName>
    <definedName name="MLNK0c29236af04547d8895347a76fdbff29" localSheetId="10" hidden="1">#REF!</definedName>
    <definedName name="MLNK0c5c90a12de446c89616d37cadb8f863" localSheetId="10" hidden="1">#REF!</definedName>
    <definedName name="MLNK0ca8413a6a4e48109c00e972f8591f15" localSheetId="10" hidden="1">#REF!</definedName>
    <definedName name="MLNK0d71dc310fad49ec85da7434597cd6be" localSheetId="10" hidden="1">#REF!</definedName>
    <definedName name="MLNK0db0f33ed0324031b6b3ea38ff41c6b3" localSheetId="10" hidden="1">#REF!</definedName>
    <definedName name="MLNK0e30595ea35a4b91a9f0400f7da90810" localSheetId="10" hidden="1">#REF!</definedName>
    <definedName name="MLNK0ebc8ed7c46c46d58e01b3a65cc25bad" localSheetId="10" hidden="1">#REF!</definedName>
    <definedName name="MLNK0ec975729a544ee48ecaa4993f759464" localSheetId="10" hidden="1">#REF!</definedName>
    <definedName name="MLNK0f79f0b17a0c4338ba2c447b8558f837" localSheetId="10" hidden="1">#REF!</definedName>
    <definedName name="MLNK102a6a0da87b49bd8c869ffdcb8f6a5c" localSheetId="10" hidden="1">#REF!</definedName>
    <definedName name="MLNK107e4e6ac1144bfaa2bc2084e05a38b1" localSheetId="10" hidden="1">#REF!</definedName>
    <definedName name="MLNK11ad7f67537f4d04b5b5e34d17a1dfe7" localSheetId="10" hidden="1">#REF!</definedName>
    <definedName name="MLNK11e2a30c9b564beeb398ac3e535a96de" localSheetId="10" hidden="1">#REF!</definedName>
    <definedName name="MLNK127813a1a6254a548e091fd36e1fbb47" localSheetId="10" hidden="1">#REF!</definedName>
    <definedName name="MLNK12defab03df94ea382b71e4a83c23c96" localSheetId="10" hidden="1">#REF!</definedName>
    <definedName name="MLNK12f7145ce43446359e563854d28497d8" localSheetId="10" hidden="1">#REF!</definedName>
    <definedName name="MLNK134f38e34bcd4dbc84982cc9d8fa79cc" localSheetId="10" hidden="1">#REF!</definedName>
    <definedName name="MLNK1352b7f45b1d412299a3ad4b5f3b89fc" localSheetId="10" hidden="1">#REF!</definedName>
    <definedName name="MLNK136a8efde5d14d7880780cb4288214c8" localSheetId="10" hidden="1">#REF!</definedName>
    <definedName name="MLNK13ddbac3ec9a4aa09442d2baa6c598cb" localSheetId="10" hidden="1">#REF!</definedName>
    <definedName name="MLNK14e06d7cc4024f199e311d3b65bbb63c" localSheetId="10" hidden="1">#REF!</definedName>
    <definedName name="MLNK1502445670b740809babbf80893a2fc6" localSheetId="10" hidden="1">#REF!</definedName>
    <definedName name="MLNK15426febeea146dbb161891fa048bd4e" localSheetId="10" hidden="1">#REF!</definedName>
    <definedName name="MLNK155ed824d11e499683ac57119c33dda9" localSheetId="10" hidden="1">#REF!</definedName>
    <definedName name="MLNK15ce2520bab04a56a1b91f68d2bb2193" localSheetId="10" hidden="1">#REF!</definedName>
    <definedName name="MLNK168568dec16c423ea55308759534aead" localSheetId="10" hidden="1">#REF!</definedName>
    <definedName name="MLNK16a713e7610a41beb1e604353d934383" localSheetId="10" hidden="1">#REF!</definedName>
    <definedName name="MLNK16bb90555bb549c4a8cb4cd97a93e068" localSheetId="10" hidden="1">#REF!</definedName>
    <definedName name="MLNK17543382e2bf4b3eaa92152d6f293baf" localSheetId="10" hidden="1">#REF!</definedName>
    <definedName name="MLNK1878ac2ef4984cf88c7f6be575c72b35" localSheetId="10" hidden="1">#REF!</definedName>
    <definedName name="MLNK187aae0e1b444d2daa05f7fc058c71f3" localSheetId="10" hidden="1">#REF!</definedName>
    <definedName name="MLNK18c91ea14fe44af7b5151b4160cd85ee" localSheetId="10" hidden="1">#REF!</definedName>
    <definedName name="MLNK18d67e4ee034443ba5648d0dda6747bc" localSheetId="10" hidden="1">#REF!</definedName>
    <definedName name="MLNK18ea120670984a17b7a93b6d9eb58e17" localSheetId="10" hidden="1">#REF!</definedName>
    <definedName name="MLNK18eb0f4412cb40a4ae711508efd03722" localSheetId="10" hidden="1">#REF!</definedName>
    <definedName name="MLNK1942f939dd30413084b5900bc3a48e91" localSheetId="10" hidden="1">#REF!</definedName>
    <definedName name="MLNK197a4e305f8e4a28923e9685bfe5755d" localSheetId="10" hidden="1">#REF!</definedName>
    <definedName name="MLNK19da6caece2e4a0da0e0510020408a9f" localSheetId="10" hidden="1">#REF!</definedName>
    <definedName name="MLNK1a54210510d0478faa44db0489c964ab" localSheetId="10" hidden="1">#REF!</definedName>
    <definedName name="MLNK1ae0caeeb3404a96b18ca5f13d361dff" localSheetId="10" hidden="1">#REF!</definedName>
    <definedName name="MLNK1b25ef79157c4ecc86be17ec702147dd" localSheetId="10" hidden="1">#REF!</definedName>
    <definedName name="MLNK1b323a4c2490472c854bc05124ef80d4" localSheetId="10" hidden="1">#REF!</definedName>
    <definedName name="MLNK1b3e86fde2dd4141aabb68ae999a4618" localSheetId="10" hidden="1">#REF!</definedName>
    <definedName name="MLNK1bd17cb664b04a428b34b4b1a0645b8c" localSheetId="10" hidden="1">#REF!</definedName>
    <definedName name="MLNK1c5a2340dcf14e12be7f6bb726377d0e" localSheetId="10" hidden="1">#REF!</definedName>
    <definedName name="MLNK1c83a07ed2a14eb297a3aafd495ea8f8" localSheetId="10" hidden="1">#REF!</definedName>
    <definedName name="MLNK1cbe96a220924eddb8390adadf496f4d" localSheetId="10" hidden="1">#REF!</definedName>
    <definedName name="MLNK1ce918b7705549a0afa18a494254a124" localSheetId="10" hidden="1">#REF!</definedName>
    <definedName name="MLNK1d1e5a3b1a924e08b4662e46be3f2d38" localSheetId="10" hidden="1">#REF!</definedName>
    <definedName name="MLNK1d87f7352fcc4050afa51b0b23b6df7b" localSheetId="10" hidden="1">#REF!</definedName>
    <definedName name="MLNK1db60897d9174faa80ff6d287eeac8b8" localSheetId="10" hidden="1">#REF!</definedName>
    <definedName name="MLNK1dd499f1d55b466eb23c641e6a6136f8" localSheetId="10" hidden="1">#REF!</definedName>
    <definedName name="MLNK1de8cf250711483ba35281509ce426a3" localSheetId="10" hidden="1">#REF!</definedName>
    <definedName name="MLNK1eb887c9286a439a884bc331ae8bd4c8" localSheetId="10" hidden="1">#REF!</definedName>
    <definedName name="MLNK1ec749ccabbf4bccb4158cf9db8fa5a8" localSheetId="10" hidden="1">#REF!</definedName>
    <definedName name="MLNK1fd1a613b4e042338ae9b944d7c75226" localSheetId="10" hidden="1">#REF!</definedName>
    <definedName name="MLNK2001e30c2e79462fb212bee2d523546c" localSheetId="10" hidden="1">#REF!</definedName>
    <definedName name="MLNK2004611481114fd7836a787ce7cbc787" localSheetId="10" hidden="1">#REF!</definedName>
    <definedName name="MLNK200f8b4ac20f454f8d2e8d1e53220a6e" localSheetId="10" hidden="1">#REF!</definedName>
    <definedName name="MLNK205684d319924bf28951b6697b190691" localSheetId="10" hidden="1">#REF!</definedName>
    <definedName name="MLNK2070a8a62489433ea2ef832a7b27ce8e" localSheetId="10" hidden="1">#REF!</definedName>
    <definedName name="MLNK20db4d3c94964f3a8f93dbbc366d2cfd" localSheetId="10" hidden="1">#REF!</definedName>
    <definedName name="MLNK20dfbb85d3b7401c99660bb1244ed3a9" localSheetId="10" hidden="1">#REF!</definedName>
    <definedName name="MLNK20ec3ff50f064852adb8fd689f113130" localSheetId="10" hidden="1">#REF!</definedName>
    <definedName name="MLNK21060abefe22464881ffa9dc4087f34a" localSheetId="10" hidden="1">#REF!</definedName>
    <definedName name="MLNK21407499ba784667b4908f9c47c07ba0" localSheetId="10" hidden="1">#REF!</definedName>
    <definedName name="MLNK215d6ec32f3f4db6a3d798cc5297a671" localSheetId="10" hidden="1">#REF!</definedName>
    <definedName name="MLNK216741f5dafc4782a31735a1bbf0c00b" localSheetId="10" hidden="1">#REF!</definedName>
    <definedName name="MLNK21819cd4be3747afaafe7fd6af1a80dd" localSheetId="10" hidden="1">#REF!</definedName>
    <definedName name="MLNK22c1dd1486eb4d0bbe8b6967d445e8fa" localSheetId="10" hidden="1">#REF!</definedName>
    <definedName name="MLNK22e9426a49e8430ba371851947a600ab" localSheetId="10" hidden="1">#REF!</definedName>
    <definedName name="MLNK233feeaa85db4459a7b9b00424fa2ff8" localSheetId="10" hidden="1">#REF!</definedName>
    <definedName name="MLNK23a22acb0ce643cfab0c7c09267827be" localSheetId="10" hidden="1">#REF!</definedName>
    <definedName name="MLNK23aa398038ca4900a96aa29fa7fbdd3c" localSheetId="10" hidden="1">#REF!</definedName>
    <definedName name="MLNK23e7d64cf91849bf971cdd0e2506b3b9" localSheetId="10" hidden="1">#REF!</definedName>
    <definedName name="MLNK242f346894804e1886d2cf64cec38165" localSheetId="10" hidden="1">#REF!</definedName>
    <definedName name="MLNK246384bbcf194625b2933d5f1c38b570" localSheetId="10" hidden="1">#REF!</definedName>
    <definedName name="MLNK2474a500bbc54ae7929db86934bc6273" localSheetId="10" hidden="1">#REF!</definedName>
    <definedName name="MLNK24a3535198864783b147b6db4dfd1e1e" localSheetId="10" hidden="1">#REF!</definedName>
    <definedName name="MLNK24cd202804cc4c9ab3044945bd3e3713" localSheetId="10" hidden="1">#REF!</definedName>
    <definedName name="MLNK2573f5f2b0a147228dcc43cff2d4ac48" localSheetId="10" hidden="1">#REF!</definedName>
    <definedName name="MLNK25774000f4c845548c231c7e9e2d28e9" localSheetId="10" hidden="1">#REF!</definedName>
    <definedName name="MLNK259ca339584144f5926618d12b15da3e" localSheetId="10" hidden="1">#REF!</definedName>
    <definedName name="MLNK25a89f60adf6498fb802aaec26c25d00" localSheetId="10" hidden="1">#REF!</definedName>
    <definedName name="MLNK25f9e2e8d5514c5489f2b23bea37f935" localSheetId="10" hidden="1">#REF!</definedName>
    <definedName name="MLNK26c398595c9545efbd82dca4a520047a" localSheetId="10" hidden="1">#REF!</definedName>
    <definedName name="MLNK26cda75b65fd41048c6f187517f0d6ba" localSheetId="10" hidden="1">#REF!</definedName>
    <definedName name="MLNK27b413fbc3074fa8a7204f0e322ac122" localSheetId="10" hidden="1">#REF!</definedName>
    <definedName name="MLNK27f4b8570bad4ba0ad262108ff4c0490" localSheetId="10" hidden="1">#REF!</definedName>
    <definedName name="MLNK28d3e9b39a374a92b8582fe6c1b20cff" localSheetId="10" hidden="1">#REF!</definedName>
    <definedName name="MLNK291cdfb6f516442784c0baf3b12fde25" localSheetId="10" hidden="1">#REF!</definedName>
    <definedName name="MLNK29814a5538324abfbbc2da617e73d6f7" localSheetId="10" hidden="1">#REF!</definedName>
    <definedName name="MLNK299ae3da7f4f4b678de7f52a7f43c2db" localSheetId="10" hidden="1">#REF!</definedName>
    <definedName name="MLNK29c57d71f4d746e7898935907da19e0c" localSheetId="10" hidden="1">#REF!</definedName>
    <definedName name="MLNK29ddfe4369a14c9fbcc6eadd5635ac97" localSheetId="10" hidden="1">#REF!</definedName>
    <definedName name="MLNK29e39640eaab48838edc89ddf6129fad" localSheetId="10" hidden="1">#REF!</definedName>
    <definedName name="MLNK29e84db5458b45658bb97db4ee5141fa" localSheetId="10" hidden="1">#REF!</definedName>
    <definedName name="MLNK2a3ee11a92fa4dcda90e91c5ac75f4b8" localSheetId="10" hidden="1">#REF!</definedName>
    <definedName name="MLNK2a66a9a6067d41c4b732299fbf08c3ff" localSheetId="10" hidden="1">#REF!</definedName>
    <definedName name="MLNK2abee68d748f43408f3c78ff1aab5cd8" localSheetId="10" hidden="1">#REF!</definedName>
    <definedName name="MLNK2b2c36ff82434559965b4adeae9bae8e" localSheetId="10" hidden="1">#REF!</definedName>
    <definedName name="MLNK2b452caa83434d14a5a8bf95fbfefdb4" localSheetId="10" hidden="1">#REF!</definedName>
    <definedName name="MLNK2b85baa9501840b6827700471c774d80" localSheetId="10" hidden="1">#REF!</definedName>
    <definedName name="MLNK2b9b059d0a2a4ffeafce19ba06c9cdb7" localSheetId="10" hidden="1">#REF!</definedName>
    <definedName name="MLNK2c18432822ef4f83a820c2daed1e8bc0" localSheetId="10" hidden="1">#REF!</definedName>
    <definedName name="MLNK2c9088fbcd634d40b09e37e4e2d3a7c4" localSheetId="10" hidden="1">#REF!</definedName>
    <definedName name="MLNK2db7e1032d8c4d67a7116fb19fe6fa4a" localSheetId="10" hidden="1">#REF!</definedName>
    <definedName name="MLNK2e229c7e6c1a4a3eb10431ebf4b8170e" localSheetId="10" hidden="1">#REF!</definedName>
    <definedName name="MLNK2e460db3c1dc4d9696b0d3ab336335e7" localSheetId="10" hidden="1">#REF!</definedName>
    <definedName name="MLNK2e74d86902b44d1fb46c4e137bcb62a8" localSheetId="10" hidden="1">#REF!</definedName>
    <definedName name="MLNK2e90962703ad48c792ea668d84149920" localSheetId="10" hidden="1">#REF!</definedName>
    <definedName name="MLNK2f0b5324375b449b94bf8a49a9cb7754" localSheetId="10" hidden="1">#REF!</definedName>
    <definedName name="MLNK2fcc315946d0479abaaccbea735dcd40" localSheetId="10" hidden="1">#REF!</definedName>
    <definedName name="MLNK300a116a290b4ed4b3002b11ff01efdb" localSheetId="10" hidden="1">#REF!</definedName>
    <definedName name="MLNK303b4d13bf9d4ab6b918ec321bc7d36d" localSheetId="10" hidden="1">#REF!</definedName>
    <definedName name="MLNK30b27c2cda9f470faea966f90bdec659" localSheetId="10" hidden="1">#REF!</definedName>
    <definedName name="MLNK3183f1eaa02944f8af9a4551bab49622" localSheetId="10" hidden="1">#REF!</definedName>
    <definedName name="MLNK3191c7771c5c4908bde70ad7e0523638" localSheetId="10" hidden="1">#REF!</definedName>
    <definedName name="MLNK31c437e513bd43708561c0a56b16836b" localSheetId="10" hidden="1">#REF!</definedName>
    <definedName name="MLNK33217662758946f9a7f766d1fe4702be" localSheetId="10" hidden="1">#REF!</definedName>
    <definedName name="MLNK33aa50c1f4864f5f92625202d233ad79" localSheetId="10" hidden="1">#REF!</definedName>
    <definedName name="MLNK34ea0417da44458e98269b90c5445c1b" localSheetId="10" hidden="1">#REF!</definedName>
    <definedName name="MLNK35525a34df824ef08bc71bc6c1025b5e" localSheetId="10" hidden="1">#REF!</definedName>
    <definedName name="MLNK355f5c4e8de5414fa6caf0579afc5a94" localSheetId="10" hidden="1">#REF!</definedName>
    <definedName name="MLNK35912bca35884e638463d146863134bb" localSheetId="10" hidden="1">#REF!</definedName>
    <definedName name="MLNK35b610b967514c518799192b3a025611" localSheetId="10" hidden="1">#REF!</definedName>
    <definedName name="MLNK35bcc842081945b9a4877e95b7f82936" localSheetId="10" hidden="1">#REF!</definedName>
    <definedName name="MLNK36d2e358aee44ad3a469ecc7f1efc28f" localSheetId="10" hidden="1">#REF!</definedName>
    <definedName name="MLNK374c68b7739746d4a370cfaacf277aa1" localSheetId="10" hidden="1">#REF!</definedName>
    <definedName name="MLNK377cc58e48c24bb3914f519d36986e16" localSheetId="10" hidden="1">#REF!</definedName>
    <definedName name="MLNK3841ed7b84fe495094681d8873f2c710" localSheetId="10" hidden="1">#REF!</definedName>
    <definedName name="MLNK3894a42fcffc46fa83b48f2f455a1892" localSheetId="10" hidden="1">#REF!</definedName>
    <definedName name="MLNK38a93eff606b42d3964eda691fb0138d" localSheetId="10" hidden="1">#REF!</definedName>
    <definedName name="MLNK38ca0951e89f4f1d8ade9594aad915ad" localSheetId="10" hidden="1">#REF!</definedName>
    <definedName name="MLNK3995b3421bea4957ab58a57e281927c9" localSheetId="10" hidden="1">#REF!</definedName>
    <definedName name="MLNK39c8079a2bfc484bbd9a6c6b4d07de1d" localSheetId="10" hidden="1">#REF!</definedName>
    <definedName name="MLNK39ed8c9a242a490181548740f180a9c9" localSheetId="10" hidden="1">#REF!</definedName>
    <definedName name="MLNK3a756cbdc0c6474a83ad9659a5ffb5d6" localSheetId="10" hidden="1">#REF!</definedName>
    <definedName name="MLNK3aee124db8a44e39804dcd74f89a6664" localSheetId="10" hidden="1">#REF!</definedName>
    <definedName name="MLNK3afd6ec422124a4280bd560d99a5eba9" localSheetId="10" hidden="1">#REF!</definedName>
    <definedName name="MLNK3b42315a9d964ea4ba34b4278796ab20" localSheetId="10" hidden="1">#REF!</definedName>
    <definedName name="MLNK3b490f78d86c43a4ba5da5a64039855e" localSheetId="10" hidden="1">#REF!</definedName>
    <definedName name="MLNK3b95ca2726664ee2b57b97a4c60f7da9" localSheetId="10" hidden="1">#REF!</definedName>
    <definedName name="MLNK3c627e7ee5f448969942c7a9faa6081b" localSheetId="10" hidden="1">#REF!</definedName>
    <definedName name="MLNK3cb3fb700bc44cc9837e39daf9249550" localSheetId="10" hidden="1">#REF!</definedName>
    <definedName name="MLNK3cd376d99e2b4eeda28f2f45624a5c45" localSheetId="10" hidden="1">#REF!</definedName>
    <definedName name="MLNK3ce12ae9f8b347e1b969b8686bfdfe72" localSheetId="10" hidden="1">#REF!</definedName>
    <definedName name="MLNK3d93ff247b44478fad5e45e535c9514e" localSheetId="10" hidden="1">#REF!</definedName>
    <definedName name="MLNK3e136b76f6f0458d807d686e90e781c2" localSheetId="10" hidden="1">#REF!</definedName>
    <definedName name="MLNK3e6b5949989744febe30c0ce950b887b" localSheetId="10" hidden="1">#REF!</definedName>
    <definedName name="MLNK3e76f131abb041509d7aac5ad4e4f4da" localSheetId="10" hidden="1">#REF!</definedName>
    <definedName name="MLNK3f20583318934e1a985b3fb218f6cf2f" localSheetId="10" hidden="1">#REF!</definedName>
    <definedName name="MLNK3f343bad37a9439397dbd6fcde7d8de4" localSheetId="10" hidden="1">#REF!</definedName>
    <definedName name="MLNK401f5f02698d4243848666f8a851e686" localSheetId="10" hidden="1">#REF!</definedName>
    <definedName name="MLNK4087003224b14ff29dc20d806f658a35" localSheetId="10" hidden="1">#REF!</definedName>
    <definedName name="MLNK40b9f550cd2d40e1a23c9d58b10442b6" localSheetId="10" hidden="1">#REF!</definedName>
    <definedName name="MLNK40de5072625a45d0b118893f9b406066" localSheetId="10" hidden="1">#REF!</definedName>
    <definedName name="MLNK4119008fa8f04941acb729f1d48f780c" localSheetId="10" hidden="1">#REF!</definedName>
    <definedName name="MLNK421e897f741d4952aa632d335e71ed1c" localSheetId="10" hidden="1">#REF!</definedName>
    <definedName name="MLNK42b4cb02d65643168912e34a2a4d7f2e" localSheetId="10" hidden="1">#REF!</definedName>
    <definedName name="MLNK430cf43e8a734ab98b65790d0ec28b85" localSheetId="10" hidden="1">#REF!</definedName>
    <definedName name="MLNK43b4ade77b1b480587ab3b6070bdaf61" localSheetId="10" hidden="1">#REF!</definedName>
    <definedName name="MLNK43f1a5f6b89847a58b6fdae96b57e2dd" localSheetId="10" hidden="1">#REF!</definedName>
    <definedName name="MLNK442a5197cad145db945ab21b9c8b200c" localSheetId="10" hidden="1">#REF!</definedName>
    <definedName name="MLNK448cf67a0a33444fb7741e08a9b2165f" localSheetId="10" hidden="1">#REF!</definedName>
    <definedName name="MLNK453cab05e6a44c15b72976e09a9831ae" localSheetId="10" hidden="1">#REF!</definedName>
    <definedName name="MLNK454cea6ef9f8417a9c84129b9df206cc" localSheetId="10" hidden="1">#REF!</definedName>
    <definedName name="MLNK460dc94c4f3242dda7f460196f9e1836" localSheetId="10" hidden="1">#REF!</definedName>
    <definedName name="MLNK468781f1a56c4f7b9056af3f150c3d01" localSheetId="10" hidden="1">#REF!</definedName>
    <definedName name="MLNK4698963d1cd64c3cbb3c00339b2715ab" localSheetId="10" hidden="1">#REF!</definedName>
    <definedName name="MLNK46ac64f69e41430dbae711c8a31227b2" localSheetId="10" hidden="1">#REF!</definedName>
    <definedName name="MLNK46c2d3a36bf2488490292708b8f9feb5" localSheetId="10" hidden="1">#REF!</definedName>
    <definedName name="MLNK46cd212686fd4aff871cbe473595c1f4" localSheetId="10" hidden="1">#REF!</definedName>
    <definedName name="MLNK470a094db47f45bd86aa09e2eec85f94" localSheetId="10" hidden="1">#REF!</definedName>
    <definedName name="MLNK482a72a757504185abeb196b4c2e8eac" localSheetId="10" hidden="1">#REF!</definedName>
    <definedName name="MLNK4879f7a0100442f19df60debe3894898" localSheetId="10" hidden="1">#REF!</definedName>
    <definedName name="MLNK48e61342d81b4a01bdca4ce46a298839" localSheetId="10" hidden="1">#REF!</definedName>
    <definedName name="MLNK496a65f951294504bd0cc429c0620946" localSheetId="10" hidden="1">#REF!</definedName>
    <definedName name="MLNK497b1f6578814ea499f2045816063c56" localSheetId="10" hidden="1">#REF!</definedName>
    <definedName name="MLNK49db4a5128f84b5a944ba5c6aa4f2e5e" localSheetId="10" hidden="1">#REF!</definedName>
    <definedName name="MLNK4a4f1de30419440b9e6fce86c1c3ea6d" localSheetId="10" hidden="1">#REF!</definedName>
    <definedName name="MLNK4a5be1ff9d6d417494e78d1077939115" localSheetId="10" hidden="1">#REF!</definedName>
    <definedName name="MLNK4a82332111354264ba7c54403cfab047" localSheetId="10" hidden="1">#REF!</definedName>
    <definedName name="MLNK4ae1162da6924edbb77eb864286b52ec" localSheetId="10" hidden="1">#REF!</definedName>
    <definedName name="MLNK4b3b9b2c509a49709ab64ea8279021ed" localSheetId="10" hidden="1">#REF!</definedName>
    <definedName name="MLNK4b40bbbaef344de0ab2a1c4c1549a012" localSheetId="10" hidden="1">#REF!</definedName>
    <definedName name="MLNK4b869de81adf428db1532acf496b0194" localSheetId="10" hidden="1">#REF!</definedName>
    <definedName name="MLNK4b8c43bd0f2d489388c97469ffb92dc2" localSheetId="10" hidden="1">#REF!</definedName>
    <definedName name="MLNK4b94666561864b68b487863d6d2c00ee" localSheetId="10" hidden="1">#REF!</definedName>
    <definedName name="MLNK4ba48b82125544feb54b63a50d2993a1" localSheetId="10" hidden="1">#REF!</definedName>
    <definedName name="MLNK4bf9ca0a4035470ab9854379328e9681" localSheetId="10" hidden="1">#REF!</definedName>
    <definedName name="MLNK4c724cf6bfd64d28bbd8ce74243815c2" localSheetId="10" hidden="1">#REF!</definedName>
    <definedName name="MLNK4cea7123f087461caaba1948592ef750" localSheetId="10" hidden="1">#REF!</definedName>
    <definedName name="MLNK4d2809775cd446e6a90014faac5dd8f5" localSheetId="10" hidden="1">#REF!</definedName>
    <definedName name="MLNK4d47096029b64b53b114e1f22b3b0f38" localSheetId="10" hidden="1">#REF!</definedName>
    <definedName name="MLNK4d7fda9b12f74ae49bf48ef6c5fd5340" localSheetId="10" hidden="1">#REF!</definedName>
    <definedName name="MLNK4d9e0f11ae5e428c937ce9be516b6a99" localSheetId="10" hidden="1">#REF!</definedName>
    <definedName name="MLNK4dfd8bb2b1b14ccea2701f57b93d553e" localSheetId="10" hidden="1">#REF!</definedName>
    <definedName name="MLNK4e3e032ebe97403cb7ac1878b9b13549" localSheetId="10" hidden="1">#REF!</definedName>
    <definedName name="MLNK4e9bdae243794a8daf62540f83c5aa10" localSheetId="10" hidden="1">#REF!</definedName>
    <definedName name="MLNK4f073a15c1c24d208e8dfdb08ee6d013" localSheetId="10" hidden="1">#REF!</definedName>
    <definedName name="MLNK4f20d2d4b620405a80207905474c0026" localSheetId="10" hidden="1">#REF!</definedName>
    <definedName name="MLNK4fb339189826401080c6579bbdb2860a" localSheetId="10" hidden="1">#REF!</definedName>
    <definedName name="MLNK5066a176457140b4ab8fef34359475b7" localSheetId="10" hidden="1">#REF!</definedName>
    <definedName name="MLNK509c50b0f30e41d2861594506e9a5b3d" localSheetId="10" hidden="1">#REF!</definedName>
    <definedName name="MLNK511a685c54b44dd0b4c40d4291f00c35" localSheetId="10" hidden="1">#REF!</definedName>
    <definedName name="MLNK51d3be7e8f4c44fa944705c24ac7c692" localSheetId="10" hidden="1">#REF!</definedName>
    <definedName name="MLNK5223518531274ba9b8944e931c5091f4" localSheetId="10" hidden="1">#REF!</definedName>
    <definedName name="MLNK5273f113756f4c699300085097bea1ac" localSheetId="10" hidden="1">#REF!</definedName>
    <definedName name="MLNK52a3c800b810441686324242468860af" localSheetId="10" hidden="1">#REF!</definedName>
    <definedName name="MLNK52b773a93c594b90828c2297469b7d75" localSheetId="10" hidden="1">#REF!</definedName>
    <definedName name="MLNK53f4f99dd75b45668a7dbec1b7261904" localSheetId="10" hidden="1">#REF!</definedName>
    <definedName name="MLNK5419c38a82504718a60b37b75c6058c5" localSheetId="10" hidden="1">#REF!</definedName>
    <definedName name="MLNK546b60d4cec643f6b1f022d2fd84673e" localSheetId="10" hidden="1">#REF!</definedName>
    <definedName name="MLNK549b1164492642239189c8432acac595" localSheetId="10" hidden="1">#REF!</definedName>
    <definedName name="MLNK54aa1b85a6384b7e8738b9f361971039" localSheetId="10" hidden="1">#REF!</definedName>
    <definedName name="MLNK558089d3077d4fdc8ad112fbee95b79f" localSheetId="10" hidden="1">#REF!</definedName>
    <definedName name="MLNK558420cb2c3f4942b970d972a1f4004b" localSheetId="10" hidden="1">#REF!</definedName>
    <definedName name="MLNK55a655decbf6419eb2c91cf936552e1a" localSheetId="10" hidden="1">#REF!</definedName>
    <definedName name="MLNK55b7396a5c5a4d428b86a86e0c9af448" localSheetId="10" hidden="1">#REF!</definedName>
    <definedName name="MLNK55e46825f9514c48852aa1b226b92cfc" localSheetId="10" hidden="1">#REF!</definedName>
    <definedName name="MLNK564779ce4b57458fae9e72aa61a4f78d" localSheetId="10" hidden="1">#REF!</definedName>
    <definedName name="MLNK56784cfee8224356b96f48647bfb4487" localSheetId="10" hidden="1">#REF!</definedName>
    <definedName name="MLNK56818b66a82348ce99c0452d8f653c3f" localSheetId="10" hidden="1">#REF!</definedName>
    <definedName name="MLNK568ef48cd24247c9ba996982414db3d5" localSheetId="10" hidden="1">#REF!</definedName>
    <definedName name="MLNK56c96016bd5e4d99bb7a035622aac533" localSheetId="10" hidden="1">#REF!</definedName>
    <definedName name="MLNK56c97d0b00a9420f86ab98f9461c3369" localSheetId="10" hidden="1">#REF!</definedName>
    <definedName name="MLNK5712d7caec4d4e1284cfaab2fc1b2380" localSheetId="10" hidden="1">#REF!</definedName>
    <definedName name="MLNK572500526c264b7b95065377003ddae5" localSheetId="10" hidden="1">#REF!</definedName>
    <definedName name="MLNK5790592d66964954b49e1e6a2cdff298" localSheetId="10" hidden="1">#REF!</definedName>
    <definedName name="MLNK57ba1a57437c45af8dca541162dd478f" localSheetId="10" hidden="1">#REF!</definedName>
    <definedName name="MLNK58053737ae524582b77cbd888ce85d75" localSheetId="10" hidden="1">#REF!</definedName>
    <definedName name="MLNK58227a099e774037a2c4ee46ba51169b" localSheetId="10" hidden="1">#REF!</definedName>
    <definedName name="MLNK5868995cab8141f58d146ceb5ab8e064" localSheetId="10" hidden="1">#REF!</definedName>
    <definedName name="MLNK589b4b4e9d114498b6438732af4079c6" localSheetId="10" hidden="1">#REF!</definedName>
    <definedName name="MLNK58cc0fc20f5f40bfabbdb8766eb0af9c" localSheetId="10" hidden="1">#REF!</definedName>
    <definedName name="MLNK58d4fc78b4664492bb3fa144423113d2" localSheetId="10" hidden="1">#REF!</definedName>
    <definedName name="MLNK58f9115d080d4d92853e40c2f2eb0758" localSheetId="10" hidden="1">#REF!</definedName>
    <definedName name="MLNK59309990db734d9c8a821e2b8d52b8dd" localSheetId="10" hidden="1">#REF!</definedName>
    <definedName name="MLNK5a29ce186d6741829000c9e915ae9c66" localSheetId="10" hidden="1">#REF!</definedName>
    <definedName name="MLNK5a37a43bf2834901840d23cbb0abc044" localSheetId="10" hidden="1">#REF!</definedName>
    <definedName name="MLNK5bc72c653a64456ca35790155aeeb15c" localSheetId="10" hidden="1">#REF!</definedName>
    <definedName name="MLNK5bd8f2fa23a449f68bf9122fc9634158" localSheetId="10" hidden="1">#REF!</definedName>
    <definedName name="MLNK5c118afdb7424a12984646f92bdb0baf" localSheetId="10" hidden="1">#REF!</definedName>
    <definedName name="MLNK5c93849b1c694866a7fdca906433d872" localSheetId="10" hidden="1">#REF!</definedName>
    <definedName name="MLNK5cb6067cb22d4404a352867a368c4dd3" localSheetId="10" hidden="1">#REF!</definedName>
    <definedName name="MLNK5cc120250dba49fc954ce969f59c29e4" localSheetId="10" hidden="1">#REF!</definedName>
    <definedName name="MLNK5d504a170b0b424b845a2fbdf8ae212e" localSheetId="10" hidden="1">#REF!</definedName>
    <definedName name="MLNK5d9cc9b2b2fd4b2799819c19126f0e1b" localSheetId="10" hidden="1">#REF!</definedName>
    <definedName name="MLNK5de520c386f4498e87cf292a9422b147" localSheetId="10" hidden="1">#REF!</definedName>
    <definedName name="MLNK5e8dd6ee2dc24c0eb99cc80145bc853f" localSheetId="10" hidden="1">#REF!</definedName>
    <definedName name="MLNK5f489b36a3dd4ffca654ca893fdc01e1" localSheetId="10" hidden="1">#REF!</definedName>
    <definedName name="MLNK60d659c3c8bc4afb8091990511f37424" localSheetId="10" hidden="1">#REF!</definedName>
    <definedName name="MLNK612c822e116041a1be89ae4a415e8374" localSheetId="10" hidden="1">#REF!</definedName>
    <definedName name="MLNK6210b0a7eff74c16936439a65bb1d85a" localSheetId="10" hidden="1">#REF!</definedName>
    <definedName name="MLNK631f5f318f32460cb70ce1837416f6f6" localSheetId="10" hidden="1">#REF!</definedName>
    <definedName name="MLNK63ac4582cfe047bbb516377b722c0c61" localSheetId="10" hidden="1">#REF!</definedName>
    <definedName name="MLNK652441e2374d4a8fae70b563e0916718" localSheetId="10" hidden="1">#REF!</definedName>
    <definedName name="MLNK655665b4820d4dc3b01557425e02aa4b" localSheetId="10" hidden="1">#REF!</definedName>
    <definedName name="MLNK65839af1b13744b0a4faaeb49d4fe140" localSheetId="10" hidden="1">#REF!</definedName>
    <definedName name="MLNK6593c6ab73264e69b4374330ab13c8e1" localSheetId="10" hidden="1">#REF!</definedName>
    <definedName name="MLNK65e75eb4a985451a9cb2467efa5a31db" localSheetId="10" hidden="1">#REF!</definedName>
    <definedName name="MLNK66416141c4ce46b0a586f7ee596245db" localSheetId="10" hidden="1">#REF!</definedName>
    <definedName name="MLNK66624990299547b2b64d531ab9be5b30" localSheetId="10" hidden="1">#REF!</definedName>
    <definedName name="MLNK66fe63e2714d498394dcacd64546234b" localSheetId="10" hidden="1">#REF!</definedName>
    <definedName name="MLNK678d9ffd405846fabeb219bf563b4a86" localSheetId="10" hidden="1">#REF!</definedName>
    <definedName name="MLNK679e121181984bc4926c0389f80b9c90" localSheetId="10" hidden="1">#REF!</definedName>
    <definedName name="MLNK68871f2145af4dca900f0d21af672263" localSheetId="10" hidden="1">#REF!</definedName>
    <definedName name="MLNK68aecd16316b4ec5a6fee43a0404a643" localSheetId="10" hidden="1">#REF!</definedName>
    <definedName name="MLNK6903e22c8a4146488153f7a43fa6c9fc" localSheetId="10" hidden="1">#REF!</definedName>
    <definedName name="MLNK6a265b582ea3449ba161933f47d6ad8a" localSheetId="10" hidden="1">#REF!</definedName>
    <definedName name="MLNK6aa03d44785e4ed68239ea75127de48e" localSheetId="10" hidden="1">#REF!</definedName>
    <definedName name="MLNK6b16945314434b04a97d34c9050e2320" localSheetId="10" hidden="1">#REF!</definedName>
    <definedName name="MLNK6b5ce047d68b41dcaede68d1e499e9d9" localSheetId="10" hidden="1">#REF!</definedName>
    <definedName name="MLNK6b5e31c5a8134a35aa3b61e6a3c34f1c" localSheetId="10" hidden="1">#REF!</definedName>
    <definedName name="MLNK6b80abdc8fe740cfac848fac6ef04b6f" localSheetId="10" hidden="1">#REF!</definedName>
    <definedName name="MLNK6b92bb4e16d6422caedcf892b957e8dc" localSheetId="10" hidden="1">#REF!</definedName>
    <definedName name="MLNK6ca7e7164c8c49318c0a92737f4ed103" localSheetId="10" hidden="1">#REF!</definedName>
    <definedName name="MLNK6d68e9d61ca0416884aa1cfee1a494eb" localSheetId="10" hidden="1">#REF!</definedName>
    <definedName name="MLNK6d94a81eaf0143b5be6d1ba1c9c84842" localSheetId="10" hidden="1">#REF!</definedName>
    <definedName name="MLNK6e486e2d5a334a39b4877bea72d7eb92" localSheetId="10" hidden="1">#REF!</definedName>
    <definedName name="MLNK6e727159858a4f6fa12f1184ada87026" localSheetId="10" hidden="1">#REF!</definedName>
    <definedName name="MLNK6e72f843939c45e6ad1bb202d76f95fd" localSheetId="10" hidden="1">#REF!</definedName>
    <definedName name="MLNK6fed978a0f5a4a4cbe4ee5d4155e5ec5" localSheetId="10" hidden="1">#REF!</definedName>
    <definedName name="MLNK7019e39e85c246f1ae9e0ef6fc958370" localSheetId="10" hidden="1">#REF!</definedName>
    <definedName name="MLNK7021f5ebbdd84a45ba6a7ba23cb30771" localSheetId="10" hidden="1">#REF!</definedName>
    <definedName name="MLNK70646e4a8e034cd78f431f91898c66c0" localSheetId="10" hidden="1">#REF!</definedName>
    <definedName name="MLNK70a58cfbfa8f452e814ded09c65137f4" localSheetId="10" hidden="1">#REF!</definedName>
    <definedName name="MLNK70a874c7f368487cbe704d484fc1af16" localSheetId="10" hidden="1">#REF!</definedName>
    <definedName name="MLNK711e7c92b77c4bdba0a8fd967f51d09a" localSheetId="10" hidden="1">#REF!</definedName>
    <definedName name="MLNK7165b3d004ff4cdb8cf06f37aad03417" localSheetId="10" hidden="1">#REF!</definedName>
    <definedName name="MLNK7190e0b0ca724135b422646f09ee97eb" localSheetId="10" hidden="1">#REF!</definedName>
    <definedName name="MLNK71b4daf60a6b45208f07199ac429da30" localSheetId="10" hidden="1">#REF!</definedName>
    <definedName name="MLNK71b5bf4bc0224e8981e090b52946baaf" localSheetId="10" hidden="1">#REF!</definedName>
    <definedName name="MLNK729c511e6fb8406388008eaec1c014b6" localSheetId="10" hidden="1">#REF!</definedName>
    <definedName name="MLNK73535d6b26d34f28bcc1383ca23ae898" localSheetId="10" hidden="1">#REF!</definedName>
    <definedName name="MLNK7390ef6b69464b07902bf436ab3f0c81" localSheetId="10" hidden="1">#REF!</definedName>
    <definedName name="MLNK739e1434b02c46f6bdc88efd2f1ba994" localSheetId="10" hidden="1">#REF!</definedName>
    <definedName name="MLNK73bdb994b87f4972a5708ca53b7466f0" localSheetId="10" hidden="1">#REF!</definedName>
    <definedName name="MLNK73d1a15bdc8b4cb7a1eba62c68ef7775" localSheetId="10" hidden="1">#REF!</definedName>
    <definedName name="MLNK742224d381f2494b857b969c2e07aa13" localSheetId="10" hidden="1">#REF!</definedName>
    <definedName name="MLNK74aaf3c2da574df69615013232ece008" localSheetId="10" hidden="1">#REF!</definedName>
    <definedName name="MLNK74ac2ebf8f2a4931b8cde3dabac0a546" localSheetId="10" hidden="1">#REF!</definedName>
    <definedName name="MLNK74e85bd6385d4993b531d38f2f3836c0" localSheetId="10" hidden="1">#REF!</definedName>
    <definedName name="MLNK7575c400d762409d9d7d3f247f474ee7" localSheetId="10" hidden="1">#REF!</definedName>
    <definedName name="MLNK758fdcdb07a04274a7c7bedbf4c52f8d" localSheetId="10" hidden="1">#REF!</definedName>
    <definedName name="MLNK759a8f014d2945aba9553db2fee209c0" localSheetId="10" hidden="1">#REF!</definedName>
    <definedName name="MLNK75db4195e5d141d3a7eec873d4cc3a5e" localSheetId="10" hidden="1">#REF!</definedName>
    <definedName name="MLNK763a9f01ebb64e43939b2276d58ab053" localSheetId="10" hidden="1">#REF!</definedName>
    <definedName name="MLNK76a07ad73c6943b0b9490c28c2773a72" localSheetId="10" hidden="1">#REF!</definedName>
    <definedName name="MLNK78474ea8ccc645299e21f8fb8f2831bb" localSheetId="10" hidden="1">#REF!</definedName>
    <definedName name="MLNK784d795970424f398fc3fdd199378fee" localSheetId="10" hidden="1">#REF!</definedName>
    <definedName name="MLNK786446f9adf44b9c8e69153a249119f0" localSheetId="10" hidden="1">#REF!</definedName>
    <definedName name="MLNK7887505795504f1da6c968aa806eab0b" localSheetId="10" hidden="1">#REF!</definedName>
    <definedName name="MLNK78cdf337446c4c4fa061d0ca0ea856da" localSheetId="10" hidden="1">#REF!</definedName>
    <definedName name="MLNK79f1f52cffc2440d893df1536bc81db2" localSheetId="10" hidden="1">#REF!</definedName>
    <definedName name="MLNK7a261d36437c4a978a819df4ce0f5c46" localSheetId="10" hidden="1">#REF!</definedName>
    <definedName name="MLNK7a38c2826a99439c9e40971bcc5ad261" localSheetId="10" hidden="1">#REF!</definedName>
    <definedName name="MLNK7b537a5989264eddabc292d4476e8379" localSheetId="10" hidden="1">#REF!</definedName>
    <definedName name="MLNK7bd30f6b03154f80b4ece3b807f67f53" localSheetId="10" hidden="1">#REF!</definedName>
    <definedName name="MLNK7bec44c0ba524dd5968ece36d71dd645" localSheetId="10" hidden="1">#REF!</definedName>
    <definedName name="MLNK7c2d7cae1ba24e14af55455df7615e04" localSheetId="10" hidden="1">#REF!</definedName>
    <definedName name="MLNK7c5f539d49fd45b29663fcc382404a18" localSheetId="10" hidden="1">#REF!</definedName>
    <definedName name="MLNK7c6376d3e24e49f68f4a6c8210e18b82" localSheetId="10" hidden="1">#REF!</definedName>
    <definedName name="MLNK7c808528906245c8bc83cd2434e1f4a3" localSheetId="10" hidden="1">#REF!</definedName>
    <definedName name="MLNK7c8b44994a5b434f8af642c9c7bd1904" localSheetId="10" hidden="1">#REF!</definedName>
    <definedName name="MLNK7ccb8304142d4079b335f546155f0e48" localSheetId="10" hidden="1">#REF!</definedName>
    <definedName name="MLNK7cdcd9ff45e94baa8c22f1bbb7a0756c" localSheetId="10" hidden="1">#REF!</definedName>
    <definedName name="MLNK7ce7df4de2444df2ae72af9f72d99cf3" localSheetId="10" hidden="1">#REF!</definedName>
    <definedName name="MLNK7d839fb3a2534df1af4fe0c1fb45f03b" localSheetId="10" hidden="1">#REF!</definedName>
    <definedName name="MLNK7dde91cd40a0482ca0661c225c13de3c" localSheetId="10" hidden="1">#REF!</definedName>
    <definedName name="MLNK7dfeefbfedf84d17b41a6bc802339b65" localSheetId="10" hidden="1">#REF!</definedName>
    <definedName name="MLNK7e722a65711d41bbb1f89dac8f1d179f" localSheetId="10" hidden="1">#REF!</definedName>
    <definedName name="MLNK7f00420c94b84d218a5ffd741e2618a4" localSheetId="10" hidden="1">#REF!</definedName>
    <definedName name="MLNK7f381db745e745038123354ce5695f85" localSheetId="10" hidden="1">#REF!</definedName>
    <definedName name="MLNK7f3a5242886546ca971d4b3fd26e0d39" localSheetId="10" hidden="1">#REF!</definedName>
    <definedName name="MLNK7f9b2a8b4c6e4ee79f750e916a643062" localSheetId="10" hidden="1">#REF!</definedName>
    <definedName name="MLNK81d991a8444b423ba181c00b1581fd58" localSheetId="10" hidden="1">#REF!</definedName>
    <definedName name="MLNK822c71a676b44b90a0ae9ee8e8922351" localSheetId="10" hidden="1">#REF!</definedName>
    <definedName name="MLNK82a32cd08bcd424db6b53342a4ef2b53" localSheetId="10" hidden="1">#REF!</definedName>
    <definedName name="MLNK8389a0e593704536bf47bf8d77e09b85" localSheetId="10" hidden="1">#REF!</definedName>
    <definedName name="MLNK849be104a79e4e71843072e3fc579178" localSheetId="10" hidden="1">#REF!</definedName>
    <definedName name="MLNK8519166dded446979824141450c07732" localSheetId="10" hidden="1">#REF!</definedName>
    <definedName name="MLNK85d104ed1abd4ee8b2b7b9e36d1a40a0" localSheetId="10" hidden="1">#REF!</definedName>
    <definedName name="MLNK86084a0d926c4d1c99f2a4ed620b0d92" localSheetId="10" hidden="1">#REF!</definedName>
    <definedName name="MLNK863d7154b90b4ff58eb8073dda6f1db2" localSheetId="10" hidden="1">#REF!</definedName>
    <definedName name="MLNK864586187871466fbdc98181e8196c2a" localSheetId="10" hidden="1">#REF!</definedName>
    <definedName name="MLNK86a67f44935b46d39bd52fc31318d3e4" localSheetId="10" hidden="1">#REF!</definedName>
    <definedName name="MLNK86b0faed08ae4756b1f81b4c70bd37cf" localSheetId="10" hidden="1">#REF!</definedName>
    <definedName name="MLNK86d18c4991324b9fafd6c780bbc49371" localSheetId="10" hidden="1">#REF!</definedName>
    <definedName name="MLNK87b6ef3680c1458098edca561c2b518e" localSheetId="10" hidden="1">#REF!</definedName>
    <definedName name="MLNK87bdc6b5081740989afaa8649fe51684" localSheetId="10" hidden="1">#REF!</definedName>
    <definedName name="MLNK881676dd88434d38bc231dee73778ff4" localSheetId="10" hidden="1">#REF!</definedName>
    <definedName name="MLNK882742a4574d4c398317209f734ccdee" localSheetId="10" hidden="1">#REF!</definedName>
    <definedName name="MLNK88bff6d610804cce9a482ca53b2475a0" localSheetId="10" hidden="1">#REF!</definedName>
    <definedName name="MLNK88e70c518ed8483ebc887df4719632e4" localSheetId="10" hidden="1">#REF!</definedName>
    <definedName name="MLNK88f32ac2f3294394b8e9f43317d7102f" localSheetId="10" hidden="1">#REF!</definedName>
    <definedName name="MLNK88f6c9c50f6a42c18f38f2c69d3c79c5" localSheetId="10" hidden="1">#REF!</definedName>
    <definedName name="MLNK893be7aee6af45089f821ffc6ae622f7" localSheetId="10" hidden="1">#REF!</definedName>
    <definedName name="MLNK8940cbfbd55a452991b13e1c94d646f7" localSheetId="10" hidden="1">#REF!</definedName>
    <definedName name="MLNK89953e64f7ca478889eab0480ca166d9" localSheetId="10" hidden="1">#REF!</definedName>
    <definedName name="MLNK8a2ff150aff945afbc20a79562761a81" localSheetId="10" hidden="1">#REF!</definedName>
    <definedName name="MLNK8a4b37d8c34843689209c16083a16b7c" localSheetId="10" hidden="1">#REF!</definedName>
    <definedName name="MLNK8a981875db4a4df2b0ed552232b8345b" localSheetId="10" hidden="1">#REF!</definedName>
    <definedName name="MLNK8ac46e84006242f594877756c7f92d2a" localSheetId="10" hidden="1">#REF!</definedName>
    <definedName name="MLNK8acbb2a77cd04fcdb24d3585bb94e8e9" localSheetId="10" hidden="1">#REF!</definedName>
    <definedName name="MLNK8b131d72e5df48faa6c8c6406e26e418" localSheetId="10" hidden="1">#REF!</definedName>
    <definedName name="MLNK8b17f146ac5a48cd8e81eb109aeee3ae" localSheetId="10" hidden="1">#REF!</definedName>
    <definedName name="MLNK8b1c0c139e9b4073820ad2a10e7f1051" localSheetId="10" hidden="1">#REF!</definedName>
    <definedName name="MLNK8c682d93591c4c73845ba2c1082c48d3" localSheetId="10" hidden="1">#REF!</definedName>
    <definedName name="MLNK8cd52f4b903543658de827aa52acf74e" localSheetId="10" hidden="1">#REF!</definedName>
    <definedName name="MLNK8ce6ecbf737e488693deed1af93ced57" localSheetId="10" hidden="1">#REF!</definedName>
    <definedName name="MLNK8d141d7d47ad4fc987d59f39088ad916" localSheetId="10" hidden="1">#REF!</definedName>
    <definedName name="MLNK8d5b78eefde24124bc22e5eb2b874604" localSheetId="10" hidden="1">#REF!</definedName>
    <definedName name="MLNK8e8302d4806d4976b250563630d06974" localSheetId="10" hidden="1">#REF!</definedName>
    <definedName name="MLNK8e9b770ba4eb41da82ee651f9a564109" localSheetId="10" hidden="1">#REF!</definedName>
    <definedName name="MLNK8ee0b1d9a7224f788d9779b3dc0499e0" localSheetId="10" hidden="1">#REF!</definedName>
    <definedName name="MLNK9004dc033f374e6a928f9b0ebb5d8196" localSheetId="10" hidden="1">#REF!</definedName>
    <definedName name="MLNK907ffb3c3f914b5ea9e24fe283c6cb99" localSheetId="10" hidden="1">#REF!</definedName>
    <definedName name="MLNK90c4ba7186d54322a67fb04486a8cbf3" localSheetId="10" hidden="1">#REF!</definedName>
    <definedName name="MLNK90c8fccee84a4a48a0b07e6aaa673094" localSheetId="10" hidden="1">#REF!</definedName>
    <definedName name="MLNK90e25c2ecaa64d57bb26958b4d223428" localSheetId="10" hidden="1">#REF!</definedName>
    <definedName name="MLNK9110823f14ea42ec8690146557817cd4" localSheetId="10" hidden="1">#REF!</definedName>
    <definedName name="MLNK913274e26d0b40a5a0c25c58b5a6b52f" localSheetId="10" hidden="1">#REF!</definedName>
    <definedName name="MLNK91662700859a4b5887ea4b2f311dfaa8" localSheetId="10" hidden="1">#REF!</definedName>
    <definedName name="MLNK91bae33c68f54070a9d0dc2c0bf12ef3" localSheetId="10" hidden="1">#REF!</definedName>
    <definedName name="MLNK920e55f9c749413d8ea87ac117500e67" localSheetId="10" hidden="1">#REF!</definedName>
    <definedName name="MLNK928b582d16334ef39533249c3737cef4" localSheetId="10" hidden="1">#REF!</definedName>
    <definedName name="MLNK9345a567a3bf4c0b9f86177bd2d75271" localSheetId="10" hidden="1">#REF!</definedName>
    <definedName name="MLNK936d3bc27d9c4e9e91d566d1f8df6d3b" localSheetId="10" hidden="1">#REF!</definedName>
    <definedName name="MLNK93a6b4cbf6b64733bce6c55ea49a34a4" localSheetId="10" hidden="1">#REF!</definedName>
    <definedName name="MLNK93e5daee684d41bcb8fcce607e193642" localSheetId="10" hidden="1">#REF!</definedName>
    <definedName name="MLNK94328738fd3c4600af18be2154210e21" localSheetId="10" hidden="1">#REF!</definedName>
    <definedName name="MLNK945d6f39e1f24984b04097fbaf17eeea" localSheetId="10" hidden="1">#REF!</definedName>
    <definedName name="MLNK94c72ece7a1f4a7ebecf1f9109589a25" localSheetId="10" hidden="1">#REF!</definedName>
    <definedName name="MLNK9637ccf249e443078a50f7c2eb385852" localSheetId="10" hidden="1">#REF!</definedName>
    <definedName name="MLNK9682ca475ff54cbfb2f968b54a63e991" localSheetId="10" hidden="1">#REF!</definedName>
    <definedName name="MLNK970f77a437ad4eba93f82bc0a2c68793" localSheetId="10" hidden="1">#REF!</definedName>
    <definedName name="MLNK97df538a2fdf490296fd305add5f1023" localSheetId="10" hidden="1">#REF!</definedName>
    <definedName name="MLNK97e64800be9a4f7e916bf03b564bb072" localSheetId="10" hidden="1">#REF!</definedName>
    <definedName name="MLNK98db6856c4d2485bb082192eb338e7ec" localSheetId="10" hidden="1">#REF!</definedName>
    <definedName name="MLNK98f7f2b7a3444132ab2e3711160705fd" localSheetId="10" hidden="1">#REF!</definedName>
    <definedName name="MLNK99b9d957895544fda8e9670506643b77" localSheetId="10" hidden="1">#REF!</definedName>
    <definedName name="MLNK99de40bd629144c7ba32aae377c57f70" localSheetId="10" hidden="1">#REF!</definedName>
    <definedName name="MLNK9a4f673c06ec41419cc6dcbbb88e0dea" localSheetId="10" hidden="1">#REF!</definedName>
    <definedName name="MLNK9ab5b092e0124e1fb5be58e7bfd4270d" localSheetId="10" hidden="1">#REF!</definedName>
    <definedName name="MLNK9b2728c6c65a4ed1bdce5cd1b8f5f78f" localSheetId="10" hidden="1">#REF!</definedName>
    <definedName name="MLNK9bf4240de0604471b0871b323169dcca" localSheetId="10" hidden="1">#REF!</definedName>
    <definedName name="MLNK9bf7c40dc1ea40a1b552234224cb0d1b" localSheetId="10" hidden="1">#REF!</definedName>
    <definedName name="MLNK9d772ca29969447bb894388d70fa9a5f" localSheetId="10" hidden="1">#REF!</definedName>
    <definedName name="MLNK9df90ae49f6a429a93387ed77e0be2b2" localSheetId="10" hidden="1">#REF!</definedName>
    <definedName name="MLNK9e49aa41542f4b3c85f3ee6589fc1063" localSheetId="10" hidden="1">#REF!</definedName>
    <definedName name="MLNK9e7f8dc99eff4dbd87d347cb01f0c5da" localSheetId="10" hidden="1">#REF!</definedName>
    <definedName name="MLNK9ec928e25a7346ee9e4798135a8b5762" localSheetId="10" hidden="1">#REF!</definedName>
    <definedName name="MLNK9f020ac1a5274c5d9ef891b85fdf676a" localSheetId="10" hidden="1">#REF!</definedName>
    <definedName name="MLNK9f2762af21cb4bddb176751640ceebfe" localSheetId="10" hidden="1">#REF!</definedName>
    <definedName name="MLNK9f2cc9d5eedf40d9be4150e48c60c1dd" localSheetId="10" hidden="1">#REF!</definedName>
    <definedName name="MLNK9f5e9f25b1b94a1c81bdc28b15d167c0" localSheetId="10" hidden="1">#REF!</definedName>
    <definedName name="MLNK9f725d2247114d82b0a748016fb73ccf" localSheetId="10" hidden="1">#REF!</definedName>
    <definedName name="MLNK9f9c1ebd4e6a4e589df75a77d68c31d2" localSheetId="10" hidden="1">#REF!</definedName>
    <definedName name="MLNK9fa7fdd6b58347fc9b2a237257153f2f" localSheetId="10" hidden="1">#REF!</definedName>
    <definedName name="MLNK9fb16ef3f8724c15939d445b614c75a4" localSheetId="10" hidden="1">#REF!</definedName>
    <definedName name="MLNK9fb8406726c54571934f80236f646acb" localSheetId="10" hidden="1">#REF!</definedName>
    <definedName name="MLNKa117dc0d16c24ef4bc030284d2153e7a" localSheetId="10" hidden="1">#REF!</definedName>
    <definedName name="MLNKa1b5fc7caf74424b8bbf75e731066ab0" localSheetId="10" hidden="1">#REF!</definedName>
    <definedName name="MLNKa25cae9dc8c74628915f296fa982e1fb" localSheetId="10" hidden="1">#REF!</definedName>
    <definedName name="MLNKa25dac6dae19404dabf4485a3b9d91d0" localSheetId="10" hidden="1">#REF!</definedName>
    <definedName name="MLNKa33f5b922c52401198b5e559799f8eef" localSheetId="10" hidden="1">#REF!</definedName>
    <definedName name="MLNKa45576fee98240168d709e07360f099b" localSheetId="10" hidden="1">#REF!</definedName>
    <definedName name="MLNKa4bfc61416724e8488baa1e1bf692f7c" localSheetId="10" hidden="1">#REF!</definedName>
    <definedName name="MLNKa4e5105d657d4972a79e03058f83813b" localSheetId="10" hidden="1">#REF!</definedName>
    <definedName name="MLNKa53b01afe9d84156971b84c816278a45" localSheetId="10" hidden="1">#REF!</definedName>
    <definedName name="MLNKa5ec9fd3c1204d3ab4000afcd26c7311" localSheetId="10" hidden="1">#REF!</definedName>
    <definedName name="MLNKa673c0a3d6bb45a7a16c3391a9561fb9" localSheetId="10" hidden="1">#REF!</definedName>
    <definedName name="MLNKa6dd1b101c6a4ddb975ed96014483413" localSheetId="10" hidden="1">#REF!</definedName>
    <definedName name="MLNKa6fb886c6532415487930914f9a76842" localSheetId="10" hidden="1">#REF!</definedName>
    <definedName name="MLNKa7219183ccd0431194753052ff289c50" localSheetId="10" hidden="1">#REF!</definedName>
    <definedName name="MLNKa77db0f4971f4e9fadc9a15aca25114d" localSheetId="10" hidden="1">#REF!</definedName>
    <definedName name="MLNKa7817aa319db4731a9e2c933aca0719c" localSheetId="10" hidden="1">#REF!</definedName>
    <definedName name="MLNKa79f5b516b0c4aeda36380d76754f2e0" localSheetId="10" hidden="1">#REF!</definedName>
    <definedName name="MLNKa7a3d6f9d11a4a809ee5ff79e0c8ad5c" localSheetId="10" hidden="1">#REF!</definedName>
    <definedName name="MLNKa7b98c7307644bba8c90bc9645775b57" localSheetId="10" hidden="1">#REF!</definedName>
    <definedName name="MLNKa7cbd9564e6a4d41a87053734022f2d1" localSheetId="10" hidden="1">#REF!</definedName>
    <definedName name="MLNKa809189b6c7e4fa2b3ae96d51831f9ea" localSheetId="10" hidden="1">#REF!</definedName>
    <definedName name="MLNKa82355c2dc8a40d18ae14c0e7773cd80" localSheetId="10" hidden="1">#REF!</definedName>
    <definedName name="MLNKa82dec760367413abef062bc8720b820" localSheetId="10" hidden="1">#REF!</definedName>
    <definedName name="MLNKa880b52119f24168b7a1e28ca812d64f" localSheetId="10" hidden="1">#REF!</definedName>
    <definedName name="MLNKa89b4ee9c2de4f7eaf93310b35832ee5" localSheetId="10" hidden="1">#REF!</definedName>
    <definedName name="MLNKa8c37bf10f834510876329f05782f34d" localSheetId="10" hidden="1">#REF!</definedName>
    <definedName name="MLNKa95e6c6ba069403f8a62b2744d732b98" localSheetId="10" hidden="1">#REF!</definedName>
    <definedName name="MLNKa97d26cd09d849ab9bdeca389fa24805" localSheetId="10" hidden="1">#REF!</definedName>
    <definedName name="MLNKaa67f20dd8a94b71ac72a5a448c66d86" localSheetId="10" hidden="1">#REF!</definedName>
    <definedName name="MLNKab02c2991b6b431a8d270be0189e9571" localSheetId="10" hidden="1">#REF!</definedName>
    <definedName name="MLNKac1a14571d9b4a148bd3859b6b0e020b" localSheetId="10" hidden="1">#REF!</definedName>
    <definedName name="MLNKac42ad8b02784fb2b0c9f96bd99bb08a" localSheetId="10" hidden="1">#REF!</definedName>
    <definedName name="MLNKac716c0503d44271adc268c475933c7b" localSheetId="10" hidden="1">#REF!</definedName>
    <definedName name="MLNKae2bd731278143659ca73b7e3c820374" localSheetId="10" hidden="1">#REF!</definedName>
    <definedName name="MLNKaea5c256d3804e37a62ac031b17c2a94" localSheetId="10" hidden="1">#REF!</definedName>
    <definedName name="MLNKaf0cbd3c6eb94c84b3215a78955725ce" localSheetId="10" hidden="1">#REF!</definedName>
    <definedName name="MLNKaf0dac759b4745cb803ecfc7dac9891a" localSheetId="10" hidden="1">#REF!</definedName>
    <definedName name="MLNKaf147c40d8394d2ab23b5751d90c86c5" localSheetId="10" hidden="1">#REF!</definedName>
    <definedName name="MLNKaf4053b80ea64fcf8f78ae61be88485c" localSheetId="10" hidden="1">#REF!</definedName>
    <definedName name="MLNKafefbe6104aa47c6b2421ad86fe83664" localSheetId="10" hidden="1">#REF!</definedName>
    <definedName name="MLNKb016ba4ea42f4ab9a46441c8afd6fd0b" localSheetId="10" hidden="1">#REF!</definedName>
    <definedName name="MLNKb026e7e791854d31b7bb7758362b4c54" localSheetId="10" hidden="1">#REF!</definedName>
    <definedName name="MLNKb02de38dd13d495d8a2f90addc300534" localSheetId="10" hidden="1">#REF!</definedName>
    <definedName name="MLNKb0a22b8da9e349b0a219bcb103ca5e26" localSheetId="10" hidden="1">#REF!</definedName>
    <definedName name="MLNKb1f4aa7639a64f0bb4faf48bcfffa77e" localSheetId="10" hidden="1">#REF!</definedName>
    <definedName name="MLNKb1f744c776484ca18efc7c1044adf418" localSheetId="10" hidden="1">#REF!</definedName>
    <definedName name="MLNKb261eaaffa0c4dce86de3c724754f93e" localSheetId="10" hidden="1">#REF!</definedName>
    <definedName name="MLNKb277a11827bb4cd4ba5526b2f9840a44" localSheetId="10" hidden="1">#REF!</definedName>
    <definedName name="MLNKb2901e1f50a84f918b6ead78ee99678a" localSheetId="10" hidden="1">#REF!</definedName>
    <definedName name="MLNKb2b99e6a58ac4865b2554ef3d1971577" localSheetId="10" hidden="1">#REF!</definedName>
    <definedName name="MLNKb2c15ca540cc43de87cb92d3c45b905e" localSheetId="10" hidden="1">#REF!</definedName>
    <definedName name="MLNKb30365b9692843388d1fd11a48afb7de" localSheetId="10" hidden="1">#REF!</definedName>
    <definedName name="MLNKb34eced05fc4474da889379a0eeab0c8" localSheetId="10" hidden="1">#REF!</definedName>
    <definedName name="MLNKb359d3fb47314fe2954621c0d9a0460e" localSheetId="10" hidden="1">#REF!</definedName>
    <definedName name="MLNKb394646e412b46e4bd36ca82f51a7ef4" localSheetId="10" hidden="1">#REF!</definedName>
    <definedName name="MLNKb4bc7e3573744fbd9426e78684dcc3ab" localSheetId="10" hidden="1">#REF!</definedName>
    <definedName name="MLNKb4dd3fcc101940d492434368874f4bb3" localSheetId="10" hidden="1">#REF!</definedName>
    <definedName name="MLNKb5282d98527f4904ba52287e9cb5399b" localSheetId="10" hidden="1">#REF!</definedName>
    <definedName name="MLNKb56d95f79c694ba18d515de86ff406ad" localSheetId="10" hidden="1">#REF!</definedName>
    <definedName name="MLNKb5c891d151b145b786e0f50677531611" localSheetId="10" hidden="1">#REF!</definedName>
    <definedName name="MLNKb60c585591ff435499adcbcedc787ee9" localSheetId="10" hidden="1">#REF!</definedName>
    <definedName name="MLNKb62f70a233c04d8ab7ba5cbf108488fc" localSheetId="10" hidden="1">#REF!</definedName>
    <definedName name="MLNKb70e0287e1c84373ae29e8b329df47f8" localSheetId="10" hidden="1">#REF!</definedName>
    <definedName name="MLNKb721f99c3bd5494da0bbba9b39253294" localSheetId="10" hidden="1">#REF!</definedName>
    <definedName name="MLNKb80123ad714847a49302cb5808ce1193" localSheetId="10" hidden="1">#REF!</definedName>
    <definedName name="MLNKb858ba554cba45c2b1e6497959577cb6" localSheetId="10" hidden="1">#REF!</definedName>
    <definedName name="MLNKb8793bbdc4cd4502a30b4e9de8fa112e" localSheetId="10" hidden="1">#REF!</definedName>
    <definedName name="MLNKb96c898e66e64db6be18f3516577e540" localSheetId="10" hidden="1">#REF!</definedName>
    <definedName name="MLNKb9dc16a2f02e4193b0c9daf0b4dc531d" localSheetId="10" hidden="1">#REF!</definedName>
    <definedName name="MLNKbb02b748687641bc809fdb4b8b3361a4" localSheetId="10" hidden="1">#REF!</definedName>
    <definedName name="MLNKbb0818788be947d5849c08d5af71dccc" localSheetId="10" hidden="1">#REF!</definedName>
    <definedName name="MLNKbb5357eb56b4420ea6d73a7234b157c0" localSheetId="10" hidden="1">#REF!</definedName>
    <definedName name="MLNKbb6fbd47bf084dbc9553f91d139a05a9" localSheetId="10" hidden="1">#REF!</definedName>
    <definedName name="MLNKbb86d3d2a0f24dd2bbc238b0e1bc07d0" localSheetId="10" hidden="1">#REF!</definedName>
    <definedName name="MLNKbb88464955b04e74890527baf9dc3dca" localSheetId="10" hidden="1">#REF!</definedName>
    <definedName name="MLNKbc1fe6c37f4d4ab5bd8ff0e9ab1e3940" localSheetId="10" hidden="1">#REF!</definedName>
    <definedName name="MLNKbc46897c4edd49a3b339f17c312cec25" localSheetId="10" hidden="1">#REF!</definedName>
    <definedName name="MLNKbc9384b6216847feb02bc9296c7eedb4" localSheetId="10" hidden="1">#REF!</definedName>
    <definedName name="MLNKbd76be2c1b68486a83af5de8bdbcfe39" localSheetId="10" hidden="1">#REF!</definedName>
    <definedName name="MLNKbddc92dbcd424513a26fec3a36608c07" localSheetId="10" hidden="1">#REF!</definedName>
    <definedName name="MLNKbe8a9067fdd943ef81522cfc5fa7313f" localSheetId="10" hidden="1">#REF!</definedName>
    <definedName name="MLNKbe8c0371e2f4475bbef96d2aed55eff3" localSheetId="10" hidden="1">#REF!</definedName>
    <definedName name="MLNKbeb2a85a7d5e4ac58ab6701f6b711fbb" localSheetId="10" hidden="1">#REF!</definedName>
    <definedName name="MLNKbefbd14f401445f6b6822f51bdc13266" localSheetId="10" hidden="1">#REF!</definedName>
    <definedName name="MLNKbf8530991c7842458de3c4951292490e" localSheetId="10" hidden="1">#REF!</definedName>
    <definedName name="MLNKbf9802cd3cc24b93b0e5cdc8298b13dd" localSheetId="10" hidden="1">#REF!</definedName>
    <definedName name="MLNKbfc259e67d194e33929daf85cda46659" localSheetId="10" hidden="1">#REF!</definedName>
    <definedName name="MLNKc028b05ec1474697ae0f46d24ddade90" localSheetId="10" hidden="1">#REF!</definedName>
    <definedName name="MLNKc068bc95c85b4cad94c1afcc3efc523e" localSheetId="10" hidden="1">#REF!</definedName>
    <definedName name="MLNKc06d473cc53e493ba7441c705e9ad9c0" localSheetId="10" hidden="1">#REF!</definedName>
    <definedName name="MLNKc15800ad3ce64a799cbdf8cb51764dd3" localSheetId="10" hidden="1">#REF!</definedName>
    <definedName name="MLNKc15a042a1cbc44198e3f9d1f75834286" localSheetId="10" hidden="1">#REF!</definedName>
    <definedName name="MLNKc162c015d35146d1b78e079093f33a77" localSheetId="10" hidden="1">#REF!</definedName>
    <definedName name="MLNKc1dc26d0f03a46858e757bd1d4377f75" localSheetId="10" hidden="1">#REF!</definedName>
    <definedName name="MLNKc26338d459b741348648c7ac47c31ac0" localSheetId="10" hidden="1">#REF!</definedName>
    <definedName name="MLNKc2efd8ffcaa34e59b60518bbb305fc63" localSheetId="10" hidden="1">#REF!</definedName>
    <definedName name="MLNKc3c336515a70492995ab6aca70041fcd" localSheetId="10" hidden="1">#REF!</definedName>
    <definedName name="MLNKc41080187ee240b3a67ecf6f0308555a" localSheetId="10" hidden="1">#REF!</definedName>
    <definedName name="MLNKc46028cf5e4d492d9dea2018869aaaed" localSheetId="10" hidden="1">#REF!</definedName>
    <definedName name="MLNKc50218c9156a467781e411dbd3d48136" localSheetId="10" hidden="1">#REF!</definedName>
    <definedName name="MLNKc5130a94ec1244b7a7361d362b309207" localSheetId="10" hidden="1">#REF!</definedName>
    <definedName name="MLNKc52f5a42071748faace2c1e249d2015f" localSheetId="10" hidden="1">#REF!</definedName>
    <definedName name="MLNKc5917d86d84245a19e71228e902d9570" localSheetId="10" hidden="1">#REF!</definedName>
    <definedName name="MLNKc59c2c879bb947b281e7464f5d9cc03a" localSheetId="10" hidden="1">#REF!</definedName>
    <definedName name="MLNKc5e456f02ef14641ab6d200a8799727b" localSheetId="10" hidden="1">#REF!</definedName>
    <definedName name="MLNKc659f995effe4b579c38ff91fa57e987" localSheetId="10" hidden="1">#REF!</definedName>
    <definedName name="MLNKc6aefbd14cfb45458e4c047f71737189" localSheetId="10" hidden="1">#REF!</definedName>
    <definedName name="MLNKc704294fb3b1488bb0ba0585a590b398" localSheetId="10" hidden="1">#REF!</definedName>
    <definedName name="MLNKc74e60fbf854453db17e8684ea5bce66" localSheetId="10" hidden="1">#REF!</definedName>
    <definedName name="MLNKc78948282baa424d84a9383779c84fd8" localSheetId="10" hidden="1">#REF!</definedName>
    <definedName name="MLNKc7bd4a1a060f4aaa8c20cc94cfe1d136" localSheetId="10" hidden="1">#REF!</definedName>
    <definedName name="MLNKc7f38e5cfeaf42f9988e20e95383f2db" localSheetId="10" hidden="1">#REF!</definedName>
    <definedName name="MLNKc84748cc10dd4256933f02e2c927b5a9" localSheetId="10" hidden="1">#REF!</definedName>
    <definedName name="MLNKc8b6fbc053ad4a09b0fc6be79636d8a0" localSheetId="10" hidden="1">#REF!</definedName>
    <definedName name="MLNKc8b73752472f48b2bccfdaba1c6b6f7b" localSheetId="10" hidden="1">#REF!</definedName>
    <definedName name="MLNKc96440fe196b463188ebf018d89175e5" localSheetId="10" hidden="1">#REF!</definedName>
    <definedName name="MLNKc9c57b72996149a49a1298c36e44b823" localSheetId="10" hidden="1">#REF!</definedName>
    <definedName name="MLNKca1a1b8dbfbd452ba55a0e395ea793b3" localSheetId="10" hidden="1">#REF!</definedName>
    <definedName name="MLNKca6ff9cfcc2342938b8d0d06d521994a" localSheetId="10" hidden="1">#REF!</definedName>
    <definedName name="MLNKcbc35652dd604c5399c23d2cf3fc6c75" localSheetId="10" hidden="1">#REF!</definedName>
    <definedName name="MLNKcbd71f619082476689d69b3dbeedeac6" localSheetId="10" hidden="1">#REF!</definedName>
    <definedName name="MLNKcc96c218311c4662b164636e42f56ff7" localSheetId="10" hidden="1">#REF!</definedName>
    <definedName name="MLNKcd99621c65174ed2ada3f53847230fd8" localSheetId="10" hidden="1">#REF!</definedName>
    <definedName name="MLNKce77c2f032d04ee79c255f6e39b36c47" localSheetId="10" hidden="1">#REF!</definedName>
    <definedName name="MLNKcec893d18ba74351a83a8b40b0d5efd9" localSheetId="10" hidden="1">#REF!</definedName>
    <definedName name="MLNKcfda49d4838e4081a1e44ac95a0dc186" localSheetId="10" hidden="1">#REF!</definedName>
    <definedName name="MLNKd0545dd1a5434d3f9970307092995492" localSheetId="10" hidden="1">#REF!</definedName>
    <definedName name="MLNKd0acfc2eb6a54c42914a931ced4f1d48" localSheetId="10" hidden="1">#REF!</definedName>
    <definedName name="MLNKd1b79e4e7aef43368318ed1e172c8dbd" localSheetId="10" hidden="1">#REF!</definedName>
    <definedName name="MLNKd1bfe69c1e284d6fba0c9353cc855643" localSheetId="10" hidden="1">#REF!</definedName>
    <definedName name="MLNKd1c69d0883884061b336aab57325eb3d" localSheetId="10" hidden="1">#REF!</definedName>
    <definedName name="MLNKd1eb0891b31448f6a2a42787308f57d0" localSheetId="10" hidden="1">#REF!</definedName>
    <definedName name="MLNKd25edf542942433c8b7b8a7ffaa24bec" localSheetId="10" hidden="1">#REF!</definedName>
    <definedName name="MLNKd30907edbba3423cb347492441fee011" localSheetId="10" hidden="1">#REF!</definedName>
    <definedName name="MLNKd36364ccf3554d17be4e90cf90af8fff" localSheetId="10" hidden="1">#REF!</definedName>
    <definedName name="MLNKd39ac37ab737442ca2d9b1b6321f0bc6" localSheetId="10" hidden="1">#REF!</definedName>
    <definedName name="MLNKd4318cd5f5444700b610edf92c08ff61" localSheetId="10" hidden="1">#REF!</definedName>
    <definedName name="MLNKd4caca0d68e14854ba184d3cb6571648" localSheetId="10" hidden="1">#REF!</definedName>
    <definedName name="MLNKd4ece25b0836456690f432756db42070" localSheetId="10" hidden="1">#REF!</definedName>
    <definedName name="MLNKd4ee53c7dd364f0285ddf36588313749" localSheetId="10" hidden="1">#REF!</definedName>
    <definedName name="MLNKd5331428b6a8460799e1af1965ef25b1" localSheetId="10" hidden="1">#REF!</definedName>
    <definedName name="MLNKd6b82239b64548989b79a51dc8935db6" localSheetId="10" hidden="1">#REF!</definedName>
    <definedName name="MLNKd73ad899cda541a8982e3f2d5aa1956e" localSheetId="10" hidden="1">#REF!</definedName>
    <definedName name="MLNKd8e056c4de3e4a3b863d5b0fe931d713" localSheetId="10" hidden="1">#REF!</definedName>
    <definedName name="MLNKd8f4c3b0fd084f6ba73e89ad0a9afd0a" localSheetId="10" hidden="1">#REF!</definedName>
    <definedName name="MLNKd98a6631865c40838e2bd40a4ed891f0" localSheetId="10" hidden="1">#REF!</definedName>
    <definedName name="MLNKda1152c4cc0c422f84e177462720e4e9" localSheetId="10" hidden="1">#REF!</definedName>
    <definedName name="MLNKdad976f7fd5f4e2b8d5894157ebede88" localSheetId="10" hidden="1">#REF!</definedName>
    <definedName name="MLNKdaf6c5baad5440ac9bc69ff1570d9d9a" localSheetId="10" hidden="1">#REF!</definedName>
    <definedName name="MLNKdb864bfe86424f5e87f6b1bb724e6820" localSheetId="10" hidden="1">#REF!</definedName>
    <definedName name="MLNKdbcdd2701ff140beb988f8d81263cfb6" localSheetId="10" hidden="1">#REF!</definedName>
    <definedName name="MLNKdbf5ffa69fb145d38b68f2930b8783c8" localSheetId="10" hidden="1">#REF!</definedName>
    <definedName name="MLNKdc10587df1364384b7698f37a398df57" localSheetId="10" hidden="1">#REF!</definedName>
    <definedName name="MLNKdc921760362b49f09e4e76d8b6a7b69d" localSheetId="10" hidden="1">#REF!</definedName>
    <definedName name="MLNKdcc1ef51c49e470a9212dd480f00d5c5" localSheetId="10" hidden="1">#REF!</definedName>
    <definedName name="MLNKdce35bbf22604ffa92e90dfce593145a" localSheetId="10" hidden="1">#REF!</definedName>
    <definedName name="MLNKdcfa7180c18943a0898fa020b54f44e5" localSheetId="10" hidden="1">#REF!</definedName>
    <definedName name="MLNKdd16275dc64b4808b13920b3578e8113" localSheetId="10" hidden="1">#REF!</definedName>
    <definedName name="MLNKdd36a7854d414eb6b4c775afa248a0ac" localSheetId="10" hidden="1">#REF!</definedName>
    <definedName name="MLNKdd80ddbbaa7c428dbef178217ed5c495" localSheetId="10" hidden="1">#REF!</definedName>
    <definedName name="MLNKde8006bacfc346d6b4df8727d916822c" localSheetId="10" hidden="1">#REF!</definedName>
    <definedName name="MLNKdeefa2bfaa414bce9e904db535a538f9" localSheetId="10" hidden="1">#REF!</definedName>
    <definedName name="MLNKdf07d88462fd4bfd9dc7f95442e82542" localSheetId="10" hidden="1">#REF!</definedName>
    <definedName name="MLNKdf2238e63cba47398e2681a8c2bfaa54" localSheetId="10" hidden="1">#REF!</definedName>
    <definedName name="MLNKdf654a64333a494fa6e088e037163da8" localSheetId="10" hidden="1">#REF!</definedName>
    <definedName name="MLNKdfa802fe092a4977907fea92b409c1e1" localSheetId="10" hidden="1">#REF!</definedName>
    <definedName name="MLNKe04bf971879347c7982b1173e2d29a2a" localSheetId="10" hidden="1">#REF!</definedName>
    <definedName name="MLNKe090e26510014cdeb8e67a5d5a96ba13" localSheetId="10" hidden="1">#REF!</definedName>
    <definedName name="MLNKe09293ca8bf645f5ac49304a5e99835a" localSheetId="10" hidden="1">#REF!</definedName>
    <definedName name="MLNKe097181bd7e94b59b0bf560b50f4a59a" localSheetId="10" hidden="1">#REF!</definedName>
    <definedName name="MLNKe0c53436419d42a685619d07b8f478b9" localSheetId="10" hidden="1">#REF!</definedName>
    <definedName name="MLNKe0e0cfd6df4745e9ad359e10947fe8c7" localSheetId="10" hidden="1">#REF!</definedName>
    <definedName name="MLNKe1ac4738cbfe4e66ab2c077b0dc4db99" localSheetId="10" hidden="1">#REF!</definedName>
    <definedName name="MLNKe2a086a7b5c14ff5800311a557761726" localSheetId="10" hidden="1">#REF!</definedName>
    <definedName name="MLNKe2eb1cfb3a68470b9c8fea946d494a0a" localSheetId="10" hidden="1">#REF!</definedName>
    <definedName name="MLNKe301b7ee170d422480db09afd5555b9d" localSheetId="10" hidden="1">#REF!</definedName>
    <definedName name="MLNKe35ef9b20e8c4b09a97c3424b90a59ab" localSheetId="10" hidden="1">#REF!</definedName>
    <definedName name="MLNKe3741771fafe452fbc166f1b31abb306" localSheetId="10" hidden="1">#REF!</definedName>
    <definedName name="MLNKe3aafe139b4c4da5b49582c83a2ca89e" localSheetId="10" hidden="1">#REF!</definedName>
    <definedName name="MLNKe3e4123999434a0dbf6ee6dd2e2e74c2" localSheetId="10" hidden="1">#REF!</definedName>
    <definedName name="MLNKe419df6c3bac4cd5a289cd1919df434c" localSheetId="10" hidden="1">#REF!</definedName>
    <definedName name="MLNKe46d45e2188d48f4864afc164943f2a4" localSheetId="10" hidden="1">#REF!</definedName>
    <definedName name="MLNKe4afc91282184093a934ea945b892c20" localSheetId="10" hidden="1">#REF!</definedName>
    <definedName name="MLNKe58b4f9954594a68919adf5d39ec4f38" localSheetId="10" hidden="1">#REF!</definedName>
    <definedName name="MLNKe5f7520d114649c68b8a2a9313d7a076" localSheetId="10" hidden="1">#REF!</definedName>
    <definedName name="MLNKe6017dab58bc41efb29a306689344160" localSheetId="10" hidden="1">#REF!</definedName>
    <definedName name="MLNKe67783f9386045fab4a95e47d8eed990" localSheetId="10" hidden="1">#REF!</definedName>
    <definedName name="MLNKe695c665be334e03b8dbb3226f06b070" localSheetId="10" hidden="1">#REF!</definedName>
    <definedName name="MLNKe69c7e47ace84fdabba07cd9364eb119" localSheetId="10" hidden="1">#REF!</definedName>
    <definedName name="MLNKe6acb0e24b0d4721896077e31c09a598" localSheetId="10" hidden="1">#REF!</definedName>
    <definedName name="MLNKe714491b1f6a4ca1815ea51cdc0d9809" localSheetId="10" hidden="1">#REF!</definedName>
    <definedName name="MLNKe718831ad10d4537b33e4eb72d3f42c8" localSheetId="10" hidden="1">#REF!</definedName>
    <definedName name="MLNKe754afffd77a4d84aa91d88468789915" localSheetId="10" hidden="1">#REF!</definedName>
    <definedName name="MLNKe75b05fb183c4a99b36e3ee9052825c3" localSheetId="10" hidden="1">#REF!</definedName>
    <definedName name="MLNKe75bfc86c5c340b58c80decac0c459df" localSheetId="10" hidden="1">#REF!</definedName>
    <definedName name="MLNKe7b2e230834f442ab919ab2ecb1d014e" localSheetId="10" hidden="1">#REF!</definedName>
    <definedName name="MLNKe7d255d2ea4045708a682a35478c4a53" localSheetId="10" hidden="1">#REF!</definedName>
    <definedName name="MLNKe7f13861e6d2486aaed4a2efd709d77f" localSheetId="10" hidden="1">#REF!</definedName>
    <definedName name="MLNKe81326c08cbd4af5aca80814f87f4e2d" localSheetId="10" hidden="1">#REF!</definedName>
    <definedName name="MLNKe8606b21ad0646a883f1e4e117985e38" localSheetId="10" hidden="1">#REF!</definedName>
    <definedName name="MLNKe87eba5671a54589ba2b3005504069f5" localSheetId="10" hidden="1">#REF!</definedName>
    <definedName name="MLNKe882e6930c9d4facbc5ea027ed00bd00" localSheetId="10" hidden="1">#REF!</definedName>
    <definedName name="MLNKe8bbf428f7b741fda970875cb350ca06" localSheetId="10" hidden="1">#REF!</definedName>
    <definedName name="MLNKe9691c94eb924535b492835020e075c4" localSheetId="10" hidden="1">#REF!</definedName>
    <definedName name="MLNKea15f6d358e7409d912b7bd4dea3a161" localSheetId="10" hidden="1">#REF!</definedName>
    <definedName name="MLNKeabbe4aeee6047609b732161a9b667c5" localSheetId="10" hidden="1">#REF!</definedName>
    <definedName name="MLNKeb94e17874554a428430ccc272790bb9" localSheetId="10" hidden="1">#REF!</definedName>
    <definedName name="MLNKebe9a349e0f9446c99a03332b6951f2f" localSheetId="10" hidden="1">#REF!</definedName>
    <definedName name="MLNKec2e06f2daf8473e9eb2730d329d99f6" localSheetId="10" hidden="1">#REF!</definedName>
    <definedName name="MLNKec9eca812169465a8fa174402115bbe5" localSheetId="10" hidden="1">#REF!</definedName>
    <definedName name="MLNKece6d007c0f24cbb975070e5fd99dd6a" localSheetId="10" hidden="1">#REF!</definedName>
    <definedName name="MLNKed63a1a3f60d4cb9a6eea667a88f3bae" localSheetId="10" hidden="1">#REF!</definedName>
    <definedName name="MLNKedad7bc6cf7c48458c71bbdca16f9636" localSheetId="10" hidden="1">#REF!</definedName>
    <definedName name="MLNKedf41ed864b04234a4ba254b23ff76a3" localSheetId="10" hidden="1">#REF!</definedName>
    <definedName name="MLNKee3a74249ae848caabbc83e007ef01b0" localSheetId="10" hidden="1">#REF!</definedName>
    <definedName name="MLNKeecdb8d7190e4f8c808622a7226be5e5" localSheetId="10" hidden="1">#REF!</definedName>
    <definedName name="MLNKef1b927cfe704d81a46a8bc2f477a2fa" localSheetId="10" hidden="1">#REF!</definedName>
    <definedName name="MLNKf026ec19a29e4e81a40d0f3d93f4b72a" localSheetId="10" hidden="1">#REF!</definedName>
    <definedName name="MLNKf092f36ff0f74b25a58d312b2ebc9377" localSheetId="10" hidden="1">#REF!</definedName>
    <definedName name="MLNKf0bcc9f4176d4a49ab0f9727901687cc" localSheetId="10" hidden="1">#REF!</definedName>
    <definedName name="MLNKf1ce7c1f71ca4b5dbd297a8314c35f0d" localSheetId="10" hidden="1">#REF!</definedName>
    <definedName name="MLNKf1d741c373f34620ba9db75e559d6492" localSheetId="10" hidden="1">#REF!</definedName>
    <definedName name="MLNKf1e1e702f443436db370aefe1af4b4af" localSheetId="10" hidden="1">#REF!</definedName>
    <definedName name="MLNKf1fc313dfb8c49c9ad656524cf038dd4" localSheetId="10" hidden="1">#REF!</definedName>
    <definedName name="MLNKf22d86e83dc74649878809d6d5084ff5" localSheetId="10" hidden="1">#REF!</definedName>
    <definedName name="MLNKf34374e0248843038ab5daf7c14052b3" localSheetId="10" hidden="1">#REF!</definedName>
    <definedName name="MLNKf344c94dee6743acb54f67936df14787" localSheetId="10" hidden="1">#REF!</definedName>
    <definedName name="MLNKf4c706ec50fc4f89a88d8e3dd66e6443" localSheetId="10" hidden="1">#REF!</definedName>
    <definedName name="MLNKf589f5d4860d4c168e084a35ada47455" localSheetId="10" hidden="1">#REF!</definedName>
    <definedName name="MLNKf5d530e37ea3487f8215dece0e743f02" localSheetId="10" hidden="1">#REF!</definedName>
    <definedName name="MLNKf62372b10e7546899a27aba86588940f" localSheetId="10" hidden="1">#REF!</definedName>
    <definedName name="MLNKf655751cc8844c7f812a2493aeecffe0" localSheetId="10" hidden="1">#REF!</definedName>
    <definedName name="MLNKf65576a79529435e96ea56a9f989a6c1" localSheetId="10" hidden="1">#REF!</definedName>
    <definedName name="MLNKf66035223f4444779699efe602c3bb34" localSheetId="10" hidden="1">#REF!</definedName>
    <definedName name="MLNKf7e8acfd8b604c459d0a277eec871150" localSheetId="10" hidden="1">#REF!</definedName>
    <definedName name="MLNKf8373b71f8f04deb98bc961f11b3339a" localSheetId="10" hidden="1">#REF!</definedName>
    <definedName name="MLNKf83b8907730540f7ad62729b856f69cd" localSheetId="10" hidden="1">#REF!</definedName>
    <definedName name="MLNKf864eed95e984ae99caedb517dee0d9a" localSheetId="10" hidden="1">#REF!</definedName>
    <definedName name="MLNKf8965499dbe140ae94eaca5543729810" localSheetId="10" hidden="1">#REF!</definedName>
    <definedName name="MLNKf8e3a1f924af457f9b8e9eb2627b2e2d" localSheetId="10" hidden="1">#REF!</definedName>
    <definedName name="MLNKf8f37e5ba04b4a2b9dacd71d668832f0" localSheetId="10" hidden="1">#REF!</definedName>
    <definedName name="MLNKfa3e27c8c53342ceaacbb15388eb3dd1" localSheetId="10" hidden="1">#REF!</definedName>
    <definedName name="MLNKfaa67a026dd9454f9e7abfa18fd2ea98" localSheetId="10" hidden="1">#REF!</definedName>
    <definedName name="MLNKfb30cc3b31544b5faf150bb880655370" localSheetId="10" hidden="1">#REF!</definedName>
    <definedName name="MLNKfb5a28e2d52642d8ae374a24aa2f515b" localSheetId="10" hidden="1">#REF!</definedName>
    <definedName name="MLNKfbd34e9c5e9a46d68b7d7c6b4ac63d0c" localSheetId="10" hidden="1">#REF!</definedName>
    <definedName name="MLNKfc65f694760547b99ecbf623bd883e7a" localSheetId="10" hidden="1">#REF!</definedName>
    <definedName name="MLNKfd0d9b768299437b92b717f7f627c62c" localSheetId="10" hidden="1">#REF!</definedName>
    <definedName name="MLNKfd5d209ad5e74b14990c5e6a54b9f9db" localSheetId="10" hidden="1">#REF!</definedName>
    <definedName name="MLNKfebe3ae174e74e728322fa727b235f1f" localSheetId="10" hidden="1">#REF!</definedName>
    <definedName name="MLNKff5ecd00ef6847669fb191968d8809a5" localSheetId="10" hidden="1">#REF!</definedName>
    <definedName name="MLNKffa830e55d954992a7bc24b31840c35a" localSheetId="10" hidden="1">#REF!</definedName>
    <definedName name="MLNKffb594f36bc542278515f6018b380411" localSheetId="10" hidden="1">#REF!</definedName>
    <definedName name="mlw" localSheetId="10" hidden="1">{#N/A,#N/A,FALSE,"Pharm";#N/A,#N/A,FALSE,"WWCM"}</definedName>
    <definedName name="mmmmm" localSheetId="10" hidden="1">{#N/A,#N/A,FALSE,"Calc";#N/A,#N/A,FALSE,"Sensitivity";#N/A,#N/A,FALSE,"LT Earn.Dil.";#N/A,#N/A,FALSE,"Dil. AVP"}</definedName>
    <definedName name="mnkj" localSheetId="10" hidden="1">{#N/A,#N/A,TRUE,"BUD VS ACT AUST 96";#N/A,#N/A,TRUE,"96 COMP P&amp;L-AUST";#N/A,#N/A,TRUE,"COMP BS-AUSTRALIA";#N/A,#N/A,TRUE,"B/S - AUSTR."}</definedName>
    <definedName name="model" localSheetId="10" hidden="1">{#N/A,#N/A,FALSE,"Rev Grwth";#N/A,#N/A,FALSE,"Op Inc Grwth";#N/A,#N/A,FALSE,"Net Grwth";#N/A,#N/A,FALSE,"EPS Growth"}</definedName>
    <definedName name="model2" localSheetId="10" hidden="1">{#N/A,#N/A,FALSE,"Rev Grwth";#N/A,#N/A,FALSE,"Op Inc Grwth";#N/A,#N/A,FALSE,"Net Grwth";#N/A,#N/A,FALSE,"EPS Growth"}</definedName>
    <definedName name="Month" localSheetId="10">#REF!</definedName>
    <definedName name="Monthly_Payment" localSheetId="10">-PMT(Interest_Rate/12,'EBITDA Adjustments 2026'!Number_of_Payments,Loan_Amount)</definedName>
    <definedName name="months_per_period" localSheetId="10">INDEX({12,6,3,2,1,0.5,0.5,0.25},MATCH(#REF!,'EBITDA Adjustments 2026'!frequency,0))</definedName>
    <definedName name="MPO" localSheetId="10" hidden="1">{#N/A,#N/A,TRUE,"BS_A";#N/A,#N/A,TRUE,"BS_L";#N/A,#N/A,TRUE,"PL";#N/A,#N/A,TRUE,"NET";#N/A,#N/A,TRUE,"MAR_2";#N/A,#N/A,TRUE,"MAR";#N/A,#N/A,TRUE,"NII";#N/A,#N/A,TRUE,"NIE";#N/A,#N/A,TRUE,"FS_BS";#N/A,#N/A,TRUE,"FS_PL";#N/A,#N/A,TRUE,"HEA"}</definedName>
    <definedName name="mw" localSheetId="10" hidden="1">{#N/A,#N/A,FALSE,"Pharm";#N/A,#N/A,FALSE,"WWCM"}</definedName>
    <definedName name="Name" localSheetId="10">#REF!</definedName>
    <definedName name="nameconf1" localSheetId="10" hidden="1">{#N/A,#N/A,TRUE,"Sch-1a";#N/A,#N/A,TRUE,"Sch-1b";#N/A,#N/A,TRUE,"Sch-1c";#N/A,#N/A,TRUE,"Sch-1d";#N/A,#N/A,TRUE,"Sch-2a";#N/A,#N/A,TRUE,"Sch-2b";#N/A,#N/A,TRUE,"Sch-2c";#N/A,#N/A,TRUE,"Sch-3a";#N/A,#N/A,TRUE,"Sch-3b";#N/A,#N/A,TRUE,"Sch-3c";#N/A,#N/A,TRUE,"Sch-3d";#N/A,#N/A,TRUE,"Sch-3e"}</definedName>
    <definedName name="naveeds" localSheetId="10" hidden="1">{"CSheet",#N/A,FALSE,"C";"SmCap",#N/A,FALSE,"VAL1";"GulfCoast",#N/A,FALSE,"VAL1";"nav",#N/A,FALSE,"NAV";"Summary",#N/A,FALSE,"NAV"}</definedName>
    <definedName name="ncas" localSheetId="10" hidden="1">{"FCB_ALL",#N/A,FALSE,"FCB";"GREY_ALL",#N/A,FALSE,"GREY"}</definedName>
    <definedName name="NCBN" localSheetId="10"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k"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localSheetId="10" hidden="1">{"SourcesUses",#N/A,TRUE,"CFMODEL";"TransOverview",#N/A,TRUE,"CFMODEL"}</definedName>
    <definedName name="newdata" localSheetId="10" hidden="1">{"PAGE 1",#N/A,FALSE,"WEST_OT"}</definedName>
    <definedName name="newdata2" localSheetId="10" hidden="1">{"PAGE 1",#N/A,FALSE,"WEST_OT"}</definedName>
    <definedName name="newnewnew" localSheetId="10" hidden="1">{#N/A,#N/A,FALSE,"Pharm";#N/A,#N/A,FALSE,"WWCM"}</definedName>
    <definedName name="Newsprint.summary" localSheetId="10" hidden="1">{#N/A,#N/A,FALSE,"Furnish";#N/A,#N/A,FALSE,"Labor Productivity";#N/A,#N/A,FALSE,"Producer";#N/A,#N/A,FALSE,"PM Productivity";#N/A,#N/A,FALSE,"Regions &amp; Delivered";#N/A,#N/A,FALSE,"Product &amp; Delivered";#N/A,#N/A,FALSE,"Delivered Cost";#N/A,#N/A,FALSE,"Cash Cost"}</definedName>
    <definedName name="NICHOLE" localSheetId="10" hidden="1">{#N/A,#N/A,FALSE,"Total";#N/A,#N/A,FALSE,"Sew";#N/A,#N/A,FALSE,"Finish";#N/A,#N/A,FALSE,"CUT";#N/A,#N/A,FALSE,"Mill 5";#N/A,#N/A,FALSE,"Mill 6";#N/A,#N/A,FALSE,"Mill 8";#N/A,#N/A,FALSE,"Mill 9";#N/A,#N/A,FALSE,"Mill 10";#N/A,#N/A,FALSE,"Mill 12";#N/A,#N/A,FALSE,"Mill 15";#N/A,#N/A,FALSE,"Mill 17"}</definedName>
    <definedName name="NMCVM" localSheetId="10" hidden="1">{#N/A,#N/A,FALSE,"TABLE_1 YTD- VALUES LAST YR(2)"}</definedName>
    <definedName name="nmnmm" localSheetId="10" hidden="1">{#N/A,#N/A,FALSE,"Index";"Stmts_Qtrs",#N/A,FALSE,"Summary";"Stmts_24 mo",#N/A,FALSE,"Summary";"Summary_24",#N/A,FALSE,"Revenue";"Month_24",#N/A,FALSE,"Engineering";"Month_24",#N/A,FALSE,"Marketing";"Month_24",#N/A,FALSE,"G &amp; A";"Month_24",#N/A,FALSE,"Manufacturing"}</definedName>
    <definedName name="nn" localSheetId="10" hidden="1">{#N/A,#N/A,FALSE,"Sheet1";#N/A,#N/A,FALSE,"Sheet2";#N/A,#N/A,FALSE,"Sheet3";#N/A,#N/A,FALSE,"Sheet4";#N/A,#N/A,FALSE,"Sheet5";#N/A,#N/A,FALSE,"Sheet6"}</definedName>
    <definedName name="nnn" localSheetId="10" hidden="1">{#N/A,#N/A,FALSE,"Assessment";#N/A,#N/A,FALSE,"Staffing";#N/A,#N/A,FALSE,"Hires";#N/A,#N/A,FALSE,"Assumptions"}</definedName>
    <definedName name="nnnn" localSheetId="10" hidden="1">{#N/A,#N/A,FALSE,"Job Sched"}</definedName>
    <definedName name="no" localSheetId="10" hidden="1">{"'Sheet1'!$A$5:$G$42"}</definedName>
    <definedName name="no_1" localSheetId="10" hidden="1">{"'Sheet1'!$A$5:$G$42"}</definedName>
    <definedName name="NOBL" localSheetId="10" hidden="1">{"AQUIRORDCF",#N/A,FALSE,"Merger consequences";"Acquirorassns",#N/A,FALSE,"Merger consequences"}</definedName>
    <definedName name="noidea" localSheetId="10" hidden="1">{#N/A,#N/A,FALSE,"Calc";#N/A,#N/A,FALSE,"Sensitivity";#N/A,#N/A,FALSE,"LT Earn.Dil.";#N/A,#N/A,FALSE,"Dil. AVP"}</definedName>
    <definedName name="nono" localSheetId="10" hidden="1">{#N/A,#N/A,FALSE,"Objectives"}</definedName>
    <definedName name="normal" localSheetId="10" hidden="1">{"arpm1995",#N/A,FALSE,"Summary 95-96";"bus_long_distance",#N/A,FALSE,"Summary 95-96";"mins_per_day",#N/A,FALSE,"Summary 95-96";"minutes1995",#N/A,FALSE,"Summary 95-96";"rev_per_day",#N/A,FALSE,"Summary 95-96";"view1995",#N/A,FALSE,"Summary 95-96"}</definedName>
    <definedName name="NoteTextNames" localSheetId="10" hidden="1">{"Text 9";"Text 10";"Text 11";"Text 12"}</definedName>
    <definedName name="nothegsd" localSheetId="10" hidden="1">{"Summary",#N/A,FALSE,"Details (2)"}</definedName>
    <definedName name="nouv" localSheetId="10" hidden="1">{#N/A,#N/A,FALSE,"Pharm";#N/A,#N/A,FALSE,"WWCM"}</definedName>
    <definedName name="Nov00" localSheetId="10" hidden="1">{"Statement of Income",#N/A,TRUE,"Mar99";"Balance Sheet",#N/A,TRUE,"Mar99"}</definedName>
    <definedName name="Nov00TB" localSheetId="10" hidden="1">{"Statement of Income",#N/A,TRUE,"Mar99";"Balance Sheet",#N/A,TRUE,"Mar99"}</definedName>
    <definedName name="nper" localSheetId="10">term*'EBITDA Adjustments 2026'!periods_per_year</definedName>
    <definedName name="Num_Pmt_Per_Year" localSheetId="10">#REF!</definedName>
    <definedName name="Number_of_Payments" localSheetId="10">MATCH(0.01,End_Bal,-1)+1</definedName>
    <definedName name="o" localSheetId="10" hidden="1">{#N/A,#N/A,FALSE,"New Depr Sch-150% DB";#N/A,#N/A,FALSE,"Cash Flows RLP";#N/A,#N/A,FALSE,"IRR";#N/A,#N/A,FALSE,"Proforma IS";#N/A,#N/A,FALSE,"Assumptions"}</definedName>
    <definedName name="Oct00" localSheetId="10" hidden="1">{"Statement of Income",#N/A,TRUE,"Mar99";"Balance Sheet",#N/A,TRUE,"Mar99"}</definedName>
    <definedName name="Oct00TB" localSheetId="10" hidden="1">{"Statement of Income",#N/A,TRUE,"Mar99";"Balance Sheet",#N/A,TRUE,"Mar99"}</definedName>
    <definedName name="Octob00" localSheetId="10" hidden="1">{"Statement of Income",#N/A,TRUE,"Mar99";"Balance Sheet",#N/A,TRUE,"Mar99"}</definedName>
    <definedName name="Octob00TB" localSheetId="10" hidden="1">{"Statement of Income",#N/A,TRUE,"Mar99";"Balance Sheet",#N/A,TRUE,"Mar99"}</definedName>
    <definedName name="OI" localSheetId="10" hidden="1">{#N/A,#N/A,FALSE,"COVER";#N/A,#N/A,FALSE,"Index";#N/A,#N/A,FALSE,"Non-Earning";#N/A,#N/A,FALSE,"Non-Earning_Recovery"}</definedName>
    <definedName name="oiu" localSheetId="10" hidden="1">{#N/A,#N/A,FALSE,"COVER";#N/A,#N/A,FALSE,"RATIOS";#N/A,#N/A,FALSE,"LEVERAGE";#N/A,#N/A,FALSE,"TIER-1";#N/A,#N/A,FALSE,"RISK BASED ASSETS";#N/A,#N/A,FALSE,"TIER-2"}</definedName>
    <definedName name="oiwea" localSheetId="10" hidden="1">{"FCB_ALL",#N/A,FALSE,"FCB";"GREY_ALL",#N/A,FALSE,"GREY"}</definedName>
    <definedName name="OK" localSheetId="10" hidden="1">{#N/A,#N/A,FALSE,"REPORT"}</definedName>
    <definedName name="okay" localSheetId="10" hidden="1">{#N/A,#N/A,FALSE,"Admin";#N/A,#N/A,FALSE,"Other"}</definedName>
    <definedName name="olddata" localSheetId="10" hidden="1">{"PAGE 1",#N/A,FALSE,"WEST_OT"}</definedName>
    <definedName name="olddata1" localSheetId="10" hidden="1">{"PAGE 1",#N/A,FALSE,"WEST_OT"}</definedName>
    <definedName name="olddata2" localSheetId="10" hidden="1">{"PAGE 1",#N/A,FALSE,"WEST_OT"}</definedName>
    <definedName name="olddata3" localSheetId="10" hidden="1">{"PAGE 1",#N/A,FALSE,"WEST_OT"}</definedName>
    <definedName name="oldkey1" localSheetId="10" hidden="1">#REF!</definedName>
    <definedName name="oldsort" localSheetId="10" hidden="1">#REF!</definedName>
    <definedName name="on" localSheetId="10" hidden="1">{"TOTAL",#N/A,FALSE,"A";"FISCAL94",#N/A,FALSE,"A";"FISCAL95",#N/A,FALSE,"A";"FISCAL96",#N/A,FALSE,"A";"misc page",#N/A,FALSE,"A"}</definedName>
    <definedName name="ookok" localSheetId="10" hidden="1">{#N/A,#N/A,TRUE,"BUD VS ACT AUST 96";#N/A,#N/A,TRUE,"96 COMP P&amp;L-AUST";#N/A,#N/A,TRUE,"COMP BS-AUSTRALIA";#N/A,#N/A,TRUE,"B/S - AUSTR."}</definedName>
    <definedName name="ooo" localSheetId="10" hidden="1">{#N/A,#N/A,FALSE,"REPORT"}</definedName>
    <definedName name="ooooo" localSheetId="10" hidden="1">{#N/A,#N/A,FALSE,"Calc";#N/A,#N/A,FALSE,"Sensitivity";#N/A,#N/A,FALSE,"LT Earn.Dil.";#N/A,#N/A,FALSE,"Dil. AVP"}</definedName>
    <definedName name="OOU" localSheetId="10" hidden="1">{#N/A,#N/A,FALSE,"BS";#N/A,#N/A,FALSE,"PL_10Q";#N/A,#N/A,FALSE,"SOE";#N/A,#N/A,FALSE,"SCF"}</definedName>
    <definedName name="OPER" localSheetId="10" hidden="1">{"SUM",#N/A,FALSE,"Details (2)"}</definedName>
    <definedName name="OperatorServicesFi" localSheetId="10" hidden="1">{"SUM",#N/A,FALSE,"Details (2)"}</definedName>
    <definedName name="Opscen" localSheetId="10">#REF!</definedName>
    <definedName name="Other" localSheetId="10" hidden="1">{#N/A,#N/A,FALSE,"Page 1";#N/A,#N/A,FALSE,"Page 2";#N/A,#N/A,FALSE,"Page 3";#N/A,#N/A,FALSE,"Page 4";#N/A,#N/A,FALSE,"Page 5"}</definedName>
    <definedName name="other33" localSheetId="10" hidden="1">{#N/A,#N/A,FALSE,"Pharm";#N/A,#N/A,FALSE,"WWCM"}</definedName>
    <definedName name="othermar" localSheetId="10" hidden="1">{#N/A,#N/A,FALSE,"Pharm";#N/A,#N/A,FALSE,"WWCM"}</definedName>
    <definedName name="ouhio" localSheetId="10" hidden="1">{"Summary",#N/A,FALSE,"Details (2)"}</definedName>
    <definedName name="ouououiouopupo" localSheetId="10" hidden="1">{#N/A,#N/A,FALSE,"BS";#N/A,#N/A,FALSE,"PL";#N/A,#N/A,FALSE,"SOE";#N/A,#N/A,FALSE,"SCF"}</definedName>
    <definedName name="ououp0" localSheetId="10" hidden="1">{#N/A,#N/A,FALSE,"TABLE_1 YTD- VALUES LAST YR(2)"}</definedName>
    <definedName name="Outlook" localSheetId="10" hidden="1">{"arpm1995",#N/A,FALSE,"Summary 95-96";"bus_long_distance",#N/A,FALSE,"Summary 95-96";"mins_per_day",#N/A,FALSE,"Summary 95-96";"minutes1995",#N/A,FALSE,"Summary 95-96";"rev_per_day",#N/A,FALSE,"Summary 95-96";"view1995",#N/A,FALSE,"Summary 95-96"}</definedName>
    <definedName name="p" localSheetId="1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Page1" localSheetId="10">#REF!</definedName>
    <definedName name="panther_wrn.test1." localSheetId="10" hidden="1">{"Income Statement",#N/A,FALSE,"CFMODEL";"Balance Sheet",#N/A,FALSE,"CFMODEL"}</definedName>
    <definedName name="panther_wrn.test2." localSheetId="10" hidden="1">{"SourcesUses",#N/A,TRUE,"CFMODEL";"TransOverview",#N/A,TRUE,"CFMODEL"}</definedName>
    <definedName name="panther_wrn.test3." localSheetId="10" hidden="1">{"SourcesUses",#N/A,TRUE,#N/A;"TransOverview",#N/A,TRUE,"CFMODEL"}</definedName>
    <definedName name="panther_wrn.test4." localSheetId="10" hidden="1">{"SourcesUses",#N/A,TRUE,"FundsFlow";"TransOverview",#N/A,TRUE,"FundsFlow"}</definedName>
    <definedName name="patty" localSheetId="10" hidden="1">{"PAGE 1",#N/A,FALSE,"WEST_OT"}</definedName>
    <definedName name="Pay_Date" localSheetId="10">#REF!</definedName>
    <definedName name="Payment_Date" localSheetId="10">DATE(YEAR(Loan_Start),MONTH(Loan_Start)+#REF!,DAY(Loan_Start))</definedName>
    <definedName name="Payment_Number" localSheetId="10">ROW()-Header_Row</definedName>
    <definedName name="PaymentPerYear2016" localSheetId="10">#REF!</definedName>
    <definedName name="PDM" localSheetId="10" hidden="1">{#N/A,#N/A,FALSE,"Summary";#N/A,#N/A,FALSE,"Signatures";#N/A,#N/A,FALSE,"FL Current";#N/A,#N/A,FALSE,"Assumptions";#N/A,#N/A,FALSE,"Assumptions";#N/A,#N/A,FALSE,"Assumptions";#N/A,#N/A,FALSE,"FL Last";#N/A,#N/A,FALSE,"FL Orig";#N/A,#N/A,FALSE,"C to G Explain"}</definedName>
    <definedName name="Pechous" localSheetId="10" hidden="1">{"FY01_Assets",#N/A,FALSE,"Fin Stmt Budget";"FY01_Liabilities",#N/A,FALSE,"Fin Stmt Budget";"FY01_Inc_Stmt",#N/A,FALSE,"Fin Stmt Budget";"FY01_SOCF",#N/A,FALSE,"Fin Stmt Budget"}</definedName>
    <definedName name="Pecos" localSheetId="10"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localSheetId="10"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pe" localSheetId="10" hidden="1">{#N/A,#N/A,FALSE,"Pharm";#N/A,#N/A,FALSE,"WWCM"}</definedName>
    <definedName name="PEPE4" localSheetId="10" hidden="1">{#N/A,#N/A,FALSE,"Pharm";#N/A,#N/A,FALSE,"WWCM"}</definedName>
    <definedName name="PEPE5" localSheetId="10" hidden="1">{#N/A,#N/A,FALSE,"Pharm";#N/A,#N/A,FALSE,"WWCM"}</definedName>
    <definedName name="periods_per_year" localSheetId="10">INDEX({1,2,4,6,12,24,26,52},MATCH(#REF!,'EBITDA Adjustments 2026'!frequency,0))</definedName>
    <definedName name="perm" localSheetId="10" hidden="1">{"PAGE 1",#N/A,FALSE,"WEST_OT"}</definedName>
    <definedName name="perm1" localSheetId="10" hidden="1">{"PAGE 1",#N/A,FALSE,"WEST_OT"}</definedName>
    <definedName name="perm3" localSheetId="10" hidden="1">{"PAGE 1",#N/A,FALSE,"WEST_OT"}</definedName>
    <definedName name="perm4" localSheetId="10" hidden="1">{"PAGE 1",#N/A,FALSE,"WEST_OT"}</definedName>
    <definedName name="perm5" localSheetId="10" hidden="1">{"PAGE 2",#N/A,FALSE,"WEST_OT"}</definedName>
    <definedName name="perm6" localSheetId="10" hidden="1">{"PAGE 2",#N/A,FALSE,"WEST_OT"}</definedName>
    <definedName name="perm7" localSheetId="10" hidden="1">{"PAGE 1",#N/A,FALSE,"WEST_OT"}</definedName>
    <definedName name="PeterTEST" localSheetId="10" hidden="1">{#N/A,#N/A,TRUE,"Acq-Ass";#N/A,#N/A,TRUE,"Acq-IS";#N/A,#N/A,TRUE,"Acq-BS";#N/A,#N/A,TRUE,"Acq-CF"}</definedName>
    <definedName name="pharma" localSheetId="10" hidden="1">{#N/A,#N/A,FALSE,"Sales Graph";#N/A,#N/A,FALSE,"PSBM";#N/A,#N/A,FALSE,"BUC Graph";#N/A,#N/A,FALSE,"P&amp;L - YTD"}</definedName>
    <definedName name="Pitchbook" localSheetId="10" hidden="1">{#N/A,#N/A,TRUE,"Sheet16"}</definedName>
    <definedName name="pkg.gom" localSheetId="10" hidden="1">{"2000PPE",#N/A,FALSE,"PPE 2000";"2000DD",#N/A,FALSE,"DrydocksOther"}</definedName>
    <definedName name="pl" localSheetId="10" hidden="1">{#N/A,#N/A,FALSE,"REPORT"}</definedName>
    <definedName name="plan2" localSheetId="10" hidden="1">{"'Sheet1'!$A$5:$G$42"}</definedName>
    <definedName name="PlanVLE" localSheetId="10" hidden="1">{#N/A,#N/A,FALSE,"SUMMARY";#N/A,#N/A,FALSE,"mcsh";#N/A,#N/A,FALSE,"vol&amp;rev";#N/A,#N/A,FALSE,"wkgcap";#N/A,#N/A,FALSE,"DEPR&amp;DT";#N/A,#N/A,FALSE,"ASSETS";#N/A,#N/A,FALSE,"NI&amp;OTH&amp;DIV";#N/A,#N/A,FALSE,"CASHFLOW";#N/A,#N/A,FALSE,"CAPEMPL";#N/A,#N/A,FALSE,"ROCE"}</definedName>
    <definedName name="Plastics" localSheetId="10" hidden="1">{"Curr Month",#N/A,FALSE,"Months";"All Months",#N/A,FALSE,"Months";"YTD",#N/A,FALSE,"Months";"01 Months",#N/A,FALSE,"01";"03 Months",#N/A,FALSE,"Months";"05 Months",#N/A,FALSE,"Months";"06 Months",#N/A,FALSE,"Months";"08 Months",#N/A,FALSE,"Months";"09 Months",#N/A,FALSE,"Months";"10 Months",#N/A,FALSE,"Months";"11 Months",#N/A,FALSE,"Months";"12 Months",#N/A,FALSE,"Months";"13 Months",#N/A,FALSE,"Months";"14 Months",#N/A,FALSE,"Months";"15 Months",#N/A,FALSE,"Months";"23 Months",#N/A,FALSE,"Months";"24 Months",#N/A,FALSE,"Months";"25 Months",#N/A,FALSE,"Months";"43 Months",#N/A,FALSE,"Months";"45 Months",#N/A,FALSE,"Months";"50 Months",#N/A,FALSE,"Months"}</definedName>
    <definedName name="plbudget04" localSheetId="10" hidden="1">{#N/A,#N/A,FALSE,"INPUTS";#N/A,#N/A,FALSE,"PROFORMA BSHEET";#N/A,#N/A,FALSE,"COMBINED";#N/A,#N/A,FALSE,"ACQUIROR";#N/A,#N/A,FALSE,"TARGET 1";#N/A,#N/A,FALSE,"TARGET 2";#N/A,#N/A,FALSE,"HIGH YIELD";#N/A,#N/A,FALSE,"OVERFUND"}</definedName>
    <definedName name="PLCepi" localSheetId="10" hidden="1">{#N/A,#N/A,FALSE,"REPORT"}</definedName>
    <definedName name="PLDate" localSheetId="10">#REF!</definedName>
    <definedName name="PLProcef" localSheetId="10" hidden="1">{#N/A,#N/A,FALSE,"REPORT"}</definedName>
    <definedName name="PLTaxol" localSheetId="10" hidden="1">{#N/A,#N/A,FALSE,"REPORT"}</definedName>
    <definedName name="Pnl" localSheetId="10" hidden="1">{#N/A,#N/A,FALSE,"Pharm";#N/A,#N/A,FALSE,"WWCM"}</definedName>
    <definedName name="po" localSheetId="10"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i" localSheetId="10" hidden="1">{#N/A,#N/A,FALSE,"PL-FS";#N/A,#N/A,FALSE,"PL"}</definedName>
    <definedName name="port29" localSheetId="10" hidden="1">{#N/A,#N/A,FALSE,"Pharm";#N/A,#N/A,FALSE,"WWCM"}</definedName>
    <definedName name="poso_wrn.test1." localSheetId="10" hidden="1">{"Income Statement",#N/A,FALSE,"CFMODEL";"Balance Sheet",#N/A,FALSE,"CFMODEL"}</definedName>
    <definedName name="poso_wrn.test2." localSheetId="10" hidden="1">{"SourcesUses",#N/A,TRUE,"CFMODEL";"TransOverview",#N/A,TRUE,"CFMODEL"}</definedName>
    <definedName name="poso_wrn.test3." localSheetId="10" hidden="1">{"SourcesUses",#N/A,TRUE,#N/A;"TransOverview",#N/A,TRUE,"CFMODEL"}</definedName>
    <definedName name="poso_wrn.test4." localSheetId="10" hidden="1">{"SourcesUses",#N/A,TRUE,"FundsFlow";"TransOverview",#N/A,TRUE,"FundsFlow"}</definedName>
    <definedName name="ppp" localSheetId="10" hidden="1">{#N/A,#N/A,FALSE,"summ";#N/A,#N/A,FALSE,"q1";#N/A,#N/A,FALSE,"summ_alt";#N/A,#N/A,FALSE,"stock_nozero";#N/A,#N/A,FALSE,"1995"}</definedName>
    <definedName name="pppp" localSheetId="10" hidden="1">{"Summary",#N/A,FALSE,"Details (2)"}</definedName>
    <definedName name="pppp2" localSheetId="10" hidden="1">{"Summary",#N/A,FALSE,"Details (2)"}</definedName>
    <definedName name="ppppp" localSheetId="10" hidden="1">{"SUM",#N/A,FALSE,"Details (2)"}</definedName>
    <definedName name="pppppp" localSheetId="10" hidden="1">{"Summary",#N/A,FALSE,"Details (2)"}</definedName>
    <definedName name="ppppppp" localSheetId="10" hidden="1">{"SUM",#N/A,FALSE,"Details (2)"}</definedName>
    <definedName name="pppppppp" localSheetId="10" hidden="1">{"Summary",#N/A,FALSE,"Details (2)"}</definedName>
    <definedName name="ppppppppp" localSheetId="10" hidden="1">{"SUM",#N/A,FALSE,"Details (2)"}</definedName>
    <definedName name="pppppppppp" localSheetId="10" hidden="1">{"Summary",#N/A,FALSE,"Details (2)"}</definedName>
    <definedName name="ppppppppppp" localSheetId="10" hidden="1">{"SUM",#N/A,FALSE,"Details (2)"}</definedName>
    <definedName name="pppppppppppp" localSheetId="10" hidden="1">{"Summary",#N/A,FALSE,"Details (2)"}</definedName>
    <definedName name="ppppppppppppp" localSheetId="10" hidden="1">{"SUM",#N/A,FALSE,"Details (2)"}</definedName>
    <definedName name="ppppppppppppppp" localSheetId="10" hidden="1">{"Summary",#N/A,FALSE,"Details (2)"}</definedName>
    <definedName name="pppppppppppppppp" localSheetId="10" hidden="1">{"SUM",#N/A,FALSE,"Details (2)"}</definedName>
    <definedName name="ppppppppppppppppp" localSheetId="10" hidden="1">{"Summary",#N/A,FALSE,"Details (2)"}</definedName>
    <definedName name="ppppppppppppppppppppppppppp" localSheetId="10" hidden="1">{"FCB_ALL",#N/A,FALSE,"FCB"}</definedName>
    <definedName name="PPS"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rd" localSheetId="10" hidden="1">{"Netbacks",#N/A,FALSE,"Netbacks"}</definedName>
    <definedName name="prd." localSheetId="10" hidden="1">{"IS Years",#N/A,FALSE,"Income Statement";"IS Q96",#N/A,FALSE,"Income Statement";"IS Q97",#N/A,FALSE,"Income Statement";"Corporate",#N/A,FALSE,"Corporate Profile";"Netbacks",#N/A,FALSE,"Netbacks"}</definedName>
    <definedName name="Presentation" localSheetId="1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v_Mkv" localSheetId="10">#REF!</definedName>
    <definedName name="prgrp" localSheetId="10" hidden="1">{"cap_structure",#N/A,FALSE,"Graph-Mkt Cap";"price",#N/A,FALSE,"Graph-Price";"ebit",#N/A,FALSE,"Graph-EBITDA";"ebitda",#N/A,FALSE,"Graph-EBITDA"}</definedName>
    <definedName name="Princ" localSheetId="10">#REF!</definedName>
    <definedName name="Print_Area_Reset" localSheetId="10">OFFSET(Full_Print,0,0,Last_Row)</definedName>
    <definedName name="print4" localSheetId="1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End" localSheetId="10" hidden="1">#REF!</definedName>
    <definedName name="Procef" localSheetId="10" hidden="1">{#N/A,#N/A,FALSE,"Pharm";#N/A,#N/A,FALSE,"WWCM"}</definedName>
    <definedName name="prod" localSheetId="10" hidden="1">{#N/A,#N/A,FALSE,"Pharm";#N/A,#N/A,FALSE,"WWCM"}</definedName>
    <definedName name="profimp2" localSheetId="10" hidden="1">{"PAGE 1",#N/A,FALSE,"WEST_OT"}</definedName>
    <definedName name="profimp3" localSheetId="10" hidden="1">{"PAGE 2",#N/A,FALSE,"WEST_OT"}</definedName>
    <definedName name="profimp5" localSheetId="10" hidden="1">{"PAGE 1",#N/A,FALSE,"WEST_OT"}</definedName>
    <definedName name="profimptest" localSheetId="10" hidden="1">{"PAGE 2",#N/A,FALSE,"WEST_OT"}</definedName>
    <definedName name="Project" localSheetId="10">#REF!</definedName>
    <definedName name="ptg" localSheetId="10" hidden="1">{#N/A,#N/A,TRUE,"RESUMEN ECON.";#N/A,#N/A,TRUE,"Costos de R.H.";#N/A,#N/A,TRUE,"COSTO HW";#N/A,#N/A,TRUE,"CUADROS";#N/A,#N/A,TRUE,"SCADA´s";#N/A,#N/A,TRUE,"PRECIOS EQUIPOS"}</definedName>
    <definedName name="pvdsk" localSheetId="1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 localSheetId="10" hidden="1">{"CSheet",#N/A,FALSE,"C";"SmCap",#N/A,FALSE,"VAL1";"GulfCoast",#N/A,FALSE,"VAL1";"nav",#N/A,FALSE,"NAV";"Summary",#N/A,FALSE,"NAV"}</definedName>
    <definedName name="Q1Variances" localSheetId="10" hidden="1">{#N/A,#N/A,FALSE,"Revised Plan description";#N/A,#N/A,FALSE,"Mth Sum";#N/A,#N/A,FALSE,"YTD Sum";#N/A,#N/A,FALSE,"Mth Rev Sum";#N/A,#N/A,FALSE,"YTD Rev Sum";#N/A,#N/A,FALSE,"Direct Margin";#N/A,#N/A,FALSE,"Data MarginvsPlan";#N/A,#N/A,FALSE,"Local MarginvsPlan";#N/A,#N/A,FALSE,"Internet MarginvsPlan";#N/A,#N/A,FALSE,"LD Margin vs Plan ";#N/A,#N/A,FALSE,"Data Margin YTDvsPlan";#N/A,#N/A,FALSE,"Local Margin YTDvsPlan";#N/A,#N/A,FALSE,"Internet Margin YTDvsPlan";#N/A,#N/A,FALSE,"LD Margin YTD vs Plan";#N/A,#N/A,FALSE,"SC vs Pr Month ";#N/A,#N/A,FALSE,"SVC Detail Mth vs Pr Mth";#N/A,#N/A,FALSE,"Ind vs Pr Month ";#N/A,#N/A,FALSE,"SGA (Elem) vs Pr Month";#N/A,#N/A,FALSE,"SGA (BU) vs Pr Mth";#N/A,#N/A,FALSE,"SC vs Plan";#N/A,#N/A,FALSE,"SVC Detail Mth vsPlan ";#N/A,#N/A,FALSE,"Ind vs Plan";#N/A,#N/A,FALSE,"SGA (Elem) vs Plan";#N/A,#N/A,FALSE,"SGA (BU) vs Plan";#N/A,#N/A,FALSE,"SC vs YTD 00";#N/A,#N/A,FALSE,"SGA (Elem) vs YTD 00";#N/A,#N/A,FALSE,"SGA (BU) YTD vs YTD 00";#N/A,#N/A,FALSE,"SC vs YTD Plan ";#N/A,#N/A,FALSE,"SVC YTD Detail Mth vsPlan ";#N/A,#N/A,FALSE,"SGA (Elem) vs YTD Plan";#N/A,#N/A,FALSE,"SGA (BU) YTD vs Plan";#N/A,#N/A,FALSE,"CapExp";#N/A,#N/A,FALSE,"EBITDA";#N/A,#N/A,FALSE,"Mth trends";#N/A,#N/A,FALSE,"Inc. Statement";#N/A,#N/A,FALSE,"Balance Sheet";#N/A,#N/A,FALSE,"Cash Flow"}</definedName>
    <definedName name="qaz" localSheetId="10" hidden="1">{#N/A,#N/A,FALSE,"Pharm";#N/A,#N/A,FALSE,"WWCM"}</definedName>
    <definedName name="qertweyu" localSheetId="10" hidden="1">{#N/A,#N/A,FALSE,"REPORT"}</definedName>
    <definedName name="qetryywt" localSheetId="10" hidden="1">{#N/A,#N/A,FALSE,"REPORT"}</definedName>
    <definedName name="qg" localSheetId="10" hidden="1">{#N/A,#N/A,FALSE,"RESUMEN ECON.";#N/A,#N/A,FALSE,"Costos de R.H.";#N/A,#N/A,FALSE,"COSTO HW";#N/A,#N/A,FALSE,"CUADROS";#N/A,#N/A,FALSE,"SCADA´s";#N/A,#N/A,FALSE,"PRECIOS EQUIPOS"}</definedName>
    <definedName name="QofE2" localSheetId="1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q" localSheetId="10" hidden="1">{#N/A,#N/A,FALSE,"March Details"}</definedName>
    <definedName name="qqq" localSheetId="10" hidden="1">{#N/A,#N/A,FALSE,"Pharm";#N/A,#N/A,FALSE,"WWCM"}</definedName>
    <definedName name="qqqqqqqq" localSheetId="10" hidden="1">{"Report",#N/A,FALSE,"March Details"}</definedName>
    <definedName name="qqwtweryey" localSheetId="10" hidden="1">{#N/A,#N/A,FALSE,"REPORT"}</definedName>
    <definedName name="qre"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Qtroperations" localSheetId="10" hidden="1">{"arpm1995",#N/A,FALSE,"Summary 95-96";"bus_long_distance",#N/A,FALSE,"Summary 95-96";"mins_per_day",#N/A,FALSE,"Summary 95-96";"minutes1995",#N/A,FALSE,"Summary 95-96";"rev_per_day",#N/A,FALSE,"Summary 95-96";"view1995",#N/A,FALSE,"Summary 95-96"}</definedName>
    <definedName name="Quarter1Percent" localSheetId="10">#REF!</definedName>
    <definedName name="qw" localSheetId="10" hidden="1">{#N/A,#N/A,FALSE,"REPORT"}</definedName>
    <definedName name="qw2fkgur" localSheetId="10" hidden="1">{#N/A,#N/A,FALSE,"Valuation Assumptions";#N/A,#N/A,FALSE,"Summary";#N/A,#N/A,FALSE,"DCF";#N/A,#N/A,FALSE,"Valuation";#N/A,#N/A,FALSE,"WACC";#N/A,#N/A,FALSE,"UBVH";#N/A,#N/A,FALSE,"Free Cash Flow"}</definedName>
    <definedName name="qwe" localSheetId="10" hidden="1">{#N/A,#N/A,TRUE,"BS_A";#N/A,#N/A,TRUE,"BS_L";#N/A,#N/A,TRUE,"PL";#N/A,#N/A,TRUE,"NET";#N/A,#N/A,TRUE,"MAR_2";#N/A,#N/A,TRUE,"MAR";#N/A,#N/A,TRUE,"NII";#N/A,#N/A,TRUE,"NIE";#N/A,#N/A,TRUE,"FS_BS";#N/A,#N/A,TRUE,"FS_PL";#N/A,#N/A,TRUE,"HEA"}</definedName>
    <definedName name="qwert"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qry" localSheetId="10" hidden="1">{#N/A,#N/A,FALSE,"REPORT"}</definedName>
    <definedName name="qwetqryetytu" localSheetId="10" hidden="1">{#N/A,#N/A,FALSE,"Pharm";#N/A,#N/A,FALSE,"WWCM"}</definedName>
    <definedName name="QWQ" localSheetId="10" hidden="1">{#N/A,#N/A,FALSE,"PL-FS";#N/A,#N/A,FALSE,"PL"}</definedName>
    <definedName name="qwqe" localSheetId="10" hidden="1">{#N/A,#N/A,FALSE,"Comp - War";#N/A,#N/A,FALSE,"Comp - War"}</definedName>
    <definedName name="radg" localSheetId="10" hidden="1">{"FCB_ALL",#N/A,FALSE,"FCB";"GREY_ALL",#N/A,FALSE,"GREY"}</definedName>
    <definedName name="rate" localSheetId="10">#REF!</definedName>
    <definedName name="RawsFIT" localSheetId="10" hidden="1">{#N/A,#N/A,TRUE,"Summary";#N/A,#N/A,TRUE,"Assumptions";#N/A,#N/A,TRUE,"Comparison";#N/A,#N/A,TRUE,"Financials";#N/A,#N/A,TRUE,"Plan v. Act"}</definedName>
    <definedName name="RECurr" localSheetId="10">#REF!</definedName>
    <definedName name="redo" localSheetId="10" hidden="1">{#N/A,#N/A,FALSE,"ACQ_GRAPHS";#N/A,#N/A,FALSE,"T_1 GRAPHS";#N/A,#N/A,FALSE,"T_2 GRAPHS";#N/A,#N/A,FALSE,"COMB_GRAPHS"}</definedName>
    <definedName name="reewrew" localSheetId="10" hidden="1">{"arpm1995",#N/A,FALSE,"Summary 95-96";"bus_long_distance",#N/A,FALSE,"Summary 95-96";"mins_per_day",#N/A,FALSE,"Summary 95-96";"minutes1995",#N/A,FALSE,"Summary 95-96";"rev_per_day",#N/A,FALSE,"Summary 95-96";"view1995",#N/A,FALSE,"Summary 95-96"}</definedName>
    <definedName name="reggie" localSheetId="10" hidden="1">{#N/A,#N/A,FALSE,"Pharm";#N/A,#N/A,FALSE,"WWCM"}</definedName>
    <definedName name="Regnew" localSheetId="10" hidden="1">{"arpm1995",#N/A,FALSE,"Summary 95-96";"bus_long_distance",#N/A,FALSE,"Summary 95-96";"mins_per_day",#N/A,FALSE,"Summary 95-96";"minutes1995",#N/A,FALSE,"Summary 95-96";"rev_per_day",#N/A,FALSE,"Summary 95-96";"view1995",#N/A,FALSE,"Summary 95-96"}</definedName>
    <definedName name="Related" localSheetId="10" hidden="1">{#N/A,#N/A,FALSE,"Job Sched"}</definedName>
    <definedName name="Report" localSheetId="10">#REF!</definedName>
    <definedName name="ReportPage1" localSheetId="10" hidden="1">{"Annual_Income",#N/A,FALSE,"Report Page";"Balance_Cash_Flow",#N/A,FALSE,"Report Page";"Quarterly_Income",#N/A,FALSE,"Report Page"}</definedName>
    <definedName name="REPrior" localSheetId="10">#REF!</definedName>
    <definedName name="reps" localSheetId="10" hidden="1">{"FY03_Assets",#N/A,FALSE,"Fin Stmt Budget";"FY03_Liabilities",#N/A,FALSE,"Fin Stmt Budget";"FY03_Inc_Stmt",#N/A,FALSE,"Fin Stmt Budget";"FY03_SOCF",#N/A,FALSE,"Fin Stmt Budget"}</definedName>
    <definedName name="rere" localSheetId="10" hidden="1">{"arpm1995",#N/A,FALSE,"Summary 95-96";"bus_long_distance",#N/A,FALSE,"Summary 95-96";"mins_per_day",#N/A,FALSE,"Summary 95-96";"minutes1995",#N/A,FALSE,"Summary 95-96";"rev_per_day",#N/A,FALSE,"Summary 95-96";"view1995",#N/A,FALSE,"Summary 95-96"}</definedName>
    <definedName name="rerer" localSheetId="10" hidden="1">{"arpm1995",#N/A,FALSE,"Summary 95-96";"bus_long_distance",#N/A,FALSE,"Summary 95-96";"mins_per_day",#N/A,FALSE,"Summary 95-96";"minutes1995",#N/A,FALSE,"Summary 95-96";"rev_per_day",#N/A,FALSE,"Summary 95-96";"view1995",#N/A,FALSE,"Summary 95-96"}</definedName>
    <definedName name="rerewr" localSheetId="10" hidden="1">{"arpm1995",#N/A,FALSE,"Summary 95-96";"bus_long_distance",#N/A,FALSE,"Summary 95-96";"mins_per_day",#N/A,FALSE,"Summary 95-96";"minutes1995",#N/A,FALSE,"Summary 95-96";"rev_per_day",#N/A,FALSE,"Summary 95-96";"view1995",#N/A,FALSE,"Summary 95-96"}</definedName>
    <definedName name="rerewty4etr" localSheetId="10" hidden="1">{"arpm1995",#N/A,FALSE,"Summary 95-96";"bus_long_distance",#N/A,FALSE,"Summary 95-96";"mins_per_day",#N/A,FALSE,"Summary 95-96";"minutes1995",#N/A,FALSE,"Summary 95-96";"rev_per_day",#N/A,FALSE,"Summary 95-96";"view1995",#N/A,FALSE,"Summary 95-96"}</definedName>
    <definedName name="reryt4y" localSheetId="10" hidden="1">{"arpm1995",#N/A,FALSE,"Summary 95-96";"bus_long_distance",#N/A,FALSE,"Summary 95-96";"mins_per_day",#N/A,FALSE,"Summary 95-96";"minutes1995",#N/A,FALSE,"Summary 95-96";"rev_per_day",#N/A,FALSE,"Summary 95-96";"view1995",#N/A,FALSE,"Summary 95-96"}</definedName>
    <definedName name="Reserve" localSheetId="10" hidden="1">{#N/A,#N/A,TRUE,"Sch-1a";#N/A,#N/A,TRUE,"Sch-1b";#N/A,#N/A,TRUE,"Sch-1c";#N/A,#N/A,TRUE,"Sch-1d";#N/A,#N/A,TRUE,"Sch-2a";#N/A,#N/A,TRUE,"Sch-2b";#N/A,#N/A,TRUE,"Sch-2c";#N/A,#N/A,TRUE,"Sch-3a";#N/A,#N/A,TRUE,"Sch-3b";#N/A,#N/A,TRUE,"Sch-3c";#N/A,#N/A,TRUE,"Sch-3d";#N/A,#N/A,TRUE,"Sch-3e"}</definedName>
    <definedName name="ReserveGuidance" localSheetId="10">#REF!</definedName>
    <definedName name="resources" localSheetId="10" hidden="1">{#N/A,#N/A,FALSE,"Assessment";#N/A,#N/A,FALSE,"Staffing";#N/A,#N/A,FALSE,"Hires";#N/A,#N/A,FALSE,"Assumptions"}</definedName>
    <definedName name="resp." localSheetId="10" hidden="1">{#N/A,#N/A,FALSE,"Pharm";#N/A,#N/A,FALSE,"WWCM"}</definedName>
    <definedName name="RestatedActuals" localSheetId="10" hidden="1">{#N/A,#N/A,FALSE,"Aging Summary";#N/A,#N/A,FALSE,"Ratio Analysis";#N/A,#N/A,FALSE,"Test 120 Day Accts";#N/A,#N/A,FALSE,"Tickmarks"}</definedName>
    <definedName name="Retail" localSheetId="10" hidden="1">{"'Sheet1'!$A$5:$G$42"}</definedName>
    <definedName name="rf2e" localSheetId="10" hidden="1">{#N/A,#N/A,FALSE,"Pharm";#N/A,#N/A,FALSE,"WWCM"}</definedName>
    <definedName name="rfr"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rft" localSheetId="10" hidden="1">{#N/A,#N/A,TRUE,"RESUMEN ECON.";#N/A,#N/A,TRUE,"Costos de R.H.";#N/A,#N/A,TRUE,"COSTO HW";#N/A,#N/A,TRUE,"CUADROS";#N/A,#N/A,TRUE,"SCADA´s";#N/A,#N/A,TRUE,"PRECIOS EQUIPOS"}</definedName>
    <definedName name="rich" localSheetId="10" hidden="1">{"Capital Plan CA Schedule",#N/A,TRUE,"Capital Plan";"Capital Plan Summary",#N/A,TRUE,"Capital Plan"}</definedName>
    <definedName name="Rick" localSheetId="10"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PA" localSheetId="10" hidden="1">{#N/A,#N/A,FALSE,"Cashflow Analysis";#N/A,#N/A,FALSE,"Sensitivity Analysis";#N/A,#N/A,FALSE,"PV";#N/A,#N/A,FALSE,"Pro Forma"}</definedName>
    <definedName name="RPA.2" localSheetId="10" hidden="1">{#N/A,#N/A,FALSE,"Cashflow Analysis";#N/A,#N/A,FALSE,"Sensitivity Analysis";#N/A,#N/A,FALSE,"PV";#N/A,#N/A,FALSE,"Pro Forma"}</definedName>
    <definedName name="rrrrr" localSheetId="10" hidden="1">{#N/A,#N/A,FALSE,"Pharm";#N/A,#N/A,FALSE,"WWCM"}</definedName>
    <definedName name="rrrrrr" localSheetId="10" hidden="1">{"'Edit'!$A$1:$V$2277"}</definedName>
    <definedName name="rse" localSheetId="10" hidden="1">{"FCB_ALL",#N/A,FALSE,"FCB"}</definedName>
    <definedName name="rt" localSheetId="10" hidden="1">{"inputs raw data",#N/A,TRUE,"INPUT"}</definedName>
    <definedName name="rtu" localSheetId="10" hidden="1">{#N/A,#N/A,TRUE,"RESUMEN ECON.";#N/A,#N/A,TRUE,"Costos de R.H.";#N/A,#N/A,TRUE,"COSTO HW";#N/A,#N/A,TRUE,"CUADROS";#N/A,#N/A,TRUE,"SCADA´s";#N/A,#N/A,TRUE,"PRECIOS EQUIPOS"}</definedName>
    <definedName name="rustey" localSheetId="1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rwert" localSheetId="10" hidden="1">{#N/A,#N/A,FALSE,"Pharm";#N/A,#N/A,FALSE,"WWCM"}</definedName>
    <definedName name="rwjf" localSheetId="10" hidden="1">{#N/A,#N/A,FALSE,"BS";#N/A,#N/A,FALSE,"PL";#N/A,#N/A,FALSE,"SOE";#N/A,#N/A,FALSE,"SCF"}</definedName>
    <definedName name="ryj" localSheetId="10" hidden="1">{#N/A,#N/A,FALSE,"ACQ_GRAPHS";#N/A,#N/A,FALSE,"T_1 GRAPHS";#N/A,#N/A,FALSE,"T_2 GRAPHS";#N/A,#N/A,FALSE,"COMB_GRAPHS"}</definedName>
    <definedName name="s" localSheetId="10">#REF!</definedName>
    <definedName name="sa"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adfsdfsdfsaf" localSheetId="10" hidden="1">{"wpocash",#N/A,FALSE,"WPOALLT";"wpoinc",#N/A,FALSE,"WPOALLT";"wpobroad",#N/A,FALSE,"WPOALLT";"wpocable",#N/A,FALSE,"WPOALLT";"wpoexcl",#N/A,FALSE,"WPOALLT";"wponwsweek",#N/A,FALSE,"WPOALLT";"wpopost",#N/A,FALSE,"WPOALLT"}</definedName>
    <definedName name="sagf"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sally" localSheetId="10" hidden="1">{#N/A,#N/A,FALSE,"Pharm";#N/A,#N/A,FALSE,"WWCM"}</definedName>
    <definedName name="sasdfkj" localSheetId="10" hidden="1">{"FCB_ALL",#N/A,FALSE,"FCB"}</definedName>
    <definedName name="Scenarios" comment="A-1" localSheetId="10">#REF!</definedName>
    <definedName name="SD" localSheetId="10" hidden="1">{#N/A,#N/A,FALSE,"Pharm";#N/A,#N/A,FALSE,"WWCM"}</definedName>
    <definedName name="sdafe" localSheetId="10" hidden="1">{"FCB_ALL",#N/A,FALSE,"FCB";"GREY_ALL",#N/A,FALSE,"GREY"}</definedName>
    <definedName name="sdafgs" localSheetId="10" hidden="1">{#N/A,#N/A,FALSE,"Pharm";#N/A,#N/A,FALSE,"WWCM"}</definedName>
    <definedName name="sdaflkej" localSheetId="10" hidden="1">{"FCB_ALL",#N/A,FALSE,"FCB";"GREY_ALL",#N/A,FALSE,"GREY"}</definedName>
    <definedName name="sdafsdafsaf" localSheetId="10" hidden="1">{"wpocash",#N/A,FALSE,"WPOALLT";"wpoinc",#N/A,FALSE,"WPOALLT";"wpobroad",#N/A,FALSE,"WPOALLT";"wpocable",#N/A,FALSE,"WPOALLT";"wpoexcl",#N/A,FALSE,"WPOALLT";"wponwsweek",#N/A,FALSE,"WPOALLT";"wpopost",#N/A,FALSE,"WPOALLT"}</definedName>
    <definedName name="sdas" localSheetId="10" hidden="1">{"Total",#N/A,FALSE,"Six Fields";"PDP",#N/A,FALSE,"Six Fields";"PNP",#N/A,FALSE,"Six Fields";"PUD",#N/A,FALSE,"Six Fields";"Prob",#N/A,FALSE,"Six Fields"}</definedName>
    <definedName name="sdasd" localSheetId="10" hidden="1">{"FCB_ALL",#N/A,FALSE,"FCB";"GREY_ALL",#N/A,FALSE,"GREY"}</definedName>
    <definedName name="sdf" localSheetId="10" hidden="1">#REF!</definedName>
    <definedName name="sdfasr" localSheetId="10" hidden="1">{"FCB_ALL",#N/A,FALSE,"FCB"}</definedName>
    <definedName name="sdfdsf" localSheetId="10" hidden="1">{"SourcesUses",#N/A,TRUE,#N/A;"TransOverview",#N/A,TRUE,"CFMODEL"}</definedName>
    <definedName name="sdfg" localSheetId="10" hidden="1">{"summary",#N/A,FALSE,"3 yr average";"comps",#N/A,FALSE,"3 yr average"}</definedName>
    <definedName name="sdfga"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sdfh" localSheetId="10" hidden="1">{#N/A,#N/A,FALSE,"Pharm";#N/A,#N/A,FALSE,"WWCM"}</definedName>
    <definedName name="sdfsdfsdfsafsdf" localSheetId="10" hidden="1">{"FCB_ALL",#N/A,FALSE,"FCB"}</definedName>
    <definedName name="sdft" localSheetId="10" hidden="1">{#N/A,#N/A,FALSE,"SUMMARY";#N/A,#N/A,FALSE,"mcsh";#N/A,#N/A,FALSE,"vol&amp;rev";#N/A,#N/A,FALSE,"wkgcap";#N/A,#N/A,FALSE,"DEPR&amp;DT";#N/A,#N/A,FALSE,"ASSETS";#N/A,#N/A,FALSE,"NI&amp;OTH&amp;DIV";#N/A,#N/A,FALSE,"CASHFLOW";#N/A,#N/A,FALSE,"CAPEMPL";#N/A,#N/A,FALSE,"ROCE"}</definedName>
    <definedName name="sdgagf" localSheetId="10" hidden="1">{#N/A,#N/A,FALSE,"Pharm";#N/A,#N/A,FALSE,"WWCM"}</definedName>
    <definedName name="sdhr" localSheetId="10" hidden="1">{"FCB_ALL",#N/A,FALSE,"FCB";"GREY_ALL",#N/A,FALSE,"GREY"}</definedName>
    <definedName name="sds" localSheetId="10" hidden="1">{#N/A,#N/A,TRUE,"ProFormaProfit";#N/A,#N/A,TRUE,"ProFormaCash";#N/A,#N/A,TRUE,"Depreciation";#N/A,#N/A,TRUE,"Assets";#N/A,#N/A,TRUE,"Revenue";#N/A,#N/A,TRUE,"EstimatedPurchase"}</definedName>
    <definedName name="sdsadasd" localSheetId="10" hidden="1">{#N/A,#N/A,FALSE,"Pharm";#N/A,#N/A,FALSE,"WWCM"}</definedName>
    <definedName name="sdsd" localSheetId="10" hidden="1">{#N/A,#N/A,FALSE,"REPORT"}</definedName>
    <definedName name="sdsds" localSheetId="10" hidden="1">{"PR1","pr1",TRUE,"Sch PR-1"}</definedName>
    <definedName name="sdw" localSheetId="10" hidden="1">{#N/A,#N/A,FALSE,"Admin";#N/A,#N/A,FALSE,"Other"}</definedName>
    <definedName name="sdz" localSheetId="10" hidden="1">{"FCB_ALL",#N/A,FALSE,"FCB"}</definedName>
    <definedName name="secondaries" localSheetId="10" hidden="1">{#N/A,#N/A,FALSE,"Summary";#N/A,#N/A,FALSE,"Pending";#N/A,#N/A,FALSE,"Oct'97";#N/A,#N/A,FALSE,"Sept'97";#N/A,#N/A,FALSE,"Aug'97";#N/A,#N/A,FALSE,"Jul'97";#N/A,#N/A,FALSE,"Jun'97";#N/A,#N/A,FALSE,"May'97";#N/A,#N/A,FALSE,"Apr'97";#N/A,#N/A,FALSE,"Mar'97";#N/A,#N/A,FALSE,"Feb'97";#N/A,#N/A,FALSE,"Jan'97"}</definedName>
    <definedName name="Select_Month" localSheetId="10">#REF!</definedName>
    <definedName name="Sept" localSheetId="10" hidden="1">{"assets",#N/A,FALSE,"BSCON894"}</definedName>
    <definedName name="sf" localSheetId="10" hidden="1">{#N/A,#N/A,FALSE,"Sales Graph";#N/A,#N/A,FALSE,"BUC Graph";#N/A,#N/A,FALSE,"P&amp;L - YTD"}</definedName>
    <definedName name="SFD" localSheetId="10" hidden="1">{#N/A,#N/A,FALSE,"TABLE_1 YTD";#N/A,#N/A,FALSE,"TABLE_1A QTD";#N/A,#N/A,FALSE,"NORMAL_SPREAD_QTD";#N/A,#N/A,FALSE,"NORMAL_SPREAD_YTD";#N/A,#N/A,FALSE,"TAX_EQV";#N/A,#N/A,FALSE,"TAX EQUIV_INPUT";#N/A,#N/A,FALSE,"NET FROM FER";#N/A,#N/A,FALSE,"COVER"}</definedName>
    <definedName name="sfdgsar" localSheetId="10" hidden="1">{"FCB_ALL",#N/A,FALSE,"FCB";"GREY_ALL",#N/A,FALSE,"GREY"}</definedName>
    <definedName name="sfdirect" localSheetId="10" hidden="1">{#N/A,#N/A,FALSE,"REPORT"}</definedName>
    <definedName name="sfgv" localSheetId="10" hidden="1">{"consolidated",#N/A,FALSE,"Sheet1";"cms",#N/A,FALSE,"Sheet1";"fse",#N/A,FALSE,"Sheet1"}</definedName>
    <definedName name="sfj" localSheetId="10" hidden="1">{"PR1","pr1",TRUE,"Sch PR-1"}</definedName>
    <definedName name="sfq" localSheetId="10" hidden="1">{#N/A,#N/A,FALSE,"Calc";#N/A,#N/A,FALSE,"Sensitivity";#N/A,#N/A,FALSE,"LT Earn.Dil.";#N/A,#N/A,FALSE,"Dil. AVP"}</definedName>
    <definedName name="sgdg" localSheetId="10" hidden="1">{#N/A,#N/A,FALSE,"Calc";#N/A,#N/A,FALSE,"Sensitivity";#N/A,#N/A,FALSE,"LT Earn.Dil.";#N/A,#N/A,FALSE,"Dil. AVP"}</definedName>
    <definedName name="sgsx" localSheetId="10" hidden="1">{"consolidated",#N/A,FALSE,"Sheet1";"cms",#N/A,FALSE,"Sheet1";"fse",#N/A,FALSE,"Sheet1"}</definedName>
    <definedName name="shg"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shit" localSheetId="10" hidden="1">{#N/A,"Base",FALSE,"Dividend";#N/A,"Conservative",FALSE,"Dividend";#N/A,"Downside",FALSE,"Dividend"}</definedName>
    <definedName name="Simple" localSheetId="10" hidden="1">{#N/A,#N/A,FALSE,"RESUMEN ECON.";#N/A,#N/A,FALSE,"Costos de R.H.";#N/A,#N/A,FALSE,"COSTO HW";#N/A,#N/A,FALSE,"CUADROS";#N/A,#N/A,FALSE,"SCADA´s";#N/A,#N/A,FALSE,"PRECIOS EQUIPOS"}</definedName>
    <definedName name="size" localSheetId="10">#REF!</definedName>
    <definedName name="SKFs" localSheetId="10">#REF!</definedName>
    <definedName name="SLEVIN"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T" localSheetId="10" hidden="1">{"SUM",#N/A,FALSE,"Details (2)"}</definedName>
    <definedName name="sofie"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PM" localSheetId="10" hidden="1">{#N/A,#N/A,FALSE,"Cashflow Analysis";#N/A,#N/A,FALSE,"Sensitivity Analysis";#N/A,#N/A,FALSE,"PV";#N/A,#N/A,FALSE,"Pro Forma"}</definedName>
    <definedName name="SPM.2" localSheetId="10" hidden="1">{#N/A,#N/A,FALSE,"Cashflow Analysis";#N/A,#N/A,FALSE,"Sensitivity Analysis";#N/A,#N/A,FALSE,"PV";#N/A,#N/A,FALSE,"Pro Forma"}</definedName>
    <definedName name="ssd" localSheetId="10" hidden="1">#REF!</definedName>
    <definedName name="ssdfsd" localSheetId="10" hidden="1">{"Balance Sheets",#N/A,FALSE,"Subject";"Income Statements - As Reported",#N/A,FALSE,"Subject";"Income Statements - Adjusted",#N/A,FALSE,"Subject";"Ratios",#N/A,FALSE,"Subject";"Representative Earnings",#N/A,FALSE,"Subject"}</definedName>
    <definedName name="sss" localSheetId="10" hidden="1">{#N/A,#N/A,FALSE,"Form 41 Commuter Domestic";#N/A,#N/A,FALSE,"FORM41--COMMUTER % CHG";#N/A,#N/A,FALSE,"Total Domestic Traffic Stats";#N/A,#N/A,FALSE,"TOTAL DOM TRAFFIC--% CHG";#N/A,#N/A,FALSE,"TotDomTraf-Large Carriers Only";#N/A,#N/A,FALSE,"TOTDOMTRAF-LARGECAR% CHG"}</definedName>
    <definedName name="sssss" localSheetId="10" hidden="1">{#N/A,#N/A,FALSE,"Calc";#N/A,#N/A,FALSE,"Sensitivity";#N/A,#N/A,FALSE,"LT Earn.Dil.";#N/A,#N/A,FALSE,"Dil. AVP"}</definedName>
    <definedName name="sssssss" localSheetId="10" hidden="1">{"PR1","pr1",TRUE,"Sch PR-1"}</definedName>
    <definedName name="staffing2" localSheetId="10" hidden="1">{#N/A,#N/A,FALSE,"Assessment";#N/A,#N/A,FALSE,"Staffing";#N/A,#N/A,FALSE,"Hires";#N/A,#N/A,FALSE,"Assumptions"}</definedName>
    <definedName name="Staffing3" localSheetId="10" hidden="1">{#N/A,#N/A,FALSE,"Assessment";#N/A,#N/A,FALSE,"Staffing";#N/A,#N/A,FALSE,"Hires";#N/A,#N/A,FALSE,"Assumptions"}</definedName>
    <definedName name="stands" localSheetId="10" hidden="1">{"FCB_ALL",#N/A,FALSE,"FCB";"GREY_ALL",#N/A,FALSE,"GREY"}</definedName>
    <definedName name="stands1" localSheetId="10" hidden="1">{"FCB_ALL",#N/A,FALSE,"FCB";"GREY_ALL",#N/A,FALSE,"GREY"}</definedName>
    <definedName name="Staril" localSheetId="10" hidden="1">{#N/A,#N/A,FALSE,"REPORT"}</definedName>
    <definedName name="StratPlanAP" localSheetId="10" hidden="1">{#N/A,#N/A,FALSE,"Pharm";#N/A,#N/A,FALSE,"WWCM"}</definedName>
    <definedName name="stud13" localSheetId="1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ffs" localSheetId="10" hidden="1">{"TOTAL",#N/A,FALSE,"A";"FISCAL94",#N/A,FALSE,"A";"FISCAL95",#N/A,FALSE,"A";"FISCAL96",#N/A,FALSE,"A";"misc page",#N/A,FALSE,"A"}</definedName>
    <definedName name="SUMMARY_BOOK" localSheetId="10" hidden="1">{"page1",#N/A,FALSE,"GIRLBO";"page2",#N/A,FALSE,"GIRLBO";"page3",#N/A,FALSE,"GIRLBO";"page4",#N/A,FALSE,"GIRLBO";"page5",#N/A,FALSE,"GIRLBO"}</definedName>
    <definedName name="supp" localSheetId="10" hidden="1">{#N/A,#N/A,FALSE,"Comp Balance";#N/A,#N/A,FALSE,"Sum Balance ";#N/A,#N/A,FALSE,"Balance Trend";#N/A,#N/A,FALSE,"Comp PL";#N/A,#N/A,FALSE,"PL";#N/A,#N/A,FALSE,"Sum PL";#N/A,#N/A,FALSE,"PL Trend";#N/A,#N/A,FALSE,"Change"}</definedName>
    <definedName name="switch" localSheetId="10" hidden="1">{"arpm1995",#N/A,FALSE,"Summary 95-96";"bus_long_distance",#N/A,FALSE,"Summary 95-96";"mins_per_day",#N/A,FALSE,"Summary 95-96";"minutes1995",#N/A,FALSE,"Summary 95-96";"rev_per_day",#N/A,FALSE,"Summary 95-96";"view1995",#N/A,FALSE,"Summary 95-96"}</definedName>
    <definedName name="SX" localSheetId="1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t2_1" localSheetId="10" hidden="1">{"'Sheet1'!$A$5:$G$42"}</definedName>
    <definedName name="taxol" localSheetId="10" hidden="1">{#N/A,#N/A,FALSE,"Pharm";#N/A,#N/A,FALSE,"WWCM"}</definedName>
    <definedName name="tdhjm" localSheetId="10" hidden="1">{#N/A,#N/A,FALSE,"INPUTS";#N/A,#N/A,FALSE,"PROFORMA BSHEET";#N/A,#N/A,FALSE,"COMBINED";#N/A,#N/A,FALSE,"HIGH YIELD";#N/A,#N/A,FALSE,"COMB_GRAPHS"}</definedName>
    <definedName name="tdjtmk" localSheetId="10" hidden="1">{#N/A,#N/A,FALSE,"ACQ_GRAPHS";#N/A,#N/A,FALSE,"T_1 GRAPHS";#N/A,#N/A,FALSE,"T_2 GRAPHS";#N/A,#N/A,FALSE,"COMB_GRAPHS"}</definedName>
    <definedName name="Tem" localSheetId="10" hidden="1">{#N/A,#N/A,FALSE,"Pharm";#N/A,#N/A,FALSE,"WWCM"}</definedName>
    <definedName name="TEMP" localSheetId="10" hidden="1">{"PAGE 1",#N/A,FALSE,"WEST_OT"}</definedName>
    <definedName name="Temp_2" localSheetId="10" hidden="1">{#N/A,#N/A,FALSE,"Assessment";#N/A,#N/A,FALSE,"Staffing";#N/A,#N/A,FALSE,"Hires";#N/A,#N/A,FALSE,"Assumptions"}</definedName>
    <definedName name="Temp_3" localSheetId="10" hidden="1">{#N/A,#N/A,FALSE,"Assessment";#N/A,#N/A,FALSE,"Staffing";#N/A,#N/A,FALSE,"Hires";#N/A,#N/A,FALSE,"Assumptions"}</definedName>
    <definedName name="temp1" localSheetId="10" hidden="1">{"PAGE 1",#N/A,FALSE,"WEST_OT"}</definedName>
    <definedName name="temp2" localSheetId="10" hidden="1">{"PAGE 1",#N/A,FALSE,"WEST_OT"}</definedName>
    <definedName name="temp3" localSheetId="10" hidden="1">{"PAGE 1",#N/A,FALSE,"WEST_OT"}</definedName>
    <definedName name="tempq"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2"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3" localSheetId="10"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4" localSheetId="1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5" localSheetId="10"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6" localSheetId="10" hidden="1">{#N/A,#N/A,TRUE,"FD IV Portfolio Summary ";#N/A,#N/A,TRUE,"Western";#N/A,#N/A,TRUE,"Kranson";#N/A,#N/A,TRUE,"ARC";#N/A,#N/A,TRUE,"Precise";#N/A,#N/A,TRUE,"WNA"}</definedName>
    <definedName name="tempq7"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8" localSheetId="1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q" localSheetId="10" hidden="1">{#N/A,#N/A,FALSE,"Pharm";#N/A,#N/A,FALSE,"WWCM"}</definedName>
    <definedName name="Tequin" localSheetId="10" hidden="1">{#N/A,#N/A,FALSE,"Pharm";#N/A,#N/A,FALSE,"WWCM"}</definedName>
    <definedName name="tequinol" localSheetId="10" hidden="1">{#N/A,#N/A,FALSE,"REPORT"}</definedName>
    <definedName name="Ter" localSheetId="10">#REF!</definedName>
    <definedName name="tes" localSheetId="10" hidden="1">#REF!</definedName>
    <definedName name="tesg4" localSheetId="10" hidden="1">{"PAGE 1",#N/A,FALSE,"WEST_OT"}</definedName>
    <definedName name="test" localSheetId="10" hidden="1">{#N/A,#N/A,FALSE,"Pharm";#N/A,#N/A,FALSE,"WWCM"}</definedName>
    <definedName name="test1" localSheetId="10" hidden="1">{"PAGE 1",#N/A,FALSE,"WEST_OT"}</definedName>
    <definedName name="test10" localSheetId="10" hidden="1">{"PAGE 1",#N/A,FALSE,"WEST_OT"}</definedName>
    <definedName name="test11" localSheetId="10" hidden="1">{"PAGE 1",#N/A,FALSE,"WEST_OT"}</definedName>
    <definedName name="test12" localSheetId="10" hidden="1">{"PAGE 2",#N/A,FALSE,"WEST_OT"}</definedName>
    <definedName name="test13" localSheetId="10" hidden="1">{"PAGE 2",#N/A,FALSE,"WEST_OT"}</definedName>
    <definedName name="test14" localSheetId="10" hidden="1">{"PAGE 1",#N/A,FALSE,"WEST_OT"}</definedName>
    <definedName name="test15" localSheetId="10" hidden="1">{"PAGE 1",#N/A,FALSE,"WEST_OT"}</definedName>
    <definedName name="test2" localSheetId="10">Scheduled_Payment+Extra_Payment</definedName>
    <definedName name="test20" localSheetId="10" hidden="1">{"PAGE 1",#N/A,FALSE,"WEST_OT"}</definedName>
    <definedName name="test21" localSheetId="10" hidden="1">{"PAGE 1",#N/A,FALSE,"WEST_OT"}</definedName>
    <definedName name="test22" localSheetId="10" hidden="1">{"PAGE 1",#N/A,FALSE,"WEST_OT"}</definedName>
    <definedName name="test23" localSheetId="10" hidden="1">{"PAGE 1",#N/A,FALSE,"WEST_OT"}</definedName>
    <definedName name="test24" localSheetId="10" hidden="1">{"PAGE 1",#N/A,FALSE,"WEST_OT"}</definedName>
    <definedName name="test25" localSheetId="10" hidden="1">{"PAGE 1",#N/A,FALSE,"WEST_OT"}</definedName>
    <definedName name="test26" localSheetId="10" hidden="1">{"PAGE 1",#N/A,FALSE,"WEST_OT"}</definedName>
    <definedName name="test27" localSheetId="10" hidden="1">{"PAGE 1",#N/A,FALSE,"WEST_OT"}</definedName>
    <definedName name="test28" localSheetId="10" hidden="1">{"PAGE 1",#N/A,FALSE,"WEST_OT"}</definedName>
    <definedName name="test29" localSheetId="10" hidden="1">{"PAGE 1",#N/A,FALSE,"WEST_OT"}</definedName>
    <definedName name="test3" localSheetId="10" hidden="1">{"PAGE 1",#N/A,FALSE,"WEST_OT"}</definedName>
    <definedName name="test30" localSheetId="10" hidden="1">{"PAGE 2",#N/A,FALSE,"WEST_OT"}</definedName>
    <definedName name="test31" localSheetId="10" hidden="1">{"PAGE 1",#N/A,FALSE,"WEST_OT"}</definedName>
    <definedName name="test32" localSheetId="10" hidden="1">{"PAGE 1",#N/A,FALSE,"WEST_OT"}</definedName>
    <definedName name="test33" localSheetId="10" hidden="1">{"PAGE 1",#N/A,FALSE,"WEST_OT"}</definedName>
    <definedName name="test34" localSheetId="10" hidden="1">{"PAGE 1",#N/A,FALSE,"WEST_OT"}</definedName>
    <definedName name="test35" localSheetId="10" hidden="1">{"PAGE 1",#N/A,FALSE,"WEST_OT"}</definedName>
    <definedName name="test36" localSheetId="10" hidden="1">{"PAGE 1",#N/A,FALSE,"WEST_OT"}</definedName>
    <definedName name="test37" localSheetId="10" hidden="1">{"PAGE 2",#N/A,FALSE,"WEST_OT"}</definedName>
    <definedName name="test38" localSheetId="10" hidden="1">{"PAGE 1",#N/A,FALSE,"WEST_OT"}</definedName>
    <definedName name="test39" localSheetId="10" hidden="1">{"PAGE 1",#N/A,FALSE,"WEST_OT"}</definedName>
    <definedName name="test4" localSheetId="10" hidden="1">{"PAGE 1",#N/A,FALSE,"WEST_OT"}</definedName>
    <definedName name="test40" localSheetId="10" hidden="1">{"PAGE 2",#N/A,FALSE,"WEST_OT"}</definedName>
    <definedName name="test41" localSheetId="10" hidden="1">{"PAGE 1",#N/A,FALSE,"WEST_OT"}</definedName>
    <definedName name="test42" localSheetId="10" hidden="1">{"PAGE 1",#N/A,FALSE,"WEST_OT"}</definedName>
    <definedName name="test43" localSheetId="10" hidden="1">{"PAGE 2",#N/A,FALSE,"WEST_OT"}</definedName>
    <definedName name="test44" localSheetId="10" hidden="1">{"PAGE 2",#N/A,FALSE,"WEST_OT"}</definedName>
    <definedName name="test45" localSheetId="10" hidden="1">{"PAGE 1",#N/A,FALSE,"WEST_OT"}</definedName>
    <definedName name="test46" localSheetId="10" hidden="1">{"PAGE 1",#N/A,FALSE,"WEST_OT"}</definedName>
    <definedName name="test5" localSheetId="10" hidden="1">{"PAGE 1",#N/A,FALSE,"WEST_OT"}</definedName>
    <definedName name="test6" localSheetId="10" hidden="1">{"PAGE 2",#N/A,FALSE,"WEST_OT"}</definedName>
    <definedName name="test7" localSheetId="10" hidden="1">{"PAGE 2",#N/A,FALSE,"WEST_OT"}</definedName>
    <definedName name="test8" localSheetId="10" hidden="1">{"PAGE 1",#N/A,FALSE,"WEST_OT"}</definedName>
    <definedName name="test9" localSheetId="10" hidden="1">{"PAGE 1",#N/A,FALSE,"WEST_OT"}</definedName>
    <definedName name="teste" localSheetId="10" hidden="1">{#N/A,#N/A,FALSE,"Pharm";#N/A,#N/A,FALSE,"WWCM"}</definedName>
    <definedName name="TESYT" localSheetId="10" hidden="1">{#N/A,#N/A,TRUE,"BUD VS ACT AUST 96";#N/A,#N/A,TRUE,"96 COMP P&amp;L-AUST";#N/A,#N/A,TRUE,"COMP BS-AUSTRALIA";#N/A,#N/A,TRUE,"B/S - AUSTR."}</definedName>
    <definedName name="tetas" localSheetId="10" hidden="1">{#N/A,#N/A,FALSE,"RESUMEN ECON.";#N/A,#N/A,FALSE,"Costos de R.H.";#N/A,#N/A,FALSE,"COSTO HW";#N/A,#N/A,FALSE,"CUADROS";#N/A,#N/A,FALSE,"SCADA´s";#N/A,#N/A,FALSE,"PRECIOS EQUIPOS"}</definedName>
    <definedName name="tgj" localSheetId="10" hidden="1">{#N/A,#N/A,FALSE,"INPUTS";#N/A,#N/A,FALSE,"PROFORMA BSHEET";#N/A,#N/A,FALSE,"COMBINED";#N/A,#N/A,FALSE,"ACQUIROR";#N/A,#N/A,FALSE,"TARGET 1";#N/A,#N/A,FALSE,"TARGET 2";#N/A,#N/A,FALSE,"HIGH YIELD";#N/A,#N/A,FALSE,"OVERFUND"}</definedName>
    <definedName name="thth" localSheetId="10" hidden="1">{#N/A,#N/A,FALSE,"Calc";#N/A,#N/A,FALSE,"Sensitivity";#N/A,#N/A,FALSE,"LT Earn.Dil.";#N/A,#N/A,FALSE,"Dil. AVP"}</definedName>
    <definedName name="Titan" localSheetId="10" hidden="1">{"kricash",#N/A,FALSE,"INC";"kriinc",#N/A,FALSE,"INC";"krimiami",#N/A,FALSE,"INC";"kriother",#N/A,FALSE,"INC";"kripapers",#N/A,FALSE,"INC"}</definedName>
    <definedName name="Titles" localSheetId="10">#REF!</definedName>
    <definedName name="tl" localSheetId="10" hidden="1">{#N/A,#N/A,FALSE,"FAB VENDORS";"BUD SUM",#N/A,FALSE,"BUD SUM WO TEX"}</definedName>
    <definedName name="Total_Payment" localSheetId="10">Scheduled_Payment+Extra_Payment</definedName>
    <definedName name="TotalAssetsCurr" localSheetId="10">#REF!</definedName>
    <definedName name="tre" localSheetId="10" hidden="1">{#N/A,#N/A,TRUE,"Sch-5a";#N/A,#N/A,TRUE,"Sch-5b";#N/A,#N/A,TRUE,"Sch-5c";#N/A,#N/A,TRUE,"Sch-5d";#N/A,#N/A,TRUE,"Sch-6a";#N/A,#N/A,TRUE,"Sch-6b";#N/A,#N/A,TRUE,"Sch-6c";#N/A,#N/A,TRUE,"Sch-6d";#N/A,#N/A,TRUE,"Sch-6e"}</definedName>
    <definedName name="trevor" localSheetId="10" hidden="1">{#N/A,#N/A,FALSE,"FAB VENDORS";"BUD SUM",#N/A,FALSE,"BUD SUM WO TEX"}</definedName>
    <definedName name="Trust2" localSheetId="10" hidden="1">{#N/A,#N/A,FALSE,"Summary";#N/A,#N/A,FALSE,"Financials";#N/A,#N/A,FALSE,"Returns";#N/A,#N/A,FALSE,"Open";#N/A,#N/A,FALSE,"Assumptions"}</definedName>
    <definedName name="tryeuyit" localSheetId="10" hidden="1">{#N/A,#N/A,FALSE,"Pharm";#N/A,#N/A,FALSE,"WWCM"}</definedName>
    <definedName name="tss" localSheetId="10" hidden="1">{#N/A,#N/A,TRUE,"ProFormaProfit";#N/A,#N/A,TRUE,"ProFormaCash";#N/A,#N/A,TRUE,"Depreciation";#N/A,#N/A,TRUE,"Assets";#N/A,#N/A,TRUE,"Revenue";#N/A,#N/A,TRUE,"EstimatedPurchase"}</definedName>
    <definedName name="ttt" localSheetId="10" hidden="1">{#N/A,#N/A,FALSE,"COMP BS-FRANCE";#N/A,#N/A,FALSE,"96 COMP P&amp;L-FRANCE";#N/A,#N/A,FALSE,"BUD VS ACT FRAN 96";#N/A,#N/A,FALSE,"B/S - FRANCE"}</definedName>
    <definedName name="tttt" localSheetId="10"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tttttt" localSheetId="1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U" localSheetId="10" hidden="1">{#N/A,#N/A,FALSE,"CNS_ADJ";"Balance Consolidado",#N/A,FALSE,"BCEC_CNS";#N/A,#N/A,FALSE,"USGAAP_ADJ"}</definedName>
    <definedName name="Tulsa" localSheetId="10" hidden="1">{#N/A,#N/A,FALSE,"Report Data";#N/A,#N/A,FALSE,"COMP POOL";#N/A,#N/A,FALSE,"COMP POOL NB95";#N/A,#N/A,FALSE,"COMP POOL NB94"}</definedName>
    <definedName name="tut" localSheetId="10" hidden="1">{#N/A,#N/A,TRUE,"ProFormaProfit";#N/A,#N/A,TRUE,"ProFormaCash";#N/A,#N/A,TRUE,"Depreciation";#N/A,#N/A,TRUE,"Assets";#N/A,#N/A,TRUE,"Revenue";#N/A,#N/A,TRUE,"EstimatedPurchase"}</definedName>
    <definedName name="tuv" localSheetId="10" hidden="1">{#N/A,#N/A,TRUE,"Sch-5a";#N/A,#N/A,TRUE,"Sch-5b";#N/A,#N/A,TRUE,"Sch-5c";#N/A,#N/A,TRUE,"Sch-5d";#N/A,#N/A,TRUE,"Sch-6a";#N/A,#N/A,TRUE,"Sch-6b";#N/A,#N/A,TRUE,"Sch-6c";#N/A,#N/A,TRUE,"Sch-6d";#N/A,#N/A,TRUE,"Sch-6e"}</definedName>
    <definedName name="two.print" localSheetId="10" hidden="1">{"month",#N/A,FALSE,"LOPL594";"ytd",#N/A,FALSE,"LOPL594"}</definedName>
    <definedName name="tx_roll_cy" localSheetId="10">#REF!,#REF!</definedName>
    <definedName name="tyler"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u" localSheetId="10" hidden="1">{"MARCH",#N/A,FALSE,"CONSO OPEX 5899";"FullOpex",#N/A,FALSE,"CONSO OPEX 5899"}</definedName>
    <definedName name="tyuiktyu" localSheetId="10" hidden="1">{#N/A,#N/A,FALSE,"COVER";#N/A,#N/A,FALSE,"Index";#N/A,#N/A,FALSE,"Non-Earning";#N/A,#N/A,FALSE,"Mortgage_Legal";#N/A,#N/A,FALSE,"Mortgages"}</definedName>
    <definedName name="tyutytyi" localSheetId="10" hidden="1">{#N/A,#N/A,FALSE,"Pharm";#N/A,#N/A,FALSE,"WWCM"}</definedName>
    <definedName name="tyyufkjkhjd" localSheetId="10" hidden="1">{#N/A,#N/A,FALSE,"Pharm";#N/A,#N/A,FALSE,"WWCM"}</definedName>
    <definedName name="u" localSheetId="10" hidden="1">{"CSheet",#N/A,FALSE,"C";"SmCap",#N/A,FALSE,"VAL1";"GulfCoast",#N/A,FALSE,"VAL1";"nav",#N/A,FALSE,"NAV";"Summary",#N/A,FALSE,"NAV"}</definedName>
    <definedName name="UK" localSheetId="10" hidden="1">{#N/A,#N/A,TRUE,"BUD VS ACT AUST 96";#N/A,#N/A,TRUE,"96 COMP P&amp;L-AUST";#N/A,#N/A,TRUE,"COMP BS-AUSTRALIA";#N/A,#N/A,TRUE,"B/S - AUSTR."}</definedName>
    <definedName name="Unit" localSheetId="10" hidden="1">{#N/A,#N/A,FALSE,"Pharm";#N/A,#N/A,FALSE,"WWCM"}</definedName>
    <definedName name="United"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S" localSheetId="10">#REF!</definedName>
    <definedName name="uyfkf"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alue.2" localSheetId="10" hidden="1">{#N/A,#N/A,FALSE,"Cashflow Analysis";#N/A,#N/A,FALSE,"Sensitivity Analysis";#N/A,#N/A,FALSE,"PV";#N/A,#N/A,FALSE,"Pro Forma"}</definedName>
    <definedName name="value1" localSheetId="10" hidden="1">{#N/A,#N/A,FALSE,"Cashflow Analysis";#N/A,#N/A,FALSE,"Sensitivity Analysis";#N/A,#N/A,FALSE,"PV";#N/A,#N/A,FALSE,"Pro Forma"}</definedName>
    <definedName name="value1.2" localSheetId="10" hidden="1">{#N/A,#N/A,FALSE,"Cashflow Analysis";#N/A,#N/A,FALSE,"Sensitivity Analysis";#N/A,#N/A,FALSE,"PV";#N/A,#N/A,FALSE,"Pro Forma"}</definedName>
    <definedName name="Values_Entered" localSheetId="10">IF(Loan_Amount*Interest_Rate*Loan_Years*Loan_Start&gt;0,1,0)</definedName>
    <definedName name="varianc" localSheetId="10" hidden="1">{#N/A,#N/A,TRUE,"Mth Sum";#N/A,#N/A,TRUE,"YTD Sum";#N/A,#N/A,TRUE,"Mth Rev Sum";#N/A,#N/A,TRUE,"YTD Rev Sum";#N/A,#N/A,TRUE,"SC vs Pr Month (Revised)";#N/A,#N/A,TRUE,"SVC Detail Mth vs Pr Mth (Rev)";#N/A,#N/A,TRUE,"SGA (Elem) vs Pr Month";#N/A,#N/A,TRUE,"SGA (BU) vs Pr Mth";#N/A,#N/A,TRUE,"SC vs Plan (Revised)";#N/A,#N/A,TRUE,"SVC Detail Mth vsPlan (Rev)";#N/A,#N/A,TRUE,"SGA (Elem) vs Plan";#N/A,#N/A,TRUE,"SGA (BU) vs Plan(Rev)";#N/A,#N/A,TRUE,"SC vs YTD 00 (Revised)";#N/A,#N/A,TRUE,"SGA (Elem) vs YTD 00";#N/A,#N/A,TRUE,"SGA (BU) YTD vs YTD 00";#N/A,#N/A,TRUE,"SC vs YTD Plan (Revised)";#N/A,#N/A,TRUE,"SVC YTD Detail Mth vsPlan (Rev)";#N/A,#N/A,TRUE,"SGA (Elem) vs YTD Plan";#N/A,#N/A,TRUE,"SGA (BU) YTD vs Plan(Rev)";#N/A,#N/A,TRUE,"CapExp";#N/A,#N/A,TRUE,"EBITDA(Flash)";#N/A,#N/A,TRUE,"NetInc(Flash)";#N/A,#N/A,TRUE,"Gross Margin(Flash)";#N/A,#N/A,TRUE,"Mth trends(Flash)";#N/A,#N/A,TRUE,"HeadcountP01";#N/A,#N/A,TRUE,"Headcount P00";#N/A,#N/A,TRUE,"Inc. Statement";#N/A,#N/A,TRUE,"Balance Sheet";#N/A,#N/A,TRUE,"Cash Flow"}</definedName>
    <definedName name="Veneco" localSheetId="10" hidden="1">{"one",#N/A,TRUE,"Alaska";"two",#N/A,TRUE,"Alaska";"three",#N/A,TRUE,"Alaska";"four",#N/A,TRUE,"Alaska"}</definedName>
    <definedName name="vertex42_copyright" localSheetId="10" hidden="1">"© 2009-2017 Vertex42 LLC"</definedName>
    <definedName name="vertex42_id" localSheetId="10" hidden="1">"depreciation-schedule.xlsx"</definedName>
    <definedName name="vertex42_title" localSheetId="10" hidden="1">"Depreciation Schedule Template"</definedName>
    <definedName name="viajes" localSheetId="10" hidden="1">{#N/A,#N/A,TRUE,"RESUMEN ECON.";#N/A,#N/A,TRUE,"Costos de R.H.";#N/A,#N/A,TRUE,"COSTO HW";#N/A,#N/A,TRUE,"CUADROS";#N/A,#N/A,TRUE,"SCADA´s";#N/A,#N/A,TRUE,"PRECIOS EQUIPOS"}</definedName>
    <definedName name="viajes2" localSheetId="10" hidden="1">{#N/A,#N/A,TRUE,"RESUMEN ECON.";#N/A,#N/A,TRUE,"Costos de R.H.";#N/A,#N/A,TRUE,"COSTO HW";#N/A,#N/A,TRUE,"CUADROS";#N/A,#N/A,TRUE,"SCADA´s";#N/A,#N/A,TRUE,"PRECIOS EQUIPOS"}</definedName>
    <definedName name="Viastar" localSheetId="10" hidden="1">{#N/A,#N/A,FALSE,"Assumptions";#N/A,#N/A,FALSE,"N-IS-Sum";#N/A,#N/A,FALSE,"N-St-Sum";#N/A,#N/A,FALSE,"Inc Stmt";#N/A,#N/A,FALSE,"Stats"}</definedName>
    <definedName name="victor" localSheetId="10" hidden="1">{"multiple",#N/A,FALSE,"client";"margins",#N/A,FALSE,"client";"data",#N/A,FALSE,"client"}</definedName>
    <definedName name="vnbs" localSheetId="10" hidden="1">{"FCB_ALL",#N/A,FALSE,"FCB"}</definedName>
    <definedName name="vo" localSheetId="10" hidden="1">{"consolidated",#N/A,FALSE,"Sheet1";"cms",#N/A,FALSE,"Sheet1";"fse",#N/A,FALSE,"Sheet1"}</definedName>
    <definedName name="vsr" localSheetId="10" hidden="1">{"FCB_ALL",#N/A,FALSE,"FCB"}</definedName>
    <definedName name="vv" localSheetId="10" hidden="1">{"cash_marc",#N/A,FALSE,"dec95cr.xls"}</definedName>
    <definedName name="vvvv" localSheetId="10" hidden="1">{#N/A,#N/A,FALSE,"Cashflow Analysis";#N/A,#N/A,FALSE,"Sensitivity Analysis";#N/A,#N/A,FALSE,"PV";#N/A,#N/A,FALSE,"Pro Forma"}</definedName>
    <definedName name="VVVV.2" localSheetId="10" hidden="1">{#N/A,#N/A,FALSE,"Cashflow Analysis";#N/A,#N/A,FALSE,"Sensitivity Analysis";#N/A,#N/A,FALSE,"PV";#N/A,#N/A,FALSE,"Pro Forma"}</definedName>
    <definedName name="VZDX" localSheetId="1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 localSheetId="10" hidden="1">{"ReportTop",#N/A,FALSE,"report top"}</definedName>
    <definedName name="wafe" localSheetId="10" hidden="1">{"summary1",#N/A,TRUE,"Comps";"summary2",#N/A,TRUE,"Comps";"summary3",#N/A,TRUE,"Comps"}</definedName>
    <definedName name="was" localSheetId="10" hidden="1">{#N/A,#N/A,FALSE,"Sales Graph";#N/A,#N/A,FALSE,"BUC Graph";#N/A,#N/A,FALSE,"P&amp;L - YTD"}</definedName>
    <definedName name="wb" localSheetId="10" hidden="1">{#N/A,#N/A,FALSE,"Pharm";#N/A,#N/A,FALSE,"WWCM"}</definedName>
    <definedName name="wc" localSheetId="10" hidden="1">{#N/A,#N/A,FALSE,"Pharm";#N/A,#N/A,FALSE,"WWCM"}</definedName>
    <definedName name="wc.3"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E" localSheetId="10" hidden="1">{#N/A,#N/A,FALSE,"COVER";#N/A,#N/A,FALSE,"Index";#N/A,#N/A,FALSE,"Non-Earning";#N/A,#N/A,FALSE,"Commercial";#N/A,#N/A,FALSE,"Detailed"}</definedName>
    <definedName name="WEA"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d" localSheetId="10" hidden="1">{#N/A,#N/A,FALSE,"INPUTS";#N/A,#N/A,FALSE,"PROFORMA BSHEET";#N/A,#N/A,FALSE,"COMBINED";#N/A,#N/A,FALSE,"ACQUIROR";#N/A,#N/A,FALSE,"TARGET 1";#N/A,#N/A,FALSE,"TARGET 2";#N/A,#N/A,FALSE,"HIGH YIELD";#N/A,#N/A,FALSE,"OVERFUND"}</definedName>
    <definedName name="wef" localSheetId="10" hidden="1">{#N/A,#N/A,FALSE,"INPUTS";#N/A,#N/A,FALSE,"PROFORMA BSHEET";#N/A,#N/A,FALSE,"COMBINED";#N/A,#N/A,FALSE,"HIGH YIELD";#N/A,#N/A,FALSE,"COMB_GRAPHS"}</definedName>
    <definedName name="wefaf"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f" localSheetId="10" hidden="1">{#N/A,#N/A,FALSE,"Assum";#N/A,#N/A,FALSE,"IS";#N/A,#N/A,FALSE,"Op-BS";#N/A,#N/A,FALSE,"BSCF";#N/A,#N/A,FALSE,"Brad_IS";#N/A,#N/A,FALSE,"Brad_BSCF";#N/A,#N/A,FALSE,"Nick_IS";#N/A,#N/A,FALSE,"Nick_BSCF";#N/A,#N/A,FALSE,"Mobile_IS";#N/A,#N/A,FALSE,"Mobile_BSCF";#N/A,#N/A,FALSE,"Syn+Elim";#N/A,#N/A,FALSE,"Ratings"}</definedName>
    <definedName name="wefyjtf"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ekwn" localSheetId="10" hidden="1">{"'Edit'!$A$1:$V$2277"}</definedName>
    <definedName name="welw" localSheetId="10" hidden="1">{"'Edit'!$A$1:$V$2277"}</definedName>
    <definedName name="WEQQE" localSheetId="10" hidden="1">{"summary1",#N/A,TRUE,"Comps";"summary2",#N/A,TRUE,"Comps";"summary3",#N/A,TRUE,"Comps"}</definedName>
    <definedName name="wererer" localSheetId="10" hidden="1">{"arpm1995",#N/A,FALSE,"Summary 95-96";"bus_long_distance",#N/A,FALSE,"Summary 95-96";"mins_per_day",#N/A,FALSE,"Summary 95-96";"minutes1995",#N/A,FALSE,"Summary 95-96";"rev_per_day",#N/A,FALSE,"Summary 95-96";"view1995",#N/A,FALSE,"Summary 95-96"}</definedName>
    <definedName name="werrr" localSheetId="10" hidden="1">{#N/A,#N/A,FALSE,"Pharm";#N/A,#N/A,FALSE,"WWCM"}</definedName>
    <definedName name="wg" localSheetId="10" hidden="1">{"ReportTop",#N/A,FALSE,"report top"}</definedName>
    <definedName name="What?" localSheetId="10" hidden="1">{#N/A,#N/A,TRUE,"Summary";#N/A,#N/A,TRUE,"Financials"}</definedName>
    <definedName name="What2?" localSheetId="10" hidden="1">{#N/A,#N/A,TRUE,"Summary";#N/A,#N/A,TRUE,"Financials";#N/A,#N/A,TRUE,"Assumptions";#N/A,#N/A,TRUE,"Pro Forma";#N/A,#N/A,TRUE,"Debt";#N/A,#N/A,TRUE,"Amortization";#N/A,#N/A,TRUE,"GG Returns"}</definedName>
    <definedName name="What3?" localSheetId="10" hidden="1">{#N/A,#N/A,TRUE,"Summary";#N/A,#N/A,TRUE,"Assumptions";#N/A,#N/A,TRUE,"Comparison";#N/A,#N/A,TRUE,"Financials";#N/A,#N/A,TRUE,"Plan v. Act"}</definedName>
    <definedName name="WHO" localSheetId="10" hidden="1">{#N/A,#N/A,FALSE,"SUMMARY";#N/A,#N/A,FALSE,"DETAIL";#N/A,#N/A,FALSE,"VARIANCE"}</definedName>
    <definedName name="wholesaleforecast" localSheetId="10" hidden="1">{"SUM",#N/A,FALSE,"Details (2)"}</definedName>
    <definedName name="willem"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orking" localSheetId="10" hidden="1">{#N/A,#N/A,FALSE,"REPORT"}</definedName>
    <definedName name="wpw" localSheetId="10" hidden="1">{#N/A,#N/A,FALSE,"TopTen Failures";#N/A,#N/A,FALSE,"Top Ten %";#N/A,#N/A,FALSE,"Fail Code 5 mo. Totals (%)"}</definedName>
    <definedName name="wqe" localSheetId="10" hidden="1">{#N/A,#N/A,TRUE,"Sch-1a";#N/A,#N/A,TRUE,"Sch-1b";#N/A,#N/A,TRUE,"Sch-1c";#N/A,#N/A,TRUE,"Sch-1d";#N/A,#N/A,TRUE,"Sch-2a";#N/A,#N/A,TRUE,"Sch-2b";#N/A,#N/A,TRUE,"Sch-2c";#N/A,#N/A,TRUE,"Sch-3a";#N/A,#N/A,TRUE,"Sch-3b";#N/A,#N/A,TRUE,"Sch-3c";#N/A,#N/A,TRUE,"Sch-3d";#N/A,#N/A,TRUE,"Sch-3e"}</definedName>
    <definedName name="wqefh" localSheetId="10" hidden="1">{#N/A,#N/A,FALSE,"ACQ_GRAPHS";#N/A,#N/A,FALSE,"T_1 GRAPHS";#N/A,#N/A,FALSE,"T_2 GRAPHS";#N/A,#N/A,FALSE,"COMB_GRAPHS"}</definedName>
    <definedName name="wr" localSheetId="10" hidden="1">{"Cashflow chart",#N/A,TRUE,"A";"Rev Assumptions",#N/A,TRUE,"B";"Rev Reconcilliation 1",#N/A,TRUE,"B";"Rev Reconcilliation 2",#N/A,TRUE,"B";"exp 1",#N/A,TRUE,"C";"exp 2",#N/A,TRUE,"C";"exp3",#N/A,TRUE,"C";"cap 1",#N/A,TRUE,"D";"exp4",#N/A,TRUE,"C";"cap 2",#N/A,TRUE,"D";"cap 3",#N/A,TRUE,"D";"inputs",#N/A,TRUE,"E"}</definedName>
    <definedName name="wr_1" localSheetId="10" hidden="1">{"Cashflow chart",#N/A,TRUE,"A";"Rev Assumptions",#N/A,TRUE,"B";"Rev Reconcilliation 1",#N/A,TRUE,"B";"Rev Reconcilliation 2",#N/A,TRUE,"B";"exp 1",#N/A,TRUE,"C";"exp 2",#N/A,TRUE,"C";"exp3",#N/A,TRUE,"C";"cap 1",#N/A,TRUE,"D";"exp4",#N/A,TRUE,"C";"cap 2",#N/A,TRUE,"D";"cap 3",#N/A,TRUE,"D";"inputs",#N/A,TRUE,"E"}</definedName>
    <definedName name="wrd.2._.pagers.3" localSheetId="10" hidden="1">{"Cover",#N/A,FALSE,"Cover";"Summary",#N/A,FALSE,"Summarpage"}</definedName>
    <definedName name="wrd.2_.pagers.3" localSheetId="10" hidden="1">{"Cover",#N/A,FALSE,"Cover";"Summary",#N/A,FALSE,"Summarpage"}</definedName>
    <definedName name="wrer" localSheetId="10" hidden="1">{"arpm1995",#N/A,FALSE,"Summary 95-96";"bus_long_distance",#N/A,FALSE,"Summary 95-96";"mins_per_day",#N/A,FALSE,"Summary 95-96";"minutes1995",#N/A,FALSE,"Summary 95-96";"rev_per_day",#N/A,FALSE,"Summary 95-96";"view1995",#N/A,FALSE,"Summary 95-96"}</definedName>
    <definedName name="wrn" localSheetId="10" hidden="1">{"FCB_ALL",#N/A,FALSE,"FCB"}</definedName>
    <definedName name="wrn.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localSheetId="10" hidden="1">{#N/A,#N/A,FALSE,"Calc";#N/A,#N/A,FALSE,"Sensitivity";#N/A,#N/A,FALSE,"LT Earn.Dil.";#N/A,#N/A,FALSE,"Dil. AVP"}</definedName>
    <definedName name="wrn.100._.Monthly._.Package." localSheetId="10"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K._.FS._.AND._.TABLES." localSheetId="1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Q._.FS._.AND._.TABLES." localSheetId="10"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TABLES." localSheetId="10" hidden="1">{#N/A,#N/A,FALSE,"TABLE_1 YTD";#N/A,#N/A,FALSE,"TABLE_1A QTD"}</definedName>
    <definedName name="wrn.111111" localSheetId="10" hidden="1">{#N/A,#N/A,FALSE,"Pharm";#N/A,#N/A,FALSE,"WWCM"}</definedName>
    <definedName name="wrn.12_30._.Adv._.Book." localSheetId="10"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3100._.Port._.Review." localSheetId="10"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998._.FINANCIAL._.STATEMENTS." localSheetId="10" hidden="1">{"QTR2PGIBS",#N/A,FALSE,"Qtr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wrn.1998._.IPO._.Update." localSheetId="10" hidden="1">{#N/A,#N/A,FALSE,"Summary";#N/A,#N/A,FALSE,"Pending";#N/A,#N/A,FALSE,"Aug'98";#N/A,#N/A,FALSE,"July'98";#N/A,#N/A,FALSE,"June'98";#N/A,#N/A,FALSE,"May'98";#N/A,#N/A,FALSE,"Apr'98";#N/A,#N/A,FALSE,"Mar'98";#N/A,#N/A,FALSE,"Feb'98";#N/A,#N/A,FALSE,"Jan'98"}</definedName>
    <definedName name="wrn.2._.pagers." localSheetId="10" hidden="1">{"Cover",#N/A,FALSE,"Cover";"Summary",#N/A,FALSE,"Summarpage"}</definedName>
    <definedName name="wrn.2._.pagers.2" localSheetId="10" hidden="1">{"Cover",#N/A,FALSE,"Cover";"Summary",#N/A,FALSE,"Summarpage"}</definedName>
    <definedName name="wrn.2._.pagers.3" localSheetId="10" hidden="1">{"Cover",#N/A,FALSE,"Cover";"Summary",#N/A,FALSE,"Summarpage"}</definedName>
    <definedName name="wrn.2._.pagers.4" localSheetId="10" hidden="1">{"Cover",#N/A,FALSE,"Cover";"Summary",#N/A,FALSE,"Summarpage"}</definedName>
    <definedName name="wrn.2._.pagers.5" localSheetId="10" hidden="1">{"Cover",#N/A,FALSE,"Cover";"Summary",#N/A,FALSE,"Summarpage"}</definedName>
    <definedName name="wrn.2._.pagers.6" localSheetId="10" hidden="1">{"Cover",#N/A,FALSE,"Cover";"Summary",#N/A,FALSE,"Summarpage"}</definedName>
    <definedName name="wrn.2._.pagers.8" localSheetId="10" hidden="1">{"Cover",#N/A,FALSE,"Cover";"Summary",#N/A,FALSE,"Summarpage"}</definedName>
    <definedName name="wrn.2._pagers.4" localSheetId="10" hidden="1">{"Cover",#N/A,FALSE,"Cover";"Summary",#N/A,FALSE,"Summarpage"}</definedName>
    <definedName name="wrn.2_5_99._.Scenarios." localSheetId="10" hidden="1">{#N/A,"Scenario 4; Book Value",FALSE,"Stream INPUTS";#N/A,"Scenario 4; Market Value",FALSE,"Stream INPUTS";#N/A,"Scenario 5; Book Value",FALSE,"Stream INPUTS";#N/A,"Scenario 5; Market Value",FALSE,"Stream INPUTS"}</definedName>
    <definedName name="wrn.2000._.Package._.GOM." localSheetId="10" hidden="1">{"2000PPE",#N/A,FALSE,"PPE 2000";"2000DD",#N/A,FALSE,"DrydocksOther"}</definedName>
    <definedName name="wrn.2003._.Detail._.in._.Dollars." localSheetId="10" hidden="1">{#N/A,#N/A,FALSE,"2003 Est";#N/A,#N/A,FALSE,"2003 Pr";#N/A,#N/A,FALSE,"2003 Plan"}</definedName>
    <definedName name="wrn.2003._.Detail._.per._.pax." localSheetId="10" hidden="1">{#N/A,#N/A,FALSE,"2003 Est per pax";#N/A,#N/A,FALSE,"2003 Pr per pax";#N/A,#N/A,FALSE,"2003 Plan per pax"}</definedName>
    <definedName name="wrn.2003._.RM._.Reports." localSheetId="10" hidden="1">{#N/A,#N/A,FALSE,"Prd Summ 03Prvs03E";#N/A,#N/A,FALSE,"Prd Summ 03Pvs03E"}</definedName>
    <definedName name="wrn.2004._.Budget." localSheetId="10" hidden="1">{#N/A,#N/A,FALSE,"Wynd";#N/A,#N/A,FALSE,"Wynd Sales-100";#N/A,#N/A,FALSE,"Wynd Marketing-200";#N/A,#N/A,FALSE,"Wynd IT-300";#N/A,#N/A,FALSE,"Wynd NOC-321";#N/A,#N/A,FALSE,"Wynd Admin-400";#N/A,#N/A,FALSE,"Wynd Operations-500"}</definedName>
    <definedName name="wrn.2004._.Detail._.in._.Dollars." localSheetId="10" hidden="1">{#N/A,#N/A,FALSE,"2004 Est";#N/A,#N/A,FALSE,"2004 Pr Est";#N/A,#N/A,FALSE,"2004 Plan"}</definedName>
    <definedName name="wrn.2004._.Detail._.per._.pax." localSheetId="10" hidden="1">{#N/A,#N/A,FALSE,"2004 Est per pax";#N/A,#N/A,FALSE,"2004 Pr per pax";#N/A,#N/A,FALSE,"2004 Plan per pax"}</definedName>
    <definedName name="wrn.2004._.RM._.Reports." localSheetId="10" hidden="1">{#N/A,#N/A,FALSE,"Prd Summ 04Pvs04E";#N/A,#N/A,FALSE,"Prd Summ 04Prvs04E";#N/A,#N/A,FALSE,"Prd Summ 03Evs04E"}</definedName>
    <definedName name="wrn.3.00._.Adv.._.Board." localSheetId="10"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cases." localSheetId="10" hidden="1">{#N/A,"Base",FALSE,"Dividend";#N/A,"Conservative",FALSE,"Dividend";#N/A,"Downside",FALSE,"Dividend"}</definedName>
    <definedName name="wrn.5._.Year._.Plan." localSheetId="10" hidden="1">{"Consolidated assumptions 1",#N/A,FALSE,"CONSO";"Consolidated assumptions 2",#N/A,FALSE,"CONSO";"Consolidated assumptions 3",#N/A,FALSE,"CONSO";"Consolidated earnings",#N/A,FALSE,"CONSO";"Consolidated Cash Flow",#N/A,FALSE,"CONSO";"Consolidated Balance Sheet",#N/A,FALSE,"CONSO";"Consolidated Cap-Ex",#N/A,FALSE,"CONSO";"Paper Donnacona summary assumptions",#N/A,FALSE,"PAPER DONNACONA";"Paper Donnacona earnings",#N/A,FALSE,"PAPER DONNACONA";"Paper Donnacona Cash Flow",#N/A,FALSE,"PAPER DONNACONA";"Paper Donnacona Balance Sheet",#N/A,FALSE,"PAPER DONNACONA";"Paper Donnacona Cap-ex",#N/A,FALSE,"PAPER DONNACONA";"Paper Dolbeau summary assumptions",#N/A,FALSE,"PAPER DOLBEAU";"Paper Dolbeau earnings",#N/A,FALSE,"PAPER DOLBEAU";"Paper Dolbeau Cash Flow",#N/A,FALSE,"PAPER DOLBEAU";"Paper Dolbeau Balance Sheet",#N/A,FALSE,"PAPER DOLBEAU";"Paper Dolbeau Cap-ex",#N/A,FALSE,"PAPER DOLBEAU";"Lumber assumptions 1",#N/A,FALSE,"LUMBER";"Lumber assumptions 2",#N/A,FALSE,"LUMBER";"Lumber earnings",#N/A,FALSE,"LUMBER";"Lumber Cash Flow",#N/A,FALSE,"LUMBER";"Lumber Balance Sheet",#N/A,FALSE,"LUMBER";"Lumber Cap-ex",#N/A,FALSE,"LUMBER";"Coosa assumptions 1",#N/A,FALSE,"COOSA";"Coosa assumptions 2",#N/A,FALSE,"COOSA";"Coosa earnings",#N/A,FALSE,"COOSA";"Coosa Cash Flow",#N/A,FALSE,"COOSA";"Coosa Balance Sheet",#N/A,FALSE,"COOSA";"Coosa Cap-ex",#N/A,FALSE,"COOSA";"Head Office assumptions",#N/A,FALSE,"H.OFFICE";"Head Office earnings",#N/A,FALSE,"H.OFFICE";"Head Office Cash Flow",#N/A,FALSE,"H.OFFICE";"Head Office Balance Sheet",#N/A,FALSE,"H.OFFICE";"Head Office Cap-ex",#N/A,FALSE,"H.OFFICE";"Tax 1",#N/A,FALSE,"impôt";"Tax 2",#N/A,FALSE,"impôt"}</definedName>
    <definedName name="wrn.730." localSheetId="10" hidden="1">{#N/A,#N/A,FALSE,"REPORT"}</definedName>
    <definedName name="wrn.731" localSheetId="10" hidden="1">{#N/A,#N/A,FALSE,"REPORT"}</definedName>
    <definedName name="wrn.750." localSheetId="10" hidden="1">{#N/A,#N/A,FALSE,"REPORT"}</definedName>
    <definedName name="wrn.7501" localSheetId="10" hidden="1">{#N/A,#N/A,FALSE,"REPORT"}</definedName>
    <definedName name="wrn.760.16." localSheetId="10" hidden="1">{#N/A,#N/A,FALSE,"REPORT"}</definedName>
    <definedName name="wrn.7900" localSheetId="10" hidden="1">{#N/A,#N/A,FALSE,"REPORT"}</definedName>
    <definedName name="wrn.8964sch." localSheetId="10" hidden="1">{"Membership",#N/A,FALSE,"8964SCH";"Membership2",#N/A,FALSE,"8964SCH"}</definedName>
    <definedName name="wrn.9_30._.Adv._.Board." localSheetId="10"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LP._.Meeting." localSheetId="10"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05" localSheetId="10" hidden="1">{#N/A,#N/A,FALSE,"REPORT"}</definedName>
    <definedName name="wrn.96._.Plan." localSheetId="10"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1." localSheetId="10"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9999" localSheetId="10" hidden="1">{#N/A,#N/A,FALSE,"REPORT"}</definedName>
    <definedName name="wrn.A_VALUATION." localSheetId="10" hidden="1">{#N/A,#N/A,FALSE,"A_D";#N/A,#N/A,FALSE,"WACC";#N/A,#N/A,FALSE,"DCF";#N/A,#N/A,FALSE,"A";#N/A,#N/A,FALSE,"LBO";#N/A,#N/A,FALSE,"C";#N/A,#N/A,FALSE,"impd";#N/A,#N/A,FALSE,"comps"}</definedName>
    <definedName name="wrn.aaa" localSheetId="10" hidden="1">{#N/A,#N/A,FALSE,"Pharm";#N/A,#N/A,FALSE,"WWCM"}</definedName>
    <definedName name="wrn.aaaaaaa" localSheetId="10" hidden="1">{#N/A,#N/A,FALSE,"Pharm";#N/A,#N/A,FALSE,"WWCM"}</definedName>
    <definedName name="wrn.abc"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wrn.Accounts." localSheetId="10" hidden="1">{"turnover",#N/A,FALSE;"profits",#N/A,FALSE;"cash",#N/A,FALSE}</definedName>
    <definedName name="wrn.Accr_Dil." localSheetId="10" hidden="1">{#N/A,#N/A,FALSE,"Debt Accr";#N/A,#N/A,FALSE,"Stock Accr";#N/A,#N/A,FALSE,"Debt Stock Accr"}</definedName>
    <definedName name="wrn.Accretion." localSheetId="10" hidden="1">{"Accretion",#N/A,FALSE,"Assum"}</definedName>
    <definedName name="wrn.ACCT._.PACKAGE._.REPORT." localSheetId="10" hidden="1">{#N/A,#N/A,TRUE,"Highlights";#N/A,#N/A,TRUE,"BS_Oriental International Bank";#N/A,#N/A,TRUE,"P&amp;L_Oriental International Bank";#N/A,#N/A,TRUE,"Revenues Report_OIB";#N/A,#N/A,TRUE,"Expenses OIB";#N/A,#N/A,TRUE,"Margin_ORIENTAL INTL BANK";#N/A,#N/A,TRUE,"PL Quarterly_OIB";#N/A,#N/A,TRUE,"COVER"}</definedName>
    <definedName name="wrn.ACI." localSheetId="10" hidden="1">{"ACI IS",#N/A,FALSE,"ACI - IS";"ACI BS",#N/A,FALSE,"ACI - BS";"ACI Detail IS",#N/A,FALSE,"ACI - Detail IS";"ACI Detail IS Supplemental Info",#N/A,FALSE,"ACI - Detail IS";"ACI Monthly 1999",#N/A,FALSE,"ACI Monthly";"ACI Monthly 1998",#N/A,FALSE,"ACI Monthly";"ACI Monthly 1997",#N/A,FALSE,"ACI Monthly"}</definedName>
    <definedName name="wrn.AcqState." localSheetId="10" hidden="1">{#N/A,#N/A,TRUE,"Acq-Ass";#N/A,#N/A,TRUE,"Acq-IS";#N/A,#N/A,TRUE,"Acq-BS";#N/A,#N/A,TRUE,"Acq-CF"}</definedName>
    <definedName name="wrn.AcqState1" localSheetId="10" hidden="1">{#N/A,#N/A,TRUE,"Acq-Ass";#N/A,#N/A,TRUE,"Acq-IS";#N/A,#N/A,TRUE,"Acq-BS";#N/A,#N/A,TRUE,"Acq-CF"}</definedName>
    <definedName name="wrn.Acquiror." localSheetId="10" hidden="1">{#N/A,#N/A,TRUE,"Acq-Ass";#N/A,#N/A,TRUE,"Acq-IS";#N/A,#N/A,TRUE,"Acq-BS";#N/A,#N/A,TRUE,"Acq-CF";#N/A,#N/A,TRUE,"Acq-Proj";#N/A,#N/A,TRUE,"Acq-CapEx";#N/A,#N/A,TRUE,"Acq-Debt";#N/A,#N/A,TRUE,"Acq-Int";#N/A,#N/A,TRUE,"Acq-BD";#N/A,#N/A,TRUE,"Acq-TD";#N/A,#N/A,TRUE,"Acq-Taxes";#N/A,#N/A,TRUE,"Acq-Credit";#N/A,#N/A,TRUE,"Acq-Val";#N/A,#N/A,TRUE,"Acq-Mult Val"}</definedName>
    <definedName name="wrn.Acquisition_matrix." localSheetId="10" hidden="1">{"Acq_matrix",#N/A,FALSE,"Acquisition Matrix"}</definedName>
    <definedName name="wrn.AcqVal." localSheetId="10" hidden="1">{#N/A,#N/A,FALSE,"Acq-Val";#N/A,#N/A,FALSE,"Acq-Mult Val"}</definedName>
    <definedName name="wrn.adj95." localSheetId="10" hidden="1">{"adj95mult",#N/A,FALSE,"COMPCO";"adj95est",#N/A,FALSE,"COMPCO"}</definedName>
    <definedName name="wrn.adj95a" localSheetId="10" hidden="1">{"adj95mult",#N/A,FALSE,"COMPCO";"adj95est",#N/A,FALSE,"COMPCO"}</definedName>
    <definedName name="wrn.AGING._.ALL." localSheetId="10" hidden="1">{#N/A,#N/A,FALSE,"CURR-AG";#N/A,#N/A,FALSE,"BDS-AG";#N/A,#N/A,FALSE,"GOLD-AG";#N/A,#N/A,FALSE,"EXOT-AG";#N/A,#N/A,FALSE,"EQTY-AG";#N/A,#N/A,FALSE,"EMG RP-AG";#N/A,#N/A,FALSE,"$REPO-AG";#N/A,#N/A,FALSE,"PFD EQTY-AG";#N/A,#N/A,FALSE,"EMG BDS-AG";#N/A,#N/A,FALSE,"LATIN$-AG";#N/A,#N/A,FALSE,"DERIV-AG";#N/A,#N/A,FALSE,"EAST$-AG";#N/A,#N/A,FALSE,"NON-MEX-AG";#N/A,#N/A,FALSE,"ELECT-AG"}</definedName>
    <definedName name="wrn.Aging._.and._.Trend._.Analysis." localSheetId="10" hidden="1">{#N/A,#N/A,FALSE,"Aging Summary";#N/A,#N/A,FALSE,"Ratio Analysis";#N/A,#N/A,FALSE,"Test 120 Day Accts";#N/A,#N/A,FALSE,"Tickmarks"}</definedName>
    <definedName name="wrn.Aging._.and._.Trend._.Analysis._1" localSheetId="10" hidden="1">{#N/A,#N/A,FALSE,"Aging Summary";#N/A,#N/A,FALSE,"Ratio Analysis";#N/A,#N/A,FALSE,"Test 120 Day Accts";#N/A,#N/A,FALSE,"Tickmarks"}</definedName>
    <definedName name="wrn.Aging._.and._.Trend._.Analysis._1_1" localSheetId="10" hidden="1">{#N/A,#N/A,FALSE,"Aging Summary";#N/A,#N/A,FALSE,"Ratio Analysis";#N/A,#N/A,FALSE,"Test 120 Day Accts";#N/A,#N/A,FALSE,"Tickmarks"}</definedName>
    <definedName name="wrn.Aging._.and._.Trend._.Analysis._1_2" localSheetId="10" hidden="1">{#N/A,#N/A,FALSE,"Aging Summary";#N/A,#N/A,FALSE,"Ratio Analysis";#N/A,#N/A,FALSE,"Test 120 Day Accts";#N/A,#N/A,FALSE,"Tickmarks"}</definedName>
    <definedName name="wrn.Aging._.and._.Trend._.Analysis._1_3" localSheetId="10" hidden="1">{#N/A,#N/A,FALSE,"Aging Summary";#N/A,#N/A,FALSE,"Ratio Analysis";#N/A,#N/A,FALSE,"Test 120 Day Accts";#N/A,#N/A,FALSE,"Tickmarks"}</definedName>
    <definedName name="wrn.Aging._.and._.Trend._.Analysis._1_4" localSheetId="10" hidden="1">{#N/A,#N/A,FALSE,"Aging Summary";#N/A,#N/A,FALSE,"Ratio Analysis";#N/A,#N/A,FALSE,"Test 120 Day Accts";#N/A,#N/A,FALSE,"Tickmarks"}</definedName>
    <definedName name="wrn.Aging._.and._.Trend._.Analysis._2" localSheetId="10" hidden="1">{#N/A,#N/A,FALSE,"Aging Summary";#N/A,#N/A,FALSE,"Ratio Analysis";#N/A,#N/A,FALSE,"Test 120 Day Accts";#N/A,#N/A,FALSE,"Tickmarks"}</definedName>
    <definedName name="wrn.Aging._.and._.Trend._.Analysis._3" localSheetId="10" hidden="1">{#N/A,#N/A,FALSE,"Aging Summary";#N/A,#N/A,FALSE,"Ratio Analysis";#N/A,#N/A,FALSE,"Test 120 Day Accts";#N/A,#N/A,FALSE,"Tickmarks"}</definedName>
    <definedName name="wrn.Aging._.and._.Trend._.Analysis._4" localSheetId="10" hidden="1">{#N/A,#N/A,FALSE,"Aging Summary";#N/A,#N/A,FALSE,"Ratio Analysis";#N/A,#N/A,FALSE,"Test 120 Day Accts";#N/A,#N/A,FALSE,"Tickmarks"}</definedName>
    <definedName name="wrn.Aging._.and._.Trend._.Analysis._5" localSheetId="10" hidden="1">{#N/A,#N/A,FALSE,"Aging Summary";#N/A,#N/A,FALSE,"Ratio Analysis";#N/A,#N/A,FALSE,"Test 120 Day Accts";#N/A,#N/A,FALSE,"Tickmarks"}</definedName>
    <definedName name="wrn.ALAN." localSheetId="10" hidden="1">{"CREDIT STATISTICS",#N/A,FALSE,"STATS";"CF_AND_IS",#N/A,FALSE,"PLAN";"DEBT SCHEDULE",#N/A,FALSE,"PLAN";"SUBSCRIBERS",#N/A,FALSE,"PLAN";"DETAIL_REV",#N/A,FALSE,"PLAN";"DETAIL_EXPENSE",#N/A,FALSE,"PLAN";"SALES_AND EXP_DRIVERS",#N/A,FALSE,"PLAN";"FIXED ASSETS",#N/A,FALSE,"PLAN";"DEPRECIATION SCHEDULE",#N/A,FALSE,"PLAN"}</definedName>
    <definedName name="wrn.Alex." localSheetId="10" hidden="1">{#N/A,#N/A,FALSE,"TradeSumm";#N/A,#N/A,FALSE,"StatsSumm"}</definedName>
    <definedName name="wrn.all." localSheetId="10" hidden="1">{#N/A,#N/A,TRUE,"Title_Page";#N/A,#N/A,TRUE,"Tax_Income_Sum";#N/A,#N/A,TRUE,"GL_Mgmt_Rec";#N/A,#N/A,TRUE,"Long_Term_Accrual";#N/A,#N/A,TRUE,"Reserves";#N/A,#N/A,TRUE,"Contributions";#N/A,#N/A,TRUE,"R&amp;D Credit";#N/A,#N/A,TRUE,"Unicap";#N/A,#N/A,TRUE,"Other_Income";#N/A,#N/A,TRUE,"Other_Deduction";#N/A,#N/A,TRUE,"Increase_RE";#N/A,#N/A,TRUE,"Decrease_RE";#N/A,#N/A,TRUE,"Cafe_Subsidy";#N/A,#N/A,TRUE,"Std. Reclass Adjstmnts";#N/A,#N/A,TRUE,"LT Accruals BT-1A";#N/A,#N/A,TRUE,"Sch. M-1 Adjstmnts"}</definedName>
    <definedName name="wrn.All._.Financials." localSheetId="10" hidden="1">{#N/A,#N/A,TRUE,"Assumptions";#N/A,#N/A,TRUE,"Op Projection";#N/A,#N/A,TRUE,"Capital";#N/A,#N/A,TRUE,"Income";#N/A,#N/A,TRUE,"Balance";#N/A,#N/A,TRUE,"Sources&amp;Uses"}</definedName>
    <definedName name="wrn.All._.First._.Pass._.Schedules." localSheetId="10"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graphs." localSheetId="10" hidden="1">{#N/A,#N/A,FALSE,"total telco cost ";#N/A,#N/A,FALSE,"# min per month EEA";#N/A,#N/A,FALSE,"# min per month LSA";#N/A,#N/A,FALSE,"# min per month 800";#N/A,#N/A,FALSE,"# min per month WATS";#N/A,#N/A,FALSE,"# min per month X-BORDER";#N/A,#N/A,FALSE,"# min per month Intl";#N/A,#N/A,FALSE,"mthly revenue";#N/A,#N/A,FALSE,"total telco cost as % of rev";#N/A,#N/A,FALSE,"res per bus revenue min split";#N/A,#N/A,FALSE,"# DALS";#N/A,#N/A,FALSE,"% of total min by axs type";#N/A,#N/A,FALSE,"telco cost per rev minute";#N/A,#N/A,FALSE,"rev per rev minute";#N/A,#N/A,FALSE,"contribution per minute"}</definedName>
    <definedName name="wrn.all._.gulp._.sheets." localSheetId="10"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10" hidden="1">{#N/A,#N/A,FALSE,"puboff";#N/A,#N/A,FALSE,"financials";#N/A,#N/A,FALSE,"valuation";#N/A,#N/A,FALSE,"split"}</definedName>
    <definedName name="wrn.all._.print." localSheetId="10" hidden="1">{#N/A,#N/A,FALSE,"Summary";#N/A,#N/A,FALSE,"Edit";#N/A,#N/A,FALSE,"MedProf";#N/A,#N/A,FALSE,"Proj Mgt";#N/A,#N/A,FALSE,"Creat Svc";#N/A,#N/A,FALSE,"Meet Svc";#N/A,#N/A,FALSE,"Non-OCC";#N/A,#N/A,FALSE,"Client Svc";#N/A,#N/A,FALSE,"Bus Dev";#N/A,#N/A,FALSE,"Indirect"}</definedName>
    <definedName name="wrn.All._.Scenarios." localSheetId="10" hidden="1">{#N/A,"Mine Allocated; Keep AC",FALSE,"Transaction Summary";#N/A,"Mine Allocated; Sell AC",FALSE,"Transaction Summary";#N/A,"Commodity; Keep AC",FALSE,"Transaction Summary";#N/A,"Commodity; Sell AC",FALSE,"Transaction Summary";#N/A,"Step-Up; Keep AC",FALSE,"Transaction Summary";#N/A,"Step-Up; Sell AC",FALSE,"Transaction Summary"}</definedName>
    <definedName name="wrn.All._.Schedules." localSheetId="10" hidden="1">{#N/A,#N/A,FALSE,"Assumptions";#N/A,#N/A,FALSE,"Inc Stmt";#N/A,#N/A,FALSE,"Stats";#N/A,#N/A,FALSE,"Existing Business";#N/A,#N/A,FALSE,"New Business";#N/A,#N/A,FALSE,"Labor";#N/A,#N/A,FALSE,"Vehicles";#N/A,#N/A,FALSE,"Facilities";#N/A,#N/A,FALSE,"Indirect Costs";#N/A,#N/A,FALSE,"Capital";#N/A,#N/A,FALSE,"CABR Form";#N/A,#N/A,FALSE,"Corp Costs"}</definedName>
    <definedName name="wrn.ALL._.SHEETS." localSheetId="10" hidden="1">{#N/A,#N/A,FALSE,"Adj Proj";#N/A,#N/A,FALSE,"Sheet1";#N/A,#N/A,FALSE,"LBO";#N/A,#N/A,FALSE,"LBOMER";#N/A,#N/A,FALSE,"WACC";#N/A,#N/A,FALSE,"DCF";#N/A,#N/A,FALSE,"DCFMER";#N/A,#N/A,FALSE,"Pooling";#N/A,#N/A,FALSE,"income";#N/A,#N/A,FALSE,"Offer"}</definedName>
    <definedName name="wrn.ALL._.STATEMENTS." localSheetId="10" hidden="1">{"BALANCE SHEET",#N/A,FALSE,"Balance Sheet";"INCOME STATEMENT",#N/A,FALSE,"Income Statement";"STMT OF CASH FLOWS",#N/A,FALSE,"Cash Flows Indirect";"PARTNERS CAPITAL STMT",#N/A,FALSE,"Partners Capital"}</definedName>
    <definedName name="wrn.All._.Views." localSheetId="10" hidden="1">{#N/A,#N/A,FALSE,"Summary";#N/A,#N/A,FALSE,"Signatures";#N/A,#N/A,FALSE,"FL Current";#N/A,#N/A,FALSE,"Assumptions";#N/A,#N/A,FALSE,"Assumptions";#N/A,#N/A,FALSE,"Assumptions";#N/A,#N/A,FALSE,"FL Last";#N/A,#N/A,FALSE,"FL Orig";#N/A,#N/A,FALSE,"C to G Explain"}</definedName>
    <definedName name="wrn.All._.Worksheets." localSheetId="10"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1" localSheetId="10"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1" localSheetId="10"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2" localSheetId="10"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3" localSheetId="10"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4" localSheetId="10"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2" localSheetId="10"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3" localSheetId="10"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4" localSheetId="10"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5" localSheetId="10"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2" localSheetId="10" hidden="1">{#N/A,#N/A,FALSE,"DCF";#N/A,#N/A,FALSE,"WACC";#N/A,#N/A,FALSE,"Sales_EBIT";#N/A,#N/A,FALSE,"Capex_Depreciation";#N/A,#N/A,FALSE,"WC";#N/A,#N/A,FALSE,"Interest";#N/A,#N/A,FALSE,"Assumptions"}</definedName>
    <definedName name="wrn.all.views.1" localSheetId="10" hidden="1">{#N/A,#N/A,FALSE,"Summary";#N/A,#N/A,FALSE,"Signatures";#N/A,#N/A,FALSE,"FL Current";#N/A,#N/A,FALSE,"Assumptions";#N/A,#N/A,FALSE,"Assumptions";#N/A,#N/A,FALSE,"Assumptions";#N/A,#N/A,FALSE,"FL Last";#N/A,#N/A,FALSE,"FL Orig";#N/A,#N/A,FALSE,"C to G Explain"}</definedName>
    <definedName name="wrn.all.views.1a" localSheetId="10" hidden="1">{#N/A,#N/A,FALSE,"Summary";#N/A,#N/A,FALSE,"Signatures";#N/A,#N/A,FALSE,"FL Current";#N/A,#N/A,FALSE,"Assumptions";#N/A,#N/A,FALSE,"Assumptions";#N/A,#N/A,FALSE,"Assumptions";#N/A,#N/A,FALSE,"FL Last";#N/A,#N/A,FALSE,"FL Orig";#N/A,#N/A,FALSE,"C to G Explain"}</definedName>
    <definedName name="wrn.all_1" localSheetId="10" hidden="1">{#N/A,#N/A,FALSE,"total telco cost ";#N/A,#N/A,FALSE,"# min per month EEA";#N/A,#N/A,FALSE,"# min per month LSA";#N/A,#N/A,FALSE,"# min per month 800";#N/A,#N/A,FALSE,"# min per month WATS";#N/A,#N/A,FALSE,"# min per month X-BORDER";#N/A,#N/A,FALSE,"# min per month Intl";#N/A,#N/A,FALSE,"mthly revenue";#N/A,#N/A,FALSE,"total telco cost as % of rev";#N/A,#N/A,FALSE,"res per bus revenue min split";#N/A,#N/A,FALSE,"# DALS";#N/A,#N/A,FALSE,"% of total min by axs type";#N/A,#N/A,FALSE,"telco cost per rev minute";#N/A,#N/A,FALSE,"rev per rev minute";#N/A,#N/A,FALSE,"contribution per minute"}</definedName>
    <definedName name="wrn.All_Models." localSheetId="10" hidden="1">{#N/A,#N/A,FALSE,"Summary";#N/A,#N/A,FALSE,"Projections";#N/A,#N/A,FALSE,"Mkt Mults";#N/A,#N/A,FALSE,"DCF";#N/A,#N/A,FALSE,"Accr Dil";#N/A,#N/A,FALSE,"PIC LBO";#N/A,#N/A,FALSE,"MULT10_4";#N/A,#N/A,FALSE,"CBI LBO"}</definedName>
    <definedName name="wrn.All_Sheets." localSheetId="10" hidden="1">{#N/A,#N/A,FALSE,"Projections";#N/A,#N/A,FALSE,"Contribution_Stock";#N/A,#N/A,FALSE,"PF_Combo_Stock";#N/A,#N/A,FALSE,"Projections";#N/A,#N/A,FALSE,"Contribution_Cash";#N/A,#N/A,FALSE,"PF_Combo_Cash";#N/A,#N/A,FALSE,"IPO_Cash"}</definedName>
    <definedName name="wrn.ALL2." localSheetId="10" hidden="1">{#N/A,#N/A,FALSE,"DCF";#N/A,#N/A,FALSE,"WACC";#N/A,#N/A,FALSE,"Sales_EBIT";#N/A,#N/A,FALSE,"Capex_Depreciation";#N/A,#N/A,FALSE,"WC";#N/A,#N/A,FALSE,"Interest";#N/A,#N/A,FALSE,"Assumptions"}</definedName>
    <definedName name="wrn.all3" localSheetId="10" hidden="1">{#N/A,#N/A,FALSE,"assumptions";#N/A,#N/A,FALSE,"v_projcy";#N/A,#N/A,FALSE,"tar_proj";#N/A,#N/A,FALSE,"contrib_annual";#N/A,#N/A,FALSE,"Proforma";#N/A,#N/A,FALSE,"purc_97";#N/A,#N/A,FALSE,"syn_purc_97";#N/A,#N/A,FALSE,"pool_97";#N/A,#N/A,FALSE,"syn_pool_97";#N/A,#N/A,FALSE,"pool1_FY2"}</definedName>
    <definedName name="wrn.ALL4" localSheetId="10" hidden="1">{#N/A,#N/A,FALSE,"ASSUMPTIONS";#N/A,#N/A,FALSE,"Valuation Summary";"page1",#N/A,FALSE,"PRESENTATION";"page2",#N/A,FALSE,"PRESENTATION";#N/A,#N/A,FALSE,"ORIGINAL_ROLLBACK"}</definedName>
    <definedName name="wrn.ALL5" localSheetId="10" hidden="1">{#N/A,#N/A,FALSE,"ASSUMPTIONS";#N/A,#N/A,FALSE,"Valuation Summary";"page1",#N/A,FALSE,"PRESENTATION";"page2",#N/A,FALSE,"PRESENTATION";#N/A,#N/A,FALSE,"ORIGINAL_ROLLBACK"}</definedName>
    <definedName name="wrn.ALL6" localSheetId="10" hidden="1">{#N/A,#N/A,FALSE,"ASSUMPTIONS";#N/A,#N/A,FALSE,"Valuation Summary";"page1",#N/A,FALSE,"PRESENTATION";"page2",#N/A,FALSE,"PRESENTATION";#N/A,#N/A,FALSE,"ORIGINAL_ROLLBACK"}</definedName>
    <definedName name="wrn.ALL8" localSheetId="10" hidden="1">{#N/A,#N/A,FALSE,"ASSUMPTIONS";#N/A,#N/A,FALSE,"Valuation Summary";"page1",#N/A,FALSE,"PRESENTATION";"page2",#N/A,FALSE,"PRESENTATION";#N/A,#N/A,FALSE,"ORIGINAL_ROLLBACK"}</definedName>
    <definedName name="wrn.ALLbutPREMIUM."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wrn.AllDivisions." localSheetId="10" hidden="1">{#N/A,#N/A,TRUE,"buffalo";#N/A,#N/A,TRUE,"chatt";#N/A,#N/A,TRUE,"Griffith";#N/A,#N/A,TRUE,"Hammond";#N/A,#N/A,TRUE,"Harvey";#N/A,#N/A,TRUE,"texas";#N/A,#N/A,TRUE,"Combined"}</definedName>
    <definedName name="wrn.AllModels." localSheetId="10" hidden="1">{#N/A,#N/A,FALSE,"AD_Purchase";#N/A,#N/A,FALSE,"Credit";#N/A,#N/A,FALSE,"PF Acquisition";#N/A,#N/A,FALSE,"PF Offering"}</definedName>
    <definedName name="wrn.allpages." localSheetId="10" hidden="1">{#N/A,#N/A,TRUE,"Historicals";#N/A,#N/A,TRUE,"Charts";#N/A,#N/A,TRUE,"Forecasts"}</definedName>
    <definedName name="wrn.Annexes._.de._.coûts." localSheetId="10" hidden="1">{#N/A,#N/A,FALSE,"Coût des ventes";#N/A,#N/A,FALSE,"Hypothèse - coûts directs";#N/A,#N/A,FALSE,"FGF";#N/A,#N/A,FALSE,"Frais de vente";#N/A,#N/A,FALSE,"Frais d'administration";#N/A,#N/A,FALSE,"Frais financiers";#N/A,#N/A,FALSE,"Achats - Débours";#N/A,#N/A,FALSE,"Salaires";#N/A,#N/A,FALSE,"Taxes"}</definedName>
    <definedName name="wrn.Annual._.Report." localSheetId="10" hidden="1">{#N/A,#N/A,FALSE,"TABLE_1 YTD- VALUES LAST YR(2)"}</definedName>
    <definedName name="wrn.Anteilig._.alle._.Perioden." localSheetId="10" hidden="1">{"Alle Perioden",#N/A,FALSE,"Erf";"Alle Perioden",#N/A,FALSE,"Ang";"Alle Perioden",#N/A,FALSE,"BV";"Alle Perioden",#N/A,FALSE,"BE";"Alle Perioden",#N/A,FALSE,"Re";"Alle Perioden",#N/A,FALSE,"Vol"}</definedName>
    <definedName name="wrn.Anteilig._.erste._.elf._.Perioden." localSheetId="10" hidden="1">{"Erste elf Perioden",#N/A,FALSE,"Erf";"Erste elf Perioden",#N/A,FALSE,"Ang";"Erste elf Perioden",#N/A,FALSE,"BV";"Erste elf Perioden",#N/A,FALSE,"BE";"Erste elf Perioden",#N/A,FALSE,"Vol";"Erste elf Perioden",#N/A,FALSE,"Re"}</definedName>
    <definedName name="wrn.April._.Consolidated." localSheetId="10" hidden="1">{#N/A,#N/A,FALSE,"Consol BS";#N/A,#N/A,FALSE,"Consol IS";#N/A,#N/A,FALSE,"Cash Flow";#N/A,#N/A,FALSE,"Consol Equity";#N/A,#N/A,FALSE,"BS vs. Plan";#N/A,#N/A,FALSE,"Mo vs. Plan";#N/A,#N/A,FALSE,"Mo. vs. Prior Yr";#N/A,#N/A,FALSE,"YTD vs. Plan";#N/A,#N/A,FALSE,"YTD vs. Prior Yr";#N/A,#N/A,FALSE,"Cash Flow Mo vs. Plan";#N/A,#N/A,FALSE,"Cash Flow Mo vs. Prior Yr";#N/A,#N/A,FALSE,"Cash Flow YTD vs. Plan";#N/A,#N/A,FALSE,"Cash Flow YTD vs. Prior Yr";#N/A,#N/A,FALSE,"Seg BS";#N/A,#N/A,FALSE,"Seg IS";#N/A,#N/A,FALSE,"Seg Cash";#N/A,#N/A,FALSE,"Str IS";#N/A,#N/A,FALSE,"Art IS";#N/A,#N/A,FALSE,"History BS";#N/A,#N/A,FALSE,"History IS";#N/A,#N/A,FALSE,"History Cash";#N/A,#N/A,FALSE,"Imp IS";#N/A,#N/A,FALSE,"Gross to Net";#N/A,#N/A,FALSE,"Ratio Summary";#N/A,#N/A,FALSE,"Union";#N/A,#N/A,FALSE,"Midwest";#N/A,#N/A,FALSE,"Ratios - 5";#N/A,#N/A,FALSE,"Ratios - 6";#N/A,#N/A,FALSE,"Ratios - 7";#N/A,#N/A,FALSE,"Ratios - 8";#N/A,#N/A,FALSE,"Ratios - 9"}</definedName>
    <definedName name="wrn.April._.Financials." localSheetId="10" hidden="1">{"Statement of Income",#N/A,TRUE,"Mar99";"Balance Sheet",#N/A,TRUE,"Mar99"}</definedName>
    <definedName name="wrn.April._.other._.sched.." localSheetId="10" hidden="1">{#N/A,#N/A,FALSE,"Union";#N/A,#N/A,FALSE,"Reserves";#N/A,#N/A,FALSE,"Head Ct";#N/A,#N/A,FALSE,"Str AR";#N/A,#N/A,FALSE,"Str AP";#N/A,#N/A,FALSE,"Art AR";#N/A,#N/A,FALSE,"Art AP";#N/A,#N/A,FALSE,"Imp AR";#N/A,#N/A,FALSE,"Imp AP"}</definedName>
    <definedName name="wrn.AQUIROR._.DCF." localSheetId="10" hidden="1">{"AQUIRORDCF",#N/A,FALSE,"Merger consequences";"Acquirorassns",#N/A,FALSE,"Merger consequences"}</definedName>
    <definedName name="wrn.AR._.PACKAGE." localSheetId="10" hidden="1">{#N/A,#N/A,FALSE,"BR-Gross";#N/A,#N/A,FALSE,"AGING COMP";#N/A,#N/A,FALSE,"BR-Net";#N/A,#N/A,FALSE,"RECSUB";#N/A,#N/A,FALSE,"BILL94";#N/A,#N/A,FALSE,"L.D.S. Rep 1"}</definedName>
    <definedName name="wrn.asg." localSheetId="10" hidden="1">{#N/A,#N/A,FALSE,"Exh 1";#N/A,#N/A,FALSE,"Exh 2";#N/A,#N/A,FALSE,"Exh 2a";#N/A,#N/A,FALSE,"Exh 3";#N/A,#N/A,FALSE,"Exhib 4";#N/A,#N/A,FALSE,"eh 5";#N/A,#N/A,FALSE,"Exh 6"}</definedName>
    <definedName name="wrn.Asia." localSheetId="1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Total._.Variance." localSheetId="10" hidden="1">{#N/A,#N/A,FALSE,"Asia"}</definedName>
    <definedName name="wrn.assets." localSheetId="10" hidden="1">{"assets",#N/A,FALSE,"BSCON894"}</definedName>
    <definedName name="wrn.Assumption._.Book." localSheetId="10" hidden="1">{#N/A,#N/A,FALSE,"Model Assumptions"}</definedName>
    <definedName name="wrn.Assumptions." localSheetId="10" hidden="1">{"Assumptions",#N/A,FALSE,"Assum"}</definedName>
    <definedName name="wrn.AUST._.FINANCIALS." localSheetId="10" hidden="1">{#N/A,#N/A,TRUE,"BUD VS ACT AUST 96";#N/A,#N/A,TRUE,"96 COMP P&amp;L-AUST";#N/A,#N/A,TRUE,"COMP BS-AUSTRALIA";#N/A,#N/A,TRUE,"B/S - AUSTR."}</definedName>
    <definedName name="wrn.Auto._.Comp." localSheetId="10" hidden="1">{#N/A,#N/A,FALSE,"Sheet1"}</definedName>
    <definedName name="wrn.Backup." localSheetId="10" hidden="1">{#N/A,#N/A,FALSE,"Balance";#N/A,#N/A,FALSE,"TDFX";#N/A,#N/A,FALSE,"TDDDF";#N/A,#N/A,FALSE,"ADI";#N/A,#N/A,FALSE,"CUBE";#N/A,#N/A,FALSE,"DIMD";#N/A,#N/A,FALSE,"ZRAN";#N/A,#N/A,FALSE,"GNMC"}</definedName>
    <definedName name="wrn.BALANCE._.SHEET." localSheetId="10" hidden="1">{"BALANCE SHEET",#N/A,FALSE,"Balance Sheet"}</definedName>
    <definedName name="wrn.balance._.sheet2." localSheetId="10" hidden="1">{"bs",#N/A,FALSE,"SCF"}</definedName>
    <definedName name="wrn.balance._.sheet3." localSheetId="10" hidden="1">{"bs",#N/A,FALSE,"SCF"}</definedName>
    <definedName name="wrn.balance._.sheet4." localSheetId="10" hidden="1">{"bs",#N/A,FALSE,"SCF"}</definedName>
    <definedName name="wrn.Balance._.Sheets." localSheetId="10" hidden="1">{#N/A,#N/A,FALSE,"Bal sht";"Qtrly Bal Sht",#N/A,FALSE,"Bal sht - QTR"}</definedName>
    <definedName name="wrn.Balance._.sheets._.FY01._.to._.FY03." localSheetId="10" hidden="1">{"BS FY01",#N/A,FALSE,"P &amp; L";"BS FY02",#N/A,FALSE,"P &amp; L";"BS FY03",#N/A,FALSE,"P &amp; L"}</definedName>
    <definedName name="wrn.balance._sheet2." localSheetId="10" hidden="1">{"bs",#N/A,FALSE,"SCF"}</definedName>
    <definedName name="wrn.bank._.model." localSheetId="10" hidden="1">{"banks",#N/A,FALSE,"BASIC"}</definedName>
    <definedName name="wrn.Bank._.of._.America." localSheetId="10" hidden="1">{#N/A,#N/A,TRUE,"Cover_Page";#N/A,#N/A,TRUE,"Balance Sheet FY12";#N/A,#N/A,TRUE,"Debt Covenants_BofA_Cons";#N/A,#N/A,TRUE,"Consolidated-Cash Flow";#N/A,#N/A,TRUE,"CY_Per Inc FY12";#N/A,#N/A,TRUE,"Income FY12";#N/A,#N/A,TRUE,"Consolidated"}</definedName>
    <definedName name="wrn.Bank._.Report." localSheetId="10"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ers." localSheetId="1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rranca." localSheetId="10" hidden="1">{#N/A,#N/A,FALSE,"Barranca"}</definedName>
    <definedName name="wrn.Basic." localSheetId="10" hidden="1">{#N/A,#N/A,FALSE,"Cover";#N/A,#N/A,FALSE,"Assumptions";#N/A,#N/A,FALSE,"Acquirer";#N/A,#N/A,FALSE,"Target";#N/A,#N/A,FALSE,"Income Statement";#N/A,#N/A,FALSE,"Summary Tables"}</definedName>
    <definedName name="wrn.Basic._.Report." localSheetId="10" hidden="1">{#N/A,#N/A,FALSE,"New Depr Sch-150% DB";#N/A,#N/A,FALSE,"Cash Flows RLP";#N/A,#N/A,FALSE,"IRR";#N/A,#N/A,FALSE,"Proforma IS";#N/A,#N/A,FALSE,"Assumptions"}</definedName>
    <definedName name="wrn.basics." localSheetId="10" hidden="1">{#N/A,#N/A,FALSE,"TSUM";#N/A,#N/A,FALSE,"shares";#N/A,#N/A,FALSE,"earnout";#N/A,#N/A,FALSE,"Heaty";#N/A,#N/A,FALSE,"self-tend";#N/A,#N/A,FALSE,"self-sum"}</definedName>
    <definedName name="wrn.BD._.FINAL." localSheetId="10" hidden="1">{#N/A,#N/A,FALSE,"Cover";#N/A,#N/A,FALSE,"Index";#N/A,#N/A,FALSE,"HL";#N/A,#N/A,FALSE,"BS ACCTS";#N/A,#N/A,FALSE,"Table";#N/A,#N/A,FALSE,"Summ";#N/A,#N/A,FALSE,"ComAn-finished";#N/A,#N/A,FALSE,"SmbAn-FINISHED";#N/A,#N/A,FALSE,"RebAn";#N/A,#N/A,FALSE,"ComR";#N/A,#N/A,FALSE,"SmbR-FINISHED";#N/A,#N/A,FALSE,"RebR-FINISHED";#N/A,#N/A,FALSE,"RC";#N/A,#N/A,FALSE,"NetR";#N/A,#N/A,FALSE,"Non-Trade";#N/A,#N/A,FALSE,"Notes Receivables";#N/A,#N/A,FALSE,"ComP-diteck-FINISHED";#N/A,#N/A,FALSE,"SmbP-finished";#N/A,#N/A,FALSE,"RebP-DITECK-FINISHED";#N/A,#N/A,FALSE,"NetP";#N/A,#N/A,FALSE,"AllcompanyG";#N/A,#N/A,FALSE,"AR 91+&gt;100K"}</definedName>
    <definedName name="wrn.BD._.Preliminary." localSheetId="10" hidden="1">{#N/A,#N/A,FALSE,"Cover";#N/A,#N/A,FALSE,"Index";#N/A,#N/A,FALSE,"HL";#N/A,#N/A,FALSE,"Table";#N/A,#N/A,FALSE,"Summ";#N/A,#N/A,FALSE,"ComR";#N/A,#N/A,FALSE,"SmbR-FINISHED";#N/A,#N/A,FALSE,"RebR-FINISHED";#N/A,#N/A,FALSE,"Specific Provision";#N/A,#N/A,FALSE,"NetR";#N/A,#N/A,FALSE,"Non-Trade";#N/A,#N/A,FALSE,"ComP-diteck-FINISHED";#N/A,#N/A,FALSE,"SmbP-finished";#N/A,#N/A,FALSE,"RebP-DITECK-FINISHED";#N/A,#N/A,FALSE,"NetP";#N/A,#N/A,FALSE,"AllcompanyG";#N/A,#N/A,FALSE,"AR 91+&gt;100K"}</definedName>
    <definedName name="wrn.BGEN." localSheetId="10" hidden="1">{"Revenue",#N/A,FALSE,"Revenue";"QEarn1",#N/A,FALSE,"Qearn";"QEarn2",#N/A,FALSE,"Qearn";"QMargin",#N/A,FALSE,"Margin";"Cashflow",#N/A,FALSE,"Cashflow";"Product Pipeline",#N/A,FALSE,"Product Pipeline";"Comment Model",#N/A,FALSE,"Comment P&amp;L"}</definedName>
    <definedName name="wrn.BID." localSheetId="10" hidden="1">{"PAGE1",#N/A,FALSE,"BID (3)";"PAGE2",#N/A,FALSE,"BID (3)"}</definedName>
    <definedName name="wrn.BidCo." localSheetId="10" hidden="1">{#N/A,#N/A,FALSE,"BidCo Assumptions";#N/A,#N/A,FALSE,"Credit Stats";#N/A,#N/A,FALSE,"Bidco Summary";#N/A,#N/A,FALSE,"BIDCO Consolidated"}</definedName>
    <definedName name="wrn.BKD." localSheetId="10" hidden="1">{#N/A,#N/A,FALSE,"Cover_Page";#N/A,#N/A,FALSE,"Balance Sheet FY12";#N/A,#N/A,FALSE,"Debt Covenants_US Bank_Cons";#N/A,#N/A,FALSE,"Debt Covenants_BofA_Cons";#N/A,#N/A,FALSE,"Consolidated-Cash Flow";#N/A,#N/A,FALSE,"CY_Per Inc FY12";#N/A,#N/A,FALSE,"Income FY12";#N/A,#N/A,FALSE,"Consolidated"}</definedName>
    <definedName name="wrn.bm" localSheetId="1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ard._.Package." localSheetId="10" hidden="1">{#N/A,#N/A,FALSE,"Summary";#N/A,#N/A,FALSE,"GOAM";#N/A,#N/A,FALSE,"WYND";#N/A,#N/A,FALSE,"Presentation BS";#N/A,#N/A,FALSE,"P&amp;L CUMM";#N/A,#N/A,FALSE,"Cash Flow CUMM";#N/A,#N/A,FALSE,"Equity";#N/A,#N/A,FALSE,"P&amp;L QTD";#N/A,#N/A,FALSE,"Cash Flow Qtr";#N/A,#N/A,FALSE,"P&amp;L MONTH";#N/A,#N/A,FALSE,"Cash Flow Month"}</definedName>
    <definedName name="wrn.Breakout." localSheetId="10" hidden="1">{#N/A,#N/A,FALSE,"BreakoutFY95";#N/A,#N/A,FALSE,"BreakoutFY96";#N/A,#N/A,FALSE,"BreakoutFY97";#N/A,#N/A,FALSE,"BreakoutFY98"}</definedName>
    <definedName name="wrn.Budget." localSheetId="10" hidden="1">{"Instructions",#N/A,FALSE,"INPUT";"Sharing",#N/A,FALSE,"Sharing";"InputArea",#N/A,FALSE,"INPUT";"Budget",#N/A,FALSE,"INPUT"}</definedName>
    <definedName name="wrn.Budget._.Analysis." localSheetId="10" hidden="1">{#N/A,#N/A,FALSE,"Mill 5"}</definedName>
    <definedName name="wrn.BUDGET2004." localSheetId="10" hidden="1">{#N/A,#N/A,FALSE,"BUD04 HEA";#N/A,#N/A,FALSE,"BUD04 Earnings";#N/A,#N/A,FALSE,"BUD04 Expenses"}</definedName>
    <definedName name="wrn.budgetb." localSheetId="10"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ildups." localSheetId="10" hidden="1">{"ACQ",#N/A,FALSE,"ACQUISITIONS";"ACQF",#N/A,FALSE,"ACQUISITIONS";"PF",#N/A,FALSE,"PROYECTOVILA";"PV",#N/A,FALSE,"PROYECTOVILA";"Fee Dev",#N/A,FALSE,"DEVELOPMENT GROWTH";"gd",#N/A,FALSE,"DEVELOPMENT GROWTH"}</definedName>
    <definedName name="wrn.bullshit1." localSheetId="10" hidden="1">{#N/A,#N/A,FALSE,"Sheet1";#N/A,#N/A,FALSE,"Summary";#N/A,#N/A,FALSE,"proj1";#N/A,#N/A,FALSE,"proj2"}</definedName>
    <definedName name="wrn.Business._.Report." localSheetId="10"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Business._.Report._1" localSheetId="10"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CAG." localSheetId="10" hidden="1">{#N/A,#N/A,FALSE,"CAG"}</definedName>
    <definedName name="wrn.calc_all." localSheetId="10"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NWEST._.GLOBAL." localSheetId="10" hidden="1">{"BS",#N/A,FALSE;"RE",#N/A,FALSE;"IS",#N/A,FALSE;"CASH",#N/A,FALSE}</definedName>
    <definedName name="wrn.Cap._.Budget9_27." localSheetId="10" hidden="1">{"Overview",#N/A,TRUE,"Overview";"New Gen",#N/A,TRUE,"New Gen";"cap-ex",#N/A,TRUE,"Consol cap-ex";"cap-ex",#N/A,TRUE,"APC cap-ex";"cap-ex",#N/A,TRUE,"GPC cap-ex";"cap-ex",#N/A,TRUE,"GUL cap-ex";"cap-ex",#N/A,TRUE,"MPC cap-ex";"cap-ex",#N/A,TRUE,"SAV cap-ex";"cap-ex",#N/A,TRUE,"SEGCO cap-ex";"cap-ex",#N/A,TRUE,"SWE cap-ex"}</definedName>
    <definedName name="wrn.Capital._.Plan._.Report." localSheetId="10" hidden="1">{"Capital Plan CA Schedule",#N/A,TRUE,"Capital Plan";"Capital Plan Summary",#N/A,TRUE,"Capital Plan"}</definedName>
    <definedName name="wrn.Cardiovasculars." localSheetId="10" hidden="1">{#N/A,#N/A,FALSE,"Card";#N/A,#N/A,FALSE,"Prav";#N/A,#N/A,FALSE,"Irbe";#N/A,#N/A,FALSE,"Plavix";#N/A,#N/A,FALSE,"Capt";#N/A,#N/A,FALSE,"Fosi"}</definedName>
    <definedName name="wrn.Carterco." localSheetId="10" hidden="1">{#N/A,#N/A,FALSE,"Carterco"}</definedName>
    <definedName name="wrn.Cash._.Flow." localSheetId="10" hidden="1">{"Cash Flow",#N/A,FALSE,"Cash Flow"}</definedName>
    <definedName name="wrn.cash._.flow._.FY00._.and._.FY01." localSheetId="10" hidden="1">{"cash flow - FY00",#N/A,FALSE,"P &amp; L";"cash flow - FY01",#N/A,FALSE,"P &amp; L"}</definedName>
    <definedName name="wrn.cash._.flow._.FY02._.and._.FY03." localSheetId="10" hidden="1">{"cash flow - FY02",#N/A,FALSE,"P &amp; L";"cash flow - FY03",#N/A,FALSE,"P &amp; L"}</definedName>
    <definedName name="wrn.cash2." localSheetId="10" hidden="1">{#N/A,#N/A,FALSE,"KGFORE94"}</definedName>
    <definedName name="wrn.CEA._.Budget._.months._.sterling." localSheetId="10"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localSheetId="10"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localSheetId="10" hidden="1">{"CEA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localSheetId="10" hidden="1">{"CEA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localSheetId="10"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localSheetId="10"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localSheetId="10"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localSheetId="10" hidden="1">{"CEGH Budget years USD",#N/A,TRUE,"Profit and Loss";"CEGH Budget years USD",#N/A,TRUE,"Firm capex";"CEGH Budget years USD",#N/A,TRUE,"Gross profit analysis";"CEGH Budget years USD",#N/A,TRUE,"Cashflow";"CEGH Budget years USD",#N/A,TRUE,"Balance Sheet"}</definedName>
    <definedName name="wrn.CEGH._.sub._.group._.months._.sterling." localSheetId="10"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localSheetId="10" hidden="1">{"CEGH sub group months USD",#N/A,TRUE,"Profit and Loss";"CEGH sub group months USD",#N/A,TRUE,"Firm capex";"CEGH sub group months USD",#N/A,TRUE,"Cashflow";"CEGH sub group months USD",#N/A,TRUE,"Balance Sheet"}</definedName>
    <definedName name="wrn.CEGH._.sub._.group._.years._.sterling." localSheetId="10" hidden="1">{"CEGH sub-group budget years sterling",#N/A,TRUE,"Profit and Loss";"CEGH sub-group budget years sterling",#N/A,TRUE,"Firm capex";"CEGH sub-group budget years sterling",#N/A,TRUE,"Cashflow";"CEGH sub-group budget years sterling",#N/A,TRUE,"Balance Sheet"}</definedName>
    <definedName name="wrn.CEGH._.sub._.group._.years._.USD." localSheetId="10" hidden="1">{"CEGH sub-group years USD",#N/A,TRUE,"Profit and Loss";"CEGH sub-group years USD",#N/A,TRUE,"Firm capex";"CEGH sub-group years USD",#N/A,TRUE,"Cashflow";"CEGH sub-group years USD",#N/A,TRUE,"Balance Sheet"}</definedName>
    <definedName name="wrn.CEI._.Budget._.months._.sterling." localSheetId="10"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localSheetId="10" hidden="1">{"CEI budget months USD",#N/A,TRUE,"Profit and Loss";"CEI budget months USD",#N/A,TRUE,"Firm capex";"CEI budget months USD",#N/A,TRUE,"Gross profit analysis";"CEI budget months USD",#N/A,TRUE,"Cashflow";"CEI budget months USD",#N/A,TRUE,"Balance Sheet"}</definedName>
    <definedName name="wrn.CEI._.Budget._.years._.sterling." localSheetId="10" hidden="1">{"CEI Budget years sterling",#N/A,TRUE,"Profit and Loss";"CEI Budget years sterling",#N/A,TRUE,"Firm capex";"CEI Budget years sterling",#N/A,TRUE,"Gross profit analysis";"CEI Budget years sterling",#N/A,TRUE,"Cashflow";"CEI Budget years sterling",#N/A,TRUE,"Balance Sheet"}</definedName>
    <definedName name="wrn.CEI._.Budget._.years._.USD." localSheetId="10" hidden="1">{"CEI Budget years USD",#N/A,TRUE,"Profit and Loss";"CEI Budget years USD",#N/A,TRUE,"Firm capex";"CEI Budget years USD",#N/A,TRUE,"Gross profit analysis";"CEI Budget years USD",#N/A,TRUE,"Cashflow";"CEI Budget years USD",#N/A,TRUE,"Balance Sheet"}</definedName>
    <definedName name="wrn.Central._.Nervous._.System." localSheetId="10" hidden="1">{#N/A,#N/A,FALSE,"CNS";#N/A,#N/A,FALSE,"Serz";#N/A,#N/A,FALSE,"Ace"}</definedName>
    <definedName name="wrn.chart._.1998" localSheetId="10" hidden="1">{#N/A,#N/A,FALSE,"Summary";#N/A,#N/A,FALSE,"Pending";#N/A,#N/A,FALSE,"Jan'98";#N/A,#N/A,FALSE,"Feb'98";#N/A,#N/A,FALSE,"Mar'98";#N/A,#N/A,FALSE,"Apr'98";#N/A,#N/A,FALSE,"May'98";#N/A,#N/A,FALSE,"June'98";#N/A,#N/A,FALSE,"July'98"}</definedName>
    <definedName name="wrn.Chart._.Printouts." localSheetId="10"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lient." localSheetId="10" hidden="1">{"multiple",#N/A,FALSE,"client";"margins",#N/A,FALSE,"client";"data",#N/A,FALSE,"client"}</definedName>
    <definedName name="wrn.Client3." localSheetId="10" hidden="1">{"data",#N/A,FALSE,"client (3)";"margins",#N/A,FALSE,"client (3)";"multiple",#N/A,FALSE,"client (3)"}</definedName>
    <definedName name="wrn.client4." localSheetId="10" hidden="1">{"multiple",#N/A,FALSE,"client (4)";"margins",#N/A,FALSE,"client (4)";"data",#N/A,FALSE,"client (4)"}</definedName>
    <definedName name="wrn.clientcopy." localSheetId="1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1." localSheetId="10" hidden="1">{"WACC_clientcopy",#N/A,FALSE,"Inputs";"Beta_clientcopy",#N/A,FALSE,"Inputs";"SCF_clientcopy",#N/A,FALSE,"Inputs";"ProBS_clientcopy",#N/A,FALSE,"Inputs";"BS_clientcopy",#N/A,FALSE,"Inputs";"ProIS_clientcopy",#N/A,FALSE,"Inputs";"IS_clientcopy",#N/A,FALSE,"Inputs";"Ratios_clientcopy",#N/A,FALSE,"Ratios"}</definedName>
    <definedName name="wrn.clientcopy2." localSheetId="10" hidden="1">{"WACC_clientcopy",#N/A,FALSE,"Inputs";"Beta_clientcopy",#N/A,FALSE,"Inputs";"SCF_clientcopy",#N/A,FALSE,"Inputs";"ProBS_clientcopy",#N/A,FALSE,"Inputs";"BS_clientcopy",#N/A,FALSE,"Inputs";"ProIS_clientcopy",#N/A,FALSE,"Inputs";"IS_clientcopy",#N/A,FALSE,"Inputs";"Ratios_clientcopy",#N/A,FALSE,"Ratios"}</definedName>
    <definedName name="wrn.clientcopy3." localSheetId="10" hidden="1">{"WACC_clientcopy",#N/A,FALSE,"Inputs";"Beta_clientcopy",#N/A,FALSE,"Inputs";"SCF_clientcopy",#N/A,FALSE,"Inputs";"ProBS_clientcopy",#N/A,FALSE,"Inputs";"BS_clientcopy",#N/A,FALSE,"Inputs";"ProIS_clientcopy",#N/A,FALSE,"Inputs";"IS_clientcopy",#N/A,FALSE,"Inputs";"Ratios_clientcopy",#N/A,FALSE,"Ratios"}</definedName>
    <definedName name="WRN.CM" localSheetId="10" hidden="1">{#N/A,#N/A,FALSE,"FAB VENDORS";"BUD SUM",#N/A,FALSE,"BUD SUM WO TEX"}</definedName>
    <definedName name="WRN.CM1" localSheetId="10" hidden="1">{#N/A,#N/A,FALSE,"FAB VENDORS";"BUD SUM",#N/A,FALSE,"BUD SUM WO TEX"}</definedName>
    <definedName name="wrn.COGS." localSheetId="10" hidden="1">{"Balt COGS",#N/A,FALSE,"COGS";"Balt Sum",#N/A,FALSE,"SUM";"Balt Defd Var",#N/A,FALSE,"DEFD VAR";"Balt Input Usage",#N/A,FALSE,"INPUT";"Balt Input PPV",#N/A,FALSE,"INPUT"}</definedName>
    <definedName name="wrn.Combination." localSheetId="10"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ED." localSheetId="10" hidden="1">{#N/A,#N/A,FALSE,"INPUTS";#N/A,#N/A,FALSE,"PROFORMA BSHEET";#N/A,#N/A,FALSE,"COMBINED";#N/A,#N/A,FALSE,"HIGH YIELD";#N/A,#N/A,FALSE,"COMB_GRAPHS"}</definedName>
    <definedName name="wrn.ComboResults." localSheetId="10" hidden="1">{#N/A,#N/A,FALSE,"Combo-Ass ";#N/A,#N/A,FALSE,"Combo-AD sum";#N/A,#N/A,FALSE,"Combo-Syn Sens";#N/A,#N/A,FALSE,"Combo-Contr";#N/A,#N/A,FALSE,"Combo-Credit Sum";#N/A,#N/A,FALSE,"Combo-Credit";#N/A,#N/A,FALSE,"Combo-AD";#N/A,#N/A,FALSE,"Combo-AD CF"}</definedName>
    <definedName name="wrn.ComboState." localSheetId="10" hidden="1">{#N/A,#N/A,FALSE,"Combo-Ass ";#N/A,#N/A,FALSE,"Combo-IS";#N/A,#N/A,FALSE,"Combo-BS";#N/A,#N/A,FALSE,"Combo-CF"}</definedName>
    <definedName name="wrn.COMMISSIONER." localSheetId="10" hidden="1">{#N/A,#N/A,FALSE,"BS_OCIF OIB";#N/A,#N/A,FALSE,"PL_OCIF OIB";#N/A,#N/A,FALSE,"SCH_A-B_OCIF OIB";#N/A,#N/A,FALSE,"AVG_CALC OIB"}</definedName>
    <definedName name="wrn.Comp._.and._.Prices." localSheetId="10" hidden="1">{#N/A,#N/A,FALSE,"comp";#N/A,#N/A,FALSE,"Alpha";#N/A,#N/A,FALSE,"Hi";#N/A,#N/A,FALSE,"Lo";#N/A,#N/A,FALSE,"Mkt. Cap";#N/A,#N/A,FALSE,"Categ."}</definedName>
    <definedName name="wrn.Comparisons." localSheetId="10" hidden="1">{#N/A,#N/A,FALSE," IS Comparison";#N/A,#N/A,FALSE,"BS Comparison";#N/A,#N/A,FALSE," SCF Comparison"}</definedName>
    <definedName name="wrn.COMPCO." localSheetId="10" hidden="1">{"Page1",#N/A,FALSE,"CompCo";"Page2",#N/A,FALSE,"CompCo"}</definedName>
    <definedName name="wrn.Compco._.Only." localSheetId="10" hidden="1">{"vi1",#N/A,FALSE,"6_30_96";"vi2",#N/A,FALSE,"6_30_96";"vi3",#N/A,FALSE,"6_30_96"}</definedName>
    <definedName name="wrn.compco2" localSheetId="10" hidden="1">{"mult96",#N/A,FALSE,"PETCOMP";"est96",#N/A,FALSE,"PETCOMP";"mult95",#N/A,FALSE,"PETCOMP";"est95",#N/A,FALSE,"PETCOMP";"multltm",#N/A,FALSE,"PETCOMP";"resultltm",#N/A,FALSE,"PETCOMP"}</definedName>
    <definedName name="wrn.compco3" localSheetId="10" hidden="1">{"mult96",#N/A,FALSE,"PETCOMP";"est96",#N/A,FALSE,"PETCOMP";"mult95",#N/A,FALSE,"PETCOMP";"est95",#N/A,FALSE,"PETCOMP";"multltm",#N/A,FALSE,"PETCOMP";"resultltm",#N/A,FALSE,"PETCOMP"}</definedName>
    <definedName name="wrn.Complete."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Budget." localSheetId="10"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Report." localSheetId="10" hidden="1">{#N/A,#N/A,FALSE,"Assumptions";#N/A,#N/A,FALSE,"Proforma IS";#N/A,#N/A,FALSE,"Cash Flows RLP";#N/A,#N/A,FALSE,"IRR";#N/A,#N/A,FALSE,"New Depr Sch-150% DB";#N/A,#N/A,FALSE,"Comments"}</definedName>
    <definedName name="wrn.Complete.2"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4"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4"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6"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7"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9"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4"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5"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6"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7"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8"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9"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Report."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s." localSheetId="10" hidden="1">{#N/A,#N/A,FALSE,"Comps"}</definedName>
    <definedName name="wrn.comps._.and._.DCF_LBO." localSheetId="10" hidden="1">{#N/A,#N/A,FALSE,"MKT.COMPS";#N/A,#N/A,FALSE,"DCF - LBO"}</definedName>
    <definedName name="wrn.comps._1" localSheetId="10" hidden="1">{#N/A,#N/A,FALSE,"Comp"}</definedName>
    <definedName name="wrn.comps._1_1" localSheetId="10" hidden="1">{#N/A,#N/A,FALSE,"Comp"}</definedName>
    <definedName name="wrn.comps._1_2" localSheetId="10" hidden="1">{#N/A,#N/A,FALSE,"Comp"}</definedName>
    <definedName name="wrn.comps._1_3" localSheetId="10" hidden="1">{#N/A,#N/A,FALSE,"Comp"}</definedName>
    <definedName name="wrn.comps._1_4" localSheetId="10" hidden="1">{#N/A,#N/A,FALSE,"Comp"}</definedName>
    <definedName name="wrn.comps._2" localSheetId="10" hidden="1">{#N/A,#N/A,FALSE,"Comp"}</definedName>
    <definedName name="wrn.comps._3" localSheetId="10" hidden="1">{#N/A,#N/A,FALSE,"Comp"}</definedName>
    <definedName name="wrn.comps._4" localSheetId="10" hidden="1">{#N/A,#N/A,FALSE,"Comp"}</definedName>
    <definedName name="wrn.comps._5" localSheetId="10" hidden="1">{#N/A,#N/A,FALSE,"Comp"}</definedName>
    <definedName name="wrn.comps.whatisthis" localSheetId="10" hidden="1">{#N/A,#N/A,FALSE,"Comp"}</definedName>
    <definedName name="wrn.comps.whatisthis_1" localSheetId="10" hidden="1">{#N/A,#N/A,FALSE,"Comp"}</definedName>
    <definedName name="wrn.comps.whatisthis_1_1" localSheetId="10" hidden="1">{#N/A,#N/A,FALSE,"Comp"}</definedName>
    <definedName name="wrn.comps.whatisthis_1_2" localSheetId="10" hidden="1">{#N/A,#N/A,FALSE,"Comp"}</definedName>
    <definedName name="wrn.comps.whatisthis_1_3" localSheetId="10" hidden="1">{#N/A,#N/A,FALSE,"Comp"}</definedName>
    <definedName name="wrn.comps.whatisthis_1_4" localSheetId="10" hidden="1">{#N/A,#N/A,FALSE,"Comp"}</definedName>
    <definedName name="wrn.comps.whatisthis_2" localSheetId="10" hidden="1">{#N/A,#N/A,FALSE,"Comp"}</definedName>
    <definedName name="wrn.comps.whatisthis_3" localSheetId="10" hidden="1">{#N/A,#N/A,FALSE,"Comp"}</definedName>
    <definedName name="wrn.comps.whatisthis_4" localSheetId="10" hidden="1">{#N/A,#N/A,FALSE,"Comp"}</definedName>
    <definedName name="wrn.comps.whatisthis_5" localSheetId="10" hidden="1">{#N/A,#N/A,FALSE,"Comp"}</definedName>
    <definedName name="wrn.Consol." localSheetId="10"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IDACIÓN." localSheetId="10" hidden="1">{#N/A,#N/A,FALSE,"CNS_ADJ";"Balance Consolidado",#N/A,FALSE,"BCEC_CNS";#N/A,#N/A,FALSE,"USGAAP_ADJ"}</definedName>
    <definedName name="wrn.Consolidado." localSheetId="10" hidden="1">{#N/A,#N/A,FALSE,"COVER";#N/A,#N/A,FALSE,"Index";#N/A,#N/A,FALSE,"Non-Earning";#N/A,#N/A,FALSE,"Non-Earning_Recovery"}</definedName>
    <definedName name="wrn.Consolidated." localSheetId="10"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olidated._.Statements." localSheetId="10" hidden="1">{"view1",#N/A,FALSE,"EARN (US$)";"view1",#N/A,FALSE,"DASTBS (US$)";"view1",#N/A,FALSE,"DASTCF (US$)"}</definedName>
    <definedName name="wrn.Consolidating." localSheetId="10" hidden="1">{"Consolidated IS",#N/A,FALSE,"Consolidated IS";"Consolidated Detail IS",#N/A,FALSE,"Consolidated Detail IS";"Consolidated Detail Supplemental Info",#N/A,FALSE,"Consolidated Detail IS";"Consolidated CF",#N/A,FALSE,"Consolidated CF";"Consolidated BS",#N/A,FALSE,"Consolidated BS";"Consolidating 1999 Detail IS",#N/A,FALSE,"1999 Detail IS";"Consolidated 1999 Supplemental Info",#N/A,FALSE,"1999 Detail IS";"Consolidating 1998 Detail IS",#N/A,FALSE,"1998 Detail IS";"Consolidating 1998 Supplemental Info",#N/A,FALSE,"1998 Detail IS";"Consolidating 1997 Detail IS",#N/A,FALSE,"1997 Detail IS";"Consolidated 1997 Supplemental Info",#N/A,FALSE,"1997 Detail IS"}</definedName>
    <definedName name="wrn.CONSOLIDATION." localSheetId="10" hidden="1">{"PAGE1",#N/A,FALSE,"Consolidation";"PAGE2",#N/A,FALSE,"Consolidation";"PAGE3",#N/A,FALSE,"Consolidation";"PAGE4",#N/A,FALSE,"Consolidation";"PAGE5",#N/A,FALSE,"Consolidation";"PAGE6",#N/A,FALSE,"Consolidation";"PAGE7",#N/A,FALSE,"Consolidation"}</definedName>
    <definedName name="wrn.Consumer._.Medicines." localSheetId="10" hidden="1">{#N/A,#N/A,FALSE,"OTC";#N/A,#N/A,FALSE,"Ther";#N/A,#N/A,FALSE,"Temp";#N/A,#N/A,FALSE,"Exce";#N/A,#N/A,FALSE,"Buff";#N/A,#N/A,FALSE,"Picot";#N/A,#N/A,FALSE,"Luftal";#N/A,#N/A,FALSE,"Comt"}</definedName>
    <definedName name="wrn.Continous._.Page._.Numbers._.DCF." localSheetId="10"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ACT._.WIP._.1997." localSheetId="10" hidden="1">{#N/A,#N/A,FALSE,"A"}</definedName>
    <definedName name="wrn.contributory._.asset._.charges." localSheetId="10" hidden="1">{"contributory1",#N/A,FALSE,"Contributory Assets Detail";"contributory2",#N/A,FALSE,"Contributory Assets Detail"}</definedName>
    <definedName name="wrn.CORPO." localSheetId="10" hidden="1">{#N/A,#N/A,FALSE,"DIV.CORPO"}</definedName>
    <definedName name="wrn.Corporate." localSheetId="10" hidden="1">{"Corporate",#N/A,FALSE,"Corporate Profile"}</definedName>
    <definedName name="wrn.CORR." localSheetId="10" hidden="1">{"INCSTMT1",#N/A,FALSE,"COR";"INCSTMT2",#N/A,FALSE,"COR"}</definedName>
    <definedName name="wrn.cotop." localSheetId="10" hidden="1">{"ReportTop",#N/A,FALSE,"report top"}</definedName>
    <definedName name="wrn.cotop2." localSheetId="10" hidden="1">{"ReportTop",#N/A,FALSE,"report top"}</definedName>
    <definedName name="wrn.Cover." localSheetId="10" hidden="1">{"coverall",#N/A,FALSE,"Definitions";"cover1",#N/A,FALSE,"Definitions";"cover2",#N/A,FALSE,"Definitions";"cover3",#N/A,FALSE,"Definitions";"cover4",#N/A,FALSE,"Definitions";"cover5",#N/A,FALSE,"Definitions";"blank",#N/A,FALSE,"Definitions"}</definedName>
    <definedName name="wrn.Covers." localSheetId="10" hidden="1">{"view1",#N/A,FALSE,"MOTEARN";"view1",#N/A,FALSE,"Bal Sht";"view1",#N/A,FALSE,"Cash Flows"}</definedName>
    <definedName name="wrn.CPB." localSheetId="10" hidden="1">{#N/A,#N/A,FALSE,"CPB"}</definedName>
    <definedName name="wrn.Credit._.Summary." localSheetId="10" hidden="1">{#N/A,#N/A,FALSE,"Credit Summary"}</definedName>
    <definedName name="wrn.CW." localSheetId="10" hidden="1">{#N/A,#N/A,FALSE,"FAB VENDORS";"BUD SUM",#N/A,FALSE,"BUD SUM WO TEX"}</definedName>
    <definedName name="wrn.Daily." localSheetId="10" hidden="1">{#N/A,#N/A,FALSE,"Input";#N/A,#N/A,FALSE,"BBC";#N/A,#N/A,FALSE,"Sch A";#N/A,#N/A,FALSE,"Sch B";#N/A,#N/A,FALSE,"Ineligible"}</definedName>
    <definedName name="wrn.DAILY._.SALES." localSheetId="10" hidden="1">{"New York",#N/A,FALSE,"NY";"London Et Al",#N/A,FALSE,"NY";"Cash Balance",#N/A,FALSE,"NY"}</definedName>
    <definedName name="wrn.DATA." localSheetId="10" hidden="1">{#N/A,#N/A,FALSE,"WTI";#N/A,#N/A,FALSE,"Cdn Oil";#N/A,#N/A,FALSE,"Cdn Gas";#N/A,#N/A,FALSE,"CDN Gas Exports";#N/A,#N/A,FALSE,"CDN Gas Prod";#N/A,#N/A,FALSE,"CDN Gas Wells";#N/A,#N/A,FALSE,"US Gas";#N/A,#N/A,FALSE,"US Gas Prod";#N/A,#N/A,FALSE,"US Gas Wells";#N/A,#N/A,FALSE,"US Work Gas";#N/A,#N/A,FALSE,"US Rig Count";#N/A,#N/A,FALSE,"US Gas End-Use";#N/A,#N/A,FALSE,"Chem"}</definedName>
    <definedName name="wrn.DataVPN." localSheetId="10" hidden="1">{"Cashflow chart",#N/A,TRUE,"A";"Rev Assumptions",#N/A,TRUE,"B";"Rev Reconcilliation 1",#N/A,TRUE,"B";"Rev Reconcilliation 2",#N/A,TRUE,"B";"exp 1",#N/A,TRUE,"C";"exp 2",#N/A,TRUE,"C";"exp3",#N/A,TRUE,"C";"cap 1",#N/A,TRUE,"D";"exp4",#N/A,TRUE,"C";"cap 2",#N/A,TRUE,"D";"cap 3",#N/A,TRUE,"D";"inputs",#N/A,TRUE,"E"}</definedName>
    <definedName name="wrn.DataVPN1" localSheetId="10" hidden="1">{"Cashflow chart",#N/A,TRUE,"A";"Rev Assumptions",#N/A,TRUE,"B";"Rev Reconcilliation 1",#N/A,TRUE,"B";"Rev Reconcilliation 2",#N/A,TRUE,"B";"exp 1",#N/A,TRUE,"C";"exp 2",#N/A,TRUE,"C";"exp3",#N/A,TRUE,"C";"cap 1",#N/A,TRUE,"D";"exp4",#N/A,TRUE,"C";"cap 2",#N/A,TRUE,"D";"cap 3",#N/A,TRUE,"D";"inputs",#N/A,TRUE,"E"}</definedName>
    <definedName name="wrn.dcf." localSheetId="10" hidden="1">{"mgmt forecast",#N/A,FALSE,"Mgmt Forecast";"dcf table",#N/A,FALSE,"Mgmt Forecast";"sensitivity",#N/A,FALSE,"Mgmt Forecast";"table inputs",#N/A,FALSE,"Mgmt Forecast";"calculations",#N/A,FALSE,"Mgmt Forecast"}</definedName>
    <definedName name="wrn.DCF._.Only." localSheetId="10" hidden="1">{#N/A,#N/A,FALSE,"DCF Summary";#N/A,#N/A,FALSE,"Casema";#N/A,#N/A,FALSE,"Casema NoTel";#N/A,#N/A,FALSE,"UK";#N/A,#N/A,FALSE,"RCF";#N/A,#N/A,FALSE,"Intercable CZ";#N/A,#N/A,FALSE,"Interkabel P"}</definedName>
    <definedName name="wrn.DCF._.Valuation." localSheetId="10" hidden="1">{"value box",#N/A,TRUE,"DPL Inc. Fin Statements";"unlevered free cash flows",#N/A,TRUE,"DPL Inc. Fin Statements"}</definedName>
    <definedName name="wrn.dcf._1" localSheetId="10" hidden="1">{"mgmt forecast",#N/A,FALSE,"Mgmt Forecast";"dcf table",#N/A,FALSE,"Mgmt Forecast";"sensitivity",#N/A,FALSE,"Mgmt Forecast";"table inputs",#N/A,FALSE,"Mgmt Forecast";"calculations",#N/A,FALSE,"Mgmt Forecast"}</definedName>
    <definedName name="wrn.dcf._1_1" localSheetId="10" hidden="1">{"mgmt forecast",#N/A,FALSE,"Mgmt Forecast";"dcf table",#N/A,FALSE,"Mgmt Forecast";"sensitivity",#N/A,FALSE,"Mgmt Forecast";"table inputs",#N/A,FALSE,"Mgmt Forecast";"calculations",#N/A,FALSE,"Mgmt Forecast"}</definedName>
    <definedName name="wrn.dcf._1_2" localSheetId="10" hidden="1">{"mgmt forecast",#N/A,FALSE,"Mgmt Forecast";"dcf table",#N/A,FALSE,"Mgmt Forecast";"sensitivity",#N/A,FALSE,"Mgmt Forecast";"table inputs",#N/A,FALSE,"Mgmt Forecast";"calculations",#N/A,FALSE,"Mgmt Forecast"}</definedName>
    <definedName name="wrn.dcf._1_3" localSheetId="10" hidden="1">{"mgmt forecast",#N/A,FALSE,"Mgmt Forecast";"dcf table",#N/A,FALSE,"Mgmt Forecast";"sensitivity",#N/A,FALSE,"Mgmt Forecast";"table inputs",#N/A,FALSE,"Mgmt Forecast";"calculations",#N/A,FALSE,"Mgmt Forecast"}</definedName>
    <definedName name="wrn.dcf._1_4" localSheetId="10" hidden="1">{"mgmt forecast",#N/A,FALSE,"Mgmt Forecast";"dcf table",#N/A,FALSE,"Mgmt Forecast";"sensitivity",#N/A,FALSE,"Mgmt Forecast";"table inputs",#N/A,FALSE,"Mgmt Forecast";"calculations",#N/A,FALSE,"Mgmt Forecast"}</definedName>
    <definedName name="wrn.dcf._2" localSheetId="10" hidden="1">{"mgmt forecast",#N/A,FALSE,"Mgmt Forecast";"dcf table",#N/A,FALSE,"Mgmt Forecast";"sensitivity",#N/A,FALSE,"Mgmt Forecast";"table inputs",#N/A,FALSE,"Mgmt Forecast";"calculations",#N/A,FALSE,"Mgmt Forecast"}</definedName>
    <definedName name="wrn.dcf._3" localSheetId="10" hidden="1">{"mgmt forecast",#N/A,FALSE,"Mgmt Forecast";"dcf table",#N/A,FALSE,"Mgmt Forecast";"sensitivity",#N/A,FALSE,"Mgmt Forecast";"table inputs",#N/A,FALSE,"Mgmt Forecast";"calculations",#N/A,FALSE,"Mgmt Forecast"}</definedName>
    <definedName name="wrn.dcf._4" localSheetId="10" hidden="1">{"mgmt forecast",#N/A,FALSE,"Mgmt Forecast";"dcf table",#N/A,FALSE,"Mgmt Forecast";"sensitivity",#N/A,FALSE,"Mgmt Forecast";"table inputs",#N/A,FALSE,"Mgmt Forecast";"calculations",#N/A,FALSE,"Mgmt Forecast"}</definedName>
    <definedName name="wrn.dcf._5" localSheetId="10" hidden="1">{"mgmt forecast",#N/A,FALSE,"Mgmt Forecast";"dcf table",#N/A,FALSE,"Mgmt Forecast";"sensitivity",#N/A,FALSE,"Mgmt Forecast";"table inputs",#N/A,FALSE,"Mgmt Forecast";"calculations",#N/A,FALSE,"Mgmt Forecast"}</definedName>
    <definedName name="wrn.DCF_Terminal_Value_qchm." localSheetId="10" hidden="1">{"qchm_dcf",#N/A,FALSE,"QCHMDCF2";"qchm_terminal",#N/A,FALSE,"QCHMDCF2"}</definedName>
    <definedName name="wrn.DCFEpervier." localSheetId="10"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bt." localSheetId="10" hidden="1">{"debt summary",#N/A,FALSE,"Debt";"loan details",#N/A,FALSE,"Debt"}</definedName>
    <definedName name="wrn.Delchamps." localSheetId="10" hidden="1">{"Operating Data",#N/A,TRUE,"Sheet1";"Valuation Matrix",#N/A,TRUE,"Sheet1";"Sales Analysis",#N/A,TRUE,"Sheet1";"Closed Remodelled New",#N/A,TRUE,"Sheet1";"Competitive and FSP",#N/A,TRUE,"Sheet1";"Working Capital and Capex",#N/A,TRUE,"Sheet1";"depreciation",#N/A,TRUE,"Sheet1"}</definedName>
    <definedName name="wrn.Delinc_Comercial." localSheetId="10" hidden="1">{#N/A,#N/A,FALSE,"COVER";#N/A,#N/A,FALSE,"Index";#N/A,#N/A,FALSE,"Non-Earning";#N/A,#N/A,FALSE,"Commercial";#N/A,#N/A,FALSE,"Detailed"}</definedName>
    <definedName name="wrn.Deltek._.Upload." localSheetId="10" hidden="1">{#N/A,#N/A,FALSE,"Delt Data"}</definedName>
    <definedName name="wrn.depmatrix." localSheetId="10" hidden="1">{"depmatrix",#N/A,FALSE,"DECATUR-DIMMIT"}</definedName>
    <definedName name="wrn.Detail." localSheetId="10" hidden="1">{"SalaryPer",#N/A,FALSE,"INPUT";"WageRate",#N/A,FALSE,"INPUT";"Salary",#N/A,FALSE,"INPUT";"Overtime",#N/A,FALSE,"INPUT";"PagerPay",#N/A,FALSE,"INPUT";"FringeTable",#N/A,FALSE,"INPUT";"Fringes",#N/A,FALSE,"INPUT";"ProfitSharing",#N/A,FALSE,"INPUT"}</definedName>
    <definedName name="wrn.Detail._.Balance._.Sheet." localSheetId="10" hidden="1">{#N/A,#N/A,FALSE,"Detail"}</definedName>
    <definedName name="wrn.Detail._.Income._.Statement." localSheetId="10" hidden="1">{"Facility Detail",#N/A,FALSE,"P&amp;L Detail"}</definedName>
    <definedName name="wrn.Detail_Projection." localSheetId="10" hidden="1">{#N/A,#N/A,FALSE,"Detail YTD"}</definedName>
    <definedName name="wrn.Detailed._.Profit._.and._.Loss." localSheetId="10" hidden="1">{#N/A,#N/A,FALSE,"P&amp;L CONSOLIDATED";#N/A,#N/A,FALSE,"Cyperus";#N/A,#N/A,FALSE,"ANP";#N/A,#N/A,FALSE,"PRNE CORE"}</definedName>
    <definedName name="wrn.devdeal." localSheetId="10" hidden="1">{"top",#N/A,TRUE,"Detail";"next",#N/A,TRUE,"Detail";"then",#N/A,TRUE,"Detail";"and",#N/A,TRUE,"Detail";"inaddition",#N/A,TRUE,"Detail";"finally",#N/A,TRUE,"Detail"}</definedName>
    <definedName name="wrn.Dilution." localSheetId="10" hidden="1">{#N/A,#N/A,FALSE,"FY 1997 (NR)";#N/A,#N/A,FALSE,"FY 1998 (NR)";#N/A,#N/A,FALSE,"Balance";#N/A,#N/A,FALSE,"Matrix (NR)"}</definedName>
    <definedName name="wrn.djall." localSheetId="10" hidden="1">{"djcash",#N/A,FALSE,"DJann";"djinc",#N/A,FALSE,"DJann";"djtaxes",#N/A,FALSE,"DJann";"djbuspub",#N/A,FALSE,"DJann";"djwall",#N/A,FALSE,"DJann";"djcompprs",#N/A,FALSE,"DJann";"djteler",#N/A,FALSE,"DJann"}</definedName>
    <definedName name="wrn.document." localSheetId="10" hidden="1">{"consolidated",#N/A,FALSE,"Sheet1";"cms",#N/A,FALSE,"Sheet1";"fse",#N/A,FALSE,"Sheet1"}</definedName>
    <definedName name="wrn.documentation." localSheetId="10" hidden="1">{"documentation1",#N/A,FALSE,"Documentation";"documentation2",#N/A,FALSE,"Documentation"}</definedName>
    <definedName name="wrn.DOM._.TRAF._.STATS." localSheetId="10" hidden="1">{#N/A,#N/A,FALSE,"Form 41 Commuter Domestic";#N/A,#N/A,FALSE,"FORM41--COMMUTER % CHG";#N/A,#N/A,FALSE,"Total Domestic Traffic Stats";#N/A,#N/A,FALSE,"TOTAL DOM TRAFFIC--% CHG";#N/A,#N/A,FALSE,"TotDomTraf-Large Carriers Only";#N/A,#N/A,FALSE,"TOTDOMTRAF-LARGECAR% CHG"}</definedName>
    <definedName name="wrn.DPI._.Summary." localSheetId="10" hidden="1">{#N/A,#N/A,TRUE,"Summary";#N/A,#N/A,TRUE,"Financials"}</definedName>
    <definedName name="wrn.Druck." localSheetId="10" hidden="1">{#N/A,#N/A,FALSE,"Phase I";#N/A,#N/A,FALSE,"Phase II";#N/A,#N/A,FALSE,"Phase III"}</definedName>
    <definedName name="wrn.DTPLAN." localSheetId="10" hidden="1">{"DTCONSOASSUMPTIONS1",#N/A,FALSE,"CONSO";"DTCONSOASSUMPTIONS2",#N/A,FALSE,"CONSO";"DTCONSOASSUMPTIONS3",#N/A,FALSE,"CONSO";"DTCONSOINCOME",#N/A,FALSE,"CONSO";"DTCOOSAEBITDA",#N/A,FALSE,"COOSA";"DTCONSOCASHFLOW",#N/A,FALSE,"CONSO";"DTCONSOBALANCESHEET",#N/A,FALSE,"CONSO";"DTCONSOCAPEX1",#N/A,FALSE,"CONSO";"DTCONSOCAPEX2",#N/A,FALSE,"CONSO";"DTCONSOCAPEX3",#N/A,FALSE,"CONSO";"DTDONNAASSUMPTIONS1",#N/A,FALSE,"PAPER DONNACONA";"DTDONNAASSUMPTIONS2",#N/A,FALSE,"PAPER DONNACONA";"DTDONNAASSUMPTIONS3",#N/A,FALSE,"PAPER DONNACONA";"DTDONNAINCOME",#N/A,FALSE,"PAPER DONNACONA";"DTDONNACASHFLOW",#N/A,FALSE,"PAPER DONNACONA";"DTDONNABALANCESHEET",#N/A,FALSE,"PAPER DONNACONA";"DTDONNACAPEX",#N/A,FALSE,"PAPER DONNACONA";"DTDOLBEAUASSUMPTIONS1",#N/A,FALSE,"PAPER DOLBEAU";"DTDOLBEAUASSUMPTIONS2",#N/A,FALSE,"PAPER DOLBEAU";"DTDOLBEAUASSUMPTIONS3",#N/A,FALSE,"PAPER DOLBEAU";"DTDOLBEAUINCOME",#N/A,FALSE,"PAPER DOLBEAU";"DTDOLBEAUCASHFLOW",#N/A,FALSE,"PAPER DOLBEAU";"DTDOLBEAUBALANCESHEET",#N/A,FALSE,"PAPER DOLBEAU";"DTDOLBEAUCAPEX",#N/A,FALSE,"PAPER DOLBEAU";"DTLUMBERASSUMPTIONS1",#N/A,FALSE,"LUMBER";"DTLUMBERASSUMPTIONS2",#N/A,FALSE,"LUMBER";"DTLUMBERASSUMPTIONS3",#N/A,FALSE,"LUMBER";"DTLUMBERINCOME",#N/A,FALSE,"LUMBER";"DTLUMBERCASHFLOW",#N/A,FALSE,"LUMBER";"DTLUMBERBALANCESHEET",#N/A,FALSE,"LUMBER";"DTLUMBERCAPEX",#N/A,FALSE,"LUMBER";"DTCOOSAASSUMPTIONS1",#N/A,FALSE,"COOSA";"DTCOOSAASSUMPTION2",#N/A,FALSE,"COOSA";"DTCOOSAASSUMPTIONS3",#N/A,FALSE,"COOSA";"DTCOOSAINCOME",#N/A,FALSE,"COOSA";"DTCOOSACASHFLOW",#N/A,FALSE,"COOSA";"DTCOOSABALANCESHEET",#N/A,FALSE,"COOSA";"DTCOOSACAPEX",#N/A,FALSE,"COOSA";"DTELIMINATIONINCOME",#N/A,FALSE,"ELIMINATION";"DTELIMINATIONCASHFLOW",#N/A,FALSE,"ELIMINATION";"DTELIMINATIONBALANCESHEET",#N/A,FALSE,"ELIMINATION";"DTHEADOFFICEASSUMPTIONS",#N/A,FALSE,"H.OFFICE";"DTHEADOFFICEINCOME",#N/A,FALSE,"H.OFFICE";"DTHEADOFFICECASHFLOW",#N/A,FALSE,"H.OFFICE";"DTHEADOFFICEBALANCESHEET",#N/A,FALSE,"H.OFFICE";"DTHEADOFFICECAPEX",#N/A,FALSE,"H.OFFICE";"DTSEGMENTED",#N/A,FALSE,"SEGMENTED INFO";"DTTAX1",#N/A,FALSE,"impôt";"DTTAX2",#N/A,FALSE,"impôt"}</definedName>
    <definedName name="wrn.Earnings._.Model."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itda." localSheetId="10" hidden="1">{#N/A,#N/A,FALSE,"2003_Input - P&amp;L"}</definedName>
    <definedName name="wrn.ebitda2" localSheetId="10" hidden="1">{#N/A,#N/A,FALSE,"2003_Input - P&amp;L"}</definedName>
    <definedName name="wrn.Economic._.Value._.Added._.Analysis." localSheetId="10" hidden="1">{"EVA",#N/A,FALSE,"EVA";"WACC",#N/A,FALSE,"WACC"}</definedName>
    <definedName name="wrn.econtab." localSheetId="10" hidden="1">{#N/A,#N/A,FALSE,"TABLE1";#N/A,#N/A,FALSE,"TABLE2";#N/A,#N/A,FALSE,"TABLE3";#N/A,#N/A,FALSE,"TABLE4";#N/A,#N/A,FALSE,"TABLE5"}</definedName>
    <definedName name="wrn.ecpall." localSheetId="10" hidden="1">{"ecpcash",#N/A,FALSE,"ECPann";"ecpinc",#N/A,FALSE,"ECPann";"ecpindia",#N/A,FALSE,"ECPann";"ecpmun",#N/A,FALSE,"ECPann";"ecpphoenix",#N/A,FALSE,"ECPann";"ecpothe",#N/A,FALSE,"ECPann";"ecpbalsht",#N/A,FALSE,"ECPann"}</definedName>
    <definedName name="wrn.EE4._.Budget._.months._.sterling." localSheetId="10" hidden="1">{"EE4 Budget months only sterling",#N/A,TRUE,"Profit and Loss";"EE4 Budget months only sterling",#N/A,TRUE,"Firm capex";"EE4 Budget months only sterling",#N/A,TRUE,"Cashflow";"EE4 Budget months only sterling",#N/A,TRUE,"Balance Sheet"}</definedName>
    <definedName name="wrn.EE4._.Budget._.months._.USD." localSheetId="10" hidden="1">{"EE4 Budget months only in USD",#N/A,TRUE,"Profit and Loss";"EE4 Budget months only in USD",#N/A,TRUE,"Firm capex";"EE4 Budget months only in USD",#N/A,TRUE,"Cashflow";"EE4 Budget months only in USD",#N/A,TRUE,"Balance Sheet"}</definedName>
    <definedName name="wrn.EE4._.budget._.years._.sterling." localSheetId="10" hidden="1">{"EE4 Budget years sterling",#N/A,TRUE,"Profit and Loss";"EE4 Budget years sterling",#N/A,TRUE,"Firm capex";"EE4 Budget years sterling",#N/A,TRUE,"Cashflow";"EE4 Budget years sterling",#N/A,TRUE,"Balance Sheet"}</definedName>
    <definedName name="wrn.EE4._.Budget._.years._.USD." localSheetId="10" hidden="1">{"EE4 Budget years USD",#N/A,TRUE,"Profit and Loss";"EE4 Budget years USD",#N/A,TRUE,"Firm capex";"EE4 Budget years USD",#N/A,TRUE,"Cashflow";"EE4 Budget years USD",#N/A,TRUE,"Balance Sheet"}</definedName>
    <definedName name="wrn.EF._.Complet." localSheetId="10" hidden="1">{#N/A,#N/A,TRUE,"1";#N/A,#N/A,TRUE,"1.2";#N/A,#N/A,TRUE,"2";#N/A,#N/A,TRUE,"4";#N/A,#N/A,TRUE,"11";#N/A,#N/A,TRUE,"11.9";#N/A,#N/A,TRUE,"A";#N/A,#N/A,TRUE,"B";#N/A,#N/A,TRUE,"C"}</definedName>
    <definedName name="wrn.Einhundert._.Prozent._.alle._.Perioden." localSheetId="10" hidden="1">{"Alle Perioden",#N/A,FALSE,"Erf";"Alle Perioden",#N/A,FALSE,"BV100";"Alle Perioden",#N/A,FALSE,"BE100";"Alle Perioden",#N/A,FALSE,"Re100";"Alle Perioden",#N/A,FALSE,"Vol100"}</definedName>
    <definedName name="wrn.Einhundert._.Prozent._.erste._.elf._.Perioden." localSheetId="10" hidden="1">{"Erste elf Perioden",#N/A,FALSE,"Erf";"Erste elf Perioden",#N/A,FALSE,"BV100";"Erste elf Perioden",#N/A,FALSE,"BE100";"Erste elf Perioden",#N/A,FALSE,"Re100";"Erste elf Perioden",#N/A,FALSE,"Vol100"}</definedName>
    <definedName name="wrn.Enitre._.Model." localSheetId="10" hidden="1">{"Input Sheet",#N/A,FALSE,"Input";"New Co",#N/A,FALSE,"NEWCO";"Acq Cash Flow",#N/A,FALSE,"Acq. CF";"Target Cash Flow",#N/A,FALSE,"Tgt. CF";"Operational Merger",#N/A,FALSE,"OP Merger";"Acq Balance Sheet",#N/A,FALSE,"Acq. BS";"Target Balance Sheet",#N/A,FALSE,"Tgt. BS";"BOE Comp",#N/A,FALSE,"BOEComp"}</definedName>
    <definedName name="wrn.ESPP." localSheetId="10" hidden="1">{#N/A,#N/A,FALSE,"REPORT"}</definedName>
    <definedName name="wrn.ETATS." localSheetId="10" hidden="1">{"TABLE",#N/A,TRUE,"Feuil1";"CONSO",#N/A,TRUE,"Feuil1";"STHUB1",#N/A,TRUE,"Feuil1";"STHUB2",#N/A,TRUE,"Feuil1";"PROSERV",#N/A,TRUE,"Feuil1";"GROUPE",#N/A,TRUE,"Feuil1";"BERTHELET",#N/A,TRUE,"Feuil1";"MEILLEURES",#N/A,TRUE,"Feuil1";"TRICORP",#N/A,TRUE,"Feuil1"}</definedName>
    <definedName name="wrn.Europe." localSheetId="1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xam._.Workpapers._.1." localSheetId="1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ecutive._.summary._.reports." localSheetId="10" hidden="1">{"4 year overview",#N/A,FALSE,"P &amp; L";"key indicators",#N/A,FALSE,"P &amp; L"}</definedName>
    <definedName name="wrn.EXHIBITS." localSheetId="10"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wrn.EXP2." localSheetId="10" hidden="1">{#N/A,#N/A,TRUE,"NIE_C";#N/A,#N/A,TRUE,"NIE";#N/A,#N/A,TRUE,"NIE_D";#N/A,#N/A,TRUE,"NIE_D_CC";#N/A,#N/A,TRUE,"HEA -- EXP"}</definedName>
    <definedName name="wrn.External." localSheetId="10" hidden="1">{"External_Annual_Income",#N/A,FALSE,"External";"External_Quarterly_Income",#N/A,FALSE,"External"}</definedName>
    <definedName name="wrn.external.2" localSheetId="10" hidden="1">{"External_Annual_Income",#N/A,FALSE,"External";"External_Quarterly_Income",#N/A,FALSE,"External"}</definedName>
    <definedName name="wrn.Facility._.Profit._.and._.Loss." localSheetId="10" hidden="1">{"Domestic Prisons - Prior to 1998 - 1",#N/A,FALSE,"Domestic Prisons";"Domestic Prisons - Prior to 1998 - 2",#N/A,FALSE,"Domestic Prisons";"Domestic Prisons - 1998",#N/A,FALSE,"Domestic Prisons";"Domestic Prisons - 1999",#N/A,FALSE,"Domestic Prisons";"Domestic Prisons - 2000",#N/A,FALSE,"Domestic Prisons";"Domestic Prisons - 2001",#N/A,FALSE,"Domestic Prisons"}</definedName>
    <definedName name="wrn.fc" localSheetId="10" hidden="1">{"FCB_ALL",#N/A,FALSE,"FCB"}</definedName>
    <definedName name="wrn.fc12" localSheetId="10" hidden="1">{"FCB_ALL",#N/A,FALSE,"FCB"}</definedName>
    <definedName name="wrn.fcb" localSheetId="10" hidden="1">{"FCB_ALL",#N/A,FALSE,"FCB"}</definedName>
    <definedName name="wrn.FCB." localSheetId="10" hidden="1">{"FCB_ALL",#N/A,FALSE,"FCB"}</definedName>
    <definedName name="wrn.fcb._dcf" localSheetId="10" hidden="1">{"FCB_ALL",#N/A,FALSE,"FCB"}</definedName>
    <definedName name="wrn.fcb.1" localSheetId="10" hidden="1">{"FCB_ALL",#N/A,FALSE,"FCB"}</definedName>
    <definedName name="wrn.fcb.9" localSheetId="10" hidden="1">{"FCB_ALL",#N/A,FALSE,"FCB"}</definedName>
    <definedName name="wrn.fcb1" localSheetId="10" hidden="1">{"FCB_ALL",#N/A,FALSE,"FCB"}</definedName>
    <definedName name="wrn.fcb10" localSheetId="10" hidden="1">{"FCB_ALL",#N/A,FALSE,"FCB"}</definedName>
    <definedName name="wrn.fcb11" localSheetId="10" hidden="1">{"FCB_ALL",#N/A,FALSE,"FCB"}</definedName>
    <definedName name="wrn.fcb2" localSheetId="10" hidden="1">{"FCB_ALL",#N/A,FALSE,"FCB"}</definedName>
    <definedName name="wrn.fcb2_dcf" localSheetId="10" hidden="1">{"FCB_ALL",#N/A,FALSE,"FCB"}</definedName>
    <definedName name="wrn.fcb3" localSheetId="10" hidden="1">{"FCB_ALL",#N/A,FALSE,"FCB"}</definedName>
    <definedName name="wrn.fcb4" localSheetId="10" hidden="1">{"FCB_ALL",#N/A,FALSE,"FCB"}</definedName>
    <definedName name="wrn.fcb5" localSheetId="10" hidden="1">{"FCB_ALL",#N/A,FALSE,"FCB"}</definedName>
    <definedName name="wrn.fcb6" localSheetId="10" hidden="1">{"FCB_ALL",#N/A,FALSE,"FCB"}</definedName>
    <definedName name="wrn.fcb7" localSheetId="10" hidden="1">{"FCB_ALL",#N/A,FALSE,"FCB"}</definedName>
    <definedName name="wrn.fcb8" localSheetId="10" hidden="1">{"FCB_ALL",#N/A,FALSE,"FCB"}</definedName>
    <definedName name="wrn.fcb9" localSheetId="10" hidden="1">{"FCB_ALL",#N/A,FALSE,"FCB"}</definedName>
    <definedName name="wrn.fcopy2" localSheetId="10" hidden="1">{"WACC_filecopy",#N/A,FALSE,"Inputs";"Beta_filecopy",#N/A,FALSE,"Inputs";"SCF_filecopy",#N/A,FALSE,"Inputs";"ProBS_filecopy",#N/A,FALSE,"Inputs";"BS_filecopy",#N/A,FALSE,"Inputs";"ProIS_filecopy",#N/A,FALSE,"Inputs";"IS_filecopy",#N/A,FALSE,"Inputs"}</definedName>
    <definedName name="wrn.FDII6_01PortReview." localSheetId="10" hidden="1">{#N/A,#N/A,TRUE,"Port Summary II";#N/A,#N/A,TRUE,"BV Valuation";#N/A,#N/A,TRUE,"FV Valuation";#N/A,#N/A,TRUE,"JRI";#N/A,#N/A,TRUE,"Weasler";#N/A,#N/A,TRUE,"Stronghaven";#N/A,#N/A,TRUE,"Connor";#N/A,#N/A,TRUE,"HWC";#N/A,#N/A,TRUE,"Temple"}</definedName>
    <definedName name="wrn.FdIII6_30_01PortRev.." localSheetId="10" hidden="1">{#N/A,#N/A,TRUE,"Beacon";#N/A,#N/A,TRUE,"CII";#N/A,#N/A,TRUE,"MCA";#N/A,#N/A,TRUE,"Elm";#N/A,#N/A,TRUE,"Tharco";#N/A,#N/A,TRUE,"Dee H";#N/A,#N/A,TRUE,"Hunt Valve";#N/A,#N/A,TRUE,"KBA";#N/A,#N/A,TRUE,"Glassmaster";#N/A,#N/A,TRUE,"MLS";#N/A,#N/A,TRUE,"CBSA";#N/A,#N/A,TRUE,"ACE";#N/A,#N/A,TRUE,"United Central";#N/A,#N/A,TRUE,"Jakel";#N/A,#N/A,TRUE,"Lake City "}</definedName>
    <definedName name="wrn.FER." localSheetId="10" hidden="1">{#N/A,#N/A,TRUE,"BS_A";#N/A,#N/A,TRUE,"BS_L";#N/A,#N/A,TRUE,"PL";#N/A,#N/A,TRUE,"NET";#N/A,#N/A,TRUE,"MAR_2";#N/A,#N/A,TRUE,"MAR";#N/A,#N/A,TRUE,"NII";#N/A,#N/A,TRUE,"NIE";#N/A,#N/A,TRUE,"FS_BS";#N/A,#N/A,TRUE,"FS_PL";#N/A,#N/A,TRUE,"HEA"}</definedName>
    <definedName name="wrn.FER_EXPENSES." localSheetId="10" hidden="1">{#N/A,#N/A,TRUE,"NIE_C";#N/A,#N/A,TRUE,"NIE";#N/A,#N/A,TRUE,"NIE_D";#N/A,#N/A,TRUE,"HEA -- EXP"}</definedName>
    <definedName name="wrn.FER_NIA." localSheetId="10" hidden="1">{#N/A,#N/A,FALSE,"HEA NIA";#N/A,#N/A,FALSE,"CHART";#N/A,#N/A,FALSE,"NIA";#N/A,#N/A,FALSE,"WF_DET"}</definedName>
    <definedName name="wrn.FER_REVENUES." localSheetId="10" hidden="1">{#N/A,#N/A,TRUE,"NII_C";#N/A,#N/A,TRUE,"NII";#N/A,#N/A,TRUE,"NII_D";#N/A,#N/A,TRUE,"HEA --REV"}</definedName>
    <definedName name="wrn.filecopy." localSheetId="1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1." localSheetId="10" hidden="1">{"WACC_filecopy",#N/A,FALSE,"Inputs";"Beta_filecopy",#N/A,FALSE,"Inputs";"SCF_filecopy",#N/A,FALSE,"Inputs";"ProBS_filecopy",#N/A,FALSE,"Inputs";"BS_filecopy",#N/A,FALSE,"Inputs";"ProIS_filecopy",#N/A,FALSE,"Inputs";"IS_filecopy",#N/A,FALSE,"Inputs"}</definedName>
    <definedName name="wrn.filecopy2." localSheetId="10" hidden="1">{"WACC_filecopy",#N/A,FALSE,"Inputs";"Beta_filecopy",#N/A,FALSE,"Inputs";"SCF_filecopy",#N/A,FALSE,"Inputs";"ProBS_filecopy",#N/A,FALSE,"Inputs";"BS_filecopy",#N/A,FALSE,"Inputs";"ProIS_filecopy",#N/A,FALSE,"Inputs";"IS_filecopy",#N/A,FALSE,"Inputs"}</definedName>
    <definedName name="wrn.Filter." localSheetId="10" hidden="1">{#N/A,#N/A,FALSE,"Assump2";#N/A,#N/A,FALSE,"Income2";#N/A,#N/A,FALSE,"Balance2";#N/A,#N/A,FALSE,"DCF Filter";#N/A,#N/A,FALSE,"Trans Assump2";#N/A,#N/A,FALSE,"Combined Income2";#N/A,#N/A,FALSE,"Combined Balance2"}</definedName>
    <definedName name="wrn.FIN97." localSheetId="10" hidden="1">{#N/A,#N/A,FALSE,"FIN97 DETAIL"}</definedName>
    <definedName name="wrn.financial._.package." localSheetId="10" hidden="1">{#N/A,#N/A,FALSE,"BALANCE SHEET";#N/A,#N/A,FALSE,"IS";#N/A,#N/A,FALSE,"ISCOMPAR";#N/A,#N/A,FALSE,"ADD RETMAR";#N/A,#N/A,FALSE,"VARIOUS COMP";#N/A,#N/A,FALSE,"RATIOS";#N/A,#N/A,FALSE,"GRAPHS"}</definedName>
    <definedName name="wrn.Financial._.Statements._.all._.detail." localSheetId="10" hidden="1">{#N/A,#N/A,TRUE,"P&amp;L CONSOLIDATED";#N/A,#N/A,TRUE,"Cyperus";#N/A,#N/A,TRUE,"ANP";#N/A,#N/A,TRUE,"South Africa";#N/A,#N/A,TRUE,"PRNE CORE";#N/A,#N/A,TRUE,"Targeting";#N/A,#N/A,TRUE,"Distribution";#N/A,#N/A,TRUE,"A - Disclose";#N/A,#N/A,TRUE,"B - Others";#N/A,#N/A,TRUE,"Measurement";#N/A,#N/A,TRUE,"OVERHEADS";#N/A,#N/A,TRUE,"Consolidated B Sheet";#N/A,#N/A,TRUE,"Consolidated Cashflow"}</definedName>
    <definedName name="wrn.Financial_Package." localSheetId="10" hidden="1">{#N/A,#N/A,FALSE,"Cover";#N/A,#N/A,FALSE,"TOC";#N/A,#N/A,FALSE,"IS";#N/A,#N/A,FALSE,"Mo. IS";#N/A,#N/A,FALSE,"Cont By Div";#N/A,#N/A,FALSE,"BS";#N/A,#N/A,FALSE,"CF";#N/A,#N/A,FALSE,"Inventory"}</definedName>
    <definedName name="wrn.Financials." localSheetId="10" hidden="1">{#N/A,#N/A,TRUE,"Income Statement";#N/A,#N/A,TRUE,"Balance Sheet";#N/A,#N/A,TRUE,"Cash Flow"}</definedName>
    <definedName name="wrn.FINANCIALS._.10K." localSheetId="10" hidden="1">{#N/A,#N/A,FALSE,"BS";#N/A,#N/A,FALSE,"PL_10K";#N/A,#N/A,FALSE,"SOE";#N/A,#N/A,FALSE,"SCF"}</definedName>
    <definedName name="wrn.FINANCIALS._.10Q." localSheetId="10" hidden="1">{#N/A,#N/A,FALSE,"BS";#N/A,#N/A,FALSE,"PL_10Q";#N/A,#N/A,FALSE,"SOE";#N/A,#N/A,FALSE,"SCF"}</definedName>
    <definedName name="wrn.Financials_long." localSheetId="10" hidden="1">{"IS",#N/A,FALSE,"Financials2 (Expanded)";"bsa",#N/A,FALSE,"Financials2 (Expanded)";"BS",#N/A,FALSE,"Financials2 (Expanded)";"CF",#N/A,FALSE,"Financials2 (Expanded)"}</definedName>
    <definedName name="wrn.finmodel." localSheetId="10" hidden="1">{#N/A,#N/A,FALSE,"Fin Model"}</definedName>
    <definedName name="wrn.finmodel._1" localSheetId="10" hidden="1">{#N/A,#N/A,FALSE,"Fin Model"}</definedName>
    <definedName name="wrn.finmodel._1_1" localSheetId="10" hidden="1">{#N/A,#N/A,FALSE,"Fin Model"}</definedName>
    <definedName name="wrn.finmodel._1_2" localSheetId="10" hidden="1">{#N/A,#N/A,FALSE,"Fin Model"}</definedName>
    <definedName name="wrn.finmodel._1_3" localSheetId="10" hidden="1">{#N/A,#N/A,FALSE,"Fin Model"}</definedName>
    <definedName name="wrn.finmodel._1_4" localSheetId="10" hidden="1">{#N/A,#N/A,FALSE,"Fin Model"}</definedName>
    <definedName name="wrn.finmodel._2" localSheetId="10" hidden="1">{#N/A,#N/A,FALSE,"Fin Model"}</definedName>
    <definedName name="wrn.finmodel._3" localSheetId="10" hidden="1">{#N/A,#N/A,FALSE,"Fin Model"}</definedName>
    <definedName name="wrn.finmodel._4" localSheetId="10" hidden="1">{#N/A,#N/A,FALSE,"Fin Model"}</definedName>
    <definedName name="wrn.finmodel._5" localSheetId="10" hidden="1">{#N/A,#N/A,FALSE,"Fin Model"}</definedName>
    <definedName name="wrn.first2." localSheetId="10" hidden="1">{#N/A,#N/A,FALSE,"sum-don";#N/A,#N/A,FALSE,"inc-don"}</definedName>
    <definedName name="wrn.first3." localSheetId="10" hidden="1">{#N/A,#N/A,FALSE,"Summary";#N/A,#N/A,FALSE,"proj1";#N/A,#N/A,FALSE,"proj2"}</definedName>
    <definedName name="wrn.first4." localSheetId="10" hidden="1">{#N/A,#N/A,FALSE,"Summary";#N/A,#N/A,FALSE,"proj1";#N/A,#N/A,FALSE,"proj2";#N/A,#N/A,FALSE,"DCF"}</definedName>
    <definedName name="wrn.FISV._.5._.year._.model." localSheetId="10" hidden="1">{"Assns Fax",#N/A,FALSE,"Assumptions";"Financial View",#N/A,FALSE,"Earnings";"DCF View",#N/A,FALSE,"Earnings";"Sensitivity",#N/A,FALSE,"DCF"}</definedName>
    <definedName name="wrn.fleck." localSheetId="10" hidden="1">{"first",#N/A,FALSE,"FLEXPAC2";"second",#N/A,FALSE,"FLEXPAC2"}</definedName>
    <definedName name="wrn.fleckcompac." localSheetId="10" hidden="1">{"one",#N/A,FALSE,"FLEXPAC2";"two",#N/A,FALSE,"FLEXPAC2";"three",#N/A,FALSE,"FLEXPAC2"}</definedName>
    <definedName name="wrn.Followon._.1998" localSheetId="10" hidden="1">{#N/A,#N/A,FALSE,"Summary";#N/A,#N/A,FALSE,"Pending";#N/A,#N/A,FALSE,"Jan'98";#N/A,#N/A,FALSE,"Feb'98";#N/A,#N/A,FALSE,"Mar'98";#N/A,#N/A,FALSE,"Apr'98";#N/A,#N/A,FALSE,"May'98";#N/A,#N/A,FALSE,"June'98";#N/A,#N/A,FALSE,"July'98"}</definedName>
    <definedName name="wrn.FORECAST." localSheetId="10" hidden="1">{"TOT",#N/A,FALSE,"ASFCST99";"TOTINT",#N/A,FALSE,"ASFCST99";"DOM",#N/A,FALSE,"ASFCST99";"NORTHATL",#N/A,FALSE,"ASFCST99";"PACIFIC",#N/A,FALSE,"ASFCST99";"LATAM",#N/A,FALSE,"ASFCST99"}</definedName>
    <definedName name="wrn.forecast2qf." localSheetId="10" hidden="1">{#N/A,#N/A,FALSE,"REV 110 PRNE (Bureau-Frankfurt)";#N/A,#N/A,FALSE,"REV 120 PRNE (Bureau - Paris)"}</definedName>
    <definedName name="wrn.forms." localSheetId="10" hidden="1">{#N/A,#N/A,FALSE,"Set-Up";#N/A,#N/A,FALSE,"Comparison";#N/A,#N/A,FALSE,"AR";#N/A,#N/A,FALSE,"Inv";#N/A,#N/A,FALSE,"Concentrations";#N/A,#N/A,FALSE,"Past Dues";#N/A,#N/A,FALSE,"Trends";#N/A,#N/A,FALSE,"AR Trends";#N/A,#N/A,FALSE,"Inv Trends"}</definedName>
    <definedName name="wrn.FRANCE._.FINANCIALS." localSheetId="10" hidden="1">{#N/A,#N/A,FALSE,"COMP BS-FRANCE";#N/A,#N/A,FALSE,"96 COMP P&amp;L-FRANCE";#N/A,#N/A,FALSE,"BUD VS ACT FRAN 96";#N/A,#N/A,FALSE,"B/S - FRANCE"}</definedName>
    <definedName name="wrn.FS._.AND._.TBLS._.10K." localSheetId="10"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2005." localSheetId="10" hidden="1">{"BS-Yearly",#N/A,TRUE,"BS-Year";"BS-Monthly-2005",#N/A,TRUE,"BS"}</definedName>
    <definedName name="wrn.full." localSheetId="10" hidden="1">{"vi1",#N/A,FALSE,"Pagcc";"vi2",#N/A,FALSE,"Pagcc";"vi3",#N/A,FALSE,"Pagcc";"vi4",#N/A,FALSE,"Pagcc";"vi5",#N/A,FALSE,"Pagcc";#N/A,#N/A,FALSE,"Contribution"}</definedName>
    <definedName name="wrn.Full._.Budget." localSheetId="10" hidden="1">{#N/A,#N/A,FALSE,"IS-Month";#N/A,#N/A,FALSE,"IS-Qtr";#N/A,#N/A,FALSE,"Bal";#N/A,#N/A,FALSE,"Flow";#N/A,#N/A,FALSE,"Volumes";#N/A,#N/A,FALSE,"LOE";#N/A,#N/A,FALSE,"Revenues";#N/A,#N/A,FALSE,"OpMar";#N/A,#N/A,FALSE,"DD&amp;A";#N/A,#N/A,FALSE,"Oil $";#N/A,#N/A,FALSE,"Gas $";#N/A,#N/A,FALSE,"Swaps";#N/A,#N/A,FALSE,"CAPEX";#N/A,#N/A,FALSE,"G&amp;A";#N/A,#N/A,FALSE,"Debt";#N/A,#N/A,FALSE,"Interest"}</definedName>
    <definedName name="wrn.Full._.Financials." localSheetId="10" hidden="1">{#N/A,#N/A,TRUE,"Financials";#N/A,#N/A,TRUE,"Operating Statistics";#N/A,#N/A,TRUE,"Capex &amp; Depreciation";#N/A,#N/A,TRUE,"Debt"}</definedName>
    <definedName name="wrn.Full._.Model." localSheetId="10" hidden="1">{#N/A,#N/A,FALSE,"Cov";#N/A,#N/A,FALSE,"sum (2)";#N/A,#N/A,FALSE,"bs";#N/A,#N/A,FALSE,"is";#N/A,#N/A,FALSE,"pis";#N/A,#N/A,FALSE,"cf";#N/A,#N/A,FALSE,"wc";#N/A,#N/A,FALSE,"ltd";#N/A,#N/A,FALSE,"cover";#N/A,#N/A,FALSE,"irr (2)";#N/A,#N/A,FALSE,"in"}</definedName>
    <definedName name="wrn.Full._.Monty." localSheetId="10" hidden="1">{"ROIC",#N/A,FALSE,"ROIC";"Graphs",#N/A,FALSE,"TY analysis";"fcf",#N/A,FALSE,"FCF";"Matrix_2004",#N/A,FALSE,"MATRIX(2004)";"matrix_2008",#N/A,FALSE,"MATRIX(2008)";"FS_Condensed",#N/A,FALSE,"Financial Statements2";"TAXES",#N/A,FALSE,"Taxes";"DEBT_INVEST",#N/A,FALSE,"Debt&amp;Investment Schedule";"Main_menu",#N/A,FALSE,"Main Menu"}</definedName>
    <definedName name="wrn.Full._.Package." localSheetId="10"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rint._.Out." localSheetId="10"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 localSheetId="10"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1" localSheetId="10"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2" localSheetId="10"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3" localSheetId="10"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4" localSheetId="10"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2" localSheetId="10"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3" localSheetId="10"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4" localSheetId="10"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5" localSheetId="10"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report." localSheetId="1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Workbook._.Report." localSheetId="10" hidden="1">{"Balance Sheet Summary",#N/A,TRUE,"Balance Sheet";"Cash Flow Summary",#N/A,TRUE,"Cash Flow";"Capital Plan CA Schedule",#N/A,TRUE,"Capital Plan";"Capital Plan Summary",#N/A,TRUE,"Capital Plan"}</definedName>
    <definedName name="wrn.Full_Template." localSheetId="10"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nd._.II." localSheetId="10"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Adv.._.Brd._.June._.2000." localSheetId="10" hidden="1">{#N/A,#N/A,TRUE,"FD II Portfolio Summary";#N/A,#N/A,TRUE,"JRI";#N/A,#N/A,TRUE,"NDS";#N/A,#N/A,TRUE,"Weasler";#N/A,#N/A,TRUE,"Stronghaven";#N/A,#N/A,TRUE,"Connor";#N/A,#N/A,TRUE,"Docu";#N/A,#N/A,TRUE,"HWC";#N/A,#N/A,TRUE,"Temple"}</definedName>
    <definedName name="wrn.Fund._.II._.Adv._.Mtg.." localSheetId="1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Mtg.."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I." localSheetId="10"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Adv.._.Brd.._.June._.2000." localSheetId="1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Mtg.." localSheetId="10"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V._.Adv.._.Brd.._.June._.2000." localSheetId="10" hidden="1">{#N/A,#N/A,TRUE,"FD IV Portfolio Summary ";#N/A,#N/A,TRUE,"Western";#N/A,#N/A,TRUE,"Kranson";#N/A,#N/A,TRUE,"ARC";#N/A,#N/A,TRUE,"Precise";#N/A,#N/A,TRUE,"WNA"}</definedName>
    <definedName name="wrn.FUNDING._.ANALYSIS._.PRINT." localSheetId="10"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nel._.Report." localSheetId="10" hidden="1">{#N/A,#N/A,FALSE,"funnel";#N/A,#N/A,FALSE,"AE Summary";#N/A,#N/A,FALSE,"Product Summary"}</definedName>
    <definedName name="wrn.FY00._.all._.reports." localSheetId="10" hidden="1">{"cash flow - FY00",#N/A,FALSE,"P &amp; L";"qtrly summ-FY00",#N/A,FALSE,"P &amp; L";"monthly P&amp;L-FY00",#N/A,FALSE,"P &amp; L";"P&amp;L FY00",#N/A,FALSE,"P &amp; L";"BS FY00",#N/A,FALSE,"P &amp; L";"staffing - FY00",#N/A,FALSE,"P &amp; L"}</definedName>
    <definedName name="wrn.FY01._.all._.reports." localSheetId="10" hidden="1">{"qtrly summ-FY01",#N/A,FALSE,"P &amp; L";"monthly P&amp;L-FY01",#N/A,FALSE,"P &amp; L";"cash flow - FY01",#N/A,FALSE,"P &amp; L";"P&amp;L FY01",#N/A,FALSE,"P &amp; L";"BS FY01",#N/A,FALSE,"P &amp; L";"staffing - FY01",#N/A,FALSE,"P &amp; L"}</definedName>
    <definedName name="wrn.FY01_Fin_Stmts." localSheetId="10" hidden="1">{"FY01_Assets",#N/A,FALSE,"Fin Stmt Budget";"FY01_Liabilities",#N/A,FALSE,"Fin Stmt Budget";"FY01_Inc_Stmt",#N/A,FALSE,"Fin Stmt Budget";"FY01_SOCF",#N/A,FALSE,"Fin Stmt Budget"}</definedName>
    <definedName name="wrn.FY02._.all._.reports." localSheetId="10" hidden="1">{"cash flow - FY02",#N/A,FALSE,"P &amp; L";"qtrly summ-FY02",#N/A,FALSE,"P &amp; L";"monthly P&amp;L-FY02",#N/A,FALSE,"P &amp; L";"P&amp;L FY02",#N/A,FALSE,"P &amp; L";"BS FY02",#N/A,FALSE,"P &amp; L";"staffing - FY02",#N/A,FALSE,"P &amp; L"}</definedName>
    <definedName name="wrn.FY02_Fin_Stmts." localSheetId="10" hidden="1">{"FY02_Assets",#N/A,FALSE,"Fin Stmt Budget";"FY02_Liabilities",#N/A,FALSE,"Fin Stmt Budget";"FY02_Inc_Stmt",#N/A,FALSE,"Fin Stmt Budget";"FY02_SOCF",#N/A,FALSE,"Fin Stmt Budget"}</definedName>
    <definedName name="wrn.FY03._.all._.reports." localSheetId="10" hidden="1">{"cash flow - FY03",#N/A,FALSE,"P &amp; L";"qtrly summ-FY03",#N/A,FALSE,"P &amp; L";"monthly P&amp;L-FY03",#N/A,FALSE,"P &amp; L";"P&amp;L FY03",#N/A,FALSE,"P &amp; L";"BS FY03",#N/A,FALSE,"P &amp; L";"staffing - FY03",#N/A,FALSE,"P &amp; L"}</definedName>
    <definedName name="wrn.FY03_Fin_Stmts." localSheetId="10" hidden="1">{"FY03_Assets",#N/A,FALSE,"Fin Stmt Budget";"FY03_Liabilities",#N/A,FALSE,"Fin Stmt Budget";"FY03_Inc_Stmt",#N/A,FALSE,"Fin Stmt Budget";"FY03_SOCF",#N/A,FALSE,"Fin Stmt Budget"}</definedName>
    <definedName name="wrn.FY04_Fin._.Stmts." localSheetId="10" hidden="1">{"FY04_Assets",#N/A,FALSE,"Fin Stmt Budget";"FY04_Liabilities",#N/A,FALSE,"Fin Stmt Budget";"FY04_Inc_Stmt",#N/A,FALSE,"Fin Stmt Budget";"FY04_SOCF",#N/A,FALSE,"Fin Stmt Budget"}</definedName>
    <definedName name="wrn.FY06" localSheetId="10" hidden="1">{"FY04_Assets",#N/A,FALSE,"Fin Stmt Budget";"FY04_Liabilities",#N/A,FALSE,"Fin Stmt Budget";"FY04_Inc_Stmt",#N/A,FALSE,"Fin Stmt Budget";"FY04_SOCF",#N/A,FALSE,"Fin Stmt Budget"}</definedName>
    <definedName name="wrn.FY07" localSheetId="10" hidden="1">{"FY01_Assets",#N/A,FALSE,"Fin Stmt Budget";"FY01_Liabilities",#N/A,FALSE,"Fin Stmt Budget";"FY01_Inc_Stmt",#N/A,FALSE,"Fin Stmt Budget";"FY01_SOCF",#N/A,FALSE,"Fin Stmt Budget"}</definedName>
    <definedName name="wrn.FY07_fin" localSheetId="10" hidden="1">{"FY04_Assets",#N/A,FALSE,"Fin Stmt Budget";"FY04_Liabilities",#N/A,FALSE,"Fin Stmt Budget";"FY04_Inc_Stmt",#N/A,FALSE,"Fin Stmt Budget";"FY04_SOCF",#N/A,FALSE,"Fin Stmt Budget"}</definedName>
    <definedName name="wrn.FY96sbp99" localSheetId="10" hidden="1">{#N/A,#N/A,FALSE,"FY97";#N/A,#N/A,FALSE,"FY98";#N/A,#N/A,FALSE,"FY99";#N/A,#N/A,FALSE,"FY00";#N/A,#N/A,FALSE,"FY01"}</definedName>
    <definedName name="wrn.FY97SBP." localSheetId="10" hidden="1">{#N/A,#N/A,FALSE,"FY97";#N/A,#N/A,FALSE,"FY98";#N/A,#N/A,FALSE,"FY99";#N/A,#N/A,FALSE,"FY00";#N/A,#N/A,FALSE,"FY01"}</definedName>
    <definedName name="wrn.FY97SBP2" localSheetId="10" hidden="1">{#N/A,#N/A,FALSE,"FY97";#N/A,#N/A,FALSE,"FY98";#N/A,#N/A,FALSE,"FY99";#N/A,#N/A,FALSE,"FY00";#N/A,#N/A,FALSE,"FY01"}</definedName>
    <definedName name="wrn.GCIall." localSheetId="10" hidden="1">{"gcicash",#N/A,FALSE,"GCIINC";"gciinc",#N/A,FALSE,"GCIINC";"gciexclusa",#N/A,FALSE,"GCIINC";"usatdy",#N/A,FALSE,"GCIINC"}</definedName>
    <definedName name="wrn.General._.OTC." localSheetId="10" hidden="1">{#N/A,#N/A,FALSE,"Title Page (3)";#N/A,#N/A,FALSE,"YTD - OTC";#N/A,#N/A,FALSE,"MTH - OTC"}</definedName>
    <definedName name="wrn.General._.Pharm." localSheetId="10" hidden="1">{#N/A,#N/A,FALSE,"Title Page (2)";#N/A,#N/A,FALSE,"YTD - Pharm";#N/A,#N/A,FALSE,"MTH - Pharm"}</definedName>
    <definedName name="wrn.General._.Total." localSheetId="10" hidden="1">{#N/A,#N/A,FALSE,"Title Page (4)";#N/A,#N/A,FALSE,"YTD - Total";#N/A,#N/A,FALSE,"MTH - Total"}</definedName>
    <definedName name="wrn.Gesamtausdruck._.alle._.Perioden." localSheetId="10" hidden="1">{"Alle Perioden",#N/A,FALSE,"Erf";"Alle Perioden",#N/A,FALSE,"Ang";"Alle Perioden",#N/A,FALSE,"BV";"Alle Perioden",#N/A,FALSE,"BE";"Alle Perioden",#N/A,FALSE,"Re";"Alle Perioden",#N/A,FALSE,"Vol";"Alle Perioden",#N/A,FALSE,"BV100";"Alle Perioden",#N/A,FALSE,"BE100";"Alle Perioden",#N/A,FALSE,"Re100";"Alle Perioden",#N/A,FALSE,"Vol100"}</definedName>
    <definedName name="wrn.Gesamtausdruck._.erste._.elf._.Perioden." localSheetId="10" hidden="1">{"Erste elf Perioden",#N/A,FALSE,"Erf";"Erste elf Perioden",#N/A,FALSE,"Ang";"Erste elf Perioden",#N/A,FALSE,"BV";"Erste elf Perioden",#N/A,FALSE,"BE";"Erste elf Perioden",#N/A,FALSE,"Re";"Erste elf Perioden",#N/A,FALSE,"Vol";"Erste elf Perioden",#N/A,FALSE,"BV100";"Erste elf Perioden",#N/A,FALSE,"BE100";"Erste elf Perioden",#N/A,FALSE,"Re100";"Erste elf Perioden",#N/A,FALSE,"Vol100"}</definedName>
    <definedName name="wrn.GIS." localSheetId="10" hidden="1">{#N/A,#N/A,FALSE,"GIS"}</definedName>
    <definedName name="wrn.GJE_NBR_7_Print_Job." localSheetId="10" hidden="1">{"Accrual_Calculation",#N/A,FALSE,"Comp Calc";"SJE#7",#N/A,FALSE,"GJE"}</definedName>
    <definedName name="wrn.graph." localSheetId="10" hidden="1">{"graph",#N/A,FALSE,"RIGCOUNT";"graph",#N/A,FALSE,"ON_OFFSHORE";"graph",#N/A,FALSE,"crewcnt";"graph",#N/A,FALSE,"OILvGAS";"graph",#N/A,FALSE,"OFF_RIGCOUNT";"graph",#N/A,FALSE,"indep perf";"graph",#N/A,FALSE,"oil serv perf"}</definedName>
    <definedName name="wrn.GRAPHS." localSheetId="10" hidden="1">{#N/A,#N/A,FALSE,"ACQ_GRAPHS";#N/A,#N/A,FALSE,"T_1 GRAPHS";#N/A,#N/A,FALSE,"T_2 GRAPHS";#N/A,#N/A,FALSE,"COMB_GRAPHS"}</definedName>
    <definedName name="wrn.gross._.margin._.detail." localSheetId="10" hidden="1">{"gross_margin1",#N/A,FALSE,"Gross Margin Detail";"gross_margin2",#N/A,FALSE,"Gross Margin Detail"}</definedName>
    <definedName name="wrn.Gross._.Profit._.Report." localSheetId="10" hidden="1">{"Monthly",#N/A,FALSE,"Phosphate Gross Profit";"Quarterly",#N/A,FALSE,"Phosphate Gross Profit"}</definedName>
    <definedName name="wrn.Group._.budget._.months._.only." localSheetId="10" hidden="1">{"Group Budget months only",#N/A,TRUE,"Profit and Loss";"Group Budget months only",#N/A,TRUE,"Firm capex";"Group Budget months only",#N/A,TRUE,"Gross profit analysis";"Group Budget months only",#N/A,TRUE,"Cashflow";"Group Budget months only",#N/A,TRUE,"Balance Sheet"}</definedName>
    <definedName name="wrn.Group._.budget._.years._.only." localSheetId="10" hidden="1">{"Group Budget years only",#N/A,TRUE,"Profit and Loss";"Group Budget years only",#N/A,TRUE,"Firm capex";"Group Budget years only",#N/A,TRUE,"Gross profit analysis";"Group Budget years only",#N/A,TRUE,"Cashflow";"Group Budget years only",#N/A,TRUE,"Balance Sheet"}</definedName>
    <definedName name="wrn.Growth." localSheetId="10" hidden="1">{#N/A,#N/A,FALSE,"Rev Grwth";#N/A,#N/A,FALSE,"Op Inc Grwth";#N/A,#N/A,FALSE,"Net Grwth";#N/A,#N/A,FALSE,"EPS Growth"}</definedName>
    <definedName name="wrn.Guillaume." localSheetId="10" hidden="1">{"MARCH",#N/A,FALSE,"CONSO OPEX 5899";"FullOpex",#N/A,FALSE,"CONSO OPEX 5899"}</definedName>
    <definedName name="wrn.HAMMOND." localSheetId="10"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NDOUT." localSheetId="10" hidden="1">{#N/A,#N/A,FALSE,"COVER PAGE";#N/A,#N/A,FALSE,"Page 2";#N/A,#N/A,FALSE,"Page 2";#N/A,#N/A,FALSE,"Page 4";#N/A,#N/A,FALSE,"Page5";#N/A,#N/A,FALSE,"Page 6";#N/A,#N/A,FALSE,"Page 7";#N/A,#N/A,FALSE,"Page 8";#N/A,#N/A,FALSE,"Page 10";#N/A,#N/A,FALSE,"Long-Term OCF Mult.";#N/A,#N/A,FALSE,"PCS Comp";#N/A,#N/A,FALSE,"OCS-CAPEX";#N/A,#N/A,FALSE,"Blank"}</definedName>
    <definedName name="wrn.HEAT." localSheetId="10" hidden="1">{#N/A,#N/A,FALSE,"Heat";#N/A,#N/A,FALSE,"DCF";#N/A,#N/A,FALSE,"LBO";#N/A,#N/A,FALSE,"A";#N/A,#N/A,FALSE,"C";#N/A,#N/A,FALSE,"impd";#N/A,#N/A,FALSE,"Accr-Dilu"}</definedName>
    <definedName name="wrn.historical." localSheetId="10"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_.performance." localSheetId="10" hidden="1">{"historical acquirer",#N/A,FALSE,"Historical Performance";"historical target",#N/A,FALSE,"Historical Performance"}</definedName>
    <definedName name="wrn.historical._.rev._.backup." localSheetId="10" hidden="1">{"rev_history_revenueDetail",#N/A,FALSE,"historical rev us";"rev_history_minutesDetail",#N/A,FALSE,"historical rev us"}</definedName>
    <definedName name="wrn.HNZ." localSheetId="10" hidden="1">{#N/A,#N/A,FALSE,"HNZ"}</definedName>
    <definedName name="wrn.HSSH._.budget._.months._.NLG." localSheetId="10"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localSheetId="10"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localSheetId="10" hidden="1">{"HSSH Budget years NLG",#N/A,TRUE,"Profit and Loss";"HSSH Budget years NLG",#N/A,TRUE,"Firm capex";"HSSH Budget years NLG",#N/A,TRUE,"Gross profit analysis";"HSSH Budget years NLG",#N/A,TRUE,"Cashflow";"HSSH Budget years NLG",#N/A,TRUE,"Balance Sheet"}</definedName>
    <definedName name="wrn.HSSH._.Budget._.years._.sterling." localSheetId="10" hidden="1">{"HSSH Budget years sterling",#N/A,TRUE,"Profit and Loss";"HSSH Budget years sterling",#N/A,TRUE,"Firm capex";"HSSH Budget years sterling",#N/A,TRUE,"Gross profit analysis";"HSSH Budget years sterling",#N/A,TRUE,"Cashflow";"HSSH Budget years sterling",#N/A,TRUE,"Balance Sheet"}</definedName>
    <definedName name="wrn.Hydraulic." localSheetId="10"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0" hidden="1">{#N/A,#N/A,FALSE,"HuscoCombined-Summ";#N/A,#N/A,FALSE,"HuscoCombined-Income";#N/A,#N/A,FALSE,"HuscoCombined-Offering";#N/A,#N/A,FALSE,"Husco-Income";#N/A,#N/A,FALSE,"TargetEngineer";#N/A,#N/A,FALSE,"TargetAcqCalc";#N/A,#N/A,FALSE,"Husco-Acq"}</definedName>
    <definedName name="wrn.IDPH." localSheetId="10" hidden="1">{"Rituxan Revenues",#N/A,FALSE,"B cell Revenues";"QEarn1",#N/A,FALSE,"Qearn";"QEarn2",#N/A,FALSE,"Qearn";"QMargin",#N/A,FALSE,"qmargin";"Cashflow",#N/A,FALSE,"cashflow";"Product Pipeline",#N/A,FALSE,"Product Pipeline"}</definedName>
    <definedName name="wrn.II._.PortRev33102." localSheetId="10" hidden="1">{#N/A,#N/A,TRUE,"Port Summary II";#N/A,#N/A,TRUE,"BV Valuation";#N/A,#N/A,TRUE,"FV Valuation";#N/A,#N/A,TRUE,"JRI";#N/A,#N/A,TRUE,"Weasler";#N/A,#N/A,TRUE,"Stronghaven";#N/A,#N/A,TRUE,"Connor";#N/A,#N/A,TRUE,"HWC";#N/A,#N/A,TRUE,"Temple"}</definedName>
    <definedName name="wrn.III." localSheetId="10" hidden="1">{"CASHFLOW",#N/A,FALSE,"Northpointe"}</definedName>
    <definedName name="wrn.III1." localSheetId="10" hidden="1">{"CASHFLOW",#N/A,FALSE,"Northpointe"}</definedName>
    <definedName name="wrn.Ilijan._.Print." localSheetId="10"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mp_sommaire." localSheetId="10" hidden="1">{"imp_Sommaire",#N/A,FALSE,"REV IMMOBILIER"}</definedName>
    <definedName name="wrn.imp_Tous." localSheetId="10" hidden="1">{"imp_0196",#N/A,FALSE,"0019";"imp_0000",#N/A,FALSE,"0000";"imp_0214",#N/A,FALSE,"0214";"imp_0143",#N/A,FALSE,"0143";"imp_0144",#N/A,FALSE,"0144";"imp_0154",#N/A,FALSE,"0154";"imp_0155",#N/A,FALSE,"0155";"imp_0161",#N/A,FALSE,"0161";"imp_0205",#N/A,FALSE,"0205";"imp_0196",#N/A,FALSE,"0196"}</definedName>
    <definedName name="wrn.Income." localSheetId="10" hidden="1">{#N/A,#N/A,TRUE,"Income";#N/A,#N/A,TRUE,"IncomeDetail";#N/A,#N/A,TRUE,"Balance";#N/A,#N/A,TRUE,"BalDetail"}</definedName>
    <definedName name="wrn.Income._.State." localSheetId="10" hidden="1">{#N/A,#N/A,FALSE,"Income statement";#N/A,#N/A,FALSE,"Income Statement by Plant"}</definedName>
    <definedName name="wrn.Income._.State._.and._.CapEx." localSheetId="10" hidden="1">{#N/A,#N/A,FALSE,"Income statement";#N/A,#N/A,FALSE,"Income Statement by Plant"}</definedName>
    <definedName name="wrn.INCOME._.STATEMENT." localSheetId="10" hidden="1">{"INCOME STATEMENT",#N/A,FALSE,"Income Statement"}</definedName>
    <definedName name="wrn.Income._.Statement._1" localSheetId="10" hidden="1">{"% Growth",#N/A,FALSE,"Income Statement";"% of GDAR",#N/A,FALSE,"Income Statement"}</definedName>
    <definedName name="wrn.Income._.Statement._1_1" localSheetId="10" hidden="1">{"% Growth",#N/A,FALSE,"Income Statement";"% of GDAR",#N/A,FALSE,"Income Statement"}</definedName>
    <definedName name="wrn.Income._.Statement._1_2" localSheetId="10" hidden="1">{"% Growth",#N/A,FALSE,"Income Statement";"% of GDAR",#N/A,FALSE,"Income Statement"}</definedName>
    <definedName name="wrn.Income._.Statement._1_3" localSheetId="10" hidden="1">{"% Growth",#N/A,FALSE,"Income Statement";"% of GDAR",#N/A,FALSE,"Income Statement"}</definedName>
    <definedName name="wrn.Income._.Statement._1_4" localSheetId="10" hidden="1">{"% Growth",#N/A,FALSE,"Income Statement";"% of GDAR",#N/A,FALSE,"Income Statement"}</definedName>
    <definedName name="wrn.Income._.Statement._2" localSheetId="10" hidden="1">{"% Growth",#N/A,FALSE,"Income Statement";"% of GDAR",#N/A,FALSE,"Income Statement"}</definedName>
    <definedName name="wrn.Income._.Statement._3" localSheetId="10" hidden="1">{"% Growth",#N/A,FALSE,"Income Statement";"% of GDAR",#N/A,FALSE,"Income Statement"}</definedName>
    <definedName name="wrn.Income._.Statement._4" localSheetId="10" hidden="1">{"% Growth",#N/A,FALSE,"Income Statement";"% of GDAR",#N/A,FALSE,"Income Statement"}</definedName>
    <definedName name="wrn.Income._.Statement._5" localSheetId="10" hidden="1">{"% Growth",#N/A,FALSE,"Income Statement";"% of GDAR",#N/A,FALSE,"Income Statement"}</definedName>
    <definedName name="wrn.Income._.Statements." localSheetId="10" hidden="1">{"Income Statement",#N/A,FALSE,"P&amp;L - $";"Quarterly Income Statement",#N/A,FALSE,"P&amp;L Detail"}</definedName>
    <definedName name="wrn.INDEPS." localSheetId="10" hidden="1">{"page1",#N/A,FALSE,"TIND_CC1";"page2",#N/A,FALSE,"TIND_CC1";"page3",#N/A,FALSE,"TIND_CC1";"page4",#N/A,FALSE,"TIND_CC1";"page5",#N/A,FALSE,"TIND_CC1"}</definedName>
    <definedName name="wrn.Individual._.Statements." localSheetId="10" hidden="1">{"barlup",#N/A,FALSE,"evabnk97";"gillespey",#N/A,FALSE,"evabnk97";"koon",#N/A,FALSE,"evabnk97";"schreur",#N/A,FALSE,"evabnk97";"stone",#N/A,FALSE,"evabnk97";"wichmann",#N/A,FALSE,"evabnk97";"wright",#N/A,FALSE,"evabnk97"}</definedName>
    <definedName name="wrn.Industry.xls." localSheetId="10" hidden="1">{#N/A,#N/A,FALSE,"Earnings";#N/A,#N/A,FALSE,"Overview";#N/A,#N/A,FALSE,"Summary";#N/A,#N/A,FALSE,"Summary II";#N/A,#N/A,FALSE,"R&amp;D";#N/A,#N/A,FALSE,"R&amp;D Forecast";#N/A,#N/A,FALSE,"Tax Adj";#N/A,#N/A,FALSE,"Goodwill";#N/A,#N/A,FALSE,"FX ";#N/A,#N/A,FALSE,"Consolidation";#N/A,#N/A,FALSE,"Provisions"}</definedName>
    <definedName name="wrn.Infectious._.Diseases." localSheetId="10" hidden="1">{#N/A,#N/A,FALSE,"Anti";#N/A,#N/A,FALSE,"Cefa";#N/A,#N/A,FALSE,"Ceph";#N/A,#N/A,FALSE,"Cefp";#N/A,#N/A,FALSE,"Cefe";#N/A,#N/A,FALSE,"Pens";#N/A,#N/A,FALSE,"Ampi";#N/A,#N/A,FALSE,"Amox";#N/A,#N/A,FALSE,"Isox";#N/A,#N/A,FALSE,"Aztr";#N/A,#N/A,FALSE,"Videx";#N/A,#N/A,FALSE,"Zerit"}</definedName>
    <definedName name="wrn.info." localSheetId="10" hidden="1">{#N/A,#N/A,FALSE,"INFORMATIQUE"}</definedName>
    <definedName name="wrn.input._.and._.output." localSheetId="10" hidden="1">{"EBITDA",#N/A,TRUE,"P&amp;L Net of Disc Ops";"output net of disc ops",#N/A,TRUE,"Revenue";"input",#N/A,TRUE,"Revenue";"output",#N/A,TRUE,"DC";"Input",#N/A,TRUE,"DC";"MTN and MCN",#N/A,TRUE,"Margin";"output detail line items",#N/A,TRUE,"SGA";"personnel by year",#N/A,TRUE,"Payroll";#N/A,#N/A,TRUE,"CapEx"}</definedName>
    <definedName name="wrn.Input._.Print._.Area." localSheetId="10" hidden="1">{#N/A,#N/A,FALSE,"inputs";#N/A,#N/A,FALSE,"inputs"}</definedName>
    <definedName name="wrn.Inputs." localSheetId="10" hidden="1">{"ABF inputs",#N/A,FALSE,"ABF";"ICI inputs",#N/A,FALSE,"ICI"}</definedName>
    <definedName name="wrn.Instructor._.Tips." localSheetId="10"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ternal." localSheetId="10" hidden="1">{#N/A,#N/A,TRUE,"COVER INT";#N/A,#N/A,TRUE,"SUMMARY INT";#N/A,#N/A,TRUE,"INCOME STMT INT";#N/A,#N/A,TRUE,"IS TREND";#N/A,#N/A,TRUE,"BALANCE SHEET INT";#N/A,#N/A,TRUE,"BS TREND";#N/A,#N/A,TRUE,"CASH FLOW INT";#N/A,#N/A,TRUE,"CF TREND";#N/A,#N/A,TRUE,"SALES BY TERR INT";#N/A,#N/A,TRUE,"UNITS INT";#N/A,#N/A,TRUE,"PRODUCT SALES INT";#N/A,#N/A,TRUE,"ASP's INT";#N/A,#N/A,TRUE,"GROSS MARGINS INT";#N/A,#N/A,TRUE,"MARGINS PER UNIT INT";#N/A,#N/A,TRUE,"INVENTORY INT";#N/A,#N/A,TRUE,"HEADCOUNT INT";#N/A,#N/A,TRUE,"DEBT STRUCTURE Int";#N/A,#N/A,TRUE," AR"}</definedName>
    <definedName name="wrn.Internal._.Report._.for._.Martha." localSheetId="10"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vestment._.Summary." localSheetId="10" hidden="1">{#N/A,#N/A,TRUE,"Summary";#N/A,#N/A,TRUE,"Financials";#N/A,#N/A,TRUE,"Assumptions";#N/A,#N/A,TRUE,"Pro Forma";#N/A,#N/A,TRUE,"Debt";#N/A,#N/A,TRUE,"Amortization";#N/A,#N/A,TRUE,"GG Returns"}</definedName>
    <definedName name="wrn.IPIX." localSheetId="10" hidden="1">{#N/A,#N/A,FALSE,"Report Print"}</definedName>
    <definedName name="wrn.IPO." localSheetId="10" hidden="1">{#N/A,#N/A,FALSE,"Summary";#N/A,#N/A,FALSE,"Jan'97";#N/A,#N/A,FALSE,"Feb'97";#N/A,#N/A,FALSE,"Mar'97";#N/A,#N/A,FALSE,"Apr'97";#N/A,#N/A,FALSE,"May'97";#N/A,#N/A,FALSE,"Jun'97";#N/A,#N/A,FALSE,"Jul'97";#N/A,#N/A,FALSE,"Aug'97";#N/A,#N/A,FALSE,"Sept'97";#N/A,#N/A,FALSE,"Oct'97";#N/A,#N/A,FALSE,"Nov'97";#N/A,#N/A,FALSE,"Dec'97";#N/A,#N/A,FALSE,"Pending"}</definedName>
    <definedName name="wrn.IPO._.1998." localSheetId="10" hidden="1">{#N/A,#N/A,FALSE,"Summary";#N/A,#N/A,FALSE,"Pending";#N/A,#N/A,FALSE,"Jan'98";#N/A,#N/A,FALSE,"Feb'98";#N/A,#N/A,FALSE,"Mar'98";#N/A,#N/A,FALSE,"Apr'98";#N/A,#N/A,FALSE,"May'98";#N/A,#N/A,FALSE,"June'98";#N/A,#N/A,FALSE,"July'98"}</definedName>
    <definedName name="wrn.IPO._.Analysis." localSheetId="10" hidden="1">{#N/A,#N/A,FALSE,"Summary";#N/A,#N/A,FALSE,"Pending";#N/A,#N/A,FALSE,"Oct'97";#N/A,#N/A,FALSE,"Sept'97";#N/A,#N/A,FALSE,"Aug'97";#N/A,#N/A,FALSE,"Jul'97";#N/A,#N/A,FALSE,"Jun'97";#N/A,#N/A,FALSE,"May'97";#N/A,#N/A,FALSE,"Apr'97";#N/A,#N/A,FALSE,"Mar'97";#N/A,#N/A,FALSE,"Feb'97";#N/A,#N/A,FALSE,"Jan'97"}</definedName>
    <definedName name="wrn.IPO._.Valuation." localSheetId="10" hidden="1">{"assumptions",#N/A,FALSE,"Scenario 1";"valuation",#N/A,FALSE,"Scenario 1"}</definedName>
    <definedName name="wrn.ipovalue." localSheetId="10" hidden="1">{#N/A,#N/A,FALSE,"puboff";#N/A,#N/A,FALSE,"valuation";#N/A,#N/A,FALSE,"finanalsis";#N/A,#N/A,FALSE,"split";#N/A,#N/A,FALSE,"ownership"}</definedName>
    <definedName name="wrn.IS._.Q96." localSheetId="10" hidden="1">{"IS Q96",#N/A,FALSE,"Income Statement"}</definedName>
    <definedName name="wrn.IS._.Q97." localSheetId="10" hidden="1">{"IS Q97",#N/A,FALSE,"Income Statement"}</definedName>
    <definedName name="wrn.IS._.Years." localSheetId="10" hidden="1">{"IS Years",#N/A,FALSE,"Income Statement"}</definedName>
    <definedName name="wrn.IS_BS_SCF." localSheetId="10" hidden="1">{#N/A,#N/A,FALSE,"Income Statement";#N/A,#N/A,FALSE,"Balance Sheet";#N/A,#N/A,FALSE,"Cash Flow"}</definedName>
    <definedName name="wrn.ISCG._.model." localSheetId="10" hidden="1">{#N/A,#N/A,FALSE,"Second";#N/A,#N/A,FALSE,"ownership";#N/A,#N/A,FALSE,"Valuation";#N/A,#N/A,FALSE,"Eqiv";#N/A,#N/A,FALSE,"Mults";#N/A,#N/A,FALSE,"ISCG Graphics"}</definedName>
    <definedName name="wrn.IV." localSheetId="10" hidden="1">{"CASHFLOW",#N/A,FALSE,"Northpointe"}</definedName>
    <definedName name="wrn.JANI._.REBATES." localSheetId="10" hidden="1">{"TOTAL",#N/A,FALSE,"A";"FISCAL94",#N/A,FALSE,"A";"FISCAL95",#N/A,FALSE,"A";"FISCAL96",#N/A,FALSE,"A";"misc page",#N/A,FALSE,"A"}</definedName>
    <definedName name="wrn.jerrys_copy." localSheetId="10"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ODM._.Graphs." localSheetId="10" hidden="1">{"graph",#N/A,FALSE,"WWJU";"graph",#N/A,FALSE,"WWSEM";"graph",#N/A,FALSE,"GOMJU";"graph",#N/A,FALSE,"GOMSEM";"graph",#N/A,FALSE,"NSJU";"graph",#N/A,FALSE,"NSSEM";"graph",#N/A,FALSE,"WAJU";"graph",#N/A,FALSE,"STOCKPRI";"graph",#N/A,FALSE,"CFTEV";"graph",#N/A,FALSE,"NAV-RCV";"graph",#N/A,FALSE,"CRUDEWW"}</definedName>
    <definedName name="wrn.July._.Final." localSheetId="10" hidden="1">{#N/A,#N/A,TRUE,"Mth Sum";#N/A,#N/A,TRUE,"YTD Sum";#N/A,#N/A,TRUE,"Mth Rev Sum";#N/A,#N/A,TRUE,"YTD Rev Sum";#N/A,#N/A,TRUE,"SC vs Pr Month (Revised)";#N/A,#N/A,TRUE,"SVC Detail Mth vs Pr Mth (Rev)";#N/A,#N/A,TRUE,"SGA (Elem) vs Pr Month";#N/A,#N/A,TRUE,"SGA (BU) vs Pr Mth";#N/A,#N/A,TRUE,"SC vs Plan (Revised)";#N/A,#N/A,TRUE,"SVC Detail Mth vsPlan (Rev)";#N/A,#N/A,TRUE,"SGA (Elem) vs Plan";#N/A,#N/A,TRUE,"SGA (BU) vs Plan(Rev)";#N/A,#N/A,TRUE,"SC vs YTD 00 (Revised)";#N/A,#N/A,TRUE,"SGA (Elem) vs YTD 00";#N/A,#N/A,TRUE,"SGA (BU) YTD vs YTD 00";#N/A,#N/A,TRUE,"SC vs YTD Plan (Revised)";#N/A,#N/A,TRUE,"SVC YTD Detail Mth vsPlan (Rev)";#N/A,#N/A,TRUE,"SGA (Elem) vs YTD Plan";#N/A,#N/A,TRUE,"SGA (BU) YTD vs Plan(Rev)";#N/A,#N/A,TRUE,"CapExp";#N/A,#N/A,TRUE,"EBITDA(Flash)";#N/A,#N/A,TRUE,"NetInc(Flash)";#N/A,#N/A,TRUE,"Gross Margin(Flash)";#N/A,#N/A,TRUE,"Mth trends(Flash)";#N/A,#N/A,TRUE,"HeadcountP01";#N/A,#N/A,TRUE,"Headcount P00";#N/A,#N/A,TRUE,"Inc. Statement";#N/A,#N/A,TRUE,"Balance Sheet";#N/A,#N/A,TRUE,"Cash Flow"}</definedName>
    <definedName name="wrn.July._.Presentation." localSheetId="10" hidden="1">{#N/A,#N/A,FALSE,"Revised Plan description";#N/A,#N/A,FALSE,"Mth Sum";#N/A,#N/A,FALSE,"YTD Sum";#N/A,#N/A,FALSE,"Mth Rev Sum";#N/A,#N/A,FALSE,"YTD Rev Sum";#N/A,#N/A,FALSE,"Direct Margin";#N/A,#N/A,FALSE,"Data MarginvsPlan";#N/A,#N/A,FALSE,"Local MarginvsPlan";#N/A,#N/A,FALSE,"Internet MarginvsPlan";#N/A,#N/A,FALSE,"LD Margin vs Plan ";#N/A,#N/A,FALSE,"Data Margin YTDvsPlan";#N/A,#N/A,FALSE,"Local Margin YTDvsPlan";#N/A,#N/A,FALSE,"Internet Margin YTDvsPlan";#N/A,#N/A,FALSE,"LD Margin YTD vs Plan";#N/A,#N/A,FALSE,"SC vs Pr Month ";#N/A,#N/A,FALSE,"SVC Detail Mth vs Pr Mth";#N/A,#N/A,FALSE,"Ind vs Pr Month ";#N/A,#N/A,FALSE,"SGA (Elem) vs Pr Month";#N/A,#N/A,FALSE,"SGA (BU) vs Pr Mth";#N/A,#N/A,FALSE,"SC vs Plan";#N/A,#N/A,FALSE,"SVC Detail Mth vsPlan ";#N/A,#N/A,FALSE,"Ind vs Plan";#N/A,#N/A,FALSE,"SGA (Elem) vs Plan";#N/A,#N/A,FALSE,"SGA (BU) vs Plan";#N/A,#N/A,FALSE,"SC vs YTD 00";#N/A,#N/A,FALSE,"SGA (Elem) vs YTD 00";#N/A,#N/A,FALSE,"SGA (BU) YTD vs YTD 00";#N/A,#N/A,FALSE,"SC vs YTD Plan ";#N/A,#N/A,FALSE,"SVC YTD Detail Mth vsPlan ";#N/A,#N/A,FALSE,"SGA (Elem) vs YTD Plan";#N/A,#N/A,FALSE,"SGA (BU) YTD vs Plan";#N/A,#N/A,FALSE,"CapExp";#N/A,#N/A,FALSE,"EBITDA";#N/A,#N/A,FALSE,"Mth trends";#N/A,#N/A,FALSE,"Inc. Statement";#N/A,#N/A,FALSE,"Balance Sheet";#N/A,#N/A,FALSE,"Cash Flow"}</definedName>
    <definedName name="wrn.Just._.Sorts." localSheetId="10" hidden="1">{#N/A,#N/A,FALSE,"Hi";#N/A,#N/A,FALSE,"Lo";#N/A,#N/A,FALSE,"Mkt. Cap";#N/A,#N/A,FALSE,"Alpha"}</definedName>
    <definedName name="wrn.K." localSheetId="10" hidden="1">{#N/A,#N/A,FALSE,"K"}</definedName>
    <definedName name="wrn.K3._.Annual." localSheetId="10" hidden="1">{"K3Cash",#N/A,FALSE,"Ann";"K3Income",#N/A,FALSE,"Ann";"K3Educ",#N/A,FALSE,"Ann";"K3media",#N/A,FALSE,"Ann";"K3Info",#N/A,FALSE,"Ann";"K3Valuation",#N/A,FALSE,"Ann"}</definedName>
    <definedName name="wrn.K3._.Quarterly." localSheetId="10" hidden="1">{"K3 first",#N/A,FALSE,"Qtr.";"K3 second",#N/A,FALSE,"Qtr.";"K3 Third",#N/A,FALSE,"Qtr.";"K3 Fourth",#N/A,FALSE,"Qtr.";"K3 Full",#N/A,FALSE,"Qtr."}</definedName>
    <definedName name="wrn.kriall." localSheetId="10" hidden="1">{"kricash",#N/A,FALSE,"INC";"kriinc",#N/A,FALSE,"INC";"krimiami",#N/A,FALSE,"INC";"kriother",#N/A,FALSE,"INC";"kripapers",#N/A,FALSE,"INC"}</definedName>
    <definedName name="wrn.LBO._.Summary." localSheetId="10" hidden="1">{"LBO Summary",#N/A,FALSE,"Summary"}</definedName>
    <definedName name="wrn.Lease_Deli." localSheetId="10" hidden="1">{#N/A,#N/A,FALSE,"COVER";#N/A,#N/A,FALSE,"Index";#N/A,#N/A,FALSE,"Non-Earning";#N/A,#N/A,FALSE,"Non-Earning-Recovery";#N/A,#N/A,FALSE,"Leasing_Equipo";#N/A,#N/A,FALSE,"Leasing_Auto";#N/A,#N/A,FALSE,"Leasing_Legal"}</definedName>
    <definedName name="wrn.liab." localSheetId="10" hidden="1">{#N/A,#N/A,FALSE,"BSCON894"}</definedName>
    <definedName name="wrn.LM._.Gear." localSheetId="10" hidden="1">{"LM Gear IS",#N/A,FALSE,"LM Gear - IS";"LM Gear BS",#N/A,FALSE,"LM Gear BS";"LM Gear Detail IS",#N/A,FALSE,"LM Gear - Detail IS";"LM Gear Detail IS Supplemental Info",#N/A,FALSE,"LM Gear - Detail IS";"LM Gear Monthly 1999",#N/A,FALSE,"LM Gear Monthly";"LM Gear Monthly 1998",#N/A,FALSE,"LM Gear Monthly";"LM Gear Monthly 1997",#N/A,FALSE,"LM Gear Monthly"}</definedName>
    <definedName name="wrn.LP._.Committee._.Book." localSheetId="1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June._.13.._.2000." localSheetId="1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UXCOS." localSheetId="10" hidden="1">{"LUX_ASSET",#N/A,FALSE,"CII-Q494.XLS";"LUX_LIAB",#N/A,FALSE,"CII-Q494.XLS";"LUX_INC",#N/A,FALSE,"CII-Q494.XLS";"LUXje",#N/A,FALSE,"CII-Q494.XLS"}</definedName>
    <definedName name="wrn.m_cash." localSheetId="10" hidden="1">{"cash_marc",#N/A,FALSE,"dec95cr.xls"}</definedName>
    <definedName name="wrn.Mahmoud." localSheetId="10" hidden="1">{#N/A,#N/A,FALSE,"Objectives"}</definedName>
    <definedName name="wrn.Main._.Fields." localSheetId="1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Report._.All._.Sections." localSheetId="10"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e." localSheetId="10" hidden="1">{"Assumptions",#N/A,TRUE,"Assumptions";"Income",#N/A,TRUE,"Income";"Balance",#N/A,TRUE,"Balance"}</definedName>
    <definedName name="wrn.Maine2." localSheetId="10"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nagement._.Control._.Report." localSheetId="10" hidden="1">{#N/A,#N/A,TRUE,"Sheet1 (2)";#N/A,#N/A,TRUE,"Sheet1 (3)";#N/A,#N/A,TRUE,"Sheet1 (4)";#N/A,#N/A,TRUE,"Sheet1 (5)";#N/A,#N/A,TRUE,"Sheet1 (8)";#N/A,#N/A,TRUE,"Sheet1 (9)";#N/A,#N/A,TRUE,"Sheet1 (10)";#N/A,#N/A,TRUE,"Sheet1 (6)";#N/A,#N/A,TRUE,"Sheet1 (7)";#N/A,#N/A,TRUE,"Sheet1 (11)";#N/A,#N/A,TRUE,"Sheet2 (2)";#N/A,#N/A,TRUE,"Sheet3 (2)";#N/A,#N/A,TRUE,"Sheet4 (2)";#N/A,#N/A,TRUE,"Sheet9 (2)";#N/A,#N/A,TRUE,"Sheet8 (2)";#N/A,#N/A,TRUE,"Sheet7 (2)";#N/A,#N/A,TRUE,"Sheet5 (2)";#N/A,#N/A,TRUE,"Sheet2 (3)";#N/A,#N/A,TRUE,"Sheet6 (2)";#N/A,#N/A,TRUE,"Sheet 6A";#N/A,#N/A,TRUE,"Sheet2 (4)";#N/A,#N/A,TRUE,"Sheet2 (5)";#N/A,#N/A,TRUE,"Sheet3 (3)";#N/A,#N/A,TRUE,"Sheet3 (4)";#N/A,#N/A,TRUE,"Sheet4 (3)";#N/A,#N/A,TRUE,"Sheet4 (4)";#N/A,#N/A,TRUE,"Sheet8 (3)";#N/A,#N/A,TRUE,"Sheet8 (4)";#N/A,#N/A,TRUE,"Sheet5 (3)";#N/A,#N/A,TRUE,"Sheet5 (4)";#N/A,#N/A,TRUE,"Sheet10 (2)";#N/A,#N/A,TRUE,"Sheet7 (3)";#N/A,#N/A,TRUE,"Sheet6 (3)";#N/A,#N/A,TRUE,"Sheet5 (5)";#N/A,#N/A,TRUE,"Sheet9 (3)";#N/A,#N/A,TRUE,"Sheet4 (5)";#N/A,#N/A,TRUE,"Sheet12 (2)";#N/A,#N/A,TRUE,"Sheet11 (2)";#N/A,#N/A,TRUE,"Sheet13 (2)";#N/A,#N/A,TRUE,"Sheet14 (2)";#N/A,#N/A,TRUE,"Sheet15 (2)";#N/A,#N/A,TRUE,"Sheet16 (2)";#N/A,#N/A,TRUE,"Sheet1 (12)";#N/A,#N/A,TRUE,"Sheet3 (5)";#N/A,#N/A,TRUE,"Sheet7 (4)";#N/A,#N/A,TRUE,"Sheet2 (6)";#N/A,#N/A,TRUE,"sheet1 (13)";#N/A,#N/A,TRUE,"sheet2 (7)";#N/A,#N/A,TRUE,"sheet10 (3)";#N/A,#N/A,TRUE,"sheet11 (3)";#N/A,#N/A,TRUE,"sheet3 (6)";#N/A,#N/A,TRUE,"sheet4 (6)";#N/A,#N/A,TRUE,"sheet5 (6)";#N/A,#N/A,TRUE,"sheet6 (4)";#N/A,#N/A,TRUE,"sheet7 (5)";#N/A,#N/A,TRUE,"sheet8 (5)";#N/A,#N/A,TRUE,"sheet9 (4)";#N/A,#N/A,TRUE,"Sheet1 (14)";#N/A,#N/A,TRUE,"Sheet2 (8)";#N/A,#N/A,TRUE,"Sheet3 (8)";#N/A,#N/A,TRUE,"Sheet3 (7)";#N/A,#N/A,TRUE,"Sheet4 (7)";#N/A,#N/A,TRUE,"Sheet5 (7)";#N/A,#N/A,TRUE,"Sheet6 (5)";#N/A,#N/A,TRUE,"Sheet1";#N/A,#N/A,TRUE,"Sheet2"}</definedName>
    <definedName name="wrn.March._.Financials." localSheetId="10" hidden="1">{"Statement of Income",#N/A,TRUE,"Mar99";"Balance Sheet",#N/A,TRUE,"Mar99"}</definedName>
    <definedName name="wrn.MARGIN." localSheetId="10" hidden="1">{#N/A,#N/A,TRUE,"MAR";#N/A,#N/A,TRUE,"MAR_2"}</definedName>
    <definedName name="wrn.Margins." localSheetId="10" hidden="1">{#N/A,#N/A,FALSE,"Margins - GrossR&amp;D";#N/A,#N/A,FALSE,"Margins - sg&amp;a";#N/A,#N/A,FALSE,"Margins - Oper-net"}</definedName>
    <definedName name="wrn.Mason._.Deliverables." localSheetId="10" hidden="1">{#N/A,#N/A,FALSE,"Data &amp; Key Results";#N/A,#N/A,FALSE,"Summary Template";#N/A,#N/A,FALSE,"Budget";#N/A,#N/A,FALSE,"Present Value Comparison";#N/A,#N/A,FALSE,"Cashflow";#N/A,#N/A,FALSE,"Income";#N/A,#N/A,FALSE,"Inputs"}</definedName>
    <definedName name="wrn.Master." localSheetId="10" hidden="1">{#N/A,#N/A,TRUE,"ProFormaProfit";#N/A,#N/A,TRUE,"ProFormaCash";#N/A,#N/A,TRUE,"Depreciation";#N/A,#N/A,TRUE,"Assets";#N/A,#N/A,TRUE,"Revenue";#N/A,#N/A,TRUE,"EstimatedPurchase"}</definedName>
    <definedName name="wrn.Master_Income." localSheetId="10" hidden="1">{"Annual_Income",#N/A,FALSE,"Master Model";"Quarterly_Income",#N/A,FALSE,"Master Model"}</definedName>
    <definedName name="wrn.MCCRK." localSheetId="10" hidden="1">{#N/A,#N/A,FALSE,"MCCRK"}</definedName>
    <definedName name="wrn.MDA._.Tables." localSheetId="10" hidden="1">{#N/A,#N/A,TRUE,"Sel Fn Data QTD";#N/A,#N/A,TRUE,"TABLE_1 SPREAD ANALYSIS";#N/A,#N/A,TRUE,"Tables 2 to 3 PL";#N/A,#N/A,TRUE,"Tables 4 and 5 ALLL";#N/A,#N/A,TRUE,"Tables 6 to 8 ALLL NPA";#N/A,#N/A,TRUE,"Table 9 to 10 - Balance Sheet";#N/A,#N/A,TRUE,"Table 11 to 12 - Equity"}</definedName>
    <definedName name="wrn.MDA._.TABLES._.10Q." localSheetId="10" hidden="1">{#N/A,#N/A,FALSE,"Table 1 QTD";#N/A,#N/A,FALSE,"Table 1 YTD";#N/A,#N/A,FALSE,"Tables 2 to 4 PL";#N/A,#N/A,FALSE,"Tables 5 to 9 ALLL";#N/A,#N/A,FALSE,"Table 10 to 13 - Balance Sheet"}</definedName>
    <definedName name="wrn.MDA_TABLES._.10K." localSheetId="10"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Q." localSheetId="10" hidden="1">{#N/A,#N/A,TRUE,"Sel Fn Data QTD";#N/A,#N/A,TRUE,"Table 1 YTD";#N/A,#N/A,TRUE,"Table 1 QTD";#N/A,#N/A,TRUE,"Tables 2 to 3 PL";#N/A,#N/A,TRUE,"Tables 4 and 5ALLL";#N/A,#N/A,TRUE,"Tables 6 to 8 ALLL ";#N/A,#N/A,TRUE,"Table 9 to 12 - Balance Sheet"}</definedName>
    <definedName name="wrn.MDA_TABLES._.10Q._.SEPT." localSheetId="10" hidden="1">{#N/A,#N/A,TRUE,"Sel Fn Data QTD";#N/A,#N/A,TRUE,"Table 1 YTD";#N/A,#N/A,TRUE,"Tables 2 to 4 PL";#N/A,#N/A,TRUE,"Tables 5 to 9 ALLL";#N/A,#N/A,TRUE,"Table 10 to 13 - Balance Sheet"}</definedName>
    <definedName name="wrn.MEDI." localSheetId="10" hidden="1">{"Revenues",#N/A,FALSE,"Revenues";"QEarn1",#N/A,FALSE,"Qearn";"QEarn2",#N/A,FALSE,"Qearn";"QMargin",#N/A,FALSE,"Qmargin";"Cashflow",#N/A,FALSE,"Cashflow";"Product Pipeline",#N/A,FALSE,"Product Pipeline";"First Call Tables",#N/A,FALSE,"First Call Tables";"Comment P&amp;L",#N/A,FALSE,"Comment P&amp;L"}</definedName>
    <definedName name="wrn.merge." localSheetId="10" hidden="1">{#N/A,#N/A,FALSE,"IPO";#N/A,#N/A,FALSE,"DCF";#N/A,#N/A,FALSE,"LBO";#N/A,#N/A,FALSE,"MULT_VAL";#N/A,#N/A,FALSE,"Status Quo";#N/A,#N/A,FALSE,"Recap"}</definedName>
    <definedName name="wrn.Merger." localSheetId="10" hidden="1">{#N/A,#N/A,FALSE,"Overview";#N/A,#N/A,FALSE,"Summary";#N/A,#N/A,FALSE,"Unph Hist";#N/A,#N/A,FALSE,"Combination";#N/A,#N/A,FALSE,"IOC Proj Base";#N/A,#N/A,FALSE,"Bal";#N/A,#N/A,FALSE,"IOC Bal";#N/A,#N/A,FALSE,"IOC CF";#N/A,#N/A,FALSE,"UNPH Proj"}</definedName>
    <definedName name="wrn.merger._.analysis." localSheetId="10"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 localSheetId="10"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I" localSheetId="10"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II" localSheetId="10"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V" localSheetId="10"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hpall." localSheetId="10" hidden="1">{"mhpcash",#N/A,FALSE,"MHPNEWX";"mhpinc",#N/A,FALSE,"MHPNEWX";"mhptax",#N/A,FALSE,"MHPNEWX";"mhpbroad",#N/A,FALSE,"MHPNEWX";"mhpeduc",#N/A,FALSE,"MHPNEWX";"mhpfin",#N/A,FALSE,"MHPNEWX";"mhpinfo",#N/A,FALSE,"MHPNEWX"}</definedName>
    <definedName name="wrn.mikes_copy." localSheetId="10"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LLARES." localSheetId="10" hidden="1">{#N/A,#N/A,TRUE,"RESUMEN ECON.";#N/A,#N/A,TRUE,"Costos de R.H.";#N/A,#N/A,TRUE,"COSTO HW";#N/A,#N/A,TRUE,"CUADROS";#N/A,#N/A,TRUE,"SCADA´s";#N/A,#N/A,TRUE,"PRECIOS EQUIPOS"}</definedName>
    <definedName name="wrn.model." localSheetId="10" hidden="1">{"page1",#N/A,FALSE,"GIRLBO";"page2",#N/A,FALSE,"GIRLBO";"page3",#N/A,FALSE,"GIRLBO";"page4",#N/A,FALSE,"GIRLBO";"page5",#N/A,FALSE,"GIRLBO"}</definedName>
    <definedName name="wrn.Month." localSheetId="10" hidden="1">{#N/A,#N/A,FALSE,"Comp Balance";#N/A,#N/A,FALSE,"Sum Balance ";#N/A,#N/A,FALSE,"Balance Trend";#N/A,#N/A,FALSE,"Comp PL";#N/A,#N/A,FALSE,"PL";#N/A,#N/A,FALSE,"Sum PL";#N/A,#N/A,FALSE,"PL Trend";#N/A,#N/A,FALSE,"Change"}</definedName>
    <definedName name="wrn.Month._.End._.Print._.Out." localSheetId="10"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 localSheetId="10" hidden="1">{#N/A,#N/A,FALSE,"SUMMARY";#N/A,#N/A,FALSE,"DETAIL";#N/A,#N/A,FALSE,"VARIANCE"}</definedName>
    <definedName name="wrn.MONTH_REPORT." localSheetId="10" hidden="1">{#N/A,#N/A,TRUE,"ALLL";#N/A,#N/A,TRUE,"DEL";#N/A,#N/A,TRUE,"Reserve Analysis";#N/A,#N/A,TRUE,"C_OFF HISTORY";#N/A,#N/A,TRUE,"ALLL_QTR";#N/A,#N/A,TRUE,"HEA_M";#N/A,#N/A,TRUE,"BL_DET";#N/A,#N/A,TRUE,"3YRS+";#N/A,#N/A,TRUE,"CONSTR_DET"}</definedName>
    <definedName name="wrn.MONTH_REPORT_BOD." localSheetId="10" hidden="1">{#N/A,#N/A,FALSE,"HEA_M";#N/A,#N/A,FALSE,"ALLL";#N/A,#N/A,FALSE,"DEL";#N/A,#N/A,FALSE,"Reserve Analysis";#N/A,#N/A,FALSE,"C_OFF HISTORY";#N/A,#N/A,FALSE,"ALLL_QTR"}</definedName>
    <definedName name="wrn.Month_Report_Mgmt." localSheetId="10"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ly._.Financials." localSheetId="10" hidden="1">{#N/A,#N/A,FALSE,"mfg - consol";#N/A,#N/A,FALSE,"mfg - flo";#N/A,#N/A,FALSE,"mfg - lindsay"}</definedName>
    <definedName name="wrn.MONTHLY._.INVENTORY._.SCHEDULE." localSheetId="10" hidden="1">{#N/A,#N/A,FALSE,"Sheet1";#N/A,#N/A,FALSE,"Sheet2";#N/A,#N/A,FALSE,"Sheet3";#N/A,#N/A,FALSE,"Sheet4";#N/A,#N/A,FALSE,"Sheet5";#N/A,#N/A,FALSE,"Sheet6"}</definedName>
    <definedName name="wrn.Monthly._.Report." localSheetId="10" hidden="1">{#N/A,#N/A,FALSE,"Summary Page";#N/A,#N/A,FALSE,"Collections Listing";#N/A,#N/A,FALSE,"Lessee 60 days past due";#N/A,#N/A,FALSE,"Revenues--Lend Base JP Morgan";#N/A,#N/A,FALSE,"JP Morgan Debt Amort Schedule";#N/A,#N/A,FALSE,"Covenant Analysis"}</definedName>
    <definedName name="wrn.Months." localSheetId="10" hidden="1">{"Curr Month",#N/A,FALSE,"Curr Mo";"All Months",#N/A,FALSE,"Curr Mo";"YTD",#N/A,FALSE,"Curr Mo";"1001",#N/A,FALSE,"Curr Mo";"1002",#N/A,FALSE,"Curr Mo";"4012",#N/A,FALSE,"Curr Mo";"4017",#N/A,FALSE,"Curr Mo";"1050",#N/A,FALSE,"Curr Mo";"1009",#N/A,FALSE,"Curr Mo";"4079",#N/A,FALSE,"Curr Mo";"4077",#N/A,FALSE,"Curr Mo";"1005",#N/A,FALSE,"Curr Mo";"1008",#N/A,FALSE,"Curr Mo";"1011",#N/A,FALSE,"Curr Mo";"1006",#N/A,FALSE,"Curr Mo";"1024",#N/A,FALSE,"Curr Mo";"1003",#N/A,FALSE,"Curr Mo";"1025",#N/A,FALSE,"Curr Mo";"4013",#N/A,FALSE,"Curr Mo";"1091",#N/A,FALSE,"Curr Mo";"1010",#N/A,FALSE,"Curr Mo";"1023",#N/A,FALSE,"Curr Mo";"4014",#N/A,FALSE,"Curr Mo";"1043",#N/A,FALSE,"Curr Mo";"1014",#N/A,FALSE,"Curr Mo";"1015",#N/A,FALSE,"Curr Mo";"1012",#N/A,FALSE,"Curr Mo";"1061",#N/A,FALSE,"Curr Mo";"1045",#N/A,FALSE,"Curr Mo";"4058",#N/A,FALSE,"Curr Mo";"1033",#N/A,FALSE,"Curr Mo";"1103",#N/A,FALSE,"Curr Mo";"4007",#N/A,FALSE,"Curr Mo";"4021",#N/A,FALSE,"Curr Mo";"4026",#N/A,FALSE,"Curr Mo";"4022",#N/A,FALSE,"Curr Mo";"4050",#N/A,FALSE,"Curr Mo";"4032",#N/A,FALSE,"Curr Mo";"4089",#N/A,FALSE,"Curr Mo";"1042",#N/A,FALSE,"Curr Mo";"1048",#N/A,FALSE,"Curr Mo";"4049",#N/A,FALSE,"Curr Mo"}</definedName>
    <definedName name="wrn.Mortgage." localSheetId="10" hidden="1">{#N/A,#N/A,FALSE,"COVER";#N/A,#N/A,FALSE,"Index";#N/A,#N/A,FALSE,"Non-Earning";#N/A,#N/A,FALSE,"Mortgage_Legal";#N/A,#N/A,FALSE,"Mortgages"}</definedName>
    <definedName name="wrn.Most._.Likely._.Scenarios." localSheetId="10" hidden="1">{#N/A,"Mine Allocated, Keep AC",FALSE,"Stream INPUTS";#N/A,"All Preferred, Sell AC",FALSE,"Stream INPUTS";#N/A,"Step Up, Sell AC",FALSE,"Stream INPUTS";#N/A,"All Preferred, BRONCO buys AC",FALSE,"Stream INPUTS"}</definedName>
    <definedName name="wrn.MRA." localSheetId="10" hidden="1">{"MRA IS",#N/A,FALSE,"MRA - IS";"MRA BS",#N/A,FALSE,"MRA - BS";"MRA Detail IS",#N/A,FALSE,"MRA - Detail IS";"MRA Detail IS Supplemental Info",#N/A,FALSE,"MRA - Detail IS";"MRA Monthly 1999",#N/A,FALSE,"MRA Monthly";"MRA Monthly IS 1998",#N/A,FALSE,"MRA Monthly";"MRA Monthly IS 1997",#N/A,FALSE,"MRA Monthly"}</definedName>
    <definedName name="wrn.Munsell."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wrn.NA." localSheetId="10" hidden="1">{#N/A,#N/A,FALSE,"NA"}</definedName>
    <definedName name="wrn.Neds." localSheetId="10" hidden="1">{"page1",#N/A,TRUE,"PRICING";"page2",#N/A,TRUE,"PRICING"}</definedName>
    <definedName name="wrn.Netbacks." localSheetId="10" hidden="1">{"Netbacks",#N/A,FALSE,"Netbacks"}</definedName>
    <definedName name="wrn.new." localSheetId="10" hidden="1">{"new1",#N/A,FALSE,"FLEXPAC2";"new2",#N/A,FALSE,"FLEXPAC2"}</definedName>
    <definedName name="wrn.newest." localSheetId="10" hidden="1">{#N/A,#N/A,TRUE,"TS";#N/A,#N/A,TRUE,"Combo";#N/A,#N/A,TRUE,"FAIR";#N/A,#N/A,TRUE,"RBC";#N/A,#N/A,TRUE,"xxxx"}</definedName>
    <definedName name="wrn.nuevahoja." localSheetId="10" hidden="1">{#N/A,#N/A,FALSE,"CNS_ADJ";"Balance Consolidado",#N/A,FALSE,"BCEC_CNS";#N/A,#N/A,FALSE,"USGAAP_ADJ"}</definedName>
    <definedName name="wrn.nytaann." localSheetId="10" hidden="1">{"nytacash",#N/A,FALSE,"GLOBEINC";"nytainc",#N/A,FALSE,"GLOBEINC";"nytanyt",#N/A,FALSE,"GLOBEINC";"nytareg",#N/A,FALSE,"GLOBEINC";"nytaglobe",#N/A,FALSE,"GLOBEINC";"nytapprttl",#N/A,FALSE,"GLOBEINC"}</definedName>
    <definedName name="wrn.Oncology." localSheetId="10" hidden="1">{#N/A,#N/A,FALSE,"Onco";#N/A,#N/A,FALSE,"Taxol";#N/A,#N/A,FALSE,"UFT";#N/A,#N/A,FALSE,"Carb"}</definedName>
    <definedName name="wrn.one." localSheetId="10" hidden="1">{"page1",#N/A,FALSE,"A";"page2",#N/A,FALSE,"A"}</definedName>
    <definedName name="wrn.One._.Pager._.plus._.Technicals." localSheetId="10" hidden="1">{#N/A,#N/A,FALSE,"One Pager";#N/A,#N/A,FALSE,"Technical"}</definedName>
    <definedName name="wrn.OPERATIONS." localSheetId="10" hidden="1">{#N/A,#N/A,FALSE,"PL-FS";#N/A,#N/A,FALSE,"PL"}</definedName>
    <definedName name="wrn.Opportunity._.Assessment." localSheetId="10" hidden="1">{#N/A,#N/A,TRUE,"Summary";#N/A,#N/A,TRUE,"Assumptions";#N/A,#N/A,TRUE,"Comparison";#N/A,#N/A,TRUE,"Financials";#N/A,#N/A,TRUE,"Plan v. Act"}</definedName>
    <definedName name="wrn.ops._.costs." localSheetId="10" hidden="1">{"page1",#N/A,FALSE,"APCI Operations Detail  ";"page2",#N/A,FALSE,"APCI Operations Detail  ";"page3",#N/A,FALSE,"APCI Operations Detail  ";"page4",#N/A,FALSE,"APCI Operations Detail  "}</definedName>
    <definedName name="wrn.OPSUMM." localSheetId="10" hidden="1">{#N/A,#N/A,FALSE,"BAGOSLEA"}</definedName>
    <definedName name="wrn.OTC._.Market._.Report." localSheetId="10" hidden="1">{#N/A,#N/A,FALSE,"Sales Graph";#N/A,#N/A,FALSE,"BUC Graph";#N/A,#N/A,FALSE,"P&amp;L - YTD"}</definedName>
    <definedName name="wrn.Other._.Pharm." localSheetId="10" hidden="1">{#N/A,#N/A,FALSE,"Other";#N/A,#N/A,FALSE,"Ace";#N/A,#N/A,FALSE,"Derm"}</definedName>
    <definedName name="wrn.Output." localSheetId="10"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hd." localSheetId="10" hidden="1">{#N/A,#N/A,FALSE,"OVHDSUM"}</definedName>
    <definedName name="wrn.ovhd1." localSheetId="10" hidden="1">{#N/A,#N/A,FALSE,"OVHDSUM"}</definedName>
    <definedName name="wrn.p" localSheetId="10" hidden="1">{#N/A,#N/A,FALSE,"1";#N/A,#N/A,FALSE,"2";#N/A,#N/A,FALSE,"16 - 17";#N/A,#N/A,FALSE,"18 - 19";#N/A,#N/A,FALSE,"26";#N/A,#N/A,FALSE,"27";#N/A,#N/A,FALSE,"28"}</definedName>
    <definedName name="wrn.packer._.1." localSheetId="10"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_.1." localSheetId="10" hidden="1">{#N/A,#N/A,FALSE,"Job Sched"}</definedName>
    <definedName name="wrn.PAGE._.2." localSheetId="10" hidden="1">{"PAGE 2",#N/A,FALSE,"WEST_OT"}</definedName>
    <definedName name="wrn.PAGE._.3." localSheetId="10" hidden="1">{"PAGE 2",#N/A,FALSE,"WEST_OT"}</definedName>
    <definedName name="wrn.page57to67." localSheetId="10" hidden="1">{#N/A,#N/A,FALSE,"57";#N/A,#N/A,FALSE,"58";#N/A,#N/A,FALSE,"59";#N/A,#N/A,FALSE,"60";#N/A,#N/A,FALSE,"60A";#N/A,#N/A,FALSE,"61";#N/A,#N/A,FALSE,"62";#N/A,#N/A,FALSE,"63";#N/A,#N/A,FALSE,"63A";#N/A,#N/A,FALSE,"64";#N/A,#N/A,FALSE,"65";#N/A,#N/A,FALSE,"66";#N/A,#N/A,FALSE,"67"}</definedName>
    <definedName name="wrn.page57to67._1" localSheetId="10" hidden="1">{#N/A,#N/A,FALSE,"57";#N/A,#N/A,FALSE,"58";#N/A,#N/A,FALSE,"59";#N/A,#N/A,FALSE,"60";#N/A,#N/A,FALSE,"60A";#N/A,#N/A,FALSE,"61";#N/A,#N/A,FALSE,"62";#N/A,#N/A,FALSE,"63";#N/A,#N/A,FALSE,"63A";#N/A,#N/A,FALSE,"64";#N/A,#N/A,FALSE,"65";#N/A,#N/A,FALSE,"66";#N/A,#N/A,FALSE,"67"}</definedName>
    <definedName name="wrn.page57to67._1_1" localSheetId="10" hidden="1">{#N/A,#N/A,FALSE,"57";#N/A,#N/A,FALSE,"58";#N/A,#N/A,FALSE,"59";#N/A,#N/A,FALSE,"60";#N/A,#N/A,FALSE,"60A";#N/A,#N/A,FALSE,"61";#N/A,#N/A,FALSE,"62";#N/A,#N/A,FALSE,"63";#N/A,#N/A,FALSE,"63A";#N/A,#N/A,FALSE,"64";#N/A,#N/A,FALSE,"65";#N/A,#N/A,FALSE,"66";#N/A,#N/A,FALSE,"67"}</definedName>
    <definedName name="wrn.page57to67._1_2" localSheetId="10" hidden="1">{#N/A,#N/A,FALSE,"57";#N/A,#N/A,FALSE,"58";#N/A,#N/A,FALSE,"59";#N/A,#N/A,FALSE,"60";#N/A,#N/A,FALSE,"60A";#N/A,#N/A,FALSE,"61";#N/A,#N/A,FALSE,"62";#N/A,#N/A,FALSE,"63";#N/A,#N/A,FALSE,"63A";#N/A,#N/A,FALSE,"64";#N/A,#N/A,FALSE,"65";#N/A,#N/A,FALSE,"66";#N/A,#N/A,FALSE,"67"}</definedName>
    <definedName name="wrn.page57to67._1_3" localSheetId="10" hidden="1">{#N/A,#N/A,FALSE,"57";#N/A,#N/A,FALSE,"58";#N/A,#N/A,FALSE,"59";#N/A,#N/A,FALSE,"60";#N/A,#N/A,FALSE,"60A";#N/A,#N/A,FALSE,"61";#N/A,#N/A,FALSE,"62";#N/A,#N/A,FALSE,"63";#N/A,#N/A,FALSE,"63A";#N/A,#N/A,FALSE,"64";#N/A,#N/A,FALSE,"65";#N/A,#N/A,FALSE,"66";#N/A,#N/A,FALSE,"67"}</definedName>
    <definedName name="wrn.page57to67._1_4" localSheetId="10" hidden="1">{#N/A,#N/A,FALSE,"57";#N/A,#N/A,FALSE,"58";#N/A,#N/A,FALSE,"59";#N/A,#N/A,FALSE,"60";#N/A,#N/A,FALSE,"60A";#N/A,#N/A,FALSE,"61";#N/A,#N/A,FALSE,"62";#N/A,#N/A,FALSE,"63";#N/A,#N/A,FALSE,"63A";#N/A,#N/A,FALSE,"64";#N/A,#N/A,FALSE,"65";#N/A,#N/A,FALSE,"66";#N/A,#N/A,FALSE,"67"}</definedName>
    <definedName name="wrn.page57to67._2" localSheetId="10" hidden="1">{#N/A,#N/A,FALSE,"57";#N/A,#N/A,FALSE,"58";#N/A,#N/A,FALSE,"59";#N/A,#N/A,FALSE,"60";#N/A,#N/A,FALSE,"60A";#N/A,#N/A,FALSE,"61";#N/A,#N/A,FALSE,"62";#N/A,#N/A,FALSE,"63";#N/A,#N/A,FALSE,"63A";#N/A,#N/A,FALSE,"64";#N/A,#N/A,FALSE,"65";#N/A,#N/A,FALSE,"66";#N/A,#N/A,FALSE,"67"}</definedName>
    <definedName name="wrn.page57to67._3" localSheetId="10" hidden="1">{#N/A,#N/A,FALSE,"57";#N/A,#N/A,FALSE,"58";#N/A,#N/A,FALSE,"59";#N/A,#N/A,FALSE,"60";#N/A,#N/A,FALSE,"60A";#N/A,#N/A,FALSE,"61";#N/A,#N/A,FALSE,"62";#N/A,#N/A,FALSE,"63";#N/A,#N/A,FALSE,"63A";#N/A,#N/A,FALSE,"64";#N/A,#N/A,FALSE,"65";#N/A,#N/A,FALSE,"66";#N/A,#N/A,FALSE,"67"}</definedName>
    <definedName name="wrn.page57to67._4" localSheetId="10" hidden="1">{#N/A,#N/A,FALSE,"57";#N/A,#N/A,FALSE,"58";#N/A,#N/A,FALSE,"59";#N/A,#N/A,FALSE,"60";#N/A,#N/A,FALSE,"60A";#N/A,#N/A,FALSE,"61";#N/A,#N/A,FALSE,"62";#N/A,#N/A,FALSE,"63";#N/A,#N/A,FALSE,"63A";#N/A,#N/A,FALSE,"64";#N/A,#N/A,FALSE,"65";#N/A,#N/A,FALSE,"66";#N/A,#N/A,FALSE,"67"}</definedName>
    <definedName name="wrn.page57to67._5" localSheetId="10" hidden="1">{#N/A,#N/A,FALSE,"57";#N/A,#N/A,FALSE,"58";#N/A,#N/A,FALSE,"59";#N/A,#N/A,FALSE,"60";#N/A,#N/A,FALSE,"60A";#N/A,#N/A,FALSE,"61";#N/A,#N/A,FALSE,"62";#N/A,#N/A,FALSE,"63";#N/A,#N/A,FALSE,"63A";#N/A,#N/A,FALSE,"64";#N/A,#N/A,FALSE,"65";#N/A,#N/A,FALSE,"66";#N/A,#N/A,FALSE,"67"}</definedName>
    <definedName name="wrn.Pages._.28._.to._.50." localSheetId="1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 localSheetId="1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1" localSheetId="1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2" localSheetId="1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3" localSheetId="1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4" localSheetId="1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2" localSheetId="1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3" localSheetId="1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4" localSheetId="1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5" localSheetId="1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localSheetId="10" hidden="1">{#N/A,#N/A,FALSE,"51";#N/A,#N/A,FALSE,"52";#N/A,#N/A,FALSE,"53";#N/A,#N/A,FALSE,"54";#N/A,#N/A,FALSE,"55";#N/A,#N/A,FALSE,"55A";#N/A,#N/A,FALSE,"56";#N/A,#N/A,FALSE,"57";#N/A,#N/A,FALSE,"57A";#N/A,#N/A,FALSE,"58";#N/A,#N/A,FALSE,"59";#N/A,#N/A,FALSE,"60";#N/A,#N/A,FALSE,"60A";#N/A,#N/A,FALSE,"61";#N/A,#N/A,FALSE,"62";#N/A,#N/A,FALSE,"63";#N/A,#N/A,FALSE,"63A";#N/A,#N/A,FALSE,"64";#N/A,#N/A,FALSE,"65";#N/A,#N/A,FALSE,"66"}</definedName>
    <definedName name="wrn.Pages._.51._.to._.66._1" localSheetId="10"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1" localSheetId="10"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2" localSheetId="10"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3" localSheetId="10"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4" localSheetId="10" hidden="1">{#N/A,#N/A,FALSE,"51";#N/A,#N/A,FALSE,"52";#N/A,#N/A,FALSE,"53";#N/A,#N/A,FALSE,"54";#N/A,#N/A,FALSE,"55";#N/A,#N/A,FALSE,"55A";#N/A,#N/A,FALSE,"56";#N/A,#N/A,FALSE,"57";#N/A,#N/A,FALSE,"57A";#N/A,#N/A,FALSE,"58";#N/A,#N/A,FALSE,"59";#N/A,#N/A,FALSE,"60";#N/A,#N/A,FALSE,"60A";#N/A,#N/A,FALSE,"61";#N/A,#N/A,FALSE,"62";#N/A,#N/A,FALSE,"63";#N/A,#N/A,FALSE,"63A";#N/A,#N/A,FALSE,"64";#N/A,#N/A,FALSE,"65";#N/A,#N/A,FALSE,"66"}</definedName>
    <definedName name="wrn.Pages._.51._.to._.66._2" localSheetId="10" hidden="1">{#N/A,#N/A,FALSE,"51";#N/A,#N/A,FALSE,"52";#N/A,#N/A,FALSE,"53";#N/A,#N/A,FALSE,"54";#N/A,#N/A,FALSE,"55";#N/A,#N/A,FALSE,"55A";#N/A,#N/A,FALSE,"56";#N/A,#N/A,FALSE,"57";#N/A,#N/A,FALSE,"57A";#N/A,#N/A,FALSE,"58";#N/A,#N/A,FALSE,"59";#N/A,#N/A,FALSE,"60";#N/A,#N/A,FALSE,"60A";#N/A,#N/A,FALSE,"61";#N/A,#N/A,FALSE,"62";#N/A,#N/A,FALSE,"63";#N/A,#N/A,FALSE,"63A";#N/A,#N/A,FALSE,"64";#N/A,#N/A,FALSE,"65";#N/A,#N/A,FALSE,"66"}</definedName>
    <definedName name="wrn.Pages._.51._.to._.66._3" localSheetId="10" hidden="1">{#N/A,#N/A,FALSE,"51";#N/A,#N/A,FALSE,"52";#N/A,#N/A,FALSE,"53";#N/A,#N/A,FALSE,"54";#N/A,#N/A,FALSE,"55";#N/A,#N/A,FALSE,"55A";#N/A,#N/A,FALSE,"56";#N/A,#N/A,FALSE,"57";#N/A,#N/A,FALSE,"57A";#N/A,#N/A,FALSE,"58";#N/A,#N/A,FALSE,"59";#N/A,#N/A,FALSE,"60";#N/A,#N/A,FALSE,"60A";#N/A,#N/A,FALSE,"61";#N/A,#N/A,FALSE,"62";#N/A,#N/A,FALSE,"63";#N/A,#N/A,FALSE,"63A";#N/A,#N/A,FALSE,"64";#N/A,#N/A,FALSE,"65";#N/A,#N/A,FALSE,"66"}</definedName>
    <definedName name="wrn.Pages._.51._.to._.66._4" localSheetId="10" hidden="1">{#N/A,#N/A,FALSE,"51";#N/A,#N/A,FALSE,"52";#N/A,#N/A,FALSE,"53";#N/A,#N/A,FALSE,"54";#N/A,#N/A,FALSE,"55";#N/A,#N/A,FALSE,"55A";#N/A,#N/A,FALSE,"56";#N/A,#N/A,FALSE,"57";#N/A,#N/A,FALSE,"57A";#N/A,#N/A,FALSE,"58";#N/A,#N/A,FALSE,"59";#N/A,#N/A,FALSE,"60";#N/A,#N/A,FALSE,"60A";#N/A,#N/A,FALSE,"61";#N/A,#N/A,FALSE,"62";#N/A,#N/A,FALSE,"63";#N/A,#N/A,FALSE,"63A";#N/A,#N/A,FALSE,"64";#N/A,#N/A,FALSE,"65";#N/A,#N/A,FALSE,"66"}</definedName>
    <definedName name="wrn.Pages._.51._.to._.66._5" localSheetId="10" hidden="1">{#N/A,#N/A,FALSE,"51";#N/A,#N/A,FALSE,"52";#N/A,#N/A,FALSE,"53";#N/A,#N/A,FALSE,"54";#N/A,#N/A,FALSE,"55";#N/A,#N/A,FALSE,"55A";#N/A,#N/A,FALSE,"56";#N/A,#N/A,FALSE,"57";#N/A,#N/A,FALSE,"57A";#N/A,#N/A,FALSE,"58";#N/A,#N/A,FALSE,"59";#N/A,#N/A,FALSE,"60";#N/A,#N/A,FALSE,"60A";#N/A,#N/A,FALSE,"61";#N/A,#N/A,FALSE,"62";#N/A,#N/A,FALSE,"63";#N/A,#N/A,FALSE,"63A";#N/A,#N/A,FALSE,"64";#N/A,#N/A,FALSE,"65";#N/A,#N/A,FALSE,"66"}</definedName>
    <definedName name="wrn.pages._.88._.to._.end." localSheetId="10"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 localSheetId="10"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1" localSheetId="10"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2" localSheetId="10"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3" localSheetId="10"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4" localSheetId="10"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2" localSheetId="10"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3" localSheetId="10"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4" localSheetId="10"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5" localSheetId="10"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ing._.Compco." localSheetId="10" hidden="1">{"financials",#N/A,TRUE,"6_30_96";"footnotes",#N/A,TRUE,"6_30_96";"valuation",#N/A,TRUE,"6_30_96"}</definedName>
    <definedName name="wrn.PARTNERS._.CAPITAL._.STMT." localSheetId="10" hidden="1">{"PARTNERS CAPITAL STMT",#N/A,FALSE,"Partners Capital"}</definedName>
    <definedName name="wrn.Penn._.PSC._.part._.1." localSheetId="10"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 localSheetId="10"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1" localSheetId="10"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2" localSheetId="10"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3" localSheetId="10"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4" localSheetId="10"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2" localSheetId="10"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3" localSheetId="10"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4" localSheetId="10"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5" localSheetId="10"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localSheetId="10"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 localSheetId="10"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1" localSheetId="10"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2" localSheetId="10"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3" localSheetId="10"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4" localSheetId="10"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2" localSheetId="10"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3" localSheetId="10"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4" localSheetId="10"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5" localSheetId="10"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harm._.Market._.Report." localSheetId="10" hidden="1">{#N/A,#N/A,FALSE,"Sales Graph";#N/A,#N/A,FALSE,"PSBM";#N/A,#N/A,FALSE,"BUC Graph";#N/A,#N/A,FALSE,"P&amp;L - YTD"}</definedName>
    <definedName name="wrn.Pharmaceuticals." localSheetId="1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se._.in." localSheetId="10" hidden="1">{"Phase in summary",#N/A,FALSE,"P&amp;L Phased"}</definedName>
    <definedName name="wrn.PL._.Detail." localSheetId="10" hidden="1">{#N/A,#N/A,FALSE,"P&amp;L Detail";#N/A,#N/A,FALSE,"P&amp;L Detail";#N/A,#N/A,FALSE,"P&amp;L Detail"}</definedName>
    <definedName name="wrn.PLC._.Co.._.budget._.months." localSheetId="10"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localSheetId="10" hidden="1">{"PLC Company Budget years",#N/A,TRUE,"Profit and Loss";"PLC Company Budget years",#N/A,TRUE,"Firm capex";"PLC Company Budget years",#N/A,TRUE,"Gross profit analysis";"PLC Company Budget years",#N/A,TRUE,"Cashflow";"PLC Company Budget years",#N/A,TRUE,"Balance Sheet"}</definedName>
    <definedName name="wrn.PLX." localSheetId="10" hidden="1">{"cred comp",#N/A,FALSE,"Comparable Credit Analysis";"IS",#N/A,FALSE,"IS";"Sensitivity",#N/A,FALSE,"Sensitivity";"BS",#N/A,FALSE,"BS";"Bond Summary",#N/A,FALSE,"B Summary";"AD",#N/A,FALSE,"Accretion";"NAV",#N/A,FALSE,"NAV";"SU",#N/A,FALSE,"S&amp;U";"acq. study",#N/A,FALSE,"Acq. Study";"F Charges",#N/A,FALSE,"Fixed Charges"}</definedName>
    <definedName name="wrn.ppp" localSheetId="10" hidden="1">{#N/A,#N/A,FALSE,"1";#N/A,#N/A,FALSE,"2";#N/A,#N/A,FALSE,"16 - 17";#N/A,#N/A,FALSE,"18 - 19";#N/A,#N/A,FALSE,"26";#N/A,#N/A,FALSE,"27";#N/A,#N/A,FALSE,"28"}</definedName>
    <definedName name="wrn.PRES_OUT." localSheetId="10" hidden="1">{"page1",#N/A,FALSE,"PRESENTATION";"page2",#N/A,FALSE,"PRESENTATION";#N/A,#N/A,FALSE,"Valuation Summary"}</definedName>
    <definedName name="wrn.PRES_OUT2" localSheetId="10" hidden="1">{"page1",#N/A,FALSE,"PRESENTATION";"page2",#N/A,FALSE,"PRESENTATION";#N/A,#N/A,FALSE,"Valuation Summary"}</definedName>
    <definedName name="wrn.Pres_OUT3" localSheetId="10" hidden="1">{"page1",#N/A,FALSE,"PRESENTATION";"page2",#N/A,FALSE,"PRESENTATION";#N/A,#N/A,FALSE,"Valuation Summary"}</definedName>
    <definedName name="wrn.PRES_OUT4" localSheetId="10" hidden="1">{"page1",#N/A,FALSE,"PRESENTATION";"page2",#N/A,FALSE,"PRESENTATION";#N/A,#N/A,FALSE,"Valuation Summary"}</definedName>
    <definedName name="wrn.PRES_OUT5" localSheetId="10" hidden="1">{"page1",#N/A,FALSE,"PRESENTATION";"page2",#N/A,FALSE,"PRESENTATION";#N/A,#N/A,FALSE,"Valuation Summary"}</definedName>
    <definedName name="wrn.PRES_OUT6" localSheetId="10" hidden="1">{"page1",#N/A,FALSE,"PRESENTATION";"page2",#N/A,FALSE,"PRESENTATION";#N/A,#N/A,FALSE,"Valuation Summary"}</definedName>
    <definedName name="wrn.PRES_OUT8" localSheetId="10" hidden="1">{"page1",#N/A,FALSE,"PRESENTATION";"page2",#N/A,FALSE,"PRESENTATION";#N/A,#N/A,FALSE,"Valuation Summary"}</definedName>
    <definedName name="wrn.prin2._.all." localSheetId="10" hidden="1">{#N/A,#N/A,FALSE,"Pharm";#N/A,#N/A,FALSE,"WWCM"}</definedName>
    <definedName name="wrn.prin3" localSheetId="10" hidden="1">{#N/A,#N/A,FALSE,"Pharm";#N/A,#N/A,FALSE,"WWCM"}</definedName>
    <definedName name="wrn.print" localSheetId="10" hidden="1">{#N/A,#N/A,FALSE,"Pharm";#N/A,#N/A,FALSE,"WWCM"}</definedName>
    <definedName name="wrn.print." localSheetId="10" hidden="1">{#N/A,#N/A,FALSE,"Japan 2003";#N/A,#N/A,FALSE,"Sheet2"}</definedName>
    <definedName name="wrn.Print._.24." localSheetId="10" hidden="1">{#N/A,#N/A,FALSE,"Index";"Stmts_Qtrs",#N/A,FALSE,"Summary";"Stmts_24 mo",#N/A,FALSE,"Summary";"Summary_24",#N/A,FALSE,"Revenue";"Month_24",#N/A,FALSE,"Engineering";"Month_24",#N/A,FALSE,"Marketing";"Month_24",#N/A,FALSE,"G &amp; A";"Month_24",#N/A,FALSE,"Manufacturing"}</definedName>
    <definedName name="wrn.Print._.All." localSheetId="10" hidden="1">{"IS Years",#N/A,FALSE,"Income Statement";"IS Q96",#N/A,FALSE,"Income Statement";"IS Q97",#N/A,FALSE,"Income Statement";"Corporate",#N/A,FALSE,"Corporate Profile";"Netbacks",#N/A,FALSE,"Netbacks"}</definedName>
    <definedName name="wrn.Print._.All._.Pages." localSheetId="10" hidden="1">{"LBO Summary",#N/A,FALSE,"Summary";"Income Statement",#N/A,FALSE,"Model";"Cash Flow",#N/A,FALSE,"Model";"Balance Sheet",#N/A,FALSE,"Model";"Working Capital",#N/A,FALSE,"Model";"Pro Forma Balance Sheets",#N/A,FALSE,"PFBS";"Debt Balances",#N/A,FALSE,"Model";"Fee Schedules",#N/A,FALSE,"Model"}</definedName>
    <definedName name="wrn.Print._.All._.Worksheets." localSheetId="10" hidden="1">{#N/A,#N/A,FALSE,"Capitaliztion Matrix";#N/A,#N/A,FALSE,"4YR P&amp;L";#N/A,#N/A,FALSE,"Program Contributions";#N/A,#N/A,FALSE,"P&amp;L Trans YR 2";#N/A,#N/A,FALSE,"Rev &amp; EBITDA YR2";#N/A,#N/A,FALSE,"P&amp;L Trans YR 1";#N/A,#N/A,FALSE,"Rev &amp; EBITDA YR1"}</definedName>
    <definedName name="wrn.PRINT._.ALL.2" localSheetId="10" hidden="1">{#N/A,#N/A,FALSE,"Pharm";#N/A,#N/A,FALSE,"WWCM"}</definedName>
    <definedName name="wrn.print._.all2" localSheetId="10" hidden="1">{#N/A,#N/A,FALSE,"Pharm";#N/A,#N/A,FALSE,"WWCM"}</definedName>
    <definedName name="wrn.PRINT._.FULL." localSheetId="10" hidden="1">{#N/A,#N/A,FALSE,"face";#N/A,#N/A,FALSE,"RETURN SUMMARY ";#N/A,#N/A,FALSE,"return RS";#N/A,#N/A,FALSE,"return US$";#N/A,#N/A,FALSE,"Key Ratio";#N/A,#N/A,FALSE,"input";#N/A,#N/A,FALSE,"fnplan";#N/A,#N/A,FALSE,"RsKW";#N/A,#N/A,FALSE,"RsKW value";#N/A,#N/A,FALSE,"gen&amp;fuel";#N/A,#N/A,FALSE,"O&amp;M+admin";#N/A,#N/A,FALSE,"dep_rskw";#N/A,#N/A,FALSE,"wc_tariff";#N/A,#N/A,FALSE,"tax-tarif1";#N/A,#N/A,FALSE,"ROE";#N/A,#N/A,FALSE,"P&amp;L";#N/A,#N/A,FALSE,"fund";#N/A,#N/A,FALSE,"B.S.";#N/A,#N/A,FALSE,"wc-P&amp;L";#N/A,#N/A,FALSE,"tax-P&amp;L";#N/A,#N/A,FALSE,"dep-p&amp;l";#N/A,#N/A,FALSE,"Project Cost P&amp;L";#N/A,#N/A,FALSE,"IDCa";#N/A,#N/A,FALSE,"TN_PCOST";#N/A,#N/A,FALSE,"Local Debt in $ CEA";#N/A,#N/A,FALSE,"Debt Service"}</definedName>
    <definedName name="wrn.print._.graphs." localSheetId="10" hidden="1">{"cap_structure",#N/A,FALSE,"Graph-Mkt Cap";"price",#N/A,FALSE,"Graph-Price";"ebit",#N/A,FALSE,"Graph-EBITDA";"ebitda",#N/A,FALSE,"Graph-EBITDA"}</definedName>
    <definedName name="wrn.Print._.Model." localSheetId="10"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nthly._.Book." localSheetId="10"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_.Out._.1." localSheetId="10" hidden="1">{"Five Year",#N/A,FALSE,"Summary (2)";"Month 1 and Years",#N/A,FALSE,"Cash Budget"}</definedName>
    <definedName name="wrn.Print._.Pages." localSheetId="10" hidden="1">{#N/A,#N/A,FALSE,"Page 1";#N/A,#N/A,FALSE,"Page 2";#N/A,#N/A,FALSE,"Page 3";#N/A,#N/A,FALSE,"Page 4";#N/A,#N/A,FALSE,"Page 5"}</definedName>
    <definedName name="wrn.Print._.PNL._.Download." localSheetId="10" hidden="1">{"PNLProjDL",#N/A,FALSE,"PROJCO";"PNLParDL",#N/A,FALSE,"Parent"}</definedName>
    <definedName name="wrn.print._.raw._.data._.entry." localSheetId="10" hidden="1">{"inputs raw data",#N/A,TRUE,"INPUT"}</definedName>
    <definedName name="wrn.print._.raw._data._.entry2." localSheetId="10" hidden="1">{"inputs raw data",#N/A,TRUE,"INPUT"}</definedName>
    <definedName name="wrn.print._.summary._.sheets." localSheetId="10" hidden="1">{"summary1",#N/A,TRUE,"Comps";"summary2",#N/A,TRUE,"Comps";"summary3",#N/A,TRUE,"Comps"}</definedName>
    <definedName name="wrn.print._.summary._.sheets.2" localSheetId="10" hidden="1">{"summary1",#N/A,TRUE,"Comps";"summary2",#N/A,TRUE,"Comps";"summary3",#N/A,TRUE,"Comps"}</definedName>
    <definedName name="wrn.Print._.whole._.Report." localSheetId="10"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all1." localSheetId="10" hidden="1">{#N/A,#N/A,FALSE,"Pharm";#N/A,#N/A,FALSE,"WWCM"}</definedName>
    <definedName name="wrn.Print_Buyer." localSheetId="10" hidden="1">{#N/A,"DR",FALSE,"increm pf";#N/A,"MAMSI",FALSE,"increm pf";#N/A,"MAXI",FALSE,"increm pf";#N/A,"PCAM",FALSE,"increm pf";#N/A,"PHSV",FALSE,"increm pf";#N/A,"SIE",FALSE,"increm pf"}</definedName>
    <definedName name="wrn.Print_Earnings_template." localSheetId="10" hidden="1">{"by_month",#N/A,TRUE,"template";"destec_month",#N/A,TRUE,"template";"by_quarter",#N/A,TRUE,"template";"destec_quarter",#N/A,TRUE,"template";"by_year",#N/A,TRUE,"template";"destec_annual",#N/A,TRUE,"template"}</definedName>
    <definedName name="wrn.Print_Target." localSheetId="1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localSheetId="10" hidden="1">{"var_page",#N/A,FALSE,"template"}</definedName>
    <definedName name="wrn.print_variance." localSheetId="10" hidden="1">{"var_report",#N/A,FALSE,"template"}</definedName>
    <definedName name="wrn.Print_Variance_Page." localSheetId="10" hidden="1">{"variance_page",#N/A,FALSE,"template"}</definedName>
    <definedName name="wrn.print2" localSheetId="10" hidden="1">{#N/A,#N/A,FALSE,"Pharm";#N/A,#N/A,FALSE,"WWCM"}</definedName>
    <definedName name="wrn.PRINT2." localSheetId="10" hidden="1">{"PAGE1",#N/A,FALSE,"ADJMODL";"PAGE2",#N/A,FALSE,"ADJMODL";"PAGE3",#N/A,FALSE,"ADJMODL";"PAGE4",#N/A,FALSE,"ADJMODL";"PAGE5",#N/A,FALSE,"ADJMODL";"PAGE6",#N/A,FALSE,"ADJMODL";"PAGE7",#N/A,FALSE,"ADJMODL";"PAGE8",#N/A,FALSE,"ADJMODL"}</definedName>
    <definedName name="wrn.print3." localSheetId="1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ac." localSheetId="10" hidden="1">{#N/A,#N/A,FALSE,"Op-BS";#N/A,#N/A,FALSE,"Assum";#N/A,#N/A,FALSE,"IS";#N/A,#N/A,FALSE,"Syn+Elim";#N/A,#N/A,FALSE,"BSCF";#N/A,#N/A,FALSE,"Blue_IS";#N/A,#N/A,FALSE,"Blue_BSCF";#N/A,#N/A,FALSE,"Ratings"}</definedName>
    <definedName name="wrn.PrintAll." localSheetId="10" hidden="1">{"PA1",#N/A,TRUE,"BORDMW";"pa2",#N/A,TRUE,"BORDMW";"PA3",#N/A,TRUE,"BORDMW";"PA4",#N/A,TRUE,"BORDMW"}</definedName>
    <definedName name="wrn.printqtr." localSheetId="10" hidden="1">{"nytasecond",#N/A,FALSE,"NYTQTRS";"nytafirst",#N/A,FALSE,"NYTQTRS";"nytathird",#N/A,FALSE,"NYTQTRS";"nytafourth",#N/A,FALSE,"NYTQTRS";"nytafull",#N/A,FALSE,"NYTQTRS"}</definedName>
    <definedName name="wrn.PRINTREP." localSheetId="10" hidden="1">{"PRINTREP",#N/A,FALSE,"Sheet1"}</definedName>
    <definedName name="wrn.PRNE._.Profit._.and._.Loss._.detail." localSheetId="10" hidden="1">{#N/A,#N/A,TRUE,"PRNE CORE";#N/A,#N/A,TRUE,"Targeting";#N/A,#N/A,TRUE,"Distribution";#N/A,#N/A,TRUE,"Measurement"}</definedName>
    <definedName name="wrn.PROD._.PLAN._.OPTION._.4." localSheetId="10" hidden="1">{"TOP 4",#N/A,FALSE,"MVR_SUM OPTION 4 BY MO";"TOP 3A",#N/A,FALSE,"MVR_SUM OPTION 3A BY MO";"TOP OPT 4 VS 3A",#N/A,FALSE,"MVR_SUM OPTION 4 VS 3A BY MO";#N/A,#N/A,FALSE,"MVR_SUM OPTION 4 SUM";#N/A,#N/A,FALSE,"PROD PLAN 4";#N/A,#N/A,FALSE,"PROD PLAN 3A";#N/A,#N/A,FALSE,"PROD UNITS 4 VS 3A";#N/A,#N/A,FALSE,"DLV 4 VS 3A";#N/A,#N/A,FALSE,"SPD 4 VS 3A";#N/A,#N/A,FALSE,"ABS 4 VS 3A"}</definedName>
    <definedName name="wrn.products" localSheetId="10" hidden="1">{#N/A,#N/A,FALSE,"1";#N/A,#N/A,FALSE,"2";#N/A,#N/A,FALSE,"16 - 17";#N/A,#N/A,FALSE,"18 - 19";#N/A,#N/A,FALSE,"26";#N/A,#N/A,FALSE,"27";#N/A,#N/A,FALSE,"28"}</definedName>
    <definedName name="wrn.Products." localSheetId="10" hidden="1">{#N/A,#N/A,FALSE,"1";#N/A,#N/A,FALSE,"2";#N/A,#N/A,FALSE,"16 - 17";#N/A,#N/A,FALSE,"18 - 19";#N/A,#N/A,FALSE,"26";#N/A,#N/A,FALSE,"27";#N/A,#N/A,FALSE,"28"}</definedName>
    <definedName name="wrn.Proforma." localSheetId="10"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wrn.Project._.Summary." localSheetId="10" hidden="1">{"Summary",#N/A,FALSE,"MICMULT";"Income Statement",#N/A,FALSE,"MICMULT";"Cash Flows",#N/A,FALSE,"MICMULT"}</definedName>
    <definedName name="wrn.pror" localSheetId="10" hidden="1">{#N/A,#N/A,FALSE,"Pharm";#N/A,#N/A,FALSE,"WWCM"}</definedName>
    <definedName name="wrn.PROVSS." localSheetId="10" hidden="1">{"FOOTNOTE",#N/A,FALSE,"PROV";"SUMMARY",#N/A,FALSE,"PROV";"RATE",#N/A,FALSE,"PROV";"PROV CALC",#N/A,FALSE,"PROV";"PROV TO TR",#N/A,FALSE,"PROV";"TAX ACCOUNT ANAL",#N/A,FALSE,"PROV"}</definedName>
    <definedName name="wrn.Pulp." localSheetId="10" hidden="1">{"Pulp Production",#N/A,FALSE,"Pulp";"Pulp Earnings",#N/A,FALSE,"Pulp"}</definedName>
    <definedName name="wrn.Pulp.2" localSheetId="10" hidden="1">{"Pulp Production",#N/A,FALSE,"Pulp";"Pulp Earnings",#N/A,FALSE,"Pulp"}</definedName>
    <definedName name="wrn.Pulp.3" localSheetId="10" hidden="1">{"Pulp Production",#N/A,FALSE,"Pulp";"Pulp Earnings",#N/A,FALSE,"Pulp"}</definedName>
    <definedName name="wrn.Pulp.3.2" localSheetId="10" hidden="1">{"Pulp Production",#N/A,FALSE,"Pulp";"Pulp Earnings",#N/A,FALSE,"Pulp"}</definedName>
    <definedName name="wrn.Pulp.3.4" localSheetId="10" hidden="1">{"Pulp Production",#N/A,FALSE,"Pulp";"Pulp Earnings",#N/A,FALSE,"Pulp"}</definedName>
    <definedName name="wrn.Pulp.3.6" localSheetId="10" hidden="1">{"Pulp Production",#N/A,FALSE,"Pulp";"Pulp Earnings",#N/A,FALSE,"Pulp"}</definedName>
    <definedName name="wrn.Pulp.4" localSheetId="10" hidden="1">{"Pulp Production",#N/A,FALSE,"Pulp";"Pulp Earnings",#N/A,FALSE,"Pulp"}</definedName>
    <definedName name="wrn.Pulp.5" localSheetId="10" hidden="1">{"Pulp Production",#N/A,FALSE,"Pulp";"Pulp Earnings",#N/A,FALSE,"Pulp"}</definedName>
    <definedName name="wrn.Pulp.6" localSheetId="10" hidden="1">{"Pulp Production",#N/A,FALSE,"Pulp";"Pulp Earnings",#N/A,FALSE,"Pulp"}</definedName>
    <definedName name="wrn.Pulp.7" localSheetId="10" hidden="1">{"Pulp Production",#N/A,FALSE,"Pulp";"Pulp Earnings",#N/A,FALSE,"Pulp"}</definedName>
    <definedName name="wrn.Pulp.8" localSheetId="10" hidden="1">{"Pulp Production",#N/A,FALSE,"Pulp";"Pulp Earnings",#N/A,FALSE,"Pulp"}</definedName>
    <definedName name="wrn.Pulp.9" localSheetId="10" hidden="1">{"Pulp Production",#N/A,FALSE,"Pulp";"Pulp Earnings",#N/A,FALSE,"Pulp"}</definedName>
    <definedName name="wrn.Pump." localSheetId="10" hidden="1">{#N/A,#N/A,FALSE,"Assump";#N/A,#N/A,FALSE,"Income";#N/A,#N/A,FALSE,"Balance";#N/A,#N/A,FALSE,"DCF Pump";#N/A,#N/A,FALSE,"Trans Assump";#N/A,#N/A,FALSE,"Combined Income";#N/A,#N/A,FALSE,"Combined Balance"}</definedName>
    <definedName name="wrn.Qtr._.3." localSheetId="10" hidden="1">{"QTR3PL",#N/A,FALSE,"Qtr 3";"QTR3PLYTD",#N/A,FALSE,"Qtr 3";"QTR3BS",#N/A,FALSE,"Qtr 3";"QTR3CF",#N/A,FALSE,"Qtr 3";"QTR3CFYTD",#N/A,FALSE,"Qtr 3";"QTR3PGIPL",#N/A,FALSE,"Qtr 3";"QTR3PGIPLYTD",#N/A,FALSE,"Qtr 3";"QTR3PGIBS",#N/A,FALSE,"Qtr 3";"QTR3PGICF",#N/A,FALSE,"Qtr 3";"QTR3PGICFYTD",#N/A,FALSE,"Qtr 3"}</definedName>
    <definedName name="wrn.QTR1." localSheetId="10" hidden="1">{"QTR1PGIBS",#N/A,FALSE,"Qtr 1 PGI";"QTR1PGIPL",#N/A,FALSE,"Qtr 1 PGI";"QTR1PGICF",#N/A,FALSE,"Qtr 1 PGI";"QTR1BS",#N/A,FALSE,"Qtr 1 ";"QTR1PL",#N/A,FALSE,"Qtr 1 ";"QTR1CF",#N/A,FALSE,"Qtr 1 "}</definedName>
    <definedName name="wrn.Qtr2." localSheetId="10" hidden="1">{"QTR2PL",#N/A,FALSE,"Qtr 2";"QTR2PLYTD",#N/A,FALSE,"Qtr 2";"QTR2BS",#N/A,FALSE,"Qtr 2";"QTR2CF",#N/A,FALSE,"Qtr 2";"QTR2CFYTD",#N/A,FALSE,"Qtr 2";"QTR2PGIPL",#N/A,FALSE,"Qtr 2 PGI";"QTR2PGIPLYTD",#N/A,FALSE,"Qtr 2 PGI";"QTR2PGIBS",#N/A,FALSE,"Qtr 2 PGI";"QTR2PGICF",#N/A,FALSE,"Qtr 2 PGI";"QTR2PGICFYTD",#N/A,FALSE,"Qtr 2 PGI"}</definedName>
    <definedName name="wrn.qtrly._.PL._.summary._.FY01._.to._.FY03." localSheetId="10" hidden="1">{"qtrly summ-FY01",#N/A,FALSE,"P &amp; L";"qtrly summ-FY02",#N/A,FALSE,"P &amp; L";"qtrly summ-FY03",#N/A,FALSE,"P &amp; L"}</definedName>
    <definedName name="wrn.Quarterly._.Income._.Statement." localSheetId="10" hidden="1">{"Quarterly Income Statement",#N/A,FALSE,"P&amp;L Detail"}</definedName>
    <definedName name="wrn.Quarters." localSheetId="10" hidden="1">{"All Qtrs",#N/A,FALSE,"Curr Mo";"1001Q",#N/A,FALSE,"Curr Mo";"1002Q",#N/A,FALSE,"Curr Mo";"4012Q",#N/A,FALSE,"Curr Mo";"4017Q",#N/A,FALSE,"Curr Mo";"1050Q",#N/A,FALSE,"Curr Mo";"1009Q",#N/A,FALSE,"Curr Mo";"4079Q",#N/A,FALSE,"Curr Mo";"4077Q",#N/A,FALSE,"Curr Mo";"1005Q",#N/A,FALSE,"Curr Mo";"1008Q",#N/A,FALSE,"Curr Mo";"1011Q",#N/A,FALSE,"Curr Mo";"1006Q",#N/A,FALSE,"Curr Mo";"1024Q",#N/A,FALSE,"Curr Mo";"1003Q",#N/A,FALSE,"Curr Mo";"1025q",#N/A,FALSE,"Curr Mo";"4013Q",#N/A,FALSE,"Curr Mo";"1091Q",#N/A,FALSE,"Curr Mo";"1010Q",#N/A,FALSE,"Curr Mo";"1023Q",#N/A,FALSE,"Curr Mo";"4014Q",#N/A,FALSE,"Curr Mo";"1043Q",#N/A,FALSE,"Curr Mo";"1014Q",#N/A,FALSE,"Curr Mo";"1015Q",#N/A,FALSE,"Curr Mo";"1012Q",#N/A,FALSE,"Curr Mo";"1061Q",#N/A,FALSE,"Curr Mo";"1045Q",#N/A,FALSE,"Curr Mo";"4058Q",#N/A,FALSE,"Curr Mo";"1033Q",#N/A,FALSE,"Curr Mo";"1103Q",#N/A,FALSE,"Curr Mo";"4007Q",#N/A,FALSE,"Curr Mo";"4021Q",#N/A,FALSE,"Curr Mo";"4026Q",#N/A,FALSE,"Curr Mo";"4022Q",#N/A,FALSE,"Curr Mo";"4050Q",#N/A,FALSE,"Curr Mo";"4032Q",#N/A,FALSE,"Curr Mo";"4089Q",#N/A,FALSE,"Curr Mo";"1042Q",#N/A,FALSE,"Curr Mo";"1048Q",#N/A,FALSE,"Curr Mo";"4049Q",#N/A,FALSE,"Curr Mo"}</definedName>
    <definedName name="wrn.RANKED._.REC._.LLC." localSheetId="10" hidden="1">{#N/A,#N/A,FALSE,"BONDS";#N/A,#N/A,FALSE,"NON-LATIN";#N/A,#N/A,FALSE,"HY BONDS";#N/A,#N/A,FALSE,"LA-ASIAN";#N/A,#N/A,FALSE,"EMG REPO";#N/A,#N/A,FALSE,"TREASURY REPO";#N/A,#N/A,FALSE,"EMG BONDS";#N/A,#N/A,FALSE,"CREDIT DERIV";#N/A,#N/A,FALSE,"CORP DERIV"}</definedName>
    <definedName name="wrn.RANKED._.REV._.GRP._.LLC." localSheetId="10" hidden="1">{#N/A,#N/A,FALSE,"CURRENCY";#N/A,#N/A,FALSE,"BONDS";#N/A,#N/A,FALSE,"GOLD";#N/A,#N/A,FALSE,"EXOTICS";#N/A,#N/A,FALSE,"NON-LATIN";#N/A,#N/A,FALSE,"HY BONDS";#N/A,#N/A,FALSE,"LA-ASIAN";#N/A,#N/A,FALSE,"EMG REPO";#N/A,#N/A,FALSE,"TREASURY REPO";#N/A,#N/A,FALSE,"EMG BONDS";#N/A,#N/A,FALSE,"EM OPTIONS";#N/A,#N/A,FALSE,"CREDIT DERIV";#N/A,#N/A,FALSE,"CORP DERIV";#N/A,#N/A,FALSE,"NON-MEX SPOT";#N/A,#N/A,FALSE,"ELECTRICITY";#N/A,#N/A,FALSE,"FE ASIA SPOT";#N/A,#N/A,FALSE,"MEX  FWD NDF"}</definedName>
    <definedName name="wrn.Rapport." localSheetId="10" hidden="1">{#N/A,#N/A,FALSE,"SHEET1";#N/A,#N/A,FALSE,"SHEET2";#N/A,#N/A,FALSE,"SHEET3";#N/A,#N/A,FALSE,"SHEET4"}</definedName>
    <definedName name="wrn.Rapport._.complet." localSheetId="10" hidden="1">{#N/A,#N/A,FALSE,"Bilan d'ouverture";#N/A,#N/A,FALSE,"Résultats";#N/A,#N/A,FALSE,"Ventes";#N/A,#N/A,FALSE,"Hypothèse - fabrication";#N/A,#N/A,FALSE,"Hypothèse - coûts directs";#N/A,#N/A,FALSE,"Coût des ventes";#N/A,#N/A,FALSE,"Fabrication";#N/A,#N/A,FALSE,"FGF";#N/A,#N/A,FALSE,"Frais de vente";#N/A,#N/A,FALSE,"Frais d'administration";#N/A,#N/A,FALSE,"Frais financiers";#N/A,#N/A,FALSE,"Bilan";#N/A,#N/A,FALSE,"Trésorerie";#N/A,#N/A,FALSE,"Situation";#N/A,#N/A,FALSE,"Comptes clients";#N/A,#N/A,FALSE,"Perc";#N/A,#N/A,FALSE,"Stocks";#N/A,#N/A,FALSE,"FPA";#N/A,#N/A,FALSE,"Immobilisations";#N/A,#N/A,FALSE,"Autres actifs";#N/A,#N/A,FALSE,"Fournisseurs";#N/A,#N/A,FALSE,"Achats";#N/A,#N/A,FALSE,"Débours";#N/A,#N/A,FALSE,"Achats - Débours";#N/A,#N/A,FALSE,"Salaires";#N/A,#N/A,FALSE,"Taxes";#N/A,#N/A,FALSE,"DLT"}</definedName>
    <definedName name="wrn.Rapport._.détaillé." localSheetId="10" hidden="1">{#N/A,#N/A,TRUE,"Bilan";#N/A,#N/A,TRUE,"Résultats";#N/A,#N/A,TRUE,"Trésorerie";#N/A,#N/A,TRUE,"DLT";#N/A,#N/A,TRUE,"Situation";#N/A,#N/A,TRUE,"FGF";#N/A,#N/A,TRUE,"Frais de vente";#N/A,#N/A,TRUE,"Frais d'administration";#N/A,#N/A,TRUE,"Frais financiers"}</definedName>
    <definedName name="wrn.Rapport._.sommaire." localSheetId="10" hidden="1">{#N/A,#N/A,TRUE,"Bilan";#N/A,#N/A,TRUE,"Résultats";#N/A,#N/A,TRUE,"Trésorerie";#N/A,#N/A,TRUE,"DLT";#N/A,#N/A,TRUE,"Situation"}</definedName>
    <definedName name="wrn.Ratios." localSheetId="10" hidden="1">{"Ratios",#N/A,FALSE,"Ratios"}</definedName>
    <definedName name="wrn.Recovery." localSheetId="10" hidden="1">{#N/A,#N/A,FALSE,"COVER";#N/A,#N/A,FALSE,"Index";#N/A,#N/A,FALSE,"Summ_Products_Rec.97-98";#N/A,#N/A,FALSE,"QTR_Comp.";#N/A,#N/A,FALSE,"Summ_Detail_Rec.97-98";#N/A,#N/A,FALSE,"Summ_Agencies_Rec.97-98"}</definedName>
    <definedName name="wrn.red_take." localSheetId="10" hidden="1">{"red_take_pg1",#N/A,FALSE,"reduced_take";"red_take_pg2",#N/A,FALSE,"reduced_take";"red_take_pg3",#N/A,FALSE,"reduced_take";"red_take_pg4",#N/A,FALSE,"reduced_take";"red_take_pg5",#N/A,FALSE,"reduced_take";"red_take_pg6",#N/A,FALSE,"reduced_take"}</definedName>
    <definedName name="wrn.Reforcast._.Print." localSheetId="10" hidden="1">{#N/A,#N/A,FALSE,"RF Inc Stmt";#N/A,#N/A,FALSE,"RF-IS-1";#N/A,#N/A,FALSE,"RF-IS-2"}</definedName>
    <definedName name="wrn.Reforecast." localSheetId="10"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gions._.Bank." localSheetId="10" hidden="1">{#N/A,#N/A,FALSE,"Cover_Page";#N/A,#N/A,FALSE,"Balance Sheet FY12";#N/A,#N/A,FALSE,"Consolidated-Cash Flow";#N/A,#N/A,FALSE,"CY_Per Inc FY12"}</definedName>
    <definedName name="wrn.RELEVANTSHEETS." localSheetId="10" hidden="1">{#N/A,#N/A,FALSE,"AD_Purch";#N/A,#N/A,FALSE,"Projections";#N/A,#N/A,FALSE,"DCF";#N/A,#N/A,FALSE,"Mkt Val"}</definedName>
    <definedName name="wrn.Relvals." localSheetId="10" hidden="1">{"weekly",#N/A,FALSE,"HLTH_BND";"weekly",#N/A,FALSE,"PAP_BOND";#N/A,#N/A,FALSE,"RET_BND";"weekly",#N/A,FALSE,"CHM_BND";#N/A,#N/A,FALSE,"MOVIES";#N/A,#N/A,FALSE,"CABLE";#N/A,#N/A,FALSE,"BDCSTRV"}</definedName>
    <definedName name="wrn.rep_page." localSheetId="10" hidden="1">{"Annual_Income",#N/A,FALSE,"Report Page";"Balance_Cash_Flow",#N/A,FALSE,"Report Page";"Quarterly_Income",#N/A,FALSE,"Report Page"}</definedName>
    <definedName name="wrn.report"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0" hidden="1">{#N/A,#N/A,FALSE,"COVER";#N/A,#N/A,FALSE,"RATIOS";#N/A,#N/A,FALSE,"LEVERAGE";#N/A,#N/A,FALSE,"TIER-1";#N/A,#N/A,FALSE,"RISK BASED ASSETS";#N/A,#N/A,FALSE,"TIER-2"}</definedName>
    <definedName name="wrn.Report._.2." localSheetId="10" hidden="1">{#N/A,#N/A,TRUE,"Pivots-Employee";#N/A,"Scenerio2",TRUE,"Assumptions Summary"}</definedName>
    <definedName name="wrn.REPORT._.C." localSheetId="10" hidden="1">{#N/A,#N/A,TRUE,"Sch-5a";#N/A,#N/A,TRUE,"Sch-5b";#N/A,#N/A,TRUE,"Sch-5c";#N/A,#N/A,TRUE,"Sch-5d";#N/A,#N/A,TRUE,"Sch-6a";#N/A,#N/A,TRUE,"Sch-6b";#N/A,#N/A,TRUE,"Sch-6c";#N/A,#N/A,TRUE,"Sch-6d";#N/A,#N/A,TRUE,"Sch-6e"}</definedName>
    <definedName name="wrn.Report._.Summary." localSheetId="10" hidden="1">{#N/A,#N/A,FALSE,"March Details"}</definedName>
    <definedName name="wrn.Report_Page." localSheetId="10" hidden="1">{"Annual_Income",#N/A,FALSE,"Report Page";"Balance_Cash_Flow",#N/A,FALSE,"Report Page";"Quarterly_Income",#N/A,FALSE,"Report Page"}</definedName>
    <definedName name="wrn.Report_PR_1." localSheetId="10" hidden="1">{"PR1","pr1",TRUE,"Sch PR-1"}</definedName>
    <definedName name="wrn.Report1." localSheetId="10" hidden="1">{#N/A,#N/A,FALSE,"IS";#N/A,#N/A,FALSE,"BS";#N/A,#N/A,FALSE,"CF";#N/A,#N/A,FALSE,"CE";#N/A,#N/A,FALSE,"Depr";#N/A,#N/A,FALSE,"APAL"}</definedName>
    <definedName name="wrn.REPORTING._.PACKAGE." localSheetId="10" hidden="1">{#N/A,#N/A,TRUE,"Cover";#N/A,#N/A,TRUE,"BS";#N/A,#N/A,TRUE,"BS (2)";#N/A,#N/A,TRUE,"BS (3)";#N/A,#N/A,TRUE,"Supp Info-BS";#N/A,#N/A,TRUE,"IS";#N/A,#N/A,TRUE,"IS (2)";#N/A,#N/A,TRUE,"IS (3)";#N/A,#N/A,TRUE,"Supp Info-IS";#N/A,#N/A,TRUE,"CF";#N/A,#N/A,TRUE,"Supp Info-CF";#N/A,#N/A,TRUE,"SH";#N/A,#N/A,TRUE,"Supp Info-SH"}</definedName>
    <definedName name="wrn.reports." localSheetId="10" hidden="1">{"summary",#N/A,FALSE,"3 yr average";"comps",#N/A,FALSE,"3 yr average"}</definedName>
    <definedName name="wrn.RESERVE._.SCHEDULE." localSheetId="10" hidden="1">{#N/A,#N/A,FALSE,"Sheet8";#N/A,#N/A,FALSE,"Sheet7"}</definedName>
    <definedName name="wrn.Results." localSheetId="10" hidden="1">{#N/A,#N/A,FALSE,"PR report 1";#N/A,#N/A,FALSE,"PR report 2";#N/A,#N/A,FALSE,"PR report 3";#N/A,#N/A,FALSE,"HBE Rev";#N/A,#N/A,FALSE,"PR report 4";#N/A,#N/A,FALSE,"Wiggin Rev";#N/A,#N/A,FALSE,"NH Rev"}</definedName>
    <definedName name="wrn.revenue._.detail." localSheetId="10" hidden="1">{"revenue detail 1",#N/A,FALSE,"Revenue Detail";"revenue detail 2",#N/A,FALSE,"Revenue Detail";"revenue detail 3",#N/A,FALSE,"Revenue Detail";"revenue detail 4",#N/A,FALSE,"Revenue Detail"}</definedName>
    <definedName name="wrn.revenue._.graph." localSheetId="10" hidden="1">{"revenue graph",#N/A,FALSE,"Revenue Graph"}</definedName>
    <definedName name="wrn.revenue._.historical." localSheetId="10"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ised._.Cap._.Budget." localSheetId="10" hidden="1">{#N/A,#N/A,TRUE,"Overview";#N/A,#N/A,TRUE,"New Gen"}</definedName>
    <definedName name="wrn.Revised._.Capital._.Budget." localSheetId="10" hidden="1">{#N/A,#N/A,TRUE,"Overview";#N/A,#N/A,TRUE,"New Gen";#N/A,#N/A,TRUE,"Consol cap-ex";#N/A,#N/A,TRUE,"APC cap-ex";#N/A,#N/A,TRUE,"GPC cap-ex";#N/A,#N/A,TRUE,"GUL cap-ex";#N/A,#N/A,TRUE,"MPC cap-ex";#N/A,#N/A,TRUE,"SAV cap-ex";#N/A,#N/A,TRUE,"SEGCO cap-ex";#N/A,#N/A,TRUE,"SWE cap-ex"}</definedName>
    <definedName name="wrn.Ricobayo._.I." localSheetId="10" hidden="1">{#N/A,#N/A,FALSE,"RESUMEN ECON.";#N/A,#N/A,FALSE,"Costos de R.H.";#N/A,#N/A,FALSE,"COSTO HW";#N/A,#N/A,FALSE,"CUADROS";#N/A,#N/A,FALSE,"SCADA´s";#N/A,#N/A,FALSE,"PRECIOS EQUIPOS"}</definedName>
    <definedName name="wrn.Riverwood_comp_model." localSheetId="10" hidden="1">{#N/A,#N/A,FALSE,"Che-Ga";#N/A,#N/A,FALSE,"Iv-Sm";#N/A,#N/A,FALSE,"So-We";#N/A,#N/A,FALSE,"Me-Po";#N/A,#N/A,FALSE,"Be-Bo";#N/A,#N/A,FALSE,"Cha-Ki";#N/A,#N/A,FALSE,"In";#N/A,#N/A,FALSE,"Schedule 23";#N/A,#N/A,FALSE,"Schedule 22";#N/A,#N/A,FALSE,"WACC"}</definedName>
    <definedName name="wrn.Roll._.Up._.Fields." localSheetId="10" hidden="1">{"Total",#N/A,FALSE,"Six Fields";"PDP",#N/A,FALSE,"Six Fields";"PNP",#N/A,FALSE,"Six Fields";"PUD",#N/A,FALSE,"Six Fields";"Prob",#N/A,FALSE,"Six Fields"}</definedName>
    <definedName name="wrn.RustyPresentation." localSheetId="10" hidden="1">{#N/A,#N/A,TRUE,"TransCore Summary";#N/A,#N/A,TRUE,"TransCore IS";#N/A,#N/A,TRUE,"TransCore Balance";#N/A,#N/A,TRUE,"TransCore Backlog";#N/A,#N/A,TRUE,"Syntonic IS";#N/A,#N/A,TRUE,"Syntonic Bal";#N/A,#N/A,TRUE,"Systems IS";#N/A,#N/A,TRUE,"Systems Bal"}</definedName>
    <definedName name="wrn.sales." localSheetId="10" hidden="1">{"sales",#N/A,FALSE,"Sales";"sales existing",#N/A,FALSE,"Sales";"sales rd1",#N/A,FALSE,"Sales";"sales rd2",#N/A,FALSE,"Sales"}</definedName>
    <definedName name="wrn.San._.Pedro." localSheetId="10" hidden="1">{#N/A,#N/A,FALSE,"San Pedro"}</definedName>
    <definedName name="wrn.SB_PRES." localSheetId="10" hidden="1">{#N/A,#N/A,TRUE,"Sheet16"}</definedName>
    <definedName name="wrn.SBEI." localSheetId="10" hidden="1">{#N/A,#N/A,TRUE,"Table1";#N/A,#N/A,TRUE,"Table2";#N/A,#N/A,TRUE,"Table3";#N/A,#N/A,TRUE,"Table4";#N/A,#N/A,TRUE,"Table5";#N/A,#N/A,TRUE,"Table6";#N/A,#N/A,TRUE,"Table7";#N/A,#N/A,TRUE,"Table8";#N/A,#N/A,TRUE,"Table9";#N/A,#N/A,TRUE,"Table10";#N/A,#N/A,TRUE,"Table11";#N/A,#N/A,TRUE,"Table12";#N/A,#N/A,TRUE,"Table13";#N/A,#N/A,TRUE,"Table14"}</definedName>
    <definedName name="wrn.Schedules." localSheetId="10" hidden="1">{#N/A,#N/A,FALSE,"Sch. 1";#N/A,#N/A,FALSE,"Sch. 2";#N/A,#N/A,FALSE,"Sch. 3";#N/A,#N/A,FALSE,"Sch. 4";#N/A,#N/A,FALSE,"Sch. 5";#N/A,#N/A,FALSE,"Sch 6.";#N/A,#N/A,FALSE,"Sch. 7";#N/A,#N/A,FALSE,"Sch. 8";#N/A,#N/A,FALSE,"Sch. 9";#N/A,#N/A,FALSE,"Sch. 10";#N/A,#N/A,FALSE,"Sch. 13"}</definedName>
    <definedName name="wrn.Scripts." localSheetId="10" hidden="1">{"ENBREL",#N/A,FALSE,"Sheet1";"RenaGel",#N/A,FALSE,"Sheet1";"HIV PI",#N/A,FALSE,"Sheet1";"MS",#N/A,FALSE,"Sheet1"}</definedName>
    <definedName name="wrn.Segments." localSheetId="10" hidden="1">{"view1",#N/A,FALSE,"Consolidated";"view2",#N/A,FALSE,"Consolidated (sum)";"view1",#N/A,FALSE,"Gen Sys";"view1",#N/A,FALSE,"Semicon";"view1",#N/A,FALSE,"Mess|Med";"view1",#N/A,FALSE,"Land Mob";"view1",#N/A,FALSE,"Other Prod";"view1",#N/A,FALSE,"Adj|Elim"}</definedName>
    <definedName name="wrn.Sell._.AC._.Scenarios." localSheetId="10" hidden="1">{#N/A,"Mine Allocated, Sell AC",FALSE,"INPUTS";#N/A,"All Preferred, Sell AC",FALSE,"INPUTS";#N/A,"Step Up, Sell AC",FALSE,"INPUTS"}</definedName>
    <definedName name="wrn.SemiCap." localSheetId="10" hidden="1">{#N/A,#N/A,FALSE,"from high";#N/A,#N/A,FALSE,"from low";#N/A,#N/A,FALSE,"Market Cap";#N/A,#N/A,FALSE,"Alpha"}</definedName>
    <definedName name="wrn.Senior._.Mgr._.Review." localSheetId="10" hidden="1">{#N/A,#N/A,TRUE,"Y1-F00"}</definedName>
    <definedName name="wrn.Sensitivity." localSheetId="10" hidden="1">{"sen cf",#N/A,FALSE,"MODEL";"sen earn",#N/A,FALSE,"MODEL";"sen debt",#N/A,FALSE,"MODEL";"sen nav",#N/A,FALSE,"MODEL"}</definedName>
    <definedName name="wrn.Sensitivity._.Analysis." localSheetId="10" hidden="1">{"Sensitivity Tables",#N/A,FALSE,"DCF"}</definedName>
    <definedName name="wrn.Set." localSheetId="10" hidden="1">{#N/A,#N/A,FALSE,"High";#N/A,#N/A,FALSE,"Low";#N/A,#N/A,FALSE,"MarketCap";#N/A,#N/A,FALSE,"Alpha"}</definedName>
    <definedName name="wrn.SHORT." localSheetId="10" hidden="1">{"CREDIT STATISTICS",#N/A,FALSE,"STATS";"CF_AND_IS",#N/A,FALSE,"PLAN";"BALSHEET",#N/A,FALSE,"BALANCE SHEET"}</definedName>
    <definedName name="wrn.Short._.Form._.Print._.Out." localSheetId="10" hidden="1">{#N/A,#N/A,FALSE,"General Assumptions";#N/A,#N/A,FALSE,"Accounts";#N/A,#N/A,FALSE,"OperatingAssumptions";#N/A,#N/A,FALSE,"Cashflow";#N/A,#N/A,FALSE,"Debt";#N/A,#N/A,FALSE,"Ops Summary";#N/A,#N/A,FALSE,"Summary"}</definedName>
    <definedName name="wrn.Short._.Form._.Print._.Out._1" localSheetId="10" hidden="1">{#N/A,#N/A,FALSE,"General Assumptions";#N/A,#N/A,FALSE,"Accounts";#N/A,#N/A,FALSE,"OperatingAssumptions";#N/A,#N/A,FALSE,"Cashflow";#N/A,#N/A,FALSE,"Debt";#N/A,#N/A,FALSE,"Ops Summary";#N/A,#N/A,FALSE,"Summary"}</definedName>
    <definedName name="wrn.Short._.Form._.Print._.Out._1_1" localSheetId="10" hidden="1">{#N/A,#N/A,FALSE,"General Assumptions";#N/A,#N/A,FALSE,"Accounts";#N/A,#N/A,FALSE,"OperatingAssumptions";#N/A,#N/A,FALSE,"Cashflow";#N/A,#N/A,FALSE,"Debt";#N/A,#N/A,FALSE,"Ops Summary";#N/A,#N/A,FALSE,"Summary"}</definedName>
    <definedName name="wrn.Short._.Form._.Print._.Out._1_2" localSheetId="10" hidden="1">{#N/A,#N/A,FALSE,"General Assumptions";#N/A,#N/A,FALSE,"Accounts";#N/A,#N/A,FALSE,"OperatingAssumptions";#N/A,#N/A,FALSE,"Cashflow";#N/A,#N/A,FALSE,"Debt";#N/A,#N/A,FALSE,"Ops Summary";#N/A,#N/A,FALSE,"Summary"}</definedName>
    <definedName name="wrn.Short._.Form._.Print._.Out._1_3" localSheetId="10" hidden="1">{#N/A,#N/A,FALSE,"General Assumptions";#N/A,#N/A,FALSE,"Accounts";#N/A,#N/A,FALSE,"OperatingAssumptions";#N/A,#N/A,FALSE,"Cashflow";#N/A,#N/A,FALSE,"Debt";#N/A,#N/A,FALSE,"Ops Summary";#N/A,#N/A,FALSE,"Summary"}</definedName>
    <definedName name="wrn.Short._.Form._.Print._.Out._1_4" localSheetId="10" hidden="1">{#N/A,#N/A,FALSE,"General Assumptions";#N/A,#N/A,FALSE,"Accounts";#N/A,#N/A,FALSE,"OperatingAssumptions";#N/A,#N/A,FALSE,"Cashflow";#N/A,#N/A,FALSE,"Debt";#N/A,#N/A,FALSE,"Ops Summary";#N/A,#N/A,FALSE,"Summary"}</definedName>
    <definedName name="wrn.Short._.Form._.Print._.Out._2" localSheetId="10" hidden="1">{#N/A,#N/A,FALSE,"General Assumptions";#N/A,#N/A,FALSE,"Accounts";#N/A,#N/A,FALSE,"OperatingAssumptions";#N/A,#N/A,FALSE,"Cashflow";#N/A,#N/A,FALSE,"Debt";#N/A,#N/A,FALSE,"Ops Summary";#N/A,#N/A,FALSE,"Summary"}</definedName>
    <definedName name="wrn.Short._.Form._.Print._.Out._3" localSheetId="10" hidden="1">{#N/A,#N/A,FALSE,"General Assumptions";#N/A,#N/A,FALSE,"Accounts";#N/A,#N/A,FALSE,"OperatingAssumptions";#N/A,#N/A,FALSE,"Cashflow";#N/A,#N/A,FALSE,"Debt";#N/A,#N/A,FALSE,"Ops Summary";#N/A,#N/A,FALSE,"Summary"}</definedName>
    <definedName name="wrn.Short._.Form._.Print._.Out._4" localSheetId="10" hidden="1">{#N/A,#N/A,FALSE,"General Assumptions";#N/A,#N/A,FALSE,"Accounts";#N/A,#N/A,FALSE,"OperatingAssumptions";#N/A,#N/A,FALSE,"Cashflow";#N/A,#N/A,FALSE,"Debt";#N/A,#N/A,FALSE,"Ops Summary";#N/A,#N/A,FALSE,"Summary"}</definedName>
    <definedName name="wrn.Short._.Form._.Print._.Out._5" localSheetId="10" hidden="1">{#N/A,#N/A,FALSE,"General Assumptions";#N/A,#N/A,FALSE,"Accounts";#N/A,#N/A,FALSE,"OperatingAssumptions";#N/A,#N/A,FALSE,"Cashflow";#N/A,#N/A,FALSE,"Debt";#N/A,#N/A,FALSE,"Ops Summary";#N/A,#N/A,FALSE,"Summary"}</definedName>
    <definedName name="wrn.Side._.by._.Side." localSheetId="10" hidden="1">{"Side 99",#N/A,FALSE,"S&amp;U Side by Side"}</definedName>
    <definedName name="wrn.SJE_NBR_1_Job." localSheetId="10" hidden="1">{"SJE_#1A",#N/A,FALSE,"SJE1A";"Payroll_Summary_Report",#N/A,FALSE,"Summary";"SJE_#1B",#N/A,FALSE,"SJE1B";"WC_Grouping",#N/A,FALSE,"WC Payroll"}</definedName>
    <definedName name="wrn.SJE11_Print_Job." localSheetId="10" hidden="1">{"SJE #11",#N/A,FALSE,"Sheet1"}</definedName>
    <definedName name="wrn.SJE12_PRINT_JOB." localSheetId="10" hidden="1">{"SJE#12",#N/A,FALSE,"Sheet1"}</definedName>
    <definedName name="wrn.SJE2_PRINTJOB." localSheetId="10" hidden="1">{"TAX_CALCULATION",#N/A,FALSE,"Accrual Calc";"SJE#2A",#N/A,FALSE,"Accrual GJE";"SJE#2B",#N/A,FALSE,"Reversal GJE"}</definedName>
    <definedName name="wrn.sje22." localSheetId="10" hidden="1">{"sje #22",#N/A,FALSE,"SJE #22";"calc",#N/A,FALSE,"CALC"}</definedName>
    <definedName name="wrn.SJE3_Print_Job." localSheetId="10" hidden="1">{"Accrual_Calc",#N/A,FALSE,"JE DETAIL";"SJE#3A",#N/A,FALSE,"JE DETAIL";"SJE#3B",#N/A,FALSE,"JE DETAIL"}</definedName>
    <definedName name="wrn.SJE4_PRINT_JOB." localSheetId="10" hidden="1">{"sje#4",#N/A,FALSE,"Sheet1"}</definedName>
    <definedName name="wrn.SJE4A_PRINT_JOB." localSheetId="10" hidden="1">{"SJE#4A",#N/A,FALSE,"Sheet1"}</definedName>
    <definedName name="wrn.SJE5_PRINT_JOB." localSheetId="10" hidden="1">{"SJE#5",#N/A,FALSE,"Sheet1"}</definedName>
    <definedName name="wrn.Sommaire." localSheetId="10" hidden="1">{#N/A,#N/A,TRUE,"Summary";#N/A,#N/A,TRUE,"NARRATIF";#N/A,#N/A,TRUE,"SALES";#N/A,#N/A,TRUE,"NOPAT";#N/A,#N/A,TRUE,"CASH";#N/A,#N/A,TRUE,"UA";#N/A,#N/A,TRUE,"spares"}</definedName>
    <definedName name="wrn.sspall." localSheetId="10" hidden="1">{"sspcash",#N/A,FALSE,"EWSINCX";"sspinc",#N/A,FALSE,"EWSINCX";"ssptax",#N/A,FALSE,"EWSINCX";"ssppub",#N/A,FALSE,"EWSINCX";"sspperchgetc",#N/A,FALSE,"EWSINCX";"sspevan",#N/A,FALSE,"EWSINCX";"sspbroad",#N/A,FALSE,"EWSINCX";"sspbroadcont",#N/A,FALSE,"EWSINCX";"sspcable",#N/A,FALSE,"EWSINCX";"sspent",#N/A,FALSE,"EWSINCX"}</definedName>
    <definedName name="wrn.Staffing." localSheetId="10"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1" localSheetId="10" hidden="1">{#N/A,#N/A,FALSE,"Assessment";#N/A,#N/A,FALSE,"Staffing";#N/A,#N/A,FALSE,"Hires";#N/A,#N/A,FALSE,"Assumptions"}</definedName>
    <definedName name="wrn.stand_alone_both" localSheetId="10" hidden="1">{"FCB_ALL",#N/A,FALSE,"FCB";"GREY_ALL",#N/A,FALSE,"GREY"}</definedName>
    <definedName name="wrn.STAND_ALONE_BOTH." localSheetId="10" hidden="1">{"FCB_ALL",#N/A,FALSE,"FCB";"GREY_ALL",#N/A,FALSE,"GREY"}</definedName>
    <definedName name="wrn.Stand_alone_both._dcf" localSheetId="10" hidden="1">{"FCB_ALL",#N/A,FALSE,"FCB";"GREY_ALL",#N/A,FALSE,"GREY"}</definedName>
    <definedName name="wrn.stand_alone_both.1" localSheetId="10" hidden="1">{"FCB_ALL",#N/A,FALSE,"FCB";"GREY_ALL",#N/A,FALSE,"GREY"}</definedName>
    <definedName name="wrn.stand_alone_both1" localSheetId="10" hidden="1">{"FCB_ALL",#N/A,FALSE,"FCB";"GREY_ALL",#N/A,FALSE,"GREY"}</definedName>
    <definedName name="wrn.stand_alone_both9" localSheetId="10" hidden="1">{"FCB_ALL",#N/A,FALSE,"FCB";"GREY_ALL",#N/A,FALSE,"GREY"}</definedName>
    <definedName name="wrn.standaloneboth1" localSheetId="10" hidden="1">{"FCB_ALL",#N/A,FALSE,"FCB";"GREY_ALL",#N/A,FALSE,"GREY"}</definedName>
    <definedName name="wrn.Standard._.Reports." localSheetId="1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tements." localSheetId="10" hidden="1">{#N/A,#N/A,FALSE,"CostOfService";#N/A,#N/A,FALSE,"BalanceSheet";#N/A,#N/A,FALSE,"IncomeStmt";#N/A,#N/A,FALSE,"CashFlow";#N/A,#N/A,FALSE,"RateBase"}</definedName>
    <definedName name="wrn.statemetns1." localSheetId="10" hidden="1">{#N/A,#N/A,FALSE,"CostOfService";#N/A,#N/A,FALSE,"BalanceSheet";#N/A,#N/A,FALSE,"IncomeStmt";#N/A,#N/A,FALSE,"CashFlow";#N/A,#N/A,FALSE,"RateBase"}</definedName>
    <definedName name="wrn.Statistics." localSheetId="10" hidden="1">{"Std Poor",#N/A,FALSE,"S&amp;P";"Sum Stats",#N/A,FALSE,"Stats"}</definedName>
    <definedName name="wrn.STMT._.OF._.CASH._.FLOWS." localSheetId="10" hidden="1">{"STMT OF CASH FLOWS",#N/A,FALSE,"Cash Flows Indirect"}</definedName>
    <definedName name="wrn.Structure." localSheetId="10" hidden="1">{#N/A,#N/A,FALSE,"Structure";#N/A,#N/A,FALSE,"Proj-Cal";#N/A,#N/A,FALSE,"Market"}</definedName>
    <definedName name="wrn.Subject._.Worksheet." localSheetId="10" hidden="1">{"Balance Sheets",#N/A,FALSE,"Subject";"Income Statements - As Reported",#N/A,FALSE,"Subject";"Income Statements - Adjusted",#N/A,FALSE,"Subject";"Ratios",#N/A,FALSE,"Subject";"Representative Earnings",#N/A,FALSE,"Subject"}</definedName>
    <definedName name="wrn.subs." localSheetId="10" hidden="1">{#N/A,#N/A,FALSE,"Comp - War";#N/A,#N/A,FALSE,"Comp - War"}</definedName>
    <definedName name="wrn.SUM." localSheetId="10" hidden="1">{"SUM",#N/A,FALSE,"Details (2)"}</definedName>
    <definedName name="wrn.sumarry_96_980" localSheetId="10" hidden="1">{"arpm1995",#N/A,FALSE,"Summary 95-96";"bus_long_distance",#N/A,FALSE,"Summary 95-96";"mins_per_day",#N/A,FALSE,"Summary 95-96";"minutes1995",#N/A,FALSE,"Summary 95-96";"rev_per_day",#N/A,FALSE,"Summary 95-96";"view1995",#N/A,FALSE,"Summary 95-96"}</definedName>
    <definedName name="wrn.Summ." localSheetId="10" hidden="1">{#N/A,#N/A,TRUE,"Months 2003";#N/A,#N/A,TRUE,"Months 2004";#N/A,#N/A,TRUE,"Months 2005"}</definedName>
    <definedName name="wrn.summ4." localSheetId="10" hidden="1">{#N/A,#N/A,FALSE,"summ";#N/A,#N/A,FALSE,"q1";#N/A,#N/A,FALSE,"summ_alt";#N/A,#N/A,FALSE,"stock_nozero";#N/A,#N/A,FALSE,"1995"}</definedName>
    <definedName name="wrn.summaries." localSheetId="10"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localSheetId="10" hidden="1">{"Sum1",#N/A,FALSE,"Reserve Report";"Sum2",#N/A,FALSE,"Reserve Report";"Sum3",#N/A,FALSE,"Reserve Report";"Sum4",#N/A,FALSE,"Reserve Report"}</definedName>
    <definedName name="wrn.Summary._.Financials." localSheetId="10" hidden="1">{"Balance Sheet",#N/A,FALSE,"Annual Summary";"Cashflows",#N/A,FALSE,"Annual Summary";"Summary Earnings",#N/A,FALSE,"Annual Summary"}</definedName>
    <definedName name="wrn.Summary._.of._.Details2." localSheetId="10" hidden="1">{"Summary",#N/A,FALSE,"Details (2)"}</definedName>
    <definedName name="wrn.summary._.schedules." localSheetId="10" hidden="1">{"summary1",#N/A,FALSE,"Summary of Values";"summary2",#N/A,FALSE,"Summary of Values"}</definedName>
    <definedName name="wrn.Summary._1" localSheetId="10" hidden="1">{"Summary",#N/A,FALSE,"Summary"}</definedName>
    <definedName name="wrn.Summary._1_1" localSheetId="10" hidden="1">{"Summary",#N/A,FALSE,"Summary"}</definedName>
    <definedName name="wrn.Summary._1_2" localSheetId="10" hidden="1">{"Summary",#N/A,FALSE,"Summary"}</definedName>
    <definedName name="wrn.Summary._1_3" localSheetId="10" hidden="1">{"Summary",#N/A,FALSE,"Summary"}</definedName>
    <definedName name="wrn.Summary._1_4" localSheetId="10" hidden="1">{"Summary",#N/A,FALSE,"Summary"}</definedName>
    <definedName name="wrn.Summary._2" localSheetId="10" hidden="1">{"Summary",#N/A,FALSE,"Summary"}</definedName>
    <definedName name="wrn.Summary._3" localSheetId="10" hidden="1">{"Summary",#N/A,FALSE,"Summary"}</definedName>
    <definedName name="wrn.Summary._4" localSheetId="10" hidden="1">{"Summary",#N/A,FALSE,"Summary"}</definedName>
    <definedName name="wrn.Summary._5" localSheetId="10" hidden="1">{"Summary",#N/A,FALSE,"Summary"}</definedName>
    <definedName name="wrn.summary_95_890" localSheetId="10" hidden="1">{"arpm1995",#N/A,FALSE,"Summary 95-96";"bus_long_distance",#N/A,FALSE,"Summary 95-96";"mins_per_day",#N/A,FALSE,"Summary 95-96";"minutes1995",#N/A,FALSE,"Summary 95-96";"rev_per_day",#N/A,FALSE,"Summary 95-96";"view1995",#N/A,FALSE,"Summary 95-96"}</definedName>
    <definedName name="wrn.summary_95_950" localSheetId="10" hidden="1">{"arpm1995",#N/A,FALSE,"Summary 95-96";"bus_long_distance",#N/A,FALSE,"Summary 95-96";"mins_per_day",#N/A,FALSE,"Summary 95-96";"minutes1995",#N/A,FALSE,"Summary 95-96";"rev_per_day",#N/A,FALSE,"Summary 95-96";"view1995",#N/A,FALSE,"Summary 95-96"}</definedName>
    <definedName name="wrn.summary_95_96." localSheetId="10" hidden="1">{"arpm1995",#N/A,FALSE,"Summary 95-96";"bus_long_distance",#N/A,FALSE,"Summary 95-96";"mins_per_day",#N/A,FALSE,"Summary 95-96";"minutes1995",#N/A,FALSE,"Summary 95-96";"rev_per_day",#N/A,FALSE,"Summary 95-96";"view1995",#N/A,FALSE,"Summary 95-96"}</definedName>
    <definedName name="wrn.summary_95_960" localSheetId="10" hidden="1">{"arpm1995",#N/A,FALSE,"Summary 95-96";"bus_long_distance",#N/A,FALSE,"Summary 95-96";"mins_per_day",#N/A,FALSE,"Summary 95-96";"minutes1995",#N/A,FALSE,"Summary 95-96";"rev_per_day",#N/A,FALSE,"Summary 95-96";"view1995",#N/A,FALSE,"Summary 95-96"}</definedName>
    <definedName name="wrn.summary_95_961." localSheetId="10" hidden="1">{"arpm1995",#N/A,FALSE,"Summary 95-96";"bus_long_distance",#N/A,FALSE,"Summary 95-96";"mins_per_day",#N/A,FALSE,"Summary 95-96";"minutes1995",#N/A,FALSE,"Summary 95-96";"rev_per_day",#N/A,FALSE,"Summary 95-96";"view1995",#N/A,FALSE,"Summary 95-96"}</definedName>
    <definedName name="wrn.summary_95_963" localSheetId="10" hidden="1">{"arpm1995",#N/A,FALSE,"Summary 95-96";"bus_long_distance",#N/A,FALSE,"Summary 95-96";"mins_per_day",#N/A,FALSE,"Summary 95-96";"minutes1995",#N/A,FALSE,"Summary 95-96";"rev_per_day",#N/A,FALSE,"Summary 95-96";"view1995",#N/A,FALSE,"Summary 95-96"}</definedName>
    <definedName name="wrn.summary_95_966" localSheetId="10" hidden="1">{"arpm1995",#N/A,FALSE,"Summary 95-96";"bus_long_distance",#N/A,FALSE,"Summary 95-96";"mins_per_day",#N/A,FALSE,"Summary 95-96";"minutes1995",#N/A,FALSE,"Summary 95-96";"rev_per_day",#N/A,FALSE,"Summary 95-96";"view1995",#N/A,FALSE,"Summary 95-96"}</definedName>
    <definedName name="wrn.summary_95_967" localSheetId="10" hidden="1">{"arpm1995",#N/A,FALSE,"Summary 95-96";"bus_long_distance",#N/A,FALSE,"Summary 95-96";"mins_per_day",#N/A,FALSE,"Summary 95-96";"minutes1995",#N/A,FALSE,"Summary 95-96";"rev_per_day",#N/A,FALSE,"Summary 95-96";"view1995",#N/A,FALSE,"Summary 95-96"}</definedName>
    <definedName name="wrn.summary_95_968" localSheetId="10" hidden="1">{"arpm1995",#N/A,FALSE,"Summary 95-96";"bus_long_distance",#N/A,FALSE,"Summary 95-96";"mins_per_day",#N/A,FALSE,"Summary 95-96";"minutes1995",#N/A,FALSE,"Summary 95-96";"rev_per_day",#N/A,FALSE,"Summary 95-96";"view1995",#N/A,FALSE,"Summary 95-96"}</definedName>
    <definedName name="wrn.summary_95_968w" localSheetId="10" hidden="1">{"arpm1995",#N/A,FALSE,"Summary 95-96";"bus_long_distance",#N/A,FALSE,"Summary 95-96";"mins_per_day",#N/A,FALSE,"Summary 95-96";"minutes1995",#N/A,FALSE,"Summary 95-96";"rev_per_day",#N/A,FALSE,"Summary 95-96";"view1995",#N/A,FALSE,"Summary 95-96"}</definedName>
    <definedName name="wrn.summary_95_969" localSheetId="10" hidden="1">{"arpm1995",#N/A,FALSE,"Summary 95-96";"bus_long_distance",#N/A,FALSE,"Summary 95-96";"mins_per_day",#N/A,FALSE,"Summary 95-96";"minutes1995",#N/A,FALSE,"Summary 95-96";"rev_per_day",#N/A,FALSE,"Summary 95-96";"view1995",#N/A,FALSE,"Summary 95-96"}</definedName>
    <definedName name="wrn.summary_95_97" localSheetId="10" hidden="1">{"arpm1995",#N/A,FALSE,"Summary 95-96";"bus_long_distance",#N/A,FALSE,"Summary 95-96";"mins_per_day",#N/A,FALSE,"Summary 95-96";"minutes1995",#N/A,FALSE,"Summary 95-96";"rev_per_day",#N/A,FALSE,"Summary 95-96";"view1995",#N/A,FALSE,"Summary 95-96"}</definedName>
    <definedName name="wrn.summary_95_970" localSheetId="10" hidden="1">{"arpm1995",#N/A,FALSE,"Summary 95-96";"bus_long_distance",#N/A,FALSE,"Summary 95-96";"mins_per_day",#N/A,FALSE,"Summary 95-96";"minutes1995",#N/A,FALSE,"Summary 95-96";"rev_per_day",#N/A,FALSE,"Summary 95-96";"view1995",#N/A,FALSE,"Summary 95-96"}</definedName>
    <definedName name="wrn.summary_95_971" localSheetId="10" hidden="1">{"arpm1995",#N/A,FALSE,"Summary 95-96";"bus_long_distance",#N/A,FALSE,"Summary 95-96";"mins_per_day",#N/A,FALSE,"Summary 95-96";"minutes1995",#N/A,FALSE,"Summary 95-96";"rev_per_day",#N/A,FALSE,"Summary 95-96";"view1995",#N/A,FALSE,"Summary 95-96"}</definedName>
    <definedName name="wrn.summary_95_98" localSheetId="10" hidden="1">{"arpm1995",#N/A,FALSE,"Summary 95-96";"bus_long_distance",#N/A,FALSE,"Summary 95-96";"mins_per_day",#N/A,FALSE,"Summary 95-96";"minutes1995",#N/A,FALSE,"Summary 95-96";"rev_per_day",#N/A,FALSE,"Summary 95-96";"view1995",#N/A,FALSE,"Summary 95-96"}</definedName>
    <definedName name="wrn.summary_95_982" localSheetId="10" hidden="1">{"arpm1995",#N/A,FALSE,"Summary 95-96";"bus_long_distance",#N/A,FALSE,"Summary 95-96";"mins_per_day",#N/A,FALSE,"Summary 95-96";"minutes1995",#N/A,FALSE,"Summary 95-96";"rev_per_day",#N/A,FALSE,"Summary 95-96";"view1995",#N/A,FALSE,"Summary 95-96"}</definedName>
    <definedName name="wrn.summary_96_915" localSheetId="10" hidden="1">{"arpm1995",#N/A,FALSE,"Summary 95-96";"bus_long_distance",#N/A,FALSE,"Summary 95-96";"mins_per_day",#N/A,FALSE,"Summary 95-96";"minutes1995",#N/A,FALSE,"Summary 95-96";"rev_per_day",#N/A,FALSE,"Summary 95-96";"view1995",#N/A,FALSE,"Summary 95-96"}</definedName>
    <definedName name="wrn.summary_96_97" localSheetId="10" hidden="1">{"arpm1995",#N/A,FALSE,"Summary 95-96";"bus_long_distance",#N/A,FALSE,"Summary 95-96";"mins_per_day",#N/A,FALSE,"Summary 95-96";"minutes1995",#N/A,FALSE,"Summary 95-96";"rev_per_day",#N/A,FALSE,"Summary 95-96";"view1995",#N/A,FALSE,"Summary 95-96"}</definedName>
    <definedName name="wrn.summary_96_970" localSheetId="10" hidden="1">{"arpm1995",#N/A,FALSE,"Summary 95-96";"bus_long_distance",#N/A,FALSE,"Summary 95-96";"mins_per_day",#N/A,FALSE,"Summary 95-96";"minutes1995",#N/A,FALSE,"Summary 95-96";"rev_per_day",#N/A,FALSE,"Summary 95-96";"view1995",#N/A,FALSE,"Summary 95-96"}</definedName>
    <definedName name="wrn.summary_96_973" localSheetId="10" hidden="1">{"arpm1995",#N/A,FALSE,"Summary 95-96";"bus_long_distance",#N/A,FALSE,"Summary 95-96";"mins_per_day",#N/A,FALSE,"Summary 95-96";"minutes1995",#N/A,FALSE,"Summary 95-96";"rev_per_day",#N/A,FALSE,"Summary 95-96";"view1995",#N/A,FALSE,"Summary 95-96"}</definedName>
    <definedName name="wrn.summary_96_974" localSheetId="10" hidden="1">{"arpm1995",#N/A,FALSE,"Summary 95-96";"bus_long_distance",#N/A,FALSE,"Summary 95-96";"mins_per_day",#N/A,FALSE,"Summary 95-96";"minutes1995",#N/A,FALSE,"Summary 95-96";"rev_per_day",#N/A,FALSE,"Summary 95-96";"view1995",#N/A,FALSE,"Summary 95-96"}</definedName>
    <definedName name="wrn.summary_96_977" localSheetId="10" hidden="1">{"arpm1995",#N/A,FALSE,"Summary 95-96";"bus_long_distance",#N/A,FALSE,"Summary 95-96";"mins_per_day",#N/A,FALSE,"Summary 95-96";"minutes1995",#N/A,FALSE,"Summary 95-96";"rev_per_day",#N/A,FALSE,"Summary 95-96";"view1995",#N/A,FALSE,"Summary 95-96"}</definedName>
    <definedName name="wrn.summary_96_977_1" localSheetId="10" hidden="1">{"arpm1995",#N/A,FALSE,"Summary 95-96";"bus_long_distance",#N/A,FALSE,"Summary 95-96";"mins_per_day",#N/A,FALSE,"Summary 95-96";"minutes1995",#N/A,FALSE,"Summary 95-96";"rev_per_day",#N/A,FALSE,"Summary 95-96";"view1995",#N/A,FALSE,"Summary 95-96"}</definedName>
    <definedName name="wrn.summary_96_978" localSheetId="10" hidden="1">{"arpm1995",#N/A,FALSE,"Summary 95-96";"bus_long_distance",#N/A,FALSE,"Summary 95-96";"mins_per_day",#N/A,FALSE,"Summary 95-96";"minutes1995",#N/A,FALSE,"Summary 95-96";"rev_per_day",#N/A,FALSE,"Summary 95-96";"view1995",#N/A,FALSE,"Summary 95-96"}</definedName>
    <definedName name="wrn.summary_96_97x" localSheetId="10" hidden="1">{"arpm1995",#N/A,FALSE,"Summary 95-96";"bus_long_distance",#N/A,FALSE,"Summary 95-96";"mins_per_day",#N/A,FALSE,"Summary 95-96";"minutes1995",#N/A,FALSE,"Summary 95-96";"rev_per_day",#N/A,FALSE,"Summary 95-96";"view1995",#N/A,FALSE,"Summary 95-96"}</definedName>
    <definedName name="wrn.summary_96_987" localSheetId="10" hidden="1">{"arpm1995",#N/A,FALSE,"Summary 95-96";"bus_long_distance",#N/A,FALSE,"Summary 95-96";"mins_per_day",#N/A,FALSE,"Summary 95-96";"minutes1995",#N/A,FALSE,"Summary 95-96";"rev_per_day",#N/A,FALSE,"Summary 95-96";"view1995",#N/A,FALSE,"Summary 95-96"}</definedName>
    <definedName name="wrn.SUPP_SCHD." localSheetId="10" hidden="1">{#N/A,#N/A,TRUE,"A";#N/A,#N/A,TRUE,"B";#N/A,#N/A,TRUE,"C";#N/A,#N/A,TRUE,"D";#N/A,#N/A,TRUE,"E"}</definedName>
    <definedName name="wrn.Supplemental_Reports." localSheetId="10" hidden="1">{#N/A,#N/A,FALSE,"Report Data";#N/A,#N/A,FALSE,"COMP POOL";#N/A,#N/A,FALSE,"COMP POOL NB95";#N/A,#N/A,FALSE,"COMP POOL NB94"}</definedName>
    <definedName name="wrn.Support." localSheetId="10" hidden="1">{#N/A,#N/A,FALSE,"TRIAL INPUT";#N/A,#N/A,FALSE,"AVG INPUT COPY";#N/A,#N/A,FALSE,"INVESTMENTS_INPUT"}</definedName>
    <definedName name="wrn.t_cash." localSheetId="10" hidden="1">{"cash_tes",#N/A,FALSE,"dec95cr.xls"}</definedName>
    <definedName name="wrn.Tables." localSheetId="10" hidden="1">{"view1",#N/A,FALSE,"Tables";"view2",#N/A,FALSE,"Tables";"view3",#N/A,FALSE,"Tables"}</definedName>
    <definedName name="wrn.Tables._.and._.Support." localSheetId="10" hidden="1">{#N/A,#N/A,FALSE,"TABLE_1 YTD";#N/A,#N/A,FALSE,"TABLE_1A QTD";#N/A,#N/A,FALSE,"NORMAL_SPREAD_QTD";#N/A,#N/A,FALSE,"NORMAL_SPREAD_YTD";#N/A,#N/A,FALSE,"TAX_EQV";#N/A,#N/A,FALSE,"TAX EQUIV_INPUT";#N/A,#N/A,FALSE,"NET FROM FER";#N/A,#N/A,FALSE,"COVER"}</definedName>
    <definedName name="wrn.Target." localSheetId="10"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DCF." localSheetId="10" hidden="1">{"targetdcf",#N/A,FALSE,"Merger consequences";"TARGETASSU",#N/A,FALSE,"Merger consequences";"TERMINAL VALUE",#N/A,FALSE,"Merger consequences"}</definedName>
    <definedName name="wrn.TargetLBO." localSheetId="10" hidden="1">{#N/A,#N/A,TRUE,"Tar-Ass";#N/A,#N/A,TRUE,"Tar-Ass LBO";#N/A,#N/A,TRUE,"LBO Ret";#N/A,#N/A,TRUE,"Tar-BS LBO";#N/A,#N/A,TRUE,"Tar-IS LBO";#N/A,#N/A,TRUE,"Tar-CF LBO";#N/A,#N/A,TRUE,"Tar-Debt LBO";#N/A,#N/A,TRUE,"Tar-Int LBO";#N/A,#N/A,TRUE,"Tar-Taxes LBO";#N/A,#N/A,TRUE,"Tar-Val LBO"}</definedName>
    <definedName name="wrn.TargetState." localSheetId="10" hidden="1">{#N/A,#N/A,FALSE,"Tar-Ass";#N/A,#N/A,FALSE,"Tar-IS";#N/A,#N/A,FALSE,"Tar-BS";#N/A,#N/A,FALSE,"Tar-Adg BS";#N/A,#N/A,FALSE,"Tar-CF"}</definedName>
    <definedName name="wrn.TargetVal." localSheetId="10" hidden="1">{#N/A,#N/A,TRUE,"Val - sum";#N/A,#N/A,TRUE,"Val - Sum1";#N/A,#N/A,TRUE,"Val - sum2";#N/A,#N/A,TRUE,"Val - Sum3";#N/A,#N/A,TRUE,"Tar-DCF";#N/A,#N/A,TRUE,"Tar-Val LBO";#N/A,#N/A,TRUE,"Tar-Mult Val"}</definedName>
    <definedName name="wrn.Tariff._.working." localSheetId="10" hidden="1">{#N/A,#N/A,TRUE,"input";#N/A,#N/A,TRUE,"fnplan";#N/A,#N/A,TRUE,"Key Ratio";#N/A,#N/A,TRUE,"Gen_BrkDn";#N/A,#N/A,TRUE,"RsKW";#N/A,#N/A,TRUE,"gen&amp;fuel";#N/A,#N/A,TRUE,"fuel_price";#N/A,#N/A,TRUE,"O&amp;M+admin";#N/A,#N/A,TRUE,"int(GB-debt)";#N/A,#N/A,TRUE,"dep_rskw";#N/A,#N/A,TRUE,"wc_tariff";#N/A,#N/A,TRUE,"tax-tarif1";#N/A,#N/A,TRUE,"ROE";#N/A,#N/A,TRUE,"TN_PCOST";#N/A,#N/A,TRUE,"fincost-tec";#N/A,#N/A,TRUE,"IDCa";#N/A,#N/A,TRUE,"fcloan(G)";#N/A,#N/A,TRUE,"fcloan(NO-G) ";#N/A,#N/A,TRUE,"Local Debt in $";#N/A,#N/A,TRUE,"Rsloan -CEA";#N/A,#N/A,TRUE,"SHL1 in $";#N/A,#N/A,TRUE,"SHL-1-INRs"}</definedName>
    <definedName name="wrn.TB._.ALL._.ACCTS." localSheetId="10" hidden="1">{"BALANCE SHEET ACCTS",#N/A,TRUE,"Working Trial Balance";"INCOME STMT ACCTS",#N/A,TRUE,"Working Trial Balance"}</definedName>
    <definedName name="wrn.TB._.BALANCE._.SHEET." localSheetId="10" hidden="1">{"BALANCE SHEET ACCTS",#N/A,FALSE,"Working Trial Balance"}</definedName>
    <definedName name="wrn.TB._.EXPLANATIONS." localSheetId="10" hidden="1">{"EXPLANATIONS",#N/A,FALSE,"Working Trial Balance"}</definedName>
    <definedName name="wrn.TB._.INCOME._.STMT." localSheetId="10" hidden="1">{"INCOME STMT ACCTS",#N/A,FALSE,"Working Trial Balance"}</definedName>
    <definedName name="wrn.technology." localSheetId="10" hidden="1">{"developed valuation",#N/A,FALSE,"Valuation Analysis";"developed income statement",#N/A,FALSE,"Abbreviated Income Statement";"inprocess valuation",#N/A,FALSE,"Valuation Analysis";"inprocess income statement",#N/A,FALSE,"Abbreviated Income Statement"}</definedName>
    <definedName name="wrn.test." localSheetId="10" hidden="1">{"test2",#N/A,TRUE,"Prices"}</definedName>
    <definedName name="wrn.Test._1" localSheetId="10" hidden="1">{#N/A,#N/A,FALSE,"P&amp;L";#N/A,#N/A,FALSE,"BS"}</definedName>
    <definedName name="wrn.Test._1_1" localSheetId="10" hidden="1">{#N/A,#N/A,FALSE,"P&amp;L";#N/A,#N/A,FALSE,"BS"}</definedName>
    <definedName name="wrn.Test._1_2" localSheetId="10" hidden="1">{#N/A,#N/A,FALSE,"P&amp;L";#N/A,#N/A,FALSE,"BS"}</definedName>
    <definedName name="wrn.Test._1_3" localSheetId="10" hidden="1">{#N/A,#N/A,FALSE,"P&amp;L";#N/A,#N/A,FALSE,"BS"}</definedName>
    <definedName name="wrn.Test._1_4" localSheetId="10" hidden="1">{#N/A,#N/A,FALSE,"P&amp;L";#N/A,#N/A,FALSE,"BS"}</definedName>
    <definedName name="wrn.Test._2" localSheetId="10" hidden="1">{#N/A,#N/A,FALSE,"P&amp;L";#N/A,#N/A,FALSE,"BS"}</definedName>
    <definedName name="wrn.Test._3" localSheetId="10" hidden="1">{#N/A,#N/A,FALSE,"P&amp;L";#N/A,#N/A,FALSE,"BS"}</definedName>
    <definedName name="wrn.Test._4" localSheetId="10" hidden="1">{#N/A,#N/A,FALSE,"P&amp;L";#N/A,#N/A,FALSE,"BS"}</definedName>
    <definedName name="wrn.Test._5" localSheetId="10" hidden="1">{#N/A,#N/A,FALSE,"P&amp;L";#N/A,#N/A,FALSE,"BS"}</definedName>
    <definedName name="wrn.test1." localSheetId="10" hidden="1">{"Income Statement",#N/A,FALSE,"CFMODEL";"Balance Sheet",#N/A,FALSE,"CFMODEL"}</definedName>
    <definedName name="wrn.test2." localSheetId="10" hidden="1">{"SourcesUses",#N/A,TRUE,"CFMODEL";"TransOverview",#N/A,TRUE,"CFMODEL"}</definedName>
    <definedName name="wrn.test3." localSheetId="10" hidden="1">{"SourcesUses",#N/A,TRUE,#N/A;"TransOverview",#N/A,TRUE,"CFMODEL"}</definedName>
    <definedName name="wrn.test4." localSheetId="10" hidden="1">{"SourcesUses",#N/A,TRUE,"FundsFlow";"TransOverview",#N/A,TRUE,"FundsFlow"}</definedName>
    <definedName name="wrn.TheWholeEnchilada." localSheetId="10" hidden="1">{"CSheet",#N/A,FALSE,"C";"SmCap",#N/A,FALSE,"VAL1";"GulfCoast",#N/A,FALSE,"VAL1";"nav",#N/A,FALSE,"NAV";"Summary",#N/A,FALSE,"NAV"}</definedName>
    <definedName name="wrn.TMCALL." localSheetId="10" hidden="1">{"tmccash",#N/A,FALSE,"INCX";"tmcinc",#N/A,FALSE,"INCX";"tmcpretx",#N/A,FALSE,"INCX";"tmcadrev",#N/A,FALSE,"INCX";"tmcbooks",#N/A,FALSE,"INCX"}</definedName>
    <definedName name="wrn.tobacco." localSheetId="10" hidden="1">{"income",#N/A,FALSE,"TOBACCO";"value",#N/A,FALSE,"TOBACCO";"assum1",#N/A,FALSE,"TOBACCO";"assum2",#N/A,FALSE,"TOBACCO";"swisher",#N/A,FALSE,"TOBACCO";"martin",#N/A,FALSE,"TOBACCO";"helme1",#N/A,FALSE,"TOBACCO";"helme2",#N/A,FALSE,"TOBACCO";"HELME3",#N/A,FALSE,"TOBACCO";"depmatrix",#N/A,FALSE,"TOBACCO"}</definedName>
    <definedName name="wrn.tobsum." localSheetId="10" hidden="1">{"income",#N/A,FALSE,"TOBACCO";"value",#N/A,FALSE,"TOBACCO";"assum1",#N/A,FALSE,"TOBACCO"}</definedName>
    <definedName name="wrn.TOOL." localSheetId="1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localSheetId="10"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tal._.Business." localSheetId="1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ompany._.Reforecast._.Print." localSheetId="10"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urrent._.scenario." localSheetId="10" hidden="1">{"assumptions",#N/A,TRUE,"assumptions";"PandL",#N/A,TRUE,"Merged entity";"sens",#N/A,TRUE,"assumptions";"pres1",#N/A,TRUE,"for presentation"}</definedName>
    <definedName name="wrn.Total._.Market._.Report." localSheetId="10" hidden="1">{#N/A,#N/A,FALSE,"Sales Graph";#N/A,#N/A,FALSE,"BUC Graph";#N/A,#N/A,FALSE,"P&amp;L - YTD"}</definedName>
    <definedName name="wrn.Total._.Print." localSheetId="10"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oved." localSheetId="10" hidden="1">{"Total",#N/A,FALSE,"Total Proved";"PDP",#N/A,FALSE,"Total Proved";"PNP",#N/A,FALSE,"Total Proved";"PUD",#N/A,FALSE,"Total Proved"}</definedName>
    <definedName name="wrn.Total._.Proved._.plus._.Probable." localSheetId="10" hidden="1">{"Total",#N/A,FALSE,"Total Proved + Probable";"PDP",#N/A,FALSE,"Total Proved + Probable";"PNP",#N/A,FALSE,"Total Proved + Probable";"PUD",#N/A,FALSE,"Total Proved + Probable";"Prob",#N/A,FALSE,"Total Proved + Probable"}</definedName>
    <definedName name="wrn.total._.year." localSheetId="10" hidden="1">{#N/A,#N/A,FALSE,"2003_Input - P&amp;L"}</definedName>
    <definedName name="wrn.total1." localSheetId="10"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ut._.Sauf._.BG."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rack." localSheetId="10" hidden="1">{#N/A,#N/A,FALSE,"Inc Stmt";#N/A,#N/A,FALSE,"Indirect Costs";#N/A,#N/A,FALSE,"Capital"}</definedName>
    <definedName name="wrn.trademark._.and._.trade._.name." localSheetId="10" hidden="1">{"trademark1",#N/A,FALSE,"Trademark(s) and Trade Name(s)"}</definedName>
    <definedName name="wrn.Trading._.Summary." localSheetId="10" hidden="1">{#N/A,#N/A,FALSE,"Trading Summary"}</definedName>
    <definedName name="wrn.TransPrcd_123." localSheetId="10" hidden="1">{#N/A,#N/A,TRUE,"TransPrcd 1";#N/A,#N/A,TRUE,"TransPrcd 2";#N/A,#N/A,TRUE,"TransPrcd 3"}</definedName>
    <definedName name="wrn.trball." localSheetId="10" hidden="1">{"trbcash",#N/A,FALSE,"INCPF";"trbinc",#N/A,FALSE,"INCPF";"trbchic",#N/A,FALSE,"INCPF";"trbadrev",#N/A,FALSE,"INCPF";"trbstns",#N/A,FALSE,"INCPF";"trbtvstns",#N/A,FALSE,"INCPF"}</definedName>
    <definedName name="wrn.tsp." localSheetId="10" hidden="1">{#N/A,#N/A,FALSE,"Summary";#N/A,#N/A,FALSE,"Financials";#N/A,#N/A,FALSE,"Returns";#N/A,#N/A,FALSE,"Open";#N/A,#N/A,FALSE,"Assumptions"}</definedName>
    <definedName name="wrn.twofin." localSheetId="10" hidden="1">{"bscompare",#N/A,FALSE,"Bal Sheet"}</definedName>
    <definedName name="wrn.Typhoon." localSheetId="10" hidden="1">{"Agg Output",#N/A,FALSE,"Operational Drivers Output";"NW Output",#N/A,FALSE,"Operational Drivers Output";"South Output",#N/A,FALSE,"Operational Drivers Output";"Central Output",#N/A,FALSE,"Operational Drivers Output"}</definedName>
    <definedName name="wrn.UK." localSheetId="10" hidden="1">{#N/A,#N/A,TRUE,"Combined";#N/A,#N/A,TRUE,"HotRoll";#N/A,#N/A,TRUE,"Gadd";#N/A,#N/A,TRUE,"Wesson";#N/A,#N/A,TRUE,"BrightBar";#N/A,#N/A,TRUE,"GB Longmore";#N/A,#N/A,TRUE,"MES";#N/A,#N/A,TRUE,"Wesson Bright";#N/A,#N/A,TRUE,"Macreadys";#N/A,#N/A,TRUE,"HeadOffice"}</definedName>
    <definedName name="wrn.US._.Bank." localSheetId="10" hidden="1">{#N/A,#N/A,TRUE,"Cover_Page";#N/A,#N/A,TRUE,"Balance Sheet FY12";#N/A,#N/A,TRUE,"Debt Covenants_US Bank_Cons";#N/A,#N/A,TRUE,"Consolidated-Cash Flow";#N/A,#N/A,TRUE,"CY_Per Inc FY12";#N/A,#N/A,TRUE,"Income FY12";#N/A,#N/A,TRUE,"Consolidated"}</definedName>
    <definedName name="wrn.USA._.Consolidated._.Report." localSheetId="10" hidden="1">{#N/A,#N/A,TRUE,"Consolidated B Sheet";#N/A,#N/A,TRUE,"Consolidated Cashflow";#N/A,#N/A,TRUE,"P&amp;L CONSOLIDATED"}</definedName>
    <definedName name="wrn.USR." localSheetId="10" hidden="1">{#N/A,#N/A,FALSE,"TopTen Failures";#N/A,#N/A,FALSE,"Top Ten %";#N/A,#N/A,FALSE,"Fail Code 5 mo. Totals (%)"}</definedName>
    <definedName name="wrn.Utility._.Accrual." localSheetId="10" hidden="1">{"Balt Util Water",#N/A,TRUE,"UTIL";"Balt Util Elect",#N/A,TRUE,"UTIL";"Balt Util JE",#N/A,TRUE,"UTIL"}</definedName>
    <definedName name="wrn.VALUATION." localSheetId="10" hidden="1">{#N/A,#N/A,FALSE,"Valuation Assumptions";#N/A,#N/A,FALSE,"Summary";#N/A,#N/A,FALSE,"DCF";#N/A,#N/A,FALSE,"Valuation";#N/A,#N/A,FALSE,"WACC";#N/A,#N/A,FALSE,"UBVH";#N/A,#N/A,FALSE,"Free Cash Flow"}</definedName>
    <definedName name="wrn.Valuation._.Summaries." localSheetId="10" hidden="1">{#N/A,#N/A,FALSE,"Cover Sheet";#N/A,#N/A,FALSE,"Financial Assumptions";#N/A,#N/A,FALSE,"DCFOverviewPower";#N/A,#N/A,FALSE,"DCFOverviewGas";#N/A,#N/A,FALSE,"DCFOverviewWater";#N/A,#N/A,FALSE,"DCFOverviewVersorgung"}</definedName>
    <definedName name="wrn.Value." localSheetId="10" hidden="1">{#N/A,#N/A,FALSE,"Cashflow Analysis";#N/A,#N/A,FALSE,"Sensitivity Analysis";#N/A,#N/A,FALSE,"PV";#N/A,#N/A,FALSE,"Pro Forma"}</definedName>
    <definedName name="wrn.Value.2" localSheetId="10" hidden="1">{#N/A,#N/A,FALSE,"Cashflow Analysis";#N/A,#N/A,FALSE,"Sensitivity Analysis";#N/A,#N/A,FALSE,"PV";#N/A,#N/A,FALSE,"Pro Forma"}</definedName>
    <definedName name="wrn.Variance._.REports." localSheetId="10" hidden="1">{#N/A,#N/A,FALSE,"Summary";#N/A,#N/A,FALSE,"04E Summ";#N/A,#N/A,FALSE,"04Pvs03E Summ";#N/A,#N/A,FALSE,"03E Summ"}</definedName>
    <definedName name="wrn.Versorgungs._.GmbH._.Data." localSheetId="10" hidden="1">{#N/A,#N/A,FALSE,"DCFCoverVersorgung";#N/A,#N/A,FALSE,"DCFOverviewVersorgung";#N/A,#N/A,FALSE,"PlanVersorgung";#N/A,#N/A,FALSE,"DCFVersorgung";#N/A,#N/A,FALSE,"ValueVersorgung";#N/A,#N/A,FALSE,"WaccVersorgung";#N/A,#N/A,FALSE,"WaccVersorgung";#N/A,#N/A,FALSE,"WaccCompVersorgung";#N/A,#N/A,FALSE,"MatrixVersorgung"}</definedName>
    <definedName name="wrn.VRTX." localSheetId="10" hidden="1">{"Revenues",#N/A,FALSE,"Revenue";"qearn1",#N/A,FALSE,"Qearn";"qearn2",#N/A,FALSE,"Qearn";#N/A,#N/A,FALSE,"Qmargin";"cashflow",#N/A,FALSE,"Cashflow";"Product Pipeline",#N/A,FALSE,"Product Pipeline"}</definedName>
    <definedName name="wrn.Wacc." localSheetId="10" hidden="1">{"Area1",#N/A,FALSE,"OREWACC";"Area2",#N/A,FALSE,"OREWACC"}</definedName>
    <definedName name="wrn.Warrant._.analysis." localSheetId="10" hidden="1">{#N/A,#N/A,FALSE,"sum (2)";#N/A,#N/A,FALSE,"bs";#N/A,#N/A,FALSE,"is";#N/A,#N/A,FALSE,"cf";#N/A,#N/A,FALSE,"ltd";#N/A,#N/A,FALSE,"irr (2)"}</definedName>
    <definedName name="wrn.WATERTOWN._.BUDGET." localSheetId="10" hidden="1">{#N/A,#N/A,TRUE,"Inc. St.";#N/A,#N/A,TRUE,"SalesLabor";#N/A,#N/A,TRUE,"Labor";#N/A,#N/A,TRUE,"TEMP.";#N/A,#N/A,TRUE,"Manuf.";#N/A,#N/A,TRUE,"Repairs";#N/A,#N/A,TRUE,"G&amp;A";#N/A,#N/A,TRUE,"Inv.";#N/A,#N/A,TRUE,"Cap.X";#N/A,#N/A,TRUE,"Leases"}</definedName>
    <definedName name="wrn.Web._.Portfolio._.Companies._.June._.2000." localSheetId="1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stern._.Metal." localSheetId="10" hidden="1">{#N/A,#N/A,FALSE,"Western";#N/A,#N/A,FALSE,"Inc. St.";#N/A,#N/A,FALSE,"Hist.";#N/A,#N/A,FALSE,"SalesLabor";#N/A,#N/A,FALSE,"Labor";#N/A,#N/A,FALSE,"Manuf.";#N/A,#N/A,FALSE,"Repairs";#N/A,#N/A,FALSE,"G&amp;A";#N/A,#N/A,FALSE,"Inv.";#N/A,#N/A,FALSE,"Cap. X"}</definedName>
    <definedName name="wrn.WHOLE." localSheetId="10" hidden="1">{#N/A,#N/A,FALSE,"assumptions";#N/A,#N/A,FALSE,"contrib_annual";#N/A,#N/A,FALSE,"historic";#N/A,#N/A,FALSE,"Proforma";#N/A,#N/A,FALSE,"CALENDARIZED";#N/A,#N/A,FALSE,"Has_gets";#N/A,#N/A,FALSE,"DILUTION"}</definedName>
    <definedName name="wrn.wicor." localSheetId="10" hidden="1">{#N/A,#N/A,FALSE,"FACTSHEETS";#N/A,#N/A,FALSE,"pump";#N/A,#N/A,FALSE,"filter"}</definedName>
    <definedName name="wrn.work._.paper._.shcedules." localSheetId="10" hidden="1">{"summary1",#N/A,FALSE,"Summary of Values";"summary2",#N/A,FALSE,"Summary of Values";"weighted average returns",#N/A,FALSE,"WACC and WARA";"fixed asset detail",#N/A,FALSE,"Fixed Asset Detail"}</definedName>
    <definedName name="wrn.wpoall." localSheetId="10" hidden="1">{"wpocash",#N/A,FALSE,"WPOALLT";"wpoinc",#N/A,FALSE,"WPOALLT";"wpoexcl",#N/A,FALSE,"WPOALLT";"wpocable",#N/A,FALSE,"WPOALLT";"wpobroad",#N/A,FALSE,"WPOALLT";"wpopost",#N/A,FALSE,"WPOALLT";"wponwsweek",#N/A,FALSE,"WPOALLT"}</definedName>
    <definedName name="wrn.WWY." localSheetId="10" hidden="1">{#N/A,#N/A,FALSE,"WWY"}</definedName>
    <definedName name="wrn_eva" localSheetId="10" hidden="1">{"EVA",#N/A,FALSE,"EVA";"WACC",#N/A,FALSE,"WACC"}</definedName>
    <definedName name="wrn_otpt" localSheetId="10" hidden="1">{"DCF","UPSIDE CASE",FALSE,"Sheet1";"DCF","BASE CASE",FALSE,"Sheet1";"DCF","DOWNSIDE CASE",FALSE,"Sheet1"}</definedName>
    <definedName name="wrn_summary_95_952" localSheetId="10" hidden="1">{"arpm1995",#N/A,FALSE,"Summary 95-96";"bus_long_distance",#N/A,FALSE,"Summary 95-96";"mins_per_day",#N/A,FALSE,"Summary 95-96";"minutes1995",#N/A,FALSE,"Summary 95-96";"rev_per_day",#N/A,FALSE,"Summary 95-96";"view1995",#N/A,FALSE,"Summary 95-96"}</definedName>
    <definedName name="wrn_summary_95_952_1" localSheetId="10" hidden="1">{"arpm1995",#N/A,FALSE,"Summary 95-96";"bus_long_distance",#N/A,FALSE,"Summary 95-96";"mins_per_day",#N/A,FALSE,"Summary 95-96";"minutes1995",#N/A,FALSE,"Summary 95-96";"rev_per_day",#N/A,FALSE,"Summary 95-96";"view1995",#N/A,FALSE,"Summary 95-96"}</definedName>
    <definedName name="wrn1.Statements." localSheetId="10" hidden="1">{#N/A,#N/A,FALSE,"CostOfService";#N/A,#N/A,FALSE,"BalanceSheet";#N/A,#N/A,FALSE,"IncomeStmt";#N/A,#N/A,FALSE,"CashFlow";#N/A,#N/A,FALSE,"RateBase"}</definedName>
    <definedName name="wrn2.All." localSheetId="10"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3.ALL." localSheetId="10" hidden="1">{#N/A,#N/A,FALSE,"DCF";#N/A,#N/A,FALSE,"WACC";#N/A,#N/A,FALSE,"Sales_EBIT";#N/A,#N/A,FALSE,"Capex_Depreciation";#N/A,#N/A,FALSE,"WC";#N/A,#N/A,FALSE,"Interest";#N/A,#N/A,FALSE,"Assumptions"}</definedName>
    <definedName name="wrna.prod" localSheetId="10" hidden="1">{#N/A,#N/A,FALSE,"1";#N/A,#N/A,FALSE,"2";#N/A,#N/A,FALSE,"16 - 17";#N/A,#N/A,FALSE,"18 - 19";#N/A,#N/A,FALSE,"26";#N/A,#N/A,FALSE,"27";#N/A,#N/A,FALSE,"28"}</definedName>
    <definedName name="wrnc"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2" localSheetId="1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fy97" localSheetId="10" hidden="1">{#N/A,#N/A,FALSE,"FY97";#N/A,#N/A,FALSE,"FY98";#N/A,#N/A,FALSE,"FY99";#N/A,#N/A,FALSE,"FY00";#N/A,#N/A,FALSE,"FY01"}</definedName>
    <definedName name="wrnrep" localSheetId="10" hidden="1">{"summary",#N/A,FALSE,"3 yr average";"comps",#N/A,FALSE,"3 yr average"}</definedName>
    <definedName name="WRR" localSheetId="10" hidden="1">{#N/A,#N/A,FALSE,"Pharm";#N/A,#N/A,FALSE,"WWCM"}</definedName>
    <definedName name="wrrr" localSheetId="10" hidden="1">{"arpm1995",#N/A,FALSE,"Summary 95-96";"bus_long_distance",#N/A,FALSE,"Summary 95-96";"mins_per_day",#N/A,FALSE,"Summary 95-96";"minutes1995",#N/A,FALSE,"Summary 95-96";"rev_per_day",#N/A,FALSE,"Summary 95-96";"view1995",#N/A,FALSE,"Summary 95-96"}</definedName>
    <definedName name="wrrrrr" localSheetId="10" hidden="1">{#N/A,#N/A,FALSE,"REPORT"}</definedName>
    <definedName name="wt" localSheetId="10" hidden="1">{#N/A,#N/A,FALSE,"FY97";#N/A,#N/A,FALSE,"FY98";#N/A,#N/A,FALSE,"FY99";#N/A,#N/A,FALSE,"FY00";#N/A,#N/A,FALSE,"FY01"}</definedName>
    <definedName name="wtere" localSheetId="10" hidden="1">{"arpm1995",#N/A,FALSE,"Summary 95-96";"bus_long_distance",#N/A,FALSE,"Summary 95-96";"mins_per_day",#N/A,FALSE,"Summary 95-96";"minutes1995",#N/A,FALSE,"Summary 95-96";"rev_per_day",#N/A,FALSE,"Summary 95-96";"view1995",#N/A,FALSE,"Summary 95-96"}</definedName>
    <definedName name="wv" localSheetId="10" hidden="1">{#N/A,#N/A,FALSE,"Pharm";#N/A,#N/A,FALSE,"WWCM"}</definedName>
    <definedName name="wvu.cash." localSheetId="10" hidden="1">{TRUE,TRUE,-1.25,-15.5,456.75,279.75,FALSE,FALSE,TRUE,TRUE,0,1,18,1,199,6,3,4,TRUE,TRUE,3,TRUE,1,TRUE,100,"Swvu.cash.","ACwvu.cash.",1,FALSE,FALSE,0.511811023622047,0.511811023622047,0.511811023622047,0.511811023622047,1,"","",FALSE,FALSE,FALSE,FALSE,1,#N/A,1,1,#DIV/0!,FALSE,"Rwvu.cash.",#N/A,FALSE,FALSE}</definedName>
    <definedName name="wvu.inputs._.raw._.data."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profits." localSheetId="10" hidden="1">{TRUE,TRUE,-1.25,-15.5,456.75,279.75,FALSE,FALSE,TRUE,TRUE,0,1,21,1,127,6,3,4,TRUE,TRUE,3,TRUE,1,TRUE,100,"Swvu.profits.","ACwvu.profits.",1,FALSE,FALSE,0.511811023622047,0.511811023622047,0.511811023622047,0.511811023622047,1,"","",FALSE,FALSE,FALSE,FALSE,1,#N/A,1,1,#DIV/0!,FALSE,"Rwvu.profits.",#N/A,FALSE,FALSE}</definedName>
    <definedName name="wvu.summary1."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6"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turnover." localSheetId="10" hidden="1">{TRUE,TRUE,-1.25,-15.5,456.75,279.75,FALSE,FALSE,TRUE,TRUE,0,1,8,1,4,6,3,4,TRUE,TRUE,3,TRUE,1,TRUE,100,"Swvu.turnover.","ACwvu.turnover.",1,FALSE,FALSE,0.511811023622047,0.511811023622047,0.511811023622047,0.511811023622047,1,"","",FALSE,FALSE,FALSE,FALSE,1,#N/A,1,1,#DIV/0!,FALSE,"Rwvu.turnover.",#N/A,FALSE,FALSE}</definedName>
    <definedName name="ww" localSheetId="10" hidden="1">{#N/A,#N/A,FALSE,"Pharm";#N/A,#N/A,FALSE,"WWCM"}</definedName>
    <definedName name="wwewrt" localSheetId="10" hidden="1">{#N/A,#N/A,FALSE,"RESUMEN ECON.";#N/A,#N/A,FALSE,"Costos de R.H.";#N/A,#N/A,FALSE,"COSTO HW";#N/A,#N/A,FALSE,"CUADROS";#N/A,#N/A,FALSE,"SCADA´s";#N/A,#N/A,FALSE,"PRECIOS EQUIPOS"}</definedName>
    <definedName name="www" localSheetId="10" hidden="1">{#N/A,#N/A,TRUE,"BUD VS ACT AUST 96";#N/A,#N/A,TRUE,"96 COMP P&amp;L-AUST";#N/A,#N/A,TRUE,"COMP BS-AUSTRALIA";#N/A,#N/A,TRUE,"B/S - AUSTR."}</definedName>
    <definedName name="www.nuevahoja." localSheetId="10" hidden="1">{#N/A,#N/A,FALSE,"CNS_ADJ";"Balance Consolidado",#N/A,FALSE,"BCEC_CNS";#N/A,#N/A,FALSE,"USGAAP_ADJ"}</definedName>
    <definedName name="wwww" localSheetId="10" hidden="1">{#N/A,#N/A,TRUE,"BUD VS ACT AUST 96";#N/A,#N/A,TRUE,"96 COMP P&amp;L-AUST";#N/A,#N/A,TRUE,"COMP BS-AUSTRALIA";#N/A,#N/A,TRUE,"B/S - AUSTR."}</definedName>
    <definedName name="wx" localSheetId="10" hidden="1">{#N/A,#N/A,FALSE,"Pharm";#N/A,#N/A,FALSE,"WWCM"}</definedName>
    <definedName name="xc" localSheetId="1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v" localSheetId="10" hidden="1">{#N/A,#N/A,FALSE,"Pharm";#N/A,#N/A,FALSE,"WWCM"}</definedName>
    <definedName name="xjey1" localSheetId="10" hidden="1">#REF!</definedName>
    <definedName name="XS" localSheetId="10" hidden="1">{#N/A,#N/A,FALSE,"REV 110 PRNE (Bureau-Frankfurt)";#N/A,#N/A,FALSE,"REV 120 PRNE (Bureau - Paris)"}</definedName>
    <definedName name="xsort2" localSheetId="10" hidden="1">#REF!</definedName>
    <definedName name="xvc" localSheetId="10" hidden="1">{"FCB_ALL",#N/A,FALSE,"FCB"}</definedName>
    <definedName name="xx" localSheetId="10" hidden="1">{#N/A,#N/A,FALSE,"REPORT"}</definedName>
    <definedName name="xxd" localSheetId="10" hidden="1">{#N/A,#N/A,FALSE,"Cashflow Analysis";#N/A,#N/A,FALSE,"Sensitivity Analysis";#N/A,#N/A,FALSE,"PV";#N/A,#N/A,FALSE,"Pro Forma"}</definedName>
    <definedName name="xxd.2" localSheetId="10" hidden="1">{#N/A,#N/A,FALSE,"Cashflow Analysis";#N/A,#N/A,FALSE,"Sensitivity Analysis";#N/A,#N/A,FALSE,"PV";#N/A,#N/A,FALSE,"Pro Forma"}</definedName>
    <definedName name="xxx" localSheetId="10" hidden="1">{#N/A,#N/A,TRUE,"BUD VS ACT AUST 96";#N/A,#N/A,TRUE,"96 COMP P&amp;L-AUST";#N/A,#N/A,TRUE,"COMP BS-AUSTRALIA";#N/A,#N/A,TRUE,"B/S - AUSTR."}</definedName>
    <definedName name="xxxx" localSheetId="10" hidden="1">{"PAGE 1",#N/A,FALSE,"WEST_OT"}</definedName>
    <definedName name="xxxxx" localSheetId="10" hidden="1">{#N/A,#N/A,FALSE,"Pharm";#N/A,#N/A,FALSE,"WWCM"}</definedName>
    <definedName name="xyz" localSheetId="10" hidden="1">{#N/A,#N/A,TRUE,"Total";#N/A,#N/A,TRUE,"U.S. Devl.";#N/A,#N/A,TRUE,"U.S. Headcount"}</definedName>
    <definedName name="y" localSheetId="10" hidden="1">{#N/A,#N/A,FALSE,"Pharm";#N/A,#N/A,FALSE,"WWCM"}</definedName>
    <definedName name="yes" localSheetId="10" hidden="1">{#N/A,#N/A,FALSE,"Admin";#N/A,#N/A,FALSE,"Other"}</definedName>
    <definedName name="YGJ"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yq" localSheetId="10" hidden="1">{#N/A,#N/A,FALSE,"CNS_ADJ";"Balance Consolidado",#N/A,FALSE,"BCEC_CNS";#N/A,#N/A,FALSE,"USGAAP_ADJ"}</definedName>
    <definedName name="yrd" localSheetId="10" hidden="1">{"PAGE 1",#N/A,FALSE,"WEST_OT"}</definedName>
    <definedName name="YTY" localSheetId="10" hidden="1">{#N/A,#N/A,FALSE,"TABLE_1 YTD";#N/A,#N/A,FALSE,"TABLE_1A QTD";#N/A,#N/A,FALSE,"NORMAL_SPREAD_QTD";#N/A,#N/A,FALSE,"NORMAL_SPREAD_YTD";#N/A,#N/A,FALSE,"TAX_EQV";#N/A,#N/A,FALSE,"TAX EQUIV_INPUT";#N/A,#N/A,FALSE,"NET FROM FER";#N/A,#N/A,FALSE,"COVER"}</definedName>
    <definedName name="yy" localSheetId="10" hidden="1">{#N/A,#N/A,FALSE,"COVER";#N/A,#N/A,FALSE,"Index";#N/A,#N/A,FALSE,"Summ_Products_Rec.97-98";#N/A,#N/A,FALSE,"QTR_Comp.";#N/A,#N/A,FALSE,"Summ_Detail_Rec.97-98";#N/A,#N/A,FALSE,"Summ_Agencies_Rec.97-98"}</definedName>
    <definedName name="yyy" localSheetId="10" hidden="1">{#N/A,#N/A,FALSE,"Other";#N/A,#N/A,FALSE,"Ace";#N/A,#N/A,FALSE,"Derm"}</definedName>
    <definedName name="z" localSheetId="10" hidden="1">{"CSheet",#N/A,FALSE,"C";"SmCap",#N/A,FALSE,"VAL1";"GulfCoast",#N/A,FALSE,"VAL1";"nav",#N/A,FALSE,"NAV";"Summary",#N/A,FALSE,"NAV"}</definedName>
    <definedName name="Z_24BF9755_66DA_11D4_A31E_00C0F0154575_.wvu.PrintArea" localSheetId="10" hidden="1">#REF!</definedName>
    <definedName name="Z_24BF9755_66DA_11D4_A31E_00C0F0154575_.wvu.PrintTitles" localSheetId="10" hidden="1">#REF!</definedName>
    <definedName name="Z_6DFA7DCF_3C08_11D1_BDBE_0020AF42250B_.wvu.PrintArea" localSheetId="10" hidden="1">#REF!</definedName>
    <definedName name="Z_6DFA7DCF_3C08_11D1_BDBE_0020AF42250B_.wvu.PrintTitles" localSheetId="10" hidden="1">#REF!</definedName>
    <definedName name="Z_6DFA7DD9_3C08_11D1_BDBE_0020AF42250B_.wvu.PrintTitles" localSheetId="10" hidden="1">#REF!</definedName>
    <definedName name="Z_6DFA7DDA_3C08_11D1_BDBE_0020AF42250B_.wvu.PrintArea" localSheetId="10" hidden="1">#REF!</definedName>
    <definedName name="Z_6DFA7DDA_3C08_11D1_BDBE_0020AF42250B_.wvu.PrintTitles" localSheetId="10" hidden="1">#REF!</definedName>
    <definedName name="Z_6DFA7DDC_3C08_11D1_BDBE_0020AF42250B_.wvu.PrintArea" localSheetId="10" hidden="1">#REF!</definedName>
    <definedName name="Z_6DFA7DDC_3C08_11D1_BDBE_0020AF42250B_.wvu.PrintTitles" localSheetId="10" hidden="1">#REF!</definedName>
    <definedName name="Z_6DFA7DDD_3C08_11D1_BDBE_0020AF42250B_.wvu.PrintArea" localSheetId="10" hidden="1">#REF!</definedName>
    <definedName name="Z_6DFA7DDD_3C08_11D1_BDBE_0020AF42250B_.wvu.PrintTitles" localSheetId="10" hidden="1">#REF!</definedName>
    <definedName name="Z_6DFA7DDE_3C08_11D1_BDBE_0020AF42250B_.wvu.PrintArea" localSheetId="10" hidden="1">#REF!</definedName>
    <definedName name="Z_6DFA7DDE_3C08_11D1_BDBE_0020AF42250B_.wvu.PrintTitles" localSheetId="10" hidden="1">#REF!</definedName>
    <definedName name="Z_6DFA7DDF_3C08_11D1_BDBE_0020AF42250B_.wvu.PrintArea" localSheetId="10" hidden="1">#REF!</definedName>
    <definedName name="Z_6DFA7DDF_3C08_11D1_BDBE_0020AF42250B_.wvu.PrintTitles" localSheetId="10" hidden="1">#REF!</definedName>
    <definedName name="Z_6DFA7DE0_3C08_11D1_BDBE_0020AF42250B_.wvu.PrintArea" localSheetId="10" hidden="1">#REF!</definedName>
    <definedName name="Z_6DFA7DE0_3C08_11D1_BDBE_0020AF42250B_.wvu.PrintTitles" localSheetId="10" hidden="1">#REF!</definedName>
    <definedName name="Z_6DFA7DE5_3C08_11D1_BDBE_0020AF42250B_.wvu.PrintTitles" localSheetId="10" hidden="1">#REF!</definedName>
    <definedName name="Z_6DFA7DE6_3C08_11D1_BDBE_0020AF42250B_.wvu.PrintArea" localSheetId="10" hidden="1">#REF!</definedName>
    <definedName name="Z_6DFA7DE6_3C08_11D1_BDBE_0020AF42250B_.wvu.PrintTitles" localSheetId="10" hidden="1">#REF!</definedName>
    <definedName name="Z_702CE201_67EF_11D2_8E81_00104BCAECA1_.wvu.PrintTitles" localSheetId="10" hidden="1">#REF!,#REF!</definedName>
    <definedName name="Z_870DA93B_C7EC_11D1_935A_00A0C95F1362_.wvu.PrintArea" localSheetId="10" hidden="1">#REF!</definedName>
    <definedName name="Z_995DB91B_DC87_11D2_BCA9_00C04F8BBE86_.wvu.PrintArea" localSheetId="10" hidden="1">#REF!</definedName>
    <definedName name="Z_995DB91E_DC87_11D2_BCA9_00C04F8BBE86_.wvu.PrintArea" localSheetId="10" hidden="1">#REF!</definedName>
    <definedName name="Z_995DB91F_DC87_11D2_BCA9_00C04F8BBE86_.wvu.PrintArea" localSheetId="10" hidden="1">#REF!</definedName>
    <definedName name="Z_B21BDB45_3C17_11D2_913A_00A024D72BFF_.wvu.PrintArea" localSheetId="10" hidden="1">#REF!</definedName>
    <definedName name="Z_B21BDB45_3C17_11D2_913A_00A024D72BFF_.wvu.PrintTitles" localSheetId="10" hidden="1">#REF!,#REF!</definedName>
    <definedName name="Z_B21BDB46_3C17_11D2_913A_00A024D72BFF_.wvu.PrintArea" localSheetId="10" hidden="1">#REF!</definedName>
    <definedName name="Z_B21BDB46_3C17_11D2_913A_00A024D72BFF_.wvu.PrintTitles" localSheetId="10" hidden="1">#REF!,#REF!</definedName>
    <definedName name="Z_B21BDBC3_3C17_11D2_913A_00A024D72BFF_.wvu.PrintArea" localSheetId="10" hidden="1">#REF!</definedName>
    <definedName name="Z_B21BDBC3_3C17_11D2_913A_00A024D72BFF_.wvu.PrintTitles" localSheetId="10" hidden="1">#REF!,#REF!</definedName>
    <definedName name="Z_B21BDBC4_3C17_11D2_913A_00A024D72BFF_.wvu.PrintArea" localSheetId="10" hidden="1">#REF!</definedName>
    <definedName name="Z_B21BDBC4_3C17_11D2_913A_00A024D72BFF_.wvu.PrintTitles" localSheetId="10" hidden="1">#REF!,#REF!</definedName>
    <definedName name="Z_C229C740_74EF_11D3_8C05_00105AA43A7F_.wvu.Cols" localSheetId="10" hidden="1">#REF!</definedName>
    <definedName name="Z_C229C740_74EF_11D3_8C05_00105AA43A7F_.wvu.PrintArea" localSheetId="10" hidden="1">#REF!</definedName>
    <definedName name="Z_C229C740_74EF_11D3_8C05_00105AA43A7F_.wvu.PrintTitles" localSheetId="10" hidden="1">#REF!,#REF!</definedName>
    <definedName name="Z_C229C740_74EF_11D3_8C05_00105AA43A7F_.wvu.Rows" localSheetId="10" hidden="1">#REF!,#REF!,#REF!,#REF!,#REF!,#REF!,#REF!,#REF!,#REF!,#REF!,#REF!,#REF!,#REF!,#REF!,#REF!,#REF!,#REF!,#REF!,#REF!,#REF!,#REF!,#REF!,#REF!,#REF!,#REF!,#REF!,#REF!,#REF!,#REF!,#REF!,#REF!,#REF!,#REF!,#REF!,#REF!,#REF!,#REF!,#REF!,#REF!,#REF!,#REF!,#REF!,#REF!,#REF!,#REF!,#REF!,#REF!,#REF!,#REF!,#REF!,#REF!,#REF!,#REF!,#REF!</definedName>
    <definedName name="Z_D774FBF2_C14B_4E8C_A09D_6327FECC4D99_.wvu.Cols" localSheetId="10" hidden="1">#REF!</definedName>
    <definedName name="zaq" localSheetId="10" hidden="1">{#N/A,#N/A,FALSE,"Calc";#N/A,#N/A,FALSE,"Sensitivity";#N/A,#N/A,FALSE,"LT Earn.Dil.";#N/A,#N/A,FALSE,"Dil. AVP"}</definedName>
    <definedName name="zb" localSheetId="10" hidden="1">{#N/A,#N/A,FALSE,"Sheet1";#N/A,#N/A,FALSE,"Sheet2";#N/A,#N/A,FALSE,"Sheet3";#N/A,#N/A,FALSE,"Sheet4";#N/A,#N/A,FALSE,"Sheet5";#N/A,#N/A,FALSE,"Sheet6"}</definedName>
    <definedName name="zbt"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dfgxzdfg" localSheetId="10" hidden="1">{"ReportTop",#N/A,FALSE,"report top"}</definedName>
    <definedName name="zer" localSheetId="10" hidden="1">{#N/A,#N/A,FALSE,"Calc";#N/A,#N/A,FALSE,"Sensitivity";#N/A,#N/A,FALSE,"LT Earn.Dil.";#N/A,#N/A,FALSE,"Dil. AVP"}</definedName>
    <definedName name="zhu" localSheetId="10" hidden="1">{#N/A,#N/A,FALSE,"REPORT"}</definedName>
    <definedName name="zhutr" localSheetId="10" hidden="1">{#N/A,#N/A,FALSE,"REPORT"}</definedName>
    <definedName name="zs" localSheetId="10" hidden="1">{"FCB_ALL",#N/A,FALSE,"FCB"}</definedName>
    <definedName name="zsdas" localSheetId="10" hidden="1">{"FCB_ALL",#N/A,FALSE,"FCB"}</definedName>
    <definedName name="ZSZ" localSheetId="1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xczz" localSheetId="10" hidden="1">{"FCB_ALL",#N/A,FALSE,"FCB"}</definedName>
    <definedName name="zxxx" localSheetId="10" hidden="1">{"arpm1995",#N/A,FALSE,"Summary 95-96";"bus_long_distance",#N/A,FALSE,"Summary 95-96";"mins_per_day",#N/A,FALSE,"Summary 95-96";"minutes1995",#N/A,FALSE,"Summary 95-96";"rev_per_day",#N/A,FALSE,"Summary 95-96";"view1995",#N/A,FALSE,"Summary 95-96"}</definedName>
    <definedName name="zxxx_1" localSheetId="10" hidden="1">{"arpm1995",#N/A,FALSE,"Summary 95-96";"bus_long_distance",#N/A,FALSE,"Summary 95-96";"mins_per_day",#N/A,FALSE,"Summary 95-96";"minutes1995",#N/A,FALSE,"Summary 95-96";"rev_per_day",#N/A,FALSE,"Summary 95-96";"view1995",#N/A,FALSE,"Summary 95-96"}</definedName>
    <definedName name="zy" localSheetId="10" hidden="1">{#N/A,#N/A,TRUE,"BUD VS ACT AUST 96";#N/A,#N/A,TRUE,"96 COMP P&amp;L-AUST";#N/A,#N/A,TRUE,"COMP BS-AUSTRALIA";#N/A,#N/A,TRUE,"B/S - AUSTR."}</definedName>
    <definedName name="zza4pg" localSheetId="10" hidden="1">{#N/A,#N/A,FALSE,"REPORT"}</definedName>
    <definedName name="zzee" localSheetId="10" hidden="1">{#N/A,#N/A,FALSE,"Pharm";#N/A,#N/A,FALSE,"WWCM"}</definedName>
    <definedName name="zzzz" localSheetId="10" hidden="1">{#N/A,#N/A,FALSE,"COMP BS-FRANCE";#N/A,#N/A,FALSE,"96 COMP P&amp;L-FRANCE";#N/A,#N/A,FALSE,"BUD VS ACT FRAN 96";#N/A,#N/A,FALSE,"B/S - FRANCE"}</definedName>
    <definedName name="zzzzz" localSheetId="10" hidden="1">{#N/A,#N/A,FALSE,"REPORT"}</definedName>
    <definedName name="고" localSheetId="10" hidden="1">{#N/A,#N/A,FALSE,"REPORT"}</definedName>
    <definedName name="ㄶㅇ노ㅗㄶ호" localSheetId="10" hidden="1">{#N/A,#N/A,FALSE,"REPORT"}</definedName>
    <definedName name="미애" localSheetId="10" hidden="1">{#N/A,#N/A,FALSE,"REPORT"}</definedName>
    <definedName name="_xlnm.Print_Area" localSheetId="10">'EBITDA Adjustments 2026'!$B$3:$T$93</definedName>
    <definedName name="_xlnm.Print_Area" localSheetId="11">'ToC'!$B$1:$J$27</definedName>
    <definedName name="Loan_Not_Paid" localSheetId="12">IF(#REF!&lt;='Cap Table (Mar 2026)'!Number_of_Payments,1,0)</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umber_of_Payments" localSheetId="12">MATCH(0.01,End_Bal,-1)+1</definedName>
    <definedName name="Payment_Date" localSheetId="12">DATE(YEAR(Loan_Start),MONTH(Loan_Start)+#REF!,DAY(Loan_Start))</definedName>
    <definedName name="Payment_Number" localSheetId="12">ROW()-Header_Row</definedName>
    <definedName name="test" localSheetId="12">Scheduled_Payment+Extra_Payment</definedName>
    <definedName name="test2" localSheetId="12">Scheduled_Payment+Extra_Payment</definedName>
    <definedName name="Total_Payment" localSheetId="12">Scheduled_Payment+Extra_Payment</definedName>
    <definedName name="_xlnm.Print_Area" localSheetId="12">'Cap Table (Mar 2026)'!$B$1:$K$46</definedName>
    <definedName name="Loan_Not_Paid" localSheetId="13">IF(#REF!&lt;='Cap Table (Dec 2025)'!Number_of_Payments,1,0)</definedName>
    <definedName name="LOCAL_MYSQL_DATE_FORMA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umber_of_Payments" localSheetId="13">MATCH(0.01,End_Bal,-1)+1</definedName>
    <definedName name="Payment_Date" localSheetId="13">DATE(YEAR(Loan_Start),MONTH(Loan_Start)+#REF!,DAY(Loan_Start))</definedName>
    <definedName name="Payment_Number" localSheetId="13">ROW()-Header_Row</definedName>
    <definedName name="test" localSheetId="13">Scheduled_Payment+Extra_Payment</definedName>
    <definedName name="test2" localSheetId="13">Scheduled_Payment+Extra_Payment</definedName>
    <definedName name="Total_Payment" localSheetId="13">Scheduled_Payment+Extra_Payment</definedName>
    <definedName name="_xlnm.Print_Area" localSheetId="13">'Cap Table (Dec 2025)'!$B$1:$K$46</definedName>
    <definedName name="Loan_Not_Paid" localSheetId="14">IF(#REF!&lt;='Cap Table (Dec 2024)'!Number_of_Payments,1,0)</definedName>
    <definedName name="LOCAL_MYSQL_DATE_FORMAT"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umber_of_Payments" localSheetId="14">MATCH(0.01,End_Bal,-1)+1</definedName>
    <definedName name="Payment_Date" localSheetId="14">DATE(YEAR(Loan_Start),MONTH(Loan_Start)+#REF!,DAY(Loan_Start))</definedName>
    <definedName name="Payment_Number" localSheetId="14">ROW()-Header_Row</definedName>
    <definedName name="test" localSheetId="14">Scheduled_Payment+Extra_Payment</definedName>
    <definedName name="test2" localSheetId="14">Scheduled_Payment+Extra_Payment</definedName>
    <definedName name="Total_Payment" localSheetId="14">Scheduled_Payment+Extra_Payment</definedName>
    <definedName name="_xlnm.Print_Area" localSheetId="14">'Cap Table (Dec 2024)'!$B$1:$K$46</definedName>
    <definedName name="Loan_Not_Paid" localSheetId="15">IF(#REF!&lt;='IRR Calculation (Mar 2026)'!Number_of_Payments,1,0)</definedName>
    <definedName name="LOCAL_MYSQL_DATE_FORMAT"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umber_of_Payments" localSheetId="15">MATCH(0.01,End_Bal,-1)+1</definedName>
    <definedName name="Payment_Date" localSheetId="15">DATE(YEAR(Loan_Start),MONTH(Loan_Start)+#REF!,DAY(Loan_Start))</definedName>
    <definedName name="Payment_Number" localSheetId="15">ROW()-Header_Row</definedName>
    <definedName name="test" localSheetId="15">Scheduled_Payment+Extra_Payment</definedName>
    <definedName name="test2" localSheetId="15">Scheduled_Payment+Extra_Payment</definedName>
    <definedName name="Total_Payment" localSheetId="15">Scheduled_Payment+Extra_Payment</definedName>
    <definedName name="_xlnm.Print_Area" localSheetId="15">'IRR Calculation (Mar 2026)'!$B$1:$L$30</definedName>
    <definedName name="Loan_Not_Paid" localSheetId="16">IF(#REF!&lt;='IRR Calculation (Dec 2025)'!Number_of_Payments,1,0)</definedName>
    <definedName name="LOCAL_MYSQL_DATE_FORMAT"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umber_of_Payments" localSheetId="16">MATCH(0.01,End_Bal,-1)+1</definedName>
    <definedName name="Payment_Date" localSheetId="16">DATE(YEAR(Loan_Start),MONTH(Loan_Start)+#REF!,DAY(Loan_Start))</definedName>
    <definedName name="Payment_Number" localSheetId="16">ROW()-Header_Row</definedName>
    <definedName name="test" localSheetId="16">Scheduled_Payment+Extra_Payment</definedName>
    <definedName name="test2" localSheetId="16">Scheduled_Payment+Extra_Payment</definedName>
    <definedName name="Total_Payment" localSheetId="16">Scheduled_Payment+Extra_Payment</definedName>
    <definedName name="_xlnm.Print_Area" localSheetId="16">'IRR Calculation (Dec 2025)'!$B$1:$L$30</definedName>
    <definedName name="Loan_Not_Paid" localSheetId="17">IF(#REF!&lt;='IRR Calculation (Dec 2024)'!Number_of_Payments,1,0)</definedName>
    <definedName name="LOCAL_MYSQL_DATE_FORMAT"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umber_of_Payments" localSheetId="17">MATCH(0.01,End_Bal,-1)+1</definedName>
    <definedName name="Payment_Date" localSheetId="17">DATE(YEAR(Loan_Start),MONTH(Loan_Start)+#REF!,DAY(Loan_Start))</definedName>
    <definedName name="Payment_Number" localSheetId="17">ROW()-Header_Row</definedName>
    <definedName name="test" localSheetId="17">Scheduled_Payment+Extra_Payment</definedName>
    <definedName name="test2" localSheetId="17">Scheduled_Payment+Extra_Payment</definedName>
    <definedName name="Total_Payment" localSheetId="17">Scheduled_Payment+Extra_Payment</definedName>
    <definedName name="_xlnm.Print_Area" localSheetId="17">'IRR Calculation (Dec 2024)'!$B$1:$L$30</definedName>
    <definedName name="_xlnm.Print_Area" localSheetId="18">'Financial Summary'!$B$1:$O$62</definedName>
    <definedName name="_xlnm._FilterDatabase" localSheetId="24" hidden="1">'Q2 Build Report'!$A$1:$B$1</definedName>
    <definedName name="_xlnm._FilterDatabase" localSheetId="25" hidden="1">'Q2 Source Lineage'!$A$1:$G$1</definedName>
    <definedName name="_xlnm._FilterDatabase" localSheetId="26" hidden="1">'Q2 Validation'!$A$1:$C$1</definedName>
    <definedName name="_xlnm._FilterDatabase" localSheetId="27" hidden="1">'Q2 Review List'!$A$1:$D$1</definedName>
  </definedNames>
  <calcPr calcId="191029" calcMode="auto" fullCalcOnLoad="1" iterate="1" forceFullCalc="1"/>
</workbook>
</file>

<file path=xl/styles.xml><?xml version="1.0" encoding="utf-8"?>
<styleSheet xmlns="http://schemas.openxmlformats.org/spreadsheetml/2006/main">
  <numFmts count="44">
    <numFmt numFmtId="164" formatCode="[$-409]mmmm\ d\,\ yyyy;@"/>
    <numFmt numFmtId="165" formatCode="[$-409]d\-mmm\-yy;@"/>
    <numFmt numFmtId="166" formatCode="&quot;$&quot;#,##0"/>
    <numFmt numFmtId="167" formatCode="&quot;$&quot;#,##0_);[Red]\(&quot;$&quot;#,##0\)"/>
    <numFmt numFmtId="168" formatCode="0.00\x"/>
    <numFmt numFmtId="169" formatCode="_(#,##0.0%_);\(#,##0.0%\);_(&quot;–&quot;_)_%;_(@_)_%"/>
    <numFmt numFmtId="170" formatCode="_([$$]#,##0_)_%;\([$$]#,##0\)_%;_(&quot;–&quot;_)_%;_(@_)_%"/>
    <numFmt numFmtId="171" formatCode="_(0.0\x_)_)_';_(\(0.0\x\)_'_';_(&quot;–&quot;_)_%;_(@_)_%"/>
    <numFmt numFmtId="172" formatCode="m/d/yy;@"/>
    <numFmt numFmtId="173" formatCode="_(* #,##0.0_);_(* \(#,##0.0\);_(* &quot;-&quot;?_);_(@_)"/>
    <numFmt numFmtId="174" formatCode="[$$]#,##0;\([$$]#,##0\);&quot;–&quot;;@"/>
    <numFmt numFmtId="175" formatCode="#,##0.0_);\(#,##0.0\);_(\ &quot;---&quot;?"/>
    <numFmt numFmtId="176" formatCode="#,##0.0"/>
    <numFmt numFmtId="177" formatCode="0.0\x"/>
    <numFmt numFmtId="178" formatCode="0.0%"/>
    <numFmt numFmtId="179" formatCode="_(&quot;$&quot;* #,##0_);_(&quot;$&quot;* \(#,##0\);_(&quot;$&quot;* &quot;-&quot;??_);_(@_)"/>
    <numFmt numFmtId="180" formatCode="_(0.00\x_)_)_';_(\(0.00\x\)_'_';_(&quot;–&quot;_)_%;_(@_)_%"/>
    <numFmt numFmtId="181" formatCode="_(&quot;$&quot;* #,##0.00_);_(&quot;$&quot;* \(#,##0.00\);_(&quot;$&quot;* &quot;-&quot;??_);_(@_)"/>
    <numFmt numFmtId="182" formatCode="_(* #,##0_);_(* \(#,##0\);_(* &quot;-&quot;??_);_(@_)"/>
    <numFmt numFmtId="183" formatCode="&quot;$&quot;#,##0.000"/>
    <numFmt numFmtId="184" formatCode="0.00000000000000"/>
    <numFmt numFmtId="185" formatCode="mmm\ d\,\ yyyy"/>
    <numFmt numFmtId="186" formatCode="&quot;$&quot;#,##0.00_);[Red]\(&quot;$&quot;#,##0.00\)"/>
    <numFmt numFmtId="187" formatCode="&quot;$&quot;#.#&quot;M Common Shares&quot;"/>
    <numFmt numFmtId="188" formatCode="&quot;$&quot;#.#,,&quot;M&quot;"/>
    <numFmt numFmtId="189" formatCode="[$£-809]#,##0"/>
    <numFmt numFmtId="190" formatCode="#,##0.00\x;[Red]\(0.00\x\)"/>
    <numFmt numFmtId="191" formatCode="mmm\ yy"/>
    <numFmt numFmtId="192" formatCode="_([$$]#,##0.00_)_%;\([$$]#,##0.00\)_%;_(&quot;–&quot;_)_%;_(@_)_%"/>
    <numFmt numFmtId="193" formatCode="\ ##,###\ &quot;Common Shares&quot;"/>
    <numFmt numFmtId="194" formatCode="[$$-380A]#,##0.0&quot;M&quot;"/>
    <numFmt numFmtId="195" formatCode="[$-409]mmm\-yy;@"/>
    <numFmt numFmtId="196" formatCode="_(#,##0_)_%;\(#,##0\)_%;_(&quot;–&quot;_)_%;_(@_)_%"/>
    <numFmt numFmtId="197" formatCode="&quot;$&quot;#,##0_);\(&quot;$&quot;#,##0\)"/>
    <numFmt numFmtId="198" formatCode="0.0%;\(0.0%\);&quot;-&quot;"/>
    <numFmt numFmtId="199" formatCode="&quot;$&quot;#,##0.00"/>
    <numFmt numFmtId="200" formatCode="0.000000"/>
    <numFmt numFmtId="201" formatCode="#.##,,"/>
    <numFmt numFmtId="202" formatCode="0.##,,"/>
    <numFmt numFmtId="203" formatCode="[$$]#,##0.00;\([$$]#,##0.00\);&quot;–&quot;;@"/>
    <numFmt numFmtId="204" formatCode="[$$-380A]\ #,##0.00;\-[$$-380A]\ #,##0.00"/>
    <numFmt numFmtId="205" formatCode="0.00,,"/>
    <numFmt numFmtId="206" formatCode="[$$-380A]\ #,##0.00"/>
    <numFmt numFmtId="207" formatCode="mmmm\ dd\,\ yyyy"/>
  </numFmts>
  <fonts count="113">
    <font>
      <name val="Calibri"/>
      <family val="2"/>
      <color theme="1"/>
      <sz val="11"/>
      <scheme val="minor"/>
    </font>
    <font>
      <name val="Calibri"/>
      <family val="2"/>
      <color theme="1"/>
      <sz val="11"/>
      <scheme val="minor"/>
    </font>
    <font>
      <name val="Arial"/>
      <family val="2"/>
      <color theme="1"/>
      <sz val="10"/>
    </font>
    <font>
      <name val="Calibri"/>
      <family val="2"/>
      <color theme="1"/>
      <sz val="10"/>
    </font>
    <font>
      <name val="Arial"/>
      <family val="2"/>
      <sz val="10"/>
    </font>
    <font>
      <name val="Times New Roman"/>
      <family val="1"/>
      <sz val="10"/>
    </font>
    <font>
      <name val="Calibri"/>
      <family val="2"/>
      <b val="1"/>
      <color theme="0"/>
      <sz val="11"/>
      <scheme val="minor"/>
    </font>
    <font>
      <name val="Calibri"/>
      <family val="2"/>
      <color rgb="FFFF0000"/>
      <sz val="11"/>
      <scheme val="minor"/>
    </font>
    <font>
      <name val="Calibri"/>
      <family val="2"/>
      <b val="1"/>
      <color theme="1"/>
      <sz val="11"/>
      <scheme val="minor"/>
    </font>
    <font>
      <name val="Calibri"/>
      <family val="2"/>
      <sz val="10"/>
      <scheme val="minor"/>
    </font>
    <font>
      <name val="Calibri"/>
      <family val="2"/>
      <color rgb="FF0000FF"/>
      <sz val="10"/>
      <scheme val="minor"/>
    </font>
    <font>
      <name val="Calibri"/>
      <family val="2"/>
      <color indexed="12"/>
      <sz val="10"/>
      <scheme val="minor"/>
    </font>
    <font>
      <name val="Calibri"/>
      <family val="2"/>
      <i val="1"/>
      <sz val="12"/>
      <scheme val="minor"/>
    </font>
    <font>
      <name val="Calibri"/>
      <family val="2"/>
      <i val="1"/>
      <sz val="10"/>
      <scheme val="minor"/>
    </font>
    <font>
      <name val="Calibri"/>
      <family val="2"/>
      <sz val="20"/>
      <scheme val="minor"/>
    </font>
    <font>
      <name val="Calibri"/>
      <family val="2"/>
      <sz val="16"/>
      <scheme val="minor"/>
    </font>
    <font>
      <name val="Calibri"/>
      <family val="2"/>
      <b val="1"/>
      <sz val="10"/>
      <scheme val="minor"/>
    </font>
    <font>
      <name val="Calibri"/>
      <family val="2"/>
      <color theme="1"/>
      <sz val="10"/>
      <scheme val="minor"/>
    </font>
    <font>
      <name val="Calibri"/>
      <family val="2"/>
      <sz val="11"/>
      <scheme val="minor"/>
    </font>
    <font>
      <name val="Calibri"/>
      <family val="2"/>
      <b val="1"/>
      <color rgb="FF000000"/>
      <sz val="11"/>
      <scheme val="minor"/>
    </font>
    <font>
      <name val="Calibri"/>
      <family val="2"/>
      <b val="1"/>
      <sz val="11"/>
      <scheme val="minor"/>
    </font>
    <font>
      <name val="Calibri"/>
      <family val="2"/>
      <color rgb="FF0000FF"/>
      <sz val="11"/>
      <scheme val="minor"/>
    </font>
    <font>
      <name val="Calibri"/>
      <family val="2"/>
      <b val="1"/>
      <color theme="0"/>
      <sz val="11"/>
      <u val="singleAccounting"/>
      <scheme val="minor"/>
    </font>
    <font>
      <name val="Calibri"/>
      <family val="2"/>
      <b val="1"/>
      <i val="1"/>
      <color rgb="FFC00000"/>
      <sz val="11"/>
      <scheme val="minor"/>
    </font>
    <font>
      <name val="Calibri"/>
      <family val="2"/>
      <i val="1"/>
      <color theme="1"/>
      <sz val="11"/>
      <scheme val="minor"/>
    </font>
    <font>
      <name val="Calibri"/>
      <family val="2"/>
      <color rgb="FF000000"/>
      <sz val="11"/>
      <scheme val="minor"/>
    </font>
    <font>
      <name val="Calibri"/>
      <family val="2"/>
      <i val="1"/>
      <color rgb="FF000000"/>
      <sz val="11"/>
      <scheme val="minor"/>
    </font>
    <font>
      <name val="Calibri"/>
      <family val="2"/>
      <i val="1"/>
      <color rgb="FF000000"/>
      <sz val="11"/>
      <vertAlign val="superscript"/>
      <scheme val="minor"/>
    </font>
    <font>
      <name val="Calibri"/>
      <family val="2"/>
      <b val="1"/>
      <color rgb="FF0000FF"/>
      <sz val="11"/>
      <scheme val="minor"/>
    </font>
    <font>
      <name val="Calibri"/>
      <family val="2"/>
      <b val="1"/>
      <sz val="18"/>
      <scheme val="minor"/>
    </font>
    <font>
      <name val="Calibri"/>
      <family val="2"/>
      <sz val="12"/>
      <scheme val="minor"/>
    </font>
    <font>
      <name val="Calibri"/>
      <family val="2"/>
      <color theme="1"/>
      <sz val="12"/>
      <scheme val="minor"/>
    </font>
    <font>
      <name val="Calibri"/>
      <family val="2"/>
      <i val="1"/>
      <color indexed="56"/>
      <sz val="10"/>
      <scheme val="minor"/>
    </font>
    <font>
      <name val="Calibri"/>
      <family val="2"/>
      <color rgb="FF008000"/>
      <sz val="11"/>
      <scheme val="minor"/>
    </font>
    <font>
      <name val="Calibri"/>
      <family val="2"/>
      <b val="1"/>
      <sz val="11"/>
      <u val="singleAccounting"/>
      <scheme val="minor"/>
    </font>
    <font>
      <name val="Calibri"/>
      <family val="2"/>
      <sz val="11"/>
      <u val="singleAccounting"/>
      <scheme val="minor"/>
    </font>
    <font>
      <name val="Calibri"/>
      <family val="2"/>
      <b val="1"/>
      <color rgb="FF000000"/>
      <sz val="11"/>
      <u val="singleAccounting"/>
      <scheme val="minor"/>
    </font>
    <font>
      <name val="Calibri"/>
      <family val="2"/>
      <b val="1"/>
      <sz val="11"/>
      <u val="single"/>
      <scheme val="minor"/>
    </font>
    <font>
      <name val="Calibri"/>
      <family val="2"/>
      <color indexed="10"/>
      <sz val="11"/>
      <scheme val="minor"/>
    </font>
    <font>
      <name val="Calibri"/>
      <family val="2"/>
      <color theme="1"/>
      <sz val="11"/>
      <u val="singleAccounting"/>
      <scheme val="minor"/>
    </font>
    <font>
      <name val="Calibri"/>
      <family val="2"/>
      <b val="1"/>
      <color theme="1"/>
      <sz val="11"/>
      <u val="singleAccounting"/>
      <scheme val="minor"/>
    </font>
    <font>
      <name val="Calibri"/>
      <family val="2"/>
      <b val="1"/>
      <color rgb="FF008000"/>
      <sz val="11"/>
      <scheme val="minor"/>
    </font>
    <font>
      <name val="Calibri"/>
      <family val="2"/>
      <b val="1"/>
      <color indexed="12"/>
      <sz val="28"/>
      <scheme val="minor"/>
    </font>
    <font>
      <name val="Calibri"/>
      <family val="2"/>
      <sz val="9"/>
      <scheme val="minor"/>
    </font>
    <font>
      <name val="Algerian"/>
      <family val="5"/>
      <i val="1"/>
      <sz val="9"/>
    </font>
    <font>
      <name val="Calibri"/>
      <family val="2"/>
      <i val="1"/>
      <sz val="9"/>
      <scheme val="minor"/>
    </font>
    <font>
      <name val="Calibri"/>
      <family val="2"/>
      <color rgb="FF0000FF"/>
      <sz val="9"/>
      <scheme val="minor"/>
    </font>
    <font>
      <name val="Calibri"/>
      <family val="2"/>
      <b val="1"/>
      <color rgb="FF0000FF"/>
      <sz val="10"/>
      <u val="singleAccounting"/>
      <scheme val="minor"/>
    </font>
    <font>
      <name val="Calibri"/>
      <family val="2"/>
      <b val="1"/>
      <color rgb="FF7030A0"/>
      <sz val="11"/>
      <scheme val="minor"/>
    </font>
    <font>
      <name val="Calibri"/>
      <family val="2"/>
      <b val="1"/>
      <color rgb="FFFF0000"/>
      <sz val="11"/>
      <scheme val="minor"/>
    </font>
    <font>
      <name val="Calibri"/>
      <family val="2"/>
      <color rgb="FFFF0000"/>
      <sz val="12"/>
      <scheme val="minor"/>
    </font>
    <font>
      <name val="Calibri"/>
      <family val="2"/>
      <b val="1"/>
      <i val="1"/>
      <color rgb="FF000000"/>
      <sz val="11"/>
      <scheme val="minor"/>
    </font>
    <font>
      <name val="Calibri"/>
      <family val="2"/>
      <b val="1"/>
      <color rgb="FF000000"/>
      <sz val="14"/>
      <scheme val="minor"/>
    </font>
    <font>
      <name val="Calibri"/>
      <family val="2"/>
      <i val="1"/>
      <color rgb="FF000000"/>
      <sz val="12"/>
      <scheme val="minor"/>
    </font>
    <font>
      <name val="Calibri"/>
      <family val="2"/>
      <color rgb="FF000000"/>
      <sz val="10"/>
      <scheme val="minor"/>
    </font>
    <font>
      <name val="Calibri"/>
      <family val="2"/>
      <i val="1"/>
      <color rgb="FF000000"/>
      <sz val="10"/>
      <scheme val="minor"/>
    </font>
    <font>
      <name val="Calibri"/>
      <family val="2"/>
      <color rgb="FF000000"/>
      <sz val="20"/>
      <scheme val="minor"/>
    </font>
    <font>
      <name val="Calibri"/>
      <family val="2"/>
      <color rgb="FF000000"/>
      <sz val="16"/>
      <scheme val="minor"/>
    </font>
    <font>
      <name val="Calibri"/>
      <family val="2"/>
      <color rgb="FF000000"/>
      <sz val="12"/>
      <scheme val="minor"/>
    </font>
    <font>
      <name val="Calibri"/>
      <family val="2"/>
      <color theme="10"/>
      <sz val="11"/>
      <u val="single"/>
      <scheme val="minor"/>
    </font>
    <font>
      <name val="Calibri"/>
      <family val="2"/>
      <i val="1"/>
      <sz val="11"/>
      <scheme val="minor"/>
    </font>
    <font>
      <name val="Calibri"/>
      <family val="2"/>
      <b val="1"/>
      <sz val="13"/>
      <scheme val="minor"/>
    </font>
    <font>
      <name val="Calibri"/>
      <family val="2"/>
      <color rgb="FF800080"/>
      <sz val="10"/>
      <scheme val="minor"/>
    </font>
    <font>
      <name val="Calibri"/>
      <family val="2"/>
      <b val="1"/>
      <i val="1"/>
      <color rgb="FF0000FF"/>
      <sz val="11"/>
      <scheme val="minor"/>
    </font>
    <font>
      <name val="Calibri"/>
      <family val="2"/>
      <b val="1"/>
      <color rgb="FF0000FF"/>
      <sz val="10"/>
      <scheme val="minor"/>
    </font>
    <font>
      <name val="Calibri"/>
      <family val="2"/>
      <color rgb="FF800080"/>
      <sz val="11"/>
      <scheme val="minor"/>
    </font>
    <font>
      <name val="Calibri"/>
      <family val="2"/>
      <b val="1"/>
      <color theme="1"/>
      <sz val="11"/>
      <u val="single"/>
      <scheme val="minor"/>
    </font>
    <font>
      <name val="Calibri"/>
      <family val="2"/>
      <b val="1"/>
      <color theme="1"/>
      <sz val="14"/>
      <scheme val="minor"/>
    </font>
    <font>
      <name val="Calibri"/>
      <family val="2"/>
      <b val="1"/>
      <color rgb="FFC00000"/>
      <sz val="11"/>
      <scheme val="minor"/>
    </font>
    <font>
      <name val="Calibri"/>
      <family val="2"/>
      <sz val="11"/>
      <vertAlign val="superscript"/>
      <scheme val="minor"/>
    </font>
    <font>
      <name val="D-Din"/>
      <family val="2"/>
      <color theme="1"/>
      <sz val="8"/>
    </font>
    <font>
      <name val="Tahoma"/>
      <family val="2"/>
      <color indexed="81"/>
      <sz val="9"/>
    </font>
    <font>
      <name val="Tahoma"/>
      <family val="2"/>
      <b val="1"/>
      <color indexed="81"/>
      <sz val="9"/>
    </font>
    <font>
      <name val="Calibri"/>
      <family val="2"/>
      <b val="1"/>
      <i val="1"/>
      <color theme="1"/>
      <sz val="11"/>
      <scheme val="minor"/>
    </font>
    <font>
      <name val="Calibri"/>
      <family val="2"/>
      <i val="1"/>
      <color theme="1"/>
      <sz val="10.45"/>
      <vertAlign val="superscript"/>
    </font>
    <font>
      <name val="Calibri"/>
      <family val="2"/>
      <b val="1"/>
      <sz val="10.45"/>
      <vertAlign val="superscript"/>
    </font>
    <font>
      <name val="Calibri"/>
      <family val="2"/>
      <b val="1"/>
      <sz val="14"/>
      <scheme val="minor"/>
    </font>
    <font>
      <name val="Calibri"/>
      <family val="2"/>
      <i val="1"/>
      <color rgb="FF0000FF"/>
      <sz val="11"/>
      <scheme val="minor"/>
    </font>
    <font>
      <name val="Calibri"/>
      <family val="2"/>
      <color theme="1"/>
      <sz val="11"/>
      <vertAlign val="superscript"/>
    </font>
    <font>
      <name val="Calibri"/>
      <family val="2"/>
      <b val="1"/>
      <color rgb="FF000000"/>
      <sz val="16"/>
      <scheme val="minor"/>
    </font>
    <font>
      <name val="Calibri"/>
      <family val="2"/>
      <b val="1"/>
      <i val="1"/>
      <sz val="11"/>
      <scheme val="minor"/>
    </font>
    <font>
      <name val="Calibri"/>
      <family val="2"/>
      <color rgb="FF00B050"/>
      <sz val="11"/>
      <scheme val="minor"/>
    </font>
    <font>
      <name val="Calibri"/>
      <family val="2"/>
      <color rgb="FF0000FF"/>
      <sz val="8"/>
      <scheme val="minor"/>
    </font>
    <font>
      <name val="Calibri"/>
      <family val="2"/>
      <color theme="1"/>
      <sz val="8"/>
      <scheme val="minor"/>
    </font>
    <font>
      <name val="Calibri"/>
      <family val="2"/>
      <b val="1"/>
      <color theme="1"/>
      <sz val="10"/>
      <scheme val="minor"/>
    </font>
    <font>
      <name val="Calibri"/>
      <family val="2"/>
      <b val="1"/>
      <color rgb="FF0000FF"/>
      <sz val="8"/>
      <scheme val="minor"/>
    </font>
    <font>
      <name val="Calibri"/>
      <family val="2"/>
      <b val="1"/>
      <color theme="0"/>
      <sz val="8"/>
      <u val="single"/>
      <scheme val="minor"/>
    </font>
    <font>
      <name val="Calibri"/>
      <family val="2"/>
      <b val="1"/>
      <color theme="1"/>
      <sz val="8"/>
      <scheme val="minor"/>
    </font>
    <font>
      <name val="Calibri"/>
      <family val="2"/>
      <b val="1"/>
      <color rgb="FF008000"/>
      <sz val="8"/>
      <scheme val="minor"/>
    </font>
    <font>
      <name val="Calibri"/>
      <family val="2"/>
      <b val="1"/>
      <color rgb="FF000000"/>
      <sz val="8"/>
      <scheme val="minor"/>
    </font>
    <font>
      <name val="Calibri"/>
      <family val="2"/>
      <b val="1"/>
      <color theme="1"/>
      <sz val="8"/>
      <u val="single"/>
      <scheme val="minor"/>
    </font>
    <font>
      <name val="Calibri"/>
      <family val="2"/>
      <color rgb="FF000000"/>
      <sz val="8"/>
      <scheme val="minor"/>
    </font>
    <font>
      <name val="Calibri"/>
      <family val="2"/>
      <color rgb="FF008000"/>
      <sz val="8"/>
      <scheme val="minor"/>
    </font>
    <font>
      <name val="Calibri"/>
      <family val="2"/>
      <i val="1"/>
      <color rgb="FF008000"/>
      <sz val="11"/>
      <scheme val="minor"/>
    </font>
    <font>
      <name val="D-DIN"/>
      <family val="2"/>
      <color rgb="FF0000FF"/>
      <sz val="8"/>
    </font>
    <font>
      <name val="D-DIN"/>
      <family val="2"/>
      <b val="1"/>
      <color theme="1"/>
      <sz val="10"/>
    </font>
    <font>
      <name val="D-DIN"/>
      <family val="2"/>
      <b val="1"/>
      <color rgb="FF0000FF"/>
      <sz val="8"/>
    </font>
    <font>
      <name val="D-DIN"/>
      <family val="2"/>
      <color rgb="FF800080"/>
      <sz val="8"/>
    </font>
    <font>
      <name val="Aptos"/>
      <family val="2"/>
      <sz val="9"/>
    </font>
    <font>
      <name val="D-DIN"/>
      <family val="2"/>
      <b val="1"/>
      <color theme="0"/>
      <sz val="8"/>
      <u val="single"/>
    </font>
    <font>
      <name val="D-DIN"/>
      <family val="2"/>
      <color rgb="FF008000"/>
      <sz val="8"/>
    </font>
    <font>
      <name val="D-DIN"/>
      <family val="2"/>
      <b val="1"/>
      <color theme="1"/>
      <sz val="8"/>
    </font>
    <font>
      <name val="D-DIN"/>
      <family val="2"/>
      <b val="1"/>
      <color rgb="FF008000"/>
      <sz val="8"/>
    </font>
    <font>
      <name val="D-DIN"/>
      <family val="2"/>
      <b val="1"/>
      <color rgb="FF000000"/>
      <sz val="8"/>
    </font>
    <font>
      <name val="D-DIN"/>
      <family val="2"/>
      <b val="1"/>
      <color theme="1"/>
      <sz val="8"/>
      <u val="single"/>
    </font>
    <font>
      <name val="D-DIN"/>
      <family val="2"/>
      <color rgb="FFFF0000"/>
      <sz val="8"/>
    </font>
    <font>
      <name val="D-DIN"/>
      <family val="2"/>
      <color rgb="FF000000"/>
      <sz val="8"/>
    </font>
    <font>
      <name val="Calibri"/>
      <family val="2"/>
      <i val="1"/>
      <color theme="1"/>
      <sz val="8"/>
      <scheme val="minor"/>
    </font>
    <font>
      <name val="Calibri"/>
      <family val="2"/>
      <b val="1"/>
      <i val="1"/>
      <color theme="1"/>
      <sz val="8"/>
      <scheme val="minor"/>
    </font>
    <font>
      <name val="Calibri"/>
      <family val="2"/>
      <color rgb="FF000000"/>
      <sz val="11"/>
      <vertAlign val="superscript"/>
      <scheme val="minor"/>
    </font>
    <font>
      <name val="Calibri"/>
      <family val="2"/>
      <color theme="1"/>
      <sz val="11"/>
      <vertAlign val="superscript"/>
      <scheme val="minor"/>
    </font>
    <font>
      <name val="Calibri"/>
      <family val="2"/>
      <b val="1"/>
      <sz val="11"/>
      <vertAlign val="superscript"/>
      <scheme val="minor"/>
    </font>
    <font>
      <b val="1"/>
      <color rgb="00FFFFFF"/>
    </font>
  </fonts>
  <fills count="25">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rgb="FFFFFFFF"/>
        <bgColor rgb="FF000000"/>
      </patternFill>
    </fill>
    <fill>
      <patternFill patternType="solid">
        <fgColor theme="4" tint="0.7999816888943144"/>
        <bgColor indexed="64"/>
      </patternFill>
    </fill>
    <fill>
      <patternFill patternType="solid">
        <fgColor theme="0" tint="-0.249977111117893"/>
        <bgColor indexed="64"/>
      </patternFill>
    </fill>
    <fill>
      <patternFill patternType="solid">
        <fgColor rgb="FFD9D9D9"/>
        <bgColor rgb="FF000000"/>
      </patternFill>
    </fill>
    <fill>
      <patternFill patternType="solid">
        <fgColor rgb="FFDDEBF7"/>
        <bgColor rgb="FF000000"/>
      </patternFill>
    </fill>
    <fill>
      <patternFill patternType="solid">
        <fgColor rgb="FFFFD966"/>
        <bgColor rgb="FF000000"/>
      </patternFill>
    </fill>
    <fill>
      <patternFill patternType="solid">
        <fgColor theme="3" tint="0.7999816888943144"/>
        <bgColor indexed="64"/>
      </patternFill>
    </fill>
    <fill>
      <patternFill patternType="solid">
        <fgColor theme="1"/>
        <bgColor indexed="64"/>
      </patternFill>
    </fill>
    <fill>
      <patternFill patternType="solid">
        <fgColor indexed="9"/>
        <bgColor indexed="64"/>
      </patternFill>
    </fill>
    <fill>
      <patternFill patternType="solid">
        <fgColor theme="0"/>
        <bgColor rgb="FF000000"/>
      </patternFill>
    </fill>
    <fill>
      <patternFill patternType="solid">
        <fgColor rgb="FFFFFFCC"/>
        <bgColor rgb="FF000000"/>
      </patternFill>
    </fill>
    <fill>
      <patternFill patternType="solid">
        <fgColor theme="3"/>
        <bgColor indexed="64"/>
      </patternFill>
    </fill>
    <fill>
      <patternFill patternType="solid">
        <fgColor theme="9" tint="0.5999938962981048"/>
        <bgColor indexed="64"/>
      </patternFill>
    </fill>
    <fill>
      <patternFill patternType="solid">
        <fgColor rgb="FFFFFFCC"/>
      </patternFill>
    </fill>
    <fill>
      <patternFill patternType="solid">
        <fgColor rgb="FFFF0000"/>
        <bgColor indexed="64"/>
      </patternFill>
    </fill>
    <fill>
      <patternFill patternType="lightGray"/>
    </fill>
    <fill>
      <patternFill patternType="solid">
        <fgColor theme="7"/>
        <bgColor indexed="64"/>
      </patternFill>
    </fill>
    <fill>
      <patternFill patternType="solid">
        <fgColor theme="6" tint="0.5999938962981048"/>
        <bgColor indexed="64"/>
      </patternFill>
    </fill>
    <fill>
      <patternFill patternType="solid">
        <fgColor rgb="FFFFFF00"/>
        <bgColor indexed="64"/>
      </patternFill>
    </fill>
    <fill>
      <patternFill patternType="solid">
        <fgColor rgb="00FFF2CC"/>
      </patternFill>
    </fill>
    <fill>
      <patternFill patternType="solid">
        <fgColor rgb="001F4E78"/>
      </patternFill>
    </fill>
  </fills>
  <borders count="69">
    <border>
      <left/>
      <right/>
      <top/>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indexed="64"/>
      </right>
      <top style="thin">
        <color indexed="64"/>
      </top>
      <bottom style="thin">
        <color indexed="64"/>
      </bottom>
      <diagonal/>
    </border>
    <border>
      <left/>
      <right/>
      <top style="thin">
        <color rgb="FF000000"/>
      </top>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bottom style="medium">
        <color indexed="64"/>
      </bottom>
      <diagonal/>
    </border>
    <border>
      <left/>
      <right/>
      <top style="medium">
        <color auto="1"/>
      </top>
      <bottom/>
      <diagonal/>
    </border>
    <border>
      <left style="thin">
        <color indexed="64"/>
      </left>
      <right/>
      <top style="thin">
        <color indexed="64"/>
      </top>
      <bottom style="thin">
        <color indexed="64"/>
      </bottom>
      <diagonal/>
    </border>
    <border>
      <left/>
      <right/>
      <top/>
      <bottom style="thick">
        <color indexed="23"/>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auto="1"/>
      </right>
      <top/>
      <bottom style="thin">
        <color indexed="64"/>
      </bottom>
      <diagonal/>
    </border>
    <border>
      <left style="medium">
        <color rgb="FF000000"/>
      </left>
      <right/>
      <top/>
      <bottom/>
      <diagonal/>
    </border>
    <border>
      <left style="medium">
        <color rgb="FF000000"/>
      </left>
      <right/>
      <top style="thin">
        <color auto="1"/>
      </top>
      <bottom/>
      <diagonal/>
    </border>
    <border>
      <left style="medium">
        <color rgb="FF000000"/>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000000"/>
      </left>
      <right/>
      <top/>
      <bottom/>
      <diagonal/>
    </border>
    <border>
      <left/>
      <right style="thin">
        <color rgb="FF000000"/>
      </right>
      <top/>
      <bottom/>
      <diagonal/>
    </border>
    <border>
      <left/>
      <right/>
      <top/>
      <bottom style="medium">
        <color rgb="FF000000"/>
      </bottom>
      <diagonal/>
    </border>
    <border>
      <left/>
      <right style="thin">
        <color theme="0"/>
      </right>
      <top style="thin">
        <color theme="0"/>
      </top>
      <bottom/>
      <diagonal/>
    </border>
    <border>
      <left/>
      <right style="thin">
        <color theme="0"/>
      </right>
      <top style="thin">
        <color theme="0"/>
      </top>
      <bottom style="thin">
        <color theme="0"/>
      </bottom>
      <diagonal/>
    </border>
    <border>
      <left/>
      <right/>
      <top style="thin">
        <color rgb="FF000000"/>
      </top>
      <bottom style="thin">
        <color indexed="64"/>
      </bottom>
      <diagonal/>
    </border>
    <border>
      <left style="thin">
        <color rgb="FFB2B2B2"/>
      </left>
      <right/>
      <top/>
      <bottom/>
      <diagonal/>
    </border>
    <border>
      <left/>
      <right style="thin">
        <color rgb="FFB2B2B2"/>
      </right>
      <top style="thin">
        <color rgb="FFB2B2B2"/>
      </top>
      <bottom style="thin">
        <color rgb="FFB2B2B2"/>
      </bottom>
      <diagonal/>
    </border>
    <border>
      <left/>
      <right/>
      <top style="thin">
        <color theme="0"/>
      </top>
      <bottom/>
      <diagonal/>
    </border>
    <border>
      <left/>
      <right/>
      <top style="thin">
        <color rgb="FFB2B2B2"/>
      </top>
      <bottom style="thin">
        <color rgb="FFB2B2B2"/>
      </bottom>
      <diagonal/>
    </border>
    <border>
      <left style="medium">
        <color auto="1"/>
      </left>
      <right style="medium">
        <color auto="1"/>
      </right>
      <top style="medium">
        <color auto="1"/>
      </top>
      <bottom/>
      <diagonal/>
    </border>
    <border>
      <left style="medium">
        <color auto="1"/>
      </left>
      <right style="medium">
        <color auto="1"/>
      </right>
      <top/>
      <bottom style="thin">
        <color auto="1"/>
      </bottom>
      <diagonal/>
    </border>
    <border>
      <left style="medium">
        <color auto="1"/>
      </left>
      <right style="medium">
        <color auto="1"/>
      </right>
      <top/>
      <bottom/>
      <diagonal/>
    </border>
    <border>
      <left style="medium">
        <color indexed="64"/>
      </left>
      <right/>
      <top/>
      <bottom/>
      <diagonal/>
    </border>
    <border>
      <left style="medium">
        <color auto="1"/>
      </left>
      <right style="medium">
        <color auto="1"/>
      </right>
      <top style="thin">
        <color indexed="64"/>
      </top>
      <bottom style="thin">
        <color indexed="64"/>
      </bottom>
      <diagonal/>
    </border>
    <border>
      <left style="medium">
        <color auto="1"/>
      </left>
      <right/>
      <top style="medium">
        <color auto="1"/>
      </top>
      <bottom/>
      <diagonal/>
    </border>
    <border>
      <left/>
      <right style="medium">
        <color auto="1"/>
      </right>
      <top style="medium">
        <color auto="1"/>
      </top>
      <bottom/>
      <diagonal/>
    </border>
    <border>
      <left/>
      <right style="medium">
        <color auto="1"/>
      </right>
      <top/>
      <bottom/>
      <diagonal/>
    </border>
    <border>
      <left/>
      <right style="medium">
        <color auto="1"/>
      </right>
      <top/>
      <bottom style="medium">
        <color indexed="64"/>
      </bottom>
      <diagonal/>
    </border>
    <border>
      <left/>
      <right style="medium">
        <color auto="1"/>
      </right>
      <top style="thin">
        <color indexed="64"/>
      </top>
      <bottom/>
      <diagonal/>
    </border>
    <border>
      <left style="medium">
        <color auto="1"/>
      </left>
      <right/>
      <top/>
      <bottom style="medium">
        <color auto="1"/>
      </bottom>
      <diagonal/>
    </border>
    <border>
      <left/>
      <right style="medium">
        <color auto="1"/>
      </right>
      <top style="thin">
        <color indexed="64"/>
      </top>
      <bottom style="medium">
        <color auto="1"/>
      </bottom>
      <diagonal/>
    </border>
    <border>
      <left style="medium">
        <color rgb="FF000000"/>
      </left>
      <right/>
      <top/>
      <bottom style="thin">
        <color indexed="64"/>
      </bottom>
      <diagonal/>
    </border>
    <border>
      <left style="medium">
        <color rgb="FF000000"/>
      </left>
      <right/>
      <top style="thin">
        <color rgb="FF000000"/>
      </top>
      <bottom style="thin">
        <color indexed="64"/>
      </bottom>
      <diagonal/>
    </border>
    <border>
      <left style="medium">
        <color rgb="FF000000"/>
      </left>
      <right style="thin">
        <color rgb="FFB2B2B2"/>
      </right>
      <top style="thin">
        <color rgb="FFB2B2B2"/>
      </top>
      <bottom/>
      <diagonal/>
    </border>
    <border>
      <left style="medium">
        <color rgb="FF000000"/>
      </left>
      <right style="thin">
        <color rgb="FFB2B2B2"/>
      </right>
      <top/>
      <bottom style="thin">
        <color rgb="FFB2B2B2"/>
      </bottom>
      <diagonal/>
    </border>
    <border>
      <left style="medium">
        <color rgb="FF000000"/>
      </left>
      <right style="thin">
        <color rgb="FFB2B2B2"/>
      </right>
      <top style="thin">
        <color rgb="FFB2B2B2"/>
      </top>
      <bottom style="thin">
        <color rgb="FFB2B2B2"/>
      </bottom>
      <diagonal/>
    </border>
    <border>
      <left style="medium">
        <color rgb="FF000000"/>
      </left>
      <right/>
      <top style="thin">
        <color rgb="FFB2B2B2"/>
      </top>
      <bottom style="thin">
        <color rgb="FFB2B2B2"/>
      </bottom>
      <diagonal/>
    </border>
    <border>
      <left style="medium">
        <color theme="1"/>
      </left>
      <right style="thin">
        <color rgb="FFB2B2B2"/>
      </right>
      <top style="thin">
        <color rgb="FFB2B2B2"/>
      </top>
      <bottom style="thin">
        <color rgb="FFB2B2B2"/>
      </bottom>
      <diagonal/>
    </border>
    <border>
      <left style="medium">
        <color indexed="64"/>
      </left>
      <right style="medium">
        <color auto="1"/>
      </right>
      <top style="thin">
        <color indexed="64"/>
      </top>
      <bottom/>
      <diagonal/>
    </border>
    <border>
      <left/>
      <right style="thin">
        <color rgb="FFB2B2B2"/>
      </right>
      <top style="thin">
        <color rgb="FFB2B2B2"/>
      </top>
      <bottom/>
      <diagonal/>
    </border>
    <border>
      <left/>
      <right style="thin">
        <color indexed="64"/>
      </right>
      <top/>
      <bottom style="thin">
        <color rgb="FF000000"/>
      </bottom>
      <diagonal/>
    </border>
    <border>
      <left style="thin">
        <color indexed="64"/>
      </left>
      <right/>
      <top/>
      <bottom style="thin">
        <color rgb="FF000000"/>
      </bottom>
      <diagonal/>
    </border>
    <border>
      <left style="thin">
        <color auto="1"/>
      </left>
      <right style="thin">
        <color indexed="64"/>
      </right>
      <top style="thin">
        <color auto="1"/>
      </top>
      <bottom style="thin">
        <color indexed="64"/>
      </bottom>
      <diagonal/>
    </border>
    <border>
      <left style="thin">
        <color auto="1"/>
      </left>
      <right/>
      <top/>
      <bottom/>
      <diagonal/>
    </border>
    <border>
      <left/>
      <right style="thin">
        <color indexed="64"/>
      </right>
      <top style="thin">
        <color auto="1"/>
      </top>
      <bottom/>
      <diagonal/>
    </border>
    <border>
      <left/>
      <right style="thin">
        <color indexed="64"/>
      </right>
      <top/>
      <bottom/>
      <diagonal/>
    </border>
    <border>
      <left style="thin">
        <color auto="1"/>
      </left>
      <right/>
      <top/>
      <bottom style="thin">
        <color indexed="64"/>
      </bottom>
      <diagonal/>
    </border>
    <border>
      <left/>
      <right/>
      <top/>
      <bottom style="thin">
        <color indexed="64"/>
      </bottom>
      <diagonal/>
    </border>
    <border>
      <left style="thin">
        <color rgb="FF000000"/>
      </left>
      <right style="thin">
        <color rgb="FF000000"/>
      </right>
      <top/>
      <bottom/>
      <diagonal/>
    </border>
  </borders>
  <cellStyleXfs count="34">
    <xf numFmtId="0" fontId="1" fillId="0" borderId="0"/>
    <xf numFmtId="43" fontId="1" fillId="0" borderId="0"/>
    <xf numFmtId="44" fontId="1" fillId="0" borderId="0"/>
    <xf numFmtId="9" fontId="1" fillId="0" borderId="0"/>
    <xf numFmtId="44" fontId="1" fillId="0" borderId="0"/>
    <xf numFmtId="0" fontId="2" fillId="0" borderId="0"/>
    <xf numFmtId="0" fontId="3" fillId="0" borderId="0"/>
    <xf numFmtId="9" fontId="3" fillId="0" borderId="0"/>
    <xf numFmtId="0" fontId="4" fillId="0" borderId="0"/>
    <xf numFmtId="0" fontId="5" fillId="0" borderId="0"/>
    <xf numFmtId="0" fontId="1" fillId="0" borderId="0"/>
    <xf numFmtId="0" fontId="1" fillId="0" borderId="0"/>
    <xf numFmtId="0" fontId="1" fillId="0" borderId="0"/>
    <xf numFmtId="9" fontId="4" fillId="0" borderId="0"/>
    <xf numFmtId="0" fontId="1" fillId="0" borderId="0"/>
    <xf numFmtId="0" fontId="5" fillId="0" borderId="0"/>
    <xf numFmtId="43" fontId="5" fillId="0" borderId="0"/>
    <xf numFmtId="9" fontId="5" fillId="0" borderId="0"/>
    <xf numFmtId="0" fontId="1" fillId="0" borderId="0"/>
    <xf numFmtId="0" fontId="1" fillId="0" borderId="0"/>
    <xf numFmtId="44" fontId="1" fillId="0" borderId="0"/>
    <xf numFmtId="43" fontId="1" fillId="0" borderId="0"/>
    <xf numFmtId="44" fontId="1" fillId="0" borderId="0"/>
    <xf numFmtId="43" fontId="1" fillId="0" borderId="0"/>
    <xf numFmtId="0" fontId="59" fillId="0" borderId="0"/>
    <xf numFmtId="0" fontId="1" fillId="0" borderId="0"/>
    <xf numFmtId="0" fontId="1" fillId="0" borderId="0"/>
    <xf numFmtId="0" fontId="1" fillId="0" borderId="0"/>
    <xf numFmtId="0" fontId="70" fillId="0" borderId="0"/>
    <xf numFmtId="0" fontId="70" fillId="17" borderId="28"/>
    <xf numFmtId="0" fontId="5" fillId="0" borderId="0"/>
    <xf numFmtId="44" fontId="1" fillId="0" borderId="0"/>
    <xf numFmtId="44" fontId="1" fillId="0" borderId="0"/>
    <xf numFmtId="44" fontId="1" fillId="0" borderId="0"/>
  </cellStyleXfs>
  <cellXfs count="967">
    <xf numFmtId="0" fontId="0" fillId="0" borderId="0" pivotButton="0" quotePrefix="0" xfId="0"/>
    <xf numFmtId="0" fontId="9" fillId="0" borderId="0" pivotButton="0" quotePrefix="0" xfId="8"/>
    <xf numFmtId="0" fontId="9" fillId="0" borderId="0" applyAlignment="1" pivotButton="0" quotePrefix="0" xfId="8">
      <alignment horizontal="centerContinuous"/>
    </xf>
    <xf numFmtId="0" fontId="9" fillId="0" borderId="0" pivotButton="0" quotePrefix="0" xfId="6"/>
    <xf numFmtId="0" fontId="1" fillId="0" borderId="0" pivotButton="0" quotePrefix="0" xfId="0"/>
    <xf numFmtId="0" fontId="14" fillId="0" borderId="0" pivotButton="0" quotePrefix="0" xfId="10"/>
    <xf numFmtId="0" fontId="15" fillId="0" borderId="15" pivotButton="0" quotePrefix="0" xfId="10"/>
    <xf numFmtId="0" fontId="15" fillId="0" borderId="0" applyAlignment="1" pivotButton="0" quotePrefix="0" xfId="10">
      <alignment horizontal="center"/>
    </xf>
    <xf numFmtId="0" fontId="9" fillId="0" borderId="0" pivotButton="0" quotePrefix="0" xfId="10"/>
    <xf numFmtId="0" fontId="9" fillId="0" borderId="0" applyAlignment="1" pivotButton="0" quotePrefix="0" xfId="0">
      <alignment horizontal="right"/>
    </xf>
    <xf numFmtId="0" fontId="9" fillId="0" borderId="0" applyAlignment="1" pivotButton="0" quotePrefix="0" xfId="10">
      <alignment horizontal="center"/>
    </xf>
    <xf numFmtId="0" fontId="17" fillId="0" borderId="0" pivotButton="0" quotePrefix="0" xfId="0"/>
    <xf numFmtId="0" fontId="18" fillId="0" borderId="0" applyAlignment="1" pivotButton="0" quotePrefix="0" xfId="10">
      <alignment vertical="center"/>
    </xf>
    <xf numFmtId="0" fontId="19" fillId="0" borderId="16" applyAlignment="1" pivotButton="0" quotePrefix="0" xfId="0">
      <alignment vertical="center"/>
    </xf>
    <xf numFmtId="0" fontId="20" fillId="0" borderId="16" applyAlignment="1" pivotButton="0" quotePrefix="0" xfId="0">
      <alignment horizontal="center" vertical="center"/>
    </xf>
    <xf numFmtId="0" fontId="18" fillId="0" borderId="0" applyAlignment="1" pivotButton="0" quotePrefix="0" xfId="10">
      <alignment horizontal="center" vertical="center"/>
    </xf>
    <xf numFmtId="0" fontId="18" fillId="0" borderId="0" applyAlignment="1" pivotButton="0" quotePrefix="0" xfId="0">
      <alignment vertical="center"/>
    </xf>
    <xf numFmtId="0" fontId="1" fillId="0" borderId="0" applyAlignment="1" pivotButton="0" quotePrefix="0" xfId="0">
      <alignment vertical="center"/>
    </xf>
    <xf numFmtId="0" fontId="26" fillId="4" borderId="0" applyAlignment="1" pivotButton="0" quotePrefix="0" xfId="0">
      <alignment horizontal="left"/>
    </xf>
    <xf numFmtId="0" fontId="8" fillId="0" borderId="0" pivotButton="0" quotePrefix="0" xfId="0"/>
    <xf numFmtId="0" fontId="8" fillId="0" borderId="0" applyAlignment="1" pivotButton="0" quotePrefix="0" xfId="0">
      <alignment horizontal="center"/>
    </xf>
    <xf numFmtId="0" fontId="1" fillId="0" borderId="0" applyAlignment="1" pivotButton="0" quotePrefix="0" xfId="0">
      <alignment horizontal="left" indent="1"/>
    </xf>
    <xf numFmtId="0" fontId="1" fillId="5" borderId="0" pivotButton="0" quotePrefix="0" xfId="0"/>
    <xf numFmtId="0" fontId="8" fillId="5" borderId="0" applyAlignment="1" pivotButton="0" quotePrefix="0" xfId="0">
      <alignment horizontal="center" vertical="center"/>
    </xf>
    <xf numFmtId="0" fontId="8" fillId="5" borderId="0" applyAlignment="1" pivotButton="0" quotePrefix="0" xfId="0">
      <alignment horizontal="center" vertical="center" wrapText="1"/>
    </xf>
    <xf numFmtId="0" fontId="8" fillId="5" borderId="0" applyAlignment="1" pivotButton="0" quotePrefix="0" xfId="0">
      <alignment horizontal="right" vertical="center"/>
    </xf>
    <xf numFmtId="164" fontId="21" fillId="0" borderId="0" applyAlignment="1" pivotButton="0" quotePrefix="0" xfId="8">
      <alignment horizontal="centerContinuous"/>
    </xf>
    <xf numFmtId="0" fontId="29" fillId="0" borderId="0" applyAlignment="1" pivotButton="0" quotePrefix="0" xfId="8">
      <alignment horizontal="centerContinuous"/>
    </xf>
    <xf numFmtId="0" fontId="30" fillId="0" borderId="0" pivotButton="0" quotePrefix="0" xfId="10"/>
    <xf numFmtId="0" fontId="30" fillId="0" borderId="0" applyAlignment="1" pivotButton="0" quotePrefix="0" xfId="10">
      <alignment horizontal="center"/>
    </xf>
    <xf numFmtId="0" fontId="31" fillId="2" borderId="0" pivotButton="0" quotePrefix="0" xfId="10"/>
    <xf numFmtId="0" fontId="1" fillId="2" borderId="0" pivotButton="0" quotePrefix="0" xfId="10"/>
    <xf numFmtId="0" fontId="32" fillId="0" borderId="15" pivotButton="0" quotePrefix="0" xfId="0"/>
    <xf numFmtId="0" fontId="13" fillId="0" borderId="0" pivotButton="0" quotePrefix="0" xfId="0"/>
    <xf numFmtId="0" fontId="17" fillId="2" borderId="0" pivotButton="0" quotePrefix="0" xfId="10"/>
    <xf numFmtId="0" fontId="16" fillId="0" borderId="0" pivotButton="0" quotePrefix="0" xfId="10"/>
    <xf numFmtId="0" fontId="8" fillId="2" borderId="1" pivotButton="0" quotePrefix="0" xfId="0"/>
    <xf numFmtId="0" fontId="0" fillId="2" borderId="1" pivotButton="0" quotePrefix="0" xfId="0"/>
    <xf numFmtId="0" fontId="8" fillId="2" borderId="0" pivotButton="0" quotePrefix="0" xfId="0"/>
    <xf numFmtId="0" fontId="0" fillId="2" borderId="0" pivotButton="0" quotePrefix="0" xfId="0"/>
    <xf numFmtId="0" fontId="8" fillId="2" borderId="1" applyAlignment="1" pivotButton="0" quotePrefix="0" xfId="0">
      <alignment horizontal="left"/>
    </xf>
    <xf numFmtId="165" fontId="19" fillId="2" borderId="1" applyAlignment="1" pivotButton="0" quotePrefix="0" xfId="0">
      <alignment horizontal="center"/>
    </xf>
    <xf numFmtId="0" fontId="0" fillId="2" borderId="0" applyAlignment="1" pivotButton="0" quotePrefix="0" xfId="0">
      <alignment horizontal="left"/>
    </xf>
    <xf numFmtId="166" fontId="25" fillId="2" borderId="0" applyAlignment="1" pivotButton="0" quotePrefix="0" xfId="1">
      <alignment horizontal="center" vertical="center"/>
    </xf>
    <xf numFmtId="0" fontId="24" fillId="2" borderId="0" pivotButton="0" quotePrefix="0" xfId="0"/>
    <xf numFmtId="0" fontId="0" fillId="5" borderId="0" pivotButton="0" quotePrefix="0" xfId="0"/>
    <xf numFmtId="167" fontId="25" fillId="5" borderId="0" applyAlignment="1" pivotButton="0" quotePrefix="0" xfId="2">
      <alignment horizontal="center"/>
    </xf>
    <xf numFmtId="166" fontId="21" fillId="2" borderId="0" applyAlignment="1" pivotButton="0" quotePrefix="0" xfId="2">
      <alignment horizontal="center"/>
    </xf>
    <xf numFmtId="168" fontId="25" fillId="2" borderId="0" applyAlignment="1" pivotButton="0" quotePrefix="0" xfId="2">
      <alignment horizontal="center"/>
    </xf>
    <xf numFmtId="169" fontId="33" fillId="2" borderId="0" applyAlignment="1" pivotButton="0" quotePrefix="0" xfId="0">
      <alignment horizontal="center"/>
    </xf>
    <xf numFmtId="170" fontId="25" fillId="2" borderId="0" applyAlignment="1" pivotButton="0" quotePrefix="0" xfId="0">
      <alignment horizontal="center"/>
    </xf>
    <xf numFmtId="170" fontId="19" fillId="2" borderId="6" applyAlignment="1" pivotButton="0" quotePrefix="0" xfId="0">
      <alignment horizontal="center"/>
    </xf>
    <xf numFmtId="171" fontId="26" fillId="2" borderId="0" applyAlignment="1" pivotButton="0" quotePrefix="0" xfId="0">
      <alignment horizontal="center"/>
    </xf>
    <xf numFmtId="0" fontId="17" fillId="0" borderId="0" pivotButton="0" quotePrefix="0" xfId="11"/>
    <xf numFmtId="0" fontId="13" fillId="0" borderId="15" pivotButton="0" quotePrefix="0" xfId="0"/>
    <xf numFmtId="14" fontId="10" fillId="2" borderId="0" applyAlignment="1" pivotButton="0" quotePrefix="0" xfId="11">
      <alignment horizontal="left"/>
    </xf>
    <xf numFmtId="172" fontId="17" fillId="2" borderId="0" pivotButton="0" quotePrefix="0" xfId="0"/>
    <xf numFmtId="0" fontId="19" fillId="4" borderId="0" pivotButton="0" quotePrefix="0" xfId="0"/>
    <xf numFmtId="0" fontId="0" fillId="4" borderId="0" pivotButton="0" quotePrefix="0" xfId="0"/>
    <xf numFmtId="14" fontId="19" fillId="4" borderId="12" pivotButton="0" quotePrefix="0" xfId="0"/>
    <xf numFmtId="0" fontId="19" fillId="4" borderId="12" applyAlignment="1" pivotButton="0" quotePrefix="0" xfId="0">
      <alignment horizontal="center"/>
    </xf>
    <xf numFmtId="0" fontId="19" fillId="4" borderId="12" applyAlignment="1" pivotButton="0" quotePrefix="0" xfId="0">
      <alignment wrapText="1"/>
    </xf>
    <xf numFmtId="168" fontId="25" fillId="4" borderId="0" applyAlignment="1" pivotButton="0" quotePrefix="0" xfId="0">
      <alignment horizontal="center" vertical="center"/>
    </xf>
    <xf numFmtId="168" fontId="25" fillId="4" borderId="0" pivotButton="0" quotePrefix="0" xfId="0"/>
    <xf numFmtId="0" fontId="0" fillId="4" borderId="0" applyAlignment="1" pivotButton="0" quotePrefix="0" xfId="0">
      <alignment horizontal="left" vertical="center" wrapText="1"/>
    </xf>
    <xf numFmtId="0" fontId="0" fillId="4" borderId="0" applyAlignment="1" pivotButton="0" quotePrefix="0" xfId="0">
      <alignment vertical="center"/>
    </xf>
    <xf numFmtId="0" fontId="23" fillId="4" borderId="0" applyAlignment="1" pivotButton="0" quotePrefix="0" xfId="0">
      <alignment vertical="center"/>
    </xf>
    <xf numFmtId="0" fontId="0" fillId="4" borderId="0" applyAlignment="1" pivotButton="0" quotePrefix="0" xfId="0">
      <alignment vertical="center" wrapText="1"/>
    </xf>
    <xf numFmtId="0" fontId="19" fillId="8" borderId="0" applyAlignment="1" pivotButton="0" quotePrefix="0" xfId="0">
      <alignment vertical="center"/>
    </xf>
    <xf numFmtId="0" fontId="0" fillId="8" borderId="0" applyAlignment="1" pivotButton="0" quotePrefix="0" xfId="0">
      <alignment horizontal="left" vertical="center"/>
    </xf>
    <xf numFmtId="0" fontId="19" fillId="4" borderId="0" applyAlignment="1" pivotButton="0" quotePrefix="0" xfId="0">
      <alignment horizontal="center" vertical="center"/>
    </xf>
    <xf numFmtId="0" fontId="26" fillId="4" borderId="0" pivotButton="0" quotePrefix="0" xfId="0"/>
    <xf numFmtId="0" fontId="0" fillId="9" borderId="14" pivotButton="0" quotePrefix="0" xfId="0"/>
    <xf numFmtId="9" fontId="21" fillId="9" borderId="5" applyAlignment="1" pivotButton="0" quotePrefix="0" xfId="3">
      <alignment horizontal="center"/>
    </xf>
    <xf numFmtId="9" fontId="18" fillId="0" borderId="0" applyAlignment="1" pivotButton="0" quotePrefix="0" xfId="3">
      <alignment horizontal="center"/>
    </xf>
    <xf numFmtId="0" fontId="19" fillId="4" borderId="0" applyAlignment="1" pivotButton="0" quotePrefix="0" xfId="0">
      <alignment vertical="center"/>
    </xf>
    <xf numFmtId="168" fontId="25" fillId="0" borderId="0" applyAlignment="1" pivotButton="0" quotePrefix="0" xfId="0">
      <alignment horizontal="center"/>
    </xf>
    <xf numFmtId="0" fontId="9" fillId="0" borderId="0" pivotButton="0" quotePrefix="0" xfId="9"/>
    <xf numFmtId="0" fontId="9" fillId="0" borderId="15" pivotButton="0" quotePrefix="0" xfId="9"/>
    <xf numFmtId="0" fontId="9" fillId="0" borderId="0" applyAlignment="1" pivotButton="0" quotePrefix="0" xfId="9">
      <alignment horizontal="right"/>
    </xf>
    <xf numFmtId="0" fontId="30" fillId="0" borderId="0" pivotButton="0" quotePrefix="0" xfId="9"/>
    <xf numFmtId="0" fontId="18" fillId="0" borderId="0" pivotButton="0" quotePrefix="0" xfId="9"/>
    <xf numFmtId="0" fontId="34" fillId="0" borderId="0" applyAlignment="1" pivotButton="0" quotePrefix="0" xfId="9">
      <alignment horizontal="centerContinuous"/>
    </xf>
    <xf numFmtId="0" fontId="35" fillId="0" borderId="0" applyAlignment="1" pivotButton="0" quotePrefix="0" xfId="9">
      <alignment horizontal="centerContinuous"/>
    </xf>
    <xf numFmtId="0" fontId="20" fillId="0" borderId="0" applyAlignment="1" pivotButton="0" quotePrefix="0" xfId="15">
      <alignment horizontal="center"/>
    </xf>
    <xf numFmtId="0" fontId="20" fillId="0" borderId="0" applyAlignment="1" pivotButton="0" quotePrefix="0" xfId="9">
      <alignment horizontal="center"/>
    </xf>
    <xf numFmtId="0" fontId="37" fillId="0" borderId="0" pivotButton="0" quotePrefix="0" xfId="9"/>
    <xf numFmtId="0" fontId="18" fillId="0" borderId="0" applyAlignment="1" pivotButton="0" quotePrefix="0" xfId="9">
      <alignment wrapText="1"/>
    </xf>
    <xf numFmtId="0" fontId="23" fillId="0" borderId="0" pivotButton="0" quotePrefix="0" xfId="9"/>
    <xf numFmtId="173" fontId="18" fillId="0" borderId="0" pivotButton="0" quotePrefix="0" xfId="9"/>
    <xf numFmtId="0" fontId="20" fillId="0" borderId="0" pivotButton="0" quotePrefix="0" xfId="9"/>
    <xf numFmtId="174" fontId="19" fillId="0" borderId="2" pivotButton="0" quotePrefix="0" xfId="9"/>
    <xf numFmtId="0" fontId="18" fillId="0" borderId="14" pivotButton="0" quotePrefix="0" xfId="9"/>
    <xf numFmtId="0" fontId="18" fillId="0" borderId="4" pivotButton="0" quotePrefix="0" xfId="9"/>
    <xf numFmtId="174" fontId="25" fillId="0" borderId="5" pivotButton="0" quotePrefix="0" xfId="9"/>
    <xf numFmtId="175" fontId="18" fillId="0" borderId="0" pivotButton="0" quotePrefix="0" xfId="9"/>
    <xf numFmtId="174" fontId="18" fillId="0" borderId="0" pivotButton="0" quotePrefix="0" xfId="9"/>
    <xf numFmtId="0" fontId="18" fillId="0" borderId="3" pivotButton="0" quotePrefix="0" xfId="9"/>
    <xf numFmtId="0" fontId="18" fillId="0" borderId="2" pivotButton="0" quotePrefix="0" xfId="9"/>
    <xf numFmtId="174" fontId="25" fillId="0" borderId="11" pivotButton="0" quotePrefix="0" xfId="9"/>
    <xf numFmtId="176" fontId="18" fillId="0" borderId="0" pivotButton="0" quotePrefix="0" xfId="9"/>
    <xf numFmtId="0" fontId="18" fillId="0" borderId="8" pivotButton="0" quotePrefix="0" xfId="9"/>
    <xf numFmtId="174" fontId="25" fillId="0" borderId="9" pivotButton="0" quotePrefix="0" xfId="9"/>
    <xf numFmtId="0" fontId="20" fillId="0" borderId="10" pivotButton="0" quotePrefix="0" xfId="9"/>
    <xf numFmtId="0" fontId="20" fillId="0" borderId="1" pivotButton="0" quotePrefix="0" xfId="9"/>
    <xf numFmtId="174" fontId="19" fillId="0" borderId="9" pivotButton="0" quotePrefix="0" xfId="9"/>
    <xf numFmtId="168" fontId="25" fillId="0" borderId="11" pivotButton="0" quotePrefix="0" xfId="9"/>
    <xf numFmtId="177" fontId="18" fillId="0" borderId="0" pivotButton="0" quotePrefix="0" xfId="9"/>
    <xf numFmtId="168" fontId="25" fillId="0" borderId="9" pivotButton="0" quotePrefix="0" xfId="9"/>
    <xf numFmtId="168" fontId="19" fillId="0" borderId="9" pivotButton="0" quotePrefix="0" xfId="9"/>
    <xf numFmtId="177" fontId="20" fillId="0" borderId="0" pivotButton="0" quotePrefix="0" xfId="9"/>
    <xf numFmtId="173" fontId="20" fillId="0" borderId="0" pivotButton="0" quotePrefix="0" xfId="9"/>
    <xf numFmtId="0" fontId="38" fillId="0" borderId="0" pivotButton="0" quotePrefix="0" xfId="9"/>
    <xf numFmtId="43" fontId="38" fillId="0" borderId="0" pivotButton="0" quotePrefix="0" xfId="16"/>
    <xf numFmtId="173" fontId="38" fillId="0" borderId="0" pivotButton="0" quotePrefix="0" xfId="9"/>
    <xf numFmtId="173" fontId="38" fillId="0" borderId="0" pivotButton="0" quotePrefix="0" xfId="16"/>
    <xf numFmtId="0" fontId="20" fillId="0" borderId="14" pivotButton="0" quotePrefix="0" xfId="9"/>
    <xf numFmtId="0" fontId="20" fillId="0" borderId="4" pivotButton="0" quotePrefix="0" xfId="9"/>
    <xf numFmtId="178" fontId="19" fillId="0" borderId="5" applyAlignment="1" pivotButton="0" quotePrefix="0" xfId="17">
      <alignment horizontal="right"/>
    </xf>
    <xf numFmtId="9" fontId="20" fillId="0" borderId="0" pivotButton="0" quotePrefix="0" xfId="17"/>
    <xf numFmtId="173" fontId="20" fillId="0" borderId="0" pivotButton="0" quotePrefix="0" xfId="17"/>
    <xf numFmtId="178" fontId="18" fillId="0" borderId="0" pivotButton="0" quotePrefix="0" xfId="9"/>
    <xf numFmtId="0" fontId="1" fillId="0" borderId="0" pivotButton="0" quotePrefix="0" xfId="11"/>
    <xf numFmtId="0" fontId="12" fillId="0" borderId="15" pivotButton="0" quotePrefix="0" xfId="0"/>
    <xf numFmtId="0" fontId="12" fillId="0" borderId="0" pivotButton="0" quotePrefix="0" xfId="0"/>
    <xf numFmtId="14" fontId="21" fillId="2" borderId="0" applyAlignment="1" pivotButton="0" quotePrefix="0" xfId="11">
      <alignment horizontal="left"/>
    </xf>
    <xf numFmtId="0" fontId="19" fillId="13" borderId="18" pivotButton="0" quotePrefix="0" xfId="0"/>
    <xf numFmtId="0" fontId="25" fillId="13" borderId="6" pivotButton="0" quotePrefix="0" xfId="0"/>
    <xf numFmtId="0" fontId="19" fillId="13" borderId="8" pivotButton="0" quotePrefix="0" xfId="0"/>
    <xf numFmtId="0" fontId="25" fillId="13" borderId="0" pivotButton="0" quotePrefix="0" xfId="0"/>
    <xf numFmtId="0" fontId="25" fillId="0" borderId="0" pivotButton="0" quotePrefix="0" xfId="0"/>
    <xf numFmtId="0" fontId="6" fillId="11" borderId="0" pivotButton="0" quotePrefix="0" xfId="10"/>
    <xf numFmtId="0" fontId="0" fillId="11" borderId="0" pivotButton="0" quotePrefix="0" xfId="10"/>
    <xf numFmtId="0" fontId="0" fillId="0" borderId="0" pivotButton="0" quotePrefix="0" xfId="10"/>
    <xf numFmtId="0" fontId="0" fillId="10" borderId="0" applyAlignment="1" pivotButton="0" quotePrefix="0" xfId="0">
      <alignment horizontal="center"/>
    </xf>
    <xf numFmtId="0" fontId="8" fillId="10" borderId="0" applyAlignment="1" pivotButton="0" quotePrefix="0" xfId="0">
      <alignment horizontal="center"/>
    </xf>
    <xf numFmtId="0" fontId="0" fillId="10" borderId="12" applyAlignment="1" pivotButton="0" quotePrefix="0" xfId="0">
      <alignment horizontal="center"/>
    </xf>
    <xf numFmtId="0" fontId="20" fillId="10" borderId="0" applyAlignment="1" pivotButton="0" quotePrefix="0" xfId="0">
      <alignment horizontal="left"/>
    </xf>
    <xf numFmtId="42" fontId="28" fillId="10" borderId="0" applyAlignment="1" pivotButton="0" quotePrefix="0" xfId="0">
      <alignment horizontal="left"/>
    </xf>
    <xf numFmtId="0" fontId="20" fillId="0" borderId="0" applyAlignment="1" pivotButton="0" quotePrefix="0" xfId="0">
      <alignment horizontal="left"/>
    </xf>
    <xf numFmtId="42" fontId="19" fillId="0" borderId="0" applyAlignment="1" pivotButton="0" quotePrefix="0" xfId="0">
      <alignment horizontal="left"/>
    </xf>
    <xf numFmtId="42" fontId="25" fillId="0" borderId="0" applyAlignment="1" pivotButton="0" quotePrefix="0" xfId="0">
      <alignment horizontal="left"/>
    </xf>
    <xf numFmtId="179" fontId="25" fillId="0" borderId="0" pivotButton="0" quotePrefix="0" xfId="0"/>
    <xf numFmtId="42" fontId="28" fillId="10" borderId="2" applyAlignment="1" pivotButton="0" quotePrefix="0" xfId="0">
      <alignment horizontal="left"/>
    </xf>
    <xf numFmtId="179" fontId="28" fillId="10" borderId="0" pivotButton="0" quotePrefix="0" xfId="2"/>
    <xf numFmtId="0" fontId="42" fillId="0" borderId="0" applyAlignment="1" pivotButton="0" quotePrefix="0" xfId="8">
      <alignment horizontal="centerContinuous"/>
    </xf>
    <xf numFmtId="0" fontId="18" fillId="2" borderId="0" applyAlignment="1" pivotButton="0" quotePrefix="0" xfId="0">
      <alignment horizontal="center" vertical="center"/>
    </xf>
    <xf numFmtId="0" fontId="40" fillId="0" borderId="0" applyAlignment="1" pivotButton="0" quotePrefix="0" xfId="0">
      <alignment horizontal="centerContinuous"/>
    </xf>
    <xf numFmtId="14" fontId="47" fillId="2" borderId="0" applyAlignment="1" pivotButton="0" quotePrefix="0" xfId="11">
      <alignment horizontal="centerContinuous"/>
    </xf>
    <xf numFmtId="0" fontId="17" fillId="4" borderId="0" pivotButton="0" quotePrefix="0" xfId="11"/>
    <xf numFmtId="0" fontId="0" fillId="4" borderId="0" applyAlignment="1" pivotButton="0" quotePrefix="0" xfId="0">
      <alignment horizontal="center"/>
    </xf>
    <xf numFmtId="0" fontId="19" fillId="4" borderId="0" applyAlignment="1" pivotButton="0" quotePrefix="0" xfId="0">
      <alignment horizontal="center"/>
    </xf>
    <xf numFmtId="0" fontId="0" fillId="4" borderId="0" applyAlignment="1" pivotButton="0" quotePrefix="0" xfId="0">
      <alignment horizontal="center" vertical="center"/>
    </xf>
    <xf numFmtId="0" fontId="0" fillId="4" borderId="0" applyAlignment="1" pivotButton="0" quotePrefix="0" xfId="0">
      <alignment horizontal="centerContinuous" vertical="center"/>
    </xf>
    <xf numFmtId="0" fontId="0" fillId="8" borderId="0" applyAlignment="1" pivotButton="0" quotePrefix="0" xfId="0">
      <alignment horizontal="center" vertical="center"/>
    </xf>
    <xf numFmtId="0" fontId="19" fillId="8" borderId="0" applyAlignment="1" pivotButton="0" quotePrefix="0" xfId="0">
      <alignment horizontal="center" vertical="center"/>
    </xf>
    <xf numFmtId="0" fontId="0" fillId="0" borderId="0" applyAlignment="1" pivotButton="0" quotePrefix="0" xfId="0">
      <alignment horizontal="centerContinuous" wrapText="1"/>
    </xf>
    <xf numFmtId="0" fontId="0" fillId="6" borderId="0" applyAlignment="1" pivotButton="0" quotePrefix="0" xfId="0">
      <alignment horizontal="center" wrapText="1"/>
    </xf>
    <xf numFmtId="0" fontId="8" fillId="4" borderId="0" applyAlignment="1" pivotButton="0" quotePrefix="0" xfId="0">
      <alignment horizontal="center"/>
    </xf>
    <xf numFmtId="0" fontId="7" fillId="4" borderId="0" applyAlignment="1" pivotButton="0" quotePrefix="0" xfId="0">
      <alignment horizontal="centerContinuous" vertical="center"/>
    </xf>
    <xf numFmtId="168" fontId="7" fillId="4" borderId="0" applyAlignment="1" pivotButton="0" quotePrefix="0" xfId="0">
      <alignment horizontal="centerContinuous" vertical="center"/>
    </xf>
    <xf numFmtId="168" fontId="25" fillId="8" borderId="0" applyAlignment="1" pivotButton="0" quotePrefix="0" xfId="0">
      <alignment horizontal="center" vertical="center"/>
    </xf>
    <xf numFmtId="0" fontId="39" fillId="2" borderId="0" applyAlignment="1" pivotButton="0" quotePrefix="0" xfId="0">
      <alignment horizontal="centerContinuous"/>
    </xf>
    <xf numFmtId="14" fontId="0" fillId="0" borderId="0" pivotButton="0" quotePrefix="0" xfId="0"/>
    <xf numFmtId="14" fontId="18" fillId="0" borderId="0" pivotButton="0" quotePrefix="0" xfId="9"/>
    <xf numFmtId="14" fontId="1" fillId="0" borderId="0" pivotButton="0" quotePrefix="0" xfId="0"/>
    <xf numFmtId="0" fontId="43" fillId="2" borderId="0" pivotButton="0" quotePrefix="0" xfId="8"/>
    <xf numFmtId="0" fontId="45" fillId="2" borderId="0" applyAlignment="1" pivotButton="0" quotePrefix="0" xfId="8">
      <alignment horizontal="center"/>
    </xf>
    <xf numFmtId="0" fontId="25" fillId="10" borderId="12" applyAlignment="1" pivotButton="0" quotePrefix="0" xfId="0">
      <alignment horizontal="center"/>
    </xf>
    <xf numFmtId="0" fontId="25" fillId="0" borderId="0" applyAlignment="1" pivotButton="0" quotePrefix="0" xfId="0">
      <alignment horizontal="center"/>
    </xf>
    <xf numFmtId="14" fontId="47" fillId="0" borderId="0" applyAlignment="1" pivotButton="0" quotePrefix="0" xfId="11">
      <alignment horizontal="centerContinuous"/>
    </xf>
    <xf numFmtId="0" fontId="0" fillId="0" borderId="0" applyAlignment="1" pivotButton="0" quotePrefix="0" xfId="0">
      <alignment vertical="center"/>
    </xf>
    <xf numFmtId="0" fontId="43" fillId="4" borderId="0" pivotButton="0" quotePrefix="0" xfId="0"/>
    <xf numFmtId="174" fontId="25" fillId="0" borderId="0" pivotButton="0" quotePrefix="0" xfId="0"/>
    <xf numFmtId="169" fontId="0" fillId="0" borderId="0" pivotButton="0" quotePrefix="0" xfId="0"/>
    <xf numFmtId="14" fontId="25" fillId="0" borderId="0" applyAlignment="1" pivotButton="0" quotePrefix="0" xfId="0">
      <alignment horizontal="left"/>
    </xf>
    <xf numFmtId="171" fontId="0" fillId="0" borderId="0" pivotButton="0" quotePrefix="0" xfId="0"/>
    <xf numFmtId="180" fontId="0" fillId="0" borderId="0" pivotButton="0" quotePrefix="0" xfId="0"/>
    <xf numFmtId="0" fontId="18" fillId="0" borderId="0" applyAlignment="1" pivotButton="0" quotePrefix="0" xfId="0">
      <alignment horizontal="center"/>
    </xf>
    <xf numFmtId="0" fontId="18" fillId="0" borderId="0" applyAlignment="1" pivotButton="0" quotePrefix="0" xfId="0">
      <alignment horizontal="centerContinuous"/>
    </xf>
    <xf numFmtId="14" fontId="8" fillId="0" borderId="0" applyAlignment="1" pivotButton="0" quotePrefix="0" xfId="0">
      <alignment horizontal="center" wrapText="1"/>
    </xf>
    <xf numFmtId="14" fontId="0" fillId="2" borderId="12" applyAlignment="1" pivotButton="0" quotePrefix="0" xfId="0">
      <alignment horizontal="center" wrapText="1"/>
    </xf>
    <xf numFmtId="0" fontId="8" fillId="0" borderId="21" pivotButton="0" quotePrefix="0" xfId="0"/>
    <xf numFmtId="0" fontId="1" fillId="0" borderId="22" pivotButton="0" quotePrefix="0" xfId="0"/>
    <xf numFmtId="179" fontId="41" fillId="0" borderId="0" pivotButton="0" quotePrefix="0" xfId="20"/>
    <xf numFmtId="181" fontId="28" fillId="5" borderId="0" applyAlignment="1" pivotButton="0" quotePrefix="0" xfId="20">
      <alignment horizontal="center" vertical="center"/>
    </xf>
    <xf numFmtId="182" fontId="21" fillId="0" borderId="0" pivotButton="0" quotePrefix="0" xfId="21"/>
    <xf numFmtId="182" fontId="1" fillId="0" borderId="0" pivotButton="0" quotePrefix="0" xfId="21"/>
    <xf numFmtId="182" fontId="25" fillId="0" borderId="0" pivotButton="0" quotePrefix="0" xfId="21"/>
    <xf numFmtId="182" fontId="19" fillId="0" borderId="2" pivotButton="0" quotePrefix="0" xfId="21"/>
    <xf numFmtId="0" fontId="48" fillId="0" borderId="0" pivotButton="0" quotePrefix="0" xfId="0"/>
    <xf numFmtId="166" fontId="40" fillId="0" borderId="0" applyAlignment="1" pivotButton="0" quotePrefix="0" xfId="0">
      <alignment horizontal="centerContinuous"/>
    </xf>
    <xf numFmtId="0" fontId="1" fillId="0" borderId="0" applyAlignment="1" pivotButton="0" quotePrefix="0" xfId="0">
      <alignment horizontal="centerContinuous"/>
    </xf>
    <xf numFmtId="166" fontId="40" fillId="0" borderId="0" applyAlignment="1" pivotButton="0" quotePrefix="0" xfId="0">
      <alignment horizontal="center"/>
    </xf>
    <xf numFmtId="182" fontId="25" fillId="0" borderId="0" pivotButton="0" quotePrefix="0" xfId="21"/>
    <xf numFmtId="0" fontId="8" fillId="0" borderId="4" pivotButton="0" quotePrefix="0" xfId="0"/>
    <xf numFmtId="0" fontId="1" fillId="0" borderId="4" pivotButton="0" quotePrefix="0" xfId="0"/>
    <xf numFmtId="174" fontId="19" fillId="0" borderId="4" pivotButton="0" quotePrefix="0" xfId="0"/>
    <xf numFmtId="169" fontId="25" fillId="2" borderId="0" applyAlignment="1" pivotButton="0" quotePrefix="0" xfId="0">
      <alignment horizontal="center"/>
    </xf>
    <xf numFmtId="174" fontId="19" fillId="0" borderId="0" pivotButton="0" quotePrefix="0" xfId="0"/>
    <xf numFmtId="183" fontId="19" fillId="0" borderId="0" pivotButton="0" quotePrefix="0" xfId="0"/>
    <xf numFmtId="0" fontId="50" fillId="0" borderId="0" pivotButton="0" quotePrefix="0" xfId="9"/>
    <xf numFmtId="0" fontId="49" fillId="2" borderId="0" pivotButton="0" quotePrefix="0" xfId="0"/>
    <xf numFmtId="0" fontId="0" fillId="3" borderId="0" applyAlignment="1" pivotButton="0" quotePrefix="0" xfId="0">
      <alignment horizontal="center"/>
    </xf>
    <xf numFmtId="0" fontId="0" fillId="2" borderId="6" pivotButton="0" quotePrefix="0" xfId="0"/>
    <xf numFmtId="0" fontId="7" fillId="2" borderId="6" applyAlignment="1" pivotButton="0" quotePrefix="0" xfId="0">
      <alignment horizontal="center"/>
    </xf>
    <xf numFmtId="0" fontId="0" fillId="0" borderId="0" applyAlignment="1" pivotButton="0" quotePrefix="0" xfId="0">
      <alignment horizontal="center"/>
    </xf>
    <xf numFmtId="167" fontId="25" fillId="0" borderId="0" applyAlignment="1" pivotButton="0" quotePrefix="0" xfId="0">
      <alignment horizontal="center"/>
    </xf>
    <xf numFmtId="184" fontId="0" fillId="0" borderId="0" pivotButton="0" quotePrefix="0" xfId="0"/>
    <xf numFmtId="167" fontId="25" fillId="0" borderId="0" applyAlignment="1" pivotButton="0" quotePrefix="0" xfId="2">
      <alignment horizontal="center"/>
    </xf>
    <xf numFmtId="168" fontId="25" fillId="0" borderId="0" applyAlignment="1" pivotButton="0" quotePrefix="0" xfId="2">
      <alignment horizontal="center"/>
    </xf>
    <xf numFmtId="169" fontId="25" fillId="0" borderId="0" applyAlignment="1" pivotButton="0" quotePrefix="0" xfId="0">
      <alignment horizontal="center"/>
    </xf>
    <xf numFmtId="170" fontId="25" fillId="0" borderId="0" applyAlignment="1" pivotButton="0" quotePrefix="0" xfId="0">
      <alignment horizontal="center"/>
    </xf>
    <xf numFmtId="170" fontId="19" fillId="0" borderId="0" applyAlignment="1" pivotButton="0" quotePrefix="0" xfId="0">
      <alignment horizontal="center"/>
    </xf>
    <xf numFmtId="171" fontId="26" fillId="0" borderId="0" applyAlignment="1" pivotButton="0" quotePrefix="0" xfId="0">
      <alignment horizontal="center"/>
    </xf>
    <xf numFmtId="14" fontId="46" fillId="4" borderId="0" applyAlignment="1" pivotButton="0" quotePrefix="0" xfId="0">
      <alignment horizontal="center"/>
    </xf>
    <xf numFmtId="0" fontId="45" fillId="4" borderId="0" applyAlignment="1" pivotButton="0" quotePrefix="0" xfId="0">
      <alignment horizontal="center"/>
    </xf>
    <xf numFmtId="0" fontId="43" fillId="2" borderId="0" applyAlignment="1" pivotButton="0" quotePrefix="0" xfId="8">
      <alignment horizontal="center"/>
    </xf>
    <xf numFmtId="14" fontId="46" fillId="2" borderId="0" applyAlignment="1" pivotButton="0" quotePrefix="0" xfId="8">
      <alignment horizontal="center"/>
    </xf>
    <xf numFmtId="185" fontId="36" fillId="0" borderId="0" applyAlignment="1" pivotButton="0" quotePrefix="0" xfId="15">
      <alignment horizontal="center"/>
    </xf>
    <xf numFmtId="0" fontId="25" fillId="2" borderId="0" applyAlignment="1" pivotButton="0" quotePrefix="0" xfId="0">
      <alignment horizontal="center"/>
    </xf>
    <xf numFmtId="166" fontId="25" fillId="2" borderId="1" applyAlignment="1" pivotButton="0" quotePrefix="0" xfId="0">
      <alignment horizontal="center"/>
    </xf>
    <xf numFmtId="167" fontId="25" fillId="2" borderId="0" applyAlignment="1" pivotButton="0" quotePrefix="0" xfId="0">
      <alignment horizontal="center"/>
    </xf>
    <xf numFmtId="186" fontId="19" fillId="2" borderId="0" applyAlignment="1" pivotButton="0" quotePrefix="0" xfId="0">
      <alignment horizontal="center"/>
    </xf>
    <xf numFmtId="167" fontId="25" fillId="2" borderId="0" applyAlignment="1" pivotButton="0" quotePrefix="0" xfId="2">
      <alignment horizontal="center"/>
    </xf>
    <xf numFmtId="166" fontId="25" fillId="2" borderId="0" applyAlignment="1" pivotButton="0" quotePrefix="0" xfId="2">
      <alignment horizontal="center"/>
    </xf>
    <xf numFmtId="0" fontId="25" fillId="2" borderId="0" pivotButton="0" quotePrefix="0" xfId="0"/>
    <xf numFmtId="174" fontId="25" fillId="12" borderId="0" pivotButton="0" quotePrefix="0" xfId="9"/>
    <xf numFmtId="0" fontId="25" fillId="0" borderId="0" pivotButton="0" quotePrefix="0" xfId="9"/>
    <xf numFmtId="0" fontId="19" fillId="2" borderId="2" pivotButton="0" quotePrefix="0" xfId="0"/>
    <xf numFmtId="0" fontId="19" fillId="2" borderId="4" pivotButton="0" quotePrefix="0" xfId="0"/>
    <xf numFmtId="0" fontId="25" fillId="2" borderId="0" pivotButton="0" quotePrefix="1" xfId="0"/>
    <xf numFmtId="0" fontId="25" fillId="0" borderId="2" pivotButton="0" quotePrefix="0" xfId="0"/>
    <xf numFmtId="0" fontId="25" fillId="0" borderId="7" pivotButton="0" quotePrefix="0" xfId="0"/>
    <xf numFmtId="0" fontId="19" fillId="2" borderId="8" pivotButton="0" quotePrefix="0" xfId="0"/>
    <xf numFmtId="0" fontId="25" fillId="0" borderId="1" pivotButton="0" quotePrefix="0" xfId="0"/>
    <xf numFmtId="0" fontId="25" fillId="0" borderId="9" pivotButton="0" quotePrefix="0" xfId="0"/>
    <xf numFmtId="0" fontId="19" fillId="2" borderId="3" applyAlignment="1" pivotButton="0" quotePrefix="0" xfId="0">
      <alignment horizontal="left"/>
    </xf>
    <xf numFmtId="0" fontId="25" fillId="2" borderId="2" pivotButton="0" quotePrefix="0" xfId="0"/>
    <xf numFmtId="0" fontId="25" fillId="2" borderId="2" pivotButton="0" quotePrefix="1" xfId="0"/>
    <xf numFmtId="0" fontId="25" fillId="2" borderId="16" pivotButton="0" quotePrefix="0" xfId="0"/>
    <xf numFmtId="0" fontId="25" fillId="0" borderId="16" pivotButton="0" quotePrefix="0" xfId="0"/>
    <xf numFmtId="0" fontId="19" fillId="2" borderId="3" pivotButton="0" quotePrefix="0" xfId="0"/>
    <xf numFmtId="0" fontId="25" fillId="0" borderId="11" pivotButton="0" quotePrefix="0" xfId="0"/>
    <xf numFmtId="0" fontId="25" fillId="0" borderId="8" pivotButton="0" quotePrefix="1" xfId="0"/>
    <xf numFmtId="0" fontId="25" fillId="0" borderId="8" pivotButton="0" quotePrefix="0" xfId="0"/>
    <xf numFmtId="0" fontId="25" fillId="0" borderId="10" pivotButton="0" quotePrefix="0" xfId="0"/>
    <xf numFmtId="0" fontId="52" fillId="0" borderId="0" pivotButton="0" quotePrefix="0" xfId="9"/>
    <xf numFmtId="0" fontId="25" fillId="0" borderId="0" pivotButton="0" quotePrefix="0" xfId="11"/>
    <xf numFmtId="0" fontId="26" fillId="0" borderId="15" pivotButton="0" quotePrefix="0" xfId="0"/>
    <xf numFmtId="0" fontId="53" fillId="0" borderId="15" pivotButton="0" quotePrefix="0" xfId="0"/>
    <xf numFmtId="14" fontId="54" fillId="2" borderId="0" applyAlignment="1" pivotButton="0" quotePrefix="0" xfId="11">
      <alignment horizontal="left"/>
    </xf>
    <xf numFmtId="14" fontId="25" fillId="2" borderId="0" applyAlignment="1" pivotButton="0" quotePrefix="0" xfId="11">
      <alignment horizontal="left"/>
    </xf>
    <xf numFmtId="0" fontId="54" fillId="0" borderId="0" applyAlignment="1" pivotButton="0" quotePrefix="0" xfId="9">
      <alignment horizontal="right"/>
    </xf>
    <xf numFmtId="0" fontId="26" fillId="0" borderId="15" pivotButton="0" quotePrefix="0" xfId="9"/>
    <xf numFmtId="0" fontId="55" fillId="0" borderId="15" pivotButton="0" quotePrefix="0" xfId="0"/>
    <xf numFmtId="0" fontId="56" fillId="0" borderId="0" pivotButton="0" quotePrefix="0" xfId="10"/>
    <xf numFmtId="0" fontId="57" fillId="0" borderId="0" applyAlignment="1" pivotButton="0" quotePrefix="0" xfId="10">
      <alignment horizontal="right"/>
    </xf>
    <xf numFmtId="0" fontId="26" fillId="0" borderId="15" pivotButton="0" quotePrefix="0" xfId="10"/>
    <xf numFmtId="0" fontId="57" fillId="0" borderId="15" pivotButton="0" quotePrefix="0" xfId="10"/>
    <xf numFmtId="0" fontId="54" fillId="0" borderId="0" applyAlignment="1" pivotButton="0" quotePrefix="0" xfId="10">
      <alignment horizontal="centerContinuous"/>
    </xf>
    <xf numFmtId="0" fontId="54" fillId="0" borderId="0" pivotButton="0" quotePrefix="0" xfId="10"/>
    <xf numFmtId="0" fontId="58" fillId="0" borderId="0" pivotButton="0" quotePrefix="0" xfId="10"/>
    <xf numFmtId="0" fontId="55" fillId="0" borderId="0" pivotButton="0" quotePrefix="0" xfId="0"/>
    <xf numFmtId="180" fontId="25" fillId="2" borderId="0" applyAlignment="1" pivotButton="0" quotePrefix="0" xfId="0">
      <alignment horizontal="center"/>
    </xf>
    <xf numFmtId="0" fontId="60" fillId="0" borderId="0" pivotButton="0" quotePrefix="0" xfId="9"/>
    <xf numFmtId="0" fontId="61" fillId="0" borderId="0" applyAlignment="1" pivotButton="0" quotePrefix="0" xfId="9">
      <alignment horizontal="centerContinuous"/>
    </xf>
    <xf numFmtId="0" fontId="18" fillId="0" borderId="0" applyAlignment="1" pivotButton="0" quotePrefix="0" xfId="9">
      <alignment horizontal="centerContinuous"/>
    </xf>
    <xf numFmtId="0" fontId="60" fillId="0" borderId="0" applyAlignment="1" pivotButton="0" quotePrefix="0" xfId="9">
      <alignment horizontal="centerContinuous"/>
    </xf>
    <xf numFmtId="0" fontId="18" fillId="0" borderId="0" applyAlignment="1" pivotButton="0" quotePrefix="0" xfId="24">
      <alignment horizontal="centerContinuous"/>
    </xf>
    <xf numFmtId="0" fontId="20" fillId="0" borderId="5" pivotButton="0" quotePrefix="0" xfId="9"/>
    <xf numFmtId="0" fontId="18" fillId="0" borderId="3" applyAlignment="1" pivotButton="0" quotePrefix="0" xfId="9">
      <alignment horizontal="left"/>
    </xf>
    <xf numFmtId="0" fontId="60" fillId="0" borderId="2" pivotButton="0" quotePrefix="0" xfId="9"/>
    <xf numFmtId="0" fontId="18" fillId="0" borderId="8" applyAlignment="1" pivotButton="0" quotePrefix="0" xfId="9">
      <alignment horizontal="left"/>
    </xf>
    <xf numFmtId="0" fontId="18" fillId="0" borderId="7" applyAlignment="1" pivotButton="0" quotePrefix="0" xfId="9">
      <alignment horizontal="right"/>
    </xf>
    <xf numFmtId="178" fontId="18" fillId="0" borderId="7" applyAlignment="1" pivotButton="0" quotePrefix="0" xfId="3">
      <alignment horizontal="right"/>
    </xf>
    <xf numFmtId="187" fontId="18" fillId="0" borderId="0" applyAlignment="1" pivotButton="0" quotePrefix="0" xfId="9">
      <alignment horizontal="left"/>
    </xf>
    <xf numFmtId="188" fontId="18" fillId="0" borderId="7" applyAlignment="1" pivotButton="0" quotePrefix="0" xfId="9">
      <alignment horizontal="right"/>
    </xf>
    <xf numFmtId="15" fontId="18" fillId="0" borderId="0" pivotButton="0" quotePrefix="0" xfId="9"/>
    <xf numFmtId="0" fontId="18" fillId="0" borderId="8" applyAlignment="1" pivotButton="0" quotePrefix="0" xfId="9">
      <alignment horizontal="left" indent="1"/>
    </xf>
    <xf numFmtId="0" fontId="60" fillId="0" borderId="10" pivotButton="0" quotePrefix="0" xfId="9"/>
    <xf numFmtId="0" fontId="18" fillId="0" borderId="1" pivotButton="0" quotePrefix="0" xfId="9"/>
    <xf numFmtId="0" fontId="18" fillId="0" borderId="9" pivotButton="0" quotePrefix="0" xfId="9"/>
    <xf numFmtId="0" fontId="20" fillId="0" borderId="14" applyAlignment="1" pivotButton="0" quotePrefix="0" xfId="9">
      <alignment horizontal="centerContinuous"/>
    </xf>
    <xf numFmtId="0" fontId="18" fillId="0" borderId="4" applyAlignment="1" pivotButton="0" quotePrefix="0" xfId="9">
      <alignment horizontal="centerContinuous"/>
    </xf>
    <xf numFmtId="0" fontId="18" fillId="0" borderId="5" applyAlignment="1" pivotButton="0" quotePrefix="0" xfId="9">
      <alignment horizontal="centerContinuous"/>
    </xf>
    <xf numFmtId="0" fontId="20" fillId="0" borderId="3" pivotButton="0" quotePrefix="0" xfId="9"/>
    <xf numFmtId="0" fontId="20" fillId="0" borderId="2" applyAlignment="1" pivotButton="0" quotePrefix="0" xfId="9">
      <alignment horizontal="centerContinuous"/>
    </xf>
    <xf numFmtId="0" fontId="20" fillId="0" borderId="11" applyAlignment="1" pivotButton="0" quotePrefix="0" xfId="9">
      <alignment horizontal="centerContinuous"/>
    </xf>
    <xf numFmtId="16" fontId="20" fillId="0" borderId="0" applyAlignment="1" pivotButton="0" quotePrefix="1" xfId="9">
      <alignment horizontal="right"/>
    </xf>
    <xf numFmtId="16" fontId="20" fillId="0" borderId="7" applyAlignment="1" pivotButton="0" quotePrefix="1" xfId="9">
      <alignment horizontal="right"/>
    </xf>
    <xf numFmtId="174" fontId="18" fillId="0" borderId="7" applyAlignment="1" pivotButton="0" quotePrefix="0" xfId="2">
      <alignment horizontal="right"/>
    </xf>
    <xf numFmtId="0" fontId="20" fillId="0" borderId="3" applyAlignment="1" pivotButton="0" quotePrefix="0" xfId="9">
      <alignment horizontal="centerContinuous"/>
    </xf>
    <xf numFmtId="0" fontId="0" fillId="3" borderId="16" applyAlignment="1" pivotButton="0" quotePrefix="0" xfId="0">
      <alignment horizontal="centerContinuous"/>
    </xf>
    <xf numFmtId="0" fontId="8" fillId="2" borderId="1" applyAlignment="1" pivotButton="0" quotePrefix="0" xfId="0">
      <alignment horizontal="center"/>
    </xf>
    <xf numFmtId="189" fontId="0" fillId="2" borderId="0" pivotButton="0" quotePrefix="0" xfId="0"/>
    <xf numFmtId="167" fontId="25" fillId="5" borderId="0" applyAlignment="1" pivotButton="0" quotePrefix="0" xfId="0">
      <alignment horizontal="center"/>
    </xf>
    <xf numFmtId="184" fontId="0" fillId="2" borderId="0" pivotButton="0" quotePrefix="0" xfId="0"/>
    <xf numFmtId="190" fontId="25" fillId="2" borderId="0" applyAlignment="1" pivotButton="0" quotePrefix="0" xfId="0">
      <alignment horizontal="center"/>
    </xf>
    <xf numFmtId="0" fontId="8" fillId="2" borderId="8" pivotButton="0" quotePrefix="0" xfId="0"/>
    <xf numFmtId="0" fontId="0" fillId="0" borderId="7" pivotButton="0" quotePrefix="0" xfId="0"/>
    <xf numFmtId="170" fontId="33" fillId="0" borderId="0" pivotButton="0" quotePrefix="0" xfId="0"/>
    <xf numFmtId="0" fontId="8" fillId="2" borderId="10" pivotButton="0" quotePrefix="0" xfId="0"/>
    <xf numFmtId="179" fontId="19" fillId="2" borderId="4" pivotButton="0" quotePrefix="0" xfId="0"/>
    <xf numFmtId="0" fontId="0" fillId="0" borderId="1" pivotButton="0" quotePrefix="0" xfId="0"/>
    <xf numFmtId="0" fontId="0" fillId="0" borderId="9" pivotButton="0" quotePrefix="0" xfId="0"/>
    <xf numFmtId="0" fontId="8" fillId="2" borderId="16" pivotButton="0" quotePrefix="0" xfId="0"/>
    <xf numFmtId="0" fontId="0" fillId="2" borderId="16" pivotButton="0" quotePrefix="0" xfId="0"/>
    <xf numFmtId="0" fontId="17" fillId="2" borderId="0" pivotButton="0" quotePrefix="0" xfId="0"/>
    <xf numFmtId="170" fontId="62" fillId="2" borderId="0" pivotButton="0" quotePrefix="0" xfId="0"/>
    <xf numFmtId="166" fontId="18" fillId="2" borderId="0" applyAlignment="1" pivotButton="0" quotePrefix="0" xfId="1">
      <alignment horizontal="center" vertical="center"/>
    </xf>
    <xf numFmtId="16" fontId="20" fillId="0" borderId="24" applyAlignment="1" pivotButton="0" quotePrefix="1" xfId="9">
      <alignment horizontal="right"/>
    </xf>
    <xf numFmtId="0" fontId="63" fillId="0" borderId="0" pivotButton="0" quotePrefix="0" xfId="9"/>
    <xf numFmtId="191" fontId="21" fillId="0" borderId="0" applyAlignment="1" pivotButton="0" quotePrefix="0" xfId="0">
      <alignment horizontal="center"/>
    </xf>
    <xf numFmtId="0" fontId="0" fillId="0" borderId="0" applyAlignment="1" pivotButton="0" quotePrefix="0" xfId="0">
      <alignment horizontal="left"/>
    </xf>
    <xf numFmtId="42" fontId="28" fillId="0" borderId="0" applyAlignment="1" pivotButton="0" quotePrefix="0" xfId="0">
      <alignment horizontal="left"/>
    </xf>
    <xf numFmtId="179" fontId="28" fillId="0" borderId="0" pivotButton="0" quotePrefix="0" xfId="0"/>
    <xf numFmtId="0" fontId="0" fillId="0" borderId="0" applyAlignment="1" pivotButton="0" quotePrefix="0" xfId="0">
      <alignment horizontal="left" indent="1"/>
    </xf>
    <xf numFmtId="0" fontId="64" fillId="0" borderId="0" pivotButton="0" quotePrefix="0" xfId="8"/>
    <xf numFmtId="182" fontId="25" fillId="0" borderId="0" pivotButton="0" quotePrefix="0" xfId="21"/>
    <xf numFmtId="182" fontId="1" fillId="0" borderId="0" pivotButton="0" quotePrefix="0" xfId="0"/>
    <xf numFmtId="0" fontId="8" fillId="0" borderId="0" applyAlignment="1" pivotButton="0" quotePrefix="0" xfId="0">
      <alignment horizontal="left"/>
    </xf>
    <xf numFmtId="0" fontId="22" fillId="15" borderId="1" applyAlignment="1" pivotButton="0" quotePrefix="0" xfId="18">
      <alignment horizontal="centerContinuous"/>
    </xf>
    <xf numFmtId="0" fontId="22" fillId="0" borderId="0" applyAlignment="1" pivotButton="0" quotePrefix="0" xfId="18">
      <alignment horizontal="centerContinuous"/>
    </xf>
    <xf numFmtId="178" fontId="25" fillId="0" borderId="0" pivotButton="0" quotePrefix="0" xfId="17"/>
    <xf numFmtId="9" fontId="25" fillId="0" borderId="0" pivotButton="0" quotePrefix="0" xfId="17"/>
    <xf numFmtId="182" fontId="65" fillId="0" borderId="0" pivotButton="0" quotePrefix="0" xfId="21"/>
    <xf numFmtId="0" fontId="25" fillId="0" borderId="0" applyAlignment="1" pivotButton="0" quotePrefix="0" xfId="0">
      <alignment horizontal="left" indent="1"/>
    </xf>
    <xf numFmtId="182" fontId="65" fillId="0" borderId="0" pivotButton="0" quotePrefix="0" xfId="21"/>
    <xf numFmtId="178" fontId="19" fillId="0" borderId="2" pivotButton="0" quotePrefix="0" xfId="17"/>
    <xf numFmtId="9" fontId="19" fillId="0" borderId="2" pivotButton="0" quotePrefix="0" xfId="17"/>
    <xf numFmtId="0" fontId="66" fillId="0" borderId="0" applyAlignment="1" pivotButton="0" quotePrefix="0" xfId="0">
      <alignment horizontal="center" vertical="center"/>
    </xf>
    <xf numFmtId="166" fontId="66" fillId="0" borderId="25" applyAlignment="1" pivotButton="0" quotePrefix="0" xfId="0">
      <alignment horizontal="center"/>
    </xf>
    <xf numFmtId="0" fontId="8" fillId="0" borderId="0" applyAlignment="1" pivotButton="0" quotePrefix="0" xfId="0">
      <alignment horizontal="center" vertical="center"/>
    </xf>
    <xf numFmtId="192" fontId="19" fillId="0" borderId="0" applyAlignment="1" pivotButton="0" quotePrefix="0" xfId="20">
      <alignment horizontal="right" vertical="center"/>
    </xf>
    <xf numFmtId="166" fontId="40" fillId="0" borderId="25" applyAlignment="1" pivotButton="0" quotePrefix="0" xfId="0">
      <alignment horizontal="center"/>
    </xf>
    <xf numFmtId="192" fontId="28" fillId="0" borderId="0" applyAlignment="1" pivotButton="0" quotePrefix="0" xfId="20">
      <alignment horizontal="center" vertical="center"/>
    </xf>
    <xf numFmtId="174" fontId="19" fillId="0" borderId="25" pivotButton="0" quotePrefix="0" xfId="0"/>
    <xf numFmtId="174" fontId="19" fillId="0" borderId="0" applyAlignment="1" pivotButton="0" quotePrefix="0" xfId="0">
      <alignment horizontal="center"/>
    </xf>
    <xf numFmtId="0" fontId="1" fillId="0" borderId="25" pivotButton="0" quotePrefix="0" xfId="0"/>
    <xf numFmtId="0" fontId="1" fillId="0" borderId="0" applyAlignment="1" pivotButton="0" quotePrefix="0" xfId="0">
      <alignment horizontal="center"/>
    </xf>
    <xf numFmtId="182" fontId="25" fillId="0" borderId="25" pivotButton="0" quotePrefix="0" xfId="21"/>
    <xf numFmtId="182" fontId="25" fillId="0" borderId="0" applyAlignment="1" pivotButton="0" quotePrefix="0" xfId="21">
      <alignment horizontal="center"/>
    </xf>
    <xf numFmtId="182" fontId="19" fillId="0" borderId="26" pivotButton="0" quotePrefix="0" xfId="21"/>
    <xf numFmtId="182" fontId="19" fillId="0" borderId="0" applyAlignment="1" pivotButton="0" quotePrefix="0" xfId="21">
      <alignment horizontal="center"/>
    </xf>
    <xf numFmtId="183" fontId="19" fillId="0" borderId="25" pivotButton="0" quotePrefix="0" xfId="0"/>
    <xf numFmtId="183" fontId="19" fillId="0" borderId="0" applyAlignment="1" pivotButton="0" quotePrefix="0" xfId="0">
      <alignment horizontal="center"/>
    </xf>
    <xf numFmtId="166" fontId="40" fillId="0" borderId="25" applyAlignment="1" pivotButton="0" quotePrefix="0" xfId="0">
      <alignment horizontal="centerContinuous"/>
    </xf>
    <xf numFmtId="166" fontId="8" fillId="16" borderId="19" applyAlignment="1" pivotButton="0" quotePrefix="0" xfId="0">
      <alignment horizontal="center"/>
    </xf>
    <xf numFmtId="166" fontId="40" fillId="16" borderId="20" applyAlignment="1" pivotButton="0" quotePrefix="0" xfId="0">
      <alignment horizontal="center"/>
    </xf>
    <xf numFmtId="174" fontId="25" fillId="0" borderId="25" pivotButton="0" quotePrefix="0" xfId="0"/>
    <xf numFmtId="174" fontId="19" fillId="16" borderId="20" pivotButton="0" quotePrefix="0" xfId="0"/>
    <xf numFmtId="174" fontId="19" fillId="0" borderId="27" pivotButton="0" quotePrefix="0" xfId="0"/>
    <xf numFmtId="174" fontId="19" fillId="16" borderId="17" pivotButton="0" quotePrefix="0" xfId="0"/>
    <xf numFmtId="0" fontId="67" fillId="0" borderId="0" pivotButton="0" quotePrefix="0" xfId="0"/>
    <xf numFmtId="0" fontId="0" fillId="0" borderId="0" applyAlignment="1" pivotButton="0" quotePrefix="0" xfId="0">
      <alignment horizontal="right"/>
    </xf>
    <xf numFmtId="0" fontId="21" fillId="0" borderId="0" pivotButton="0" quotePrefix="0" xfId="0"/>
    <xf numFmtId="170" fontId="1" fillId="0" borderId="0" pivotButton="0" quotePrefix="0" xfId="0"/>
    <xf numFmtId="167" fontId="19" fillId="0" borderId="0" applyAlignment="1" pivotButton="0" quotePrefix="0" xfId="0">
      <alignment horizontal="right"/>
    </xf>
    <xf numFmtId="167" fontId="68" fillId="10" borderId="0" applyAlignment="1" pivotButton="0" quotePrefix="0" xfId="0">
      <alignment horizontal="right"/>
    </xf>
    <xf numFmtId="17" fontId="0" fillId="10" borderId="12" applyAlignment="1" pivotButton="0" quotePrefix="0" xfId="0">
      <alignment horizontal="center"/>
    </xf>
    <xf numFmtId="37" fontId="18" fillId="0" borderId="11" applyAlignment="1" pivotButton="0" quotePrefix="1" xfId="9">
      <alignment horizontal="right"/>
    </xf>
    <xf numFmtId="168" fontId="18" fillId="0" borderId="0" applyAlignment="1" pivotButton="0" quotePrefix="0" xfId="0">
      <alignment horizontal="center" vertical="center"/>
    </xf>
    <xf numFmtId="180" fontId="33" fillId="2" borderId="0" applyAlignment="1" pivotButton="0" quotePrefix="0" xfId="0">
      <alignment horizontal="right"/>
    </xf>
    <xf numFmtId="170" fontId="33" fillId="2" borderId="0" applyAlignment="1" pivotButton="0" quotePrefix="0" xfId="0">
      <alignment horizontal="right"/>
    </xf>
    <xf numFmtId="169" fontId="33" fillId="2" borderId="0" applyAlignment="1" pivotButton="0" quotePrefix="0" xfId="0">
      <alignment horizontal="right"/>
    </xf>
    <xf numFmtId="167" fontId="25" fillId="0" borderId="0" applyAlignment="1" pivotButton="0" quotePrefix="0" xfId="0">
      <alignment horizontal="left"/>
    </xf>
    <xf numFmtId="174" fontId="18" fillId="0" borderId="0" applyAlignment="1" pivotButton="0" quotePrefix="0" xfId="2">
      <alignment horizontal="right" indent="1"/>
    </xf>
    <xf numFmtId="0" fontId="18" fillId="0" borderId="29" applyAlignment="1" pivotButton="0" quotePrefix="0" xfId="9">
      <alignment horizontal="center"/>
    </xf>
    <xf numFmtId="193" fontId="18" fillId="0" borderId="29" applyAlignment="1" pivotButton="0" quotePrefix="0" xfId="9">
      <alignment horizontal="center"/>
    </xf>
    <xf numFmtId="0" fontId="18" fillId="0" borderId="0" applyAlignment="1" pivotButton="0" quotePrefix="0" xfId="9">
      <alignment horizontal="center"/>
    </xf>
    <xf numFmtId="0" fontId="18" fillId="0" borderId="0" applyAlignment="1" pivotButton="0" quotePrefix="0" xfId="9">
      <alignment horizontal="center" wrapText="1"/>
    </xf>
    <xf numFmtId="3" fontId="18" fillId="0" borderId="0" applyAlignment="1" pivotButton="0" quotePrefix="0" xfId="9">
      <alignment horizontal="right" indent="1"/>
    </xf>
    <xf numFmtId="168" fontId="18" fillId="0" borderId="30" applyAlignment="1" pivotButton="0" quotePrefix="0" xfId="9">
      <alignment horizontal="right"/>
    </xf>
    <xf numFmtId="0" fontId="0" fillId="0" borderId="30" applyAlignment="1" pivotButton="0" quotePrefix="0" xfId="0">
      <alignment horizontal="center"/>
    </xf>
    <xf numFmtId="174" fontId="18" fillId="0" borderId="30" applyAlignment="1" pivotButton="0" quotePrefix="0" xfId="2">
      <alignment horizontal="right" indent="1"/>
    </xf>
    <xf numFmtId="0" fontId="18" fillId="0" borderId="30" applyAlignment="1" pivotButton="0" quotePrefix="0" xfId="9">
      <alignment horizontal="left"/>
    </xf>
    <xf numFmtId="0" fontId="18" fillId="0" borderId="0" pivotButton="0" quotePrefix="1" xfId="9"/>
    <xf numFmtId="194" fontId="18" fillId="0" borderId="7" applyAlignment="1" pivotButton="0" quotePrefix="0" xfId="2">
      <alignment horizontal="right"/>
    </xf>
    <xf numFmtId="14" fontId="0" fillId="0" borderId="13" pivotButton="0" quotePrefix="0" xfId="0"/>
    <xf numFmtId="0" fontId="7" fillId="0" borderId="0" applyAlignment="1" pivotButton="0" quotePrefix="0" xfId="0">
      <alignment horizontal="center"/>
    </xf>
    <xf numFmtId="0" fontId="0" fillId="0" borderId="0" applyAlignment="1" pivotButton="0" quotePrefix="0" xfId="0">
      <alignment horizontal="center" vertical="center"/>
    </xf>
    <xf numFmtId="195" fontId="0" fillId="10" borderId="12" applyAlignment="1" pivotButton="0" quotePrefix="0" xfId="0">
      <alignment horizontal="center"/>
    </xf>
    <xf numFmtId="167" fontId="0" fillId="0" borderId="0" pivotButton="0" quotePrefix="0" xfId="0"/>
    <xf numFmtId="0" fontId="67" fillId="0" borderId="31" pivotButton="0" quotePrefix="0" xfId="0"/>
    <xf numFmtId="0" fontId="0" fillId="0" borderId="31" pivotButton="0" quotePrefix="0" xfId="0"/>
    <xf numFmtId="0" fontId="73" fillId="0" borderId="31" applyAlignment="1" pivotButton="0" quotePrefix="0" xfId="0">
      <alignment horizontal="right"/>
    </xf>
    <xf numFmtId="182" fontId="65" fillId="0" borderId="0" pivotButton="0" quotePrefix="0" xfId="21"/>
    <xf numFmtId="182" fontId="21" fillId="0" borderId="0" pivotButton="0" quotePrefix="0" xfId="21"/>
    <xf numFmtId="183" fontId="0" fillId="0" borderId="0" pivotButton="0" quotePrefix="0" xfId="0"/>
    <xf numFmtId="167" fontId="21" fillId="0" borderId="0" pivotButton="0" quotePrefix="0" xfId="0"/>
    <xf numFmtId="0" fontId="51" fillId="4" borderId="0" applyAlignment="1" pivotButton="0" quotePrefix="0" xfId="0">
      <alignment horizontal="center" vertical="center"/>
    </xf>
    <xf numFmtId="179" fontId="28" fillId="0" borderId="0" pivotButton="0" quotePrefix="0" xfId="2"/>
    <xf numFmtId="14" fontId="33" fillId="2" borderId="0" applyAlignment="1" pivotButton="0" quotePrefix="0" xfId="11">
      <alignment horizontal="left"/>
    </xf>
    <xf numFmtId="0" fontId="0" fillId="4" borderId="0" applyAlignment="1" pivotButton="0" quotePrefix="0" xfId="0">
      <alignment wrapText="1"/>
    </xf>
    <xf numFmtId="14" fontId="19" fillId="4" borderId="12" applyAlignment="1" pivotButton="0" quotePrefix="0" xfId="0">
      <alignment wrapText="1"/>
    </xf>
    <xf numFmtId="0" fontId="19" fillId="0" borderId="12" applyAlignment="1" pivotButton="0" quotePrefix="0" xfId="0">
      <alignment wrapText="1"/>
    </xf>
    <xf numFmtId="0" fontId="0" fillId="7" borderId="0" applyAlignment="1" pivotButton="0" quotePrefix="0" xfId="0">
      <alignment vertical="center"/>
    </xf>
    <xf numFmtId="0" fontId="0" fillId="7" borderId="0" applyAlignment="1" pivotButton="0" quotePrefix="0" xfId="0">
      <alignment vertical="center" wrapText="1"/>
    </xf>
    <xf numFmtId="168" fontId="18" fillId="7" borderId="0" applyAlignment="1" pivotButton="0" quotePrefix="0" xfId="0">
      <alignment horizontal="left" vertical="center" wrapText="1"/>
    </xf>
    <xf numFmtId="168" fontId="18" fillId="4" borderId="0" applyAlignment="1" pivotButton="0" quotePrefix="0" xfId="0">
      <alignment horizontal="left" vertical="center" wrapText="1"/>
    </xf>
    <xf numFmtId="196" fontId="18" fillId="4" borderId="0" applyAlignment="1" pivotButton="0" quotePrefix="0" xfId="0">
      <alignment horizontal="left" vertical="center" wrapText="1"/>
    </xf>
    <xf numFmtId="168" fontId="18" fillId="4" borderId="0" applyAlignment="1" pivotButton="0" quotePrefix="0" xfId="0">
      <alignment horizontal="left" vertical="center"/>
    </xf>
    <xf numFmtId="0" fontId="76" fillId="0" borderId="0" pivotButton="0" quotePrefix="0" xfId="9"/>
    <xf numFmtId="0" fontId="60" fillId="0" borderId="15" pivotButton="0" quotePrefix="0" xfId="0"/>
    <xf numFmtId="14" fontId="9" fillId="2" borderId="0" applyAlignment="1" pivotButton="0" quotePrefix="0" xfId="11">
      <alignment horizontal="left"/>
    </xf>
    <xf numFmtId="38" fontId="21" fillId="0" borderId="0" pivotButton="0" quotePrefix="0" xfId="0"/>
    <xf numFmtId="0" fontId="18" fillId="10" borderId="0" applyAlignment="1" pivotButton="0" quotePrefix="0" xfId="0">
      <alignment horizontal="left" indent="1"/>
    </xf>
    <xf numFmtId="0" fontId="0" fillId="19" borderId="0" pivotButton="0" quotePrefix="0" xfId="0"/>
    <xf numFmtId="197" fontId="0" fillId="0" borderId="0" pivotButton="0" quotePrefix="0" xfId="0"/>
    <xf numFmtId="167" fontId="28" fillId="10" borderId="0" applyAlignment="1" pivotButton="0" quotePrefix="0" xfId="0">
      <alignment horizontal="right"/>
    </xf>
    <xf numFmtId="168" fontId="18" fillId="4" borderId="0" applyAlignment="1" pivotButton="0" quotePrefix="0" xfId="0">
      <alignment horizontal="left" vertical="top" wrapText="1"/>
    </xf>
    <xf numFmtId="0" fontId="19" fillId="0" borderId="0" applyAlignment="1" pivotButton="0" quotePrefix="0" xfId="0">
      <alignment horizontal="center"/>
    </xf>
    <xf numFmtId="0" fontId="0" fillId="0" borderId="0" applyAlignment="1" pivotButton="0" quotePrefix="0" xfId="0">
      <alignment horizontal="centerContinuous" vertical="center"/>
    </xf>
    <xf numFmtId="0" fontId="19" fillId="0" borderId="0" applyAlignment="1" pivotButton="0" quotePrefix="0" xfId="0">
      <alignment horizontal="center" vertical="center"/>
    </xf>
    <xf numFmtId="14" fontId="18" fillId="0" borderId="13" pivotButton="0" quotePrefix="0" xfId="0"/>
    <xf numFmtId="14" fontId="18" fillId="0" borderId="13" applyAlignment="1" pivotButton="0" quotePrefix="0" xfId="0">
      <alignment horizontal="center"/>
    </xf>
    <xf numFmtId="0" fontId="0" fillId="0" borderId="0" applyAlignment="1" pivotButton="0" quotePrefix="0" xfId="0">
      <alignment horizontal="left" vertical="center" wrapText="1"/>
    </xf>
    <xf numFmtId="14" fontId="0" fillId="0" borderId="0" applyAlignment="1" pivotButton="0" quotePrefix="0" xfId="0">
      <alignment vertical="center"/>
    </xf>
    <xf numFmtId="14" fontId="0" fillId="0" borderId="0" applyAlignment="1" pivotButton="0" quotePrefix="0" xfId="0">
      <alignment horizontal="center" vertical="center"/>
    </xf>
    <xf numFmtId="14" fontId="18" fillId="0" borderId="0" applyAlignment="1" pivotButton="0" quotePrefix="0" xfId="0">
      <alignment horizontal="center" vertical="center"/>
    </xf>
    <xf numFmtId="0" fontId="0" fillId="0" borderId="12" applyAlignment="1" pivotButton="0" quotePrefix="0" xfId="0">
      <alignment horizontal="center" vertical="center"/>
    </xf>
    <xf numFmtId="0" fontId="18" fillId="0" borderId="12" applyAlignment="1" pivotButton="0" quotePrefix="0" xfId="0">
      <alignment horizontal="center" vertical="center"/>
    </xf>
    <xf numFmtId="38" fontId="77" fillId="0" borderId="0" applyAlignment="1" pivotButton="0" quotePrefix="0" xfId="0">
      <alignment horizontal="center"/>
    </xf>
    <xf numFmtId="14" fontId="10" fillId="0" borderId="0" applyAlignment="1" pivotButton="0" quotePrefix="0" xfId="11">
      <alignment horizontal="left"/>
    </xf>
    <xf numFmtId="9" fontId="18" fillId="0" borderId="0" applyAlignment="1" pivotButton="0" quotePrefix="0" xfId="3">
      <alignment horizontal="center"/>
    </xf>
    <xf numFmtId="0" fontId="21" fillId="18" borderId="0" pivotButton="0" quotePrefix="0" xfId="0"/>
    <xf numFmtId="0" fontId="26" fillId="0" borderId="0" pivotButton="0" quotePrefix="0" xfId="0"/>
    <xf numFmtId="38" fontId="18" fillId="0" borderId="0" pivotButton="0" quotePrefix="0" xfId="0"/>
    <xf numFmtId="0" fontId="26" fillId="0" borderId="0" applyAlignment="1" pivotButton="0" quotePrefix="0" xfId="0">
      <alignment horizontal="left"/>
    </xf>
    <xf numFmtId="174" fontId="41" fillId="14" borderId="23" pivotButton="0" quotePrefix="0" xfId="20"/>
    <xf numFmtId="198" fontId="18" fillId="0" borderId="30" applyAlignment="1" pivotButton="0" quotePrefix="0" xfId="3">
      <alignment horizontal="right"/>
    </xf>
    <xf numFmtId="0" fontId="48" fillId="0" borderId="0" pivotButton="0" quotePrefix="0" xfId="9"/>
    <xf numFmtId="197" fontId="24" fillId="0" borderId="0" pivotButton="0" quotePrefix="0" xfId="0"/>
    <xf numFmtId="197" fontId="8" fillId="0" borderId="2" pivotButton="0" quotePrefix="0" xfId="0"/>
    <xf numFmtId="37" fontId="21" fillId="0" borderId="0" pivotButton="0" quotePrefix="0" xfId="0"/>
    <xf numFmtId="0" fontId="9" fillId="0" borderId="0" applyAlignment="1" pivotButton="0" quotePrefix="0" xfId="8">
      <alignment horizontal="center"/>
    </xf>
    <xf numFmtId="0" fontId="11" fillId="0" borderId="0" applyAlignment="1" pivotButton="0" quotePrefix="0" xfId="8">
      <alignment horizontal="center"/>
    </xf>
    <xf numFmtId="0" fontId="9" fillId="0" borderId="0" applyAlignment="1" pivotButton="0" quotePrefix="0" xfId="8">
      <alignment horizontal="centerContinuous" wrapText="1"/>
    </xf>
    <xf numFmtId="199" fontId="0" fillId="2" borderId="0" pivotButton="0" quotePrefix="0" xfId="0"/>
    <xf numFmtId="170" fontId="0" fillId="0" borderId="0" pivotButton="0" quotePrefix="0" xfId="0"/>
    <xf numFmtId="42" fontId="20" fillId="10" borderId="2" applyAlignment="1" pivotButton="0" quotePrefix="0" xfId="0">
      <alignment horizontal="left"/>
    </xf>
    <xf numFmtId="167" fontId="20" fillId="10" borderId="0" applyAlignment="1" pivotButton="0" quotePrefix="0" xfId="0">
      <alignment horizontal="right"/>
    </xf>
    <xf numFmtId="167" fontId="20" fillId="0" borderId="0" applyAlignment="1" pivotButton="0" quotePrefix="0" xfId="0">
      <alignment horizontal="right"/>
    </xf>
    <xf numFmtId="179" fontId="20" fillId="10" borderId="0" pivotButton="0" quotePrefix="0" xfId="2"/>
    <xf numFmtId="0" fontId="19" fillId="2" borderId="0" pivotButton="0" quotePrefix="1" xfId="0"/>
    <xf numFmtId="0" fontId="79" fillId="0" borderId="0" pivotButton="0" quotePrefix="0" xfId="30"/>
    <xf numFmtId="9" fontId="21" fillId="2" borderId="0" applyAlignment="1" pivotButton="0" quotePrefix="0" xfId="11">
      <alignment horizontal="left"/>
    </xf>
    <xf numFmtId="0" fontId="6" fillId="11" borderId="44" pivotButton="0" quotePrefix="0" xfId="10"/>
    <xf numFmtId="0" fontId="0" fillId="11" borderId="45" pivotButton="0" quotePrefix="0" xfId="10"/>
    <xf numFmtId="0" fontId="0" fillId="0" borderId="42" pivotButton="0" quotePrefix="0" xfId="0"/>
    <xf numFmtId="0" fontId="8" fillId="0" borderId="42" pivotButton="0" quotePrefix="0" xfId="0"/>
    <xf numFmtId="0" fontId="20" fillId="0" borderId="46" applyAlignment="1" pivotButton="0" quotePrefix="0" xfId="0">
      <alignment horizontal="center"/>
    </xf>
    <xf numFmtId="0" fontId="0" fillId="10" borderId="42" applyAlignment="1" pivotButton="0" quotePrefix="0" xfId="0">
      <alignment horizontal="center"/>
    </xf>
    <xf numFmtId="0" fontId="8" fillId="10" borderId="46" applyAlignment="1" pivotButton="0" quotePrefix="0" xfId="0">
      <alignment horizontal="center"/>
    </xf>
    <xf numFmtId="14" fontId="28" fillId="10" borderId="0" applyAlignment="1" pivotButton="0" quotePrefix="0" xfId="0">
      <alignment horizontal="center"/>
    </xf>
    <xf numFmtId="14" fontId="19" fillId="10" borderId="0" applyAlignment="1" pivotButton="0" quotePrefix="0" xfId="0">
      <alignment horizontal="center"/>
    </xf>
    <xf numFmtId="0" fontId="0" fillId="10" borderId="47" applyAlignment="1" pivotButton="0" quotePrefix="0" xfId="0">
      <alignment horizontal="center"/>
    </xf>
    <xf numFmtId="0" fontId="25" fillId="10" borderId="0" applyAlignment="1" pivotButton="0" quotePrefix="0" xfId="0">
      <alignment horizontal="center"/>
    </xf>
    <xf numFmtId="0" fontId="18" fillId="0" borderId="42" applyAlignment="1" pivotButton="0" quotePrefix="0" xfId="0">
      <alignment horizontal="left"/>
    </xf>
    <xf numFmtId="179" fontId="25" fillId="0" borderId="46" pivotButton="0" quotePrefix="0" xfId="0"/>
    <xf numFmtId="179" fontId="0" fillId="0" borderId="0" pivotButton="0" quotePrefix="0" xfId="0"/>
    <xf numFmtId="0" fontId="20" fillId="10" borderId="42" applyAlignment="1" pivotButton="0" quotePrefix="0" xfId="0">
      <alignment horizontal="left"/>
    </xf>
    <xf numFmtId="42" fontId="19" fillId="10" borderId="46" applyAlignment="1" pivotButton="0" quotePrefix="0" xfId="0">
      <alignment horizontal="left"/>
    </xf>
    <xf numFmtId="42" fontId="19" fillId="10" borderId="0" applyAlignment="1" pivotButton="0" quotePrefix="0" xfId="0">
      <alignment horizontal="left"/>
    </xf>
    <xf numFmtId="0" fontId="80" fillId="0" borderId="42" applyAlignment="1" pivotButton="0" quotePrefix="0" xfId="0">
      <alignment horizontal="left"/>
    </xf>
    <xf numFmtId="9" fontId="51" fillId="0" borderId="46" applyAlignment="1" pivotButton="0" quotePrefix="0" xfId="0">
      <alignment horizontal="right"/>
    </xf>
    <xf numFmtId="0" fontId="24" fillId="0" borderId="42" pivotButton="0" quotePrefix="0" xfId="0"/>
    <xf numFmtId="9" fontId="26" fillId="0" borderId="0" applyAlignment="1" pivotButton="0" quotePrefix="0" xfId="0">
      <alignment horizontal="right"/>
    </xf>
    <xf numFmtId="0" fontId="24" fillId="0" borderId="0" pivotButton="0" quotePrefix="0" xfId="0"/>
    <xf numFmtId="179" fontId="24" fillId="0" borderId="0" pivotButton="0" quotePrefix="0" xfId="0"/>
    <xf numFmtId="0" fontId="60" fillId="0" borderId="42" applyAlignment="1" pivotButton="0" quotePrefix="0" xfId="0">
      <alignment horizontal="left"/>
    </xf>
    <xf numFmtId="9" fontId="26" fillId="0" borderId="46" applyAlignment="1" pivotButton="0" quotePrefix="0" xfId="0">
      <alignment horizontal="right"/>
    </xf>
    <xf numFmtId="0" fontId="18" fillId="0" borderId="42" applyAlignment="1" pivotButton="0" quotePrefix="0" xfId="0">
      <alignment horizontal="left" indent="1"/>
    </xf>
    <xf numFmtId="179" fontId="21" fillId="0" borderId="0" pivotButton="0" quotePrefix="0" xfId="0"/>
    <xf numFmtId="179" fontId="19" fillId="10" borderId="48" pivotButton="0" quotePrefix="0" xfId="0"/>
    <xf numFmtId="179" fontId="19" fillId="10" borderId="0" pivotButton="0" quotePrefix="0" xfId="0"/>
    <xf numFmtId="0" fontId="20" fillId="0" borderId="42" applyAlignment="1" pivotButton="0" quotePrefix="0" xfId="0">
      <alignment horizontal="left"/>
    </xf>
    <xf numFmtId="179" fontId="19" fillId="0" borderId="46" pivotButton="0" quotePrefix="0" xfId="0"/>
    <xf numFmtId="179" fontId="19" fillId="0" borderId="0" pivotButton="0" quotePrefix="0" xfId="0"/>
    <xf numFmtId="0" fontId="81" fillId="0" borderId="0" pivotButton="0" quotePrefix="0" xfId="0"/>
    <xf numFmtId="179" fontId="33" fillId="0" borderId="0" pivotButton="0" quotePrefix="0" xfId="0"/>
    <xf numFmtId="179" fontId="19" fillId="10" borderId="0" pivotButton="0" quotePrefix="0" xfId="31"/>
    <xf numFmtId="0" fontId="20" fillId="10" borderId="49" applyAlignment="1" pivotButton="0" quotePrefix="0" xfId="0">
      <alignment horizontal="left"/>
    </xf>
    <xf numFmtId="179" fontId="19" fillId="10" borderId="50" pivotButton="0" quotePrefix="0" xfId="0"/>
    <xf numFmtId="182" fontId="21" fillId="0" borderId="0" applyAlignment="1" pivotButton="0" quotePrefix="0" xfId="0">
      <alignment horizontal="right"/>
    </xf>
    <xf numFmtId="0" fontId="82" fillId="0" borderId="0" pivotButton="0" quotePrefix="0" xfId="28"/>
    <xf numFmtId="0" fontId="83" fillId="0" borderId="0" pivotButton="0" quotePrefix="0" xfId="28"/>
    <xf numFmtId="0" fontId="84" fillId="0" borderId="1" pivotButton="0" quotePrefix="0" xfId="28"/>
    <xf numFmtId="0" fontId="83" fillId="0" borderId="1" pivotButton="0" quotePrefix="0" xfId="28"/>
    <xf numFmtId="0" fontId="85" fillId="0" borderId="0" applyAlignment="1" pivotButton="0" quotePrefix="0" xfId="28">
      <alignment horizontal="left"/>
    </xf>
    <xf numFmtId="195" fontId="86" fillId="15" borderId="32" applyAlignment="1" pivotButton="0" quotePrefix="0" xfId="28">
      <alignment horizontal="center"/>
    </xf>
    <xf numFmtId="195" fontId="86" fillId="15" borderId="33" applyAlignment="1" pivotButton="0" quotePrefix="0" xfId="28">
      <alignment horizontal="center"/>
    </xf>
    <xf numFmtId="0" fontId="87" fillId="0" borderId="10" pivotButton="0" quotePrefix="0" xfId="28"/>
    <xf numFmtId="0" fontId="87" fillId="0" borderId="1" pivotButton="0" quotePrefix="0" xfId="28"/>
    <xf numFmtId="0" fontId="88" fillId="0" borderId="1" pivotButton="0" quotePrefix="0" xfId="28"/>
    <xf numFmtId="197" fontId="89" fillId="0" borderId="1" pivotButton="0" quotePrefix="0" xfId="28"/>
    <xf numFmtId="197" fontId="89" fillId="21" borderId="40" pivotButton="0" quotePrefix="0" xfId="28"/>
    <xf numFmtId="197" fontId="83" fillId="0" borderId="0" pivotButton="0" quotePrefix="0" xfId="28"/>
    <xf numFmtId="197" fontId="83" fillId="21" borderId="41" pivotButton="0" quotePrefix="0" xfId="28"/>
    <xf numFmtId="0" fontId="90" fillId="0" borderId="1" pivotButton="0" quotePrefix="0" xfId="28"/>
    <xf numFmtId="197" fontId="83" fillId="0" borderId="1" pivotButton="0" quotePrefix="0" xfId="28"/>
    <xf numFmtId="197" fontId="83" fillId="21" borderId="40" pivotButton="0" quotePrefix="0" xfId="28"/>
    <xf numFmtId="0" fontId="83" fillId="0" borderId="0" applyAlignment="1" pivotButton="0" quotePrefix="0" xfId="28">
      <alignment horizontal="left"/>
    </xf>
    <xf numFmtId="197" fontId="82" fillId="0" borderId="0" applyAlignment="1" pivotButton="0" quotePrefix="0" xfId="29">
      <alignment horizontal="right"/>
    </xf>
    <xf numFmtId="197" fontId="82" fillId="21" borderId="41" applyAlignment="1" pivotButton="0" quotePrefix="0" xfId="29">
      <alignment horizontal="right"/>
    </xf>
    <xf numFmtId="17" fontId="82" fillId="17" borderId="28" applyAlignment="1" pivotButton="0" quotePrefix="0" xfId="29">
      <alignment horizontal="left"/>
    </xf>
    <xf numFmtId="0" fontId="83" fillId="0" borderId="35" pivotButton="0" quotePrefix="0" xfId="28"/>
    <xf numFmtId="197" fontId="82" fillId="17" borderId="28" applyAlignment="1" pivotButton="0" quotePrefix="0" xfId="29">
      <alignment horizontal="right"/>
    </xf>
    <xf numFmtId="197" fontId="82" fillId="17" borderId="36" applyAlignment="1" pivotButton="0" quotePrefix="0" xfId="29">
      <alignment horizontal="right"/>
    </xf>
    <xf numFmtId="197" fontId="82" fillId="17" borderId="38" applyAlignment="1" pivotButton="0" quotePrefix="0" xfId="29">
      <alignment horizontal="right"/>
    </xf>
    <xf numFmtId="197" fontId="91" fillId="21" borderId="41" applyAlignment="1" pivotButton="0" quotePrefix="0" xfId="28">
      <alignment horizontal="right"/>
    </xf>
    <xf numFmtId="0" fontId="85" fillId="0" borderId="0" pivotButton="0" quotePrefix="0" xfId="28"/>
    <xf numFmtId="0" fontId="87" fillId="0" borderId="0" pivotButton="0" quotePrefix="0" xfId="28"/>
    <xf numFmtId="0" fontId="87" fillId="0" borderId="0" applyAlignment="1" pivotButton="0" quotePrefix="0" xfId="28">
      <alignment horizontal="left"/>
    </xf>
    <xf numFmtId="197" fontId="89" fillId="0" borderId="0" applyAlignment="1" pivotButton="0" quotePrefix="0" xfId="28">
      <alignment horizontal="right"/>
    </xf>
    <xf numFmtId="197" fontId="89" fillId="21" borderId="41" applyAlignment="1" pivotButton="0" quotePrefix="0" xfId="28">
      <alignment horizontal="right"/>
    </xf>
    <xf numFmtId="197" fontId="83" fillId="0" borderId="0" applyAlignment="1" pivotButton="0" quotePrefix="0" xfId="28">
      <alignment horizontal="right"/>
    </xf>
    <xf numFmtId="197" fontId="83" fillId="21" borderId="41" applyAlignment="1" pivotButton="0" quotePrefix="0" xfId="28">
      <alignment horizontal="right"/>
    </xf>
    <xf numFmtId="0" fontId="83" fillId="0" borderId="1" applyAlignment="1" pivotButton="0" quotePrefix="0" xfId="28">
      <alignment horizontal="left"/>
    </xf>
    <xf numFmtId="197" fontId="83" fillId="0" borderId="1" applyAlignment="1" pivotButton="0" quotePrefix="0" xfId="28">
      <alignment horizontal="right"/>
    </xf>
    <xf numFmtId="197" fontId="83" fillId="21" borderId="40" applyAlignment="1" pivotButton="0" quotePrefix="0" xfId="28">
      <alignment horizontal="right"/>
    </xf>
    <xf numFmtId="197" fontId="92" fillId="17" borderId="36" applyAlignment="1" pivotButton="0" quotePrefix="0" xfId="29">
      <alignment horizontal="right"/>
    </xf>
    <xf numFmtId="197" fontId="85" fillId="17" borderId="36" applyAlignment="1" pivotButton="0" quotePrefix="0" xfId="29">
      <alignment horizontal="right"/>
    </xf>
    <xf numFmtId="0" fontId="87" fillId="20" borderId="0" pivotButton="0" quotePrefix="0" xfId="28"/>
    <xf numFmtId="0" fontId="87" fillId="20" borderId="0" applyAlignment="1" pivotButton="0" quotePrefix="0" xfId="28">
      <alignment horizontal="left"/>
    </xf>
    <xf numFmtId="197" fontId="89" fillId="20" borderId="0" applyAlignment="1" pivotButton="0" quotePrefix="0" xfId="28">
      <alignment horizontal="right"/>
    </xf>
    <xf numFmtId="174" fontId="83" fillId="0" borderId="0" applyAlignment="1" pivotButton="0" quotePrefix="0" xfId="28">
      <alignment horizontal="right"/>
    </xf>
    <xf numFmtId="174" fontId="83" fillId="21" borderId="41" applyAlignment="1" pivotButton="0" quotePrefix="0" xfId="28">
      <alignment horizontal="right"/>
    </xf>
    <xf numFmtId="0" fontId="87" fillId="0" borderId="14" pivotButton="0" quotePrefix="0" xfId="28"/>
    <xf numFmtId="0" fontId="87" fillId="0" borderId="4" applyAlignment="1" pivotButton="0" quotePrefix="0" xfId="28">
      <alignment horizontal="left"/>
    </xf>
    <xf numFmtId="0" fontId="87" fillId="0" borderId="4" pivotButton="0" quotePrefix="0" xfId="28"/>
    <xf numFmtId="174" fontId="89" fillId="0" borderId="4" applyAlignment="1" pivotButton="0" quotePrefix="0" xfId="28">
      <alignment horizontal="right"/>
    </xf>
    <xf numFmtId="174" fontId="89" fillId="21" borderId="43" applyAlignment="1" pivotButton="0" quotePrefix="0" xfId="28">
      <alignment horizontal="right"/>
    </xf>
    <xf numFmtId="166" fontId="25" fillId="0" borderId="0" applyAlignment="1" pivotButton="0" quotePrefix="0" xfId="1">
      <alignment horizontal="center" vertical="center"/>
    </xf>
    <xf numFmtId="169" fontId="93" fillId="2" borderId="0" applyAlignment="1" pivotButton="0" quotePrefix="0" xfId="2">
      <alignment horizontal="center"/>
    </xf>
    <xf numFmtId="167" fontId="18" fillId="0" borderId="0" pivotButton="0" quotePrefix="0" xfId="0"/>
    <xf numFmtId="0" fontId="20" fillId="0" borderId="0" applyAlignment="1" pivotButton="0" quotePrefix="0" xfId="0">
      <alignment horizontal="center"/>
    </xf>
    <xf numFmtId="0" fontId="0" fillId="0" borderId="42" applyAlignment="1" pivotButton="0" quotePrefix="0" xfId="0">
      <alignment horizontal="left" indent="1"/>
    </xf>
    <xf numFmtId="165" fontId="19" fillId="0" borderId="0" applyAlignment="1" pivotButton="0" quotePrefix="0" xfId="0">
      <alignment horizontal="center"/>
    </xf>
    <xf numFmtId="180" fontId="25" fillId="0" borderId="0" applyAlignment="1" pivotButton="0" quotePrefix="0" xfId="0">
      <alignment horizontal="center"/>
    </xf>
    <xf numFmtId="166" fontId="18" fillId="0" borderId="0" applyAlignment="1" pivotButton="0" quotePrefix="0" xfId="1">
      <alignment horizontal="center" vertical="center"/>
    </xf>
    <xf numFmtId="166" fontId="25" fillId="0" borderId="0" applyAlignment="1" pivotButton="0" quotePrefix="0" xfId="0">
      <alignment horizontal="center"/>
    </xf>
    <xf numFmtId="186" fontId="19" fillId="0" borderId="0" applyAlignment="1" pivotButton="0" quotePrefix="0" xfId="0">
      <alignment horizontal="center"/>
    </xf>
    <xf numFmtId="166" fontId="25" fillId="0" borderId="0" applyAlignment="1" pivotButton="0" quotePrefix="0" xfId="2">
      <alignment horizontal="center"/>
    </xf>
    <xf numFmtId="169" fontId="93" fillId="0" borderId="0" applyAlignment="1" pivotButton="0" quotePrefix="0" xfId="2">
      <alignment horizontal="center"/>
    </xf>
    <xf numFmtId="169" fontId="33" fillId="0" borderId="0" applyAlignment="1" pivotButton="0" quotePrefix="0" xfId="0">
      <alignment horizontal="center"/>
    </xf>
    <xf numFmtId="174" fontId="48" fillId="0" borderId="0" pivotButton="0" quotePrefix="0" xfId="0"/>
    <xf numFmtId="200" fontId="0" fillId="0" borderId="0" pivotButton="0" quotePrefix="0" xfId="0"/>
    <xf numFmtId="42" fontId="0" fillId="0" borderId="0" pivotButton="0" quotePrefix="0" xfId="0"/>
    <xf numFmtId="201" fontId="18" fillId="0" borderId="10" pivotButton="0" quotePrefix="0" xfId="9"/>
    <xf numFmtId="202" fontId="18" fillId="0" borderId="10" pivotButton="0" quotePrefix="0" xfId="9"/>
    <xf numFmtId="202" fontId="18" fillId="0" borderId="14" pivotButton="0" quotePrefix="0" xfId="9"/>
    <xf numFmtId="0" fontId="94" fillId="0" borderId="0" pivotButton="0" quotePrefix="0" xfId="28"/>
    <xf numFmtId="0" fontId="70" fillId="0" borderId="0" pivotButton="0" quotePrefix="0" xfId="28"/>
    <xf numFmtId="0" fontId="70" fillId="0" borderId="25" pivotButton="0" quotePrefix="0" xfId="28"/>
    <xf numFmtId="0" fontId="95" fillId="0" borderId="1" pivotButton="0" quotePrefix="0" xfId="28"/>
    <xf numFmtId="0" fontId="70" fillId="0" borderId="1" pivotButton="0" quotePrefix="0" xfId="28"/>
    <xf numFmtId="0" fontId="70" fillId="0" borderId="51" pivotButton="0" quotePrefix="0" xfId="28"/>
    <xf numFmtId="0" fontId="96" fillId="0" borderId="0" applyAlignment="1" pivotButton="0" quotePrefix="0" xfId="28">
      <alignment horizontal="left"/>
    </xf>
    <xf numFmtId="14" fontId="97" fillId="2" borderId="0" applyAlignment="1" pivotButton="0" quotePrefix="0" xfId="11">
      <alignment horizontal="left"/>
    </xf>
    <xf numFmtId="0" fontId="70" fillId="0" borderId="46" pivotButton="0" quotePrefix="0" xfId="28"/>
    <xf numFmtId="0" fontId="98" fillId="0" borderId="0" applyAlignment="1" pivotButton="0" quotePrefix="0" xfId="0">
      <alignment horizontal="center"/>
    </xf>
    <xf numFmtId="195" fontId="99" fillId="15" borderId="37" applyAlignment="1" pivotButton="0" quotePrefix="0" xfId="28">
      <alignment horizontal="center"/>
    </xf>
    <xf numFmtId="195" fontId="99" fillId="15" borderId="32" applyAlignment="1" pivotButton="0" quotePrefix="0" xfId="28">
      <alignment horizontal="center"/>
    </xf>
    <xf numFmtId="195" fontId="99" fillId="15" borderId="33" applyAlignment="1" pivotButton="0" quotePrefix="0" xfId="28">
      <alignment horizontal="center"/>
    </xf>
    <xf numFmtId="174" fontId="100" fillId="0" borderId="0" applyAlignment="1" pivotButton="0" quotePrefix="0" xfId="28">
      <alignment horizontal="right"/>
    </xf>
    <xf numFmtId="0" fontId="101" fillId="0" borderId="10" pivotButton="0" quotePrefix="0" xfId="28"/>
    <xf numFmtId="0" fontId="101" fillId="0" borderId="1" pivotButton="0" quotePrefix="0" xfId="28"/>
    <xf numFmtId="0" fontId="102" fillId="0" borderId="1" pivotButton="0" quotePrefix="0" xfId="28"/>
    <xf numFmtId="197" fontId="103" fillId="0" borderId="52" pivotButton="0" quotePrefix="0" xfId="28"/>
    <xf numFmtId="197" fontId="103" fillId="0" borderId="34" pivotButton="0" quotePrefix="0" xfId="28"/>
    <xf numFmtId="0" fontId="104" fillId="0" borderId="1" pivotButton="0" quotePrefix="0" xfId="28"/>
    <xf numFmtId="0" fontId="101" fillId="0" borderId="0" pivotButton="0" quotePrefix="0" xfId="28"/>
    <xf numFmtId="0" fontId="70" fillId="0" borderId="0" applyAlignment="1" pivotButton="0" quotePrefix="0" xfId="28">
      <alignment horizontal="left" indent="1"/>
    </xf>
    <xf numFmtId="174" fontId="94" fillId="0" borderId="25" applyAlignment="1" pivotButton="0" quotePrefix="0" xfId="29">
      <alignment horizontal="right"/>
    </xf>
    <xf numFmtId="174" fontId="94" fillId="0" borderId="0" applyAlignment="1" pivotButton="0" quotePrefix="0" xfId="29">
      <alignment horizontal="right"/>
    </xf>
    <xf numFmtId="17" fontId="94" fillId="17" borderId="28" applyAlignment="1" pivotButton="0" quotePrefix="0" xfId="29">
      <alignment horizontal="left"/>
    </xf>
    <xf numFmtId="0" fontId="70" fillId="0" borderId="35" pivotButton="0" quotePrefix="0" xfId="28"/>
    <xf numFmtId="174" fontId="100" fillId="17" borderId="28" applyAlignment="1" pivotButton="0" quotePrefix="0" xfId="29">
      <alignment horizontal="right"/>
    </xf>
    <xf numFmtId="174" fontId="94" fillId="17" borderId="36" applyAlignment="1" pivotButton="0" quotePrefix="0" xfId="29">
      <alignment horizontal="right"/>
    </xf>
    <xf numFmtId="174" fontId="105" fillId="17" borderId="36" applyAlignment="1" pivotButton="0" quotePrefix="0" xfId="29">
      <alignment horizontal="right"/>
    </xf>
    <xf numFmtId="0" fontId="105" fillId="0" borderId="0" pivotButton="0" quotePrefix="0" xfId="28"/>
    <xf numFmtId="174" fontId="94" fillId="17" borderId="54" applyAlignment="1" pivotButton="0" quotePrefix="0" xfId="29">
      <alignment horizontal="right"/>
    </xf>
    <xf numFmtId="174" fontId="94" fillId="17" borderId="55" applyAlignment="1" pivotButton="0" quotePrefix="0" xfId="29">
      <alignment horizontal="right"/>
    </xf>
    <xf numFmtId="0" fontId="96" fillId="0" borderId="0" pivotButton="0" quotePrefix="0" xfId="28"/>
    <xf numFmtId="0" fontId="101" fillId="0" borderId="0" applyAlignment="1" pivotButton="0" quotePrefix="0" xfId="28">
      <alignment horizontal="left"/>
    </xf>
    <xf numFmtId="174" fontId="103" fillId="0" borderId="25" applyAlignment="1" pivotButton="0" quotePrefix="0" xfId="28">
      <alignment horizontal="right"/>
    </xf>
    <xf numFmtId="174" fontId="103" fillId="0" borderId="0" applyAlignment="1" pivotButton="0" quotePrefix="0" xfId="28">
      <alignment horizontal="right"/>
    </xf>
    <xf numFmtId="174" fontId="101" fillId="0" borderId="0" pivotButton="0" quotePrefix="0" xfId="28"/>
    <xf numFmtId="0" fontId="70" fillId="0" borderId="0" applyAlignment="1" pivotButton="0" quotePrefix="0" xfId="28">
      <alignment horizontal="left"/>
    </xf>
    <xf numFmtId="174" fontId="70" fillId="0" borderId="25" applyAlignment="1" pivotButton="0" quotePrefix="0" xfId="28">
      <alignment horizontal="right"/>
    </xf>
    <xf numFmtId="174" fontId="70" fillId="0" borderId="0" applyAlignment="1" pivotButton="0" quotePrefix="0" xfId="28">
      <alignment horizontal="right"/>
    </xf>
    <xf numFmtId="0" fontId="70" fillId="0" borderId="1" applyAlignment="1" pivotButton="0" quotePrefix="0" xfId="28">
      <alignment horizontal="left"/>
    </xf>
    <xf numFmtId="174" fontId="70" fillId="0" borderId="51" applyAlignment="1" pivotButton="0" quotePrefix="0" xfId="28">
      <alignment horizontal="right"/>
    </xf>
    <xf numFmtId="174" fontId="70" fillId="0" borderId="1" applyAlignment="1" pivotButton="0" quotePrefix="0" xfId="28">
      <alignment horizontal="right"/>
    </xf>
    <xf numFmtId="174" fontId="100" fillId="17" borderId="36" applyAlignment="1" pivotButton="0" quotePrefix="0" xfId="29">
      <alignment horizontal="right"/>
    </xf>
    <xf numFmtId="174" fontId="94" fillId="17" borderId="56" applyAlignment="1" pivotButton="0" quotePrefix="0" xfId="29">
      <alignment horizontal="right"/>
    </xf>
    <xf numFmtId="174" fontId="100" fillId="17" borderId="55" applyAlignment="1" pivotButton="0" quotePrefix="0" xfId="29">
      <alignment horizontal="right"/>
    </xf>
    <xf numFmtId="174" fontId="94" fillId="17" borderId="57" applyAlignment="1" pivotButton="0" quotePrefix="0" xfId="29">
      <alignment horizontal="right"/>
    </xf>
    <xf numFmtId="174" fontId="97" fillId="17" borderId="36" applyAlignment="1" pivotButton="0" quotePrefix="0" xfId="29">
      <alignment horizontal="right"/>
    </xf>
    <xf numFmtId="174" fontId="96" fillId="17" borderId="36" applyAlignment="1" pivotButton="0" quotePrefix="0" xfId="29">
      <alignment horizontal="right"/>
    </xf>
    <xf numFmtId="203" fontId="100" fillId="17" borderId="28" applyAlignment="1" pivotButton="0" quotePrefix="0" xfId="29">
      <alignment horizontal="right"/>
    </xf>
    <xf numFmtId="203" fontId="100" fillId="17" borderId="36" applyAlignment="1" pivotButton="0" quotePrefix="0" xfId="29">
      <alignment horizontal="right"/>
    </xf>
    <xf numFmtId="203" fontId="94" fillId="17" borderId="36" applyAlignment="1" pivotButton="0" quotePrefix="0" xfId="29">
      <alignment horizontal="right"/>
    </xf>
    <xf numFmtId="0" fontId="101" fillId="20" borderId="0" pivotButton="0" quotePrefix="0" xfId="28"/>
    <xf numFmtId="0" fontId="101" fillId="20" borderId="0" applyAlignment="1" pivotButton="0" quotePrefix="0" xfId="28">
      <alignment horizontal="left"/>
    </xf>
    <xf numFmtId="174" fontId="103" fillId="20" borderId="25" applyAlignment="1" pivotButton="0" quotePrefix="0" xfId="28">
      <alignment horizontal="right"/>
    </xf>
    <xf numFmtId="174" fontId="103" fillId="20" borderId="0" applyAlignment="1" pivotButton="0" quotePrefix="0" xfId="28">
      <alignment horizontal="right"/>
    </xf>
    <xf numFmtId="0" fontId="101" fillId="0" borderId="14" pivotButton="0" quotePrefix="0" xfId="28"/>
    <xf numFmtId="0" fontId="101" fillId="0" borderId="4" applyAlignment="1" pivotButton="0" quotePrefix="0" xfId="28">
      <alignment horizontal="left"/>
    </xf>
    <xf numFmtId="0" fontId="101" fillId="0" borderId="4" pivotButton="0" quotePrefix="0" xfId="28"/>
    <xf numFmtId="174" fontId="103" fillId="0" borderId="27" applyAlignment="1" pivotButton="0" quotePrefix="0" xfId="28">
      <alignment horizontal="right"/>
    </xf>
    <xf numFmtId="174" fontId="103" fillId="0" borderId="4" applyAlignment="1" pivotButton="0" quotePrefix="0" xfId="28">
      <alignment horizontal="right"/>
    </xf>
    <xf numFmtId="204" fontId="70" fillId="0" borderId="0" pivotButton="0" quotePrefix="0" xfId="28"/>
    <xf numFmtId="174" fontId="106" fillId="0" borderId="0" pivotButton="0" quotePrefix="0" xfId="28"/>
    <xf numFmtId="0" fontId="107" fillId="0" borderId="0" pivotButton="0" quotePrefix="0" xfId="28"/>
    <xf numFmtId="182" fontId="82" fillId="0" borderId="0" applyAlignment="1" pivotButton="0" quotePrefix="0" xfId="1">
      <alignment horizontal="left"/>
    </xf>
    <xf numFmtId="179" fontId="65" fillId="0" borderId="0" pivotButton="0" quotePrefix="0" xfId="0"/>
    <xf numFmtId="166" fontId="1" fillId="2" borderId="0" applyAlignment="1" pivotButton="0" quotePrefix="0" xfId="1">
      <alignment horizontal="center" vertical="center"/>
    </xf>
    <xf numFmtId="166" fontId="1" fillId="2" borderId="1" applyAlignment="1" pivotButton="0" quotePrefix="0" xfId="0">
      <alignment horizontal="center"/>
    </xf>
    <xf numFmtId="167" fontId="1" fillId="2" borderId="1" applyAlignment="1" pivotButton="0" quotePrefix="0" xfId="0">
      <alignment horizontal="center"/>
    </xf>
    <xf numFmtId="0" fontId="65" fillId="0" borderId="0" applyAlignment="1" pivotButton="0" quotePrefix="0" xfId="0">
      <alignment horizontal="center"/>
    </xf>
    <xf numFmtId="179" fontId="25" fillId="0" borderId="0" pivotButton="0" quotePrefix="1" xfId="0"/>
    <xf numFmtId="0" fontId="25" fillId="0" borderId="2" pivotButton="0" quotePrefix="1" xfId="0"/>
    <xf numFmtId="0" fontId="25" fillId="0" borderId="0" pivotButton="0" quotePrefix="1" xfId="0"/>
    <xf numFmtId="170" fontId="19" fillId="2" borderId="0" applyAlignment="1" pivotButton="0" quotePrefix="0" xfId="0">
      <alignment horizontal="center"/>
    </xf>
    <xf numFmtId="167" fontId="25" fillId="2" borderId="2" applyAlignment="1" pivotButton="0" quotePrefix="0" xfId="0">
      <alignment horizontal="center"/>
    </xf>
    <xf numFmtId="197" fontId="92" fillId="0" borderId="0" applyAlignment="1" pivotButton="0" quotePrefix="0" xfId="28">
      <alignment horizontal="right"/>
    </xf>
    <xf numFmtId="197" fontId="91" fillId="21" borderId="39" pivotButton="0" quotePrefix="0" xfId="28"/>
    <xf numFmtId="197" fontId="91" fillId="21" borderId="41" pivotButton="0" quotePrefix="0" xfId="28"/>
    <xf numFmtId="197" fontId="92" fillId="0" borderId="1" applyAlignment="1" pivotButton="0" quotePrefix="0" xfId="28">
      <alignment horizontal="right"/>
    </xf>
    <xf numFmtId="197" fontId="92" fillId="0" borderId="1" pivotButton="0" quotePrefix="0" xfId="28"/>
    <xf numFmtId="197" fontId="91" fillId="21" borderId="40" pivotButton="0" quotePrefix="0" xfId="28"/>
    <xf numFmtId="182" fontId="91" fillId="0" borderId="0" pivotButton="0" quotePrefix="0" xfId="28"/>
    <xf numFmtId="205" fontId="18" fillId="0" borderId="4" applyAlignment="1" pivotButton="0" quotePrefix="0" xfId="9">
      <alignment horizontal="right"/>
    </xf>
    <xf numFmtId="205" fontId="18" fillId="0" borderId="5" applyAlignment="1" pivotButton="0" quotePrefix="0" xfId="9">
      <alignment horizontal="right"/>
    </xf>
    <xf numFmtId="205" fontId="18" fillId="0" borderId="14" pivotButton="0" quotePrefix="0" xfId="9"/>
    <xf numFmtId="174" fontId="70" fillId="0" borderId="0" pivotButton="0" quotePrefix="0" xfId="28"/>
    <xf numFmtId="179" fontId="18" fillId="10" borderId="0" pivotButton="0" quotePrefix="0" xfId="2"/>
    <xf numFmtId="182" fontId="77" fillId="0" borderId="0" pivotButton="0" quotePrefix="0" xfId="0"/>
    <xf numFmtId="179" fontId="19" fillId="10" borderId="58" pivotButton="0" quotePrefix="0" xfId="0"/>
    <xf numFmtId="0" fontId="0" fillId="2" borderId="1" applyAlignment="1" pivotButton="0" quotePrefix="1" xfId="0">
      <alignment vertical="center"/>
    </xf>
    <xf numFmtId="182" fontId="83" fillId="0" borderId="0" applyAlignment="1" pivotButton="0" quotePrefix="0" xfId="28">
      <alignment horizontal="left"/>
    </xf>
    <xf numFmtId="174" fontId="83" fillId="0" borderId="0" applyAlignment="1" pivotButton="0" quotePrefix="0" xfId="28">
      <alignment horizontal="left"/>
    </xf>
    <xf numFmtId="174" fontId="94" fillId="17" borderId="28" applyAlignment="1" pivotButton="0" quotePrefix="0" xfId="29">
      <alignment horizontal="right"/>
    </xf>
    <xf numFmtId="174" fontId="94" fillId="17" borderId="59" applyAlignment="1" pivotButton="0" quotePrefix="0" xfId="29">
      <alignment horizontal="right"/>
    </xf>
    <xf numFmtId="174" fontId="100" fillId="17" borderId="56" applyAlignment="1" pivotButton="0" quotePrefix="0" xfId="29">
      <alignment horizontal="right"/>
    </xf>
    <xf numFmtId="206" fontId="70" fillId="0" borderId="0" pivotButton="0" quotePrefix="0" xfId="28"/>
    <xf numFmtId="0" fontId="70" fillId="0" borderId="2" pivotButton="0" quotePrefix="0" xfId="28"/>
    <xf numFmtId="0" fontId="25" fillId="0" borderId="60" pivotButton="0" quotePrefix="0" xfId="0"/>
    <xf numFmtId="0" fontId="19" fillId="2" borderId="61" pivotButton="0" quotePrefix="0" xfId="0"/>
    <xf numFmtId="182" fontId="83" fillId="0" borderId="0" pivotButton="0" quotePrefix="0" xfId="28"/>
    <xf numFmtId="3" fontId="83" fillId="0" borderId="0" pivotButton="0" quotePrefix="0" xfId="28"/>
    <xf numFmtId="43" fontId="83" fillId="0" borderId="0" pivotButton="0" quotePrefix="0" xfId="28"/>
    <xf numFmtId="0" fontId="108" fillId="0" borderId="0" pivotButton="0" quotePrefix="0" xfId="28"/>
    <xf numFmtId="182" fontId="87" fillId="22" borderId="0" pivotButton="0" quotePrefix="0" xfId="28"/>
    <xf numFmtId="0" fontId="19" fillId="0" borderId="0" applyAlignment="1" pivotButton="0" quotePrefix="0" xfId="0">
      <alignment wrapText="1"/>
    </xf>
    <xf numFmtId="14" fontId="7" fillId="0" borderId="0" applyAlignment="1" pivotButton="0" quotePrefix="0" xfId="0">
      <alignment horizontal="center" vertical="center"/>
    </xf>
    <xf numFmtId="0" fontId="0" fillId="0" borderId="0" pivotButton="0" quotePrefix="1" xfId="0"/>
    <xf numFmtId="0" fontId="0" fillId="0" borderId="0" applyAlignment="1" pivotButton="0" quotePrefix="0" xfId="0">
      <alignment horizontal="left" vertical="center"/>
    </xf>
    <xf numFmtId="0" fontId="0" fillId="0" borderId="0" applyAlignment="1" pivotButton="0" quotePrefix="1" xfId="0">
      <alignment horizontal="left" vertical="center"/>
    </xf>
    <xf numFmtId="170" fontId="21" fillId="0" borderId="0" pivotButton="0" quotePrefix="0" xfId="21"/>
    <xf numFmtId="174" fontId="94" fillId="17" borderId="53" applyAlignment="1" pivotButton="0" quotePrefix="0" xfId="29">
      <alignment horizontal="right"/>
    </xf>
    <xf numFmtId="0" fontId="24" fillId="0" borderId="0" applyAlignment="1" pivotButton="0" quotePrefix="0" xfId="0">
      <alignment horizontal="right"/>
    </xf>
    <xf numFmtId="169" fontId="21" fillId="2" borderId="0" applyAlignment="1" pivotButton="0" quotePrefix="0" xfId="0">
      <alignment horizontal="center"/>
    </xf>
    <xf numFmtId="169" fontId="77" fillId="2" borderId="0" applyAlignment="1" pivotButton="0" quotePrefix="0" xfId="2">
      <alignment horizontal="center"/>
    </xf>
    <xf numFmtId="0" fontId="45" fillId="4" borderId="0" applyAlignment="1" pivotButton="0" quotePrefix="0" xfId="0">
      <alignment horizontal="center"/>
    </xf>
    <xf numFmtId="0" fontId="44" fillId="4" borderId="0" applyAlignment="1" pivotButton="0" quotePrefix="0" xfId="0">
      <alignment horizontal="center"/>
    </xf>
    <xf numFmtId="0" fontId="43" fillId="4" borderId="0" pivotButton="0" quotePrefix="0" xfId="0"/>
    <xf numFmtId="0" fontId="18" fillId="0" borderId="3" applyAlignment="1" pivotButton="0" quotePrefix="0" xfId="9">
      <alignment horizontal="justify" vertical="top" wrapText="1"/>
    </xf>
    <xf numFmtId="0" fontId="18" fillId="0" borderId="2" applyAlignment="1" pivotButton="0" quotePrefix="0" xfId="9">
      <alignment horizontal="justify" vertical="top"/>
    </xf>
    <xf numFmtId="0" fontId="18" fillId="0" borderId="11" applyAlignment="1" pivotButton="0" quotePrefix="0" xfId="9">
      <alignment horizontal="justify" vertical="top"/>
    </xf>
    <xf numFmtId="0" fontId="18" fillId="0" borderId="8" applyAlignment="1" pivotButton="0" quotePrefix="0" xfId="9">
      <alignment horizontal="justify" vertical="top"/>
    </xf>
    <xf numFmtId="0" fontId="18" fillId="0" borderId="0" applyAlignment="1" pivotButton="0" quotePrefix="0" xfId="9">
      <alignment horizontal="justify" vertical="top"/>
    </xf>
    <xf numFmtId="0" fontId="18" fillId="0" borderId="7" applyAlignment="1" pivotButton="0" quotePrefix="0" xfId="9">
      <alignment horizontal="justify" vertical="top"/>
    </xf>
    <xf numFmtId="0" fontId="18" fillId="0" borderId="10" applyAlignment="1" pivotButton="0" quotePrefix="0" xfId="9">
      <alignment horizontal="justify" vertical="top"/>
    </xf>
    <xf numFmtId="0" fontId="18" fillId="0" borderId="1" applyAlignment="1" pivotButton="0" quotePrefix="0" xfId="9">
      <alignment horizontal="justify" vertical="top"/>
    </xf>
    <xf numFmtId="0" fontId="18" fillId="0" borderId="9" applyAlignment="1" pivotButton="0" quotePrefix="0" xfId="9">
      <alignment horizontal="justify" vertical="top"/>
    </xf>
    <xf numFmtId="0" fontId="20" fillId="0" borderId="29" applyAlignment="1" pivotButton="0" quotePrefix="0" xfId="9">
      <alignment horizontal="left"/>
    </xf>
    <xf numFmtId="0" fontId="20" fillId="0" borderId="0" applyAlignment="1" pivotButton="0" quotePrefix="0" xfId="9">
      <alignment horizontal="left"/>
    </xf>
    <xf numFmtId="0" fontId="20" fillId="0" borderId="30" applyAlignment="1" pivotButton="0" quotePrefix="0" xfId="9">
      <alignment horizontal="left"/>
    </xf>
    <xf numFmtId="0" fontId="18" fillId="0" borderId="2" applyAlignment="1" pivotButton="0" quotePrefix="0" xfId="9">
      <alignment horizontal="justify" vertical="top" wrapText="1"/>
    </xf>
    <xf numFmtId="0" fontId="18" fillId="0" borderId="11" applyAlignment="1" pivotButton="0" quotePrefix="0" xfId="9">
      <alignment horizontal="justify" vertical="top" wrapText="1"/>
    </xf>
    <xf numFmtId="0" fontId="18" fillId="0" borderId="8" applyAlignment="1" pivotButton="0" quotePrefix="0" xfId="9">
      <alignment horizontal="justify" vertical="top" wrapText="1"/>
    </xf>
    <xf numFmtId="0" fontId="18" fillId="0" borderId="0" applyAlignment="1" pivotButton="0" quotePrefix="0" xfId="9">
      <alignment horizontal="justify" vertical="top" wrapText="1"/>
    </xf>
    <xf numFmtId="0" fontId="18" fillId="0" borderId="7" applyAlignment="1" pivotButton="0" quotePrefix="0" xfId="9">
      <alignment horizontal="justify" vertical="top" wrapText="1"/>
    </xf>
    <xf numFmtId="0" fontId="18" fillId="0" borderId="10" applyAlignment="1" pivotButton="0" quotePrefix="0" xfId="9">
      <alignment horizontal="justify" vertical="top" wrapText="1"/>
    </xf>
    <xf numFmtId="0" fontId="18" fillId="0" borderId="1" applyAlignment="1" pivotButton="0" quotePrefix="0" xfId="9">
      <alignment horizontal="justify" vertical="top" wrapText="1"/>
    </xf>
    <xf numFmtId="0" fontId="18" fillId="0" borderId="9" applyAlignment="1" pivotButton="0" quotePrefix="0" xfId="9">
      <alignment horizontal="justify" vertical="top" wrapText="1"/>
    </xf>
    <xf numFmtId="207" fontId="1" fillId="0" borderId="0" applyAlignment="1" pivotButton="0" quotePrefix="0" xfId="9">
      <alignment horizontal="right"/>
    </xf>
    <xf numFmtId="0" fontId="18" fillId="0" borderId="0" applyAlignment="1" pivotButton="0" quotePrefix="1" xfId="9">
      <alignment horizontal="left" wrapText="1"/>
    </xf>
    <xf numFmtId="164" fontId="21" fillId="0" borderId="0" applyAlignment="1" pivotButton="0" quotePrefix="0" xfId="8">
      <alignment horizontal="centerContinuous"/>
    </xf>
    <xf numFmtId="179" fontId="25" fillId="0" borderId="0" pivotButton="0" quotePrefix="0" xfId="0"/>
    <xf numFmtId="170" fontId="33" fillId="0" borderId="0" pivotButton="0" quotePrefix="0" xfId="0"/>
    <xf numFmtId="180" fontId="33" fillId="2" borderId="0" applyAlignment="1" pivotButton="0" quotePrefix="0" xfId="0">
      <alignment horizontal="right"/>
    </xf>
    <xf numFmtId="179" fontId="25" fillId="0" borderId="0" pivotButton="0" quotePrefix="1" xfId="0"/>
    <xf numFmtId="170" fontId="33" fillId="2" borderId="0" applyAlignment="1" pivotButton="0" quotePrefix="0" xfId="0">
      <alignment horizontal="right"/>
    </xf>
    <xf numFmtId="169" fontId="33" fillId="2" borderId="0" applyAlignment="1" pivotButton="0" quotePrefix="0" xfId="0">
      <alignment horizontal="right"/>
    </xf>
    <xf numFmtId="179" fontId="19" fillId="2" borderId="4" pivotButton="0" quotePrefix="0" xfId="0"/>
    <xf numFmtId="179" fontId="0" fillId="0" borderId="0" pivotButton="0" quotePrefix="0" xfId="0"/>
    <xf numFmtId="165" fontId="19" fillId="2" borderId="1" applyAlignment="1" pivotButton="0" quotePrefix="0" xfId="0">
      <alignment horizontal="center"/>
    </xf>
    <xf numFmtId="165" fontId="19" fillId="0" borderId="0" applyAlignment="1" pivotButton="0" quotePrefix="0" xfId="0">
      <alignment horizontal="center"/>
    </xf>
    <xf numFmtId="180" fontId="25" fillId="2" borderId="0" applyAlignment="1" pivotButton="0" quotePrefix="0" xfId="0">
      <alignment horizontal="center"/>
    </xf>
    <xf numFmtId="180" fontId="25" fillId="0" borderId="0" applyAlignment="1" pivotButton="0" quotePrefix="0" xfId="0">
      <alignment horizontal="center"/>
    </xf>
    <xf numFmtId="166" fontId="25" fillId="0" borderId="0" applyAlignment="1" pivotButton="0" quotePrefix="0" xfId="1">
      <alignment horizontal="center" vertical="center"/>
    </xf>
    <xf numFmtId="167" fontId="25" fillId="2" borderId="0" applyAlignment="1" pivotButton="0" quotePrefix="0" xfId="0">
      <alignment horizontal="center"/>
    </xf>
    <xf numFmtId="189" fontId="0" fillId="2" borderId="0" pivotButton="0" quotePrefix="0" xfId="0"/>
    <xf numFmtId="166" fontId="18" fillId="2" borderId="0" applyAlignment="1" pivotButton="0" quotePrefix="0" xfId="1">
      <alignment horizontal="center" vertical="center"/>
    </xf>
    <xf numFmtId="166" fontId="18" fillId="0" borderId="0" applyAlignment="1" pivotButton="0" quotePrefix="0" xfId="1">
      <alignment horizontal="center" vertical="center"/>
    </xf>
    <xf numFmtId="166" fontId="1" fillId="2" borderId="0" applyAlignment="1" pivotButton="0" quotePrefix="0" xfId="1">
      <alignment horizontal="center" vertical="center"/>
    </xf>
    <xf numFmtId="166" fontId="25" fillId="2" borderId="0" applyAlignment="1" pivotButton="0" quotePrefix="0" xfId="1">
      <alignment horizontal="center" vertical="center"/>
    </xf>
    <xf numFmtId="166" fontId="25" fillId="2" borderId="1" applyAlignment="1" pivotButton="0" quotePrefix="0" xfId="0">
      <alignment horizontal="center"/>
    </xf>
    <xf numFmtId="166" fontId="25" fillId="0" borderId="0" applyAlignment="1" pivotButton="0" quotePrefix="0" xfId="0">
      <alignment horizontal="center"/>
    </xf>
    <xf numFmtId="166" fontId="1" fillId="2" borderId="1" applyAlignment="1" pivotButton="0" quotePrefix="0" xfId="0">
      <alignment horizontal="center"/>
    </xf>
    <xf numFmtId="167" fontId="1" fillId="2" borderId="1" applyAlignment="1" pivotButton="0" quotePrefix="0" xfId="0">
      <alignment horizontal="center"/>
    </xf>
    <xf numFmtId="167" fontId="25" fillId="2" borderId="2" applyAlignment="1" pivotButton="0" quotePrefix="0" xfId="0">
      <alignment horizontal="center"/>
    </xf>
    <xf numFmtId="199" fontId="0" fillId="2" borderId="0" pivotButton="0" quotePrefix="0" xfId="0"/>
    <xf numFmtId="167" fontId="25" fillId="0" borderId="0" applyAlignment="1" pivotButton="0" quotePrefix="0" xfId="0">
      <alignment horizontal="center"/>
    </xf>
    <xf numFmtId="184" fontId="0" fillId="0" borderId="0" pivotButton="0" quotePrefix="0" xfId="0"/>
    <xf numFmtId="186" fontId="19" fillId="2" borderId="0" applyAlignment="1" pivotButton="0" quotePrefix="0" xfId="0">
      <alignment horizontal="center"/>
    </xf>
    <xf numFmtId="186" fontId="19" fillId="0" borderId="0" applyAlignment="1" pivotButton="0" quotePrefix="0" xfId="0">
      <alignment horizontal="center"/>
    </xf>
    <xf numFmtId="167" fontId="25" fillId="2" borderId="0" applyAlignment="1" pivotButton="0" quotePrefix="0" xfId="2">
      <alignment horizontal="center"/>
    </xf>
    <xf numFmtId="167" fontId="25" fillId="0" borderId="0" applyAlignment="1" pivotButton="0" quotePrefix="0" xfId="2">
      <alignment horizontal="center"/>
    </xf>
    <xf numFmtId="166" fontId="25" fillId="2" borderId="0" applyAlignment="1" pivotButton="0" quotePrefix="0" xfId="2">
      <alignment horizontal="center"/>
    </xf>
    <xf numFmtId="166" fontId="25" fillId="0" borderId="0" applyAlignment="1" pivotButton="0" quotePrefix="0" xfId="2">
      <alignment horizontal="center"/>
    </xf>
    <xf numFmtId="166" fontId="21" fillId="2" borderId="0" applyAlignment="1" pivotButton="0" quotePrefix="0" xfId="2">
      <alignment horizontal="center"/>
    </xf>
    <xf numFmtId="167" fontId="25" fillId="5" borderId="0" applyAlignment="1" pivotButton="0" quotePrefix="0" xfId="2">
      <alignment horizontal="center"/>
    </xf>
    <xf numFmtId="167" fontId="25" fillId="5" borderId="0" applyAlignment="1" pivotButton="0" quotePrefix="0" xfId="0">
      <alignment horizontal="center"/>
    </xf>
    <xf numFmtId="184" fontId="0" fillId="2" borderId="0" pivotButton="0" quotePrefix="0" xfId="0"/>
    <xf numFmtId="168" fontId="25" fillId="2" borderId="0" applyAlignment="1" pivotButton="0" quotePrefix="0" xfId="2">
      <alignment horizontal="center"/>
    </xf>
    <xf numFmtId="168" fontId="25" fillId="0" borderId="0" applyAlignment="1" pivotButton="0" quotePrefix="0" xfId="2">
      <alignment horizontal="center"/>
    </xf>
    <xf numFmtId="190" fontId="25" fillId="2" borderId="0" applyAlignment="1" pivotButton="0" quotePrefix="0" xfId="0">
      <alignment horizontal="center"/>
    </xf>
    <xf numFmtId="169" fontId="93" fillId="2" borderId="0" applyAlignment="1" pivotButton="0" quotePrefix="0" xfId="2">
      <alignment horizontal="center"/>
    </xf>
    <xf numFmtId="169" fontId="93" fillId="0" borderId="0" applyAlignment="1" pivotButton="0" quotePrefix="0" xfId="2">
      <alignment horizontal="center"/>
    </xf>
    <xf numFmtId="169" fontId="77" fillId="2" borderId="0" applyAlignment="1" pivotButton="0" quotePrefix="0" xfId="2">
      <alignment horizontal="center"/>
    </xf>
    <xf numFmtId="169" fontId="33" fillId="2" borderId="0" applyAlignment="1" pivotButton="0" quotePrefix="0" xfId="0">
      <alignment horizontal="center"/>
    </xf>
    <xf numFmtId="169" fontId="33" fillId="0" borderId="0" applyAlignment="1" pivotButton="0" quotePrefix="0" xfId="0">
      <alignment horizontal="center"/>
    </xf>
    <xf numFmtId="169" fontId="21" fillId="2" borderId="0" applyAlignment="1" pivotButton="0" quotePrefix="0" xfId="0">
      <alignment horizontal="center"/>
    </xf>
    <xf numFmtId="169" fontId="25" fillId="2" borderId="0" applyAlignment="1" pivotButton="0" quotePrefix="0" xfId="0">
      <alignment horizontal="center"/>
    </xf>
    <xf numFmtId="169" fontId="25" fillId="0" borderId="0" applyAlignment="1" pivotButton="0" quotePrefix="0" xfId="0">
      <alignment horizontal="center"/>
    </xf>
    <xf numFmtId="170" fontId="25" fillId="2" borderId="0" applyAlignment="1" pivotButton="0" quotePrefix="0" xfId="0">
      <alignment horizontal="center"/>
    </xf>
    <xf numFmtId="170" fontId="25" fillId="0" borderId="0" applyAlignment="1" pivotButton="0" quotePrefix="0" xfId="0">
      <alignment horizontal="center"/>
    </xf>
    <xf numFmtId="170" fontId="19" fillId="2" borderId="6" applyAlignment="1" pivotButton="0" quotePrefix="0" xfId="0">
      <alignment horizontal="center"/>
    </xf>
    <xf numFmtId="170" fontId="19" fillId="0" borderId="0" applyAlignment="1" pivotButton="0" quotePrefix="0" xfId="0">
      <alignment horizontal="center"/>
    </xf>
    <xf numFmtId="170" fontId="0" fillId="0" borderId="0" pivotButton="0" quotePrefix="0" xfId="0"/>
    <xf numFmtId="171" fontId="26" fillId="2" borderId="0" applyAlignment="1" pivotButton="0" quotePrefix="0" xfId="0">
      <alignment horizontal="center"/>
    </xf>
    <xf numFmtId="171" fontId="26" fillId="0" borderId="0" applyAlignment="1" pivotButton="0" quotePrefix="0" xfId="0">
      <alignment horizontal="center"/>
    </xf>
    <xf numFmtId="170" fontId="19" fillId="2" borderId="0" applyAlignment="1" pivotButton="0" quotePrefix="0" xfId="0">
      <alignment horizontal="center"/>
    </xf>
    <xf numFmtId="170" fontId="62" fillId="2" borderId="0" pivotButton="0" quotePrefix="0" xfId="0"/>
    <xf numFmtId="195" fontId="86" fillId="15" borderId="33" applyAlignment="1" pivotButton="0" quotePrefix="0" xfId="28">
      <alignment horizontal="center"/>
    </xf>
    <xf numFmtId="195" fontId="86" fillId="15" borderId="32" applyAlignment="1" pivotButton="0" quotePrefix="0" xfId="28">
      <alignment horizontal="center"/>
    </xf>
    <xf numFmtId="197" fontId="92" fillId="0" borderId="0" applyAlignment="1" pivotButton="0" quotePrefix="0" xfId="28">
      <alignment horizontal="right"/>
    </xf>
    <xf numFmtId="197" fontId="91" fillId="21" borderId="39" pivotButton="0" quotePrefix="0" xfId="28"/>
    <xf numFmtId="197" fontId="91" fillId="21" borderId="41" pivotButton="0" quotePrefix="0" xfId="28"/>
    <xf numFmtId="197" fontId="92" fillId="0" borderId="1" applyAlignment="1" pivotButton="0" quotePrefix="0" xfId="28">
      <alignment horizontal="right"/>
    </xf>
    <xf numFmtId="197" fontId="92" fillId="0" borderId="1" pivotButton="0" quotePrefix="0" xfId="28"/>
    <xf numFmtId="197" fontId="91" fillId="21" borderId="40" pivotButton="0" quotePrefix="0" xfId="28"/>
    <xf numFmtId="197" fontId="89" fillId="0" borderId="1" pivotButton="0" quotePrefix="0" xfId="28"/>
    <xf numFmtId="197" fontId="89" fillId="21" borderId="40" pivotButton="0" quotePrefix="0" xfId="28"/>
    <xf numFmtId="197" fontId="83" fillId="0" borderId="0" pivotButton="0" quotePrefix="0" xfId="28"/>
    <xf numFmtId="197" fontId="83" fillId="21" borderId="41" pivotButton="0" quotePrefix="0" xfId="28"/>
    <xf numFmtId="197" fontId="83" fillId="0" borderId="1" pivotButton="0" quotePrefix="0" xfId="28"/>
    <xf numFmtId="197" fontId="83" fillId="21" borderId="40" pivotButton="0" quotePrefix="0" xfId="28"/>
    <xf numFmtId="197" fontId="82" fillId="0" borderId="0" applyAlignment="1" pivotButton="0" quotePrefix="0" xfId="29">
      <alignment horizontal="right"/>
    </xf>
    <xf numFmtId="197" fontId="82" fillId="21" borderId="41" applyAlignment="1" pivotButton="0" quotePrefix="0" xfId="29">
      <alignment horizontal="right"/>
    </xf>
    <xf numFmtId="197" fontId="82" fillId="17" borderId="28" applyAlignment="1" pivotButton="0" quotePrefix="0" xfId="29">
      <alignment horizontal="right"/>
    </xf>
    <xf numFmtId="197" fontId="82" fillId="17" borderId="36" applyAlignment="1" pivotButton="0" quotePrefix="0" xfId="29">
      <alignment horizontal="right"/>
    </xf>
    <xf numFmtId="197" fontId="91" fillId="21" borderId="41" applyAlignment="1" pivotButton="0" quotePrefix="0" xfId="28">
      <alignment horizontal="right"/>
    </xf>
    <xf numFmtId="197" fontId="89" fillId="0" borderId="0" applyAlignment="1" pivotButton="0" quotePrefix="0" xfId="28">
      <alignment horizontal="right"/>
    </xf>
    <xf numFmtId="197" fontId="89" fillId="21" borderId="41" applyAlignment="1" pivotButton="0" quotePrefix="0" xfId="28">
      <alignment horizontal="right"/>
    </xf>
    <xf numFmtId="197" fontId="83" fillId="0" borderId="0" applyAlignment="1" pivotButton="0" quotePrefix="0" xfId="28">
      <alignment horizontal="right"/>
    </xf>
    <xf numFmtId="197" fontId="83" fillId="21" borderId="41" applyAlignment="1" pivotButton="0" quotePrefix="0" xfId="28">
      <alignment horizontal="right"/>
    </xf>
    <xf numFmtId="197" fontId="83" fillId="0" borderId="1" applyAlignment="1" pivotButton="0" quotePrefix="0" xfId="28">
      <alignment horizontal="right"/>
    </xf>
    <xf numFmtId="197" fontId="83" fillId="21" borderId="40" applyAlignment="1" pivotButton="0" quotePrefix="0" xfId="28">
      <alignment horizontal="right"/>
    </xf>
    <xf numFmtId="197" fontId="92" fillId="17" borderId="36" applyAlignment="1" pivotButton="0" quotePrefix="0" xfId="29">
      <alignment horizontal="right"/>
    </xf>
    <xf numFmtId="197" fontId="82" fillId="17" borderId="38" applyAlignment="1" pivotButton="0" quotePrefix="0" xfId="29">
      <alignment horizontal="right"/>
    </xf>
    <xf numFmtId="197" fontId="85" fillId="17" borderId="36" applyAlignment="1" pivotButton="0" quotePrefix="0" xfId="29">
      <alignment horizontal="right"/>
    </xf>
    <xf numFmtId="197" fontId="89" fillId="20" borderId="0" applyAlignment="1" pivotButton="0" quotePrefix="0" xfId="28">
      <alignment horizontal="right"/>
    </xf>
    <xf numFmtId="174" fontId="83" fillId="0" borderId="0" applyAlignment="1" pivotButton="0" quotePrefix="0" xfId="28">
      <alignment horizontal="right"/>
    </xf>
    <xf numFmtId="174" fontId="83" fillId="21" borderId="41" applyAlignment="1" pivotButton="0" quotePrefix="0" xfId="28">
      <alignment horizontal="right"/>
    </xf>
    <xf numFmtId="174" fontId="89" fillId="0" borderId="4" applyAlignment="1" pivotButton="0" quotePrefix="0" xfId="28">
      <alignment horizontal="right"/>
    </xf>
    <xf numFmtId="174" fontId="89" fillId="21" borderId="43" applyAlignment="1" pivotButton="0" quotePrefix="0" xfId="28">
      <alignment horizontal="right"/>
    </xf>
    <xf numFmtId="174" fontId="83" fillId="0" borderId="0" applyAlignment="1" pivotButton="0" quotePrefix="0" xfId="28">
      <alignment horizontal="left"/>
    </xf>
    <xf numFmtId="182" fontId="82" fillId="0" borderId="0" applyAlignment="1" pivotButton="0" quotePrefix="0" xfId="1">
      <alignment horizontal="left"/>
    </xf>
    <xf numFmtId="182" fontId="83" fillId="0" borderId="0" applyAlignment="1" pivotButton="0" quotePrefix="0" xfId="28">
      <alignment horizontal="left"/>
    </xf>
    <xf numFmtId="182" fontId="91" fillId="0" borderId="0" pivotButton="0" quotePrefix="0" xfId="28"/>
    <xf numFmtId="182" fontId="87" fillId="22" borderId="0" pivotButton="0" quotePrefix="0" xfId="28"/>
    <xf numFmtId="182" fontId="83" fillId="0" borderId="0" pivotButton="0" quotePrefix="0" xfId="28"/>
    <xf numFmtId="172" fontId="17" fillId="2" borderId="0" pivotButton="0" quotePrefix="0" xfId="0"/>
    <xf numFmtId="168" fontId="18" fillId="0" borderId="0" applyAlignment="1" pivotButton="0" quotePrefix="0" xfId="0">
      <alignment horizontal="center" vertical="center"/>
    </xf>
    <xf numFmtId="168" fontId="7" fillId="4" borderId="0" applyAlignment="1" pivotButton="0" quotePrefix="0" xfId="0">
      <alignment horizontal="centerContinuous" vertical="center"/>
    </xf>
    <xf numFmtId="168" fontId="25" fillId="8" borderId="0" applyAlignment="1" pivotButton="0" quotePrefix="0" xfId="0">
      <alignment horizontal="center" vertical="center"/>
    </xf>
    <xf numFmtId="168" fontId="25" fillId="4" borderId="0" applyAlignment="1" pivotButton="0" quotePrefix="0" xfId="0">
      <alignment horizontal="center" vertical="center"/>
    </xf>
    <xf numFmtId="168" fontId="25" fillId="0" borderId="0" applyAlignment="1" pivotButton="0" quotePrefix="0" xfId="0">
      <alignment horizontal="center"/>
    </xf>
    <xf numFmtId="168" fontId="25" fillId="4" borderId="0" pivotButton="0" quotePrefix="0" xfId="0"/>
    <xf numFmtId="171" fontId="0" fillId="0" borderId="0" pivotButton="0" quotePrefix="0" xfId="0"/>
    <xf numFmtId="180" fontId="0" fillId="0" borderId="0" pivotButton="0" quotePrefix="0" xfId="0"/>
    <xf numFmtId="168" fontId="18" fillId="7" borderId="0" applyAlignment="1" pivotButton="0" quotePrefix="0" xfId="0">
      <alignment horizontal="left" vertical="center" wrapText="1"/>
    </xf>
    <xf numFmtId="168" fontId="18" fillId="4" borderId="0" applyAlignment="1" pivotButton="0" quotePrefix="0" xfId="0">
      <alignment horizontal="left" vertical="center" wrapText="1"/>
    </xf>
    <xf numFmtId="196" fontId="18" fillId="4" borderId="0" applyAlignment="1" pivotButton="0" quotePrefix="0" xfId="0">
      <alignment horizontal="left" vertical="center" wrapText="1"/>
    </xf>
    <xf numFmtId="168" fontId="18" fillId="4" borderId="0" applyAlignment="1" pivotButton="0" quotePrefix="0" xfId="0">
      <alignment horizontal="left" vertical="center"/>
    </xf>
    <xf numFmtId="168" fontId="18" fillId="4" borderId="0" applyAlignment="1" pivotButton="0" quotePrefix="0" xfId="0">
      <alignment horizontal="left" vertical="top" wrapText="1"/>
    </xf>
    <xf numFmtId="207" fontId="1" fillId="0" borderId="0" applyAlignment="1" pivotButton="0" quotePrefix="0" xfId="9">
      <alignment horizontal="right"/>
    </xf>
    <xf numFmtId="0" fontId="18" fillId="0" borderId="62" applyAlignment="1" pivotButton="0" quotePrefix="0" xfId="9">
      <alignment horizontal="justify" vertical="top" wrapText="1"/>
    </xf>
    <xf numFmtId="0" fontId="0" fillId="0" borderId="2" pivotButton="0" quotePrefix="0" xfId="0"/>
    <xf numFmtId="0" fontId="0" fillId="0" borderId="64" pivotButton="0" quotePrefix="0" xfId="0"/>
    <xf numFmtId="0" fontId="0" fillId="0" borderId="63" pivotButton="0" quotePrefix="0" xfId="0"/>
    <xf numFmtId="0" fontId="0" fillId="0" borderId="65" pivotButton="0" quotePrefix="0" xfId="0"/>
    <xf numFmtId="178" fontId="18" fillId="0" borderId="7" applyAlignment="1" pivotButton="0" quotePrefix="0" xfId="3">
      <alignment horizontal="right"/>
    </xf>
    <xf numFmtId="187" fontId="18" fillId="0" borderId="0" applyAlignment="1" pivotButton="0" quotePrefix="0" xfId="9">
      <alignment horizontal="left"/>
    </xf>
    <xf numFmtId="188" fontId="18" fillId="0" borderId="7" applyAlignment="1" pivotButton="0" quotePrefix="0" xfId="9">
      <alignment horizontal="right"/>
    </xf>
    <xf numFmtId="174" fontId="18" fillId="0" borderId="7" applyAlignment="1" pivotButton="0" quotePrefix="0" xfId="2">
      <alignment horizontal="right"/>
    </xf>
    <xf numFmtId="168" fontId="18" fillId="0" borderId="30" applyAlignment="1" pivotButton="0" quotePrefix="0" xfId="9">
      <alignment horizontal="right"/>
    </xf>
    <xf numFmtId="198" fontId="18" fillId="0" borderId="30" applyAlignment="1" pivotButton="0" quotePrefix="0" xfId="3">
      <alignment horizontal="right"/>
    </xf>
    <xf numFmtId="0" fontId="20" fillId="0" borderId="68" applyAlignment="1" pivotButton="0" quotePrefix="0" xfId="9">
      <alignment horizontal="left"/>
    </xf>
    <xf numFmtId="0" fontId="0" fillId="0" borderId="30" pivotButton="0" quotePrefix="0" xfId="0"/>
    <xf numFmtId="193" fontId="18" fillId="0" borderId="29" applyAlignment="1" pivotButton="0" quotePrefix="0" xfId="9">
      <alignment horizontal="center"/>
    </xf>
    <xf numFmtId="174" fontId="18" fillId="0" borderId="0" applyAlignment="1" pivotButton="0" quotePrefix="0" xfId="2">
      <alignment horizontal="right" indent="1"/>
    </xf>
    <xf numFmtId="174" fontId="18" fillId="0" borderId="30" applyAlignment="1" pivotButton="0" quotePrefix="0" xfId="2">
      <alignment horizontal="right" indent="1"/>
    </xf>
    <xf numFmtId="0" fontId="0" fillId="0" borderId="66" pivotButton="0" quotePrefix="0" xfId="0"/>
    <xf numFmtId="0" fontId="0" fillId="0" borderId="67" pivotButton="0" quotePrefix="0" xfId="0"/>
    <xf numFmtId="201" fontId="18" fillId="0" borderId="10" pivotButton="0" quotePrefix="0" xfId="9"/>
    <xf numFmtId="205" fontId="18" fillId="0" borderId="14" pivotButton="0" quotePrefix="0" xfId="9"/>
    <xf numFmtId="205" fontId="18" fillId="0" borderId="4" applyAlignment="1" pivotButton="0" quotePrefix="0" xfId="9">
      <alignment horizontal="right"/>
    </xf>
    <xf numFmtId="205" fontId="18" fillId="0" borderId="5" applyAlignment="1" pivotButton="0" quotePrefix="0" xfId="9">
      <alignment horizontal="right"/>
    </xf>
    <xf numFmtId="202" fontId="18" fillId="0" borderId="10" pivotButton="0" quotePrefix="0" xfId="9"/>
    <xf numFmtId="202" fontId="18" fillId="0" borderId="14" pivotButton="0" quotePrefix="0" xfId="9"/>
    <xf numFmtId="179" fontId="25" fillId="0" borderId="46" pivotButton="0" quotePrefix="0" xfId="0"/>
    <xf numFmtId="179" fontId="21" fillId="0" borderId="0" pivotButton="0" quotePrefix="0" xfId="0"/>
    <xf numFmtId="179" fontId="24" fillId="0" borderId="0" pivotButton="0" quotePrefix="0" xfId="0"/>
    <xf numFmtId="179" fontId="65" fillId="0" borderId="0" pivotButton="0" quotePrefix="0" xfId="0"/>
    <xf numFmtId="200" fontId="0" fillId="0" borderId="0" pivotButton="0" quotePrefix="0" xfId="0"/>
    <xf numFmtId="182" fontId="21" fillId="0" borderId="0" applyAlignment="1" pivotButton="0" quotePrefix="0" xfId="0">
      <alignment horizontal="right"/>
    </xf>
    <xf numFmtId="179" fontId="19" fillId="10" borderId="48" pivotButton="0" quotePrefix="0" xfId="0"/>
    <xf numFmtId="179" fontId="19" fillId="10" borderId="0" pivotButton="0" quotePrefix="0" xfId="0"/>
    <xf numFmtId="179" fontId="19" fillId="10" borderId="58" pivotButton="0" quotePrefix="0" xfId="0"/>
    <xf numFmtId="179" fontId="19" fillId="0" borderId="46" pivotButton="0" quotePrefix="0" xfId="0"/>
    <xf numFmtId="179" fontId="19" fillId="0" borderId="0" pivotButton="0" quotePrefix="0" xfId="0"/>
    <xf numFmtId="179" fontId="33" fillId="0" borderId="0" pivotButton="0" quotePrefix="0" xfId="0"/>
    <xf numFmtId="179" fontId="19" fillId="10" borderId="0" pivotButton="0" quotePrefix="0" xfId="31"/>
    <xf numFmtId="179" fontId="19" fillId="10" borderId="50" pivotButton="0" quotePrefix="0" xfId="0"/>
    <xf numFmtId="195" fontId="99" fillId="15" borderId="37" applyAlignment="1" pivotButton="0" quotePrefix="0" xfId="28">
      <alignment horizontal="center"/>
    </xf>
    <xf numFmtId="195" fontId="99" fillId="15" borderId="32" applyAlignment="1" pivotButton="0" quotePrefix="0" xfId="28">
      <alignment horizontal="center"/>
    </xf>
    <xf numFmtId="195" fontId="99" fillId="15" borderId="33" applyAlignment="1" pivotButton="0" quotePrefix="0" xfId="28">
      <alignment horizontal="center"/>
    </xf>
    <xf numFmtId="174" fontId="100" fillId="0" borderId="0" applyAlignment="1" pivotButton="0" quotePrefix="0" xfId="28">
      <alignment horizontal="right"/>
    </xf>
    <xf numFmtId="197" fontId="103" fillId="0" borderId="52" pivotButton="0" quotePrefix="0" xfId="28"/>
    <xf numFmtId="197" fontId="103" fillId="0" borderId="34" pivotButton="0" quotePrefix="0" xfId="28"/>
    <xf numFmtId="174" fontId="94" fillId="0" borderId="25" applyAlignment="1" pivotButton="0" quotePrefix="0" xfId="29">
      <alignment horizontal="right"/>
    </xf>
    <xf numFmtId="174" fontId="94" fillId="0" borderId="0" applyAlignment="1" pivotButton="0" quotePrefix="0" xfId="29">
      <alignment horizontal="right"/>
    </xf>
    <xf numFmtId="174" fontId="94" fillId="17" borderId="53" applyAlignment="1" pivotButton="0" quotePrefix="0" xfId="29">
      <alignment horizontal="right"/>
    </xf>
    <xf numFmtId="174" fontId="94" fillId="17" borderId="28" applyAlignment="1" pivotButton="0" quotePrefix="0" xfId="29">
      <alignment horizontal="right"/>
    </xf>
    <xf numFmtId="174" fontId="100" fillId="17" borderId="28" applyAlignment="1" pivotButton="0" quotePrefix="0" xfId="29">
      <alignment horizontal="right"/>
    </xf>
    <xf numFmtId="174" fontId="94" fillId="17" borderId="36" applyAlignment="1" pivotButton="0" quotePrefix="0" xfId="29">
      <alignment horizontal="right"/>
    </xf>
    <xf numFmtId="174" fontId="100" fillId="17" borderId="56" applyAlignment="1" pivotButton="0" quotePrefix="0" xfId="29">
      <alignment horizontal="right"/>
    </xf>
    <xf numFmtId="174" fontId="94" fillId="17" borderId="54" applyAlignment="1" pivotButton="0" quotePrefix="0" xfId="29">
      <alignment horizontal="right"/>
    </xf>
    <xf numFmtId="174" fontId="94" fillId="17" borderId="55" applyAlignment="1" pivotButton="0" quotePrefix="0" xfId="29">
      <alignment horizontal="right"/>
    </xf>
    <xf numFmtId="174" fontId="103" fillId="0" borderId="25" applyAlignment="1" pivotButton="0" quotePrefix="0" xfId="28">
      <alignment horizontal="right"/>
    </xf>
    <xf numFmtId="174" fontId="103" fillId="0" borderId="0" applyAlignment="1" pivotButton="0" quotePrefix="0" xfId="28">
      <alignment horizontal="right"/>
    </xf>
    <xf numFmtId="174" fontId="101" fillId="0" borderId="0" pivotButton="0" quotePrefix="0" xfId="28"/>
    <xf numFmtId="174" fontId="70" fillId="0" borderId="25" applyAlignment="1" pivotButton="0" quotePrefix="0" xfId="28">
      <alignment horizontal="right"/>
    </xf>
    <xf numFmtId="174" fontId="70" fillId="0" borderId="0" applyAlignment="1" pivotButton="0" quotePrefix="0" xfId="28">
      <alignment horizontal="right"/>
    </xf>
    <xf numFmtId="174" fontId="70" fillId="0" borderId="51" applyAlignment="1" pivotButton="0" quotePrefix="0" xfId="28">
      <alignment horizontal="right"/>
    </xf>
    <xf numFmtId="174" fontId="70" fillId="0" borderId="1" applyAlignment="1" pivotButton="0" quotePrefix="0" xfId="28">
      <alignment horizontal="right"/>
    </xf>
    <xf numFmtId="174" fontId="100" fillId="17" borderId="36" applyAlignment="1" pivotButton="0" quotePrefix="0" xfId="29">
      <alignment horizontal="right"/>
    </xf>
    <xf numFmtId="174" fontId="105" fillId="17" borderId="36" applyAlignment="1" pivotButton="0" quotePrefix="0" xfId="29">
      <alignment horizontal="right"/>
    </xf>
    <xf numFmtId="174" fontId="94" fillId="17" borderId="56" applyAlignment="1" pivotButton="0" quotePrefix="0" xfId="29">
      <alignment horizontal="right"/>
    </xf>
    <xf numFmtId="174" fontId="100" fillId="17" borderId="55" applyAlignment="1" pivotButton="0" quotePrefix="0" xfId="29">
      <alignment horizontal="right"/>
    </xf>
    <xf numFmtId="174" fontId="94" fillId="17" borderId="57" applyAlignment="1" pivotButton="0" quotePrefix="0" xfId="29">
      <alignment horizontal="right"/>
    </xf>
    <xf numFmtId="174" fontId="94" fillId="17" borderId="59" applyAlignment="1" pivotButton="0" quotePrefix="0" xfId="29">
      <alignment horizontal="right"/>
    </xf>
    <xf numFmtId="174" fontId="97" fillId="17" borderId="36" applyAlignment="1" pivotButton="0" quotePrefix="0" xfId="29">
      <alignment horizontal="right"/>
    </xf>
    <xf numFmtId="174" fontId="96" fillId="17" borderId="36" applyAlignment="1" pivotButton="0" quotePrefix="0" xfId="29">
      <alignment horizontal="right"/>
    </xf>
    <xf numFmtId="203" fontId="100" fillId="17" borderId="28" applyAlignment="1" pivotButton="0" quotePrefix="0" xfId="29">
      <alignment horizontal="right"/>
    </xf>
    <xf numFmtId="203" fontId="100" fillId="17" borderId="36" applyAlignment="1" pivotButton="0" quotePrefix="0" xfId="29">
      <alignment horizontal="right"/>
    </xf>
    <xf numFmtId="203" fontId="94" fillId="17" borderId="36" applyAlignment="1" pivotButton="0" quotePrefix="0" xfId="29">
      <alignment horizontal="right"/>
    </xf>
    <xf numFmtId="174" fontId="103" fillId="20" borderId="25" applyAlignment="1" pivotButton="0" quotePrefix="0" xfId="28">
      <alignment horizontal="right"/>
    </xf>
    <xf numFmtId="174" fontId="103" fillId="20" borderId="0" applyAlignment="1" pivotButton="0" quotePrefix="0" xfId="28">
      <alignment horizontal="right"/>
    </xf>
    <xf numFmtId="174" fontId="103" fillId="0" borderId="27" applyAlignment="1" pivotButton="0" quotePrefix="0" xfId="28">
      <alignment horizontal="right"/>
    </xf>
    <xf numFmtId="174" fontId="103" fillId="0" borderId="4" applyAlignment="1" pivotButton="0" quotePrefix="0" xfId="28">
      <alignment horizontal="right"/>
    </xf>
    <xf numFmtId="204" fontId="70" fillId="0" borderId="0" pivotButton="0" quotePrefix="0" xfId="28"/>
    <xf numFmtId="174" fontId="106" fillId="0" borderId="0" pivotButton="0" quotePrefix="0" xfId="28"/>
    <xf numFmtId="206" fontId="70" fillId="0" borderId="0" pivotButton="0" quotePrefix="0" xfId="28"/>
    <xf numFmtId="174" fontId="70" fillId="0" borderId="0" pivotButton="0" quotePrefix="0" xfId="28"/>
    <xf numFmtId="174" fontId="41" fillId="14" borderId="23" pivotButton="0" quotePrefix="0" xfId="20"/>
    <xf numFmtId="179" fontId="41" fillId="0" borderId="0" pivotButton="0" quotePrefix="0" xfId="20"/>
    <xf numFmtId="182" fontId="1" fillId="0" borderId="0" pivotButton="0" quotePrefix="0" xfId="0"/>
    <xf numFmtId="181" fontId="28" fillId="5" borderId="0" applyAlignment="1" pivotButton="0" quotePrefix="0" xfId="20">
      <alignment horizontal="center" vertical="center"/>
    </xf>
    <xf numFmtId="170" fontId="21" fillId="0" borderId="0" pivotButton="0" quotePrefix="0" xfId="21"/>
    <xf numFmtId="182" fontId="21" fillId="0" borderId="0" pivotButton="0" quotePrefix="0" xfId="21"/>
    <xf numFmtId="182" fontId="1" fillId="0" borderId="0" pivotButton="0" quotePrefix="0" xfId="21"/>
    <xf numFmtId="182" fontId="25" fillId="0" borderId="0" pivotButton="0" quotePrefix="0" xfId="21"/>
    <xf numFmtId="178" fontId="25" fillId="0" borderId="0" pivotButton="0" quotePrefix="0" xfId="17"/>
    <xf numFmtId="182" fontId="65" fillId="0" borderId="0" pivotButton="0" quotePrefix="0" xfId="21"/>
    <xf numFmtId="170" fontId="1" fillId="0" borderId="0" pivotButton="0" quotePrefix="0" xfId="0"/>
    <xf numFmtId="182" fontId="19" fillId="0" borderId="2" pivotButton="0" quotePrefix="0" xfId="21"/>
    <xf numFmtId="178" fontId="19" fillId="0" borderId="2" pivotButton="0" quotePrefix="0" xfId="17"/>
    <xf numFmtId="166" fontId="66" fillId="0" borderId="25" applyAlignment="1" pivotButton="0" quotePrefix="0" xfId="0">
      <alignment horizontal="center"/>
    </xf>
    <xf numFmtId="166" fontId="40" fillId="0" borderId="25" applyAlignment="1" pivotButton="0" quotePrefix="0" xfId="0">
      <alignment horizontal="center"/>
    </xf>
    <xf numFmtId="174" fontId="19" fillId="0" borderId="0" pivotButton="0" quotePrefix="0" xfId="0"/>
    <xf numFmtId="174" fontId="19" fillId="0" borderId="25" pivotButton="0" quotePrefix="0" xfId="0"/>
    <xf numFmtId="174" fontId="19" fillId="0" borderId="0" applyAlignment="1" pivotButton="0" quotePrefix="0" xfId="0">
      <alignment horizontal="center"/>
    </xf>
    <xf numFmtId="182" fontId="25" fillId="0" borderId="25" pivotButton="0" quotePrefix="0" xfId="21"/>
    <xf numFmtId="182" fontId="25" fillId="0" borderId="0" applyAlignment="1" pivotButton="0" quotePrefix="0" xfId="21">
      <alignment horizontal="center"/>
    </xf>
    <xf numFmtId="182" fontId="19" fillId="0" borderId="26" pivotButton="0" quotePrefix="0" xfId="21"/>
    <xf numFmtId="182" fontId="19" fillId="0" borderId="0" applyAlignment="1" pivotButton="0" quotePrefix="0" xfId="21">
      <alignment horizontal="center"/>
    </xf>
    <xf numFmtId="183" fontId="19" fillId="0" borderId="0" pivotButton="0" quotePrefix="0" xfId="0"/>
    <xf numFmtId="183" fontId="19" fillId="0" borderId="25" pivotButton="0" quotePrefix="0" xfId="0"/>
    <xf numFmtId="183" fontId="19" fillId="0" borderId="0" applyAlignment="1" pivotButton="0" quotePrefix="0" xfId="0">
      <alignment horizontal="center"/>
    </xf>
    <xf numFmtId="166" fontId="40" fillId="0" borderId="0" applyAlignment="1" pivotButton="0" quotePrefix="0" xfId="0">
      <alignment horizontal="centerContinuous"/>
    </xf>
    <xf numFmtId="166" fontId="40" fillId="0" borderId="25" applyAlignment="1" pivotButton="0" quotePrefix="0" xfId="0">
      <alignment horizontal="centerContinuous"/>
    </xf>
    <xf numFmtId="166" fontId="8" fillId="16" borderId="19" applyAlignment="1" pivotButton="0" quotePrefix="0" xfId="0">
      <alignment horizontal="center"/>
    </xf>
    <xf numFmtId="166" fontId="40" fillId="0" borderId="0" applyAlignment="1" pivotButton="0" quotePrefix="0" xfId="0">
      <alignment horizontal="center"/>
    </xf>
    <xf numFmtId="166" fontId="40" fillId="16" borderId="20" applyAlignment="1" pivotButton="0" quotePrefix="0" xfId="0">
      <alignment horizontal="center"/>
    </xf>
    <xf numFmtId="174" fontId="25" fillId="0" borderId="0" pivotButton="0" quotePrefix="0" xfId="0"/>
    <xf numFmtId="174" fontId="25" fillId="0" borderId="25" pivotButton="0" quotePrefix="0" xfId="0"/>
    <xf numFmtId="174" fontId="19" fillId="16" borderId="20" pivotButton="0" quotePrefix="0" xfId="0"/>
    <xf numFmtId="174" fontId="19" fillId="0" borderId="4" pivotButton="0" quotePrefix="0" xfId="0"/>
    <xf numFmtId="174" fontId="19" fillId="0" borderId="27" pivotButton="0" quotePrefix="0" xfId="0"/>
    <xf numFmtId="174" fontId="19" fillId="16" borderId="17" pivotButton="0" quotePrefix="0" xfId="0"/>
    <xf numFmtId="183" fontId="0" fillId="0" borderId="0" pivotButton="0" quotePrefix="0" xfId="0"/>
    <xf numFmtId="174" fontId="48" fillId="0" borderId="0" pivotButton="0" quotePrefix="0" xfId="0"/>
    <xf numFmtId="185" fontId="36" fillId="0" borderId="0" applyAlignment="1" pivotButton="0" quotePrefix="0" xfId="15">
      <alignment horizontal="center"/>
    </xf>
    <xf numFmtId="174" fontId="25" fillId="12" borderId="0" pivotButton="0" quotePrefix="0" xfId="9"/>
    <xf numFmtId="173" fontId="18" fillId="0" borderId="0" pivotButton="0" quotePrefix="0" xfId="9"/>
    <xf numFmtId="174" fontId="19" fillId="0" borderId="2" pivotButton="0" quotePrefix="0" xfId="9"/>
    <xf numFmtId="174" fontId="25" fillId="0" borderId="5" pivotButton="0" quotePrefix="0" xfId="9"/>
    <xf numFmtId="175" fontId="18" fillId="0" borderId="0" pivotButton="0" quotePrefix="0" xfId="9"/>
    <xf numFmtId="174" fontId="18" fillId="0" borderId="0" pivotButton="0" quotePrefix="0" xfId="9"/>
    <xf numFmtId="174" fontId="25" fillId="0" borderId="11" pivotButton="0" quotePrefix="0" xfId="9"/>
    <xf numFmtId="176" fontId="18" fillId="0" borderId="0" pivotButton="0" quotePrefix="0" xfId="9"/>
    <xf numFmtId="174" fontId="25" fillId="0" borderId="9" pivotButton="0" quotePrefix="0" xfId="9"/>
    <xf numFmtId="174" fontId="19" fillId="0" borderId="9" pivotButton="0" quotePrefix="0" xfId="9"/>
    <xf numFmtId="168" fontId="25" fillId="0" borderId="11" pivotButton="0" quotePrefix="0" xfId="9"/>
    <xf numFmtId="177" fontId="18" fillId="0" borderId="0" pivotButton="0" quotePrefix="0" xfId="9"/>
    <xf numFmtId="168" fontId="25" fillId="0" borderId="9" pivotButton="0" quotePrefix="0" xfId="9"/>
    <xf numFmtId="168" fontId="19" fillId="0" borderId="9" pivotButton="0" quotePrefix="0" xfId="9"/>
    <xf numFmtId="177" fontId="20" fillId="0" borderId="0" pivotButton="0" quotePrefix="0" xfId="9"/>
    <xf numFmtId="173" fontId="20" fillId="0" borderId="0" pivotButton="0" quotePrefix="0" xfId="9"/>
    <xf numFmtId="173" fontId="38" fillId="0" borderId="0" pivotButton="0" quotePrefix="0" xfId="9"/>
    <xf numFmtId="173" fontId="38" fillId="0" borderId="0" pivotButton="0" quotePrefix="0" xfId="16"/>
    <xf numFmtId="178" fontId="19" fillId="0" borderId="5" applyAlignment="1" pivotButton="0" quotePrefix="0" xfId="17">
      <alignment horizontal="right"/>
    </xf>
    <xf numFmtId="173" fontId="20" fillId="0" borderId="0" pivotButton="0" quotePrefix="0" xfId="17"/>
    <xf numFmtId="178" fontId="18" fillId="0" borderId="0" pivotButton="0" quotePrefix="0" xfId="9"/>
    <xf numFmtId="195" fontId="0" fillId="10" borderId="12" applyAlignment="1" pivotButton="0" quotePrefix="0" xfId="0">
      <alignment horizontal="center"/>
    </xf>
    <xf numFmtId="191" fontId="21" fillId="0" borderId="0" applyAlignment="1" pivotButton="0" quotePrefix="0" xfId="0">
      <alignment horizontal="center"/>
    </xf>
    <xf numFmtId="167" fontId="21" fillId="0" borderId="0" pivotButton="0" quotePrefix="0" xfId="0"/>
    <xf numFmtId="167" fontId="68" fillId="10" borderId="0" applyAlignment="1" pivotButton="0" quotePrefix="0" xfId="0">
      <alignment horizontal="right"/>
    </xf>
    <xf numFmtId="167" fontId="28" fillId="10" borderId="0" applyAlignment="1" pivotButton="0" quotePrefix="0" xfId="0">
      <alignment horizontal="right"/>
    </xf>
    <xf numFmtId="167" fontId="20" fillId="10" borderId="0" applyAlignment="1" pivotButton="0" quotePrefix="0" xfId="0">
      <alignment horizontal="right"/>
    </xf>
    <xf numFmtId="167" fontId="18" fillId="0" borderId="0" pivotButton="0" quotePrefix="0" xfId="0"/>
    <xf numFmtId="179" fontId="28" fillId="0" borderId="0" pivotButton="0" quotePrefix="0" xfId="0"/>
    <xf numFmtId="169" fontId="0" fillId="0" borderId="0" pivotButton="0" quotePrefix="0" xfId="0"/>
    <xf numFmtId="167" fontId="19" fillId="0" borderId="0" applyAlignment="1" pivotButton="0" quotePrefix="0" xfId="0">
      <alignment horizontal="right"/>
    </xf>
    <xf numFmtId="167" fontId="20" fillId="0" borderId="0" applyAlignment="1" pivotButton="0" quotePrefix="0" xfId="0">
      <alignment horizontal="right"/>
    </xf>
    <xf numFmtId="167" fontId="25" fillId="0" borderId="0" applyAlignment="1" pivotButton="0" quotePrefix="0" xfId="0">
      <alignment horizontal="left"/>
    </xf>
    <xf numFmtId="167" fontId="0" fillId="0" borderId="0" pivotButton="0" quotePrefix="0" xfId="0"/>
    <xf numFmtId="197" fontId="8" fillId="0" borderId="2" pivotButton="0" quotePrefix="0" xfId="0"/>
    <xf numFmtId="182" fontId="77" fillId="0" borderId="0" pivotButton="0" quotePrefix="0" xfId="0"/>
    <xf numFmtId="197" fontId="24" fillId="0" borderId="0" pivotButton="0" quotePrefix="0" xfId="0"/>
    <xf numFmtId="179" fontId="28" fillId="10" borderId="0" pivotButton="0" quotePrefix="0" xfId="2"/>
    <xf numFmtId="179" fontId="20" fillId="10" borderId="0" pivotButton="0" quotePrefix="0" xfId="2"/>
    <xf numFmtId="179" fontId="28" fillId="0" borderId="0" pivotButton="0" quotePrefix="0" xfId="2"/>
    <xf numFmtId="197" fontId="0" fillId="0" borderId="0" pivotButton="0" quotePrefix="0" xfId="0"/>
    <xf numFmtId="179" fontId="18" fillId="10" borderId="0" pivotButton="0" quotePrefix="0" xfId="2"/>
    <xf numFmtId="17" fontId="19" fillId="10" borderId="0" applyAlignment="1" pivotButton="0" quotePrefix="0" xfId="0">
      <alignment horizontal="center"/>
    </xf>
    <xf numFmtId="0" fontId="0" fillId="23" borderId="0" pivotButton="0" quotePrefix="0" xfId="0"/>
    <xf numFmtId="0" fontId="112" fillId="24" borderId="0" applyAlignment="1" pivotButton="0" quotePrefix="0" xfId="0">
      <alignment wrapText="1"/>
    </xf>
  </cellXfs>
  <cellStyles count="34">
    <cellStyle name="Normal" xfId="0" builtinId="0"/>
    <cellStyle name="Comma" xfId="1" builtinId="3"/>
    <cellStyle name="Currency" xfId="2" builtinId="4"/>
    <cellStyle name="Percent" xfId="3" builtinId="5"/>
    <cellStyle name="Currency 2" xfId="4"/>
    <cellStyle name="Normal 26" xfId="5"/>
    <cellStyle name="Normal 2" xfId="6"/>
    <cellStyle name="Percent 3" xfId="7"/>
    <cellStyle name="Normal_Valuation Cover Page" xfId="8"/>
    <cellStyle name="Normal 2 4" xfId="9"/>
    <cellStyle name="Normal 70" xfId="10"/>
    <cellStyle name="Normal 72" xfId="11"/>
    <cellStyle name="Normal 2 17" xfId="12"/>
    <cellStyle name="Percent 2 2" xfId="13"/>
    <cellStyle name="Normal 73" xfId="14"/>
    <cellStyle name="Normal_ICE Valuation Q206 - 8.27.06" xfId="15"/>
    <cellStyle name="Comma 2" xfId="16"/>
    <cellStyle name="Percent 2" xfId="17"/>
    <cellStyle name="Normal 70 2" xfId="18"/>
    <cellStyle name="Normal 72 2" xfId="19"/>
    <cellStyle name="Currency 7" xfId="20"/>
    <cellStyle name="Comma 2 2" xfId="21"/>
    <cellStyle name="Currency 3" xfId="22"/>
    <cellStyle name="Comma 3" xfId="23"/>
    <cellStyle name="Hyperlink" xfId="24" builtinId="8"/>
    <cellStyle name="Normal 2 19 2" xfId="25"/>
    <cellStyle name="Normal 5" xfId="26"/>
    <cellStyle name="Normal 24" xfId="27"/>
    <cellStyle name="Normal 6 2 2" xfId="28"/>
    <cellStyle name="Note 2" xfId="29"/>
    <cellStyle name="Normal 2 4 2" xfId="30"/>
    <cellStyle name="Currency 5" xfId="31"/>
    <cellStyle name="Currency 5 2" xfId="32"/>
    <cellStyle name="Currency 4" xfId="33"/>
  </cellStyles>
  <dxfs count="30">
    <dxf>
      <font>
        <color rgb="FF9C0006"/>
      </font>
      <fill>
        <patternFill>
          <bgColor rgb="FFFFC7CE"/>
        </patternFill>
      </fill>
    </dxf>
    <dxf>
      <font>
        <color rgb="FF9C0006"/>
      </font>
      <fill>
        <patternFill>
          <bgColor rgb="FFFFC7CE"/>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ont>
        <b val="1"/>
        <color theme="9" tint="-0.249946592608417"/>
      </font>
    </dxf>
    <dxf>
      <font>
        <b val="1"/>
        <color rgb="FFC00000"/>
      </font>
    </dxf>
    <dxf>
      <font>
        <b val="1"/>
        <color theme="9" tint="-0.249946592608417"/>
      </font>
    </dxf>
    <dxf>
      <font>
        <b val="1"/>
        <color rgb="FFC00000"/>
      </font>
    </dxf>
    <dxf>
      <font>
        <b val="1"/>
        <color theme="9" tint="-0.249946592608417"/>
      </font>
    </dxf>
    <dxf>
      <font>
        <b val="1"/>
        <color rgb="FFC00000"/>
      </font>
    </dxf>
    <dxf>
      <font>
        <b val="1"/>
        <color theme="9" tint="-0.249946592608417"/>
      </font>
    </dxf>
    <dxf>
      <font>
        <b val="1"/>
        <color rgb="FFC00000"/>
      </font>
    </dxf>
    <dxf>
      <font>
        <b val="1"/>
        <color theme="9" tint="-0.249946592608417"/>
      </font>
    </dxf>
    <dxf>
      <font>
        <b val="1"/>
        <color rgb="FFC00000"/>
      </font>
    </dxf>
    <dxf>
      <font>
        <b val="1"/>
        <color theme="9" tint="-0.249946592608417"/>
      </font>
    </dxf>
    <dxf>
      <font>
        <b val="1"/>
        <color rgb="FFC00000"/>
      </font>
    </dxf>
    <dxf>
      <font>
        <b val="1"/>
        <color theme="9" tint="-0.249946592608417"/>
      </font>
    </dxf>
    <dxf>
      <font>
        <b val="1"/>
        <color rgb="FFC00000"/>
      </font>
    </dxf>
    <dxf>
      <font>
        <b val="1"/>
        <color theme="9" tint="-0.249946592608417"/>
      </font>
    </dxf>
    <dxf>
      <font>
        <b val="1"/>
        <color rgb="FFC00000"/>
      </font>
    </dxf>
    <dxf>
      <font>
        <b val="1"/>
        <color theme="9" tint="-0.249946592608417"/>
      </font>
    </dxf>
    <dxf>
      <font>
        <b val="1"/>
        <color rgb="FFC00000"/>
      </font>
    </dxf>
    <dxf>
      <font>
        <b val="1"/>
        <color theme="9" tint="-0.249946592608417"/>
      </font>
    </dxf>
    <dxf>
      <font>
        <b val="1"/>
        <color rgb="FFC00000"/>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comments/comment1.xml><?xml version="1.0" encoding="utf-8"?>
<comments xmlns="http://schemas.openxmlformats.org/spreadsheetml/2006/main">
  <authors>
    <author>M365 Copilot</author>
  </authors>
  <commentList>
    <comment ref="F9" authorId="0" shapeId="0">
      <text>
        <t>Carried forward from Q1; no refreshed Q2 comparable-company data supplied.</t>
      </text>
    </comment>
  </commentList>
</comments>
</file>

<file path=xl/comments/comment2.xml><?xml version="1.0" encoding="utf-8"?>
<comments xmlns="http://schemas.openxmlformats.org/spreadsheetml/2006/main">
  <authors>
    <author>Kevin Fu</author>
  </authors>
  <commentList>
    <comment ref="V30" authorId="0" shapeId="0">
      <text>
        <t>Kevin Fu:
https://www.sec.gov/Archives/edgar/data/1091883/000114036123034666/ny20009611x2_defm14a.htm</t>
      </text>
    </comment>
  </commentList>
</comments>
</file>

<file path=xl/comments/comment3.xml><?xml version="1.0" encoding="utf-8"?>
<comments xmlns="http://schemas.openxmlformats.org/spreadsheetml/2006/main">
  <authors>
    <author>tc={1EFF80A3-705D-4885-B46F-72D8D2620016}</author>
    <author>tc={41BDB83B-D7C1-436D-82BC-E427DC2F5931}</author>
  </authors>
  <commentList>
    <comment ref="B35" authorId="0" shapeId="0">
      <text>
        <t>[Threaded comment]
Your version of Excel allows you to read this threaded comment; however, any edits to it will get removed if the file is opened in a newer version of Excel. Learn more: https://go.microsoft.com/fwlink/?linkid=870924
Comment:
    Adjustments for RP Adams pre-close
"P:\Rouge Investments\Opus Water\6 - Diligence\2 - Aquisition (RP Adams) - 2025.02.20\2) Due diligence\5) Financial assessment\RP Adams LTM Figures 2.24.25.xlsx"</t>
      </text>
    </comment>
    <comment ref="F35" authorId="1" shapeId="0">
      <text>
        <t>[Threaded comment]
Your version of Excel allows you to read this threaded comment; however, any edits to it will get removed if the file is opened in a newer version of Excel. Learn more: https://go.microsoft.com/fwlink/?linkid=870924
Comment:
    Adjustments for RP Adams pre-close
"P:\Rouge Investments\Opus Water\6 - Diligence\2 - Aquisition (RP Adams) - 2025.02.20\2) Due diligence\5) Financial assessment\RP Adams LTM Figures 2.24.25.xlsx"</t>
      </text>
    </comment>
  </commentList>
</comments>
</file>

<file path=xl/comments/comment4.xml><?xml version="1.0" encoding="utf-8"?>
<comments xmlns="http://schemas.openxmlformats.org/spreadsheetml/2006/main">
  <authors>
    <author>Tom Howell</author>
  </authors>
  <commentList>
    <comment ref="D10" authorId="0" shapeId="0">
      <text>
        <t xml:space="preserve">Tom Howell:
$12,500,000 initial investment at @ $1.00
$3,787,879.18 at @ $1.78 for Year Acquisition </t>
      </text>
    </comment>
    <comment ref="D11" authorId="0" shapeId="0">
      <text>
        <t xml:space="preserve">Tom Howell:
$600,000 initial investment at @ $1.00
$181,818.10 at @ $1.78 for Year Acquisition </t>
      </text>
    </comment>
    <comment ref="D12" authorId="0" shapeId="0">
      <text>
        <t xml:space="preserve">Tom Howell:
$100,000 initial investment at @ $1.00 (rollover)
$30,302.72 at @ $1.78 for Year Acquisition </t>
      </text>
    </comment>
    <comment ref="G17" authorId="0" shapeId="0">
      <text>
        <t>Tom Howell:
Added 25K Options following the close of RP Adams</t>
      </text>
    </comment>
  </commentList>
</comments>
</file>

<file path=xl/comments/comment5.xml><?xml version="1.0" encoding="utf-8"?>
<comments xmlns="http://schemas.openxmlformats.org/spreadsheetml/2006/main">
  <authors>
    <author>Tom Howell</author>
  </authors>
  <commentList>
    <comment ref="D10" authorId="0" shapeId="0">
      <text>
        <t xml:space="preserve">Tom Howell:
$12,500,000 initial investment at @ $1.00
$3,787,879.18 at @ $1.78 for Year Acquisition </t>
      </text>
    </comment>
    <comment ref="D11" authorId="0" shapeId="0">
      <text>
        <t xml:space="preserve">Tom Howell:
$600,000 initial investment at @ $1.00
$181,818.10 at @ $1.78 for Year Acquisition </t>
      </text>
    </comment>
    <comment ref="D12" authorId="0" shapeId="0">
      <text>
        <t xml:space="preserve">Tom Howell:
$100,000 initial investment at @ $1.00 (rollover)
$30,302.72 at @ $1.78 for Year Acquisition </t>
      </text>
    </comment>
    <comment ref="G17" authorId="0" shapeId="0">
      <text>
        <t>Tom Howell:
Added 25K Options following the close of RP Adams</t>
      </text>
    </comment>
  </commentList>
</comments>
</file>

<file path=xl/comments/comment6.xml><?xml version="1.0" encoding="utf-8"?>
<comments xmlns="http://schemas.openxmlformats.org/spreadsheetml/2006/main">
  <authors>
    <author>tc={A3F8A8FD-A79B-4089-8E59-4BEBD0621808}</author>
    <author>tc={17CE2C8B-BEC7-4ECE-A6B0-7B29F8AEBDC7}</author>
  </authors>
  <commentList>
    <comment ref="B48" authorId="0" shapeId="0">
      <text>
        <t>[Threaded comment]
Your version of Excel allows you to read this threaded comment; however, any edits to it will get removed if the file is opened in a newer version of Excel. Learn more: https://go.microsoft.com/fwlink/?linkid=870924
Comment:
    Adjustments for RP Adams pre-close
"P:\Rouge Investments\Opus Water\6 - Diligence\2 - Aquisition (RP Adams) - 2025.02.20\2) Due diligence\5) Financial assessment\RP Adams LTM Figures 2.24.25.xlsx"</t>
      </text>
    </comment>
    <comment ref="B49" authorId="1" shapeId="0">
      <text>
        <t>[Threaded comment]
Your version of Excel allows you to read this threaded comment; however, any edits to it will get removed if the file is opened in a newer version of Excel. Learn more: https://go.microsoft.com/fwlink/?linkid=870924
Comment:
    Adjustments for RP Adams pre-close
"P:\Rouge Investments\Opus Water\6 - Diligence\2 - Aquisition (RP Adams) - 2025.02.20\2) Due diligence\5) Financial assessment\RP Adams LTM Figures 2.24.25.xlsx"</t>
      </text>
    </comment>
  </commentList>
</comments>
</file>

<file path=xl/comments/comment7.xml><?xml version="1.0" encoding="utf-8"?>
<comments xmlns="http://schemas.openxmlformats.org/spreadsheetml/2006/main">
  <authors>
    <author>M365 Copilot</author>
    <author>tc={1EFF80A3-705D-4885-B46F-72D8D2620016}</author>
    <author>tc={41BDB83B-D7C1-436D-82BC-E427DC2F5931}</author>
  </authors>
  <commentList>
    <comment ref="U10" authorId="0" shapeId="0">
      <text>
        <t>Source: Opus Water - June 2026 2.xlsx, June 2026!AE13.</t>
      </text>
    </comment>
    <comment ref="V10" authorId="0" shapeId="0">
      <text>
        <t>Source: Opus Water - June 2026 2.xlsx, June 2026!AF13.</t>
      </text>
    </comment>
    <comment ref="W10" authorId="0" shapeId="0">
      <text>
        <t>Source: Opus Water - June 2026 2.xlsx, June 2026!AG13.</t>
      </text>
    </comment>
    <comment ref="U21" authorId="0" shapeId="0">
      <text>
        <t>Source: Opus Water - June 2026 2.xlsx, June 2026!AE46.</t>
      </text>
    </comment>
    <comment ref="V21" authorId="0" shapeId="0">
      <text>
        <t>Source: Opus Water - June 2026 2.xlsx, June 2026!AF46.</t>
      </text>
    </comment>
    <comment ref="W21" authorId="0" shapeId="0">
      <text>
        <t>Source: Opus Water - June 2026 2.xlsx, June 2026!AG46.</t>
      </text>
    </comment>
    <comment ref="B35" authorId="1" shapeId="0">
      <text>
        <t>[Threaded comment]
Your version of Excel allows you to read this threaded comment; however, any edits to it will get removed if the file is opened in a newer version of Excel. Learn more: https://go.microsoft.com/fwlink/?linkid=870924
Comment:
    Adjustments for RP Adams pre-close
"P:\Rouge Investments\Opus Water\6 - Diligence\2 - Aquisition (RP Adams) - 2025.02.20\2) Due diligence\5) Financial assessment\RP Adams LTM Figures 2.24.25.xlsx"</t>
      </text>
    </comment>
    <comment ref="F35" authorId="2" shapeId="0">
      <text>
        <t>[Threaded comment]
Your version of Excel allows you to read this threaded comment; however, any edits to it will get removed if the file is opened in a newer version of Excel. Learn more: https://go.microsoft.com/fwlink/?linkid=870924
Comment:
    Adjustments for RP Adams pre-close
"P:\Rouge Investments\Opus Water\6 - Diligence\2 - Aquisition (RP Adams) - 2025.02.20\2) Due diligence\5) Financial assessment\RP Adams LTM Figures 2.24.25.xlsx"</t>
      </text>
    </comment>
    <comment ref="U38" authorId="0" shapeId="0">
      <text>
        <t>Source: Opus Water - June 2026 2.xlsx, June 2026!AE50.</t>
      </text>
    </comment>
    <comment ref="V38" authorId="0" shapeId="0">
      <text>
        <t>Source: Opus Water - June 2026 2.xlsx, June 2026!AF50.</t>
      </text>
    </comment>
    <comment ref="W38" authorId="0" shapeId="0">
      <text>
        <t>Source: Opus Water - June 2026 2.xlsx, June 2026!AG50.</t>
      </text>
    </comment>
    <comment ref="U45" authorId="0" shapeId="0">
      <text>
        <t>Source: Opus Water - June 2026 2.xlsx, June 2026!AE56.</t>
      </text>
    </comment>
    <comment ref="V45" authorId="0" shapeId="0">
      <text>
        <t>Source: Opus Water - June 2026 2.xlsx, June 2026!AF56.</t>
      </text>
    </comment>
    <comment ref="W45" authorId="0" shapeId="0">
      <text>
        <t>Source: Opus Water - June 2026 2.xlsx, June 2026!AG56.</t>
      </text>
    </comment>
  </commentList>
</comments>
</file>

<file path=xl/comments/comment8.xml><?xml version="1.0" encoding="utf-8"?>
<comments xmlns="http://schemas.openxmlformats.org/spreadsheetml/2006/main">
  <authors>
    <author>Tom Howell</author>
  </authors>
  <commentList>
    <comment ref="D10" authorId="0" shapeId="0">
      <text>
        <t xml:space="preserve">Tom Howell:
$12,500,000 initial investment at @ $1.00
$3,787,879.18 at @ $1.78 for Year Acquisition </t>
      </text>
    </comment>
    <comment ref="D11" authorId="0" shapeId="0">
      <text>
        <t xml:space="preserve">Tom Howell:
$600,000 initial investment at @ $1.00
$181,818.10 at @ $1.78 for Year Acquisition </t>
      </text>
    </comment>
    <comment ref="D12" authorId="0" shapeId="0">
      <text>
        <t xml:space="preserve">Tom Howell:
$100,000 initial investment at @ $1.00 (rollover)
$30,302.72 at @ $1.78 for Year Acquisition </t>
      </text>
    </comment>
    <comment ref="G17" authorId="0" shapeId="0">
      <text>
        <t>Tom Howell:
Added 25K Options following the close of RP Adams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2</col>
      <colOff>683649</colOff>
      <row>15</row>
      <rowOff>134510</rowOff>
    </from>
    <to>
      <col>7</col>
      <colOff>60193</colOff>
      <row>23</row>
      <rowOff>88873</rowOff>
    </to>
    <pic>
      <nvPicPr>
        <cNvPr id="2" name="Picture 1"/>
        <cNvPicPr>
          <a:picLocks xmlns:a="http://schemas.openxmlformats.org/drawingml/2006/main" noChangeAspect="1"/>
        </cNvPicPr>
      </nvPicPr>
      <blipFill rotWithShape="1">
        <a:blip xmlns:a="http://schemas.openxmlformats.org/drawingml/2006/main" xmlns:r="http://schemas.openxmlformats.org/officeDocument/2006/relationships" r:embed="rId1"/>
        <a:srcRect xmlns:a="http://schemas.openxmlformats.org/drawingml/2006/main" b="18558"/>
        <a:stretch xmlns:a="http://schemas.openxmlformats.org/drawingml/2006/main">
          <a:fillRect/>
        </a:stretch>
      </blipFill>
      <spPr>
        <a:xfrm xmlns:a="http://schemas.openxmlformats.org/drawingml/2006/main">
          <a:off x="1710232" y="3108427"/>
          <a:ext cx="2586258" cy="1326386"/>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59871</colOff>
      <row>0</row>
      <rowOff>38345</rowOff>
    </from>
    <to>
      <col>0</col>
      <colOff>1390469</colOff>
      <row>3</row>
      <rowOff>96109</rowOff>
    </to>
    <pic>
      <nvPicPr>
        <cNvPr id="2" name="Picture 1"/>
        <cNvPicPr>
          <a:picLocks xmlns:a="http://schemas.openxmlformats.org/drawingml/2006/main" noChangeAspect="1"/>
        </cNvPicPr>
      </nvPicPr>
      <blipFill rotWithShape="1">
        <a:blip xmlns:a="http://schemas.openxmlformats.org/drawingml/2006/main" xmlns:r="http://schemas.openxmlformats.org/officeDocument/2006/relationships" r:embed="rId1"/>
        <a:srcRect xmlns:a="http://schemas.openxmlformats.org/drawingml/2006/main" b="22340"/>
        <a:stretch xmlns:a="http://schemas.openxmlformats.org/drawingml/2006/main">
          <a:fillRect/>
        </a:stretch>
      </blipFill>
      <spPr>
        <a:xfrm xmlns:a="http://schemas.openxmlformats.org/drawingml/2006/main">
          <a:off x="59871" y="38345"/>
          <a:ext cx="1326788" cy="605993"/>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10.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3.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4.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22.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23.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tabColor theme="1"/>
    <outlinePr summaryBelow="1" summaryRight="1"/>
    <pageSetUpPr fitToPage="1"/>
  </sheetPr>
  <dimension ref="B1:P42"/>
  <sheetViews>
    <sheetView showGridLines="0" view="pageBreakPreview" zoomScaleNormal="85" zoomScaleSheetLayoutView="100" workbookViewId="0">
      <selection activeCell="A1" sqref="A1"/>
    </sheetView>
  </sheetViews>
  <sheetFormatPr baseColWidth="8" defaultColWidth="9.140625" defaultRowHeight="12.75"/>
  <cols>
    <col width="2.7109375" customWidth="1" style="1" min="1" max="1"/>
    <col width="12.7109375" customWidth="1" style="1" min="2" max="2"/>
    <col width="15.42578125" customWidth="1" style="1" min="3" max="3"/>
    <col width="12.7109375" customWidth="1" style="1" min="4" max="4"/>
    <col width="1.7109375" customWidth="1" style="1" min="5" max="5"/>
    <col width="9.140625" customWidth="1" style="1" min="6" max="6"/>
    <col width="9.140625" customWidth="1" style="1" min="7" max="8"/>
    <col width="3.7109375" customWidth="1" style="1" min="9" max="9"/>
    <col width="9.140625" customWidth="1" style="1" min="10" max="11"/>
    <col width="9.140625" customWidth="1" style="1" min="12" max="16384"/>
  </cols>
  <sheetData>
    <row r="1">
      <c r="B1" s="1" t="inlineStr">
        <is>
          <t xml:space="preserve"> </t>
        </is>
      </c>
    </row>
    <row r="5" ht="36" customHeight="1">
      <c r="B5" s="145" t="inlineStr">
        <is>
          <t>Opus Water, Inc</t>
        </is>
      </c>
      <c r="C5" s="2" t="n"/>
      <c r="D5" s="2" t="n"/>
      <c r="E5" s="2" t="n"/>
      <c r="F5" s="2" t="n"/>
      <c r="G5" s="2" t="n"/>
      <c r="H5" s="2" t="n"/>
      <c r="I5" s="2" t="n"/>
      <c r="J5" s="2" t="n"/>
      <c r="K5" s="436" t="n"/>
    </row>
    <row r="6">
      <c r="B6" s="2" t="n"/>
      <c r="C6" s="2" t="n"/>
      <c r="D6" s="2" t="n"/>
      <c r="E6" s="2" t="n"/>
      <c r="F6" s="2" t="n"/>
      <c r="G6" s="2" t="n"/>
      <c r="H6" s="2" t="n"/>
      <c r="I6" s="2" t="n"/>
      <c r="J6" s="2" t="n"/>
      <c r="K6" s="436" t="n"/>
    </row>
    <row r="7" ht="23.25" customHeight="1">
      <c r="B7" s="27" t="inlineStr">
        <is>
          <t>LP Reporting &amp; Valuation</t>
        </is>
      </c>
      <c r="C7" s="2" t="n"/>
      <c r="D7" s="2" t="n"/>
      <c r="E7" s="2" t="n"/>
      <c r="F7" s="2" t="n"/>
      <c r="G7" s="2" t="n"/>
      <c r="H7" s="2" t="n"/>
      <c r="I7" s="2" t="n"/>
      <c r="J7" s="2" t="n"/>
      <c r="K7" s="436" t="n"/>
    </row>
    <row r="8">
      <c r="B8" s="2" t="n"/>
      <c r="C8" s="2" t="n"/>
      <c r="D8" s="2" t="n"/>
      <c r="E8" s="2" t="n"/>
      <c r="F8" s="2" t="n"/>
      <c r="G8" s="438" t="n"/>
      <c r="H8" s="2" t="n"/>
      <c r="I8" s="2" t="n"/>
      <c r="J8" s="2" t="n"/>
    </row>
    <row r="9" ht="15" customHeight="1">
      <c r="B9" s="692" t="n">
        <v>46203</v>
      </c>
      <c r="C9" s="2" t="n"/>
      <c r="D9" s="2" t="n"/>
      <c r="E9" s="2" t="n"/>
      <c r="F9" s="2" t="n"/>
      <c r="G9" s="2" t="n"/>
      <c r="H9" s="2" t="n"/>
      <c r="I9" s="2" t="n"/>
      <c r="J9" s="2" t="n"/>
      <c r="K9" s="436" t="n"/>
    </row>
    <row r="13">
      <c r="F13" s="318" t="n"/>
    </row>
    <row r="17">
      <c r="B17" s="437" t="n"/>
      <c r="C17" s="436" t="n"/>
      <c r="D17" s="436" t="n"/>
      <c r="E17" s="436" t="n"/>
      <c r="F17" s="436" t="n"/>
      <c r="G17" s="436" t="n"/>
      <c r="H17" s="436" t="n"/>
      <c r="I17" s="436" t="n"/>
      <c r="J17" s="436" t="n"/>
      <c r="K17" s="436" t="n"/>
      <c r="P17" s="3" t="n"/>
    </row>
    <row r="18">
      <c r="C18" s="3" t="n"/>
    </row>
    <row r="20" ht="15" customHeight="1">
      <c r="M20" s="4" t="n"/>
    </row>
    <row r="35">
      <c r="B35" s="669" t="n"/>
      <c r="C35" s="669" t="n"/>
      <c r="D35" s="669" t="n"/>
      <c r="E35" s="669" t="n"/>
      <c r="F35" s="668" t="n"/>
      <c r="I35" s="669" t="n"/>
      <c r="J35" s="215" t="n"/>
    </row>
    <row r="36">
      <c r="B36" s="669" t="n"/>
      <c r="C36" s="669" t="n"/>
      <c r="D36" s="669" t="n"/>
      <c r="E36" s="669" t="n"/>
      <c r="F36" s="667" t="n"/>
      <c r="I36" s="669" t="n"/>
      <c r="J36" s="667" t="n"/>
    </row>
    <row r="37">
      <c r="B37" s="669" t="n"/>
      <c r="C37" s="669" t="n"/>
      <c r="D37" s="669" t="n"/>
      <c r="E37" s="669" t="n"/>
      <c r="G37" s="669" t="n"/>
      <c r="H37" s="669" t="n"/>
      <c r="I37" s="669" t="n"/>
    </row>
    <row r="38">
      <c r="B38" s="669" t="n"/>
      <c r="C38" s="669" t="n"/>
      <c r="D38" s="669" t="n"/>
      <c r="E38" s="669" t="n"/>
      <c r="F38" s="668" t="n"/>
      <c r="I38" s="669" t="n"/>
      <c r="J38" s="215" t="n"/>
    </row>
    <row r="39">
      <c r="B39" s="669" t="n"/>
      <c r="C39" s="669" t="n"/>
      <c r="D39" s="669" t="n"/>
      <c r="E39" s="669" t="n"/>
      <c r="F39" s="667" t="n"/>
      <c r="I39" s="669" t="n"/>
      <c r="J39" s="667" t="n"/>
    </row>
    <row r="40">
      <c r="B40" s="166" t="n"/>
      <c r="C40" s="166" t="n"/>
      <c r="D40" s="166" t="n"/>
      <c r="E40" s="166" t="n"/>
      <c r="F40" s="166" t="n"/>
      <c r="G40" s="166" t="n"/>
      <c r="H40" s="166" t="n"/>
      <c r="I40" s="166" t="n"/>
      <c r="J40" s="217" t="n"/>
    </row>
    <row r="41">
      <c r="B41" s="166" t="n"/>
      <c r="C41" s="166" t="n"/>
      <c r="D41" s="166" t="n"/>
      <c r="E41" s="166" t="n"/>
      <c r="F41" s="167" t="n"/>
      <c r="G41" s="167" t="n"/>
      <c r="H41" s="167" t="n"/>
      <c r="I41" s="166" t="n"/>
      <c r="J41" s="218" t="n"/>
    </row>
    <row r="42">
      <c r="B42" s="166" t="n"/>
      <c r="C42" s="166" t="n"/>
      <c r="D42" s="166" t="n"/>
      <c r="E42" s="166" t="n"/>
      <c r="F42" s="167" t="n"/>
      <c r="G42" s="217" t="n"/>
      <c r="H42" s="217" t="n"/>
      <c r="I42" s="166" t="n"/>
      <c r="J42" s="167" t="n"/>
    </row>
  </sheetData>
  <mergeCells count="6">
    <mergeCell ref="F38:H38"/>
    <mergeCell ref="F36:H36"/>
    <mergeCell ref="F35:H35"/>
    <mergeCell ref="E37:F37"/>
    <mergeCell ref="I37:J37"/>
    <mergeCell ref="F39:H39"/>
  </mergeCells>
  <pageMargins left="0.7" right="0.7" top="0.75" bottom="0.75" header="0.3" footer="0.3"/>
  <pageSetup orientation="portrait" fitToHeight="0"/>
  <drawing xmlns:r="http://schemas.openxmlformats.org/officeDocument/2006/relationships" r:id="rId1"/>
</worksheet>
</file>

<file path=xl/worksheets/sheet2.xml><?xml version="1.0" encoding="utf-8"?>
<worksheet xmlns="http://schemas.openxmlformats.org/spreadsheetml/2006/main">
  <sheetPr>
    <tabColor theme="4"/>
    <outlinePr summaryBelow="1" summaryRight="1"/>
    <pageSetUpPr fitToPage="1"/>
  </sheetPr>
  <dimension ref="B1:M30"/>
  <sheetViews>
    <sheetView showGridLines="0" view="pageBreakPreview" topLeftCell="A3" zoomScaleNormal="85" zoomScaleSheetLayoutView="100" workbookViewId="0">
      <selection activeCell="G17" sqref="G17"/>
    </sheetView>
  </sheetViews>
  <sheetFormatPr baseColWidth="8" defaultColWidth="9.140625" defaultRowHeight="15"/>
  <cols>
    <col width="2.7109375" customWidth="1" min="1" max="1"/>
    <col width="13.140625" customWidth="1" min="2" max="2"/>
    <col width="13" customWidth="1" min="4" max="4"/>
    <col width="62.7109375" customWidth="1" min="8" max="8"/>
    <col width="15.85546875" bestFit="1" customWidth="1" min="9" max="10"/>
    <col width="1.7109375" customWidth="1" min="11" max="11"/>
    <col width="15.85546875" bestFit="1" customWidth="1" min="12" max="12"/>
  </cols>
  <sheetData>
    <row r="1" ht="18.75" customFormat="1" customHeight="1" s="122">
      <c r="B1" s="247">
        <f>'I. Cover Page'!B5</f>
        <v/>
      </c>
      <c r="C1" s="248" t="n"/>
      <c r="D1" s="248" t="n"/>
      <c r="E1" s="248" t="n"/>
      <c r="F1" s="248" t="n"/>
      <c r="G1" s="248" t="n"/>
      <c r="H1" s="248" t="n"/>
    </row>
    <row r="2" ht="16.5" customFormat="1" customHeight="1" s="122" thickBot="1">
      <c r="B2" s="249" t="inlineStr">
        <is>
          <t>Returns Attribution Summary</t>
        </is>
      </c>
      <c r="C2" s="250" t="n"/>
      <c r="D2" s="250" t="n"/>
      <c r="E2" s="250" t="n"/>
      <c r="F2" s="250" t="n"/>
      <c r="G2" s="250" t="n"/>
      <c r="H2" s="250" t="n"/>
      <c r="I2" s="124" t="n"/>
      <c r="J2" s="124" t="n"/>
    </row>
    <row r="3" ht="15.75" customFormat="1" customHeight="1" s="122" thickTop="1">
      <c r="B3" s="251">
        <f>'I. Cover Page'!B9</f>
        <v/>
      </c>
      <c r="C3" s="252" t="n"/>
      <c r="D3" s="252" t="n"/>
      <c r="E3" s="252" t="n"/>
      <c r="F3" s="252" t="n"/>
      <c r="G3" s="252" t="n"/>
      <c r="H3" s="253" t="inlineStr">
        <is>
          <t>$USD</t>
        </is>
      </c>
      <c r="I3" s="79" t="n"/>
      <c r="J3" s="125" t="n"/>
    </row>
    <row r="5" customFormat="1" s="39">
      <c r="B5" s="229" t="inlineStr">
        <is>
          <t>Summary page</t>
        </is>
      </c>
      <c r="C5" s="229" t="n"/>
      <c r="D5" s="230" t="n"/>
      <c r="E5" s="230" t="n"/>
      <c r="F5" s="230" t="n"/>
      <c r="G5" s="230" t="n"/>
      <c r="H5" s="230" t="n"/>
      <c r="I5" s="38" t="n"/>
    </row>
    <row r="6">
      <c r="B6" s="126" t="inlineStr">
        <is>
          <t>Valuation Method:</t>
        </is>
      </c>
      <c r="C6" s="127" t="n"/>
      <c r="D6" s="445" t="inlineStr">
        <is>
          <t>- Based on Average EV/EBITDA Multiple</t>
        </is>
      </c>
      <c r="E6" s="232" t="n"/>
      <c r="F6" s="232" t="n"/>
      <c r="G6" s="232" t="n"/>
      <c r="H6" s="233" t="n"/>
    </row>
    <row r="7">
      <c r="B7" s="128" t="n"/>
      <c r="C7" s="129" t="n"/>
      <c r="D7" s="231" t="inlineStr">
        <is>
          <t xml:space="preserve">-Public comparables Discounted by 25% </t>
        </is>
      </c>
      <c r="E7" s="130" t="n"/>
      <c r="F7" s="130" t="n"/>
      <c r="G7" s="130" t="n"/>
      <c r="H7" s="233" t="n"/>
    </row>
    <row r="8">
      <c r="B8" s="234" t="n"/>
      <c r="C8" s="226" t="n"/>
      <c r="D8" s="231" t="n"/>
      <c r="E8" s="130" t="n"/>
      <c r="F8" s="130" t="n"/>
      <c r="G8" s="130" t="n"/>
      <c r="H8" s="233" t="n"/>
    </row>
    <row r="9">
      <c r="B9" s="234" t="n"/>
      <c r="C9" s="226" t="n"/>
      <c r="D9" s="226" t="n"/>
      <c r="E9" s="130" t="n"/>
      <c r="F9" s="130" t="n"/>
      <c r="G9" s="235" t="n"/>
      <c r="H9" s="236" t="n"/>
    </row>
    <row r="10">
      <c r="B10" s="237" t="inlineStr">
        <is>
          <t>Comps:</t>
        </is>
      </c>
      <c r="C10" s="238" t="n"/>
      <c r="D10" s="239" t="inlineStr">
        <is>
          <t>- No new Public Comps</t>
        </is>
      </c>
      <c r="E10" s="232" t="n"/>
      <c r="F10" s="232" t="n"/>
      <c r="G10" s="130" t="n"/>
      <c r="H10" s="243" t="n"/>
    </row>
    <row r="11" ht="17.25" customHeight="1">
      <c r="B11" s="234" t="n"/>
      <c r="C11" s="226" t="n"/>
      <c r="D11" s="231" t="inlineStr">
        <is>
          <t>- No new M&amp;A</t>
        </is>
      </c>
      <c r="E11" s="130" t="n"/>
      <c r="F11" s="130" t="n"/>
      <c r="G11" s="130" t="n"/>
      <c r="H11" s="233" t="n"/>
      <c r="J11" s="162" t="n"/>
      <c r="K11" s="162" t="n"/>
      <c r="L11" s="162" t="n"/>
    </row>
    <row r="12" ht="17.25" customHeight="1">
      <c r="B12" s="651" t="n"/>
      <c r="C12" s="240" t="n"/>
      <c r="D12" s="642" t="n"/>
      <c r="E12" s="241" t="n"/>
      <c r="F12" s="241" t="n"/>
      <c r="G12" s="241" t="n"/>
      <c r="H12" s="650" t="n"/>
      <c r="J12" s="162" t="inlineStr">
        <is>
          <t>Current</t>
        </is>
      </c>
      <c r="K12" s="162" t="n"/>
      <c r="L12" s="162" t="inlineStr">
        <is>
          <t>Prior</t>
        </is>
      </c>
    </row>
    <row r="13">
      <c r="B13" s="299" t="inlineStr">
        <is>
          <t>Valuation Impacts:</t>
        </is>
      </c>
      <c r="C13" s="39" t="n"/>
      <c r="D13" s="693">
        <f>'III. Valuation Summary'!F37</f>
        <v/>
      </c>
      <c r="E13" s="624" t="inlineStr">
        <is>
          <t>- Due to decrease in Multiple from 13.38x EV/Adj. EBITDA in Q4'25 to 13.30x EV/Adj. EBITDA in Q1'26</t>
        </is>
      </c>
      <c r="H13" s="300" t="n"/>
      <c r="I13" s="694" t="n"/>
      <c r="J13" s="695">
        <f>'III. Valuation Summary'!F9</f>
        <v/>
      </c>
      <c r="K13" s="695" t="n"/>
      <c r="L13" s="695">
        <f>'III. Valuation Summary'!H9</f>
        <v/>
      </c>
      <c r="M13" s="355" t="n"/>
    </row>
    <row r="14">
      <c r="B14" s="299" t="n"/>
      <c r="C14" s="39" t="n"/>
      <c r="D14" s="696">
        <f>'III. Valuation Summary'!F38</f>
        <v/>
      </c>
      <c r="E14" s="625" t="inlineStr">
        <is>
          <t>- Due to decrease in TTM Adj. EBITDA from $3,112,034 in Q4'25 to $1,952,037 in Q1'26</t>
        </is>
      </c>
      <c r="H14" s="300" t="n"/>
      <c r="J14" s="697">
        <f>'III. Valuation Summary'!F10</f>
        <v/>
      </c>
      <c r="K14" s="697" t="n"/>
      <c r="L14" s="697">
        <f>'III. Valuation Summary'!H10</f>
        <v/>
      </c>
      <c r="M14" s="355" t="n"/>
    </row>
    <row r="15">
      <c r="B15" s="299" t="n"/>
      <c r="C15" s="39" t="n"/>
      <c r="D15" s="696">
        <f>'III. Valuation Summary'!F39</f>
        <v/>
      </c>
      <c r="E15" s="625" t="inlineStr">
        <is>
          <t>- Due to decrease in Net Cash from $1,375,759 in Q4'25 to $422,160 in Q1'26</t>
        </is>
      </c>
      <c r="H15" s="300" t="n"/>
      <c r="J15" s="697">
        <f>'III. Valuation Summary'!F13-'III. Valuation Summary'!F14</f>
        <v/>
      </c>
      <c r="K15" s="697" t="n"/>
      <c r="L15" s="697">
        <f>'III. Valuation Summary'!H13-'III. Valuation Summary'!H14</f>
        <v/>
      </c>
      <c r="M15" s="355" t="n"/>
    </row>
    <row r="16">
      <c r="B16" s="299" t="n"/>
      <c r="C16" s="39" t="n"/>
      <c r="D16" s="696">
        <f>'III. Valuation Summary'!$F$41</f>
        <v/>
      </c>
      <c r="E16" s="625" t="inlineStr">
        <is>
          <t>- Due to increase in ownership from 91.1% in Q4'25 to 93.7% in Q1'26</t>
        </is>
      </c>
      <c r="H16" s="300" t="n"/>
      <c r="J16" s="698">
        <f>'III. Valuation Summary'!$F$29</f>
        <v/>
      </c>
      <c r="K16" s="698" t="n"/>
      <c r="L16" s="698">
        <f>'III. Valuation Summary'!$H$29</f>
        <v/>
      </c>
      <c r="M16" s="355" t="n"/>
    </row>
    <row r="17">
      <c r="B17" s="302" t="n"/>
      <c r="C17" s="294" t="inlineStr">
        <is>
          <t>Total</t>
        </is>
      </c>
      <c r="D17" s="699">
        <f>SUM(D13:D16)</f>
        <v/>
      </c>
      <c r="E17" s="304" t="n"/>
      <c r="F17" s="304" t="n"/>
      <c r="G17" s="304" t="n"/>
      <c r="H17" s="305" t="n"/>
    </row>
    <row r="18">
      <c r="B18" s="242" t="inlineStr">
        <is>
          <t>Recommendation Adj:</t>
        </is>
      </c>
      <c r="C18" s="238" t="n"/>
      <c r="D18" s="238" t="n"/>
      <c r="E18" s="232" t="n"/>
      <c r="F18" s="232" t="n"/>
      <c r="G18" s="232" t="n"/>
      <c r="H18" s="243" t="n"/>
    </row>
    <row r="19">
      <c r="B19" s="244" t="inlineStr">
        <is>
          <t>- N/A</t>
        </is>
      </c>
      <c r="C19" s="130" t="n"/>
      <c r="D19" s="130" t="n"/>
      <c r="E19" s="130" t="n"/>
      <c r="F19" s="130" t="n"/>
      <c r="G19" s="130" t="n"/>
      <c r="H19" s="233" t="n"/>
    </row>
    <row r="20">
      <c r="B20" s="245" t="n"/>
      <c r="C20" s="130" t="n"/>
      <c r="D20" s="130" t="n"/>
      <c r="E20" s="130" t="n"/>
      <c r="F20" s="130" t="n"/>
      <c r="G20" s="130" t="n"/>
      <c r="H20" s="233" t="n"/>
    </row>
    <row r="21">
      <c r="B21" s="246" t="n"/>
      <c r="C21" s="235" t="n"/>
      <c r="D21" s="235" t="n"/>
      <c r="E21" s="235" t="n"/>
      <c r="F21" s="235" t="n"/>
      <c r="G21" s="235" t="n"/>
      <c r="H21" s="236" t="n"/>
    </row>
    <row r="22" ht="12" customHeight="1"/>
    <row r="23" ht="12" customHeight="1"/>
    <row r="25">
      <c r="B25" t="inlineStr">
        <is>
          <t>Check</t>
        </is>
      </c>
      <c r="D25" s="700">
        <f>D17-'III. Valuation Summary'!F43</f>
        <v/>
      </c>
    </row>
    <row r="30">
      <c r="J30" s="163" t="n"/>
    </row>
  </sheetData>
  <pageMargins left="0.7086614173228347" right="0.7086614173228347" top="0.7480314960629921" bottom="0.7480314960629921" header="0.3149606299212598" footer="0.3149606299212598"/>
  <pageSetup orientation="portrait" scale="72" fitToHeight="0"/>
</worksheet>
</file>

<file path=xl/worksheets/sheet3.xml><?xml version="1.0" encoding="utf-8"?>
<worksheet xmlns="http://schemas.openxmlformats.org/spreadsheetml/2006/main">
  <sheetPr>
    <tabColor theme="4"/>
    <outlinePr summaryBelow="1" summaryRight="1"/>
    <pageSetUpPr fitToPage="1"/>
  </sheetPr>
  <dimension ref="B1:Q47"/>
  <sheetViews>
    <sheetView showGridLines="0" tabSelected="1" view="pageBreakPreview" zoomScaleNormal="70" zoomScaleSheetLayoutView="100" workbookViewId="0">
      <selection activeCell="F24" sqref="F24"/>
    </sheetView>
  </sheetViews>
  <sheetFormatPr baseColWidth="8" defaultColWidth="9.140625" defaultRowHeight="15"/>
  <cols>
    <col width="2.7109375" customWidth="1" style="39" min="1" max="1"/>
    <col width="19.42578125" customWidth="1" style="39" min="2" max="2"/>
    <col width="2.28515625" customWidth="1" style="39" min="3" max="3"/>
    <col width="12.7109375" customWidth="1" style="39" min="4" max="4"/>
    <col width="8.7109375" customWidth="1" style="39" min="5" max="5"/>
    <col width="15.28515625" customWidth="1" style="39" min="6" max="6"/>
    <col width="8.7109375" customWidth="1" style="39" min="7" max="7"/>
    <col width="15.28515625" customWidth="1" style="39" min="8" max="9"/>
    <col width="8.7109375" customWidth="1" style="39" min="10" max="10"/>
    <col width="15.28515625" customWidth="1" style="39" min="11" max="12"/>
    <col width="9.140625" customWidth="1" style="39" min="13" max="13"/>
    <col width="13.85546875" bestFit="1" customWidth="1" style="39" min="14" max="14"/>
    <col width="9.140625" customWidth="1" style="39" min="15" max="16384"/>
  </cols>
  <sheetData>
    <row r="1" ht="18.75" customFormat="1" customHeight="1" s="31">
      <c r="B1" s="247">
        <f>'I. Cover Page'!B5</f>
        <v/>
      </c>
      <c r="C1" s="262" t="n"/>
      <c r="D1" s="28" t="n"/>
      <c r="E1" s="28" t="n"/>
      <c r="F1" s="29" t="n"/>
      <c r="G1" s="29" t="n"/>
      <c r="H1" s="29" t="n"/>
      <c r="I1" s="30" t="n"/>
      <c r="J1" s="28" t="n"/>
      <c r="K1" s="29" t="n"/>
      <c r="L1" s="30" t="n"/>
    </row>
    <row r="2" ht="15.75" customFormat="1" customHeight="1" s="31" thickBot="1">
      <c r="B2" s="249" t="inlineStr">
        <is>
          <t>Valuation Summary</t>
        </is>
      </c>
      <c r="C2" s="255" t="n"/>
      <c r="D2" s="32" t="n"/>
      <c r="E2" s="32" t="n"/>
      <c r="F2" s="32" t="n"/>
      <c r="G2" s="32" t="n"/>
      <c r="H2" s="32" t="n"/>
      <c r="I2" s="32" t="n"/>
      <c r="J2" s="32" t="n"/>
      <c r="K2" s="32" t="n"/>
      <c r="L2" s="32" t="n"/>
    </row>
    <row r="3" ht="13.5" customFormat="1" customHeight="1" s="34" thickTop="1">
      <c r="B3" s="251">
        <f>'I. Cover Page'!B9</f>
        <v/>
      </c>
      <c r="C3" s="263" t="n"/>
      <c r="D3" s="33" t="n"/>
      <c r="E3" s="33" t="n"/>
      <c r="F3" s="33" t="n"/>
      <c r="G3" s="33" t="n"/>
      <c r="H3" s="33" t="n"/>
      <c r="I3" s="9" t="n"/>
      <c r="K3" s="33" t="n"/>
      <c r="L3" s="9" t="inlineStr">
        <is>
          <t>$USD</t>
        </is>
      </c>
    </row>
    <row r="4" ht="12.75" customFormat="1" customHeight="1" s="34">
      <c r="B4" s="35" t="n"/>
      <c r="C4" s="8" t="n"/>
      <c r="D4" s="8" t="n"/>
      <c r="E4" s="8" t="n"/>
      <c r="F4" s="10" t="n"/>
      <c r="G4" s="10" t="n"/>
      <c r="H4" s="10" t="n"/>
      <c r="J4" s="8" t="n"/>
      <c r="K4" s="10" t="n"/>
    </row>
    <row r="5">
      <c r="B5" s="202" t="n"/>
    </row>
    <row r="6">
      <c r="B6" s="36" t="inlineStr">
        <is>
          <t>Valuation Methodology</t>
        </is>
      </c>
      <c r="C6" s="37" t="n"/>
      <c r="D6" s="37" t="inlineStr">
        <is>
          <t>EV/EBITDA</t>
        </is>
      </c>
      <c r="E6" s="38" t="n"/>
      <c r="F6" s="203" t="inlineStr">
        <is>
          <t>Current Period</t>
        </is>
      </c>
      <c r="G6" s="206" t="n"/>
      <c r="H6" s="293" t="inlineStr">
        <is>
          <t>Prior Period</t>
        </is>
      </c>
      <c r="I6" s="293" t="n"/>
      <c r="J6" s="19" t="n"/>
      <c r="K6" s="293" t="inlineStr">
        <is>
          <t>Prior Year</t>
        </is>
      </c>
      <c r="L6" s="293" t="n"/>
    </row>
    <row r="7">
      <c r="B7" s="38" t="n"/>
      <c r="E7" s="204" t="n"/>
      <c r="F7" s="205" t="n"/>
      <c r="G7" s="380" t="n"/>
      <c r="H7" s="205" t="n"/>
      <c r="K7" s="205" t="n"/>
    </row>
    <row r="8">
      <c r="B8" s="40" t="inlineStr">
        <is>
          <t>Company</t>
        </is>
      </c>
      <c r="C8" s="37" t="n"/>
      <c r="D8" s="36" t="n"/>
      <c r="F8" s="701" t="n">
        <v>46203</v>
      </c>
      <c r="G8" s="702" t="n"/>
      <c r="H8" s="701" t="n">
        <v>46112</v>
      </c>
      <c r="I8" s="294" t="inlineStr">
        <is>
          <t>Variance</t>
        </is>
      </c>
      <c r="K8" s="701" t="n">
        <v>45838</v>
      </c>
      <c r="L8" s="294" t="inlineStr">
        <is>
          <t>Variance</t>
        </is>
      </c>
    </row>
    <row r="9">
      <c r="B9" s="42" t="inlineStr">
        <is>
          <t>EV/Adj. EBITDA (A)</t>
        </is>
      </c>
      <c r="D9" s="38" t="n"/>
      <c r="F9" s="703">
        <f>'V. Comparables'!$D$39</f>
        <v/>
      </c>
      <c r="G9" s="704" t="n"/>
      <c r="H9" s="703">
        <f>'V. Comparables'!J39</f>
        <v/>
      </c>
      <c r="I9" s="703">
        <f>IFERROR(F9-H9,"n.a.")</f>
        <v/>
      </c>
      <c r="K9" s="703" t="n">
        <v>12.36083190876216</v>
      </c>
      <c r="L9" s="703">
        <f>IFERROR(F9-K9,"n.a.")</f>
        <v/>
      </c>
    </row>
    <row r="10">
      <c r="B10" s="42" t="inlineStr">
        <is>
          <t>TTM Adj. EBITDA (B)</t>
        </is>
      </c>
      <c r="D10" s="38" t="n"/>
      <c r="F10" s="705">
        <f>'Pro Forma Financials (Q2)'!D38</f>
        <v/>
      </c>
      <c r="G10" s="705" t="n"/>
      <c r="H10" s="705">
        <f>'Pro Forma Financials (Q1)'!D38</f>
        <v/>
      </c>
      <c r="I10" s="706">
        <f>IFERROR(F10-H10,"n.a.")</f>
        <v/>
      </c>
      <c r="K10" s="705" t="n">
        <v>2563239.030000002</v>
      </c>
      <c r="L10" s="706">
        <f>IFERROR(F10-K10,"n.a.")</f>
        <v/>
      </c>
    </row>
    <row r="11">
      <c r="F11" s="220" t="n"/>
      <c r="G11" s="169" t="n"/>
      <c r="H11" s="220" t="n"/>
      <c r="I11" s="707" t="n"/>
      <c r="K11" s="220" t="n"/>
      <c r="L11" s="707" t="n"/>
    </row>
    <row r="12">
      <c r="B12" s="39" t="inlineStr">
        <is>
          <t>Implied Enterprise Value (A*B)</t>
        </is>
      </c>
      <c r="F12" s="708">
        <f>IFERROR(F9*F10,"n.a.")</f>
        <v/>
      </c>
      <c r="G12" s="709" t="n"/>
      <c r="H12" s="710">
        <f>IFERROR(H9*H10,"n.a.")</f>
        <v/>
      </c>
      <c r="I12" s="706">
        <f>IFERROR(F12-H12,"n.a.")</f>
        <v/>
      </c>
      <c r="K12" s="710">
        <f>IFERROR(K9*K10,"n.a.")</f>
        <v/>
      </c>
      <c r="L12" s="706">
        <f>IFERROR(F12-K12,"n.a.")</f>
        <v/>
      </c>
    </row>
    <row r="13">
      <c r="B13" s="39" t="inlineStr">
        <is>
          <t>Cash</t>
        </is>
      </c>
      <c r="F13" s="711">
        <f>'Pro Forma Financials (Q2)'!W45</f>
        <v/>
      </c>
      <c r="G13" s="705" t="n"/>
      <c r="H13" s="710">
        <f>'Pro Forma Financials (Q1)'!T45</f>
        <v/>
      </c>
      <c r="I13" s="706">
        <f>IFERROR(F13-H13,"n.a.")</f>
        <v/>
      </c>
      <c r="K13" s="710" t="n">
        <v>136466.6</v>
      </c>
      <c r="L13" s="706">
        <f>IFERROR(F13-K13,"n.a.")</f>
        <v/>
      </c>
    </row>
    <row r="14">
      <c r="B14" s="39" t="inlineStr">
        <is>
          <t>Debt</t>
        </is>
      </c>
      <c r="F14" s="712">
        <f>'Pro Forma Financials (Q2)'!W49</f>
        <v/>
      </c>
      <c r="G14" s="713" t="n"/>
      <c r="H14" s="714">
        <f>'Financial Summary'!$I$60</f>
        <v/>
      </c>
      <c r="I14" s="715">
        <f>IFERROR(F14-H14,"n.a.")</f>
        <v/>
      </c>
      <c r="K14" s="714" t="n">
        <v>0</v>
      </c>
      <c r="L14" s="715">
        <f>IFERROR(F14-K14,"n.a.")</f>
        <v/>
      </c>
    </row>
    <row r="15">
      <c r="B15" s="39" t="inlineStr">
        <is>
          <t>Equity Value</t>
        </is>
      </c>
      <c r="F15" s="708">
        <f>IFERROR(F12+F13-F14,"n.a.")</f>
        <v/>
      </c>
      <c r="G15" s="709" t="n"/>
      <c r="H15" s="708">
        <f>IFERROR(H12+H13-H14,"n.a.")</f>
        <v/>
      </c>
      <c r="I15" s="716">
        <f>IFERROR(F15-H15,"n.a.")</f>
        <v/>
      </c>
      <c r="K15" s="708">
        <f>IFERROR(K12+K13-K14,"n.a.")</f>
        <v/>
      </c>
      <c r="L15" s="716">
        <f>IFERROR(F15-K15,"n.a.")</f>
        <v/>
      </c>
      <c r="N15" s="717" t="n"/>
    </row>
    <row r="16">
      <c r="F16" s="706" t="n"/>
      <c r="G16" s="718" t="n"/>
      <c r="H16" s="706" t="n"/>
      <c r="K16" s="706" t="n"/>
    </row>
    <row r="17">
      <c r="F17" s="706" t="n"/>
      <c r="G17" s="718" t="n"/>
      <c r="H17" s="706" t="n"/>
      <c r="I17" s="719" t="n"/>
      <c r="K17" s="706" t="n"/>
      <c r="L17" s="719" t="n"/>
    </row>
    <row r="18">
      <c r="B18" s="36" t="inlineStr">
        <is>
          <t>XPV Ownership</t>
        </is>
      </c>
      <c r="C18" s="36" t="n"/>
      <c r="D18" s="36" t="n"/>
      <c r="F18" s="720" t="n"/>
      <c r="G18" s="721" t="n"/>
      <c r="H18" s="720" t="n"/>
      <c r="I18" s="719" t="n"/>
      <c r="K18" s="720" t="n"/>
      <c r="L18" s="719" t="n"/>
    </row>
    <row r="19">
      <c r="B19" s="44" t="inlineStr">
        <is>
          <t>Investment Cost</t>
        </is>
      </c>
      <c r="F19" s="722" t="n"/>
      <c r="G19" s="723" t="n"/>
      <c r="H19" s="722" t="n"/>
      <c r="I19" s="719" t="n"/>
      <c r="K19" s="722" t="n"/>
      <c r="L19" s="719" t="n"/>
    </row>
    <row r="20">
      <c r="B20" s="39" t="inlineStr">
        <is>
          <t>Common Shares</t>
        </is>
      </c>
      <c r="F20" s="724">
        <f>'Cap Table (Jun 2026)'!D10</f>
        <v/>
      </c>
      <c r="G20" s="725" t="n"/>
      <c r="H20" s="724">
        <f>'Cap Table (Dec 2025)'!D10</f>
        <v/>
      </c>
      <c r="I20" s="706">
        <f>F20-H20</f>
        <v/>
      </c>
      <c r="K20" s="724" t="n">
        <v>12500000</v>
      </c>
      <c r="L20" s="706">
        <f>IFERROR(F20-K20,"n.a.")</f>
        <v/>
      </c>
      <c r="Q20" s="726" t="n"/>
    </row>
    <row r="21">
      <c r="B21" s="45" t="inlineStr">
        <is>
          <t>XPV Cost</t>
        </is>
      </c>
      <c r="C21" s="45" t="n"/>
      <c r="D21" s="45" t="n"/>
      <c r="E21" s="45" t="n"/>
      <c r="F21" s="727">
        <f>SUM(F20:F20)</f>
        <v/>
      </c>
      <c r="G21" s="723" t="n"/>
      <c r="H21" s="727">
        <f>SUM(H20:H20)</f>
        <v/>
      </c>
      <c r="I21" s="728">
        <f>F21-H21</f>
        <v/>
      </c>
      <c r="K21" s="727">
        <f>SUM(K20:K20)</f>
        <v/>
      </c>
      <c r="L21" s="728">
        <f>IFERROR(F21-K21,"n.a.")</f>
        <v/>
      </c>
    </row>
    <row r="22">
      <c r="F22" s="722" t="n"/>
      <c r="G22" s="723" t="n"/>
      <c r="H22" s="722" t="n"/>
      <c r="I22" s="729" t="n"/>
      <c r="K22" s="722" t="n"/>
      <c r="L22" s="729" t="n"/>
    </row>
    <row r="23">
      <c r="B23" s="44" t="inlineStr">
        <is>
          <t xml:space="preserve">Investment Value </t>
        </is>
      </c>
      <c r="F23" s="226" t="n"/>
      <c r="G23" s="130" t="n"/>
      <c r="H23" s="226" t="n"/>
      <c r="I23" s="729" t="n"/>
      <c r="K23" s="226" t="n"/>
      <c r="L23" s="729" t="n"/>
    </row>
    <row r="24">
      <c r="B24" s="39" t="inlineStr">
        <is>
          <t>Common Shares</t>
        </is>
      </c>
      <c r="F24" s="724">
        <f>'Cap Table (Jun 2026)'!J35</f>
        <v/>
      </c>
      <c r="G24" s="725" t="n"/>
      <c r="H24" s="724">
        <f>'Cap Table (Dec 2025)'!J35</f>
        <v/>
      </c>
      <c r="I24" s="706">
        <f>F24-H24</f>
        <v/>
      </c>
      <c r="K24" s="724" t="n">
        <v>29041295.88339777</v>
      </c>
      <c r="L24" s="706">
        <f>IFERROR(F24-K24,"n.a.")</f>
        <v/>
      </c>
    </row>
    <row r="25">
      <c r="B25" s="45" t="inlineStr">
        <is>
          <t>XPV Value</t>
        </is>
      </c>
      <c r="C25" s="45" t="n"/>
      <c r="D25" s="45" t="n"/>
      <c r="E25" s="45" t="n"/>
      <c r="F25" s="727">
        <f>SUM(F24:F24)</f>
        <v/>
      </c>
      <c r="G25" s="723" t="n"/>
      <c r="H25" s="727">
        <f>SUM(H24:H24)</f>
        <v/>
      </c>
      <c r="I25" s="728">
        <f>F25-H25</f>
        <v/>
      </c>
      <c r="J25" s="723" t="n"/>
      <c r="K25" s="727">
        <f>SUM(K24:K24)</f>
        <v/>
      </c>
      <c r="L25" s="728">
        <f>IFERROR(F25-K25,"n.a.")</f>
        <v/>
      </c>
      <c r="N25" s="718" t="n"/>
    </row>
    <row r="26">
      <c r="B26" s="39" t="inlineStr">
        <is>
          <t>XPV Investment Multiple</t>
        </is>
      </c>
      <c r="F26" s="730">
        <f>F25/F21</f>
        <v/>
      </c>
      <c r="G26" s="731" t="n"/>
      <c r="H26" s="730">
        <f>H25/H21</f>
        <v/>
      </c>
      <c r="I26" s="732">
        <f>F26-H26</f>
        <v/>
      </c>
      <c r="K26" s="730">
        <f>K25/K21</f>
        <v/>
      </c>
      <c r="L26" s="703">
        <f>IFERROR(F26-K26,"n.a.")</f>
        <v/>
      </c>
    </row>
    <row r="27">
      <c r="B27" s="44" t="inlineStr">
        <is>
          <t>XPV IRR</t>
        </is>
      </c>
      <c r="C27" s="44" t="n"/>
      <c r="D27" s="44" t="n"/>
      <c r="E27" s="44" t="n"/>
      <c r="F27" s="733">
        <f>'IRR Calculation (Jun 2026)'!F28</f>
        <v/>
      </c>
      <c r="G27" s="734" t="n"/>
      <c r="H27" s="733">
        <f>'IRR Calculation (Dec 2025)'!F28</f>
        <v/>
      </c>
      <c r="K27" s="735" t="n">
        <v>0.9408539175987245</v>
      </c>
    </row>
    <row r="28">
      <c r="B28" s="39" t="inlineStr">
        <is>
          <t>XPV Common Ownership</t>
        </is>
      </c>
      <c r="F28" s="736">
        <f>'Cap Table (Jun 2026)'!I10</f>
        <v/>
      </c>
      <c r="G28" s="737" t="n"/>
      <c r="H28" s="736">
        <f>'Cap Table (Dec 2025)'!I10</f>
        <v/>
      </c>
      <c r="K28" s="738" t="n">
        <v>0.946969696969697</v>
      </c>
    </row>
    <row r="29">
      <c r="B29" s="39" t="inlineStr">
        <is>
          <t>XPV FD Ownership</t>
        </is>
      </c>
      <c r="F29" s="739">
        <f>F25/F15</f>
        <v/>
      </c>
      <c r="G29" s="740" t="n"/>
      <c r="H29" s="739">
        <f>H25/H15</f>
        <v/>
      </c>
      <c r="K29" s="739">
        <f>K25/K15</f>
        <v/>
      </c>
    </row>
    <row r="30">
      <c r="B30" s="39" t="inlineStr">
        <is>
          <t>Equity Cost Basis</t>
        </is>
      </c>
      <c r="F30" s="741">
        <f>F21/F29</f>
        <v/>
      </c>
      <c r="G30" s="742" t="n"/>
      <c r="H30" s="741">
        <f>H21/H29</f>
        <v/>
      </c>
      <c r="K30" s="741">
        <f>K21/K29</f>
        <v/>
      </c>
    </row>
    <row r="31">
      <c r="B31" s="39" t="inlineStr">
        <is>
          <t>Cash</t>
        </is>
      </c>
      <c r="F31" s="741">
        <f>-F13</f>
        <v/>
      </c>
      <c r="G31" s="742" t="n"/>
      <c r="H31" s="741">
        <f>-H13</f>
        <v/>
      </c>
      <c r="K31" s="741">
        <f>-K13</f>
        <v/>
      </c>
    </row>
    <row r="32">
      <c r="B32" s="39" t="inlineStr">
        <is>
          <t>Debt</t>
        </is>
      </c>
      <c r="F32" s="741">
        <f>F14</f>
        <v/>
      </c>
      <c r="G32" s="742" t="n"/>
      <c r="H32" s="741">
        <f>H14</f>
        <v/>
      </c>
      <c r="K32" s="741">
        <f>K14</f>
        <v/>
      </c>
    </row>
    <row r="33">
      <c r="B33" s="38" t="inlineStr">
        <is>
          <t>Cost Basis</t>
        </is>
      </c>
      <c r="F33" s="743">
        <f>SUM(F30:F32)</f>
        <v/>
      </c>
      <c r="G33" s="744" t="n"/>
      <c r="H33" s="743">
        <f>SUM(H30:H32)</f>
        <v/>
      </c>
      <c r="I33" s="745" t="n"/>
      <c r="K33" s="743">
        <f>SUM(K30:K32)</f>
        <v/>
      </c>
      <c r="L33" s="745" t="n"/>
    </row>
    <row r="34">
      <c r="B34" s="44" t="inlineStr">
        <is>
          <t>Cost Basis / Adj. EBITDA</t>
        </is>
      </c>
      <c r="C34" s="44" t="n"/>
      <c r="D34" s="44" t="n"/>
      <c r="E34" s="44" t="n"/>
      <c r="F34" s="746">
        <f>F33/F10</f>
        <v/>
      </c>
      <c r="G34" s="747" t="n"/>
      <c r="H34" s="746">
        <f>H33/H10</f>
        <v/>
      </c>
      <c r="K34" s="746">
        <f>K33/K10</f>
        <v/>
      </c>
    </row>
    <row r="36">
      <c r="B36" s="306" t="inlineStr">
        <is>
          <t>Attribution Summary</t>
        </is>
      </c>
      <c r="C36" s="307" t="n"/>
      <c r="D36" s="307" t="n"/>
    </row>
    <row r="37">
      <c r="B37" s="39" t="inlineStr">
        <is>
          <t>Impact of Multiple</t>
        </is>
      </c>
      <c r="C37" s="308" t="n"/>
      <c r="D37" s="308" t="n"/>
      <c r="E37" s="308" t="n"/>
      <c r="F37" s="741">
        <f>((F9-H9)*F10)*F29</f>
        <v/>
      </c>
      <c r="G37" s="741" t="n"/>
      <c r="H37" s="741" t="n">
        <v>0</v>
      </c>
      <c r="K37" s="741" t="n">
        <v>0</v>
      </c>
    </row>
    <row r="38">
      <c r="B38" s="39" t="inlineStr">
        <is>
          <t>Impact of EBITDA</t>
        </is>
      </c>
      <c r="C38" s="308" t="n"/>
      <c r="D38" s="308" t="n"/>
      <c r="E38" s="308" t="n"/>
      <c r="F38" s="741">
        <f>((F10-H10)*H9)*F29</f>
        <v/>
      </c>
      <c r="G38" s="741" t="n"/>
      <c r="H38" s="741" t="n">
        <v>0</v>
      </c>
      <c r="K38" s="741" t="n">
        <v>0</v>
      </c>
    </row>
    <row r="39">
      <c r="B39" s="39" t="inlineStr">
        <is>
          <t>Impact of Net Cash</t>
        </is>
      </c>
      <c r="C39" s="308" t="n"/>
      <c r="D39" s="308" t="n"/>
      <c r="E39" s="308" t="n"/>
      <c r="F39" s="741">
        <f>((H14-H13)-(F14-F13))*F29</f>
        <v/>
      </c>
      <c r="G39" s="741" t="n"/>
      <c r="H39" s="741" t="n">
        <v>0</v>
      </c>
      <c r="K39" s="741" t="n">
        <v>0</v>
      </c>
    </row>
    <row r="40">
      <c r="B40" s="39" t="inlineStr">
        <is>
          <t>Impact of FX</t>
        </is>
      </c>
      <c r="C40" s="308" t="n"/>
      <c r="D40" s="308" t="n"/>
      <c r="E40" s="308" t="n"/>
      <c r="F40" s="741" t="n">
        <v>0</v>
      </c>
      <c r="G40" s="741" t="n"/>
      <c r="H40" s="741" t="n">
        <v>0</v>
      </c>
      <c r="K40" s="741" t="n">
        <v>0</v>
      </c>
    </row>
    <row r="41">
      <c r="B41" s="39" t="inlineStr">
        <is>
          <t>Change in Ownership</t>
        </is>
      </c>
      <c r="C41" s="308" t="n"/>
      <c r="D41" s="308" t="n"/>
      <c r="E41" s="308" t="n"/>
      <c r="F41" s="741">
        <f>(F29-H29)*H15</f>
        <v/>
      </c>
      <c r="G41" s="741" t="n"/>
      <c r="H41" s="741" t="n">
        <v>0</v>
      </c>
      <c r="K41" s="741" t="n">
        <v>0</v>
      </c>
    </row>
    <row r="42">
      <c r="B42" s="39" t="inlineStr">
        <is>
          <t>Change in Valuation Methodology</t>
        </is>
      </c>
      <c r="C42" s="308" t="n"/>
      <c r="D42" s="308" t="n"/>
      <c r="E42" s="308" t="n"/>
      <c r="F42" s="741" t="n">
        <v>0</v>
      </c>
      <c r="G42" s="741" t="n"/>
      <c r="H42" s="741" t="n">
        <v>0</v>
      </c>
      <c r="K42" s="741" t="n">
        <v>0</v>
      </c>
    </row>
    <row r="43">
      <c r="B43" s="308" t="n"/>
      <c r="C43" s="308" t="n"/>
      <c r="D43" s="308" t="n"/>
      <c r="E43" s="308" t="n"/>
      <c r="F43" s="743">
        <f>SUM(F37:F42)</f>
        <v/>
      </c>
      <c r="G43" s="748" t="n"/>
      <c r="H43" s="743">
        <f>SUM(H37:H42)</f>
        <v/>
      </c>
      <c r="K43" s="743">
        <f>SUM(K37:K42)</f>
        <v/>
      </c>
    </row>
    <row r="44">
      <c r="B44" s="308" t="n"/>
      <c r="C44" s="308" t="n"/>
      <c r="D44" s="308" t="n"/>
      <c r="E44" s="308" t="n"/>
      <c r="F44" s="749">
        <f>F43-I25</f>
        <v/>
      </c>
      <c r="G44" s="749" t="n"/>
      <c r="H44" s="749">
        <f>H43-J25</f>
        <v/>
      </c>
      <c r="K44" s="749">
        <f>K43-M25</f>
        <v/>
      </c>
    </row>
    <row r="47">
      <c r="F47" s="717" t="n"/>
      <c r="G47" s="717" t="n"/>
      <c r="H47" s="717" t="n"/>
      <c r="K47" s="717" t="n"/>
    </row>
  </sheetData>
  <conditionalFormatting sqref="I9:I10">
    <cfRule type="cellIs" priority="25" operator="equal">
      <formula>0</formula>
    </cfRule>
    <cfRule type="cellIs" priority="26" operator="lessThan" dxfId="11">
      <formula>0</formula>
    </cfRule>
    <cfRule type="cellIs" priority="27" operator="greaterThan" dxfId="10">
      <formula>0</formula>
    </cfRule>
  </conditionalFormatting>
  <conditionalFormatting sqref="I12:I13">
    <cfRule type="cellIs" priority="22" operator="equal">
      <formula>0</formula>
    </cfRule>
    <cfRule type="cellIs" priority="23" operator="lessThan" dxfId="11">
      <formula>0</formula>
    </cfRule>
    <cfRule type="cellIs" priority="24" operator="greaterThan" dxfId="10">
      <formula>0</formula>
    </cfRule>
  </conditionalFormatting>
  <conditionalFormatting sqref="I15">
    <cfRule type="cellIs" priority="19" operator="equal">
      <formula>0</formula>
    </cfRule>
    <cfRule type="cellIs" priority="20" operator="lessThan" dxfId="11">
      <formula>0</formula>
    </cfRule>
    <cfRule type="cellIs" priority="21" operator="greaterThan" dxfId="10">
      <formula>0</formula>
    </cfRule>
  </conditionalFormatting>
  <conditionalFormatting sqref="I20:I21 L20:L21">
    <cfRule type="cellIs" priority="40" operator="equal">
      <formula>0</formula>
    </cfRule>
    <cfRule type="cellIs" priority="41" operator="lessThan" dxfId="11">
      <formula>0</formula>
    </cfRule>
    <cfRule type="cellIs" priority="42" operator="greaterThan" dxfId="10">
      <formula>0</formula>
    </cfRule>
  </conditionalFormatting>
  <conditionalFormatting sqref="I24:I26">
    <cfRule type="cellIs" priority="100" operator="equal">
      <formula>0</formula>
    </cfRule>
    <cfRule type="cellIs" priority="101" operator="lessThan" dxfId="11">
      <formula>0</formula>
    </cfRule>
    <cfRule type="cellIs" priority="102" operator="greaterThan" dxfId="10">
      <formula>0</formula>
    </cfRule>
  </conditionalFormatting>
  <conditionalFormatting sqref="L9:L10">
    <cfRule type="cellIs" priority="7" operator="equal">
      <formula>0</formula>
    </cfRule>
    <cfRule type="cellIs" priority="8" operator="lessThan" dxfId="11">
      <formula>0</formula>
    </cfRule>
    <cfRule type="cellIs" priority="9" operator="greaterThan" dxfId="10">
      <formula>0</formula>
    </cfRule>
  </conditionalFormatting>
  <conditionalFormatting sqref="L12:L13">
    <cfRule type="cellIs" priority="4" operator="equal">
      <formula>0</formula>
    </cfRule>
    <cfRule type="cellIs" priority="5" operator="lessThan" dxfId="11">
      <formula>0</formula>
    </cfRule>
    <cfRule type="cellIs" priority="6" operator="greaterThan" dxfId="10">
      <formula>0</formula>
    </cfRule>
  </conditionalFormatting>
  <conditionalFormatting sqref="L15">
    <cfRule type="cellIs" priority="1" operator="equal">
      <formula>0</formula>
    </cfRule>
    <cfRule type="cellIs" priority="2" operator="lessThan" dxfId="11">
      <formula>0</formula>
    </cfRule>
    <cfRule type="cellIs" priority="3" operator="greaterThan" dxfId="10">
      <formula>0</formula>
    </cfRule>
  </conditionalFormatting>
  <conditionalFormatting sqref="L24:L26">
    <cfRule type="cellIs" priority="13" operator="equal">
      <formula>0</formula>
    </cfRule>
    <cfRule type="cellIs" priority="14" operator="lessThan" dxfId="11">
      <formula>0</formula>
    </cfRule>
    <cfRule type="cellIs" priority="15" operator="greaterThan" dxfId="10">
      <formula>0</formula>
    </cfRule>
  </conditionalFormatting>
  <conditionalFormatting sqref="N25">
    <cfRule type="cellIs" priority="16" operator="equal">
      <formula>0</formula>
    </cfRule>
    <cfRule type="cellIs" priority="17" operator="lessThan" dxfId="11">
      <formula>0</formula>
    </cfRule>
    <cfRule type="cellIs" priority="18" operator="greaterThan" dxfId="10">
      <formula>0</formula>
    </cfRule>
  </conditionalFormatting>
  <pageMargins left="0.7086614173228347" right="0.7086614173228347" top="0.7480314960629921" bottom="0.7480314960629921" header="0.3149606299212598" footer="0.3149606299212598"/>
  <pageSetup orientation="portrait" scale="65" fitToHeight="0"/>
  <legacyDrawing xmlns:r="http://schemas.openxmlformats.org/officeDocument/2006/relationships" r:id="anysvml"/>
</worksheet>
</file>

<file path=xl/worksheets/sheet4.xml><?xml version="1.0" encoding="utf-8"?>
<worksheet xmlns="http://schemas.openxmlformats.org/spreadsheetml/2006/main">
  <sheetPr>
    <tabColor theme="4"/>
    <outlinePr summaryBelow="1" summaryRight="1"/>
    <pageSetUpPr fitToPage="1"/>
  </sheetPr>
  <dimension ref="A3:R93"/>
  <sheetViews>
    <sheetView showGridLines="0" view="pageBreakPreview" zoomScaleNormal="100" zoomScaleSheetLayoutView="100" workbookViewId="0">
      <pane xSplit="3" ySplit="6" topLeftCell="D7" activePane="bottomRight" state="frozen"/>
      <selection pane="topRight" activeCell="D1" sqref="D1"/>
      <selection pane="bottomLeft" activeCell="A7" sqref="A7"/>
      <selection pane="bottomRight" activeCell="E6" sqref="E6"/>
    </sheetView>
  </sheetViews>
  <sheetFormatPr baseColWidth="8" defaultColWidth="9.140625" defaultRowHeight="11.25" outlineLevelRow="1"/>
  <cols>
    <col width="5.7109375" customWidth="1" style="486" min="1" max="1"/>
    <col width="13.140625" customWidth="1" style="487" min="2" max="2"/>
    <col width="25.140625" bestFit="1" customWidth="1" style="487" min="3" max="3"/>
    <col width="3" customWidth="1" style="487" min="4" max="4"/>
    <col width="11" customWidth="1" style="487" min="5" max="17"/>
    <col width="9.140625" customWidth="1" style="487" min="18" max="16384"/>
  </cols>
  <sheetData>
    <row r="1" ht="5.1" customHeight="1"/>
    <row r="2" ht="5.1" customHeight="1"/>
    <row r="3" ht="12.75" customHeight="1">
      <c r="B3" s="488" t="inlineStr">
        <is>
          <t>XPV Portfolio Company Adjustments to EBITDA</t>
        </is>
      </c>
      <c r="C3" s="489" t="n"/>
      <c r="D3" s="489" t="n"/>
      <c r="E3" s="489" t="n"/>
      <c r="F3" s="489" t="n"/>
      <c r="G3" s="489" t="n"/>
      <c r="H3" s="489" t="n"/>
      <c r="I3" s="489" t="n"/>
      <c r="J3" s="489" t="n"/>
      <c r="K3" s="489" t="n"/>
      <c r="L3" s="489" t="n"/>
      <c r="M3" s="489" t="n"/>
      <c r="N3" s="489" t="n"/>
      <c r="O3" s="489" t="n"/>
      <c r="P3" s="489" t="n"/>
      <c r="Q3" s="489" t="n"/>
    </row>
    <row r="4">
      <c r="B4" s="490" t="inlineStr">
        <is>
          <t>Opus Water</t>
        </is>
      </c>
    </row>
    <row r="5" ht="5.1" customHeight="1"/>
    <row r="6" ht="9.949999999999999" customHeight="1" thickBot="1">
      <c r="E6" s="750">
        <f>EOMONTH(P6,-11)</f>
        <v/>
      </c>
      <c r="F6" s="750">
        <f>EOMONTH(E6,1)</f>
        <v/>
      </c>
      <c r="G6" s="750">
        <f>EOMONTH(F6,1)</f>
        <v/>
      </c>
      <c r="H6" s="750">
        <f>EOMONTH(G6,1)</f>
        <v/>
      </c>
      <c r="I6" s="750">
        <f>EOMONTH(H6,1)</f>
        <v/>
      </c>
      <c r="J6" s="750">
        <f>EOMONTH(I6,1)</f>
        <v/>
      </c>
      <c r="K6" s="750">
        <f>EOMONTH(J6,1)</f>
        <v/>
      </c>
      <c r="L6" s="750">
        <f>EOMONTH(K6,1)</f>
        <v/>
      </c>
      <c r="M6" s="750">
        <f>EOMONTH(L6,1)</f>
        <v/>
      </c>
      <c r="N6" s="750">
        <f>EOMONTH(M6,1)</f>
        <v/>
      </c>
      <c r="O6" s="750">
        <f>EOMONTH(N6,1)</f>
        <v/>
      </c>
      <c r="P6" s="750">
        <f>'I. Cover Page'!B9</f>
        <v/>
      </c>
      <c r="Q6" s="751" t="inlineStr">
        <is>
          <t>LTM</t>
        </is>
      </c>
    </row>
    <row r="7" ht="9.949999999999999" customHeight="1">
      <c r="B7" s="487" t="inlineStr">
        <is>
          <t>Opus Water</t>
        </is>
      </c>
      <c r="E7" s="752">
        <f>'Pro Forma Financials (Q1)'!I21</f>
        <v/>
      </c>
      <c r="F7" s="752">
        <f>'Pro Forma Financials (Q1)'!J21</f>
        <v/>
      </c>
      <c r="G7" s="752">
        <f>'Pro Forma Financials (Q1)'!K21</f>
        <v/>
      </c>
      <c r="H7" s="752">
        <f>'Pro Forma Financials (Q1)'!L21</f>
        <v/>
      </c>
      <c r="I7" s="752">
        <f>'Pro Forma Financials (Q1)'!M21</f>
        <v/>
      </c>
      <c r="J7" s="752">
        <f>'Pro Forma Financials (Q1)'!N21</f>
        <v/>
      </c>
      <c r="K7" s="752">
        <f>'Pro Forma Financials (Q1)'!O21</f>
        <v/>
      </c>
      <c r="L7" s="752">
        <f>'Pro Forma Financials (Q1)'!P21</f>
        <v/>
      </c>
      <c r="M7" s="752">
        <f>'Pro Forma Financials (Q1)'!Q21</f>
        <v/>
      </c>
      <c r="N7" s="752">
        <f>'Pro Forma Financials (Q1)'!R21</f>
        <v/>
      </c>
      <c r="O7" s="752">
        <f>'Pro Forma Financials (Q1)'!S21</f>
        <v/>
      </c>
      <c r="P7" s="752">
        <f>'Pro Forma Financials (Q1)'!T21</f>
        <v/>
      </c>
      <c r="Q7" s="753">
        <f>SUM(E7:P7)</f>
        <v/>
      </c>
    </row>
    <row r="8" ht="9.949999999999999" customHeight="1">
      <c r="B8" s="487" t="inlineStr">
        <is>
          <t>RP Adams</t>
        </is>
      </c>
      <c r="E8" s="752">
        <f>'Pro Forma Financials (Q1)'!I22</f>
        <v/>
      </c>
      <c r="F8" s="752">
        <f>'Pro Forma Financials (Q1)'!J22</f>
        <v/>
      </c>
      <c r="G8" s="752">
        <f>'Pro Forma Financials (Q1)'!K22</f>
        <v/>
      </c>
      <c r="H8" s="752">
        <f>'Pro Forma Financials (Q1)'!L22</f>
        <v/>
      </c>
      <c r="I8" s="752">
        <f>'Pro Forma Financials (Q1)'!M22</f>
        <v/>
      </c>
      <c r="J8" s="752">
        <f>'Pro Forma Financials (Q1)'!N22</f>
        <v/>
      </c>
      <c r="K8" s="752">
        <f>'Pro Forma Financials (Q1)'!O22</f>
        <v/>
      </c>
      <c r="L8" s="752">
        <f>'Pro Forma Financials (Q1)'!P22</f>
        <v/>
      </c>
      <c r="M8" s="752">
        <f>'Pro Forma Financials (Q1)'!Q22</f>
        <v/>
      </c>
      <c r="N8" s="752">
        <f>'Pro Forma Financials (Q1)'!R22</f>
        <v/>
      </c>
      <c r="O8" s="752">
        <f>'Pro Forma Financials (Q1)'!S22</f>
        <v/>
      </c>
      <c r="P8" s="752">
        <f>'Pro Forma Financials (Q1)'!T22</f>
        <v/>
      </c>
      <c r="Q8" s="754">
        <f>SUM(E8:P8)</f>
        <v/>
      </c>
    </row>
    <row r="9" ht="9.949999999999999" customHeight="1">
      <c r="B9" s="489" t="inlineStr">
        <is>
          <t>Yeary Controls</t>
        </is>
      </c>
      <c r="C9" s="489" t="n"/>
      <c r="D9" s="489" t="n"/>
      <c r="E9" s="755">
        <f>'Pro Forma Financials (Q1)'!I23</f>
        <v/>
      </c>
      <c r="F9" s="755">
        <f>'Pro Forma Financials (Q1)'!J23</f>
        <v/>
      </c>
      <c r="G9" s="755">
        <f>'Pro Forma Financials (Q1)'!K23</f>
        <v/>
      </c>
      <c r="H9" s="756">
        <f>'Pro Forma Financials (Q1)'!L23</f>
        <v/>
      </c>
      <c r="I9" s="756">
        <f>'Pro Forma Financials (Q1)'!M23</f>
        <v/>
      </c>
      <c r="J9" s="756">
        <f>'Pro Forma Financials (Q1)'!N23</f>
        <v/>
      </c>
      <c r="K9" s="756">
        <f>'Pro Forma Financials (Q1)'!O23</f>
        <v/>
      </c>
      <c r="L9" s="756">
        <f>'Pro Forma Financials (Q1)'!P23</f>
        <v/>
      </c>
      <c r="M9" s="756">
        <f>'Pro Forma Financials (Q1)'!Q23</f>
        <v/>
      </c>
      <c r="N9" s="756">
        <f>'Pro Forma Financials (Q1)'!R23</f>
        <v/>
      </c>
      <c r="O9" s="756">
        <f>'Pro Forma Financials (Q1)'!S23</f>
        <v/>
      </c>
      <c r="P9" s="756">
        <f>'Pro Forma Financials (Q1)'!T23</f>
        <v/>
      </c>
      <c r="Q9" s="757">
        <f>SUM(E9:P9)</f>
        <v/>
      </c>
    </row>
    <row r="10" ht="9.949999999999999" customHeight="1">
      <c r="B10" s="493" t="inlineStr">
        <is>
          <t>PF EBITDA</t>
        </is>
      </c>
      <c r="C10" s="494" t="n"/>
      <c r="D10" s="495" t="n"/>
      <c r="E10" s="758">
        <f>SUM(E7:E9)</f>
        <v/>
      </c>
      <c r="F10" s="758">
        <f>SUM(F7:F9)</f>
        <v/>
      </c>
      <c r="G10" s="758">
        <f>SUM(G7:G9)</f>
        <v/>
      </c>
      <c r="H10" s="758">
        <f>SUM(H7:H9)</f>
        <v/>
      </c>
      <c r="I10" s="758">
        <f>SUM(I7:I9)</f>
        <v/>
      </c>
      <c r="J10" s="758">
        <f>SUM(J7:J9)</f>
        <v/>
      </c>
      <c r="K10" s="758">
        <f>SUM(K7:K9)</f>
        <v/>
      </c>
      <c r="L10" s="758">
        <f>SUM(L7:L9)</f>
        <v/>
      </c>
      <c r="M10" s="758">
        <f>SUM(M7:M9)</f>
        <v/>
      </c>
      <c r="N10" s="758">
        <f>SUM(N7:N9)</f>
        <v/>
      </c>
      <c r="O10" s="758">
        <f>SUM(O7:O9)</f>
        <v/>
      </c>
      <c r="P10" s="758">
        <f>SUM(P7:P9)</f>
        <v/>
      </c>
      <c r="Q10" s="759">
        <f>SUM(Q7:Q9)</f>
        <v/>
      </c>
    </row>
    <row r="11" ht="9.949999999999999" customHeight="1">
      <c r="E11" s="760" t="n"/>
      <c r="F11" s="760" t="n"/>
      <c r="G11" s="760" t="n"/>
      <c r="H11" s="760" t="n"/>
      <c r="I11" s="760" t="n"/>
      <c r="J11" s="760" t="n"/>
      <c r="K11" s="760" t="n"/>
      <c r="L11" s="760" t="n"/>
      <c r="M11" s="760" t="n"/>
      <c r="N11" s="760" t="n"/>
      <c r="O11" s="760" t="n"/>
      <c r="P11" s="760" t="n"/>
      <c r="Q11" s="761" t="n"/>
    </row>
    <row r="12" ht="9.949999999999999" customHeight="1">
      <c r="B12" s="500" t="inlineStr">
        <is>
          <t>Category 1: Recruitment</t>
        </is>
      </c>
      <c r="C12" s="489" t="n"/>
      <c r="D12" s="489" t="n"/>
      <c r="E12" s="762" t="n"/>
      <c r="F12" s="762" t="n"/>
      <c r="G12" s="762" t="n"/>
      <c r="H12" s="762" t="n"/>
      <c r="I12" s="762" t="n"/>
      <c r="J12" s="762" t="n"/>
      <c r="K12" s="762" t="n"/>
      <c r="L12" s="762" t="n"/>
      <c r="M12" s="762" t="n"/>
      <c r="N12" s="762" t="n"/>
      <c r="O12" s="762" t="n"/>
      <c r="P12" s="762" t="n"/>
      <c r="Q12" s="763" t="n"/>
    </row>
    <row r="13" outlineLevel="1" ht="9.949999999999999" customHeight="1">
      <c r="B13" s="503" t="inlineStr">
        <is>
          <t>Total One-Time Recruitment Expenses</t>
        </is>
      </c>
      <c r="E13" s="764" t="n"/>
      <c r="F13" s="764" t="n"/>
      <c r="G13" s="764" t="n"/>
      <c r="H13" s="764" t="n"/>
      <c r="I13" s="764" t="n"/>
      <c r="J13" s="764" t="n"/>
      <c r="K13" s="764" t="n"/>
      <c r="L13" s="764" t="n"/>
      <c r="M13" s="764" t="n"/>
      <c r="N13" s="764" t="n"/>
      <c r="O13" s="764" t="n"/>
      <c r="P13" s="764" t="n"/>
      <c r="Q13" s="765" t="n"/>
    </row>
    <row r="14" outlineLevel="1" ht="9.949999999999999" customHeight="1">
      <c r="C14" s="506" t="inlineStr">
        <is>
          <t>Recruiting Costs</t>
        </is>
      </c>
      <c r="D14" s="507" t="n"/>
      <c r="E14" s="766" t="n">
        <v>0</v>
      </c>
      <c r="F14" s="766" t="n">
        <v>0</v>
      </c>
      <c r="G14" s="766" t="n">
        <v>0</v>
      </c>
      <c r="H14" s="767" t="n">
        <v>0</v>
      </c>
      <c r="I14" s="767" t="n">
        <v>0</v>
      </c>
      <c r="J14" s="767" t="n">
        <v>22481.25</v>
      </c>
      <c r="K14" s="767" t="n">
        <v>22481.25</v>
      </c>
      <c r="L14" s="767" t="n">
        <v>68106.25</v>
      </c>
      <c r="M14" s="767" t="n">
        <v>16856.25</v>
      </c>
      <c r="N14" s="767" t="n">
        <v>1856.25</v>
      </c>
      <c r="O14" s="767" t="n">
        <v>1856.25</v>
      </c>
      <c r="P14" s="767" t="n">
        <v>19500</v>
      </c>
      <c r="Q14" s="768">
        <f>SUM(E14:P14)</f>
        <v/>
      </c>
    </row>
    <row r="15" outlineLevel="1" ht="9.949999999999999" customHeight="1">
      <c r="C15" s="506" t="inlineStr">
        <is>
          <t>Day Bonus &amp; Taxes</t>
        </is>
      </c>
      <c r="D15" s="507" t="n"/>
      <c r="E15" s="766" t="n"/>
      <c r="F15" s="767" t="n"/>
      <c r="G15" s="767" t="n"/>
      <c r="H15" s="767" t="n"/>
      <c r="I15" s="767" t="n"/>
      <c r="J15" s="767" t="n"/>
      <c r="K15" s="767" t="n"/>
      <c r="L15" s="767" t="n"/>
      <c r="M15" s="767" t="n"/>
      <c r="N15" s="767" t="n"/>
      <c r="O15" s="767" t="n"/>
      <c r="P15" s="767" t="n"/>
      <c r="Q15" s="768">
        <f>SUM(E15:P15)</f>
        <v/>
      </c>
    </row>
    <row r="16" ht="9.949999999999999" customFormat="1" customHeight="1" s="513">
      <c r="A16" s="512" t="n"/>
      <c r="B16" s="513" t="inlineStr">
        <is>
          <t>Recruitment Expenses</t>
        </is>
      </c>
      <c r="C16" s="514" t="n"/>
      <c r="E16" s="769">
        <f>IF(E13&gt;0,E13,SUM(E14:E15))</f>
        <v/>
      </c>
      <c r="F16" s="769">
        <f>IF(F13&gt;0,F13,SUM(F14:F15))</f>
        <v/>
      </c>
      <c r="G16" s="769">
        <f>IF(G13&gt;0,G13,SUM(G14:G15))</f>
        <v/>
      </c>
      <c r="H16" s="769">
        <f>IF(H13&gt;0,H13,SUM(H14:H15))</f>
        <v/>
      </c>
      <c r="I16" s="769">
        <f>IF(I13&gt;0,I13,SUM(I14:I15))</f>
        <v/>
      </c>
      <c r="J16" s="769">
        <f>IF(J13&gt;0,J13,SUM(J14:J15))</f>
        <v/>
      </c>
      <c r="K16" s="769">
        <f>IF(K13&gt;0,K13,SUM(K14:K15))</f>
        <v/>
      </c>
      <c r="L16" s="769">
        <f>IF(L13&gt;0,L13,SUM(L14:L15))</f>
        <v/>
      </c>
      <c r="M16" s="769">
        <f>IF(M13&gt;0,M13,SUM(M14:M15))</f>
        <v/>
      </c>
      <c r="N16" s="769">
        <f>IF(N13&gt;0,N13,SUM(N14:N15))</f>
        <v/>
      </c>
      <c r="O16" s="769">
        <f>IF(O13&gt;0,O13,SUM(O14:O15))</f>
        <v/>
      </c>
      <c r="P16" s="769">
        <f>IF(P13&gt;0,P13,SUM(P14:P15))</f>
        <v/>
      </c>
      <c r="Q16" s="770">
        <f>SUM(E16:P16)</f>
        <v/>
      </c>
    </row>
    <row r="17" ht="9.949999999999999" customHeight="1">
      <c r="C17" s="503" t="n"/>
      <c r="E17" s="771" t="n"/>
      <c r="F17" s="771" t="n"/>
      <c r="G17" s="771" t="n"/>
      <c r="H17" s="771" t="n"/>
      <c r="I17" s="771" t="n"/>
      <c r="J17" s="771" t="n"/>
      <c r="K17" s="771" t="n"/>
      <c r="L17" s="771" t="n"/>
      <c r="M17" s="771" t="n"/>
      <c r="N17" s="771" t="n"/>
      <c r="O17" s="771" t="n"/>
      <c r="P17" s="771" t="n"/>
      <c r="Q17" s="772" t="n"/>
    </row>
    <row r="18" ht="9.949999999999999" customHeight="1">
      <c r="B18" s="500" t="inlineStr">
        <is>
          <t>Category 2: XPV Related</t>
        </is>
      </c>
      <c r="C18" s="519" t="n"/>
      <c r="D18" s="489" t="n"/>
      <c r="E18" s="773" t="n"/>
      <c r="F18" s="773" t="n"/>
      <c r="G18" s="773" t="n"/>
      <c r="H18" s="773" t="n"/>
      <c r="I18" s="773" t="n"/>
      <c r="J18" s="773" t="n"/>
      <c r="K18" s="773" t="n"/>
      <c r="L18" s="773" t="n"/>
      <c r="M18" s="773" t="n"/>
      <c r="N18" s="773" t="n"/>
      <c r="O18" s="773" t="n"/>
      <c r="P18" s="773" t="n"/>
      <c r="Q18" s="774" t="n"/>
    </row>
    <row r="19" outlineLevel="1" ht="9.949999999999999" customHeight="1">
      <c r="B19" s="503" t="inlineStr">
        <is>
          <t>Total XPV Expenses</t>
        </is>
      </c>
      <c r="C19" s="503" t="n"/>
      <c r="E19" s="764" t="n"/>
      <c r="F19" s="764" t="n"/>
      <c r="G19" s="764" t="n"/>
      <c r="H19" s="764" t="n"/>
      <c r="I19" s="764" t="n"/>
      <c r="J19" s="764" t="n"/>
      <c r="K19" s="764" t="n"/>
      <c r="L19" s="764" t="n"/>
      <c r="M19" s="764" t="n"/>
      <c r="N19" s="764" t="n"/>
      <c r="O19" s="764" t="n"/>
      <c r="P19" s="764" t="n"/>
      <c r="Q19" s="765" t="n"/>
    </row>
    <row r="20" outlineLevel="1" ht="9.949999999999999" customHeight="1">
      <c r="C20" s="506" t="inlineStr">
        <is>
          <t>Petra Coach</t>
        </is>
      </c>
      <c r="E20" s="766" t="n"/>
      <c r="F20" s="767" t="n"/>
      <c r="G20" s="767" t="n"/>
      <c r="H20" s="767" t="n"/>
      <c r="I20" s="767" t="n"/>
      <c r="J20" s="767" t="n"/>
      <c r="K20" s="767" t="n"/>
      <c r="L20" s="767" t="n"/>
      <c r="M20" s="767" t="n"/>
      <c r="N20" s="767" t="n"/>
      <c r="O20" s="767" t="n"/>
      <c r="P20" s="767" t="n"/>
      <c r="Q20" s="768">
        <f>SUM(E20:P20)</f>
        <v/>
      </c>
    </row>
    <row r="21" outlineLevel="1" ht="9.949999999999999" customHeight="1">
      <c r="C21" s="506" t="inlineStr">
        <is>
          <t>Board Fees</t>
        </is>
      </c>
      <c r="E21" s="766" t="n">
        <v>0</v>
      </c>
      <c r="F21" s="767" t="n">
        <v>25184.25</v>
      </c>
      <c r="G21" s="767" t="n">
        <v>2205.34</v>
      </c>
      <c r="H21" s="767" t="n">
        <v>0</v>
      </c>
      <c r="I21" s="767" t="n">
        <v>13880.54</v>
      </c>
      <c r="J21" s="767" t="n">
        <v>0</v>
      </c>
      <c r="K21" s="767" t="n"/>
      <c r="L21" s="767" t="n">
        <v>12500</v>
      </c>
      <c r="M21" s="767" t="n"/>
      <c r="N21" s="767" t="n">
        <v>0</v>
      </c>
      <c r="O21" s="767" t="n">
        <v>25000</v>
      </c>
      <c r="P21" s="767" t="n"/>
      <c r="Q21" s="768">
        <f>SUM(E21:P21)</f>
        <v/>
      </c>
    </row>
    <row r="22" ht="9.949999999999999" customFormat="1" customHeight="1" s="513">
      <c r="A22" s="512" t="n"/>
      <c r="B22" s="513" t="inlineStr">
        <is>
          <t>XPV Related Expenses</t>
        </is>
      </c>
      <c r="C22" s="514" t="n"/>
      <c r="E22" s="769">
        <f>IF(E19&gt;0,E19,SUM(E20:E21))</f>
        <v/>
      </c>
      <c r="F22" s="769">
        <f>IF(F19&gt;0,F19,SUM(F20:F21))</f>
        <v/>
      </c>
      <c r="G22" s="769">
        <f>IF(G19&gt;0,G19,SUM(G20:G21))</f>
        <v/>
      </c>
      <c r="H22" s="769">
        <f>IF(H19&gt;0,H19,SUM(H20:H21))</f>
        <v/>
      </c>
      <c r="I22" s="769">
        <f>IF(I19&gt;0,I19,SUM(I20:I21))</f>
        <v/>
      </c>
      <c r="J22" s="769">
        <f>IF(J19&gt;0,J19,SUM(J20:J21))</f>
        <v/>
      </c>
      <c r="K22" s="769">
        <f>IF(K19&gt;0,K19,SUM(K20:K21))</f>
        <v/>
      </c>
      <c r="L22" s="769">
        <f>IF(L19&gt;0,L19,SUM(L20:L21))</f>
        <v/>
      </c>
      <c r="M22" s="769">
        <f>IF(M19&gt;0,M19,SUM(M20:M21))</f>
        <v/>
      </c>
      <c r="N22" s="769">
        <f>IF(N19&gt;0,N19,SUM(N20:N21))</f>
        <v/>
      </c>
      <c r="O22" s="769">
        <f>IF(O19&gt;0,O19,SUM(O20:O21))</f>
        <v/>
      </c>
      <c r="P22" s="769">
        <f>IF(P19&gt;0,P19,SUM(P20:P21))</f>
        <v/>
      </c>
      <c r="Q22" s="770">
        <f>SUM(E22:P22)</f>
        <v/>
      </c>
    </row>
    <row r="23" ht="9.949999999999999" customHeight="1">
      <c r="C23" s="503" t="n"/>
      <c r="E23" s="771" t="n"/>
      <c r="F23" s="771" t="n"/>
      <c r="G23" s="771" t="n"/>
      <c r="H23" s="771" t="n"/>
      <c r="I23" s="771" t="n"/>
      <c r="J23" s="771" t="n"/>
      <c r="K23" s="771" t="n"/>
      <c r="L23" s="771" t="n"/>
      <c r="M23" s="771" t="n"/>
      <c r="N23" s="771" t="n"/>
      <c r="O23" s="771" t="n"/>
      <c r="P23" s="771" t="n"/>
      <c r="Q23" s="772" t="n"/>
    </row>
    <row r="24" ht="9.949999999999999" customHeight="1">
      <c r="B24" s="500" t="inlineStr">
        <is>
          <t>Category 3: Financing Related</t>
        </is>
      </c>
      <c r="C24" s="519" t="n"/>
      <c r="D24" s="489" t="n"/>
      <c r="E24" s="773" t="n"/>
      <c r="F24" s="773" t="n"/>
      <c r="G24" s="773" t="n"/>
      <c r="H24" s="773" t="n"/>
      <c r="I24" s="773" t="n"/>
      <c r="J24" s="773" t="n"/>
      <c r="K24" s="773" t="n"/>
      <c r="L24" s="773" t="n"/>
      <c r="M24" s="773" t="n"/>
      <c r="N24" s="773" t="n"/>
      <c r="O24" s="773" t="n"/>
      <c r="P24" s="773" t="n"/>
      <c r="Q24" s="774" t="n"/>
    </row>
    <row r="25" outlineLevel="1" ht="9.949999999999999" customHeight="1">
      <c r="B25" s="503" t="inlineStr">
        <is>
          <t>Total One-Time Financing Expenses</t>
        </is>
      </c>
      <c r="C25" s="503" t="n"/>
      <c r="E25" s="764" t="n"/>
      <c r="F25" s="764" t="n"/>
      <c r="G25" s="764" t="n"/>
      <c r="H25" s="764" t="n"/>
      <c r="I25" s="764" t="n"/>
      <c r="J25" s="764" t="n"/>
      <c r="K25" s="764" t="n"/>
      <c r="L25" s="764" t="n"/>
      <c r="M25" s="764" t="n"/>
      <c r="N25" s="764" t="n"/>
      <c r="O25" s="764" t="n"/>
      <c r="P25" s="764" t="n"/>
      <c r="Q25" s="765" t="n"/>
    </row>
    <row r="26" outlineLevel="1" ht="9.949999999999999" customHeight="1">
      <c r="C26" s="506" t="n"/>
      <c r="E26" s="766" t="n"/>
      <c r="F26" s="775" t="n"/>
      <c r="G26" s="775" t="n"/>
      <c r="H26" s="775" t="n"/>
      <c r="I26" s="775" t="n"/>
      <c r="J26" s="767" t="n"/>
      <c r="K26" s="767" t="n"/>
      <c r="L26" s="767" t="n"/>
      <c r="M26" s="767" t="n"/>
      <c r="N26" s="767" t="n"/>
      <c r="O26" s="767" t="n"/>
      <c r="P26" s="767" t="n"/>
      <c r="Q26" s="768">
        <f>SUM(E26:P26)</f>
        <v/>
      </c>
    </row>
    <row r="27" ht="9.949999999999999" customFormat="1" customHeight="1" s="513">
      <c r="A27" s="512" t="n"/>
      <c r="B27" s="513" t="inlineStr">
        <is>
          <t>Financing Related Expenses</t>
        </is>
      </c>
      <c r="C27" s="514" t="n"/>
      <c r="E27" s="769">
        <f>IF(E25&gt;0,E25,SUM(E26:E26))</f>
        <v/>
      </c>
      <c r="F27" s="769">
        <f>IF(F25&gt;0,F25,SUM(F26:F26))</f>
        <v/>
      </c>
      <c r="G27" s="769">
        <f>IF(G25&gt;0,G25,SUM(G26:G26))</f>
        <v/>
      </c>
      <c r="H27" s="769">
        <f>IF(H25&gt;0,H25,SUM(H26:H26))</f>
        <v/>
      </c>
      <c r="I27" s="769">
        <f>IF(I25&gt;0,I25,SUM(I26:I26))</f>
        <v/>
      </c>
      <c r="J27" s="769">
        <f>IF(J25&gt;0,J25,SUM(J26:J26))</f>
        <v/>
      </c>
      <c r="K27" s="769">
        <f>IF(K25&gt;0,K25,SUM(K26:K26))</f>
        <v/>
      </c>
      <c r="L27" s="769">
        <f>IF(L25&gt;0,L25,SUM(L26:L26))</f>
        <v/>
      </c>
      <c r="M27" s="769">
        <f>IF(M25&gt;0,M25,SUM(M26:M26))</f>
        <v/>
      </c>
      <c r="N27" s="769">
        <f>IF(N25&gt;0,N25,SUM(N26:N26))</f>
        <v/>
      </c>
      <c r="O27" s="769">
        <f>IF(O25&gt;0,O25,SUM(O26:O26))</f>
        <v/>
      </c>
      <c r="P27" s="769">
        <f>IF(P25&gt;0,P25,SUM(P26:P26))</f>
        <v/>
      </c>
      <c r="Q27" s="770">
        <f>SUM(E27:P27)</f>
        <v/>
      </c>
    </row>
    <row r="28" ht="9.949999999999999" customFormat="1" customHeight="1" s="513">
      <c r="A28" s="512" t="n"/>
      <c r="C28" s="514" t="n"/>
      <c r="E28" s="769" t="n"/>
      <c r="F28" s="769" t="n"/>
      <c r="G28" s="769" t="n"/>
      <c r="H28" s="769" t="n"/>
      <c r="I28" s="769" t="n"/>
      <c r="J28" s="769" t="n"/>
      <c r="K28" s="769" t="n"/>
      <c r="L28" s="769" t="n"/>
      <c r="M28" s="769" t="n"/>
      <c r="N28" s="769" t="n"/>
      <c r="O28" s="769" t="n"/>
      <c r="P28" s="769" t="n"/>
      <c r="Q28" s="770" t="n"/>
    </row>
    <row r="29" ht="9.949999999999999" customHeight="1">
      <c r="B29" s="500" t="inlineStr">
        <is>
          <t>Category 4: M&amp;A Related</t>
        </is>
      </c>
      <c r="C29" s="519" t="n"/>
      <c r="D29" s="489" t="n"/>
      <c r="E29" s="773" t="n"/>
      <c r="F29" s="773" t="n"/>
      <c r="G29" s="773" t="n"/>
      <c r="H29" s="773" t="n"/>
      <c r="I29" s="773" t="n"/>
      <c r="J29" s="773" t="n"/>
      <c r="K29" s="773" t="n"/>
      <c r="L29" s="773" t="n"/>
      <c r="M29" s="773" t="n"/>
      <c r="N29" s="773" t="n"/>
      <c r="O29" s="773" t="n"/>
      <c r="P29" s="773" t="n"/>
      <c r="Q29" s="774" t="n"/>
    </row>
    <row r="30" outlineLevel="1" ht="9.949999999999999" customHeight="1">
      <c r="B30" s="503" t="inlineStr">
        <is>
          <t>Total M&amp;A Related Items</t>
        </is>
      </c>
      <c r="C30" s="503" t="n"/>
      <c r="E30" s="764" t="n"/>
      <c r="F30" s="764" t="n"/>
      <c r="G30" s="764" t="n"/>
      <c r="H30" s="764" t="n"/>
      <c r="I30" s="764" t="n"/>
      <c r="J30" s="764" t="n"/>
      <c r="K30" s="764" t="n"/>
      <c r="L30" s="764" t="n"/>
      <c r="M30" s="764" t="n"/>
      <c r="N30" s="764" t="n"/>
      <c r="O30" s="764" t="n"/>
      <c r="P30" s="764" t="n"/>
      <c r="Q30" s="765" t="n"/>
    </row>
    <row r="31" outlineLevel="1" ht="9.949999999999999" customHeight="1">
      <c r="C31" s="506" t="inlineStr">
        <is>
          <t>Choate Expenses</t>
        </is>
      </c>
      <c r="E31" s="766" t="n"/>
      <c r="F31" s="767" t="n"/>
      <c r="G31" s="767" t="n"/>
      <c r="H31" s="767" t="n"/>
      <c r="I31" s="767" t="n"/>
      <c r="J31" s="767" t="n"/>
      <c r="K31" s="767" t="n"/>
      <c r="L31" s="767" t="n"/>
      <c r="M31" s="767" t="n"/>
      <c r="N31" s="767" t="n"/>
      <c r="O31" s="767" t="n"/>
      <c r="P31" s="767" t="n"/>
      <c r="Q31" s="768">
        <f>SUM(E31:P31)</f>
        <v/>
      </c>
    </row>
    <row r="32" outlineLevel="1" ht="9.949999999999999" customHeight="1">
      <c r="C32" s="506" t="inlineStr">
        <is>
          <t>Target #2 Phase 1</t>
        </is>
      </c>
      <c r="E32" s="766" t="n"/>
      <c r="F32" s="767" t="n"/>
      <c r="G32" s="767" t="n"/>
      <c r="H32" s="767" t="n"/>
      <c r="I32" s="767" t="n"/>
      <c r="J32" s="767" t="n"/>
      <c r="K32" s="767" t="n"/>
      <c r="L32" s="767" t="n"/>
      <c r="M32" s="767" t="n"/>
      <c r="N32" s="767" t="n"/>
      <c r="O32" s="767" t="n"/>
      <c r="P32" s="767" t="n"/>
      <c r="Q32" s="768">
        <f>SUM(E32:P32)</f>
        <v/>
      </c>
    </row>
    <row r="33" outlineLevel="1" ht="9.949999999999999" customHeight="1">
      <c r="C33" s="506" t="inlineStr">
        <is>
          <t>EY Due Diligence</t>
        </is>
      </c>
      <c r="E33" s="766" t="n"/>
      <c r="F33" s="767" t="n"/>
      <c r="G33" s="767" t="n"/>
      <c r="H33" s="767" t="n"/>
      <c r="I33" s="767" t="n"/>
      <c r="J33" s="767" t="n"/>
      <c r="K33" s="767" t="n"/>
      <c r="L33" s="767" t="n"/>
      <c r="M33" s="767" t="n"/>
      <c r="N33" s="767" t="n"/>
      <c r="O33" s="767" t="n"/>
      <c r="P33" s="767" t="n"/>
      <c r="Q33" s="768">
        <f>SUM(E33:P33)</f>
        <v/>
      </c>
    </row>
    <row r="34" outlineLevel="1" ht="9.949999999999999" customHeight="1">
      <c r="C34" s="506" t="inlineStr">
        <is>
          <t>M&amp;A Travel and Expenses</t>
        </is>
      </c>
      <c r="E34" s="766" t="n"/>
      <c r="F34" s="767" t="n"/>
      <c r="G34" s="767" t="n"/>
      <c r="H34" s="767" t="n"/>
      <c r="I34" s="767" t="n"/>
      <c r="J34" s="767" t="n"/>
      <c r="K34" s="767" t="n"/>
      <c r="L34" s="767" t="n"/>
      <c r="M34" s="767" t="n"/>
      <c r="N34" s="767" t="n"/>
      <c r="O34" s="767" t="n"/>
      <c r="P34" s="767" t="n"/>
      <c r="Q34" s="768">
        <f>SUM(E34:P34)</f>
        <v/>
      </c>
    </row>
    <row r="35" outlineLevel="1" ht="9.949999999999999" customHeight="1">
      <c r="C35" s="506" t="inlineStr">
        <is>
          <t>PTI Phase 1</t>
        </is>
      </c>
      <c r="E35" s="766" t="n"/>
      <c r="F35" s="767" t="n"/>
      <c r="G35" s="767" t="n"/>
      <c r="H35" s="767" t="n"/>
      <c r="I35" s="767" t="n"/>
      <c r="J35" s="767" t="n"/>
      <c r="K35" s="767" t="n"/>
      <c r="L35" s="767" t="n"/>
      <c r="M35" s="767" t="n"/>
      <c r="N35" s="767" t="n"/>
      <c r="O35" s="767" t="n"/>
      <c r="P35" s="767" t="n"/>
      <c r="Q35" s="768">
        <f>SUM(E35:P35)</f>
        <v/>
      </c>
    </row>
    <row r="36" outlineLevel="1" ht="9.949999999999999" customHeight="1">
      <c r="C36" s="506" t="inlineStr">
        <is>
          <t>Target #3 Phase 1</t>
        </is>
      </c>
      <c r="E36" s="766" t="n"/>
      <c r="F36" s="767" t="n"/>
      <c r="G36" s="767" t="n"/>
      <c r="H36" s="767" t="n"/>
      <c r="I36" s="767" t="n"/>
      <c r="J36" s="767" t="n"/>
      <c r="K36" s="767" t="n"/>
      <c r="L36" s="767" t="n"/>
      <c r="M36" s="767" t="n"/>
      <c r="N36" s="767" t="n"/>
      <c r="O36" s="767" t="n"/>
      <c r="P36" s="767" t="n"/>
      <c r="Q36" s="768">
        <f>SUM(E36:P36)</f>
        <v/>
      </c>
    </row>
    <row r="37" outlineLevel="1" ht="9.949999999999999" customHeight="1">
      <c r="C37" s="506" t="inlineStr">
        <is>
          <t>XPV M&amp;A Expense</t>
        </is>
      </c>
      <c r="E37" s="766" t="n">
        <v>8363.940000000001</v>
      </c>
      <c r="F37" s="767" t="n">
        <v>99666.86</v>
      </c>
      <c r="G37" s="767" t="n">
        <v>18875.42</v>
      </c>
      <c r="H37" s="767" t="n">
        <v>143182.95</v>
      </c>
      <c r="I37" s="767" t="n">
        <v>-24985.22</v>
      </c>
      <c r="J37" s="767" t="n">
        <v>4926.06</v>
      </c>
      <c r="K37" s="767" t="n">
        <v>2679.17</v>
      </c>
      <c r="L37" s="767" t="n">
        <v>10715.99</v>
      </c>
      <c r="M37" s="767" t="n">
        <v>168544.19</v>
      </c>
      <c r="N37" s="767" t="n">
        <v>2957.82</v>
      </c>
      <c r="O37" s="767" t="n">
        <v>7123.339999999997</v>
      </c>
      <c r="P37" s="767" t="n">
        <v>2747.17</v>
      </c>
      <c r="Q37" s="768">
        <f>SUM(E37:P37)</f>
        <v/>
      </c>
    </row>
    <row r="38" outlineLevel="1" ht="9.949999999999999" customHeight="1">
      <c r="C38" s="506" t="inlineStr">
        <is>
          <t>RP Adams Phase I</t>
        </is>
      </c>
      <c r="E38" s="766" t="n"/>
      <c r="F38" s="767" t="n"/>
      <c r="G38" s="767" t="n"/>
      <c r="H38" s="767" t="n"/>
      <c r="I38" s="767" t="n"/>
      <c r="J38" s="767" t="n"/>
      <c r="K38" s="767" t="n"/>
      <c r="L38" s="767" t="n"/>
      <c r="M38" s="767" t="n"/>
      <c r="N38" s="767" t="n"/>
      <c r="O38" s="767" t="n"/>
      <c r="P38" s="767" t="n"/>
      <c r="Q38" s="768">
        <f>SUM(E38:P38)</f>
        <v/>
      </c>
    </row>
    <row r="39" outlineLevel="1" ht="9.949999999999999" customHeight="1">
      <c r="C39" s="506" t="inlineStr">
        <is>
          <t>Target #4 Phase I</t>
        </is>
      </c>
      <c r="E39" s="766" t="n"/>
      <c r="F39" s="767" t="n"/>
      <c r="G39" s="767" t="n"/>
      <c r="H39" s="767" t="n"/>
      <c r="I39" s="767" t="n"/>
      <c r="J39" s="767" t="n"/>
      <c r="K39" s="767" t="n"/>
      <c r="L39" s="767" t="n"/>
      <c r="M39" s="767" t="n"/>
      <c r="N39" s="767" t="n"/>
      <c r="O39" s="767" t="n"/>
      <c r="P39" s="767" t="n"/>
      <c r="Q39" s="768">
        <f>SUM(E39:P39)</f>
        <v/>
      </c>
    </row>
    <row r="40" ht="9.949999999999999" customFormat="1" customHeight="1" s="513">
      <c r="A40" s="512" t="n"/>
      <c r="B40" s="513" t="inlineStr">
        <is>
          <t>M&amp;A Related Items</t>
        </is>
      </c>
      <c r="C40" s="514" t="n"/>
      <c r="E40" s="769">
        <f>IF(E30&gt;0,E30,SUM(E31:E39))</f>
        <v/>
      </c>
      <c r="F40" s="769">
        <f>IF(F30&gt;0,F30,SUM(F31:F39))</f>
        <v/>
      </c>
      <c r="G40" s="769">
        <f>IF(G30&gt;0,G30,SUM(G31:G39))</f>
        <v/>
      </c>
      <c r="H40" s="769">
        <f>IF(H30&gt;0,H30,SUM(H31:H39))</f>
        <v/>
      </c>
      <c r="I40" s="769">
        <f>IF(I30&gt;0,I30,SUM(I31:I39))</f>
        <v/>
      </c>
      <c r="J40" s="769">
        <f>IF(J30&gt;0,J30,SUM(J31:J39))</f>
        <v/>
      </c>
      <c r="K40" s="769">
        <f>IF(K30&gt;0,K30,SUM(K31:K39))</f>
        <v/>
      </c>
      <c r="L40" s="769">
        <f>IF(L30&gt;0,L30,SUM(L31:L39))</f>
        <v/>
      </c>
      <c r="M40" s="769">
        <f>IF(M30&gt;0,M30,SUM(M31:M39))</f>
        <v/>
      </c>
      <c r="N40" s="769">
        <f>IF(N30&gt;0,N30,SUM(N31:N39))</f>
        <v/>
      </c>
      <c r="O40" s="769">
        <f>IF(O30&gt;0,O30,SUM(O31:O39))</f>
        <v/>
      </c>
      <c r="P40" s="769">
        <f>IF(P30&gt;0,P30,SUM(P31:P39))</f>
        <v/>
      </c>
      <c r="Q40" s="770">
        <f>SUM(E40:P40)</f>
        <v/>
      </c>
    </row>
    <row r="41" ht="9.949999999999999" customHeight="1">
      <c r="C41" s="503" t="n"/>
      <c r="E41" s="771" t="n"/>
      <c r="F41" s="771" t="n"/>
      <c r="G41" s="771" t="n"/>
      <c r="H41" s="771" t="n"/>
      <c r="I41" s="771" t="n"/>
      <c r="J41" s="771" t="n"/>
      <c r="K41" s="771" t="n"/>
      <c r="L41" s="771" t="n"/>
      <c r="M41" s="771" t="n"/>
      <c r="N41" s="771" t="n"/>
      <c r="O41" s="771" t="n"/>
      <c r="P41" s="771" t="n"/>
      <c r="Q41" s="772" t="n"/>
    </row>
    <row r="42" ht="9.949999999999999" customHeight="1">
      <c r="B42" s="500" t="inlineStr">
        <is>
          <t>Category 5: Exit Related</t>
        </is>
      </c>
      <c r="C42" s="519" t="n"/>
      <c r="D42" s="489" t="n"/>
      <c r="E42" s="773" t="n"/>
      <c r="F42" s="773" t="n"/>
      <c r="G42" s="773" t="n"/>
      <c r="H42" s="773" t="n"/>
      <c r="I42" s="773" t="n"/>
      <c r="J42" s="773" t="n"/>
      <c r="K42" s="773" t="n"/>
      <c r="L42" s="773" t="n"/>
      <c r="M42" s="773" t="n"/>
      <c r="N42" s="773" t="n"/>
      <c r="O42" s="773" t="n"/>
      <c r="P42" s="773" t="n"/>
      <c r="Q42" s="774" t="n"/>
    </row>
    <row r="43" outlineLevel="1" ht="9.949999999999999" customHeight="1">
      <c r="B43" s="503" t="inlineStr">
        <is>
          <t>Total Exit Related Expenses</t>
        </is>
      </c>
      <c r="C43" s="503" t="n"/>
      <c r="E43" s="764" t="n"/>
      <c r="F43" s="764" t="n"/>
      <c r="G43" s="764" t="n"/>
      <c r="H43" s="764" t="n"/>
      <c r="I43" s="764" t="n"/>
      <c r="J43" s="764" t="n"/>
      <c r="K43" s="764" t="n"/>
      <c r="L43" s="764" t="n"/>
      <c r="M43" s="764" t="n"/>
      <c r="N43" s="764" t="n"/>
      <c r="O43" s="764" t="n"/>
      <c r="P43" s="764" t="n"/>
      <c r="Q43" s="765" t="n"/>
    </row>
    <row r="44" outlineLevel="1" ht="9.949999999999999" customHeight="1">
      <c r="C44" s="506" t="n"/>
      <c r="E44" s="766" t="n"/>
      <c r="F44" s="767" t="n"/>
      <c r="G44" s="767" t="n"/>
      <c r="H44" s="767" t="n"/>
      <c r="I44" s="767" t="n"/>
      <c r="J44" s="776" t="n"/>
      <c r="K44" s="767" t="n"/>
      <c r="L44" s="767" t="n"/>
      <c r="M44" s="767" t="n"/>
      <c r="N44" s="767" t="n"/>
      <c r="O44" s="767" t="n"/>
      <c r="P44" s="767" t="n"/>
      <c r="Q44" s="768">
        <f>SUM(E44:P44)</f>
        <v/>
      </c>
    </row>
    <row r="45" ht="9.949999999999999" customFormat="1" customHeight="1" s="513">
      <c r="A45" s="512" t="n"/>
      <c r="B45" s="513" t="inlineStr">
        <is>
          <t>Exit Related Expenses</t>
        </is>
      </c>
      <c r="C45" s="514" t="n"/>
      <c r="E45" s="769">
        <f>IF(E43&gt;0,E43,SUM(E44:E44))</f>
        <v/>
      </c>
      <c r="F45" s="769">
        <f>IF(F43&gt;0,F43,SUM(F44:F44))</f>
        <v/>
      </c>
      <c r="G45" s="769">
        <f>IF(G43&gt;0,G43,SUM(G44:G44))</f>
        <v/>
      </c>
      <c r="H45" s="769">
        <f>IF(H43&gt;0,H43,SUM(H44:H44))</f>
        <v/>
      </c>
      <c r="I45" s="769">
        <f>IF(I43&gt;0,I43,SUM(I44:I44))</f>
        <v/>
      </c>
      <c r="J45" s="769">
        <f>IF(J43&gt;0,J43,SUM(J44:J44))</f>
        <v/>
      </c>
      <c r="K45" s="769">
        <f>IF(K43&gt;0,K43,SUM(K44:K44))</f>
        <v/>
      </c>
      <c r="L45" s="769">
        <f>IF(L43&gt;0,L43,SUM(L44:L44))</f>
        <v/>
      </c>
      <c r="M45" s="769">
        <f>IF(M43&gt;0,M43,SUM(M44:M44))</f>
        <v/>
      </c>
      <c r="N45" s="769">
        <f>IF(N43&gt;0,N43,SUM(N44:N44))</f>
        <v/>
      </c>
      <c r="O45" s="769">
        <f>IF(O43&gt;0,O43,SUM(O44:O44))</f>
        <v/>
      </c>
      <c r="P45" s="769">
        <f>IF(P43&gt;0,P43,SUM(P44:P44))</f>
        <v/>
      </c>
      <c r="Q45" s="770">
        <f>SUM(E45:P45)</f>
        <v/>
      </c>
    </row>
    <row r="46" ht="9.949999999999999" customHeight="1">
      <c r="C46" s="503" t="n"/>
      <c r="E46" s="771" t="n"/>
      <c r="F46" s="771" t="n"/>
      <c r="G46" s="771" t="n"/>
      <c r="H46" s="771" t="n"/>
      <c r="I46" s="771" t="n"/>
      <c r="J46" s="771" t="n"/>
      <c r="K46" s="771" t="n"/>
      <c r="L46" s="771" t="n"/>
      <c r="M46" s="771" t="n"/>
      <c r="N46" s="771" t="n"/>
      <c r="O46" s="771" t="n"/>
      <c r="P46" s="771" t="n"/>
      <c r="Q46" s="772" t="n"/>
    </row>
    <row r="47" ht="9.949999999999999" customHeight="1">
      <c r="B47" s="500" t="inlineStr">
        <is>
          <t>Category 6: Compensation</t>
        </is>
      </c>
      <c r="C47" s="519" t="n"/>
      <c r="D47" s="489" t="n"/>
      <c r="E47" s="773" t="n"/>
      <c r="F47" s="773" t="n"/>
      <c r="G47" s="773" t="n"/>
      <c r="H47" s="773" t="n"/>
      <c r="I47" s="773" t="n"/>
      <c r="J47" s="773" t="n"/>
      <c r="K47" s="773" t="n"/>
      <c r="L47" s="773" t="n"/>
      <c r="M47" s="773" t="n"/>
      <c r="N47" s="773" t="n"/>
      <c r="O47" s="773" t="n"/>
      <c r="P47" s="773" t="n"/>
      <c r="Q47" s="774" t="n"/>
    </row>
    <row r="48" outlineLevel="1" ht="9.949999999999999" customHeight="1">
      <c r="B48" s="503" t="inlineStr">
        <is>
          <t>Total Non-Recurring or One-Time Compensation</t>
        </is>
      </c>
      <c r="C48" s="503" t="n"/>
      <c r="E48" s="764" t="n"/>
      <c r="F48" s="764" t="n"/>
      <c r="G48" s="764" t="n"/>
      <c r="H48" s="764" t="n"/>
      <c r="I48" s="764" t="n"/>
      <c r="J48" s="764" t="n"/>
      <c r="K48" s="764" t="n"/>
      <c r="L48" s="764" t="n"/>
      <c r="M48" s="764" t="n"/>
      <c r="N48" s="764" t="n"/>
      <c r="O48" s="764" t="n"/>
      <c r="P48" s="764" t="n"/>
      <c r="Q48" s="765" t="n"/>
    </row>
    <row r="49" outlineLevel="1" ht="9.949999999999999" customHeight="1">
      <c r="C49" s="506" t="inlineStr">
        <is>
          <t>Consulting Expenses</t>
        </is>
      </c>
      <c r="E49" s="766" t="n">
        <v>26242.39</v>
      </c>
      <c r="F49" s="767" t="n">
        <v>19080</v>
      </c>
      <c r="G49" s="767" t="n">
        <v>8420</v>
      </c>
      <c r="H49" s="767" t="n">
        <v>76584.3</v>
      </c>
      <c r="I49" s="767" t="n">
        <v>59321.73</v>
      </c>
      <c r="J49" s="767" t="n">
        <v>80472</v>
      </c>
      <c r="K49" s="767" t="n">
        <v>51815</v>
      </c>
      <c r="L49" s="767" t="n">
        <v>113108.69</v>
      </c>
      <c r="M49" s="767" t="n">
        <v>90413.53999999999</v>
      </c>
      <c r="N49" s="767" t="n">
        <v>63406.25</v>
      </c>
      <c r="O49" s="767" t="n">
        <v>80411.25</v>
      </c>
      <c r="P49" s="767" t="n">
        <v>77315.52</v>
      </c>
      <c r="Q49" s="768">
        <f>SUM(E49:P49)</f>
        <v/>
      </c>
    </row>
    <row r="50" outlineLevel="1" ht="9.949999999999999" customHeight="1">
      <c r="C50" s="506" t="n"/>
      <c r="E50" s="766" t="n"/>
      <c r="F50" s="767" t="n"/>
      <c r="G50" s="767" t="n"/>
      <c r="H50" s="767" t="n"/>
      <c r="I50" s="767" t="n"/>
      <c r="J50" s="767" t="n"/>
      <c r="K50" s="767" t="n"/>
      <c r="L50" s="767" t="n"/>
      <c r="M50" s="767" t="n"/>
      <c r="N50" s="767" t="n"/>
      <c r="O50" s="767" t="n"/>
      <c r="P50" s="767" t="n"/>
      <c r="Q50" s="768">
        <f>SUM(E50:P50)</f>
        <v/>
      </c>
    </row>
    <row r="51" outlineLevel="1" ht="9.949999999999999" customHeight="1">
      <c r="C51" s="506" t="n"/>
      <c r="E51" s="766" t="n"/>
      <c r="F51" s="767" t="n"/>
      <c r="G51" s="767" t="n"/>
      <c r="H51" s="767" t="n"/>
      <c r="I51" s="767" t="n"/>
      <c r="J51" s="767" t="n"/>
      <c r="K51" s="767" t="n"/>
      <c r="L51" s="767" t="n"/>
      <c r="M51" s="767" t="n"/>
      <c r="N51" s="767" t="n"/>
      <c r="O51" s="767" t="n"/>
      <c r="P51" s="767" t="n"/>
      <c r="Q51" s="768">
        <f>SUM(E51:P51)</f>
        <v/>
      </c>
    </row>
    <row r="52" ht="9.949999999999999" customFormat="1" customHeight="1" s="513">
      <c r="A52" s="512" t="n"/>
      <c r="B52" s="513" t="inlineStr">
        <is>
          <t>Non-Recurring or One-Time Compensation Expenses</t>
        </is>
      </c>
      <c r="C52" s="514" t="n"/>
      <c r="E52" s="769">
        <f>IF(E48&gt;0,E48,SUM(E49:E51))</f>
        <v/>
      </c>
      <c r="F52" s="769">
        <f>IF(F48&gt;0,F48,SUM(F49:F51))</f>
        <v/>
      </c>
      <c r="G52" s="769">
        <f>IF(G48&gt;0,G48,SUM(G49:G51))</f>
        <v/>
      </c>
      <c r="H52" s="769">
        <f>IF(H48&gt;0,H48,SUM(H49:H51))</f>
        <v/>
      </c>
      <c r="I52" s="769">
        <f>IF(I48&gt;0,I48,SUM(I49:I51))</f>
        <v/>
      </c>
      <c r="J52" s="769">
        <f>IF(J48&gt;0,J48,SUM(J49:J51))</f>
        <v/>
      </c>
      <c r="K52" s="769">
        <f>IF(K48&gt;0,K48,SUM(K49:K51))</f>
        <v/>
      </c>
      <c r="L52" s="769">
        <f>IF(L48&gt;0,L48,SUM(L49:L51))</f>
        <v/>
      </c>
      <c r="M52" s="769">
        <f>IF(M48&gt;0,M48,SUM(M49:M51))</f>
        <v/>
      </c>
      <c r="N52" s="769">
        <f>IF(N48&gt;0,N48,SUM(N49:N51))</f>
        <v/>
      </c>
      <c r="O52" s="769">
        <f>IF(O48&gt;0,O48,SUM(O49:O51))</f>
        <v/>
      </c>
      <c r="P52" s="769">
        <f>IF(P48&gt;0,P48,SUM(P49:P51))</f>
        <v/>
      </c>
      <c r="Q52" s="770">
        <f>SUM(E52:P52)</f>
        <v/>
      </c>
    </row>
    <row r="53" ht="9.949999999999999" customHeight="1">
      <c r="C53" s="503" t="n"/>
      <c r="E53" s="771" t="n"/>
      <c r="F53" s="771" t="n"/>
      <c r="G53" s="771" t="n"/>
      <c r="H53" s="771" t="n"/>
      <c r="I53" s="771" t="n"/>
      <c r="J53" s="771" t="n"/>
      <c r="K53" s="771" t="n"/>
      <c r="L53" s="771" t="n"/>
      <c r="M53" s="771" t="n"/>
      <c r="N53" s="771" t="n"/>
      <c r="O53" s="771" t="n"/>
      <c r="P53" s="771" t="n"/>
      <c r="Q53" s="772" t="n"/>
    </row>
    <row r="54" ht="9.949999999999999" customHeight="1">
      <c r="B54" s="500" t="inlineStr">
        <is>
          <t>Category 7: Setup</t>
        </is>
      </c>
      <c r="C54" s="519" t="n"/>
      <c r="D54" s="489" t="n"/>
      <c r="E54" s="773" t="n"/>
      <c r="F54" s="773" t="n"/>
      <c r="G54" s="773" t="n"/>
      <c r="H54" s="773" t="n"/>
      <c r="I54" s="773" t="n"/>
      <c r="J54" s="773" t="n"/>
      <c r="K54" s="773" t="n"/>
      <c r="L54" s="773" t="n"/>
      <c r="M54" s="773" t="n"/>
      <c r="N54" s="773" t="n"/>
      <c r="O54" s="773" t="n"/>
      <c r="P54" s="773" t="n"/>
      <c r="Q54" s="774" t="n"/>
    </row>
    <row r="55" outlineLevel="1" ht="9.949999999999999" customHeight="1">
      <c r="B55" s="503" t="inlineStr">
        <is>
          <t>Total Non-Recurring or One-Time Setup</t>
        </is>
      </c>
      <c r="C55" s="503" t="n"/>
      <c r="E55" s="764" t="n"/>
      <c r="F55" s="764" t="n"/>
      <c r="G55" s="764" t="n"/>
      <c r="H55" s="764" t="n"/>
      <c r="I55" s="764" t="n"/>
      <c r="J55" s="764" t="n"/>
      <c r="K55" s="764" t="n"/>
      <c r="L55" s="764" t="n"/>
      <c r="M55" s="764" t="n"/>
      <c r="N55" s="764" t="n"/>
      <c r="O55" s="764" t="n"/>
      <c r="P55" s="764" t="n"/>
      <c r="Q55" s="765" t="n"/>
    </row>
    <row r="56" outlineLevel="1" ht="9.949999999999999" customHeight="1">
      <c r="C56" s="506" t="inlineStr">
        <is>
          <t>Setup Expenses</t>
        </is>
      </c>
      <c r="E56" s="766" t="n"/>
      <c r="F56" s="767" t="n"/>
      <c r="G56" s="767" t="n"/>
      <c r="H56" s="767" t="n"/>
      <c r="I56" s="767" t="n">
        <v>-528</v>
      </c>
      <c r="J56" s="767" t="n"/>
      <c r="K56" s="767" t="n"/>
      <c r="L56" s="767" t="n"/>
      <c r="M56" s="767" t="n"/>
      <c r="N56" s="767" t="n"/>
      <c r="O56" s="767" t="n"/>
      <c r="P56" s="767" t="n"/>
      <c r="Q56" s="768">
        <f>SUM(E56:P56)</f>
        <v/>
      </c>
    </row>
    <row r="57" ht="9.949999999999999" customFormat="1" customHeight="1" s="513">
      <c r="A57" s="512" t="n"/>
      <c r="B57" s="513" t="inlineStr">
        <is>
          <t>Non-Recurring or One-Time Setup Expenses</t>
        </is>
      </c>
      <c r="C57" s="514" t="n"/>
      <c r="E57" s="769">
        <f>IF(E55&gt;0,E55,SUM(E56:E56))</f>
        <v/>
      </c>
      <c r="F57" s="769">
        <f>IF(F55&gt;0,F55,SUM(F56:F56))</f>
        <v/>
      </c>
      <c r="G57" s="769">
        <f>IF(G55&gt;0,G55,SUM(G56:G56))</f>
        <v/>
      </c>
      <c r="H57" s="769">
        <f>IF(H55&gt;0,H55,SUM(H56:H56))</f>
        <v/>
      </c>
      <c r="I57" s="769">
        <f>IF(I55&gt;0,I55,SUM(I56:I56))</f>
        <v/>
      </c>
      <c r="J57" s="769">
        <f>IF(J55&gt;0,J55,SUM(J56:J56))</f>
        <v/>
      </c>
      <c r="K57" s="769">
        <f>IF(K55&gt;0,K55,SUM(K56:K56))</f>
        <v/>
      </c>
      <c r="L57" s="769">
        <f>IF(L55&gt;0,L55,SUM(L56:L56))</f>
        <v/>
      </c>
      <c r="M57" s="769">
        <f>IF(M55&gt;0,M55,SUM(M56:M56))</f>
        <v/>
      </c>
      <c r="N57" s="769">
        <f>IF(N55&gt;0,N55,SUM(N56:N56))</f>
        <v/>
      </c>
      <c r="O57" s="769">
        <f>IF(O55&gt;0,O55,SUM(O56:O56))</f>
        <v/>
      </c>
      <c r="P57" s="769">
        <f>IF(P55&gt;0,P55,SUM(P56:P56))</f>
        <v/>
      </c>
      <c r="Q57" s="770">
        <f>SUM(E57:P57)</f>
        <v/>
      </c>
    </row>
    <row r="58" ht="9.949999999999999" customHeight="1">
      <c r="C58" s="503" t="n"/>
      <c r="E58" s="771" t="n"/>
      <c r="F58" s="771" t="n"/>
      <c r="G58" s="771" t="n"/>
      <c r="H58" s="771" t="n"/>
      <c r="I58" s="771" t="n"/>
      <c r="J58" s="771" t="n"/>
      <c r="K58" s="771" t="n"/>
      <c r="L58" s="771" t="n"/>
      <c r="M58" s="771" t="n"/>
      <c r="N58" s="771" t="n"/>
      <c r="O58" s="771" t="n"/>
      <c r="P58" s="771" t="n"/>
      <c r="Q58" s="772" t="n"/>
    </row>
    <row r="59" ht="9.949999999999999" customHeight="1">
      <c r="B59" s="500" t="inlineStr">
        <is>
          <t>Category 8: New Business Startup</t>
        </is>
      </c>
      <c r="C59" s="519" t="n"/>
      <c r="D59" s="489" t="n"/>
      <c r="E59" s="773" t="n"/>
      <c r="F59" s="773" t="n"/>
      <c r="G59" s="773" t="n"/>
      <c r="H59" s="773" t="n"/>
      <c r="I59" s="773" t="n"/>
      <c r="J59" s="773" t="n"/>
      <c r="K59" s="773" t="n"/>
      <c r="L59" s="773" t="n"/>
      <c r="M59" s="773" t="n"/>
      <c r="N59" s="773" t="n"/>
      <c r="O59" s="773" t="n"/>
      <c r="P59" s="773" t="n"/>
      <c r="Q59" s="774" t="n"/>
    </row>
    <row r="60" outlineLevel="1" ht="9.949999999999999" customHeight="1">
      <c r="B60" s="503" t="inlineStr">
        <is>
          <t>Total New Business Startup Expenses</t>
        </is>
      </c>
      <c r="C60" s="503" t="n"/>
      <c r="E60" s="764" t="n"/>
      <c r="F60" s="764" t="n"/>
      <c r="G60" s="764" t="n"/>
      <c r="H60" s="764" t="n"/>
      <c r="I60" s="764" t="n"/>
      <c r="J60" s="764" t="n"/>
      <c r="K60" s="764" t="n"/>
      <c r="L60" s="764" t="n"/>
      <c r="M60" s="764" t="n"/>
      <c r="N60" s="764" t="n"/>
      <c r="O60" s="764" t="n"/>
      <c r="P60" s="764" t="n"/>
      <c r="Q60" s="765" t="n"/>
    </row>
    <row r="61" outlineLevel="1" ht="9.949999999999999" customHeight="1">
      <c r="C61" s="506" t="inlineStr">
        <is>
          <t>IT Integration Expenses</t>
        </is>
      </c>
      <c r="D61" s="486" t="n"/>
      <c r="E61" s="766" t="n">
        <v>14344</v>
      </c>
      <c r="F61" s="767" t="n">
        <v>14344</v>
      </c>
      <c r="G61" s="767" t="n">
        <v>0</v>
      </c>
      <c r="H61" s="767" t="n">
        <v>126507.79</v>
      </c>
      <c r="I61" s="767" t="n">
        <v>0</v>
      </c>
      <c r="J61" s="767" t="n">
        <v>0</v>
      </c>
      <c r="K61" s="767" t="n">
        <v>5700</v>
      </c>
      <c r="L61" s="767" t="n"/>
      <c r="M61" s="767" t="n"/>
      <c r="N61" s="767" t="n">
        <v>15543.5</v>
      </c>
      <c r="O61" s="767" t="n">
        <v>7204.17</v>
      </c>
      <c r="P61" s="767" t="n">
        <v>8942.370000000001</v>
      </c>
      <c r="Q61" s="768">
        <f>SUM(E61:P61)</f>
        <v/>
      </c>
    </row>
    <row r="62" outlineLevel="1" ht="9.949999999999999" customHeight="1">
      <c r="C62" s="506" t="inlineStr">
        <is>
          <t>ERP Implementation</t>
        </is>
      </c>
      <c r="D62" s="486" t="n"/>
      <c r="E62" s="766" t="n"/>
      <c r="F62" s="777" t="n"/>
      <c r="G62" s="767" t="n"/>
      <c r="H62" s="777" t="n"/>
      <c r="I62" s="777" t="n"/>
      <c r="J62" s="767" t="n"/>
      <c r="K62" s="767" t="n"/>
      <c r="L62" s="767" t="n"/>
      <c r="M62" s="767" t="n"/>
      <c r="N62" s="767" t="n"/>
      <c r="O62" s="767" t="n"/>
      <c r="P62" s="767" t="n"/>
      <c r="Q62" s="768">
        <f>SUM(E62:P62)</f>
        <v/>
      </c>
    </row>
    <row r="63" ht="9.949999999999999" customFormat="1" customHeight="1" s="513">
      <c r="A63" s="512" t="n"/>
      <c r="B63" s="513" t="inlineStr">
        <is>
          <t>New Business Startup Expenses</t>
        </is>
      </c>
      <c r="C63" s="514" t="n"/>
      <c r="E63" s="769">
        <f>IF(E60&gt;0,E60,SUM(E61:E62))</f>
        <v/>
      </c>
      <c r="F63" s="769">
        <f>IF(F60&gt;0,F60,SUM(F61:F62))</f>
        <v/>
      </c>
      <c r="G63" s="769">
        <f>IF(G60&gt;0,G60,SUM(G61:G62))</f>
        <v/>
      </c>
      <c r="H63" s="769">
        <f>IF(H60&gt;0,H60,SUM(H61:H62))</f>
        <v/>
      </c>
      <c r="I63" s="769">
        <f>IF(I60&gt;0,I60,SUM(I61:I62))</f>
        <v/>
      </c>
      <c r="J63" s="769">
        <f>IF(J60&gt;0,J60,SUM(J61:J62))</f>
        <v/>
      </c>
      <c r="K63" s="769">
        <f>IF(K60&gt;0,K60,SUM(K61:K62))</f>
        <v/>
      </c>
      <c r="L63" s="769">
        <f>IF(L60&gt;0,L60,SUM(L61:L62))</f>
        <v/>
      </c>
      <c r="M63" s="769">
        <f>IF(M60&gt;0,M60,SUM(M61:M62))</f>
        <v/>
      </c>
      <c r="N63" s="769">
        <f>IF(N60&gt;0,N60,SUM(N61:N62))</f>
        <v/>
      </c>
      <c r="O63" s="769">
        <f>IF(O60&gt;0,O60,SUM(O61:O62))</f>
        <v/>
      </c>
      <c r="P63" s="769">
        <f>IF(P60&gt;0,P60,SUM(P61:P62))</f>
        <v/>
      </c>
      <c r="Q63" s="770">
        <f>SUM(E63:P63)</f>
        <v/>
      </c>
    </row>
    <row r="64" ht="9.949999999999999" customHeight="1">
      <c r="C64" s="503" t="n"/>
      <c r="E64" s="771" t="n"/>
      <c r="F64" s="771" t="n"/>
      <c r="G64" s="771" t="n"/>
      <c r="H64" s="771" t="n"/>
      <c r="I64" s="771" t="n"/>
      <c r="J64" s="771" t="n"/>
      <c r="K64" s="771" t="n"/>
      <c r="L64" s="771" t="n"/>
      <c r="M64" s="771" t="n"/>
      <c r="N64" s="771" t="n"/>
      <c r="O64" s="771" t="n"/>
      <c r="P64" s="771" t="n"/>
      <c r="Q64" s="770" t="n"/>
    </row>
    <row r="65" ht="9.949999999999999" customHeight="1">
      <c r="B65" s="500" t="inlineStr">
        <is>
          <t>Category 9: Other</t>
        </is>
      </c>
      <c r="C65" s="519" t="n"/>
      <c r="D65" s="489" t="n"/>
      <c r="E65" s="773" t="n"/>
      <c r="F65" s="773" t="n"/>
      <c r="G65" s="773" t="n"/>
      <c r="H65" s="773" t="n"/>
      <c r="I65" s="773" t="n"/>
      <c r="J65" s="773" t="n"/>
      <c r="K65" s="773" t="n"/>
      <c r="L65" s="773" t="n"/>
      <c r="M65" s="773" t="n"/>
      <c r="N65" s="773" t="n"/>
      <c r="O65" s="773" t="n"/>
      <c r="P65" s="773" t="n"/>
      <c r="Q65" s="774" t="n"/>
    </row>
    <row r="66" outlineLevel="1" ht="9.949999999999999" customHeight="1">
      <c r="B66" s="503" t="inlineStr">
        <is>
          <t>Total Other Expenses</t>
        </is>
      </c>
      <c r="C66" s="503" t="n"/>
      <c r="E66" s="764" t="n"/>
      <c r="F66" s="764" t="n"/>
      <c r="G66" s="764" t="n"/>
      <c r="H66" s="764" t="n"/>
      <c r="I66" s="764" t="n"/>
      <c r="J66" s="764" t="n"/>
      <c r="K66" s="764" t="n"/>
      <c r="L66" s="764" t="n"/>
      <c r="M66" s="764" t="n"/>
      <c r="N66" s="764" t="n"/>
      <c r="O66" s="764" t="n"/>
      <c r="P66" s="764" t="n"/>
      <c r="Q66" s="765" t="n"/>
    </row>
    <row r="67" outlineLevel="1" ht="9.949999999999999" customHeight="1">
      <c r="C67" s="506" t="inlineStr">
        <is>
          <t>Excess Temporary Labor</t>
        </is>
      </c>
      <c r="D67" s="486" t="n"/>
      <c r="E67" s="766" t="n">
        <v>50090.88</v>
      </c>
      <c r="F67" s="767" t="n">
        <v>66297.7</v>
      </c>
      <c r="G67" s="767" t="n">
        <v>45571.46</v>
      </c>
      <c r="H67" s="767" t="n">
        <v>139565.49</v>
      </c>
      <c r="I67" s="767" t="n">
        <v>100000.52</v>
      </c>
      <c r="J67" s="767" t="n">
        <v>75882.97</v>
      </c>
      <c r="K67" s="767" t="n">
        <v>112881.65</v>
      </c>
      <c r="L67" s="767" t="n">
        <v>76812.89000000001</v>
      </c>
      <c r="M67" s="767" t="n">
        <v>73013.30999999998</v>
      </c>
      <c r="N67" s="767" t="n">
        <v>58784.32</v>
      </c>
      <c r="O67" s="767" t="n">
        <v>45166.42</v>
      </c>
      <c r="P67" s="767" t="n">
        <v>46457.60000000001</v>
      </c>
      <c r="Q67" s="768">
        <f>SUM(E67:P67)</f>
        <v/>
      </c>
    </row>
    <row r="68" outlineLevel="1" ht="9.949999999999999" customHeight="1">
      <c r="C68" s="506" t="inlineStr">
        <is>
          <t>Other</t>
        </is>
      </c>
      <c r="D68" s="486" t="n"/>
      <c r="E68" s="766" t="n">
        <v>17072.6</v>
      </c>
      <c r="F68" s="767" t="n">
        <v>5546.84</v>
      </c>
      <c r="G68" s="767" t="n">
        <v>43398.18</v>
      </c>
      <c r="H68" s="767" t="n">
        <v>127233.28</v>
      </c>
      <c r="I68" s="767" t="n">
        <v>1980</v>
      </c>
      <c r="J68" s="767" t="n">
        <v>55734.21</v>
      </c>
      <c r="K68" s="767" t="n">
        <v>7254.6</v>
      </c>
      <c r="L68" s="767" t="n">
        <v>422.25</v>
      </c>
      <c r="M68" s="767" t="n">
        <v>-168162.86</v>
      </c>
      <c r="N68" s="767" t="n">
        <v>5385.830000000002</v>
      </c>
      <c r="O68" s="767" t="n">
        <v>24465.7</v>
      </c>
      <c r="P68" s="767" t="n">
        <v>611.7900000000009</v>
      </c>
      <c r="Q68" s="768">
        <f>SUM(E68:P68)</f>
        <v/>
      </c>
    </row>
    <row r="69" ht="9.949999999999999" customHeight="1">
      <c r="C69" s="506" t="inlineStr">
        <is>
          <t>Yeary Controls Adjustments</t>
        </is>
      </c>
      <c r="D69" s="486" t="n"/>
      <c r="E69" s="766" t="n">
        <v>30086.04831870632</v>
      </c>
      <c r="F69" s="767" t="n">
        <v>29576.94381219409</v>
      </c>
      <c r="G69" s="767" t="n">
        <v>30251.79245709022</v>
      </c>
      <c r="H69" s="767" t="n">
        <v>31036.84369370091</v>
      </c>
      <c r="I69" s="767" t="n">
        <v>35539.38570311358</v>
      </c>
      <c r="J69" s="767" t="n">
        <v>32397.735</v>
      </c>
      <c r="K69" s="767" t="n">
        <v>60253.94</v>
      </c>
      <c r="L69" s="767" t="n"/>
      <c r="M69" s="767" t="n"/>
      <c r="N69" s="767" t="n"/>
      <c r="O69" s="767" t="n"/>
      <c r="P69" s="767" t="n"/>
      <c r="Q69" s="768">
        <f>SUM(E69:P69)</f>
        <v/>
      </c>
    </row>
    <row r="70" ht="9.949999999999999" customHeight="1">
      <c r="C70" s="506" t="n"/>
      <c r="D70" s="486" t="n"/>
      <c r="E70" s="766" t="n"/>
      <c r="F70" s="767" t="n"/>
      <c r="G70" s="767" t="n"/>
      <c r="H70" s="767" t="n"/>
      <c r="I70" s="767" t="n"/>
      <c r="J70" s="767" t="n"/>
      <c r="K70" s="767" t="n"/>
      <c r="L70" s="767" t="n"/>
      <c r="M70" s="767" t="n"/>
      <c r="N70" s="767" t="n"/>
      <c r="O70" s="767" t="n"/>
      <c r="P70" s="767" t="n"/>
      <c r="Q70" s="768">
        <f>SUM(E70:P70)</f>
        <v/>
      </c>
    </row>
    <row r="71" outlineLevel="1" ht="9.949999999999999" customHeight="1">
      <c r="C71" s="506" t="n"/>
      <c r="D71" s="486" t="n"/>
      <c r="E71" s="766" t="n"/>
      <c r="F71" s="767" t="n"/>
      <c r="G71" s="767" t="n"/>
      <c r="H71" s="767" t="n"/>
      <c r="I71" s="767" t="n"/>
      <c r="J71" s="767" t="n"/>
      <c r="K71" s="767" t="n"/>
      <c r="L71" s="767" t="n"/>
      <c r="M71" s="767" t="n"/>
      <c r="N71" s="767" t="n"/>
      <c r="O71" s="767" t="n"/>
      <c r="P71" s="767" t="n"/>
      <c r="Q71" s="768">
        <f>SUM(E71:P71)</f>
        <v/>
      </c>
    </row>
    <row r="72" outlineLevel="1" ht="9.949999999999999" customHeight="1">
      <c r="C72" s="506" t="n"/>
      <c r="D72" s="486" t="n"/>
      <c r="E72" s="766" t="n"/>
      <c r="F72" s="767" t="n"/>
      <c r="G72" s="767" t="n"/>
      <c r="H72" s="767" t="n"/>
      <c r="I72" s="767" t="n"/>
      <c r="J72" s="767" t="n"/>
      <c r="K72" s="767" t="n"/>
      <c r="L72" s="767" t="n"/>
      <c r="M72" s="767" t="n"/>
      <c r="N72" s="767" t="n"/>
      <c r="O72" s="767" t="n"/>
      <c r="P72" s="767" t="n"/>
      <c r="Q72" s="768">
        <f>SUM(E72:P72)</f>
        <v/>
      </c>
    </row>
    <row r="73" outlineLevel="1" ht="9.949999999999999" customHeight="1">
      <c r="C73" s="506" t="n"/>
      <c r="D73" s="486" t="n"/>
      <c r="E73" s="766" t="n"/>
      <c r="F73" s="767" t="n"/>
      <c r="G73" s="767" t="n"/>
      <c r="H73" s="767" t="n"/>
      <c r="I73" s="767" t="n"/>
      <c r="J73" s="767" t="n"/>
      <c r="K73" s="767" t="n"/>
      <c r="L73" s="767" t="n"/>
      <c r="M73" s="767" t="n"/>
      <c r="N73" s="767" t="n"/>
      <c r="O73" s="767" t="n"/>
      <c r="P73" s="767" t="n"/>
      <c r="Q73" s="768">
        <f>SUM(E73:P73)</f>
        <v/>
      </c>
    </row>
    <row r="74" outlineLevel="1" ht="9.949999999999999" customHeight="1">
      <c r="C74" s="506" t="n"/>
      <c r="D74" s="486" t="n"/>
      <c r="E74" s="766" t="n"/>
      <c r="F74" s="767" t="n"/>
      <c r="G74" s="767" t="n"/>
      <c r="H74" s="767" t="n"/>
      <c r="I74" s="767" t="n"/>
      <c r="J74" s="767" t="n"/>
      <c r="K74" s="767" t="n"/>
      <c r="L74" s="767" t="n"/>
      <c r="M74" s="767" t="n"/>
      <c r="N74" s="767" t="n"/>
      <c r="O74" s="767" t="n"/>
      <c r="P74" s="767" t="n"/>
      <c r="Q74" s="768">
        <f>SUM(E74:P74)</f>
        <v/>
      </c>
    </row>
    <row r="75" ht="9.949999999999999" customFormat="1" customHeight="1" s="513">
      <c r="A75" s="512" t="n"/>
      <c r="B75" s="513" t="inlineStr">
        <is>
          <t>Other Expenses</t>
        </is>
      </c>
      <c r="C75" s="514" t="n"/>
      <c r="E75" s="769">
        <f>IF(E66&gt;0,E66,SUM(E67:E74))</f>
        <v/>
      </c>
      <c r="F75" s="769">
        <f>IF(F66&gt;0,F66,SUM(F67:F74))</f>
        <v/>
      </c>
      <c r="G75" s="769">
        <f>IF(G66&gt;0,G66,SUM(G67:G74))</f>
        <v/>
      </c>
      <c r="H75" s="769">
        <f>IF(H66&gt;0,H66,SUM(H67:H74))</f>
        <v/>
      </c>
      <c r="I75" s="769">
        <f>IF(I66&gt;0,I66,SUM(I67:I74))</f>
        <v/>
      </c>
      <c r="J75" s="769">
        <f>IF(J66&gt;0,J66,SUM(J67:J74))</f>
        <v/>
      </c>
      <c r="K75" s="769">
        <f>IF(K66&gt;0,K66,SUM(K67:K74))</f>
        <v/>
      </c>
      <c r="L75" s="769">
        <f>IF(L66&gt;0,L66,SUM(L67:L74))</f>
        <v/>
      </c>
      <c r="M75" s="769">
        <f>IF(M66&gt;0,M66,SUM(M67:M74))</f>
        <v/>
      </c>
      <c r="N75" s="769">
        <f>IF(N66&gt;0,N66,SUM(N67:N74))</f>
        <v/>
      </c>
      <c r="O75" s="769">
        <f>IF(O66&gt;0,O66,SUM(O67:O74))</f>
        <v/>
      </c>
      <c r="P75" s="769">
        <f>IF(P66&gt;0,P66,SUM(P67:P74))</f>
        <v/>
      </c>
      <c r="Q75" s="770">
        <f>SUM(E75:P75)</f>
        <v/>
      </c>
    </row>
    <row r="76" ht="9.949999999999999" customHeight="1">
      <c r="C76" s="503" t="n"/>
      <c r="E76" s="771" t="n"/>
      <c r="F76" s="771" t="n"/>
      <c r="G76" s="771" t="n"/>
      <c r="H76" s="771" t="n"/>
      <c r="I76" s="771" t="n"/>
      <c r="J76" s="771" t="n"/>
      <c r="K76" s="771" t="n"/>
      <c r="L76" s="771" t="n"/>
      <c r="M76" s="771" t="n"/>
      <c r="N76" s="771" t="n"/>
      <c r="O76" s="771" t="n"/>
      <c r="P76" s="771" t="n"/>
      <c r="Q76" s="772" t="n"/>
    </row>
    <row r="77" ht="9.949999999999999" customHeight="1">
      <c r="B77" s="524" t="inlineStr">
        <is>
          <t>Total Adjustments to EBITDA</t>
        </is>
      </c>
      <c r="C77" s="525" t="n"/>
      <c r="D77" s="524" t="n"/>
      <c r="E77" s="778">
        <f>E16+E22+E27+E40+E45+E52+E57+E63+E75</f>
        <v/>
      </c>
      <c r="F77" s="778">
        <f>F16+F22+F27+F40+F45+F52+F57+F63+F75</f>
        <v/>
      </c>
      <c r="G77" s="778">
        <f>G16+G22+G27+G40+G45+G52+G57+G63+G75</f>
        <v/>
      </c>
      <c r="H77" s="778">
        <f>H16+H22+H27+H40+H45+H52+H57+H63+H75</f>
        <v/>
      </c>
      <c r="I77" s="778">
        <f>I16+I22+I27+I40+I45+I52+I57+I63+I75</f>
        <v/>
      </c>
      <c r="J77" s="778">
        <f>J16+J22+J27+J40+J45+J52+J57+J63+J75</f>
        <v/>
      </c>
      <c r="K77" s="778">
        <f>K16+K22+K27+K40+K45+K52+K57+K63+K75</f>
        <v/>
      </c>
      <c r="L77" s="778">
        <f>L16+L22+L27+L40+L45+L52+L57+L63+L75</f>
        <v/>
      </c>
      <c r="M77" s="778">
        <f>M16+M22+M27+M40+M45+M52+M57+M63+M75</f>
        <v/>
      </c>
      <c r="N77" s="778">
        <f>N16+N22+N27+N40+N45+N52+N57+N63+N75</f>
        <v/>
      </c>
      <c r="O77" s="778">
        <f>O16+O22+O27+O40+O45+O52+O57+O63+O75</f>
        <v/>
      </c>
      <c r="P77" s="778">
        <f>P16+P22+P27+P40+P45+P52+P57+P63+P75</f>
        <v/>
      </c>
      <c r="Q77" s="770">
        <f>SUM(E77:P77)</f>
        <v/>
      </c>
    </row>
    <row r="78" ht="5.1" customHeight="1">
      <c r="B78" s="513" t="n"/>
      <c r="C78" s="503" t="n"/>
      <c r="E78" s="779" t="n"/>
      <c r="F78" s="779" t="n"/>
      <c r="G78" s="779" t="n"/>
      <c r="H78" s="779" t="n"/>
      <c r="I78" s="779" t="n"/>
      <c r="J78" s="779" t="n"/>
      <c r="K78" s="779" t="n"/>
      <c r="L78" s="779" t="n"/>
      <c r="M78" s="779" t="n"/>
      <c r="N78" s="779" t="n"/>
      <c r="O78" s="779" t="n"/>
      <c r="P78" s="779" t="n"/>
      <c r="Q78" s="780" t="n"/>
    </row>
    <row r="79" ht="9.949999999999999" customFormat="1" customHeight="1" s="513">
      <c r="A79" s="512" t="n"/>
      <c r="B79" s="529" t="inlineStr">
        <is>
          <t>Adjusted EBITDA</t>
        </is>
      </c>
      <c r="C79" s="530" t="n"/>
      <c r="D79" s="531" t="n"/>
      <c r="E79" s="781">
        <f>E77+E10</f>
        <v/>
      </c>
      <c r="F79" s="781">
        <f>F77+F10</f>
        <v/>
      </c>
      <c r="G79" s="781">
        <f>G77+G10</f>
        <v/>
      </c>
      <c r="H79" s="781">
        <f>H77+H10</f>
        <v/>
      </c>
      <c r="I79" s="781">
        <f>I77+I10</f>
        <v/>
      </c>
      <c r="J79" s="781">
        <f>J77+J10</f>
        <v/>
      </c>
      <c r="K79" s="781">
        <f>K77+K10</f>
        <v/>
      </c>
      <c r="L79" s="781">
        <f>L77+L10</f>
        <v/>
      </c>
      <c r="M79" s="781">
        <f>M77+M10</f>
        <v/>
      </c>
      <c r="N79" s="781">
        <f>N77+N10</f>
        <v/>
      </c>
      <c r="O79" s="781">
        <f>O77+O10</f>
        <v/>
      </c>
      <c r="P79" s="781">
        <f>P77+P10</f>
        <v/>
      </c>
      <c r="Q79" s="782">
        <f>Q77+Q10</f>
        <v/>
      </c>
    </row>
    <row r="80">
      <c r="C80" s="503" t="n"/>
      <c r="D80" s="503" t="n"/>
      <c r="E80" s="503" t="n"/>
      <c r="F80" s="503" t="n"/>
      <c r="G80" s="503" t="n"/>
      <c r="H80" s="503" t="n"/>
      <c r="I80" s="503" t="n"/>
      <c r="J80" s="503" t="n"/>
      <c r="K80" s="503" t="n"/>
      <c r="L80" s="503" t="n"/>
      <c r="M80" s="503" t="n"/>
      <c r="N80" s="503" t="n"/>
      <c r="O80" s="503" t="n"/>
      <c r="P80" s="503" t="n"/>
      <c r="Q80" s="503" t="n"/>
      <c r="R80" s="503" t="n"/>
    </row>
    <row r="81">
      <c r="C81" s="503" t="n"/>
      <c r="D81" s="503" t="n"/>
      <c r="E81" s="503" t="n"/>
      <c r="F81" s="503" t="n"/>
      <c r="G81" s="503" t="n"/>
      <c r="H81" s="503" t="n"/>
      <c r="I81" s="503" t="n"/>
      <c r="J81" s="503" t="n"/>
      <c r="K81" s="503" t="n"/>
      <c r="L81" s="503" t="n"/>
      <c r="M81" s="503" t="n"/>
      <c r="N81" s="503" t="n"/>
      <c r="O81" s="503" t="n"/>
      <c r="P81" s="503" t="n"/>
      <c r="Q81" s="503" t="n"/>
      <c r="R81" s="503" t="n"/>
    </row>
    <row r="82">
      <c r="B82" s="616" t="n"/>
      <c r="C82" s="503" t="n"/>
      <c r="D82" s="503" t="n"/>
      <c r="E82" s="783">
        <f>E79-'Pro Forma Financials (Q1)'!I38</f>
        <v/>
      </c>
      <c r="F82" s="783">
        <f>F79-'Pro Forma Financials (Q1)'!J38</f>
        <v/>
      </c>
      <c r="G82" s="783">
        <f>G79-'Pro Forma Financials (Q1)'!K38</f>
        <v/>
      </c>
      <c r="H82" s="783">
        <f>H79-'Pro Forma Financials (Q1)'!L38</f>
        <v/>
      </c>
      <c r="I82" s="783">
        <f>I79-'Pro Forma Financials (Q1)'!M38</f>
        <v/>
      </c>
      <c r="J82" s="783">
        <f>J79-'Pro Forma Financials (Q1)'!N38</f>
        <v/>
      </c>
      <c r="K82" s="783">
        <f>K79-'Pro Forma Financials (Q1)'!O38</f>
        <v/>
      </c>
      <c r="L82" s="783">
        <f>L79-'Pro Forma Financials (Q1)'!P38</f>
        <v/>
      </c>
      <c r="M82" s="783">
        <f>M79-'Pro Forma Financials (Q1)'!Q38</f>
        <v/>
      </c>
      <c r="N82" s="783">
        <f>N79-'Pro Forma Financials (Q1)'!R38</f>
        <v/>
      </c>
      <c r="O82" s="783">
        <f>O79-'Pro Forma Financials (Q1)'!S38</f>
        <v/>
      </c>
      <c r="P82" s="783">
        <f>P79-'Pro Forma Financials (Q1)'!T38</f>
        <v/>
      </c>
      <c r="Q82" s="783">
        <f>Q79-'Pro Forma Financials (Q1)'!D38</f>
        <v/>
      </c>
      <c r="R82" s="503" t="n"/>
    </row>
    <row r="83">
      <c r="C83" s="503" t="n"/>
      <c r="D83" s="503" t="n"/>
      <c r="E83" s="784" t="n"/>
      <c r="F83" s="784" t="n"/>
      <c r="G83" s="784" t="n"/>
      <c r="H83" s="784" t="n"/>
      <c r="I83" s="784" t="n"/>
      <c r="J83" s="784" t="n"/>
      <c r="K83" s="784" t="n"/>
      <c r="L83" s="784" t="n"/>
      <c r="M83" s="784" t="n"/>
      <c r="N83" s="784" t="n"/>
      <c r="O83" s="784" t="n"/>
      <c r="P83" s="503" t="n"/>
      <c r="Q83" s="503" t="n"/>
      <c r="R83" s="503" t="n"/>
    </row>
    <row r="84">
      <c r="C84" s="503" t="n"/>
      <c r="D84" s="503" t="n"/>
      <c r="E84" s="784" t="n"/>
      <c r="F84" s="784" t="n"/>
      <c r="G84" s="784" t="n"/>
      <c r="H84" s="784" t="n"/>
      <c r="I84" s="784" t="n"/>
      <c r="J84" s="784" t="n"/>
      <c r="K84" s="784" t="n"/>
      <c r="L84" s="784" t="n"/>
      <c r="M84" s="784" t="n"/>
      <c r="N84" s="784" t="n"/>
      <c r="O84" s="784" t="n"/>
      <c r="P84" s="784" t="n"/>
      <c r="Q84" s="785" t="n"/>
      <c r="R84" s="503" t="n"/>
    </row>
    <row r="85">
      <c r="C85" s="503" t="n"/>
      <c r="D85" s="503" t="n"/>
      <c r="E85" s="784" t="n"/>
      <c r="F85" s="784" t="n"/>
      <c r="G85" s="784" t="n"/>
      <c r="H85" s="784" t="n"/>
      <c r="I85" s="784" t="n"/>
      <c r="J85" s="784" t="n"/>
      <c r="K85" s="784" t="n"/>
      <c r="L85" s="784" t="n"/>
      <c r="M85" s="784" t="n"/>
      <c r="N85" s="784" t="n"/>
      <c r="O85" s="784" t="n"/>
      <c r="P85" s="784" t="n"/>
      <c r="R85" s="503" t="n"/>
    </row>
    <row r="86">
      <c r="E86" s="786" t="n"/>
      <c r="F86" s="786" t="n"/>
      <c r="G86" s="786" t="n"/>
      <c r="H86" s="786" t="n"/>
      <c r="I86" s="786" t="n"/>
      <c r="J86" s="786" t="n"/>
      <c r="K86" s="786" t="n"/>
      <c r="L86" s="786" t="n"/>
      <c r="M86" s="786" t="n"/>
      <c r="N86" s="786" t="n"/>
      <c r="O86" s="784" t="n"/>
      <c r="P86" s="784" t="n"/>
    </row>
    <row r="87">
      <c r="E87" s="786" t="n"/>
      <c r="F87" s="784" t="n"/>
      <c r="G87" s="784" t="n"/>
      <c r="H87" s="784" t="n"/>
      <c r="I87" s="784" t="n"/>
      <c r="J87" s="784" t="n"/>
      <c r="K87" s="784" t="n"/>
      <c r="L87" s="784" t="n"/>
      <c r="M87" s="784" t="n"/>
      <c r="N87" s="784" t="n"/>
      <c r="O87" s="784" t="n"/>
      <c r="P87" s="784" t="n"/>
    </row>
    <row r="88">
      <c r="E88" s="784" t="n"/>
      <c r="F88" s="784" t="n"/>
      <c r="G88" s="784" t="n"/>
      <c r="H88" s="784" t="n"/>
      <c r="I88" s="784" t="n"/>
      <c r="J88" s="784" t="n"/>
      <c r="K88" s="784" t="n"/>
      <c r="L88" s="784" t="n"/>
      <c r="M88" s="784" t="n"/>
      <c r="N88" s="784" t="n"/>
      <c r="O88" s="784" t="n"/>
      <c r="P88" s="784" t="n"/>
      <c r="Q88" s="783" t="n"/>
    </row>
    <row r="89">
      <c r="E89" s="784" t="n"/>
      <c r="F89" s="784" t="n"/>
      <c r="G89" s="784" t="n"/>
      <c r="H89" s="784" t="n"/>
      <c r="I89" s="784" t="n"/>
      <c r="J89" s="784" t="n"/>
      <c r="K89" s="784" t="n"/>
      <c r="L89" s="784" t="n"/>
      <c r="M89" s="784" t="n"/>
      <c r="N89" s="784" t="n"/>
      <c r="O89" s="784" t="n"/>
      <c r="P89" s="784" t="n"/>
    </row>
    <row r="90">
      <c r="E90" s="786" t="n"/>
    </row>
    <row r="91">
      <c r="B91" s="655" t="n"/>
      <c r="C91" s="513" t="n"/>
      <c r="D91" s="513" t="n"/>
      <c r="E91" s="787" t="n"/>
      <c r="H91" s="653" t="n"/>
    </row>
    <row r="92">
      <c r="H92" s="788" t="n"/>
    </row>
    <row r="93">
      <c r="H93" s="654" t="n"/>
    </row>
  </sheetData>
  <pageMargins left="0.7086614173228347" right="0.7086614173228347" top="0.7480314960629921" bottom="0.7480314960629921" header="0.3149606299212598" footer="0.3149606299212598"/>
  <pageSetup orientation="landscape" scale="66" fitToHeight="0"/>
</worksheet>
</file>

<file path=xl/worksheets/sheet5.xml><?xml version="1.0" encoding="utf-8"?>
<worksheet xmlns="http://schemas.openxmlformats.org/spreadsheetml/2006/main">
  <sheetPr>
    <tabColor theme="4"/>
    <outlinePr summaryBelow="1" summaryRight="1"/>
    <pageSetUpPr fitToPage="1"/>
  </sheetPr>
  <dimension ref="A1:W93"/>
  <sheetViews>
    <sheetView showGridLines="0" view="pageBreakPreview" zoomScaleNormal="55" zoomScaleSheetLayoutView="100" workbookViewId="0">
      <selection activeCell="A1" sqref="A1"/>
    </sheetView>
  </sheetViews>
  <sheetFormatPr baseColWidth="8" defaultColWidth="9.140625" defaultRowHeight="15" outlineLevelRow="1"/>
  <cols>
    <col width="10.85546875" bestFit="1" customWidth="1" min="1" max="1"/>
    <col width="63.28515625" customWidth="1" min="2" max="2"/>
    <col width="4.85546875" customWidth="1" min="3" max="3"/>
    <col width="14.140625" customWidth="1" min="4" max="4"/>
    <col hidden="1" outlineLevel="1" width="8.5703125" customWidth="1" min="5" max="5"/>
    <col collapsed="1" width="5.5703125" customWidth="1" min="6" max="6"/>
    <col hidden="1" outlineLevel="1" width="14.140625" customWidth="1" min="7" max="7"/>
    <col hidden="1" outlineLevel="2" width="8.5703125" customWidth="1" min="8" max="8"/>
    <col hidden="1" outlineLevel="1" collapsed="1" width="5.5703125" customWidth="1" min="9" max="9"/>
    <col collapsed="1" width="14.140625" customWidth="1" min="10" max="10"/>
    <col hidden="1" outlineLevel="1" width="8.5703125" customWidth="1" min="11" max="11"/>
    <col collapsed="1" width="5.5703125" customWidth="1" min="12" max="12"/>
    <col width="14.140625" customWidth="1" min="13" max="13"/>
    <col hidden="1" outlineLevel="1" width="8.5703125" customWidth="1" min="14" max="14"/>
    <col collapsed="1" width="5.5703125" customWidth="1" min="15" max="15"/>
    <col width="14.140625" customWidth="1" min="16" max="16"/>
    <col hidden="1" outlineLevel="1" width="8.5703125" customWidth="1" min="17" max="17"/>
    <col collapsed="1" width="2.7109375" customWidth="1" min="18" max="18"/>
    <col width="94.140625" customWidth="1" min="19" max="19"/>
    <col width="15.7109375" customWidth="1" min="20" max="20"/>
    <col width="94.140625" customWidth="1" min="21" max="21"/>
    <col width="44.140625" bestFit="1" customWidth="1" min="22" max="22"/>
  </cols>
  <sheetData>
    <row r="1" ht="18.75" customFormat="1" customHeight="1" s="53">
      <c r="B1" s="247">
        <f>'I. Cover Page'!B5</f>
        <v/>
      </c>
      <c r="Q1" s="53" t="inlineStr">
        <is>
          <t xml:space="preserve"> </t>
        </is>
      </c>
    </row>
    <row r="2" ht="13.5" customFormat="1" customHeight="1" s="53" thickBot="1">
      <c r="B2" s="255" t="inlineStr">
        <is>
          <t>Comparables Summary</t>
        </is>
      </c>
      <c r="C2" s="54" t="n"/>
      <c r="D2" s="54" t="n"/>
      <c r="E2" s="54" t="n"/>
      <c r="F2" s="54" t="n"/>
      <c r="G2" s="54" t="n"/>
      <c r="H2" s="54" t="n"/>
      <c r="I2" s="54" t="n"/>
      <c r="J2" s="54" t="n"/>
      <c r="K2" s="54" t="n"/>
      <c r="L2" s="54" t="n"/>
      <c r="M2" s="54" t="n"/>
      <c r="N2" s="54" t="n"/>
      <c r="O2" s="54" t="n"/>
      <c r="P2" s="54" t="n"/>
      <c r="Q2" s="54" t="n"/>
      <c r="R2" s="54" t="n"/>
      <c r="S2" s="54" t="n"/>
      <c r="T2" s="54" t="n"/>
      <c r="U2" s="54" t="n"/>
    </row>
    <row r="3" ht="13.5" customFormat="1" customHeight="1" s="53" thickTop="1">
      <c r="B3" s="251">
        <f>'I. Cover Page'!B9</f>
        <v/>
      </c>
      <c r="C3" s="55" t="n"/>
      <c r="D3" s="55" t="n"/>
      <c r="E3" s="55" t="n"/>
      <c r="F3" s="55" t="n"/>
      <c r="G3" s="55" t="n"/>
      <c r="H3" s="55" t="n"/>
      <c r="I3" s="55" t="n"/>
      <c r="J3" s="55" t="n"/>
      <c r="K3" s="55" t="n"/>
      <c r="L3" s="55" t="n"/>
      <c r="M3" s="55" t="n"/>
      <c r="N3" s="55" t="n"/>
      <c r="O3" s="55" t="n"/>
      <c r="P3" s="55" t="n"/>
      <c r="Q3" s="55" t="n"/>
      <c r="R3" s="424" t="n"/>
      <c r="T3" s="55" t="n"/>
      <c r="U3" s="55" t="n"/>
    </row>
    <row r="4" hidden="1" outlineLevel="1" ht="17.25" customFormat="1" customHeight="1" s="11">
      <c r="A4" s="789" t="n"/>
      <c r="D4" s="147" t="inlineStr">
        <is>
          <t>PitchBook Tags</t>
        </is>
      </c>
      <c r="E4" s="170" t="n"/>
      <c r="F4" s="170" t="n"/>
      <c r="G4" s="147" t="n"/>
      <c r="H4" s="148" t="n"/>
      <c r="I4" s="170" t="n"/>
      <c r="J4" s="147" t="n"/>
      <c r="K4" s="148" t="n"/>
      <c r="L4" s="148" t="n"/>
      <c r="M4" s="170" t="n"/>
      <c r="N4" s="170" t="n"/>
      <c r="O4" s="170" t="n"/>
      <c r="P4" s="170" t="n"/>
    </row>
    <row r="5" hidden="1" outlineLevel="1" customFormat="1" s="11">
      <c r="A5" s="789" t="n"/>
      <c r="D5" t="inlineStr">
        <is>
          <t>EnterpriseValueDiluted</t>
        </is>
      </c>
      <c r="E5" s="149" t="n"/>
      <c r="F5" s="149" t="n"/>
      <c r="H5" s="149" t="n"/>
      <c r="I5" s="149" t="n"/>
      <c r="K5" s="149" t="n"/>
      <c r="L5" s="149" t="n"/>
      <c r="M5" t="inlineStr">
        <is>
          <t>EnterpriseValueDiluted</t>
        </is>
      </c>
      <c r="N5" s="149" t="n"/>
      <c r="O5" s="149" t="n"/>
      <c r="P5" t="inlineStr">
        <is>
          <t>Market Cap</t>
        </is>
      </c>
    </row>
    <row r="6" hidden="1" outlineLevel="1" customFormat="1" s="11">
      <c r="A6" s="789" t="n"/>
      <c r="D6" t="inlineStr">
        <is>
          <t>Total Revenue</t>
        </is>
      </c>
      <c r="M6" t="inlineStr">
        <is>
          <t>EBITDA</t>
        </is>
      </c>
      <c r="P6" t="inlineStr">
        <is>
          <t>Total Revenue</t>
        </is>
      </c>
    </row>
    <row r="7" collapsed="1">
      <c r="A7" s="175" t="n"/>
    </row>
    <row r="8" ht="15" customHeight="1">
      <c r="B8" s="57" t="inlineStr">
        <is>
          <t>Public Company Comparables</t>
        </is>
      </c>
      <c r="D8" s="157" t="inlineStr">
        <is>
          <t>Current Period</t>
        </is>
      </c>
      <c r="E8" s="156" t="n"/>
      <c r="F8" s="156" t="n"/>
      <c r="G8" s="157" t="inlineStr">
        <is>
          <t>Prior Period</t>
        </is>
      </c>
      <c r="H8" s="156" t="n"/>
      <c r="I8" s="156" t="n"/>
      <c r="J8" s="157" t="inlineStr">
        <is>
          <t>Prior Period</t>
        </is>
      </c>
      <c r="K8" s="156" t="n"/>
      <c r="L8" s="156" t="n"/>
      <c r="M8" s="157" t="inlineStr">
        <is>
          <t xml:space="preserve">Current Period </t>
        </is>
      </c>
      <c r="N8" s="156" t="n"/>
      <c r="O8" s="156" t="n"/>
      <c r="P8" s="157" t="inlineStr">
        <is>
          <t>Current Period</t>
        </is>
      </c>
      <c r="T8" s="58" t="n"/>
      <c r="U8" s="58" t="n"/>
    </row>
    <row r="9" ht="15" customHeight="1">
      <c r="B9" s="58" t="n"/>
      <c r="C9" s="150" t="n"/>
      <c r="D9" s="180">
        <f>B3</f>
        <v/>
      </c>
      <c r="E9" s="169" t="n"/>
      <c r="F9" s="169" t="n"/>
      <c r="G9" s="180" t="n">
        <v>45291</v>
      </c>
      <c r="H9" s="150" t="n"/>
      <c r="I9" s="169" t="n"/>
      <c r="J9" s="180" t="n">
        <v>46022</v>
      </c>
      <c r="K9" s="150" t="n"/>
      <c r="L9" s="150" t="n"/>
      <c r="M9" s="180">
        <f>D9</f>
        <v/>
      </c>
      <c r="N9" s="130" t="n"/>
      <c r="O9" s="169" t="n"/>
      <c r="P9" s="180">
        <f>M9</f>
        <v/>
      </c>
      <c r="Q9" s="150" t="n"/>
      <c r="R9" s="206" t="n"/>
      <c r="S9" s="58" t="n"/>
      <c r="T9" s="58" t="n"/>
      <c r="U9" s="58" t="n"/>
    </row>
    <row r="10" ht="15" customHeight="1" thickBot="1">
      <c r="A10" s="59" t="inlineStr">
        <is>
          <t>Ticker</t>
        </is>
      </c>
      <c r="B10" s="59" t="inlineStr">
        <is>
          <t>Public Companies</t>
        </is>
      </c>
      <c r="C10" s="151" t="n"/>
      <c r="D10" s="181" t="inlineStr">
        <is>
          <t>EV/EBITDA</t>
        </is>
      </c>
      <c r="E10" s="151" t="n"/>
      <c r="F10" s="60" t="n"/>
      <c r="G10" s="181" t="inlineStr">
        <is>
          <t>EV/EBITDA</t>
        </is>
      </c>
      <c r="H10" s="151" t="n"/>
      <c r="I10" s="60" t="n"/>
      <c r="J10" s="181" t="inlineStr">
        <is>
          <t>EV/EBITDA</t>
        </is>
      </c>
      <c r="K10" s="151" t="n"/>
      <c r="L10" s="60" t="n"/>
      <c r="M10" s="181" t="inlineStr">
        <is>
          <t>EV/S</t>
        </is>
      </c>
      <c r="N10" s="158" t="n"/>
      <c r="O10" s="60" t="n"/>
      <c r="P10" s="181" t="inlineStr">
        <is>
          <t>P/S</t>
        </is>
      </c>
      <c r="Q10" s="151" t="n"/>
      <c r="R10" s="412" t="n"/>
      <c r="S10" s="61" t="inlineStr">
        <is>
          <t>Description</t>
        </is>
      </c>
      <c r="T10" s="61" t="inlineStr">
        <is>
          <t>Business Model</t>
        </is>
      </c>
      <c r="U10" s="61" t="inlineStr">
        <is>
          <t>Rationale</t>
        </is>
      </c>
      <c r="V10" s="61" t="inlineStr">
        <is>
          <t>Source</t>
        </is>
      </c>
    </row>
    <row r="11" ht="15.6" customHeight="1">
      <c r="A11" s="163" t="inlineStr">
        <is>
          <t>NYS:EMR</t>
        </is>
      </c>
      <c r="B11" s="163" t="inlineStr">
        <is>
          <t>Emerson Electric</t>
        </is>
      </c>
      <c r="C11" s="379" t="n"/>
      <c r="D11" s="790" t="n">
        <v>18.08264643910661</v>
      </c>
      <c r="E11" s="790">
        <f>D11*(1-$C$58)</f>
        <v/>
      </c>
      <c r="F11" s="415" t="n"/>
      <c r="G11" s="790" t="n">
        <v>16.45766541273209</v>
      </c>
      <c r="H11" s="790" t="n">
        <v>0</v>
      </c>
      <c r="I11" s="415" t="n">
        <v>0</v>
      </c>
      <c r="J11" s="790" t="n">
        <v>18.52414881275325</v>
      </c>
      <c r="K11" s="790">
        <f>J11*(1-$C$58)</f>
        <v/>
      </c>
      <c r="L11" s="415" t="n"/>
      <c r="M11" s="790" t="n">
        <v>4.719027823600572</v>
      </c>
      <c r="N11" s="790">
        <f>IFERROR(M11*(1-$C$58),"na")</f>
        <v/>
      </c>
      <c r="O11" s="416" t="n"/>
      <c r="P11" s="790" t="n">
        <v>4.719027823600572</v>
      </c>
      <c r="Q11" s="790">
        <f>IFERROR(P11*(1-$C$58),"na")</f>
        <v/>
      </c>
      <c r="R11" s="380" t="n"/>
      <c r="S11" s="417" t="n"/>
      <c r="T11" s="417" t="inlineStr">
        <is>
          <t>Manufacturer</t>
        </is>
      </c>
      <c r="U11" s="417">
        <f>'VI. Comparables (Description)'!E8</f>
        <v/>
      </c>
    </row>
    <row r="12" ht="15.6" customHeight="1">
      <c r="A12" s="418" t="inlineStr">
        <is>
          <t>NYS:XYL</t>
        </is>
      </c>
      <c r="B12" s="418" t="inlineStr">
        <is>
          <t>Xylem</t>
        </is>
      </c>
      <c r="C12" s="419" t="n"/>
      <c r="D12" s="790" t="n">
        <v>16.85538128384528</v>
      </c>
      <c r="E12" s="790">
        <f>D12*(1-$C$58)</f>
        <v/>
      </c>
      <c r="F12" s="790" t="n"/>
      <c r="G12" s="790" t="n">
        <v>29.10114917512438</v>
      </c>
      <c r="H12" s="790" t="n">
        <v>0</v>
      </c>
      <c r="I12" s="790" t="n">
        <v>0</v>
      </c>
      <c r="J12" s="790" t="n">
        <v>19.41767666987543</v>
      </c>
      <c r="K12" s="790">
        <f>J12*(1-$C$58)</f>
        <v/>
      </c>
      <c r="L12" s="790" t="n"/>
      <c r="M12" s="790" t="n">
        <v>3.279663563586054</v>
      </c>
      <c r="N12" s="790">
        <f>IFERROR(M12*(1-$C$58),"na")</f>
        <v/>
      </c>
      <c r="O12" s="420" t="n"/>
      <c r="P12" s="790" t="n">
        <v>3.279663563586054</v>
      </c>
      <c r="Q12" s="790">
        <f>IFERROR(P12*(1-$C$58),"na")</f>
        <v/>
      </c>
      <c r="R12" s="381" t="n"/>
      <c r="S12" s="417" t="n"/>
      <c r="T12" s="417" t="inlineStr">
        <is>
          <t>Manufacturer</t>
        </is>
      </c>
      <c r="U12" s="417">
        <f>'VI. Comparables (Description)'!E9</f>
        <v/>
      </c>
    </row>
    <row r="13" ht="15.6" customHeight="1">
      <c r="A13" s="418" t="inlineStr">
        <is>
          <t>NYS:IEX</t>
        </is>
      </c>
      <c r="B13" s="418" t="inlineStr">
        <is>
          <t>IDEX</t>
        </is>
      </c>
      <c r="C13" s="419" t="n"/>
      <c r="D13" s="790" t="n">
        <v>16.97001202324294</v>
      </c>
      <c r="E13" s="790">
        <f>D13*(1-$C$58)</f>
        <v/>
      </c>
      <c r="F13" s="790" t="n"/>
      <c r="G13" s="790" t="n">
        <v>17.61648072112446</v>
      </c>
      <c r="H13" s="790" t="n">
        <v>0</v>
      </c>
      <c r="I13" s="790" t="n">
        <v>0</v>
      </c>
      <c r="J13" s="790" t="n">
        <v>16.56302547982367</v>
      </c>
      <c r="K13" s="790">
        <f>J13*(1-$C$58)</f>
        <v/>
      </c>
      <c r="L13" s="790" t="n"/>
      <c r="M13" s="790" t="n">
        <v>4.434535318293564</v>
      </c>
      <c r="N13" s="790">
        <f>IFERROR(M13*(1-$C$58),"na")</f>
        <v/>
      </c>
      <c r="O13" s="420" t="n"/>
      <c r="P13" s="790" t="n">
        <v>4.434535318293564</v>
      </c>
      <c r="Q13" s="790">
        <f>IFERROR(P13*(1-$C$58),"na")</f>
        <v/>
      </c>
      <c r="R13" s="381" t="n"/>
      <c r="S13" s="417" t="n"/>
      <c r="T13" s="417" t="inlineStr">
        <is>
          <t>Manufacturer</t>
        </is>
      </c>
      <c r="U13" s="417">
        <f>'VI. Comparables (Description)'!E10</f>
        <v/>
      </c>
    </row>
    <row r="14" ht="15.6" customHeight="1">
      <c r="A14" s="418" t="inlineStr">
        <is>
          <t>NYS:GGG</t>
        </is>
      </c>
      <c r="B14" s="418" t="inlineStr">
        <is>
          <t>Graco</t>
        </is>
      </c>
      <c r="C14" s="419" t="n"/>
      <c r="D14" s="790" t="n">
        <v>17.91240571317559</v>
      </c>
      <c r="E14" s="790">
        <f>D14*(1-$C$58)</f>
        <v/>
      </c>
      <c r="F14" s="790" t="n"/>
      <c r="G14" s="790" t="n">
        <v>19.87933117597067</v>
      </c>
      <c r="H14" s="790" t="n">
        <v>0</v>
      </c>
      <c r="I14" s="790" t="n">
        <v>0</v>
      </c>
      <c r="J14" s="790" t="n">
        <v>18.25748681882805</v>
      </c>
      <c r="K14" s="790">
        <f>J14*(1-$C$58)</f>
        <v/>
      </c>
      <c r="L14" s="790" t="n"/>
      <c r="M14" s="790" t="n">
        <v>6.018785004408469</v>
      </c>
      <c r="N14" s="790">
        <f>IFERROR(M14*(1-$C$58),"na")</f>
        <v/>
      </c>
      <c r="O14" s="420" t="n"/>
      <c r="P14" s="790" t="n">
        <v>6.018785004408469</v>
      </c>
      <c r="Q14" s="790">
        <f>IFERROR(P14*(1-$C$58),"na")</f>
        <v/>
      </c>
      <c r="R14" s="381" t="n"/>
      <c r="S14" s="417" t="n"/>
      <c r="T14" s="417" t="inlineStr">
        <is>
          <t>Manufacturer</t>
        </is>
      </c>
      <c r="U14" s="417">
        <f>'VI. Comparables (Description)'!E11</f>
        <v/>
      </c>
    </row>
    <row r="15" ht="15.6" customHeight="1">
      <c r="A15" s="418" t="inlineStr">
        <is>
          <t>NYS:CW</t>
        </is>
      </c>
      <c r="B15" s="418" t="inlineStr">
        <is>
          <t>Curtiss-Wright</t>
        </is>
      </c>
      <c r="C15" s="419" t="n"/>
      <c r="D15" s="790" t="n">
        <v>32.86611775052623</v>
      </c>
      <c r="E15" s="790">
        <f>D15*(1-$C$58)</f>
        <v/>
      </c>
      <c r="F15" s="790" t="n"/>
      <c r="G15" s="790" t="n">
        <v>15.36872752728884</v>
      </c>
      <c r="H15" s="790" t="n">
        <v>0</v>
      </c>
      <c r="I15" s="790" t="n">
        <v>0</v>
      </c>
      <c r="J15" s="790" t="n">
        <v>27.97234713299867</v>
      </c>
      <c r="K15" s="790">
        <f>J15*(1-$C$58)</f>
        <v/>
      </c>
      <c r="L15" s="790" t="n"/>
      <c r="M15" s="790" t="n">
        <v>7.41343382350419</v>
      </c>
      <c r="N15" s="790">
        <f>IFERROR(M15*(1-$C$58),"na")</f>
        <v/>
      </c>
      <c r="O15" s="420" t="n"/>
      <c r="P15" s="790" t="n">
        <v>7.41343382350419</v>
      </c>
      <c r="Q15" s="790">
        <f>IFERROR(P15*(1-$C$58),"na")</f>
        <v/>
      </c>
      <c r="R15" s="381" t="n"/>
      <c r="S15" s="417" t="n"/>
      <c r="T15" s="417" t="inlineStr">
        <is>
          <t>Manufacturer</t>
        </is>
      </c>
      <c r="U15" s="417">
        <f>'VI. Comparables (Description)'!E12</f>
        <v/>
      </c>
    </row>
    <row r="16" ht="15.6" customHeight="1">
      <c r="A16" s="418" t="inlineStr">
        <is>
          <t>NYS:ITT</t>
        </is>
      </c>
      <c r="B16" s="418" t="inlineStr">
        <is>
          <t xml:space="preserve">ITT </t>
        </is>
      </c>
      <c r="C16" s="419" t="n"/>
      <c r="D16" s="790" t="n">
        <v>19.52695789808917</v>
      </c>
      <c r="E16" s="790">
        <f>D16*(1-$C$58)</f>
        <v/>
      </c>
      <c r="F16" s="790" t="n"/>
      <c r="G16" s="790" t="n">
        <v>14.51744172145846</v>
      </c>
      <c r="H16" s="790" t="n">
        <v>0</v>
      </c>
      <c r="I16" s="790" t="n">
        <v>0</v>
      </c>
      <c r="J16" s="790" t="n">
        <v>19.06690791907515</v>
      </c>
      <c r="K16" s="790">
        <f>J16*(1-$C$58)</f>
        <v/>
      </c>
      <c r="L16" s="790" t="n"/>
      <c r="M16" s="790" t="n">
        <v>4.125525369303034</v>
      </c>
      <c r="N16" s="790">
        <f>IFERROR(M16*(1-$C$58),"na")</f>
        <v/>
      </c>
      <c r="O16" s="420" t="n"/>
      <c r="P16" s="790" t="n">
        <v>4.125525369303034</v>
      </c>
      <c r="Q16" s="790">
        <f>IFERROR(P16*(1-$C$58),"na")</f>
        <v/>
      </c>
      <c r="R16" s="381" t="n"/>
      <c r="S16" s="417" t="n"/>
      <c r="T16" s="417" t="inlineStr">
        <is>
          <t>Manufacturer</t>
        </is>
      </c>
      <c r="U16" s="417">
        <f>'VI. Comparables (Description)'!E13</f>
        <v/>
      </c>
    </row>
    <row r="17" ht="15.6" customHeight="1">
      <c r="A17" s="418" t="inlineStr">
        <is>
          <t>HEL:VALMT</t>
        </is>
      </c>
      <c r="B17" s="418" t="inlineStr">
        <is>
          <t>Valmet</t>
        </is>
      </c>
      <c r="C17" s="419" t="n"/>
      <c r="D17" s="790" t="n">
        <v>8.537361098740657</v>
      </c>
      <c r="E17" s="790">
        <f>D17*(1-$C$58)</f>
        <v/>
      </c>
      <c r="F17" s="790" t="n"/>
      <c r="G17" s="790" t="n">
        <v>7.696881497284132</v>
      </c>
      <c r="H17" s="790" t="n">
        <v>0</v>
      </c>
      <c r="I17" s="790" t="n">
        <v>0</v>
      </c>
      <c r="J17" s="790" t="n">
        <v>10.39463894137371</v>
      </c>
      <c r="K17" s="790">
        <f>J17*(1-$C$58)</f>
        <v/>
      </c>
      <c r="L17" s="790" t="n"/>
      <c r="M17" s="790" t="n">
        <v>1.059572428071527</v>
      </c>
      <c r="N17" s="790">
        <f>IFERROR(M17*(1-$C$58),"na")</f>
        <v/>
      </c>
      <c r="O17" s="420" t="n"/>
      <c r="P17" s="790" t="n">
        <v>1.059572428071527</v>
      </c>
      <c r="Q17" s="790">
        <f>IFERROR(P17*(1-$C$58),"na")</f>
        <v/>
      </c>
      <c r="R17" s="381" t="n"/>
      <c r="S17" s="417" t="n"/>
      <c r="T17" s="417" t="inlineStr">
        <is>
          <t>Manufacturer</t>
        </is>
      </c>
      <c r="U17" s="417">
        <f>'VI. Comparables (Description)'!E14</f>
        <v/>
      </c>
    </row>
    <row r="18" ht="15.6" customHeight="1">
      <c r="A18" s="418" t="inlineStr">
        <is>
          <t>LON:IMI</t>
        </is>
      </c>
      <c r="B18" s="418" t="inlineStr">
        <is>
          <t>IMI</t>
        </is>
      </c>
      <c r="C18" s="419" t="n"/>
      <c r="D18" s="790" t="n">
        <v>12.22154911307448</v>
      </c>
      <c r="E18" s="790">
        <f>D18*(1-$C$58)</f>
        <v/>
      </c>
      <c r="F18" s="790" t="n"/>
      <c r="G18" s="790" t="n">
        <v>12.03009931431918</v>
      </c>
      <c r="H18" s="790" t="n">
        <v>0</v>
      </c>
      <c r="I18" s="790" t="n">
        <v>0</v>
      </c>
      <c r="J18" s="790" t="n">
        <v>15.55964347457851</v>
      </c>
      <c r="K18" s="790">
        <f>J18*(1-$C$58)</f>
        <v/>
      </c>
      <c r="L18" s="790" t="n"/>
      <c r="M18" s="790" t="n">
        <v>2.905270160256464</v>
      </c>
      <c r="N18" s="790">
        <f>IFERROR(M18*(1-$C$58),"na")</f>
        <v/>
      </c>
      <c r="O18" s="420" t="n"/>
      <c r="P18" s="790" t="n">
        <v>2.905270160256464</v>
      </c>
      <c r="Q18" s="790">
        <f>IFERROR(P18*(1-$C$58),"na")</f>
        <v/>
      </c>
      <c r="R18" s="381" t="n"/>
      <c r="S18" s="417" t="n"/>
      <c r="T18" s="417" t="inlineStr">
        <is>
          <t>Manufacturer</t>
        </is>
      </c>
      <c r="U18" s="417">
        <f>'VI. Comparables (Description)'!E15</f>
        <v/>
      </c>
    </row>
    <row r="19" ht="15.6" customHeight="1">
      <c r="A19" s="418" t="inlineStr">
        <is>
          <t>NYS:WTS</t>
        </is>
      </c>
      <c r="B19" s="418" t="inlineStr">
        <is>
          <t>Watts Water Technologies</t>
        </is>
      </c>
      <c r="C19" s="419" t="n"/>
      <c r="D19" s="790" t="n">
        <v>18.74593649643705</v>
      </c>
      <c r="E19" s="790">
        <f>D19*(1-$C$58)</f>
        <v/>
      </c>
      <c r="F19" s="790" t="n"/>
      <c r="G19" s="790" t="n">
        <v>17.62652384270256</v>
      </c>
      <c r="H19" s="790" t="n">
        <v>0</v>
      </c>
      <c r="I19" s="790" t="n">
        <v>0</v>
      </c>
      <c r="J19" s="790" t="n">
        <v>18.66834986435726</v>
      </c>
      <c r="K19" s="790">
        <f>J19*(1-$C$58)</f>
        <v/>
      </c>
      <c r="L19" s="790" t="n"/>
      <c r="M19" s="790" t="n">
        <v>3.883718317818331</v>
      </c>
      <c r="N19" s="790">
        <f>IFERROR(M19*(1-$C$58),"na")</f>
        <v/>
      </c>
      <c r="O19" s="420" t="n"/>
      <c r="P19" s="790" t="n">
        <v>3.883718317818331</v>
      </c>
      <c r="Q19" s="790">
        <f>IFERROR(P19*(1-$C$58),"na")</f>
        <v/>
      </c>
      <c r="R19" s="381" t="n"/>
      <c r="S19" s="417" t="n"/>
      <c r="T19" s="417" t="inlineStr">
        <is>
          <t>Manufacturer</t>
        </is>
      </c>
      <c r="U19" s="417">
        <f>'VI. Comparables (Description)'!E16</f>
        <v/>
      </c>
    </row>
    <row r="20" ht="15.6" customHeight="1">
      <c r="A20" s="418" t="inlineStr">
        <is>
          <t>NYS:FLS</t>
        </is>
      </c>
      <c r="B20" s="418" t="inlineStr">
        <is>
          <t>Flowserve</t>
        </is>
      </c>
      <c r="C20" s="419" t="n"/>
      <c r="D20" s="790" t="n">
        <v>15.07569563166295</v>
      </c>
      <c r="E20" s="790">
        <f>D20*(1-$C$58)</f>
        <v/>
      </c>
      <c r="F20" s="790" t="n"/>
      <c r="G20" s="790" t="n"/>
      <c r="H20" s="790" t="n"/>
      <c r="I20" s="790" t="n"/>
      <c r="J20" s="790" t="n">
        <v>12.27923309756723</v>
      </c>
      <c r="K20" s="790">
        <f>J20*(1-$C$58)</f>
        <v/>
      </c>
      <c r="L20" s="790" t="n"/>
      <c r="M20" s="790" t="n">
        <v>2.202865519129843</v>
      </c>
      <c r="N20" s="790">
        <f>IFERROR(M20*(1-$C$58),"na")</f>
        <v/>
      </c>
      <c r="O20" s="420" t="n"/>
      <c r="P20" s="790" t="n">
        <v>2.202865519129843</v>
      </c>
      <c r="Q20" s="790">
        <f>IFERROR(P20*(1-$C$58),"na")</f>
        <v/>
      </c>
      <c r="R20" s="381" t="n"/>
      <c r="S20" s="417" t="n"/>
      <c r="T20" s="417" t="inlineStr">
        <is>
          <t>Manufacturer</t>
        </is>
      </c>
      <c r="U20" s="417">
        <f>'VI. Comparables (Description)'!E17</f>
        <v/>
      </c>
    </row>
    <row r="21" ht="15.6" customHeight="1">
      <c r="A21" s="418" t="inlineStr">
        <is>
          <t>LON:ROR</t>
        </is>
      </c>
      <c r="B21" s="418" t="inlineStr">
        <is>
          <t>Rotork</t>
        </is>
      </c>
      <c r="C21" s="419" t="n"/>
      <c r="D21" s="790" t="n">
        <v>13.85893965620772</v>
      </c>
      <c r="E21" s="790">
        <f>D21*(1-$C$58)</f>
        <v/>
      </c>
      <c r="F21" s="790" t="n"/>
      <c r="G21" s="790" t="n">
        <v>17.95895080668443</v>
      </c>
      <c r="H21" s="790" t="n">
        <v>0</v>
      </c>
      <c r="I21" s="790" t="n">
        <v>0</v>
      </c>
      <c r="J21" s="790" t="n">
        <v>17.74976592298307</v>
      </c>
      <c r="K21" s="790">
        <f>J21*(1-$C$58)</f>
        <v/>
      </c>
      <c r="L21" s="790" t="n"/>
      <c r="M21" s="790" t="n">
        <v>3.207543090379222</v>
      </c>
      <c r="N21" s="790">
        <f>IFERROR(M21*(1-$C$58),"na")</f>
        <v/>
      </c>
      <c r="O21" s="420" t="n"/>
      <c r="P21" s="790" t="n">
        <v>3.207543090379222</v>
      </c>
      <c r="Q21" s="790">
        <f>IFERROR(P21*(1-$C$58),"na")</f>
        <v/>
      </c>
      <c r="R21" s="381" t="n"/>
      <c r="S21" s="417" t="n"/>
      <c r="T21" s="417" t="inlineStr">
        <is>
          <t>Manufacturer</t>
        </is>
      </c>
      <c r="U21" s="417">
        <f>'VI. Comparables (Description)'!E18</f>
        <v/>
      </c>
    </row>
    <row r="22" ht="15.6" customHeight="1">
      <c r="A22" s="418" t="inlineStr">
        <is>
          <t>NYS: MWA</t>
        </is>
      </c>
      <c r="B22" s="418" t="inlineStr">
        <is>
          <t>Mueller Water Products</t>
        </is>
      </c>
      <c r="C22" s="419" t="n"/>
      <c r="D22" s="790" t="n">
        <v>13.53431848628193</v>
      </c>
      <c r="E22" s="790">
        <f>D22*(1-$C$58)</f>
        <v/>
      </c>
      <c r="F22" s="790" t="n"/>
      <c r="G22" s="790" t="n">
        <v>13.82188803455724</v>
      </c>
      <c r="H22" s="790" t="n">
        <v>0</v>
      </c>
      <c r="I22" s="790" t="n">
        <v>0</v>
      </c>
      <c r="J22" s="790" t="n">
        <v>12.20932122921422</v>
      </c>
      <c r="K22" s="790">
        <f>J22*(1-$C$58)</f>
        <v/>
      </c>
      <c r="L22" s="790" t="n"/>
      <c r="M22" s="790" t="n">
        <v>2.972937373233583</v>
      </c>
      <c r="N22" s="790">
        <f>IFERROR(M22*(1-$C$58),"na")</f>
        <v/>
      </c>
      <c r="O22" s="420" t="n"/>
      <c r="P22" s="790" t="n">
        <v>2.972937373233583</v>
      </c>
      <c r="Q22" s="790">
        <f>IFERROR(P22*(1-$C$58),"na")</f>
        <v/>
      </c>
      <c r="R22" s="381" t="n"/>
      <c r="S22" s="417" t="n"/>
      <c r="T22" s="417" t="inlineStr">
        <is>
          <t>Manufacturer</t>
        </is>
      </c>
      <c r="U22" s="417">
        <f>'VI. Comparables (Description)'!E19</f>
        <v/>
      </c>
    </row>
    <row r="23" ht="15.6" customHeight="1">
      <c r="A23" s="418" t="n"/>
      <c r="B23" s="418" t="n"/>
      <c r="C23" s="419" t="n"/>
      <c r="D23" s="790" t="n"/>
      <c r="E23" s="790" t="n"/>
      <c r="F23" s="790" t="n"/>
      <c r="G23" s="790" t="n"/>
      <c r="H23" s="790" t="n"/>
      <c r="I23" s="790" t="n"/>
      <c r="J23" s="790" t="n"/>
      <c r="K23" s="790" t="n"/>
      <c r="L23" s="790" t="n"/>
      <c r="M23" s="790" t="n"/>
      <c r="N23" s="790" t="n"/>
      <c r="O23" s="420" t="n"/>
      <c r="P23" s="790" t="n"/>
      <c r="Q23" s="790" t="n"/>
      <c r="R23" s="381" t="n"/>
      <c r="S23" s="417" t="n"/>
      <c r="T23" s="417" t="n"/>
      <c r="U23" s="417" t="n"/>
    </row>
    <row r="24" ht="15.75" customHeight="1" thickBot="1">
      <c r="B24" s="396" t="inlineStr">
        <is>
          <t>M&amp;A</t>
        </is>
      </c>
      <c r="C24" s="421" t="n"/>
      <c r="D24" s="422" t="n"/>
      <c r="E24" s="422" t="n"/>
      <c r="F24" s="422" t="n"/>
      <c r="G24" s="422" t="n"/>
      <c r="H24" s="422" t="n"/>
      <c r="I24" s="422" t="n"/>
      <c r="J24" s="422" t="n"/>
      <c r="K24" s="422" t="n"/>
      <c r="L24" s="422" t="n"/>
      <c r="M24" s="422" t="n"/>
      <c r="N24" s="422" t="n"/>
      <c r="O24" s="422" t="n"/>
      <c r="P24" s="422" t="n"/>
      <c r="Q24" s="381" t="n"/>
      <c r="R24" s="381" t="n"/>
      <c r="S24" s="396" t="inlineStr">
        <is>
          <t>Description</t>
        </is>
      </c>
      <c r="T24" s="396" t="inlineStr">
        <is>
          <t>Business Model</t>
        </is>
      </c>
      <c r="U24" s="396" t="inlineStr">
        <is>
          <t>Rationale</t>
        </is>
      </c>
      <c r="V24" s="427" t="n"/>
    </row>
    <row r="25" ht="17.25" customHeight="1">
      <c r="B25" s="418" t="inlineStr">
        <is>
          <t>SPX Flow (Dec 2025)1</t>
        </is>
      </c>
      <c r="C25" s="658" t="n"/>
      <c r="D25" s="790" t="n">
        <v>14.2</v>
      </c>
      <c r="E25" s="790" t="n"/>
      <c r="F25" s="790" t="n"/>
      <c r="G25" s="790" t="n"/>
      <c r="H25" s="790" t="n"/>
      <c r="I25" s="790" t="n"/>
      <c r="J25" s="790" t="n">
        <v>14.2</v>
      </c>
      <c r="K25" s="790" t="n"/>
      <c r="L25" s="790" t="n"/>
      <c r="M25" s="790" t="inlineStr">
        <is>
          <t>N/A</t>
        </is>
      </c>
      <c r="N25" s="790" t="n"/>
      <c r="O25" s="420" t="n"/>
      <c r="P25" s="790" t="inlineStr">
        <is>
          <t>N/A</t>
        </is>
      </c>
      <c r="Q25" s="381" t="n"/>
      <c r="R25" s="381" t="n"/>
      <c r="S25" s="657" t="n"/>
      <c r="T25" s="417" t="inlineStr">
        <is>
          <t>Manufacturer</t>
        </is>
      </c>
      <c r="U25" s="130">
        <f>'VI. Comparables (Description)'!E21</f>
        <v/>
      </c>
      <c r="V25" s="356" t="inlineStr">
        <is>
          <t>Company Press Release</t>
        </is>
      </c>
      <c r="W25" s="659" t="inlineStr">
        <is>
          <t>https://investors.itt.com/news-releases/news-release-details/itt-acquire-spx-flow-significantly-expanding-leadership-position</t>
        </is>
      </c>
    </row>
    <row r="26" ht="17.25" customHeight="1">
      <c r="B26" s="418" t="inlineStr">
        <is>
          <t>Leonard Valve (Dec 2025)2</t>
        </is>
      </c>
      <c r="C26" s="658" t="n"/>
      <c r="D26" s="790" t="n">
        <v>16</v>
      </c>
      <c r="E26" s="790" t="n"/>
      <c r="F26" s="790" t="n"/>
      <c r="G26" s="790" t="n"/>
      <c r="H26" s="790" t="n"/>
      <c r="I26" s="790" t="n"/>
      <c r="J26" s="790" t="n">
        <v>16</v>
      </c>
      <c r="K26" s="790" t="n"/>
      <c r="L26" s="790" t="n"/>
      <c r="M26" s="790" t="inlineStr">
        <is>
          <t>N/A</t>
        </is>
      </c>
      <c r="N26" s="790" t="n"/>
      <c r="O26" s="420" t="n"/>
      <c r="P26" s="790" t="inlineStr">
        <is>
          <t>N/A</t>
        </is>
      </c>
      <c r="Q26" s="381" t="n"/>
      <c r="R26" s="381" t="n"/>
      <c r="S26" s="657" t="n"/>
      <c r="T26" s="417" t="inlineStr">
        <is>
          <t>Manufacturer</t>
        </is>
      </c>
      <c r="U26" s="130">
        <f>'VI. Comparables (Description)'!E22</f>
        <v/>
      </c>
      <c r="V26" s="356" t="inlineStr">
        <is>
          <t>PR Newswire</t>
        </is>
      </c>
      <c r="W26" s="659" t="inlineStr">
        <is>
          <t>https://www.prnewswire.com/news-releases/a-o-smith-to-acquire-leonard-valve-company-a-leader-in-water-temperature-and-flow-solutions-302612994.html</t>
        </is>
      </c>
    </row>
    <row r="27" ht="17.25" customHeight="1">
      <c r="B27" s="418" t="inlineStr">
        <is>
          <t>Chart Industries (Jul 2025)3</t>
        </is>
      </c>
      <c r="C27" s="658" t="n"/>
      <c r="D27" s="790" t="n">
        <v>14.3</v>
      </c>
      <c r="E27" s="790" t="n"/>
      <c r="F27" s="790" t="n"/>
      <c r="G27" s="790" t="n"/>
      <c r="H27" s="790" t="n"/>
      <c r="I27" s="790" t="n"/>
      <c r="J27" s="790" t="n">
        <v>14.3</v>
      </c>
      <c r="K27" s="790" t="n"/>
      <c r="L27" s="790" t="n"/>
      <c r="M27" s="790" t="n">
        <v>3.3</v>
      </c>
      <c r="N27" s="790" t="n"/>
      <c r="O27" s="420" t="n"/>
      <c r="P27" s="790" t="n">
        <v>3.3</v>
      </c>
      <c r="Q27" s="381" t="n"/>
      <c r="R27" s="381" t="n"/>
      <c r="S27" s="657" t="n"/>
      <c r="T27" s="417" t="inlineStr">
        <is>
          <t>Manufacturer</t>
        </is>
      </c>
      <c r="U27" s="661">
        <f>'VI. Comparables (Description)'!E23</f>
        <v/>
      </c>
      <c r="V27" s="356" t="inlineStr">
        <is>
          <t xml:space="preserve">Per BNP Paribas Flow Control Weekly Insight  </t>
        </is>
      </c>
      <c r="W27" s="659" t="n"/>
    </row>
    <row r="28" ht="17.25" customHeight="1">
      <c r="B28" s="418" t="inlineStr">
        <is>
          <t>Noah Actuation (Mar 2025)4</t>
        </is>
      </c>
      <c r="C28" s="658" t="n"/>
      <c r="D28" s="790" t="n">
        <v>12.57142857142857</v>
      </c>
      <c r="E28" s="790" t="n"/>
      <c r="F28" s="790" t="n"/>
      <c r="G28" s="790" t="n"/>
      <c r="H28" s="790" t="n"/>
      <c r="I28" s="790" t="n"/>
      <c r="J28" s="790" t="n">
        <v>12.57142857142857</v>
      </c>
      <c r="K28" s="790" t="n"/>
      <c r="L28" s="790" t="n"/>
      <c r="M28" s="790" t="n">
        <v>2.514285714285714</v>
      </c>
      <c r="N28" s="790" t="n"/>
      <c r="O28" s="420" t="n"/>
      <c r="P28" s="790" t="n">
        <v>2.514285714285714</v>
      </c>
      <c r="Q28" s="381" t="n"/>
      <c r="R28" s="381" t="n"/>
      <c r="S28" s="657" t="n"/>
      <c r="T28" s="417" t="inlineStr">
        <is>
          <t>Manufacturer</t>
        </is>
      </c>
      <c r="U28" s="660">
        <f>'VI. Comparables (Description)'!E24</f>
        <v/>
      </c>
      <c r="V28" s="356" t="inlineStr">
        <is>
          <t>Press Release</t>
        </is>
      </c>
      <c r="W28" s="659" t="inlineStr">
        <is>
          <t>https://newsnreleases.com/2025/03/11/rotork-plc-agrees-to-acquire-noah-actuation/</t>
        </is>
      </c>
    </row>
    <row r="29" ht="17.25" customHeight="1">
      <c r="B29" s="418" t="inlineStr">
        <is>
          <t>Sundyne (Mar 2025)5</t>
        </is>
      </c>
      <c r="C29" s="658" t="n"/>
      <c r="D29" s="790" t="n">
        <v>14.5</v>
      </c>
      <c r="E29" s="790" t="n"/>
      <c r="F29" s="790" t="n"/>
      <c r="G29" s="790" t="n"/>
      <c r="H29" s="790" t="n"/>
      <c r="I29" s="790" t="n"/>
      <c r="J29" s="790" t="n">
        <v>14.5</v>
      </c>
      <c r="K29" s="790" t="n"/>
      <c r="L29" s="790" t="n"/>
      <c r="M29" s="790" t="inlineStr">
        <is>
          <t>N/A</t>
        </is>
      </c>
      <c r="N29" s="790" t="n"/>
      <c r="O29" s="420" t="n"/>
      <c r="P29" s="790" t="inlineStr">
        <is>
          <t>N/A</t>
        </is>
      </c>
      <c r="Q29" s="381" t="n"/>
      <c r="R29" s="381" t="n"/>
      <c r="S29" s="657" t="n"/>
      <c r="T29" s="417" t="inlineStr">
        <is>
          <t>Manufacturer</t>
        </is>
      </c>
      <c r="U29" s="660">
        <f>'VI. Comparables (Description)'!E25</f>
        <v/>
      </c>
      <c r="V29" s="356" t="inlineStr">
        <is>
          <t>Company Press Release</t>
        </is>
      </c>
      <c r="W29" s="659" t="inlineStr">
        <is>
          <t>https://www.honeywell.com/us/en/press/2025/03/honeywell-to-acquire-sundyne-to-expand-critical-equipment-portfolio-and-aftermarket-services</t>
        </is>
      </c>
    </row>
    <row r="30" ht="15.6" customHeight="1">
      <c r="A30" s="418" t="n"/>
      <c r="B30" s="418" t="inlineStr">
        <is>
          <t>CIRCOR (Jun 2023)6</t>
        </is>
      </c>
      <c r="C30" s="419" t="n"/>
      <c r="D30" s="790" t="n">
        <v>13.70967741935484</v>
      </c>
      <c r="E30" s="790" t="n"/>
      <c r="F30" s="790" t="n"/>
      <c r="G30" s="790" t="n">
        <v>13.70967741935484</v>
      </c>
      <c r="H30" s="790" t="n">
        <v>0</v>
      </c>
      <c r="I30" s="790" t="n">
        <v>0</v>
      </c>
      <c r="J30" s="790" t="n">
        <v>13.70967741935484</v>
      </c>
      <c r="K30" s="790" t="n"/>
      <c r="L30" s="790" t="n"/>
      <c r="M30" s="790" t="n">
        <v>2.114427860696517</v>
      </c>
      <c r="N30" s="790" t="n"/>
      <c r="O30" s="420" t="n"/>
      <c r="P30" s="790" t="n">
        <v>2.114427860696517</v>
      </c>
      <c r="Q30" s="790" t="n"/>
      <c r="R30" s="381" t="n"/>
      <c r="S30" s="417" t="n"/>
      <c r="T30" s="417" t="inlineStr">
        <is>
          <t>Manufacturer</t>
        </is>
      </c>
      <c r="U30" s="660">
        <f>'VI. Comparables (Description)'!E26</f>
        <v/>
      </c>
      <c r="V30" s="356" t="inlineStr">
        <is>
          <t>SEC Form DEF 14A</t>
        </is>
      </c>
      <c r="W30" t="inlineStr">
        <is>
          <t>https://www.sec.gov/Archives/edgar/data/1091883/000114036123034666/ny20009611x2_defm14a.htm</t>
        </is>
      </c>
    </row>
    <row r="31" ht="15.6" customHeight="1">
      <c r="A31" s="418" t="n"/>
      <c r="B31" s="418" t="inlineStr">
        <is>
          <t>Velan (Feb 2023)7</t>
        </is>
      </c>
      <c r="C31" s="419" t="n"/>
      <c r="D31" s="790" t="n">
        <v>11.66666666666667</v>
      </c>
      <c r="E31" s="790" t="n"/>
      <c r="F31" s="790" t="n"/>
      <c r="G31" s="790" t="n">
        <v>11.66666666666667</v>
      </c>
      <c r="H31" s="790" t="n">
        <v>0</v>
      </c>
      <c r="I31" s="790" t="n">
        <v>0</v>
      </c>
      <c r="J31" s="790" t="n">
        <v>11.66666666666667</v>
      </c>
      <c r="K31" s="790" t="n"/>
      <c r="L31" s="790" t="n"/>
      <c r="M31" s="790" t="n">
        <v>0.6447368421052632</v>
      </c>
      <c r="N31" s="790" t="n"/>
      <c r="O31" s="420" t="n"/>
      <c r="P31" s="790" t="n">
        <v>0.6447368421052632</v>
      </c>
      <c r="Q31" s="790" t="n"/>
      <c r="R31" s="381" t="n"/>
      <c r="S31" s="417" t="n"/>
      <c r="T31" s="417" t="inlineStr">
        <is>
          <t>Manufacturer</t>
        </is>
      </c>
      <c r="U31" s="660">
        <f>'VI. Comparables (Description)'!E27</f>
        <v/>
      </c>
      <c r="V31" s="356" t="inlineStr">
        <is>
          <t>Business Wire</t>
        </is>
      </c>
      <c r="W31" t="inlineStr">
        <is>
          <t>https://www.businesswire.com/news/home/20230210005080/en/Flowserve-to-Acquire-Velan-in-an-All-cash-Transaction-Valued-at-Approximately-245-million-C329-million</t>
        </is>
      </c>
    </row>
    <row r="32" ht="15.6" customHeight="1">
      <c r="A32" s="418" t="n"/>
      <c r="B32" s="418" t="inlineStr">
        <is>
          <t>Habonim (Apr 2022)8</t>
        </is>
      </c>
      <c r="C32" s="419" t="n"/>
      <c r="D32" s="790" t="inlineStr">
        <is>
          <t>N/A</t>
        </is>
      </c>
      <c r="E32" s="790" t="n"/>
      <c r="F32" s="790" t="n"/>
      <c r="G32" s="790" t="n">
        <v>15</v>
      </c>
      <c r="H32" s="790" t="n">
        <v>0</v>
      </c>
      <c r="I32" s="790" t="n">
        <v>0</v>
      </c>
      <c r="J32" s="790" t="inlineStr">
        <is>
          <t>N/A</t>
        </is>
      </c>
      <c r="K32" s="790" t="n"/>
      <c r="L32" s="790" t="n"/>
      <c r="M32" s="790" t="n">
        <v>3.181818181818182</v>
      </c>
      <c r="N32" s="790" t="n"/>
      <c r="O32" s="420" t="n"/>
      <c r="P32" s="790" t="n">
        <v>3.181818181818182</v>
      </c>
      <c r="Q32" s="790" t="n"/>
      <c r="R32" s="381" t="n"/>
      <c r="S32" s="417" t="n"/>
      <c r="T32" s="417" t="inlineStr">
        <is>
          <t>Manufacturer</t>
        </is>
      </c>
      <c r="U32" s="660">
        <f>'VI. Comparables (Description)'!E28</f>
        <v/>
      </c>
      <c r="V32" s="356" t="inlineStr">
        <is>
          <t>Company Press Release</t>
        </is>
      </c>
      <c r="W32" t="inlineStr">
        <is>
          <t>https://www.itt.com/newsroom/news-releases/2022/itt-acquires-habonim-leading-provider-of-industrial-valves-and-actuators</t>
        </is>
      </c>
    </row>
    <row r="33" ht="15.6" customHeight="1">
      <c r="A33" s="418" t="n"/>
      <c r="B33" s="418" t="inlineStr">
        <is>
          <t>KZ Valve (May 2022)9</t>
        </is>
      </c>
      <c r="C33" s="419" t="n"/>
      <c r="D33" s="790" t="n">
        <v>15</v>
      </c>
      <c r="E33" s="790" t="n"/>
      <c r="F33" s="790" t="n"/>
      <c r="G33" s="790" t="n">
        <v>15.7</v>
      </c>
      <c r="H33" s="790" t="n">
        <v>0</v>
      </c>
      <c r="I33" s="790" t="n">
        <v>0</v>
      </c>
      <c r="J33" s="790" t="n">
        <v>15</v>
      </c>
      <c r="K33" s="790" t="n"/>
      <c r="L33" s="790" t="n"/>
      <c r="M33" s="790" t="n">
        <v>4.285714285714286</v>
      </c>
      <c r="N33" s="790" t="n"/>
      <c r="O33" s="420" t="n"/>
      <c r="P33" s="790" t="n">
        <v>4.285714285714286</v>
      </c>
      <c r="Q33" s="790" t="n"/>
      <c r="R33" s="381" t="n"/>
      <c r="S33" s="417" t="n"/>
      <c r="T33" s="417" t="inlineStr">
        <is>
          <t>Manufacturer</t>
        </is>
      </c>
      <c r="U33" s="660">
        <f>'VI. Comparables (Description)'!E29</f>
        <v/>
      </c>
      <c r="V33" s="426" t="inlineStr">
        <is>
          <t>Email per Scott Morgan (in Salesforce)</t>
        </is>
      </c>
    </row>
    <row r="34" ht="15.6" customHeight="1">
      <c r="A34" s="418" t="n"/>
      <c r="B34" s="418" t="inlineStr">
        <is>
          <t>Hunt Valve (Sep 2021)10</t>
        </is>
      </c>
      <c r="C34" s="419" t="n"/>
      <c r="D34" s="790" t="n">
        <v>15.7</v>
      </c>
      <c r="E34" s="790" t="n"/>
      <c r="F34" s="790" t="n"/>
      <c r="G34" s="790" t="n">
        <v>14</v>
      </c>
      <c r="H34" s="790" t="n">
        <v>0</v>
      </c>
      <c r="I34" s="790" t="n">
        <v>0</v>
      </c>
      <c r="J34" s="790" t="n">
        <v>15.7</v>
      </c>
      <c r="K34" s="790" t="n"/>
      <c r="L34" s="790" t="n"/>
      <c r="M34" s="790" t="n">
        <v>5.8</v>
      </c>
      <c r="N34" s="790" t="n"/>
      <c r="O34" s="420" t="n"/>
      <c r="P34" s="790" t="n">
        <v>5.8</v>
      </c>
      <c r="Q34" s="790" t="n"/>
      <c r="R34" s="381" t="n"/>
      <c r="S34" s="417" t="n"/>
      <c r="T34" s="417" t="inlineStr">
        <is>
          <t>Manufacturer</t>
        </is>
      </c>
      <c r="U34" s="660">
        <f>'VI. Comparables (Description)'!E30</f>
        <v/>
      </c>
      <c r="V34" s="356" t="inlineStr">
        <is>
          <t>Per BMO Precedents (Jun 27, 2024)</t>
        </is>
      </c>
    </row>
    <row r="35" ht="15.6" customHeight="1">
      <c r="A35" s="418" t="n"/>
      <c r="B35" s="418" t="inlineStr">
        <is>
          <t>Red Valve (Jan 2021)11</t>
        </is>
      </c>
      <c r="C35" s="419" t="n"/>
      <c r="D35" s="790" t="n">
        <v>14</v>
      </c>
      <c r="E35" s="790" t="n"/>
      <c r="F35" s="790" t="n"/>
      <c r="G35" s="790" t="n">
        <v>15</v>
      </c>
      <c r="H35" s="790" t="n">
        <v>0</v>
      </c>
      <c r="I35" s="790" t="n">
        <v>0</v>
      </c>
      <c r="J35" s="790" t="n">
        <v>14</v>
      </c>
      <c r="K35" s="790" t="n"/>
      <c r="L35" s="790" t="n"/>
      <c r="M35" s="790" t="n">
        <v>2</v>
      </c>
      <c r="N35" s="790" t="n"/>
      <c r="O35" s="420" t="n"/>
      <c r="P35" s="790" t="n">
        <v>2</v>
      </c>
      <c r="Q35" s="790" t="n"/>
      <c r="R35" s="381" t="n"/>
      <c r="S35" s="417" t="n"/>
      <c r="T35" s="417" t="inlineStr">
        <is>
          <t>Manufacturer</t>
        </is>
      </c>
      <c r="U35" s="660">
        <f>'VI. Comparables (Description)'!E31</f>
        <v/>
      </c>
      <c r="V35" s="356" t="inlineStr">
        <is>
          <t>Per BMO Precedents (Jun 27, 2024)</t>
        </is>
      </c>
    </row>
    <row r="36" ht="15.6" customHeight="1">
      <c r="A36" s="418" t="n"/>
      <c r="B36" s="418" t="inlineStr">
        <is>
          <t>Valmatic (Jan 2021)12</t>
        </is>
      </c>
      <c r="C36" s="419" t="n"/>
      <c r="D36" s="790" t="n">
        <v>11</v>
      </c>
      <c r="E36" s="790" t="n"/>
      <c r="F36" s="790" t="n"/>
      <c r="G36" s="790" t="n">
        <v>0</v>
      </c>
      <c r="H36" s="790" t="n">
        <v>0</v>
      </c>
      <c r="I36" s="790" t="n">
        <v>0</v>
      </c>
      <c r="J36" s="790" t="n">
        <v>11</v>
      </c>
      <c r="K36" s="790" t="n"/>
      <c r="L36" s="790" t="n"/>
      <c r="M36" s="790" t="n">
        <v>1.8</v>
      </c>
      <c r="N36" s="790" t="n"/>
      <c r="O36" s="420" t="n"/>
      <c r="P36" s="790" t="n">
        <v>1.8</v>
      </c>
      <c r="Q36" s="790" t="n"/>
      <c r="R36" s="381" t="n"/>
      <c r="S36" s="417" t="n"/>
      <c r="T36" s="417" t="inlineStr">
        <is>
          <t>Manufacturer</t>
        </is>
      </c>
      <c r="U36" s="660">
        <f>'VI. Comparables (Description)'!E32</f>
        <v/>
      </c>
      <c r="V36" s="356" t="inlineStr">
        <is>
          <t>Per BMO Precedents (Jun 27, 2024)</t>
        </is>
      </c>
    </row>
    <row r="37">
      <c r="A37" s="39" t="n"/>
      <c r="B37" s="66" t="n"/>
      <c r="C37" s="152" t="n"/>
      <c r="D37" s="791" t="n"/>
      <c r="E37" s="159" t="n"/>
      <c r="F37" s="159" t="n"/>
      <c r="G37" s="791" t="n"/>
      <c r="H37" s="159" t="n"/>
      <c r="I37" s="159" t="n"/>
      <c r="J37" s="791" t="n"/>
      <c r="K37" s="159" t="n"/>
      <c r="L37" s="159" t="n"/>
      <c r="M37" s="791" t="n"/>
      <c r="N37" s="159" t="n"/>
      <c r="O37" s="159" t="n"/>
      <c r="P37" s="791" t="n"/>
      <c r="Q37" s="153" t="n"/>
      <c r="R37" s="413" t="n"/>
      <c r="S37" s="64" t="n"/>
      <c r="T37" s="64" t="n"/>
      <c r="U37" s="64" t="n"/>
    </row>
    <row r="38">
      <c r="A38" s="39" t="n"/>
      <c r="B38" s="68" t="inlineStr">
        <is>
          <t>Simple Average</t>
        </is>
      </c>
      <c r="C38" s="154" t="n"/>
      <c r="D38" s="792">
        <f>AVERAGE(D25:D36,D11:D22)</f>
        <v/>
      </c>
      <c r="E38" s="154" t="n"/>
      <c r="F38" s="154" t="n"/>
      <c r="G38" s="792">
        <f>AVERAGE(G30:G35,G11:G19)</f>
        <v/>
      </c>
      <c r="H38" s="154" t="n"/>
      <c r="I38" s="154" t="n"/>
      <c r="J38" s="792">
        <f>IFERROR(AVERAGE(J25:J36,J11:J22),"-")</f>
        <v/>
      </c>
      <c r="K38" s="154" t="n"/>
      <c r="L38" s="154" t="n"/>
      <c r="M38" s="792">
        <f>AVERAGE(M25:M36,M11:M22)</f>
        <v/>
      </c>
      <c r="N38" s="154" t="n"/>
      <c r="O38" s="154" t="n"/>
      <c r="P38" s="792">
        <f>AVERAGE(P25:P36,P11:P22)</f>
        <v/>
      </c>
      <c r="Q38" s="154" t="n"/>
      <c r="R38" s="381" t="n"/>
      <c r="S38" s="58" t="n"/>
      <c r="T38" s="58" t="n"/>
      <c r="U38" s="58" t="n"/>
    </row>
    <row r="39" ht="15" customHeight="1">
      <c r="A39" s="39" t="n"/>
      <c r="B39" s="69" t="inlineStr">
        <is>
          <t>Liquidity Discount (25%) on publics</t>
        </is>
      </c>
      <c r="C39" s="155" t="n"/>
      <c r="D39" s="792">
        <f>AVERAGE(D25:D36,E11:E22)</f>
        <v/>
      </c>
      <c r="E39" s="155" t="n"/>
      <c r="F39" s="155" t="n"/>
      <c r="G39" s="792">
        <f>AVERAGE(G30:G35,H11:H19)</f>
        <v/>
      </c>
      <c r="H39" s="155" t="n"/>
      <c r="I39" s="155" t="n"/>
      <c r="J39" s="792">
        <f>IFERROR(AVERAGE(J25:J36,K11:K22),"-")</f>
        <v/>
      </c>
      <c r="K39" s="155" t="n"/>
      <c r="L39" s="155" t="n"/>
      <c r="M39" s="792">
        <f>AVERAGE(M25:M36,N11:N22)</f>
        <v/>
      </c>
      <c r="N39" s="155" t="n"/>
      <c r="O39" s="155" t="n"/>
      <c r="P39" s="792">
        <f>AVERAGE(P25:P36,Q11:Q22)</f>
        <v/>
      </c>
      <c r="Q39" s="155" t="n"/>
      <c r="R39" s="414" t="n"/>
      <c r="S39" s="58" t="n"/>
      <c r="T39" s="58" t="n"/>
      <c r="U39" s="58" t="n"/>
    </row>
    <row r="40">
      <c r="A40" s="39" t="n"/>
      <c r="B40" s="65" t="n"/>
      <c r="C40" s="65" t="n"/>
      <c r="D40" s="152" t="n"/>
      <c r="E40" s="65" t="n"/>
      <c r="F40" s="65" t="n"/>
      <c r="G40" s="152" t="n"/>
      <c r="H40" s="65" t="n"/>
      <c r="I40" s="65" t="n"/>
      <c r="J40" s="152" t="n"/>
      <c r="K40" s="65" t="n"/>
      <c r="L40" s="65" t="n"/>
      <c r="M40" s="152" t="n"/>
      <c r="N40" s="65" t="n"/>
      <c r="O40" s="65" t="n"/>
      <c r="P40" s="152" t="n"/>
      <c r="Q40" s="65" t="n"/>
      <c r="R40" s="171" t="n"/>
      <c r="S40" s="58" t="n"/>
      <c r="T40" s="58" t="n"/>
      <c r="U40" s="58" t="n"/>
    </row>
    <row r="41" ht="15" customHeight="1">
      <c r="A41" s="39" t="n"/>
      <c r="B41" s="68" t="inlineStr">
        <is>
          <t>Median</t>
        </is>
      </c>
      <c r="C41" s="154" t="n"/>
      <c r="D41" s="792">
        <f>MEDIAN(D25:D36,D11:D22)</f>
        <v/>
      </c>
      <c r="E41" s="154" t="n"/>
      <c r="F41" s="154" t="n"/>
      <c r="G41" s="792">
        <f>MEDIAN(G30:G35,G11:G19)</f>
        <v/>
      </c>
      <c r="H41" s="154" t="n"/>
      <c r="I41" s="154" t="n"/>
      <c r="J41" s="792">
        <f>IFERROR(MEDIAN(J25:J36,J11:J22),"-")</f>
        <v/>
      </c>
      <c r="K41" s="154" t="n"/>
      <c r="L41" s="154" t="n"/>
      <c r="M41" s="792">
        <f>MEDIAN(M25:M36,M11:M22)</f>
        <v/>
      </c>
      <c r="N41" s="154" t="n"/>
      <c r="O41" s="154" t="n"/>
      <c r="P41" s="792">
        <f>MEDIAN(P25:P36,P11:P22)</f>
        <v/>
      </c>
      <c r="Q41" s="154" t="n"/>
      <c r="R41" s="381" t="n"/>
      <c r="S41" s="58" t="n"/>
      <c r="T41" s="58" t="n"/>
      <c r="U41" s="58" t="n"/>
    </row>
    <row r="42" ht="15.75" customHeight="1">
      <c r="A42" s="39" t="n"/>
      <c r="B42" s="69" t="inlineStr">
        <is>
          <t>Liquidity Discount (25%) on publics</t>
        </is>
      </c>
      <c r="C42" s="155" t="n"/>
      <c r="D42" s="792">
        <f>MEDIAN(D25:D36,E11:E22)</f>
        <v/>
      </c>
      <c r="E42" s="155" t="n"/>
      <c r="F42" s="155" t="n"/>
      <c r="G42" s="792">
        <f>MEDIAN(G30:G35,H11:H19)</f>
        <v/>
      </c>
      <c r="H42" s="155" t="n"/>
      <c r="I42" s="155" t="n"/>
      <c r="J42" s="792">
        <f>IFERROR(MEDIAN(J25:J36,K11:K22),"-")</f>
        <v/>
      </c>
      <c r="K42" s="155" t="n"/>
      <c r="L42" s="155" t="n"/>
      <c r="M42" s="792">
        <f>MEDIAN(M25:M36,N11:N22)</f>
        <v/>
      </c>
      <c r="N42" s="155" t="n"/>
      <c r="O42" s="155" t="n"/>
      <c r="P42" s="792">
        <f>MEDIAN(P25:P36,Q11:Q22)</f>
        <v/>
      </c>
      <c r="Q42" s="155" t="n"/>
      <c r="R42" s="414" t="n"/>
      <c r="S42" s="58" t="n"/>
      <c r="T42" s="58" t="n"/>
      <c r="U42" s="58" t="n"/>
    </row>
    <row r="43">
      <c r="A43" s="39" t="n"/>
      <c r="B43" s="18" t="n"/>
      <c r="C43" s="70" t="n"/>
      <c r="D43" s="70" t="n"/>
      <c r="E43" s="70" t="n"/>
      <c r="F43" s="70" t="n"/>
      <c r="G43" s="70" t="n"/>
      <c r="H43" s="70" t="n"/>
      <c r="I43" s="70" t="n"/>
      <c r="J43" s="70" t="n"/>
      <c r="K43" s="70" t="n"/>
      <c r="L43" s="70" t="n"/>
      <c r="M43" s="70" t="n"/>
      <c r="N43" s="70" t="n"/>
      <c r="O43" s="70" t="n"/>
      <c r="P43" s="70" t="n"/>
      <c r="Q43" s="70" t="n"/>
      <c r="R43" s="414" t="n"/>
      <c r="S43" s="58" t="n"/>
      <c r="T43" s="58" t="n"/>
      <c r="U43" s="58" t="n"/>
    </row>
    <row r="44" ht="17.25" customHeight="1">
      <c r="A44" s="39" t="n"/>
      <c r="B44" s="427" t="inlineStr">
        <is>
          <t>1SPX Flow was acquired by ITT for $4,775M</t>
        </is>
      </c>
      <c r="C44" s="70" t="n"/>
      <c r="D44" s="70" t="n"/>
      <c r="E44" s="70" t="n"/>
      <c r="F44" s="70" t="n"/>
      <c r="G44" s="70" t="n"/>
      <c r="H44" s="70" t="n"/>
      <c r="I44" s="70" t="n"/>
      <c r="J44" s="70" t="n"/>
      <c r="K44" s="70" t="n"/>
      <c r="L44" s="70" t="n"/>
      <c r="M44" s="70" t="n"/>
      <c r="N44" s="70" t="n"/>
      <c r="O44" s="70" t="n"/>
      <c r="P44" s="70" t="n"/>
      <c r="Q44" s="70" t="n"/>
      <c r="R44" s="414" t="n"/>
      <c r="S44" s="58" t="n"/>
      <c r="T44" s="58" t="n"/>
      <c r="U44" s="58" t="n"/>
    </row>
    <row r="45" ht="17.25" customHeight="1">
      <c r="A45" s="39" t="n"/>
      <c r="B45" s="427" t="inlineStr">
        <is>
          <t>2Leonard Valve was acquired by A.O. Smith for $470M</t>
        </is>
      </c>
      <c r="C45" s="70" t="n"/>
      <c r="D45" s="70" t="n"/>
      <c r="E45" s="70" t="n"/>
      <c r="F45" s="70" t="n"/>
      <c r="G45" s="70" t="n"/>
      <c r="H45" s="70" t="n"/>
      <c r="I45" s="70" t="n"/>
      <c r="J45" s="70" t="n"/>
      <c r="K45" s="70" t="n"/>
      <c r="L45" s="70" t="n"/>
      <c r="M45" s="70" t="n"/>
      <c r="N45" s="70" t="n"/>
      <c r="O45" s="70" t="n"/>
      <c r="P45" s="70" t="n"/>
      <c r="Q45" s="70" t="n"/>
      <c r="R45" s="414" t="n"/>
      <c r="S45" s="58" t="n"/>
      <c r="T45" s="58" t="n"/>
      <c r="U45" s="58" t="n"/>
    </row>
    <row r="46" ht="17.25" customHeight="1">
      <c r="A46" s="39" t="n"/>
      <c r="B46" s="427" t="inlineStr">
        <is>
          <t>3Chart Industries was acquired by Baker Hughes for $13,600M</t>
        </is>
      </c>
      <c r="C46" s="70" t="n"/>
      <c r="D46" s="70" t="n"/>
      <c r="E46" s="70" t="n"/>
      <c r="F46" s="70" t="n"/>
      <c r="G46" s="70" t="n"/>
      <c r="H46" s="70" t="n"/>
      <c r="I46" s="70" t="n"/>
      <c r="J46" s="70" t="n"/>
      <c r="K46" s="70" t="n"/>
      <c r="L46" s="70" t="n"/>
      <c r="M46" s="70" t="n"/>
      <c r="N46" s="70" t="n"/>
      <c r="O46" s="70" t="n"/>
      <c r="P46" s="70" t="n"/>
      <c r="Q46" s="70" t="n"/>
      <c r="R46" s="414" t="n"/>
      <c r="S46" s="58" t="n"/>
      <c r="T46" s="58" t="n"/>
      <c r="U46" s="58" t="n"/>
    </row>
    <row r="47" ht="17.25" customHeight="1">
      <c r="A47" s="39" t="n"/>
      <c r="B47" s="427" t="inlineStr">
        <is>
          <t>4Noah Actuation was acquired by Rotork for £44M</t>
        </is>
      </c>
      <c r="C47" s="70" t="n"/>
      <c r="D47" s="70" t="n"/>
      <c r="E47" s="70" t="n"/>
      <c r="F47" s="70" t="n"/>
      <c r="G47" s="70" t="n"/>
      <c r="H47" s="70" t="n"/>
      <c r="I47" s="70" t="n"/>
      <c r="J47" s="70" t="n"/>
      <c r="K47" s="70" t="n"/>
      <c r="L47" s="70" t="n"/>
      <c r="M47" s="70" t="n"/>
      <c r="N47" s="70" t="n"/>
      <c r="O47" s="70" t="n"/>
      <c r="P47" s="70" t="n"/>
      <c r="Q47" s="70" t="n"/>
      <c r="R47" s="414" t="n"/>
      <c r="S47" s="58" t="n"/>
      <c r="T47" s="58" t="n"/>
      <c r="U47" s="58" t="n"/>
    </row>
    <row r="48" ht="17.25" customHeight="1">
      <c r="A48" s="39" t="n"/>
      <c r="B48" s="427" t="inlineStr">
        <is>
          <t>5Sundyne was acquired by Honeywell for $2,160M</t>
        </is>
      </c>
      <c r="C48" s="70" t="n"/>
      <c r="D48" s="70" t="n"/>
      <c r="E48" s="70" t="n"/>
      <c r="F48" s="70" t="n"/>
      <c r="G48" s="70" t="n"/>
      <c r="H48" s="70" t="n"/>
      <c r="I48" s="70" t="n"/>
      <c r="J48" s="70" t="n"/>
      <c r="K48" s="70" t="n"/>
      <c r="L48" s="70" t="n"/>
      <c r="M48" s="70" t="n"/>
      <c r="N48" s="70" t="n"/>
      <c r="O48" s="70" t="n"/>
      <c r="P48" s="70" t="n"/>
      <c r="Q48" s="70" t="n"/>
      <c r="R48" s="414" t="n"/>
      <c r="S48" s="58" t="n"/>
      <c r="T48" s="58" t="n"/>
      <c r="U48" s="58" t="n"/>
    </row>
    <row r="49" ht="17.25" customHeight="1">
      <c r="A49" s="39" t="n"/>
      <c r="B49" s="429" t="inlineStr">
        <is>
          <t>6Circor was acquired by KKR for $1,700M</t>
        </is>
      </c>
      <c r="C49" s="70" t="n"/>
      <c r="D49" s="70" t="n"/>
      <c r="E49" s="70" t="n"/>
      <c r="F49" s="70" t="n"/>
      <c r="G49" s="70" t="n"/>
      <c r="H49" s="70" t="n"/>
      <c r="I49" s="70" t="n"/>
      <c r="J49" s="70" t="n"/>
      <c r="K49" s="70" t="n"/>
      <c r="L49" s="70" t="n"/>
      <c r="M49" s="70" t="n"/>
      <c r="N49" s="70" t="n"/>
      <c r="O49" s="70" t="n"/>
      <c r="P49" s="70" t="n"/>
      <c r="Q49" s="70" t="n"/>
      <c r="R49" s="414" t="n"/>
      <c r="S49" s="58" t="n"/>
      <c r="T49" s="58" t="n"/>
      <c r="U49" s="58" t="n"/>
    </row>
    <row r="50" ht="17.25" customHeight="1">
      <c r="A50" s="39" t="n"/>
      <c r="B50" s="429" t="inlineStr">
        <is>
          <t>7Velan was acquired by Flowserve for $245M</t>
        </is>
      </c>
      <c r="C50" s="70" t="n"/>
      <c r="D50" s="70" t="n"/>
      <c r="E50" s="70" t="n"/>
      <c r="F50" s="70" t="n"/>
      <c r="G50" s="70" t="n"/>
      <c r="H50" s="70" t="n"/>
      <c r="I50" s="70" t="n"/>
      <c r="J50" s="70" t="n"/>
      <c r="K50" s="70" t="n"/>
      <c r="L50" s="70" t="n"/>
      <c r="M50" s="70" t="n"/>
      <c r="N50" s="70" t="n"/>
      <c r="O50" s="70" t="n"/>
      <c r="P50" s="70" t="n"/>
      <c r="Q50" s="70" t="n"/>
      <c r="R50" s="414" t="n"/>
      <c r="S50" s="58" t="n"/>
      <c r="T50" s="58" t="n"/>
      <c r="U50" s="58" t="n"/>
    </row>
    <row r="51" ht="17.25" customHeight="1">
      <c r="A51" s="39" t="n"/>
      <c r="B51" s="429" t="inlineStr">
        <is>
          <t>8 Habonim was acquired by ITT for $140M</t>
        </is>
      </c>
      <c r="C51" s="70" t="n"/>
      <c r="D51" s="70" t="n"/>
      <c r="E51" s="70" t="n"/>
      <c r="F51" s="70" t="n"/>
      <c r="G51" s="70" t="n"/>
      <c r="H51" s="70" t="n"/>
      <c r="I51" s="70" t="n"/>
      <c r="J51" s="70" t="n"/>
      <c r="K51" s="70" t="n"/>
      <c r="L51" s="70" t="n"/>
      <c r="M51" s="70" t="n"/>
      <c r="N51" s="70" t="n"/>
      <c r="O51" s="70" t="n"/>
      <c r="P51" s="70" t="n"/>
      <c r="Q51" s="70" t="n"/>
      <c r="R51" s="414" t="n"/>
      <c r="S51" s="58" t="n"/>
      <c r="T51" s="58" t="n"/>
      <c r="U51" s="58" t="n"/>
    </row>
    <row r="52" ht="17.25" customHeight="1">
      <c r="A52" s="39" t="n"/>
      <c r="B52" s="429" t="inlineStr">
        <is>
          <t>9KZ Valve was acquired by IDEX for $120M</t>
        </is>
      </c>
      <c r="C52" s="70" t="n"/>
      <c r="D52" s="70" t="n"/>
      <c r="E52" s="70" t="n"/>
      <c r="F52" s="70" t="n"/>
      <c r="G52" s="70" t="n"/>
      <c r="H52" s="70" t="n"/>
      <c r="I52" s="70" t="n"/>
      <c r="J52" s="70" t="n"/>
      <c r="K52" s="70" t="n"/>
      <c r="L52" s="70" t="n"/>
      <c r="M52" s="70" t="n"/>
      <c r="N52" s="70" t="n"/>
      <c r="O52" s="70" t="n"/>
      <c r="P52" s="70" t="n"/>
      <c r="Q52" s="70" t="n"/>
      <c r="R52" s="414" t="n"/>
      <c r="S52" s="58" t="n"/>
      <c r="T52" s="58" t="n"/>
      <c r="U52" s="58" t="n"/>
    </row>
    <row r="53" ht="17.25" customHeight="1">
      <c r="A53" s="39" t="n"/>
      <c r="B53" s="429" t="inlineStr">
        <is>
          <t>10Hunt Valve was acquired by Fairbanks Morse Defense for $360M</t>
        </is>
      </c>
      <c r="C53" s="70" t="n"/>
      <c r="D53" s="391" t="n"/>
      <c r="E53" s="70" t="n"/>
      <c r="F53" s="70" t="n"/>
      <c r="G53" s="70" t="n"/>
      <c r="H53" s="70" t="n"/>
      <c r="I53" s="70" t="n"/>
      <c r="J53" s="70" t="n"/>
      <c r="K53" s="70" t="n"/>
      <c r="L53" s="70" t="n"/>
      <c r="M53" s="70" t="n"/>
      <c r="N53" s="70" t="n"/>
      <c r="O53" s="70" t="n"/>
      <c r="P53" s="70" t="n"/>
      <c r="Q53" s="70" t="n"/>
      <c r="R53" s="414" t="n"/>
      <c r="S53" s="58" t="n"/>
      <c r="T53" s="58" t="n"/>
      <c r="U53" s="58" t="n"/>
    </row>
    <row r="54" ht="17.25" customHeight="1">
      <c r="A54" s="39" t="n"/>
      <c r="B54" s="429" t="inlineStr">
        <is>
          <t>11Red Valve was acquired by DeZURIK for $63M</t>
        </is>
      </c>
      <c r="C54" s="70" t="n"/>
      <c r="D54" s="70" t="n"/>
      <c r="E54" s="70" t="n"/>
      <c r="F54" s="70" t="n"/>
      <c r="G54" s="70" t="n"/>
      <c r="H54" s="70" t="n"/>
      <c r="I54" s="70" t="n"/>
      <c r="J54" s="70" t="n"/>
      <c r="K54" s="70" t="n"/>
      <c r="L54" s="70" t="n"/>
      <c r="M54" s="70" t="n"/>
      <c r="N54" s="70" t="n"/>
      <c r="O54" s="70" t="n"/>
      <c r="P54" s="70" t="n"/>
      <c r="Q54" s="70" t="n"/>
      <c r="R54" s="414" t="n"/>
      <c r="S54" s="58" t="n"/>
      <c r="T54" s="58" t="n"/>
      <c r="U54" s="58" t="n"/>
    </row>
    <row r="55" ht="17.25" customHeight="1">
      <c r="A55" s="39" t="n"/>
      <c r="B55" s="429" t="inlineStr">
        <is>
          <t>12Valmatic was acquired by AY McDonald for $120M</t>
        </is>
      </c>
      <c r="C55" s="70" t="n"/>
      <c r="D55" s="70" t="n"/>
      <c r="E55" s="70" t="n"/>
      <c r="F55" s="70" t="n"/>
      <c r="G55" s="70" t="n"/>
      <c r="H55" s="70" t="n"/>
      <c r="I55" s="70" t="n"/>
      <c r="J55" s="70" t="n"/>
      <c r="K55" s="70" t="n"/>
      <c r="L55" s="70" t="n"/>
      <c r="M55" s="70" t="n"/>
      <c r="N55" s="70" t="n"/>
      <c r="O55" s="70" t="n"/>
      <c r="P55" s="70" t="n"/>
      <c r="Q55" s="70" t="n"/>
      <c r="R55" s="414" t="n"/>
      <c r="S55" s="58" t="n"/>
      <c r="T55" s="58" t="n"/>
      <c r="U55" s="58" t="n"/>
    </row>
    <row r="56">
      <c r="A56" s="39" t="n"/>
      <c r="B56" s="427" t="n"/>
      <c r="C56" s="70" t="n"/>
      <c r="D56" s="70" t="n"/>
      <c r="E56" s="70" t="n"/>
      <c r="F56" s="70" t="n"/>
      <c r="G56" s="70" t="n"/>
      <c r="H56" s="70" t="n"/>
      <c r="I56" s="70" t="n"/>
      <c r="J56" s="70" t="n"/>
      <c r="K56" s="70" t="n"/>
      <c r="L56" s="70" t="n"/>
      <c r="M56" s="70" t="n"/>
      <c r="N56" s="70" t="n"/>
      <c r="O56" s="70" t="n"/>
      <c r="P56" s="70" t="n"/>
      <c r="Q56" s="70" t="n"/>
      <c r="R56" s="414" t="n"/>
      <c r="S56" s="58" t="n"/>
      <c r="T56" s="58" t="n"/>
      <c r="U56" s="58" t="n"/>
    </row>
    <row r="57">
      <c r="B57" s="18" t="n"/>
      <c r="C57" s="58" t="n"/>
      <c r="D57" s="58" t="n"/>
      <c r="E57" s="58" t="n"/>
      <c r="F57" s="58" t="n"/>
      <c r="G57" s="58" t="n"/>
      <c r="H57" s="58" t="n"/>
      <c r="I57" s="58" t="n"/>
      <c r="J57" s="58" t="n"/>
      <c r="K57" s="58" t="n"/>
      <c r="L57" s="58" t="n"/>
      <c r="M57" s="58" t="n"/>
      <c r="N57" s="58" t="n"/>
      <c r="O57" s="58" t="n"/>
      <c r="P57" s="58" t="n"/>
      <c r="Q57" s="58" t="n"/>
      <c r="S57" s="58" t="n"/>
      <c r="T57" s="58" t="n"/>
      <c r="U57" s="58" t="n"/>
    </row>
    <row r="58">
      <c r="B58" s="72" t="inlineStr">
        <is>
          <t>Liquidity Discount</t>
        </is>
      </c>
      <c r="C58" s="73" t="n">
        <v>0.25</v>
      </c>
      <c r="D58" s="425" t="n"/>
      <c r="E58" s="425" t="n"/>
      <c r="F58" s="425" t="n"/>
      <c r="G58" s="425" t="n"/>
      <c r="H58" s="425" t="n"/>
      <c r="I58" s="425" t="n"/>
      <c r="J58" s="425" t="n"/>
      <c r="K58" s="425" t="n"/>
      <c r="L58" s="425" t="n"/>
      <c r="M58" s="425" t="n"/>
      <c r="N58" s="425" t="n"/>
      <c r="O58" s="425" t="n"/>
      <c r="P58" s="425" t="n"/>
      <c r="Q58" s="425" t="n"/>
      <c r="R58" s="425" t="n"/>
      <c r="S58" s="58" t="n"/>
      <c r="T58" s="58" t="n"/>
      <c r="U58" s="58" t="n"/>
    </row>
    <row r="59">
      <c r="B59" s="58" t="n"/>
      <c r="C59" s="58" t="n"/>
      <c r="D59" s="58" t="n"/>
      <c r="E59" s="58" t="n"/>
      <c r="F59" s="58" t="n"/>
      <c r="G59" s="58" t="n"/>
      <c r="H59" s="58" t="n"/>
      <c r="I59" s="58" t="n"/>
      <c r="J59" s="58" t="n"/>
      <c r="K59" s="58" t="n"/>
      <c r="L59" s="58" t="n"/>
      <c r="M59" s="58" t="n"/>
      <c r="N59" s="58" t="n"/>
      <c r="O59" s="58" t="n"/>
      <c r="P59" s="58" t="n"/>
      <c r="Q59" s="58" t="n"/>
      <c r="S59" s="58" t="n"/>
      <c r="T59" s="58" t="n"/>
      <c r="U59" s="58" t="n"/>
    </row>
    <row r="60">
      <c r="B60" s="75" t="n"/>
      <c r="C60" s="65" t="n"/>
      <c r="D60" s="65" t="n"/>
      <c r="E60" s="65" t="n"/>
      <c r="F60" s="65" t="n"/>
      <c r="G60" s="65" t="n"/>
      <c r="H60" s="65" t="n"/>
      <c r="I60" s="65" t="n"/>
      <c r="J60" s="65" t="n"/>
      <c r="K60" s="65" t="n"/>
      <c r="L60" s="65" t="n"/>
      <c r="M60" s="65" t="n"/>
      <c r="N60" s="65" t="n"/>
      <c r="O60" s="65" t="n"/>
      <c r="P60" s="65" t="n"/>
      <c r="Q60" s="65" t="n"/>
      <c r="R60" s="171" t="n"/>
      <c r="S60" s="58" t="n"/>
      <c r="T60" s="58" t="n"/>
      <c r="U60" s="58" t="n"/>
    </row>
    <row r="61">
      <c r="B61" s="75" t="n"/>
      <c r="C61" s="65" t="n"/>
      <c r="D61" s="793" t="n"/>
      <c r="E61" s="65" t="n"/>
      <c r="F61" s="65" t="n"/>
      <c r="G61" s="793" t="n"/>
      <c r="H61" s="65" t="n"/>
      <c r="I61" s="65" t="n"/>
      <c r="J61" s="793" t="n"/>
      <c r="K61" s="65" t="n"/>
      <c r="L61" s="65" t="n"/>
      <c r="M61" s="793" t="n"/>
      <c r="N61" s="65" t="n"/>
      <c r="O61" s="65" t="n"/>
      <c r="P61" s="793" t="n"/>
      <c r="Q61" s="65" t="n"/>
      <c r="R61" s="171" t="n"/>
    </row>
    <row r="62">
      <c r="D62" s="794" t="n"/>
      <c r="G62" s="794" t="n"/>
      <c r="J62" s="794" t="n"/>
      <c r="M62" s="794" t="n"/>
      <c r="P62" s="794" t="n"/>
    </row>
    <row r="65">
      <c r="B65" s="58" t="inlineStr">
        <is>
          <t>min</t>
        </is>
      </c>
      <c r="C65" s="58" t="n"/>
      <c r="D65" s="795">
        <f>MIN(D11:D35)</f>
        <v/>
      </c>
      <c r="E65" s="58" t="n"/>
      <c r="F65" s="58" t="n"/>
      <c r="G65" s="795">
        <f>MIN(G11:G35)</f>
        <v/>
      </c>
      <c r="H65" s="58" t="n"/>
      <c r="I65" s="58" t="n"/>
      <c r="J65" s="795">
        <f>MIN(J11:J35)</f>
        <v/>
      </c>
      <c r="K65" s="58" t="n"/>
      <c r="L65" s="58" t="n"/>
      <c r="M65" s="795">
        <f>MIN(M11:M35)</f>
        <v/>
      </c>
      <c r="N65" s="58" t="n"/>
      <c r="O65" s="58" t="n"/>
      <c r="P65" s="795">
        <f>MIN(P11:P35)</f>
        <v/>
      </c>
    </row>
    <row r="66">
      <c r="B66" s="58" t="inlineStr">
        <is>
          <t>max</t>
        </is>
      </c>
      <c r="C66" s="58" t="n"/>
      <c r="D66" s="795">
        <f>MAX(D11:D35)</f>
        <v/>
      </c>
      <c r="E66" s="58" t="n"/>
      <c r="F66" s="58" t="n"/>
      <c r="G66" s="795">
        <f>MAX(G11:G35)</f>
        <v/>
      </c>
      <c r="H66" s="58" t="n"/>
      <c r="I66" s="58" t="n"/>
      <c r="J66" s="795">
        <f>MAX(J11:J35)</f>
        <v/>
      </c>
      <c r="K66" s="58" t="n"/>
      <c r="L66" s="58" t="n"/>
      <c r="M66" s="795">
        <f>MAX(M11:M35)</f>
        <v/>
      </c>
      <c r="N66" s="58" t="n"/>
      <c r="O66" s="58" t="n"/>
      <c r="P66" s="795">
        <f>MAX(P11:P35)</f>
        <v/>
      </c>
    </row>
    <row r="73">
      <c r="D73" s="796" t="n"/>
    </row>
    <row r="74">
      <c r="D74" s="796" t="n"/>
    </row>
    <row r="75">
      <c r="D75" s="796" t="n"/>
    </row>
    <row r="76">
      <c r="D76" s="796" t="n"/>
    </row>
    <row r="77">
      <c r="D77" s="796" t="n"/>
    </row>
    <row r="78">
      <c r="D78" s="796" t="n"/>
    </row>
    <row r="79">
      <c r="D79" s="796" t="n"/>
    </row>
    <row r="80">
      <c r="D80" s="796" t="n"/>
    </row>
    <row r="81">
      <c r="D81" s="796" t="n"/>
    </row>
    <row r="82">
      <c r="D82" s="796" t="n"/>
    </row>
    <row r="83">
      <c r="D83" s="796" t="n"/>
    </row>
    <row r="84">
      <c r="D84" s="796" t="n"/>
    </row>
    <row r="85">
      <c r="D85" s="796" t="n"/>
    </row>
    <row r="86">
      <c r="D86" s="796" t="n"/>
    </row>
    <row r="87">
      <c r="D87" s="796" t="n"/>
    </row>
    <row r="88">
      <c r="D88" s="796" t="n"/>
    </row>
    <row r="89">
      <c r="D89" s="796" t="n"/>
    </row>
    <row r="90">
      <c r="D90" s="796" t="n"/>
    </row>
    <row r="93">
      <c r="D93" s="797" t="n"/>
    </row>
  </sheetData>
  <conditionalFormatting sqref="A11:Q23">
    <cfRule type="expression" priority="32" dxfId="2">
      <formula>MOD(ROW(),2)=0</formula>
    </cfRule>
  </conditionalFormatting>
  <conditionalFormatting sqref="A30:Q36">
    <cfRule type="expression" priority="27" dxfId="2">
      <formula>MOD(ROW(),2)=0</formula>
    </cfRule>
  </conditionalFormatting>
  <conditionalFormatting sqref="B25:C29">
    <cfRule type="expression" priority="7" dxfId="2">
      <formula>MOD(ROW(),2)=0</formula>
    </cfRule>
  </conditionalFormatting>
  <conditionalFormatting sqref="D25:I28">
    <cfRule type="expression" priority="3" dxfId="2">
      <formula>MOD(ROW(),2)=0</formula>
    </cfRule>
  </conditionalFormatting>
  <conditionalFormatting sqref="D29:P29">
    <cfRule type="expression" priority="29" dxfId="2">
      <formula>MOD(ROW(),2)=0</formula>
    </cfRule>
  </conditionalFormatting>
  <conditionalFormatting sqref="K25:P28">
    <cfRule type="expression" priority="1" dxfId="2">
      <formula>MOD(ROW(),2)=0</formula>
    </cfRule>
  </conditionalFormatting>
  <conditionalFormatting sqref="J25:J29 S11:U23 S30:U36 T25:T29">
    <cfRule type="expression" priority="51" dxfId="2">
      <formula>MOD(ROW(),2)=0</formula>
    </cfRule>
  </conditionalFormatting>
  <conditionalFormatting sqref="U27:U29">
    <cfRule type="expression" priority="13" dxfId="2">
      <formula>MOD(ROW(),2)=0</formula>
    </cfRule>
  </conditionalFormatting>
  <pageMargins left="0.7086614173228347" right="0.7086614173228347" top="0.7480314960629921" bottom="0.7480314960629921" header="0.3149606299212598" footer="0.3149606299212598"/>
  <pageSetup orientation="portrait" scale="64" fitToHeight="0"/>
  <legacyDrawing xmlns:r="http://schemas.openxmlformats.org/officeDocument/2006/relationships" r:id="anysvml"/>
</worksheet>
</file>

<file path=xl/worksheets/sheet6.xml><?xml version="1.0" encoding="utf-8"?>
<worksheet xmlns="http://schemas.openxmlformats.org/spreadsheetml/2006/main">
  <sheetPr>
    <tabColor theme="4"/>
    <outlinePr summaryBelow="1" summaryRight="1"/>
    <pageSetUpPr fitToPage="1"/>
  </sheetPr>
  <dimension ref="A1:E55"/>
  <sheetViews>
    <sheetView showGridLines="0" view="pageBreakPreview" topLeftCell="A29" zoomScaleNormal="55" zoomScaleSheetLayoutView="100" workbookViewId="0">
      <selection activeCell="A1" sqref="A1"/>
    </sheetView>
  </sheetViews>
  <sheetFormatPr baseColWidth="8" defaultColWidth="9.140625" defaultRowHeight="15"/>
  <cols>
    <col width="2.7109375" customWidth="1" min="1" max="1"/>
    <col width="57.5703125" bestFit="1" customWidth="1" min="2" max="2"/>
    <col width="72.42578125" customWidth="1" min="3" max="3"/>
    <col width="36.7109375" customWidth="1" min="4" max="4"/>
    <col width="58.140625" customWidth="1" min="5" max="5"/>
  </cols>
  <sheetData>
    <row r="1" ht="18.75" customFormat="1" customHeight="1" s="122">
      <c r="B1" s="403" t="inlineStr">
        <is>
          <t>Opus Water, Inc</t>
        </is>
      </c>
    </row>
    <row r="2" ht="16.5" customFormat="1" customHeight="1" s="122" thickBot="1">
      <c r="B2" s="404" t="inlineStr">
        <is>
          <t>Comparables (Description)</t>
        </is>
      </c>
      <c r="C2" s="123" t="n"/>
      <c r="D2" s="123" t="n"/>
      <c r="E2" s="123" t="n"/>
    </row>
    <row r="3" ht="13.5" customFormat="1" customHeight="1" s="53" thickTop="1">
      <c r="B3" s="405">
        <f>'I. Cover Page'!$B$9</f>
        <v/>
      </c>
      <c r="C3" s="55" t="n"/>
      <c r="D3" s="55" t="n"/>
      <c r="E3" s="55" t="n"/>
    </row>
    <row r="4">
      <c r="A4" s="393" t="n"/>
      <c r="C4" s="58" t="n"/>
      <c r="D4" s="58" t="n"/>
      <c r="E4" s="58" t="n"/>
    </row>
    <row r="5">
      <c r="B5" s="57" t="inlineStr">
        <is>
          <t>Public Company Comparables - Opus Water</t>
        </is>
      </c>
      <c r="C5" s="394" t="n"/>
      <c r="D5" s="394" t="n"/>
      <c r="E5" s="394" t="n"/>
    </row>
    <row r="6">
      <c r="B6" s="394" t="n"/>
      <c r="C6" s="394" t="n"/>
      <c r="D6" s="394" t="n"/>
      <c r="E6" s="394" t="n"/>
    </row>
    <row r="7" ht="15.75" customHeight="1" thickBot="1">
      <c r="A7" s="59" t="n"/>
      <c r="B7" s="395" t="inlineStr">
        <is>
          <t>Public Companies</t>
        </is>
      </c>
      <c r="C7" s="396" t="inlineStr">
        <is>
          <t>Description</t>
        </is>
      </c>
      <c r="D7" s="396" t="inlineStr">
        <is>
          <t>Business Model</t>
        </is>
      </c>
      <c r="E7" s="396" t="inlineStr">
        <is>
          <t>Rationale</t>
        </is>
      </c>
    </row>
    <row r="8" ht="80.09999999999999" customHeight="1">
      <c r="A8" s="397" t="n"/>
      <c r="B8" s="398" t="inlineStr">
        <is>
          <t>Emerson Electric</t>
        </is>
      </c>
      <c r="C8" s="798" t="inlineStr">
        <is>
          <t>Emerson Electric focuses on automation through Intelligent Devices and Software Control. It specializes in process manufacturing solutions</t>
        </is>
      </c>
      <c r="D8" s="798" t="inlineStr">
        <is>
          <t>Manufacturer</t>
        </is>
      </c>
      <c r="E8" s="798" t="inlineStr">
        <is>
          <t>Manufacturer of industrial automation products including flow control. Engineered products platform would be complementary to Emerson’s intelligent devices segment (valves, actuators, etc.) M&amp;A identified in growth strategy</t>
        </is>
      </c>
    </row>
    <row r="9" ht="80.09999999999999" customHeight="1">
      <c r="A9" s="65" t="n"/>
      <c r="B9" s="67" t="inlineStr">
        <is>
          <t>Xylem</t>
        </is>
      </c>
      <c r="C9" s="799" t="inlineStr">
        <is>
          <t>Xylem is a global leader in water technology, providing solutions for water transport, treatment, testing, and efficient use across various sectors</t>
        </is>
      </c>
      <c r="D9" s="799" t="inlineStr">
        <is>
          <t>Manufacturer</t>
        </is>
      </c>
      <c r="E9" s="799" t="inlineStr">
        <is>
          <t xml:space="preserve">Pure-play water equipment and software provider. Applied Water and Water Infrastructure segment would benefit from the addition of Opus Water as extension of current portfolio which includes engineered products </t>
        </is>
      </c>
    </row>
    <row r="10" ht="80.09999999999999" customHeight="1">
      <c r="A10" s="397" t="n"/>
      <c r="B10" s="398" t="inlineStr">
        <is>
          <t>IDEX</t>
        </is>
      </c>
      <c r="C10" s="798" t="inlineStr">
        <is>
          <t>IDEX manufactures pumps, flow meters, valves, and fluidic systems for industrial, fire and safety, life science, and water markets</t>
        </is>
      </c>
      <c r="D10" s="798" t="inlineStr">
        <is>
          <t>Manufacturer</t>
        </is>
      </c>
      <c r="E10" s="798" t="inlineStr">
        <is>
          <t>Was one of the groups that made it to the final round in the Red Valve process. Highly acquisitive manufacturer of technical engineered products. Have made recent acquisition in the valve space. M&amp;A strategy is focused on margins and will pay a premium if target fits in their sandbox</t>
        </is>
      </c>
    </row>
    <row r="11" ht="80.09999999999999" customHeight="1">
      <c r="A11" s="65" t="n"/>
      <c r="B11" s="67" t="inlineStr">
        <is>
          <t>Graco</t>
        </is>
      </c>
      <c r="C11" s="799" t="inlineStr">
        <is>
          <t>Graco manufactures equipment for managing fluids, coatings, and adhesives, specializing in hard-to-handle materials</t>
        </is>
      </c>
      <c r="D11" s="799" t="inlineStr">
        <is>
          <t>Manufacturer</t>
        </is>
      </c>
      <c r="E11" s="799" t="inlineStr">
        <is>
          <t>Manufacturer of fluid handling and control solutions for hard to handle fluids. Relatively acquisitive across all business segments. Opus Water would provide added control capabilities and specializes in corrosive fluids</t>
        </is>
      </c>
    </row>
    <row r="12" ht="80.09999999999999" customHeight="1">
      <c r="A12" s="397" t="n"/>
      <c r="B12" s="398" t="inlineStr">
        <is>
          <t>Curtiss-Wright</t>
        </is>
      </c>
      <c r="C12" s="798" t="inlineStr">
        <is>
          <t>Curtiss-Wright delivers engineered products like control systems, pumps, valves, and weapons handling systems to commercial, defense, and industrial markets</t>
        </is>
      </c>
      <c r="D12" s="798" t="inlineStr">
        <is>
          <t>Manufacturer</t>
        </is>
      </c>
      <c r="E12" s="798" t="inlineStr">
        <is>
          <t>Manufacturer of engineered products, ~33% of revenue derived from industrial market. M&amp;A continues to be a top strategic priority. Acquired Dyna-Flo for their valve portfolio in FY20- (annual sales of $25M)</t>
        </is>
      </c>
    </row>
    <row r="13" ht="80.09999999999999" customHeight="1">
      <c r="A13" s="65" t="n"/>
      <c r="B13" s="67" t="inlineStr">
        <is>
          <t xml:space="preserve">ITT </t>
        </is>
      </c>
      <c r="C13" s="799" t="inlineStr">
        <is>
          <t>ITT is a diversified industrial company with over $3 billion in sales, offering brake pads, shock absorbers, pumps, valves, and connectors</t>
        </is>
      </c>
      <c r="D13" s="799" t="inlineStr">
        <is>
          <t>Manufacturer</t>
        </is>
      </c>
      <c r="E13" s="799" t="inlineStr">
        <is>
          <t>Manufacturer of critical engineered components, Industrial Process segment provide pumps, valves, and control systems across industrial applications, while Connect &amp; Control Technologies provide flow control components for critical applications, both would benefit from Opus Water offerings</t>
        </is>
      </c>
    </row>
    <row r="14" ht="80.09999999999999" customHeight="1">
      <c r="A14" s="397" t="n"/>
      <c r="B14" s="398" t="inlineStr">
        <is>
          <t>Valmet</t>
        </is>
      </c>
      <c r="C14" s="798" t="inlineStr">
        <is>
          <t>Valmet supplies technologies, automation solutions, and services to the pulp, paper, and energy industries</t>
        </is>
      </c>
      <c r="D14" s="798" t="inlineStr">
        <is>
          <t>Manufacturer</t>
        </is>
      </c>
      <c r="E14" s="798" t="inlineStr">
        <is>
          <t>European based manufacturer of engineered products, focusing mainly on industrial applications. Owners of Neles who manufacture pinch valves (Flowrox) who compete with Onyx. Only 20% of sales in North America, an engineered products platform would provide a strong foothold for expansion into this territory</t>
        </is>
      </c>
    </row>
    <row r="15" ht="80.09999999999999" customHeight="1">
      <c r="A15" s="65" t="n"/>
      <c r="B15" s="67" t="inlineStr">
        <is>
          <t>IMI</t>
        </is>
      </c>
      <c r="C15" s="799" t="inlineStr">
        <is>
          <t>IMI plc is an engineering company specializing in valves and actuators for controlling air and fluid movement, serving sectors like energy, transportation, and infrastructure</t>
        </is>
      </c>
      <c r="D15" s="799" t="inlineStr">
        <is>
          <t>Manufacturer</t>
        </is>
      </c>
      <c r="E15" s="799" t="inlineStr">
        <is>
          <t>Engineered products manufacturer based in European who is highly acquisitive with 3 acquisitions in FY22. Precision and Critical Engineering divisions are complementary to Opus Water platform</t>
        </is>
      </c>
    </row>
    <row r="16" ht="80.09999999999999" customHeight="1">
      <c r="A16" s="397" t="n"/>
      <c r="B16" s="398" t="inlineStr">
        <is>
          <t>Watts Water Technologies</t>
        </is>
      </c>
      <c r="C16" s="798" t="inlineStr">
        <is>
          <t>Watts Water Technologies Inc. offers safety, energy efficiency, and water conservation products for residential, commercial, and industrial applications</t>
        </is>
      </c>
      <c r="D16" s="798" t="inlineStr">
        <is>
          <t>Manufacturer</t>
        </is>
      </c>
      <c r="E16" s="798" t="inlineStr">
        <is>
          <t xml:space="preserve">Water product focused manufacturer of control, treatment and safety equipment. Established line of control valves. </t>
        </is>
      </c>
    </row>
    <row r="17" ht="80.09999999999999" customHeight="1">
      <c r="A17" s="65" t="n"/>
      <c r="B17" s="67" t="inlineStr">
        <is>
          <t>Flowserve</t>
        </is>
      </c>
      <c r="C17" s="799" t="inlineStr">
        <is>
          <t>Flowserve Corp. manufactures flow control systems, including pumps, valves, and seals, for industries like O&amp;G, chemical, power generation, and water management</t>
        </is>
      </c>
      <c r="D17" s="799" t="inlineStr">
        <is>
          <t>Manufacturer</t>
        </is>
      </c>
      <c r="E17" s="799" t="inlineStr">
        <is>
          <t>Specialized provider of fluid motion and control solutions, with well-established valve and actuator product lines.</t>
        </is>
      </c>
    </row>
    <row r="18" ht="80.09999999999999" customHeight="1">
      <c r="A18" s="397" t="n"/>
      <c r="B18" s="398" t="inlineStr">
        <is>
          <t>Rotork</t>
        </is>
      </c>
      <c r="C18" s="798" t="inlineStr">
        <is>
          <t>Rotork designs actuators and industrial components for markets like O&amp;G, water and power, and chemicals. Its product range includes electric and fluid actuators, gearboxes, valve accessories, and pneumatic valves</t>
        </is>
      </c>
      <c r="D18" s="798" t="inlineStr">
        <is>
          <t>Manufacturer</t>
        </is>
      </c>
      <c r="E18" s="798" t="inlineStr">
        <is>
          <t>Actuator and control solutions, with a well-established presence in the water and wastewater sector. Addition of Opus Water would increase product breadth and applications</t>
        </is>
      </c>
    </row>
    <row r="19" ht="80.09999999999999" customHeight="1">
      <c r="A19" s="65" t="n"/>
      <c r="B19" s="67" t="inlineStr">
        <is>
          <t>Mueller Water Products</t>
        </is>
      </c>
      <c r="C19" s="799" t="inlineStr">
        <is>
          <t>Mueller Water Products, Inc. manufactures products for the transmission, distribution, and measurement of water</t>
        </is>
      </c>
      <c r="D19" s="799" t="inlineStr">
        <is>
          <t>Manufacturer</t>
        </is>
      </c>
      <c r="E19" s="799" t="inlineStr">
        <is>
          <t>Water products manufacturer with a complementary portfolio. End-market focus on construction and municipal repair and rehabilitation align with Opus Water product portfolio</t>
        </is>
      </c>
    </row>
    <row r="20" ht="20.1" customHeight="1" thickBot="1">
      <c r="A20" s="59" t="n"/>
      <c r="B20" s="395" t="inlineStr">
        <is>
          <t>M&amp;A</t>
        </is>
      </c>
      <c r="C20" s="396" t="inlineStr">
        <is>
          <t>Description</t>
        </is>
      </c>
      <c r="D20" s="396" t="inlineStr">
        <is>
          <t>Business Model</t>
        </is>
      </c>
      <c r="E20" s="396" t="inlineStr">
        <is>
          <t>Rationale</t>
        </is>
      </c>
    </row>
    <row r="21" ht="60" customHeight="1">
      <c r="A21" s="397" t="n"/>
      <c r="B21" s="398" t="inlineStr">
        <is>
          <t>SPX Flow (Dec 2025)1</t>
        </is>
      </c>
      <c r="C21" s="798" t="inlineStr">
        <is>
          <t>Provider of pumps, valves, mixers, and heat exchangers delivering engineered process solutions for efficient fluid handling across industrial sectors</t>
        </is>
      </c>
      <c r="D21" s="798" t="inlineStr">
        <is>
          <t>Manufacturer</t>
        </is>
      </c>
      <c r="E21" s="798" t="inlineStr">
        <is>
          <t>Included as relevant since SPX Flow is a major provider of industrial flow control solutions, including pumps, valves, and mixers</t>
        </is>
      </c>
    </row>
    <row r="22" ht="60" customHeight="1">
      <c r="A22" s="65" t="n"/>
      <c r="B22" s="67" t="inlineStr">
        <is>
          <t>Leonard Valve (Dec 2025)2</t>
        </is>
      </c>
      <c r="C22" s="799" t="inlineStr">
        <is>
          <t>Expert in water temperature control valves and thermostatic mixing systems for precise and safe fluid flow in plumbing and industrial settings</t>
        </is>
      </c>
      <c r="D22" s="799" t="inlineStr">
        <is>
          <t>Manufacturer</t>
        </is>
      </c>
      <c r="E22" s="799" t="inlineStr">
        <is>
          <t>Included as relevant since Leonard Valve is a specialized producer of engineered temperature‑control valves critical to safe and precise fluid regulation</t>
        </is>
      </c>
    </row>
    <row r="23" ht="60" customHeight="1">
      <c r="A23" s="397" t="n"/>
      <c r="B23" s="398" t="inlineStr">
        <is>
          <t>Chart Industries (Jul 2025)3</t>
        </is>
      </c>
      <c r="C23" s="798" t="inlineStr">
        <is>
          <t>Leader in cryogenic and process equipment-heat exchangers, cold boxes, and storage systems-essential for fluid flow in LNG, hydrogen, and industrial gas applications</t>
        </is>
      </c>
      <c r="D23" s="798" t="inlineStr">
        <is>
          <t>Manufacturer</t>
        </is>
      </c>
      <c r="E23" s="798" t="inlineStr">
        <is>
          <t>Included as relevant since Chart is a major manufacturer of engineered cryogenic and process equipment used across LNG, hydrogen, and industrial gas flow systems</t>
        </is>
      </c>
    </row>
    <row r="24" ht="60" customHeight="1">
      <c r="A24" s="65" t="n"/>
      <c r="B24" s="67" t="inlineStr">
        <is>
          <t>Noah Actuation (Mar 2025)4</t>
        </is>
      </c>
      <c r="C24" s="799" t="inlineStr">
        <is>
          <t>South Korean manufacturer of electric actuators used in industrial applications</t>
        </is>
      </c>
      <c r="D24" s="799" t="inlineStr">
        <is>
          <t>Manufacturer</t>
        </is>
      </c>
      <c r="E24" s="799" t="inlineStr">
        <is>
          <t>Included as relevant due to complementary products (actuators). Supports attractiveness to strategic acquirors considering Rotork is a leading global provider of flow control solutions</t>
        </is>
      </c>
    </row>
    <row r="25" ht="60" customHeight="1">
      <c r="A25" s="397" t="n"/>
      <c r="B25" s="398" t="inlineStr">
        <is>
          <t>Sundyne (Mar 2025)5</t>
        </is>
      </c>
      <c r="C25" s="798" t="inlineStr">
        <is>
          <t>Leader in the design, manufacturing and aftermarket support of highly-engineered pumps and gas compressors used in high-pressure, high-speed, and critical service applications</t>
        </is>
      </c>
      <c r="D25" s="798" t="inlineStr">
        <is>
          <t>Manufacturer</t>
        </is>
      </c>
      <c r="E25" s="798" t="inlineStr">
        <is>
          <t>Included as relevant as Sundyne is a global manufacturer of highly specialized pumps used in mission-critical industrial applications requiring precise control of high-pressure fluid and gas flow</t>
        </is>
      </c>
    </row>
    <row r="26" ht="60" customHeight="1">
      <c r="A26" s="65" t="n"/>
      <c r="B26" s="67" t="inlineStr">
        <is>
          <t>CIRCOR (Jun 2023)6</t>
        </is>
      </c>
      <c r="C26" s="799" t="inlineStr">
        <is>
          <t>Global manufacturer of engineered valves, pumps, and flow control products for industries like O&amp;G, power, and aerospace</t>
        </is>
      </c>
      <c r="D26" s="799" t="inlineStr">
        <is>
          <t>Manufacturer</t>
        </is>
      </c>
      <c r="E26" s="799" t="inlineStr">
        <is>
          <t xml:space="preserve">Included as relevant since CIRCOR is a large industrial flow control product manufacturer. Supports attractiveness by financial and strategic acquirors </t>
        </is>
      </c>
    </row>
    <row r="27" ht="60" customHeight="1">
      <c r="A27" s="397" t="n"/>
      <c r="B27" s="398" t="inlineStr">
        <is>
          <t>Velan (Feb 2023)7</t>
        </is>
      </c>
      <c r="C27" s="798" t="inlineStr">
        <is>
          <t>Leading manufacturer of industrial valves for critical applications in industries such as oil and gas, power, and chemical processing</t>
        </is>
      </c>
      <c r="D27" s="798" t="inlineStr">
        <is>
          <t>Manufacturer</t>
        </is>
      </c>
      <c r="E27" s="798" t="inlineStr">
        <is>
          <t>Included as relevant as Velan is a specialized and highly technical valve manufacturer. As of Oct 2023 deal to terminate as blocked by France regulators due to defense consolidation</t>
        </is>
      </c>
    </row>
    <row r="28" ht="60" customHeight="1">
      <c r="A28" s="65" t="n"/>
      <c r="B28" s="67" t="inlineStr">
        <is>
          <t>Habonim (Apr 2022)8</t>
        </is>
      </c>
      <c r="C28" s="799" t="inlineStr">
        <is>
          <t>Global leader in the design and manufacturing of industrial valves, actuators, and control systems specializing in high-quality solutions for critical flow control applications</t>
        </is>
      </c>
      <c r="D28" s="799" t="inlineStr">
        <is>
          <t>Manufacturer</t>
        </is>
      </c>
      <c r="E28" s="799" t="inlineStr">
        <is>
          <t>Included as relevant due to complementary products (industrial valve and actuators), sold for a similar size to what Opus Water is targeting</t>
        </is>
      </c>
    </row>
    <row r="29" ht="60" customHeight="1">
      <c r="A29" s="397" t="n"/>
      <c r="B29" s="398" t="inlineStr">
        <is>
          <t>KZ Valve (May 2022)9</t>
        </is>
      </c>
      <c r="C29" s="798" t="inlineStr">
        <is>
          <t>Leading manufacturer of high-performance valves and actuation systems, known for providing reliable and durable valve solutions for critical applications</t>
        </is>
      </c>
      <c r="D29" s="798" t="inlineStr">
        <is>
          <t>Manufacturer</t>
        </is>
      </c>
      <c r="E29" s="798" t="inlineStr">
        <is>
          <t>Included as KZ was  a previous XPV target, manufacturer of electric valves and controllers with an attractive margin profile. Revenues of ~$28M validates focus on margins vs. only scale</t>
        </is>
      </c>
    </row>
    <row r="30" ht="60" customHeight="1">
      <c r="A30" s="65" t="n"/>
      <c r="B30" s="67" t="inlineStr">
        <is>
          <t>Hunt Valve (Sep 2021)10</t>
        </is>
      </c>
      <c r="C30" s="799" t="inlineStr">
        <is>
          <t xml:space="preserve">Global provider of precision valves, specializing in high-pressure, high-temperature, and high-performance applications </t>
        </is>
      </c>
      <c r="D30" s="799" t="inlineStr">
        <is>
          <t>Manufacturer</t>
        </is>
      </c>
      <c r="E30" s="799" t="inlineStr">
        <is>
          <t xml:space="preserve">Included as Hunt is a highly technical manufacture of engineered control products. Fairbanks Morse is PE-backed </t>
        </is>
      </c>
    </row>
    <row r="31" ht="60" customHeight="1">
      <c r="A31" s="397" t="n"/>
      <c r="B31" s="398" t="inlineStr">
        <is>
          <t>Red Valve (Jan 2021)11</t>
        </is>
      </c>
      <c r="C31" s="798" t="inlineStr">
        <is>
          <t>Leading manufacturer of industrial valves and flow control products, specializing in durable, reliable valve products designed for demanding applications</t>
        </is>
      </c>
      <c r="D31" s="798" t="inlineStr">
        <is>
          <t>Manufacturer</t>
        </is>
      </c>
      <c r="E31" s="798" t="inlineStr">
        <is>
          <t>Included as Red Valve is Onyx’s primary competitor</t>
        </is>
      </c>
    </row>
    <row r="32" ht="60" customHeight="1">
      <c r="A32" s="65" t="n"/>
      <c r="B32" s="67" t="inlineStr">
        <is>
          <t>Valmatic (Jan 2021)12</t>
        </is>
      </c>
      <c r="C32" s="799" t="inlineStr">
        <is>
          <t>Manufacturer of valves and related products, offering solutions for water treatment, power generation, and industrial applications. The company specializes in a wide range of valve types (i.e. check, ball, and butterfly valves)</t>
        </is>
      </c>
      <c r="D32" s="799" t="inlineStr">
        <is>
          <t>Manufacturer</t>
        </is>
      </c>
      <c r="E32" s="799" t="inlineStr">
        <is>
          <t xml:space="preserve">Included as relevant given Valmatic is a flow control manufacturer with overlapping portfolio </t>
        </is>
      </c>
    </row>
    <row r="33" ht="12" customHeight="1">
      <c r="B33" s="65" t="n"/>
      <c r="C33" s="799" t="n"/>
      <c r="D33" s="800" t="n"/>
      <c r="E33" s="800" t="n"/>
    </row>
    <row r="34" ht="12" customHeight="1">
      <c r="B34" s="65" t="n"/>
      <c r="C34" s="799" t="n"/>
      <c r="D34" s="800" t="n"/>
      <c r="E34" s="800" t="n"/>
    </row>
    <row r="35" ht="17.25" customHeight="1">
      <c r="B35" s="427" t="inlineStr">
        <is>
          <t>1SPX Flow was acquired by ITT for $4,775M</t>
        </is>
      </c>
      <c r="C35" s="58" t="n"/>
      <c r="D35" s="58" t="n"/>
      <c r="E35" s="58" t="n"/>
    </row>
    <row r="36" ht="17.25" customHeight="1">
      <c r="B36" s="427" t="inlineStr">
        <is>
          <t>2Leonard Valve was acquired by A.O. Smith for $470M</t>
        </is>
      </c>
      <c r="C36" s="58" t="n"/>
      <c r="D36" s="58" t="n"/>
      <c r="E36" s="58" t="n"/>
    </row>
    <row r="37" ht="17.25" customHeight="1">
      <c r="B37" s="427" t="inlineStr">
        <is>
          <t>3Chart Industries was acquired by Baker Hughes for $13,600M</t>
        </is>
      </c>
      <c r="C37" s="58" t="n"/>
      <c r="D37" s="58" t="n"/>
      <c r="E37" s="58" t="n"/>
    </row>
    <row r="38" ht="17.25" customHeight="1">
      <c r="B38" s="427" t="inlineStr">
        <is>
          <t>4Noah Actuation was acquired by Rotork for £44M</t>
        </is>
      </c>
      <c r="C38" s="58" t="n"/>
      <c r="D38" s="58" t="n"/>
      <c r="E38" s="58" t="n"/>
    </row>
    <row r="39" ht="17.25" customHeight="1">
      <c r="B39" s="427" t="inlineStr">
        <is>
          <t>5Sundyne was acquired by Honeywell for $2,160M</t>
        </is>
      </c>
      <c r="C39" s="58" t="n"/>
      <c r="D39" s="58" t="n"/>
      <c r="E39" s="58" t="n"/>
    </row>
    <row r="40" ht="17.25" customHeight="1">
      <c r="B40" s="429" t="inlineStr">
        <is>
          <t>6Circor was acquired by KKR for $1,700M</t>
        </is>
      </c>
      <c r="C40" s="799" t="n"/>
      <c r="D40" s="800" t="n"/>
      <c r="E40" s="800" t="n"/>
    </row>
    <row r="41" ht="17.25" customHeight="1">
      <c r="B41" s="429" t="inlineStr">
        <is>
          <t>7Velan was acquired by Flowserve for $245M</t>
        </is>
      </c>
      <c r="C41" s="799" t="n"/>
      <c r="D41" s="800" t="n"/>
      <c r="E41" s="800" t="n"/>
    </row>
    <row r="42" ht="17.25" customHeight="1">
      <c r="B42" s="429" t="inlineStr">
        <is>
          <t>8 Habonim was acquired by ITT for $140M</t>
        </is>
      </c>
      <c r="C42" s="799" t="n"/>
      <c r="D42" s="800" t="n"/>
      <c r="E42" s="800" t="n"/>
    </row>
    <row r="43" ht="17.25" customHeight="1">
      <c r="B43" s="429" t="inlineStr">
        <is>
          <t>9KZ Valve was acquired by IDEX for $120M</t>
        </is>
      </c>
      <c r="C43" s="801" t="n"/>
      <c r="D43" s="801" t="n"/>
      <c r="E43" s="801" t="n"/>
    </row>
    <row r="44" ht="17.25" customHeight="1">
      <c r="B44" s="429" t="inlineStr">
        <is>
          <t>10Hunt Valve was acquired by Fairbanks Morse Defense for $360M</t>
        </is>
      </c>
      <c r="C44" s="58" t="n"/>
      <c r="D44" s="58" t="n"/>
      <c r="E44" s="58" t="n"/>
    </row>
    <row r="45" ht="17.25" customHeight="1">
      <c r="B45" s="429" t="inlineStr">
        <is>
          <t>11Red Valve was acquired by DeZURIK for $63M</t>
        </is>
      </c>
      <c r="C45" s="58" t="n"/>
      <c r="D45" s="58" t="n"/>
      <c r="E45" s="58" t="n"/>
    </row>
    <row r="46" ht="17.25" customHeight="1">
      <c r="B46" s="429" t="inlineStr">
        <is>
          <t>12Valmatic was acquired by AY McDonald for $120M</t>
        </is>
      </c>
      <c r="C46" s="58" t="n"/>
      <c r="D46" s="58" t="n"/>
      <c r="E46" s="58" t="n"/>
    </row>
    <row r="47">
      <c r="B47" s="427" t="n"/>
      <c r="C47" s="58" t="n"/>
      <c r="D47" s="58" t="n"/>
      <c r="E47" s="58" t="n"/>
    </row>
    <row r="48">
      <c r="B48" s="71" t="n"/>
      <c r="C48" s="58" t="n"/>
      <c r="D48" s="58" t="n"/>
      <c r="E48" s="58" t="n"/>
    </row>
    <row r="49">
      <c r="B49" s="58" t="n"/>
      <c r="C49" s="58" t="n"/>
      <c r="D49" s="58" t="n"/>
      <c r="E49" s="58" t="n"/>
    </row>
    <row r="50">
      <c r="B50" s="58" t="n"/>
      <c r="C50" s="58" t="n"/>
      <c r="D50" s="58" t="n"/>
      <c r="E50" s="58" t="n"/>
    </row>
    <row r="51">
      <c r="B51" s="58" t="n"/>
      <c r="C51" s="58" t="n"/>
      <c r="D51" s="58" t="n"/>
      <c r="E51" s="58" t="n"/>
    </row>
    <row r="52">
      <c r="B52" s="58" t="n"/>
      <c r="C52" s="58" t="n"/>
      <c r="D52" s="58" t="n"/>
      <c r="E52" s="58" t="n"/>
    </row>
    <row r="53" ht="80.09999999999999" customHeight="1">
      <c r="A53" s="65" t="n"/>
      <c r="B53" s="67" t="inlineStr">
        <is>
          <t>SVANEHOJ (Nov 2023)</t>
        </is>
      </c>
      <c r="C53" s="799" t="inlineStr">
        <is>
          <t>Leading provider of customized pumps and related services particularly focusing on handling critical liquids such as LNG, LPG, methanol, and ammonia</t>
        </is>
      </c>
      <c r="D53" s="799" t="inlineStr">
        <is>
          <t>Manufacturer</t>
        </is>
      </c>
      <c r="E53" s="802" t="n"/>
    </row>
    <row r="54">
      <c r="B54" s="58" t="n"/>
      <c r="C54" s="58" t="n"/>
      <c r="D54" s="58" t="n"/>
      <c r="E54" s="58" t="n"/>
    </row>
    <row r="55">
      <c r="B55" s="58" t="n"/>
      <c r="C55" s="58" t="n"/>
      <c r="D55" s="58" t="n"/>
      <c r="E55" s="58" t="n"/>
    </row>
  </sheetData>
  <pageMargins left="0.7" right="0.7" top="0.75" bottom="0.75" header="0.3" footer="0.3"/>
  <pageSetup orientation="landscape" scale="54" fitToHeight="0"/>
  <rowBreaks count="1" manualBreakCount="1">
    <brk id="18" min="1" max="4" man="1"/>
  </rowBreaks>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H4sIAAAAAAAEAO3YCVCUZRgAYJYbBI8RU8vJFRXNluVGQFCOXQ5dYGFXwJBgWX5l5Wd33YNcwsxbNHWEwTJHSxFLHc0LzzETUxHCMiUntTSdcsSbTCub7PtW3o9vxf/PSZxpHGBY+Pd49n2/9/2OxU5gZ2f3EH3h3/jLwx7dpMk1JnVhrE5XJFRa9IxRKNPkG1QGi0iYwRiMGp02KtA/MFQcgL79RcI4M2syG5goLWM2GVSsSCg357Ma9TjGotQVMdoorZllnbCvIGyulc1tY8UKxqBRsZpSVT7LxKnUhUzHe15X6vQypoRhrVcSjdqEwkCvdUSuS1tUrnG6Yr3KwBhcE1XGQoWmlPFEQWSoWDMjV2kMRjsHOwfXCoHCYjQxxeI4HcsyVsYoTmC06A3V8Fs61Yze3GQBLy8gO7vtVQqTQaOdLBIWG9U6A6vJbx+SYLE//v738cgfOVIVog4JDQgPCmb8w8Jzclw32vMEReeQF/hcIxFlP0uJHisNervObqOcnOwc3KC4m9wc0A3+ccM94Ij/+j/WFk8qFxyhNWj84/BpV7WfstqOD9DS1DVcTztceGo4FDEWpxI8JALHcZ0YMLadndFN9wyx8NHkwc81urmg+5zwTWe+24uxrK9/cTq3AO2/GvVzXNKDYEmfgP9ww/V3g1UTP+awrmswn2bFvIdWzK6h+i+rZUInBWtdKbuhmyEpExQRSUqlNENo0gnT0elVa2aUymT/UL8gfz8UcMh4hcTDEz0zJl5nKFaZjM9wwL6L6t5ZGeBp+FKktUtGF+XmxqrURag34jUMWzAgUsIY1QaNHjfV4w/2jXyUx+P32wsce7dlKLaqjy5w5niwXJ19Wq/nNXp6RLs7taI0nvRcvAy4WAuVm2vnCq8U3EFPxx3v3BPGO16m4B1vwS30dDxYrs71b9/27XnuwRh3wU10jd/Zat4A0wtdDcZmprLNlMYmKSUxHchrhJSfe6vRuzQw2l3QQpNXgeyHSVlqSkR6ajoveYWQ+umObMDMAET+QpM/AzmAL/Nw2rxMzJqm4AG3duDML9HmT2AKsYnDTEpO4h/NC8Qc3TJj21ovZxTnj7T5A5hDYDSlyR1StwnzHCEDWiwNzS5BiDxLk98DORxSJwXiCvMMMZ0XhOXdPolaTfAdbTaDKUJXPolSWURGjCy549S1ifQUUV3e6z1smPYuGtBvafUkqP4QadYEGX+kXxPzXqGXunJ2dxTpCdpsAjOYL3ubOBuJef+DkuP9BT2R2UCbx8EMQ1dCUng/jgodI552ZfP+iG9EyDtKe0fAi8QeiZHLO0w84+355QXNuOJ1tHcIvGh0NfSx6nDMoIMEbX64/WYPozdCP6fRA4BK+NZqm0D3E9P71fCxwk09kLmPNveCmQjdHpfJT+4mZOXw+Z5z9vRH5C6arAVShnPHpDA5M4a/iXYQNGin5PKcE3hWbqfRbYDKIU6yenAM52eEXLP0xm+1O30RuYUmNwOphOEkE50rzE3E3HppYP8v/uqNzI20uQHMLDDbc+eI8xNiDvVYOC/bguNcT5s1YE6E1EnZOcjq9mnep6j1TB8/RK6lyTVA5kG7W1PnavePnrDAraa9VeAVkBClWbwhriTk9UmS1ANyvF18SJMrgCyEpZ3sQFyd+T4xJ/u8cz0qDa9Ey2mzCkwWdjWyXXCEWUnIzKMXzl5MGIHICppcBqSefxm2UZcStW7c1fMb57aiZXgJrS4G1YSuvOlZyRHnIiLGxXWrri8aheJcSIvlIE6DilubiKvi84m3bkudT4sFl2ce7c0FrwwqTjYKjhBnE/JY65e/nijATTSLJmcC+S66eqW9KRUdopvRRjnPwh/vB8cnSWWSlFRlfOr4FIm7YHobig+FgjJA5/JtaDZ6KQk0xf5mRd3fePOx0IFOA7McXQ2E6nANZQnhdslLvUZ9FYk4M82ZgFsMISYkJPCHaCCm9vThK0e98Bo8lTb1YC6D8hCTozxaQiZUl7sV/I7LU0yTLJBVuCepTudKfAoRX2641vdB1VAkamixEMQVZD+DVYMr8UnEHBQWPzA1EteGoc0CMFfxnN5sEs8npGnrpPI7tcGIVNFkHpBr+OpjY75JzOUNjZqmZlyfHNqcCGYN7JEoTDn6tMtgVqFiGWOH3N8g6O4lpfpr9Tj3CW0o/veTIAvQDXynYRszg5iilI+3nPJyReZ4OlAlmJth3bDOH66apxOvqih1da+UEOSl0Z4cvG085w2bsUwhZLD+WNCfLv0QmUyTMiBr+XYKG3MsMW8ELBjkE++JzCTaTARzL6RtPW5wpR1PvD/O+9YLpXgPl9KeBLwD6GpQ+7mAC4wl4Myq6t0xZWIExtBgNICHIEBrU3J5o4k3pXLKacUiPLujaC8SvCN8hyEbM4KYfvtOeOrN+DAUTpthYB7nm982hQklZkNFVE1Wcy9khtBmMJhNvIdLm0ADCVqZNnLMRaMLQgNo1B/Qk2RzxIFyDaaYeEPu3y3YcxAfr3xpTwReM3w6sXYklzeCeGUXjoxtWoo/jb9Ged3+Af5l97n1HAAA</t>
        </is>
      </c>
    </row>
  </sheetData>
  <pageMargins left="0.7" right="0.7" top="0.75" bottom="0.75" header="0.3" footer="0.3"/>
</worksheet>
</file>

<file path=xl/worksheets/sheet8.xml><?xml version="1.0" encoding="utf-8"?>
<worksheet xmlns="http://schemas.openxmlformats.org/spreadsheetml/2006/main">
  <sheetPr>
    <tabColor theme="6"/>
    <outlinePr summaryBelow="1" summaryRight="1"/>
    <pageSetUpPr fitToPage="1"/>
  </sheetPr>
  <dimension ref="A1:O53"/>
  <sheetViews>
    <sheetView showGridLines="0" view="pageBreakPreview" zoomScale="85" zoomScaleNormal="70" zoomScaleSheetLayoutView="85" workbookViewId="0">
      <selection activeCell="A23" sqref="A23:I44"/>
    </sheetView>
  </sheetViews>
  <sheetFormatPr baseColWidth="8" defaultColWidth="9.140625" defaultRowHeight="15"/>
  <cols>
    <col width="21.140625" customWidth="1" style="81" min="1" max="1"/>
    <col width="13.140625" customWidth="1" style="81" min="2" max="2"/>
    <col width="17" customWidth="1" style="81" min="3" max="3"/>
    <col width="14.85546875" customWidth="1" style="81" min="4" max="4"/>
    <col width="13.140625" customWidth="1" style="81" min="5" max="5"/>
    <col width="14.85546875" customWidth="1" style="81" min="6" max="6"/>
    <col width="15" customWidth="1" style="81" min="7" max="7"/>
    <col width="13.5703125" customWidth="1" style="81" min="8" max="8"/>
    <col width="17.42578125" customWidth="1" style="81" min="9" max="9"/>
    <col width="9.140625" customWidth="1" style="81" min="10" max="10"/>
    <col width="8.42578125" customWidth="1" style="81" min="11" max="11"/>
    <col width="9.140625" customWidth="1" style="81" min="12" max="16384"/>
  </cols>
  <sheetData>
    <row r="1" ht="15" customHeight="1">
      <c r="A1" s="312" t="n"/>
      <c r="B1" s="265" t="n"/>
      <c r="C1" s="265" t="n"/>
      <c r="D1" s="265" t="n"/>
      <c r="E1" s="265" t="n"/>
      <c r="F1" s="265" t="n"/>
      <c r="G1" s="265" t="n"/>
      <c r="H1" s="803">
        <f>'I. Cover Page'!B9</f>
        <v/>
      </c>
    </row>
    <row r="2" ht="15" customHeight="1">
      <c r="A2" s="266" t="inlineStr">
        <is>
          <t>Opus Water, Inc.</t>
        </is>
      </c>
      <c r="B2" s="267" t="n"/>
      <c r="C2" s="267" t="n"/>
      <c r="D2" s="268" t="n"/>
      <c r="E2" s="268" t="n"/>
      <c r="F2" s="268" t="n"/>
      <c r="G2" s="268" t="n"/>
      <c r="H2" s="268" t="n"/>
      <c r="I2" s="267" t="n"/>
    </row>
    <row r="3" ht="15" customHeight="1">
      <c r="A3" s="267" t="n"/>
      <c r="B3" s="267" t="n"/>
      <c r="C3" s="267" t="n"/>
      <c r="D3" s="268" t="n"/>
      <c r="E3" s="268" t="n"/>
      <c r="F3" s="268" t="n"/>
      <c r="G3" s="268" t="n"/>
      <c r="H3" s="268" t="n"/>
      <c r="I3" s="268" t="n"/>
    </row>
    <row r="4" ht="15" customHeight="1">
      <c r="A4" s="269" t="n"/>
      <c r="B4" s="267" t="n"/>
      <c r="C4" s="267" t="n"/>
      <c r="D4" s="268" t="n"/>
      <c r="E4" s="268" t="n"/>
      <c r="F4" s="268" t="n"/>
      <c r="G4" s="268" t="n"/>
      <c r="H4" s="268" t="n"/>
      <c r="I4" s="268" t="n"/>
    </row>
    <row r="5" ht="15" customHeight="1">
      <c r="A5" s="265" t="n"/>
      <c r="B5" s="265" t="n"/>
      <c r="C5" s="265" t="n"/>
      <c r="D5" s="265" t="n"/>
      <c r="E5" s="265" t="n"/>
      <c r="F5" s="265" t="n"/>
      <c r="G5" s="265" t="n"/>
      <c r="H5" s="265" t="n"/>
      <c r="I5" s="265" t="n"/>
    </row>
    <row r="6" ht="15" customHeight="1">
      <c r="A6" s="116" t="inlineStr">
        <is>
          <t>Business Description:</t>
        </is>
      </c>
      <c r="B6" s="117" t="n"/>
      <c r="C6" s="117" t="n"/>
      <c r="D6" s="117" t="n"/>
      <c r="E6" s="270" t="n"/>
      <c r="F6" s="116" t="inlineStr">
        <is>
          <t>Investment Overview:</t>
        </is>
      </c>
      <c r="G6" s="93" t="n"/>
      <c r="H6" s="117" t="n"/>
      <c r="I6" s="270" t="n"/>
    </row>
    <row r="7" ht="15" customHeight="1">
      <c r="A7" s="804" t="inlineStr">
        <is>
          <t>Opus Water, Inc (“Opus” or “the Company”) is XPV’s engineered products platform, focused on acquiring manufacturers of specialty flow control products used primarily in municipal and industrial applications. 
Opus brings together complementary manufacturers of engineered products and related components, with an emphasis on “high wear” applications due to the necessity of application expertise to deliver reliable differentiated solutions and the opportunity for high margin aftermarket sales. Because these components are critical to the safe handling of water, and that the infrastructure or systems in which they are installed would fail without them, M&amp;A efforts are focused on owner-operated companies that have achieved the “safe hands” status for their customers. These are also companies that can benefit from additional channels to market, synergies in procurement, and other resources that they access as part of the Opus platform.</t>
        </is>
      </c>
      <c r="B7" s="805" t="n"/>
      <c r="C7" s="805" t="n"/>
      <c r="D7" s="805" t="n"/>
      <c r="E7" s="806" t="n"/>
      <c r="F7" s="271" t="inlineStr">
        <is>
          <t>Initial Investment Date</t>
        </is>
      </c>
      <c r="G7" s="98" t="n"/>
      <c r="H7" s="272" t="n"/>
      <c r="I7" s="361" t="inlineStr">
        <is>
          <t>December 21, 2023</t>
        </is>
      </c>
      <c r="K7" s="265" t="n"/>
    </row>
    <row r="8" ht="15" customHeight="1">
      <c r="A8" s="807" t="n"/>
      <c r="E8" s="808" t="n"/>
      <c r="F8" s="273" t="inlineStr">
        <is>
          <t>Lead Partner</t>
        </is>
      </c>
      <c r="I8" s="274" t="inlineStr">
        <is>
          <t>Sam Saintonge</t>
        </is>
      </c>
      <c r="K8" s="265" t="n"/>
    </row>
    <row r="9" ht="15" customHeight="1">
      <c r="A9" s="807" t="n"/>
      <c r="E9" s="808" t="n"/>
      <c r="F9" s="273" t="inlineStr">
        <is>
          <t>Fully Diluted Ownership1</t>
        </is>
      </c>
      <c r="H9" s="265" t="n"/>
      <c r="I9" s="809">
        <f>'Cap Table (Dec 2025)'!K10</f>
        <v/>
      </c>
      <c r="J9" s="810" t="n"/>
      <c r="K9" s="265" t="n"/>
    </row>
    <row r="10" ht="15" customHeight="1">
      <c r="A10" s="807" t="n"/>
      <c r="E10" s="808" t="n"/>
      <c r="F10" s="273" t="inlineStr">
        <is>
          <t>Valuation Method</t>
        </is>
      </c>
      <c r="H10" s="265" t="n"/>
      <c r="I10" s="811" t="inlineStr">
        <is>
          <t>Multiple of Adjusted EBITDA</t>
        </is>
      </c>
    </row>
    <row r="11" ht="15" customHeight="1">
      <c r="A11" s="807" t="n"/>
      <c r="E11" s="808" t="n"/>
      <c r="F11" s="273" t="inlineStr">
        <is>
          <t xml:space="preserve">Total Invested Capital </t>
        </is>
      </c>
      <c r="H11" s="265" t="n"/>
      <c r="I11" s="378">
        <f>'III. Valuation Summary'!F21/1000000</f>
        <v/>
      </c>
    </row>
    <row r="12" ht="15" customHeight="1">
      <c r="A12" s="807" t="n"/>
      <c r="E12" s="808" t="n"/>
      <c r="F12" s="273" t="inlineStr">
        <is>
          <t>Total Realized Proceeds</t>
        </is>
      </c>
      <c r="H12" s="265" t="n"/>
      <c r="I12" s="812" t="n">
        <v>0</v>
      </c>
    </row>
    <row r="13" ht="15" customHeight="1">
      <c r="A13" s="807" t="n"/>
      <c r="E13" s="808" t="n"/>
      <c r="F13" s="273" t="inlineStr">
        <is>
          <t>Total Carrying Value</t>
        </is>
      </c>
      <c r="H13" s="265" t="n"/>
      <c r="I13" s="378">
        <f>'III. Valuation Summary'!F25/1000000</f>
        <v/>
      </c>
    </row>
    <row r="14" ht="15" customHeight="1">
      <c r="A14" s="807" t="n"/>
      <c r="E14" s="808" t="n"/>
      <c r="F14" s="273" t="inlineStr">
        <is>
          <t>Gross Multiple of Invested Capital</t>
        </is>
      </c>
      <c r="H14" s="265" t="n"/>
      <c r="I14" s="813">
        <f>IFERROR((I13+I12)/I11,"n.a.")</f>
        <v/>
      </c>
    </row>
    <row r="15" ht="15" customHeight="1">
      <c r="A15" s="807" t="n"/>
      <c r="E15" s="808" t="n"/>
      <c r="F15" s="273" t="inlineStr">
        <is>
          <t>Gross IRR</t>
        </is>
      </c>
      <c r="H15" s="265" t="n"/>
      <c r="I15" s="814">
        <f>'III. Valuation Summary'!F27</f>
        <v/>
      </c>
    </row>
    <row r="16" ht="15" customHeight="1">
      <c r="A16" s="807" t="n"/>
      <c r="E16" s="808" t="n"/>
      <c r="F16" s="815" t="n"/>
      <c r="I16" s="816" t="n"/>
    </row>
    <row r="17" ht="15" customHeight="1">
      <c r="A17" s="807" t="n"/>
      <c r="E17" s="808" t="n"/>
      <c r="F17" s="368" t="n"/>
      <c r="G17" s="370" t="n"/>
      <c r="H17" s="371" t="n"/>
      <c r="I17" s="374" t="n"/>
      <c r="M17" s="278" t="n"/>
    </row>
    <row r="18" ht="15" customHeight="1">
      <c r="A18" s="807" t="n"/>
      <c r="E18" s="808" t="n"/>
      <c r="F18" s="817" t="n"/>
      <c r="G18" s="372" t="n"/>
      <c r="H18" s="818" t="n"/>
      <c r="I18" s="819" t="n"/>
    </row>
    <row r="19" ht="15" customHeight="1">
      <c r="A19" s="807" t="n"/>
      <c r="E19" s="808" t="n"/>
      <c r="F19" s="279" t="n"/>
      <c r="H19" s="265" t="n"/>
      <c r="I19" s="376" t="n"/>
    </row>
    <row r="20" ht="15" customHeight="1">
      <c r="A20" s="820" t="n"/>
      <c r="B20" s="821" t="n"/>
      <c r="C20" s="821" t="n"/>
      <c r="D20" s="821" t="n"/>
      <c r="E20" s="305" t="n"/>
      <c r="F20" s="280" t="n"/>
      <c r="G20" s="281" t="n"/>
      <c r="H20" s="281" t="n"/>
      <c r="I20" s="282" t="n"/>
    </row>
    <row r="21" ht="15" customHeight="1">
      <c r="A21" s="265" t="n"/>
      <c r="B21" s="265" t="n"/>
      <c r="C21" s="265" t="n"/>
      <c r="D21" s="265" t="n"/>
      <c r="E21" s="265" t="n"/>
      <c r="F21" s="272" t="n"/>
      <c r="G21" s="272" t="n"/>
      <c r="H21" s="272" t="n"/>
      <c r="I21" s="272" t="n"/>
    </row>
    <row r="22" ht="15" customHeight="1">
      <c r="A22" s="283" t="inlineStr">
        <is>
          <t>Financial and Strategic Update</t>
        </is>
      </c>
      <c r="B22" s="284" t="n"/>
      <c r="C22" s="284" t="n"/>
      <c r="D22" s="284" t="n"/>
      <c r="E22" s="284" t="n"/>
      <c r="F22" s="284" t="n"/>
      <c r="G22" s="284" t="n"/>
      <c r="H22" s="284" t="n"/>
      <c r="I22" s="285" t="n"/>
    </row>
    <row r="23" ht="15" customHeight="1">
      <c r="A23" s="804" t="n"/>
      <c r="B23" s="805" t="n"/>
      <c r="C23" s="805" t="n"/>
      <c r="D23" s="805" t="n"/>
      <c r="E23" s="805" t="n"/>
      <c r="F23" s="805" t="n"/>
      <c r="G23" s="805" t="n"/>
      <c r="H23" s="805" t="n"/>
      <c r="I23" s="806" t="n"/>
      <c r="J23" s="432" t="n"/>
    </row>
    <row r="24" ht="15" customHeight="1">
      <c r="A24" s="807" t="n"/>
      <c r="I24" s="808" t="n"/>
    </row>
    <row r="25" ht="15" customHeight="1">
      <c r="A25" s="807" t="n"/>
      <c r="I25" s="808" t="n"/>
    </row>
    <row r="26" ht="15" customHeight="1">
      <c r="A26" s="807" t="n"/>
      <c r="I26" s="808" t="n"/>
    </row>
    <row r="27" ht="15" customHeight="1">
      <c r="A27" s="807" t="n"/>
      <c r="I27" s="808" t="n"/>
    </row>
    <row r="28" ht="15" customHeight="1">
      <c r="A28" s="807" t="n"/>
      <c r="I28" s="808" t="n"/>
    </row>
    <row r="29" ht="15" customHeight="1">
      <c r="A29" s="807" t="n"/>
      <c r="I29" s="808" t="n"/>
    </row>
    <row r="30" ht="15" customHeight="1">
      <c r="A30" s="807" t="n"/>
      <c r="I30" s="808" t="n"/>
    </row>
    <row r="31" ht="15" customHeight="1">
      <c r="A31" s="807" t="n"/>
      <c r="I31" s="808" t="n"/>
    </row>
    <row r="32" ht="15" customHeight="1">
      <c r="A32" s="807" t="n"/>
      <c r="I32" s="808" t="n"/>
    </row>
    <row r="33" ht="15" customHeight="1">
      <c r="A33" s="807" t="n"/>
      <c r="I33" s="808" t="n"/>
    </row>
    <row r="34" ht="15" customHeight="1">
      <c r="A34" s="807" t="n"/>
      <c r="I34" s="808" t="n"/>
    </row>
    <row r="35" ht="15" customHeight="1">
      <c r="A35" s="807" t="n"/>
      <c r="I35" s="808" t="n"/>
    </row>
    <row r="36" ht="15" customHeight="1">
      <c r="A36" s="807" t="n"/>
      <c r="I36" s="808" t="n"/>
    </row>
    <row r="37" ht="15" customHeight="1">
      <c r="A37" s="807" t="n"/>
      <c r="I37" s="808" t="n"/>
    </row>
    <row r="38" ht="15" customHeight="1">
      <c r="A38" s="807" t="n"/>
      <c r="I38" s="808" t="n"/>
    </row>
    <row r="39" ht="15" customHeight="1">
      <c r="A39" s="807" t="n"/>
      <c r="I39" s="808" t="n"/>
    </row>
    <row r="40" ht="15" customHeight="1">
      <c r="A40" s="807" t="n"/>
      <c r="I40" s="808" t="n"/>
      <c r="O40" s="87" t="n"/>
    </row>
    <row r="41" ht="15" customHeight="1">
      <c r="A41" s="807" t="n"/>
      <c r="I41" s="808" t="n"/>
      <c r="O41" s="87" t="n"/>
    </row>
    <row r="42" ht="15" customHeight="1">
      <c r="A42" s="807" t="n"/>
      <c r="I42" s="808" t="n"/>
    </row>
    <row r="43" ht="15" customHeight="1">
      <c r="A43" s="807" t="n"/>
      <c r="I43" s="808" t="n"/>
    </row>
    <row r="44" ht="15" customHeight="1">
      <c r="A44" s="820" t="n"/>
      <c r="B44" s="821" t="n"/>
      <c r="C44" s="821" t="n"/>
      <c r="D44" s="821" t="n"/>
      <c r="E44" s="821" t="n"/>
      <c r="F44" s="821" t="n"/>
      <c r="G44" s="821" t="n"/>
      <c r="H44" s="821" t="n"/>
      <c r="I44" s="305" t="n"/>
    </row>
    <row r="45" ht="15" customHeight="1"/>
    <row r="46" ht="15" customHeight="1">
      <c r="A46" s="283" t="inlineStr">
        <is>
          <t>Financial Summary ($M)</t>
        </is>
      </c>
      <c r="B46" s="284" t="n"/>
      <c r="C46" s="284" t="n"/>
      <c r="D46" s="284" t="n"/>
      <c r="E46" s="284" t="n"/>
      <c r="F46" s="284" t="n"/>
      <c r="G46" s="285" t="n"/>
    </row>
    <row r="47" ht="15" customHeight="1">
      <c r="A47" s="97" t="n"/>
      <c r="B47" s="98" t="n"/>
      <c r="C47" s="286" t="n">
        <v>2025</v>
      </c>
      <c r="D47" s="292" t="n">
        <v>2026</v>
      </c>
      <c r="E47" s="287" t="n"/>
      <c r="F47" s="287" t="n"/>
      <c r="G47" s="288" t="n"/>
    </row>
    <row r="48" ht="15" customHeight="1">
      <c r="A48" s="101" t="n"/>
      <c r="B48" s="281" t="n"/>
      <c r="C48" s="311" t="inlineStr">
        <is>
          <t>Dec 31</t>
        </is>
      </c>
      <c r="D48" s="289" t="inlineStr">
        <is>
          <t>Mar 31</t>
        </is>
      </c>
      <c r="E48" s="289" t="inlineStr">
        <is>
          <t>Jun 30</t>
        </is>
      </c>
      <c r="F48" s="289" t="inlineStr">
        <is>
          <t>Sep 30</t>
        </is>
      </c>
      <c r="G48" s="290" t="inlineStr">
        <is>
          <t>Dec 31</t>
        </is>
      </c>
    </row>
    <row r="49" ht="15" customHeight="1">
      <c r="A49" s="116" t="inlineStr">
        <is>
          <t>TTM Revenue</t>
        </is>
      </c>
      <c r="B49" s="93" t="n"/>
      <c r="C49" s="822">
        <f>'Financial Summary'!M12</f>
        <v/>
      </c>
      <c r="D49" s="823">
        <f>'Pro Forma Financials (Q1)'!D13</f>
        <v/>
      </c>
      <c r="E49" s="824">
        <f>'Pro Forma Financials (Q2)'!D13</f>
        <v/>
      </c>
      <c r="F49" s="824" t="n"/>
      <c r="G49" s="825" t="n"/>
    </row>
    <row r="50" ht="15" customHeight="1">
      <c r="A50" s="116" t="inlineStr">
        <is>
          <t>TTM Adjusted EBITDA2</t>
        </is>
      </c>
      <c r="B50" s="93" t="n"/>
      <c r="C50" s="826">
        <f>'Financial Summary'!M54</f>
        <v/>
      </c>
      <c r="D50" s="827">
        <f>'Pro Forma Financials (Q1)'!D38</f>
        <v/>
      </c>
      <c r="E50" s="824">
        <f>'Pro Forma Financials (Q2)'!D38</f>
        <v/>
      </c>
      <c r="F50" s="824" t="n"/>
      <c r="G50" s="825" t="n"/>
    </row>
    <row r="51" ht="15" customHeight="1">
      <c r="A51" s="116" t="inlineStr">
        <is>
          <t>Net Cash/(Debt)</t>
        </is>
      </c>
      <c r="B51" s="93" t="n"/>
      <c r="C51" s="826">
        <f>'Financial Summary'!M59</f>
        <v/>
      </c>
      <c r="D51" s="827">
        <f>'Pro Forma Financials (Q1)'!D46</f>
        <v/>
      </c>
      <c r="E51" s="824">
        <f>'Pro Forma Financials (Q2)'!D46-'Pro Forma Financials (Q2)'!D49</f>
        <v/>
      </c>
      <c r="F51" s="824" t="n"/>
      <c r="G51" s="825" t="n"/>
    </row>
    <row r="52" ht="15" customHeight="1">
      <c r="A52" s="377" t="inlineStr">
        <is>
          <t>1 Fully diluted ownership includes management incentive programs.</t>
        </is>
      </c>
    </row>
    <row r="53" ht="15" customHeight="1">
      <c r="A53" s="691" t="inlineStr">
        <is>
          <t>2 Pro forma for one acquisition, contributing $1.54M Revenue and $0.45M Adjusted EBITDA.</t>
        </is>
      </c>
    </row>
  </sheetData>
  <mergeCells count="5">
    <mergeCell ref="A7:E20"/>
    <mergeCell ref="A53:G53"/>
    <mergeCell ref="H1:I1"/>
    <mergeCell ref="A23:I44"/>
    <mergeCell ref="F16:I16"/>
  </mergeCells>
  <pageMargins left="0.7" right="0.7" top="0.75" bottom="0.75" header="0.3" footer="0.3"/>
  <pageSetup orientation="portrait" scale="6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1"/>
  <sheetViews>
    <sheetView topLeftCell="A1048576" workbookViewId="0">
      <selection activeCell="A1" sqref="A1"/>
    </sheetView>
  </sheetViews>
  <sheetFormatPr baseColWidth="8" defaultRowHeight="15" zeroHeight="1"/>
  <sheetData/>
  <pageMargins left="0.7" right="0.7" top="0.75" bottom="0.75" header="0.3" footer="0.3"/>
  <pageSetup orientation="portrait"/>
</worksheet>
</file>

<file path=xl/worksheets/sheet10.xml><?xml version="1.0" encoding="utf-8"?>
<worksheet xmlns="http://schemas.openxmlformats.org/spreadsheetml/2006/main">
  <sheetPr>
    <tabColor theme="1"/>
    <outlinePr summaryBelow="1" summaryRight="1"/>
    <pageSetUpPr/>
  </sheetPr>
  <dimension ref="B2:X61"/>
  <sheetViews>
    <sheetView showGridLines="0" zoomScale="80" zoomScaleNormal="80" zoomScaleSheetLayoutView="85" workbookViewId="0">
      <selection activeCell="B5" sqref="B5"/>
    </sheetView>
  </sheetViews>
  <sheetFormatPr baseColWidth="8" defaultRowHeight="15"/>
  <cols>
    <col width="2.7109375" customWidth="1" min="1" max="1"/>
    <col width="47.28515625" bestFit="1" customWidth="1" min="2" max="2"/>
    <col width="24.28515625" bestFit="1" customWidth="1" min="3" max="3"/>
    <col width="24.28515625" customWidth="1" min="4" max="4"/>
    <col width="2.7109375" customWidth="1" min="5" max="5"/>
    <col width="12.7109375" customWidth="1" min="6" max="20"/>
    <col width="88" bestFit="1" customWidth="1" min="21" max="21"/>
    <col width="12.5703125" bestFit="1" customWidth="1" min="22" max="22"/>
    <col width="13.42578125" bestFit="1" customWidth="1" min="23" max="23"/>
  </cols>
  <sheetData>
    <row r="2" ht="21" customHeight="1">
      <c r="B2" s="446" t="inlineStr">
        <is>
          <t xml:space="preserve">Opus Water Financials </t>
        </is>
      </c>
      <c r="C2" s="122" t="n"/>
      <c r="D2" s="122" t="n"/>
    </row>
    <row r="3" ht="16.5" customHeight="1" thickBot="1">
      <c r="B3" s="249" t="inlineStr">
        <is>
          <t>Financial Summary</t>
        </is>
      </c>
      <c r="C3" s="123" t="n"/>
      <c r="D3" s="123" t="n"/>
      <c r="E3" s="123" t="n"/>
      <c r="F3" s="123" t="n"/>
      <c r="G3" s="123" t="n"/>
      <c r="H3" s="123" t="n"/>
      <c r="I3" s="123" t="n"/>
      <c r="J3" s="123" t="n"/>
      <c r="K3" s="123" t="n"/>
      <c r="L3" s="123" t="n"/>
      <c r="M3" s="123" t="n"/>
      <c r="N3" s="123" t="n"/>
      <c r="O3" s="123" t="n"/>
      <c r="P3" s="123" t="n"/>
      <c r="Q3" s="123" t="n"/>
      <c r="R3" s="123" t="n"/>
      <c r="S3" s="123" t="n"/>
      <c r="T3" s="123" t="n"/>
    </row>
    <row r="4" ht="15.75" customHeight="1" thickTop="1">
      <c r="B4" s="55">
        <f>'I. Cover Page'!B9</f>
        <v/>
      </c>
      <c r="C4" s="447" t="n"/>
      <c r="D4" s="447" t="n"/>
      <c r="E4" s="447" t="n"/>
      <c r="F4" s="447" t="n"/>
      <c r="G4" s="447" t="n"/>
      <c r="H4" s="447" t="n"/>
      <c r="I4" s="447" t="n"/>
      <c r="J4" s="447" t="n"/>
      <c r="K4" s="447" t="n"/>
      <c r="L4" s="447" t="n"/>
      <c r="M4" s="447" t="n"/>
      <c r="N4" s="447" t="n"/>
      <c r="O4" s="447" t="n"/>
      <c r="P4" s="447" t="n"/>
      <c r="Q4" s="447" t="n"/>
      <c r="R4" s="447" t="n"/>
      <c r="S4" s="447" t="n"/>
      <c r="T4" s="447" t="n"/>
    </row>
    <row r="5" ht="15.75" customHeight="1" thickBot="1">
      <c r="C5" s="380" t="n"/>
      <c r="D5" s="380" t="n"/>
    </row>
    <row r="6">
      <c r="B6" s="448" t="inlineStr">
        <is>
          <t>Financial Information Summary</t>
        </is>
      </c>
      <c r="C6" s="449" t="n"/>
      <c r="D6" s="449" t="n"/>
      <c r="E6" s="450" t="n"/>
      <c r="U6" s="448" t="inlineStr">
        <is>
          <t>Notes</t>
        </is>
      </c>
    </row>
    <row r="7">
      <c r="B7" s="451" t="n"/>
      <c r="C7" s="452" t="n"/>
      <c r="D7" s="452" t="n"/>
      <c r="E7" s="450" t="n"/>
      <c r="G7" s="622" t="n"/>
    </row>
    <row r="8">
      <c r="B8" s="453" t="n"/>
      <c r="C8" s="454" t="inlineStr">
        <is>
          <t>LTM - December 2025</t>
        </is>
      </c>
      <c r="D8" s="454" t="inlineStr">
        <is>
          <t>LTM - March 2026</t>
        </is>
      </c>
      <c r="E8" s="450" t="n"/>
      <c r="F8" s="455" t="n">
        <v>45688</v>
      </c>
      <c r="G8" s="456">
        <f>EOMONTH(F8,1)</f>
        <v/>
      </c>
      <c r="H8" s="456">
        <f>EOMONTH(G8,1)</f>
        <v/>
      </c>
      <c r="I8" s="456">
        <f>EOMONTH(H8,1)</f>
        <v/>
      </c>
      <c r="J8" s="456">
        <f>EOMONTH(I8,1)</f>
        <v/>
      </c>
      <c r="K8" s="456">
        <f>EOMONTH(J8,1)</f>
        <v/>
      </c>
      <c r="L8" s="456">
        <f>EOMONTH(K8,1)</f>
        <v/>
      </c>
      <c r="M8" s="456">
        <f>EOMONTH(L8,1)</f>
        <v/>
      </c>
      <c r="N8" s="456">
        <f>EOMONTH(M8,1)</f>
        <v/>
      </c>
      <c r="O8" s="456">
        <f>EOMONTH(N8,1)</f>
        <v/>
      </c>
      <c r="P8" s="456">
        <f>EOMONTH(O8,1)</f>
        <v/>
      </c>
      <c r="Q8" s="456">
        <f>EOMONTH(P8,1)</f>
        <v/>
      </c>
      <c r="R8" s="456">
        <f>EOMONTH(Q8,1)</f>
        <v/>
      </c>
      <c r="S8" s="456">
        <f>EOMONTH(R8,1)</f>
        <v/>
      </c>
      <c r="T8" s="456">
        <f>EOMONTH(S8,1)</f>
        <v/>
      </c>
    </row>
    <row r="9" ht="15.75" customHeight="1" thickBot="1">
      <c r="B9" s="453" t="n"/>
      <c r="C9" s="457" t="inlineStr">
        <is>
          <t>Jan 1 2025 - Dec 31 2025</t>
        </is>
      </c>
      <c r="D9" s="457" t="inlineStr">
        <is>
          <t>Apr 1 2025 - Mar 31 2026</t>
        </is>
      </c>
      <c r="E9" s="450" t="n"/>
      <c r="F9" s="458">
        <f>MONTH(F8)</f>
        <v/>
      </c>
      <c r="G9" s="458">
        <f>MONTH(G8)</f>
        <v/>
      </c>
      <c r="H9" s="458">
        <f>MONTH(H8)</f>
        <v/>
      </c>
      <c r="I9" s="458">
        <f>MONTH(I8)</f>
        <v/>
      </c>
      <c r="J9" s="458">
        <f>MONTH(J8)</f>
        <v/>
      </c>
      <c r="K9" s="458">
        <f>MONTH(K8)</f>
        <v/>
      </c>
      <c r="L9" s="458">
        <f>MONTH(L8)</f>
        <v/>
      </c>
      <c r="M9" s="458">
        <f>MONTH(M8)</f>
        <v/>
      </c>
      <c r="N9" s="458">
        <f>MONTH(N8)</f>
        <v/>
      </c>
      <c r="O9" s="458">
        <f>MONTH(O8)</f>
        <v/>
      </c>
      <c r="P9" s="458">
        <f>MONTH(P8)</f>
        <v/>
      </c>
      <c r="Q9" s="458">
        <f>MONTH(Q8)</f>
        <v/>
      </c>
      <c r="R9" s="458">
        <f>MONTH(R8)</f>
        <v/>
      </c>
      <c r="S9" s="458">
        <f>MONTH(S8)</f>
        <v/>
      </c>
      <c r="T9" s="458">
        <f>MONTH(T8)</f>
        <v/>
      </c>
    </row>
    <row r="10">
      <c r="B10" s="459" t="inlineStr">
        <is>
          <t>Opus Revenue</t>
        </is>
      </c>
      <c r="C10" s="828">
        <f>SUM(F10:Q10)</f>
        <v/>
      </c>
      <c r="D10" s="828">
        <f>SUM(I10:T10)</f>
        <v/>
      </c>
      <c r="E10" s="450" t="n"/>
      <c r="F10" s="829" t="n">
        <v>519951.33</v>
      </c>
      <c r="G10" s="829" t="n">
        <v>1313013.16</v>
      </c>
      <c r="H10" s="829" t="n">
        <v>2157588.06</v>
      </c>
      <c r="I10" s="829" t="n">
        <v>2083207.86</v>
      </c>
      <c r="J10" s="829" t="n">
        <v>1131620.94</v>
      </c>
      <c r="K10" s="829" t="n">
        <v>1478180.06</v>
      </c>
      <c r="L10" s="829" t="n">
        <v>1758316.49</v>
      </c>
      <c r="M10" s="829" t="n">
        <v>1413457.47</v>
      </c>
      <c r="N10" s="829" t="n">
        <v>1824735.74</v>
      </c>
      <c r="O10" s="829" t="n">
        <v>1621269.49</v>
      </c>
      <c r="P10" s="829" t="n">
        <v>1288214.62</v>
      </c>
      <c r="Q10" s="829" t="n">
        <v>2349656.25</v>
      </c>
      <c r="R10" s="829" t="n">
        <v>890161.2599999999</v>
      </c>
      <c r="S10" s="829" t="n">
        <v>1938842.91</v>
      </c>
      <c r="T10" s="829" t="n">
        <v>1779097.45</v>
      </c>
      <c r="U10" s="829" t="n"/>
      <c r="V10" s="700" t="n"/>
      <c r="W10" s="700" t="n"/>
    </row>
    <row r="11">
      <c r="B11" s="459" t="inlineStr">
        <is>
          <t>RP Adams Revenue</t>
        </is>
      </c>
      <c r="C11" s="828">
        <f>SUM(F11:Q11)</f>
        <v/>
      </c>
      <c r="D11" s="828">
        <f>SUM(I11:T11)</f>
        <v/>
      </c>
      <c r="E11" s="450" t="n"/>
      <c r="F11" s="829" t="n">
        <v>936677.3799999993</v>
      </c>
      <c r="G11" s="829" t="n">
        <v>641032.1499999999</v>
      </c>
      <c r="H11" s="693" t="n"/>
      <c r="I11" s="693" t="n"/>
      <c r="J11" s="693" t="n"/>
      <c r="K11" s="693" t="n"/>
      <c r="L11" s="693" t="n"/>
      <c r="M11" s="693" t="n"/>
      <c r="N11" s="693" t="n"/>
      <c r="O11" s="693" t="n"/>
      <c r="P11" s="693" t="n"/>
      <c r="Q11" s="693" t="n"/>
      <c r="R11" s="693" t="n"/>
      <c r="S11" s="693" t="n"/>
      <c r="T11" s="693" t="n"/>
      <c r="U11" s="829" t="n"/>
      <c r="V11" s="700" t="n"/>
      <c r="W11" s="700" t="n"/>
    </row>
    <row r="12">
      <c r="B12" s="459" t="inlineStr">
        <is>
          <t>Yeary Controls Revenue</t>
        </is>
      </c>
      <c r="C12" s="828">
        <f>SUM(F12:Q12)</f>
        <v/>
      </c>
      <c r="D12" s="828">
        <f>SUM(I12:T12)</f>
        <v/>
      </c>
      <c r="E12" s="450" t="n"/>
      <c r="F12" s="829" t="n">
        <v>91371.25</v>
      </c>
      <c r="G12" s="829" t="n">
        <v>140634.75</v>
      </c>
      <c r="H12" s="829" t="n">
        <v>871204.1</v>
      </c>
      <c r="I12" s="829" t="n">
        <v>122638.2</v>
      </c>
      <c r="J12" s="829" t="n">
        <v>253544</v>
      </c>
      <c r="K12" s="829" t="n">
        <v>522588.58</v>
      </c>
      <c r="L12" s="829" t="n">
        <v>293851.7000000001</v>
      </c>
      <c r="M12" s="829" t="n">
        <v>77550.78000000003</v>
      </c>
      <c r="N12" s="829" t="n">
        <v>210778.38</v>
      </c>
      <c r="O12" s="829" t="n">
        <v>62134</v>
      </c>
      <c r="P12" s="829" t="n"/>
      <c r="Q12" s="829" t="n"/>
      <c r="R12" s="829" t="n"/>
      <c r="S12" s="829" t="n"/>
      <c r="T12" s="829" t="n"/>
      <c r="U12" s="829" t="n"/>
      <c r="V12" s="700" t="n"/>
      <c r="W12" s="700" t="n"/>
    </row>
    <row r="13">
      <c r="B13" s="462" t="inlineStr">
        <is>
          <t>Total Revenue</t>
        </is>
      </c>
      <c r="C13" s="463">
        <f>SUM(C10:C12)</f>
        <v/>
      </c>
      <c r="D13" s="463">
        <f>SUM(D10:D12)</f>
        <v/>
      </c>
      <c r="E13" s="450" t="n"/>
      <c r="F13" s="464">
        <f>SUM(F10:F12)</f>
        <v/>
      </c>
      <c r="G13" s="464">
        <f>SUM(G10:G12)</f>
        <v/>
      </c>
      <c r="H13" s="464">
        <f>SUM(H10:H12)</f>
        <v/>
      </c>
      <c r="I13" s="464">
        <f>SUM(I10:I12)</f>
        <v/>
      </c>
      <c r="J13" s="464">
        <f>SUM(J10:J12)</f>
        <v/>
      </c>
      <c r="K13" s="464">
        <f>SUM(K10:K12)</f>
        <v/>
      </c>
      <c r="L13" s="464">
        <f>SUM(L10:L12)</f>
        <v/>
      </c>
      <c r="M13" s="464">
        <f>SUM(M10:M12)</f>
        <v/>
      </c>
      <c r="N13" s="464">
        <f>SUM(N10:N12)</f>
        <v/>
      </c>
      <c r="O13" s="464">
        <f>SUM(O10:O12)</f>
        <v/>
      </c>
      <c r="P13" s="464">
        <f>SUM(P10:P12)</f>
        <v/>
      </c>
      <c r="Q13" s="464">
        <f>SUM(Q10:Q12)</f>
        <v/>
      </c>
      <c r="R13" s="464">
        <f>SUM(R10:R12)</f>
        <v/>
      </c>
      <c r="S13" s="464">
        <f>SUM(S10:S12)</f>
        <v/>
      </c>
      <c r="T13" s="464">
        <f>SUM(T10:T12)</f>
        <v/>
      </c>
      <c r="V13" s="700" t="n"/>
      <c r="W13" s="700" t="n"/>
    </row>
    <row r="14" ht="6" customFormat="1" customHeight="1" s="469">
      <c r="B14" s="465" t="n"/>
      <c r="C14" s="466" t="n"/>
      <c r="D14" s="466" t="n"/>
      <c r="E14" s="467" t="n"/>
      <c r="F14" s="468" t="n"/>
      <c r="G14" s="468" t="n"/>
      <c r="H14" s="468" t="n"/>
      <c r="I14" s="468" t="n"/>
      <c r="J14" s="468" t="n"/>
      <c r="K14" s="468" t="n"/>
      <c r="L14" s="468" t="n"/>
      <c r="M14" s="468" t="n"/>
      <c r="N14" s="468" t="n"/>
      <c r="O14" s="468" t="n"/>
      <c r="P14" s="468" t="n"/>
      <c r="Q14" s="468" t="n"/>
      <c r="R14" s="468" t="n"/>
      <c r="S14" s="468" t="n"/>
      <c r="T14" s="468" t="n"/>
      <c r="V14" s="830" t="n"/>
      <c r="W14" s="830" t="n"/>
    </row>
    <row r="15">
      <c r="B15" s="459" t="inlineStr">
        <is>
          <t>Opus Gross Profit</t>
        </is>
      </c>
      <c r="C15" s="828">
        <f>SUM(F15:Q15)</f>
        <v/>
      </c>
      <c r="D15" s="828">
        <f>SUM(I15:T15)</f>
        <v/>
      </c>
      <c r="E15" s="450" t="n"/>
      <c r="F15" s="829" t="n">
        <v>205074.94</v>
      </c>
      <c r="G15" s="829" t="n">
        <v>783410.9299999999</v>
      </c>
      <c r="H15" s="829" t="n">
        <v>1284102.39</v>
      </c>
      <c r="I15" s="829" t="n">
        <v>1040699.04</v>
      </c>
      <c r="J15" s="829" t="n">
        <v>499492.4200000002</v>
      </c>
      <c r="K15" s="829" t="n">
        <v>688521.9</v>
      </c>
      <c r="L15" s="829" t="n">
        <v>940795.6900000002</v>
      </c>
      <c r="M15" s="829" t="n">
        <v>758447.05</v>
      </c>
      <c r="N15" s="829" t="n">
        <v>949347.8199999998</v>
      </c>
      <c r="O15" s="829" t="n">
        <v>827343.84</v>
      </c>
      <c r="P15" s="829" t="n">
        <v>640531.1299999998</v>
      </c>
      <c r="Q15" s="829" t="n">
        <v>1510721.71</v>
      </c>
      <c r="R15" s="829" t="n">
        <v>347431.4499999998</v>
      </c>
      <c r="S15" s="829" t="n">
        <v>1182549</v>
      </c>
      <c r="T15" s="829" t="n">
        <v>971176.03</v>
      </c>
      <c r="V15" s="700" t="n"/>
      <c r="W15" s="700" t="n"/>
    </row>
    <row r="16">
      <c r="B16" s="459" t="inlineStr">
        <is>
          <t>RP Adams Gross Profit</t>
        </is>
      </c>
      <c r="C16" s="828">
        <f>SUM(F16:Q16)</f>
        <v/>
      </c>
      <c r="D16" s="828">
        <f>SUM(I16:T16)</f>
        <v/>
      </c>
      <c r="E16" s="450" t="n"/>
      <c r="F16" s="831" t="n">
        <v>674224.6199999995</v>
      </c>
      <c r="G16" s="829" t="n">
        <v>168757.3199999999</v>
      </c>
      <c r="H16" s="829" t="n"/>
      <c r="I16" s="829" t="n"/>
      <c r="J16" s="829" t="n"/>
      <c r="K16" s="829" t="n"/>
      <c r="L16" s="829" t="n"/>
      <c r="M16" s="829" t="n"/>
      <c r="N16" s="829" t="n"/>
      <c r="O16" s="829" t="n"/>
      <c r="P16" s="829" t="n"/>
      <c r="Q16" s="829" t="n"/>
      <c r="R16" s="829" t="n"/>
      <c r="S16" s="829" t="n"/>
      <c r="T16" s="829" t="n"/>
      <c r="V16" s="700" t="n"/>
      <c r="W16" s="700" t="n"/>
    </row>
    <row r="17">
      <c r="B17" s="459" t="inlineStr">
        <is>
          <t>Yeary Controls Gross Profit</t>
        </is>
      </c>
      <c r="C17" s="828">
        <f>SUM(F17:Q17)</f>
        <v/>
      </c>
      <c r="D17" s="828">
        <f>SUM(I17:T17)</f>
        <v/>
      </c>
      <c r="E17" s="450" t="n"/>
      <c r="F17" s="831" t="n">
        <v>53713.33</v>
      </c>
      <c r="G17" s="829" t="n">
        <v>65183.97999999998</v>
      </c>
      <c r="H17" s="829" t="n">
        <v>301565.6699999999</v>
      </c>
      <c r="I17" s="829" t="n">
        <v>62665.00999999999</v>
      </c>
      <c r="J17" s="829" t="n">
        <v>105939.4000000001</v>
      </c>
      <c r="K17" s="829" t="n">
        <v>158529.34</v>
      </c>
      <c r="L17" s="829" t="n">
        <v>141505.1700000001</v>
      </c>
      <c r="M17" s="829" t="n">
        <v>4580.909999999974</v>
      </c>
      <c r="N17" s="829" t="n">
        <v>116530.33</v>
      </c>
      <c r="O17" s="829" t="n">
        <v>32911.5</v>
      </c>
      <c r="P17" s="829" t="n"/>
      <c r="Q17" s="829" t="n"/>
      <c r="R17" s="829" t="n"/>
      <c r="S17" s="829" t="n"/>
      <c r="T17" s="829" t="n"/>
      <c r="V17" s="700" t="n"/>
      <c r="W17" s="700" t="n"/>
    </row>
    <row r="18">
      <c r="B18" s="462" t="inlineStr">
        <is>
          <t>Gross Profit</t>
        </is>
      </c>
      <c r="C18" s="463">
        <f>SUM(C15:C17)</f>
        <v/>
      </c>
      <c r="D18" s="463">
        <f>SUM(D15:D17)</f>
        <v/>
      </c>
      <c r="E18" s="450" t="n"/>
      <c r="F18" s="464">
        <f>SUM(F15:F17)</f>
        <v/>
      </c>
      <c r="G18" s="464">
        <f>SUM(G15:G17)</f>
        <v/>
      </c>
      <c r="H18" s="464">
        <f>SUM(H15:H17)</f>
        <v/>
      </c>
      <c r="I18" s="464">
        <f>SUM(I15:I17)</f>
        <v/>
      </c>
      <c r="J18" s="464">
        <f>SUM(J15:J17)</f>
        <v/>
      </c>
      <c r="K18" s="464">
        <f>SUM(K15:K17)</f>
        <v/>
      </c>
      <c r="L18" s="464">
        <f>SUM(L15:L17)</f>
        <v/>
      </c>
      <c r="M18" s="464">
        <f>SUM(M15:M17)</f>
        <v/>
      </c>
      <c r="N18" s="464">
        <f>SUM(N15:N17)</f>
        <v/>
      </c>
      <c r="O18" s="464">
        <f>SUM(O15:O17)</f>
        <v/>
      </c>
      <c r="P18" s="464">
        <f>SUM(P15:P17)</f>
        <v/>
      </c>
      <c r="Q18" s="464">
        <f>SUM(Q15:Q17)</f>
        <v/>
      </c>
      <c r="R18" s="464">
        <f>SUM(R15:R17)</f>
        <v/>
      </c>
      <c r="S18" s="464">
        <f>SUM(S15:S17)</f>
        <v/>
      </c>
      <c r="T18" s="464">
        <f>SUM(T15:T17)</f>
        <v/>
      </c>
      <c r="V18" s="700" t="n"/>
      <c r="W18" s="700" t="n"/>
    </row>
    <row r="19" customFormat="1" s="469">
      <c r="B19" s="471" t="inlineStr">
        <is>
          <t>% Gross Margin</t>
        </is>
      </c>
      <c r="C19" s="472">
        <f>C18/C13</f>
        <v/>
      </c>
      <c r="D19" s="472">
        <f>D18/D13</f>
        <v/>
      </c>
      <c r="E19" s="467" t="n"/>
      <c r="F19" s="468">
        <f>F18/F13</f>
        <v/>
      </c>
      <c r="G19" s="468">
        <f>G18/G13</f>
        <v/>
      </c>
      <c r="H19" s="468">
        <f>H18/H13</f>
        <v/>
      </c>
      <c r="I19" s="468">
        <f>I18/I13</f>
        <v/>
      </c>
      <c r="J19" s="468">
        <f>J18/J13</f>
        <v/>
      </c>
      <c r="K19" s="468">
        <f>K18/K13</f>
        <v/>
      </c>
      <c r="L19" s="468">
        <f>L18/L13</f>
        <v/>
      </c>
      <c r="M19" s="468">
        <f>M18/M13</f>
        <v/>
      </c>
      <c r="N19" s="468">
        <f>N18/N13</f>
        <v/>
      </c>
      <c r="O19" s="468">
        <f>O18/O13</f>
        <v/>
      </c>
      <c r="P19" s="468">
        <f>P18/P13</f>
        <v/>
      </c>
      <c r="Q19" s="468">
        <f>Q18/Q13</f>
        <v/>
      </c>
      <c r="R19" s="468">
        <f>R18/R13</f>
        <v/>
      </c>
      <c r="S19" s="468">
        <f>S18/S13</f>
        <v/>
      </c>
      <c r="T19" s="468">
        <f>T18/T13</f>
        <v/>
      </c>
      <c r="V19" s="830" t="n"/>
      <c r="W19" s="830" t="n"/>
    </row>
    <row r="20" ht="5.1" customFormat="1" customHeight="1" s="469">
      <c r="B20" s="465" t="n"/>
      <c r="C20" s="466" t="n"/>
      <c r="D20" s="466" t="n"/>
      <c r="E20" s="467" t="n"/>
      <c r="F20" s="468" t="n"/>
      <c r="G20" s="468" t="n"/>
      <c r="H20" s="468" t="n"/>
      <c r="I20" s="468" t="n"/>
      <c r="J20" s="468" t="n"/>
      <c r="K20" s="468" t="n"/>
      <c r="L20" s="468" t="n"/>
      <c r="M20" s="468" t="n"/>
      <c r="N20" s="468" t="n"/>
      <c r="O20" s="468" t="n"/>
      <c r="P20" s="468" t="n"/>
      <c r="Q20" s="468" t="n"/>
      <c r="R20" s="468" t="n"/>
      <c r="S20" s="468" t="n"/>
      <c r="T20" s="468" t="n"/>
      <c r="V20" s="830" t="n"/>
      <c r="W20" s="830" t="n"/>
    </row>
    <row r="21">
      <c r="B21" s="459" t="inlineStr">
        <is>
          <t>Opus Water EBITDA</t>
        </is>
      </c>
      <c r="C21" s="828">
        <f>SUM(F21:Q21)</f>
        <v/>
      </c>
      <c r="D21" s="828">
        <f>SUM(I21:T21)</f>
        <v/>
      </c>
      <c r="E21" s="450" t="n"/>
      <c r="F21" s="829" t="n">
        <v>-40970.90999999997</v>
      </c>
      <c r="G21" s="829" t="n">
        <v>227050.1299999999</v>
      </c>
      <c r="H21" s="829" t="n">
        <v>232486.66</v>
      </c>
      <c r="I21" s="829" t="n">
        <v>166011.2199999996</v>
      </c>
      <c r="J21" s="829" t="n">
        <v>-419184.96</v>
      </c>
      <c r="K21" s="829" t="n">
        <v>-107942.57</v>
      </c>
      <c r="L21" s="829" t="n">
        <v>-376427.0499999999</v>
      </c>
      <c r="M21" s="829" t="n">
        <v>-5735.579999999899</v>
      </c>
      <c r="N21" s="829" t="n">
        <v>43437.91999999979</v>
      </c>
      <c r="O21" s="829" t="n">
        <v>-167551.11</v>
      </c>
      <c r="P21" s="829" t="n">
        <v>-208036.7400000004</v>
      </c>
      <c r="Q21" s="829" t="n">
        <v>334935.7900000002</v>
      </c>
      <c r="R21" s="829" t="n">
        <v>-624505.5200000004</v>
      </c>
      <c r="S21" s="829" t="n">
        <v>234015.5599999996</v>
      </c>
      <c r="T21" s="829" t="n">
        <v>1674.299999999987</v>
      </c>
      <c r="V21" s="700" t="n"/>
      <c r="W21" s="700" t="n"/>
    </row>
    <row r="22">
      <c r="B22" s="459" t="inlineStr">
        <is>
          <t>RP Adams EBITDA</t>
        </is>
      </c>
      <c r="C22" s="828">
        <f>SUM(F22:Q22)</f>
        <v/>
      </c>
      <c r="D22" s="828">
        <f>SUM(I22:T22)</f>
        <v/>
      </c>
      <c r="E22" s="450" t="n"/>
      <c r="F22" s="829" t="n">
        <v>273530.9199999996</v>
      </c>
      <c r="G22" s="829" t="n">
        <v>50497.70999999996</v>
      </c>
      <c r="H22" s="829" t="n"/>
      <c r="I22" s="829" t="n"/>
      <c r="J22" s="829" t="n"/>
      <c r="K22" s="829" t="n"/>
      <c r="L22" s="829" t="n"/>
      <c r="M22" s="829" t="n"/>
      <c r="N22" s="829" t="n"/>
      <c r="O22" s="829" t="n"/>
      <c r="P22" s="829" t="n"/>
      <c r="Q22" s="829" t="n"/>
      <c r="R22" s="829" t="n"/>
      <c r="S22" s="829" t="n"/>
      <c r="T22" s="829" t="n"/>
      <c r="V22" s="829" t="n"/>
      <c r="W22" s="700" t="n"/>
    </row>
    <row r="23">
      <c r="B23" s="459" t="inlineStr">
        <is>
          <t>Yeary Controls EBITDA</t>
        </is>
      </c>
      <c r="C23" s="828">
        <f>SUM(F23:Q23)</f>
        <v/>
      </c>
      <c r="D23" s="828">
        <f>SUM(I23:T23)</f>
        <v/>
      </c>
      <c r="E23" s="450" t="n"/>
      <c r="F23" s="829" t="n">
        <v>8273.510000000009</v>
      </c>
      <c r="G23" s="829" t="n">
        <v>13262.66999999998</v>
      </c>
      <c r="H23" s="829" t="n">
        <v>193513.6299999999</v>
      </c>
      <c r="I23" s="829" t="n">
        <v>16377.53</v>
      </c>
      <c r="J23" s="829" t="n">
        <v>58656.07000000009</v>
      </c>
      <c r="K23" s="829" t="n">
        <v>112282.62</v>
      </c>
      <c r="L23" s="829" t="n">
        <v>92264.19000000015</v>
      </c>
      <c r="M23" s="829" t="n">
        <v>-79211.40000000002</v>
      </c>
      <c r="N23" s="829" t="n">
        <v>66536.39000000004</v>
      </c>
      <c r="O23" s="829" t="n">
        <v>-61523.54</v>
      </c>
      <c r="P23" s="829" t="n"/>
      <c r="Q23" s="829" t="n"/>
      <c r="R23" s="829" t="n"/>
      <c r="S23" s="829" t="n"/>
      <c r="T23" s="829" t="n"/>
      <c r="V23" s="829" t="n"/>
      <c r="W23" s="700" t="n"/>
    </row>
    <row r="24">
      <c r="B24" s="462" t="inlineStr">
        <is>
          <t>EBITDA</t>
        </is>
      </c>
      <c r="C24" s="463">
        <f>SUM(C21:C23)</f>
        <v/>
      </c>
      <c r="D24" s="463">
        <f>SUM(D21:D23)</f>
        <v/>
      </c>
      <c r="E24" s="450" t="n"/>
      <c r="F24" s="464">
        <f>SUM(F21:F23)</f>
        <v/>
      </c>
      <c r="G24" s="464">
        <f>SUM(G21:G23)</f>
        <v/>
      </c>
      <c r="H24" s="464">
        <f>SUM(H21:H23)</f>
        <v/>
      </c>
      <c r="I24" s="464">
        <f>SUM(I21:I23)</f>
        <v/>
      </c>
      <c r="J24" s="464">
        <f>SUM(J21:J23)</f>
        <v/>
      </c>
      <c r="K24" s="464">
        <f>SUM(K21:K23)</f>
        <v/>
      </c>
      <c r="L24" s="464">
        <f>SUM(L21:L23)</f>
        <v/>
      </c>
      <c r="M24" s="464">
        <f>SUM(M21:M23)</f>
        <v/>
      </c>
      <c r="N24" s="464">
        <f>SUM(N21:N23)</f>
        <v/>
      </c>
      <c r="O24" s="464">
        <f>SUM(O21:O23)</f>
        <v/>
      </c>
      <c r="P24" s="464">
        <f>SUM(P21:P23)</f>
        <v/>
      </c>
      <c r="Q24" s="464">
        <f>SUM(Q21:Q23)</f>
        <v/>
      </c>
      <c r="R24" s="464">
        <f>SUM(R21:R23)</f>
        <v/>
      </c>
      <c r="S24" s="464">
        <f>SUM(S21:S23)</f>
        <v/>
      </c>
      <c r="T24" s="464">
        <f>SUM(T21:T23)</f>
        <v/>
      </c>
      <c r="V24" s="700" t="n"/>
      <c r="W24" s="700" t="n"/>
    </row>
    <row r="25" customFormat="1" s="469">
      <c r="B25" s="471" t="inlineStr">
        <is>
          <t>% EBITDA Margin</t>
        </is>
      </c>
      <c r="C25" s="472">
        <f>C24/C13</f>
        <v/>
      </c>
      <c r="D25" s="472">
        <f>D24/D13</f>
        <v/>
      </c>
      <c r="E25" s="467" t="n"/>
      <c r="F25" s="468">
        <f>F24/F13</f>
        <v/>
      </c>
      <c r="G25" s="468">
        <f>G24/G13</f>
        <v/>
      </c>
      <c r="H25" s="468">
        <f>H24/H13</f>
        <v/>
      </c>
      <c r="I25" s="468">
        <f>I24/I13</f>
        <v/>
      </c>
      <c r="J25" s="468">
        <f>J24/J13</f>
        <v/>
      </c>
      <c r="K25" s="468">
        <f>K24/K13</f>
        <v/>
      </c>
      <c r="L25" s="468">
        <f>L24/L13</f>
        <v/>
      </c>
      <c r="M25" s="468">
        <f>M24/M13</f>
        <v/>
      </c>
      <c r="N25" s="468">
        <f>N24/N13</f>
        <v/>
      </c>
      <c r="O25" s="468">
        <f>O24/O13</f>
        <v/>
      </c>
      <c r="P25" s="468">
        <f>P24/P13</f>
        <v/>
      </c>
      <c r="Q25" s="468">
        <f>Q24/Q13</f>
        <v/>
      </c>
      <c r="R25" s="468">
        <f>R24/R13</f>
        <v/>
      </c>
      <c r="S25" s="468">
        <f>S24/S13</f>
        <v/>
      </c>
      <c r="T25" s="468">
        <f>T24/T13</f>
        <v/>
      </c>
      <c r="V25" s="830" t="n"/>
      <c r="W25" s="830" t="n"/>
    </row>
    <row r="26" ht="6" customFormat="1" customHeight="1" s="469">
      <c r="B26" s="465" t="n"/>
      <c r="C26" s="466" t="n"/>
      <c r="D26" s="466" t="n"/>
      <c r="E26" s="467" t="n"/>
      <c r="F26" s="468" t="n"/>
      <c r="G26" s="468" t="n"/>
      <c r="H26" s="468" t="n"/>
      <c r="I26" s="468" t="n"/>
      <c r="J26" s="468" t="n"/>
      <c r="K26" s="468" t="n"/>
      <c r="L26" s="468" t="n"/>
      <c r="M26" s="468" t="n"/>
      <c r="N26" s="468" t="n"/>
      <c r="O26" s="468" t="n"/>
      <c r="P26" s="468" t="n"/>
      <c r="Q26" s="468" t="n"/>
      <c r="R26" s="468" t="n"/>
      <c r="S26" s="468" t="n"/>
      <c r="T26" s="468" t="n"/>
      <c r="V26" s="830" t="n"/>
      <c r="W26" s="830" t="n"/>
    </row>
    <row r="27">
      <c r="B27" s="473" t="inlineStr">
        <is>
          <t>ADJUSTMENT: Consulting</t>
        </is>
      </c>
      <c r="C27" s="828">
        <f>SUM(F27:Q27)</f>
        <v/>
      </c>
      <c r="D27" s="828">
        <f>SUM(I27:T27)</f>
        <v/>
      </c>
      <c r="E27" s="450" t="n"/>
      <c r="F27" s="829" t="n">
        <v>21299.51</v>
      </c>
      <c r="G27" s="829" t="n">
        <v>6825</v>
      </c>
      <c r="H27" s="829" t="n">
        <v>14078</v>
      </c>
      <c r="I27" s="829" t="n">
        <v>26242.39</v>
      </c>
      <c r="J27" s="829" t="n">
        <v>19080</v>
      </c>
      <c r="K27" s="829" t="n">
        <v>8420</v>
      </c>
      <c r="L27" s="829" t="n">
        <v>76584.3</v>
      </c>
      <c r="M27" s="829" t="n">
        <v>59321.73</v>
      </c>
      <c r="N27" s="829" t="n">
        <v>80472</v>
      </c>
      <c r="O27" s="829" t="n">
        <v>51815</v>
      </c>
      <c r="P27" s="829" t="n">
        <v>113108.69</v>
      </c>
      <c r="Q27" s="829" t="n">
        <v>90413.53999999999</v>
      </c>
      <c r="R27" s="829" t="n">
        <v>63406.25</v>
      </c>
      <c r="S27" s="829" t="n">
        <v>80411.25</v>
      </c>
      <c r="T27" s="829" t="n">
        <v>77315.52</v>
      </c>
      <c r="V27" s="700" t="n"/>
      <c r="W27" s="700" t="n"/>
    </row>
    <row r="28">
      <c r="B28" s="473" t="inlineStr">
        <is>
          <t>ADJUSTMENT: Recruiting Costs</t>
        </is>
      </c>
      <c r="C28" s="828">
        <f>SUM(F28:Q28)</f>
        <v/>
      </c>
      <c r="D28" s="828">
        <f>SUM(I28:T28)</f>
        <v/>
      </c>
      <c r="E28" s="450" t="n"/>
      <c r="F28" s="829" t="n">
        <v>0</v>
      </c>
      <c r="G28" s="829" t="n">
        <v>0</v>
      </c>
      <c r="H28" s="829" t="n">
        <v>0</v>
      </c>
      <c r="I28" s="829" t="n">
        <v>0</v>
      </c>
      <c r="J28" s="829" t="n">
        <v>0</v>
      </c>
      <c r="K28" s="829" t="n">
        <v>0</v>
      </c>
      <c r="L28" s="829" t="n">
        <v>0</v>
      </c>
      <c r="M28" s="829" t="n">
        <v>0</v>
      </c>
      <c r="N28" s="829" t="n">
        <v>22481.25</v>
      </c>
      <c r="O28" s="829" t="n">
        <v>22481.25</v>
      </c>
      <c r="P28" s="829" t="n">
        <v>68106.25</v>
      </c>
      <c r="Q28" s="829" t="n">
        <v>16856.25</v>
      </c>
      <c r="R28" s="829" t="n">
        <v>1856.25</v>
      </c>
      <c r="S28" s="829" t="n">
        <v>1856.25</v>
      </c>
      <c r="T28" s="829" t="n">
        <v>19500</v>
      </c>
      <c r="V28" s="700" t="n"/>
      <c r="W28" s="700" t="n"/>
    </row>
    <row r="29">
      <c r="B29" s="473" t="inlineStr">
        <is>
          <t>ADJUSTMENT: Board Fees</t>
        </is>
      </c>
      <c r="C29" s="828">
        <f>SUM(F29:Q29)</f>
        <v/>
      </c>
      <c r="D29" s="828">
        <f>SUM(I29:T29)</f>
        <v/>
      </c>
      <c r="E29" s="450" t="n"/>
      <c r="F29" s="829" t="n">
        <v>0</v>
      </c>
      <c r="G29" s="829" t="n">
        <v>25000</v>
      </c>
      <c r="H29" s="829" t="n">
        <v>0</v>
      </c>
      <c r="I29" s="829" t="n">
        <v>0</v>
      </c>
      <c r="J29" s="829" t="n">
        <v>25184.25</v>
      </c>
      <c r="K29" s="829" t="n">
        <v>2205.34</v>
      </c>
      <c r="L29" s="829" t="n">
        <v>0</v>
      </c>
      <c r="M29" s="829" t="n">
        <v>13880.54</v>
      </c>
      <c r="N29" s="829" t="n">
        <v>0</v>
      </c>
      <c r="O29" s="829" t="n">
        <v>0</v>
      </c>
      <c r="P29" s="829" t="n">
        <v>12500</v>
      </c>
      <c r="Q29" s="829" t="n">
        <v>0</v>
      </c>
      <c r="R29" s="829" t="n">
        <v>0</v>
      </c>
      <c r="S29" s="829" t="n">
        <v>25000</v>
      </c>
      <c r="T29" s="829" t="n">
        <v>0</v>
      </c>
      <c r="V29" s="700" t="n"/>
      <c r="W29" s="700" t="n"/>
      <c r="X29" s="832" t="n"/>
    </row>
    <row r="30">
      <c r="B30" s="473" t="inlineStr">
        <is>
          <t>ADJUSTMENT: IT Integration</t>
        </is>
      </c>
      <c r="C30" s="828">
        <f>SUM(F30:Q30)</f>
        <v/>
      </c>
      <c r="D30" s="828">
        <f>SUM(I30:T30)</f>
        <v/>
      </c>
      <c r="E30" s="450" t="n"/>
      <c r="F30" s="829" t="n">
        <v>0</v>
      </c>
      <c r="G30" s="829" t="n">
        <v>0</v>
      </c>
      <c r="H30" s="829" t="n">
        <v>14344</v>
      </c>
      <c r="I30" s="829" t="n">
        <v>14344</v>
      </c>
      <c r="J30" s="829" t="n">
        <v>14344</v>
      </c>
      <c r="K30" s="829" t="n">
        <v>0</v>
      </c>
      <c r="L30" s="829" t="n">
        <v>126507.79</v>
      </c>
      <c r="M30" s="829" t="n">
        <v>0</v>
      </c>
      <c r="N30" s="829" t="n">
        <v>0</v>
      </c>
      <c r="O30" s="829" t="n">
        <v>5700</v>
      </c>
      <c r="P30" s="829" t="n">
        <v>0</v>
      </c>
      <c r="Q30" s="829" t="n">
        <v>0</v>
      </c>
      <c r="R30" s="829" t="n">
        <v>15543.5</v>
      </c>
      <c r="S30" s="829" t="n">
        <v>7204.17</v>
      </c>
      <c r="T30" s="829" t="n">
        <v>8942.370000000001</v>
      </c>
      <c r="V30" s="700" t="n"/>
      <c r="W30" s="700" t="n"/>
    </row>
    <row r="31" ht="15" customFormat="1" customHeight="1" s="469">
      <c r="B31" s="473" t="inlineStr">
        <is>
          <t>ADJUSTMENT: M&amp;A</t>
        </is>
      </c>
      <c r="C31" s="828">
        <f>SUM(F31:Q31)</f>
        <v/>
      </c>
      <c r="D31" s="828">
        <f>SUM(I31:T31)</f>
        <v/>
      </c>
      <c r="E31" s="467" t="n"/>
      <c r="F31" s="829" t="n">
        <v>-141284.86</v>
      </c>
      <c r="G31" s="829" t="n">
        <v>-26791.66</v>
      </c>
      <c r="H31" s="829" t="n">
        <v>149319.43</v>
      </c>
      <c r="I31" s="829" t="n">
        <v>8363.940000000001</v>
      </c>
      <c r="J31" s="829" t="n">
        <v>99666.86</v>
      </c>
      <c r="K31" s="829" t="n">
        <v>18875.42</v>
      </c>
      <c r="L31" s="829" t="n">
        <v>143182.95</v>
      </c>
      <c r="M31" s="829" t="n">
        <v>-24985.22</v>
      </c>
      <c r="N31" s="829" t="n">
        <v>4926.06</v>
      </c>
      <c r="O31" s="829" t="n">
        <v>2679.17</v>
      </c>
      <c r="P31" s="829" t="n">
        <v>10715.99</v>
      </c>
      <c r="Q31" s="829" t="n">
        <v>168544.19</v>
      </c>
      <c r="R31" s="829" t="n">
        <v>2957.82</v>
      </c>
      <c r="S31" s="829" t="n">
        <v>7123.339999999997</v>
      </c>
      <c r="T31" s="829" t="n">
        <v>2747.17</v>
      </c>
      <c r="U31" s="356" t="n">
        <v>1000</v>
      </c>
      <c r="V31" s="830" t="n"/>
      <c r="W31" s="830" t="n"/>
    </row>
    <row r="32" ht="15" customFormat="1" customHeight="1" s="469">
      <c r="B32" s="473" t="inlineStr">
        <is>
          <t>ADJUSTMENT: Excess Temporary Labor</t>
        </is>
      </c>
      <c r="C32" s="828">
        <f>SUM(F32:Q32)</f>
        <v/>
      </c>
      <c r="D32" s="828">
        <f>SUM(I32:T32)</f>
        <v/>
      </c>
      <c r="E32" s="467" t="n"/>
      <c r="F32" s="829" t="n">
        <v>23331.43</v>
      </c>
      <c r="G32" s="829" t="n">
        <v>43629.89</v>
      </c>
      <c r="H32" s="829" t="n">
        <v>38041.49</v>
      </c>
      <c r="I32" s="829" t="n">
        <v>50090.88</v>
      </c>
      <c r="J32" s="829" t="n">
        <v>66297.7</v>
      </c>
      <c r="K32" s="829" t="n">
        <v>45571.46</v>
      </c>
      <c r="L32" s="829" t="n">
        <v>139565.49</v>
      </c>
      <c r="M32" s="829" t="n">
        <v>100000.52</v>
      </c>
      <c r="N32" s="829" t="n">
        <v>75882.97</v>
      </c>
      <c r="O32" s="829" t="n">
        <v>112881.65</v>
      </c>
      <c r="P32" s="829" t="n">
        <v>76812.89000000001</v>
      </c>
      <c r="Q32" s="829" t="n">
        <v>73013.30999999998</v>
      </c>
      <c r="R32" s="829" t="n">
        <v>58784.32</v>
      </c>
      <c r="S32" s="829" t="n">
        <v>45166.42</v>
      </c>
      <c r="T32" s="829" t="n">
        <v>46457.60000000001</v>
      </c>
      <c r="V32" s="830" t="n"/>
      <c r="W32" s="830" t="n"/>
    </row>
    <row r="33" ht="15" customFormat="1" customHeight="1" s="469">
      <c r="B33" s="473" t="inlineStr">
        <is>
          <t>ADJUSTMENT: Setup Expenses</t>
        </is>
      </c>
      <c r="C33" s="828">
        <f>SUM(F33:Q33)</f>
        <v/>
      </c>
      <c r="D33" s="828">
        <f>SUM(I33:T33)</f>
        <v/>
      </c>
      <c r="E33" s="467" t="n"/>
      <c r="F33" s="829" t="n">
        <v>528</v>
      </c>
      <c r="G33" s="829" t="n">
        <v>0</v>
      </c>
      <c r="H33" s="829" t="n">
        <v>0</v>
      </c>
      <c r="I33" s="829" t="n">
        <v>0</v>
      </c>
      <c r="J33" s="829" t="n">
        <v>0</v>
      </c>
      <c r="K33" s="829" t="n">
        <v>0</v>
      </c>
      <c r="L33" s="829" t="n">
        <v>0</v>
      </c>
      <c r="M33" s="829" t="n">
        <v>-528</v>
      </c>
      <c r="N33" s="829" t="n">
        <v>0</v>
      </c>
      <c r="O33" s="829" t="n">
        <v>0</v>
      </c>
      <c r="P33" s="829" t="n">
        <v>0</v>
      </c>
      <c r="Q33" s="829" t="n">
        <v>0</v>
      </c>
      <c r="R33" s="829" t="n">
        <v>0</v>
      </c>
      <c r="S33" s="829" t="n">
        <v>0</v>
      </c>
      <c r="T33" s="829" t="n">
        <v>0</v>
      </c>
      <c r="V33" s="830" t="n"/>
      <c r="W33" s="830" t="n"/>
    </row>
    <row r="34" ht="15" customFormat="1" customHeight="1" s="469">
      <c r="B34" s="473" t="inlineStr">
        <is>
          <t>ADJUSTMENT: Other</t>
        </is>
      </c>
      <c r="C34" s="828">
        <f>SUM(F34:Q34)</f>
        <v/>
      </c>
      <c r="D34" s="828">
        <f>SUM(I34:T34)</f>
        <v/>
      </c>
      <c r="E34" s="467" t="n"/>
      <c r="F34" s="829" t="n">
        <v>2819.47</v>
      </c>
      <c r="G34" s="829" t="n">
        <v>0</v>
      </c>
      <c r="H34" s="829" t="n">
        <v>4447.32</v>
      </c>
      <c r="I34" s="829" t="n">
        <v>17072.6</v>
      </c>
      <c r="J34" s="829" t="n">
        <v>5546.84</v>
      </c>
      <c r="K34" s="829" t="n">
        <v>43398.18</v>
      </c>
      <c r="L34" s="829" t="n">
        <v>127233.28</v>
      </c>
      <c r="M34" s="829" t="n">
        <v>1980</v>
      </c>
      <c r="N34" s="829" t="n">
        <v>55734.21</v>
      </c>
      <c r="O34" s="829" t="n">
        <v>7254.6</v>
      </c>
      <c r="P34" s="829" t="n">
        <v>422.25</v>
      </c>
      <c r="Q34" s="829" t="n">
        <v>-168162.86</v>
      </c>
      <c r="R34" s="829" t="n">
        <v>5385.830000000002</v>
      </c>
      <c r="S34" s="829" t="n">
        <v>24465.7</v>
      </c>
      <c r="T34" s="829" t="n">
        <v>611.7900000000009</v>
      </c>
      <c r="V34" s="830" t="n"/>
      <c r="W34" s="830" t="n"/>
    </row>
    <row r="35" ht="15" customFormat="1" customHeight="1" s="469">
      <c r="B35" s="538" t="inlineStr">
        <is>
          <t>ADJUSTMENT: Cental Office Administration Expense Removal</t>
        </is>
      </c>
      <c r="C35" s="828">
        <f>SUM(F35:Q35)</f>
        <v/>
      </c>
      <c r="D35" s="828">
        <f>SUM(I35:T35)</f>
        <v/>
      </c>
      <c r="E35" s="467" t="n"/>
      <c r="F35" s="829" t="n">
        <v>34500</v>
      </c>
      <c r="G35" s="829" t="n"/>
      <c r="H35" s="829" t="n"/>
      <c r="I35" s="829" t="n"/>
      <c r="J35" s="829" t="n"/>
      <c r="K35" s="829" t="n"/>
      <c r="L35" s="829" t="n"/>
      <c r="M35" s="829" t="n"/>
      <c r="N35" s="829" t="n"/>
      <c r="O35" s="829" t="n"/>
      <c r="P35" s="829" t="n"/>
      <c r="Q35" s="829" t="n"/>
      <c r="R35" s="829" t="n"/>
      <c r="S35" s="829" t="n"/>
      <c r="T35" s="829" t="n"/>
      <c r="V35" s="830" t="n"/>
      <c r="W35" s="830" t="n"/>
    </row>
    <row r="36" ht="15" customFormat="1" customHeight="1" s="469">
      <c r="B36" s="538" t="inlineStr">
        <is>
          <t>ADJUSTMENT: Yeary Controls Normalized Adjustments</t>
        </is>
      </c>
      <c r="C36" s="828">
        <f>SUM(F36:Q36)</f>
        <v/>
      </c>
      <c r="D36" s="828">
        <f>SUM(I36:T36)</f>
        <v/>
      </c>
      <c r="E36" s="467" t="n"/>
      <c r="F36" s="829" t="n">
        <v>30261.14061604585</v>
      </c>
      <c r="G36" s="829" t="n">
        <v>38124.41184377942</v>
      </c>
      <c r="H36" s="829" t="n">
        <v>29800.02163941286</v>
      </c>
      <c r="I36" s="829" t="n">
        <v>30086.04831870632</v>
      </c>
      <c r="J36" s="829" t="n">
        <v>29576.94381219409</v>
      </c>
      <c r="K36" s="829" t="n">
        <v>30251.79245709022</v>
      </c>
      <c r="L36" s="829" t="n">
        <v>31036.84369370091</v>
      </c>
      <c r="M36" s="829" t="n">
        <v>35539.38570311358</v>
      </c>
      <c r="N36" s="829" t="n">
        <v>32397.735</v>
      </c>
      <c r="O36" s="829" t="n">
        <v>60253.94</v>
      </c>
      <c r="P36" s="829" t="n"/>
      <c r="Q36" s="829" t="n"/>
      <c r="R36" s="829" t="n"/>
      <c r="S36" s="829" t="n"/>
      <c r="T36" s="829" t="n"/>
      <c r="V36" s="830" t="n"/>
      <c r="W36" s="830" t="n"/>
    </row>
    <row r="37" ht="15" customFormat="1" customHeight="1" s="469">
      <c r="B37" s="538" t="n"/>
      <c r="C37" s="828" t="n"/>
      <c r="D37" s="828" t="n"/>
      <c r="E37" s="467" t="n"/>
      <c r="F37" s="833" t="n"/>
      <c r="G37" s="833" t="n"/>
      <c r="H37" s="833" t="n"/>
      <c r="I37" s="833" t="n"/>
      <c r="J37" s="833" t="n"/>
      <c r="K37" s="833" t="n"/>
      <c r="L37" s="833" t="n"/>
      <c r="M37" s="833" t="n"/>
      <c r="N37" s="833" t="n"/>
      <c r="O37" s="833" t="n"/>
      <c r="P37" s="833" t="n"/>
      <c r="Q37" s="833" t="n"/>
      <c r="R37" s="833" t="n"/>
      <c r="S37" s="833" t="n"/>
      <c r="T37" s="833" t="n"/>
      <c r="V37" s="830" t="n"/>
      <c r="W37" s="830" t="n"/>
    </row>
    <row r="38">
      <c r="B38" s="462" t="inlineStr">
        <is>
          <t>Adjusted EBITDA</t>
        </is>
      </c>
      <c r="C38" s="834">
        <f>SUM(C27:C36)+C24</f>
        <v/>
      </c>
      <c r="D38" s="834">
        <f>SUM(D27:D36)+D24</f>
        <v/>
      </c>
      <c r="E38" s="450" t="n"/>
      <c r="F38" s="835">
        <f>SUM(F27:F36)+F24</f>
        <v/>
      </c>
      <c r="G38" s="835">
        <f>SUM(G27:G36)+G24</f>
        <v/>
      </c>
      <c r="H38" s="835">
        <f>SUM(H27:H36)+H24</f>
        <v/>
      </c>
      <c r="I38" s="835">
        <f>SUM(I27:I36)+I24</f>
        <v/>
      </c>
      <c r="J38" s="835">
        <f>SUM(J27:J36)+J24</f>
        <v/>
      </c>
      <c r="K38" s="835">
        <f>SUM(K27:K36)+K24</f>
        <v/>
      </c>
      <c r="L38" s="835">
        <f>SUM(L27:L36)+L24</f>
        <v/>
      </c>
      <c r="M38" s="835">
        <f>SUM(M27:M36)+M24</f>
        <v/>
      </c>
      <c r="N38" s="835">
        <f>SUM(N27:N36)+N24</f>
        <v/>
      </c>
      <c r="O38" s="835">
        <f>SUM(O27:O36)+O24</f>
        <v/>
      </c>
      <c r="P38" s="835">
        <f>SUM(P27:P36)+P24</f>
        <v/>
      </c>
      <c r="Q38" s="835">
        <f>SUM(Q27:Q36)+Q24</f>
        <v/>
      </c>
      <c r="R38" s="835">
        <f>SUM(R27:R36)+R24</f>
        <v/>
      </c>
      <c r="S38" s="835">
        <f>SUM(S27:S36)+S24</f>
        <v/>
      </c>
      <c r="T38" s="835">
        <f>SUM(T27:T36)+T24</f>
        <v/>
      </c>
      <c r="V38" s="700" t="n"/>
      <c r="W38" s="700" t="n"/>
    </row>
    <row r="39" customFormat="1" s="469">
      <c r="B39" s="471" t="inlineStr">
        <is>
          <t>% Adjusted EBITDA Margin</t>
        </is>
      </c>
      <c r="C39" s="472">
        <f>C38/C$13</f>
        <v/>
      </c>
      <c r="D39" s="472">
        <f>D38/D$13</f>
        <v/>
      </c>
      <c r="E39" s="467" t="n"/>
      <c r="F39" s="468">
        <f>F38/F$13</f>
        <v/>
      </c>
      <c r="G39" s="468">
        <f>G38/G$13</f>
        <v/>
      </c>
      <c r="H39" s="468">
        <f>H38/H$13</f>
        <v/>
      </c>
      <c r="I39" s="468">
        <f>I38/I$13</f>
        <v/>
      </c>
      <c r="J39" s="468">
        <f>J38/J$13</f>
        <v/>
      </c>
      <c r="K39" s="468">
        <f>K38/K$13</f>
        <v/>
      </c>
      <c r="L39" s="468">
        <f>L38/L$13</f>
        <v/>
      </c>
      <c r="M39" s="468">
        <f>M38/M$13</f>
        <v/>
      </c>
      <c r="N39" s="468">
        <f>N38/N$13</f>
        <v/>
      </c>
      <c r="O39" s="468">
        <f>O38/O$13</f>
        <v/>
      </c>
      <c r="P39" s="468">
        <f>P38/P$13</f>
        <v/>
      </c>
      <c r="Q39" s="468">
        <f>Q38/Q$13</f>
        <v/>
      </c>
      <c r="R39" s="468">
        <f>R38/R$13</f>
        <v/>
      </c>
      <c r="S39" s="468">
        <f>S38/S$13</f>
        <v/>
      </c>
      <c r="T39" s="468">
        <f>T38/T$13</f>
        <v/>
      </c>
      <c r="V39" s="830" t="n"/>
      <c r="W39" s="830" t="n"/>
    </row>
    <row r="40" ht="6" customFormat="1" customHeight="1" s="469">
      <c r="B40" s="465" t="n"/>
      <c r="C40" s="466" t="n"/>
      <c r="D40" s="466" t="n"/>
      <c r="E40" s="467" t="n"/>
      <c r="F40" s="468" t="n"/>
      <c r="G40" s="468" t="n"/>
      <c r="H40" s="468" t="n"/>
      <c r="I40" s="468" t="n"/>
      <c r="J40" s="468" t="n"/>
      <c r="K40" s="468" t="n"/>
      <c r="L40" s="468" t="n"/>
      <c r="M40" s="468" t="n"/>
      <c r="N40" s="468" t="n"/>
      <c r="O40" s="468" t="n"/>
      <c r="P40" s="468" t="n"/>
      <c r="Q40" s="468" t="n"/>
      <c r="R40" s="468" t="n"/>
      <c r="S40" s="468" t="n"/>
      <c r="T40" s="468" t="n"/>
      <c r="V40" s="830" t="n"/>
      <c r="W40" s="830" t="n"/>
    </row>
    <row r="41" ht="15" customFormat="1" customHeight="1" s="469">
      <c r="B41" s="473" t="inlineStr">
        <is>
          <t>ADJUSTMENT: Platform Adjustments</t>
        </is>
      </c>
      <c r="C41" s="828">
        <f>SUM(F41:Q41)</f>
        <v/>
      </c>
      <c r="D41" s="828">
        <f>SUM(I41:T41)</f>
        <v/>
      </c>
      <c r="E41" s="467" t="n"/>
      <c r="F41" s="833" t="n">
        <v>53036.48</v>
      </c>
      <c r="G41" s="833" t="n">
        <v>50668.77</v>
      </c>
      <c r="H41" s="833" t="n">
        <v>92200.04000000002</v>
      </c>
      <c r="I41" s="833" t="n">
        <v>54296.38</v>
      </c>
      <c r="J41" s="833" t="n">
        <v>88569.44</v>
      </c>
      <c r="K41" s="833" t="n">
        <v>61413.46</v>
      </c>
      <c r="L41" s="833" t="n">
        <v>54814.8</v>
      </c>
      <c r="M41" s="833" t="n">
        <v>52844.09</v>
      </c>
      <c r="N41" s="833" t="n">
        <v>80900.92000000001</v>
      </c>
      <c r="O41" s="833" t="n">
        <v>96291.52999999998</v>
      </c>
      <c r="P41" s="833" t="n">
        <v>61544.94000000002</v>
      </c>
      <c r="Q41" s="833" t="n">
        <v>64620.73000000001</v>
      </c>
      <c r="R41" s="829" t="n">
        <v>0</v>
      </c>
      <c r="S41" s="829" t="n">
        <v>0</v>
      </c>
      <c r="T41" s="829" t="n">
        <v>0</v>
      </c>
      <c r="V41" s="830" t="n"/>
      <c r="W41" s="830" t="n"/>
    </row>
    <row r="42">
      <c r="B42" s="462" t="inlineStr">
        <is>
          <t>Operating Adjusted EBITDA</t>
        </is>
      </c>
      <c r="C42" s="834">
        <f>C38+SUM(C41:C41)</f>
        <v/>
      </c>
      <c r="D42" s="836">
        <f>D38+SUM(D41:D41)</f>
        <v/>
      </c>
      <c r="E42" s="450" t="n"/>
      <c r="F42" s="835">
        <f>F38+SUM(F41:F41)</f>
        <v/>
      </c>
      <c r="G42" s="835">
        <f>G38+SUM(G41:G41)</f>
        <v/>
      </c>
      <c r="H42" s="835">
        <f>H38+SUM(H41:H41)</f>
        <v/>
      </c>
      <c r="I42" s="835">
        <f>I38+SUM(I41:I41)</f>
        <v/>
      </c>
      <c r="J42" s="835">
        <f>J38+SUM(J41:J41)</f>
        <v/>
      </c>
      <c r="K42" s="835">
        <f>K38+SUM(K41:K41)</f>
        <v/>
      </c>
      <c r="L42" s="835">
        <f>L38+SUM(L41:L41)</f>
        <v/>
      </c>
      <c r="M42" s="835">
        <f>M38+SUM(M41:M41)</f>
        <v/>
      </c>
      <c r="N42" s="835">
        <f>N38+SUM(N41:N41)</f>
        <v/>
      </c>
      <c r="O42" s="835">
        <f>O38+SUM(O41:O41)</f>
        <v/>
      </c>
      <c r="P42" s="835">
        <f>P38+SUM(P41:P41)</f>
        <v/>
      </c>
      <c r="Q42" s="835">
        <f>Q38+SUM(Q41:Q41)</f>
        <v/>
      </c>
      <c r="R42" s="835">
        <f>R38+SUM(R41:R41)</f>
        <v/>
      </c>
      <c r="S42" s="835">
        <f>S38+SUM(S41:S41)</f>
        <v/>
      </c>
      <c r="T42" s="835">
        <f>T38+SUM(T41:T41)</f>
        <v/>
      </c>
      <c r="V42" s="700" t="n"/>
      <c r="W42" s="700" t="n"/>
    </row>
    <row r="43" customFormat="1" s="469">
      <c r="B43" s="471" t="inlineStr">
        <is>
          <t>% Operating Adjusted EBITDA Margin</t>
        </is>
      </c>
      <c r="C43" s="472">
        <f>C42/C$13</f>
        <v/>
      </c>
      <c r="D43" s="472">
        <f>D42/D$13</f>
        <v/>
      </c>
      <c r="E43" s="467" t="n"/>
      <c r="F43" s="468">
        <f>F42/F$13</f>
        <v/>
      </c>
      <c r="G43" s="468">
        <f>G42/G$13</f>
        <v/>
      </c>
      <c r="H43" s="468">
        <f>H42/H$13</f>
        <v/>
      </c>
      <c r="I43" s="468">
        <f>I42/I$13</f>
        <v/>
      </c>
      <c r="J43" s="468">
        <f>J42/J$13</f>
        <v/>
      </c>
      <c r="K43" s="468">
        <f>K42/K$13</f>
        <v/>
      </c>
      <c r="L43" s="468">
        <f>L42/L$13</f>
        <v/>
      </c>
      <c r="M43" s="468">
        <f>M42/M$13</f>
        <v/>
      </c>
      <c r="N43" s="468">
        <f>N42/N$13</f>
        <v/>
      </c>
      <c r="O43" s="468">
        <f>O42/O$13</f>
        <v/>
      </c>
      <c r="P43" s="468">
        <f>P42/P$13</f>
        <v/>
      </c>
      <c r="Q43" s="468">
        <f>Q42/Q$13</f>
        <v/>
      </c>
      <c r="R43" s="468">
        <f>R42/R$13</f>
        <v/>
      </c>
      <c r="S43" s="468">
        <f>S42/S$13</f>
        <v/>
      </c>
      <c r="T43" s="468">
        <f>T42/T$13</f>
        <v/>
      </c>
      <c r="V43" s="830" t="n"/>
      <c r="W43" s="830" t="n"/>
    </row>
    <row r="44" ht="5.1" customHeight="1">
      <c r="B44" s="477" t="n"/>
      <c r="C44" s="837" t="n"/>
      <c r="D44" s="837" t="n"/>
      <c r="E44" s="450" t="n"/>
      <c r="F44" s="838" t="n"/>
      <c r="G44" s="838" t="n"/>
      <c r="H44" s="838" t="n"/>
      <c r="I44" s="838" t="n"/>
      <c r="J44" s="838" t="n"/>
      <c r="K44" s="838" t="n"/>
      <c r="L44" s="838" t="n"/>
      <c r="M44" s="838" t="n"/>
      <c r="N44" s="838" t="n"/>
      <c r="O44" s="838" t="n"/>
      <c r="P44" s="838" t="n"/>
      <c r="Q44" s="838" t="n"/>
      <c r="R44" s="838" t="n"/>
      <c r="S44" s="838" t="n"/>
      <c r="T44" s="838" t="n"/>
      <c r="V44" s="700" t="n"/>
      <c r="W44" s="700" t="n"/>
    </row>
    <row r="45" ht="15" customHeight="1">
      <c r="B45" s="459" t="inlineStr">
        <is>
          <t>Opus Cash</t>
        </is>
      </c>
      <c r="C45" s="828">
        <f>Q46</f>
        <v/>
      </c>
      <c r="D45" s="828">
        <f>T45</f>
        <v/>
      </c>
      <c r="E45" s="450" t="n"/>
      <c r="F45" s="839" t="n"/>
      <c r="G45" s="839" t="n"/>
      <c r="H45" s="829" t="n">
        <v>136466.6</v>
      </c>
      <c r="I45" s="829" t="n"/>
      <c r="J45" s="829" t="n"/>
      <c r="K45" s="829" t="n">
        <v>1154703.33</v>
      </c>
      <c r="L45" s="829" t="n"/>
      <c r="M45" s="829" t="n"/>
      <c r="N45" s="829" t="n">
        <v>715146.4700000001</v>
      </c>
      <c r="O45" s="829" t="n"/>
      <c r="P45" s="829" t="n"/>
      <c r="Q45" s="829" t="n">
        <v>1375758.66</v>
      </c>
      <c r="R45" s="829" t="n"/>
      <c r="S45" s="829" t="n"/>
      <c r="T45" s="829" t="n">
        <v>422159.65</v>
      </c>
      <c r="V45" s="700" t="n"/>
      <c r="W45" s="700" t="n"/>
    </row>
    <row r="46" ht="15" customHeight="1">
      <c r="B46" s="462" t="inlineStr">
        <is>
          <t>Cash</t>
        </is>
      </c>
      <c r="C46" s="834">
        <f>SUM(C45:C45)</f>
        <v/>
      </c>
      <c r="D46" s="834">
        <f>SUM(D45:D45)</f>
        <v/>
      </c>
      <c r="E46" s="450" t="n"/>
      <c r="F46" s="840">
        <f>SUM(F45:F45)</f>
        <v/>
      </c>
      <c r="G46" s="840">
        <f>SUM(G45:G45)</f>
        <v/>
      </c>
      <c r="H46" s="840">
        <f>SUM(H45:H45)</f>
        <v/>
      </c>
      <c r="I46" s="840">
        <f>SUM(I45:I45)</f>
        <v/>
      </c>
      <c r="J46" s="840">
        <f>SUM(J45:J45)</f>
        <v/>
      </c>
      <c r="K46" s="840">
        <f>SUM(K45:K45)</f>
        <v/>
      </c>
      <c r="L46" s="840">
        <f>SUM(L45:L45)</f>
        <v/>
      </c>
      <c r="M46" s="840">
        <f>SUM(M45:M45)</f>
        <v/>
      </c>
      <c r="N46" s="840">
        <f>SUM(N45:N45)</f>
        <v/>
      </c>
      <c r="O46" s="840">
        <f>SUM(O45:O45)</f>
        <v/>
      </c>
      <c r="P46" s="840">
        <f>SUM(P45:P45)</f>
        <v/>
      </c>
      <c r="Q46" s="840">
        <f>SUM(Q45:Q45)</f>
        <v/>
      </c>
      <c r="R46" s="840">
        <f>SUM(R45:R45)</f>
        <v/>
      </c>
      <c r="S46" s="840">
        <f>SUM(S45:S45)</f>
        <v/>
      </c>
      <c r="T46" s="840">
        <f>SUM(T45:T45)</f>
        <v/>
      </c>
      <c r="V46" s="700" t="n"/>
      <c r="W46" s="700" t="n"/>
    </row>
    <row r="47" ht="5.1" customFormat="1" customHeight="1" s="469">
      <c r="B47" s="465" t="n"/>
      <c r="C47" s="466" t="n"/>
      <c r="D47" s="466" t="n"/>
      <c r="E47" s="467" t="n"/>
      <c r="F47" s="468" t="n"/>
      <c r="G47" s="468" t="n"/>
      <c r="H47" s="468" t="n"/>
      <c r="I47" s="468" t="n"/>
      <c r="J47" s="468" t="n"/>
      <c r="K47" s="468" t="n"/>
      <c r="L47" s="468" t="n"/>
      <c r="M47" s="468" t="n"/>
      <c r="N47" s="468" t="n"/>
      <c r="O47" s="468" t="n"/>
      <c r="P47" s="468" t="n"/>
      <c r="Q47" s="468" t="n"/>
      <c r="R47" s="468" t="n"/>
      <c r="S47" s="468" t="n"/>
      <c r="T47" s="468" t="n"/>
      <c r="V47" s="830" t="n"/>
      <c r="W47" s="830" t="n"/>
    </row>
    <row r="48" ht="15" customHeight="1">
      <c r="B48" s="459" t="inlineStr">
        <is>
          <t>Opus Debt</t>
        </is>
      </c>
      <c r="C48" s="828">
        <f>K48</f>
        <v/>
      </c>
      <c r="D48" s="828">
        <f>T48</f>
        <v/>
      </c>
      <c r="E48" s="450" t="n"/>
      <c r="F48" s="480" t="n"/>
      <c r="G48" s="480" t="n"/>
      <c r="H48" s="480" t="n"/>
      <c r="I48" s="480" t="n"/>
      <c r="J48" s="480" t="n"/>
      <c r="K48" s="480" t="n"/>
      <c r="L48" s="480" t="n"/>
      <c r="M48" s="480" t="n"/>
      <c r="N48" s="480" t="n"/>
      <c r="O48" s="480" t="n"/>
      <c r="P48" s="480" t="n"/>
      <c r="Q48" s="480" t="n"/>
      <c r="R48" s="480" t="n"/>
      <c r="S48" s="480" t="n"/>
      <c r="T48" s="480" t="n"/>
      <c r="V48" s="700" t="n"/>
      <c r="W48" s="700" t="n"/>
    </row>
    <row r="49" ht="15" customHeight="1" thickBot="1">
      <c r="B49" s="483" t="inlineStr">
        <is>
          <t>Debt</t>
        </is>
      </c>
      <c r="C49" s="841">
        <f>SUM(C48:C48)</f>
        <v/>
      </c>
      <c r="D49" s="841">
        <f>SUM(D48:D48)</f>
        <v/>
      </c>
      <c r="E49" s="450" t="n"/>
      <c r="F49" s="840">
        <f>SUM(F48:F48)</f>
        <v/>
      </c>
      <c r="G49" s="840">
        <f>SUM(G48:G48)</f>
        <v/>
      </c>
      <c r="H49" s="840">
        <f>SUM(H48:H48)</f>
        <v/>
      </c>
      <c r="I49" s="840">
        <f>SUM(I48:I48)</f>
        <v/>
      </c>
      <c r="J49" s="840">
        <f>SUM(J48:J48)</f>
        <v/>
      </c>
      <c r="K49" s="840">
        <f>SUM(K48:K48)</f>
        <v/>
      </c>
      <c r="L49" s="840">
        <f>SUM(L48:L48)</f>
        <v/>
      </c>
      <c r="M49" s="840">
        <f>SUM(M48:M48)</f>
        <v/>
      </c>
      <c r="N49" s="840">
        <f>SUM(N48:N48)</f>
        <v/>
      </c>
      <c r="O49" s="840">
        <f>SUM(O48:O48)</f>
        <v/>
      </c>
      <c r="P49" s="840">
        <f>SUM(P48:P48)</f>
        <v/>
      </c>
      <c r="Q49" s="840">
        <f>SUM(Q48:Q48)</f>
        <v/>
      </c>
      <c r="R49" s="840">
        <f>SUM(R48:R48)</f>
        <v/>
      </c>
      <c r="S49" s="840">
        <f>SUM(S48:S48)</f>
        <v/>
      </c>
      <c r="T49" s="840">
        <f>SUM(T48:T48)</f>
        <v/>
      </c>
      <c r="V49" s="700" t="n"/>
      <c r="W49" s="700" t="n"/>
    </row>
    <row r="50">
      <c r="B50" s="39" t="n"/>
    </row>
    <row r="51">
      <c r="B51" s="44" t="n"/>
      <c r="F51" s="700">
        <f>SUM(R38:T38)</f>
        <v/>
      </c>
      <c r="G51" s="700" t="n"/>
      <c r="H51" s="659" t="n"/>
    </row>
    <row r="52">
      <c r="C52" s="315" t="n"/>
      <c r="D52" s="315" t="n"/>
      <c r="F52" s="700">
        <f>SUM(F38:H38)</f>
        <v/>
      </c>
      <c r="G52" s="700" t="n"/>
      <c r="H52" s="659" t="n"/>
    </row>
    <row r="53">
      <c r="G53" s="700" t="n"/>
      <c r="H53" s="659" t="n"/>
    </row>
    <row r="54">
      <c r="F54" s="700">
        <f>F51-F52</f>
        <v/>
      </c>
      <c r="G54" s="700" t="n"/>
    </row>
    <row r="55">
      <c r="D55" s="664" t="inlineStr">
        <is>
          <t>Check</t>
        </is>
      </c>
      <c r="F55">
        <f>F54='III. Valuation Summary'!I10</f>
        <v/>
      </c>
    </row>
    <row r="57">
      <c r="G57" s="700" t="n"/>
    </row>
    <row r="58">
      <c r="G58" s="700" t="n"/>
    </row>
    <row r="60">
      <c r="B60" s="549" t="n"/>
    </row>
    <row r="61">
      <c r="B61" s="700" t="n"/>
    </row>
  </sheetData>
  <conditionalFormatting sqref="B35:B37">
    <cfRule type="duplicateValues" priority="103" dxfId="0"/>
  </conditionalFormatting>
  <pageMargins left="0.7" right="0.7" top="0.75" bottom="0.75" header="0.3" footer="0.3"/>
  <pageSetup orientation="portrait" scale="39" horizontalDpi="4294967295" verticalDpi="429496729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W102"/>
  <sheetViews>
    <sheetView showGridLines="0" view="pageBreakPreview" zoomScale="90" zoomScaleNormal="100" zoomScaleSheetLayoutView="90" workbookViewId="0">
      <selection activeCell="A1" sqref="A1"/>
    </sheetView>
  </sheetViews>
  <sheetFormatPr baseColWidth="8" defaultColWidth="9.140625" defaultRowHeight="10.5" outlineLevelRow="2"/>
  <cols>
    <col width="26.7109375" bestFit="1" customWidth="1" style="553" min="1" max="1"/>
    <col width="13.140625" customWidth="1" style="554" min="2" max="2"/>
    <col width="22.85546875" customWidth="1" style="554" min="3" max="3"/>
    <col width="3" customWidth="1" style="554" min="4" max="4"/>
    <col width="11" customWidth="1" style="554" min="5" max="16"/>
    <col width="11.5703125" bestFit="1" customWidth="1" style="554" min="17" max="17"/>
    <col width="9.140625" customWidth="1" style="554" min="18" max="22"/>
    <col width="11.42578125" bestFit="1" customWidth="1" style="554" min="23" max="23"/>
    <col width="9.140625" customWidth="1" style="554" min="24" max="16384"/>
  </cols>
  <sheetData>
    <row r="1" ht="5.1" customHeight="1">
      <c r="E1" s="555" t="n"/>
    </row>
    <row r="2" ht="5.1" customHeight="1">
      <c r="E2" s="555" t="n"/>
    </row>
    <row r="3" ht="12" customHeight="1">
      <c r="B3" s="556" t="inlineStr">
        <is>
          <t>XPV Portfolio Company Adjustments to EBITDA</t>
        </is>
      </c>
      <c r="C3" s="557" t="n"/>
      <c r="D3" s="557" t="n"/>
      <c r="E3" s="558" t="n"/>
      <c r="F3" s="557" t="n"/>
      <c r="G3" s="557" t="n"/>
      <c r="H3" s="557" t="n"/>
      <c r="I3" s="557" t="n"/>
      <c r="J3" s="557" t="n"/>
      <c r="K3" s="557" t="n"/>
      <c r="L3" s="557" t="n"/>
      <c r="M3" s="557" t="n"/>
      <c r="N3" s="557" t="n"/>
      <c r="O3" s="557" t="n"/>
      <c r="P3" s="557" t="n"/>
    </row>
    <row r="4">
      <c r="B4" s="559" t="inlineStr">
        <is>
          <t>Opus Water</t>
        </is>
      </c>
      <c r="E4" s="555" t="n"/>
    </row>
    <row r="5" ht="12" customHeight="1">
      <c r="B5" s="560" t="n"/>
      <c r="D5" s="561" t="n"/>
      <c r="E5" s="562" t="inlineStr">
        <is>
          <t>Q1</t>
        </is>
      </c>
      <c r="F5" s="562" t="inlineStr">
        <is>
          <t>Q1</t>
        </is>
      </c>
      <c r="G5" s="562" t="inlineStr">
        <is>
          <t>Q1</t>
        </is>
      </c>
      <c r="H5" s="562" t="inlineStr">
        <is>
          <t>Q2</t>
        </is>
      </c>
      <c r="I5" s="562" t="inlineStr">
        <is>
          <t>Q2</t>
        </is>
      </c>
      <c r="J5" s="562" t="inlineStr">
        <is>
          <t>Q2</t>
        </is>
      </c>
      <c r="K5" s="562" t="inlineStr">
        <is>
          <t>Q3</t>
        </is>
      </c>
      <c r="L5" s="562" t="inlineStr">
        <is>
          <t>Q3</t>
        </is>
      </c>
      <c r="M5" s="562" t="inlineStr">
        <is>
          <t>Q3</t>
        </is>
      </c>
      <c r="N5" s="562" t="inlineStr">
        <is>
          <t>Q4</t>
        </is>
      </c>
      <c r="O5" s="562" t="inlineStr">
        <is>
          <t>Q4</t>
        </is>
      </c>
      <c r="P5" s="562" t="inlineStr">
        <is>
          <t>Q4</t>
        </is>
      </c>
    </row>
    <row r="6" ht="5.1" customHeight="1">
      <c r="D6" s="561" t="n"/>
    </row>
    <row r="7">
      <c r="D7" s="561" t="n"/>
      <c r="E7" s="842" t="n">
        <v>46053</v>
      </c>
      <c r="F7" s="843">
        <f>EOMONTH(E7,1)</f>
        <v/>
      </c>
      <c r="G7" s="844">
        <f>EOMONTH(F7,1)</f>
        <v/>
      </c>
      <c r="H7" s="844">
        <f>EOMONTH(G7,1)</f>
        <v/>
      </c>
      <c r="I7" s="844">
        <f>EOMONTH(H7,1)</f>
        <v/>
      </c>
      <c r="J7" s="844">
        <f>EOMONTH(I7,1)</f>
        <v/>
      </c>
      <c r="K7" s="844">
        <f>EOMONTH(J7,1)</f>
        <v/>
      </c>
      <c r="L7" s="844">
        <f>EOMONTH(K7,1)</f>
        <v/>
      </c>
      <c r="M7" s="844">
        <f>EOMONTH(L7,1)</f>
        <v/>
      </c>
      <c r="N7" s="844">
        <f>EOMONTH(M7,1)</f>
        <v/>
      </c>
      <c r="O7" s="844">
        <f>EOMONTH(N7,1)</f>
        <v/>
      </c>
      <c r="P7" s="844">
        <f>EOMONTH(O7,1)</f>
        <v/>
      </c>
    </row>
    <row r="8">
      <c r="B8" s="554" t="inlineStr">
        <is>
          <t>Opus Water</t>
        </is>
      </c>
      <c r="D8" s="561" t="n"/>
      <c r="E8" s="845">
        <f>'Pro Forma Financials (Q1)'!R21</f>
        <v/>
      </c>
      <c r="F8" s="845">
        <f>'Pro Forma Financials (Q1)'!S21</f>
        <v/>
      </c>
      <c r="G8" s="845">
        <f>'Pro Forma Financials (Q1)'!T21</f>
        <v/>
      </c>
      <c r="H8" s="845" t="n"/>
      <c r="I8" s="845" t="n"/>
      <c r="J8" s="845" t="n"/>
      <c r="K8" s="845" t="n"/>
      <c r="L8" s="845" t="n"/>
      <c r="M8" s="845" t="n"/>
      <c r="N8" s="845" t="n"/>
      <c r="O8" s="845" t="n"/>
      <c r="P8" s="845" t="n"/>
    </row>
    <row r="9">
      <c r="D9" s="561" t="n"/>
      <c r="E9" s="845">
        <f>'Pro Forma Financials (Q1)'!R22</f>
        <v/>
      </c>
      <c r="F9" s="845">
        <f>'Pro Forma Financials (Q1)'!S22</f>
        <v/>
      </c>
      <c r="G9" s="845">
        <f>'Pro Forma Financials (Q1)'!T22</f>
        <v/>
      </c>
      <c r="H9" s="845" t="n"/>
      <c r="I9" s="845" t="n"/>
      <c r="J9" s="845" t="n"/>
      <c r="K9" s="845" t="n"/>
      <c r="L9" s="845" t="n"/>
      <c r="M9" s="845" t="n"/>
      <c r="N9" s="845" t="n"/>
      <c r="O9" s="845" t="n"/>
      <c r="P9" s="845" t="n"/>
    </row>
    <row r="10">
      <c r="D10" s="561" t="n"/>
      <c r="E10" s="845">
        <f>'Pro Forma Financials (Q1)'!R23</f>
        <v/>
      </c>
      <c r="F10" s="845">
        <f>'Pro Forma Financials (Q1)'!S23</f>
        <v/>
      </c>
      <c r="G10" s="845">
        <f>'Pro Forma Financials (Q1)'!T23</f>
        <v/>
      </c>
      <c r="H10" s="845" t="n"/>
      <c r="I10" s="845" t="n"/>
      <c r="J10" s="845" t="n"/>
      <c r="K10" s="845" t="n"/>
      <c r="L10" s="845" t="n"/>
      <c r="M10" s="845" t="n"/>
      <c r="N10" s="845" t="n"/>
      <c r="O10" s="845" t="n"/>
      <c r="P10" s="845" t="n"/>
    </row>
    <row r="11">
      <c r="B11" s="567" t="inlineStr">
        <is>
          <t>PF EBITDA</t>
        </is>
      </c>
      <c r="C11" s="568" t="n"/>
      <c r="D11" s="569" t="n"/>
      <c r="E11" s="846">
        <f>SUM(E8:E10)</f>
        <v/>
      </c>
      <c r="F11" s="847">
        <f>SUM(F8:F10)</f>
        <v/>
      </c>
      <c r="G11" s="847">
        <f>SUM(G8:G10)</f>
        <v/>
      </c>
      <c r="H11" s="847">
        <f>SUM(H8:H10)</f>
        <v/>
      </c>
      <c r="I11" s="847">
        <f>SUM(I8:I10)</f>
        <v/>
      </c>
      <c r="J11" s="847">
        <f>SUM(J8:J10)</f>
        <v/>
      </c>
      <c r="K11" s="847">
        <f>SUM(K8:K10)</f>
        <v/>
      </c>
      <c r="L11" s="847">
        <f>SUM(L8:L10)</f>
        <v/>
      </c>
      <c r="M11" s="847">
        <f>SUM(M8:M10)</f>
        <v/>
      </c>
      <c r="N11" s="847">
        <f>SUM(N8:N10)</f>
        <v/>
      </c>
      <c r="O11" s="847">
        <f>SUM(O8:O10)</f>
        <v/>
      </c>
      <c r="P11" s="847">
        <f>SUM(P8:P10)</f>
        <v/>
      </c>
    </row>
    <row r="12">
      <c r="E12" s="555" t="n"/>
    </row>
    <row r="13">
      <c r="B13" s="572" t="inlineStr">
        <is>
          <t>Category 1: Recruitment</t>
        </is>
      </c>
      <c r="C13" s="557" t="n"/>
      <c r="D13" s="557" t="n"/>
      <c r="E13" s="558" t="n"/>
      <c r="F13" s="557" t="n"/>
      <c r="G13" s="557" t="n"/>
      <c r="H13" s="557" t="n"/>
      <c r="I13" s="557" t="n"/>
      <c r="J13" s="557" t="n"/>
      <c r="K13" s="557" t="n"/>
      <c r="L13" s="557" t="n"/>
      <c r="M13" s="557" t="n"/>
      <c r="N13" s="557" t="n"/>
      <c r="O13" s="557" t="n"/>
      <c r="P13" s="557" t="n"/>
    </row>
    <row r="14" ht="3" customHeight="1">
      <c r="B14" s="573" t="n"/>
      <c r="E14" s="555" t="n"/>
    </row>
    <row r="15" outlineLevel="1">
      <c r="B15" s="574" t="inlineStr">
        <is>
          <t>Total One-Time Recruitment Expenses</t>
        </is>
      </c>
      <c r="E15" s="848" t="n"/>
      <c r="F15" s="849" t="n"/>
      <c r="G15" s="849" t="n"/>
      <c r="H15" s="849" t="n"/>
      <c r="I15" s="849" t="n"/>
      <c r="J15" s="849" t="n"/>
      <c r="K15" s="849" t="n"/>
      <c r="L15" s="849" t="n"/>
      <c r="M15" s="849" t="n"/>
      <c r="N15" s="849" t="n"/>
      <c r="O15" s="849" t="n"/>
      <c r="P15" s="849" t="n"/>
    </row>
    <row r="16" outlineLevel="1">
      <c r="A16" s="553" t="inlineStr">
        <is>
          <t>ADJUSTMENT: RM Executive Search</t>
        </is>
      </c>
      <c r="C16" s="577" t="inlineStr">
        <is>
          <t>Recruiting Costs</t>
        </is>
      </c>
      <c r="D16" s="578" t="n"/>
      <c r="E16" s="850" t="n">
        <v>1856.25</v>
      </c>
      <c r="F16" s="851" t="n">
        <v>1856.25</v>
      </c>
      <c r="G16" s="851" t="n">
        <v>19500</v>
      </c>
      <c r="H16" s="852" t="n"/>
      <c r="I16" s="853" t="n"/>
      <c r="J16" s="852" t="n"/>
      <c r="K16" s="852" t="n"/>
      <c r="L16" s="852" t="n"/>
      <c r="M16" s="851" t="n"/>
      <c r="N16" s="851" t="n"/>
      <c r="O16" s="851" t="n"/>
      <c r="P16" s="851" t="n"/>
      <c r="Q16" s="582" t="n"/>
    </row>
    <row r="17" outlineLevel="1">
      <c r="C17" s="577" t="n"/>
      <c r="D17" s="578" t="n"/>
      <c r="E17" s="854" t="n"/>
      <c r="F17" s="852" t="n"/>
      <c r="G17" s="853" t="n"/>
      <c r="H17" s="853" t="n"/>
      <c r="I17" s="853" t="n"/>
      <c r="J17" s="853" t="n"/>
      <c r="K17" s="853" t="n"/>
      <c r="L17" s="853" t="n"/>
      <c r="M17" s="853" t="n"/>
      <c r="N17" s="853" t="n"/>
      <c r="O17" s="853" t="n"/>
      <c r="P17" s="853" t="n"/>
    </row>
    <row r="18" outlineLevel="1">
      <c r="C18" s="577" t="n"/>
      <c r="D18" s="578" t="n"/>
      <c r="E18" s="855" t="n"/>
      <c r="F18" s="853" t="n"/>
      <c r="G18" s="853" t="n"/>
      <c r="H18" s="853" t="n"/>
      <c r="I18" s="853" t="n"/>
      <c r="J18" s="853" t="n"/>
      <c r="K18" s="853" t="n"/>
      <c r="L18" s="853" t="n"/>
      <c r="M18" s="853" t="n"/>
      <c r="N18" s="853" t="n"/>
      <c r="O18" s="853" t="n"/>
      <c r="P18" s="853" t="n"/>
    </row>
    <row r="19" outlineLevel="1">
      <c r="C19" s="577" t="n"/>
      <c r="D19" s="578" t="n"/>
      <c r="E19" s="856" t="n"/>
      <c r="F19" s="853" t="n"/>
      <c r="G19" s="853" t="n"/>
      <c r="H19" s="853" t="n"/>
      <c r="I19" s="853" t="n"/>
      <c r="J19" s="853" t="n"/>
      <c r="K19" s="853" t="n"/>
      <c r="L19" s="853" t="n"/>
      <c r="M19" s="853" t="n"/>
      <c r="N19" s="853" t="n"/>
      <c r="O19" s="853" t="n"/>
      <c r="P19" s="853" t="n"/>
    </row>
    <row r="20" customFormat="1" s="573">
      <c r="A20" s="585" t="n"/>
      <c r="B20" s="573" t="inlineStr">
        <is>
          <t>Recruitment Expenses</t>
        </is>
      </c>
      <c r="C20" s="586" t="n"/>
      <c r="E20" s="857">
        <f>IF(E15&gt;0,E15,SUM(E16:E19))</f>
        <v/>
      </c>
      <c r="F20" s="858">
        <f>IF(F15&gt;0,F15,SUM(F16:F19))</f>
        <v/>
      </c>
      <c r="G20" s="858">
        <f>IF(G15&gt;0,G15,SUM(G16:G19))</f>
        <v/>
      </c>
      <c r="H20" s="858">
        <f>IF(H15&gt;0,H15,SUM(H16:H19))</f>
        <v/>
      </c>
      <c r="I20" s="858">
        <f>IF(I15&gt;0,I15,SUM(I16:I19))</f>
        <v/>
      </c>
      <c r="J20" s="858">
        <f>IF(J15&gt;0,J15,SUM(J16:J19))</f>
        <v/>
      </c>
      <c r="K20" s="858">
        <f>IF(K15&gt;0,K15,SUM(K16:K19))</f>
        <v/>
      </c>
      <c r="L20" s="858">
        <f>IF(L15&gt;0,L15,SUM(L16:L19))</f>
        <v/>
      </c>
      <c r="M20" s="858">
        <f>IF(M15&gt;0,M15,SUM(M16:M19))</f>
        <v/>
      </c>
      <c r="N20" s="858">
        <f>IF(N15&gt;0,N15,SUM(N16:N19))</f>
        <v/>
      </c>
      <c r="O20" s="858">
        <f>IF(O15&gt;0,O15,SUM(O16:O19))</f>
        <v/>
      </c>
      <c r="P20" s="858">
        <f>IF(P15&gt;0,P15,SUM(P16:P19))</f>
        <v/>
      </c>
      <c r="Q20" s="859" t="n"/>
    </row>
    <row r="21">
      <c r="C21" s="590" t="n"/>
      <c r="E21" s="860" t="n"/>
      <c r="F21" s="861" t="n"/>
      <c r="G21" s="861" t="n"/>
      <c r="H21" s="861" t="n"/>
      <c r="I21" s="861" t="n"/>
      <c r="J21" s="861" t="n"/>
      <c r="K21" s="861" t="n"/>
      <c r="L21" s="861" t="n"/>
      <c r="M21" s="861" t="n"/>
      <c r="N21" s="861" t="n"/>
      <c r="O21" s="861" t="n"/>
      <c r="P21" s="861" t="n"/>
    </row>
    <row r="22">
      <c r="B22" s="572" t="inlineStr">
        <is>
          <t>Category 2: XPV Related</t>
        </is>
      </c>
      <c r="C22" s="593" t="n"/>
      <c r="D22" s="557" t="n"/>
      <c r="E22" s="862" t="n"/>
      <c r="F22" s="863" t="n"/>
      <c r="G22" s="863" t="n"/>
      <c r="H22" s="863" t="n"/>
      <c r="I22" s="863" t="n"/>
      <c r="J22" s="863" t="n"/>
      <c r="K22" s="863" t="n"/>
      <c r="L22" s="863" t="n"/>
      <c r="M22" s="863" t="n"/>
      <c r="N22" s="863" t="n"/>
      <c r="O22" s="863" t="n"/>
      <c r="P22" s="863" t="n"/>
    </row>
    <row r="23" ht="3" customHeight="1">
      <c r="B23" s="573" t="n"/>
      <c r="C23" s="590" t="n"/>
      <c r="E23" s="860" t="n"/>
      <c r="F23" s="861" t="n"/>
      <c r="G23" s="861" t="n"/>
      <c r="H23" s="861" t="n"/>
      <c r="I23" s="861" t="n"/>
      <c r="J23" s="861" t="n"/>
      <c r="K23" s="861" t="n"/>
      <c r="L23" s="861" t="n"/>
      <c r="M23" s="861" t="n"/>
      <c r="N23" s="861" t="n"/>
      <c r="O23" s="861" t="n"/>
      <c r="P23" s="861" t="n"/>
    </row>
    <row r="24" outlineLevel="1">
      <c r="B24" s="574" t="inlineStr">
        <is>
          <t>Total XPV Expenses</t>
        </is>
      </c>
      <c r="C24" s="590" t="n"/>
      <c r="E24" s="848" t="n"/>
      <c r="F24" s="849" t="n"/>
      <c r="G24" s="849" t="n"/>
      <c r="H24" s="849" t="n"/>
      <c r="I24" s="849" t="n"/>
      <c r="J24" s="849" t="n"/>
      <c r="K24" s="849" t="n"/>
      <c r="L24" s="849" t="n"/>
      <c r="M24" s="849" t="n"/>
      <c r="N24" s="849" t="n"/>
      <c r="O24" s="849" t="n"/>
      <c r="P24" s="849" t="n"/>
    </row>
    <row r="25" outlineLevel="1">
      <c r="A25" s="553" t="inlineStr">
        <is>
          <t>ADJUSTMENT: Petra Coach</t>
        </is>
      </c>
      <c r="C25" s="577" t="inlineStr">
        <is>
          <t>Petra Coach</t>
        </is>
      </c>
      <c r="E25" s="856" t="n"/>
      <c r="F25" s="864" t="n"/>
      <c r="G25" s="864" t="n"/>
      <c r="H25" s="864" t="n"/>
      <c r="I25" s="864" t="n"/>
      <c r="J25" s="864" t="n"/>
      <c r="K25" s="864" t="n"/>
      <c r="L25" s="864" t="n"/>
      <c r="M25" s="864" t="n"/>
      <c r="N25" s="864" t="n"/>
      <c r="O25" s="864" t="n"/>
      <c r="P25" s="864" t="n"/>
    </row>
    <row r="26" outlineLevel="1">
      <c r="A26" s="553" t="inlineStr">
        <is>
          <t>ADJUSTMENT: Board Fees</t>
        </is>
      </c>
      <c r="C26" s="577" t="inlineStr">
        <is>
          <t>Board Fees</t>
        </is>
      </c>
      <c r="E26" s="856" t="n">
        <v>0</v>
      </c>
      <c r="F26" s="851" t="n">
        <v>25000</v>
      </c>
      <c r="G26" s="865" t="n"/>
      <c r="H26" s="865" t="n"/>
      <c r="I26" s="853" t="n"/>
      <c r="J26" s="853" t="n"/>
      <c r="K26" s="853" t="n"/>
      <c r="L26" s="853" t="n"/>
      <c r="M26" s="853" t="n"/>
      <c r="N26" s="853" t="n"/>
      <c r="O26" s="853" t="n"/>
      <c r="P26" s="853" t="n"/>
    </row>
    <row r="27" outlineLevel="1">
      <c r="A27" s="553" t="inlineStr">
        <is>
          <t>ADJUSTMENT: Officers Compensation</t>
        </is>
      </c>
      <c r="C27" s="577" t="inlineStr">
        <is>
          <t>Officers Compensation</t>
        </is>
      </c>
      <c r="E27" s="856" t="n"/>
      <c r="F27" s="864" t="n"/>
      <c r="G27" s="864" t="n"/>
      <c r="H27" s="864" t="n"/>
      <c r="I27" s="864" t="n"/>
      <c r="J27" s="864" t="n"/>
      <c r="K27" s="864" t="n"/>
      <c r="L27" s="864" t="n"/>
      <c r="M27" s="864" t="n"/>
      <c r="N27" s="853" t="n"/>
      <c r="O27" s="853" t="n"/>
      <c r="P27" s="853" t="n"/>
    </row>
    <row r="28" outlineLevel="1">
      <c r="C28" s="577" t="n"/>
      <c r="E28" s="856" t="n"/>
      <c r="F28" s="853" t="n"/>
      <c r="G28" s="853" t="n"/>
      <c r="H28" s="853" t="n"/>
      <c r="I28" s="853" t="n"/>
      <c r="J28" s="853" t="n"/>
      <c r="K28" s="853" t="n"/>
      <c r="L28" s="853" t="n"/>
      <c r="M28" s="853" t="n"/>
      <c r="N28" s="853" t="n"/>
      <c r="O28" s="853" t="n"/>
      <c r="P28" s="853" t="n"/>
    </row>
    <row r="29" customFormat="1" s="573">
      <c r="A29" s="585" t="n"/>
      <c r="B29" s="573" t="inlineStr">
        <is>
          <t>XPV Related Expenses</t>
        </is>
      </c>
      <c r="C29" s="586" t="n"/>
      <c r="E29" s="857">
        <f>IF(E24&gt;0,E24,SUM(E25:E28))</f>
        <v/>
      </c>
      <c r="F29" s="858">
        <f>IF(F24&gt;0,F24,SUM(F25:F28))</f>
        <v/>
      </c>
      <c r="G29" s="858">
        <f>IF(G24&gt;0,G24,SUM(G25:G28))</f>
        <v/>
      </c>
      <c r="H29" s="858">
        <f>IF(H24&gt;0,H24,SUM(H25:H28))</f>
        <v/>
      </c>
      <c r="I29" s="858">
        <f>IF(I24&gt;0,I24,SUM(I25:I28))</f>
        <v/>
      </c>
      <c r="J29" s="858">
        <f>IF(J24&gt;0,J24,SUM(J25:J28))</f>
        <v/>
      </c>
      <c r="K29" s="858">
        <f>IF(K24&gt;0,K24,SUM(K25:K28))</f>
        <v/>
      </c>
      <c r="L29" s="858">
        <f>IF(L24&gt;0,L24,SUM(L25:L28))</f>
        <v/>
      </c>
      <c r="M29" s="858">
        <f>IF(M24&gt;0,M24,SUM(M25:M28))</f>
        <v/>
      </c>
      <c r="N29" s="858">
        <f>IF(N24&gt;0,N24,SUM(N25:N28))</f>
        <v/>
      </c>
      <c r="O29" s="858">
        <f>IF(O24&gt;0,O24,SUM(O25:O28))</f>
        <v/>
      </c>
      <c r="P29" s="858">
        <f>IF(P24&gt;0,P24,SUM(P25:P28))</f>
        <v/>
      </c>
      <c r="Q29" s="859" t="n"/>
    </row>
    <row r="30">
      <c r="C30" s="590" t="n"/>
      <c r="E30" s="860" t="n"/>
      <c r="F30" s="861" t="n"/>
      <c r="G30" s="861" t="n"/>
      <c r="H30" s="861" t="n"/>
      <c r="I30" s="861" t="n"/>
      <c r="J30" s="861" t="n"/>
      <c r="K30" s="861" t="n"/>
      <c r="L30" s="861" t="n"/>
      <c r="M30" s="861" t="n"/>
      <c r="N30" s="861" t="n"/>
      <c r="O30" s="861" t="n"/>
      <c r="P30" s="861" t="n"/>
    </row>
    <row r="31">
      <c r="B31" s="572" t="inlineStr">
        <is>
          <t>Category 3: Financing Related</t>
        </is>
      </c>
      <c r="C31" s="593" t="n"/>
      <c r="D31" s="557" t="n"/>
      <c r="E31" s="862" t="n"/>
      <c r="F31" s="863" t="n"/>
      <c r="G31" s="863" t="n"/>
      <c r="H31" s="863" t="n"/>
      <c r="I31" s="863" t="n"/>
      <c r="J31" s="863" t="n"/>
      <c r="K31" s="863" t="n"/>
      <c r="L31" s="863" t="n"/>
      <c r="M31" s="863" t="n"/>
      <c r="N31" s="863" t="n"/>
      <c r="O31" s="863" t="n"/>
      <c r="P31" s="863" t="n"/>
    </row>
    <row r="32" ht="3" customHeight="1">
      <c r="B32" s="573" t="n"/>
      <c r="C32" s="590" t="n"/>
      <c r="E32" s="860" t="n"/>
      <c r="F32" s="861" t="n"/>
      <c r="G32" s="861" t="n"/>
      <c r="H32" s="861" t="n"/>
      <c r="I32" s="861" t="n"/>
      <c r="J32" s="861" t="n"/>
      <c r="K32" s="861" t="n"/>
      <c r="L32" s="861" t="n"/>
      <c r="M32" s="861" t="n"/>
      <c r="N32" s="861" t="n"/>
      <c r="O32" s="861" t="n"/>
      <c r="P32" s="861" t="n"/>
    </row>
    <row r="33" outlineLevel="1">
      <c r="B33" s="574" t="inlineStr">
        <is>
          <t>Total One-Time Financing Expenses</t>
        </is>
      </c>
      <c r="C33" s="590" t="n"/>
      <c r="E33" s="848" t="n"/>
      <c r="F33" s="849" t="n"/>
      <c r="G33" s="849" t="n"/>
      <c r="H33" s="849" t="n"/>
      <c r="I33" s="849" t="n"/>
      <c r="J33" s="849" t="n"/>
      <c r="K33" s="849" t="n"/>
      <c r="L33" s="849" t="n"/>
      <c r="M33" s="849" t="n"/>
      <c r="N33" s="849" t="n"/>
      <c r="O33" s="849" t="n"/>
      <c r="P33" s="849" t="n"/>
    </row>
    <row r="34" outlineLevel="1">
      <c r="C34" s="577" t="n"/>
      <c r="E34" s="866" t="n"/>
      <c r="F34" s="852" t="n"/>
      <c r="G34" s="864" t="n"/>
      <c r="H34" s="864" t="n"/>
      <c r="I34" s="864" t="n"/>
      <c r="J34" s="864" t="n"/>
      <c r="K34" s="864" t="n"/>
      <c r="L34" s="864" t="n"/>
      <c r="M34" s="864" t="n"/>
      <c r="N34" s="864" t="n"/>
      <c r="O34" s="864" t="n"/>
      <c r="P34" s="864" t="n"/>
    </row>
    <row r="35" outlineLevel="2">
      <c r="C35" s="577" t="n"/>
      <c r="E35" s="867" t="n"/>
      <c r="F35" s="852" t="n"/>
      <c r="G35" s="853" t="n"/>
      <c r="H35" s="853" t="n"/>
      <c r="I35" s="853" t="n"/>
      <c r="J35" s="853" t="n"/>
      <c r="K35" s="853" t="n"/>
      <c r="L35" s="853" t="n"/>
      <c r="M35" s="853" t="n"/>
      <c r="N35" s="853" t="n"/>
      <c r="O35" s="853" t="n"/>
      <c r="P35" s="853" t="n"/>
    </row>
    <row r="36" customFormat="1" s="573">
      <c r="A36" s="585" t="n"/>
      <c r="B36" s="573" t="inlineStr">
        <is>
          <t>Financing Related Expenses</t>
        </is>
      </c>
      <c r="C36" s="586" t="n"/>
      <c r="E36" s="857">
        <f>IF(E33&gt;0,E33,SUM(E34:E35))</f>
        <v/>
      </c>
      <c r="F36" s="858">
        <f>IF(F33&gt;0,F33,SUM(F34:F35))</f>
        <v/>
      </c>
      <c r="G36" s="858">
        <f>IF(G33&gt;0,G33,SUM(G34:G35))</f>
        <v/>
      </c>
      <c r="H36" s="858">
        <f>IF(H33&gt;0,H33,SUM(H34:H35))</f>
        <v/>
      </c>
      <c r="I36" s="858">
        <f>IF(I33&gt;0,I33,SUM(I34:I35))</f>
        <v/>
      </c>
      <c r="J36" s="858">
        <f>IF(J33&gt;0,J33,SUM(J34:J35))</f>
        <v/>
      </c>
      <c r="K36" s="858">
        <f>IF(K33&gt;0,K33,SUM(K34:K35))</f>
        <v/>
      </c>
      <c r="L36" s="858">
        <f>IF(L33&gt;0,L33,SUM(L34:L35))</f>
        <v/>
      </c>
      <c r="M36" s="858">
        <f>IF(M33&gt;0,M33,SUM(M34:M35))</f>
        <v/>
      </c>
      <c r="N36" s="858">
        <f>IF(N33&gt;0,N33,SUM(N34:N35))</f>
        <v/>
      </c>
      <c r="O36" s="858">
        <f>IF(O33&gt;0,O33,SUM(O34:O35))</f>
        <v/>
      </c>
      <c r="P36" s="858">
        <f>IF(P33&gt;0,P33,SUM(P34:P35))</f>
        <v/>
      </c>
      <c r="Q36" s="859" t="n"/>
    </row>
    <row r="37">
      <c r="C37" s="590" t="n"/>
      <c r="E37" s="860" t="n"/>
      <c r="F37" s="861" t="n"/>
      <c r="G37" s="861" t="n"/>
      <c r="H37" s="861" t="n"/>
      <c r="I37" s="861" t="n"/>
      <c r="J37" s="861" t="n"/>
      <c r="K37" s="861" t="n"/>
      <c r="L37" s="861" t="n"/>
      <c r="M37" s="861" t="n"/>
      <c r="N37" s="861" t="n"/>
      <c r="O37" s="861" t="n"/>
      <c r="P37" s="861" t="n"/>
    </row>
    <row r="38">
      <c r="B38" s="572" t="inlineStr">
        <is>
          <t>Category 4: M&amp;A Related</t>
        </is>
      </c>
      <c r="C38" s="593" t="n"/>
      <c r="D38" s="557" t="n"/>
      <c r="E38" s="862" t="n"/>
      <c r="F38" s="863" t="n"/>
      <c r="G38" s="863" t="n"/>
      <c r="H38" s="863" t="n"/>
      <c r="I38" s="863" t="n"/>
      <c r="J38" s="863" t="n"/>
      <c r="K38" s="863" t="n"/>
      <c r="L38" s="863" t="n"/>
      <c r="M38" s="863" t="n"/>
      <c r="N38" s="863" t="n"/>
      <c r="O38" s="863" t="n"/>
      <c r="P38" s="863" t="n"/>
    </row>
    <row r="39" ht="3" customHeight="1">
      <c r="B39" s="573" t="n"/>
      <c r="C39" s="590" t="n"/>
      <c r="E39" s="860" t="n"/>
      <c r="F39" s="861" t="n"/>
      <c r="G39" s="861" t="n"/>
      <c r="H39" s="861" t="n"/>
      <c r="I39" s="861" t="n"/>
      <c r="J39" s="861" t="n"/>
      <c r="K39" s="861" t="n"/>
      <c r="L39" s="861" t="n"/>
      <c r="M39" s="861" t="n"/>
      <c r="N39" s="861" t="n"/>
      <c r="O39" s="861" t="n"/>
      <c r="P39" s="861" t="n"/>
    </row>
    <row r="40" outlineLevel="1">
      <c r="B40" s="574" t="inlineStr">
        <is>
          <t>Total M&amp;A Related Items</t>
        </is>
      </c>
      <c r="C40" s="590" t="n"/>
      <c r="E40" s="848" t="n"/>
      <c r="F40" s="849" t="n"/>
      <c r="G40" s="849" t="n"/>
      <c r="H40" s="849" t="n"/>
      <c r="I40" s="849" t="n"/>
      <c r="J40" s="849" t="n"/>
      <c r="K40" s="849" t="n"/>
      <c r="L40" s="849" t="n"/>
      <c r="M40" s="849" t="n"/>
      <c r="N40" s="849" t="n"/>
      <c r="O40" s="849" t="n"/>
      <c r="P40" s="849" t="n"/>
    </row>
    <row r="41" outlineLevel="1">
      <c r="C41" s="577" t="inlineStr">
        <is>
          <t>Choate Expenses</t>
        </is>
      </c>
      <c r="E41" s="867" t="n"/>
      <c r="F41" s="864" t="n"/>
      <c r="G41" s="864" t="n"/>
      <c r="H41" s="864" t="n"/>
      <c r="I41" s="864" t="n"/>
      <c r="J41" s="864" t="n"/>
      <c r="K41" s="864" t="n"/>
      <c r="L41" s="864" t="n"/>
      <c r="M41" s="864" t="n"/>
      <c r="N41" s="864" t="n"/>
      <c r="O41" s="864" t="n"/>
      <c r="P41" s="864" t="n"/>
    </row>
    <row r="42" outlineLevel="1">
      <c r="C42" s="577" t="inlineStr">
        <is>
          <t>Onyx Phase 1</t>
        </is>
      </c>
      <c r="E42" s="867" t="n"/>
      <c r="F42" s="864" t="n"/>
      <c r="G42" s="864" t="n"/>
      <c r="H42" s="864" t="n"/>
      <c r="I42" s="864" t="n"/>
      <c r="J42" s="864" t="n"/>
      <c r="K42" s="864" t="n"/>
      <c r="L42" s="864" t="n"/>
      <c r="M42" s="864" t="n"/>
      <c r="N42" s="864" t="n"/>
      <c r="O42" s="864" t="n"/>
      <c r="P42" s="864" t="n"/>
    </row>
    <row r="43" outlineLevel="1">
      <c r="C43" s="577" t="inlineStr">
        <is>
          <t>EY Due Diligence</t>
        </is>
      </c>
      <c r="E43" s="867" t="n"/>
      <c r="F43" s="864" t="n"/>
      <c r="G43" s="853" t="n"/>
      <c r="H43" s="853" t="n"/>
      <c r="I43" s="853" t="n"/>
      <c r="J43" s="853" t="n"/>
      <c r="K43" s="853" t="n"/>
      <c r="L43" s="853" t="n"/>
      <c r="M43" s="853" t="n"/>
      <c r="N43" s="853" t="n"/>
      <c r="O43" s="853" t="n"/>
      <c r="P43" s="853" t="n"/>
    </row>
    <row r="44" outlineLevel="1">
      <c r="A44" s="553" t="inlineStr">
        <is>
          <t>ADJUSTMENT: M&amp;A related T&amp;E</t>
        </is>
      </c>
      <c r="C44" s="577" t="inlineStr">
        <is>
          <t>M&amp;A Travel and Expenses</t>
        </is>
      </c>
      <c r="E44" s="867" t="n"/>
      <c r="F44" s="864" t="n"/>
      <c r="G44" s="864" t="n"/>
      <c r="H44" s="864" t="n"/>
      <c r="I44" s="864" t="n"/>
      <c r="J44" s="853" t="n"/>
      <c r="K44" s="853" t="n"/>
      <c r="L44" s="853" t="n"/>
      <c r="M44" s="864" t="n"/>
      <c r="N44" s="853" t="n"/>
      <c r="O44" s="853" t="n"/>
      <c r="P44" s="853" t="n"/>
    </row>
    <row r="45" outlineLevel="1">
      <c r="C45" s="577" t="inlineStr">
        <is>
          <t>PTI Phase 1</t>
        </is>
      </c>
      <c r="E45" s="856" t="n"/>
      <c r="F45" s="864" t="n"/>
      <c r="G45" s="864" t="n"/>
      <c r="H45" s="864" t="n"/>
      <c r="I45" s="864" t="n"/>
      <c r="J45" s="864" t="n"/>
      <c r="K45" s="864" t="n"/>
      <c r="L45" s="864" t="n"/>
      <c r="M45" s="864" t="n"/>
      <c r="N45" s="864" t="n"/>
      <c r="O45" s="864" t="n"/>
      <c r="P45" s="864" t="n"/>
    </row>
    <row r="46" outlineLevel="1">
      <c r="C46" s="577" t="inlineStr">
        <is>
          <t>UniTorq Phase 1</t>
        </is>
      </c>
      <c r="E46" s="856" t="n"/>
      <c r="F46" s="864" t="n"/>
      <c r="G46" s="864" t="n"/>
      <c r="H46" s="853" t="n"/>
      <c r="I46" s="853" t="n"/>
      <c r="J46" s="853" t="n"/>
      <c r="K46" s="853" t="n"/>
      <c r="L46" s="853" t="n"/>
      <c r="M46" s="853" t="n"/>
      <c r="N46" s="853" t="n"/>
      <c r="O46" s="853" t="n"/>
      <c r="P46" s="853" t="n"/>
    </row>
    <row r="47" outlineLevel="1">
      <c r="A47" s="553" t="inlineStr">
        <is>
          <t>ADJUSTMENT: XPV Water Partners</t>
        </is>
      </c>
      <c r="C47" s="577" t="inlineStr">
        <is>
          <t>XPV M&amp;A Expense</t>
        </is>
      </c>
      <c r="E47" s="868" t="n">
        <v>2957.82</v>
      </c>
      <c r="F47" s="853" t="n">
        <v>7123.339999999997</v>
      </c>
      <c r="G47" s="853" t="n">
        <v>2747.17</v>
      </c>
      <c r="H47" s="853" t="n"/>
      <c r="I47" s="853" t="n"/>
      <c r="J47" s="853" t="n"/>
      <c r="K47" s="853" t="n"/>
      <c r="L47" s="853" t="n"/>
      <c r="M47" s="853" t="n"/>
      <c r="N47" s="853" t="n"/>
      <c r="O47" s="853" t="n"/>
      <c r="P47" s="853" t="n"/>
    </row>
    <row r="48" outlineLevel="1">
      <c r="C48" s="577" t="inlineStr">
        <is>
          <t>RP Adams Phase I</t>
        </is>
      </c>
      <c r="E48" s="856" t="n"/>
      <c r="F48" s="853" t="n"/>
      <c r="G48" s="853" t="n"/>
      <c r="H48" s="853" t="n"/>
      <c r="I48" s="853" t="n"/>
      <c r="J48" s="853" t="n"/>
      <c r="K48" s="853" t="n"/>
      <c r="L48" s="853" t="n"/>
      <c r="M48" s="864" t="n"/>
      <c r="N48" s="853" t="n"/>
      <c r="O48" s="853" t="n"/>
      <c r="P48" s="853" t="n"/>
    </row>
    <row r="49" outlineLevel="1">
      <c r="C49" s="577" t="inlineStr">
        <is>
          <t>J&amp;S Phase I</t>
        </is>
      </c>
      <c r="E49" s="856" t="n"/>
      <c r="F49" s="853" t="n"/>
      <c r="G49" s="853" t="n"/>
      <c r="H49" s="853" t="n"/>
      <c r="I49" s="853" t="n"/>
      <c r="J49" s="853" t="n"/>
      <c r="K49" s="853" t="n"/>
      <c r="L49" s="853" t="n"/>
      <c r="M49" s="853" t="n"/>
      <c r="N49" s="853" t="n"/>
      <c r="O49" s="853" t="n"/>
      <c r="P49" s="853" t="n"/>
    </row>
    <row r="50" customFormat="1" s="573">
      <c r="A50" s="585" t="n"/>
      <c r="B50" s="573" t="inlineStr">
        <is>
          <t>M&amp;A Related Items</t>
        </is>
      </c>
      <c r="C50" s="586" t="n"/>
      <c r="E50" s="857">
        <f>IF(E40&gt;0,E40,SUM(E41:E49))</f>
        <v/>
      </c>
      <c r="F50" s="858">
        <f>IF(F40&gt;0,F40,SUM(F41:F49))</f>
        <v/>
      </c>
      <c r="G50" s="858">
        <f>IF(G40&gt;0,G40,SUM(G41:G49))</f>
        <v/>
      </c>
      <c r="H50" s="858">
        <f>IF(H40&gt;0,H40,SUM(H41:H49))</f>
        <v/>
      </c>
      <c r="I50" s="858">
        <f>IF(I40&gt;0,I40,SUM(I41:I49))</f>
        <v/>
      </c>
      <c r="J50" s="858">
        <f>IF(J40&gt;0,J40,SUM(J41:J49))</f>
        <v/>
      </c>
      <c r="K50" s="858">
        <f>IF(K40&gt;0,K40,SUM(K41:K49))</f>
        <v/>
      </c>
      <c r="L50" s="858">
        <f>IF(L40&gt;0,L40,SUM(L41:L49))</f>
        <v/>
      </c>
      <c r="M50" s="858">
        <f>IF(M40&gt;0,M40,SUM(M41:M49))</f>
        <v/>
      </c>
      <c r="N50" s="858">
        <f>IF(N40&gt;0,N40,SUM(N41:N49))</f>
        <v/>
      </c>
      <c r="O50" s="858">
        <f>IF(O40&gt;0,O40,SUM(O41:O49))</f>
        <v/>
      </c>
      <c r="P50" s="858">
        <f>IF(P40&gt;0,P40,SUM(P41:P49))</f>
        <v/>
      </c>
      <c r="Q50" s="859" t="n"/>
    </row>
    <row r="51">
      <c r="C51" s="590" t="n"/>
      <c r="E51" s="860" t="n"/>
      <c r="F51" s="861" t="n"/>
      <c r="G51" s="861" t="n"/>
      <c r="H51" s="861" t="n"/>
      <c r="I51" s="861" t="n"/>
      <c r="J51" s="861" t="n"/>
      <c r="K51" s="861" t="n"/>
      <c r="L51" s="861" t="n"/>
      <c r="M51" s="861" t="n"/>
      <c r="N51" s="861" t="n"/>
      <c r="O51" s="861" t="n"/>
      <c r="P51" s="861" t="n"/>
    </row>
    <row r="52">
      <c r="B52" s="572" t="inlineStr">
        <is>
          <t>Category 5: Exit Related</t>
        </is>
      </c>
      <c r="C52" s="593" t="n"/>
      <c r="D52" s="557" t="n"/>
      <c r="E52" s="862" t="n"/>
      <c r="F52" s="863" t="n"/>
      <c r="G52" s="863" t="n"/>
      <c r="H52" s="863" t="n"/>
      <c r="I52" s="863" t="n"/>
      <c r="J52" s="863" t="n"/>
      <c r="K52" s="863" t="n"/>
      <c r="L52" s="863" t="n"/>
      <c r="M52" s="863" t="n"/>
      <c r="N52" s="863" t="n"/>
      <c r="O52" s="863" t="n"/>
      <c r="P52" s="863" t="n"/>
    </row>
    <row r="53" ht="3" customHeight="1">
      <c r="B53" s="573" t="n"/>
      <c r="C53" s="590" t="n"/>
      <c r="E53" s="860" t="n"/>
      <c r="F53" s="861" t="n"/>
      <c r="G53" s="861" t="n"/>
      <c r="H53" s="861" t="n"/>
      <c r="I53" s="861" t="n"/>
      <c r="J53" s="861" t="n"/>
      <c r="K53" s="861" t="n"/>
      <c r="L53" s="861" t="n"/>
      <c r="M53" s="861" t="n"/>
      <c r="N53" s="861" t="n"/>
      <c r="O53" s="861" t="n"/>
      <c r="P53" s="861" t="n"/>
    </row>
    <row r="54" outlineLevel="1">
      <c r="B54" s="574" t="inlineStr">
        <is>
          <t>Total Exit Related Expenses</t>
        </is>
      </c>
      <c r="C54" s="590" t="n"/>
      <c r="E54" s="848" t="n"/>
      <c r="F54" s="849" t="n"/>
      <c r="G54" s="849" t="n"/>
      <c r="H54" s="849" t="n"/>
      <c r="I54" s="849" t="n"/>
      <c r="J54" s="849" t="n"/>
      <c r="K54" s="849" t="n"/>
      <c r="L54" s="849" t="n"/>
      <c r="M54" s="849" t="n"/>
      <c r="N54" s="849" t="n"/>
      <c r="O54" s="849" t="n"/>
      <c r="P54" s="849" t="n"/>
    </row>
    <row r="55" outlineLevel="1">
      <c r="C55" s="577" t="n"/>
      <c r="E55" s="856" t="n"/>
      <c r="F55" s="853" t="n"/>
      <c r="G55" s="853" t="n"/>
      <c r="H55" s="853" t="n"/>
      <c r="I55" s="853" t="n"/>
      <c r="J55" s="853" t="n"/>
      <c r="K55" s="853" t="n"/>
      <c r="L55" s="853" t="n"/>
      <c r="M55" s="853" t="n"/>
      <c r="N55" s="853" t="n"/>
      <c r="O55" s="853" t="n"/>
      <c r="P55" s="853" t="n"/>
    </row>
    <row r="56" outlineLevel="1">
      <c r="C56" s="577" t="n"/>
      <c r="E56" s="856" t="n"/>
      <c r="F56" s="853" t="n"/>
      <c r="G56" s="853" t="n"/>
      <c r="H56" s="853" t="n"/>
      <c r="I56" s="853" t="n"/>
      <c r="J56" s="853" t="n"/>
      <c r="K56" s="853" t="n"/>
      <c r="L56" s="853" t="n"/>
      <c r="M56" s="853" t="n"/>
      <c r="N56" s="853" t="n"/>
      <c r="O56" s="853" t="n"/>
      <c r="P56" s="853" t="n"/>
    </row>
    <row r="57" customFormat="1" s="573">
      <c r="A57" s="585" t="n"/>
      <c r="B57" s="573" t="inlineStr">
        <is>
          <t>Exit Related Expenses</t>
        </is>
      </c>
      <c r="C57" s="586" t="n"/>
      <c r="E57" s="857">
        <f>IF(E54&gt;0,E54,SUM(E55:E56))</f>
        <v/>
      </c>
      <c r="F57" s="858">
        <f>IF(F54&gt;0,F54,SUM(F55:F56))</f>
        <v/>
      </c>
      <c r="G57" s="858">
        <f>IF(G54&gt;0,G54,SUM(G55:G56))</f>
        <v/>
      </c>
      <c r="H57" s="858">
        <f>IF(H54&gt;0,H54,SUM(H55:H56))</f>
        <v/>
      </c>
      <c r="I57" s="858">
        <f>IF(I54&gt;0,I54,SUM(I55:I56))</f>
        <v/>
      </c>
      <c r="J57" s="858">
        <f>IF(J54&gt;0,J54,SUM(J55:J56))</f>
        <v/>
      </c>
      <c r="K57" s="858">
        <f>IF(K54&gt;0,K54,SUM(K55:K56))</f>
        <v/>
      </c>
      <c r="L57" s="858">
        <f>IF(L54&gt;0,L54,SUM(L55:L56))</f>
        <v/>
      </c>
      <c r="M57" s="858">
        <f>IF(M54&gt;0,M54,SUM(M55:M56))</f>
        <v/>
      </c>
      <c r="N57" s="858">
        <f>IF(N54&gt;0,N54,SUM(N55:N56))</f>
        <v/>
      </c>
      <c r="O57" s="858">
        <f>IF(O54&gt;0,O54,SUM(O55:O56))</f>
        <v/>
      </c>
      <c r="P57" s="858">
        <f>IF(P54&gt;0,P54,SUM(P55:P56))</f>
        <v/>
      </c>
    </row>
    <row r="58">
      <c r="C58" s="590" t="n"/>
      <c r="E58" s="860" t="n"/>
      <c r="F58" s="861" t="n"/>
      <c r="G58" s="861" t="n"/>
      <c r="H58" s="861" t="n"/>
      <c r="I58" s="861" t="n"/>
      <c r="J58" s="861" t="n"/>
      <c r="K58" s="861" t="n"/>
      <c r="L58" s="861" t="n"/>
      <c r="M58" s="861" t="n"/>
      <c r="N58" s="861" t="n"/>
      <c r="O58" s="861" t="n"/>
      <c r="P58" s="861" t="n"/>
    </row>
    <row r="59">
      <c r="B59" s="572" t="inlineStr">
        <is>
          <t>Category 6: Compensation</t>
        </is>
      </c>
      <c r="C59" s="593" t="n"/>
      <c r="D59" s="557" t="n"/>
      <c r="E59" s="862" t="n"/>
      <c r="F59" s="863" t="n"/>
      <c r="G59" s="863" t="n"/>
      <c r="H59" s="863" t="n"/>
      <c r="I59" s="863" t="n"/>
      <c r="J59" s="863" t="n"/>
      <c r="K59" s="863" t="n"/>
      <c r="L59" s="863" t="n"/>
      <c r="M59" s="863" t="n"/>
      <c r="N59" s="863" t="n"/>
      <c r="O59" s="863" t="n"/>
      <c r="P59" s="863" t="n"/>
    </row>
    <row r="60" ht="3" customHeight="1">
      <c r="B60" s="573" t="n"/>
      <c r="C60" s="590" t="n"/>
      <c r="E60" s="860" t="n"/>
      <c r="F60" s="861" t="n"/>
      <c r="G60" s="861" t="n"/>
      <c r="H60" s="861" t="n"/>
      <c r="I60" s="861" t="n"/>
      <c r="J60" s="861" t="n"/>
      <c r="K60" s="861" t="n"/>
      <c r="L60" s="861" t="n"/>
      <c r="M60" s="861" t="n"/>
      <c r="N60" s="861" t="n"/>
      <c r="O60" s="861" t="n"/>
      <c r="P60" s="861" t="n"/>
    </row>
    <row r="61" outlineLevel="1">
      <c r="B61" s="574" t="inlineStr">
        <is>
          <t>Total Non-Recurring or One-Time Compensation</t>
        </is>
      </c>
      <c r="C61" s="590" t="n"/>
      <c r="E61" s="848" t="n"/>
      <c r="F61" s="849" t="n"/>
      <c r="G61" s="849" t="n"/>
      <c r="H61" s="849" t="n"/>
      <c r="I61" s="849" t="n"/>
      <c r="J61" s="849" t="n"/>
      <c r="K61" s="849" t="n"/>
      <c r="L61" s="849" t="n"/>
      <c r="M61" s="849" t="n"/>
      <c r="N61" s="849" t="n"/>
      <c r="O61" s="849" t="n"/>
      <c r="P61" s="849" t="n"/>
    </row>
    <row r="62" outlineLevel="1">
      <c r="A62" s="553" t="inlineStr">
        <is>
          <t>ADJUSTMENT: Marc Norseman Consulting</t>
        </is>
      </c>
      <c r="C62" s="577" t="inlineStr">
        <is>
          <t>Consulting</t>
        </is>
      </c>
      <c r="E62" s="856" t="n">
        <v>63406.25</v>
      </c>
      <c r="F62" s="869" t="n">
        <v>80411.25</v>
      </c>
      <c r="G62" s="853" t="n">
        <v>77315.52</v>
      </c>
      <c r="H62" s="853" t="n"/>
      <c r="I62" s="853" t="n"/>
      <c r="J62" s="853" t="n"/>
      <c r="K62" s="853" t="n"/>
      <c r="L62" s="853" t="n"/>
      <c r="M62" s="853" t="n"/>
      <c r="N62" s="853" t="n"/>
      <c r="O62" s="853" t="n"/>
      <c r="P62" s="853" t="n"/>
    </row>
    <row r="63" outlineLevel="1">
      <c r="A63" s="553" t="inlineStr">
        <is>
          <t>ADJUSTMENT: Glen Meyer Consulting</t>
        </is>
      </c>
      <c r="C63" s="577" t="n"/>
      <c r="E63" s="856" t="n"/>
      <c r="F63" s="864" t="n"/>
      <c r="G63" s="870" t="n"/>
      <c r="H63" s="864" t="n"/>
      <c r="I63" s="864" t="n"/>
      <c r="J63" s="864" t="n"/>
      <c r="K63" s="864" t="n"/>
      <c r="L63" s="864" t="n"/>
      <c r="M63" s="864" t="n"/>
      <c r="N63" s="864" t="n"/>
      <c r="O63" s="864" t="n"/>
      <c r="P63" s="864" t="n"/>
    </row>
    <row r="64" outlineLevel="1">
      <c r="A64" s="553" t="inlineStr">
        <is>
          <t>ADJUSTMENT: Greg Majernik Consulting</t>
        </is>
      </c>
      <c r="C64" s="577" t="n"/>
      <c r="E64" s="856" t="n"/>
      <c r="F64" s="853" t="n"/>
      <c r="G64" s="853" t="n"/>
      <c r="H64" s="864" t="n"/>
      <c r="I64" s="853" t="n"/>
      <c r="J64" s="864" t="n"/>
      <c r="K64" s="864" t="n"/>
      <c r="L64" s="864" t="n"/>
      <c r="M64" s="864" t="n"/>
      <c r="N64" s="864" t="n"/>
      <c r="O64" s="864" t="n"/>
      <c r="P64" s="864" t="n"/>
    </row>
    <row r="65" customFormat="1" s="573">
      <c r="A65" s="585" t="n"/>
      <c r="B65" s="573" t="inlineStr">
        <is>
          <t>Non-Recurring or One-Time Compensation Expenses</t>
        </is>
      </c>
      <c r="C65" s="586" t="n"/>
      <c r="E65" s="857">
        <f>IF(E61&gt;0,E61,SUM(E62:E64))</f>
        <v/>
      </c>
      <c r="F65" s="858">
        <f>IF(F61&gt;0,F61,SUM(F62:F64))</f>
        <v/>
      </c>
      <c r="G65" s="858">
        <f>IF(G61&gt;0,G61,SUM(G62:G64))</f>
        <v/>
      </c>
      <c r="H65" s="858">
        <f>IF(H61&gt;0,H61,SUM(H62:H64))</f>
        <v/>
      </c>
      <c r="I65" s="858">
        <f>IF(I61&gt;0,I61,SUM(I62:I64))</f>
        <v/>
      </c>
      <c r="J65" s="858">
        <f>IF(J61&gt;0,J61,SUM(J62:J64))</f>
        <v/>
      </c>
      <c r="K65" s="858">
        <f>IF(K61&gt;0,K61,SUM(K62:K64))</f>
        <v/>
      </c>
      <c r="L65" s="858">
        <f>IF(L61&gt;0,L61,SUM(L62:L64))</f>
        <v/>
      </c>
      <c r="M65" s="858">
        <f>IF(M61&gt;0,M61,SUM(M62:M64))</f>
        <v/>
      </c>
      <c r="N65" s="858">
        <f>IF(N61&gt;0,N61,SUM(N62:N64))</f>
        <v/>
      </c>
      <c r="O65" s="858">
        <f>IF(O61&gt;0,O61,SUM(O62:O64))</f>
        <v/>
      </c>
      <c r="P65" s="858">
        <f>IF(P61&gt;0,P61,SUM(P62:P64))</f>
        <v/>
      </c>
      <c r="Q65" s="859" t="n"/>
    </row>
    <row r="66">
      <c r="C66" s="590" t="n"/>
      <c r="E66" s="860" t="n"/>
      <c r="F66" s="861" t="n"/>
      <c r="G66" s="861" t="n"/>
      <c r="H66" s="861" t="n"/>
      <c r="I66" s="861" t="n"/>
      <c r="J66" s="861" t="n"/>
      <c r="K66" s="861" t="n"/>
      <c r="L66" s="861" t="n"/>
      <c r="M66" s="861" t="n"/>
      <c r="N66" s="861" t="n"/>
      <c r="O66" s="861" t="n"/>
      <c r="P66" s="861" t="n"/>
    </row>
    <row r="67">
      <c r="B67" s="572" t="inlineStr">
        <is>
          <t>Category 7: Setup</t>
        </is>
      </c>
      <c r="C67" s="593" t="n"/>
      <c r="D67" s="557" t="n"/>
      <c r="E67" s="862" t="n"/>
      <c r="F67" s="863" t="n"/>
      <c r="G67" s="863" t="n"/>
      <c r="H67" s="863" t="n"/>
      <c r="I67" s="863" t="n"/>
      <c r="J67" s="863" t="n"/>
      <c r="K67" s="863" t="n"/>
      <c r="L67" s="863" t="n"/>
      <c r="M67" s="863" t="n"/>
      <c r="N67" s="863" t="n"/>
      <c r="O67" s="863" t="n"/>
      <c r="P67" s="863" t="n"/>
    </row>
    <row r="68" ht="3" customHeight="1">
      <c r="B68" s="573" t="n"/>
      <c r="C68" s="590" t="n"/>
      <c r="E68" s="860" t="n"/>
      <c r="F68" s="861" t="n"/>
      <c r="G68" s="861" t="n"/>
      <c r="H68" s="861" t="n"/>
      <c r="I68" s="861" t="n"/>
      <c r="J68" s="861" t="n"/>
      <c r="K68" s="861" t="n"/>
      <c r="L68" s="861" t="n"/>
      <c r="M68" s="861" t="n"/>
      <c r="N68" s="861" t="n"/>
      <c r="O68" s="861" t="n"/>
      <c r="P68" s="861" t="n"/>
    </row>
    <row r="69" outlineLevel="1">
      <c r="B69" s="574" t="inlineStr">
        <is>
          <t>Total Non-Recurring or One-Time Setup</t>
        </is>
      </c>
      <c r="C69" s="590" t="n"/>
      <c r="E69" s="848" t="n"/>
      <c r="F69" s="849" t="n"/>
      <c r="G69" s="849" t="n"/>
      <c r="H69" s="849" t="n"/>
      <c r="I69" s="849" t="n"/>
      <c r="J69" s="849" t="n"/>
      <c r="K69" s="849" t="n"/>
      <c r="L69" s="849" t="n"/>
      <c r="M69" s="849" t="n"/>
      <c r="N69" s="849" t="n"/>
      <c r="O69" s="849" t="n"/>
      <c r="P69" s="849" t="n"/>
    </row>
    <row r="70" outlineLevel="1">
      <c r="C70" s="577" t="n"/>
      <c r="E70" s="856" t="n"/>
      <c r="F70" s="853" t="n"/>
      <c r="G70" s="853" t="n"/>
      <c r="H70" s="853" t="n"/>
      <c r="I70" s="853" t="n"/>
      <c r="J70" s="853" t="n"/>
      <c r="K70" s="853" t="n"/>
      <c r="L70" s="853" t="n"/>
      <c r="M70" s="853" t="n"/>
      <c r="N70" s="853" t="n"/>
      <c r="O70" s="853" t="n"/>
      <c r="P70" s="853" t="n"/>
    </row>
    <row r="71" outlineLevel="1">
      <c r="C71" s="577" t="n"/>
      <c r="E71" s="856" t="n"/>
      <c r="F71" s="871" t="n"/>
      <c r="G71" s="871" t="n"/>
      <c r="H71" s="871" t="n"/>
      <c r="I71" s="871" t="n"/>
      <c r="J71" s="871" t="n"/>
      <c r="K71" s="871" t="n"/>
      <c r="L71" s="871" t="n"/>
      <c r="M71" s="871" t="n"/>
      <c r="N71" s="871" t="n"/>
      <c r="O71" s="871" t="n"/>
      <c r="P71" s="871" t="n"/>
    </row>
    <row r="72" customFormat="1" s="573">
      <c r="A72" s="585" t="n"/>
      <c r="B72" s="573" t="inlineStr">
        <is>
          <t>Non-Recurring or One-Time Setup Expenses</t>
        </is>
      </c>
      <c r="C72" s="586" t="n"/>
      <c r="E72" s="857">
        <f>IF(E69&gt;0,E69,SUM(E70:E71))</f>
        <v/>
      </c>
      <c r="F72" s="858">
        <f>IF(F69&gt;0,F69,SUM(F70:F71))</f>
        <v/>
      </c>
      <c r="G72" s="858">
        <f>IF(G69&gt;0,G69,SUM(G70:G71))</f>
        <v/>
      </c>
      <c r="H72" s="858">
        <f>IF(H69&gt;0,H69,SUM(H70:H71))</f>
        <v/>
      </c>
      <c r="I72" s="858">
        <f>IF(I69&gt;0,I69,SUM(I70:I71))</f>
        <v/>
      </c>
      <c r="J72" s="858">
        <f>IF(J69&gt;0,J69,SUM(J70:J71))</f>
        <v/>
      </c>
      <c r="K72" s="858">
        <f>IF(K69&gt;0,K69,SUM(K70:K71))</f>
        <v/>
      </c>
      <c r="L72" s="858">
        <f>IF(L69&gt;0,L69,SUM(L70:L71))</f>
        <v/>
      </c>
      <c r="M72" s="858">
        <f>IF(M69&gt;0,M69,SUM(M70:M71))</f>
        <v/>
      </c>
      <c r="N72" s="858">
        <f>IF(N69&gt;0,N69,SUM(N70:N71))</f>
        <v/>
      </c>
      <c r="O72" s="858">
        <f>IF(O69&gt;0,O69,SUM(O70:O71))</f>
        <v/>
      </c>
      <c r="P72" s="858">
        <f>IF(P69&gt;0,P69,SUM(P70:P71))</f>
        <v/>
      </c>
    </row>
    <row r="73">
      <c r="C73" s="590" t="n"/>
      <c r="E73" s="860" t="n"/>
      <c r="F73" s="861" t="n"/>
      <c r="G73" s="861" t="n"/>
      <c r="H73" s="861" t="n"/>
      <c r="I73" s="861" t="n"/>
      <c r="J73" s="861" t="n"/>
      <c r="K73" s="861" t="n"/>
      <c r="L73" s="861" t="n"/>
      <c r="M73" s="861" t="n"/>
      <c r="N73" s="861" t="n"/>
      <c r="O73" s="861" t="n"/>
      <c r="P73" s="861" t="n"/>
    </row>
    <row r="74">
      <c r="B74" s="572" t="inlineStr">
        <is>
          <t>Category 8: New Business Startup</t>
        </is>
      </c>
      <c r="C74" s="593" t="n"/>
      <c r="D74" s="557" t="n"/>
      <c r="E74" s="862" t="n"/>
      <c r="F74" s="863" t="n"/>
      <c r="G74" s="863" t="n"/>
      <c r="H74" s="863" t="n"/>
      <c r="I74" s="863" t="n"/>
      <c r="J74" s="863" t="n"/>
      <c r="K74" s="863" t="n"/>
      <c r="L74" s="863" t="n"/>
      <c r="M74" s="863" t="n"/>
      <c r="N74" s="863" t="n"/>
      <c r="O74" s="863" t="n"/>
      <c r="P74" s="863" t="n"/>
    </row>
    <row r="75" ht="3" customHeight="1">
      <c r="B75" s="573" t="n"/>
      <c r="C75" s="590" t="n"/>
      <c r="E75" s="860" t="n"/>
      <c r="F75" s="861" t="n"/>
      <c r="G75" s="861" t="n"/>
      <c r="H75" s="861" t="n"/>
      <c r="I75" s="861" t="n"/>
      <c r="J75" s="861" t="n"/>
      <c r="K75" s="861" t="n"/>
      <c r="L75" s="861" t="n"/>
      <c r="M75" s="861" t="n"/>
      <c r="N75" s="861" t="n"/>
      <c r="O75" s="861" t="n"/>
      <c r="P75" s="861" t="n"/>
    </row>
    <row r="76" outlineLevel="1">
      <c r="B76" s="574" t="inlineStr">
        <is>
          <t>Total New Business Startup Expenses</t>
        </is>
      </c>
      <c r="C76" s="590" t="n"/>
      <c r="E76" s="848" t="n"/>
      <c r="F76" s="849" t="n"/>
      <c r="G76" s="849" t="n"/>
      <c r="H76" s="849" t="n"/>
      <c r="I76" s="849" t="n"/>
      <c r="J76" s="849" t="n"/>
      <c r="K76" s="849" t="n"/>
      <c r="L76" s="849" t="n"/>
      <c r="M76" s="849" t="n"/>
      <c r="N76" s="849" t="n"/>
      <c r="O76" s="849" t="n"/>
      <c r="P76" s="849" t="n"/>
    </row>
    <row r="77" outlineLevel="1">
      <c r="A77" s="553" t="inlineStr">
        <is>
          <t>ADJUSTMENT: IT Integration</t>
        </is>
      </c>
      <c r="C77" s="577" t="inlineStr">
        <is>
          <t>IT Integration Expenses</t>
        </is>
      </c>
      <c r="E77" s="856" t="n">
        <v>15543.5</v>
      </c>
      <c r="F77" s="853" t="n">
        <v>7204.17</v>
      </c>
      <c r="G77" s="853" t="n">
        <v>8942.370000000001</v>
      </c>
      <c r="H77" s="853" t="n"/>
      <c r="I77" s="853" t="n"/>
      <c r="J77" s="864" t="n"/>
      <c r="K77" s="853" t="n"/>
      <c r="L77" s="853" t="n"/>
      <c r="M77" s="864" t="n"/>
      <c r="N77" s="853" t="n"/>
      <c r="O77" s="853" t="n"/>
      <c r="P77" s="853" t="n"/>
    </row>
    <row r="78" outlineLevel="1">
      <c r="A78" s="553" t="inlineStr">
        <is>
          <t>ADJUSTMENT: ERP Implementation</t>
        </is>
      </c>
      <c r="C78" s="577" t="inlineStr">
        <is>
          <t>ERP Implementation</t>
        </is>
      </c>
      <c r="E78" s="856" t="n"/>
      <c r="F78" s="871" t="n"/>
      <c r="G78" s="871" t="n"/>
      <c r="H78" s="871" t="n"/>
      <c r="I78" s="864" t="n"/>
      <c r="J78" s="871" t="n"/>
      <c r="K78" s="871" t="n"/>
      <c r="L78" s="871" t="n"/>
      <c r="M78" s="864" t="n"/>
      <c r="N78" s="871" t="n"/>
      <c r="O78" s="871" t="n"/>
      <c r="P78" s="871" t="n"/>
    </row>
    <row r="79" customFormat="1" s="573">
      <c r="A79" s="585" t="n"/>
      <c r="B79" s="573" t="inlineStr">
        <is>
          <t>New Business Startup Expenses</t>
        </is>
      </c>
      <c r="C79" s="586" t="n"/>
      <c r="E79" s="857">
        <f>IF(E76&gt;0,E76,SUM(E77:E78))</f>
        <v/>
      </c>
      <c r="F79" s="858">
        <f>IF(F76&gt;0,F76,SUM(F77:F78))</f>
        <v/>
      </c>
      <c r="G79" s="858">
        <f>IF(G76&gt;0,G76,SUM(G77:G78))</f>
        <v/>
      </c>
      <c r="H79" s="858">
        <f>IF(H76&gt;0,H76,SUM(H77:H78))</f>
        <v/>
      </c>
      <c r="I79" s="858">
        <f>IF(I76&gt;0,I76,SUM(I77:I78))</f>
        <v/>
      </c>
      <c r="J79" s="858">
        <f>IF(J76&gt;0,J76,SUM(J77:J78))</f>
        <v/>
      </c>
      <c r="K79" s="858">
        <f>IF(K76&gt;0,K76,SUM(K77:K78))</f>
        <v/>
      </c>
      <c r="L79" s="858">
        <f>IF(L76&gt;0,L76,SUM(L77:L78))</f>
        <v/>
      </c>
      <c r="M79" s="858">
        <f>IF(M76&gt;0,M76,SUM(M77:M78))</f>
        <v/>
      </c>
      <c r="N79" s="858">
        <f>IF(N76&gt;0,N76,SUM(N77:N78))</f>
        <v/>
      </c>
      <c r="O79" s="858">
        <f>IF(O76&gt;0,O76,SUM(O77:O78))</f>
        <v/>
      </c>
      <c r="P79" s="858">
        <f>IF(P76&gt;0,P76,SUM(P77:P78))</f>
        <v/>
      </c>
    </row>
    <row r="80">
      <c r="C80" s="590" t="n"/>
      <c r="E80" s="860" t="n"/>
      <c r="F80" s="861" t="n"/>
      <c r="G80" s="861" t="n"/>
      <c r="H80" s="861" t="n"/>
      <c r="I80" s="861" t="n"/>
      <c r="J80" s="861" t="n"/>
      <c r="K80" s="861" t="n"/>
      <c r="L80" s="861" t="n"/>
      <c r="M80" s="861" t="n"/>
      <c r="N80" s="861" t="n"/>
      <c r="O80" s="861" t="n"/>
      <c r="P80" s="861" t="n"/>
    </row>
    <row r="81">
      <c r="B81" s="572" t="inlineStr">
        <is>
          <t>Category 9: Other</t>
        </is>
      </c>
      <c r="C81" s="593" t="n"/>
      <c r="D81" s="557" t="n"/>
      <c r="E81" s="862" t="n"/>
      <c r="F81" s="863" t="n"/>
      <c r="G81" s="863" t="n"/>
      <c r="H81" s="863" t="n"/>
      <c r="I81" s="863" t="n"/>
      <c r="J81" s="863" t="n"/>
      <c r="K81" s="863" t="n"/>
      <c r="L81" s="863" t="n"/>
      <c r="M81" s="863" t="n"/>
      <c r="N81" s="863" t="n"/>
      <c r="O81" s="863" t="n"/>
      <c r="P81" s="863" t="n"/>
    </row>
    <row r="82" ht="3" customHeight="1">
      <c r="B82" s="573" t="n"/>
      <c r="C82" s="590" t="n"/>
      <c r="E82" s="860" t="n"/>
      <c r="F82" s="861" t="n"/>
      <c r="G82" s="861" t="n"/>
      <c r="H82" s="861" t="n"/>
      <c r="I82" s="861" t="n"/>
      <c r="J82" s="861" t="n"/>
      <c r="K82" s="861" t="n"/>
      <c r="L82" s="861" t="n"/>
      <c r="M82" s="861" t="n"/>
      <c r="N82" s="861" t="n"/>
      <c r="O82" s="861" t="n"/>
      <c r="P82" s="861" t="n"/>
    </row>
    <row r="83" outlineLevel="1">
      <c r="B83" s="574" t="inlineStr">
        <is>
          <t>Total Other Expenses</t>
        </is>
      </c>
      <c r="C83" s="590" t="n"/>
      <c r="E83" s="848" t="n"/>
      <c r="F83" s="849" t="n"/>
      <c r="G83" s="849" t="n"/>
      <c r="H83" s="849" t="n"/>
      <c r="I83" s="849" t="n"/>
      <c r="J83" s="849" t="n"/>
      <c r="K83" s="849" t="n"/>
      <c r="L83" s="849" t="n"/>
      <c r="M83" s="849" t="n"/>
      <c r="N83" s="849" t="n"/>
      <c r="O83" s="849" t="n"/>
      <c r="P83" s="849" t="n"/>
    </row>
    <row r="84" outlineLevel="1">
      <c r="A84" s="553" t="inlineStr">
        <is>
          <t>ADJUSTMENT: 2460 warranty</t>
        </is>
      </c>
      <c r="C84" s="577" t="inlineStr">
        <is>
          <t>Temporary Labor</t>
        </is>
      </c>
      <c r="E84" s="856" t="n">
        <v>58784.32</v>
      </c>
      <c r="F84" s="853" t="n">
        <v>45166.42</v>
      </c>
      <c r="G84" s="853" t="n">
        <v>46457.60000000001</v>
      </c>
      <c r="H84" s="853" t="n"/>
      <c r="I84" s="853" t="n"/>
      <c r="J84" s="853" t="n"/>
      <c r="K84" s="853" t="n"/>
      <c r="L84" s="853" t="n"/>
      <c r="M84" s="853" t="n"/>
      <c r="N84" s="853" t="n"/>
      <c r="O84" s="853" t="n"/>
      <c r="P84" s="853" t="n"/>
    </row>
    <row r="85" outlineLevel="1">
      <c r="C85" s="577" t="inlineStr">
        <is>
          <t>Other</t>
        </is>
      </c>
      <c r="E85" s="855" t="n">
        <v>5385.830000000002</v>
      </c>
      <c r="F85" s="853" t="n">
        <v>24465.7</v>
      </c>
      <c r="G85" s="853" t="n">
        <v>611.7900000000009</v>
      </c>
      <c r="H85" s="853" t="n"/>
      <c r="I85" s="853" t="n"/>
      <c r="J85" s="853" t="n"/>
      <c r="K85" s="853" t="n"/>
      <c r="L85" s="853" t="n"/>
      <c r="M85" s="853" t="n"/>
      <c r="N85" s="853" t="n"/>
      <c r="O85" s="853" t="n"/>
      <c r="P85" s="853" t="n"/>
    </row>
    <row r="86" outlineLevel="1">
      <c r="C86" s="577" t="inlineStr">
        <is>
          <t>RP Adams Management Fees</t>
        </is>
      </c>
      <c r="E86" s="855" t="n"/>
      <c r="F86" s="872" t="n"/>
      <c r="G86" s="873" t="n"/>
      <c r="H86" s="864" t="n"/>
      <c r="I86" s="864" t="n"/>
      <c r="J86" s="864" t="n"/>
      <c r="K86" s="864" t="n"/>
      <c r="L86" s="864" t="n"/>
      <c r="M86" s="864" t="n"/>
      <c r="N86" s="864" t="n"/>
      <c r="O86" s="864" t="n"/>
      <c r="P86" s="864" t="n"/>
    </row>
    <row r="87" outlineLevel="1">
      <c r="C87" s="577" t="inlineStr">
        <is>
          <t>Yeary Controls Adjustments</t>
        </is>
      </c>
      <c r="E87" s="855" t="n"/>
      <c r="F87" s="874" t="n"/>
      <c r="G87" s="874" t="n"/>
      <c r="H87" s="853" t="n"/>
      <c r="I87" s="853" t="n"/>
      <c r="J87" s="853" t="n"/>
      <c r="K87" s="853" t="n"/>
      <c r="L87" s="853" t="n"/>
      <c r="M87" s="853" t="n"/>
      <c r="N87" s="853" t="n"/>
      <c r="O87" s="853" t="n"/>
      <c r="P87" s="853" t="n"/>
    </row>
    <row r="88" outlineLevel="1">
      <c r="C88" s="577" t="n"/>
      <c r="E88" s="855" t="n"/>
      <c r="F88" s="874" t="n"/>
      <c r="G88" s="874" t="n"/>
      <c r="H88" s="864" t="n"/>
      <c r="I88" s="864" t="n"/>
      <c r="J88" s="864" t="n"/>
      <c r="K88" s="853" t="n"/>
      <c r="L88" s="853" t="n"/>
      <c r="M88" s="853" t="n"/>
      <c r="N88" s="853" t="n"/>
      <c r="O88" s="853" t="n"/>
      <c r="P88" s="853" t="n"/>
    </row>
    <row r="89" customFormat="1" s="573">
      <c r="A89" s="585" t="n"/>
      <c r="B89" s="573" t="inlineStr">
        <is>
          <t>Other Expenses</t>
        </is>
      </c>
      <c r="C89" s="586" t="n"/>
      <c r="E89" s="857">
        <f>IF(E83&gt;0,E83,SUM(E84:E87))</f>
        <v/>
      </c>
      <c r="F89" s="858">
        <f>IF(F83&gt;0,F83,SUM(F84:F87))</f>
        <v/>
      </c>
      <c r="G89" s="858">
        <f>IF(G83&gt;0,G83,SUM(G84:G87))</f>
        <v/>
      </c>
      <c r="H89" s="858">
        <f>IF(H83&gt;0,H83,SUM(H84:H87))</f>
        <v/>
      </c>
      <c r="I89" s="858">
        <f>IF(I83&gt;0,I83,SUM(I84:I87))</f>
        <v/>
      </c>
      <c r="J89" s="858">
        <f>IF(J83&gt;0,J83,SUM(J84:J87))</f>
        <v/>
      </c>
      <c r="K89" s="858">
        <f>IF(K83&gt;0,K83,SUM(K84:K87))</f>
        <v/>
      </c>
      <c r="L89" s="858">
        <f>IF(L83&gt;0,L83,SUM(L84:L87))</f>
        <v/>
      </c>
      <c r="M89" s="858">
        <f>IF(M83&gt;0,M83,SUM(M84:M87))</f>
        <v/>
      </c>
      <c r="N89" s="858">
        <f>IF(N83&gt;0,N83,SUM(N84:N87))</f>
        <v/>
      </c>
      <c r="O89" s="858">
        <f>IF(O83&gt;0,O83,SUM(O84:O87))</f>
        <v/>
      </c>
      <c r="P89" s="858">
        <f>IF(P83&gt;0,P83,SUM(P84:P87))</f>
        <v/>
      </c>
      <c r="Q89" s="859" t="n"/>
    </row>
    <row r="90">
      <c r="C90" s="590" t="n"/>
      <c r="E90" s="860" t="n"/>
      <c r="F90" s="861" t="n"/>
      <c r="G90" s="861" t="n"/>
      <c r="H90" s="861" t="n"/>
      <c r="I90" s="861" t="n"/>
      <c r="J90" s="861" t="n"/>
      <c r="K90" s="861" t="n"/>
      <c r="L90" s="861" t="n"/>
      <c r="M90" s="861" t="n"/>
      <c r="N90" s="861" t="n"/>
      <c r="O90" s="861" t="n"/>
      <c r="P90" s="861" t="n"/>
    </row>
    <row r="91">
      <c r="B91" s="605" t="inlineStr">
        <is>
          <t>Total Adjustments to EBITDA</t>
        </is>
      </c>
      <c r="C91" s="606" t="n"/>
      <c r="D91" s="605" t="n"/>
      <c r="E91" s="875">
        <f>E20+E29+E36+E50+E57+E65+E72+E79+E89</f>
        <v/>
      </c>
      <c r="F91" s="876">
        <f>F20+F29+F36+F50+F57+F65+F72+F79+F89</f>
        <v/>
      </c>
      <c r="G91" s="876">
        <f>G20+G29+G36+G50+G57+G65+G72+G79+G89</f>
        <v/>
      </c>
      <c r="H91" s="876">
        <f>H20+H29+H36+H50+H57+H65+H72+H79+H89</f>
        <v/>
      </c>
      <c r="I91" s="876">
        <f>I20+I29+I36+I50+I57+I65+I72+I79+I89</f>
        <v/>
      </c>
      <c r="J91" s="876">
        <f>J20+J29+J36+J50+J57+J65+J72+J79+J89</f>
        <v/>
      </c>
      <c r="K91" s="876">
        <f>K20+K29+K36+K50+K57+K65+K72+K79+K89</f>
        <v/>
      </c>
      <c r="L91" s="876">
        <f>L20+L29+L36+L50+L57+L65+L72+L79+L89</f>
        <v/>
      </c>
      <c r="M91" s="876">
        <f>M20+M29+M36+M50+M57+M65+M72+M79+M89</f>
        <v/>
      </c>
      <c r="N91" s="876">
        <f>N20+N29+N36+N50+N57+N65+N72+N79+N89</f>
        <v/>
      </c>
      <c r="O91" s="876">
        <f>O20+O29+O36+O50+O57+O65+O72+O79+O89</f>
        <v/>
      </c>
      <c r="P91" s="876">
        <f>P20+P29+P36+P50+P57+P65+P72+P79+P89</f>
        <v/>
      </c>
      <c r="Q91" s="859" t="n"/>
    </row>
    <row r="92">
      <c r="B92" s="573" t="n"/>
      <c r="C92" s="590" t="n"/>
      <c r="E92" s="860" t="n"/>
      <c r="F92" s="861" t="n"/>
      <c r="G92" s="861" t="n"/>
      <c r="H92" s="861" t="n"/>
      <c r="I92" s="861" t="n"/>
      <c r="J92" s="861" t="n"/>
      <c r="K92" s="861" t="n"/>
      <c r="L92" s="861" t="n"/>
      <c r="M92" s="861" t="n"/>
      <c r="N92" s="861" t="n"/>
      <c r="O92" s="861" t="n"/>
      <c r="P92" s="861" t="n"/>
    </row>
    <row r="93">
      <c r="B93" s="609" t="inlineStr">
        <is>
          <t>Adjusted EBITDA</t>
        </is>
      </c>
      <c r="C93" s="610" t="n"/>
      <c r="D93" s="611" t="n"/>
      <c r="E93" s="877">
        <f>E91+E11</f>
        <v/>
      </c>
      <c r="F93" s="878">
        <f>F91+F11</f>
        <v/>
      </c>
      <c r="G93" s="878">
        <f>G91+G11</f>
        <v/>
      </c>
      <c r="H93" s="878">
        <f>H91+H11</f>
        <v/>
      </c>
      <c r="I93" s="878">
        <f>I91+I11</f>
        <v/>
      </c>
      <c r="J93" s="878">
        <f>J91+J11</f>
        <v/>
      </c>
      <c r="K93" s="878">
        <f>K91+K11</f>
        <v/>
      </c>
      <c r="L93" s="878">
        <f>L91+L11</f>
        <v/>
      </c>
      <c r="M93" s="878">
        <f>M91+M11</f>
        <v/>
      </c>
      <c r="N93" s="878">
        <f>N91+N11</f>
        <v/>
      </c>
      <c r="O93" s="878">
        <f>O91+O11</f>
        <v/>
      </c>
      <c r="P93" s="878">
        <f>P91+P11</f>
        <v/>
      </c>
    </row>
    <row r="94">
      <c r="C94" s="590" t="n"/>
      <c r="D94" s="649" t="n"/>
      <c r="E94" s="879">
        <f>E93-'IV. EBITDA Adjustments'!N79</f>
        <v/>
      </c>
      <c r="F94" s="879">
        <f>F93-'IV. EBITDA Adjustments'!O79</f>
        <v/>
      </c>
      <c r="G94" s="879">
        <f>G93-'IV. EBITDA Adjustments'!P79</f>
        <v/>
      </c>
      <c r="H94" s="879" t="n"/>
      <c r="I94" s="879" t="n"/>
      <c r="J94" s="879" t="n"/>
      <c r="K94" s="879" t="n"/>
      <c r="L94" s="879" t="n"/>
      <c r="M94" s="879" t="n"/>
      <c r="N94" s="879" t="n"/>
      <c r="O94" s="879" t="n"/>
      <c r="P94" s="879" t="n"/>
    </row>
    <row r="95">
      <c r="C95" s="590" t="n"/>
      <c r="E95" s="880" t="n"/>
      <c r="F95" s="880" t="n"/>
      <c r="G95" s="880" t="n"/>
      <c r="H95" s="880" t="n"/>
      <c r="I95" s="880" t="n"/>
      <c r="J95" s="880" t="n"/>
      <c r="K95" s="880" t="n"/>
      <c r="L95" s="880" t="n"/>
      <c r="M95" s="880" t="n"/>
      <c r="N95" s="880" t="n"/>
      <c r="O95" s="880" t="n"/>
      <c r="P95" s="880" t="n"/>
    </row>
    <row r="96">
      <c r="C96" s="590" t="n"/>
      <c r="F96" s="881" t="n"/>
      <c r="W96" s="881" t="n"/>
    </row>
    <row r="97">
      <c r="C97" s="590" t="n"/>
      <c r="F97" s="881" t="n"/>
      <c r="W97" s="881" t="n"/>
    </row>
    <row r="98">
      <c r="C98" s="590" t="n"/>
    </row>
    <row r="99">
      <c r="C99" s="590" t="n"/>
    </row>
    <row r="100">
      <c r="C100" s="590" t="n"/>
      <c r="G100" s="882" t="n"/>
    </row>
    <row r="101">
      <c r="C101" s="590" t="n"/>
      <c r="G101" s="882" t="n"/>
    </row>
    <row r="102">
      <c r="C102" s="590" t="n"/>
    </row>
  </sheetData>
  <pageMargins left="0.7086614173228347" right="0.7086614173228347" top="0.7480314960629921" bottom="0.7480314960629921" header="0.3149606299212598" footer="0.3149606299212598"/>
  <pageSetup orientation="portrait" scale="43" fitToHeight="0"/>
</worksheet>
</file>

<file path=xl/worksheets/sheet12.xml><?xml version="1.0" encoding="utf-8"?>
<worksheet xmlns="http://schemas.openxmlformats.org/spreadsheetml/2006/main">
  <sheetPr>
    <tabColor theme="6"/>
    <outlinePr summaryBelow="1" summaryRight="1"/>
    <pageSetUpPr fitToPage="1"/>
  </sheetPr>
  <dimension ref="B1:L42"/>
  <sheetViews>
    <sheetView showGridLines="0" view="pageBreakPreview" zoomScaleNormal="100" zoomScaleSheetLayoutView="100" workbookViewId="0">
      <selection activeCell="A1" sqref="A1"/>
    </sheetView>
  </sheetViews>
  <sheetFormatPr baseColWidth="8" defaultColWidth="9.140625" defaultRowHeight="15"/>
  <cols>
    <col width="2.7109375" customWidth="1" style="4" min="1" max="1"/>
    <col width="15.28515625" customWidth="1" style="4" min="2" max="2"/>
    <col width="15.85546875" customWidth="1" style="4" min="3" max="4"/>
    <col width="15.28515625" customWidth="1" style="4" min="5" max="10"/>
    <col width="12" customWidth="1" style="4" min="11" max="13"/>
    <col width="9.140625" customWidth="1" style="4" min="14" max="16384"/>
  </cols>
  <sheetData>
    <row r="1" ht="24.75" customFormat="1" customHeight="1" s="5">
      <c r="B1" s="247">
        <f>'I. Cover Page'!B5</f>
        <v/>
      </c>
      <c r="C1" s="256" t="n"/>
      <c r="D1" s="256" t="n"/>
      <c r="E1" s="257" t="n"/>
      <c r="F1" s="256" t="n"/>
      <c r="G1" s="256" t="n"/>
      <c r="H1" s="256" t="n"/>
      <c r="I1" s="256" t="n"/>
    </row>
    <row r="2" ht="16.5" customFormat="1" customHeight="1" s="8" thickBot="1">
      <c r="B2" s="258" t="inlineStr">
        <is>
          <t>Table of Contents</t>
        </is>
      </c>
      <c r="C2" s="259" t="n"/>
      <c r="D2" s="259" t="n"/>
      <c r="E2" s="259" t="n"/>
      <c r="F2" s="259" t="n"/>
      <c r="G2" s="259" t="n"/>
      <c r="H2" s="259" t="n"/>
      <c r="I2" s="259" t="n"/>
      <c r="J2" s="6" t="n"/>
      <c r="K2" s="7" t="n"/>
      <c r="L2" s="7" t="n"/>
    </row>
    <row r="3" ht="13.5" customFormat="1" customHeight="1" s="8" thickTop="1">
      <c r="B3" s="251">
        <f>'I. Cover Page'!B9</f>
        <v/>
      </c>
      <c r="C3" s="260" t="n"/>
      <c r="D3" s="261" t="n"/>
      <c r="E3" s="261" t="n"/>
      <c r="F3" s="261" t="n"/>
      <c r="G3" s="261" t="n"/>
      <c r="H3" s="261" t="n"/>
      <c r="I3" s="261" t="n"/>
      <c r="J3" s="9" t="inlineStr">
        <is>
          <t>$USD</t>
        </is>
      </c>
      <c r="K3" s="10" t="n"/>
      <c r="L3" s="10" t="n"/>
    </row>
    <row r="4" ht="12.75" customFormat="1" customHeight="1" s="8">
      <c r="K4" s="10" t="n"/>
      <c r="L4" s="10" t="n"/>
    </row>
    <row r="5" ht="12.75" customFormat="1" customHeight="1" s="8">
      <c r="K5" s="10" t="n"/>
      <c r="L5" s="10" t="n"/>
    </row>
    <row r="6" ht="12.75" customFormat="1" customHeight="1" s="8">
      <c r="K6" s="10" t="n"/>
      <c r="L6" s="10" t="n"/>
    </row>
    <row r="7" ht="12.75" customFormat="1" customHeight="1" s="8">
      <c r="K7" s="10" t="n"/>
      <c r="L7" s="10" t="n"/>
    </row>
    <row r="8" customFormat="1" s="12">
      <c r="C8" s="13" t="inlineStr">
        <is>
          <t>Description</t>
        </is>
      </c>
      <c r="I8" s="14" t="inlineStr">
        <is>
          <t>Page</t>
        </is>
      </c>
      <c r="K8" s="15" t="n"/>
      <c r="L8" s="15" t="n"/>
    </row>
    <row r="9" customFormat="1" s="12">
      <c r="C9" s="16" t="inlineStr">
        <is>
          <t>Cap Table…………………………………………………………………………………………………………........................................................</t>
        </is>
      </c>
      <c r="I9" s="146" t="n">
        <v>3</v>
      </c>
      <c r="K9" s="15" t="n"/>
      <c r="L9" s="15" t="n"/>
    </row>
    <row r="10" customFormat="1" s="12">
      <c r="C10" s="16" t="inlineStr">
        <is>
          <t>Valuation Summary………………………………………………………………………………………………………….......................................</t>
        </is>
      </c>
      <c r="I10" s="146" t="n">
        <v>4</v>
      </c>
      <c r="K10" s="15" t="n"/>
      <c r="L10" s="15" t="n"/>
    </row>
    <row r="11" customFormat="1" s="12">
      <c r="C11" s="16" t="inlineStr">
        <is>
          <t>Comparables…………………………………………………………………………………………………………...................................................</t>
        </is>
      </c>
      <c r="I11" s="146" t="n">
        <v>5</v>
      </c>
      <c r="K11" s="15" t="n"/>
      <c r="L11" s="15" t="n"/>
    </row>
    <row r="12" customFormat="1" s="12">
      <c r="C12" s="16" t="inlineStr">
        <is>
          <t>IRR Calcuation…………………………………………………………………………………………………………................................................</t>
        </is>
      </c>
      <c r="I12" s="146" t="n">
        <v>6</v>
      </c>
      <c r="K12" s="15" t="n"/>
      <c r="L12" s="15" t="n"/>
    </row>
    <row r="13" customFormat="1" s="12">
      <c r="C13" s="16" t="inlineStr">
        <is>
          <t>Attribution Summary…………………………………………………………………………………………………………………...............................</t>
        </is>
      </c>
      <c r="I13" s="146" t="n">
        <v>7</v>
      </c>
      <c r="K13" s="15" t="n"/>
      <c r="L13" s="15" t="n"/>
    </row>
    <row r="14" customFormat="1" s="12">
      <c r="C14" s="16" t="inlineStr">
        <is>
          <t>Financial Summary………………………………………………………………………………………………………………….....................................</t>
        </is>
      </c>
      <c r="I14" s="146" t="n">
        <v>8</v>
      </c>
      <c r="K14" s="15" t="n"/>
      <c r="L14" s="15" t="n"/>
    </row>
    <row r="15" customFormat="1" s="12">
      <c r="C15" s="16" t="inlineStr">
        <is>
          <t>LP Report…........………………………………………………………………………………………………………………….....................................</t>
        </is>
      </c>
      <c r="I15" s="146" t="n">
        <v>9</v>
      </c>
      <c r="K15" s="15" t="n"/>
      <c r="L15" s="15" t="n"/>
    </row>
    <row r="16" customFormat="1" s="12">
      <c r="C16" s="16" t="n"/>
      <c r="I16" s="146" t="n"/>
      <c r="K16" s="15" t="n"/>
      <c r="L16" s="15" t="n"/>
    </row>
    <row r="17" customFormat="1" s="17">
      <c r="C17" s="16" t="n"/>
      <c r="I17" s="146" t="n"/>
    </row>
    <row r="18" customFormat="1" s="17">
      <c r="B18" s="16" t="n"/>
      <c r="C18" s="16" t="n"/>
    </row>
    <row r="42">
      <c r="J42" s="165" t="n"/>
    </row>
  </sheetData>
  <pageMargins left="0.7086614173228347" right="0.7086614173228347" top="0.7480314960629921" bottom="0.7480314960629921" header="0.3149606299212598" footer="0.3149606299212598"/>
  <pageSetup orientation="portrait" scale="65" fitToHeight="0"/>
</worksheet>
</file>

<file path=xl/worksheets/sheet13.xml><?xml version="1.0" encoding="utf-8"?>
<worksheet xmlns="http://schemas.openxmlformats.org/spreadsheetml/2006/main">
  <sheetPr>
    <tabColor theme="6"/>
    <outlinePr summaryBelow="1" summaryRight="1"/>
    <pageSetUpPr/>
  </sheetPr>
  <dimension ref="B2:M52"/>
  <sheetViews>
    <sheetView showGridLines="0" view="pageBreakPreview" topLeftCell="A3" zoomScale="80" zoomScaleNormal="70" zoomScaleSheetLayoutView="80" workbookViewId="0">
      <selection activeCell="E19" sqref="E19"/>
    </sheetView>
  </sheetViews>
  <sheetFormatPr baseColWidth="8" defaultColWidth="9.140625" defaultRowHeight="15"/>
  <cols>
    <col width="2.5703125" customWidth="1" style="4" min="1" max="1"/>
    <col width="1.85546875" customWidth="1" style="4" min="2" max="2"/>
    <col width="74.28515625" customWidth="1" style="4" min="3" max="3"/>
    <col width="17.42578125" bestFit="1" customWidth="1" style="4" min="4" max="4"/>
    <col width="21" bestFit="1" customWidth="1" style="4" min="5" max="11"/>
    <col width="9.140625" customWidth="1" style="4" min="12" max="12"/>
    <col width="11.5703125" bestFit="1" customWidth="1" style="4" min="13" max="13"/>
    <col width="9.140625" customWidth="1" style="4" min="14" max="16384"/>
  </cols>
  <sheetData>
    <row r="2" ht="19.5" customHeight="1" thickBot="1">
      <c r="B2" s="384" t="inlineStr">
        <is>
          <t>Opus Water - Cap Table</t>
        </is>
      </c>
      <c r="C2" s="385" t="n"/>
      <c r="D2" s="385" t="n"/>
      <c r="E2" s="385" t="n"/>
      <c r="F2" s="385" t="n"/>
      <c r="G2" s="385" t="n"/>
      <c r="H2" s="385" t="n"/>
      <c r="I2" s="385" t="n"/>
      <c r="J2" s="385" t="n"/>
      <c r="K2" s="386" t="inlineStr">
        <is>
          <t>Confidential</t>
        </is>
      </c>
    </row>
    <row r="3" ht="19.5" customHeight="1" thickBot="1">
      <c r="B3" s="354" t="n"/>
      <c r="K3" s="355" t="inlineStr">
        <is>
          <t>$'s in USD</t>
        </is>
      </c>
    </row>
    <row r="4" ht="15.75" customHeight="1" thickBot="1">
      <c r="B4" s="182" t="inlineStr">
        <is>
          <t>Illustrative Equity Value at Exit</t>
        </is>
      </c>
      <c r="C4" s="183" t="n"/>
      <c r="D4" s="883">
        <f>'III. Valuation Summary'!$F$15</f>
        <v/>
      </c>
      <c r="E4" s="321" t="n"/>
      <c r="I4" s="884" t="n"/>
    </row>
    <row r="5">
      <c r="B5" s="19" t="n"/>
      <c r="C5" s="21" t="n"/>
      <c r="E5" s="885" t="n"/>
      <c r="H5" s="885" t="n"/>
      <c r="I5" s="885" t="n"/>
      <c r="J5" s="885" t="n"/>
    </row>
    <row r="6" ht="17.25" customHeight="1">
      <c r="C6" s="322" t="inlineStr">
        <is>
          <t>Opus Water Cap Table</t>
        </is>
      </c>
      <c r="D6" s="322" t="n"/>
      <c r="E6" s="322" t="n"/>
      <c r="F6" s="322" t="n"/>
      <c r="G6" s="322" t="n"/>
      <c r="H6" s="322" t="n"/>
      <c r="I6" s="322" t="n"/>
      <c r="J6" s="322" t="n"/>
      <c r="K6" s="322" t="n"/>
    </row>
    <row r="7" ht="17.25" customHeight="1">
      <c r="C7" s="323" t="n"/>
      <c r="D7" s="323" t="n"/>
      <c r="E7" s="323" t="n"/>
      <c r="F7" s="323" t="n"/>
      <c r="G7" s="323" t="n"/>
      <c r="H7" s="323" t="n"/>
      <c r="I7" s="323" t="n"/>
      <c r="J7" s="323" t="n"/>
      <c r="K7" s="323" t="n"/>
    </row>
    <row r="8" ht="14.45" customHeight="1">
      <c r="C8" s="22" t="n"/>
      <c r="D8" s="23" t="inlineStr">
        <is>
          <t>Capital</t>
        </is>
      </c>
      <c r="E8" s="23" t="inlineStr">
        <is>
          <t>Common Units</t>
        </is>
      </c>
      <c r="F8" s="23" t="inlineStr">
        <is>
          <t>Incentive Units</t>
        </is>
      </c>
      <c r="G8" s="23" t="inlineStr">
        <is>
          <t>Incentive Units</t>
        </is>
      </c>
      <c r="H8" s="24" t="inlineStr">
        <is>
          <t>Total</t>
        </is>
      </c>
      <c r="I8" s="24" t="inlineStr">
        <is>
          <t>%</t>
        </is>
      </c>
      <c r="J8" s="24" t="inlineStr">
        <is>
          <t>Total</t>
        </is>
      </c>
      <c r="K8" s="24" t="inlineStr">
        <is>
          <t>%</t>
        </is>
      </c>
    </row>
    <row r="9">
      <c r="C9" s="22" t="n"/>
      <c r="D9" s="23" t="inlineStr">
        <is>
          <t>Contributed</t>
        </is>
      </c>
      <c r="E9" s="25" t="inlineStr">
        <is>
          <t>Exercise prices&gt;&gt;&gt;</t>
        </is>
      </c>
      <c r="F9" s="886" t="n">
        <v>1</v>
      </c>
      <c r="G9" s="886" t="n">
        <v>1.6</v>
      </c>
      <c r="H9" s="24" t="inlineStr">
        <is>
          <t>(Basic)</t>
        </is>
      </c>
      <c r="I9" s="24" t="inlineStr">
        <is>
          <t>(Basic)</t>
        </is>
      </c>
      <c r="J9" s="24" t="inlineStr">
        <is>
          <t>(Fully Diluted)</t>
        </is>
      </c>
      <c r="K9" s="24" t="inlineStr">
        <is>
          <t>(Fully Diluted)</t>
        </is>
      </c>
    </row>
    <row r="10">
      <c r="C10" s="4" t="inlineStr">
        <is>
          <t>XPV Water Fund III Limited Partnership</t>
        </is>
      </c>
      <c r="D10" s="887">
        <f>12500000+3787879.18</f>
        <v/>
      </c>
      <c r="E10" s="888" t="n">
        <v>14628022</v>
      </c>
      <c r="F10" s="889" t="n"/>
      <c r="G10" s="889" t="n"/>
      <c r="H10" s="890">
        <f>E10</f>
        <v/>
      </c>
      <c r="I10" s="891">
        <f>H10/H$19</f>
        <v/>
      </c>
      <c r="J10" s="890">
        <f>SUM(E10:G10)</f>
        <v/>
      </c>
      <c r="K10" s="891">
        <f>J10/J$19</f>
        <v/>
      </c>
    </row>
    <row r="11">
      <c r="C11" s="130" t="inlineStr">
        <is>
          <t>2007 Irrevocable Trust For Family of Chris M. Raftis dated March 30,2007</t>
        </is>
      </c>
      <c r="D11" s="887">
        <f>600000+181818.1</f>
        <v/>
      </c>
      <c r="E11" s="888" t="n">
        <v>702145</v>
      </c>
      <c r="F11" s="892" t="n"/>
      <c r="G11" s="892" t="n"/>
      <c r="H11" s="890">
        <f>E11</f>
        <v/>
      </c>
      <c r="I11" s="891">
        <f>H11/H$19</f>
        <v/>
      </c>
      <c r="J11" s="890">
        <f>SUM(E11:G11)</f>
        <v/>
      </c>
      <c r="K11" s="891">
        <f>J11/J$19</f>
        <v/>
      </c>
      <c r="L11" s="356" t="n"/>
    </row>
    <row r="12">
      <c r="C12" s="4" t="inlineStr">
        <is>
          <t>Karl Trott</t>
        </is>
      </c>
      <c r="D12" s="887">
        <f>100000+30302.72</f>
        <v/>
      </c>
      <c r="E12" s="888" t="n">
        <v>117024</v>
      </c>
      <c r="F12" s="889" t="n"/>
      <c r="G12" s="889" t="n"/>
      <c r="H12" s="890">
        <f>E12</f>
        <v/>
      </c>
      <c r="I12" s="891">
        <f>H12/H$19</f>
        <v/>
      </c>
      <c r="J12" s="890">
        <f>SUM(E12:G12)</f>
        <v/>
      </c>
      <c r="K12" s="891">
        <f>J12/J$19</f>
        <v/>
      </c>
    </row>
    <row r="13">
      <c r="C13" s="21" t="inlineStr">
        <is>
          <t>John DeYarman Incentive Units</t>
        </is>
      </c>
      <c r="E13" s="889" t="n"/>
      <c r="F13" s="888" t="n">
        <v>233333</v>
      </c>
      <c r="G13" s="888" t="n">
        <v>466667</v>
      </c>
      <c r="H13" s="890" t="n"/>
      <c r="I13" s="891">
        <f>H13/H$19</f>
        <v/>
      </c>
      <c r="J13" s="890">
        <f>SUM(E13:G13)</f>
        <v/>
      </c>
      <c r="K13" s="891">
        <f>J13/J$19</f>
        <v/>
      </c>
    </row>
    <row r="14">
      <c r="C14" s="21" t="inlineStr">
        <is>
          <t>Scott Day Incentive Units</t>
        </is>
      </c>
      <c r="E14" s="889" t="n"/>
      <c r="F14" s="888" t="n"/>
      <c r="G14" s="888" t="n">
        <v>300000</v>
      </c>
      <c r="H14" s="890" t="n"/>
      <c r="I14" s="891">
        <f>H14/H$19</f>
        <v/>
      </c>
      <c r="J14" s="890">
        <f>SUM(E14:G14)</f>
        <v/>
      </c>
      <c r="K14" s="891">
        <f>J14/J$19</f>
        <v/>
      </c>
    </row>
    <row r="15">
      <c r="C15" s="327" t="inlineStr">
        <is>
          <t>2007 Irrevocable Trust For Family of Chris M. Raftis dated March 30,2007 Incentive Units</t>
        </is>
      </c>
      <c r="E15" s="892" t="n"/>
      <c r="F15" s="892" t="n"/>
      <c r="G15" s="888" t="n">
        <v>110000</v>
      </c>
      <c r="H15" s="892" t="n"/>
      <c r="I15" s="891">
        <f>H15/H$19</f>
        <v/>
      </c>
      <c r="J15" s="890">
        <f>SUM(E15:G15)</f>
        <v/>
      </c>
      <c r="K15" s="891">
        <f>J15/J$19</f>
        <v/>
      </c>
      <c r="L15" s="356" t="n"/>
      <c r="M15" s="893" t="n"/>
    </row>
    <row r="16">
      <c r="C16" s="327" t="inlineStr">
        <is>
          <t>Kevin Klau</t>
        </is>
      </c>
      <c r="E16" s="892" t="n"/>
      <c r="F16" s="892" t="n"/>
      <c r="G16" s="888" t="n">
        <v>110000</v>
      </c>
      <c r="H16" s="892" t="n"/>
      <c r="I16" s="891">
        <f>H16/H$19</f>
        <v/>
      </c>
      <c r="J16" s="890">
        <f>SUM(E16:G16)</f>
        <v/>
      </c>
      <c r="K16" s="891">
        <f>J16/J$19</f>
        <v/>
      </c>
      <c r="L16" s="356" t="n"/>
      <c r="M16" s="893" t="n"/>
    </row>
    <row r="17">
      <c r="C17" s="327" t="inlineStr">
        <is>
          <t>Warren Berenis</t>
        </is>
      </c>
      <c r="E17" s="892" t="n"/>
      <c r="F17" s="892" t="n"/>
      <c r="G17" s="888">
        <f>150000+25000</f>
        <v/>
      </c>
      <c r="H17" s="892" t="n"/>
      <c r="I17" s="891">
        <f>H17/H$19</f>
        <v/>
      </c>
      <c r="J17" s="890">
        <f>SUM(E17:G17)</f>
        <v/>
      </c>
      <c r="K17" s="891">
        <f>J17/J$19</f>
        <v/>
      </c>
      <c r="L17" s="356" t="n"/>
      <c r="M17" s="893" t="n"/>
    </row>
    <row r="18" ht="15" customHeight="1">
      <c r="C18" s="21" t="inlineStr">
        <is>
          <t>Unallocated</t>
        </is>
      </c>
      <c r="E18" s="889" t="n"/>
      <c r="F18" s="888" t="n"/>
      <c r="G18" s="890">
        <f>1400000-SUM(F13:G17)</f>
        <v/>
      </c>
      <c r="H18" s="890" t="n"/>
      <c r="I18" s="891">
        <f>H18/H$19</f>
        <v/>
      </c>
      <c r="J18" s="890">
        <f>SUM(E18:G18)</f>
        <v/>
      </c>
      <c r="K18" s="891">
        <f>J18/J$19</f>
        <v/>
      </c>
    </row>
    <row r="19">
      <c r="C19" s="19" t="inlineStr">
        <is>
          <t>Total</t>
        </is>
      </c>
      <c r="E19" s="894">
        <f>SUM(E10:E18)</f>
        <v/>
      </c>
      <c r="F19" s="894">
        <f>SUM(F10:F18)</f>
        <v/>
      </c>
      <c r="G19" s="894">
        <f>SUM(G10:G18)</f>
        <v/>
      </c>
      <c r="H19" s="894">
        <f>SUM(H10:H18)</f>
        <v/>
      </c>
      <c r="I19" s="895">
        <f>H19/H$19</f>
        <v/>
      </c>
      <c r="J19" s="894">
        <f>SUM(J10:J18)</f>
        <v/>
      </c>
      <c r="K19" s="330">
        <f>J19/J$19</f>
        <v/>
      </c>
    </row>
    <row r="21">
      <c r="B21" s="19" t="inlineStr">
        <is>
          <t>EQUITY PROCEEDS</t>
        </is>
      </c>
      <c r="F21" s="190" t="n"/>
      <c r="G21" s="190" t="n"/>
      <c r="H21" s="190" t="n"/>
      <c r="I21" s="190" t="n"/>
    </row>
    <row r="22">
      <c r="E22" s="331" t="inlineStr">
        <is>
          <t>Incentive Units</t>
        </is>
      </c>
      <c r="F22" s="331" t="inlineStr">
        <is>
          <t>Incentive Units</t>
        </is>
      </c>
      <c r="G22" s="896" t="inlineStr">
        <is>
          <t>Common Units</t>
        </is>
      </c>
      <c r="H22" s="331" t="inlineStr">
        <is>
          <t>Incentive Units</t>
        </is>
      </c>
      <c r="I22" s="331" t="inlineStr">
        <is>
          <t>Incentive Units</t>
        </is>
      </c>
      <c r="J22" s="333" t="n"/>
    </row>
    <row r="23" ht="17.25" customHeight="1">
      <c r="E23" s="334">
        <f>F9</f>
        <v/>
      </c>
      <c r="F23" s="334">
        <f>G9</f>
        <v/>
      </c>
      <c r="G23" s="897" t="n"/>
      <c r="H23" s="334">
        <f>F9</f>
        <v/>
      </c>
      <c r="I23" s="334">
        <f>G9</f>
        <v/>
      </c>
      <c r="J23" s="336" t="n"/>
    </row>
    <row r="24">
      <c r="C24" s="19" t="inlineStr">
        <is>
          <t>Equity Value</t>
        </is>
      </c>
      <c r="E24" s="898">
        <f>D4</f>
        <v/>
      </c>
      <c r="F24" s="898">
        <f>E24</f>
        <v/>
      </c>
      <c r="G24" s="899">
        <f>F24-E45-F45</f>
        <v/>
      </c>
      <c r="H24" s="898">
        <f>G24</f>
        <v/>
      </c>
      <c r="I24" s="898">
        <f>H24</f>
        <v/>
      </c>
      <c r="J24" s="900" t="n"/>
    </row>
    <row r="25" ht="5.1" customHeight="1">
      <c r="G25" s="339" t="n"/>
      <c r="J25" s="340" t="n"/>
    </row>
    <row r="26">
      <c r="C26" s="4" t="inlineStr">
        <is>
          <t>Common Units</t>
        </is>
      </c>
      <c r="E26" s="890">
        <f>E19</f>
        <v/>
      </c>
      <c r="F26" s="890">
        <f>E26</f>
        <v/>
      </c>
      <c r="G26" s="901">
        <f>E26</f>
        <v/>
      </c>
      <c r="H26" s="890">
        <f>G26</f>
        <v/>
      </c>
      <c r="I26" s="890">
        <f>H26</f>
        <v/>
      </c>
      <c r="J26" s="902" t="n"/>
    </row>
    <row r="27">
      <c r="C27" s="4" t="inlineStr">
        <is>
          <t>Incentive Units ($1.00)</t>
        </is>
      </c>
      <c r="E27" s="890">
        <f>F19</f>
        <v/>
      </c>
      <c r="F27" s="890">
        <f>E27</f>
        <v/>
      </c>
      <c r="G27" s="901">
        <f>IF(E45&lt;0,E27,0)</f>
        <v/>
      </c>
      <c r="H27" s="890">
        <f>G27</f>
        <v/>
      </c>
      <c r="I27" s="890">
        <f>H27</f>
        <v/>
      </c>
      <c r="J27" s="902" t="n"/>
    </row>
    <row r="28">
      <c r="C28" s="4" t="inlineStr">
        <is>
          <t>Incentive Units ($1.60)</t>
        </is>
      </c>
      <c r="E28" s="890">
        <f>G19</f>
        <v/>
      </c>
      <c r="F28" s="890">
        <f>E28</f>
        <v/>
      </c>
      <c r="G28" s="901">
        <f>IF(F45&lt;0,E28,0)</f>
        <v/>
      </c>
      <c r="H28" s="890">
        <f>G28</f>
        <v/>
      </c>
      <c r="I28" s="890">
        <f>H28</f>
        <v/>
      </c>
      <c r="J28" s="902" t="n"/>
    </row>
    <row r="29" ht="5.1" customHeight="1">
      <c r="E29" s="890" t="n"/>
      <c r="F29" s="890" t="n"/>
      <c r="G29" s="901" t="n"/>
      <c r="H29" s="890" t="n"/>
      <c r="I29" s="890" t="n"/>
      <c r="J29" s="902" t="n"/>
    </row>
    <row r="30">
      <c r="C30" s="19" t="inlineStr">
        <is>
          <t>Total Units</t>
        </is>
      </c>
      <c r="E30" s="894">
        <f>SUM(E26:E29)</f>
        <v/>
      </c>
      <c r="F30" s="894">
        <f>SUM(F26:F29)</f>
        <v/>
      </c>
      <c r="G30" s="903">
        <f>SUM(G26:G29)</f>
        <v/>
      </c>
      <c r="H30" s="894">
        <f>SUM(H26:H29)</f>
        <v/>
      </c>
      <c r="I30" s="894">
        <f>SUM(I26:I29)</f>
        <v/>
      </c>
      <c r="J30" s="904" t="n"/>
    </row>
    <row r="31">
      <c r="C31" s="19" t="inlineStr">
        <is>
          <t>Equity Value Per Unit</t>
        </is>
      </c>
      <c r="E31" s="905">
        <f>E24/E30</f>
        <v/>
      </c>
      <c r="F31" s="905">
        <f>F24/F30</f>
        <v/>
      </c>
      <c r="G31" s="906">
        <f>G24/G30</f>
        <v/>
      </c>
      <c r="H31" s="905">
        <f>H24/H30</f>
        <v/>
      </c>
      <c r="I31" s="905">
        <f>I24/I30</f>
        <v/>
      </c>
      <c r="J31" s="907" t="n"/>
    </row>
    <row r="32">
      <c r="G32" s="339" t="n"/>
    </row>
    <row r="33" ht="17.25" customHeight="1">
      <c r="E33" s="908" t="inlineStr">
        <is>
          <t>Options Exercise</t>
        </is>
      </c>
      <c r="F33" s="192" t="n"/>
      <c r="G33" s="909" t="inlineStr">
        <is>
          <t>Common Units</t>
        </is>
      </c>
      <c r="H33" s="192" t="n"/>
      <c r="I33" s="192" t="n"/>
      <c r="J33" s="910" t="n"/>
    </row>
    <row r="34" ht="17.25" customHeight="1">
      <c r="E34" s="911" t="inlineStr">
        <is>
          <t>Incentive Units ($1.00)</t>
        </is>
      </c>
      <c r="F34" s="911" t="inlineStr">
        <is>
          <t>Incentive Units ($1.60)</t>
        </is>
      </c>
      <c r="G34" s="897" t="inlineStr">
        <is>
          <t>Common Units</t>
        </is>
      </c>
      <c r="H34" s="911" t="inlineStr">
        <is>
          <t>Incentive Units ($1.00)</t>
        </is>
      </c>
      <c r="I34" s="911" t="inlineStr">
        <is>
          <t>Incentive Units ($1.60)</t>
        </is>
      </c>
      <c r="J34" s="912" t="inlineStr">
        <is>
          <t>Proceeds</t>
        </is>
      </c>
    </row>
    <row r="35">
      <c r="C35" s="4" t="inlineStr">
        <is>
          <t>XPV Water Fund III Limited Partnership</t>
        </is>
      </c>
      <c r="E35" s="913">
        <f>IF(H$31&gt;F$9,-F$9*F10,0)</f>
        <v/>
      </c>
      <c r="F35" s="913">
        <f>IF(I$31&gt;G$9,-G$9*G10,0)</f>
        <v/>
      </c>
      <c r="G35" s="914">
        <f>E10*G$31</f>
        <v/>
      </c>
      <c r="H35" s="913">
        <f>IF(E$45&lt;0,F10*H$31,0)</f>
        <v/>
      </c>
      <c r="I35" s="913">
        <f>IF(F$45&lt;0,G10*I$31,0)</f>
        <v/>
      </c>
      <c r="J35" s="915">
        <f>SUM(E35:I35)</f>
        <v/>
      </c>
    </row>
    <row r="36">
      <c r="C36" s="130" t="inlineStr">
        <is>
          <t>2007 Irrevocable Trust For Family of Chris M. Raftis dated March 30,2007</t>
        </is>
      </c>
      <c r="E36" s="913">
        <f>IF(H$31&gt;F$9,-F$9*F11,0)</f>
        <v/>
      </c>
      <c r="F36" s="913">
        <f>IF(I$31&gt;G$9,-G$9*G11,0)</f>
        <v/>
      </c>
      <c r="G36" s="914">
        <f>E11*G$31</f>
        <v/>
      </c>
      <c r="H36" s="913">
        <f>IF(E$45&lt;0,F11*H$31,0)</f>
        <v/>
      </c>
      <c r="I36" s="913">
        <f>IF(F$45&lt;0,G11*I$31,0)</f>
        <v/>
      </c>
      <c r="J36" s="915">
        <f>SUM(E36:I36)</f>
        <v/>
      </c>
    </row>
    <row r="37">
      <c r="C37" s="4" t="inlineStr">
        <is>
          <t>PTI Inc. Seller (Karl Trott)</t>
        </is>
      </c>
      <c r="E37" s="913">
        <f>IF(H$31&gt;F$9,-F$9*F12,0)</f>
        <v/>
      </c>
      <c r="F37" s="913">
        <f>IF(I$31&gt;G$9,-G$9*G12,0)</f>
        <v/>
      </c>
      <c r="G37" s="914">
        <f>E12*G$31</f>
        <v/>
      </c>
      <c r="H37" s="913">
        <f>IF(E$45&lt;0,F12*H$31,0)</f>
        <v/>
      </c>
      <c r="I37" s="913">
        <f>IF(F$45&lt;0,G12*I$31,0)</f>
        <v/>
      </c>
      <c r="J37" s="915">
        <f>SUM(E37:I37)</f>
        <v/>
      </c>
    </row>
    <row r="38">
      <c r="C38" s="21" t="inlineStr">
        <is>
          <t>John DeYarman Incentive Units</t>
        </is>
      </c>
      <c r="E38" s="913">
        <f>IF(H$31&gt;F$9,-F$9*F13,0)</f>
        <v/>
      </c>
      <c r="F38" s="913">
        <f>IF(I$31&gt;G$9,-G$9*G13,0)</f>
        <v/>
      </c>
      <c r="G38" s="914" t="n"/>
      <c r="H38" s="913">
        <f>IF(E$45&lt;0,F13*H$31,0)</f>
        <v/>
      </c>
      <c r="I38" s="913">
        <f>IF(F$45&lt;0,G13*I$31,0)</f>
        <v/>
      </c>
      <c r="J38" s="915">
        <f>SUM(E38:I38)</f>
        <v/>
      </c>
    </row>
    <row r="39">
      <c r="C39" s="21" t="inlineStr">
        <is>
          <t>Scott Day Incentive Units</t>
        </is>
      </c>
      <c r="E39" s="913">
        <f>IF(H$31&gt;F$9,-F$9*F14,0)</f>
        <v/>
      </c>
      <c r="F39" s="913">
        <f>IF(I$31&gt;G$9,-G$9*G14,0)</f>
        <v/>
      </c>
      <c r="G39" s="914" t="n"/>
      <c r="H39" s="913">
        <f>IF(E$45&lt;0,F14*H$31,0)</f>
        <v/>
      </c>
      <c r="I39" s="913">
        <f>IF(F$45&lt;0,G14*I$31,0)</f>
        <v/>
      </c>
      <c r="J39" s="915">
        <f>SUM(E39:I39)</f>
        <v/>
      </c>
    </row>
    <row r="40">
      <c r="C40" s="327" t="inlineStr">
        <is>
          <t>2007 Irrevocable Trust For Family of Chris M. Raftis dated March 30,2007 Incentive Units</t>
        </is>
      </c>
      <c r="E40" s="913">
        <f>IF(H$31&gt;F$9,-F$9*F15,0)</f>
        <v/>
      </c>
      <c r="F40" s="913">
        <f>IF(I$31&gt;G$9,-G$9*G15,0)</f>
        <v/>
      </c>
      <c r="G40" s="914" t="n"/>
      <c r="H40" s="913">
        <f>IF(E$45&lt;0,F15*H$31,0)</f>
        <v/>
      </c>
      <c r="I40" s="913">
        <f>IF(F$45&lt;0,G15*I$31,0)</f>
        <v/>
      </c>
      <c r="J40" s="915">
        <f>SUM(E40:I40)</f>
        <v/>
      </c>
    </row>
    <row r="41">
      <c r="C41" s="327" t="inlineStr">
        <is>
          <t>Kevin Klau</t>
        </is>
      </c>
      <c r="E41" s="913">
        <f>IF(H$31&gt;F$9,-F$9*F16,0)</f>
        <v/>
      </c>
      <c r="F41" s="913">
        <f>IF(I$31&gt;G$9,-G$9*G16,0)</f>
        <v/>
      </c>
      <c r="G41" s="914" t="n"/>
      <c r="H41" s="913">
        <f>IF(E$45&lt;0,F16*H$31,0)</f>
        <v/>
      </c>
      <c r="I41" s="913">
        <f>IF(F$45&lt;0,G16*I$31,0)</f>
        <v/>
      </c>
      <c r="J41" s="915">
        <f>SUM(E41:I41)</f>
        <v/>
      </c>
    </row>
    <row r="42">
      <c r="C42" s="327" t="inlineStr">
        <is>
          <t>Warren Berenis</t>
        </is>
      </c>
      <c r="E42" s="913">
        <f>IF(H$31&gt;F$9,-F$9*F17,0)</f>
        <v/>
      </c>
      <c r="F42" s="913">
        <f>IF(I$31&gt;G$9,-G$9*G17,0)</f>
        <v/>
      </c>
      <c r="G42" s="914" t="n"/>
      <c r="H42" s="913">
        <f>IF(E$45&lt;0,F17*H$31,0)</f>
        <v/>
      </c>
      <c r="I42" s="913">
        <f>IF(F$45&lt;0,G17*I$31,0)</f>
        <v/>
      </c>
      <c r="J42" s="915">
        <f>SUM(E42:I42)</f>
        <v/>
      </c>
    </row>
    <row r="43">
      <c r="C43" s="21" t="inlineStr">
        <is>
          <t>Unallocated</t>
        </is>
      </c>
      <c r="E43" s="913">
        <f>IF(H$31&gt;F$9,-F$9*F18,0)</f>
        <v/>
      </c>
      <c r="F43" s="913">
        <f>IF(I$31&gt;G$9,-G$9*G18,0)</f>
        <v/>
      </c>
      <c r="G43" s="914" t="n"/>
      <c r="H43" s="913">
        <f>IF(E$45&lt;0,F18*H$31,0)</f>
        <v/>
      </c>
      <c r="I43" s="913">
        <f>IF(F$45&lt;0,G18*I$31,0)</f>
        <v/>
      </c>
      <c r="J43" s="915">
        <f>SUM(E43:I43)</f>
        <v/>
      </c>
    </row>
    <row r="44" ht="5.1" customHeight="1">
      <c r="C44" s="21" t="n"/>
      <c r="E44" s="913" t="n"/>
      <c r="F44" s="913" t="n"/>
      <c r="G44" s="914" t="n"/>
      <c r="H44" s="913" t="n"/>
      <c r="I44" s="913" t="n"/>
      <c r="J44" s="915" t="n"/>
    </row>
    <row r="45">
      <c r="C45" s="195" t="inlineStr">
        <is>
          <t>TOTAL</t>
        </is>
      </c>
      <c r="D45" s="196" t="n"/>
      <c r="E45" s="916">
        <f>SUM(E35:E44)</f>
        <v/>
      </c>
      <c r="F45" s="916">
        <f>SUM(F35:F44)</f>
        <v/>
      </c>
      <c r="G45" s="917">
        <f>SUM(G35:G44)</f>
        <v/>
      </c>
      <c r="H45" s="916">
        <f>SUM(H35:H44)</f>
        <v/>
      </c>
      <c r="I45" s="916">
        <f>SUM(I35:I44)</f>
        <v/>
      </c>
      <c r="J45" s="918">
        <f>SUM(J35:J44)</f>
        <v/>
      </c>
    </row>
    <row r="47">
      <c r="J47" s="919" t="n"/>
    </row>
    <row r="48">
      <c r="F48" s="190" t="n"/>
      <c r="G48" s="920" t="n"/>
      <c r="H48" s="190" t="n"/>
      <c r="I48" s="190" t="n"/>
    </row>
    <row r="49">
      <c r="F49" s="190" t="n"/>
      <c r="G49" s="190" t="n"/>
      <c r="H49" s="190" t="n"/>
      <c r="I49" s="190" t="n"/>
    </row>
    <row r="50">
      <c r="F50" s="190" t="n"/>
      <c r="G50" s="190" t="n"/>
      <c r="H50" s="190" t="n"/>
      <c r="I50" s="190" t="n"/>
    </row>
    <row r="51">
      <c r="F51" s="190" t="n"/>
      <c r="G51" s="190" t="n"/>
      <c r="H51" s="190" t="n"/>
      <c r="I51" s="190" t="n"/>
    </row>
    <row r="52">
      <c r="F52" s="190" t="n"/>
      <c r="G52" s="190" t="n"/>
      <c r="H52" s="190" t="n"/>
      <c r="I52" s="190" t="n"/>
    </row>
  </sheetData>
  <pageMargins left="0.7" right="0.7" top="0.75" bottom="0.75" header="0.3" footer="0.3"/>
  <pageSetup orientation="landscape" scale="38"/>
  <legacyDrawing xmlns:r="http://schemas.openxmlformats.org/officeDocument/2006/relationships" r:id="anysvml"/>
</worksheet>
</file>

<file path=xl/worksheets/sheet14.xml><?xml version="1.0" encoding="utf-8"?>
<worksheet xmlns="http://schemas.openxmlformats.org/spreadsheetml/2006/main">
  <sheetPr>
    <tabColor theme="6"/>
    <outlinePr summaryBelow="1" summaryRight="1"/>
    <pageSetUpPr/>
  </sheetPr>
  <dimension ref="B2:M52"/>
  <sheetViews>
    <sheetView showGridLines="0" view="pageBreakPreview" zoomScale="80" zoomScaleNormal="70" zoomScaleSheetLayoutView="80" workbookViewId="0">
      <selection activeCell="D4" sqref="D4"/>
    </sheetView>
  </sheetViews>
  <sheetFormatPr baseColWidth="8" defaultColWidth="9.140625" defaultRowHeight="15"/>
  <cols>
    <col width="2.5703125" customWidth="1" style="4" min="1" max="1"/>
    <col width="1.85546875" customWidth="1" style="4" min="2" max="2"/>
    <col width="74.28515625" customWidth="1" style="4" min="3" max="3"/>
    <col width="17.42578125" bestFit="1" customWidth="1" style="4" min="4" max="4"/>
    <col width="21" bestFit="1" customWidth="1" style="4" min="5" max="11"/>
    <col width="9.140625" customWidth="1" style="4" min="12" max="12"/>
    <col width="11.5703125" bestFit="1" customWidth="1" style="4" min="13" max="13"/>
    <col width="9.140625" customWidth="1" style="4" min="14" max="16384"/>
  </cols>
  <sheetData>
    <row r="2" ht="19.5" customHeight="1" thickBot="1">
      <c r="B2" s="384" t="inlineStr">
        <is>
          <t>Opus Water - Cap Table</t>
        </is>
      </c>
      <c r="C2" s="385" t="n"/>
      <c r="D2" s="385" t="n"/>
      <c r="E2" s="385" t="n"/>
      <c r="F2" s="385" t="n"/>
      <c r="G2" s="385" t="n"/>
      <c r="H2" s="385" t="n"/>
      <c r="I2" s="385" t="n"/>
      <c r="J2" s="385" t="n"/>
      <c r="K2" s="386" t="inlineStr">
        <is>
          <t>Confidential</t>
        </is>
      </c>
    </row>
    <row r="3" ht="19.5" customHeight="1" thickBot="1">
      <c r="B3" s="354" t="n"/>
      <c r="K3" s="355" t="inlineStr">
        <is>
          <t>$'s in USD</t>
        </is>
      </c>
    </row>
    <row r="4" ht="15.75" customHeight="1" thickBot="1">
      <c r="B4" s="182" t="inlineStr">
        <is>
          <t>Illustrative Equity Value at Exit</t>
        </is>
      </c>
      <c r="C4" s="183" t="n"/>
      <c r="D4" s="883">
        <f>'III. Valuation Summary'!H15</f>
        <v/>
      </c>
      <c r="E4" s="321" t="n"/>
      <c r="I4" s="884" t="n"/>
    </row>
    <row r="5">
      <c r="B5" s="19" t="n"/>
      <c r="C5" s="21" t="n"/>
      <c r="E5" s="885" t="n"/>
      <c r="H5" s="885" t="n"/>
      <c r="I5" s="885" t="n"/>
      <c r="J5" s="885" t="n"/>
    </row>
    <row r="6" ht="17.25" customHeight="1">
      <c r="C6" s="322" t="inlineStr">
        <is>
          <t>Opus Water Cap Table</t>
        </is>
      </c>
      <c r="D6" s="322" t="n"/>
      <c r="E6" s="322" t="n"/>
      <c r="F6" s="322" t="n"/>
      <c r="G6" s="322" t="n"/>
      <c r="H6" s="322" t="n"/>
      <c r="I6" s="322" t="n"/>
      <c r="J6" s="322" t="n"/>
      <c r="K6" s="322" t="n"/>
    </row>
    <row r="7" ht="17.25" customHeight="1">
      <c r="C7" s="323" t="n"/>
      <c r="D7" s="323" t="n"/>
      <c r="E7" s="323" t="n"/>
      <c r="F7" s="323" t="n"/>
      <c r="G7" s="323" t="n"/>
      <c r="H7" s="323" t="n"/>
      <c r="I7" s="323" t="n"/>
      <c r="J7" s="323" t="n"/>
      <c r="K7" s="323" t="n"/>
    </row>
    <row r="8" ht="14.45" customHeight="1">
      <c r="C8" s="22" t="n"/>
      <c r="D8" s="23" t="inlineStr">
        <is>
          <t>Capital</t>
        </is>
      </c>
      <c r="E8" s="23" t="inlineStr">
        <is>
          <t>Common Units</t>
        </is>
      </c>
      <c r="F8" s="23" t="inlineStr">
        <is>
          <t>Incentive Units</t>
        </is>
      </c>
      <c r="G8" s="23" t="inlineStr">
        <is>
          <t>Incentive Units</t>
        </is>
      </c>
      <c r="H8" s="24" t="inlineStr">
        <is>
          <t>Total</t>
        </is>
      </c>
      <c r="I8" s="24" t="inlineStr">
        <is>
          <t>%</t>
        </is>
      </c>
      <c r="J8" s="24" t="inlineStr">
        <is>
          <t>Total</t>
        </is>
      </c>
      <c r="K8" s="24" t="inlineStr">
        <is>
          <t>%</t>
        </is>
      </c>
    </row>
    <row r="9">
      <c r="C9" s="22" t="n"/>
      <c r="D9" s="23" t="inlineStr">
        <is>
          <t>Contributed</t>
        </is>
      </c>
      <c r="E9" s="25" t="inlineStr">
        <is>
          <t>Exercise prices&gt;&gt;&gt;</t>
        </is>
      </c>
      <c r="F9" s="886" t="n">
        <v>1</v>
      </c>
      <c r="G9" s="886" t="n">
        <v>1.6</v>
      </c>
      <c r="H9" s="24" t="inlineStr">
        <is>
          <t>(Basic)</t>
        </is>
      </c>
      <c r="I9" s="24" t="inlineStr">
        <is>
          <t>(Basic)</t>
        </is>
      </c>
      <c r="J9" s="24" t="inlineStr">
        <is>
          <t>(Fully Diluted)</t>
        </is>
      </c>
      <c r="K9" s="24" t="inlineStr">
        <is>
          <t>(Fully Diluted)</t>
        </is>
      </c>
    </row>
    <row r="10">
      <c r="C10" s="4" t="inlineStr">
        <is>
          <t>XPV Water Fund III Limited Partnership</t>
        </is>
      </c>
      <c r="D10" s="887">
        <f>12500000+3787879.18</f>
        <v/>
      </c>
      <c r="E10" s="888" t="n">
        <v>14628022</v>
      </c>
      <c r="F10" s="889" t="n"/>
      <c r="G10" s="889" t="n"/>
      <c r="H10" s="890">
        <f>E10</f>
        <v/>
      </c>
      <c r="I10" s="891">
        <f>H10/H$19</f>
        <v/>
      </c>
      <c r="J10" s="890">
        <f>SUM(E10:G10)</f>
        <v/>
      </c>
      <c r="K10" s="891">
        <f>J10/J$19</f>
        <v/>
      </c>
    </row>
    <row r="11">
      <c r="C11" s="130" t="inlineStr">
        <is>
          <t>2007 Irrevocable Trust For Family of Chris M. Raftis dated March 30,2007</t>
        </is>
      </c>
      <c r="D11" s="887">
        <f>600000+181818.1</f>
        <v/>
      </c>
      <c r="E11" s="888" t="n">
        <v>702145</v>
      </c>
      <c r="F11" s="892" t="n"/>
      <c r="G11" s="892" t="n"/>
      <c r="H11" s="890">
        <f>E11</f>
        <v/>
      </c>
      <c r="I11" s="891">
        <f>H11/H$19</f>
        <v/>
      </c>
      <c r="J11" s="890">
        <f>SUM(E11:G11)</f>
        <v/>
      </c>
      <c r="K11" s="891">
        <f>J11/J$19</f>
        <v/>
      </c>
      <c r="L11" s="356" t="n"/>
    </row>
    <row r="12">
      <c r="C12" s="4" t="inlineStr">
        <is>
          <t>Karl Trott</t>
        </is>
      </c>
      <c r="D12" s="887">
        <f>100000+30302.72</f>
        <v/>
      </c>
      <c r="E12" s="888" t="n">
        <v>117024</v>
      </c>
      <c r="F12" s="889" t="n"/>
      <c r="G12" s="889" t="n"/>
      <c r="H12" s="890">
        <f>E12</f>
        <v/>
      </c>
      <c r="I12" s="891">
        <f>H12/H$19</f>
        <v/>
      </c>
      <c r="J12" s="890">
        <f>SUM(E12:G12)</f>
        <v/>
      </c>
      <c r="K12" s="891">
        <f>J12/J$19</f>
        <v/>
      </c>
    </row>
    <row r="13">
      <c r="C13" s="21" t="inlineStr">
        <is>
          <t>John DeYarman Incentive Units</t>
        </is>
      </c>
      <c r="E13" s="889" t="n"/>
      <c r="F13" s="888" t="n">
        <v>233333</v>
      </c>
      <c r="G13" s="888" t="n">
        <v>466667</v>
      </c>
      <c r="H13" s="890" t="n"/>
      <c r="I13" s="891">
        <f>H13/H$19</f>
        <v/>
      </c>
      <c r="J13" s="890">
        <f>SUM(E13:G13)</f>
        <v/>
      </c>
      <c r="K13" s="891">
        <f>J13/J$19</f>
        <v/>
      </c>
    </row>
    <row r="14">
      <c r="C14" s="21" t="inlineStr">
        <is>
          <t>Scott Day Incentive Units</t>
        </is>
      </c>
      <c r="E14" s="889" t="n"/>
      <c r="F14" s="888" t="n"/>
      <c r="G14" s="888" t="n">
        <v>300000</v>
      </c>
      <c r="H14" s="890" t="n"/>
      <c r="I14" s="891">
        <f>H14/H$19</f>
        <v/>
      </c>
      <c r="J14" s="890">
        <f>SUM(E14:G14)</f>
        <v/>
      </c>
      <c r="K14" s="891">
        <f>J14/J$19</f>
        <v/>
      </c>
    </row>
    <row r="15">
      <c r="C15" s="327" t="inlineStr">
        <is>
          <t>2007 Irrevocable Trust For Family of Chris M. Raftis dated March 30,2007 Incentive Units</t>
        </is>
      </c>
      <c r="E15" s="892" t="n"/>
      <c r="F15" s="892" t="n"/>
      <c r="G15" s="888" t="n">
        <v>110000</v>
      </c>
      <c r="H15" s="892" t="n"/>
      <c r="I15" s="891">
        <f>H15/H$19</f>
        <v/>
      </c>
      <c r="J15" s="890">
        <f>SUM(E15:G15)</f>
        <v/>
      </c>
      <c r="K15" s="891">
        <f>J15/J$19</f>
        <v/>
      </c>
      <c r="L15" s="356" t="n"/>
      <c r="M15" s="893" t="n"/>
    </row>
    <row r="16">
      <c r="C16" s="327" t="inlineStr">
        <is>
          <t>Kevin Klau</t>
        </is>
      </c>
      <c r="E16" s="892" t="n"/>
      <c r="F16" s="892" t="n"/>
      <c r="G16" s="888" t="n">
        <v>110000</v>
      </c>
      <c r="H16" s="892" t="n"/>
      <c r="I16" s="891">
        <f>H16/H$19</f>
        <v/>
      </c>
      <c r="J16" s="890">
        <f>SUM(E16:G16)</f>
        <v/>
      </c>
      <c r="K16" s="891">
        <f>J16/J$19</f>
        <v/>
      </c>
      <c r="L16" s="356" t="n"/>
      <c r="M16" s="893" t="n"/>
    </row>
    <row r="17">
      <c r="C17" s="327" t="inlineStr">
        <is>
          <t>Warren Berenis</t>
        </is>
      </c>
      <c r="E17" s="892" t="n"/>
      <c r="F17" s="892" t="n"/>
      <c r="G17" s="888">
        <f>150000+25000</f>
        <v/>
      </c>
      <c r="H17" s="892" t="n"/>
      <c r="I17" s="891">
        <f>H17/H$19</f>
        <v/>
      </c>
      <c r="J17" s="890">
        <f>SUM(E17:G17)</f>
        <v/>
      </c>
      <c r="K17" s="891">
        <f>J17/J$19</f>
        <v/>
      </c>
      <c r="L17" s="356" t="n"/>
      <c r="M17" s="893" t="n"/>
    </row>
    <row r="18" ht="15" customHeight="1">
      <c r="C18" s="21" t="inlineStr">
        <is>
          <t>Unallocated</t>
        </is>
      </c>
      <c r="E18" s="889" t="n"/>
      <c r="F18" s="888" t="n"/>
      <c r="G18" s="890">
        <f>1400000-SUM(F13:G17)</f>
        <v/>
      </c>
      <c r="H18" s="890" t="n"/>
      <c r="I18" s="891">
        <f>H18/H$19</f>
        <v/>
      </c>
      <c r="J18" s="890">
        <f>SUM(E18:G18)</f>
        <v/>
      </c>
      <c r="K18" s="891">
        <f>J18/J$19</f>
        <v/>
      </c>
    </row>
    <row r="19">
      <c r="C19" s="19" t="inlineStr">
        <is>
          <t>Total</t>
        </is>
      </c>
      <c r="E19" s="894">
        <f>SUM(E10:E18)</f>
        <v/>
      </c>
      <c r="F19" s="894">
        <f>SUM(F10:F18)</f>
        <v/>
      </c>
      <c r="G19" s="894">
        <f>SUM(G10:G18)</f>
        <v/>
      </c>
      <c r="H19" s="894">
        <f>SUM(H10:H18)</f>
        <v/>
      </c>
      <c r="I19" s="895">
        <f>H19/H$19</f>
        <v/>
      </c>
      <c r="J19" s="894">
        <f>SUM(J10:J18)</f>
        <v/>
      </c>
      <c r="K19" s="330">
        <f>J19/J$19</f>
        <v/>
      </c>
    </row>
    <row r="21">
      <c r="B21" s="19" t="inlineStr">
        <is>
          <t>EQUITY PROCEEDS</t>
        </is>
      </c>
      <c r="F21" s="190" t="n"/>
      <c r="G21" s="190" t="n"/>
      <c r="H21" s="190" t="n"/>
      <c r="I21" s="190" t="n"/>
    </row>
    <row r="22">
      <c r="E22" s="331" t="inlineStr">
        <is>
          <t>Incentive Units</t>
        </is>
      </c>
      <c r="F22" s="331" t="inlineStr">
        <is>
          <t>Incentive Units</t>
        </is>
      </c>
      <c r="G22" s="896" t="inlineStr">
        <is>
          <t>Common Units</t>
        </is>
      </c>
      <c r="H22" s="331" t="inlineStr">
        <is>
          <t>Incentive Units</t>
        </is>
      </c>
      <c r="I22" s="331" t="inlineStr">
        <is>
          <t>Incentive Units</t>
        </is>
      </c>
      <c r="J22" s="333" t="n"/>
    </row>
    <row r="23" ht="17.25" customHeight="1">
      <c r="E23" s="334">
        <f>F9</f>
        <v/>
      </c>
      <c r="F23" s="334">
        <f>G9</f>
        <v/>
      </c>
      <c r="G23" s="897" t="n"/>
      <c r="H23" s="334">
        <f>F9</f>
        <v/>
      </c>
      <c r="I23" s="334">
        <f>G9</f>
        <v/>
      </c>
      <c r="J23" s="336" t="n"/>
    </row>
    <row r="24">
      <c r="C24" s="19" t="inlineStr">
        <is>
          <t>Equity Value</t>
        </is>
      </c>
      <c r="E24" s="898">
        <f>D4</f>
        <v/>
      </c>
      <c r="F24" s="898">
        <f>E24</f>
        <v/>
      </c>
      <c r="G24" s="899">
        <f>F24-E45-F45</f>
        <v/>
      </c>
      <c r="H24" s="898">
        <f>G24</f>
        <v/>
      </c>
      <c r="I24" s="898">
        <f>H24</f>
        <v/>
      </c>
      <c r="J24" s="900" t="n"/>
    </row>
    <row r="25" ht="5.1" customHeight="1">
      <c r="G25" s="339" t="n"/>
      <c r="J25" s="340" t="n"/>
    </row>
    <row r="26">
      <c r="C26" s="4" t="inlineStr">
        <is>
          <t>Common Units</t>
        </is>
      </c>
      <c r="E26" s="890">
        <f>E19</f>
        <v/>
      </c>
      <c r="F26" s="890">
        <f>E26</f>
        <v/>
      </c>
      <c r="G26" s="901">
        <f>E26</f>
        <v/>
      </c>
      <c r="H26" s="890">
        <f>G26</f>
        <v/>
      </c>
      <c r="I26" s="890">
        <f>H26</f>
        <v/>
      </c>
      <c r="J26" s="902" t="n"/>
    </row>
    <row r="27">
      <c r="C27" s="4" t="inlineStr">
        <is>
          <t>Incentive Units ($1.00)</t>
        </is>
      </c>
      <c r="E27" s="890">
        <f>F19</f>
        <v/>
      </c>
      <c r="F27" s="890">
        <f>E27</f>
        <v/>
      </c>
      <c r="G27" s="901">
        <f>IF(E45&lt;0,E27,0)</f>
        <v/>
      </c>
      <c r="H27" s="890">
        <f>G27</f>
        <v/>
      </c>
      <c r="I27" s="890">
        <f>H27</f>
        <v/>
      </c>
      <c r="J27" s="902" t="n"/>
    </row>
    <row r="28">
      <c r="C28" s="4" t="inlineStr">
        <is>
          <t>Incentive Units ($1.60)</t>
        </is>
      </c>
      <c r="E28" s="890">
        <f>G19</f>
        <v/>
      </c>
      <c r="F28" s="890">
        <f>E28</f>
        <v/>
      </c>
      <c r="G28" s="901">
        <f>IF(F45&lt;0,E28,0)</f>
        <v/>
      </c>
      <c r="H28" s="890">
        <f>G28</f>
        <v/>
      </c>
      <c r="I28" s="890">
        <f>H28</f>
        <v/>
      </c>
      <c r="J28" s="902" t="n"/>
    </row>
    <row r="29" ht="5.1" customHeight="1">
      <c r="E29" s="890" t="n"/>
      <c r="F29" s="890" t="n"/>
      <c r="G29" s="901" t="n"/>
      <c r="H29" s="890" t="n"/>
      <c r="I29" s="890" t="n"/>
      <c r="J29" s="902" t="n"/>
    </row>
    <row r="30">
      <c r="C30" s="19" t="inlineStr">
        <is>
          <t>Total Units</t>
        </is>
      </c>
      <c r="E30" s="894">
        <f>SUM(E26:E29)</f>
        <v/>
      </c>
      <c r="F30" s="894">
        <f>SUM(F26:F29)</f>
        <v/>
      </c>
      <c r="G30" s="903">
        <f>SUM(G26:G29)</f>
        <v/>
      </c>
      <c r="H30" s="894">
        <f>SUM(H26:H29)</f>
        <v/>
      </c>
      <c r="I30" s="894">
        <f>SUM(I26:I29)</f>
        <v/>
      </c>
      <c r="J30" s="904" t="n"/>
    </row>
    <row r="31">
      <c r="C31" s="19" t="inlineStr">
        <is>
          <t>Equity Value Per Unit</t>
        </is>
      </c>
      <c r="E31" s="905">
        <f>E24/E30</f>
        <v/>
      </c>
      <c r="F31" s="905">
        <f>F24/F30</f>
        <v/>
      </c>
      <c r="G31" s="906">
        <f>G24/G30</f>
        <v/>
      </c>
      <c r="H31" s="905">
        <f>H24/H30</f>
        <v/>
      </c>
      <c r="I31" s="905">
        <f>I24/I30</f>
        <v/>
      </c>
      <c r="J31" s="907" t="n"/>
    </row>
    <row r="32">
      <c r="G32" s="339" t="n"/>
    </row>
    <row r="33" ht="17.25" customHeight="1">
      <c r="E33" s="908" t="inlineStr">
        <is>
          <t>Options Exercise</t>
        </is>
      </c>
      <c r="F33" s="192" t="n"/>
      <c r="G33" s="909" t="inlineStr">
        <is>
          <t>Common Units</t>
        </is>
      </c>
      <c r="H33" s="192" t="n"/>
      <c r="I33" s="192" t="n"/>
      <c r="J33" s="910" t="n"/>
    </row>
    <row r="34" ht="17.25" customHeight="1">
      <c r="E34" s="911" t="inlineStr">
        <is>
          <t>Incentive Units ($1.00)</t>
        </is>
      </c>
      <c r="F34" s="911" t="inlineStr">
        <is>
          <t>Incentive Units ($1.60)</t>
        </is>
      </c>
      <c r="G34" s="897" t="inlineStr">
        <is>
          <t>Common Units</t>
        </is>
      </c>
      <c r="H34" s="911" t="inlineStr">
        <is>
          <t>Incentive Units ($1.00)</t>
        </is>
      </c>
      <c r="I34" s="911" t="inlineStr">
        <is>
          <t>Incentive Units ($1.60)</t>
        </is>
      </c>
      <c r="J34" s="912" t="inlineStr">
        <is>
          <t>Proceeds</t>
        </is>
      </c>
    </row>
    <row r="35">
      <c r="C35" s="4" t="inlineStr">
        <is>
          <t>XPV Water Fund III Limited Partnership</t>
        </is>
      </c>
      <c r="E35" s="913">
        <f>IF(H$31&gt;F$9,-F$9*F10,0)</f>
        <v/>
      </c>
      <c r="F35" s="913">
        <f>IF(I$31&gt;G$9,-G$9*G10,0)</f>
        <v/>
      </c>
      <c r="G35" s="914">
        <f>E10*G$31</f>
        <v/>
      </c>
      <c r="H35" s="913">
        <f>IF(E$45&lt;0,F10*H$31,0)</f>
        <v/>
      </c>
      <c r="I35" s="913">
        <f>IF(F$45&lt;0,G10*I$31,0)</f>
        <v/>
      </c>
      <c r="J35" s="915">
        <f>SUM(E35:I35)</f>
        <v/>
      </c>
    </row>
    <row r="36">
      <c r="C36" s="130" t="inlineStr">
        <is>
          <t>2007 Irrevocable Trust For Family of Chris M. Raftis dated March 30,2007</t>
        </is>
      </c>
      <c r="E36" s="913">
        <f>IF(H$31&gt;F$9,-F$9*F11,0)</f>
        <v/>
      </c>
      <c r="F36" s="913">
        <f>IF(I$31&gt;G$9,-G$9*G11,0)</f>
        <v/>
      </c>
      <c r="G36" s="914">
        <f>E11*G$31</f>
        <v/>
      </c>
      <c r="H36" s="913">
        <f>IF(E$45&lt;0,F11*H$31,0)</f>
        <v/>
      </c>
      <c r="I36" s="913">
        <f>IF(F$45&lt;0,G11*I$31,0)</f>
        <v/>
      </c>
      <c r="J36" s="915">
        <f>SUM(E36:I36)</f>
        <v/>
      </c>
    </row>
    <row r="37">
      <c r="C37" s="4" t="inlineStr">
        <is>
          <t>PTI Inc. Seller (Karl Trott)</t>
        </is>
      </c>
      <c r="E37" s="913">
        <f>IF(H$31&gt;F$9,-F$9*F12,0)</f>
        <v/>
      </c>
      <c r="F37" s="913">
        <f>IF(I$31&gt;G$9,-G$9*G12,0)</f>
        <v/>
      </c>
      <c r="G37" s="914">
        <f>E12*G$31</f>
        <v/>
      </c>
      <c r="H37" s="913">
        <f>IF(E$45&lt;0,F12*H$31,0)</f>
        <v/>
      </c>
      <c r="I37" s="913">
        <f>IF(F$45&lt;0,G12*I$31,0)</f>
        <v/>
      </c>
      <c r="J37" s="915">
        <f>SUM(E37:I37)</f>
        <v/>
      </c>
    </row>
    <row r="38">
      <c r="C38" s="21" t="inlineStr">
        <is>
          <t>John DeYarman Incentive Units</t>
        </is>
      </c>
      <c r="E38" s="913">
        <f>IF(H$31&gt;F$9,-F$9*F13,0)</f>
        <v/>
      </c>
      <c r="F38" s="913">
        <f>IF(I$31&gt;G$9,-G$9*G13,0)</f>
        <v/>
      </c>
      <c r="G38" s="914" t="n"/>
      <c r="H38" s="913">
        <f>IF(E$45&lt;0,F13*H$31,0)</f>
        <v/>
      </c>
      <c r="I38" s="913">
        <f>IF(F$45&lt;0,G13*I$31,0)</f>
        <v/>
      </c>
      <c r="J38" s="915">
        <f>SUM(E38:I38)</f>
        <v/>
      </c>
    </row>
    <row r="39">
      <c r="C39" s="21" t="inlineStr">
        <is>
          <t>Scott Day Incentive Units</t>
        </is>
      </c>
      <c r="E39" s="913">
        <f>IF(H$31&gt;F$9,-F$9*F14,0)</f>
        <v/>
      </c>
      <c r="F39" s="913">
        <f>IF(I$31&gt;G$9,-G$9*G14,0)</f>
        <v/>
      </c>
      <c r="G39" s="914" t="n"/>
      <c r="H39" s="913">
        <f>IF(E$45&lt;0,F14*H$31,0)</f>
        <v/>
      </c>
      <c r="I39" s="913">
        <f>IF(F$45&lt;0,G14*I$31,0)</f>
        <v/>
      </c>
      <c r="J39" s="915">
        <f>SUM(E39:I39)</f>
        <v/>
      </c>
    </row>
    <row r="40">
      <c r="C40" s="327" t="inlineStr">
        <is>
          <t>2007 Irrevocable Trust For Family of Chris M. Raftis dated March 30,2007 Incentive Units</t>
        </is>
      </c>
      <c r="E40" s="913">
        <f>IF(H$31&gt;F$9,-F$9*F15,0)</f>
        <v/>
      </c>
      <c r="F40" s="913">
        <f>IF(I$31&gt;G$9,-G$9*G15,0)</f>
        <v/>
      </c>
      <c r="G40" s="914" t="n"/>
      <c r="H40" s="913">
        <f>IF(E$45&lt;0,F15*H$31,0)</f>
        <v/>
      </c>
      <c r="I40" s="913">
        <f>IF(F$45&lt;0,G15*I$31,0)</f>
        <v/>
      </c>
      <c r="J40" s="915">
        <f>SUM(E40:I40)</f>
        <v/>
      </c>
    </row>
    <row r="41">
      <c r="C41" s="327" t="inlineStr">
        <is>
          <t>Kevin Klau</t>
        </is>
      </c>
      <c r="E41" s="913">
        <f>IF(H$31&gt;F$9,-F$9*F16,0)</f>
        <v/>
      </c>
      <c r="F41" s="913">
        <f>IF(I$31&gt;G$9,-G$9*G16,0)</f>
        <v/>
      </c>
      <c r="G41" s="914" t="n"/>
      <c r="H41" s="913">
        <f>IF(E$45&lt;0,F16*H$31,0)</f>
        <v/>
      </c>
      <c r="I41" s="913">
        <f>IF(F$45&lt;0,G16*I$31,0)</f>
        <v/>
      </c>
      <c r="J41" s="915">
        <f>SUM(E41:I41)</f>
        <v/>
      </c>
    </row>
    <row r="42">
      <c r="C42" s="327" t="inlineStr">
        <is>
          <t>Warren Berenis</t>
        </is>
      </c>
      <c r="E42" s="913">
        <f>IF(H$31&gt;F$9,-F$9*F17,0)</f>
        <v/>
      </c>
      <c r="F42" s="913">
        <f>IF(I$31&gt;G$9,-G$9*G17,0)</f>
        <v/>
      </c>
      <c r="G42" s="914" t="n"/>
      <c r="H42" s="913">
        <f>IF(E$45&lt;0,F17*H$31,0)</f>
        <v/>
      </c>
      <c r="I42" s="913">
        <f>IF(F$45&lt;0,G17*I$31,0)</f>
        <v/>
      </c>
      <c r="J42" s="915">
        <f>SUM(E42:I42)</f>
        <v/>
      </c>
    </row>
    <row r="43">
      <c r="C43" s="21" t="inlineStr">
        <is>
          <t>Unallocated</t>
        </is>
      </c>
      <c r="E43" s="913">
        <f>IF(H$31&gt;F$9,-F$9*F18,0)</f>
        <v/>
      </c>
      <c r="F43" s="913">
        <f>IF(I$31&gt;G$9,-G$9*G18,0)</f>
        <v/>
      </c>
      <c r="G43" s="914" t="n"/>
      <c r="H43" s="913">
        <f>IF(E$45&lt;0,F18*H$31,0)</f>
        <v/>
      </c>
      <c r="I43" s="913">
        <f>IF(F$45&lt;0,G18*I$31,0)</f>
        <v/>
      </c>
      <c r="J43" s="915">
        <f>SUM(E43:I43)</f>
        <v/>
      </c>
    </row>
    <row r="44" ht="5.1" customHeight="1">
      <c r="C44" s="21" t="n"/>
      <c r="E44" s="913" t="n"/>
      <c r="F44" s="913" t="n"/>
      <c r="G44" s="914" t="n"/>
      <c r="H44" s="913" t="n"/>
      <c r="I44" s="913" t="n"/>
      <c r="J44" s="915" t="n"/>
    </row>
    <row r="45">
      <c r="C45" s="195" t="inlineStr">
        <is>
          <t>TOTAL</t>
        </is>
      </c>
      <c r="D45" s="196" t="n"/>
      <c r="E45" s="916">
        <f>SUM(E35:E44)</f>
        <v/>
      </c>
      <c r="F45" s="916">
        <f>SUM(F35:F44)</f>
        <v/>
      </c>
      <c r="G45" s="917">
        <f>SUM(G35:G44)</f>
        <v/>
      </c>
      <c r="H45" s="916">
        <f>SUM(H35:H44)</f>
        <v/>
      </c>
      <c r="I45" s="916">
        <f>SUM(I35:I44)</f>
        <v/>
      </c>
      <c r="J45" s="918">
        <f>SUM(J35:J44)</f>
        <v/>
      </c>
    </row>
    <row r="47">
      <c r="J47" s="919" t="n"/>
    </row>
    <row r="48">
      <c r="F48" s="190" t="n"/>
      <c r="G48" s="920" t="n"/>
      <c r="H48" s="190" t="n"/>
      <c r="I48" s="190" t="n"/>
    </row>
    <row r="49">
      <c r="F49" s="190" t="n"/>
      <c r="G49" s="190" t="n"/>
      <c r="H49" s="190" t="n"/>
      <c r="I49" s="190" t="n"/>
    </row>
    <row r="50">
      <c r="F50" s="190" t="n"/>
      <c r="G50" s="190" t="n"/>
      <c r="H50" s="190" t="n"/>
      <c r="I50" s="190" t="n"/>
    </row>
    <row r="51">
      <c r="F51" s="190" t="n"/>
      <c r="G51" s="190" t="n"/>
      <c r="H51" s="190" t="n"/>
      <c r="I51" s="190" t="n"/>
    </row>
    <row r="52">
      <c r="F52" s="190" t="n"/>
      <c r="G52" s="190" t="n"/>
      <c r="H52" s="190" t="n"/>
      <c r="I52" s="190" t="n"/>
    </row>
  </sheetData>
  <pageMargins left="0.7" right="0.7" top="0.75" bottom="0.75" header="0.3" footer="0.3"/>
  <pageSetup orientation="landscape" scale="38"/>
  <legacyDrawing xmlns:r="http://schemas.openxmlformats.org/officeDocument/2006/relationships" r:id="anysvml"/>
</worksheet>
</file>

<file path=xl/worksheets/sheet15.xml><?xml version="1.0" encoding="utf-8"?>
<worksheet xmlns="http://schemas.openxmlformats.org/spreadsheetml/2006/main">
  <sheetPr>
    <tabColor theme="6"/>
    <outlinePr summaryBelow="1" summaryRight="1"/>
    <pageSetUpPr/>
  </sheetPr>
  <dimension ref="B2:M52"/>
  <sheetViews>
    <sheetView showGridLines="0" view="pageBreakPreview" topLeftCell="A3" zoomScaleNormal="70" zoomScaleSheetLayoutView="100" workbookViewId="0">
      <selection activeCell="J35" sqref="J35"/>
    </sheetView>
  </sheetViews>
  <sheetFormatPr baseColWidth="8" defaultColWidth="9.140625" defaultRowHeight="15"/>
  <cols>
    <col width="2.5703125" customWidth="1" style="4" min="1" max="1"/>
    <col width="1.85546875" customWidth="1" style="4" min="2" max="2"/>
    <col width="68.140625" bestFit="1" customWidth="1" style="4" min="3" max="3"/>
    <col width="17.42578125" bestFit="1" customWidth="1" style="4" min="4" max="4"/>
    <col width="21" bestFit="1" customWidth="1" style="4" min="5" max="11"/>
    <col width="9.140625" customWidth="1" style="4" min="12" max="12"/>
    <col width="11.5703125" bestFit="1" customWidth="1" style="4" min="13" max="13"/>
    <col width="9.140625" customWidth="1" style="4" min="14" max="16384"/>
  </cols>
  <sheetData>
    <row r="2" ht="19.5" customHeight="1" thickBot="1">
      <c r="B2" s="384" t="inlineStr">
        <is>
          <t>Opus Water - Cap Table</t>
        </is>
      </c>
      <c r="C2" s="385" t="n"/>
      <c r="D2" s="385" t="n"/>
      <c r="E2" s="385" t="n"/>
      <c r="F2" s="385" t="n"/>
      <c r="G2" s="385" t="n"/>
      <c r="H2" s="385" t="n"/>
      <c r="I2" s="385" t="n"/>
      <c r="J2" s="385" t="n"/>
      <c r="K2" s="386" t="inlineStr">
        <is>
          <t>Confidential</t>
        </is>
      </c>
    </row>
    <row r="3" ht="19.5" customHeight="1" thickBot="1">
      <c r="B3" s="354" t="n"/>
      <c r="K3" s="355" t="inlineStr">
        <is>
          <t>$'s in USD</t>
        </is>
      </c>
    </row>
    <row r="4" ht="15.75" customHeight="1" thickBot="1">
      <c r="B4" s="182" t="inlineStr">
        <is>
          <t>Illustrative Equity Value at Exit</t>
        </is>
      </c>
      <c r="C4" s="183" t="n"/>
      <c r="D4" s="883">
        <f>'III. Valuation Summary'!H15</f>
        <v/>
      </c>
      <c r="E4" s="321" t="n"/>
      <c r="I4" s="884" t="n"/>
    </row>
    <row r="5">
      <c r="B5" s="19" t="n"/>
      <c r="C5" s="21" t="n"/>
      <c r="E5" s="885" t="n"/>
      <c r="H5" s="885" t="n"/>
      <c r="I5" s="885" t="n"/>
      <c r="J5" s="885" t="n"/>
    </row>
    <row r="6" ht="17.25" customHeight="1">
      <c r="C6" s="322" t="inlineStr">
        <is>
          <t>Opus Water Cap Table</t>
        </is>
      </c>
      <c r="D6" s="322" t="n"/>
      <c r="E6" s="322" t="n"/>
      <c r="F6" s="322" t="n"/>
      <c r="G6" s="322" t="n"/>
      <c r="H6" s="322" t="n"/>
      <c r="I6" s="322" t="n"/>
      <c r="J6" s="322" t="n"/>
      <c r="K6" s="322" t="n"/>
    </row>
    <row r="7" ht="17.25" customHeight="1">
      <c r="C7" s="323" t="n"/>
      <c r="D7" s="323" t="n"/>
      <c r="E7" s="323" t="n"/>
      <c r="F7" s="323" t="n"/>
      <c r="G7" s="323" t="n"/>
      <c r="H7" s="323" t="n"/>
      <c r="I7" s="323" t="n"/>
      <c r="J7" s="323" t="n"/>
      <c r="K7" s="323" t="n"/>
    </row>
    <row r="8" ht="14.45" customHeight="1">
      <c r="C8" s="22" t="n"/>
      <c r="D8" s="22" t="n"/>
      <c r="E8" s="23" t="inlineStr">
        <is>
          <t>Common Units</t>
        </is>
      </c>
      <c r="F8" s="23" t="inlineStr">
        <is>
          <t>Incentive Units</t>
        </is>
      </c>
      <c r="G8" s="23" t="inlineStr">
        <is>
          <t>Incentive Units</t>
        </is>
      </c>
      <c r="H8" s="24" t="inlineStr">
        <is>
          <t>Total</t>
        </is>
      </c>
      <c r="I8" s="24" t="inlineStr">
        <is>
          <t>%</t>
        </is>
      </c>
      <c r="J8" s="24" t="inlineStr">
        <is>
          <t>Total</t>
        </is>
      </c>
      <c r="K8" s="24" t="inlineStr">
        <is>
          <t>%</t>
        </is>
      </c>
    </row>
    <row r="9">
      <c r="C9" s="22" t="n"/>
      <c r="D9" s="22" t="n"/>
      <c r="E9" s="25" t="inlineStr">
        <is>
          <t>Exercise prices&gt;&gt;&gt;</t>
        </is>
      </c>
      <c r="F9" s="886" t="n">
        <v>1</v>
      </c>
      <c r="G9" s="886" t="n">
        <v>1.6</v>
      </c>
      <c r="H9" s="24" t="inlineStr">
        <is>
          <t>(Basic)</t>
        </is>
      </c>
      <c r="I9" s="24" t="inlineStr">
        <is>
          <t>(Basic)</t>
        </is>
      </c>
      <c r="J9" s="24" t="inlineStr">
        <is>
          <t>(Fully Diluted)</t>
        </is>
      </c>
      <c r="K9" s="24" t="inlineStr">
        <is>
          <t>(Fully Diluted)</t>
        </is>
      </c>
    </row>
    <row r="10">
      <c r="C10" s="4" t="inlineStr">
        <is>
          <t>XPV Water Fund III Limited Partnership</t>
        </is>
      </c>
      <c r="E10" s="888" t="n">
        <v>12500000</v>
      </c>
      <c r="F10" s="889" t="n"/>
      <c r="G10" s="889" t="n"/>
      <c r="H10" s="890">
        <f>E10</f>
        <v/>
      </c>
      <c r="I10" s="891">
        <f>H10/H$19</f>
        <v/>
      </c>
      <c r="J10" s="890">
        <f>SUM(E10:G10)</f>
        <v/>
      </c>
      <c r="K10" s="325">
        <f>J10/J$19</f>
        <v/>
      </c>
    </row>
    <row r="11">
      <c r="C11" s="130" t="inlineStr">
        <is>
          <t>2007 Irrevocable Trust For Family of Chris M. Raftis dated March 30,2007</t>
        </is>
      </c>
      <c r="E11" s="888" t="n">
        <v>600000</v>
      </c>
      <c r="F11" s="892" t="n"/>
      <c r="G11" s="892" t="n"/>
      <c r="H11" s="890">
        <f>E11</f>
        <v/>
      </c>
      <c r="I11" s="891">
        <f>H11/H$19</f>
        <v/>
      </c>
      <c r="J11" s="890">
        <f>SUM(E11:G11)</f>
        <v/>
      </c>
      <c r="K11" s="325">
        <f>J11/J$19</f>
        <v/>
      </c>
      <c r="L11" s="356" t="n"/>
    </row>
    <row r="12">
      <c r="C12" s="4" t="inlineStr">
        <is>
          <t>Karl Trott</t>
        </is>
      </c>
      <c r="E12" s="888" t="n">
        <v>100000</v>
      </c>
      <c r="F12" s="889" t="n"/>
      <c r="G12" s="889" t="n"/>
      <c r="H12" s="890">
        <f>E12</f>
        <v/>
      </c>
      <c r="I12" s="891">
        <f>H12/H$19</f>
        <v/>
      </c>
      <c r="J12" s="890">
        <f>SUM(E12:G12)</f>
        <v/>
      </c>
      <c r="K12" s="325">
        <f>J12/J$19</f>
        <v/>
      </c>
    </row>
    <row r="13">
      <c r="C13" s="21" t="inlineStr">
        <is>
          <t>John DeYarman Incentive Units</t>
        </is>
      </c>
      <c r="E13" s="889" t="n"/>
      <c r="F13" s="888" t="n">
        <v>233333</v>
      </c>
      <c r="G13" s="888" t="n">
        <v>466667</v>
      </c>
      <c r="H13" s="890" t="n"/>
      <c r="I13" s="891">
        <f>H13/H$19</f>
        <v/>
      </c>
      <c r="J13" s="890">
        <f>SUM(E13:G13)</f>
        <v/>
      </c>
      <c r="K13" s="325">
        <f>J13/J$19</f>
        <v/>
      </c>
    </row>
    <row r="14">
      <c r="C14" s="21" t="inlineStr">
        <is>
          <t>Scott Day Incentive Units</t>
        </is>
      </c>
      <c r="E14" s="889" t="n"/>
      <c r="F14" s="888" t="n"/>
      <c r="G14" s="888" t="n">
        <v>300000</v>
      </c>
      <c r="H14" s="890" t="n"/>
      <c r="I14" s="891">
        <f>H14/H$19</f>
        <v/>
      </c>
      <c r="J14" s="890">
        <f>SUM(E14:G14)</f>
        <v/>
      </c>
      <c r="K14" s="325">
        <f>J14/J$19</f>
        <v/>
      </c>
    </row>
    <row r="15">
      <c r="C15" s="327" t="inlineStr">
        <is>
          <t>2007 Irrevocable Trust For Family of Chris M. Raftis dated March 30,2007 Incentive Units</t>
        </is>
      </c>
      <c r="E15" s="892" t="n"/>
      <c r="F15" s="892" t="n"/>
      <c r="G15" s="888" t="n">
        <v>110000</v>
      </c>
      <c r="H15" s="892" t="n"/>
      <c r="I15" s="891">
        <f>H15/H$19</f>
        <v/>
      </c>
      <c r="J15" s="890">
        <f>SUM(E15:G15)</f>
        <v/>
      </c>
      <c r="K15" s="325">
        <f>J15/J$19</f>
        <v/>
      </c>
      <c r="L15" s="356" t="n"/>
      <c r="M15" s="893" t="n"/>
    </row>
    <row r="16">
      <c r="C16" s="327" t="inlineStr">
        <is>
          <t>Kevin Klau</t>
        </is>
      </c>
      <c r="E16" s="892" t="n"/>
      <c r="F16" s="892" t="n"/>
      <c r="G16" s="888" t="n">
        <v>110000</v>
      </c>
      <c r="H16" s="892" t="n"/>
      <c r="I16" s="891">
        <f>H16/H$19</f>
        <v/>
      </c>
      <c r="J16" s="890">
        <f>SUM(E16:G16)</f>
        <v/>
      </c>
      <c r="K16" s="325">
        <f>J16/J$19</f>
        <v/>
      </c>
      <c r="L16" s="356" t="n"/>
      <c r="M16" s="893" t="n"/>
    </row>
    <row r="17">
      <c r="C17" s="327" t="inlineStr">
        <is>
          <t>Warren Berenis</t>
        </is>
      </c>
      <c r="E17" s="892" t="n"/>
      <c r="F17" s="892" t="n"/>
      <c r="G17" s="888" t="n">
        <v>150000</v>
      </c>
      <c r="H17" s="892" t="n"/>
      <c r="I17" s="891">
        <f>H17/H$19</f>
        <v/>
      </c>
      <c r="J17" s="890">
        <f>SUM(E17:G17)</f>
        <v/>
      </c>
      <c r="K17" s="325">
        <f>J17/J$19</f>
        <v/>
      </c>
      <c r="L17" s="356" t="n"/>
      <c r="M17" s="893" t="n"/>
    </row>
    <row r="18" ht="15" customHeight="1">
      <c r="C18" s="21" t="inlineStr">
        <is>
          <t>Unallocated</t>
        </is>
      </c>
      <c r="E18" s="889" t="n"/>
      <c r="F18" s="888" t="n"/>
      <c r="G18" s="890">
        <f>1400000-SUM(F13:G17)</f>
        <v/>
      </c>
      <c r="H18" s="890" t="n"/>
      <c r="I18" s="891">
        <f>H18/H$19</f>
        <v/>
      </c>
      <c r="J18" s="890">
        <f>SUM(E18:G18)</f>
        <v/>
      </c>
      <c r="K18" s="325">
        <f>J18/J$19</f>
        <v/>
      </c>
    </row>
    <row r="19">
      <c r="C19" s="19" t="inlineStr">
        <is>
          <t>Total</t>
        </is>
      </c>
      <c r="E19" s="894">
        <f>SUM(E10:E18)</f>
        <v/>
      </c>
      <c r="F19" s="894">
        <f>SUM(F10:F18)</f>
        <v/>
      </c>
      <c r="G19" s="894">
        <f>SUM(G10:G18)</f>
        <v/>
      </c>
      <c r="H19" s="894">
        <f>SUM(H10:H18)</f>
        <v/>
      </c>
      <c r="I19" s="895">
        <f>H19/H$19</f>
        <v/>
      </c>
      <c r="J19" s="894">
        <f>SUM(J10:J18)</f>
        <v/>
      </c>
      <c r="K19" s="330">
        <f>J19/J$19</f>
        <v/>
      </c>
    </row>
    <row r="21">
      <c r="B21" s="19" t="inlineStr">
        <is>
          <t>EQUITY PROCEEDS</t>
        </is>
      </c>
      <c r="F21" s="190" t="n"/>
      <c r="G21" s="190" t="n"/>
      <c r="H21" s="190" t="n"/>
      <c r="I21" s="190" t="n"/>
    </row>
    <row r="22">
      <c r="E22" s="331" t="inlineStr">
        <is>
          <t>Incentive Units</t>
        </is>
      </c>
      <c r="F22" s="331" t="inlineStr">
        <is>
          <t>Incentive Units</t>
        </is>
      </c>
      <c r="G22" s="896" t="inlineStr">
        <is>
          <t>Common Units</t>
        </is>
      </c>
      <c r="H22" s="331" t="inlineStr">
        <is>
          <t>Incentive Units</t>
        </is>
      </c>
      <c r="I22" s="331" t="inlineStr">
        <is>
          <t>Incentive Units</t>
        </is>
      </c>
      <c r="J22" s="333" t="n"/>
    </row>
    <row r="23" ht="17.25" customHeight="1">
      <c r="E23" s="334">
        <f>F9</f>
        <v/>
      </c>
      <c r="F23" s="334">
        <f>G9</f>
        <v/>
      </c>
      <c r="G23" s="897" t="n"/>
      <c r="H23" s="334">
        <f>F9</f>
        <v/>
      </c>
      <c r="I23" s="334">
        <f>G9</f>
        <v/>
      </c>
      <c r="J23" s="336" t="n"/>
    </row>
    <row r="24">
      <c r="C24" s="19" t="inlineStr">
        <is>
          <t>Equity Value</t>
        </is>
      </c>
      <c r="E24" s="898">
        <f>D4</f>
        <v/>
      </c>
      <c r="F24" s="898">
        <f>E24</f>
        <v/>
      </c>
      <c r="G24" s="899">
        <f>F24-E45-F45</f>
        <v/>
      </c>
      <c r="H24" s="898">
        <f>G24</f>
        <v/>
      </c>
      <c r="I24" s="898">
        <f>H24</f>
        <v/>
      </c>
      <c r="J24" s="900" t="n"/>
    </row>
    <row r="25" ht="5.1" customHeight="1">
      <c r="G25" s="339" t="n"/>
      <c r="J25" s="340" t="n"/>
    </row>
    <row r="26">
      <c r="C26" s="4" t="inlineStr">
        <is>
          <t>Common Units</t>
        </is>
      </c>
      <c r="E26" s="890">
        <f>E19</f>
        <v/>
      </c>
      <c r="F26" s="890">
        <f>E26</f>
        <v/>
      </c>
      <c r="G26" s="901">
        <f>E26</f>
        <v/>
      </c>
      <c r="H26" s="890">
        <f>G26</f>
        <v/>
      </c>
      <c r="I26" s="890">
        <f>H26</f>
        <v/>
      </c>
      <c r="J26" s="902" t="n"/>
    </row>
    <row r="27">
      <c r="C27" s="4" t="inlineStr">
        <is>
          <t>Incentive Units ($1.00)</t>
        </is>
      </c>
      <c r="E27" s="890">
        <f>F19</f>
        <v/>
      </c>
      <c r="F27" s="890">
        <f>E27</f>
        <v/>
      </c>
      <c r="G27" s="901">
        <f>IF(E45&lt;0,E27,0)</f>
        <v/>
      </c>
      <c r="H27" s="890">
        <f>G27</f>
        <v/>
      </c>
      <c r="I27" s="890">
        <f>H27</f>
        <v/>
      </c>
      <c r="J27" s="902" t="n"/>
    </row>
    <row r="28">
      <c r="C28" s="4" t="inlineStr">
        <is>
          <t>Incentive Units ($1.60)</t>
        </is>
      </c>
      <c r="E28" s="890">
        <f>G19</f>
        <v/>
      </c>
      <c r="F28" s="890">
        <f>E28</f>
        <v/>
      </c>
      <c r="G28" s="901">
        <f>IF(F45&lt;0,E28,0)</f>
        <v/>
      </c>
      <c r="H28" s="890">
        <f>G28</f>
        <v/>
      </c>
      <c r="I28" s="890">
        <f>H28</f>
        <v/>
      </c>
      <c r="J28" s="902" t="n"/>
    </row>
    <row r="29" ht="5.1" customHeight="1">
      <c r="E29" s="890" t="n"/>
      <c r="F29" s="890" t="n"/>
      <c r="G29" s="901" t="n"/>
      <c r="H29" s="890" t="n"/>
      <c r="I29" s="890" t="n"/>
      <c r="J29" s="902" t="n"/>
    </row>
    <row r="30">
      <c r="C30" s="19" t="inlineStr">
        <is>
          <t>Total Units</t>
        </is>
      </c>
      <c r="E30" s="894">
        <f>SUM(E26:E29)</f>
        <v/>
      </c>
      <c r="F30" s="894">
        <f>SUM(F26:F29)</f>
        <v/>
      </c>
      <c r="G30" s="903">
        <f>SUM(G26:G29)</f>
        <v/>
      </c>
      <c r="H30" s="894">
        <f>SUM(H26:H29)</f>
        <v/>
      </c>
      <c r="I30" s="894">
        <f>SUM(I26:I29)</f>
        <v/>
      </c>
      <c r="J30" s="904" t="n"/>
    </row>
    <row r="31">
      <c r="C31" s="19" t="inlineStr">
        <is>
          <t>Equity Value Per Unit</t>
        </is>
      </c>
      <c r="E31" s="905">
        <f>E24/E30</f>
        <v/>
      </c>
      <c r="F31" s="905">
        <f>F24/F30</f>
        <v/>
      </c>
      <c r="G31" s="906">
        <f>G24/G30</f>
        <v/>
      </c>
      <c r="H31" s="905">
        <f>H24/H30</f>
        <v/>
      </c>
      <c r="I31" s="905">
        <f>I24/I30</f>
        <v/>
      </c>
      <c r="J31" s="907" t="n"/>
    </row>
    <row r="32">
      <c r="G32" s="339" t="n"/>
    </row>
    <row r="33" ht="17.25" customHeight="1">
      <c r="E33" s="908" t="inlineStr">
        <is>
          <t>Options Exercise</t>
        </is>
      </c>
      <c r="F33" s="192" t="n"/>
      <c r="G33" s="909" t="inlineStr">
        <is>
          <t>Common Units</t>
        </is>
      </c>
      <c r="H33" s="192" t="n"/>
      <c r="I33" s="192" t="n"/>
      <c r="J33" s="910" t="n"/>
    </row>
    <row r="34" ht="17.25" customHeight="1">
      <c r="E34" s="911" t="inlineStr">
        <is>
          <t>Incentive Units ($1.00)</t>
        </is>
      </c>
      <c r="F34" s="911" t="inlineStr">
        <is>
          <t>Incentive Units ($1.60)</t>
        </is>
      </c>
      <c r="G34" s="897" t="inlineStr">
        <is>
          <t>Common Units</t>
        </is>
      </c>
      <c r="H34" s="911" t="inlineStr">
        <is>
          <t>Incentive Units ($1.00)</t>
        </is>
      </c>
      <c r="I34" s="911" t="inlineStr">
        <is>
          <t>Incentive Units ($1.60)</t>
        </is>
      </c>
      <c r="J34" s="912" t="inlineStr">
        <is>
          <t>Proceeds</t>
        </is>
      </c>
    </row>
    <row r="35">
      <c r="C35" s="4" t="inlineStr">
        <is>
          <t>XPV Water Fund III Limited Partnership</t>
        </is>
      </c>
      <c r="E35" s="913">
        <f>IF(H$31&gt;F$9,-F$9*F10,0)</f>
        <v/>
      </c>
      <c r="F35" s="913">
        <f>IF(I$31&gt;G$9,-G$9*G10,0)</f>
        <v/>
      </c>
      <c r="G35" s="914">
        <f>E10*G$31</f>
        <v/>
      </c>
      <c r="H35" s="913">
        <f>IF(E$45&lt;0,F10*H$31,0)</f>
        <v/>
      </c>
      <c r="I35" s="913">
        <f>IF(F$45&lt;0,G10*I$31,0)</f>
        <v/>
      </c>
      <c r="J35" s="915">
        <f>SUM(E35:I35)</f>
        <v/>
      </c>
    </row>
    <row r="36">
      <c r="C36" s="130" t="inlineStr">
        <is>
          <t>2007 Irrevocable Trust For Family of Chris M. Raftis dated March 30,2007</t>
        </is>
      </c>
      <c r="E36" s="913">
        <f>IF(H$31&gt;F$9,-F$9*F11,0)</f>
        <v/>
      </c>
      <c r="F36" s="913">
        <f>IF(I$31&gt;G$9,-G$9*G11,0)</f>
        <v/>
      </c>
      <c r="G36" s="914">
        <f>E11*G$31</f>
        <v/>
      </c>
      <c r="H36" s="913">
        <f>IF(E$45&lt;0,F11*H$31,0)</f>
        <v/>
      </c>
      <c r="I36" s="913">
        <f>IF(F$45&lt;0,G11*I$31,0)</f>
        <v/>
      </c>
      <c r="J36" s="915">
        <f>SUM(E36:I36)</f>
        <v/>
      </c>
    </row>
    <row r="37">
      <c r="C37" s="4" t="inlineStr">
        <is>
          <t>PTI Inc. Seller (Karl Trott)</t>
        </is>
      </c>
      <c r="E37" s="913">
        <f>IF(H$31&gt;F$9,-F$9*F12,0)</f>
        <v/>
      </c>
      <c r="F37" s="913">
        <f>IF(I$31&gt;G$9,-G$9*G12,0)</f>
        <v/>
      </c>
      <c r="G37" s="914">
        <f>E12*G$31</f>
        <v/>
      </c>
      <c r="H37" s="913">
        <f>IF(E$45&lt;0,F12*H$31,0)</f>
        <v/>
      </c>
      <c r="I37" s="913">
        <f>IF(F$45&lt;0,G12*I$31,0)</f>
        <v/>
      </c>
      <c r="J37" s="915">
        <f>SUM(E37:I37)</f>
        <v/>
      </c>
    </row>
    <row r="38">
      <c r="C38" s="21" t="inlineStr">
        <is>
          <t>John DeYarman Incentive Units</t>
        </is>
      </c>
      <c r="E38" s="913">
        <f>IF(H$31&gt;F$9,-F$9*F13,0)</f>
        <v/>
      </c>
      <c r="F38" s="913">
        <f>IF(I$31&gt;G$9,-G$9*G13,0)</f>
        <v/>
      </c>
      <c r="G38" s="914" t="n"/>
      <c r="H38" s="913">
        <f>IF(E$45&lt;0,F13*H$31,0)</f>
        <v/>
      </c>
      <c r="I38" s="913">
        <f>IF(F$45&lt;0,G13*I$31,0)</f>
        <v/>
      </c>
      <c r="J38" s="915">
        <f>SUM(E38:I38)</f>
        <v/>
      </c>
    </row>
    <row r="39">
      <c r="C39" s="21" t="inlineStr">
        <is>
          <t>Scott Day Incentive Units</t>
        </is>
      </c>
      <c r="E39" s="913">
        <f>IF(H$31&gt;F$9,-F$9*F14,0)</f>
        <v/>
      </c>
      <c r="F39" s="913">
        <f>IF(I$31&gt;G$9,-G$9*G14,0)</f>
        <v/>
      </c>
      <c r="G39" s="914" t="n"/>
      <c r="H39" s="913">
        <f>IF(E$45&lt;0,F14*H$31,0)</f>
        <v/>
      </c>
      <c r="I39" s="913">
        <f>IF(F$45&lt;0,G14*I$31,0)</f>
        <v/>
      </c>
      <c r="J39" s="915">
        <f>SUM(E39:I39)</f>
        <v/>
      </c>
    </row>
    <row r="40">
      <c r="C40" s="327" t="inlineStr">
        <is>
          <t>2007 Irrevocable Trust For Family of Chris M. Raftis dated March 30,2007 Incentive Units</t>
        </is>
      </c>
      <c r="E40" s="913">
        <f>IF(H$31&gt;F$9,-F$9*F15,0)</f>
        <v/>
      </c>
      <c r="F40" s="913">
        <f>IF(I$31&gt;G$9,-G$9*G15,0)</f>
        <v/>
      </c>
      <c r="G40" s="914" t="n"/>
      <c r="H40" s="913">
        <f>IF(E$45&lt;0,F15*H$31,0)</f>
        <v/>
      </c>
      <c r="I40" s="913">
        <f>IF(F$45&lt;0,G15*I$31,0)</f>
        <v/>
      </c>
      <c r="J40" s="915">
        <f>SUM(E40:I40)</f>
        <v/>
      </c>
    </row>
    <row r="41">
      <c r="C41" s="327" t="inlineStr">
        <is>
          <t>Kevin Klau</t>
        </is>
      </c>
      <c r="E41" s="913">
        <f>IF(H$31&gt;F$9,-F$9*F16,0)</f>
        <v/>
      </c>
      <c r="F41" s="913">
        <f>IF(I$31&gt;G$9,-G$9*G16,0)</f>
        <v/>
      </c>
      <c r="G41" s="914" t="n"/>
      <c r="H41" s="913">
        <f>IF(E$45&lt;0,F16*H$31,0)</f>
        <v/>
      </c>
      <c r="I41" s="913">
        <f>IF(F$45&lt;0,G16*I$31,0)</f>
        <v/>
      </c>
      <c r="J41" s="915">
        <f>SUM(E41:I41)</f>
        <v/>
      </c>
    </row>
    <row r="42">
      <c r="C42" s="327" t="inlineStr">
        <is>
          <t>Warren Berenis</t>
        </is>
      </c>
      <c r="E42" s="913">
        <f>IF(H$31&gt;F$9,-F$9*F17,0)</f>
        <v/>
      </c>
      <c r="F42" s="913">
        <f>IF(I$31&gt;G$9,-G$9*G17,0)</f>
        <v/>
      </c>
      <c r="G42" s="914" t="n"/>
      <c r="H42" s="913">
        <f>IF(E$45&lt;0,F17*H$31,0)</f>
        <v/>
      </c>
      <c r="I42" s="913">
        <f>IF(F$45&lt;0,G17*I$31,0)</f>
        <v/>
      </c>
      <c r="J42" s="915">
        <f>SUM(E42:I42)</f>
        <v/>
      </c>
    </row>
    <row r="43">
      <c r="C43" s="21" t="inlineStr">
        <is>
          <t>Unallocated</t>
        </is>
      </c>
      <c r="E43" s="913">
        <f>IF(H$31&gt;F$9,-F$9*F18,0)</f>
        <v/>
      </c>
      <c r="F43" s="913">
        <f>IF(I$31&gt;G$9,-G$9*G18,0)</f>
        <v/>
      </c>
      <c r="G43" s="914" t="n"/>
      <c r="H43" s="913">
        <f>IF(E$45&lt;0,F18*H$31,0)</f>
        <v/>
      </c>
      <c r="I43" s="913">
        <f>IF(F$45&lt;0,G18*I$31,0)</f>
        <v/>
      </c>
      <c r="J43" s="915">
        <f>SUM(E43:I43)</f>
        <v/>
      </c>
    </row>
    <row r="44" ht="5.1" customHeight="1">
      <c r="C44" s="21" t="n"/>
      <c r="E44" s="913" t="n"/>
      <c r="F44" s="913" t="n"/>
      <c r="G44" s="914" t="n"/>
      <c r="H44" s="913" t="n"/>
      <c r="I44" s="913" t="n"/>
      <c r="J44" s="915" t="n"/>
    </row>
    <row r="45">
      <c r="C45" s="195" t="inlineStr">
        <is>
          <t>TOTAL</t>
        </is>
      </c>
      <c r="D45" s="196" t="n"/>
      <c r="E45" s="916">
        <f>SUM(E35:E44)</f>
        <v/>
      </c>
      <c r="F45" s="916">
        <f>SUM(F35:F44)</f>
        <v/>
      </c>
      <c r="G45" s="917">
        <f>SUM(G35:G44)</f>
        <v/>
      </c>
      <c r="H45" s="916">
        <f>SUM(H35:H44)</f>
        <v/>
      </c>
      <c r="I45" s="916">
        <f>SUM(I35:I44)</f>
        <v/>
      </c>
      <c r="J45" s="918">
        <f>SUM(J35:J44)</f>
        <v/>
      </c>
    </row>
    <row r="47">
      <c r="J47" s="919" t="n"/>
    </row>
    <row r="48">
      <c r="F48" s="190" t="n"/>
      <c r="G48" s="920" t="n"/>
      <c r="H48" s="190" t="n"/>
      <c r="I48" s="190" t="n"/>
    </row>
    <row r="49">
      <c r="F49" s="190" t="n"/>
      <c r="G49" s="190" t="n"/>
      <c r="H49" s="190" t="n"/>
      <c r="I49" s="190" t="n"/>
    </row>
    <row r="50">
      <c r="F50" s="190" t="n"/>
      <c r="G50" s="190" t="n"/>
      <c r="H50" s="190" t="n"/>
      <c r="I50" s="190" t="n"/>
    </row>
    <row r="51">
      <c r="F51" s="190" t="n"/>
      <c r="G51" s="190" t="n"/>
      <c r="H51" s="190" t="n"/>
      <c r="I51" s="190" t="n"/>
    </row>
    <row r="52">
      <c r="F52" s="190" t="n"/>
      <c r="G52" s="190" t="n"/>
      <c r="H52" s="190" t="n"/>
      <c r="I52" s="190" t="n"/>
    </row>
  </sheetData>
  <pageMargins left="0.7" right="0.7" top="0.75" bottom="0.75" header="0.3" footer="0.3"/>
  <pageSetup orientation="landscape" scale="38"/>
</worksheet>
</file>

<file path=xl/worksheets/sheet16.xml><?xml version="1.0" encoding="utf-8"?>
<worksheet xmlns="http://schemas.openxmlformats.org/spreadsheetml/2006/main">
  <sheetPr>
    <tabColor theme="6"/>
    <outlinePr summaryBelow="1" summaryRight="1"/>
    <pageSetUpPr fitToPage="1"/>
  </sheetPr>
  <dimension ref="B1:O41"/>
  <sheetViews>
    <sheetView showGridLines="0" view="pageBreakPreview" topLeftCell="A2" zoomScaleNormal="100" zoomScaleSheetLayoutView="100" workbookViewId="0">
      <selection activeCell="I5" sqref="I5"/>
    </sheetView>
  </sheetViews>
  <sheetFormatPr baseColWidth="8" defaultColWidth="8" defaultRowHeight="15" outlineLevelRow="1"/>
  <cols>
    <col width="2.7109375" customWidth="1" style="81" min="1" max="1"/>
    <col width="36" bestFit="1" customWidth="1" style="81" min="2" max="2"/>
    <col width="1.5703125" customWidth="1" style="81" min="3" max="3"/>
    <col width="8" customWidth="1" style="81" min="4" max="4"/>
    <col width="1.5703125" customWidth="1" style="81" min="5" max="5"/>
    <col width="16.7109375" bestFit="1" customWidth="1" style="81" min="6" max="6"/>
    <col width="4.28515625" customWidth="1" style="81" min="7" max="7"/>
    <col width="0.85546875" customWidth="1" style="81" min="8" max="8"/>
    <col width="16.7109375" bestFit="1" customWidth="1" style="81" min="9" max="12"/>
    <col width="0.85546875" customWidth="1" style="81" min="13" max="13"/>
    <col width="8" customWidth="1" style="81" min="14" max="16384"/>
  </cols>
  <sheetData>
    <row r="1" ht="18.75" customFormat="1" customHeight="1" s="77">
      <c r="B1" s="247">
        <f>'I. Cover Page'!B5</f>
        <v/>
      </c>
    </row>
    <row r="2" ht="15.75" customFormat="1" customHeight="1" s="77" thickBot="1">
      <c r="B2" s="254" t="inlineStr">
        <is>
          <t>XPVWFII Returns</t>
        </is>
      </c>
      <c r="C2" s="78" t="n"/>
      <c r="D2" s="78" t="n"/>
      <c r="E2" s="78" t="n"/>
      <c r="F2" s="78" t="n"/>
      <c r="G2" s="78" t="n"/>
      <c r="H2" s="78" t="n"/>
      <c r="I2" s="78" t="n"/>
      <c r="J2" s="78" t="n"/>
      <c r="K2" s="78" t="n"/>
      <c r="L2" s="78" t="n"/>
    </row>
    <row r="3" ht="13.5" customFormat="1" customHeight="1" s="77" thickTop="1">
      <c r="B3" s="251">
        <f>'I. Cover Page'!B9</f>
        <v/>
      </c>
      <c r="L3" s="79" t="inlineStr">
        <is>
          <t>$USD</t>
        </is>
      </c>
    </row>
    <row r="4" ht="15.75" customFormat="1" customHeight="1" s="77">
      <c r="B4" s="80" t="n"/>
      <c r="C4" s="80" t="n"/>
      <c r="D4" s="80" t="n"/>
      <c r="E4" s="80" t="n"/>
      <c r="F4" s="80" t="n"/>
      <c r="G4" s="80" t="n"/>
      <c r="H4" s="80" t="n"/>
      <c r="I4" s="201" t="n"/>
      <c r="J4" s="80" t="n"/>
      <c r="K4" s="80" t="n"/>
      <c r="L4" s="80" t="n"/>
      <c r="M4" s="80" t="n"/>
    </row>
    <row r="5" ht="17.25" customHeight="1">
      <c r="C5" s="82" t="inlineStr">
        <is>
          <t>Security Type</t>
        </is>
      </c>
      <c r="D5" s="82" t="n"/>
      <c r="E5" s="83" t="n"/>
      <c r="H5" s="84" t="n"/>
      <c r="I5" s="921" t="n">
        <v>45281</v>
      </c>
      <c r="J5" s="921" t="n">
        <v>45982</v>
      </c>
      <c r="K5" s="921">
        <f>J5</f>
        <v/>
      </c>
      <c r="L5" s="921">
        <f>B3</f>
        <v/>
      </c>
      <c r="M5" s="84" t="n"/>
    </row>
    <row r="6">
      <c r="D6" s="85" t="n"/>
    </row>
    <row r="7">
      <c r="B7" s="86" t="inlineStr">
        <is>
          <t>Total Investment IRR</t>
        </is>
      </c>
      <c r="D7" s="85" t="n"/>
    </row>
    <row r="8">
      <c r="B8" s="81" t="inlineStr">
        <is>
          <t>Initial Common Equity Investment</t>
        </is>
      </c>
      <c r="D8" s="81" t="inlineStr">
        <is>
          <t>Common</t>
        </is>
      </c>
      <c r="I8" s="922" t="n">
        <v>-12500000</v>
      </c>
      <c r="J8" s="922" t="n"/>
      <c r="K8" s="922" t="n"/>
      <c r="L8" s="922" t="n"/>
    </row>
    <row r="9">
      <c r="B9" s="81" t="inlineStr">
        <is>
          <t>Common Equity Payout @ Exit</t>
        </is>
      </c>
      <c r="D9" s="81" t="inlineStr">
        <is>
          <t>Common</t>
        </is>
      </c>
      <c r="F9" s="81" t="inlineStr">
        <is>
          <t>Unrealized Value</t>
        </is>
      </c>
      <c r="I9" s="922" t="n"/>
      <c r="J9" s="228" t="n"/>
      <c r="K9" s="228" t="n"/>
      <c r="L9" s="922">
        <f>'III. Valuation Summary'!$F$25</f>
        <v/>
      </c>
    </row>
    <row r="10" outlineLevel="1">
      <c r="B10" s="81" t="inlineStr">
        <is>
          <t>Common Shares (Growth Investment)</t>
        </is>
      </c>
      <c r="D10" s="81" t="inlineStr">
        <is>
          <t>Common</t>
        </is>
      </c>
      <c r="G10" s="87" t="n"/>
      <c r="H10" s="87" t="n"/>
      <c r="I10" s="922" t="n"/>
      <c r="J10" s="922" t="n"/>
      <c r="K10" s="922" t="n"/>
      <c r="L10" s="922" t="n"/>
      <c r="M10" s="87" t="n"/>
      <c r="O10" s="88" t="n"/>
    </row>
    <row r="11" outlineLevel="1">
      <c r="B11" s="81" t="inlineStr">
        <is>
          <t>Founder share purchase</t>
        </is>
      </c>
      <c r="D11" s="81" t="inlineStr">
        <is>
          <t>Common</t>
        </is>
      </c>
      <c r="H11" s="923" t="n"/>
      <c r="I11" s="922" t="n"/>
      <c r="J11" s="922" t="n"/>
      <c r="K11" s="922" t="n"/>
      <c r="L11" s="922" t="n"/>
      <c r="M11" s="923" t="n"/>
    </row>
    <row r="12" outlineLevel="1">
      <c r="B12" s="81" t="inlineStr">
        <is>
          <t>Add-On Investments (Yeary Controls)</t>
        </is>
      </c>
      <c r="D12" s="81" t="inlineStr">
        <is>
          <t>Common</t>
        </is>
      </c>
      <c r="F12" s="81" t="inlineStr">
        <is>
          <t>Unrealized Value</t>
        </is>
      </c>
      <c r="H12" s="923" t="n"/>
      <c r="I12" s="922" t="n"/>
      <c r="J12" s="922" t="n">
        <v>-3787879.18</v>
      </c>
      <c r="K12" s="922" t="n"/>
      <c r="L12" s="922" t="n"/>
      <c r="M12" s="923" t="n"/>
    </row>
    <row r="13" outlineLevel="1">
      <c r="B13" s="81" t="inlineStr">
        <is>
          <t>Add-On Investments</t>
        </is>
      </c>
      <c r="H13" s="923" t="n"/>
      <c r="I13" s="922" t="n"/>
      <c r="J13" s="922" t="n"/>
      <c r="K13" s="922" t="n"/>
      <c r="L13" s="922" t="n"/>
      <c r="M13" s="923" t="n"/>
    </row>
    <row r="14" outlineLevel="1">
      <c r="B14" s="81" t="inlineStr">
        <is>
          <t>Add-On Investments</t>
        </is>
      </c>
      <c r="H14" s="923" t="n"/>
      <c r="I14" s="922" t="n"/>
      <c r="J14" s="922" t="n"/>
      <c r="K14" s="922" t="n"/>
      <c r="L14" s="922" t="n"/>
      <c r="M14" s="923" t="n"/>
    </row>
    <row r="15" outlineLevel="1">
      <c r="B15" s="81" t="inlineStr">
        <is>
          <t>[X]</t>
        </is>
      </c>
      <c r="F15" s="81" t="inlineStr">
        <is>
          <t>Realized Value</t>
        </is>
      </c>
      <c r="H15" s="923" t="n"/>
      <c r="I15" s="922" t="n"/>
      <c r="J15" s="922" t="n"/>
      <c r="K15" s="922" t="n"/>
      <c r="L15" s="922" t="n"/>
      <c r="M15" s="923" t="n"/>
    </row>
    <row r="16" customFormat="1" s="90">
      <c r="B16" s="90" t="inlineStr">
        <is>
          <t>Blended Cash Flow</t>
        </is>
      </c>
      <c r="I16" s="924">
        <f>SUM(I8:I15)</f>
        <v/>
      </c>
      <c r="J16" s="924">
        <f>SUM(J8:J15)</f>
        <v/>
      </c>
      <c r="K16" s="924">
        <f>SUM(K8:K15)</f>
        <v/>
      </c>
      <c r="L16" s="924">
        <f>SUM(L8:L15)</f>
        <v/>
      </c>
    </row>
    <row r="17">
      <c r="H17" s="923" t="n"/>
      <c r="I17" s="923" t="n"/>
      <c r="J17" s="923" t="n"/>
      <c r="K17" s="923" t="n"/>
      <c r="L17" s="923" t="n"/>
      <c r="M17" s="923" t="n"/>
    </row>
    <row r="18">
      <c r="B18" s="92" t="inlineStr">
        <is>
          <t>Total Investments</t>
        </is>
      </c>
      <c r="C18" s="93" t="n"/>
      <c r="D18" s="93" t="n"/>
      <c r="E18" s="93" t="n"/>
      <c r="F18" s="925">
        <f>SUM(I16:K16)</f>
        <v/>
      </c>
      <c r="G18" s="926" t="n"/>
      <c r="H18" s="923" t="n"/>
      <c r="I18" s="923" t="n"/>
      <c r="J18" s="923" t="n"/>
      <c r="K18" s="923" t="n"/>
      <c r="L18" s="923" t="n"/>
      <c r="M18" s="923" t="n"/>
    </row>
    <row r="19">
      <c r="F19" s="927" t="n"/>
      <c r="H19" s="923" t="n"/>
      <c r="I19" s="923" t="n"/>
      <c r="J19" s="923" t="n"/>
      <c r="K19" s="923" t="n"/>
      <c r="L19" s="923" t="n"/>
      <c r="M19" s="923" t="n"/>
    </row>
    <row r="20">
      <c r="B20" s="97" t="inlineStr">
        <is>
          <t>Realized Value</t>
        </is>
      </c>
      <c r="C20" s="98" t="n"/>
      <c r="D20" s="98" t="n"/>
      <c r="E20" s="98" t="n"/>
      <c r="F20" s="928">
        <f>SUMIF($F$8:$F$15,B20,$L$8:$L$15)</f>
        <v/>
      </c>
      <c r="G20" s="929" t="n"/>
      <c r="H20" s="923" t="n"/>
      <c r="I20" s="923" t="n"/>
      <c r="J20" s="923" t="n"/>
      <c r="K20" s="923" t="n"/>
      <c r="L20" s="923" t="n"/>
      <c r="M20" s="923" t="n"/>
    </row>
    <row r="21">
      <c r="B21" s="101" t="inlineStr">
        <is>
          <t>Unrealized Value</t>
        </is>
      </c>
      <c r="F21" s="930">
        <f>SUMIF($F$8:$F$15,B21,$L$8:$L$15)</f>
        <v/>
      </c>
      <c r="G21" s="929" t="n"/>
      <c r="H21" s="923" t="n"/>
      <c r="I21" s="923" t="n"/>
      <c r="J21" s="923" t="n"/>
      <c r="K21" s="923" t="n"/>
      <c r="L21" s="923" t="n"/>
      <c r="M21" s="923" t="n"/>
    </row>
    <row r="22">
      <c r="B22" s="103" t="inlineStr">
        <is>
          <t>Total Realized &amp; Unrealized Value</t>
        </is>
      </c>
      <c r="C22" s="104" t="n"/>
      <c r="D22" s="104" t="n"/>
      <c r="E22" s="104" t="n"/>
      <c r="F22" s="931">
        <f>F20+F21</f>
        <v/>
      </c>
      <c r="G22" s="929" t="n"/>
      <c r="H22" s="923" t="n"/>
      <c r="I22" s="923" t="n"/>
      <c r="J22" s="923" t="n"/>
      <c r="K22" s="923" t="n"/>
      <c r="L22" s="923" t="n"/>
      <c r="M22" s="923" t="n"/>
    </row>
    <row r="23">
      <c r="F23" s="929" t="n"/>
      <c r="G23" s="929" t="n"/>
      <c r="H23" s="923" t="n"/>
      <c r="I23" s="923" t="n"/>
      <c r="J23" s="923" t="n"/>
      <c r="K23" s="923" t="n"/>
      <c r="L23" s="923" t="n"/>
      <c r="M23" s="923" t="n"/>
    </row>
    <row r="24">
      <c r="B24" s="97" t="inlineStr">
        <is>
          <t>Realized ROI</t>
        </is>
      </c>
      <c r="C24" s="98" t="n"/>
      <c r="D24" s="98" t="n"/>
      <c r="E24" s="98" t="n"/>
      <c r="F24" s="932">
        <f>-F20/$F$18</f>
        <v/>
      </c>
      <c r="G24" s="933" t="n"/>
      <c r="H24" s="923" t="n"/>
      <c r="I24" s="923" t="n"/>
      <c r="J24" s="923" t="n"/>
      <c r="K24" s="923" t="n"/>
      <c r="L24" s="923" t="n"/>
      <c r="M24" s="923" t="n"/>
    </row>
    <row r="25">
      <c r="B25" s="101" t="inlineStr">
        <is>
          <t>Unrealized ROI</t>
        </is>
      </c>
      <c r="F25" s="934">
        <f>-F21/$F$18</f>
        <v/>
      </c>
      <c r="G25" s="933" t="n"/>
      <c r="H25" s="923" t="n"/>
      <c r="I25" s="923" t="n"/>
      <c r="J25" s="923" t="n"/>
      <c r="K25" s="923" t="n"/>
      <c r="L25" s="923" t="n"/>
      <c r="M25" s="923" t="n"/>
    </row>
    <row r="26" customFormat="1" s="90">
      <c r="B26" s="103" t="inlineStr">
        <is>
          <t>Realized &amp; Unrealized ROI</t>
        </is>
      </c>
      <c r="C26" s="104" t="n"/>
      <c r="D26" s="104" t="n"/>
      <c r="E26" s="104" t="n"/>
      <c r="F26" s="935">
        <f>-F22/$F$18</f>
        <v/>
      </c>
      <c r="G26" s="936" t="n"/>
      <c r="H26" s="937" t="n"/>
      <c r="I26" s="937" t="n"/>
      <c r="J26" s="937" t="n"/>
      <c r="K26" s="937" t="n"/>
      <c r="L26" s="937" t="n"/>
      <c r="M26" s="937" t="n"/>
    </row>
    <row r="27" customFormat="1" s="112">
      <c r="F27" s="113" t="n"/>
      <c r="G27" s="113" t="n"/>
      <c r="H27" s="938" t="n"/>
      <c r="I27" s="939" t="n"/>
      <c r="J27" s="939" t="n"/>
      <c r="K27" s="939" t="n"/>
      <c r="L27" s="939" t="n"/>
      <c r="M27" s="938" t="n"/>
    </row>
    <row r="28" customFormat="1" s="90">
      <c r="B28" s="116" t="inlineStr">
        <is>
          <t>IRR</t>
        </is>
      </c>
      <c r="C28" s="117" t="n"/>
      <c r="D28" s="117" t="n"/>
      <c r="E28" s="117" t="n"/>
      <c r="F28" s="940">
        <f>IFERROR(XIRR(I16:L16,I5:L5),"NM")</f>
        <v/>
      </c>
      <c r="G28" s="119" t="n"/>
      <c r="H28" s="937" t="n"/>
      <c r="I28" s="941" t="n"/>
      <c r="J28" s="941" t="n"/>
      <c r="K28" s="941" t="n"/>
      <c r="L28" s="941" t="n"/>
      <c r="M28" s="937" t="n"/>
    </row>
    <row r="29">
      <c r="F29" s="942" t="n"/>
      <c r="G29" s="929" t="n"/>
      <c r="H29" s="923" t="n"/>
      <c r="I29" s="923" t="n"/>
      <c r="J29" s="923" t="n"/>
      <c r="K29" s="923" t="n"/>
      <c r="L29" s="923" t="n"/>
      <c r="M29" s="923" t="n"/>
    </row>
    <row r="31">
      <c r="B31" s="98" t="n"/>
      <c r="C31" s="98" t="n"/>
      <c r="D31" s="98" t="n"/>
      <c r="E31" s="98" t="n"/>
      <c r="F31" s="98" t="n"/>
      <c r="G31" s="98" t="n"/>
      <c r="H31" s="98" t="n"/>
      <c r="I31" s="98" t="n"/>
      <c r="J31" s="98" t="n"/>
      <c r="K31" s="98" t="n"/>
      <c r="L31" s="98" t="n"/>
    </row>
    <row r="41">
      <c r="J41" s="164" t="n"/>
    </row>
  </sheetData>
  <pageMargins left="0.7086614173228347" right="0.7086614173228347" top="0.7480314960629921" bottom="0.7480314960629921" header="0.3149606299212598" footer="0.3149606299212598"/>
  <pageSetup orientation="portrait" scale="66" fitToHeight="0"/>
</worksheet>
</file>

<file path=xl/worksheets/sheet17.xml><?xml version="1.0" encoding="utf-8"?>
<worksheet xmlns="http://schemas.openxmlformats.org/spreadsheetml/2006/main">
  <sheetPr>
    <tabColor theme="6"/>
    <outlinePr summaryBelow="1" summaryRight="1"/>
    <pageSetUpPr fitToPage="1"/>
  </sheetPr>
  <dimension ref="B1:O41"/>
  <sheetViews>
    <sheetView showGridLines="0" view="pageBreakPreview" zoomScaleNormal="100" zoomScaleSheetLayoutView="100" workbookViewId="0">
      <selection activeCell="I5" sqref="I5"/>
    </sheetView>
  </sheetViews>
  <sheetFormatPr baseColWidth="8" defaultColWidth="8" defaultRowHeight="15" outlineLevelRow="1"/>
  <cols>
    <col width="2.7109375" customWidth="1" style="81" min="1" max="1"/>
    <col width="36" bestFit="1" customWidth="1" style="81" min="2" max="2"/>
    <col width="1.5703125" customWidth="1" style="81" min="3" max="3"/>
    <col width="8" customWidth="1" style="81" min="4" max="4"/>
    <col width="1.5703125" customWidth="1" style="81" min="5" max="5"/>
    <col width="16.7109375" bestFit="1" customWidth="1" style="81" min="6" max="6"/>
    <col width="4.28515625" customWidth="1" style="81" min="7" max="7"/>
    <col width="0.85546875" customWidth="1" style="81" min="8" max="8"/>
    <col width="16.7109375" bestFit="1" customWidth="1" style="81" min="9" max="12"/>
    <col width="0.85546875" customWidth="1" style="81" min="13" max="13"/>
    <col width="8" customWidth="1" style="81" min="14" max="16384"/>
  </cols>
  <sheetData>
    <row r="1" ht="18.75" customFormat="1" customHeight="1" s="77">
      <c r="B1" s="247">
        <f>'I. Cover Page'!B5</f>
        <v/>
      </c>
    </row>
    <row r="2" ht="15.75" customFormat="1" customHeight="1" s="77" thickBot="1">
      <c r="B2" s="254" t="inlineStr">
        <is>
          <t>XPVWFII Returns</t>
        </is>
      </c>
      <c r="C2" s="78" t="n"/>
      <c r="D2" s="78" t="n"/>
      <c r="E2" s="78" t="n"/>
      <c r="F2" s="78" t="n"/>
      <c r="G2" s="78" t="n"/>
      <c r="H2" s="78" t="n"/>
      <c r="I2" s="78" t="n"/>
      <c r="J2" s="78" t="n"/>
      <c r="K2" s="78" t="n"/>
      <c r="L2" s="78" t="n"/>
    </row>
    <row r="3" ht="13.5" customFormat="1" customHeight="1" s="77" thickTop="1">
      <c r="B3" s="251" t="n">
        <v>46022</v>
      </c>
      <c r="L3" s="79" t="inlineStr">
        <is>
          <t>$USD</t>
        </is>
      </c>
    </row>
    <row r="4" ht="15.75" customFormat="1" customHeight="1" s="77">
      <c r="B4" s="80" t="n"/>
      <c r="C4" s="80" t="n"/>
      <c r="D4" s="80" t="n"/>
      <c r="E4" s="80" t="n"/>
      <c r="F4" s="80" t="n"/>
      <c r="G4" s="80" t="n"/>
      <c r="H4" s="80" t="n"/>
      <c r="I4" s="201" t="n"/>
      <c r="J4" s="80" t="n"/>
      <c r="K4" s="80" t="n"/>
      <c r="L4" s="80" t="n"/>
      <c r="M4" s="80" t="n"/>
    </row>
    <row r="5" ht="17.25" customHeight="1">
      <c r="C5" s="82" t="inlineStr">
        <is>
          <t>Security Type</t>
        </is>
      </c>
      <c r="D5" s="82" t="n"/>
      <c r="E5" s="83" t="n"/>
      <c r="H5" s="84" t="n"/>
      <c r="I5" s="921" t="n">
        <v>45281</v>
      </c>
      <c r="J5" s="921" t="n">
        <v>45982</v>
      </c>
      <c r="K5" s="921">
        <f>J5</f>
        <v/>
      </c>
      <c r="L5" s="921">
        <f>B3</f>
        <v/>
      </c>
      <c r="M5" s="84" t="n"/>
    </row>
    <row r="6">
      <c r="D6" s="85" t="n"/>
    </row>
    <row r="7">
      <c r="B7" s="86" t="inlineStr">
        <is>
          <t>Total Investment IRR</t>
        </is>
      </c>
      <c r="D7" s="85" t="n"/>
    </row>
    <row r="8">
      <c r="B8" s="81" t="inlineStr">
        <is>
          <t>Initial Common Equity Investment</t>
        </is>
      </c>
      <c r="D8" s="81" t="inlineStr">
        <is>
          <t>Common</t>
        </is>
      </c>
      <c r="I8" s="922" t="n">
        <v>-12500000</v>
      </c>
      <c r="J8" s="922" t="n"/>
      <c r="K8" s="922" t="n"/>
      <c r="L8" s="922" t="n"/>
    </row>
    <row r="9">
      <c r="B9" s="81" t="inlineStr">
        <is>
          <t>Common Equity Payout @ Exit</t>
        </is>
      </c>
      <c r="D9" s="81" t="inlineStr">
        <is>
          <t>Common</t>
        </is>
      </c>
      <c r="F9" s="81" t="inlineStr">
        <is>
          <t>Unrealized Value</t>
        </is>
      </c>
      <c r="I9" s="922" t="n"/>
      <c r="J9" s="228" t="n"/>
      <c r="K9" s="228" t="n"/>
      <c r="L9" s="922">
        <f>'III. Valuation Summary'!H25</f>
        <v/>
      </c>
    </row>
    <row r="10" outlineLevel="1">
      <c r="B10" s="81" t="inlineStr">
        <is>
          <t>Common Shares (Growth Investment)</t>
        </is>
      </c>
      <c r="D10" s="81" t="inlineStr">
        <is>
          <t>Common</t>
        </is>
      </c>
      <c r="G10" s="87" t="n"/>
      <c r="H10" s="87" t="n"/>
      <c r="I10" s="922" t="n"/>
      <c r="J10" s="922" t="n"/>
      <c r="K10" s="922" t="n"/>
      <c r="L10" s="922" t="n"/>
      <c r="M10" s="87" t="n"/>
      <c r="O10" s="88" t="n"/>
    </row>
    <row r="11" outlineLevel="1">
      <c r="B11" s="81" t="inlineStr">
        <is>
          <t>Founder share purchase</t>
        </is>
      </c>
      <c r="D11" s="81" t="inlineStr">
        <is>
          <t>Common</t>
        </is>
      </c>
      <c r="H11" s="923" t="n"/>
      <c r="I11" s="922" t="n"/>
      <c r="J11" s="922" t="n"/>
      <c r="K11" s="922" t="n"/>
      <c r="L11" s="922" t="n"/>
      <c r="M11" s="923" t="n"/>
    </row>
    <row r="12" outlineLevel="1">
      <c r="B12" s="81" t="inlineStr">
        <is>
          <t>Add-On Investments (Yeary Controls)</t>
        </is>
      </c>
      <c r="D12" s="81" t="inlineStr">
        <is>
          <t>Common</t>
        </is>
      </c>
      <c r="F12" s="81" t="inlineStr">
        <is>
          <t>Unrealized Value</t>
        </is>
      </c>
      <c r="H12" s="923" t="n"/>
      <c r="I12" s="922" t="n"/>
      <c r="J12" s="922" t="n">
        <v>-3787879.18</v>
      </c>
      <c r="K12" s="922" t="n"/>
      <c r="L12" s="922" t="n"/>
      <c r="M12" s="923" t="n"/>
    </row>
    <row r="13" outlineLevel="1">
      <c r="B13" s="81" t="inlineStr">
        <is>
          <t>Add-On Investments</t>
        </is>
      </c>
      <c r="H13" s="923" t="n"/>
      <c r="I13" s="922" t="n"/>
      <c r="J13" s="922" t="n"/>
      <c r="K13" s="922" t="n"/>
      <c r="L13" s="922" t="n"/>
      <c r="M13" s="923" t="n"/>
    </row>
    <row r="14" outlineLevel="1">
      <c r="B14" s="81" t="inlineStr">
        <is>
          <t>Add-On Investments</t>
        </is>
      </c>
      <c r="H14" s="923" t="n"/>
      <c r="I14" s="922" t="n"/>
      <c r="J14" s="922" t="n"/>
      <c r="K14" s="922" t="n"/>
      <c r="L14" s="922" t="n"/>
      <c r="M14" s="923" t="n"/>
    </row>
    <row r="15" outlineLevel="1">
      <c r="B15" s="81" t="inlineStr">
        <is>
          <t>[X]</t>
        </is>
      </c>
      <c r="F15" s="81" t="inlineStr">
        <is>
          <t>Realized Value</t>
        </is>
      </c>
      <c r="H15" s="923" t="n"/>
      <c r="I15" s="922" t="n"/>
      <c r="J15" s="922" t="n"/>
      <c r="K15" s="922" t="n"/>
      <c r="L15" s="922" t="n"/>
      <c r="M15" s="923" t="n"/>
    </row>
    <row r="16" customFormat="1" s="90">
      <c r="B16" s="90" t="inlineStr">
        <is>
          <t>Blended Cash Flow</t>
        </is>
      </c>
      <c r="I16" s="924">
        <f>SUM(I8:I15)</f>
        <v/>
      </c>
      <c r="J16" s="924">
        <f>SUM(J8:J15)</f>
        <v/>
      </c>
      <c r="K16" s="924">
        <f>SUM(K8:K15)</f>
        <v/>
      </c>
      <c r="L16" s="924">
        <f>SUM(L8:L15)</f>
        <v/>
      </c>
    </row>
    <row r="17">
      <c r="H17" s="923" t="n"/>
      <c r="I17" s="923" t="n"/>
      <c r="J17" s="923" t="n"/>
      <c r="K17" s="923" t="n"/>
      <c r="L17" s="923" t="n"/>
      <c r="M17" s="923" t="n"/>
    </row>
    <row r="18">
      <c r="B18" s="92" t="inlineStr">
        <is>
          <t>Total Investments</t>
        </is>
      </c>
      <c r="C18" s="93" t="n"/>
      <c r="D18" s="93" t="n"/>
      <c r="E18" s="93" t="n"/>
      <c r="F18" s="925">
        <f>SUM(I16:K16)</f>
        <v/>
      </c>
      <c r="G18" s="926" t="n"/>
      <c r="H18" s="923" t="n"/>
      <c r="I18" s="923" t="n"/>
      <c r="J18" s="923" t="n"/>
      <c r="K18" s="923" t="n"/>
      <c r="L18" s="923" t="n"/>
      <c r="M18" s="923" t="n"/>
    </row>
    <row r="19">
      <c r="F19" s="927" t="n"/>
      <c r="H19" s="923" t="n"/>
      <c r="I19" s="923" t="n"/>
      <c r="J19" s="923" t="n"/>
      <c r="K19" s="923" t="n"/>
      <c r="L19" s="923" t="n"/>
      <c r="M19" s="923" t="n"/>
    </row>
    <row r="20">
      <c r="B20" s="97" t="inlineStr">
        <is>
          <t>Realized Value</t>
        </is>
      </c>
      <c r="C20" s="98" t="n"/>
      <c r="D20" s="98" t="n"/>
      <c r="E20" s="98" t="n"/>
      <c r="F20" s="928">
        <f>SUMIF($F$8:$F$15,B20,$L$8:$L$15)</f>
        <v/>
      </c>
      <c r="G20" s="929" t="n"/>
      <c r="H20" s="923" t="n"/>
      <c r="I20" s="923" t="n"/>
      <c r="J20" s="923" t="n"/>
      <c r="K20" s="923" t="n"/>
      <c r="L20" s="923" t="n"/>
      <c r="M20" s="923" t="n"/>
    </row>
    <row r="21">
      <c r="B21" s="101" t="inlineStr">
        <is>
          <t>Unrealized Value</t>
        </is>
      </c>
      <c r="F21" s="930">
        <f>SUMIF($F$8:$F$15,B21,$L$8:$L$15)</f>
        <v/>
      </c>
      <c r="G21" s="929" t="n"/>
      <c r="H21" s="923" t="n"/>
      <c r="I21" s="923" t="n"/>
      <c r="J21" s="923" t="n"/>
      <c r="K21" s="923" t="n"/>
      <c r="L21" s="923" t="n"/>
      <c r="M21" s="923" t="n"/>
    </row>
    <row r="22">
      <c r="B22" s="103" t="inlineStr">
        <is>
          <t>Total Realized &amp; Unrealized Value</t>
        </is>
      </c>
      <c r="C22" s="104" t="n"/>
      <c r="D22" s="104" t="n"/>
      <c r="E22" s="104" t="n"/>
      <c r="F22" s="931">
        <f>F20+F21</f>
        <v/>
      </c>
      <c r="G22" s="929" t="n"/>
      <c r="H22" s="923" t="n"/>
      <c r="I22" s="923" t="n"/>
      <c r="J22" s="923" t="n"/>
      <c r="K22" s="923" t="n"/>
      <c r="L22" s="923" t="n"/>
      <c r="M22" s="923" t="n"/>
    </row>
    <row r="23">
      <c r="F23" s="929" t="n"/>
      <c r="G23" s="929" t="n"/>
      <c r="H23" s="923" t="n"/>
      <c r="I23" s="923" t="n"/>
      <c r="J23" s="923" t="n"/>
      <c r="K23" s="923" t="n"/>
      <c r="L23" s="923" t="n"/>
      <c r="M23" s="923" t="n"/>
    </row>
    <row r="24">
      <c r="B24" s="97" t="inlineStr">
        <is>
          <t>Realized ROI</t>
        </is>
      </c>
      <c r="C24" s="98" t="n"/>
      <c r="D24" s="98" t="n"/>
      <c r="E24" s="98" t="n"/>
      <c r="F24" s="932">
        <f>-F20/$F$18</f>
        <v/>
      </c>
      <c r="G24" s="933" t="n"/>
      <c r="H24" s="923" t="n"/>
      <c r="I24" s="923" t="n"/>
      <c r="J24" s="923" t="n"/>
      <c r="K24" s="923" t="n"/>
      <c r="L24" s="923" t="n"/>
      <c r="M24" s="923" t="n"/>
    </row>
    <row r="25">
      <c r="B25" s="101" t="inlineStr">
        <is>
          <t>Unrealized ROI</t>
        </is>
      </c>
      <c r="F25" s="934">
        <f>-F21/$F$18</f>
        <v/>
      </c>
      <c r="G25" s="933" t="n"/>
      <c r="H25" s="923" t="n"/>
      <c r="I25" s="923" t="n"/>
      <c r="J25" s="923" t="n"/>
      <c r="K25" s="923" t="n"/>
      <c r="L25" s="923" t="n"/>
      <c r="M25" s="923" t="n"/>
    </row>
    <row r="26" customFormat="1" s="90">
      <c r="B26" s="103" t="inlineStr">
        <is>
          <t>Realized &amp; Unrealized ROI</t>
        </is>
      </c>
      <c r="C26" s="104" t="n"/>
      <c r="D26" s="104" t="n"/>
      <c r="E26" s="104" t="n"/>
      <c r="F26" s="935">
        <f>-F22/$F$18</f>
        <v/>
      </c>
      <c r="G26" s="936" t="n"/>
      <c r="H26" s="937" t="n"/>
      <c r="I26" s="937" t="n"/>
      <c r="J26" s="937" t="n"/>
      <c r="K26" s="937" t="n"/>
      <c r="L26" s="937" t="n"/>
      <c r="M26" s="937" t="n"/>
    </row>
    <row r="27" customFormat="1" s="112">
      <c r="F27" s="113" t="n"/>
      <c r="G27" s="113" t="n"/>
      <c r="H27" s="938" t="n"/>
      <c r="I27" s="939" t="n"/>
      <c r="J27" s="939" t="n"/>
      <c r="K27" s="939" t="n"/>
      <c r="L27" s="939" t="n"/>
      <c r="M27" s="938" t="n"/>
    </row>
    <row r="28" customFormat="1" s="90">
      <c r="B28" s="116" t="inlineStr">
        <is>
          <t>IRR</t>
        </is>
      </c>
      <c r="C28" s="117" t="n"/>
      <c r="D28" s="117" t="n"/>
      <c r="E28" s="117" t="n"/>
      <c r="F28" s="940">
        <f>IFERROR(XIRR(I16:L16,I5:L5),"NM")</f>
        <v/>
      </c>
      <c r="G28" s="119" t="n"/>
      <c r="H28" s="937" t="n"/>
      <c r="I28" s="941" t="n"/>
      <c r="J28" s="941" t="n"/>
      <c r="K28" s="941" t="n"/>
      <c r="L28" s="941" t="n"/>
      <c r="M28" s="937" t="n"/>
    </row>
    <row r="29">
      <c r="F29" s="942" t="n"/>
      <c r="G29" s="929" t="n"/>
      <c r="H29" s="923" t="n"/>
      <c r="I29" s="923" t="n"/>
      <c r="J29" s="923" t="n"/>
      <c r="K29" s="923" t="n"/>
      <c r="L29" s="923" t="n"/>
      <c r="M29" s="923" t="n"/>
    </row>
    <row r="31">
      <c r="B31" s="98" t="n"/>
      <c r="C31" s="98" t="n"/>
      <c r="D31" s="98" t="n"/>
      <c r="E31" s="98" t="n"/>
      <c r="F31" s="98" t="n"/>
      <c r="G31" s="98" t="n"/>
      <c r="H31" s="98" t="n"/>
      <c r="I31" s="98" t="n"/>
      <c r="J31" s="98" t="n"/>
      <c r="K31" s="98" t="n"/>
      <c r="L31" s="98" t="n"/>
    </row>
    <row r="41">
      <c r="J41" s="164" t="n"/>
    </row>
  </sheetData>
  <pageMargins left="0.7086614173228347" right="0.7086614173228347" top="0.7480314960629921" bottom="0.7480314960629921" header="0.3149606299212598" footer="0.3149606299212598"/>
  <pageSetup orientation="portrait" scale="66" fitToHeight="0"/>
</worksheet>
</file>

<file path=xl/worksheets/sheet18.xml><?xml version="1.0" encoding="utf-8"?>
<worksheet xmlns="http://schemas.openxmlformats.org/spreadsheetml/2006/main">
  <sheetPr>
    <tabColor theme="6"/>
    <outlinePr summaryBelow="1" summaryRight="1"/>
    <pageSetUpPr fitToPage="1"/>
  </sheetPr>
  <dimension ref="B1:O41"/>
  <sheetViews>
    <sheetView showGridLines="0" view="pageBreakPreview" zoomScaleNormal="100" zoomScaleSheetLayoutView="100" workbookViewId="0">
      <selection activeCell="F28" sqref="F28"/>
    </sheetView>
  </sheetViews>
  <sheetFormatPr baseColWidth="8" defaultColWidth="8" defaultRowHeight="15" outlineLevelRow="1"/>
  <cols>
    <col width="2.7109375" customWidth="1" style="81" min="1" max="1"/>
    <col width="36" bestFit="1" customWidth="1" style="81" min="2" max="2"/>
    <col width="1.5703125" customWidth="1" style="81" min="3" max="3"/>
    <col width="8" customWidth="1" style="81" min="4" max="4"/>
    <col width="1.5703125" customWidth="1" style="81" min="5" max="5"/>
    <col width="16.7109375" bestFit="1" customWidth="1" style="81" min="6" max="6"/>
    <col width="4.28515625" customWidth="1" style="81" min="7" max="7"/>
    <col width="0.85546875" customWidth="1" style="81" min="8" max="8"/>
    <col width="16.7109375" bestFit="1" customWidth="1" style="81" min="9" max="12"/>
    <col width="0.85546875" customWidth="1" style="81" min="13" max="13"/>
    <col width="8" customWidth="1" style="81" min="14" max="16384"/>
  </cols>
  <sheetData>
    <row r="1" ht="18.75" customFormat="1" customHeight="1" s="77">
      <c r="B1" s="247">
        <f>'I. Cover Page'!B5</f>
        <v/>
      </c>
    </row>
    <row r="2" ht="15.75" customFormat="1" customHeight="1" s="77" thickBot="1">
      <c r="B2" s="254" t="inlineStr">
        <is>
          <t>XPVWFII Returns</t>
        </is>
      </c>
      <c r="C2" s="78" t="n"/>
      <c r="D2" s="78" t="n"/>
      <c r="E2" s="78" t="n"/>
      <c r="F2" s="78" t="n"/>
      <c r="G2" s="78" t="n"/>
      <c r="H2" s="78" t="n"/>
      <c r="I2" s="78" t="n"/>
      <c r="J2" s="78" t="n"/>
      <c r="K2" s="78" t="n"/>
      <c r="L2" s="78" t="n"/>
    </row>
    <row r="3" ht="13.5" customFormat="1" customHeight="1" s="77" thickTop="1">
      <c r="B3" s="251">
        <f>'I. Cover Page'!B9</f>
        <v/>
      </c>
      <c r="L3" s="79" t="inlineStr">
        <is>
          <t>$USD</t>
        </is>
      </c>
    </row>
    <row r="4" ht="15.75" customFormat="1" customHeight="1" s="77">
      <c r="B4" s="80" t="n"/>
      <c r="C4" s="80" t="n"/>
      <c r="D4" s="80" t="n"/>
      <c r="E4" s="80" t="n"/>
      <c r="F4" s="80" t="n"/>
      <c r="G4" s="80" t="n"/>
      <c r="H4" s="80" t="n"/>
      <c r="I4" s="201" t="n"/>
      <c r="J4" s="80" t="n"/>
      <c r="K4" s="80" t="n"/>
      <c r="L4" s="80" t="n"/>
      <c r="M4" s="80" t="n"/>
    </row>
    <row r="5" ht="17.25" customHeight="1">
      <c r="C5" s="82" t="inlineStr">
        <is>
          <t>Security Type</t>
        </is>
      </c>
      <c r="D5" s="82" t="n"/>
      <c r="E5" s="83" t="n"/>
      <c r="H5" s="84" t="n"/>
      <c r="I5" s="921" t="n">
        <v>45283</v>
      </c>
      <c r="J5" s="921">
        <f>I5</f>
        <v/>
      </c>
      <c r="K5" s="921">
        <f>J5</f>
        <v/>
      </c>
      <c r="L5" s="921" t="n">
        <v>45657</v>
      </c>
      <c r="M5" s="84" t="n"/>
    </row>
    <row r="6">
      <c r="D6" s="85" t="n"/>
    </row>
    <row r="7">
      <c r="B7" s="86" t="inlineStr">
        <is>
          <t>Total Investment IRR</t>
        </is>
      </c>
      <c r="D7" s="85" t="n"/>
    </row>
    <row r="8">
      <c r="B8" s="81" t="inlineStr">
        <is>
          <t>Initial Common Equity Investment</t>
        </is>
      </c>
      <c r="D8" s="81" t="inlineStr">
        <is>
          <t>Common</t>
        </is>
      </c>
      <c r="I8" s="922" t="n">
        <v>-12500000</v>
      </c>
      <c r="J8" s="922" t="n"/>
      <c r="K8" s="922" t="n"/>
      <c r="L8" s="922" t="n"/>
    </row>
    <row r="9">
      <c r="B9" s="81" t="inlineStr">
        <is>
          <t>Common Equity Payout @ Exit</t>
        </is>
      </c>
      <c r="D9" s="81" t="inlineStr">
        <is>
          <t>Common</t>
        </is>
      </c>
      <c r="F9" s="81" t="inlineStr">
        <is>
          <t>Unrealized Value</t>
        </is>
      </c>
      <c r="I9" s="922" t="n"/>
      <c r="J9" s="228" t="n"/>
      <c r="K9" s="228" t="n"/>
      <c r="L9" s="922">
        <f>'III. Valuation Summary'!$H$25</f>
        <v/>
      </c>
    </row>
    <row r="10" outlineLevel="1">
      <c r="B10" s="81" t="inlineStr">
        <is>
          <t>Common Shares (Growth Investment)</t>
        </is>
      </c>
      <c r="D10" s="81" t="inlineStr">
        <is>
          <t>Common</t>
        </is>
      </c>
      <c r="G10" s="87" t="n"/>
      <c r="H10" s="87" t="n"/>
      <c r="I10" s="922" t="n"/>
      <c r="J10" s="922" t="n"/>
      <c r="K10" s="922" t="n"/>
      <c r="L10" s="922" t="n"/>
      <c r="M10" s="87" t="n"/>
      <c r="O10" s="88" t="n"/>
    </row>
    <row r="11" outlineLevel="1">
      <c r="B11" s="81" t="inlineStr">
        <is>
          <t>Founder share purchase</t>
        </is>
      </c>
      <c r="D11" s="81" t="inlineStr">
        <is>
          <t>Common</t>
        </is>
      </c>
      <c r="H11" s="923" t="n"/>
      <c r="I11" s="922" t="n"/>
      <c r="J11" s="922" t="n"/>
      <c r="K11" s="922" t="n"/>
      <c r="L11" s="922" t="n"/>
      <c r="M11" s="923" t="n"/>
    </row>
    <row r="12" outlineLevel="1">
      <c r="B12" s="81" t="inlineStr">
        <is>
          <t>Add-On Investments</t>
        </is>
      </c>
      <c r="H12" s="923" t="n"/>
      <c r="I12" s="922" t="n"/>
      <c r="J12" s="922" t="n"/>
      <c r="K12" s="922" t="n"/>
      <c r="L12" s="922" t="n"/>
      <c r="M12" s="923" t="n"/>
    </row>
    <row r="13" outlineLevel="1">
      <c r="B13" s="81" t="inlineStr">
        <is>
          <t>Add-On Investments</t>
        </is>
      </c>
      <c r="H13" s="923" t="n"/>
      <c r="I13" s="922" t="n"/>
      <c r="J13" s="922" t="n"/>
      <c r="K13" s="922" t="n"/>
      <c r="L13" s="922" t="n"/>
      <c r="M13" s="923" t="n"/>
    </row>
    <row r="14" outlineLevel="1">
      <c r="B14" s="81" t="inlineStr">
        <is>
          <t>Add-On Investments</t>
        </is>
      </c>
      <c r="H14" s="923" t="n"/>
      <c r="I14" s="922" t="n"/>
      <c r="J14" s="922" t="n"/>
      <c r="K14" s="922" t="n"/>
      <c r="L14" s="922" t="n"/>
      <c r="M14" s="923" t="n"/>
    </row>
    <row r="15" outlineLevel="1">
      <c r="B15" s="81" t="inlineStr">
        <is>
          <t>[X]</t>
        </is>
      </c>
      <c r="F15" s="81" t="inlineStr">
        <is>
          <t>Realized Value</t>
        </is>
      </c>
      <c r="H15" s="923" t="n"/>
      <c r="I15" s="922" t="n"/>
      <c r="J15" s="922" t="n"/>
      <c r="K15" s="922" t="n"/>
      <c r="L15" s="922" t="n"/>
      <c r="M15" s="923" t="n"/>
    </row>
    <row r="16" customFormat="1" s="90">
      <c r="B16" s="90" t="inlineStr">
        <is>
          <t>Blended Cash Flow</t>
        </is>
      </c>
      <c r="I16" s="924">
        <f>SUM(I8:I15)</f>
        <v/>
      </c>
      <c r="J16" s="924">
        <f>SUM(J8:J15)</f>
        <v/>
      </c>
      <c r="K16" s="924">
        <f>SUM(K8:K15)</f>
        <v/>
      </c>
      <c r="L16" s="924">
        <f>SUM(L8:L15)</f>
        <v/>
      </c>
    </row>
    <row r="17">
      <c r="H17" s="923" t="n"/>
      <c r="I17" s="923" t="n"/>
      <c r="J17" s="923" t="n"/>
      <c r="K17" s="923" t="n"/>
      <c r="L17" s="923" t="n"/>
      <c r="M17" s="923" t="n"/>
    </row>
    <row r="18">
      <c r="B18" s="92" t="inlineStr">
        <is>
          <t>Total Investments</t>
        </is>
      </c>
      <c r="C18" s="93" t="n"/>
      <c r="D18" s="93" t="n"/>
      <c r="E18" s="93" t="n"/>
      <c r="F18" s="925">
        <f>SUM(I16:K16)</f>
        <v/>
      </c>
      <c r="G18" s="926" t="n"/>
      <c r="H18" s="923" t="n"/>
      <c r="I18" s="923" t="n"/>
      <c r="J18" s="923" t="n"/>
      <c r="K18" s="923" t="n"/>
      <c r="L18" s="923" t="n"/>
      <c r="M18" s="923" t="n"/>
    </row>
    <row r="19">
      <c r="F19" s="927" t="n"/>
      <c r="H19" s="923" t="n"/>
      <c r="I19" s="923" t="n"/>
      <c r="J19" s="923" t="n"/>
      <c r="K19" s="923" t="n"/>
      <c r="L19" s="923" t="n"/>
      <c r="M19" s="923" t="n"/>
    </row>
    <row r="20">
      <c r="B20" s="97" t="inlineStr">
        <is>
          <t>Realized Value</t>
        </is>
      </c>
      <c r="C20" s="98" t="n"/>
      <c r="D20" s="98" t="n"/>
      <c r="E20" s="98" t="n"/>
      <c r="F20" s="928">
        <f>SUMIF($F$8:$F$15,B20,$L$8:$L$15)</f>
        <v/>
      </c>
      <c r="G20" s="929" t="n"/>
      <c r="H20" s="923" t="n"/>
      <c r="I20" s="923" t="n"/>
      <c r="J20" s="923" t="n"/>
      <c r="K20" s="923" t="n"/>
      <c r="L20" s="923" t="n"/>
      <c r="M20" s="923" t="n"/>
    </row>
    <row r="21">
      <c r="B21" s="101" t="inlineStr">
        <is>
          <t>Unrealized Value</t>
        </is>
      </c>
      <c r="F21" s="930">
        <f>SUMIF($F$8:$F$15,B21,$L$8:$L$15)</f>
        <v/>
      </c>
      <c r="G21" s="929" t="n"/>
      <c r="H21" s="923" t="n"/>
      <c r="I21" s="923" t="n"/>
      <c r="J21" s="923" t="n"/>
      <c r="K21" s="923" t="n"/>
      <c r="L21" s="923" t="n"/>
      <c r="M21" s="923" t="n"/>
    </row>
    <row r="22">
      <c r="B22" s="103" t="inlineStr">
        <is>
          <t>Total Realized &amp; Unrealized Value</t>
        </is>
      </c>
      <c r="C22" s="104" t="n"/>
      <c r="D22" s="104" t="n"/>
      <c r="E22" s="104" t="n"/>
      <c r="F22" s="931">
        <f>F20+F21</f>
        <v/>
      </c>
      <c r="G22" s="929" t="n"/>
      <c r="H22" s="923" t="n"/>
      <c r="I22" s="923" t="n"/>
      <c r="J22" s="923" t="n"/>
      <c r="K22" s="923" t="n"/>
      <c r="L22" s="923" t="n"/>
      <c r="M22" s="923" t="n"/>
    </row>
    <row r="23">
      <c r="F23" s="929" t="n"/>
      <c r="G23" s="929" t="n"/>
      <c r="H23" s="923" t="n"/>
      <c r="I23" s="923" t="n"/>
      <c r="J23" s="923" t="n"/>
      <c r="K23" s="923" t="n"/>
      <c r="L23" s="923" t="n"/>
      <c r="M23" s="923" t="n"/>
    </row>
    <row r="24">
      <c r="B24" s="97" t="inlineStr">
        <is>
          <t>Realized ROI</t>
        </is>
      </c>
      <c r="C24" s="98" t="n"/>
      <c r="D24" s="98" t="n"/>
      <c r="E24" s="98" t="n"/>
      <c r="F24" s="932">
        <f>-F20/$F$18</f>
        <v/>
      </c>
      <c r="G24" s="933" t="n"/>
      <c r="H24" s="923" t="n"/>
      <c r="I24" s="923" t="n"/>
      <c r="J24" s="923" t="n"/>
      <c r="K24" s="923" t="n"/>
      <c r="L24" s="923" t="n"/>
      <c r="M24" s="923" t="n"/>
    </row>
    <row r="25">
      <c r="B25" s="101" t="inlineStr">
        <is>
          <t>Unrealized ROI</t>
        </is>
      </c>
      <c r="F25" s="934">
        <f>-F21/$F$18</f>
        <v/>
      </c>
      <c r="G25" s="933" t="n"/>
      <c r="H25" s="923" t="n"/>
      <c r="I25" s="923" t="n"/>
      <c r="J25" s="923" t="n"/>
      <c r="K25" s="923" t="n"/>
      <c r="L25" s="923" t="n"/>
      <c r="M25" s="923" t="n"/>
    </row>
    <row r="26" customFormat="1" s="90">
      <c r="B26" s="103" t="inlineStr">
        <is>
          <t>Realized &amp; Unrealized ROI</t>
        </is>
      </c>
      <c r="C26" s="104" t="n"/>
      <c r="D26" s="104" t="n"/>
      <c r="E26" s="104" t="n"/>
      <c r="F26" s="935">
        <f>-F22/$F$18</f>
        <v/>
      </c>
      <c r="G26" s="936" t="n"/>
      <c r="H26" s="937" t="n"/>
      <c r="I26" s="937" t="n"/>
      <c r="J26" s="937" t="n"/>
      <c r="K26" s="937" t="n"/>
      <c r="L26" s="937" t="n"/>
      <c r="M26" s="937" t="n"/>
    </row>
    <row r="27" customFormat="1" s="112">
      <c r="F27" s="113" t="n"/>
      <c r="G27" s="113" t="n"/>
      <c r="H27" s="938" t="n"/>
      <c r="I27" s="939" t="n"/>
      <c r="J27" s="939" t="n"/>
      <c r="K27" s="939" t="n"/>
      <c r="L27" s="939" t="n"/>
      <c r="M27" s="938" t="n"/>
    </row>
    <row r="28" customFormat="1" s="90">
      <c r="B28" s="116" t="inlineStr">
        <is>
          <t>IRR</t>
        </is>
      </c>
      <c r="C28" s="117" t="n"/>
      <c r="D28" s="117" t="n"/>
      <c r="E28" s="117" t="n"/>
      <c r="F28" s="940">
        <f>IFERROR(XIRR(I16:L16,I5:L5),"NM")</f>
        <v/>
      </c>
      <c r="G28" s="119" t="n"/>
      <c r="H28" s="937" t="n"/>
      <c r="I28" s="941" t="n"/>
      <c r="J28" s="941" t="n"/>
      <c r="K28" s="941" t="n"/>
      <c r="L28" s="941" t="n"/>
      <c r="M28" s="937" t="n"/>
    </row>
    <row r="29">
      <c r="F29" s="942" t="n"/>
      <c r="G29" s="929" t="n"/>
      <c r="H29" s="923" t="n"/>
      <c r="I29" s="923" t="n"/>
      <c r="J29" s="923" t="n"/>
      <c r="K29" s="923" t="n"/>
      <c r="L29" s="923" t="n"/>
      <c r="M29" s="923" t="n"/>
    </row>
    <row r="31">
      <c r="B31" s="98" t="n"/>
      <c r="C31" s="98" t="n"/>
      <c r="D31" s="98" t="n"/>
      <c r="E31" s="98" t="n"/>
      <c r="F31" s="98" t="n"/>
      <c r="G31" s="98" t="n"/>
      <c r="H31" s="98" t="n"/>
      <c r="I31" s="98" t="n"/>
      <c r="J31" s="98" t="n"/>
      <c r="K31" s="98" t="n"/>
      <c r="L31" s="98" t="n"/>
    </row>
    <row r="41">
      <c r="J41" s="164" t="n"/>
    </row>
  </sheetData>
  <pageMargins left="0.7086614173228347" right="0.7086614173228347" top="0.7480314960629921" bottom="0.7480314960629921" header="0.3149606299212598" footer="0.3149606299212598"/>
  <pageSetup orientation="portrait" scale="66" fitToHeight="0"/>
</worksheet>
</file>

<file path=xl/worksheets/sheet19.xml><?xml version="1.0" encoding="utf-8"?>
<worksheet xmlns="http://schemas.openxmlformats.org/spreadsheetml/2006/main">
  <sheetPr>
    <outlinePr summaryBelow="1" summaryRight="1"/>
    <pageSetUpPr fitToPage="1"/>
  </sheetPr>
  <dimension ref="B1:AQ62"/>
  <sheetViews>
    <sheetView showGridLines="0" view="pageBreakPreview" zoomScale="85" zoomScaleNormal="85" zoomScaleSheetLayoutView="85" workbookViewId="0">
      <selection activeCell="A1" sqref="A1"/>
    </sheetView>
  </sheetViews>
  <sheetFormatPr baseColWidth="8" defaultColWidth="9.140625" defaultRowHeight="15"/>
  <cols>
    <col width="2.28515625" customWidth="1" min="1" max="1"/>
    <col width="42.42578125" bestFit="1" customWidth="1" min="2" max="2"/>
    <col width="20.7109375" customWidth="1" min="3" max="4"/>
    <col outlineLevel="2" width="20.7109375" customWidth="1" min="5" max="6"/>
    <col outlineLevel="1" width="20.7109375" customWidth="1" min="7" max="8"/>
    <col width="20.7109375" customWidth="1" min="9" max="14"/>
    <col width="22.85546875" bestFit="1" customWidth="1" min="15" max="15"/>
    <col width="9.7109375" customWidth="1" min="16" max="16"/>
    <col hidden="1" outlineLevel="1" width="12.7109375" customWidth="1" min="17" max="28"/>
    <col collapsed="1" width="12.5703125" customWidth="1" min="29" max="29"/>
    <col width="12.5703125" customWidth="1" min="30" max="43"/>
  </cols>
  <sheetData>
    <row r="1" ht="18.75" customFormat="1" customHeight="1" s="122">
      <c r="B1" s="247">
        <f>'I. Cover Page'!B5</f>
        <v/>
      </c>
      <c r="C1" s="247" t="n"/>
    </row>
    <row r="2" ht="16.5" customFormat="1" customHeight="1" s="122" thickBot="1">
      <c r="B2" s="249" t="inlineStr">
        <is>
          <t>Financial Summary</t>
        </is>
      </c>
      <c r="C2" s="249" t="n"/>
      <c r="D2" s="123" t="n"/>
      <c r="E2" s="123" t="n"/>
      <c r="F2" s="123" t="n"/>
      <c r="G2" s="123" t="n"/>
      <c r="H2" s="123" t="n"/>
      <c r="I2" s="123" t="n"/>
      <c r="J2" s="123" t="n"/>
      <c r="K2" s="123" t="n"/>
      <c r="L2" s="123" t="n"/>
      <c r="M2" s="123" t="n"/>
      <c r="N2" s="123" t="n"/>
      <c r="O2" s="123" t="n"/>
      <c r="P2" s="124" t="n"/>
    </row>
    <row r="3" ht="15.75" customFormat="1" customHeight="1" s="122" thickTop="1">
      <c r="B3" s="251">
        <f>'I. Cover Page'!B9</f>
        <v/>
      </c>
      <c r="C3" s="251" t="n"/>
      <c r="D3" s="125" t="n"/>
      <c r="E3" s="125" t="n"/>
      <c r="F3" s="125" t="n"/>
      <c r="G3" s="125" t="n"/>
      <c r="H3" s="125" t="n"/>
      <c r="I3" s="125" t="n"/>
      <c r="J3" s="125" t="n"/>
      <c r="K3" s="125" t="n"/>
      <c r="L3" s="125" t="n"/>
      <c r="M3" s="125" t="n"/>
      <c r="N3" s="125" t="n"/>
      <c r="O3" s="9" t="inlineStr">
        <is>
          <t>$USD</t>
        </is>
      </c>
      <c r="P3" s="9" t="n"/>
    </row>
    <row r="5" customFormat="1" s="133">
      <c r="B5" s="131" t="inlineStr">
        <is>
          <t>Financial Information Summary</t>
        </is>
      </c>
      <c r="C5" s="131" t="n"/>
      <c r="D5" s="132" t="n"/>
      <c r="E5" s="132" t="n"/>
      <c r="F5" s="132" t="n"/>
      <c r="G5" s="132" t="n"/>
      <c r="H5" s="132" t="n"/>
      <c r="I5" s="132" t="n"/>
      <c r="J5" s="132" t="n"/>
      <c r="K5" s="132" t="n"/>
      <c r="L5" s="132" t="n"/>
      <c r="M5" s="132" t="n"/>
      <c r="N5" s="132" t="n"/>
      <c r="O5" s="132" t="n"/>
    </row>
    <row r="6">
      <c r="B6" s="19" t="n"/>
      <c r="C6" s="19" t="n"/>
      <c r="I6" s="178" t="n"/>
      <c r="J6" s="537" t="inlineStr">
        <is>
          <t>PF for RP Adams</t>
        </is>
      </c>
      <c r="K6" s="537" t="inlineStr">
        <is>
          <t>PF for RP Adams</t>
        </is>
      </c>
      <c r="L6" s="537" t="inlineStr">
        <is>
          <t>PF for RP Adams</t>
        </is>
      </c>
      <c r="M6" s="537" t="inlineStr">
        <is>
          <t>PF for RP Adams + Yeary</t>
        </is>
      </c>
      <c r="N6" s="537" t="inlineStr">
        <is>
          <t>PF for Yeary</t>
        </is>
      </c>
      <c r="O6" s="179" t="n"/>
      <c r="P6" s="179" t="n"/>
    </row>
    <row r="7">
      <c r="B7" s="134" t="n"/>
      <c r="C7" s="134" t="n"/>
      <c r="D7" s="135" t="inlineStr">
        <is>
          <t>Acquisition</t>
        </is>
      </c>
      <c r="E7" s="135" t="inlineStr">
        <is>
          <t>Fiscal Year 2023</t>
        </is>
      </c>
      <c r="F7" s="135" t="inlineStr">
        <is>
          <t>LTM - March 2024</t>
        </is>
      </c>
      <c r="G7" s="135" t="inlineStr">
        <is>
          <t>LTM - June 2024</t>
        </is>
      </c>
      <c r="H7" s="135" t="inlineStr">
        <is>
          <t>LTM - September 2024</t>
        </is>
      </c>
      <c r="I7" s="135" t="inlineStr">
        <is>
          <t>FY 2024</t>
        </is>
      </c>
      <c r="J7" s="135" t="inlineStr">
        <is>
          <t>LTM - March 2025</t>
        </is>
      </c>
      <c r="K7" s="135" t="inlineStr">
        <is>
          <t>LTM - June 2025</t>
        </is>
      </c>
      <c r="L7" s="135" t="inlineStr">
        <is>
          <t>LTM - September 2025</t>
        </is>
      </c>
      <c r="M7" s="135" t="inlineStr">
        <is>
          <t>FY 2025</t>
        </is>
      </c>
      <c r="N7" s="135" t="inlineStr">
        <is>
          <t>LTM - March 2026</t>
        </is>
      </c>
      <c r="O7" s="135" t="inlineStr">
        <is>
          <t>Budget</t>
        </is>
      </c>
      <c r="P7" s="20" t="n"/>
      <c r="AA7" s="206" t="n"/>
      <c r="AB7" s="206" t="n"/>
    </row>
    <row r="8" ht="15.75" customHeight="1" thickBot="1">
      <c r="B8" s="134" t="n"/>
      <c r="C8" s="134" t="n"/>
      <c r="D8" s="360" t="n">
        <v>45261</v>
      </c>
      <c r="E8" s="136" t="inlineStr">
        <is>
          <t>Jan 2023 - Dec 2023</t>
        </is>
      </c>
      <c r="F8" s="168" t="inlineStr">
        <is>
          <t>April 2023-  Mar 2024</t>
        </is>
      </c>
      <c r="G8" s="136" t="inlineStr">
        <is>
          <t>Jul 2023- Jun 2024</t>
        </is>
      </c>
      <c r="H8" s="168" t="inlineStr">
        <is>
          <t>Oct 2023 -  Sept 2024</t>
        </is>
      </c>
      <c r="I8" s="136" t="inlineStr">
        <is>
          <t>Jan 2024 - Dec 2024</t>
        </is>
      </c>
      <c r="J8" s="168" t="inlineStr">
        <is>
          <t>April 2024-  Mar 2025</t>
        </is>
      </c>
      <c r="K8" s="168" t="inlineStr">
        <is>
          <t>July 2024 - June 2025</t>
        </is>
      </c>
      <c r="L8" s="168" t="inlineStr">
        <is>
          <t>Oct 2024 -  Sept 2025</t>
        </is>
      </c>
      <c r="M8" s="168" t="inlineStr">
        <is>
          <t>Jan 2025 -  Dec 2025</t>
        </is>
      </c>
      <c r="N8" s="168" t="inlineStr">
        <is>
          <t>April 2025-  Mar 2026</t>
        </is>
      </c>
      <c r="O8" s="136" t="inlineStr">
        <is>
          <t>Jan 2025 - Dec 2025</t>
        </is>
      </c>
      <c r="P8" s="206" t="n"/>
      <c r="Q8" s="943" t="n">
        <v>45322</v>
      </c>
      <c r="R8" s="943" t="n">
        <v>45351</v>
      </c>
      <c r="S8" s="943" t="n">
        <v>45382</v>
      </c>
      <c r="T8" s="943" t="n">
        <v>45412</v>
      </c>
      <c r="U8" s="943" t="n">
        <v>45443</v>
      </c>
      <c r="V8" s="943" t="n">
        <v>45473</v>
      </c>
      <c r="W8" s="943" t="n">
        <v>45504</v>
      </c>
      <c r="X8" s="943" t="n">
        <v>45535</v>
      </c>
      <c r="Y8" s="943" t="n">
        <v>45565</v>
      </c>
      <c r="Z8" s="943" t="n">
        <v>45596</v>
      </c>
      <c r="AA8" s="943" t="n">
        <v>45626</v>
      </c>
      <c r="AB8" s="943" t="n">
        <v>45657</v>
      </c>
      <c r="AC8" s="943" t="n">
        <v>45688</v>
      </c>
      <c r="AD8" s="943">
        <f>EOMONTH(AC8,1)</f>
        <v/>
      </c>
      <c r="AE8" s="943">
        <f>EOMONTH(AD8,1)</f>
        <v/>
      </c>
      <c r="AF8" s="943">
        <f>EOMONTH(AE8,1)</f>
        <v/>
      </c>
      <c r="AG8" s="943">
        <f>EOMONTH(AF8,1)</f>
        <v/>
      </c>
      <c r="AH8" s="943">
        <f>EOMONTH(AG8,1)</f>
        <v/>
      </c>
      <c r="AI8" s="943">
        <f>EOMONTH(AH8,1)</f>
        <v/>
      </c>
      <c r="AJ8" s="943">
        <f>EOMONTH(AI8,1)</f>
        <v/>
      </c>
      <c r="AK8" s="943">
        <f>EOMONTH(AJ8,1)</f>
        <v/>
      </c>
      <c r="AL8" s="943">
        <f>EOMONTH(AK8,1)</f>
        <v/>
      </c>
      <c r="AM8" s="943">
        <f>EOMONTH(AL8,1)</f>
        <v/>
      </c>
      <c r="AN8" s="943">
        <f>EOMONTH(AM8,1)</f>
        <v/>
      </c>
      <c r="AO8" s="943">
        <f>EOMONTH(AN8,1)</f>
        <v/>
      </c>
      <c r="AP8" s="943">
        <f>EOMONTH(AO8,1)</f>
        <v/>
      </c>
      <c r="AQ8" s="943">
        <f>EOMONTH(AP8,1)</f>
        <v/>
      </c>
    </row>
    <row r="9">
      <c r="B9" s="314" t="inlineStr">
        <is>
          <t>Opus Revenue</t>
        </is>
      </c>
      <c r="C9" s="314" t="n"/>
      <c r="D9" s="944" t="n"/>
      <c r="E9" s="206" t="n"/>
      <c r="F9" s="206" t="n"/>
      <c r="G9" s="206" t="n"/>
      <c r="H9" s="169" t="n"/>
      <c r="I9" s="169" t="n"/>
      <c r="J9" s="718">
        <f>SUM(T9:AE9)</f>
        <v/>
      </c>
      <c r="K9" s="718">
        <f>SUM(W9:AH9)</f>
        <v/>
      </c>
      <c r="L9" s="718">
        <f>SUM(Z9:AK9)</f>
        <v/>
      </c>
      <c r="M9" s="718">
        <f>SUM(AC9:AN9)</f>
        <v/>
      </c>
      <c r="N9" s="718">
        <f>SUM(AF9:AQ9)</f>
        <v/>
      </c>
      <c r="O9" s="206" t="n"/>
      <c r="P9" s="206" t="n"/>
      <c r="Q9" s="945" t="n">
        <v>440665.91</v>
      </c>
      <c r="R9" s="945" t="n">
        <v>383894.08</v>
      </c>
      <c r="S9" s="945" t="n">
        <v>583445.88</v>
      </c>
      <c r="T9" s="945" t="n">
        <v>522819.19</v>
      </c>
      <c r="U9" s="945" t="n">
        <v>623909.54</v>
      </c>
      <c r="V9" s="945" t="n">
        <v>554238.52</v>
      </c>
      <c r="W9" s="945" t="n">
        <v>554105.08</v>
      </c>
      <c r="X9" s="945" t="n">
        <v>744855.09</v>
      </c>
      <c r="Y9" s="945" t="n">
        <v>708488.99</v>
      </c>
      <c r="Z9" s="945" t="n">
        <v>605777.05</v>
      </c>
      <c r="AA9" s="945" t="n">
        <v>465681.31</v>
      </c>
      <c r="AB9" s="945" t="n">
        <v>400521.57</v>
      </c>
      <c r="AC9" s="945" t="n">
        <v>519951.33</v>
      </c>
      <c r="AD9" s="945" t="n">
        <v>1313013.16</v>
      </c>
      <c r="AE9" s="945" t="n">
        <v>2157588.06</v>
      </c>
      <c r="AF9" s="945" t="n">
        <v>2083207.86</v>
      </c>
      <c r="AG9" s="945" t="n">
        <v>1131620.94</v>
      </c>
      <c r="AH9" s="945" t="n">
        <v>1478180.06</v>
      </c>
      <c r="AI9" s="945" t="n">
        <v>1758316.49</v>
      </c>
      <c r="AJ9" s="945" t="n">
        <v>1413457.47</v>
      </c>
      <c r="AK9" s="945" t="n">
        <v>1824735.74</v>
      </c>
      <c r="AL9" s="945" t="n">
        <v>1621269.49</v>
      </c>
      <c r="AM9" s="945" t="n">
        <v>1288214.62</v>
      </c>
      <c r="AN9" s="945" t="n">
        <v>2349656.25</v>
      </c>
      <c r="AO9" s="945" t="n">
        <v>890161.2599999999</v>
      </c>
      <c r="AP9" s="945" t="n">
        <v>1938842.91</v>
      </c>
      <c r="AQ9" s="945" t="n">
        <v>1779097.45</v>
      </c>
    </row>
    <row r="10">
      <c r="B10" s="314" t="inlineStr">
        <is>
          <t>RP Adams Revenue</t>
        </is>
      </c>
      <c r="C10" s="314" t="n"/>
      <c r="D10" s="944" t="n"/>
      <c r="E10" s="206" t="n"/>
      <c r="F10" s="206" t="n"/>
      <c r="G10" s="206" t="n"/>
      <c r="H10" s="169" t="n"/>
      <c r="I10" s="169" t="n"/>
      <c r="J10" s="718">
        <f>SUM(T10:AE10)</f>
        <v/>
      </c>
      <c r="K10" s="718">
        <f>SUM(W10:AH10)</f>
        <v/>
      </c>
      <c r="L10" s="718">
        <f>SUM(Z10:AK10)</f>
        <v/>
      </c>
      <c r="M10" s="718">
        <f>SUM(AC10:AN10)</f>
        <v/>
      </c>
      <c r="N10" s="718">
        <f>SUM(AF10:AQ10)</f>
        <v/>
      </c>
      <c r="O10" s="206" t="n"/>
      <c r="P10" s="206" t="n"/>
      <c r="S10" s="945" t="n"/>
      <c r="T10" s="945" t="n">
        <v>970333.5999999997</v>
      </c>
      <c r="U10" s="945" t="n">
        <v>917838.4000000001</v>
      </c>
      <c r="V10" s="945" t="n">
        <v>646317.4300000007</v>
      </c>
      <c r="W10" s="945" t="n">
        <v>1043784.72</v>
      </c>
      <c r="X10" s="945" t="n">
        <v>1317438.57</v>
      </c>
      <c r="Y10" s="945" t="n">
        <v>913595.6400000001</v>
      </c>
      <c r="Z10" s="945" t="n">
        <v>875674.4500000003</v>
      </c>
      <c r="AA10" s="945" t="n">
        <v>829554.2299999991</v>
      </c>
      <c r="AB10" s="945" t="n">
        <v>739812.4700000014</v>
      </c>
      <c r="AC10" s="945" t="n">
        <v>936677.3799999993</v>
      </c>
      <c r="AD10" s="945" t="n">
        <v>641032.1499999999</v>
      </c>
      <c r="AE10" s="945" t="n"/>
    </row>
    <row r="11">
      <c r="B11" s="314" t="inlineStr">
        <is>
          <t>Yeary Controls Revenue</t>
        </is>
      </c>
      <c r="C11" s="314" t="n"/>
      <c r="D11" s="944" t="n"/>
      <c r="E11" s="206" t="n"/>
      <c r="F11" s="206" t="n"/>
      <c r="G11" s="206" t="n"/>
      <c r="H11" s="169" t="n"/>
      <c r="I11" s="169" t="n"/>
      <c r="J11" s="169" t="n"/>
      <c r="K11" s="169" t="n"/>
      <c r="L11" s="169" t="n"/>
      <c r="M11" s="718">
        <f>SUM(AC11:AN11)</f>
        <v/>
      </c>
      <c r="N11" s="718">
        <f>SUM(AF11:AQ11)</f>
        <v/>
      </c>
      <c r="O11" s="206" t="n"/>
      <c r="P11" s="206" t="n"/>
      <c r="Q11" s="945" t="n"/>
      <c r="R11" s="945" t="n"/>
      <c r="S11" s="945" t="n"/>
      <c r="AC11" s="945" t="n">
        <v>91371.25</v>
      </c>
      <c r="AD11" s="945" t="n">
        <v>140634.75</v>
      </c>
      <c r="AE11" s="945" t="n">
        <v>871204.1</v>
      </c>
      <c r="AF11" s="945" t="n">
        <v>122638.2</v>
      </c>
      <c r="AG11" s="945" t="n">
        <v>253544</v>
      </c>
      <c r="AH11" s="945" t="n">
        <v>522588.58</v>
      </c>
      <c r="AI11" s="945" t="n">
        <v>293851.7000000001</v>
      </c>
      <c r="AJ11" s="945" t="n">
        <v>77550.78000000003</v>
      </c>
      <c r="AK11" s="945" t="n">
        <v>210778.38</v>
      </c>
      <c r="AL11" s="945" t="n">
        <v>62134</v>
      </c>
    </row>
    <row r="12" ht="15" customHeight="1">
      <c r="B12" s="137" t="inlineStr">
        <is>
          <t>Revenue</t>
        </is>
      </c>
      <c r="C12" s="137" t="n"/>
      <c r="D12" s="138" t="n">
        <v>5569009.57</v>
      </c>
      <c r="E12" s="946" t="n">
        <v>5567536.189999999</v>
      </c>
      <c r="F12" s="946" t="n">
        <v>5622660.369999999</v>
      </c>
      <c r="G12" s="946" t="n">
        <v>5671675.22</v>
      </c>
      <c r="H12" s="947" t="n">
        <v>6077745.79</v>
      </c>
      <c r="I12" s="948">
        <f>SUM(Q9:AB9)</f>
        <v/>
      </c>
      <c r="J12" s="948">
        <f>SUM(J9:J11)</f>
        <v/>
      </c>
      <c r="K12" s="948">
        <f>SUM(W12:AH12)</f>
        <v/>
      </c>
      <c r="L12" s="948">
        <f>SUM(Z12:AK12)</f>
        <v/>
      </c>
      <c r="M12" s="948">
        <f>SUM(AC12:AN12)</f>
        <v/>
      </c>
      <c r="N12" s="948">
        <f>SUM(N9:N11)</f>
        <v/>
      </c>
      <c r="O12" s="947" t="n">
        <v>0</v>
      </c>
      <c r="P12" s="315" t="n"/>
      <c r="Q12" s="949">
        <f>SUM(Q9:Q11)</f>
        <v/>
      </c>
      <c r="R12" s="949">
        <f>SUM(R9:R11)</f>
        <v/>
      </c>
      <c r="S12" s="949">
        <f>SUM(S9:S11)</f>
        <v/>
      </c>
      <c r="T12" s="949">
        <f>SUM(T9:T11)</f>
        <v/>
      </c>
      <c r="U12" s="949">
        <f>SUM(U9:U11)</f>
        <v/>
      </c>
      <c r="V12" s="949">
        <f>SUM(V9:V11)</f>
        <v/>
      </c>
      <c r="W12" s="949">
        <f>SUM(W9:W11)</f>
        <v/>
      </c>
      <c r="X12" s="949">
        <f>SUM(X9:X11)</f>
        <v/>
      </c>
      <c r="Y12" s="949">
        <f>SUM(Y9:Y11)</f>
        <v/>
      </c>
      <c r="Z12" s="949">
        <f>SUM(Z9:Z11)</f>
        <v/>
      </c>
      <c r="AA12" s="949">
        <f>SUM(AA9:AA11)</f>
        <v/>
      </c>
      <c r="AB12" s="949">
        <f>SUM(AB9:AB11)</f>
        <v/>
      </c>
      <c r="AC12" s="949">
        <f>SUM(AC9:AC11)</f>
        <v/>
      </c>
      <c r="AD12" s="949">
        <f>SUM(AD9:AD11)</f>
        <v/>
      </c>
      <c r="AE12" s="949">
        <f>SUM(AE9:AE11)</f>
        <v/>
      </c>
      <c r="AF12" s="949">
        <f>SUM(AF9:AF11)</f>
        <v/>
      </c>
      <c r="AG12" s="949">
        <f>SUM(AG9:AG11)</f>
        <v/>
      </c>
      <c r="AH12" s="949">
        <f>SUM(AH9:AH11)</f>
        <v/>
      </c>
      <c r="AI12" s="949">
        <f>SUM(AI9:AI11)</f>
        <v/>
      </c>
      <c r="AJ12" s="949">
        <f>SUM(AJ9:AJ11)</f>
        <v/>
      </c>
      <c r="AK12" s="949">
        <f>SUM(AK9:AK11)</f>
        <v/>
      </c>
      <c r="AL12" s="949">
        <f>SUM(AL9:AL11)</f>
        <v/>
      </c>
      <c r="AM12" s="949">
        <f>SUM(AM9:AM11)</f>
        <v/>
      </c>
      <c r="AN12" s="949">
        <f>SUM(AN9:AN11)</f>
        <v/>
      </c>
      <c r="AO12" s="949">
        <f>SUM(AO9:AO11)</f>
        <v/>
      </c>
      <c r="AP12" s="949">
        <f>SUM(AP9:AP11)</f>
        <v/>
      </c>
      <c r="AQ12" s="949">
        <f>SUM(AQ9:AQ11)</f>
        <v/>
      </c>
    </row>
    <row r="13" ht="15" customHeight="1">
      <c r="B13" s="314" t="inlineStr">
        <is>
          <t>Opus EBITDA</t>
        </is>
      </c>
      <c r="C13" s="314" t="n"/>
      <c r="D13" s="315" t="n"/>
      <c r="E13" s="315" t="n"/>
      <c r="F13" s="315" t="n"/>
      <c r="G13" s="315" t="n"/>
      <c r="H13" s="315" t="n"/>
      <c r="I13" s="315" t="n"/>
      <c r="J13" s="315" t="n"/>
      <c r="K13" s="315" t="n"/>
      <c r="L13" s="315" t="n"/>
      <c r="M13" s="315" t="n"/>
      <c r="N13" s="315" t="n"/>
      <c r="O13" s="315" t="n"/>
      <c r="P13" s="950" t="n"/>
      <c r="Q13" s="435" t="n">
        <v>-233370.7699999999</v>
      </c>
      <c r="R13" s="435" t="n">
        <v>-215832.03</v>
      </c>
      <c r="S13" s="435" t="n">
        <v>-8836.119999999937</v>
      </c>
      <c r="T13" s="435" t="n">
        <v>-77043.17</v>
      </c>
      <c r="U13" s="435" t="n">
        <v>-87933.26999999984</v>
      </c>
      <c r="V13" s="435" t="n">
        <v>-4177.430000000095</v>
      </c>
      <c r="W13" s="435" t="n">
        <v>-57258.44000000018</v>
      </c>
      <c r="X13" s="435" t="n">
        <v>-11858.99000000017</v>
      </c>
      <c r="Y13" s="435" t="n">
        <v>196493.9100000001</v>
      </c>
      <c r="Z13" s="435" t="n">
        <v>121265.7900000001</v>
      </c>
      <c r="AA13" s="435" t="n">
        <v>-467729.9799999997</v>
      </c>
      <c r="AB13" s="435" t="n">
        <v>-455335.8499999997</v>
      </c>
      <c r="AC13" s="435" t="n">
        <v>-40970.90999999997</v>
      </c>
      <c r="AD13" s="435" t="n">
        <v>227050.1299999999</v>
      </c>
      <c r="AE13" s="435" t="n">
        <v>232486.66</v>
      </c>
      <c r="AF13" s="435" t="n">
        <v>166011.2199999996</v>
      </c>
      <c r="AG13" s="435" t="n">
        <v>-419184.96</v>
      </c>
      <c r="AH13" s="435" t="n">
        <v>-107942.57</v>
      </c>
      <c r="AI13" s="435" t="n">
        <v>-376427.0499999999</v>
      </c>
      <c r="AJ13" s="435" t="n">
        <v>-5735.579999999899</v>
      </c>
      <c r="AK13" s="435" t="n">
        <v>43437.91999999979</v>
      </c>
      <c r="AL13" s="435" t="n">
        <v>-167551.11</v>
      </c>
      <c r="AM13" s="435" t="n">
        <v>-208036.7400000004</v>
      </c>
      <c r="AN13" s="435" t="n">
        <v>334935.7900000002</v>
      </c>
      <c r="AO13" s="435" t="n">
        <v>-624505.5200000004</v>
      </c>
      <c r="AP13" s="435" t="n">
        <v>234015.5599999996</v>
      </c>
      <c r="AQ13" s="435" t="n">
        <v>1674.299999999987</v>
      </c>
    </row>
    <row r="14" ht="15" customHeight="1">
      <c r="B14" s="314" t="inlineStr">
        <is>
          <t>RP Adams EBITDA</t>
        </is>
      </c>
      <c r="C14" s="314" t="n"/>
      <c r="D14" s="315" t="n"/>
      <c r="E14" s="315" t="n"/>
      <c r="F14" s="315" t="n"/>
      <c r="G14" s="315" t="n"/>
      <c r="H14" s="315" t="n"/>
      <c r="I14" s="315" t="n"/>
      <c r="J14" s="315" t="n"/>
      <c r="K14" s="315" t="n"/>
      <c r="L14" s="315" t="n"/>
      <c r="M14" s="315" t="n"/>
      <c r="N14" s="315" t="n"/>
      <c r="O14" s="315" t="n"/>
      <c r="P14" s="950" t="n"/>
      <c r="Q14" s="435" t="n"/>
      <c r="R14" s="435" t="n"/>
      <c r="T14" s="435" t="n">
        <v>97526.31999999999</v>
      </c>
      <c r="U14" s="435" t="n">
        <v>48051.3000000001</v>
      </c>
      <c r="V14" s="435" t="n">
        <v>-106815.3999999991</v>
      </c>
      <c r="W14" s="435" t="n">
        <v>150958.7199999997</v>
      </c>
      <c r="X14" s="435" t="n">
        <v>335371.0399999996</v>
      </c>
      <c r="Y14" s="435" t="n">
        <v>47426.95999999967</v>
      </c>
      <c r="Z14" s="435" t="n">
        <v>153218.2600000007</v>
      </c>
      <c r="AA14" s="435" t="n">
        <v>-29024.80000000052</v>
      </c>
      <c r="AB14" s="435" t="n">
        <v>-22476.33999999882</v>
      </c>
      <c r="AC14" s="435" t="n">
        <v>273530.9199999996</v>
      </c>
      <c r="AD14" s="435" t="n">
        <v>50497.70999999996</v>
      </c>
      <c r="AE14" s="435" t="n"/>
      <c r="AK14" s="435" t="n"/>
      <c r="AL14" s="435" t="n"/>
      <c r="AM14" s="435" t="n"/>
      <c r="AN14" s="435" t="n"/>
      <c r="AO14" s="435" t="n"/>
      <c r="AP14" s="435" t="n"/>
      <c r="AQ14" s="435" t="n"/>
    </row>
    <row r="15" ht="15" customHeight="1">
      <c r="B15" s="314" t="inlineStr">
        <is>
          <t>Yeary Controls EBITDA</t>
        </is>
      </c>
      <c r="C15" s="314" t="n"/>
      <c r="D15" s="315" t="n"/>
      <c r="E15" s="315" t="n"/>
      <c r="F15" s="315" t="n"/>
      <c r="G15" s="315" t="n"/>
      <c r="H15" s="315" t="n"/>
      <c r="I15" s="315" t="n"/>
      <c r="J15" s="315" t="n"/>
      <c r="K15" s="315" t="n"/>
      <c r="L15" s="315" t="n"/>
      <c r="M15" s="315" t="n"/>
      <c r="N15" s="315" t="n"/>
      <c r="O15" s="315" t="n"/>
      <c r="P15" s="950" t="n"/>
      <c r="Q15" s="951" t="n"/>
      <c r="AC15" s="435" t="n">
        <v>8273.510000000009</v>
      </c>
      <c r="AD15" s="435" t="n">
        <v>13262.66999999998</v>
      </c>
      <c r="AE15" s="435" t="n">
        <v>193513.6299999999</v>
      </c>
      <c r="AF15" s="435" t="n">
        <v>16377.53</v>
      </c>
      <c r="AG15" s="435" t="n">
        <v>58656.07000000009</v>
      </c>
      <c r="AH15" s="435" t="n">
        <v>112282.62</v>
      </c>
      <c r="AI15" s="435" t="n">
        <v>92264.19000000015</v>
      </c>
      <c r="AJ15" s="435" t="n">
        <v>-79211.40000000002</v>
      </c>
      <c r="AK15" s="435" t="n">
        <v>66536.39000000004</v>
      </c>
      <c r="AL15" s="435" t="n">
        <v>-61523.54</v>
      </c>
      <c r="AM15" s="435" t="n"/>
      <c r="AN15" s="435" t="n"/>
      <c r="AO15" s="435" t="n"/>
      <c r="AP15" s="435" t="n"/>
      <c r="AQ15" s="435" t="n"/>
    </row>
    <row r="16" ht="15" customHeight="1">
      <c r="B16" s="139" t="inlineStr">
        <is>
          <t>EBITDA</t>
        </is>
      </c>
      <c r="C16" s="139" t="n"/>
      <c r="D16" s="140" t="n">
        <v>617506.0799999998</v>
      </c>
      <c r="E16" s="952" t="n">
        <v>738259.0799999997</v>
      </c>
      <c r="F16" s="952" t="n">
        <v>172391.9</v>
      </c>
      <c r="G16" s="952" t="n">
        <v>-409431.0699999998</v>
      </c>
      <c r="H16" s="952" t="n">
        <v>-633888.1300000002</v>
      </c>
      <c r="I16" s="953">
        <f>SUM(Q13:AB13)</f>
        <v/>
      </c>
      <c r="J16" s="953">
        <f>SUM(T16:AE16)</f>
        <v/>
      </c>
      <c r="K16" s="953">
        <f>SUM(W16:AH16)</f>
        <v/>
      </c>
      <c r="L16" s="953">
        <f>SUM(Z16:AK16)</f>
        <v/>
      </c>
      <c r="M16" s="953">
        <f>SUM(AC16:AN16)</f>
        <v/>
      </c>
      <c r="N16" s="953">
        <f>SUM(AF16:AQ16)</f>
        <v/>
      </c>
      <c r="O16" s="952">
        <f>SUM(O13:O15)</f>
        <v/>
      </c>
      <c r="P16" s="140" t="n"/>
      <c r="Q16" s="949">
        <f>SUM(Q13:Q15)</f>
        <v/>
      </c>
      <c r="R16" s="949">
        <f>SUM(R13:R15)</f>
        <v/>
      </c>
      <c r="S16" s="949">
        <f>SUM(S13:S15)</f>
        <v/>
      </c>
      <c r="T16" s="949">
        <f>SUM(T13:T15)</f>
        <v/>
      </c>
      <c r="U16" s="949">
        <f>SUM(U13:U15)</f>
        <v/>
      </c>
      <c r="V16" s="949">
        <f>SUM(V13:V15)</f>
        <v/>
      </c>
      <c r="W16" s="949">
        <f>SUM(W13:W15)</f>
        <v/>
      </c>
      <c r="X16" s="949">
        <f>SUM(X13:X15)</f>
        <v/>
      </c>
      <c r="Y16" s="949">
        <f>SUM(Y13:Y15)</f>
        <v/>
      </c>
      <c r="Z16" s="949">
        <f>SUM(Z13:Z15)</f>
        <v/>
      </c>
      <c r="AA16" s="949">
        <f>SUM(AA13:AA15)</f>
        <v/>
      </c>
      <c r="AB16" s="949">
        <f>SUM(AB13:AB15)</f>
        <v/>
      </c>
      <c r="AC16" s="949">
        <f>SUM(AC13:AC15)</f>
        <v/>
      </c>
      <c r="AD16" s="949">
        <f>SUM(AD13:AD15)</f>
        <v/>
      </c>
      <c r="AE16" s="949">
        <f>SUM(AE13:AE15)</f>
        <v/>
      </c>
      <c r="AF16" s="949">
        <f>SUM(AF13:AF15)</f>
        <v/>
      </c>
      <c r="AG16" s="949">
        <f>SUM(AG13:AG15)</f>
        <v/>
      </c>
      <c r="AH16" s="949">
        <f>SUM(AH13:AH15)</f>
        <v/>
      </c>
      <c r="AI16" s="949">
        <f>SUM(AI13:AI15)</f>
        <v/>
      </c>
      <c r="AJ16" s="949">
        <f>SUM(AJ13:AJ15)</f>
        <v/>
      </c>
      <c r="AK16" s="949">
        <f>SUM(AK13:AK15)</f>
        <v/>
      </c>
      <c r="AL16" s="949">
        <f>SUM(AL13:AL15)</f>
        <v/>
      </c>
      <c r="AM16" s="949">
        <f>SUM(AM13:AM15)</f>
        <v/>
      </c>
      <c r="AN16" s="949">
        <f>SUM(AN13:AN15)</f>
        <v/>
      </c>
      <c r="AO16" s="949">
        <f>SUM(AO13:AO15)</f>
        <v/>
      </c>
      <c r="AP16" s="949">
        <f>SUM(AP13:AP15)</f>
        <v/>
      </c>
      <c r="AQ16" s="949">
        <f>SUM(AQ13:AQ15)</f>
        <v/>
      </c>
    </row>
    <row r="17">
      <c r="B17" s="317" t="inlineStr">
        <is>
          <t>YTD Adjustments</t>
        </is>
      </c>
      <c r="C17" s="317" t="n"/>
      <c r="D17" s="141" t="n"/>
      <c r="E17" s="693" t="n"/>
      <c r="F17" s="141" t="n"/>
      <c r="G17" s="952" t="n">
        <v>1029088.77</v>
      </c>
      <c r="H17" s="952" t="n">
        <v>1294656.27</v>
      </c>
      <c r="I17" s="952">
        <f>SUM(Q17:AB17)</f>
        <v/>
      </c>
      <c r="J17" s="952" t="n"/>
      <c r="K17" s="952" t="n"/>
      <c r="L17" s="952" t="n"/>
      <c r="M17" s="952" t="n"/>
      <c r="N17" s="952" t="n"/>
      <c r="O17" s="952" t="n"/>
      <c r="P17" s="693" t="n"/>
      <c r="Q17" s="408" t="n"/>
      <c r="R17" s="408" t="n"/>
      <c r="S17" s="408" t="n"/>
      <c r="T17" s="408" t="n"/>
      <c r="U17" s="408" t="n"/>
      <c r="V17" s="408" t="n"/>
      <c r="W17" s="408" t="n"/>
      <c r="X17" s="408" t="n"/>
      <c r="Y17" s="408" t="n"/>
      <c r="Z17" s="408" t="n"/>
      <c r="AA17" s="408" t="n"/>
      <c r="AB17" s="408" t="n"/>
      <c r="AC17" s="408" t="n"/>
      <c r="AD17" s="408" t="n"/>
      <c r="AE17" s="408" t="n"/>
      <c r="AF17" s="408" t="n"/>
      <c r="AG17" s="408" t="n"/>
      <c r="AH17" s="408" t="n"/>
      <c r="AI17" s="408" t="n"/>
      <c r="AJ17" s="408" t="n"/>
      <c r="AK17" s="408" t="n"/>
      <c r="AL17" s="408" t="n"/>
      <c r="AM17" s="408" t="n"/>
      <c r="AN17" s="408" t="n"/>
      <c r="AO17" s="408" t="n"/>
      <c r="AP17" s="408" t="n"/>
      <c r="AQ17" s="408" t="n"/>
    </row>
    <row r="18">
      <c r="B18" s="317" t="inlineStr">
        <is>
          <t>2023 Adjustments</t>
        </is>
      </c>
      <c r="C18" s="317" t="n"/>
      <c r="D18" s="141" t="n"/>
      <c r="E18" s="693" t="n"/>
      <c r="F18" s="141" t="n"/>
      <c r="G18" s="952" t="n">
        <v>136381.55</v>
      </c>
      <c r="H18" s="952" t="n">
        <v>127048.25</v>
      </c>
      <c r="I18" s="952">
        <f>SUM(Q18:AB18)</f>
        <v/>
      </c>
      <c r="J18" s="952" t="n"/>
      <c r="K18" s="952" t="n"/>
      <c r="L18" s="952" t="n"/>
      <c r="M18" s="952" t="n"/>
      <c r="N18" s="952" t="n"/>
      <c r="O18" s="952" t="n"/>
      <c r="P18" s="693" t="n"/>
      <c r="Q18" s="408" t="n"/>
      <c r="R18" s="408" t="n"/>
      <c r="S18" s="408" t="n"/>
      <c r="T18" s="408" t="n"/>
      <c r="U18" s="408" t="n"/>
      <c r="V18" s="408" t="n"/>
      <c r="W18" s="408" t="n"/>
      <c r="X18" s="408" t="n"/>
      <c r="Y18" s="408" t="n"/>
      <c r="Z18" s="408" t="n"/>
      <c r="AA18" s="408" t="n"/>
      <c r="AB18" s="408" t="n"/>
      <c r="AC18" s="408" t="n"/>
      <c r="AD18" s="408" t="n"/>
      <c r="AE18" s="408" t="n"/>
      <c r="AF18" s="408" t="n"/>
      <c r="AG18" s="408" t="n"/>
      <c r="AH18" s="408" t="n"/>
      <c r="AI18" s="408" t="n"/>
      <c r="AJ18" s="408" t="n"/>
      <c r="AK18" s="408" t="n"/>
      <c r="AL18" s="408" t="n"/>
      <c r="AM18" s="408" t="n"/>
      <c r="AN18" s="408" t="n"/>
      <c r="AO18" s="408" t="n"/>
      <c r="AP18" s="408" t="n"/>
      <c r="AQ18" s="408" t="n"/>
    </row>
    <row r="19">
      <c r="B19" s="317" t="inlineStr">
        <is>
          <t>ADJUSTMENT: Day Bonus and Associated Taxes</t>
        </is>
      </c>
      <c r="C19" s="317" t="n"/>
      <c r="D19" s="141" t="n"/>
      <c r="E19" s="693" t="n"/>
      <c r="F19" s="141" t="n"/>
      <c r="G19" s="952" t="n"/>
      <c r="H19" s="954" t="n"/>
      <c r="I19" s="141">
        <f>SUM(Q19:AB19)</f>
        <v/>
      </c>
      <c r="J19" s="141">
        <f>SUM(T19:AE19)</f>
        <v/>
      </c>
      <c r="K19" s="141">
        <f>SUM(W19:AH19)</f>
        <v/>
      </c>
      <c r="L19" s="141">
        <f>SUM(Z19:AK19)</f>
        <v/>
      </c>
      <c r="M19" s="141">
        <f>SUM(AC19:AN19)</f>
        <v/>
      </c>
      <c r="N19" s="141">
        <f>SUM(AF19:AQ19)</f>
        <v/>
      </c>
      <c r="O19" s="693" t="n"/>
      <c r="P19" s="693" t="n"/>
      <c r="Q19" s="406" t="n">
        <v>64844.94</v>
      </c>
      <c r="R19" s="406" t="n"/>
      <c r="S19" s="406" t="n"/>
      <c r="T19" s="406" t="n"/>
      <c r="U19" s="406" t="n"/>
      <c r="V19" s="406" t="n"/>
      <c r="W19" s="406" t="n"/>
      <c r="AC19" s="406" t="n"/>
      <c r="AD19" s="406" t="n"/>
      <c r="AE19" s="406" t="n"/>
      <c r="AF19" s="406" t="n"/>
      <c r="AG19" s="406" t="n"/>
      <c r="AH19" s="406" t="n"/>
      <c r="AI19" s="406" t="n"/>
    </row>
    <row r="20">
      <c r="B20" s="317" t="inlineStr">
        <is>
          <t>ADJUSTMENT: M&amp;A related T&amp;E</t>
        </is>
      </c>
      <c r="C20" s="423" t="n"/>
      <c r="D20" s="141" t="n"/>
      <c r="E20" s="693" t="n"/>
      <c r="F20" s="141" t="n"/>
      <c r="G20" s="952" t="n"/>
      <c r="H20" s="954" t="n"/>
      <c r="I20" s="141">
        <f>SUM(Q20:AB20)</f>
        <v/>
      </c>
      <c r="J20" s="141">
        <f>SUM(T20:AE20)</f>
        <v/>
      </c>
      <c r="K20" s="141">
        <f>SUM(W20:AH20)</f>
        <v/>
      </c>
      <c r="L20" s="141">
        <f>SUM(Z20:AK20)</f>
        <v/>
      </c>
      <c r="M20" s="141">
        <f>SUM(AC20:AN20)</f>
        <v/>
      </c>
      <c r="N20" s="141">
        <f>SUM(AF20:AQ20)</f>
        <v/>
      </c>
      <c r="O20" s="693" t="n"/>
      <c r="P20" s="693" t="n"/>
      <c r="Q20" s="406" t="n">
        <v>5012.63</v>
      </c>
      <c r="R20" s="406" t="n">
        <v>3621.78</v>
      </c>
      <c r="S20" s="406" t="n">
        <v>1905.1</v>
      </c>
      <c r="T20" s="406" t="n">
        <v>1595.6</v>
      </c>
      <c r="U20" s="406" t="n">
        <v>12042.15</v>
      </c>
      <c r="V20" s="406" t="n">
        <v>0</v>
      </c>
      <c r="W20" s="406" t="n">
        <v>2115.46</v>
      </c>
      <c r="X20" s="406" t="n">
        <v>3836.42</v>
      </c>
      <c r="Y20" s="406" t="n">
        <v>4488.83</v>
      </c>
      <c r="Z20" s="406" t="n">
        <v>2327.85</v>
      </c>
      <c r="AA20" s="406" t="n">
        <v>8136.53</v>
      </c>
      <c r="AB20" s="406" t="n">
        <v>4181.95</v>
      </c>
      <c r="AC20" s="406" t="n">
        <v>-141284.86</v>
      </c>
      <c r="AD20" s="406" t="n">
        <v>-26791.66</v>
      </c>
      <c r="AE20" s="406" t="n">
        <v>149319.43</v>
      </c>
      <c r="AF20" s="406" t="n">
        <v>8363.940000000001</v>
      </c>
      <c r="AG20" s="406" t="n">
        <v>99666.86</v>
      </c>
      <c r="AH20" s="406" t="n">
        <v>18875.42</v>
      </c>
      <c r="AI20" s="406" t="n">
        <v>143182.95</v>
      </c>
      <c r="AJ20" s="406" t="n">
        <v>-24985.22</v>
      </c>
      <c r="AK20" s="406" t="n">
        <v>4926.06</v>
      </c>
      <c r="AL20" s="406" t="n">
        <v>2679.17</v>
      </c>
      <c r="AM20" s="406" t="n">
        <v>10715.99</v>
      </c>
      <c r="AN20" s="406" t="n">
        <v>168544.19</v>
      </c>
      <c r="AO20" s="406" t="n">
        <v>2957.82</v>
      </c>
      <c r="AP20" s="406" t="n">
        <v>7123.339999999997</v>
      </c>
      <c r="AQ20" s="406" t="n">
        <v>2747.17</v>
      </c>
    </row>
    <row r="21">
      <c r="B21" s="317" t="inlineStr">
        <is>
          <t>ADJUSTMENT: Choate legal fees for dilligence</t>
        </is>
      </c>
      <c r="C21" s="423" t="n"/>
      <c r="D21" s="141" t="n"/>
      <c r="E21" s="693" t="n"/>
      <c r="F21" s="141" t="n"/>
      <c r="G21" s="952" t="n"/>
      <c r="H21" s="954" t="n"/>
      <c r="I21" s="141">
        <f>SUM(Q21:AB21)</f>
        <v/>
      </c>
      <c r="J21" s="141">
        <f>SUM(T21:AE21)</f>
        <v/>
      </c>
      <c r="K21" s="141">
        <f>SUM(W21:AH21)</f>
        <v/>
      </c>
      <c r="L21" s="141">
        <f>SUM(Z21:AK21)</f>
        <v/>
      </c>
      <c r="M21" s="141">
        <f>SUM(AC21:AN21)</f>
        <v/>
      </c>
      <c r="N21" s="141">
        <f>SUM(AF21:AQ21)</f>
        <v/>
      </c>
      <c r="O21" s="693" t="n"/>
      <c r="P21" s="693" t="n"/>
      <c r="Q21" s="406" t="n">
        <v>177329.55</v>
      </c>
      <c r="R21" s="406" t="n"/>
      <c r="S21" s="406" t="n"/>
      <c r="T21" s="406" t="n"/>
      <c r="U21" s="406" t="n"/>
      <c r="V21" s="406" t="n"/>
      <c r="W21" s="406" t="n"/>
      <c r="X21" s="406" t="n"/>
      <c r="Y21" s="406" t="n"/>
      <c r="Z21" s="406" t="n"/>
      <c r="AA21" s="406" t="n"/>
      <c r="AB21" s="406" t="n"/>
      <c r="AC21" s="406" t="n"/>
      <c r="AD21" s="406" t="n"/>
      <c r="AE21" s="406" t="n"/>
      <c r="AF21" s="406" t="n"/>
      <c r="AG21" s="406" t="n"/>
      <c r="AH21" s="406" t="n"/>
      <c r="AI21" s="406" t="n"/>
      <c r="AJ21" s="406" t="n"/>
      <c r="AK21" s="406" t="n"/>
      <c r="AL21" s="406" t="n"/>
      <c r="AM21" s="406" t="n"/>
      <c r="AN21" s="406" t="n"/>
      <c r="AO21" s="406" t="n"/>
      <c r="AP21" s="406" t="n"/>
      <c r="AQ21" s="406" t="n"/>
    </row>
    <row r="22">
      <c r="B22" s="317" t="inlineStr">
        <is>
          <t>ADJUSTMENT: Glen Meyer Consulting</t>
        </is>
      </c>
      <c r="C22" s="423" t="n"/>
      <c r="D22" s="141" t="n"/>
      <c r="E22" s="693" t="n"/>
      <c r="F22" s="141" t="n"/>
      <c r="G22" s="952" t="n"/>
      <c r="H22" s="954" t="n"/>
      <c r="I22" s="141">
        <f>SUM(Q22:AB22)</f>
        <v/>
      </c>
      <c r="J22" s="141">
        <f>SUM(T22:AE22)</f>
        <v/>
      </c>
      <c r="K22" s="141">
        <f>SUM(W22:AH22)</f>
        <v/>
      </c>
      <c r="L22" s="141">
        <f>SUM(Z22:AK22)</f>
        <v/>
      </c>
      <c r="M22" s="141">
        <f>SUM(AC22:AN22)</f>
        <v/>
      </c>
      <c r="N22" s="141">
        <f>SUM(AF22:AQ22)</f>
        <v/>
      </c>
      <c r="O22" s="693" t="n"/>
      <c r="P22" s="693" t="n"/>
      <c r="Q22" s="406" t="n">
        <v>4100</v>
      </c>
      <c r="R22" s="406" t="n">
        <v>14500</v>
      </c>
      <c r="S22" s="406" t="n"/>
      <c r="T22" s="406" t="n">
        <v>27750</v>
      </c>
      <c r="U22" s="406" t="n">
        <v>26950</v>
      </c>
      <c r="V22" s="406" t="n">
        <v>0</v>
      </c>
      <c r="W22" s="406" t="n">
        <v>13650</v>
      </c>
      <c r="X22" s="406" t="n">
        <v>12000</v>
      </c>
      <c r="Y22" s="406" t="n">
        <v>3650</v>
      </c>
      <c r="Z22" s="406" t="n">
        <v>2100</v>
      </c>
      <c r="AA22" s="406" t="n"/>
      <c r="AB22" s="406" t="n"/>
      <c r="AC22" s="406" t="n"/>
      <c r="AD22" s="406" t="n"/>
      <c r="AE22" s="406" t="n"/>
      <c r="AF22" s="406" t="n"/>
      <c r="AG22" s="406" t="n"/>
      <c r="AH22" s="406" t="n"/>
      <c r="AI22" s="406" t="n"/>
      <c r="AJ22" s="406" t="n"/>
      <c r="AK22" s="406" t="n"/>
      <c r="AL22" s="406" t="n"/>
      <c r="AM22" s="406" t="n"/>
      <c r="AN22" s="406" t="n"/>
      <c r="AO22" s="406" t="n"/>
      <c r="AP22" s="406" t="n"/>
      <c r="AQ22" s="406" t="n"/>
    </row>
    <row r="23">
      <c r="B23" s="317" t="inlineStr">
        <is>
          <t>ADJUSTMENT: Recruiting Services</t>
        </is>
      </c>
      <c r="C23" s="423" t="n"/>
      <c r="D23" s="141" t="n"/>
      <c r="E23" s="693" t="n"/>
      <c r="F23" s="141" t="n"/>
      <c r="G23" s="141" t="n"/>
      <c r="H23" s="954" t="n"/>
      <c r="I23" s="141">
        <f>SUM(Q23:AB23)</f>
        <v/>
      </c>
      <c r="J23" s="141">
        <f>SUM(T23:AE23)</f>
        <v/>
      </c>
      <c r="K23" s="141">
        <f>SUM(W23:AH23)</f>
        <v/>
      </c>
      <c r="L23" s="141">
        <f>SUM(Z23:AK23)</f>
        <v/>
      </c>
      <c r="M23" s="141">
        <f>SUM(AC23:AN23)</f>
        <v/>
      </c>
      <c r="N23" s="141">
        <f>SUM(AF23:AQ23)</f>
        <v/>
      </c>
      <c r="O23" s="693" t="n"/>
      <c r="P23" s="693" t="n"/>
      <c r="Q23" s="406" t="n">
        <v>16500</v>
      </c>
      <c r="R23" s="406" t="n"/>
      <c r="S23" s="406" t="n"/>
      <c r="T23" s="406" t="n"/>
      <c r="U23" s="406" t="n"/>
      <c r="V23" s="406" t="n"/>
      <c r="W23" s="406" t="n"/>
      <c r="X23" s="406" t="n"/>
      <c r="Y23" s="406" t="n"/>
      <c r="Z23" s="406" t="n"/>
      <c r="AA23" s="406" t="n"/>
      <c r="AB23" s="406" t="n"/>
      <c r="AC23" s="406" t="n"/>
      <c r="AD23" s="406" t="n"/>
      <c r="AE23" s="406" t="n"/>
      <c r="AF23" s="406" t="n"/>
      <c r="AG23" s="406" t="n"/>
      <c r="AH23" s="406" t="n"/>
      <c r="AI23" s="406" t="n"/>
      <c r="AJ23" s="406" t="n"/>
      <c r="AK23" s="406" t="n"/>
      <c r="AL23" s="406" t="n"/>
      <c r="AM23" s="406" t="n"/>
      <c r="AN23" s="406" t="n"/>
      <c r="AO23" s="406" t="n"/>
      <c r="AP23" s="406" t="n"/>
      <c r="AQ23" s="406" t="n"/>
    </row>
    <row r="24">
      <c r="B24" s="317" t="inlineStr">
        <is>
          <t>ADJUSTMENT: Stantec Phase I ESA</t>
        </is>
      </c>
      <c r="C24" s="423" t="n"/>
      <c r="D24" s="141" t="n"/>
      <c r="E24" s="693" t="n"/>
      <c r="F24" s="141" t="n"/>
      <c r="G24" s="141" t="n"/>
      <c r="H24" s="954" t="n"/>
      <c r="I24" s="141">
        <f>SUM(Q24:AB24)</f>
        <v/>
      </c>
      <c r="J24" s="141">
        <f>SUM(T24:AE24)</f>
        <v/>
      </c>
      <c r="K24" s="141">
        <f>SUM(W24:AH24)</f>
        <v/>
      </c>
      <c r="L24" s="141">
        <f>SUM(Z24:AK24)</f>
        <v/>
      </c>
      <c r="M24" s="141">
        <f>SUM(AC24:AN24)</f>
        <v/>
      </c>
      <c r="N24" s="141">
        <f>SUM(AF24:AQ24)</f>
        <v/>
      </c>
      <c r="O24" s="693" t="n"/>
      <c r="P24" s="693" t="n"/>
      <c r="Q24" s="406" t="n">
        <v>5000</v>
      </c>
      <c r="R24" s="406" t="n"/>
      <c r="S24" s="406" t="n"/>
      <c r="T24" s="406" t="n"/>
      <c r="U24" s="406" t="n"/>
      <c r="V24" s="406" t="n"/>
      <c r="W24" s="406" t="n"/>
      <c r="X24" s="406" t="n"/>
      <c r="Y24" s="406" t="n"/>
      <c r="Z24" s="406" t="n"/>
      <c r="AA24" s="406" t="n"/>
      <c r="AB24" s="406" t="n"/>
      <c r="AC24" s="406" t="n"/>
      <c r="AD24" s="406" t="n"/>
      <c r="AE24" s="406" t="n"/>
      <c r="AF24" s="406" t="n"/>
      <c r="AG24" s="406" t="n"/>
      <c r="AH24" s="406" t="n"/>
      <c r="AI24" s="406" t="n"/>
      <c r="AJ24" s="406" t="n"/>
      <c r="AK24" s="406" t="n"/>
      <c r="AL24" s="406" t="n"/>
      <c r="AM24" s="406" t="n"/>
      <c r="AN24" s="406" t="n"/>
      <c r="AO24" s="406" t="n"/>
      <c r="AP24" s="406" t="n"/>
      <c r="AQ24" s="406" t="n"/>
    </row>
    <row r="25">
      <c r="B25" s="317" t="inlineStr">
        <is>
          <t>ADJUSTMENT: E&amp;Y due dilligence</t>
        </is>
      </c>
      <c r="C25" s="423" t="n"/>
      <c r="D25" s="141" t="n"/>
      <c r="E25" s="693" t="n"/>
      <c r="F25" s="141" t="n"/>
      <c r="G25" s="141" t="n"/>
      <c r="H25" s="954" t="n"/>
      <c r="I25" s="141">
        <f>SUM(Q25:AB25)</f>
        <v/>
      </c>
      <c r="J25" s="141">
        <f>SUM(T25:AE25)</f>
        <v/>
      </c>
      <c r="K25" s="141">
        <f>SUM(W25:AH25)</f>
        <v/>
      </c>
      <c r="L25" s="141">
        <f>SUM(Z25:AK25)</f>
        <v/>
      </c>
      <c r="M25" s="141">
        <f>SUM(AC25:AN25)</f>
        <v/>
      </c>
      <c r="N25" s="141">
        <f>SUM(AF25:AQ25)</f>
        <v/>
      </c>
      <c r="O25" s="693" t="n"/>
      <c r="P25" s="693" t="n"/>
      <c r="Q25" s="406" t="n">
        <v>67237.19</v>
      </c>
      <c r="R25" s="406" t="n"/>
      <c r="S25" s="406" t="n"/>
      <c r="T25" s="406" t="n"/>
      <c r="U25" s="406" t="n"/>
      <c r="V25" s="406" t="n"/>
      <c r="W25" s="406" t="n"/>
      <c r="X25" s="406" t="n"/>
      <c r="Y25" s="406" t="n"/>
      <c r="Z25" s="406" t="n"/>
      <c r="AA25" s="406" t="n">
        <v>21279.45</v>
      </c>
      <c r="AB25" s="406" t="n"/>
      <c r="AC25" s="406" t="n"/>
      <c r="AD25" s="406" t="n"/>
      <c r="AE25" s="406" t="n"/>
      <c r="AF25" s="406" t="n"/>
      <c r="AG25" s="406" t="n"/>
      <c r="AH25" s="406" t="n"/>
      <c r="AI25" s="406" t="n"/>
      <c r="AJ25" s="406" t="n"/>
      <c r="AK25" s="406" t="n"/>
      <c r="AL25" s="406" t="n"/>
      <c r="AM25" s="406" t="n"/>
      <c r="AN25" s="406" t="n"/>
      <c r="AO25" s="406" t="n"/>
      <c r="AP25" s="406" t="n"/>
      <c r="AQ25" s="406" t="n"/>
    </row>
    <row r="26">
      <c r="B26" s="317" t="inlineStr">
        <is>
          <t>ADJUSTMENT: Marc Norseman Consulting</t>
        </is>
      </c>
      <c r="C26" s="423" t="n"/>
      <c r="D26" s="141" t="n"/>
      <c r="E26" s="693" t="n"/>
      <c r="F26" s="141" t="n"/>
      <c r="G26" s="141" t="n"/>
      <c r="H26" s="954" t="n"/>
      <c r="I26" s="141">
        <f>SUM(Q26:AB26)</f>
        <v/>
      </c>
      <c r="J26" s="141">
        <f>SUM(T26:AE26)</f>
        <v/>
      </c>
      <c r="K26" s="141">
        <f>SUM(W26:AH26)</f>
        <v/>
      </c>
      <c r="L26" s="141">
        <f>SUM(Z26:AK26)</f>
        <v/>
      </c>
      <c r="M26" s="141">
        <f>SUM(AC26:AN26)</f>
        <v/>
      </c>
      <c r="N26" s="141">
        <f>SUM(AF26:AQ26)</f>
        <v/>
      </c>
      <c r="O26" s="693" t="n"/>
      <c r="P26" s="693" t="n"/>
      <c r="Q26" s="406" t="n"/>
      <c r="R26" s="406" t="n">
        <v>17300</v>
      </c>
      <c r="S26" s="406" t="n"/>
      <c r="T26" s="406" t="n">
        <v>32400</v>
      </c>
      <c r="U26" s="406" t="n">
        <v>26800</v>
      </c>
      <c r="V26" s="406" t="n">
        <v>16200</v>
      </c>
      <c r="W26" s="406" t="n">
        <v>10900</v>
      </c>
      <c r="X26" s="406" t="n">
        <v>9400</v>
      </c>
      <c r="Y26" s="406" t="n">
        <v>8400</v>
      </c>
      <c r="Z26" s="406" t="n">
        <v>6000</v>
      </c>
      <c r="AA26" s="406" t="n">
        <v>6000</v>
      </c>
      <c r="AB26" s="406" t="n">
        <v>4300</v>
      </c>
      <c r="AC26" s="406" t="n">
        <v>21299.51</v>
      </c>
      <c r="AD26" s="406" t="n">
        <v>6825</v>
      </c>
      <c r="AE26" s="406" t="n">
        <v>14078</v>
      </c>
      <c r="AF26" s="406" t="n">
        <v>26242.39</v>
      </c>
      <c r="AG26" s="406" t="n">
        <v>19080</v>
      </c>
      <c r="AH26" s="406" t="n">
        <v>8420</v>
      </c>
      <c r="AI26" s="406" t="n">
        <v>76584.3</v>
      </c>
      <c r="AJ26" s="406" t="n">
        <v>59321.73</v>
      </c>
      <c r="AK26" s="406" t="n">
        <v>80472</v>
      </c>
      <c r="AL26" s="406" t="n">
        <v>51815</v>
      </c>
      <c r="AM26" s="406" t="n">
        <v>113108.69</v>
      </c>
      <c r="AN26" s="406" t="n">
        <v>90413.53999999999</v>
      </c>
      <c r="AO26" s="406" t="n">
        <v>63406.25</v>
      </c>
      <c r="AP26" s="406" t="n">
        <v>80411.25</v>
      </c>
      <c r="AQ26" s="406" t="n">
        <v>77315.52</v>
      </c>
    </row>
    <row r="27">
      <c r="B27" s="317" t="inlineStr">
        <is>
          <t>ADJUSTMENT: Recruiting Costs</t>
        </is>
      </c>
      <c r="C27" s="423" t="n"/>
      <c r="D27" s="141" t="n"/>
      <c r="E27" s="693" t="n"/>
      <c r="F27" s="141" t="n"/>
      <c r="G27" s="141" t="n"/>
      <c r="H27" s="954" t="n"/>
      <c r="I27" s="141">
        <f>SUM(Q27:AB27)</f>
        <v/>
      </c>
      <c r="J27" s="141">
        <f>SUM(T27:AE27)</f>
        <v/>
      </c>
      <c r="K27" s="141">
        <f>SUM(W27:AH27)</f>
        <v/>
      </c>
      <c r="L27" s="141">
        <f>SUM(Z27:AK27)</f>
        <v/>
      </c>
      <c r="M27" s="141">
        <f>SUM(AC27:AN27)</f>
        <v/>
      </c>
      <c r="N27" s="141">
        <f>SUM(AF27:AQ27)</f>
        <v/>
      </c>
      <c r="O27" s="693" t="n"/>
      <c r="P27" s="693" t="n"/>
      <c r="Q27" s="406" t="n"/>
      <c r="R27" s="406" t="n">
        <v>19500</v>
      </c>
      <c r="S27" s="406" t="n">
        <v>51000</v>
      </c>
      <c r="T27" s="406" t="n">
        <v>28000</v>
      </c>
      <c r="U27" s="406" t="n">
        <v>0</v>
      </c>
      <c r="V27" s="406" t="n">
        <v>52640</v>
      </c>
      <c r="W27" s="406" t="n">
        <v>20000</v>
      </c>
      <c r="X27" s="406" t="n">
        <v>0</v>
      </c>
      <c r="Y27" s="406" t="n">
        <v>0</v>
      </c>
      <c r="Z27" s="406" t="n"/>
      <c r="AA27" s="406" t="n"/>
      <c r="AB27" s="406" t="n">
        <v>35000</v>
      </c>
      <c r="AC27" s="406" t="n">
        <v>0</v>
      </c>
      <c r="AD27" s="406" t="n">
        <v>0</v>
      </c>
      <c r="AE27" s="406" t="n">
        <v>0</v>
      </c>
      <c r="AF27" s="406" t="n">
        <v>0</v>
      </c>
      <c r="AG27" s="406" t="n">
        <v>0</v>
      </c>
      <c r="AH27" s="406" t="n">
        <v>0</v>
      </c>
      <c r="AI27" s="406" t="n">
        <v>0</v>
      </c>
      <c r="AJ27" s="406" t="n">
        <v>0</v>
      </c>
      <c r="AK27" s="406" t="n">
        <v>22481.25</v>
      </c>
      <c r="AL27" s="406" t="n">
        <v>22481.25</v>
      </c>
      <c r="AM27" s="406" t="n">
        <v>68106.25</v>
      </c>
      <c r="AN27" s="406" t="n">
        <v>16856.25</v>
      </c>
      <c r="AO27" s="406" t="n">
        <v>1856.25</v>
      </c>
      <c r="AP27" s="406" t="n">
        <v>1856.25</v>
      </c>
      <c r="AQ27" s="406" t="n">
        <v>19500</v>
      </c>
    </row>
    <row r="28">
      <c r="B28" s="317" t="inlineStr">
        <is>
          <t>ADJUSTMENT: Stantec</t>
        </is>
      </c>
      <c r="C28" s="423" t="n"/>
      <c r="D28" s="141" t="n"/>
      <c r="E28" s="693" t="n"/>
      <c r="F28" s="141" t="n"/>
      <c r="G28" s="141" t="n"/>
      <c r="H28" s="954" t="n"/>
      <c r="I28" s="141">
        <f>SUM(Q28:AB28)</f>
        <v/>
      </c>
      <c r="J28" s="141">
        <f>SUM(T28:AE28)</f>
        <v/>
      </c>
      <c r="K28" s="141">
        <f>SUM(W28:AH28)</f>
        <v/>
      </c>
      <c r="L28" s="141">
        <f>SUM(Z28:AK28)</f>
        <v/>
      </c>
      <c r="M28" s="141">
        <f>SUM(AC28:AN28)</f>
        <v/>
      </c>
      <c r="N28" s="141">
        <f>SUM(AF28:AQ28)</f>
        <v/>
      </c>
      <c r="O28" s="693" t="n"/>
      <c r="P28" s="693" t="n"/>
      <c r="Q28" s="406" t="n"/>
      <c r="R28" s="406" t="n">
        <v>500</v>
      </c>
      <c r="S28" s="406" t="n">
        <v>500</v>
      </c>
      <c r="T28" s="406" t="n"/>
      <c r="U28" s="406" t="n"/>
      <c r="V28" s="406" t="n"/>
      <c r="W28" s="406" t="n">
        <v>17450</v>
      </c>
      <c r="X28" s="406" t="n">
        <v>0</v>
      </c>
      <c r="Y28" s="406" t="n">
        <v>0</v>
      </c>
      <c r="Z28" s="406" t="n"/>
      <c r="AA28" s="406" t="n"/>
      <c r="AB28" s="406" t="n"/>
      <c r="AC28" s="406" t="n"/>
      <c r="AD28" s="406" t="n"/>
      <c r="AE28" s="406" t="n"/>
      <c r="AF28" s="406" t="n"/>
      <c r="AG28" s="406" t="n"/>
      <c r="AH28" s="406" t="n"/>
      <c r="AI28" s="406" t="n"/>
      <c r="AJ28" s="406" t="n"/>
      <c r="AK28" s="406" t="n"/>
      <c r="AL28" s="406" t="n"/>
      <c r="AM28" s="406" t="n"/>
      <c r="AN28" s="406" t="n"/>
      <c r="AO28" s="406" t="n"/>
      <c r="AP28" s="406" t="n"/>
      <c r="AQ28" s="406" t="n"/>
    </row>
    <row r="29">
      <c r="B29" s="317" t="inlineStr">
        <is>
          <t>ADJUSTMENT: 2469 Warranty Costs</t>
        </is>
      </c>
      <c r="C29" s="423" t="n"/>
      <c r="D29" s="141" t="n"/>
      <c r="E29" s="693" t="n"/>
      <c r="F29" s="141" t="n"/>
      <c r="G29" s="141" t="n"/>
      <c r="H29" s="954" t="n"/>
      <c r="I29" s="141">
        <f>SUM(Q29:AB29)</f>
        <v/>
      </c>
      <c r="J29" s="141">
        <f>SUM(T29:AE29)</f>
        <v/>
      </c>
      <c r="K29" s="141">
        <f>SUM(W29:AH29)</f>
        <v/>
      </c>
      <c r="L29" s="141">
        <f>SUM(Z29:AK29)</f>
        <v/>
      </c>
      <c r="M29" s="141">
        <f>SUM(AC29:AN29)</f>
        <v/>
      </c>
      <c r="N29" s="141">
        <f>SUM(AF29:AQ29)</f>
        <v/>
      </c>
      <c r="O29" s="693" t="n"/>
      <c r="P29" s="693" t="n"/>
      <c r="Q29" s="406" t="n"/>
      <c r="R29" s="406" t="n">
        <v>83613.2</v>
      </c>
      <c r="S29" s="406" t="n">
        <v>17237.6</v>
      </c>
      <c r="T29" s="406" t="n"/>
      <c r="U29" s="406" t="n"/>
      <c r="V29" s="406" t="n"/>
      <c r="W29" s="406" t="n"/>
      <c r="X29" s="406" t="n"/>
      <c r="Y29" s="406" t="n"/>
      <c r="Z29" s="406" t="n"/>
      <c r="AA29" s="406" t="n"/>
      <c r="AB29" s="406" t="n"/>
      <c r="AC29" s="406" t="n"/>
      <c r="AD29" s="406" t="n"/>
      <c r="AE29" s="406" t="n"/>
      <c r="AF29" s="406" t="n"/>
      <c r="AG29" s="406" t="n"/>
      <c r="AH29" s="406" t="n"/>
      <c r="AI29" s="406" t="n"/>
      <c r="AJ29" s="406" t="n"/>
      <c r="AK29" s="406" t="n"/>
      <c r="AL29" s="406" t="n"/>
      <c r="AM29" s="406" t="n"/>
      <c r="AN29" s="406" t="n"/>
      <c r="AO29" s="406" t="n"/>
      <c r="AP29" s="406" t="n"/>
      <c r="AQ29" s="406" t="n"/>
    </row>
    <row r="30">
      <c r="B30" s="317" t="inlineStr">
        <is>
          <t>ADJUSTMENT: Terracon</t>
        </is>
      </c>
      <c r="C30" s="423" t="n"/>
      <c r="D30" s="141" t="n"/>
      <c r="E30" s="693" t="n"/>
      <c r="F30" s="141" t="n"/>
      <c r="G30" s="141" t="n"/>
      <c r="H30" s="954" t="n"/>
      <c r="I30" s="141">
        <f>SUM(Q30:AB30)</f>
        <v/>
      </c>
      <c r="J30" s="141">
        <f>SUM(T30:AE30)</f>
        <v/>
      </c>
      <c r="K30" s="141">
        <f>SUM(W30:AH30)</f>
        <v/>
      </c>
      <c r="L30" s="141">
        <f>SUM(Z30:AK30)</f>
        <v/>
      </c>
      <c r="M30" s="141">
        <f>SUM(AC30:AN30)</f>
        <v/>
      </c>
      <c r="N30" s="141">
        <f>SUM(AF30:AQ30)</f>
        <v/>
      </c>
      <c r="O30" s="693" t="n"/>
      <c r="P30" s="693" t="n"/>
      <c r="Q30" s="406" t="n"/>
      <c r="R30" s="406" t="n"/>
      <c r="S30" s="406" t="n">
        <v>2900</v>
      </c>
      <c r="T30" s="406" t="n"/>
      <c r="U30" s="406" t="n"/>
      <c r="V30" s="406" t="n"/>
      <c r="W30" s="406" t="n"/>
      <c r="X30" s="406" t="n"/>
      <c r="Y30" s="406" t="n"/>
      <c r="Z30" s="406" t="n"/>
      <c r="AA30" s="406" t="n"/>
      <c r="AB30" s="406" t="n"/>
      <c r="AC30" s="406" t="n"/>
      <c r="AD30" s="406" t="n"/>
      <c r="AE30" s="406" t="n"/>
      <c r="AF30" s="406" t="n"/>
      <c r="AG30" s="406" t="n"/>
      <c r="AH30" s="406" t="n"/>
      <c r="AI30" s="406" t="n"/>
      <c r="AJ30" s="406" t="n"/>
      <c r="AK30" s="406" t="n"/>
      <c r="AL30" s="406" t="n"/>
      <c r="AM30" s="406" t="n"/>
      <c r="AN30" s="406" t="n"/>
      <c r="AO30" s="406" t="n"/>
      <c r="AP30" s="406" t="n"/>
      <c r="AQ30" s="406" t="n"/>
    </row>
    <row r="31">
      <c r="B31" s="317" t="inlineStr">
        <is>
          <t>ADJUSTMENT: Choate, Hall &amp; Stewart</t>
        </is>
      </c>
      <c r="C31" s="423" t="n"/>
      <c r="D31" s="141" t="n"/>
      <c r="E31" s="693" t="n"/>
      <c r="F31" s="141" t="n"/>
      <c r="G31" s="141" t="n"/>
      <c r="H31" s="954" t="n"/>
      <c r="I31" s="141">
        <f>SUM(Q31:AB31)</f>
        <v/>
      </c>
      <c r="J31" s="141">
        <f>SUM(T31:AE31)</f>
        <v/>
      </c>
      <c r="K31" s="141">
        <f>SUM(W31:AH31)</f>
        <v/>
      </c>
      <c r="L31" s="141">
        <f>SUM(Z31:AK31)</f>
        <v/>
      </c>
      <c r="M31" s="141">
        <f>SUM(AC31:AN31)</f>
        <v/>
      </c>
      <c r="N31" s="141">
        <f>SUM(AF31:AQ31)</f>
        <v/>
      </c>
      <c r="O31" s="693" t="n"/>
      <c r="P31" s="693" t="n"/>
      <c r="Q31" s="406" t="n"/>
      <c r="R31" s="406" t="n"/>
      <c r="S31" s="406" t="n">
        <v>24887.5</v>
      </c>
      <c r="T31" s="406" t="n">
        <v>24842.5</v>
      </c>
      <c r="U31" s="406" t="n">
        <v>3067.5</v>
      </c>
      <c r="V31" s="406" t="n">
        <v>0</v>
      </c>
      <c r="W31" s="406" t="n"/>
      <c r="X31" s="406" t="n"/>
      <c r="Y31" s="406" t="n"/>
      <c r="Z31" s="406" t="n"/>
      <c r="AA31" s="406" t="n">
        <v>64638.05</v>
      </c>
      <c r="AB31" s="406" t="n">
        <v>2634</v>
      </c>
      <c r="AC31" s="406" t="n"/>
      <c r="AD31" s="406" t="n"/>
      <c r="AE31" s="406" t="n"/>
      <c r="AF31" s="406" t="n"/>
      <c r="AG31" s="406" t="n"/>
      <c r="AH31" s="406" t="n"/>
      <c r="AI31" s="406" t="n"/>
      <c r="AJ31" s="406" t="n"/>
      <c r="AK31" s="406" t="n"/>
      <c r="AL31" s="406" t="n"/>
      <c r="AM31" s="406" t="n"/>
      <c r="AN31" s="406" t="n"/>
      <c r="AO31" s="406" t="n"/>
      <c r="AP31" s="406" t="n"/>
      <c r="AQ31" s="406" t="n"/>
    </row>
    <row r="32">
      <c r="B32" s="317" t="inlineStr">
        <is>
          <t>ADJUSTMENT: IT expense</t>
        </is>
      </c>
      <c r="C32" s="423" t="n"/>
      <c r="D32" s="141" t="n"/>
      <c r="E32" s="693" t="n"/>
      <c r="F32" s="141" t="n"/>
      <c r="G32" s="141" t="n"/>
      <c r="H32" s="954" t="n"/>
      <c r="I32" s="141">
        <f>SUM(Q32:AB32)</f>
        <v/>
      </c>
      <c r="J32" s="141">
        <f>SUM(T32:AE32)</f>
        <v/>
      </c>
      <c r="K32" s="141">
        <f>SUM(W32:AH32)</f>
        <v/>
      </c>
      <c r="L32" s="141">
        <f>SUM(Z32:AK32)</f>
        <v/>
      </c>
      <c r="M32" s="141">
        <f>SUM(AC32:AN32)</f>
        <v/>
      </c>
      <c r="N32" s="141">
        <f>SUM(AF32:AQ32)</f>
        <v/>
      </c>
      <c r="O32" s="693" t="n"/>
      <c r="P32" s="693" t="n"/>
      <c r="Q32" s="406" t="n"/>
      <c r="R32" s="406" t="n"/>
      <c r="S32" s="406" t="n">
        <v>4302.54</v>
      </c>
      <c r="T32" s="406" t="n"/>
      <c r="U32" s="406" t="n"/>
      <c r="V32" s="406" t="n"/>
      <c r="W32" s="406" t="n"/>
      <c r="X32" s="406" t="n"/>
      <c r="Y32" s="406" t="n"/>
      <c r="Z32" s="406" t="n"/>
      <c r="AA32" s="406" t="n"/>
      <c r="AB32" s="406" t="n"/>
      <c r="AC32" s="406" t="n"/>
      <c r="AD32" s="406" t="n"/>
      <c r="AE32" s="406" t="n"/>
      <c r="AF32" s="406" t="n"/>
      <c r="AG32" s="406" t="n"/>
      <c r="AH32" s="406" t="n"/>
      <c r="AI32" s="406" t="n"/>
      <c r="AJ32" s="406" t="n"/>
      <c r="AK32" s="406" t="n"/>
      <c r="AL32" s="406" t="n"/>
      <c r="AM32" s="406" t="n"/>
      <c r="AN32" s="406" t="n"/>
      <c r="AO32" s="406" t="n"/>
      <c r="AP32" s="406" t="n"/>
      <c r="AQ32" s="406" t="n"/>
    </row>
    <row r="33">
      <c r="B33" s="317" t="inlineStr">
        <is>
          <t>ADJUSTMENT: Petra Coach</t>
        </is>
      </c>
      <c r="C33" s="423" t="n"/>
      <c r="D33" s="141" t="n"/>
      <c r="E33" s="693" t="n"/>
      <c r="F33" s="141" t="n"/>
      <c r="G33" s="141" t="n"/>
      <c r="H33" s="954" t="n"/>
      <c r="I33" s="141">
        <f>SUM(Q33:AB33)</f>
        <v/>
      </c>
      <c r="J33" s="141">
        <f>SUM(T33:AE33)</f>
        <v/>
      </c>
      <c r="K33" s="141">
        <f>SUM(W33:AH33)</f>
        <v/>
      </c>
      <c r="L33" s="141">
        <f>SUM(Z33:AK33)</f>
        <v/>
      </c>
      <c r="M33" s="141">
        <f>SUM(AC33:AN33)</f>
        <v/>
      </c>
      <c r="N33" s="141">
        <f>SUM(AF33:AQ33)</f>
        <v/>
      </c>
      <c r="O33" s="693" t="n"/>
      <c r="P33" s="693" t="n"/>
      <c r="Q33" s="406" t="n"/>
      <c r="R33" s="406" t="n">
        <v>10000</v>
      </c>
      <c r="S33" s="406" t="n">
        <v>10136.9</v>
      </c>
      <c r="T33" s="406" t="n">
        <v>6500</v>
      </c>
      <c r="U33" s="406" t="n">
        <v>8350.620000000001</v>
      </c>
      <c r="V33" s="406" t="n">
        <v>6868.61</v>
      </c>
      <c r="W33" s="406" t="n">
        <v>7806.55</v>
      </c>
      <c r="X33" s="406" t="n">
        <v>6500</v>
      </c>
      <c r="Y33" s="406" t="n">
        <v>7694.6</v>
      </c>
      <c r="Z33" s="406" t="n">
        <v>7880.9</v>
      </c>
      <c r="AA33" s="406" t="n">
        <v>6500</v>
      </c>
      <c r="AB33" s="406" t="n">
        <v>6500</v>
      </c>
      <c r="AC33" s="406" t="n"/>
      <c r="AD33" s="406" t="n"/>
      <c r="AE33" s="406" t="n"/>
      <c r="AF33" s="406" t="n"/>
      <c r="AG33" s="406" t="n"/>
      <c r="AH33" s="406" t="n"/>
      <c r="AI33" s="406" t="n"/>
      <c r="AJ33" s="406" t="n"/>
      <c r="AK33" s="406" t="n"/>
      <c r="AL33" s="406" t="n"/>
      <c r="AM33" s="406" t="n"/>
      <c r="AN33" s="406" t="n"/>
      <c r="AO33" s="406" t="n"/>
      <c r="AP33" s="406" t="n"/>
      <c r="AQ33" s="406" t="n"/>
    </row>
    <row r="34">
      <c r="B34" s="317" t="inlineStr">
        <is>
          <t>ADJUSTMENT: Greg Majernik Consulting</t>
        </is>
      </c>
      <c r="C34" s="423" t="n"/>
      <c r="D34" s="141" t="n"/>
      <c r="E34" s="693" t="n"/>
      <c r="F34" s="141" t="n"/>
      <c r="G34" s="141" t="n"/>
      <c r="H34" s="954" t="n"/>
      <c r="I34" s="141">
        <f>SUM(Q34:AB34)</f>
        <v/>
      </c>
      <c r="J34" s="141">
        <f>SUM(T34:AE34)</f>
        <v/>
      </c>
      <c r="K34" s="141">
        <f>SUM(W34:AH34)</f>
        <v/>
      </c>
      <c r="L34" s="141">
        <f>SUM(Z34:AK34)</f>
        <v/>
      </c>
      <c r="M34" s="141">
        <f>SUM(AC34:AN34)</f>
        <v/>
      </c>
      <c r="N34" s="141">
        <f>SUM(AF34:AQ34)</f>
        <v/>
      </c>
      <c r="O34" s="693" t="n"/>
      <c r="P34" s="693" t="n"/>
      <c r="Q34" s="406" t="n"/>
      <c r="R34" s="406" t="n"/>
      <c r="S34" s="406" t="n"/>
      <c r="T34" s="406" t="n">
        <v>0</v>
      </c>
      <c r="U34" s="406" t="n">
        <v>0</v>
      </c>
      <c r="V34" s="406" t="n">
        <v>17600</v>
      </c>
      <c r="W34" s="406" t="n">
        <v>12000</v>
      </c>
      <c r="X34" s="406" t="n">
        <v>700</v>
      </c>
      <c r="Y34" s="406" t="n">
        <v>0</v>
      </c>
      <c r="Z34" s="406" t="n"/>
      <c r="AA34" s="406" t="n"/>
      <c r="AB34" s="406" t="n"/>
      <c r="AC34" s="406" t="n"/>
      <c r="AD34" s="406" t="n"/>
      <c r="AE34" s="406" t="n"/>
      <c r="AF34" s="406" t="n"/>
      <c r="AG34" s="406" t="n"/>
      <c r="AH34" s="406" t="n"/>
      <c r="AI34" s="406" t="n"/>
      <c r="AJ34" s="406" t="n"/>
      <c r="AK34" s="406" t="n"/>
      <c r="AL34" s="406" t="n"/>
      <c r="AM34" s="406" t="n"/>
      <c r="AN34" s="406" t="n"/>
      <c r="AO34" s="406" t="n"/>
      <c r="AP34" s="406" t="n"/>
      <c r="AQ34" s="406" t="n"/>
    </row>
    <row r="35">
      <c r="B35" s="317" t="inlineStr">
        <is>
          <t>ADJUSTMENT: Board Fees</t>
        </is>
      </c>
      <c r="C35" s="423" t="n"/>
      <c r="D35" s="141" t="n"/>
      <c r="E35" s="693" t="n"/>
      <c r="F35" s="141" t="n"/>
      <c r="G35" s="141" t="n"/>
      <c r="H35" s="954" t="n"/>
      <c r="I35" s="141">
        <f>SUM(Q35:AB35)</f>
        <v/>
      </c>
      <c r="J35" s="141">
        <f>SUM(T35:AE35)</f>
        <v/>
      </c>
      <c r="K35" s="141">
        <f>SUM(W35:AH35)</f>
        <v/>
      </c>
      <c r="L35" s="141">
        <f>SUM(Z35:AK35)</f>
        <v/>
      </c>
      <c r="M35" s="141">
        <f>SUM(AC35:AN35)</f>
        <v/>
      </c>
      <c r="N35" s="141">
        <f>SUM(AF35:AQ35)</f>
        <v/>
      </c>
      <c r="O35" s="693" t="n"/>
      <c r="P35" s="693" t="n"/>
      <c r="Q35" s="406" t="n"/>
      <c r="R35" s="406" t="n"/>
      <c r="S35" s="406" t="n"/>
      <c r="T35" s="406" t="n">
        <v>0</v>
      </c>
      <c r="U35" s="406" t="n">
        <v>25000</v>
      </c>
      <c r="V35" s="406" t="n">
        <v>0</v>
      </c>
      <c r="W35" s="406" t="n">
        <v>0</v>
      </c>
      <c r="X35" s="406" t="n">
        <v>25000</v>
      </c>
      <c r="Y35" s="406" t="n">
        <v>0</v>
      </c>
      <c r="Z35" s="406" t="n">
        <v>6875.870000000001</v>
      </c>
      <c r="AA35" s="406" t="n">
        <v>25000</v>
      </c>
      <c r="AB35" s="406" t="n">
        <v>0</v>
      </c>
      <c r="AC35" s="406" t="n">
        <v>0</v>
      </c>
      <c r="AD35" s="406" t="n">
        <v>25000</v>
      </c>
      <c r="AE35" s="406" t="n">
        <v>0</v>
      </c>
      <c r="AF35" s="406" t="n">
        <v>0</v>
      </c>
      <c r="AG35" s="406" t="n">
        <v>25184.25</v>
      </c>
      <c r="AH35" s="406" t="n">
        <v>2205.34</v>
      </c>
      <c r="AI35" s="406" t="n">
        <v>0</v>
      </c>
      <c r="AJ35" s="406" t="n">
        <v>13880.54</v>
      </c>
      <c r="AK35" s="406" t="n">
        <v>0</v>
      </c>
      <c r="AL35" s="406" t="n">
        <v>0</v>
      </c>
      <c r="AM35" s="406" t="n">
        <v>12500</v>
      </c>
      <c r="AN35" s="406" t="n"/>
      <c r="AO35" s="406" t="n"/>
      <c r="AP35" s="406" t="n">
        <v>25000</v>
      </c>
      <c r="AQ35" s="406" t="n"/>
    </row>
    <row r="36">
      <c r="B36" s="317" t="inlineStr">
        <is>
          <t>ADJUSTMENT: XPV Water Partners</t>
        </is>
      </c>
      <c r="C36" s="423" t="n"/>
      <c r="D36" s="141" t="n"/>
      <c r="E36" s="693" t="n"/>
      <c r="F36" s="141" t="n"/>
      <c r="G36" s="141" t="n"/>
      <c r="H36" s="954" t="n"/>
      <c r="I36" s="141">
        <f>SUM(Q36:AB36)</f>
        <v/>
      </c>
      <c r="J36" s="141">
        <f>SUM(T36:AE36)</f>
        <v/>
      </c>
      <c r="K36" s="141">
        <f>SUM(W36:AH36)</f>
        <v/>
      </c>
      <c r="L36" s="141">
        <f>SUM(Z36:AK36)</f>
        <v/>
      </c>
      <c r="M36" s="141">
        <f>SUM(AC36:AN36)</f>
        <v/>
      </c>
      <c r="N36" s="141">
        <f>SUM(AF36:AQ36)</f>
        <v/>
      </c>
      <c r="O36" s="693" t="n"/>
      <c r="P36" s="693" t="n"/>
      <c r="Q36" s="406" t="n"/>
      <c r="R36" s="406" t="n"/>
      <c r="S36" s="406" t="n"/>
      <c r="T36" s="406" t="n">
        <v>0</v>
      </c>
      <c r="U36" s="406" t="n">
        <v>0</v>
      </c>
      <c r="V36" s="406" t="n">
        <v>29278.01</v>
      </c>
      <c r="W36" s="406" t="n">
        <v>0</v>
      </c>
      <c r="X36" s="406" t="n">
        <v>33498.27</v>
      </c>
      <c r="Y36" s="406" t="n">
        <v>0</v>
      </c>
      <c r="Z36" s="406" t="n"/>
      <c r="AA36" s="406" t="n"/>
      <c r="AB36" s="406" t="n">
        <v>10819.13</v>
      </c>
      <c r="AC36" s="406" t="n"/>
      <c r="AD36" s="406" t="n"/>
      <c r="AE36" s="406" t="n"/>
      <c r="AF36" s="406" t="n"/>
      <c r="AG36" s="406" t="n"/>
      <c r="AH36" s="406" t="n"/>
      <c r="AI36" s="406" t="n"/>
      <c r="AJ36" s="406" t="n"/>
      <c r="AK36" s="406" t="n"/>
      <c r="AL36" s="406" t="n"/>
      <c r="AM36" s="406" t="n"/>
      <c r="AN36" s="406" t="n"/>
      <c r="AO36" s="406" t="n"/>
      <c r="AP36" s="406" t="n"/>
      <c r="AQ36" s="406" t="n"/>
    </row>
    <row r="37">
      <c r="B37" s="317" t="inlineStr">
        <is>
          <t>ADJUSTMENT: ERP Implementation</t>
        </is>
      </c>
      <c r="C37" s="423" t="n"/>
      <c r="D37" s="141" t="n"/>
      <c r="E37" s="693" t="n"/>
      <c r="F37" s="141" t="n"/>
      <c r="G37" s="141" t="n"/>
      <c r="H37" s="954" t="n"/>
      <c r="I37" s="141">
        <f>SUM(Q37:AB37)</f>
        <v/>
      </c>
      <c r="J37" s="141">
        <f>SUM(T37:AE37)</f>
        <v/>
      </c>
      <c r="K37" s="141">
        <f>SUM(W37:AH37)</f>
        <v/>
      </c>
      <c r="L37" s="141">
        <f>SUM(Z37:AK37)</f>
        <v/>
      </c>
      <c r="M37" s="141">
        <f>SUM(AC37:AN37)</f>
        <v/>
      </c>
      <c r="N37" s="141">
        <f>SUM(AF37:AQ37)</f>
        <v/>
      </c>
      <c r="O37" s="693" t="n"/>
      <c r="P37" s="693" t="n"/>
      <c r="Q37" s="406" t="n"/>
      <c r="R37" s="406" t="n"/>
      <c r="S37" s="406" t="n"/>
      <c r="T37" s="406" t="n">
        <v>0</v>
      </c>
      <c r="U37" s="406" t="n">
        <v>27038.13</v>
      </c>
      <c r="V37" s="406" t="n">
        <v>0</v>
      </c>
      <c r="W37" s="406" t="n">
        <v>0</v>
      </c>
      <c r="X37" s="406" t="n">
        <v>0</v>
      </c>
      <c r="Y37" s="406" t="n">
        <v>0</v>
      </c>
      <c r="Z37" s="406" t="n"/>
      <c r="AA37" s="406" t="n"/>
      <c r="AB37" s="406" t="n"/>
      <c r="AC37" s="406" t="n"/>
      <c r="AD37" s="406" t="n"/>
      <c r="AE37" s="406" t="n"/>
      <c r="AF37" s="406" t="n"/>
      <c r="AG37" s="406" t="n"/>
      <c r="AH37" s="406" t="n"/>
      <c r="AI37" s="406" t="n"/>
      <c r="AJ37" s="406" t="n"/>
      <c r="AK37" s="406" t="n"/>
      <c r="AL37" s="406" t="n"/>
      <c r="AM37" s="406" t="n"/>
      <c r="AN37" s="406" t="n"/>
      <c r="AO37" s="406" t="n"/>
      <c r="AP37" s="406" t="n"/>
      <c r="AQ37" s="406" t="n"/>
    </row>
    <row r="38">
      <c r="B38" s="317" t="inlineStr">
        <is>
          <t>ADJUSTMENT: IT Integration</t>
        </is>
      </c>
      <c r="C38" s="423" t="n"/>
      <c r="D38" s="141" t="n"/>
      <c r="E38" s="693" t="n"/>
      <c r="F38" s="141" t="n"/>
      <c r="G38" s="141" t="n"/>
      <c r="H38" s="954" t="n"/>
      <c r="I38" s="141">
        <f>SUM(Q38:AB38)</f>
        <v/>
      </c>
      <c r="J38" s="141">
        <f>SUM(T38:AE38)</f>
        <v/>
      </c>
      <c r="K38" s="141">
        <f>SUM(W38:AH38)</f>
        <v/>
      </c>
      <c r="L38" s="141">
        <f>SUM(Z38:AK38)</f>
        <v/>
      </c>
      <c r="M38" s="141">
        <f>SUM(AC38:AN38)</f>
        <v/>
      </c>
      <c r="N38" s="141">
        <f>SUM(AF38:AQ38)</f>
        <v/>
      </c>
      <c r="O38" s="693" t="n"/>
      <c r="P38" s="693" t="n"/>
      <c r="Q38" s="406" t="n"/>
      <c r="R38" s="406" t="n"/>
      <c r="S38" s="406" t="n"/>
      <c r="T38" s="406" t="n">
        <v>0</v>
      </c>
      <c r="U38" s="406" t="n">
        <v>20730.72</v>
      </c>
      <c r="V38" s="406" t="n">
        <v>1350</v>
      </c>
      <c r="W38" s="406" t="n">
        <v>525</v>
      </c>
      <c r="X38" s="406" t="n">
        <v>0</v>
      </c>
      <c r="Y38" s="406" t="n">
        <v>0</v>
      </c>
      <c r="Z38" s="406" t="n"/>
      <c r="AA38" s="406" t="n"/>
      <c r="AB38" s="406" t="n"/>
      <c r="AC38" s="406" t="n">
        <v>0</v>
      </c>
      <c r="AD38" s="406" t="n">
        <v>0</v>
      </c>
      <c r="AE38" s="406" t="n">
        <v>14344</v>
      </c>
      <c r="AF38" s="406" t="n">
        <v>14344</v>
      </c>
      <c r="AG38" s="406" t="n">
        <v>14344</v>
      </c>
      <c r="AH38" s="406" t="n">
        <v>0</v>
      </c>
      <c r="AI38" s="406" t="n">
        <v>126507.79</v>
      </c>
      <c r="AJ38" s="406" t="n">
        <v>0</v>
      </c>
      <c r="AK38" s="406" t="n">
        <v>0</v>
      </c>
      <c r="AL38" s="406" t="n">
        <v>5700</v>
      </c>
      <c r="AM38" s="406" t="n"/>
      <c r="AN38" s="406" t="n"/>
      <c r="AO38" s="406" t="n">
        <v>15543.5</v>
      </c>
      <c r="AP38" s="406" t="n">
        <v>7204.17</v>
      </c>
      <c r="AQ38" s="406" t="n">
        <v>8942.370000000001</v>
      </c>
    </row>
    <row r="39">
      <c r="B39" s="317" t="inlineStr">
        <is>
          <t>ADJUSTMENT: MNOsha Penalty</t>
        </is>
      </c>
      <c r="C39" s="423" t="n"/>
      <c r="D39" s="141" t="n"/>
      <c r="E39" s="693" t="n"/>
      <c r="F39" s="141" t="n"/>
      <c r="G39" s="141" t="n"/>
      <c r="H39" s="954" t="n"/>
      <c r="I39" s="141">
        <f>SUM(Q39:AB39)</f>
        <v/>
      </c>
      <c r="J39" s="141">
        <f>SUM(T39:AE39)</f>
        <v/>
      </c>
      <c r="K39" s="141">
        <f>SUM(W39:AH39)</f>
        <v/>
      </c>
      <c r="L39" s="141">
        <f>SUM(Z39:AK39)</f>
        <v/>
      </c>
      <c r="M39" s="141">
        <f>SUM(AC39:AN39)</f>
        <v/>
      </c>
      <c r="N39" s="141">
        <f>SUM(AF39:AQ39)</f>
        <v/>
      </c>
      <c r="O39" s="693" t="n"/>
      <c r="P39" s="693" t="n"/>
      <c r="Q39" s="406" t="n"/>
      <c r="R39" s="406" t="n"/>
      <c r="S39" s="406" t="n"/>
      <c r="T39" s="406" t="n">
        <v>4200</v>
      </c>
      <c r="U39" s="406" t="n">
        <v>0</v>
      </c>
      <c r="V39" s="406" t="n">
        <v>0</v>
      </c>
      <c r="W39" s="406" t="n">
        <v>0</v>
      </c>
      <c r="X39" s="406" t="n">
        <v>0</v>
      </c>
      <c r="Y39" s="406" t="n">
        <v>0</v>
      </c>
      <c r="Z39" s="406" t="n"/>
      <c r="AA39" s="406" t="n"/>
      <c r="AB39" s="406" t="n"/>
      <c r="AC39" s="406" t="n"/>
      <c r="AD39" s="406" t="n"/>
      <c r="AE39" s="406" t="n"/>
      <c r="AF39" s="406" t="n"/>
      <c r="AG39" s="406" t="n"/>
      <c r="AH39" s="406" t="n"/>
      <c r="AI39" s="406" t="n"/>
      <c r="AJ39" s="406" t="n"/>
      <c r="AK39" s="406" t="n"/>
      <c r="AL39" s="406" t="n"/>
      <c r="AM39" s="406" t="n"/>
      <c r="AN39" s="406" t="n"/>
      <c r="AO39" s="406" t="n"/>
      <c r="AP39" s="406" t="n"/>
      <c r="AQ39" s="406" t="n"/>
    </row>
    <row r="40">
      <c r="B40" s="317" t="inlineStr">
        <is>
          <t>ADJUSTMENT: 2460 warranty</t>
        </is>
      </c>
      <c r="C40" s="423" t="n"/>
      <c r="D40" s="141" t="n"/>
      <c r="E40" s="693" t="n"/>
      <c r="F40" s="141" t="n"/>
      <c r="G40" s="141" t="n"/>
      <c r="H40" s="954" t="n"/>
      <c r="I40" s="141">
        <f>SUM(Q40:AB40)</f>
        <v/>
      </c>
      <c r="J40" s="141">
        <f>SUM(T40:AE40)</f>
        <v/>
      </c>
      <c r="K40" s="141">
        <f>SUM(W40:AH40)</f>
        <v/>
      </c>
      <c r="L40" s="141">
        <f>SUM(Z40:AK40)</f>
        <v/>
      </c>
      <c r="M40" s="141">
        <f>SUM(AC40:AN40)</f>
        <v/>
      </c>
      <c r="N40" s="141">
        <f>SUM(AF40:AQ40)</f>
        <v/>
      </c>
      <c r="O40" s="693" t="n"/>
      <c r="P40" s="693" t="n"/>
      <c r="Q40" s="406" t="n"/>
      <c r="R40" s="406" t="n"/>
      <c r="S40" s="406" t="n"/>
      <c r="T40" s="406" t="n"/>
      <c r="U40" s="406" t="n">
        <v>6148</v>
      </c>
      <c r="V40" s="406" t="n">
        <v>12296</v>
      </c>
      <c r="W40" s="406" t="n">
        <v>12726.36</v>
      </c>
      <c r="X40" s="406" t="n">
        <v>6148</v>
      </c>
      <c r="Y40" s="406" t="n">
        <v>0</v>
      </c>
      <c r="Z40" s="406" t="n">
        <v>23843.4</v>
      </c>
      <c r="AA40" s="406" t="n"/>
      <c r="AB40" s="406" t="n"/>
      <c r="AC40" s="406" t="n"/>
      <c r="AD40" s="406" t="n"/>
      <c r="AE40" s="406" t="n"/>
      <c r="AF40" s="406" t="n"/>
      <c r="AG40" s="406" t="n"/>
      <c r="AH40" s="406" t="n"/>
      <c r="AI40" s="406" t="n"/>
      <c r="AJ40" s="406" t="n"/>
      <c r="AK40" s="406" t="n"/>
      <c r="AL40" s="406" t="n"/>
      <c r="AM40" s="406" t="n"/>
      <c r="AN40" s="406" t="n"/>
      <c r="AO40" s="406" t="n"/>
      <c r="AP40" s="406" t="n"/>
      <c r="AQ40" s="406" t="n"/>
    </row>
    <row r="41">
      <c r="B41" s="317" t="inlineStr">
        <is>
          <t>ADJUSTMENT: Yourika</t>
        </is>
      </c>
      <c r="C41" s="423" t="n"/>
      <c r="D41" s="141" t="n"/>
      <c r="E41" s="693" t="n"/>
      <c r="F41" s="141" t="n"/>
      <c r="G41" s="141" t="n"/>
      <c r="H41" s="954" t="n"/>
      <c r="I41" s="141">
        <f>SUM(Q41:AB41)</f>
        <v/>
      </c>
      <c r="J41" s="141">
        <f>SUM(T41:AE41)</f>
        <v/>
      </c>
      <c r="K41" s="141">
        <f>SUM(W41:AH41)</f>
        <v/>
      </c>
      <c r="L41" s="141">
        <f>SUM(Z41:AK41)</f>
        <v/>
      </c>
      <c r="M41" s="141">
        <f>SUM(AC41:AN41)</f>
        <v/>
      </c>
      <c r="N41" s="141">
        <f>SUM(AF41:AQ41)</f>
        <v/>
      </c>
      <c r="O41" s="693" t="n"/>
      <c r="P41" s="693" t="n"/>
      <c r="Q41" s="406" t="n"/>
      <c r="R41" s="406" t="n"/>
      <c r="S41" s="406" t="n"/>
      <c r="T41" s="406" t="n"/>
      <c r="U41" s="406" t="n"/>
      <c r="V41" s="406" t="n"/>
      <c r="W41" s="406" t="n"/>
      <c r="Z41" s="406" t="n">
        <v>45000</v>
      </c>
      <c r="AA41" s="406" t="n"/>
      <c r="AB41" s="406" t="n"/>
      <c r="AC41" s="406" t="n"/>
      <c r="AD41" s="406" t="n"/>
      <c r="AE41" s="406" t="n"/>
      <c r="AF41" s="406" t="n"/>
      <c r="AG41" s="406" t="n"/>
      <c r="AH41" s="406" t="n"/>
      <c r="AI41" s="406" t="n"/>
      <c r="AL41" s="406" t="n"/>
      <c r="AM41" s="406" t="n"/>
      <c r="AN41" s="406" t="n"/>
      <c r="AO41" s="406" t="n"/>
      <c r="AP41" s="406" t="n"/>
      <c r="AQ41" s="406" t="n"/>
    </row>
    <row r="42">
      <c r="B42" s="317" t="inlineStr">
        <is>
          <t>ADJUSTMENT: RP Adams Phase I</t>
        </is>
      </c>
      <c r="C42" s="423" t="n"/>
      <c r="D42" s="141" t="n"/>
      <c r="E42" s="693" t="n"/>
      <c r="F42" s="141" t="n"/>
      <c r="G42" s="141" t="n"/>
      <c r="H42" s="954" t="n"/>
      <c r="I42" s="141">
        <f>SUM(Q42:AB42)</f>
        <v/>
      </c>
      <c r="J42" s="141">
        <f>SUM(T42:AE42)</f>
        <v/>
      </c>
      <c r="K42" s="141">
        <f>SUM(W42:AH42)</f>
        <v/>
      </c>
      <c r="L42" s="141">
        <f>SUM(Z42:AK42)</f>
        <v/>
      </c>
      <c r="M42" s="141">
        <f>SUM(AC42:AN42)</f>
        <v/>
      </c>
      <c r="N42" s="141">
        <f>SUM(AF42:AQ42)</f>
        <v/>
      </c>
      <c r="O42" s="693" t="n"/>
      <c r="P42" s="693" t="n"/>
      <c r="Q42" s="406" t="n"/>
      <c r="R42" s="406" t="n"/>
      <c r="S42" s="406" t="n"/>
      <c r="T42" s="406" t="n"/>
      <c r="U42" s="406" t="n"/>
      <c r="V42" s="406" t="n"/>
      <c r="W42" s="406" t="n"/>
      <c r="Z42" s="406" t="n"/>
      <c r="AA42" s="406" t="n"/>
      <c r="AB42" s="406" t="n">
        <v>6000</v>
      </c>
      <c r="AC42" s="406" t="n"/>
      <c r="AD42" s="406" t="n"/>
      <c r="AE42" s="406" t="n"/>
      <c r="AF42" s="406" t="n"/>
      <c r="AG42" s="406" t="n"/>
      <c r="AH42" s="406" t="n"/>
      <c r="AI42" s="406" t="n"/>
      <c r="AL42" s="406" t="n"/>
      <c r="AM42" s="406" t="n"/>
      <c r="AN42" s="406" t="n"/>
      <c r="AO42" s="406" t="n"/>
      <c r="AP42" s="406" t="n"/>
      <c r="AQ42" s="406" t="n"/>
    </row>
    <row r="43">
      <c r="B43" s="317" t="inlineStr">
        <is>
          <t>ADJUSTMENT: Baker Tilly</t>
        </is>
      </c>
      <c r="C43" s="317" t="n"/>
      <c r="D43" s="141" t="n"/>
      <c r="E43" s="693" t="n"/>
      <c r="F43" s="141" t="n"/>
      <c r="G43" s="141" t="n"/>
      <c r="H43" s="954" t="n"/>
      <c r="I43" s="141">
        <f>SUM(Q43:AB43)</f>
        <v/>
      </c>
      <c r="J43" s="141">
        <f>SUM(T43:AE43)</f>
        <v/>
      </c>
      <c r="K43" s="141">
        <f>SUM(W43:AH43)</f>
        <v/>
      </c>
      <c r="L43" s="141">
        <f>SUM(Z43:AK43)</f>
        <v/>
      </c>
      <c r="M43" s="141">
        <f>SUM(AC43:AN43)</f>
        <v/>
      </c>
      <c r="N43" s="141">
        <f>SUM(AF43:AQ43)</f>
        <v/>
      </c>
      <c r="O43" s="693" t="n"/>
      <c r="P43" s="693" t="n"/>
      <c r="Q43" s="406" t="n"/>
      <c r="R43" s="406" t="n"/>
      <c r="S43" s="406" t="n"/>
      <c r="T43" s="406" t="n"/>
      <c r="U43" s="406" t="n"/>
      <c r="V43" s="406" t="n"/>
      <c r="W43" s="406" t="n"/>
      <c r="Z43" s="406" t="n">
        <v>23512.5</v>
      </c>
      <c r="AA43" s="406" t="n"/>
      <c r="AB43" s="406" t="n"/>
      <c r="AC43" s="406" t="n"/>
      <c r="AD43" s="406" t="n"/>
      <c r="AE43" s="406" t="n"/>
      <c r="AF43" s="406" t="n"/>
      <c r="AG43" s="406" t="n"/>
      <c r="AH43" s="406" t="n"/>
      <c r="AI43" s="406" t="n"/>
      <c r="AL43" s="406" t="n"/>
      <c r="AM43" s="406" t="n"/>
      <c r="AN43" s="406" t="n"/>
      <c r="AO43" s="406" t="n"/>
      <c r="AP43" s="406" t="n"/>
      <c r="AQ43" s="406" t="n"/>
    </row>
    <row r="44">
      <c r="B44" s="317" t="inlineStr">
        <is>
          <t>ADJUSTMENT: Excess Temporary Labor</t>
        </is>
      </c>
      <c r="C44" s="317" t="n"/>
      <c r="D44" s="141" t="n"/>
      <c r="E44" s="693" t="n"/>
      <c r="F44" s="141" t="n"/>
      <c r="G44" s="141" t="n"/>
      <c r="H44" s="954" t="n"/>
      <c r="I44" s="141">
        <f>SUM(Q44:AB44)</f>
        <v/>
      </c>
      <c r="J44" s="141">
        <f>SUM(T44:AE44)</f>
        <v/>
      </c>
      <c r="K44" s="141">
        <f>SUM(W44:AH44)</f>
        <v/>
      </c>
      <c r="L44" s="141">
        <f>SUM(Z44:AK44)</f>
        <v/>
      </c>
      <c r="M44" s="141">
        <f>SUM(AC44:AN44)</f>
        <v/>
      </c>
      <c r="N44" s="141">
        <f>SUM(AF44:AQ44)</f>
        <v/>
      </c>
      <c r="O44" s="693" t="n"/>
      <c r="P44" s="693" t="n"/>
      <c r="Q44" s="406" t="n">
        <v>0</v>
      </c>
      <c r="R44" s="406" t="n">
        <v>3024</v>
      </c>
      <c r="S44" s="406" t="n">
        <v>11013.11</v>
      </c>
      <c r="T44" s="406" t="n">
        <v>14136.79</v>
      </c>
      <c r="U44" s="406" t="n">
        <v>16217.05</v>
      </c>
      <c r="V44" s="406" t="n">
        <v>14246.8</v>
      </c>
      <c r="W44" s="406" t="n">
        <v>15134.82</v>
      </c>
      <c r="X44" s="406" t="n">
        <v>22798.32</v>
      </c>
      <c r="Y44" s="406" t="n">
        <v>0</v>
      </c>
      <c r="Z44" s="406" t="n">
        <v>41269.9</v>
      </c>
      <c r="AA44" s="406" t="n">
        <v>158060.24</v>
      </c>
      <c r="AB44" s="406" t="n">
        <v>93165.17</v>
      </c>
      <c r="AC44" s="406" t="n">
        <v>23331.43</v>
      </c>
      <c r="AD44" s="406" t="n">
        <v>43629.89</v>
      </c>
      <c r="AE44" s="406" t="n">
        <v>38041.49</v>
      </c>
      <c r="AF44" s="406" t="n">
        <v>50090.88</v>
      </c>
      <c r="AG44" s="406" t="n">
        <v>66297.7</v>
      </c>
      <c r="AH44" s="406" t="n">
        <v>45571.46</v>
      </c>
      <c r="AI44" s="406" t="n">
        <v>139565.49</v>
      </c>
      <c r="AJ44" s="406" t="n">
        <v>100000.52</v>
      </c>
      <c r="AK44" s="406" t="n">
        <v>75882.97</v>
      </c>
      <c r="AL44" s="406" t="n">
        <v>112881.65</v>
      </c>
      <c r="AM44" s="406" t="n">
        <v>76812.89000000001</v>
      </c>
      <c r="AN44" s="406" t="n">
        <v>73013.30999999998</v>
      </c>
      <c r="AO44" s="406" t="n"/>
      <c r="AP44" s="406" t="n"/>
      <c r="AQ44" s="406" t="n"/>
    </row>
    <row r="45">
      <c r="B45" s="317" t="inlineStr">
        <is>
          <t>ADJUSTMENT: Defective and Scrapped Inventory</t>
        </is>
      </c>
      <c r="C45" s="317" t="n"/>
      <c r="D45" s="141" t="n"/>
      <c r="E45" s="693" t="n"/>
      <c r="F45" s="141" t="n"/>
      <c r="G45" s="141" t="n"/>
      <c r="H45" s="954" t="n"/>
      <c r="I45" s="141">
        <f>SUM(Q45:AB45)</f>
        <v/>
      </c>
      <c r="J45" s="141">
        <f>SUM(T45:AE45)</f>
        <v/>
      </c>
      <c r="K45" s="141">
        <f>SUM(W45:AH45)</f>
        <v/>
      </c>
      <c r="L45" s="141">
        <f>SUM(Z45:AK45)</f>
        <v/>
      </c>
      <c r="M45" s="141">
        <f>SUM(AC45:AN45)</f>
        <v/>
      </c>
      <c r="N45" s="141">
        <f>SUM(AF45:AQ45)</f>
        <v/>
      </c>
      <c r="O45" s="693" t="n"/>
      <c r="P45" s="693" t="n"/>
      <c r="Q45" s="406" t="n"/>
      <c r="R45" s="406" t="n"/>
      <c r="S45" s="406" t="n"/>
      <c r="T45" s="406" t="n"/>
      <c r="U45" s="406" t="n"/>
      <c r="V45" s="406" t="n"/>
      <c r="W45" s="406" t="n"/>
      <c r="Z45" s="406" t="n"/>
      <c r="AA45" s="406" t="n">
        <v>76928.03</v>
      </c>
      <c r="AB45" s="406" t="n"/>
      <c r="AC45" s="406" t="n"/>
      <c r="AD45" s="406" t="n"/>
      <c r="AE45" s="406" t="n"/>
      <c r="AF45" s="406" t="n"/>
      <c r="AG45" s="406" t="n"/>
      <c r="AH45" s="406" t="n"/>
      <c r="AI45" s="406" t="n"/>
      <c r="AJ45" s="406" t="n"/>
      <c r="AK45" s="406" t="n"/>
      <c r="AL45" s="406" t="n"/>
      <c r="AM45" s="406" t="n"/>
      <c r="AN45" s="406" t="n"/>
      <c r="AO45" s="406" t="n"/>
      <c r="AP45" s="406" t="n"/>
      <c r="AQ45" s="406" t="n"/>
    </row>
    <row r="46">
      <c r="B46" s="317" t="inlineStr">
        <is>
          <t>ADJUSTMENT: Setup</t>
        </is>
      </c>
      <c r="C46" s="317" t="n"/>
      <c r="D46" s="141" t="n"/>
      <c r="E46" s="693" t="n"/>
      <c r="F46" s="141" t="n"/>
      <c r="G46" s="141" t="n"/>
      <c r="H46" s="954" t="n"/>
      <c r="I46" s="141" t="n"/>
      <c r="J46" s="141">
        <f>SUM(T46:AE46)</f>
        <v/>
      </c>
      <c r="K46" s="141">
        <f>SUM(W46:AH46)</f>
        <v/>
      </c>
      <c r="L46" s="141">
        <f>SUM(Z46:AK46)</f>
        <v/>
      </c>
      <c r="M46" s="141">
        <f>SUM(AC46:AN46)</f>
        <v/>
      </c>
      <c r="N46" s="141">
        <f>SUM(AF46:AQ46)</f>
        <v/>
      </c>
      <c r="O46" s="693" t="n"/>
      <c r="P46" s="693" t="n"/>
      <c r="Q46" s="406" t="n"/>
      <c r="R46" s="406" t="n"/>
      <c r="S46" s="406" t="n"/>
      <c r="T46" s="406" t="n"/>
      <c r="U46" s="406" t="n"/>
      <c r="V46" s="406" t="n"/>
      <c r="W46" s="406" t="n"/>
      <c r="Z46" s="406" t="n"/>
      <c r="AA46" s="406" t="n"/>
      <c r="AB46" s="406" t="n"/>
      <c r="AC46" s="406" t="n">
        <v>528</v>
      </c>
      <c r="AD46" s="406" t="n"/>
      <c r="AE46" s="406" t="n"/>
      <c r="AF46" s="406" t="n"/>
      <c r="AG46" s="406" t="n"/>
      <c r="AH46" s="406" t="n"/>
      <c r="AI46" s="406" t="n"/>
      <c r="AJ46" s="406" t="n">
        <v>-528</v>
      </c>
      <c r="AK46" s="406" t="n"/>
      <c r="AL46" s="406" t="n"/>
      <c r="AM46" s="406" t="n"/>
      <c r="AN46" s="406" t="n"/>
      <c r="AO46" s="406" t="n"/>
      <c r="AP46" s="406" t="n"/>
      <c r="AQ46" s="406" t="n"/>
    </row>
    <row r="47">
      <c r="B47" s="317" t="inlineStr">
        <is>
          <t>ADJUSTMENT: Other</t>
        </is>
      </c>
      <c r="C47" s="317" t="n"/>
      <c r="D47" s="141" t="n"/>
      <c r="E47" s="693" t="n"/>
      <c r="F47" s="141" t="n"/>
      <c r="G47" s="141" t="n"/>
      <c r="H47" s="954" t="n"/>
      <c r="I47" s="141" t="n"/>
      <c r="J47" s="141">
        <f>SUM(T47:AE47)</f>
        <v/>
      </c>
      <c r="K47" s="141">
        <f>SUM(W47:AH47)</f>
        <v/>
      </c>
      <c r="L47" s="141">
        <f>SUM(Z47:AK47)</f>
        <v/>
      </c>
      <c r="M47" s="141">
        <f>SUM(AC47:AN47)</f>
        <v/>
      </c>
      <c r="N47" s="141">
        <f>SUM(AF47:AQ47)</f>
        <v/>
      </c>
      <c r="O47" s="693" t="n"/>
      <c r="P47" s="693" t="n"/>
      <c r="Q47" s="406" t="n"/>
      <c r="R47" s="406" t="n"/>
      <c r="S47" s="406" t="n"/>
      <c r="T47" s="406" t="n"/>
      <c r="U47" s="406" t="n"/>
      <c r="V47" s="406" t="n"/>
      <c r="W47" s="406" t="n"/>
      <c r="Z47" s="406" t="n"/>
      <c r="AA47" s="406" t="n"/>
      <c r="AB47" s="406" t="n"/>
      <c r="AC47" s="406" t="n">
        <v>2819.47</v>
      </c>
      <c r="AD47" s="406" t="n">
        <v>0</v>
      </c>
      <c r="AE47" s="406" t="n">
        <v>4447.32</v>
      </c>
      <c r="AF47" s="406" t="n">
        <v>17072.6</v>
      </c>
      <c r="AG47" s="406" t="n">
        <v>5546.84</v>
      </c>
      <c r="AH47" s="406" t="n">
        <v>43398.18</v>
      </c>
      <c r="AI47" s="406" t="n">
        <v>127233.28</v>
      </c>
      <c r="AJ47" s="406" t="n">
        <v>1980</v>
      </c>
      <c r="AK47" s="406" t="n">
        <v>55734.21</v>
      </c>
      <c r="AL47" s="406" t="n">
        <v>7254.6</v>
      </c>
      <c r="AM47" s="406" t="n">
        <v>422.25</v>
      </c>
      <c r="AN47" s="406" t="n">
        <v>-168162.86</v>
      </c>
      <c r="AO47" s="406" t="n">
        <v>64170.15</v>
      </c>
      <c r="AP47" s="406" t="n">
        <v>69632.12</v>
      </c>
      <c r="AQ47" s="406" t="n">
        <v>47069.39000000001</v>
      </c>
    </row>
    <row r="48">
      <c r="B48" s="317" t="inlineStr">
        <is>
          <t>ADJUSTMENT: Cental Office Administration Expense Removal</t>
        </is>
      </c>
      <c r="C48" s="317" t="n"/>
      <c r="D48" s="141" t="n"/>
      <c r="E48" s="693" t="n"/>
      <c r="F48" s="141" t="n"/>
      <c r="G48" s="141" t="n"/>
      <c r="H48" s="954" t="n"/>
      <c r="I48" s="141" t="n"/>
      <c r="J48" s="141">
        <f>SUM(T48:AE48)</f>
        <v/>
      </c>
      <c r="K48" s="141">
        <f>SUM(W48:AH48)</f>
        <v/>
      </c>
      <c r="L48" s="141">
        <f>SUM(Z48:AK48)</f>
        <v/>
      </c>
      <c r="M48" s="141">
        <f>SUM(AC48:AN48)</f>
        <v/>
      </c>
      <c r="N48" s="141">
        <f>SUM(AF48:AQ48)</f>
        <v/>
      </c>
      <c r="O48" s="693" t="n"/>
      <c r="P48" s="693" t="n"/>
      <c r="Q48" s="406" t="n"/>
      <c r="R48" s="406" t="n"/>
      <c r="S48" s="406">
        <f>'[64]Detailed Backup'!AH158*1000</f>
        <v/>
      </c>
      <c r="T48" s="406">
        <f>'[64]Detailed Backup'!AI158*1000</f>
        <v/>
      </c>
      <c r="U48" s="406">
        <f>'[64]Detailed Backup'!AJ158*1000</f>
        <v/>
      </c>
      <c r="V48" s="406">
        <f>'[64]Detailed Backup'!AK158*1000</f>
        <v/>
      </c>
      <c r="W48" s="406">
        <f>'[64]Detailed Backup'!AL158*1000</f>
        <v/>
      </c>
      <c r="X48" s="406">
        <f>'[64]Detailed Backup'!AM158*1000</f>
        <v/>
      </c>
      <c r="Y48" s="406">
        <f>'[64]Detailed Backup'!AN158*1000</f>
        <v/>
      </c>
      <c r="Z48" s="406">
        <f>'[64]Detailed Backup'!AO158*1000</f>
        <v/>
      </c>
      <c r="AA48" s="406">
        <f>'[64]Detailed Backup'!AP158*1000</f>
        <v/>
      </c>
      <c r="AB48" s="406">
        <f>'[64]Detailed Backup'!AQ158*1000</f>
        <v/>
      </c>
      <c r="AC48" s="406">
        <f>'[64]Detailed Backup'!AR158*1000</f>
        <v/>
      </c>
      <c r="AD48" s="406" t="n"/>
      <c r="AE48" s="406" t="n"/>
      <c r="AF48" s="406" t="n"/>
      <c r="AG48" s="406" t="n"/>
      <c r="AH48" s="406" t="n"/>
      <c r="AI48" s="406" t="n"/>
      <c r="AL48" s="406" t="n"/>
      <c r="AM48" s="406" t="n"/>
      <c r="AN48" s="406" t="n"/>
      <c r="AO48" s="406" t="n"/>
      <c r="AP48" s="406" t="n"/>
      <c r="AQ48" s="406" t="n"/>
    </row>
    <row r="49">
      <c r="B49" s="317" t="inlineStr">
        <is>
          <t>ADJUSTMENT: Ic-Disc Commission Expense</t>
        </is>
      </c>
      <c r="C49" s="317" t="n"/>
      <c r="D49" s="141" t="n"/>
      <c r="E49" s="693" t="n"/>
      <c r="F49" s="141" t="n"/>
      <c r="G49" s="141" t="n"/>
      <c r="H49" s="141" t="n"/>
      <c r="I49" s="141" t="n"/>
      <c r="J49" s="141">
        <f>SUM(T49:AE49)</f>
        <v/>
      </c>
      <c r="K49" s="141">
        <f>SUM(W49:AH49)</f>
        <v/>
      </c>
      <c r="L49" s="141">
        <f>SUM(Z49:AK49)</f>
        <v/>
      </c>
      <c r="M49" s="141">
        <f>SUM(AC49:AN49)</f>
        <v/>
      </c>
      <c r="N49" s="141">
        <f>SUM(AF49:AQ49)</f>
        <v/>
      </c>
      <c r="O49" s="693" t="n"/>
      <c r="P49" s="693" t="n"/>
      <c r="Q49" s="406" t="n"/>
      <c r="R49" s="406" t="n"/>
      <c r="S49" s="406">
        <f>'[64]Detailed Backup'!AH159*1000</f>
        <v/>
      </c>
      <c r="T49" s="406">
        <f>'[64]Detailed Backup'!AI159*1000</f>
        <v/>
      </c>
      <c r="U49" s="406">
        <f>'[64]Detailed Backup'!AJ159*1000</f>
        <v/>
      </c>
      <c r="V49" s="406">
        <f>'[64]Detailed Backup'!AK159*1000</f>
        <v/>
      </c>
      <c r="W49" s="406">
        <f>'[64]Detailed Backup'!AL159*1000</f>
        <v/>
      </c>
      <c r="X49" s="406">
        <f>'[64]Detailed Backup'!AM159*1000</f>
        <v/>
      </c>
      <c r="Y49" s="406">
        <f>'[64]Detailed Backup'!AN159*1000</f>
        <v/>
      </c>
      <c r="Z49" s="406">
        <f>'[64]Detailed Backup'!AO159*1000</f>
        <v/>
      </c>
      <c r="AA49" s="406">
        <f>'[64]Detailed Backup'!AP159*1000</f>
        <v/>
      </c>
      <c r="AB49" s="406">
        <f>'[64]Detailed Backup'!AQ159*1000</f>
        <v/>
      </c>
      <c r="AC49" s="406">
        <f>'[64]Detailed Backup'!AR159*1000</f>
        <v/>
      </c>
      <c r="AD49" s="406" t="n"/>
      <c r="AE49" s="406" t="n"/>
      <c r="AF49" s="406" t="n"/>
      <c r="AG49" s="406" t="n"/>
      <c r="AH49" s="406" t="n"/>
      <c r="AI49" s="406" t="n"/>
      <c r="AL49" s="406" t="n"/>
      <c r="AM49" s="406" t="n"/>
      <c r="AN49" s="406" t="n"/>
      <c r="AO49" s="406" t="n"/>
      <c r="AP49" s="406" t="n"/>
      <c r="AQ49" s="406" t="n"/>
    </row>
    <row r="50">
      <c r="B50" s="317" t="inlineStr">
        <is>
          <t>ADJUSTMENT: Yeary Controls</t>
        </is>
      </c>
      <c r="C50" s="317" t="n"/>
      <c r="D50" s="141" t="n"/>
      <c r="E50" s="693" t="n"/>
      <c r="F50" s="141" t="n"/>
      <c r="G50" s="141" t="n"/>
      <c r="H50" s="141" t="n"/>
      <c r="I50" s="141" t="n"/>
      <c r="J50" s="141" t="n"/>
      <c r="K50" s="141" t="n"/>
      <c r="L50" s="141" t="n"/>
      <c r="M50" s="141">
        <f>SUM(AC50:AN50)</f>
        <v/>
      </c>
      <c r="N50" s="141">
        <f>SUM(AF50:AQ50)</f>
        <v/>
      </c>
      <c r="O50" s="693" t="n"/>
      <c r="P50" s="693" t="n"/>
      <c r="Q50" s="406" t="n"/>
      <c r="R50" s="406" t="n"/>
      <c r="S50" s="406" t="n"/>
      <c r="T50" s="406" t="n"/>
      <c r="U50" s="406" t="n"/>
      <c r="V50" s="406" t="n"/>
      <c r="W50" s="406" t="n"/>
      <c r="X50" s="406" t="n"/>
      <c r="Y50" s="406" t="n"/>
      <c r="Z50" s="406" t="n"/>
      <c r="AA50" s="406" t="n"/>
      <c r="AB50" s="406" t="n"/>
      <c r="AC50" s="406" t="n">
        <v>30261.14061604585</v>
      </c>
      <c r="AD50" s="406" t="n">
        <v>38124.41184377942</v>
      </c>
      <c r="AE50" s="406" t="n">
        <v>29800.02163941286</v>
      </c>
      <c r="AF50" s="406" t="n">
        <v>30086.04831870632</v>
      </c>
      <c r="AG50" s="406" t="n">
        <v>29576.94381219409</v>
      </c>
      <c r="AH50" s="406" t="n">
        <v>30251.79245709022</v>
      </c>
      <c r="AI50" s="406" t="n">
        <v>31036.84369370091</v>
      </c>
      <c r="AJ50" t="n">
        <v>35539.38570311358</v>
      </c>
      <c r="AK50" t="n">
        <v>32397.735</v>
      </c>
      <c r="AL50" s="406" t="n">
        <v>60253.94</v>
      </c>
      <c r="AM50" s="406" t="n"/>
      <c r="AN50" s="406" t="n"/>
      <c r="AO50" s="406" t="n"/>
      <c r="AP50" s="406" t="n"/>
      <c r="AQ50" s="406" t="n"/>
    </row>
    <row r="51">
      <c r="B51" s="317" t="n"/>
      <c r="C51" s="317" t="n"/>
      <c r="D51" s="141" t="n"/>
      <c r="E51" s="693" t="n"/>
      <c r="F51" s="141" t="n"/>
      <c r="G51" s="141" t="n"/>
      <c r="H51" s="141" t="n"/>
      <c r="I51" s="141" t="n"/>
      <c r="J51" s="141" t="n"/>
      <c r="K51" s="141" t="n"/>
      <c r="L51" s="141" t="n"/>
      <c r="M51" s="141" t="n"/>
      <c r="N51" s="141" t="n"/>
      <c r="O51" s="693" t="n"/>
      <c r="P51" s="693" t="n"/>
      <c r="Q51" s="406" t="n"/>
      <c r="R51" s="406" t="n"/>
      <c r="S51" s="406" t="n"/>
      <c r="T51" s="406" t="n"/>
      <c r="U51" s="406" t="n"/>
      <c r="V51" s="406" t="n"/>
      <c r="W51" s="406" t="n"/>
      <c r="Z51" s="406" t="n"/>
      <c r="AA51" s="406" t="n"/>
      <c r="AB51" s="406" t="n"/>
      <c r="AC51" s="406" t="n"/>
      <c r="AD51" s="406" t="n"/>
      <c r="AE51" s="406" t="n"/>
      <c r="AF51" s="406" t="n"/>
      <c r="AG51" s="406" t="n"/>
      <c r="AH51" s="406" t="n"/>
      <c r="AI51" s="406" t="n"/>
      <c r="AL51" s="406" t="n"/>
      <c r="AM51" s="406" t="n"/>
      <c r="AN51" s="406" t="n"/>
      <c r="AO51" s="406" t="n"/>
      <c r="AP51" s="406" t="n"/>
      <c r="AQ51" s="406" t="n"/>
    </row>
    <row r="52">
      <c r="B52" s="317" t="inlineStr">
        <is>
          <t>Total Adjustments</t>
        </is>
      </c>
      <c r="C52" s="317" t="n"/>
      <c r="D52" s="141" t="n"/>
      <c r="E52" s="693" t="n"/>
      <c r="F52" s="141" t="n"/>
      <c r="G52" s="141" t="n"/>
      <c r="H52" s="141" t="n"/>
      <c r="I52" s="141">
        <f>SUM(Q52:AB52)</f>
        <v/>
      </c>
      <c r="J52" s="141">
        <f>SUM(T52:AE52)</f>
        <v/>
      </c>
      <c r="K52" s="141">
        <f>SUM(W52:AH52)</f>
        <v/>
      </c>
      <c r="L52" s="141">
        <f>SUM(Z52:AK52)</f>
        <v/>
      </c>
      <c r="M52" s="141">
        <f>SUM(AC52:AN52)</f>
        <v/>
      </c>
      <c r="N52" s="141">
        <f>SUM(AF52:AQ52)</f>
        <v/>
      </c>
      <c r="O52" s="693" t="n"/>
      <c r="P52" s="693" t="n"/>
      <c r="Q52" s="428">
        <f>SUM(Q19:Q45)</f>
        <v/>
      </c>
      <c r="R52" s="428">
        <f>SUM(R19:R45)</f>
        <v/>
      </c>
      <c r="S52" s="428">
        <f>SUM(S19:S45)</f>
        <v/>
      </c>
      <c r="T52" s="428">
        <f>SUM(T19:T49)</f>
        <v/>
      </c>
      <c r="U52" s="428">
        <f>SUM(U19:U49)</f>
        <v/>
      </c>
      <c r="V52" s="428">
        <f>SUM(V19:V49)</f>
        <v/>
      </c>
      <c r="W52" s="428">
        <f>SUM(W19:W49)</f>
        <v/>
      </c>
      <c r="X52" s="428">
        <f>SUM(X19:X49)</f>
        <v/>
      </c>
      <c r="Y52" s="428">
        <f>SUM(Y19:Y49)</f>
        <v/>
      </c>
      <c r="Z52" s="428">
        <f>SUM(Z19:Z49)</f>
        <v/>
      </c>
      <c r="AA52" s="428">
        <f>SUM(AA19:AA49)</f>
        <v/>
      </c>
      <c r="AB52" s="428">
        <f>SUM(AB19:AB49)</f>
        <v/>
      </c>
      <c r="AC52" s="428">
        <f>SUM(AC19:AC50)</f>
        <v/>
      </c>
      <c r="AD52" s="428">
        <f>SUM(AD19:AD50)</f>
        <v/>
      </c>
      <c r="AE52" s="428">
        <f>SUM(AE19:AE50)</f>
        <v/>
      </c>
      <c r="AF52" s="428">
        <f>SUM(AF19:AF50)</f>
        <v/>
      </c>
      <c r="AG52" s="428">
        <f>SUM(AG19:AG50)</f>
        <v/>
      </c>
      <c r="AH52" s="428">
        <f>SUM(AH19:AH50)</f>
        <v/>
      </c>
      <c r="AI52" s="428">
        <f>SUM(AI19:AI50)</f>
        <v/>
      </c>
      <c r="AJ52" s="428">
        <f>SUM(AJ19:AJ50)</f>
        <v/>
      </c>
      <c r="AK52" s="428">
        <f>SUM(AK19:AK50)</f>
        <v/>
      </c>
      <c r="AL52" s="428">
        <f>SUM(AL19:AL50)</f>
        <v/>
      </c>
      <c r="AM52" s="428">
        <f>SUM(AM19:AM50)</f>
        <v/>
      </c>
      <c r="AN52" s="428">
        <f>SUM(AN19:AN50)</f>
        <v/>
      </c>
      <c r="AO52" s="428">
        <f>SUM(AO19:AO50)</f>
        <v/>
      </c>
      <c r="AP52" s="428">
        <f>SUM(AP19:AP50)</f>
        <v/>
      </c>
      <c r="AQ52" s="428">
        <f>SUM(AQ19:AQ50)</f>
        <v/>
      </c>
    </row>
    <row r="53" ht="5.1" customHeight="1">
      <c r="B53" s="137" t="n"/>
      <c r="C53" s="137" t="n"/>
      <c r="D53" s="138" t="n"/>
      <c r="E53" s="138" t="n"/>
      <c r="F53" s="138" t="n"/>
      <c r="G53" s="138" t="n"/>
      <c r="H53" s="138" t="n"/>
      <c r="I53" s="138" t="n"/>
      <c r="J53" s="138" t="n"/>
      <c r="K53" s="138" t="n"/>
      <c r="L53" s="138" t="n"/>
      <c r="M53" s="138" t="n"/>
      <c r="N53" s="138" t="n"/>
      <c r="O53" s="138" t="n"/>
      <c r="P53" s="315" t="n"/>
      <c r="Q53" s="955" t="n"/>
      <c r="R53" s="955" t="n"/>
      <c r="S53" s="955" t="n"/>
      <c r="T53" s="955" t="n"/>
      <c r="U53" s="955" t="n"/>
      <c r="V53" s="955" t="n"/>
      <c r="W53" s="955" t="n"/>
      <c r="X53" s="955" t="n"/>
      <c r="Y53" s="955" t="n"/>
      <c r="Z53" s="955" t="n"/>
      <c r="AA53" s="955" t="n"/>
      <c r="AB53" s="955" t="n"/>
      <c r="AC53" s="955" t="n"/>
      <c r="AD53" s="955" t="n"/>
      <c r="AE53" s="955" t="n"/>
      <c r="AF53" s="955" t="n"/>
      <c r="AG53" s="955" t="n"/>
      <c r="AH53" s="955" t="n"/>
      <c r="AI53" s="955" t="n"/>
      <c r="AJ53" s="955" t="n"/>
      <c r="AK53" s="955" t="n"/>
      <c r="AL53" s="955" t="n"/>
      <c r="AM53" s="955" t="n"/>
      <c r="AN53" s="955" t="n"/>
      <c r="AO53" s="955" t="n"/>
      <c r="AP53" s="955" t="n"/>
      <c r="AQ53" s="955" t="n"/>
    </row>
    <row r="54" ht="15" customHeight="1">
      <c r="B54" s="137" t="inlineStr">
        <is>
          <t>Adjusted EBITDA</t>
        </is>
      </c>
      <c r="C54" s="137" t="n"/>
      <c r="D54" s="143" t="n">
        <v>858190.4466666665</v>
      </c>
      <c r="E54" s="143" t="n"/>
      <c r="F54" s="143" t="n"/>
      <c r="G54" s="143" t="n"/>
      <c r="H54" s="143" t="n"/>
      <c r="I54" s="441">
        <f>SUM(Q54:AB54)</f>
        <v/>
      </c>
      <c r="J54" s="441">
        <f>SUM(T54:AE54)</f>
        <v/>
      </c>
      <c r="K54" s="441">
        <f>SUM(W54:AH54)</f>
        <v/>
      </c>
      <c r="L54" s="441">
        <f>SUM(Z54:AK54)</f>
        <v/>
      </c>
      <c r="M54" s="441">
        <f>SUM(AC54:AN54)</f>
        <v/>
      </c>
      <c r="N54" s="441">
        <f>SUM(AF54:AQ54)</f>
        <v/>
      </c>
      <c r="O54" s="143" t="n"/>
      <c r="P54" s="315" t="n"/>
      <c r="Q54" s="956">
        <f>Q13+Q52</f>
        <v/>
      </c>
      <c r="R54" s="956">
        <f>R13+R52</f>
        <v/>
      </c>
      <c r="S54" s="956">
        <f>S13+S52</f>
        <v/>
      </c>
      <c r="T54" s="956">
        <f>T16+T52</f>
        <v/>
      </c>
      <c r="U54" s="956">
        <f>U16+U52</f>
        <v/>
      </c>
      <c r="V54" s="956">
        <f>V16+V52</f>
        <v/>
      </c>
      <c r="W54" s="956">
        <f>W16+W52</f>
        <v/>
      </c>
      <c r="X54" s="956">
        <f>X16+X52</f>
        <v/>
      </c>
      <c r="Y54" s="956">
        <f>Y16+Y52</f>
        <v/>
      </c>
      <c r="Z54" s="956">
        <f>Z16+Z52</f>
        <v/>
      </c>
      <c r="AA54" s="956">
        <f>AA16+AA52</f>
        <v/>
      </c>
      <c r="AB54" s="956">
        <f>AB16+AB52</f>
        <v/>
      </c>
      <c r="AC54" s="956">
        <f>AC16+AC52</f>
        <v/>
      </c>
      <c r="AD54" s="956">
        <f>AD16+AD52</f>
        <v/>
      </c>
      <c r="AE54" s="956">
        <f>AE16+AE52</f>
        <v/>
      </c>
      <c r="AF54" s="956">
        <f>AF16+AF52</f>
        <v/>
      </c>
      <c r="AG54" s="956">
        <f>AG16+AG52</f>
        <v/>
      </c>
      <c r="AH54" s="956">
        <f>AH16+AH52</f>
        <v/>
      </c>
      <c r="AI54" s="956">
        <f>AI16+AI52</f>
        <v/>
      </c>
      <c r="AJ54" s="956">
        <f>AJ16+AJ52</f>
        <v/>
      </c>
      <c r="AK54" s="956">
        <f>AK16+AK52</f>
        <v/>
      </c>
      <c r="AL54" s="956">
        <f>AL16+AL52</f>
        <v/>
      </c>
      <c r="AM54" s="956">
        <f>AM16+AM52</f>
        <v/>
      </c>
      <c r="AN54" s="956">
        <f>AN16+AN52</f>
        <v/>
      </c>
      <c r="AO54" s="956">
        <f>AO16+AO52</f>
        <v/>
      </c>
      <c r="AP54" s="956">
        <f>AP16+AP52</f>
        <v/>
      </c>
      <c r="AQ54" s="956">
        <f>AQ16+AQ52</f>
        <v/>
      </c>
    </row>
    <row r="55" ht="15" customHeight="1">
      <c r="B55" s="407" t="inlineStr">
        <is>
          <t>Platform Adjustments</t>
        </is>
      </c>
      <c r="C55" s="407" t="n"/>
      <c r="D55" s="138" t="n"/>
      <c r="E55" s="138" t="n"/>
      <c r="F55" s="138" t="n"/>
      <c r="G55" s="138" t="n"/>
      <c r="H55" s="138" t="n"/>
      <c r="I55" s="138">
        <f>SUM(Q55:AB55)</f>
        <v/>
      </c>
      <c r="J55" s="138">
        <f>SUM(T55:AE55)</f>
        <v/>
      </c>
      <c r="K55" s="138">
        <f>SUM(W55:AH55)</f>
        <v/>
      </c>
      <c r="L55" s="138">
        <f>SUM(Z55:AK55)</f>
        <v/>
      </c>
      <c r="M55" s="138">
        <f>SUM(AC55:AN55)</f>
        <v/>
      </c>
      <c r="N55" s="138">
        <f>SUM(AF55:AQ55)</f>
        <v/>
      </c>
      <c r="O55" s="138" t="n"/>
      <c r="P55" s="315" t="n"/>
      <c r="Q55" s="957" t="n">
        <v>33425.82000000001</v>
      </c>
      <c r="R55" s="957" t="n">
        <v>42105.25</v>
      </c>
      <c r="S55" s="957" t="n">
        <v>42105.25</v>
      </c>
      <c r="T55" s="957" t="n">
        <v>42105.25</v>
      </c>
      <c r="U55" s="957" t="n">
        <v>42105.25</v>
      </c>
      <c r="V55" s="957" t="n">
        <v>36671.46999999999</v>
      </c>
      <c r="W55" s="957" t="n">
        <v>36671.46999999999</v>
      </c>
      <c r="X55" s="957" t="n">
        <v>36671.46999999999</v>
      </c>
      <c r="Y55" s="957" t="n">
        <v>36671.46999999999</v>
      </c>
      <c r="Z55" s="957" t="n">
        <v>96984</v>
      </c>
      <c r="AA55" s="957" t="n">
        <v>125556.29</v>
      </c>
      <c r="AB55" s="957" t="n">
        <v>-70915.92999999999</v>
      </c>
      <c r="AC55" s="957" t="n">
        <v>53036.48</v>
      </c>
      <c r="AD55" s="957" t="n">
        <v>50668.77</v>
      </c>
      <c r="AE55" s="957" t="n">
        <v>92200.04000000002</v>
      </c>
      <c r="AF55" s="957" t="n">
        <v>54296.38</v>
      </c>
      <c r="AG55" s="957" t="n">
        <v>88569.44</v>
      </c>
      <c r="AH55" s="957" t="n">
        <v>61413.46</v>
      </c>
      <c r="AI55" s="957" t="n">
        <v>54814.8</v>
      </c>
      <c r="AJ55" s="957" t="n">
        <v>52844.09</v>
      </c>
      <c r="AK55" s="957" t="n">
        <v>80900.92000000001</v>
      </c>
      <c r="AL55" s="957" t="n">
        <v>96291.52999999998</v>
      </c>
      <c r="AM55" s="957" t="n">
        <v>61544.94000000002</v>
      </c>
      <c r="AN55" s="957" t="n">
        <v>64620.73000000001</v>
      </c>
      <c r="AO55" s="957" t="n"/>
      <c r="AP55" s="957" t="n"/>
      <c r="AQ55" s="957" t="n"/>
    </row>
    <row r="56" ht="15" customHeight="1">
      <c r="B56" s="407" t="inlineStr">
        <is>
          <t>Inventory Adjustments</t>
        </is>
      </c>
      <c r="C56" s="407" t="n"/>
      <c r="D56" s="138" t="n"/>
      <c r="E56" s="138" t="n"/>
      <c r="F56" s="138" t="n"/>
      <c r="G56" s="138" t="n"/>
      <c r="H56" s="138" t="n"/>
      <c r="I56" s="138" t="n"/>
      <c r="J56" s="138" t="n"/>
      <c r="K56" s="138" t="n"/>
      <c r="L56" s="138" t="n"/>
      <c r="M56" s="138" t="n"/>
      <c r="N56" s="138" t="n"/>
      <c r="O56" s="138" t="n"/>
      <c r="P56" s="315" t="n"/>
      <c r="Q56" s="958" t="n"/>
      <c r="R56" s="958" t="n"/>
      <c r="S56" s="958" t="n"/>
      <c r="T56" s="958" t="n"/>
      <c r="U56" s="958" t="n"/>
      <c r="V56" s="958" t="n"/>
      <c r="W56" s="958" t="n"/>
      <c r="X56" s="958" t="n"/>
      <c r="Y56" s="958" t="n"/>
      <c r="Z56" s="958" t="n"/>
      <c r="AA56" s="958" t="n"/>
      <c r="AB56" s="406" t="n"/>
      <c r="AC56" s="958" t="n"/>
      <c r="AD56" s="958" t="n"/>
      <c r="AE56" s="958" t="n"/>
      <c r="AF56" s="958" t="n"/>
      <c r="AG56" s="958" t="n"/>
      <c r="AH56" s="958" t="n"/>
      <c r="AI56" s="958" t="n"/>
      <c r="AJ56" s="958" t="n"/>
      <c r="AK56" s="958" t="n"/>
      <c r="AL56" s="958" t="n"/>
      <c r="AM56" s="958" t="n"/>
      <c r="AN56" s="406" t="n"/>
      <c r="AO56" s="406" t="n"/>
      <c r="AP56" s="406" t="n"/>
      <c r="AQ56" s="406" t="n"/>
    </row>
    <row r="57" ht="5.1" customHeight="1">
      <c r="B57" s="137" t="n"/>
      <c r="C57" s="137" t="n"/>
      <c r="D57" s="138" t="n"/>
      <c r="E57" s="138" t="n"/>
      <c r="F57" s="138" t="n"/>
      <c r="G57" s="138" t="n"/>
      <c r="H57" s="138" t="n"/>
      <c r="I57" s="138" t="n"/>
      <c r="J57" s="138" t="n"/>
      <c r="K57" s="138" t="n"/>
      <c r="L57" s="138" t="n"/>
      <c r="M57" s="138" t="n"/>
      <c r="N57" s="138" t="n"/>
      <c r="O57" s="138" t="n"/>
      <c r="P57" s="315" t="n"/>
      <c r="Q57" s="955" t="n"/>
      <c r="R57" s="955" t="n"/>
      <c r="S57" s="955" t="n"/>
      <c r="T57" s="955" t="n"/>
      <c r="U57" s="955" t="n"/>
      <c r="V57" s="955" t="n"/>
      <c r="W57" s="955" t="n"/>
      <c r="X57" s="955" t="n"/>
      <c r="Y57" s="955" t="n"/>
      <c r="Z57" s="955" t="n"/>
      <c r="AA57" s="955" t="n"/>
      <c r="AB57" s="955" t="n"/>
      <c r="AC57" s="955" t="n"/>
      <c r="AD57" s="955" t="n"/>
      <c r="AE57" s="955" t="n"/>
      <c r="AF57" s="955" t="n"/>
      <c r="AG57" s="955" t="n"/>
      <c r="AH57" s="955" t="n"/>
      <c r="AI57" s="955" t="n"/>
      <c r="AJ57" s="955" t="n"/>
      <c r="AK57" s="955" t="n"/>
      <c r="AL57" s="955" t="n"/>
      <c r="AM57" s="955" t="n"/>
      <c r="AN57" s="955" t="n"/>
      <c r="AO57" s="955" t="n"/>
      <c r="AP57" s="955" t="n"/>
      <c r="AQ57" s="955" t="n"/>
    </row>
    <row r="58" ht="15" customHeight="1">
      <c r="B58" s="137" t="inlineStr">
        <is>
          <t>Operating Adjusted EBITDA 1 (w/ inventory adj.)</t>
        </is>
      </c>
      <c r="C58" s="137" t="n"/>
      <c r="D58" s="143">
        <f>SUM(D16:D25)</f>
        <v/>
      </c>
      <c r="E58" s="143" t="n">
        <v>1071044.086666667</v>
      </c>
      <c r="F58" s="143" t="n">
        <v>957126.8600000002</v>
      </c>
      <c r="G58" s="143">
        <f>SUM(G16:G25)</f>
        <v/>
      </c>
      <c r="H58" s="143">
        <f>SUM(H16:H25)</f>
        <v/>
      </c>
      <c r="I58" s="441">
        <f>SUM(Q58:AB58)</f>
        <v/>
      </c>
      <c r="J58" s="441">
        <f>SUM(T58:AE58)</f>
        <v/>
      </c>
      <c r="K58" s="441">
        <f>SUM(W58:AH58)</f>
        <v/>
      </c>
      <c r="L58" s="441">
        <f>SUM(Z58:AK58)</f>
        <v/>
      </c>
      <c r="M58" s="441">
        <f>SUM(AC58:AN58)</f>
        <v/>
      </c>
      <c r="N58" s="441">
        <f>SUM(AF58:AQ58)</f>
        <v/>
      </c>
      <c r="O58" s="143">
        <f>SUM(O16:O25)</f>
        <v/>
      </c>
      <c r="P58" s="315" t="n"/>
      <c r="Q58" s="956">
        <f>Q54+Q55+Q56</f>
        <v/>
      </c>
      <c r="R58" s="956">
        <f>R54+R55+R56</f>
        <v/>
      </c>
      <c r="S58" s="956">
        <f>S54+S55+S56</f>
        <v/>
      </c>
      <c r="T58" s="956">
        <f>T54+T55+T56</f>
        <v/>
      </c>
      <c r="U58" s="956">
        <f>U54+U55+U56</f>
        <v/>
      </c>
      <c r="V58" s="956">
        <f>V54+V55+V56</f>
        <v/>
      </c>
      <c r="W58" s="956">
        <f>W54+W55+W56</f>
        <v/>
      </c>
      <c r="X58" s="956">
        <f>X54+X55+X56</f>
        <v/>
      </c>
      <c r="Y58" s="956">
        <f>Y54+Y55+Y56</f>
        <v/>
      </c>
      <c r="Z58" s="956">
        <f>Z54+Z55+Z56</f>
        <v/>
      </c>
      <c r="AA58" s="956">
        <f>AA54+AA55+AA56</f>
        <v/>
      </c>
      <c r="AB58" s="956">
        <f>AB54+AB55+AB56</f>
        <v/>
      </c>
      <c r="AC58" s="956">
        <f>AC54+AC55+AC56</f>
        <v/>
      </c>
      <c r="AD58" s="956">
        <f>AD54+AD55+AD56</f>
        <v/>
      </c>
      <c r="AE58" s="956">
        <f>AE54+AE55+AE56</f>
        <v/>
      </c>
      <c r="AF58" s="956">
        <f>AF54+AF55+AF56</f>
        <v/>
      </c>
      <c r="AG58" s="956">
        <f>AG54+AG55+AG56</f>
        <v/>
      </c>
      <c r="AH58" s="956">
        <f>AH54+AH55+AH56</f>
        <v/>
      </c>
      <c r="AI58" s="956">
        <f>AI54+AI55+AI56</f>
        <v/>
      </c>
      <c r="AJ58" s="956">
        <f>AJ54+AJ55+AJ56</f>
        <v/>
      </c>
      <c r="AK58" s="956">
        <f>AK54+AK55+AK56</f>
        <v/>
      </c>
      <c r="AL58" s="956">
        <f>AL54+AL55+AL56</f>
        <v/>
      </c>
      <c r="AM58" s="956">
        <f>AM54+AM55+AM56</f>
        <v/>
      </c>
      <c r="AN58" s="956">
        <f>AN54+AN55+AN56</f>
        <v/>
      </c>
      <c r="AO58" s="956">
        <f>AO54+AO55+AO56</f>
        <v/>
      </c>
      <c r="AP58" s="956">
        <f>AP54+AP55+AP56</f>
        <v/>
      </c>
      <c r="AQ58" s="956">
        <f>AQ54+AQ55+AQ56</f>
        <v/>
      </c>
    </row>
    <row r="59" ht="15" customHeight="1">
      <c r="B59" s="137" t="inlineStr">
        <is>
          <t>Cash</t>
        </is>
      </c>
      <c r="C59" s="137" t="n"/>
      <c r="D59" s="959" t="n">
        <v>7623515</v>
      </c>
      <c r="E59" s="959" t="n">
        <v>7641423.33</v>
      </c>
      <c r="F59" s="959" t="n">
        <v>7726273.47</v>
      </c>
      <c r="G59" s="959" t="n">
        <v>7131391.220000001</v>
      </c>
      <c r="H59" s="959" t="n">
        <v>6776737.95</v>
      </c>
      <c r="I59" s="960">
        <f>$AB$59</f>
        <v/>
      </c>
      <c r="J59" s="960">
        <f>AE59</f>
        <v/>
      </c>
      <c r="K59" s="960">
        <f>AH59</f>
        <v/>
      </c>
      <c r="L59" s="960">
        <f>AK59</f>
        <v/>
      </c>
      <c r="M59" s="960">
        <f>AN59</f>
        <v/>
      </c>
      <c r="N59" s="960">
        <f>AQ59</f>
        <v/>
      </c>
      <c r="O59" s="959" t="n">
        <v>0</v>
      </c>
      <c r="P59" s="961" t="n"/>
      <c r="Q59" s="962" t="n">
        <v>8176337.32</v>
      </c>
      <c r="R59" s="962" t="n">
        <v>8036871.23</v>
      </c>
      <c r="S59" s="962" t="n">
        <v>7726273.47</v>
      </c>
      <c r="T59" s="962" t="n">
        <v>7645979.25</v>
      </c>
      <c r="U59" s="962" t="n">
        <v>7350977.109999999</v>
      </c>
      <c r="V59" s="962" t="n">
        <v>7383572.04</v>
      </c>
      <c r="W59" s="962" t="n">
        <v>7048220.779999999</v>
      </c>
      <c r="X59" s="962" t="n">
        <v>6804198.74</v>
      </c>
      <c r="Y59" s="962" t="n">
        <v>6776737.95</v>
      </c>
      <c r="Z59" s="962" t="n">
        <v>6699846.27</v>
      </c>
      <c r="AA59" s="962" t="n">
        <v>6306500.31</v>
      </c>
      <c r="AB59" s="962" t="n">
        <v>5666269.36</v>
      </c>
      <c r="AC59" s="962" t="n">
        <v>5229259.03</v>
      </c>
      <c r="AD59" s="962" t="n">
        <v>374733.03</v>
      </c>
      <c r="AE59" s="962" t="n">
        <v>136466.6</v>
      </c>
      <c r="AF59" s="962" t="n"/>
      <c r="AG59" s="962" t="n"/>
      <c r="AH59" s="962" t="n">
        <v>1154703.33</v>
      </c>
      <c r="AI59" s="962" t="n"/>
      <c r="AJ59" s="962" t="n"/>
      <c r="AK59" s="962" t="n">
        <v>715146.4700000001</v>
      </c>
      <c r="AL59" s="962" t="n"/>
      <c r="AM59" s="962" t="n"/>
      <c r="AN59" s="962" t="n">
        <v>1375758.66</v>
      </c>
      <c r="AO59" s="962" t="n"/>
      <c r="AP59" s="962" t="n"/>
      <c r="AQ59" s="962" t="n">
        <v>422159.65</v>
      </c>
    </row>
    <row r="60" ht="15" customHeight="1">
      <c r="B60" s="137" t="inlineStr">
        <is>
          <t>Debt</t>
        </is>
      </c>
      <c r="C60" s="137" t="n"/>
      <c r="D60" s="959" t="n">
        <v>0</v>
      </c>
      <c r="E60" s="959" t="n">
        <v>0</v>
      </c>
      <c r="F60" s="959" t="n">
        <v>0</v>
      </c>
      <c r="G60" s="959" t="n">
        <v>0</v>
      </c>
      <c r="H60" s="959" t="n">
        <v>0</v>
      </c>
      <c r="I60" s="959" t="n">
        <v>0</v>
      </c>
      <c r="J60" s="963">
        <f>AE60</f>
        <v/>
      </c>
      <c r="K60" s="960">
        <f>AH60</f>
        <v/>
      </c>
      <c r="L60" s="960">
        <f>AK60</f>
        <v/>
      </c>
      <c r="M60" s="960">
        <f>AL60</f>
        <v/>
      </c>
      <c r="N60" s="963">
        <f>AI60</f>
        <v/>
      </c>
      <c r="O60" s="959" t="n">
        <v>0</v>
      </c>
      <c r="P60" s="961" t="n"/>
    </row>
    <row r="61" ht="3.95" customHeight="1">
      <c r="B61" s="39" t="n"/>
      <c r="C61" s="39" t="n"/>
      <c r="D61" s="39" t="n"/>
      <c r="E61" s="39" t="n"/>
      <c r="F61" s="39" t="n"/>
      <c r="G61" s="39" t="n"/>
    </row>
    <row r="62" ht="16.5" customHeight="1">
      <c r="B62" s="44" t="inlineStr">
        <is>
          <t>1 Adj. EBITDA including platform expenses</t>
        </is>
      </c>
      <c r="C62" s="44" t="n"/>
      <c r="D62" s="39" t="n"/>
      <c r="E62" s="39" t="n"/>
      <c r="F62" s="39" t="n"/>
      <c r="G62" s="39" t="n"/>
      <c r="W62" s="962" t="n"/>
    </row>
  </sheetData>
  <conditionalFormatting sqref="B19:B52 B55:B56">
    <cfRule type="duplicateValues" priority="84" dxfId="0"/>
  </conditionalFormatting>
  <pageMargins left="0.7086614173228347" right="0.7086614173228347" top="0.7480314960629921" bottom="0.7480314960629921" header="0.3149606299212598" footer="0.3149606299212598"/>
  <pageSetup orientation="portrait" scale="28" fitToHeight="0"/>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{"Comparables (Live)":{"F|^NYS:IEXEV/EBITDATTM12/31/2023USD":{"r":[[17.616480721124464]],"c":null,"a":["'Comparables (Live)'!J14"]},"F|^LON:IMIEV/EBITDATTM12/31/2023USD":{"r":[[12.030099314319179]],"c":null,"a":["'Comparables (Live)'!J19"]},"F|^NYS:EMREV/EBITDATTM12/31/2023USD":{"r":[[16.457665412732094]],"c":null,"a":["'Comparables (Live)'!J12"]},"F|^NYS:FLSEV/EBITDATTM12/31/2023USD":{"r":[[18.05076741173383]],"c":null,"a":["'Comparables (Live)'!J21"]},"F|^NYS:ITTEV/EBITDATTM12/31/2023USD":{"r":[[14.517441721458457]],"c":null,"a":["'Comparables (Live)'!J17"]},"F|^NYS:WTSEV/EBITDATTM12/31/2023USD":{"r":[[17.62652384270256]],"c":null,"a":["'Comparables (Live)'!J20"]},"F|^NYS: MWAEV/EBITDATTM12/31/2023USD":{"r":[[13.821888034557235]],"c":null,"a":["'Comparables (Live)'!J23"]},"F|^NYS:CWEV/EBITDATTM12/31/2023USD":{"r":[[15.368727527288838]],"c":null,"a":["'Comparables (Live)'!J16"]},"F|^NYS:GGGEV/EBITDATTM12/31/2023USD":{"r":[[19.879331175970673]],"c":null,"a":["'Comparables (Live)'!J15"]},"F|^NYS:XYLEV/EBITDATTM12/31/2023USD":{"r":[[29.101149175124377]],"c":null,"a":["'Comparables (Live)'!J13"]},"F|^HEL:VALMTEV/EBITDATTM12/31/2023USD":{"r":[[7.696881497284132]],"c":null,"a":["'Comparables (Live)'!J18"]},"F|^LON:ROREV/EBITDATTM12/31/2023USD":{"r":[[17.95895080668443]],"c":null,"a":["'Comparables (Live)'!J22"]},"F|^NYS:IEXEV/RevenueTTM12/31/2024USD":{"r":[[5.420255143044948]],"c":null,"a":["'Comparables (Live)'!M14"]},"F|^NYS:IEXEV/EBITDATTM12/31/2024USD":{"r":[[20.808256586157174]],"c":null,"a":["'Comparables (Live)'!D14"]},"F|^NYS:IEXmarketCapDilutedTTM12/31/2024USD":{"r":[[15848131131]],"c":null,"a":["'Comparables (Live)'!P14"]},"F|^LON:IMIEV/RevenueTTM12/31/2024USD":{"r":[[2.3629213788952548]],"c":null,"a":["'Comparables (Live)'!M19"]},"F|^LON:IMIEV/EBITDATTM12/31/2024USD":{"r":[[11.146331371096078]],"c":null,"a":["'Comparables (Live)'!D19"]},"F|^LON:IMImarketCapDilutedTTM12/31/2024USD":{"r":[[5812027122.441711]],"c":null,"a":["'Comparables (Live)'!P19"]},"F|^NYS:EMREV/RevenueTTM12/31/2024USD":{"r":[[4.634405553453007]],"c":null,"a":["'Comparables (Live)'!M12"]},"F|^NYS:EMREV/EBITDATTM12/31/2024USD":{"r":[[21.34413426566614]],"c":null,"a":["'Comparables (Live)'!D12"]},"F|^NYS:EMRmarketCapDilutedTTM12/31/2024USD":{"r":[[70582021941]],"c":null,"a":["'Comparables (Live)'!P12"]},"F|^NYS:FLSEV/RevenueTTM12/31/2024USD":{"r":[[1.8553450181788724]],"c":null,"a":["'Comparables (Live)'!M21"]},"F|^NYS:FLSEV/EBITDATTM12/31/2024USD":{"r":[[16.981912367872788]],"c":null,"a":["'Comparables (Live)'!D21"]},"F|^NYS:FLSmarketCapDilutedTTM12/31/2024USD":{"r":[[7556775072]],"c":null,"a":["'Comparables (Live)'!P21"]},"F|^NYS:ITTEV/RevenueTTM12/31/2024USD":{"r":[[3.4324855556814318]],"c":null,"a":["'Comparables (Live)'!M17"]},"F|^NYS:ITTEV/EBITDATTM12/31/2024USD":{"r":[[15.829963427377221]],"c":null,"a":["'Comparables (Live)'!D17"]},"F|^NYS:ITTmarketCapDilutedTTM12/31/2024USD":{"r":[[11644720000]],"c":null,"a":["'Comparables (Live)'!P17"]},"F|^NYS:WTSEV/RevenueTTM12/31/2024USD":{"r":[[2.95869121940424]],"c":null,"a":["'Comparables (Live)'!M20"]},"F|^NYS:WTSEV/EBITDATTM12/31/2024USD":{"r":[[15.402237493087558]],"c":null,"a":["'Comparables (Live)'!D20"]},"F|^NYS:WTSmarketCapDilutedTTM12/31/2024USD":{"r":[[6776671072]],"c":null,"a":["'Comparables (Live)'!P20"]},"F|^NYS: MWAEV/RevenueTTM12/31/2024USD":{"r":[[2.806375675058949]],"c":null,"a":["'Comparables (Live)'!M23"]},"F|^NYS: MWAEV/EBITDATTM12/31/2024USD":{"r":[[15.29026978864484]],"c":null,"a":["'Comparables (Live)'!D23"]},"F|^NYS: MWAmarketCapDilutedTTM12/31/2024USD":{"r":[[3521942100]],"c":null,"a":["'Comparables (Live)'!P23"]},"F|^NYS:CWEV/RevenueTTM12/31/2024USD":{"r":[[4.608668306047977]],"c":null,"a":["'Comparables (Live)'!M16"]},"F|^NYS:CWEV/EBITDATTM12/31/2024USD":{"r":[[20.891249404083553]],"c":null,"a":["'Comparables (Live)'!D16"]},"F|^NYS:CWmarketCapDilutedTTM12/31/2024USD":{"r":[[13466671701]],"c":null,"a":["'Comparables (Live)'!P16"]},"F|^NYS:GGGEV/RevenueTTM12/31/2024USD":{"r":[[6.341066416645709]],"c":null,"a":["'Comparables (Live)'!M15"]},"F|^NYS:GGGEV/EBITDATTM12/31/2024USD":{"r":[[20.19403944031953]],"c":null,"a":["'Comparables (Live)'!D15"]},"F|^NYS:GGGmarketCapDilutedTTM12/31/2024USD":{"r":[[14232330761]],"c":null,"a":["'Comparables (Live)'!P15"]},"F|^NYS:XYLEV/RevenueTTM12/31/2024USD":{"r":[[3.479041363010446]],"c":null,"a":["'Comparables (Live)'!M13"]},"F|^NYS:XYLEV/EBITDATTM12/31/2024USD":{"r":[[19.538296294666665]],"c":null,"a":["'Comparables (Live)'!D13"]},"F|^NYS:XYLmarketCapDilutedTTM12/31/2024USD":{"r":[[28186444442]],"c":null,"a":["'Comparables (Live)'!P13"]},"F|^HEL:VALMTEV/RevenueTTM12/31/2024USD":{"r":[[0.9779373513501468]],"c":null,"a":["'Comparables (Live)'!M18"]},"F|^HEL:VALMTEV/EBITDATTM12/31/2024USD":{"r":[[7.9095691694936]],"c":null,"a":["'Comparables (Live)'!D18"]},"F|^HEL:VALMTmarketCapDilutedTTM12/31/2024USD":{"r":[[4470897851.945402]],"c":null,"a":["'Comparables (Live)'!P18"]},"F|^LON:ROREV/RevenueTTM12/31/2024USD":{"r":[[3.3858824143619968]],"c":null,"a":["'Comparables (Live)'!M22"]},"F|^LON:ROREV/EBITDATTM12/31/2024USD":{"r":[[14.314574087569008]],"c":null,"a":["'Comparables (Live)'!D22"]},"F|^LON:RORmarketCapDilutedTTM12/31/2024USD":{"r":[[3328327863.713336]],"c":null,"a":["'Comparables (Live)'!P22"]},"F|^NYS:CIREV/EBITDATTM12/31/2023USD":{"id":131,"description":null,"headerValues":[],"financialValues":[],"customValues":[],"error":null},"F|^NYS:CIREV/EBITDATTM12/31/2024USD":{"id":135,"description":null,"headerValues":[],"financialValues":[],"customValues":[],"error":null},"F|^NYS:CIREV/RevenueTTM12/31/2024USD":{"id":159,"description":null,"headerValues":[],"financialValues":[],"customValues":[],"error":null},"F|^NYS:IEXTotalRevenueTTM12/31/2024USD":{"r":[[3194800000]],"c":null,"a":["'Comparables (Live)'!P14"]},"F|^LON:IMITotalRevenueTTM12/31/2024USD":{"r":[[2782499213.78]],"c":null,"a":["'Comparables (Live)'!P19"]},"F|^NYS:EMRTotalRevenueTTM12/31/2024USD":{"r":[[17492000000]],"c":null,"a":["'Comparables (Live)'!P12"]},"F|^NYS:FLSTotalRevenueTTM12/31/2024USD":{"r":[[4542636000]],"c":null,"a":["'Comparables (Live)'!P21"]},"F|^NYS:ITTTotalRevenueTTM12/31/2024USD":{"r":[[3530800000]],"c":null,"a":["'Comparables (Live)'!P17"]},"F|^NYS:WTSTotalRevenueTTM12/31/2024USD":{"r":[[2259300000]],"c":null,"a":["'Comparables (Live)'!P20"]},"F|^NYS:CWTotalRevenueTTM12/31/2024USD":{"r":[[3082667000]],"c":null,"a":["'Comparables (Live)'!P16"]},"F|^NYS:GGGTotalRevenueTTM12/31/2024USD":{"r":[[2131288000]],"c":null,"a":["'Comparables (Live)'!P15"]},"F|^NYS:XYLTotalRevenueTTM12/31/2024USD":{"r":[[8424000000]],"c":null,"a":["'Comparables (Live)'!P13"]},"F|^NYS: MWATotalRevenueTTM12/31/2024USD":{"r":[[1314700000]],"c":null,"a":["'Comparables (Live)'!P23"]},"F|^HEL:VALMTTotalRevenueTTM12/31/2024USD":{"r":[[5780096082.02]],"c":null,"a":["'Comparables (Live)'!P18"]},"F|^LON:RORTotalRevenueTTM12/31/2024USD":{"r":[[939116147.540274]],"c":null,"a":["'Comparables (Live)'!P22"]},"F|^NYS: ZWSEV/EBITDATTM12/31/2023USD":{"r":[[20.549602329481925]],"c":null,"a":["'Comparables (Live)'!J25"]},"F|^NYS: ZWSEV/RevenueTTM12/31/2024USD":{"r":[[4.313234685044441]],"c":null,"a":["'Comparables (Live)'!M25"]},"F|^NYS: ZWSmarketCapDilutedTTM12/31/2024USD":{"r":[[6330328172]],"c":null,"a":["'Comparables (Live)'!P25"]},"F|^NYS: ZWSEV/EBITDATTM12/31/2024USD":{"r":[[21.770897828348506]],"c":null,"a":["'Comparables (Live)'!D25"]},"F|^NYS: ZWSTotalRevenueTTM12/31/2024USD":{"r":[[1552600000]],"c":null,"a":["'Comparables (Live)'!P25"]},"F|^NYS: FLOWEV/EBITDATTM12/31/2023USD":{"id":263,"description":null,"headerValues":[],"financialValues":[],"customValues":[],"error":null},"F|^NYS: FLOWEV/RevenueTTM12/31/2024USD":{"id":265,"description":null,"headerValues":[],"financialValues":[],"customValues":[],"error":null},"F|^NYS: FLOWEV/EBITDATTM12/31/2024USD":{"id":266,"description":null,"headerValues":[],"financialValues":[],"customValues":[],"error":null},"F|^NYS: FLOWmarketCapDilutedTTM12/31/2024USD":{"id":267,"description":null,"headerValues":[],"financialValues":[],"customValues":[],"error":null},"F|^NYS: FLOWTotalRevenueTTM12/31/2024USD":{"id":268,"description":null,"headerValues":[],"financialValues":[],"customValues":[],"error":null},"F|^NYS: ETNEV/EBITDATTM12/31/2023USD":{"r":[[22.15400255808996]],"c":null,"a":["'Comparables (Live)'!J25"]},"F|^NYS: ETNEV/RevenueTTM12/31/2024USD":{"r":[[5.6607203413940255]],"c":null,"a":["'Comparables (Live)'!M25"]},"F|^NYS: ETNmarketCapDilutedTTM12/31/2024USD":{"r":[[131155024000]],"c":null,"a":["'Comparables (Live)'!P25"]},"F|^NYS: ETNEV/EBITDATTM12/31/2024USD":{"r":[[25.23225072463768]],"c":null,"a":["'Comparables (Live)'!D25"]},"F|^NYS: ETNTotalRevenueTTM12/31/2024USD":{"r":[[24605000000]],"c":null,"a":["'Comparables (Live)'!P25"]}}}</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2.xml><?xml version="1.0" encoding="utf-8"?>
<worksheet xmlns="http://schemas.openxmlformats.org/spreadsheetml/2006/main">
  <sheetPr>
    <tabColor theme="1"/>
    <outlinePr summaryBelow="1" summaryRight="1"/>
    <pageSetUpPr/>
  </sheetPr>
  <dimension ref="B2:AA61"/>
  <sheetViews>
    <sheetView workbookViewId="0">
      <selection activeCell="A1" sqref="A1"/>
    </sheetView>
  </sheetViews>
  <sheetFormatPr baseColWidth="8" defaultRowHeight="15"/>
  <cols>
    <col width="2.7109375" customWidth="1" min="1" max="1"/>
    <col width="47.28515625" bestFit="1" customWidth="1" min="2" max="2"/>
    <col width="24.28515625" bestFit="1" customWidth="1" min="3" max="3"/>
    <col width="24.28515625" customWidth="1" min="4" max="4"/>
    <col width="2.7109375" customWidth="1" min="5" max="5"/>
    <col width="12.7109375" customWidth="1" min="6" max="20"/>
    <col width="88" bestFit="1" customWidth="1" min="21" max="21"/>
    <col width="12.5703125" bestFit="1" customWidth="1" min="22" max="22"/>
    <col width="13.42578125" bestFit="1" customWidth="1" min="23" max="23"/>
  </cols>
  <sheetData>
    <row r="2" ht="21" customHeight="1">
      <c r="B2" s="446" t="inlineStr">
        <is>
          <t xml:space="preserve">Opus Water Financials </t>
        </is>
      </c>
      <c r="C2" s="122" t="n"/>
      <c r="D2" s="122" t="n"/>
    </row>
    <row r="3" ht="16.5" customHeight="1" thickBot="1">
      <c r="B3" s="249" t="inlineStr">
        <is>
          <t>Financial Summary</t>
        </is>
      </c>
      <c r="C3" s="123" t="n"/>
      <c r="D3" s="123" t="n"/>
      <c r="E3" s="123" t="n"/>
      <c r="F3" s="123" t="n"/>
      <c r="G3" s="123" t="n"/>
      <c r="H3" s="123" t="n"/>
      <c r="I3" s="123" t="n"/>
      <c r="J3" s="123" t="n"/>
      <c r="K3" s="123" t="n"/>
      <c r="L3" s="123" t="n"/>
      <c r="M3" s="123" t="n"/>
      <c r="N3" s="123" t="n"/>
      <c r="O3" s="123" t="n"/>
      <c r="P3" s="123" t="n"/>
      <c r="Q3" s="123" t="n"/>
      <c r="R3" s="123" t="n"/>
      <c r="S3" s="123" t="n"/>
      <c r="T3" s="123" t="n"/>
      <c r="U3" s="123" t="n"/>
      <c r="V3" s="123" t="n"/>
      <c r="W3" s="123" t="n"/>
    </row>
    <row r="4" ht="15.75" customHeight="1" thickTop="1">
      <c r="B4" s="55">
        <f>'I. Cover Page'!B9</f>
        <v/>
      </c>
      <c r="C4" s="447" t="n"/>
      <c r="D4" s="447" t="n"/>
      <c r="E4" s="447" t="n"/>
      <c r="F4" s="447" t="n"/>
      <c r="G4" s="447" t="n"/>
      <c r="H4" s="447" t="n"/>
      <c r="I4" s="447" t="n"/>
      <c r="J4" s="447" t="n"/>
      <c r="K4" s="447" t="n"/>
      <c r="L4" s="447" t="n"/>
      <c r="M4" s="447" t="n"/>
      <c r="N4" s="447" t="n"/>
      <c r="O4" s="447" t="n"/>
      <c r="P4" s="447" t="n"/>
      <c r="Q4" s="447" t="n"/>
      <c r="R4" s="447" t="n"/>
      <c r="S4" s="447" t="n"/>
      <c r="T4" s="447" t="n"/>
      <c r="U4" s="447" t="n"/>
      <c r="V4" s="447" t="n"/>
      <c r="W4" s="447" t="n"/>
    </row>
    <row r="5" ht="15.75" customHeight="1" thickBot="1">
      <c r="C5" s="380" t="n"/>
      <c r="D5" s="380" t="n"/>
    </row>
    <row r="6">
      <c r="B6" s="448" t="inlineStr">
        <is>
          <t>Financial Information Summary</t>
        </is>
      </c>
      <c r="C6" s="449" t="n"/>
      <c r="D6" s="449" t="n"/>
      <c r="E6" s="450" t="n"/>
      <c r="X6" s="448" t="inlineStr">
        <is>
          <t>Notes</t>
        </is>
      </c>
    </row>
    <row r="7">
      <c r="B7" s="451" t="n"/>
      <c r="C7" s="452" t="n"/>
      <c r="D7" s="452" t="n"/>
      <c r="E7" s="450" t="n"/>
      <c r="G7" s="622" t="n"/>
    </row>
    <row r="8">
      <c r="B8" s="453" t="n"/>
      <c r="C8" s="454" t="inlineStr">
        <is>
          <t>LTM - December 2025</t>
        </is>
      </c>
      <c r="D8" s="454" t="inlineStr">
        <is>
          <t>LTM - June 2026</t>
        </is>
      </c>
      <c r="E8" s="450" t="n"/>
      <c r="F8" s="455" t="n">
        <v>45688</v>
      </c>
      <c r="G8" s="456">
        <f>EOMONTH(F8,1)</f>
        <v/>
      </c>
      <c r="H8" s="456">
        <f>EOMONTH(G8,1)</f>
        <v/>
      </c>
      <c r="I8" s="456">
        <f>EOMONTH(H8,1)</f>
        <v/>
      </c>
      <c r="J8" s="456">
        <f>EOMONTH(I8,1)</f>
        <v/>
      </c>
      <c r="K8" s="456">
        <f>EOMONTH(J8,1)</f>
        <v/>
      </c>
      <c r="L8" s="456">
        <f>EOMONTH(K8,1)</f>
        <v/>
      </c>
      <c r="M8" s="456">
        <f>EOMONTH(L8,1)</f>
        <v/>
      </c>
      <c r="N8" s="456">
        <f>EOMONTH(M8,1)</f>
        <v/>
      </c>
      <c r="O8" s="456">
        <f>EOMONTH(N8,1)</f>
        <v/>
      </c>
      <c r="P8" s="456">
        <f>EOMONTH(O8,1)</f>
        <v/>
      </c>
      <c r="Q8" s="456">
        <f>EOMONTH(P8,1)</f>
        <v/>
      </c>
      <c r="R8" s="456">
        <f>EOMONTH(Q8,1)</f>
        <v/>
      </c>
      <c r="S8" s="456">
        <f>EOMONTH(R8,1)</f>
        <v/>
      </c>
      <c r="T8" s="456">
        <f>EOMONTH(S8,1)</f>
        <v/>
      </c>
      <c r="U8" s="964" t="n">
        <v>46142</v>
      </c>
      <c r="V8" s="964" t="n">
        <v>46173</v>
      </c>
      <c r="W8" s="964" t="n">
        <v>46203</v>
      </c>
    </row>
    <row r="9" ht="15.75" customHeight="1" thickBot="1">
      <c r="B9" s="453" t="n"/>
      <c r="C9" s="457" t="inlineStr">
        <is>
          <t>Jan 1 2025 - Dec 31 2025</t>
        </is>
      </c>
      <c r="D9" s="457" t="inlineStr">
        <is>
          <t>Jul 1 2025 - Jun 30 2026</t>
        </is>
      </c>
      <c r="E9" s="450" t="n"/>
      <c r="F9" s="458">
        <f>MONTH(F8)</f>
        <v/>
      </c>
      <c r="G9" s="458">
        <f>MONTH(G8)</f>
        <v/>
      </c>
      <c r="H9" s="458">
        <f>MONTH(H8)</f>
        <v/>
      </c>
      <c r="I9" s="458">
        <f>MONTH(I8)</f>
        <v/>
      </c>
      <c r="J9" s="458">
        <f>MONTH(J8)</f>
        <v/>
      </c>
      <c r="K9" s="458">
        <f>MONTH(K8)</f>
        <v/>
      </c>
      <c r="L9" s="458">
        <f>MONTH(L8)</f>
        <v/>
      </c>
      <c r="M9" s="458">
        <f>MONTH(M8)</f>
        <v/>
      </c>
      <c r="N9" s="458">
        <f>MONTH(N8)</f>
        <v/>
      </c>
      <c r="O9" s="458">
        <f>MONTH(O8)</f>
        <v/>
      </c>
      <c r="P9" s="458">
        <f>MONTH(P8)</f>
        <v/>
      </c>
      <c r="Q9" s="458">
        <f>MONTH(Q8)</f>
        <v/>
      </c>
      <c r="R9" s="458">
        <f>MONTH(R8)</f>
        <v/>
      </c>
      <c r="S9" s="458">
        <f>MONTH(S8)</f>
        <v/>
      </c>
      <c r="T9" s="458">
        <f>MONTH(T8)</f>
        <v/>
      </c>
      <c r="U9" s="458">
        <f>MONTH(U8)</f>
        <v/>
      </c>
      <c r="V9" s="458">
        <f>MONTH(V8)</f>
        <v/>
      </c>
      <c r="W9" s="458">
        <f>MONTH(W8)</f>
        <v/>
      </c>
    </row>
    <row r="10">
      <c r="B10" s="459" t="inlineStr">
        <is>
          <t>Opus Revenue</t>
        </is>
      </c>
      <c r="C10" s="828">
        <f>SUM(F10:Q10)</f>
        <v/>
      </c>
      <c r="D10" s="828">
        <f>SUM(L10:W10)</f>
        <v/>
      </c>
      <c r="E10" s="450" t="n"/>
      <c r="F10" s="829" t="n">
        <v>519951.33</v>
      </c>
      <c r="G10" s="829" t="n">
        <v>1313013.16</v>
      </c>
      <c r="H10" s="829" t="n">
        <v>2157588.06</v>
      </c>
      <c r="I10" s="829" t="n">
        <v>2083207.86</v>
      </c>
      <c r="J10" s="829" t="n">
        <v>1131620.94</v>
      </c>
      <c r="K10" s="829" t="n">
        <v>1478180.06</v>
      </c>
      <c r="L10" s="829" t="n">
        <v>1758316.49</v>
      </c>
      <c r="M10" s="829" t="n">
        <v>1413457.47</v>
      </c>
      <c r="N10" s="829" t="n">
        <v>1824735.74</v>
      </c>
      <c r="O10" s="829" t="n">
        <v>1621269.49</v>
      </c>
      <c r="P10" s="829" t="n">
        <v>1288214.62</v>
      </c>
      <c r="Q10" s="829" t="n">
        <v>2349656.25</v>
      </c>
      <c r="R10" s="829" t="n">
        <v>890161.2599999999</v>
      </c>
      <c r="S10" s="829" t="n">
        <v>1938842.91</v>
      </c>
      <c r="T10" s="829" t="n">
        <v>1779097.45</v>
      </c>
      <c r="U10" s="829" t="n">
        <v>2432432.95</v>
      </c>
      <c r="V10" s="829" t="n">
        <v>1806793.87</v>
      </c>
      <c r="W10" s="829" t="n">
        <v>2073582.65</v>
      </c>
      <c r="X10" s="829" t="n"/>
      <c r="Y10" s="700" t="n"/>
      <c r="Z10" s="700" t="n"/>
    </row>
    <row r="11">
      <c r="B11" s="459" t="inlineStr">
        <is>
          <t>RP Adams Revenue</t>
        </is>
      </c>
      <c r="C11" s="828">
        <f>SUM(F11:Q11)</f>
        <v/>
      </c>
      <c r="D11" s="828">
        <f>SUM(L11:W11)</f>
        <v/>
      </c>
      <c r="E11" s="450" t="n"/>
      <c r="F11" s="829" t="n">
        <v>936677.3799999993</v>
      </c>
      <c r="G11" s="829" t="n">
        <v>641032.1499999999</v>
      </c>
      <c r="H11" s="693" t="n"/>
      <c r="I11" s="693" t="n"/>
      <c r="J11" s="693" t="n"/>
      <c r="K11" s="693" t="n"/>
      <c r="L11" s="693" t="n"/>
      <c r="M11" s="693" t="n"/>
      <c r="N11" s="693" t="n"/>
      <c r="O11" s="693" t="n"/>
      <c r="P11" s="693" t="n"/>
      <c r="Q11" s="693" t="n"/>
      <c r="R11" s="693" t="n"/>
      <c r="S11" s="693" t="n"/>
      <c r="T11" s="693" t="n"/>
      <c r="U11" s="693" t="n">
        <v>0</v>
      </c>
      <c r="V11" s="693" t="n">
        <v>0</v>
      </c>
      <c r="W11" s="693" t="n">
        <v>0</v>
      </c>
      <c r="X11" s="829" t="n"/>
      <c r="Y11" s="700" t="n"/>
      <c r="Z11" s="700" t="n"/>
    </row>
    <row r="12">
      <c r="B12" s="459" t="inlineStr">
        <is>
          <t>Yeary Controls Revenue</t>
        </is>
      </c>
      <c r="C12" s="828">
        <f>SUM(F12:Q12)</f>
        <v/>
      </c>
      <c r="D12" s="828">
        <f>SUM(L12:W12)</f>
        <v/>
      </c>
      <c r="E12" s="450" t="n"/>
      <c r="F12" s="829" t="n">
        <v>91371.25</v>
      </c>
      <c r="G12" s="829" t="n">
        <v>140634.75</v>
      </c>
      <c r="H12" s="829" t="n">
        <v>871204.1</v>
      </c>
      <c r="I12" s="829" t="n">
        <v>122638.2</v>
      </c>
      <c r="J12" s="829" t="n">
        <v>253544</v>
      </c>
      <c r="K12" s="829" t="n">
        <v>522588.58</v>
      </c>
      <c r="L12" s="829" t="n">
        <v>293851.7000000001</v>
      </c>
      <c r="M12" s="829" t="n">
        <v>77550.78000000003</v>
      </c>
      <c r="N12" s="829" t="n">
        <v>210778.38</v>
      </c>
      <c r="O12" s="829" t="n">
        <v>62134</v>
      </c>
      <c r="P12" s="829" t="n"/>
      <c r="Q12" s="829" t="n"/>
      <c r="R12" s="829" t="n"/>
      <c r="S12" s="829" t="n"/>
      <c r="T12" s="829" t="n"/>
      <c r="U12" s="829" t="n">
        <v>0</v>
      </c>
      <c r="V12" s="829" t="n">
        <v>0</v>
      </c>
      <c r="W12" s="829" t="n">
        <v>0</v>
      </c>
      <c r="X12" s="829" t="n"/>
      <c r="Y12" s="700" t="n"/>
      <c r="Z12" s="700" t="n"/>
    </row>
    <row r="13">
      <c r="B13" s="462" t="inlineStr">
        <is>
          <t>Total Revenue</t>
        </is>
      </c>
      <c r="C13" s="463">
        <f>SUM(C10:C12)</f>
        <v/>
      </c>
      <c r="D13" s="463">
        <f>SUM(L13:W13)</f>
        <v/>
      </c>
      <c r="E13" s="450" t="n"/>
      <c r="F13" s="464">
        <f>SUM(F10:F12)</f>
        <v/>
      </c>
      <c r="G13" s="464">
        <f>SUM(G10:G12)</f>
        <v/>
      </c>
      <c r="H13" s="464">
        <f>SUM(H10:H12)</f>
        <v/>
      </c>
      <c r="I13" s="464">
        <f>SUM(I10:I12)</f>
        <v/>
      </c>
      <c r="J13" s="464">
        <f>SUM(J10:J12)</f>
        <v/>
      </c>
      <c r="K13" s="464">
        <f>SUM(K10:K12)</f>
        <v/>
      </c>
      <c r="L13" s="464">
        <f>SUM(L10:L12)</f>
        <v/>
      </c>
      <c r="M13" s="464">
        <f>SUM(M10:M12)</f>
        <v/>
      </c>
      <c r="N13" s="464">
        <f>SUM(N10:N12)</f>
        <v/>
      </c>
      <c r="O13" s="464">
        <f>SUM(O10:O12)</f>
        <v/>
      </c>
      <c r="P13" s="464">
        <f>SUM(P10:P12)</f>
        <v/>
      </c>
      <c r="Q13" s="464">
        <f>SUM(Q10:Q12)</f>
        <v/>
      </c>
      <c r="R13" s="464">
        <f>SUM(R10:R12)</f>
        <v/>
      </c>
      <c r="S13" s="464">
        <f>SUM(S10:S12)</f>
        <v/>
      </c>
      <c r="T13" s="464">
        <f>SUM(T10:T12)</f>
        <v/>
      </c>
      <c r="U13" s="464">
        <f>SUM(U10:U12)</f>
        <v/>
      </c>
      <c r="V13" s="464">
        <f>SUM(V10:V12)</f>
        <v/>
      </c>
      <c r="W13" s="464">
        <f>SUM(W10:W12)</f>
        <v/>
      </c>
      <c r="Y13" s="700" t="n"/>
      <c r="Z13" s="700" t="n"/>
    </row>
    <row r="14" ht="6" customFormat="1" customHeight="1" s="469">
      <c r="B14" s="465" t="n"/>
      <c r="C14" s="466" t="n"/>
      <c r="D14" s="466" t="n"/>
      <c r="E14" s="467" t="n"/>
      <c r="F14" s="468" t="n"/>
      <c r="G14" s="468" t="n"/>
      <c r="H14" s="468" t="n"/>
      <c r="I14" s="468" t="n"/>
      <c r="J14" s="468" t="n"/>
      <c r="K14" s="468" t="n"/>
      <c r="L14" s="468" t="n"/>
      <c r="M14" s="468" t="n"/>
      <c r="N14" s="468" t="n"/>
      <c r="O14" s="468" t="n"/>
      <c r="P14" s="468" t="n"/>
      <c r="Q14" s="468" t="n"/>
      <c r="R14" s="468" t="n"/>
      <c r="S14" s="468" t="n"/>
      <c r="T14" s="468" t="n"/>
      <c r="U14" s="468" t="n"/>
      <c r="V14" s="468" t="n"/>
      <c r="W14" s="468" t="n"/>
      <c r="Y14" s="830" t="n"/>
      <c r="Z14" s="830" t="n"/>
    </row>
    <row r="15">
      <c r="B15" s="459" t="inlineStr">
        <is>
          <t>Opus Gross Profit</t>
        </is>
      </c>
      <c r="C15" s="828">
        <f>SUM(F15:Q15)</f>
        <v/>
      </c>
      <c r="D15" s="828">
        <f>SUM(I15:T15)</f>
        <v/>
      </c>
      <c r="E15" s="450" t="n"/>
      <c r="F15" s="829" t="n">
        <v>205074.94</v>
      </c>
      <c r="G15" s="829" t="n">
        <v>783410.9299999999</v>
      </c>
      <c r="H15" s="829" t="n">
        <v>1284102.39</v>
      </c>
      <c r="I15" s="829" t="n">
        <v>1040699.04</v>
      </c>
      <c r="J15" s="829" t="n">
        <v>499492.4200000002</v>
      </c>
      <c r="K15" s="829" t="n">
        <v>688521.9</v>
      </c>
      <c r="L15" s="829" t="n">
        <v>940795.6900000002</v>
      </c>
      <c r="M15" s="829" t="n">
        <v>758447.05</v>
      </c>
      <c r="N15" s="829" t="n">
        <v>949347.8199999998</v>
      </c>
      <c r="O15" s="829" t="n">
        <v>827343.84</v>
      </c>
      <c r="P15" s="829" t="n">
        <v>640531.1299999998</v>
      </c>
      <c r="Q15" s="829" t="n">
        <v>1510721.71</v>
      </c>
      <c r="R15" s="829" t="n">
        <v>347431.4499999998</v>
      </c>
      <c r="S15" s="829" t="n">
        <v>1182549</v>
      </c>
      <c r="T15" s="829" t="n">
        <v>971176.03</v>
      </c>
      <c r="U15" s="829" t="n"/>
      <c r="V15" s="829" t="n"/>
      <c r="W15" s="829" t="n"/>
      <c r="Y15" s="700" t="n"/>
      <c r="Z15" s="700" t="n"/>
    </row>
    <row r="16">
      <c r="B16" s="459" t="inlineStr">
        <is>
          <t>RP Adams Gross Profit</t>
        </is>
      </c>
      <c r="C16" s="828">
        <f>SUM(F16:Q16)</f>
        <v/>
      </c>
      <c r="D16" s="828">
        <f>SUM(I16:T16)</f>
        <v/>
      </c>
      <c r="E16" s="450" t="n"/>
      <c r="F16" s="831" t="n">
        <v>674224.6199999995</v>
      </c>
      <c r="G16" s="829" t="n">
        <v>168757.3199999999</v>
      </c>
      <c r="H16" s="829" t="n"/>
      <c r="I16" s="829" t="n"/>
      <c r="J16" s="829" t="n"/>
      <c r="K16" s="829" t="n"/>
      <c r="L16" s="829" t="n"/>
      <c r="M16" s="829" t="n"/>
      <c r="N16" s="829" t="n"/>
      <c r="O16" s="829" t="n"/>
      <c r="P16" s="829" t="n"/>
      <c r="Q16" s="829" t="n"/>
      <c r="R16" s="829" t="n"/>
      <c r="S16" s="829" t="n"/>
      <c r="T16" s="829" t="n"/>
      <c r="U16" s="829" t="n"/>
      <c r="V16" s="829" t="n"/>
      <c r="W16" s="829" t="n"/>
      <c r="Y16" s="700" t="n"/>
      <c r="Z16" s="700" t="n"/>
    </row>
    <row r="17">
      <c r="B17" s="459" t="inlineStr">
        <is>
          <t>Yeary Controls Gross Profit</t>
        </is>
      </c>
      <c r="C17" s="828">
        <f>SUM(F17:Q17)</f>
        <v/>
      </c>
      <c r="D17" s="828">
        <f>SUM(I17:T17)</f>
        <v/>
      </c>
      <c r="E17" s="450" t="n"/>
      <c r="F17" s="831" t="n">
        <v>53713.33</v>
      </c>
      <c r="G17" s="829" t="n">
        <v>65183.97999999998</v>
      </c>
      <c r="H17" s="829" t="n">
        <v>301565.6699999999</v>
      </c>
      <c r="I17" s="829" t="n">
        <v>62665.00999999999</v>
      </c>
      <c r="J17" s="829" t="n">
        <v>105939.4000000001</v>
      </c>
      <c r="K17" s="829" t="n">
        <v>158529.34</v>
      </c>
      <c r="L17" s="829" t="n">
        <v>141505.1700000001</v>
      </c>
      <c r="M17" s="829" t="n">
        <v>4580.909999999974</v>
      </c>
      <c r="N17" s="829" t="n">
        <v>116530.33</v>
      </c>
      <c r="O17" s="829" t="n">
        <v>32911.5</v>
      </c>
      <c r="P17" s="829" t="n"/>
      <c r="Q17" s="829" t="n"/>
      <c r="R17" s="829" t="n"/>
      <c r="S17" s="829" t="n"/>
      <c r="T17" s="829" t="n"/>
      <c r="U17" s="829" t="n"/>
      <c r="V17" s="829" t="n"/>
      <c r="W17" s="829" t="n"/>
      <c r="Y17" s="700" t="n"/>
      <c r="Z17" s="700" t="n"/>
    </row>
    <row r="18">
      <c r="B18" s="462" t="inlineStr">
        <is>
          <t>Gross Profit</t>
        </is>
      </c>
      <c r="C18" s="463">
        <f>SUM(C15:C17)</f>
        <v/>
      </c>
      <c r="D18" s="463">
        <f>SUM(D15:D17)</f>
        <v/>
      </c>
      <c r="E18" s="450" t="n"/>
      <c r="F18" s="464">
        <f>SUM(F15:F17)</f>
        <v/>
      </c>
      <c r="G18" s="464">
        <f>SUM(G15:G17)</f>
        <v/>
      </c>
      <c r="H18" s="464">
        <f>SUM(H15:H17)</f>
        <v/>
      </c>
      <c r="I18" s="464">
        <f>SUM(I15:I17)</f>
        <v/>
      </c>
      <c r="J18" s="464">
        <f>SUM(J15:J17)</f>
        <v/>
      </c>
      <c r="K18" s="464">
        <f>SUM(K15:K17)</f>
        <v/>
      </c>
      <c r="L18" s="464">
        <f>SUM(L15:L17)</f>
        <v/>
      </c>
      <c r="M18" s="464">
        <f>SUM(M15:M17)</f>
        <v/>
      </c>
      <c r="N18" s="464">
        <f>SUM(N15:N17)</f>
        <v/>
      </c>
      <c r="O18" s="464">
        <f>SUM(O15:O17)</f>
        <v/>
      </c>
      <c r="P18" s="464">
        <f>SUM(P15:P17)</f>
        <v/>
      </c>
      <c r="Q18" s="464">
        <f>SUM(Q15:Q17)</f>
        <v/>
      </c>
      <c r="R18" s="464">
        <f>SUM(R15:R17)</f>
        <v/>
      </c>
      <c r="S18" s="464">
        <f>SUM(S15:S17)</f>
        <v/>
      </c>
      <c r="T18" s="464">
        <f>SUM(T15:T17)</f>
        <v/>
      </c>
      <c r="U18" s="464" t="n"/>
      <c r="V18" s="464" t="n"/>
      <c r="W18" s="464" t="n"/>
      <c r="Y18" s="700" t="n"/>
      <c r="Z18" s="700" t="n"/>
    </row>
    <row r="19" customFormat="1" s="469">
      <c r="B19" s="471" t="inlineStr">
        <is>
          <t>% Gross Margin</t>
        </is>
      </c>
      <c r="C19" s="472">
        <f>C18/C13</f>
        <v/>
      </c>
      <c r="D19" s="472">
        <f>D18/D13</f>
        <v/>
      </c>
      <c r="E19" s="467" t="n"/>
      <c r="F19" s="468">
        <f>F18/F13</f>
        <v/>
      </c>
      <c r="G19" s="468">
        <f>G18/G13</f>
        <v/>
      </c>
      <c r="H19" s="468">
        <f>H18/H13</f>
        <v/>
      </c>
      <c r="I19" s="468">
        <f>I18/I13</f>
        <v/>
      </c>
      <c r="J19" s="468">
        <f>J18/J13</f>
        <v/>
      </c>
      <c r="K19" s="468">
        <f>K18/K13</f>
        <v/>
      </c>
      <c r="L19" s="468">
        <f>L18/L13</f>
        <v/>
      </c>
      <c r="M19" s="468">
        <f>M18/M13</f>
        <v/>
      </c>
      <c r="N19" s="468">
        <f>N18/N13</f>
        <v/>
      </c>
      <c r="O19" s="468">
        <f>O18/O13</f>
        <v/>
      </c>
      <c r="P19" s="468">
        <f>P18/P13</f>
        <v/>
      </c>
      <c r="Q19" s="468">
        <f>Q18/Q13</f>
        <v/>
      </c>
      <c r="R19" s="468">
        <f>R18/R13</f>
        <v/>
      </c>
      <c r="S19" s="468">
        <f>S18/S13</f>
        <v/>
      </c>
      <c r="T19" s="468">
        <f>T18/T13</f>
        <v/>
      </c>
      <c r="U19" s="468" t="n"/>
      <c r="V19" s="468" t="n"/>
      <c r="W19" s="468" t="n"/>
      <c r="Y19" s="830" t="n"/>
      <c r="Z19" s="830" t="n"/>
    </row>
    <row r="20" ht="5.1" customFormat="1" customHeight="1" s="469">
      <c r="B20" s="465" t="n"/>
      <c r="C20" s="466" t="n"/>
      <c r="D20" s="466" t="n"/>
      <c r="E20" s="467" t="n"/>
      <c r="F20" s="468" t="n"/>
      <c r="G20" s="468" t="n"/>
      <c r="H20" s="468" t="n"/>
      <c r="I20" s="468" t="n"/>
      <c r="J20" s="468" t="n"/>
      <c r="K20" s="468" t="n"/>
      <c r="L20" s="468" t="n"/>
      <c r="M20" s="468" t="n"/>
      <c r="N20" s="468" t="n"/>
      <c r="O20" s="468" t="n"/>
      <c r="P20" s="468" t="n"/>
      <c r="Q20" s="468" t="n"/>
      <c r="R20" s="468" t="n"/>
      <c r="S20" s="468" t="n"/>
      <c r="T20" s="468" t="n"/>
      <c r="U20" s="468" t="n"/>
      <c r="V20" s="468" t="n"/>
      <c r="W20" s="468" t="n"/>
      <c r="Y20" s="830" t="n"/>
      <c r="Z20" s="830" t="n"/>
    </row>
    <row r="21">
      <c r="B21" s="459" t="inlineStr">
        <is>
          <t>Opus Water EBITDA</t>
        </is>
      </c>
      <c r="C21" s="828">
        <f>SUM(F21:Q21)</f>
        <v/>
      </c>
      <c r="D21" s="828">
        <f>SUM(L21:W21)</f>
        <v/>
      </c>
      <c r="E21" s="450" t="n"/>
      <c r="F21" s="829" t="n">
        <v>-40970.90999999997</v>
      </c>
      <c r="G21" s="829" t="n">
        <v>227050.1299999999</v>
      </c>
      <c r="H21" s="829" t="n">
        <v>232486.66</v>
      </c>
      <c r="I21" s="829" t="n">
        <v>166011.2199999996</v>
      </c>
      <c r="J21" s="829" t="n">
        <v>-419184.96</v>
      </c>
      <c r="K21" s="829" t="n">
        <v>-107942.57</v>
      </c>
      <c r="L21" s="829" t="n">
        <v>-376427.0499999999</v>
      </c>
      <c r="M21" s="829" t="n">
        <v>-5735.579999999899</v>
      </c>
      <c r="N21" s="829" t="n">
        <v>43437.91999999979</v>
      </c>
      <c r="O21" s="829" t="n">
        <v>-167551.11</v>
      </c>
      <c r="P21" s="829" t="n">
        <v>-208036.7400000004</v>
      </c>
      <c r="Q21" s="829" t="n">
        <v>334935.7900000002</v>
      </c>
      <c r="R21" s="829" t="n">
        <v>-624505.5200000004</v>
      </c>
      <c r="S21" s="829" t="n">
        <v>234015.5599999996</v>
      </c>
      <c r="T21" s="829" t="n">
        <v>1674.299999999987</v>
      </c>
      <c r="U21" s="829" t="n">
        <v>1209.5</v>
      </c>
      <c r="V21" s="829" t="n">
        <v>0</v>
      </c>
      <c r="W21" s="829" t="n">
        <v>-956.6900000000001</v>
      </c>
      <c r="Y21" s="700" t="n"/>
      <c r="Z21" s="700" t="n"/>
    </row>
    <row r="22">
      <c r="B22" s="459" t="inlineStr">
        <is>
          <t>RP Adams EBITDA</t>
        </is>
      </c>
      <c r="C22" s="828">
        <f>SUM(F22:Q22)</f>
        <v/>
      </c>
      <c r="D22" s="828">
        <f>SUM(L22:W22)</f>
        <v/>
      </c>
      <c r="E22" s="450" t="n"/>
      <c r="F22" s="829" t="n">
        <v>273530.9199999996</v>
      </c>
      <c r="G22" s="829" t="n">
        <v>50497.70999999996</v>
      </c>
      <c r="H22" s="829" t="n"/>
      <c r="I22" s="829" t="n"/>
      <c r="J22" s="829" t="n"/>
      <c r="K22" s="829" t="n"/>
      <c r="L22" s="829" t="n"/>
      <c r="M22" s="829" t="n"/>
      <c r="N22" s="829" t="n"/>
      <c r="O22" s="829" t="n"/>
      <c r="P22" s="829" t="n"/>
      <c r="Q22" s="829" t="n"/>
      <c r="R22" s="829" t="n"/>
      <c r="S22" s="829" t="n"/>
      <c r="T22" s="829" t="n"/>
      <c r="U22" s="829" t="n">
        <v>0</v>
      </c>
      <c r="V22" s="829" t="n">
        <v>0</v>
      </c>
      <c r="W22" s="829" t="n">
        <v>0</v>
      </c>
      <c r="Y22" s="829" t="n"/>
      <c r="Z22" s="700" t="n"/>
    </row>
    <row r="23">
      <c r="B23" s="459" t="inlineStr">
        <is>
          <t>Yeary Controls EBITDA</t>
        </is>
      </c>
      <c r="C23" s="828">
        <f>SUM(F23:Q23)</f>
        <v/>
      </c>
      <c r="D23" s="828">
        <f>SUM(L23:W23)</f>
        <v/>
      </c>
      <c r="E23" s="450" t="n"/>
      <c r="F23" s="829" t="n">
        <v>8273.510000000009</v>
      </c>
      <c r="G23" s="829" t="n">
        <v>13262.66999999998</v>
      </c>
      <c r="H23" s="829" t="n">
        <v>193513.6299999999</v>
      </c>
      <c r="I23" s="829" t="n">
        <v>16377.53</v>
      </c>
      <c r="J23" s="829" t="n">
        <v>58656.07000000009</v>
      </c>
      <c r="K23" s="829" t="n">
        <v>112282.62</v>
      </c>
      <c r="L23" s="829" t="n">
        <v>92264.19000000015</v>
      </c>
      <c r="M23" s="829" t="n">
        <v>-79211.40000000002</v>
      </c>
      <c r="N23" s="829" t="n">
        <v>66536.39000000004</v>
      </c>
      <c r="O23" s="829" t="n">
        <v>-61523.54</v>
      </c>
      <c r="P23" s="829" t="n"/>
      <c r="Q23" s="829" t="n"/>
      <c r="R23" s="829" t="n"/>
      <c r="S23" s="829" t="n"/>
      <c r="T23" s="829" t="n"/>
      <c r="U23" s="829" t="n">
        <v>0</v>
      </c>
      <c r="V23" s="829" t="n">
        <v>0</v>
      </c>
      <c r="W23" s="829" t="n">
        <v>0</v>
      </c>
      <c r="Y23" s="829" t="n"/>
      <c r="Z23" s="700" t="n"/>
    </row>
    <row r="24">
      <c r="B24" s="462" t="inlineStr">
        <is>
          <t>EBITDA</t>
        </is>
      </c>
      <c r="C24" s="463">
        <f>SUM(C21:C23)</f>
        <v/>
      </c>
      <c r="D24" s="463">
        <f>SUM(L24:W24)</f>
        <v/>
      </c>
      <c r="E24" s="450" t="n"/>
      <c r="F24" s="464">
        <f>SUM(F21:F23)</f>
        <v/>
      </c>
      <c r="G24" s="464">
        <f>SUM(G21:G23)</f>
        <v/>
      </c>
      <c r="H24" s="464">
        <f>SUM(H21:H23)</f>
        <v/>
      </c>
      <c r="I24" s="464">
        <f>SUM(I21:I23)</f>
        <v/>
      </c>
      <c r="J24" s="464">
        <f>SUM(J21:J23)</f>
        <v/>
      </c>
      <c r="K24" s="464">
        <f>SUM(K21:K23)</f>
        <v/>
      </c>
      <c r="L24" s="464">
        <f>SUM(L21:L23)</f>
        <v/>
      </c>
      <c r="M24" s="464">
        <f>SUM(M21:M23)</f>
        <v/>
      </c>
      <c r="N24" s="464">
        <f>SUM(N21:N23)</f>
        <v/>
      </c>
      <c r="O24" s="464">
        <f>SUM(O21:O23)</f>
        <v/>
      </c>
      <c r="P24" s="464">
        <f>SUM(P21:P23)</f>
        <v/>
      </c>
      <c r="Q24" s="464">
        <f>SUM(Q21:Q23)</f>
        <v/>
      </c>
      <c r="R24" s="464">
        <f>SUM(R21:R23)</f>
        <v/>
      </c>
      <c r="S24" s="464">
        <f>SUM(S21:S23)</f>
        <v/>
      </c>
      <c r="T24" s="464">
        <f>SUM(T21:T23)</f>
        <v/>
      </c>
      <c r="U24" s="464">
        <f>SUM(U21:U23)</f>
        <v/>
      </c>
      <c r="V24" s="464">
        <f>SUM(V21:V23)</f>
        <v/>
      </c>
      <c r="W24" s="464">
        <f>SUM(W21:W23)</f>
        <v/>
      </c>
      <c r="Y24" s="700" t="n"/>
      <c r="Z24" s="700" t="n"/>
    </row>
    <row r="25" customFormat="1" s="469">
      <c r="B25" s="471" t="inlineStr">
        <is>
          <t>% EBITDA Margin</t>
        </is>
      </c>
      <c r="C25" s="472">
        <f>C24/C13</f>
        <v/>
      </c>
      <c r="D25" s="472">
        <f>IFERROR(D24/D13,0)</f>
        <v/>
      </c>
      <c r="E25" s="467" t="n"/>
      <c r="F25" s="468">
        <f>F24/F13</f>
        <v/>
      </c>
      <c r="G25" s="468">
        <f>G24/G13</f>
        <v/>
      </c>
      <c r="H25" s="468">
        <f>H24/H13</f>
        <v/>
      </c>
      <c r="I25" s="468">
        <f>I24/I13</f>
        <v/>
      </c>
      <c r="J25" s="468">
        <f>J24/J13</f>
        <v/>
      </c>
      <c r="K25" s="468">
        <f>K24/K13</f>
        <v/>
      </c>
      <c r="L25" s="468">
        <f>L24/L13</f>
        <v/>
      </c>
      <c r="M25" s="468">
        <f>M24/M13</f>
        <v/>
      </c>
      <c r="N25" s="468">
        <f>N24/N13</f>
        <v/>
      </c>
      <c r="O25" s="468">
        <f>O24/O13</f>
        <v/>
      </c>
      <c r="P25" s="468">
        <f>P24/P13</f>
        <v/>
      </c>
      <c r="Q25" s="468">
        <f>Q24/Q13</f>
        <v/>
      </c>
      <c r="R25" s="468">
        <f>R24/R13</f>
        <v/>
      </c>
      <c r="S25" s="468">
        <f>S24/S13</f>
        <v/>
      </c>
      <c r="T25" s="468">
        <f>T24/T13</f>
        <v/>
      </c>
      <c r="U25" s="468">
        <f>IFERROR(U24/U13,0)</f>
        <v/>
      </c>
      <c r="V25" s="468">
        <f>IFERROR(V24/V13,0)</f>
        <v/>
      </c>
      <c r="W25" s="468">
        <f>IFERROR(W24/W13,0)</f>
        <v/>
      </c>
      <c r="Y25" s="830" t="n"/>
      <c r="Z25" s="830" t="n"/>
    </row>
    <row r="26" ht="6" customFormat="1" customHeight="1" s="469">
      <c r="B26" s="465" t="n"/>
      <c r="C26" s="466" t="n"/>
      <c r="D26" s="466" t="n"/>
      <c r="E26" s="467" t="n"/>
      <c r="F26" s="468" t="n"/>
      <c r="G26" s="468" t="n"/>
      <c r="H26" s="468" t="n"/>
      <c r="I26" s="468" t="n"/>
      <c r="J26" s="468" t="n"/>
      <c r="K26" s="468" t="n"/>
      <c r="L26" s="468" t="n"/>
      <c r="M26" s="468" t="n"/>
      <c r="N26" s="468" t="n"/>
      <c r="O26" s="468" t="n"/>
      <c r="P26" s="468" t="n"/>
      <c r="Q26" s="468" t="n"/>
      <c r="R26" s="468" t="n"/>
      <c r="S26" s="468" t="n"/>
      <c r="T26" s="468" t="n"/>
      <c r="U26" s="468" t="n"/>
      <c r="V26" s="468" t="n"/>
      <c r="W26" s="468" t="n"/>
      <c r="Y26" s="830" t="n"/>
      <c r="Z26" s="830" t="n"/>
    </row>
    <row r="27">
      <c r="B27" s="473" t="inlineStr">
        <is>
          <t>ADJUSTMENT: Consulting</t>
        </is>
      </c>
      <c r="C27" s="828">
        <f>SUM(F27:Q27)</f>
        <v/>
      </c>
      <c r="D27" s="828">
        <f>SUM(L27:W27)</f>
        <v/>
      </c>
      <c r="E27" s="450" t="n"/>
      <c r="F27" s="829" t="n">
        <v>21299.51</v>
      </c>
      <c r="G27" s="829" t="n">
        <v>6825</v>
      </c>
      <c r="H27" s="829" t="n">
        <v>14078</v>
      </c>
      <c r="I27" s="829" t="n">
        <v>26242.39</v>
      </c>
      <c r="J27" s="829" t="n">
        <v>19080</v>
      </c>
      <c r="K27" s="829" t="n">
        <v>8420</v>
      </c>
      <c r="L27" s="829" t="n">
        <v>76584.3</v>
      </c>
      <c r="M27" s="829" t="n">
        <v>59321.73</v>
      </c>
      <c r="N27" s="829" t="n">
        <v>80472</v>
      </c>
      <c r="O27" s="829" t="n">
        <v>51815</v>
      </c>
      <c r="P27" s="829" t="n">
        <v>113108.69</v>
      </c>
      <c r="Q27" s="829" t="n">
        <v>90413.53999999999</v>
      </c>
      <c r="R27" s="829" t="n">
        <v>63406.25</v>
      </c>
      <c r="S27" s="829" t="n">
        <v>80411.25</v>
      </c>
      <c r="T27" s="829" t="n">
        <v>77315.52</v>
      </c>
      <c r="U27" s="829" t="n">
        <v>0</v>
      </c>
      <c r="V27" s="829" t="n">
        <v>0</v>
      </c>
      <c r="W27" s="829" t="n">
        <v>0</v>
      </c>
      <c r="Y27" s="700" t="n"/>
      <c r="Z27" s="700" t="n"/>
    </row>
    <row r="28">
      <c r="B28" s="473" t="inlineStr">
        <is>
          <t>ADJUSTMENT: Recruiting Costs</t>
        </is>
      </c>
      <c r="C28" s="828">
        <f>SUM(F28:Q28)</f>
        <v/>
      </c>
      <c r="D28" s="828">
        <f>SUM(L28:W28)</f>
        <v/>
      </c>
      <c r="E28" s="450" t="n"/>
      <c r="F28" s="829" t="n">
        <v>0</v>
      </c>
      <c r="G28" s="829" t="n">
        <v>0</v>
      </c>
      <c r="H28" s="829" t="n">
        <v>0</v>
      </c>
      <c r="I28" s="829" t="n">
        <v>0</v>
      </c>
      <c r="J28" s="829" t="n">
        <v>0</v>
      </c>
      <c r="K28" s="829" t="n">
        <v>0</v>
      </c>
      <c r="L28" s="829" t="n">
        <v>0</v>
      </c>
      <c r="M28" s="829" t="n">
        <v>0</v>
      </c>
      <c r="N28" s="829" t="n">
        <v>22481.25</v>
      </c>
      <c r="O28" s="829" t="n">
        <v>22481.25</v>
      </c>
      <c r="P28" s="829" t="n">
        <v>68106.25</v>
      </c>
      <c r="Q28" s="829" t="n">
        <v>16856.25</v>
      </c>
      <c r="R28" s="829" t="n">
        <v>1856.25</v>
      </c>
      <c r="S28" s="829" t="n">
        <v>1856.25</v>
      </c>
      <c r="T28" s="829" t="n">
        <v>19500</v>
      </c>
      <c r="U28" s="829" t="n">
        <v>0</v>
      </c>
      <c r="V28" s="829" t="n">
        <v>0</v>
      </c>
      <c r="W28" s="829" t="n">
        <v>0</v>
      </c>
      <c r="Y28" s="700" t="n"/>
      <c r="Z28" s="700" t="n"/>
    </row>
    <row r="29">
      <c r="B29" s="473" t="inlineStr">
        <is>
          <t>ADJUSTMENT: Board Fees</t>
        </is>
      </c>
      <c r="C29" s="828">
        <f>SUM(F29:Q29)</f>
        <v/>
      </c>
      <c r="D29" s="828">
        <f>SUM(L29:W29)</f>
        <v/>
      </c>
      <c r="E29" s="450" t="n"/>
      <c r="F29" s="829" t="n">
        <v>0</v>
      </c>
      <c r="G29" s="829" t="n">
        <v>25000</v>
      </c>
      <c r="H29" s="829" t="n">
        <v>0</v>
      </c>
      <c r="I29" s="829" t="n">
        <v>0</v>
      </c>
      <c r="J29" s="829" t="n">
        <v>25184.25</v>
      </c>
      <c r="K29" s="829" t="n">
        <v>2205.34</v>
      </c>
      <c r="L29" s="829" t="n">
        <v>0</v>
      </c>
      <c r="M29" s="829" t="n">
        <v>13880.54</v>
      </c>
      <c r="N29" s="829" t="n">
        <v>0</v>
      </c>
      <c r="O29" s="829" t="n">
        <v>0</v>
      </c>
      <c r="P29" s="829" t="n">
        <v>12500</v>
      </c>
      <c r="Q29" s="829" t="n">
        <v>0</v>
      </c>
      <c r="R29" s="829" t="n">
        <v>0</v>
      </c>
      <c r="S29" s="829" t="n">
        <v>25000</v>
      </c>
      <c r="T29" s="829" t="n">
        <v>0</v>
      </c>
      <c r="U29" s="829" t="n">
        <v>0</v>
      </c>
      <c r="V29" s="829" t="n">
        <v>0</v>
      </c>
      <c r="W29" s="829" t="n">
        <v>0</v>
      </c>
      <c r="Y29" s="700" t="n"/>
      <c r="Z29" s="700" t="n"/>
      <c r="AA29" s="832" t="n"/>
    </row>
    <row r="30">
      <c r="B30" s="473" t="inlineStr">
        <is>
          <t>ADJUSTMENT: IT Integration</t>
        </is>
      </c>
      <c r="C30" s="828">
        <f>SUM(F30:Q30)</f>
        <v/>
      </c>
      <c r="D30" s="828">
        <f>SUM(L30:W30)</f>
        <v/>
      </c>
      <c r="E30" s="450" t="n"/>
      <c r="F30" s="829" t="n">
        <v>0</v>
      </c>
      <c r="G30" s="829" t="n">
        <v>0</v>
      </c>
      <c r="H30" s="829" t="n">
        <v>14344</v>
      </c>
      <c r="I30" s="829" t="n">
        <v>14344</v>
      </c>
      <c r="J30" s="829" t="n">
        <v>14344</v>
      </c>
      <c r="K30" s="829" t="n">
        <v>0</v>
      </c>
      <c r="L30" s="829" t="n">
        <v>126507.79</v>
      </c>
      <c r="M30" s="829" t="n">
        <v>0</v>
      </c>
      <c r="N30" s="829" t="n">
        <v>0</v>
      </c>
      <c r="O30" s="829" t="n">
        <v>5700</v>
      </c>
      <c r="P30" s="829" t="n">
        <v>0</v>
      </c>
      <c r="Q30" s="829" t="n">
        <v>0</v>
      </c>
      <c r="R30" s="829" t="n">
        <v>15543.5</v>
      </c>
      <c r="S30" s="829" t="n">
        <v>7204.17</v>
      </c>
      <c r="T30" s="829" t="n">
        <v>8942.370000000001</v>
      </c>
      <c r="U30" s="829" t="n">
        <v>0</v>
      </c>
      <c r="V30" s="829" t="n">
        <v>0</v>
      </c>
      <c r="W30" s="829" t="n">
        <v>0</v>
      </c>
      <c r="Y30" s="700" t="n"/>
      <c r="Z30" s="700" t="n"/>
    </row>
    <row r="31" ht="15" customFormat="1" customHeight="1" s="469">
      <c r="B31" s="473" t="inlineStr">
        <is>
          <t>ADJUSTMENT: M&amp;A</t>
        </is>
      </c>
      <c r="C31" s="828">
        <f>SUM(F31:Q31)</f>
        <v/>
      </c>
      <c r="D31" s="828">
        <f>SUM(L31:W31)</f>
        <v/>
      </c>
      <c r="E31" s="467" t="n"/>
      <c r="F31" s="829" t="n">
        <v>-141284.86</v>
      </c>
      <c r="G31" s="829" t="n">
        <v>-26791.66</v>
      </c>
      <c r="H31" s="829" t="n">
        <v>149319.43</v>
      </c>
      <c r="I31" s="829" t="n">
        <v>8363.940000000001</v>
      </c>
      <c r="J31" s="829" t="n">
        <v>99666.86</v>
      </c>
      <c r="K31" s="829" t="n">
        <v>18875.42</v>
      </c>
      <c r="L31" s="829" t="n">
        <v>143182.95</v>
      </c>
      <c r="M31" s="829" t="n">
        <v>-24985.22</v>
      </c>
      <c r="N31" s="829" t="n">
        <v>4926.06</v>
      </c>
      <c r="O31" s="829" t="n">
        <v>2679.17</v>
      </c>
      <c r="P31" s="829" t="n">
        <v>10715.99</v>
      </c>
      <c r="Q31" s="829" t="n">
        <v>168544.19</v>
      </c>
      <c r="R31" s="829" t="n">
        <v>2957.82</v>
      </c>
      <c r="S31" s="829" t="n">
        <v>7123.339999999997</v>
      </c>
      <c r="T31" s="829" t="n">
        <v>2747.17</v>
      </c>
      <c r="U31" s="829" t="n">
        <v>0</v>
      </c>
      <c r="V31" s="829" t="n">
        <v>0</v>
      </c>
      <c r="W31" s="829" t="n">
        <v>0</v>
      </c>
      <c r="X31" s="356" t="n">
        <v>1000</v>
      </c>
      <c r="Y31" s="830" t="n"/>
      <c r="Z31" s="830" t="n"/>
    </row>
    <row r="32" ht="15" customFormat="1" customHeight="1" s="469">
      <c r="B32" s="473" t="inlineStr">
        <is>
          <t>ADJUSTMENT: Excess Temporary Labor</t>
        </is>
      </c>
      <c r="C32" s="828">
        <f>SUM(F32:Q32)</f>
        <v/>
      </c>
      <c r="D32" s="828">
        <f>SUM(L32:W32)</f>
        <v/>
      </c>
      <c r="E32" s="467" t="n"/>
      <c r="F32" s="829" t="n">
        <v>23331.43</v>
      </c>
      <c r="G32" s="829" t="n">
        <v>43629.89</v>
      </c>
      <c r="H32" s="829" t="n">
        <v>38041.49</v>
      </c>
      <c r="I32" s="829" t="n">
        <v>50090.88</v>
      </c>
      <c r="J32" s="829" t="n">
        <v>66297.7</v>
      </c>
      <c r="K32" s="829" t="n">
        <v>45571.46</v>
      </c>
      <c r="L32" s="829" t="n">
        <v>139565.49</v>
      </c>
      <c r="M32" s="829" t="n">
        <v>100000.52</v>
      </c>
      <c r="N32" s="829" t="n">
        <v>75882.97</v>
      </c>
      <c r="O32" s="829" t="n">
        <v>112881.65</v>
      </c>
      <c r="P32" s="829" t="n">
        <v>76812.89000000001</v>
      </c>
      <c r="Q32" s="829" t="n">
        <v>73013.30999999998</v>
      </c>
      <c r="R32" s="829" t="n">
        <v>58784.32</v>
      </c>
      <c r="S32" s="829" t="n">
        <v>45166.42</v>
      </c>
      <c r="T32" s="829" t="n">
        <v>46457.60000000001</v>
      </c>
      <c r="U32" s="829" t="n">
        <v>0</v>
      </c>
      <c r="V32" s="829" t="n">
        <v>0</v>
      </c>
      <c r="W32" s="829" t="n">
        <v>0</v>
      </c>
      <c r="Y32" s="830" t="n"/>
      <c r="Z32" s="830" t="n"/>
    </row>
    <row r="33" ht="15" customFormat="1" customHeight="1" s="469">
      <c r="B33" s="473" t="inlineStr">
        <is>
          <t>ADJUSTMENT: Setup Expenses</t>
        </is>
      </c>
      <c r="C33" s="828">
        <f>SUM(F33:Q33)</f>
        <v/>
      </c>
      <c r="D33" s="828">
        <f>SUM(L33:W33)</f>
        <v/>
      </c>
      <c r="E33" s="467" t="n"/>
      <c r="F33" s="829" t="n">
        <v>528</v>
      </c>
      <c r="G33" s="829" t="n">
        <v>0</v>
      </c>
      <c r="H33" s="829" t="n">
        <v>0</v>
      </c>
      <c r="I33" s="829" t="n">
        <v>0</v>
      </c>
      <c r="J33" s="829" t="n">
        <v>0</v>
      </c>
      <c r="K33" s="829" t="n">
        <v>0</v>
      </c>
      <c r="L33" s="829" t="n">
        <v>0</v>
      </c>
      <c r="M33" s="829" t="n">
        <v>-528</v>
      </c>
      <c r="N33" s="829" t="n">
        <v>0</v>
      </c>
      <c r="O33" s="829" t="n">
        <v>0</v>
      </c>
      <c r="P33" s="829" t="n">
        <v>0</v>
      </c>
      <c r="Q33" s="829" t="n">
        <v>0</v>
      </c>
      <c r="R33" s="829" t="n">
        <v>0</v>
      </c>
      <c r="S33" s="829" t="n">
        <v>0</v>
      </c>
      <c r="T33" s="829" t="n">
        <v>0</v>
      </c>
      <c r="U33" s="829" t="n">
        <v>0</v>
      </c>
      <c r="V33" s="829" t="n">
        <v>0</v>
      </c>
      <c r="W33" s="829" t="n">
        <v>0</v>
      </c>
      <c r="Y33" s="830" t="n"/>
      <c r="Z33" s="830" t="n"/>
    </row>
    <row r="34" ht="15" customFormat="1" customHeight="1" s="469">
      <c r="B34" s="473" t="inlineStr">
        <is>
          <t>ADJUSTMENT: Other</t>
        </is>
      </c>
      <c r="C34" s="828">
        <f>SUM(F34:Q34)</f>
        <v/>
      </c>
      <c r="D34" s="828">
        <f>SUM(L34:W34)</f>
        <v/>
      </c>
      <c r="E34" s="467" t="n"/>
      <c r="F34" s="829" t="n">
        <v>2819.47</v>
      </c>
      <c r="G34" s="829" t="n">
        <v>0</v>
      </c>
      <c r="H34" s="829" t="n">
        <v>4447.32</v>
      </c>
      <c r="I34" s="829" t="n">
        <v>17072.6</v>
      </c>
      <c r="J34" s="829" t="n">
        <v>5546.84</v>
      </c>
      <c r="K34" s="829" t="n">
        <v>43398.18</v>
      </c>
      <c r="L34" s="829" t="n">
        <v>127233.28</v>
      </c>
      <c r="M34" s="829" t="n">
        <v>1980</v>
      </c>
      <c r="N34" s="829" t="n">
        <v>55734.21</v>
      </c>
      <c r="O34" s="829" t="n">
        <v>7254.6</v>
      </c>
      <c r="P34" s="829" t="n">
        <v>422.25</v>
      </c>
      <c r="Q34" s="829" t="n">
        <v>-168162.86</v>
      </c>
      <c r="R34" s="829" t="n">
        <v>5385.830000000002</v>
      </c>
      <c r="S34" s="829" t="n">
        <v>24465.7</v>
      </c>
      <c r="T34" s="829" t="n">
        <v>611.7900000000009</v>
      </c>
      <c r="U34" s="829" t="n">
        <v>0</v>
      </c>
      <c r="V34" s="829" t="n">
        <v>0</v>
      </c>
      <c r="W34" s="829" t="n">
        <v>0</v>
      </c>
      <c r="Y34" s="830" t="n"/>
      <c r="Z34" s="830" t="n"/>
    </row>
    <row r="35" ht="15" customFormat="1" customHeight="1" s="469">
      <c r="B35" s="538" t="inlineStr">
        <is>
          <t>ADJUSTMENT: Cental Office Administration Expense Removal</t>
        </is>
      </c>
      <c r="C35" s="828">
        <f>SUM(F35:Q35)</f>
        <v/>
      </c>
      <c r="D35" s="828">
        <f>SUM(L35:W35)</f>
        <v/>
      </c>
      <c r="E35" s="467" t="n"/>
      <c r="F35" s="829" t="n">
        <v>34500</v>
      </c>
      <c r="G35" s="829" t="n"/>
      <c r="H35" s="829" t="n"/>
      <c r="I35" s="829" t="n"/>
      <c r="J35" s="829" t="n"/>
      <c r="K35" s="829" t="n"/>
      <c r="L35" s="829" t="n"/>
      <c r="M35" s="829" t="n"/>
      <c r="N35" s="829" t="n"/>
      <c r="O35" s="829" t="n"/>
      <c r="P35" s="829" t="n"/>
      <c r="Q35" s="829" t="n"/>
      <c r="R35" s="829" t="n"/>
      <c r="S35" s="829" t="n"/>
      <c r="T35" s="829" t="n"/>
      <c r="U35" s="829" t="n">
        <v>0</v>
      </c>
      <c r="V35" s="829" t="n">
        <v>0</v>
      </c>
      <c r="W35" s="829" t="n">
        <v>0</v>
      </c>
      <c r="Y35" s="830" t="n"/>
      <c r="Z35" s="830" t="n"/>
    </row>
    <row r="36" ht="15" customFormat="1" customHeight="1" s="469">
      <c r="B36" s="538" t="inlineStr">
        <is>
          <t>ADJUSTMENT: Yeary Controls Normalized Adjustments</t>
        </is>
      </c>
      <c r="C36" s="828">
        <f>SUM(F36:Q36)</f>
        <v/>
      </c>
      <c r="D36" s="828">
        <f>SUM(L36:W36)</f>
        <v/>
      </c>
      <c r="E36" s="467" t="n"/>
      <c r="F36" s="829" t="n">
        <v>30261.14061604585</v>
      </c>
      <c r="G36" s="829" t="n">
        <v>38124.41184377942</v>
      </c>
      <c r="H36" s="829" t="n">
        <v>29800.02163941286</v>
      </c>
      <c r="I36" s="829" t="n">
        <v>30086.04831870632</v>
      </c>
      <c r="J36" s="829" t="n">
        <v>29576.94381219409</v>
      </c>
      <c r="K36" s="829" t="n">
        <v>30251.79245709022</v>
      </c>
      <c r="L36" s="829" t="n">
        <v>31036.84369370091</v>
      </c>
      <c r="M36" s="829" t="n">
        <v>35539.38570311358</v>
      </c>
      <c r="N36" s="829" t="n">
        <v>32397.735</v>
      </c>
      <c r="O36" s="829" t="n">
        <v>60253.94</v>
      </c>
      <c r="P36" s="829" t="n"/>
      <c r="Q36" s="829" t="n"/>
      <c r="R36" s="829" t="n"/>
      <c r="S36" s="829" t="n"/>
      <c r="T36" s="829" t="n"/>
      <c r="U36" s="829">
        <f>U38-U24</f>
        <v/>
      </c>
      <c r="V36" s="829">
        <f>V38-V24</f>
        <v/>
      </c>
      <c r="W36" s="829">
        <f>W38-W24</f>
        <v/>
      </c>
      <c r="Y36" s="830" t="n"/>
      <c r="Z36" s="830" t="n"/>
    </row>
    <row r="37" ht="15" customFormat="1" customHeight="1" s="469">
      <c r="B37" s="538" t="n"/>
      <c r="C37" s="828" t="n"/>
      <c r="D37" s="828" t="n"/>
      <c r="E37" s="467" t="n"/>
      <c r="F37" s="833" t="n"/>
      <c r="G37" s="833" t="n"/>
      <c r="H37" s="833" t="n"/>
      <c r="I37" s="833" t="n"/>
      <c r="J37" s="833" t="n"/>
      <c r="K37" s="833" t="n"/>
      <c r="L37" s="833" t="n"/>
      <c r="M37" s="833" t="n"/>
      <c r="N37" s="833" t="n"/>
      <c r="O37" s="833" t="n"/>
      <c r="P37" s="833" t="n"/>
      <c r="Q37" s="833" t="n"/>
      <c r="R37" s="833" t="n"/>
      <c r="S37" s="833" t="n"/>
      <c r="T37" s="833" t="n"/>
      <c r="U37" s="833" t="n"/>
      <c r="V37" s="833" t="n"/>
      <c r="W37" s="833" t="n"/>
      <c r="Y37" s="830" t="n"/>
      <c r="Z37" s="830" t="n"/>
    </row>
    <row r="38">
      <c r="B38" s="462" t="inlineStr">
        <is>
          <t>Adjusted EBITDA</t>
        </is>
      </c>
      <c r="C38" s="834">
        <f>SUM(C27:C36)+C24</f>
        <v/>
      </c>
      <c r="D38" s="834">
        <f>SUM(L38:W38)</f>
        <v/>
      </c>
      <c r="E38" s="450" t="n"/>
      <c r="F38" s="835">
        <f>SUM(F27:F36)+F24</f>
        <v/>
      </c>
      <c r="G38" s="835">
        <f>SUM(G27:G36)+G24</f>
        <v/>
      </c>
      <c r="H38" s="835">
        <f>SUM(H27:H36)+H24</f>
        <v/>
      </c>
      <c r="I38" s="835">
        <f>SUM(I27:I36)+I24</f>
        <v/>
      </c>
      <c r="J38" s="835">
        <f>SUM(J27:J36)+J24</f>
        <v/>
      </c>
      <c r="K38" s="835">
        <f>SUM(K27:K36)+K24</f>
        <v/>
      </c>
      <c r="L38" s="835">
        <f>SUM(L27:L36)+L24</f>
        <v/>
      </c>
      <c r="M38" s="835">
        <f>SUM(M27:M36)+M24</f>
        <v/>
      </c>
      <c r="N38" s="835">
        <f>SUM(N27:N36)+N24</f>
        <v/>
      </c>
      <c r="O38" s="835">
        <f>SUM(O27:O36)+O24</f>
        <v/>
      </c>
      <c r="P38" s="835">
        <f>SUM(P27:P36)+P24</f>
        <v/>
      </c>
      <c r="Q38" s="835">
        <f>SUM(Q27:Q36)+Q24</f>
        <v/>
      </c>
      <c r="R38" s="835">
        <f>SUM(R27:R36)+R24</f>
        <v/>
      </c>
      <c r="S38" s="835">
        <f>SUM(S27:S36)+S24</f>
        <v/>
      </c>
      <c r="T38" s="835">
        <f>SUM(T27:T36)+T24</f>
        <v/>
      </c>
      <c r="U38" s="835" t="n">
        <v>523196.0000000005</v>
      </c>
      <c r="V38" s="835" t="n">
        <v>133795.0699999998</v>
      </c>
      <c r="W38" s="835" t="n">
        <v>496803.0799999999</v>
      </c>
      <c r="Y38" s="700" t="n"/>
      <c r="Z38" s="700" t="n"/>
    </row>
    <row r="39" customFormat="1" s="469">
      <c r="B39" s="471" t="inlineStr">
        <is>
          <t>% Adjusted EBITDA Margin</t>
        </is>
      </c>
      <c r="C39" s="472">
        <f>C38/C$13</f>
        <v/>
      </c>
      <c r="D39" s="472">
        <f>IFERROR(D38/D13,0)</f>
        <v/>
      </c>
      <c r="E39" s="467" t="n"/>
      <c r="F39" s="468">
        <f>F38/F$13</f>
        <v/>
      </c>
      <c r="G39" s="468">
        <f>G38/G$13</f>
        <v/>
      </c>
      <c r="H39" s="468">
        <f>H38/H$13</f>
        <v/>
      </c>
      <c r="I39" s="468">
        <f>I38/I$13</f>
        <v/>
      </c>
      <c r="J39" s="468">
        <f>J38/J$13</f>
        <v/>
      </c>
      <c r="K39" s="468">
        <f>K38/K$13</f>
        <v/>
      </c>
      <c r="L39" s="468">
        <f>L38/L$13</f>
        <v/>
      </c>
      <c r="M39" s="468">
        <f>M38/M$13</f>
        <v/>
      </c>
      <c r="N39" s="468">
        <f>N38/N$13</f>
        <v/>
      </c>
      <c r="O39" s="468">
        <f>O38/O$13</f>
        <v/>
      </c>
      <c r="P39" s="468">
        <f>P38/P$13</f>
        <v/>
      </c>
      <c r="Q39" s="468">
        <f>Q38/Q$13</f>
        <v/>
      </c>
      <c r="R39" s="468">
        <f>R38/R$13</f>
        <v/>
      </c>
      <c r="S39" s="468">
        <f>S38/S$13</f>
        <v/>
      </c>
      <c r="T39" s="468">
        <f>T38/T$13</f>
        <v/>
      </c>
      <c r="U39" s="468">
        <f>IFERROR(U38/U13,0)</f>
        <v/>
      </c>
      <c r="V39" s="468">
        <f>IFERROR(V38/V13,0)</f>
        <v/>
      </c>
      <c r="W39" s="468">
        <f>IFERROR(W38/W13,0)</f>
        <v/>
      </c>
      <c r="Y39" s="830" t="n"/>
      <c r="Z39" s="830" t="n"/>
    </row>
    <row r="40" ht="6" customFormat="1" customHeight="1" s="469">
      <c r="B40" s="465" t="n"/>
      <c r="C40" s="466" t="n"/>
      <c r="D40" s="466" t="n"/>
      <c r="E40" s="467" t="n"/>
      <c r="F40" s="468" t="n"/>
      <c r="G40" s="468" t="n"/>
      <c r="H40" s="468" t="n"/>
      <c r="I40" s="468" t="n"/>
      <c r="J40" s="468" t="n"/>
      <c r="K40" s="468" t="n"/>
      <c r="L40" s="468" t="n"/>
      <c r="M40" s="468" t="n"/>
      <c r="N40" s="468" t="n"/>
      <c r="O40" s="468" t="n"/>
      <c r="P40" s="468" t="n"/>
      <c r="Q40" s="468" t="n"/>
      <c r="R40" s="468" t="n"/>
      <c r="S40" s="468" t="n"/>
      <c r="T40" s="468" t="n"/>
      <c r="U40" s="468" t="n"/>
      <c r="V40" s="468" t="n"/>
      <c r="W40" s="468" t="n"/>
      <c r="Y40" s="830" t="n"/>
      <c r="Z40" s="830" t="n"/>
    </row>
    <row r="41" ht="15" customFormat="1" customHeight="1" s="469">
      <c r="B41" s="473" t="inlineStr">
        <is>
          <t>ADJUSTMENT: Platform Adjustments</t>
        </is>
      </c>
      <c r="C41" s="828">
        <f>SUM(F41:Q41)</f>
        <v/>
      </c>
      <c r="D41" s="828">
        <f>SUM(I41:T41)</f>
        <v/>
      </c>
      <c r="E41" s="467" t="n"/>
      <c r="F41" s="833" t="n">
        <v>53036.48</v>
      </c>
      <c r="G41" s="833" t="n">
        <v>50668.77</v>
      </c>
      <c r="H41" s="833" t="n">
        <v>92200.04000000002</v>
      </c>
      <c r="I41" s="833" t="n">
        <v>54296.38</v>
      </c>
      <c r="J41" s="833" t="n">
        <v>88569.44</v>
      </c>
      <c r="K41" s="833" t="n">
        <v>61413.46</v>
      </c>
      <c r="L41" s="833" t="n">
        <v>54814.8</v>
      </c>
      <c r="M41" s="833" t="n">
        <v>52844.09</v>
      </c>
      <c r="N41" s="833" t="n">
        <v>80900.92000000001</v>
      </c>
      <c r="O41" s="833" t="n">
        <v>96291.52999999998</v>
      </c>
      <c r="P41" s="833" t="n">
        <v>61544.94000000002</v>
      </c>
      <c r="Q41" s="833" t="n">
        <v>64620.73000000001</v>
      </c>
      <c r="R41" s="829" t="n">
        <v>0</v>
      </c>
      <c r="S41" s="829" t="n">
        <v>0</v>
      </c>
      <c r="T41" s="829" t="n">
        <v>0</v>
      </c>
      <c r="U41" s="829" t="n"/>
      <c r="V41" s="829" t="n"/>
      <c r="W41" s="829" t="n"/>
      <c r="Y41" s="830" t="n"/>
      <c r="Z41" s="830" t="n"/>
    </row>
    <row r="42">
      <c r="B42" s="462" t="inlineStr">
        <is>
          <t>Operating Adjusted EBITDA</t>
        </is>
      </c>
      <c r="C42" s="834">
        <f>C38+SUM(C41:C41)</f>
        <v/>
      </c>
      <c r="D42" s="836">
        <f>SUM(L42:W42)</f>
        <v/>
      </c>
      <c r="E42" s="450" t="n"/>
      <c r="F42" s="835">
        <f>F38+SUM(F41:F41)</f>
        <v/>
      </c>
      <c r="G42" s="835">
        <f>G38+SUM(G41:G41)</f>
        <v/>
      </c>
      <c r="H42" s="835">
        <f>H38+SUM(H41:H41)</f>
        <v/>
      </c>
      <c r="I42" s="835">
        <f>I38+SUM(I41:I41)</f>
        <v/>
      </c>
      <c r="J42" s="835">
        <f>J38+SUM(J41:J41)</f>
        <v/>
      </c>
      <c r="K42" s="835">
        <f>K38+SUM(K41:K41)</f>
        <v/>
      </c>
      <c r="L42" s="835">
        <f>L38+SUM(L41:L41)</f>
        <v/>
      </c>
      <c r="M42" s="835">
        <f>M38+SUM(M41:M41)</f>
        <v/>
      </c>
      <c r="N42" s="835">
        <f>N38+SUM(N41:N41)</f>
        <v/>
      </c>
      <c r="O42" s="835">
        <f>O38+SUM(O41:O41)</f>
        <v/>
      </c>
      <c r="P42" s="835">
        <f>P38+SUM(P41:P41)</f>
        <v/>
      </c>
      <c r="Q42" s="835">
        <f>Q38+SUM(Q41:Q41)</f>
        <v/>
      </c>
      <c r="R42" s="835">
        <f>R38+SUM(R41:R41)</f>
        <v/>
      </c>
      <c r="S42" s="835">
        <f>S38+SUM(S41:S41)</f>
        <v/>
      </c>
      <c r="T42" s="835">
        <f>T38+SUM(T41:T41)</f>
        <v/>
      </c>
      <c r="U42" s="835">
        <f>U38</f>
        <v/>
      </c>
      <c r="V42" s="835">
        <f>V38</f>
        <v/>
      </c>
      <c r="W42" s="835">
        <f>W38</f>
        <v/>
      </c>
      <c r="Y42" s="700" t="n"/>
      <c r="Z42" s="700" t="n"/>
    </row>
    <row r="43" customFormat="1" s="469">
      <c r="B43" s="471" t="inlineStr">
        <is>
          <t>% Operating Adjusted EBITDA Margin</t>
        </is>
      </c>
      <c r="C43" s="472">
        <f>C42/C$13</f>
        <v/>
      </c>
      <c r="D43" s="472">
        <f>IFERROR(D42/D13,0)</f>
        <v/>
      </c>
      <c r="E43" s="467" t="n"/>
      <c r="F43" s="468">
        <f>F42/F$13</f>
        <v/>
      </c>
      <c r="G43" s="468">
        <f>G42/G$13</f>
        <v/>
      </c>
      <c r="H43" s="468">
        <f>H42/H$13</f>
        <v/>
      </c>
      <c r="I43" s="468">
        <f>I42/I$13</f>
        <v/>
      </c>
      <c r="J43" s="468">
        <f>J42/J$13</f>
        <v/>
      </c>
      <c r="K43" s="468">
        <f>K42/K$13</f>
        <v/>
      </c>
      <c r="L43" s="468">
        <f>L42/L$13</f>
        <v/>
      </c>
      <c r="M43" s="468">
        <f>M42/M$13</f>
        <v/>
      </c>
      <c r="N43" s="468">
        <f>N42/N$13</f>
        <v/>
      </c>
      <c r="O43" s="468">
        <f>O42/O$13</f>
        <v/>
      </c>
      <c r="P43" s="468">
        <f>P42/P$13</f>
        <v/>
      </c>
      <c r="Q43" s="468">
        <f>Q42/Q$13</f>
        <v/>
      </c>
      <c r="R43" s="468">
        <f>R42/R$13</f>
        <v/>
      </c>
      <c r="S43" s="468">
        <f>S42/S$13</f>
        <v/>
      </c>
      <c r="T43" s="468">
        <f>T42/T$13</f>
        <v/>
      </c>
      <c r="U43" s="468">
        <f>IFERROR(U42/U13,0)</f>
        <v/>
      </c>
      <c r="V43" s="468">
        <f>IFERROR(V42/V13,0)</f>
        <v/>
      </c>
      <c r="W43" s="468">
        <f>IFERROR(W42/W13,0)</f>
        <v/>
      </c>
      <c r="Y43" s="830" t="n"/>
      <c r="Z43" s="830" t="n"/>
    </row>
    <row r="44" ht="5.1" customHeight="1">
      <c r="B44" s="477" t="n"/>
      <c r="C44" s="837" t="n"/>
      <c r="D44" s="837" t="n"/>
      <c r="E44" s="450" t="n"/>
      <c r="F44" s="838" t="n"/>
      <c r="G44" s="838" t="n"/>
      <c r="H44" s="838" t="n"/>
      <c r="I44" s="838" t="n"/>
      <c r="J44" s="838" t="n"/>
      <c r="K44" s="838" t="n"/>
      <c r="L44" s="838" t="n"/>
      <c r="M44" s="838" t="n"/>
      <c r="N44" s="838" t="n"/>
      <c r="O44" s="838" t="n"/>
      <c r="P44" s="838" t="n"/>
      <c r="Q44" s="838" t="n"/>
      <c r="R44" s="838" t="n"/>
      <c r="S44" s="838" t="n"/>
      <c r="T44" s="838" t="n"/>
      <c r="U44" s="838" t="n"/>
      <c r="V44" s="838" t="n"/>
      <c r="W44" s="838" t="n"/>
      <c r="Y44" s="700" t="n"/>
      <c r="Z44" s="700" t="n"/>
    </row>
    <row r="45" ht="15" customHeight="1">
      <c r="B45" s="459" t="inlineStr">
        <is>
          <t>Opus Cash</t>
        </is>
      </c>
      <c r="C45" s="828">
        <f>Q46</f>
        <v/>
      </c>
      <c r="D45" s="828">
        <f>W45</f>
        <v/>
      </c>
      <c r="E45" s="450" t="n"/>
      <c r="F45" s="839" t="n"/>
      <c r="G45" s="839" t="n"/>
      <c r="H45" s="829" t="n">
        <v>136466.6</v>
      </c>
      <c r="I45" s="829" t="n"/>
      <c r="J45" s="829" t="n"/>
      <c r="K45" s="829" t="n">
        <v>1154703.33</v>
      </c>
      <c r="L45" s="829" t="n"/>
      <c r="M45" s="829" t="n"/>
      <c r="N45" s="829" t="n">
        <v>715146.4700000001</v>
      </c>
      <c r="O45" s="829" t="n"/>
      <c r="P45" s="829" t="n"/>
      <c r="Q45" s="829" t="n">
        <v>1375758.66</v>
      </c>
      <c r="R45" s="829" t="n"/>
      <c r="S45" s="829" t="n"/>
      <c r="T45" s="829" t="n">
        <v>422159.65</v>
      </c>
      <c r="U45" s="829" t="n">
        <v>236247.51</v>
      </c>
      <c r="V45" s="829" t="n">
        <v>896279.5199999999</v>
      </c>
      <c r="W45" s="829" t="n">
        <v>571077.42</v>
      </c>
      <c r="Y45" s="700" t="n"/>
      <c r="Z45" s="700" t="n"/>
    </row>
    <row r="46" ht="15" customHeight="1">
      <c r="B46" s="462" t="inlineStr">
        <is>
          <t>Cash</t>
        </is>
      </c>
      <c r="C46" s="834">
        <f>SUM(C45:C45)</f>
        <v/>
      </c>
      <c r="D46" s="834">
        <f>W46</f>
        <v/>
      </c>
      <c r="E46" s="450" t="n"/>
      <c r="F46" s="840">
        <f>SUM(F45:F45)</f>
        <v/>
      </c>
      <c r="G46" s="840">
        <f>SUM(G45:G45)</f>
        <v/>
      </c>
      <c r="H46" s="840">
        <f>SUM(H45:H45)</f>
        <v/>
      </c>
      <c r="I46" s="840">
        <f>SUM(I45:I45)</f>
        <v/>
      </c>
      <c r="J46" s="840">
        <f>SUM(J45:J45)</f>
        <v/>
      </c>
      <c r="K46" s="840">
        <f>SUM(K45:K45)</f>
        <v/>
      </c>
      <c r="L46" s="840">
        <f>SUM(L45:L45)</f>
        <v/>
      </c>
      <c r="M46" s="840">
        <f>SUM(M45:M45)</f>
        <v/>
      </c>
      <c r="N46" s="840">
        <f>SUM(N45:N45)</f>
        <v/>
      </c>
      <c r="O46" s="840">
        <f>SUM(O45:O45)</f>
        <v/>
      </c>
      <c r="P46" s="840">
        <f>SUM(P45:P45)</f>
        <v/>
      </c>
      <c r="Q46" s="840">
        <f>SUM(Q45:Q45)</f>
        <v/>
      </c>
      <c r="R46" s="840">
        <f>SUM(R45:R45)</f>
        <v/>
      </c>
      <c r="S46" s="840">
        <f>SUM(S45:S45)</f>
        <v/>
      </c>
      <c r="T46" s="840">
        <f>SUM(T45:T45)</f>
        <v/>
      </c>
      <c r="U46" s="840">
        <f>U45</f>
        <v/>
      </c>
      <c r="V46" s="840">
        <f>V45</f>
        <v/>
      </c>
      <c r="W46" s="840">
        <f>W45</f>
        <v/>
      </c>
      <c r="Y46" s="700" t="n"/>
      <c r="Z46" s="700" t="n"/>
    </row>
    <row r="47" ht="5.1" customFormat="1" customHeight="1" s="469">
      <c r="B47" s="465" t="n"/>
      <c r="C47" s="466" t="n"/>
      <c r="D47" s="466" t="n"/>
      <c r="E47" s="467" t="n"/>
      <c r="F47" s="468" t="n"/>
      <c r="G47" s="468" t="n"/>
      <c r="H47" s="468" t="n"/>
      <c r="I47" s="468" t="n"/>
      <c r="J47" s="468" t="n"/>
      <c r="K47" s="468" t="n"/>
      <c r="L47" s="468" t="n"/>
      <c r="M47" s="468" t="n"/>
      <c r="N47" s="468" t="n"/>
      <c r="O47" s="468" t="n"/>
      <c r="P47" s="468" t="n"/>
      <c r="Q47" s="468" t="n"/>
      <c r="R47" s="468" t="n"/>
      <c r="S47" s="468" t="n"/>
      <c r="T47" s="468" t="n"/>
      <c r="U47" s="468" t="n"/>
      <c r="V47" s="468" t="n"/>
      <c r="W47" s="468" t="n"/>
      <c r="Y47" s="830" t="n"/>
      <c r="Z47" s="830" t="n"/>
    </row>
    <row r="48" ht="15" customHeight="1">
      <c r="B48" s="459" t="inlineStr">
        <is>
          <t>Opus Debt</t>
        </is>
      </c>
      <c r="C48" s="828">
        <f>K48</f>
        <v/>
      </c>
      <c r="D48" s="828">
        <f>W48</f>
        <v/>
      </c>
      <c r="E48" s="450" t="n"/>
      <c r="F48" s="480" t="n"/>
      <c r="G48" s="480" t="n"/>
      <c r="H48" s="480" t="n"/>
      <c r="I48" s="480" t="n"/>
      <c r="J48" s="480" t="n"/>
      <c r="K48" s="480" t="n"/>
      <c r="L48" s="480" t="n"/>
      <c r="M48" s="480" t="n"/>
      <c r="N48" s="480" t="n"/>
      <c r="O48" s="480" t="n"/>
      <c r="P48" s="480" t="n"/>
      <c r="Q48" s="480" t="n"/>
      <c r="R48" s="480" t="n"/>
      <c r="S48" s="480" t="n"/>
      <c r="T48" s="480" t="n"/>
      <c r="U48" s="480" t="n">
        <v>0</v>
      </c>
      <c r="V48" s="480" t="n">
        <v>0</v>
      </c>
      <c r="W48" s="480" t="n">
        <v>0</v>
      </c>
      <c r="Y48" s="700" t="n"/>
      <c r="Z48" s="700" t="n"/>
    </row>
    <row r="49" ht="15" customHeight="1" thickBot="1">
      <c r="B49" s="483" t="inlineStr">
        <is>
          <t>Debt</t>
        </is>
      </c>
      <c r="C49" s="841">
        <f>SUM(C48:C48)</f>
        <v/>
      </c>
      <c r="D49" s="841">
        <f>W49</f>
        <v/>
      </c>
      <c r="E49" s="450" t="n"/>
      <c r="F49" s="840">
        <f>SUM(F48:F48)</f>
        <v/>
      </c>
      <c r="G49" s="840">
        <f>SUM(G48:G48)</f>
        <v/>
      </c>
      <c r="H49" s="840">
        <f>SUM(H48:H48)</f>
        <v/>
      </c>
      <c r="I49" s="840">
        <f>SUM(I48:I48)</f>
        <v/>
      </c>
      <c r="J49" s="840">
        <f>SUM(J48:J48)</f>
        <v/>
      </c>
      <c r="K49" s="840">
        <f>SUM(K48:K48)</f>
        <v/>
      </c>
      <c r="L49" s="840">
        <f>SUM(L48:L48)</f>
        <v/>
      </c>
      <c r="M49" s="840">
        <f>SUM(M48:M48)</f>
        <v/>
      </c>
      <c r="N49" s="840">
        <f>SUM(N48:N48)</f>
        <v/>
      </c>
      <c r="O49" s="840">
        <f>SUM(O48:O48)</f>
        <v/>
      </c>
      <c r="P49" s="840">
        <f>SUM(P48:P48)</f>
        <v/>
      </c>
      <c r="Q49" s="840">
        <f>SUM(Q48:Q48)</f>
        <v/>
      </c>
      <c r="R49" s="840">
        <f>SUM(R48:R48)</f>
        <v/>
      </c>
      <c r="S49" s="840">
        <f>SUM(S48:S48)</f>
        <v/>
      </c>
      <c r="T49" s="840">
        <f>SUM(T48:T48)</f>
        <v/>
      </c>
      <c r="U49" s="840" t="n">
        <v>0</v>
      </c>
      <c r="V49" s="840" t="n">
        <v>0</v>
      </c>
      <c r="W49" s="840" t="n">
        <v>0</v>
      </c>
      <c r="Y49" s="700" t="n"/>
      <c r="Z49" s="700" t="n"/>
    </row>
    <row r="50">
      <c r="B50" s="39" t="n"/>
    </row>
    <row r="51">
      <c r="B51" s="44" t="n"/>
      <c r="F51" s="700">
        <f>SUM(R38:T38)</f>
        <v/>
      </c>
      <c r="G51" s="700" t="n"/>
      <c r="H51" s="659" t="n"/>
    </row>
    <row r="52">
      <c r="C52" s="315" t="n"/>
      <c r="D52" s="315" t="n"/>
      <c r="F52" s="700">
        <f>SUM(F38:H38)</f>
        <v/>
      </c>
      <c r="G52" s="700" t="n"/>
      <c r="H52" s="659" t="n"/>
    </row>
    <row r="53">
      <c r="G53" s="700" t="n"/>
      <c r="H53" s="659" t="n"/>
    </row>
    <row r="54">
      <c r="F54" s="700">
        <f>F51-F52</f>
        <v/>
      </c>
      <c r="G54" s="700" t="n"/>
    </row>
    <row r="55">
      <c r="D55" s="664" t="inlineStr">
        <is>
          <t>Check</t>
        </is>
      </c>
      <c r="F55">
        <f>F54='III. Valuation Summary'!I10</f>
        <v/>
      </c>
    </row>
    <row r="57">
      <c r="G57" s="700" t="n"/>
    </row>
    <row r="58">
      <c r="G58" s="700" t="n"/>
    </row>
    <row r="60">
      <c r="B60" s="549" t="n"/>
    </row>
    <row r="61">
      <c r="B61" s="700" t="n"/>
    </row>
  </sheetData>
  <pageMargins left="0.7" right="0.7" top="0.75" bottom="0.75" header="0.3" footer="0.3"/>
  <pageSetup orientation="portrait" scale="39" horizontalDpi="4294967295" verticalDpi="4294967295"/>
  <legacyDrawing xmlns:r="http://schemas.openxmlformats.org/officeDocument/2006/relationships" r:id="anysvml"/>
</worksheet>
</file>

<file path=xl/worksheets/sheet23.xml><?xml version="1.0" encoding="utf-8"?>
<worksheet xmlns="http://schemas.openxmlformats.org/spreadsheetml/2006/main">
  <sheetPr>
    <tabColor theme="6"/>
    <outlinePr summaryBelow="1" summaryRight="1"/>
    <pageSetUpPr/>
  </sheetPr>
  <dimension ref="A2:M52"/>
  <sheetViews>
    <sheetView workbookViewId="0">
      <selection activeCell="A1" sqref="A1"/>
    </sheetView>
  </sheetViews>
  <sheetFormatPr baseColWidth="8" defaultColWidth="9.140625" defaultRowHeight="15"/>
  <cols>
    <col width="2.5703125" customWidth="1" style="4" min="1" max="1"/>
    <col width="1.85546875" customWidth="1" style="4" min="2" max="2"/>
    <col width="74.28515625" customWidth="1" style="4" min="3" max="3"/>
    <col width="17.42578125" bestFit="1" customWidth="1" style="4" min="4" max="4"/>
    <col width="21" bestFit="1" customWidth="1" style="4" min="5" max="11"/>
    <col width="9.140625" customWidth="1" style="4" min="12" max="12"/>
    <col width="11.5703125" bestFit="1" customWidth="1" style="4" min="13" max="13"/>
    <col width="9.140625" customWidth="1" style="4" min="14" max="16384"/>
  </cols>
  <sheetData>
    <row r="2" ht="19.5" customHeight="1" thickBot="1">
      <c r="B2" s="384" t="inlineStr">
        <is>
          <t>Opus Water - Cap Table</t>
        </is>
      </c>
      <c r="C2" s="385" t="n"/>
      <c r="D2" s="385" t="n"/>
      <c r="E2" s="385" t="n"/>
      <c r="F2" s="385" t="n"/>
      <c r="G2" s="385" t="n"/>
      <c r="H2" s="385" t="n"/>
      <c r="I2" s="385" t="n"/>
      <c r="J2" s="385" t="n"/>
      <c r="K2" s="386" t="inlineStr">
        <is>
          <t>Confidential</t>
        </is>
      </c>
    </row>
    <row r="3" ht="19.5" customHeight="1" thickBot="1">
      <c r="B3" s="354" t="n"/>
      <c r="K3" s="355" t="inlineStr">
        <is>
          <t>$'s in USD</t>
        </is>
      </c>
    </row>
    <row r="4" ht="15.75" customHeight="1" thickBot="1">
      <c r="B4" s="182" t="inlineStr">
        <is>
          <t>Illustrative Equity Value at Exit</t>
        </is>
      </c>
      <c r="C4" s="183" t="n"/>
      <c r="D4" s="883">
        <f>'III. Valuation Summary'!$F$15</f>
        <v/>
      </c>
      <c r="E4" s="321" t="n"/>
      <c r="I4" s="884" t="n"/>
    </row>
    <row r="5">
      <c r="B5" s="19" t="n"/>
      <c r="C5" s="21" t="n"/>
      <c r="E5" s="885" t="n"/>
      <c r="H5" s="885" t="n"/>
      <c r="I5" s="885" t="n"/>
      <c r="J5" s="885" t="n"/>
    </row>
    <row r="6" ht="17.25" customHeight="1">
      <c r="C6" s="322" t="inlineStr">
        <is>
          <t>Opus Water Cap Table</t>
        </is>
      </c>
      <c r="D6" s="322" t="n"/>
      <c r="E6" s="322" t="n"/>
      <c r="F6" s="322" t="n"/>
      <c r="G6" s="322" t="n"/>
      <c r="H6" s="322" t="n"/>
      <c r="I6" s="322" t="n"/>
      <c r="J6" s="322" t="n"/>
      <c r="K6" s="322" t="n"/>
    </row>
    <row r="7" ht="17.25" customHeight="1">
      <c r="C7" s="323" t="n"/>
      <c r="D7" s="323" t="n"/>
      <c r="E7" s="323" t="n"/>
      <c r="F7" s="323" t="n"/>
      <c r="G7" s="323" t="n"/>
      <c r="H7" s="323" t="n"/>
      <c r="I7" s="323" t="n"/>
      <c r="J7" s="323" t="n"/>
      <c r="K7" s="323" t="n"/>
    </row>
    <row r="8" ht="14.45" customHeight="1">
      <c r="C8" s="22" t="n"/>
      <c r="D8" s="23" t="inlineStr">
        <is>
          <t>Capital</t>
        </is>
      </c>
      <c r="E8" s="23" t="inlineStr">
        <is>
          <t>Common Units</t>
        </is>
      </c>
      <c r="F8" s="23" t="inlineStr">
        <is>
          <t>Incentive Units</t>
        </is>
      </c>
      <c r="G8" s="23" t="inlineStr">
        <is>
          <t>Incentive Units</t>
        </is>
      </c>
      <c r="H8" s="24" t="inlineStr">
        <is>
          <t>Total</t>
        </is>
      </c>
      <c r="I8" s="24" t="inlineStr">
        <is>
          <t>%</t>
        </is>
      </c>
      <c r="J8" s="24" t="inlineStr">
        <is>
          <t>Total</t>
        </is>
      </c>
      <c r="K8" s="24" t="inlineStr">
        <is>
          <t>%</t>
        </is>
      </c>
    </row>
    <row r="9">
      <c r="C9" s="22" t="n"/>
      <c r="D9" s="23" t="inlineStr">
        <is>
          <t>Contributed</t>
        </is>
      </c>
      <c r="E9" s="25" t="inlineStr">
        <is>
          <t>Exercise prices&gt;&gt;&gt;</t>
        </is>
      </c>
      <c r="F9" s="886" t="n">
        <v>1</v>
      </c>
      <c r="G9" s="886" t="n">
        <v>1.6</v>
      </c>
      <c r="H9" s="24" t="inlineStr">
        <is>
          <t>(Basic)</t>
        </is>
      </c>
      <c r="I9" s="24" t="inlineStr">
        <is>
          <t>(Basic)</t>
        </is>
      </c>
      <c r="J9" s="24" t="inlineStr">
        <is>
          <t>(Fully Diluted)</t>
        </is>
      </c>
      <c r="K9" s="24" t="inlineStr">
        <is>
          <t>(Fully Diluted)</t>
        </is>
      </c>
    </row>
    <row r="10">
      <c r="C10" s="4" t="inlineStr">
        <is>
          <t>XPV Water Fund III Limited Partnership</t>
        </is>
      </c>
      <c r="D10" s="887">
        <f>12500000+3787879.18</f>
        <v/>
      </c>
      <c r="E10" s="888" t="n">
        <v>14628022</v>
      </c>
      <c r="F10" s="889" t="n"/>
      <c r="G10" s="889" t="n"/>
      <c r="H10" s="890">
        <f>E10</f>
        <v/>
      </c>
      <c r="I10" s="891">
        <f>H10/H$19</f>
        <v/>
      </c>
      <c r="J10" s="890">
        <f>SUM(E10:G10)</f>
        <v/>
      </c>
      <c r="K10" s="891">
        <f>J10/J$19</f>
        <v/>
      </c>
    </row>
    <row r="11">
      <c r="C11" s="130" t="inlineStr">
        <is>
          <t>2007 Irrevocable Trust For Family of Chris M. Raftis dated March 30,2007</t>
        </is>
      </c>
      <c r="D11" s="887">
        <f>600000+181818.1</f>
        <v/>
      </c>
      <c r="E11" s="888" t="n">
        <v>702145</v>
      </c>
      <c r="F11" s="892" t="n"/>
      <c r="G11" s="892" t="n"/>
      <c r="H11" s="890">
        <f>E11</f>
        <v/>
      </c>
      <c r="I11" s="891">
        <f>H11/H$19</f>
        <v/>
      </c>
      <c r="J11" s="890">
        <f>SUM(E11:G11)</f>
        <v/>
      </c>
      <c r="K11" s="891">
        <f>J11/J$19</f>
        <v/>
      </c>
      <c r="L11" s="356" t="n"/>
    </row>
    <row r="12">
      <c r="C12" s="4" t="inlineStr">
        <is>
          <t>Karl Trott</t>
        </is>
      </c>
      <c r="D12" s="887">
        <f>100000+30302.72</f>
        <v/>
      </c>
      <c r="E12" s="888" t="n">
        <v>117024</v>
      </c>
      <c r="F12" s="889" t="n"/>
      <c r="G12" s="889" t="n"/>
      <c r="H12" s="890">
        <f>E12</f>
        <v/>
      </c>
      <c r="I12" s="891">
        <f>H12/H$19</f>
        <v/>
      </c>
      <c r="J12" s="890">
        <f>SUM(E12:G12)</f>
        <v/>
      </c>
      <c r="K12" s="891">
        <f>J12/J$19</f>
        <v/>
      </c>
    </row>
    <row r="13">
      <c r="C13" s="21" t="inlineStr">
        <is>
          <t>John DeYarman Incentive Units</t>
        </is>
      </c>
      <c r="E13" s="889" t="n"/>
      <c r="F13" s="888" t="n">
        <v>233333</v>
      </c>
      <c r="G13" s="888" t="n">
        <v>466667</v>
      </c>
      <c r="H13" s="890" t="n"/>
      <c r="I13" s="891">
        <f>H13/H$19</f>
        <v/>
      </c>
      <c r="J13" s="890">
        <f>SUM(E13:G13)</f>
        <v/>
      </c>
      <c r="K13" s="891">
        <f>J13/J$19</f>
        <v/>
      </c>
    </row>
    <row r="14">
      <c r="C14" s="21" t="inlineStr">
        <is>
          <t>Scott Day Incentive Units</t>
        </is>
      </c>
      <c r="E14" s="889" t="n"/>
      <c r="F14" s="888" t="n"/>
      <c r="G14" s="888" t="n">
        <v>300000</v>
      </c>
      <c r="H14" s="890" t="n"/>
      <c r="I14" s="891">
        <f>H14/H$19</f>
        <v/>
      </c>
      <c r="J14" s="890">
        <f>SUM(E14:G14)</f>
        <v/>
      </c>
      <c r="K14" s="891">
        <f>J14/J$19</f>
        <v/>
      </c>
    </row>
    <row r="15">
      <c r="C15" s="327" t="inlineStr">
        <is>
          <t>2007 Irrevocable Trust For Family of Chris M. Raftis dated March 30,2007 Incentive Units</t>
        </is>
      </c>
      <c r="E15" s="892" t="n"/>
      <c r="F15" s="892" t="n"/>
      <c r="G15" s="888" t="n">
        <v>110000</v>
      </c>
      <c r="H15" s="892" t="n"/>
      <c r="I15" s="891">
        <f>H15/H$19</f>
        <v/>
      </c>
      <c r="J15" s="890">
        <f>SUM(E15:G15)</f>
        <v/>
      </c>
      <c r="K15" s="891">
        <f>J15/J$19</f>
        <v/>
      </c>
      <c r="L15" s="356" t="n"/>
      <c r="M15" s="893" t="n"/>
    </row>
    <row r="16">
      <c r="C16" s="327" t="inlineStr">
        <is>
          <t>Kevin Klau</t>
        </is>
      </c>
      <c r="E16" s="892" t="n"/>
      <c r="F16" s="892" t="n"/>
      <c r="G16" s="888" t="n">
        <v>110000</v>
      </c>
      <c r="H16" s="892" t="n"/>
      <c r="I16" s="891">
        <f>H16/H$19</f>
        <v/>
      </c>
      <c r="J16" s="890">
        <f>SUM(E16:G16)</f>
        <v/>
      </c>
      <c r="K16" s="891">
        <f>J16/J$19</f>
        <v/>
      </c>
      <c r="L16" s="356" t="n"/>
      <c r="M16" s="893" t="n"/>
    </row>
    <row r="17">
      <c r="C17" s="327" t="inlineStr">
        <is>
          <t>Warren Berenis</t>
        </is>
      </c>
      <c r="E17" s="892" t="n"/>
      <c r="F17" s="892" t="n"/>
      <c r="G17" s="888">
        <f>150000+25000</f>
        <v/>
      </c>
      <c r="H17" s="892" t="n"/>
      <c r="I17" s="891">
        <f>H17/H$19</f>
        <v/>
      </c>
      <c r="J17" s="890">
        <f>SUM(E17:G17)</f>
        <v/>
      </c>
      <c r="K17" s="891">
        <f>J17/J$19</f>
        <v/>
      </c>
      <c r="L17" s="356" t="n"/>
      <c r="M17" s="893" t="n"/>
    </row>
    <row r="18" ht="15" customHeight="1">
      <c r="C18" s="21" t="inlineStr">
        <is>
          <t>Unallocated</t>
        </is>
      </c>
      <c r="E18" s="889" t="n"/>
      <c r="F18" s="888" t="n"/>
      <c r="G18" s="890">
        <f>1400000-SUM(F13:G17)</f>
        <v/>
      </c>
      <c r="H18" s="890" t="n"/>
      <c r="I18" s="891">
        <f>H18/H$19</f>
        <v/>
      </c>
      <c r="J18" s="890">
        <f>SUM(E18:G18)</f>
        <v/>
      </c>
      <c r="K18" s="891">
        <f>J18/J$19</f>
        <v/>
      </c>
    </row>
    <row r="19">
      <c r="C19" s="19" t="inlineStr">
        <is>
          <t>Total</t>
        </is>
      </c>
      <c r="E19" s="894">
        <f>SUM(E10:E18)</f>
        <v/>
      </c>
      <c r="F19" s="894">
        <f>SUM(F10:F18)</f>
        <v/>
      </c>
      <c r="G19" s="894">
        <f>SUM(G10:G18)</f>
        <v/>
      </c>
      <c r="H19" s="894">
        <f>SUM(H10:H18)</f>
        <v/>
      </c>
      <c r="I19" s="895">
        <f>H19/H$19</f>
        <v/>
      </c>
      <c r="J19" s="894">
        <f>SUM(J10:J18)</f>
        <v/>
      </c>
      <c r="K19" s="330">
        <f>J19/J$19</f>
        <v/>
      </c>
    </row>
    <row r="21">
      <c r="B21" s="19" t="inlineStr">
        <is>
          <t>EQUITY PROCEEDS</t>
        </is>
      </c>
      <c r="F21" s="190" t="n"/>
      <c r="G21" s="190" t="n"/>
      <c r="H21" s="190" t="n"/>
      <c r="I21" s="190" t="n"/>
    </row>
    <row r="22">
      <c r="E22" s="331" t="inlineStr">
        <is>
          <t>Incentive Units</t>
        </is>
      </c>
      <c r="F22" s="331" t="inlineStr">
        <is>
          <t>Incentive Units</t>
        </is>
      </c>
      <c r="G22" s="896" t="inlineStr">
        <is>
          <t>Common Units</t>
        </is>
      </c>
      <c r="H22" s="331" t="inlineStr">
        <is>
          <t>Incentive Units</t>
        </is>
      </c>
      <c r="I22" s="331" t="inlineStr">
        <is>
          <t>Incentive Units</t>
        </is>
      </c>
      <c r="J22" s="333" t="n"/>
    </row>
    <row r="23" ht="17.25" customHeight="1">
      <c r="E23" s="334">
        <f>F9</f>
        <v/>
      </c>
      <c r="F23" s="334">
        <f>G9</f>
        <v/>
      </c>
      <c r="G23" s="897" t="n"/>
      <c r="H23" s="334">
        <f>F9</f>
        <v/>
      </c>
      <c r="I23" s="334">
        <f>G9</f>
        <v/>
      </c>
      <c r="J23" s="336" t="n"/>
    </row>
    <row r="24">
      <c r="C24" s="19" t="inlineStr">
        <is>
          <t>Equity Value</t>
        </is>
      </c>
      <c r="E24" s="898">
        <f>D4</f>
        <v/>
      </c>
      <c r="F24" s="898">
        <f>E24</f>
        <v/>
      </c>
      <c r="G24" s="899">
        <f>F24-E45-F45</f>
        <v/>
      </c>
      <c r="H24" s="898">
        <f>G24</f>
        <v/>
      </c>
      <c r="I24" s="898">
        <f>H24</f>
        <v/>
      </c>
      <c r="J24" s="900" t="n"/>
    </row>
    <row r="25" ht="5.1" customHeight="1">
      <c r="G25" s="339" t="n"/>
      <c r="J25" s="340" t="n"/>
    </row>
    <row r="26">
      <c r="C26" s="4" t="inlineStr">
        <is>
          <t>Common Units</t>
        </is>
      </c>
      <c r="E26" s="890">
        <f>E19</f>
        <v/>
      </c>
      <c r="F26" s="890">
        <f>E26</f>
        <v/>
      </c>
      <c r="G26" s="901">
        <f>E26</f>
        <v/>
      </c>
      <c r="H26" s="890">
        <f>G26</f>
        <v/>
      </c>
      <c r="I26" s="890">
        <f>H26</f>
        <v/>
      </c>
      <c r="J26" s="902" t="n"/>
    </row>
    <row r="27">
      <c r="C27" s="4" t="inlineStr">
        <is>
          <t>Incentive Units ($1.00)</t>
        </is>
      </c>
      <c r="E27" s="890">
        <f>F19</f>
        <v/>
      </c>
      <c r="F27" s="890">
        <f>E27</f>
        <v/>
      </c>
      <c r="G27" s="901">
        <f>IF(E45&lt;0,E27,0)</f>
        <v/>
      </c>
      <c r="H27" s="890">
        <f>G27</f>
        <v/>
      </c>
      <c r="I27" s="890">
        <f>H27</f>
        <v/>
      </c>
      <c r="J27" s="902" t="n"/>
    </row>
    <row r="28">
      <c r="C28" s="4" t="inlineStr">
        <is>
          <t>Incentive Units ($1.60)</t>
        </is>
      </c>
      <c r="E28" s="890">
        <f>G19</f>
        <v/>
      </c>
      <c r="F28" s="890">
        <f>E28</f>
        <v/>
      </c>
      <c r="G28" s="901">
        <f>IF(F45&lt;0,E28,0)</f>
        <v/>
      </c>
      <c r="H28" s="890">
        <f>G28</f>
        <v/>
      </c>
      <c r="I28" s="890">
        <f>H28</f>
        <v/>
      </c>
      <c r="J28" s="902" t="n"/>
    </row>
    <row r="29" ht="5.1" customHeight="1">
      <c r="E29" s="890" t="n"/>
      <c r="F29" s="890" t="n"/>
      <c r="G29" s="901" t="n"/>
      <c r="H29" s="890" t="n"/>
      <c r="I29" s="890" t="n"/>
      <c r="J29" s="902" t="n"/>
    </row>
    <row r="30">
      <c r="C30" s="19" t="inlineStr">
        <is>
          <t>Total Units</t>
        </is>
      </c>
      <c r="E30" s="894">
        <f>SUM(E26:E29)</f>
        <v/>
      </c>
      <c r="F30" s="894">
        <f>SUM(F26:F29)</f>
        <v/>
      </c>
      <c r="G30" s="903">
        <f>SUM(G26:G29)</f>
        <v/>
      </c>
      <c r="H30" s="894">
        <f>SUM(H26:H29)</f>
        <v/>
      </c>
      <c r="I30" s="894">
        <f>SUM(I26:I29)</f>
        <v/>
      </c>
      <c r="J30" s="904" t="n"/>
    </row>
    <row r="31">
      <c r="C31" s="19" t="inlineStr">
        <is>
          <t>Equity Value Per Unit</t>
        </is>
      </c>
      <c r="E31" s="905">
        <f>E24/E30</f>
        <v/>
      </c>
      <c r="F31" s="905">
        <f>F24/F30</f>
        <v/>
      </c>
      <c r="G31" s="906">
        <f>G24/G30</f>
        <v/>
      </c>
      <c r="H31" s="905">
        <f>H24/H30</f>
        <v/>
      </c>
      <c r="I31" s="905">
        <f>I24/I30</f>
        <v/>
      </c>
      <c r="J31" s="907" t="n"/>
    </row>
    <row r="32">
      <c r="G32" s="339" t="n"/>
    </row>
    <row r="33" ht="17.25" customHeight="1">
      <c r="E33" s="908" t="inlineStr">
        <is>
          <t>Options Exercise</t>
        </is>
      </c>
      <c r="F33" s="192" t="n"/>
      <c r="G33" s="909" t="inlineStr">
        <is>
          <t>Common Units</t>
        </is>
      </c>
      <c r="H33" s="192" t="n"/>
      <c r="I33" s="192" t="n"/>
      <c r="J33" s="910" t="n"/>
    </row>
    <row r="34" ht="17.25" customHeight="1">
      <c r="E34" s="911" t="inlineStr">
        <is>
          <t>Incentive Units ($1.00)</t>
        </is>
      </c>
      <c r="F34" s="911" t="inlineStr">
        <is>
          <t>Incentive Units ($1.60)</t>
        </is>
      </c>
      <c r="G34" s="897" t="inlineStr">
        <is>
          <t>Common Units</t>
        </is>
      </c>
      <c r="H34" s="911" t="inlineStr">
        <is>
          <t>Incentive Units ($1.00)</t>
        </is>
      </c>
      <c r="I34" s="911" t="inlineStr">
        <is>
          <t>Incentive Units ($1.60)</t>
        </is>
      </c>
      <c r="J34" s="912" t="inlineStr">
        <is>
          <t>Proceeds</t>
        </is>
      </c>
    </row>
    <row r="35">
      <c r="C35" s="4" t="inlineStr">
        <is>
          <t>XPV Water Fund III Limited Partnership</t>
        </is>
      </c>
      <c r="E35" s="913">
        <f>IF(H$31&gt;F$9,-F$9*F10,0)</f>
        <v/>
      </c>
      <c r="F35" s="913">
        <f>IF(I$31&gt;G$9,-G$9*G10,0)</f>
        <v/>
      </c>
      <c r="G35" s="914">
        <f>E10*G$31</f>
        <v/>
      </c>
      <c r="H35" s="913">
        <f>IF(E$45&lt;0,F10*H$31,0)</f>
        <v/>
      </c>
      <c r="I35" s="913">
        <f>IF(F$45&lt;0,G10*I$31,0)</f>
        <v/>
      </c>
      <c r="J35" s="915">
        <f>SUM(E35:I35)</f>
        <v/>
      </c>
    </row>
    <row r="36">
      <c r="C36" s="130" t="inlineStr">
        <is>
          <t>2007 Irrevocable Trust For Family of Chris M. Raftis dated March 30,2007</t>
        </is>
      </c>
      <c r="E36" s="913">
        <f>IF(H$31&gt;F$9,-F$9*F11,0)</f>
        <v/>
      </c>
      <c r="F36" s="913">
        <f>IF(I$31&gt;G$9,-G$9*G11,0)</f>
        <v/>
      </c>
      <c r="G36" s="914">
        <f>E11*G$31</f>
        <v/>
      </c>
      <c r="H36" s="913">
        <f>IF(E$45&lt;0,F11*H$31,0)</f>
        <v/>
      </c>
      <c r="I36" s="913">
        <f>IF(F$45&lt;0,G11*I$31,0)</f>
        <v/>
      </c>
      <c r="J36" s="915">
        <f>SUM(E36:I36)</f>
        <v/>
      </c>
    </row>
    <row r="37">
      <c r="C37" s="4" t="inlineStr">
        <is>
          <t>PTI Inc. Seller (Karl Trott)</t>
        </is>
      </c>
      <c r="E37" s="913">
        <f>IF(H$31&gt;F$9,-F$9*F12,0)</f>
        <v/>
      </c>
      <c r="F37" s="913">
        <f>IF(I$31&gt;G$9,-G$9*G12,0)</f>
        <v/>
      </c>
      <c r="G37" s="914">
        <f>E12*G$31</f>
        <v/>
      </c>
      <c r="H37" s="913">
        <f>IF(E$45&lt;0,F12*H$31,0)</f>
        <v/>
      </c>
      <c r="I37" s="913">
        <f>IF(F$45&lt;0,G12*I$31,0)</f>
        <v/>
      </c>
      <c r="J37" s="915">
        <f>SUM(E37:I37)</f>
        <v/>
      </c>
    </row>
    <row r="38">
      <c r="C38" s="21" t="inlineStr">
        <is>
          <t>John DeYarman Incentive Units</t>
        </is>
      </c>
      <c r="E38" s="913">
        <f>IF(H$31&gt;F$9,-F$9*F13,0)</f>
        <v/>
      </c>
      <c r="F38" s="913">
        <f>IF(I$31&gt;G$9,-G$9*G13,0)</f>
        <v/>
      </c>
      <c r="G38" s="914" t="n"/>
      <c r="H38" s="913">
        <f>IF(E$45&lt;0,F13*H$31,0)</f>
        <v/>
      </c>
      <c r="I38" s="913">
        <f>IF(F$45&lt;0,G13*I$31,0)</f>
        <v/>
      </c>
      <c r="J38" s="915">
        <f>SUM(E38:I38)</f>
        <v/>
      </c>
    </row>
    <row r="39">
      <c r="C39" s="21" t="inlineStr">
        <is>
          <t>Scott Day Incentive Units</t>
        </is>
      </c>
      <c r="E39" s="913">
        <f>IF(H$31&gt;F$9,-F$9*F14,0)</f>
        <v/>
      </c>
      <c r="F39" s="913">
        <f>IF(I$31&gt;G$9,-G$9*G14,0)</f>
        <v/>
      </c>
      <c r="G39" s="914" t="n"/>
      <c r="H39" s="913">
        <f>IF(E$45&lt;0,F14*H$31,0)</f>
        <v/>
      </c>
      <c r="I39" s="913">
        <f>IF(F$45&lt;0,G14*I$31,0)</f>
        <v/>
      </c>
      <c r="J39" s="915">
        <f>SUM(E39:I39)</f>
        <v/>
      </c>
    </row>
    <row r="40">
      <c r="C40" s="327" t="inlineStr">
        <is>
          <t>2007 Irrevocable Trust For Family of Chris M. Raftis dated March 30,2007 Incentive Units</t>
        </is>
      </c>
      <c r="E40" s="913">
        <f>IF(H$31&gt;F$9,-F$9*F15,0)</f>
        <v/>
      </c>
      <c r="F40" s="913">
        <f>IF(I$31&gt;G$9,-G$9*G15,0)</f>
        <v/>
      </c>
      <c r="G40" s="914" t="n"/>
      <c r="H40" s="913">
        <f>IF(E$45&lt;0,F15*H$31,0)</f>
        <v/>
      </c>
      <c r="I40" s="913">
        <f>IF(F$45&lt;0,G15*I$31,0)</f>
        <v/>
      </c>
      <c r="J40" s="915">
        <f>SUM(E40:I40)</f>
        <v/>
      </c>
    </row>
    <row r="41">
      <c r="C41" s="327" t="inlineStr">
        <is>
          <t>Kevin Klau</t>
        </is>
      </c>
      <c r="E41" s="913">
        <f>IF(H$31&gt;F$9,-F$9*F16,0)</f>
        <v/>
      </c>
      <c r="F41" s="913">
        <f>IF(I$31&gt;G$9,-G$9*G16,0)</f>
        <v/>
      </c>
      <c r="G41" s="914" t="n"/>
      <c r="H41" s="913">
        <f>IF(E$45&lt;0,F16*H$31,0)</f>
        <v/>
      </c>
      <c r="I41" s="913">
        <f>IF(F$45&lt;0,G16*I$31,0)</f>
        <v/>
      </c>
      <c r="J41" s="915">
        <f>SUM(E41:I41)</f>
        <v/>
      </c>
    </row>
    <row r="42">
      <c r="C42" s="327" t="inlineStr">
        <is>
          <t>Warren Berenis</t>
        </is>
      </c>
      <c r="E42" s="913">
        <f>IF(H$31&gt;F$9,-F$9*F17,0)</f>
        <v/>
      </c>
      <c r="F42" s="913">
        <f>IF(I$31&gt;G$9,-G$9*G17,0)</f>
        <v/>
      </c>
      <c r="G42" s="914" t="n"/>
      <c r="H42" s="913">
        <f>IF(E$45&lt;0,F17*H$31,0)</f>
        <v/>
      </c>
      <c r="I42" s="913">
        <f>IF(F$45&lt;0,G17*I$31,0)</f>
        <v/>
      </c>
      <c r="J42" s="915">
        <f>SUM(E42:I42)</f>
        <v/>
      </c>
    </row>
    <row r="43">
      <c r="C43" s="21" t="inlineStr">
        <is>
          <t>Unallocated</t>
        </is>
      </c>
      <c r="E43" s="913">
        <f>IF(H$31&gt;F$9,-F$9*F18,0)</f>
        <v/>
      </c>
      <c r="F43" s="913">
        <f>IF(I$31&gt;G$9,-G$9*G18,0)</f>
        <v/>
      </c>
      <c r="G43" s="914" t="n"/>
      <c r="H43" s="913">
        <f>IF(E$45&lt;0,F18*H$31,0)</f>
        <v/>
      </c>
      <c r="I43" s="913">
        <f>IF(F$45&lt;0,G18*I$31,0)</f>
        <v/>
      </c>
      <c r="J43" s="915">
        <f>SUM(E43:I43)</f>
        <v/>
      </c>
    </row>
    <row r="44" ht="5.1" customHeight="1">
      <c r="C44" s="21" t="n"/>
      <c r="E44" s="913" t="n"/>
      <c r="F44" s="913" t="n"/>
      <c r="G44" s="914" t="n"/>
      <c r="H44" s="913" t="n"/>
      <c r="I44" s="913" t="n"/>
      <c r="J44" s="915" t="n"/>
    </row>
    <row r="45">
      <c r="C45" s="195" t="inlineStr">
        <is>
          <t>TOTAL</t>
        </is>
      </c>
      <c r="D45" s="196" t="n"/>
      <c r="E45" s="916">
        <f>SUM(E35:E44)</f>
        <v/>
      </c>
      <c r="F45" s="916">
        <f>SUM(F35:F44)</f>
        <v/>
      </c>
      <c r="G45" s="917">
        <f>SUM(G35:G44)</f>
        <v/>
      </c>
      <c r="H45" s="916">
        <f>SUM(H35:H44)</f>
        <v/>
      </c>
      <c r="I45" s="916">
        <f>SUM(I35:I44)</f>
        <v/>
      </c>
      <c r="J45" s="918">
        <f>SUM(J35:J44)</f>
        <v/>
      </c>
    </row>
    <row r="47">
      <c r="J47" s="919" t="n"/>
    </row>
    <row r="48">
      <c r="F48" s="190" t="n"/>
      <c r="G48" s="920" t="n"/>
      <c r="H48" s="190" t="n"/>
      <c r="I48" s="190" t="n"/>
    </row>
    <row r="49">
      <c r="F49" s="190" t="n"/>
      <c r="G49" s="190" t="n"/>
      <c r="H49" s="190" t="n"/>
      <c r="I49" s="190" t="n"/>
    </row>
    <row r="50">
      <c r="F50" s="190" t="n"/>
      <c r="G50" s="190" t="n"/>
      <c r="H50" s="190" t="n"/>
      <c r="I50" s="190" t="n"/>
    </row>
    <row r="51">
      <c r="F51" s="190" t="n"/>
      <c r="G51" s="190" t="n"/>
      <c r="H51" s="190" t="n"/>
      <c r="I51" s="190" t="n"/>
    </row>
    <row r="52">
      <c r="A52" s="965" t="inlineStr">
        <is>
          <t>CARRIED FORWARD: March 2026 ownership structure; no authoritative Q2 cap-table evidence supplied. Analyst review required.</t>
        </is>
      </c>
      <c r="F52" s="190" t="n"/>
      <c r="G52" s="190" t="n"/>
      <c r="H52" s="190" t="n"/>
      <c r="I52" s="190" t="n"/>
    </row>
  </sheetData>
  <pageMargins left="0.7" right="0.7" top="0.75" bottom="0.75" header="0.3" footer="0.3"/>
  <pageSetup orientation="landscape" scale="38"/>
  <legacyDrawing xmlns:r="http://schemas.openxmlformats.org/officeDocument/2006/relationships" r:id="anysvml"/>
</worksheet>
</file>

<file path=xl/worksheets/sheet24.xml><?xml version="1.0" encoding="utf-8"?>
<worksheet xmlns="http://schemas.openxmlformats.org/spreadsheetml/2006/main">
  <sheetPr>
    <tabColor theme="6"/>
    <outlinePr summaryBelow="1" summaryRight="1"/>
    <pageSetUpPr fitToPage="1"/>
  </sheetPr>
  <dimension ref="B1:O41"/>
  <sheetViews>
    <sheetView workbookViewId="0">
      <selection activeCell="A1" sqref="A1"/>
    </sheetView>
  </sheetViews>
  <sheetFormatPr baseColWidth="8" defaultColWidth="8" defaultRowHeight="15" outlineLevelRow="1"/>
  <cols>
    <col width="2.7109375" customWidth="1" style="81" min="1" max="1"/>
    <col width="36" bestFit="1" customWidth="1" style="81" min="2" max="2"/>
    <col width="1.5703125" customWidth="1" style="81" min="3" max="3"/>
    <col width="8" customWidth="1" style="81" min="4" max="4"/>
    <col width="1.5703125" customWidth="1" style="81" min="5" max="5"/>
    <col width="16.7109375" bestFit="1" customWidth="1" style="81" min="6" max="6"/>
    <col width="4.28515625" customWidth="1" style="81" min="7" max="7"/>
    <col width="0.85546875" customWidth="1" style="81" min="8" max="8"/>
    <col width="16.7109375" bestFit="1" customWidth="1" style="81" min="9" max="12"/>
    <col width="0.85546875" customWidth="1" style="81" min="13" max="13"/>
    <col width="8" customWidth="1" style="81" min="14" max="16384"/>
  </cols>
  <sheetData>
    <row r="1" ht="18.75" customFormat="1" customHeight="1" s="77">
      <c r="B1" s="247">
        <f>'I. Cover Page'!B5</f>
        <v/>
      </c>
    </row>
    <row r="2" ht="15.75" customFormat="1" customHeight="1" s="77" thickBot="1">
      <c r="B2" s="254" t="inlineStr">
        <is>
          <t>XPVWFII Returns</t>
        </is>
      </c>
      <c r="C2" s="78" t="n"/>
      <c r="D2" s="78" t="n"/>
      <c r="E2" s="78" t="n"/>
      <c r="F2" s="78" t="n"/>
      <c r="G2" s="78" t="n"/>
      <c r="H2" s="78" t="n"/>
      <c r="I2" s="78" t="n"/>
      <c r="J2" s="78" t="n"/>
      <c r="K2" s="78" t="n"/>
      <c r="L2" s="78" t="n"/>
    </row>
    <row r="3" ht="13.5" customFormat="1" customHeight="1" s="77" thickTop="1">
      <c r="B3" s="251">
        <f>'I. Cover Page'!B9</f>
        <v/>
      </c>
      <c r="L3" s="79" t="inlineStr">
        <is>
          <t>$USD</t>
        </is>
      </c>
    </row>
    <row r="4" ht="15.75" customFormat="1" customHeight="1" s="77">
      <c r="B4" s="80" t="n"/>
      <c r="C4" s="80" t="n"/>
      <c r="D4" s="80" t="n"/>
      <c r="E4" s="80" t="n"/>
      <c r="F4" s="80" t="n"/>
      <c r="G4" s="80" t="n"/>
      <c r="H4" s="80" t="n"/>
      <c r="I4" s="201" t="n"/>
      <c r="J4" s="80" t="n"/>
      <c r="K4" s="80" t="n"/>
      <c r="L4" s="80" t="n"/>
      <c r="M4" s="80" t="n"/>
    </row>
    <row r="5" ht="17.25" customHeight="1">
      <c r="C5" s="82" t="inlineStr">
        <is>
          <t>Security Type</t>
        </is>
      </c>
      <c r="D5" s="82" t="n"/>
      <c r="E5" s="83" t="n"/>
      <c r="H5" s="84" t="n"/>
      <c r="I5" s="921" t="n">
        <v>45281</v>
      </c>
      <c r="J5" s="921" t="n">
        <v>45982</v>
      </c>
      <c r="K5" s="921">
        <f>J5</f>
        <v/>
      </c>
      <c r="L5" s="921">
        <f>B3</f>
        <v/>
      </c>
      <c r="M5" s="84" t="n"/>
    </row>
    <row r="6">
      <c r="D6" s="85" t="n"/>
    </row>
    <row r="7">
      <c r="B7" s="86" t="inlineStr">
        <is>
          <t>Total Investment IRR</t>
        </is>
      </c>
      <c r="D7" s="85" t="n"/>
    </row>
    <row r="8">
      <c r="B8" s="81" t="inlineStr">
        <is>
          <t>Initial Common Equity Investment</t>
        </is>
      </c>
      <c r="D8" s="81" t="inlineStr">
        <is>
          <t>Common</t>
        </is>
      </c>
      <c r="I8" s="922" t="n">
        <v>-12500000</v>
      </c>
      <c r="J8" s="922" t="n"/>
      <c r="K8" s="922" t="n"/>
      <c r="L8" s="922" t="n"/>
    </row>
    <row r="9">
      <c r="B9" s="81" t="inlineStr">
        <is>
          <t>Common Equity Payout @ Exit</t>
        </is>
      </c>
      <c r="D9" s="81" t="inlineStr">
        <is>
          <t>Common</t>
        </is>
      </c>
      <c r="F9" s="81" t="inlineStr">
        <is>
          <t>Unrealized Value</t>
        </is>
      </c>
      <c r="I9" s="922" t="n"/>
      <c r="J9" s="228" t="n"/>
      <c r="K9" s="228" t="n"/>
      <c r="L9" s="922">
        <f>'III. Valuation Summary'!$F$25</f>
        <v/>
      </c>
    </row>
    <row r="10" outlineLevel="1">
      <c r="B10" s="81" t="inlineStr">
        <is>
          <t>Common Shares (Growth Investment)</t>
        </is>
      </c>
      <c r="D10" s="81" t="inlineStr">
        <is>
          <t>Common</t>
        </is>
      </c>
      <c r="G10" s="87" t="n"/>
      <c r="H10" s="87" t="n"/>
      <c r="I10" s="922" t="n"/>
      <c r="J10" s="922" t="n"/>
      <c r="K10" s="922" t="n"/>
      <c r="L10" s="922" t="n"/>
      <c r="M10" s="87" t="n"/>
      <c r="O10" s="88" t="n"/>
    </row>
    <row r="11" outlineLevel="1">
      <c r="B11" s="81" t="inlineStr">
        <is>
          <t>Founder share purchase</t>
        </is>
      </c>
      <c r="D11" s="81" t="inlineStr">
        <is>
          <t>Common</t>
        </is>
      </c>
      <c r="H11" s="923" t="n"/>
      <c r="I11" s="922" t="n"/>
      <c r="J11" s="922" t="n"/>
      <c r="K11" s="922" t="n"/>
      <c r="L11" s="922" t="n"/>
      <c r="M11" s="923" t="n"/>
    </row>
    <row r="12" outlineLevel="1">
      <c r="B12" s="81" t="inlineStr">
        <is>
          <t>Add-On Investments (Yeary Controls)</t>
        </is>
      </c>
      <c r="D12" s="81" t="inlineStr">
        <is>
          <t>Common</t>
        </is>
      </c>
      <c r="F12" s="81" t="inlineStr">
        <is>
          <t>Unrealized Value</t>
        </is>
      </c>
      <c r="H12" s="923" t="n"/>
      <c r="I12" s="922" t="n"/>
      <c r="J12" s="922" t="n">
        <v>-3787879.18</v>
      </c>
      <c r="K12" s="922" t="n"/>
      <c r="L12" s="922" t="n"/>
      <c r="M12" s="923" t="n"/>
    </row>
    <row r="13" outlineLevel="1">
      <c r="B13" s="81" t="inlineStr">
        <is>
          <t>Add-On Investments</t>
        </is>
      </c>
      <c r="H13" s="923" t="n"/>
      <c r="I13" s="922" t="n"/>
      <c r="J13" s="922" t="n"/>
      <c r="K13" s="922" t="n"/>
      <c r="L13" s="922" t="n"/>
      <c r="M13" s="923" t="n"/>
    </row>
    <row r="14" outlineLevel="1">
      <c r="B14" s="81" t="inlineStr">
        <is>
          <t>Add-On Investments</t>
        </is>
      </c>
      <c r="H14" s="923" t="n"/>
      <c r="I14" s="922" t="n"/>
      <c r="J14" s="922" t="n"/>
      <c r="K14" s="922" t="n"/>
      <c r="L14" s="922" t="n"/>
      <c r="M14" s="923" t="n"/>
    </row>
    <row r="15" outlineLevel="1">
      <c r="B15" s="81" t="inlineStr">
        <is>
          <t>[X]</t>
        </is>
      </c>
      <c r="F15" s="81" t="inlineStr">
        <is>
          <t>Realized Value</t>
        </is>
      </c>
      <c r="H15" s="923" t="n"/>
      <c r="I15" s="922" t="n"/>
      <c r="J15" s="922" t="n"/>
      <c r="K15" s="922" t="n"/>
      <c r="L15" s="922" t="n"/>
      <c r="M15" s="923" t="n"/>
    </row>
    <row r="16" customFormat="1" s="90">
      <c r="B16" s="90" t="inlineStr">
        <is>
          <t>Blended Cash Flow</t>
        </is>
      </c>
      <c r="I16" s="924">
        <f>SUM(I8:I15)</f>
        <v/>
      </c>
      <c r="J16" s="924">
        <f>SUM(J8:J15)</f>
        <v/>
      </c>
      <c r="K16" s="924">
        <f>SUM(K8:K15)</f>
        <v/>
      </c>
      <c r="L16" s="924">
        <f>SUM(L8:L15)</f>
        <v/>
      </c>
    </row>
    <row r="17">
      <c r="H17" s="923" t="n"/>
      <c r="I17" s="923" t="n"/>
      <c r="J17" s="923" t="n"/>
      <c r="K17" s="923" t="n"/>
      <c r="L17" s="923" t="n"/>
      <c r="M17" s="923" t="n"/>
    </row>
    <row r="18">
      <c r="B18" s="92" t="inlineStr">
        <is>
          <t>Total Investments</t>
        </is>
      </c>
      <c r="C18" s="93" t="n"/>
      <c r="D18" s="93" t="n"/>
      <c r="E18" s="93" t="n"/>
      <c r="F18" s="925">
        <f>SUM(I16:K16)</f>
        <v/>
      </c>
      <c r="G18" s="926" t="n"/>
      <c r="H18" s="923" t="n"/>
      <c r="I18" s="923" t="n"/>
      <c r="J18" s="923" t="n"/>
      <c r="K18" s="923" t="n"/>
      <c r="L18" s="923" t="n"/>
      <c r="M18" s="923" t="n"/>
    </row>
    <row r="19">
      <c r="F19" s="927" t="n"/>
      <c r="H19" s="923" t="n"/>
      <c r="I19" s="923" t="n"/>
      <c r="J19" s="923" t="n"/>
      <c r="K19" s="923" t="n"/>
      <c r="L19" s="923" t="n"/>
      <c r="M19" s="923" t="n"/>
    </row>
    <row r="20">
      <c r="B20" s="97" t="inlineStr">
        <is>
          <t>Realized Value</t>
        </is>
      </c>
      <c r="C20" s="98" t="n"/>
      <c r="D20" s="98" t="n"/>
      <c r="E20" s="98" t="n"/>
      <c r="F20" s="928">
        <f>SUMIF($F$8:$F$15,B20,$L$8:$L$15)</f>
        <v/>
      </c>
      <c r="G20" s="929" t="n"/>
      <c r="H20" s="923" t="n"/>
      <c r="I20" s="923" t="n"/>
      <c r="J20" s="923" t="n"/>
      <c r="K20" s="923" t="n"/>
      <c r="L20" s="923" t="n"/>
      <c r="M20" s="923" t="n"/>
    </row>
    <row r="21">
      <c r="B21" s="101" t="inlineStr">
        <is>
          <t>Unrealized Value</t>
        </is>
      </c>
      <c r="F21" s="930">
        <f>SUMIF($F$8:$F$15,B21,$L$8:$L$15)</f>
        <v/>
      </c>
      <c r="G21" s="929" t="n"/>
      <c r="H21" s="923" t="n"/>
      <c r="I21" s="923" t="n"/>
      <c r="J21" s="923" t="n"/>
      <c r="K21" s="923" t="n"/>
      <c r="L21" s="923" t="n"/>
      <c r="M21" s="923" t="n"/>
    </row>
    <row r="22">
      <c r="B22" s="103" t="inlineStr">
        <is>
          <t>Total Realized &amp; Unrealized Value</t>
        </is>
      </c>
      <c r="C22" s="104" t="n"/>
      <c r="D22" s="104" t="n"/>
      <c r="E22" s="104" t="n"/>
      <c r="F22" s="931">
        <f>F20+F21</f>
        <v/>
      </c>
      <c r="G22" s="929" t="n"/>
      <c r="H22" s="923" t="n"/>
      <c r="I22" s="923" t="n"/>
      <c r="J22" s="923" t="n"/>
      <c r="K22" s="923" t="n"/>
      <c r="L22" s="923" t="n"/>
      <c r="M22" s="923" t="n"/>
    </row>
    <row r="23">
      <c r="F23" s="929" t="n"/>
      <c r="G23" s="929" t="n"/>
      <c r="H23" s="923" t="n"/>
      <c r="I23" s="923" t="n"/>
      <c r="J23" s="923" t="n"/>
      <c r="K23" s="923" t="n"/>
      <c r="L23" s="923" t="n"/>
      <c r="M23" s="923" t="n"/>
    </row>
    <row r="24">
      <c r="B24" s="97" t="inlineStr">
        <is>
          <t>Realized ROI</t>
        </is>
      </c>
      <c r="C24" s="98" t="n"/>
      <c r="D24" s="98" t="n"/>
      <c r="E24" s="98" t="n"/>
      <c r="F24" s="932">
        <f>-F20/$F$18</f>
        <v/>
      </c>
      <c r="G24" s="933" t="n"/>
      <c r="H24" s="923" t="n"/>
      <c r="I24" s="923" t="n"/>
      <c r="J24" s="923" t="n"/>
      <c r="K24" s="923" t="n"/>
      <c r="L24" s="923" t="n"/>
      <c r="M24" s="923" t="n"/>
    </row>
    <row r="25">
      <c r="B25" s="101" t="inlineStr">
        <is>
          <t>Unrealized ROI</t>
        </is>
      </c>
      <c r="F25" s="934">
        <f>-F21/$F$18</f>
        <v/>
      </c>
      <c r="G25" s="933" t="n"/>
      <c r="H25" s="923" t="n"/>
      <c r="I25" s="923" t="n"/>
      <c r="J25" s="923" t="n"/>
      <c r="K25" s="923" t="n"/>
      <c r="L25" s="923" t="n"/>
      <c r="M25" s="923" t="n"/>
    </row>
    <row r="26" customFormat="1" s="90">
      <c r="B26" s="103" t="inlineStr">
        <is>
          <t>Realized &amp; Unrealized ROI</t>
        </is>
      </c>
      <c r="C26" s="104" t="n"/>
      <c r="D26" s="104" t="n"/>
      <c r="E26" s="104" t="n"/>
      <c r="F26" s="935">
        <f>-F22/$F$18</f>
        <v/>
      </c>
      <c r="G26" s="936" t="n"/>
      <c r="H26" s="937" t="n"/>
      <c r="I26" s="937" t="n"/>
      <c r="J26" s="937" t="n"/>
      <c r="K26" s="937" t="n"/>
      <c r="L26" s="937" t="n"/>
      <c r="M26" s="937" t="n"/>
    </row>
    <row r="27" customFormat="1" s="112">
      <c r="F27" s="113" t="n"/>
      <c r="G27" s="113" t="n"/>
      <c r="H27" s="938" t="n"/>
      <c r="I27" s="939" t="n"/>
      <c r="J27" s="939" t="n"/>
      <c r="K27" s="939" t="n"/>
      <c r="L27" s="939" t="n"/>
      <c r="M27" s="938" t="n"/>
    </row>
    <row r="28" customFormat="1" s="90">
      <c r="B28" s="116" t="inlineStr">
        <is>
          <t>IRR</t>
        </is>
      </c>
      <c r="C28" s="117" t="n"/>
      <c r="D28" s="117" t="n"/>
      <c r="E28" s="117" t="n"/>
      <c r="F28" s="940">
        <f>IFERROR(XIRR(I16:L16,I5:L5),"NM")</f>
        <v/>
      </c>
      <c r="G28" s="119" t="n"/>
      <c r="H28" s="937" t="n"/>
      <c r="I28" s="941" t="n"/>
      <c r="J28" s="941" t="n"/>
      <c r="K28" s="941" t="n"/>
      <c r="L28" s="941" t="n"/>
      <c r="M28" s="937" t="n"/>
    </row>
    <row r="29">
      <c r="F29" s="942" t="n"/>
      <c r="G29" s="929" t="n"/>
      <c r="H29" s="923" t="n"/>
      <c r="I29" s="923" t="n"/>
      <c r="J29" s="923" t="n"/>
      <c r="K29" s="923" t="n"/>
      <c r="L29" s="923" t="n"/>
      <c r="M29" s="923" t="n"/>
    </row>
    <row r="31">
      <c r="B31" s="98" t="n"/>
      <c r="C31" s="98" t="n"/>
      <c r="D31" s="98" t="n"/>
      <c r="E31" s="98" t="n"/>
      <c r="F31" s="98" t="n"/>
      <c r="G31" s="98" t="n"/>
      <c r="H31" s="98" t="n"/>
      <c r="I31" s="98" t="n"/>
      <c r="J31" s="98" t="n"/>
      <c r="K31" s="98" t="n"/>
      <c r="L31" s="98" t="n"/>
    </row>
    <row r="41">
      <c r="J41" s="164" t="n"/>
    </row>
  </sheetData>
  <pageMargins left="0.7086614173228347" right="0.7086614173228347" top="0.7480314960629921" bottom="0.7480314960629921" header="0.3149606299212598" footer="0.3149606299212598"/>
  <pageSetup orientation="portrait" scale="66" fitToHeight="0"/>
</worksheet>
</file>

<file path=xl/worksheets/sheet25.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A1" sqref="A1"/>
    </sheetView>
  </sheetViews>
  <sheetFormatPr baseColWidth="8" defaultRowHeight="15"/>
  <cols>
    <col width="15" customWidth="1" min="1" max="1"/>
    <col width="15" customWidth="1" min="2" max="2"/>
  </cols>
  <sheetData>
    <row r="1">
      <c r="A1" s="966" t="inlineStr">
        <is>
          <t>Item</t>
        </is>
      </c>
      <c r="B1" s="966" t="inlineStr">
        <is>
          <t>Result</t>
        </is>
      </c>
    </row>
    <row r="2">
      <c r="A2" t="inlineStr">
        <is>
          <t>Valuation date</t>
        </is>
      </c>
      <c r="B2" t="inlineStr">
        <is>
          <t>June 30, 2026</t>
        </is>
      </c>
    </row>
    <row r="3">
      <c r="A3" t="inlineStr">
        <is>
          <t>Source workbooks used</t>
        </is>
      </c>
      <c r="B3" t="inlineStr">
        <is>
          <t>2026 Q1 - Opus Water - Valuation Workbook DRAFT.xlsx; Opus Water - June 2026 2.xlsx</t>
        </is>
      </c>
    </row>
    <row r="4">
      <c r="A4" t="inlineStr">
        <is>
          <t>Sheets created</t>
        </is>
      </c>
      <c r="B4" t="inlineStr">
        <is>
          <t>Pro Forma Financials (Q2); Cap Table (Jun 2026); IRR Calculation (Jun 2026); control sheets</t>
        </is>
      </c>
    </row>
    <row r="5">
      <c r="A5" t="inlineStr">
        <is>
          <t>Exact current-quarter months</t>
        </is>
      </c>
      <c r="B5" t="inlineStr">
        <is>
          <t>April, May, June 2026</t>
        </is>
      </c>
    </row>
    <row r="6">
      <c r="A6" t="inlineStr">
        <is>
          <t>Exact TTM period</t>
        </is>
      </c>
      <c r="B6" t="inlineStr">
        <is>
          <t>July 2025 through June 2026</t>
        </is>
      </c>
    </row>
    <row r="7">
      <c r="A7" t="inlineStr">
        <is>
          <t>Carried assumptions</t>
        </is>
      </c>
      <c r="B7" t="inlineStr">
        <is>
          <t>Q1 valuation multiple; March 2026 cap table; zero debt</t>
        </is>
      </c>
    </row>
    <row r="8">
      <c r="A8" t="inlineStr">
        <is>
          <t>Missing inputs</t>
        </is>
      </c>
      <c r="B8" t="inlineStr">
        <is>
          <t>Authoritative Q2 cap table; refreshed Q2 comparables; category-level Q2 adjustment support; debt confirmation</t>
        </is>
      </c>
    </row>
    <row r="9">
      <c r="A9" t="inlineStr">
        <is>
          <t>Blocked outputs</t>
        </is>
      </c>
      <c r="B9" t="inlineStr">
        <is>
          <t>Sponsor value, MOIC, IRR, attribution and LP carrying value are not analyst-approved</t>
        </is>
      </c>
    </row>
    <row r="10">
      <c r="A10" t="inlineStr">
        <is>
          <t>Final completion status</t>
        </is>
      </c>
      <c r="B10" t="inlineStr">
        <is>
          <t>INCOMPLETE - ANALYST REVIEW REQUIRED</t>
        </is>
      </c>
    </row>
  </sheetData>
  <autoFilter ref="A1:B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5"/>
  <sheetViews>
    <sheetView showGridLines="0" workbookViewId="0">
      <pane ySplit="1" topLeftCell="A2" activePane="bottomLeft" state="frozen"/>
      <selection pane="bottomLeft" activeCell="A1" sqref="A1"/>
    </sheetView>
  </sheetViews>
  <sheetFormatPr baseColWidth="8" defaultRowHeight="15"/>
  <cols>
    <col width="15" customWidth="1" min="1" max="1"/>
    <col width="15" customWidth="1" min="2" max="2"/>
    <col width="22" customWidth="1" min="3" max="3"/>
    <col width="20" customWidth="1" min="4" max="4"/>
    <col width="18" customWidth="1" min="5" max="5"/>
    <col width="17" customWidth="1" min="6" max="6"/>
    <col width="15" customWidth="1" min="7" max="7"/>
  </cols>
  <sheetData>
    <row r="1">
      <c r="A1" s="966" t="inlineStr">
        <is>
          <t>Output</t>
        </is>
      </c>
      <c r="B1" s="966" t="inlineStr">
        <is>
          <t>Output cell</t>
        </is>
      </c>
      <c r="C1" s="966" t="inlineStr">
        <is>
          <t>Formula / precedent</t>
        </is>
      </c>
      <c r="D1" s="966" t="inlineStr">
        <is>
          <t>Dates represented</t>
        </is>
      </c>
      <c r="E1" s="966" t="inlineStr">
        <is>
          <t>Ultimate source</t>
        </is>
      </c>
      <c r="F1" s="966" t="inlineStr">
        <is>
          <t>Evidence state</t>
        </is>
      </c>
      <c r="G1" s="966" t="inlineStr">
        <is>
          <t>Result</t>
        </is>
      </c>
    </row>
    <row r="2">
      <c r="A2" t="inlineStr">
        <is>
          <t>TTM Revenue</t>
        </is>
      </c>
      <c r="B2" t="inlineStr">
        <is>
          <t>Pro Forma Financials (Q2)!D13</t>
        </is>
      </c>
      <c r="C2">
        <f>SUM(L13:W13)</f>
        <v/>
      </c>
      <c r="D2" t="inlineStr">
        <is>
          <t>Jul 2025-Jun 2026</t>
        </is>
      </c>
      <c r="E2" t="inlineStr">
        <is>
          <t>June workbook AE13:AG13 + preserved history</t>
        </is>
      </c>
      <c r="F2" t="inlineStr">
        <is>
          <t>CALCULATED</t>
        </is>
      </c>
      <c r="G2" t="inlineStr">
        <is>
          <t>PASS</t>
        </is>
      </c>
    </row>
    <row r="3">
      <c r="A3" t="inlineStr">
        <is>
          <t>TTM EBITDA</t>
        </is>
      </c>
      <c r="B3" t="inlineStr">
        <is>
          <t>Pro Forma Financials (Q2)!D24</t>
        </is>
      </c>
      <c r="C3">
        <f>SUM(L24:W24)</f>
        <v/>
      </c>
      <c r="D3" t="inlineStr">
        <is>
          <t>Jul 2025-Jun 2026</t>
        </is>
      </c>
      <c r="E3" t="inlineStr">
        <is>
          <t>June workbook AE46:AG46 + preserved history</t>
        </is>
      </c>
      <c r="F3" t="inlineStr">
        <is>
          <t>CALCULATED</t>
        </is>
      </c>
      <c r="G3" t="inlineStr">
        <is>
          <t>PASS</t>
        </is>
      </c>
    </row>
    <row r="4">
      <c r="A4" t="inlineStr">
        <is>
          <t>TTM Adjusted EBITDA</t>
        </is>
      </c>
      <c r="B4" t="inlineStr">
        <is>
          <t>Pro Forma Financials (Q2)!D38</t>
        </is>
      </c>
      <c r="C4">
        <f>SUM(L38:W38)</f>
        <v/>
      </c>
      <c r="D4" t="inlineStr">
        <is>
          <t>Jul 2025-Jun 2026</t>
        </is>
      </c>
      <c r="E4" t="inlineStr">
        <is>
          <t>June workbook AE50:AG50 + preserved history</t>
        </is>
      </c>
      <c r="F4" t="inlineStr">
        <is>
          <t>CALCULATED</t>
        </is>
      </c>
      <c r="G4" t="inlineStr">
        <is>
          <t>PASS</t>
        </is>
      </c>
    </row>
    <row r="5">
      <c r="A5" t="inlineStr">
        <is>
          <t>Cash</t>
        </is>
      </c>
      <c r="B5" t="inlineStr">
        <is>
          <t>III. Valuation Summary!F13</t>
        </is>
      </c>
      <c r="C5" t="inlineStr">
        <is>
          <t>Q2 PF W45</t>
        </is>
      </c>
      <c r="D5" t="inlineStr">
        <is>
          <t>June 30, 2026</t>
        </is>
      </c>
      <c r="E5" t="inlineStr">
        <is>
          <t>June workbook AG56</t>
        </is>
      </c>
      <c r="F5" t="inlineStr">
        <is>
          <t>SUPPORTED</t>
        </is>
      </c>
      <c r="G5" t="inlineStr">
        <is>
          <t>PASS</t>
        </is>
      </c>
    </row>
    <row r="6">
      <c r="A6" t="inlineStr">
        <is>
          <t>Debt</t>
        </is>
      </c>
      <c r="B6" t="inlineStr">
        <is>
          <t>III. Valuation Summary!F14</t>
        </is>
      </c>
      <c r="C6" t="inlineStr">
        <is>
          <t>Q2 PF W49</t>
        </is>
      </c>
      <c r="D6" t="inlineStr">
        <is>
          <t>June 30, 2026</t>
        </is>
      </c>
      <c r="E6" t="inlineStr">
        <is>
          <t>No Q2 evidence</t>
        </is>
      </c>
      <c r="F6" t="inlineStr">
        <is>
          <t>UNRESOLVED</t>
        </is>
      </c>
      <c r="G6" t="inlineStr">
        <is>
          <t>FAIL</t>
        </is>
      </c>
    </row>
    <row r="7">
      <c r="A7" t="inlineStr">
        <is>
          <t>Valuation multiple</t>
        </is>
      </c>
      <c r="B7" t="inlineStr">
        <is>
          <t>III. Valuation Summary!F9</t>
        </is>
      </c>
      <c r="C7" t="inlineStr">
        <is>
          <t>Comparables D39</t>
        </is>
      </c>
      <c r="D7" t="inlineStr">
        <is>
          <t>Q1 carried</t>
        </is>
      </c>
      <c r="E7" t="inlineStr">
        <is>
          <t>Q1 valuation workbook</t>
        </is>
      </c>
      <c r="F7" t="inlineStr">
        <is>
          <t>CARRIED FORWARD</t>
        </is>
      </c>
      <c r="G7" t="inlineStr">
        <is>
          <t>PASS</t>
        </is>
      </c>
    </row>
    <row r="8">
      <c r="A8" t="inlineStr">
        <is>
          <t>Enterprise value</t>
        </is>
      </c>
      <c r="B8" t="inlineStr">
        <is>
          <t>III. Valuation Summary!F12</t>
        </is>
      </c>
      <c r="C8">
        <f>F9*F10</f>
        <v/>
      </c>
      <c r="D8" t="inlineStr">
        <is>
          <t>June 30, 2026</t>
        </is>
      </c>
      <c r="E8" t="inlineStr">
        <is>
          <t>Current multiple and Q2 TTM Adj EBITDA</t>
        </is>
      </c>
      <c r="F8" t="inlineStr">
        <is>
          <t>CALCULATED</t>
        </is>
      </c>
      <c r="G8" t="inlineStr">
        <is>
          <t>PASS</t>
        </is>
      </c>
    </row>
    <row r="9">
      <c r="A9" t="inlineStr">
        <is>
          <t>Equity value</t>
        </is>
      </c>
      <c r="B9" t="inlineStr">
        <is>
          <t>III. Valuation Summary!F15</t>
        </is>
      </c>
      <c r="C9">
        <f>F12+F13-F14</f>
        <v/>
      </c>
      <c r="D9" t="inlineStr">
        <is>
          <t>June 30, 2026</t>
        </is>
      </c>
      <c r="E9" t="inlineStr">
        <is>
          <t>Current EV/cash; debt unresolved</t>
        </is>
      </c>
      <c r="F9" t="inlineStr">
        <is>
          <t>UNRESOLVED</t>
        </is>
      </c>
      <c r="G9" t="inlineStr">
        <is>
          <t>FAIL</t>
        </is>
      </c>
    </row>
    <row r="10">
      <c r="A10" t="inlineStr">
        <is>
          <t>Fully diluted ownership</t>
        </is>
      </c>
      <c r="B10" t="inlineStr">
        <is>
          <t>III. Valuation Summary!F29</t>
        </is>
      </c>
      <c r="C10" t="inlineStr">
        <is>
          <t>Q2 cap table</t>
        </is>
      </c>
      <c r="D10" t="inlineStr">
        <is>
          <t>June 30, 2026</t>
        </is>
      </c>
      <c r="E10" t="inlineStr">
        <is>
          <t>March cap table carried</t>
        </is>
      </c>
      <c r="F10" t="inlineStr">
        <is>
          <t>CARRIED FORWARD</t>
        </is>
      </c>
      <c r="G10" t="inlineStr">
        <is>
          <t>FAIL</t>
        </is>
      </c>
    </row>
    <row r="11">
      <c r="A11" t="inlineStr">
        <is>
          <t>Sponsor investment value</t>
        </is>
      </c>
      <c r="B11" t="inlineStr">
        <is>
          <t>III. Valuation Summary!F25</t>
        </is>
      </c>
      <c r="C11" t="inlineStr">
        <is>
          <t>Q2 cap table J35</t>
        </is>
      </c>
      <c r="D11" t="inlineStr">
        <is>
          <t>June 30, 2026</t>
        </is>
      </c>
      <c r="E11" t="inlineStr">
        <is>
          <t>Carried ownership</t>
        </is>
      </c>
      <c r="F11" t="inlineStr">
        <is>
          <t>UNRESOLVED</t>
        </is>
      </c>
      <c r="G11" t="inlineStr">
        <is>
          <t>FAIL</t>
        </is>
      </c>
    </row>
    <row r="12">
      <c r="A12" t="inlineStr">
        <is>
          <t>MOIC</t>
        </is>
      </c>
      <c r="B12" t="inlineStr">
        <is>
          <t>III. Valuation Summary!F26</t>
        </is>
      </c>
      <c r="C12">
        <f>F25/F21</f>
        <v/>
      </c>
      <c r="D12" t="inlineStr">
        <is>
          <t>June 30, 2026</t>
        </is>
      </c>
      <c r="E12" t="inlineStr">
        <is>
          <t>Sponsor value / cost</t>
        </is>
      </c>
      <c r="F12" t="inlineStr">
        <is>
          <t>UNRESOLVED</t>
        </is>
      </c>
      <c r="G12" t="inlineStr">
        <is>
          <t>FAIL</t>
        </is>
      </c>
    </row>
    <row r="13">
      <c r="A13" t="inlineStr">
        <is>
          <t>IRR</t>
        </is>
      </c>
      <c r="B13" t="inlineStr">
        <is>
          <t>III. Valuation Summary!F27</t>
        </is>
      </c>
      <c r="C13" t="inlineStr">
        <is>
          <t>Q2 IRR schedule</t>
        </is>
      </c>
      <c r="D13" t="inlineStr">
        <is>
          <t>Through June 30, 2026</t>
        </is>
      </c>
      <c r="E13" t="inlineStr">
        <is>
          <t>Copied cash-flow schedule</t>
        </is>
      </c>
      <c r="F13" t="inlineStr">
        <is>
          <t>UNRESOLVED</t>
        </is>
      </c>
      <c r="G13" t="inlineStr">
        <is>
          <t>FAIL</t>
        </is>
      </c>
    </row>
    <row r="14">
      <c r="A14" t="inlineStr">
        <is>
          <t>Attribution total</t>
        </is>
      </c>
      <c r="B14" t="inlineStr">
        <is>
          <t>III. Valuation Summary attribution</t>
        </is>
      </c>
      <c r="C14" t="inlineStr">
        <is>
          <t>Attribution formulas</t>
        </is>
      </c>
      <c r="D14" t="inlineStr">
        <is>
          <t>Q2 vs Q1</t>
        </is>
      </c>
      <c r="E14" t="inlineStr">
        <is>
          <t>Current/prior valuation states</t>
        </is>
      </c>
      <c r="F14" t="inlineStr">
        <is>
          <t>UNRESOLVED</t>
        </is>
      </c>
      <c r="G14" t="inlineStr">
        <is>
          <t>FAIL</t>
        </is>
      </c>
    </row>
    <row r="15">
      <c r="A15" t="inlineStr">
        <is>
          <t>LP carrying value</t>
        </is>
      </c>
      <c r="B15" t="inlineStr">
        <is>
          <t>LP Report!I13</t>
        </is>
      </c>
      <c r="C15" t="inlineStr">
        <is>
          <t>Valuation Summary F25</t>
        </is>
      </c>
      <c r="D15" t="inlineStr">
        <is>
          <t>June 30, 2026</t>
        </is>
      </c>
      <c r="E15" t="inlineStr">
        <is>
          <t>Sponsor value</t>
        </is>
      </c>
      <c r="F15" t="inlineStr">
        <is>
          <t>UNRESOLVED</t>
        </is>
      </c>
      <c r="G15" t="inlineStr">
        <is>
          <t>FAIL</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1"/>
  <sheetViews>
    <sheetView showGridLines="0" workbookViewId="0">
      <pane ySplit="1" topLeftCell="A2" activePane="bottomLeft" state="frozen"/>
      <selection pane="bottomLeft" activeCell="A1" sqref="A1"/>
    </sheetView>
  </sheetViews>
  <sheetFormatPr baseColWidth="8" defaultRowHeight="15"/>
  <cols>
    <col width="15" customWidth="1" min="1" max="1"/>
    <col width="15" customWidth="1" min="2" max="2"/>
    <col width="23" customWidth="1" min="3" max="3"/>
  </cols>
  <sheetData>
    <row r="1">
      <c r="A1" s="966" t="inlineStr">
        <is>
          <t>Test</t>
        </is>
      </c>
      <c r="B1" s="966" t="inlineStr">
        <is>
          <t>PASS / FAIL</t>
        </is>
      </c>
      <c r="C1" s="966" t="inlineStr">
        <is>
          <t>Evidence / exception</t>
        </is>
      </c>
    </row>
    <row r="2">
      <c r="A2" t="inlineStr">
        <is>
          <t>Architecture preserved</t>
        </is>
      </c>
      <c r="B2" t="inlineStr">
        <is>
          <t>PASS</t>
        </is>
      </c>
      <c r="C2" t="inlineStr">
        <is>
          <t>All original sheets retained</t>
        </is>
      </c>
    </row>
    <row r="3">
      <c r="A3" t="inlineStr">
        <is>
          <t>Current Q2 stories and periods</t>
        </is>
      </c>
      <c r="B3" t="inlineStr">
        <is>
          <t>PASS</t>
        </is>
      </c>
      <c r="C3" t="inlineStr">
        <is>
          <t>April-June and Jul 2025-Jun 2026</t>
        </is>
      </c>
    </row>
    <row r="4">
      <c r="A4" t="inlineStr">
        <is>
          <t>Latest month consumed</t>
        </is>
      </c>
      <c r="B4" t="inlineStr">
        <is>
          <t>PASS</t>
        </is>
      </c>
      <c r="C4" t="inlineStr">
        <is>
          <t>June 2026 is W column in Q2 PF</t>
        </is>
      </c>
    </row>
    <row r="5">
      <c r="A5" t="inlineStr">
        <is>
          <t>Cash propagation</t>
        </is>
      </c>
      <c r="B5" t="inlineStr">
        <is>
          <t>PASS</t>
        </is>
      </c>
      <c r="C5" t="inlineStr">
        <is>
          <t>June source cash consumed by valuation</t>
        </is>
      </c>
    </row>
    <row r="6">
      <c r="A6" t="inlineStr">
        <is>
          <t>Debt support</t>
        </is>
      </c>
      <c r="B6" t="inlineStr">
        <is>
          <t>FAIL</t>
        </is>
      </c>
      <c r="C6" t="inlineStr">
        <is>
          <t>No Q2 debt evidence</t>
        </is>
      </c>
    </row>
    <row r="7">
      <c r="A7" t="inlineStr">
        <is>
          <t>Ownership support</t>
        </is>
      </c>
      <c r="B7" t="inlineStr">
        <is>
          <t>FAIL</t>
        </is>
      </c>
      <c r="C7" t="inlineStr">
        <is>
          <t>No Q2 cap-table evidence</t>
        </is>
      </c>
    </row>
    <row r="8">
      <c r="A8" t="inlineStr">
        <is>
          <t>Comparable refresh</t>
        </is>
      </c>
      <c r="B8" t="inlineStr">
        <is>
          <t>FAIL</t>
        </is>
      </c>
      <c r="C8" t="inlineStr">
        <is>
          <t>No Q2 market data</t>
        </is>
      </c>
    </row>
    <row r="9">
      <c r="A9" t="inlineStr">
        <is>
          <t>Adjustment detail audit trail</t>
        </is>
      </c>
      <c r="B9" t="inlineStr">
        <is>
          <t>FAIL</t>
        </is>
      </c>
      <c r="C9" t="inlineStr">
        <is>
          <t>Total mapped; categories unresolved</t>
        </is>
      </c>
    </row>
    <row r="10">
      <c r="A10" t="inlineStr">
        <is>
          <t>Returns and attribution finalization</t>
        </is>
      </c>
      <c r="B10" t="inlineStr">
        <is>
          <t>FAIL</t>
        </is>
      </c>
      <c r="C10" t="inlineStr">
        <is>
          <t>Dependent on unresolved inputs</t>
        </is>
      </c>
    </row>
    <row r="11">
      <c r="A11" t="inlineStr">
        <is>
          <t>Final completion</t>
        </is>
      </c>
      <c r="B11" t="inlineStr">
        <is>
          <t>FAIL</t>
        </is>
      </c>
      <c r="C11" t="inlineStr">
        <is>
          <t>INCOMPLETE - ANALYST REVIEW REQUIRED</t>
        </is>
      </c>
    </row>
  </sheetData>
  <autoFilter ref="A1:C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15" customWidth="1" min="1" max="1"/>
    <col width="15" customWidth="1" min="2" max="2"/>
    <col width="19" customWidth="1" min="3" max="3"/>
    <col width="31" customWidth="1" min="4" max="4"/>
  </cols>
  <sheetData>
    <row r="1">
      <c r="A1" s="966" t="inlineStr">
        <is>
          <t>Type</t>
        </is>
      </c>
      <c r="B1" s="966" t="inlineStr">
        <is>
          <t>Item</t>
        </is>
      </c>
      <c r="C1" s="966" t="inlineStr">
        <is>
          <t>Affected outputs</t>
        </is>
      </c>
      <c r="D1" s="966" t="inlineStr">
        <is>
          <t>Recommended analyst decision</t>
        </is>
      </c>
    </row>
    <row r="2">
      <c r="A2" t="inlineStr">
        <is>
          <t>Carried assumption</t>
        </is>
      </c>
      <c r="B2" t="inlineStr">
        <is>
          <t>Q1 multiple</t>
        </is>
      </c>
      <c r="C2" t="inlineStr">
        <is>
          <t>EV and downstream value</t>
        </is>
      </c>
      <c r="D2" t="inlineStr">
        <is>
          <t>Approve carry-forward or supply Q2 comps</t>
        </is>
      </c>
    </row>
    <row r="3">
      <c r="A3" t="inlineStr">
        <is>
          <t>Missing evidence</t>
        </is>
      </c>
      <c r="B3" t="inlineStr">
        <is>
          <t>Q2 cap table</t>
        </is>
      </c>
      <c r="C3" t="inlineStr">
        <is>
          <t>Ownership, sponsor value, MOIC, IRR, LP report</t>
        </is>
      </c>
      <c r="D3" t="inlineStr">
        <is>
          <t>Supply June cap table or approve unchanged</t>
        </is>
      </c>
    </row>
    <row r="4">
      <c r="A4" t="inlineStr">
        <is>
          <t>Missing evidence</t>
        </is>
      </c>
      <c r="B4" t="inlineStr">
        <is>
          <t>Q2 debt confirmation</t>
        </is>
      </c>
      <c r="C4" t="inlineStr">
        <is>
          <t>Equity value and downstream outputs</t>
        </is>
      </c>
      <c r="D4" t="inlineStr">
        <is>
          <t>Confirm period-end debt</t>
        </is>
      </c>
    </row>
    <row r="5">
      <c r="A5" t="inlineStr">
        <is>
          <t>Analyst judgment</t>
        </is>
      </c>
      <c r="B5" t="inlineStr">
        <is>
          <t>Q2 adjustment categories</t>
        </is>
      </c>
      <c r="C5" t="inlineStr">
        <is>
          <t>Adjusted EBITDA audit trail</t>
        </is>
      </c>
      <c r="D5" t="inlineStr">
        <is>
          <t>Provide/approve category mapping</t>
        </is>
      </c>
    </row>
    <row r="6">
      <c r="A6" t="inlineStr">
        <is>
          <t>Unresolved dependency</t>
        </is>
      </c>
      <c r="B6" t="inlineStr">
        <is>
          <t>Attribution and returns</t>
        </is>
      </c>
      <c r="C6" t="inlineStr">
        <is>
          <t>Attribution, MOIC, IRR</t>
        </is>
      </c>
      <c r="D6" t="inlineStr">
        <is>
          <t>Finalize after ownership/debt decisions</t>
        </is>
      </c>
    </row>
  </sheetData>
  <autoFilter ref="A1:D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oreProperties xmlns:dc="http://purl.org/dc/elements/1.1/" xmlns:dcterms="http://purl.org/dc/terms/" xmlns:xsi="http://www.w3.org/2001/XMLSchema-instance" xmlns="http://schemas.openxmlformats.org/package/2006/metadata/core-properties">
  <dc:creator>Aria Druker</dc:creator>
  <dcterms:created xsi:type="dcterms:W3CDTF">2026-10-13T18:55:38.4973939Z</dcterms:created>
  <dcterms:modified xsi:type="dcterms:W3CDTF">2026-10-13T18:55:38.4973939Z</dcterms:modified>
  <lastModifiedBy>Aria Druker</lastModifiedBy>
  <lastPrinted>2026-03-25T13:34:55.0000000Z</lastPrinted>
</coreProperties>
</file>